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wnloads\Dummy\"/>
    </mc:Choice>
  </mc:AlternateContent>
  <xr:revisionPtr revIDLastSave="0" documentId="13_ncr:1_{9B71AD3A-669F-4A11-B0F1-9D3189268DDC}" xr6:coauthVersionLast="47" xr6:coauthVersionMax="47" xr10:uidLastSave="{00000000-0000-0000-0000-000000000000}"/>
  <bookViews>
    <workbookView xWindow="-120" yWindow="360" windowWidth="20730" windowHeight="11280" activeTab="1" xr2:uid="{00000000-000D-0000-FFFF-FFFF00000000}"/>
  </bookViews>
  <sheets>
    <sheet name="Prasyarat 3-Agen di depan ruang" sheetId="1" r:id="rId1"/>
    <sheet name="Aktivitas Pendukung" sheetId="2" r:id="rId2"/>
  </sheets>
  <calcPr calcId="181029"/>
</workbook>
</file>

<file path=xl/calcChain.xml><?xml version="1.0" encoding="utf-8"?>
<calcChain xmlns="http://schemas.openxmlformats.org/spreadsheetml/2006/main">
  <c r="K282" i="1" l="1"/>
  <c r="J282" i="1"/>
  <c r="J290" i="1"/>
  <c r="K290" i="1"/>
  <c r="K289" i="1"/>
  <c r="J289" i="1"/>
  <c r="J288" i="1"/>
  <c r="J287" i="1"/>
  <c r="K288" i="1"/>
  <c r="K287" i="1"/>
  <c r="K286" i="1"/>
  <c r="J286" i="1"/>
  <c r="J284" i="1"/>
  <c r="J285" i="1"/>
  <c r="K283" i="1"/>
  <c r="J283" i="1"/>
  <c r="K285" i="1"/>
  <c r="K284" i="1"/>
  <c r="K279" i="1"/>
  <c r="J279" i="1"/>
  <c r="K277" i="1"/>
  <c r="J277" i="1"/>
  <c r="K281" i="1"/>
  <c r="J281" i="1"/>
  <c r="K280" i="1"/>
  <c r="J280" i="1"/>
  <c r="K278" i="1"/>
  <c r="J278" i="1"/>
  <c r="K276" i="1"/>
  <c r="J276" i="1"/>
  <c r="K273" i="1"/>
  <c r="J273" i="1"/>
  <c r="K275" i="1"/>
  <c r="J275" i="1"/>
  <c r="K274" i="1"/>
  <c r="J274" i="1"/>
  <c r="J272" i="1"/>
  <c r="K272" i="1"/>
  <c r="K271" i="1"/>
  <c r="J271" i="1"/>
  <c r="K169" i="1" l="1"/>
  <c r="J169" i="1"/>
  <c r="AH11" i="1"/>
  <c r="AG11" i="1"/>
  <c r="J11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J58" i="1"/>
  <c r="J59" i="1"/>
  <c r="K267" i="1"/>
  <c r="J267" i="1"/>
  <c r="K270" i="1"/>
  <c r="J270" i="1"/>
  <c r="K269" i="1"/>
  <c r="J269" i="1"/>
  <c r="K268" i="1"/>
  <c r="J268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J254" i="1"/>
  <c r="K254" i="1"/>
  <c r="J253" i="1"/>
  <c r="J252" i="1"/>
  <c r="K253" i="1"/>
  <c r="K252" i="1"/>
  <c r="J250" i="1" l="1"/>
  <c r="K250" i="1"/>
  <c r="J251" i="1"/>
  <c r="K251" i="1"/>
  <c r="K249" i="1"/>
  <c r="J249" i="1"/>
  <c r="J248" i="1"/>
  <c r="K247" i="1"/>
  <c r="J247" i="1"/>
  <c r="J246" i="1"/>
  <c r="K246" i="1"/>
  <c r="K248" i="1"/>
  <c r="J242" i="1"/>
  <c r="I11" i="1"/>
  <c r="K240" i="1"/>
  <c r="K230" i="1"/>
  <c r="K238" i="1"/>
  <c r="K237" i="1"/>
  <c r="K241" i="1"/>
  <c r="J241" i="1"/>
  <c r="J240" i="1"/>
  <c r="K239" i="1"/>
  <c r="J239" i="1"/>
  <c r="J238" i="1"/>
  <c r="J237" i="1"/>
  <c r="K236" i="1"/>
  <c r="J236" i="1"/>
  <c r="J232" i="1"/>
  <c r="J235" i="1"/>
  <c r="J229" i="1"/>
  <c r="J224" i="1"/>
  <c r="K235" i="1"/>
  <c r="J231" i="1"/>
  <c r="K231" i="1"/>
  <c r="J230" i="1"/>
  <c r="K229" i="1"/>
  <c r="K227" i="1"/>
  <c r="K225" i="1"/>
  <c r="J225" i="1"/>
  <c r="K224" i="1"/>
  <c r="J222" i="1"/>
  <c r="J221" i="1"/>
  <c r="J220" i="1"/>
  <c r="J219" i="1"/>
  <c r="K219" i="1"/>
  <c r="J212" i="1"/>
  <c r="J213" i="1"/>
  <c r="K215" i="1"/>
  <c r="J215" i="1"/>
  <c r="K214" i="1"/>
  <c r="J214" i="1"/>
  <c r="J210" i="1"/>
  <c r="J209" i="1"/>
  <c r="K209" i="1"/>
  <c r="K207" i="1"/>
  <c r="J207" i="1"/>
  <c r="K203" i="1"/>
  <c r="J203" i="1"/>
  <c r="J202" i="1"/>
  <c r="K202" i="1"/>
  <c r="K201" i="1"/>
  <c r="J201" i="1"/>
  <c r="K200" i="1"/>
  <c r="J200" i="1"/>
  <c r="K199" i="1"/>
  <c r="J199" i="1"/>
  <c r="J196" i="1"/>
  <c r="K196" i="1"/>
  <c r="K191" i="1"/>
  <c r="J189" i="1"/>
  <c r="K189" i="1"/>
  <c r="K195" i="1"/>
  <c r="J195" i="1"/>
  <c r="J192" i="1"/>
  <c r="K192" i="1"/>
  <c r="K190" i="1"/>
  <c r="J190" i="1"/>
  <c r="J193" i="1"/>
  <c r="J191" i="1"/>
  <c r="K187" i="1"/>
  <c r="J187" i="1"/>
  <c r="K186" i="1"/>
  <c r="J173" i="1"/>
  <c r="K173" i="1"/>
  <c r="K178" i="1"/>
  <c r="J178" i="1"/>
  <c r="J183" i="1"/>
  <c r="K183" i="1"/>
  <c r="K185" i="1"/>
  <c r="J185" i="1"/>
  <c r="J181" i="1"/>
  <c r="J176" i="1"/>
  <c r="K170" i="1"/>
  <c r="K168" i="1"/>
  <c r="J167" i="1"/>
  <c r="K167" i="1"/>
  <c r="K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K156" i="1"/>
  <c r="J156" i="1"/>
  <c r="K153" i="1"/>
  <c r="J153" i="1"/>
  <c r="K152" i="1"/>
  <c r="J152" i="1"/>
  <c r="K151" i="1"/>
  <c r="J151" i="1"/>
  <c r="K150" i="1"/>
  <c r="J150" i="1"/>
  <c r="J148" i="1"/>
  <c r="J147" i="1"/>
  <c r="J149" i="1"/>
  <c r="J144" i="1" l="1"/>
  <c r="K144" i="1"/>
  <c r="J138" i="1"/>
  <c r="K138" i="1"/>
  <c r="K143" i="1" l="1"/>
  <c r="K137" i="1"/>
  <c r="K140" i="1"/>
  <c r="J140" i="1"/>
  <c r="J137" i="1"/>
  <c r="K146" i="1"/>
  <c r="J146" i="1"/>
  <c r="K145" i="1"/>
  <c r="J145" i="1"/>
  <c r="J139" i="1" l="1"/>
  <c r="K139" i="1"/>
  <c r="J136" i="1"/>
  <c r="K142" i="1"/>
  <c r="J142" i="1"/>
  <c r="K136" i="1"/>
  <c r="J123" i="1"/>
  <c r="K125" i="1"/>
  <c r="J125" i="1"/>
  <c r="K122" i="1"/>
  <c r="J122" i="1"/>
  <c r="K119" i="1"/>
  <c r="J119" i="1"/>
  <c r="K114" i="1"/>
  <c r="J114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45" i="1"/>
  <c r="K49" i="1"/>
  <c r="K53" i="1"/>
  <c r="K57" i="1"/>
  <c r="K65" i="1"/>
  <c r="K62" i="1"/>
  <c r="K39" i="1"/>
  <c r="J49" i="1"/>
  <c r="J53" i="1"/>
  <c r="J57" i="1"/>
  <c r="J62" i="1"/>
  <c r="J65" i="1"/>
  <c r="K60" i="1"/>
  <c r="J60" i="1"/>
  <c r="J43" i="1"/>
  <c r="K43" i="1"/>
  <c r="J45" i="1"/>
  <c r="J44" i="1"/>
  <c r="K47" i="1"/>
  <c r="K34" i="1"/>
  <c r="J34" i="1"/>
  <c r="K32" i="1"/>
  <c r="J19" i="1"/>
  <c r="K19" i="1"/>
  <c r="J28" i="1"/>
  <c r="J23" i="1" l="1"/>
  <c r="J42" i="1"/>
  <c r="J37" i="1"/>
  <c r="K23" i="1"/>
  <c r="J22" i="1"/>
  <c r="J21" i="1"/>
  <c r="K22" i="1"/>
  <c r="K21" i="1"/>
  <c r="K18" i="1"/>
  <c r="J35" i="1"/>
  <c r="K42" i="1"/>
  <c r="K41" i="1"/>
  <c r="J41" i="1"/>
  <c r="K40" i="1"/>
  <c r="J40" i="1"/>
  <c r="J39" i="1"/>
  <c r="K38" i="1"/>
  <c r="J38" i="1"/>
  <c r="K44" i="1"/>
  <c r="J32" i="1"/>
  <c r="J20" i="1"/>
  <c r="J15" i="1"/>
  <c r="K15" i="1"/>
  <c r="J16" i="1" l="1"/>
  <c r="J18" i="1"/>
  <c r="J17" i="1"/>
  <c r="J29" i="1"/>
  <c r="K220" i="1" l="1"/>
  <c r="K221" i="1"/>
  <c r="K222" i="1"/>
  <c r="J218" i="1"/>
  <c r="J216" i="1" l="1"/>
  <c r="J217" i="1"/>
  <c r="K217" i="1"/>
  <c r="K216" i="1"/>
  <c r="J211" i="1"/>
  <c r="K210" i="1"/>
  <c r="K211" i="1"/>
  <c r="K194" i="1"/>
  <c r="J194" i="1"/>
  <c r="J186" i="1"/>
  <c r="K148" i="1"/>
  <c r="J143" i="1"/>
  <c r="J135" i="1"/>
  <c r="J117" i="1"/>
  <c r="J112" i="1"/>
  <c r="J110" i="1"/>
  <c r="J87" i="1"/>
  <c r="J85" i="1"/>
  <c r="J84" i="1"/>
  <c r="K46" i="1"/>
  <c r="J46" i="1"/>
  <c r="K28" i="1"/>
  <c r="J24" i="1"/>
  <c r="K20" i="1"/>
  <c r="K245" i="1"/>
  <c r="J245" i="1"/>
  <c r="J244" i="1"/>
  <c r="J243" i="1"/>
  <c r="K242" i="1"/>
  <c r="K244" i="1"/>
  <c r="K228" i="1"/>
  <c r="K234" i="1"/>
  <c r="J234" i="1"/>
  <c r="K233" i="1"/>
  <c r="J226" i="1"/>
  <c r="J233" i="1"/>
  <c r="J227" i="1"/>
  <c r="J223" i="1"/>
  <c r="K223" i="1"/>
  <c r="J206" i="1"/>
  <c r="J204" i="1"/>
  <c r="K204" i="1"/>
  <c r="J197" i="1"/>
  <c r="K198" i="1"/>
  <c r="J198" i="1"/>
  <c r="K193" i="1"/>
  <c r="J188" i="1"/>
  <c r="J184" i="1"/>
  <c r="J182" i="1"/>
  <c r="K182" i="1"/>
  <c r="K179" i="1"/>
  <c r="J179" i="1"/>
  <c r="K175" i="1"/>
  <c r="J175" i="1"/>
  <c r="J177" i="1"/>
  <c r="K174" i="1"/>
  <c r="J174" i="1"/>
  <c r="J172" i="1"/>
  <c r="K171" i="1" l="1"/>
  <c r="J171" i="1"/>
  <c r="J168" i="1"/>
  <c r="J166" i="1"/>
  <c r="K154" i="1"/>
  <c r="J154" i="1"/>
  <c r="J155" i="1"/>
  <c r="K155" i="1"/>
  <c r="J134" i="1"/>
  <c r="J133" i="1"/>
  <c r="J132" i="1"/>
  <c r="K133" i="1"/>
  <c r="K134" i="1"/>
  <c r="J131" i="1"/>
  <c r="J130" i="1"/>
  <c r="K131" i="1"/>
  <c r="J129" i="1"/>
  <c r="J128" i="1"/>
  <c r="K129" i="1"/>
  <c r="J127" i="1"/>
  <c r="K127" i="1"/>
  <c r="J124" i="1"/>
  <c r="K124" i="1"/>
  <c r="J121" i="1"/>
  <c r="K121" i="1"/>
  <c r="J118" i="1"/>
  <c r="K118" i="1"/>
  <c r="K116" i="1"/>
  <c r="J116" i="1"/>
  <c r="K113" i="1"/>
  <c r="J113" i="1"/>
  <c r="K111" i="1"/>
  <c r="J111" i="1"/>
  <c r="J99" i="1"/>
  <c r="J97" i="1"/>
  <c r="K99" i="1"/>
  <c r="K97" i="1"/>
  <c r="J92" i="1"/>
  <c r="J83" i="1"/>
  <c r="J89" i="1"/>
  <c r="J94" i="1"/>
  <c r="J96" i="1"/>
  <c r="K96" i="1"/>
  <c r="J93" i="1"/>
  <c r="K93" i="1"/>
  <c r="J91" i="1"/>
  <c r="K91" i="1"/>
  <c r="J88" i="1"/>
  <c r="K88" i="1"/>
  <c r="J86" i="1"/>
  <c r="K86" i="1"/>
  <c r="K84" i="1"/>
  <c r="K17" i="1"/>
  <c r="J30" i="1"/>
  <c r="J31" i="1"/>
  <c r="K31" i="1"/>
  <c r="J25" i="1"/>
  <c r="J61" i="1"/>
  <c r="J63" i="1"/>
  <c r="K63" i="1"/>
  <c r="J51" i="1"/>
  <c r="K51" i="1"/>
  <c r="J36" i="1"/>
  <c r="K36" i="1"/>
  <c r="K30" i="1"/>
  <c r="J26" i="1"/>
  <c r="K25" i="1" l="1"/>
  <c r="K16" i="1"/>
  <c r="K61" i="1"/>
  <c r="K243" i="1"/>
  <c r="K232" i="1"/>
  <c r="J228" i="1"/>
  <c r="K226" i="1"/>
  <c r="K218" i="1"/>
  <c r="K212" i="1"/>
  <c r="K213" i="1"/>
  <c r="K208" i="1"/>
  <c r="J208" i="1"/>
  <c r="K206" i="1"/>
  <c r="J205" i="1"/>
  <c r="K205" i="1"/>
  <c r="K197" i="1"/>
  <c r="K188" i="1"/>
  <c r="K184" i="1"/>
  <c r="K67" i="1"/>
  <c r="J67" i="1"/>
  <c r="K66" i="1"/>
  <c r="J66" i="1"/>
  <c r="K64" i="1"/>
  <c r="J64" i="1"/>
  <c r="K181" i="1"/>
  <c r="J180" i="1"/>
  <c r="K180" i="1"/>
  <c r="K177" i="1"/>
  <c r="K176" i="1"/>
  <c r="K172" i="1"/>
  <c r="J170" i="1"/>
  <c r="J157" i="1"/>
  <c r="K149" i="1"/>
  <c r="K147" i="1"/>
  <c r="K141" i="1"/>
  <c r="J141" i="1"/>
  <c r="K135" i="1"/>
  <c r="K132" i="1"/>
  <c r="K130" i="1"/>
  <c r="K128" i="1"/>
  <c r="K126" i="1"/>
  <c r="K123" i="1"/>
  <c r="K120" i="1"/>
  <c r="K117" i="1"/>
  <c r="K115" i="1"/>
  <c r="K112" i="1"/>
  <c r="K110" i="1"/>
  <c r="K98" i="1"/>
  <c r="K95" i="1"/>
  <c r="K92" i="1"/>
  <c r="K90" i="1"/>
  <c r="K87" i="1"/>
  <c r="K85" i="1"/>
  <c r="K82" i="1"/>
  <c r="K56" i="1"/>
  <c r="K52" i="1"/>
  <c r="K48" i="1"/>
  <c r="K35" i="1"/>
  <c r="K29" i="1"/>
  <c r="K24" i="1"/>
  <c r="J126" i="1"/>
  <c r="J120" i="1"/>
  <c r="J98" i="1"/>
  <c r="K94" i="1"/>
  <c r="J95" i="1"/>
  <c r="J115" i="1"/>
  <c r="K89" i="1"/>
  <c r="J90" i="1"/>
  <c r="K83" i="1"/>
  <c r="J82" i="1"/>
  <c r="K59" i="1"/>
  <c r="K58" i="1"/>
  <c r="J56" i="1"/>
  <c r="K55" i="1"/>
  <c r="J55" i="1"/>
  <c r="K54" i="1"/>
  <c r="J54" i="1"/>
  <c r="J52" i="1"/>
  <c r="J50" i="1"/>
  <c r="J48" i="1"/>
  <c r="K50" i="1"/>
  <c r="J47" i="1"/>
  <c r="K33" i="1"/>
  <c r="J33" i="1"/>
  <c r="K37" i="1"/>
  <c r="J27" i="1" l="1"/>
  <c r="K27" i="1"/>
  <c r="K26" i="1"/>
  <c r="X11" i="1"/>
  <c r="AA11" i="1" s="1"/>
  <c r="AD11" i="1" s="1"/>
  <c r="L11" i="1"/>
  <c r="T11" i="1" s="1"/>
  <c r="F11" i="1"/>
  <c r="AG5" i="1"/>
  <c r="X5" i="1"/>
  <c r="Y5" i="1" s="1"/>
  <c r="L5" i="1"/>
  <c r="T5" i="1" s="1"/>
  <c r="F5" i="1"/>
  <c r="G5" i="1" l="1"/>
  <c r="H5" i="1" s="1"/>
  <c r="I5" i="1" s="1"/>
  <c r="J5" i="1"/>
  <c r="AH5" i="1"/>
  <c r="Y11" i="1"/>
  <c r="O11" i="1"/>
  <c r="P11" i="1" s="1"/>
  <c r="Q11" i="1" s="1"/>
  <c r="R11" i="1" s="1"/>
  <c r="S11" i="1" s="1"/>
  <c r="O5" i="1"/>
  <c r="P5" i="1" s="1"/>
  <c r="Q5" i="1" s="1"/>
  <c r="R5" i="1" s="1"/>
  <c r="S5" i="1" s="1"/>
  <c r="AD5" i="1"/>
  <c r="AB11" i="1"/>
  <c r="G11" i="1" l="1"/>
  <c r="H11" i="1" s="1"/>
</calcChain>
</file>

<file path=xl/sharedStrings.xml><?xml version="1.0" encoding="utf-8"?>
<sst xmlns="http://schemas.openxmlformats.org/spreadsheetml/2006/main" count="1669" uniqueCount="487">
  <si>
    <t>Jika ada orang lain</t>
  </si>
  <si>
    <t>Aktivitas Berjalan</t>
  </si>
  <si>
    <t>Kondisi Terkini</t>
  </si>
  <si>
    <t>Batas</t>
  </si>
  <si>
    <t>APSB</t>
  </si>
  <si>
    <t>APST</t>
  </si>
  <si>
    <t>Objek</t>
  </si>
  <si>
    <t>Komponen</t>
  </si>
  <si>
    <t>Ya/Tidak</t>
  </si>
  <si>
    <t>Kode</t>
  </si>
  <si>
    <t>Peluang APSB</t>
  </si>
  <si>
    <t>Peluang APST</t>
  </si>
  <si>
    <t>Batas Sosial</t>
  </si>
  <si>
    <t>Pintu</t>
  </si>
  <si>
    <t>Terbuka</t>
  </si>
  <si>
    <t>Kursi</t>
  </si>
  <si>
    <t>Kosong</t>
  </si>
  <si>
    <t>Terisi</t>
  </si>
  <si>
    <t>*tempat duduk kosong random</t>
  </si>
  <si>
    <t>Aktivitas Utama</t>
  </si>
  <si>
    <t>Nama Ruang</t>
  </si>
  <si>
    <t>Prasyarat</t>
  </si>
  <si>
    <t>Keterangan</t>
  </si>
  <si>
    <t>RMK01</t>
  </si>
  <si>
    <t>Cek cahaya</t>
  </si>
  <si>
    <t>Ada</t>
  </si>
  <si>
    <t>Tidak Ada</t>
  </si>
  <si>
    <t>RDP01</t>
  </si>
  <si>
    <t>RHD01</t>
  </si>
  <si>
    <t>RCC01</t>
  </si>
  <si>
    <t>Mati</t>
  </si>
  <si>
    <t>Menyapu Ruang Cuci</t>
  </si>
  <si>
    <t>Cek sumber daya</t>
  </si>
  <si>
    <t>Lampu</t>
  </si>
  <si>
    <t xml:space="preserve">Tujuan IF terpenuhi </t>
  </si>
  <si>
    <t xml:space="preserve">Tujuan IF tidak terpenuhi </t>
  </si>
  <si>
    <t>RKG01</t>
  </si>
  <si>
    <t>Sofa</t>
  </si>
  <si>
    <t>Karpet</t>
  </si>
  <si>
    <t>Tujuan Aktivitas Selesai</t>
  </si>
  <si>
    <t>Makan</t>
  </si>
  <si>
    <r>
      <t>Bak cuci piring</t>
    </r>
    <r>
      <rPr>
        <b/>
        <sz val="11"/>
        <color rgb="FFFF0000"/>
        <rFont val="Calibri"/>
        <family val="2"/>
        <scheme val="minor"/>
      </rPr>
      <t>*</t>
    </r>
  </si>
  <si>
    <t>*jika agen memiliki kebiasaan meletakan piring atau jika random, tidak selalu meletakan piring di bak cuci</t>
  </si>
  <si>
    <t>Minum</t>
  </si>
  <si>
    <t>Dispenser</t>
  </si>
  <si>
    <t>Cek device</t>
  </si>
  <si>
    <t>Tidur</t>
  </si>
  <si>
    <t>RTU01</t>
  </si>
  <si>
    <t>Tempat tidur</t>
  </si>
  <si>
    <t>BAK</t>
  </si>
  <si>
    <t>RKM01</t>
  </si>
  <si>
    <t>Terkunci</t>
  </si>
  <si>
    <t>BAB</t>
  </si>
  <si>
    <t>Mandi</t>
  </si>
  <si>
    <t>Menyapu Ruang Makan</t>
  </si>
  <si>
    <t>Menyapu Dapur</t>
  </si>
  <si>
    <t>Menyapu Gudang</t>
  </si>
  <si>
    <t>RGD01</t>
  </si>
  <si>
    <t xml:space="preserve">Cek device </t>
  </si>
  <si>
    <t>Menyapu Koridor</t>
  </si>
  <si>
    <t>Menyapu Ruang Keluarga</t>
  </si>
  <si>
    <t>RKD01</t>
  </si>
  <si>
    <t>Menyapu Ruang Tamu</t>
  </si>
  <si>
    <t>RTM01</t>
  </si>
  <si>
    <t>Menyapu Teras</t>
  </si>
  <si>
    <t>RTS01</t>
  </si>
  <si>
    <t>Mengepel Ruang Makan</t>
  </si>
  <si>
    <t>Mengepel Dapur</t>
  </si>
  <si>
    <t>Mengepel Gudang</t>
  </si>
  <si>
    <t>Mengepel Koridor</t>
  </si>
  <si>
    <t>Mengepel Ruang Keluarga</t>
  </si>
  <si>
    <t>Mengepel Ruang Tamu</t>
  </si>
  <si>
    <t>Mengepel Teras</t>
  </si>
  <si>
    <t>Menyapu Ruang Tidur Utama 1</t>
  </si>
  <si>
    <t>Menyapu Ruang Tidur Utama 2</t>
  </si>
  <si>
    <t>RTU02</t>
  </si>
  <si>
    <t>Menyapu Ruang Tidur Anak 1</t>
  </si>
  <si>
    <t>RTA01</t>
  </si>
  <si>
    <t>Mengepel Ruang Tidur Utama 1</t>
  </si>
  <si>
    <t>Mengepel Ruang Tidur Utama 2</t>
  </si>
  <si>
    <t>Hidup</t>
  </si>
  <si>
    <t>Membuang Sampah Dapur</t>
  </si>
  <si>
    <t>Membersihkan Kamar Mandi</t>
  </si>
  <si>
    <t>Tidak ada</t>
  </si>
  <si>
    <t>Menyiram tanaman pagi hari</t>
  </si>
  <si>
    <t>Kran air</t>
  </si>
  <si>
    <t>Menyiram tanaman sore hari</t>
  </si>
  <si>
    <t>Gas</t>
  </si>
  <si>
    <t>Listrik</t>
  </si>
  <si>
    <t>Belanja</t>
  </si>
  <si>
    <t>Daylight</t>
  </si>
  <si>
    <t>Mesin cuci</t>
  </si>
  <si>
    <t>Mengangkat pakaian kering</t>
  </si>
  <si>
    <t>Menyetrika pakaian</t>
  </si>
  <si>
    <t>Setrika</t>
  </si>
  <si>
    <t>Mengawasi anak 2 bermain</t>
  </si>
  <si>
    <t>Membaca</t>
  </si>
  <si>
    <t>Mengganti galon</t>
  </si>
  <si>
    <t>Bersantai</t>
  </si>
  <si>
    <t>Cek agen</t>
  </si>
  <si>
    <t>Makanan</t>
  </si>
  <si>
    <t>Air minum</t>
  </si>
  <si>
    <t>Jumlah &amp; status</t>
  </si>
  <si>
    <t>Berubah sesuai dengan kondisi di ruang</t>
  </si>
  <si>
    <t>Air</t>
  </si>
  <si>
    <t>Lemari</t>
  </si>
  <si>
    <t>ada</t>
  </si>
  <si>
    <t xml:space="preserve">Ada </t>
  </si>
  <si>
    <t>Kompor</t>
  </si>
  <si>
    <t>Bagus</t>
  </si>
  <si>
    <t>Gas cadangan</t>
  </si>
  <si>
    <t>Rice cooker 1</t>
  </si>
  <si>
    <t>Rice cooker 2</t>
  </si>
  <si>
    <t>Blender</t>
  </si>
  <si>
    <t>TV</t>
  </si>
  <si>
    <t>Kipas Angin</t>
  </si>
  <si>
    <t>Cek Suhu</t>
  </si>
  <si>
    <t>Iklim Ruang</t>
  </si>
  <si>
    <t>AC</t>
  </si>
  <si>
    <t>Cek suhu</t>
  </si>
  <si>
    <t>Asumsi alat kebersihan selalu tersedia</t>
  </si>
  <si>
    <t>Pompa air 2</t>
  </si>
  <si>
    <t>Pompa air 1</t>
  </si>
  <si>
    <t>IF Kondisi terkini&gt;=Batas (150),"RMK01","Saklar Lampu"</t>
  </si>
  <si>
    <t>IF Kondisi terkini&lt;Batas (1),"Meja Makan","Batal"</t>
  </si>
  <si>
    <t>IF Kondisi terkini (Meja makan)=Batas (Ada),"Meja Makan","Rice cooker 2"</t>
  </si>
  <si>
    <t>IF Kondisi terkini (Kursi random)=Batas (Kosong),"Kursi (random)","RKG01"</t>
  </si>
  <si>
    <t>IF Kondisi terkini&lt;Batas (27),"Tetap di Kursi (sebelumnya)","RKG01"</t>
  </si>
  <si>
    <t>jika ada makanan, semua kursi terisi, pindah ke ruang RKG01 (a)</t>
  </si>
  <si>
    <t>(a) Agen sampai di RKG01</t>
  </si>
  <si>
    <t>IF Kondisi terkini&gt;=Batas (150),"RKG01","Saklar Lampu"</t>
  </si>
  <si>
    <t>IF Kondisi terkini&lt;Batas (1),"Sofa (random)","Batal"</t>
  </si>
  <si>
    <t>IF Kondisi terkini (Sofa random)=Batas (Kosong),"Sofa (random)","Karpet"</t>
  </si>
  <si>
    <t>IF Kondisi terkini (Karpet  random)=Batas (Kosong),"Karpet (random)","Batal"</t>
  </si>
  <si>
    <t>batal = cek aktivitas urut 2</t>
  </si>
  <si>
    <t>IF Kondisi terkini&lt;Batas (25),"Tetap di Sofa/Karpet (sebelumnya)","Kipas Angin"</t>
  </si>
  <si>
    <t>IF Kondisi terkini&lt;Batas (1),"Dispenser","Batal"</t>
  </si>
  <si>
    <t>IF Kondisi terkini (Dispenser)=Batas (Ada),"Kursi (random)","Kulkas 2"</t>
  </si>
  <si>
    <t>(b) Agen sampai di RDP01</t>
  </si>
  <si>
    <t>Jumlah &amp; Status Agen</t>
  </si>
  <si>
    <t>IF Kondisi terkini&gt;=Batas (150),"Kulkas 1","Saklar Lampu"</t>
  </si>
  <si>
    <t>IF Kondisi terkini (Rice cooker 2)=Batas (Ada),"Meja Makan","RDP01"</t>
  </si>
  <si>
    <t>IF Kondisi terkini&lt;Batas (1),"Kulkas 1","Batal"</t>
  </si>
  <si>
    <t>IF Kondisi terkini (Kulkas 1)=Batas (Ada),"RMK01","Batal"</t>
  </si>
  <si>
    <t>Kembali ke RMK01 untuk cek device: kursi (d)</t>
  </si>
  <si>
    <t>(e)  agen sampai Di RKG01</t>
  </si>
  <si>
    <t>IF Kondisi terkini (Rice cooker 1)=Batas (Ada),"RMK01","Batal"</t>
  </si>
  <si>
    <r>
      <t xml:space="preserve">Cek cahaya </t>
    </r>
    <r>
      <rPr>
        <i/>
        <sz val="11"/>
        <color rgb="FFFF0000"/>
        <rFont val="Calibri"/>
        <family val="2"/>
        <scheme val="minor"/>
      </rPr>
      <t>(i)</t>
    </r>
  </si>
  <si>
    <r>
      <t xml:space="preserve">Cek device </t>
    </r>
    <r>
      <rPr>
        <i/>
        <sz val="11"/>
        <color rgb="FFFF0000"/>
        <rFont val="Calibri"/>
        <family val="2"/>
        <scheme val="minor"/>
      </rPr>
      <t>(ii)</t>
    </r>
  </si>
  <si>
    <t>Kembali ke RMK01 untuk cek device (ii), tetapi sampai di ruang cek mulai dari (i)</t>
  </si>
  <si>
    <t>jika ketika makan, batas tidak terpenuhi, pindah ke ruang RKG01(a)</t>
  </si>
  <si>
    <t>Rumus</t>
  </si>
  <si>
    <t>Aktivitas Pendukung setelah selesai Aktivitas Utama</t>
  </si>
  <si>
    <t>untuk menghidupkan kipas angin tidak perlu cek sumberdaya (listrik), karena lampu sudah hidup</t>
  </si>
  <si>
    <t xml:space="preserve">(d) -&gt; (e) </t>
  </si>
  <si>
    <t>IF Kondisi terkini (Kulkas 2)=Batas (Ada),"Kursi","RDP01"</t>
  </si>
  <si>
    <t>ke RDP01 untuk cek di Kulkas 1(b)</t>
  </si>
  <si>
    <t>jika ketika minum, batas tidak terpenuhi, pindah ke ruang RKG01(e)</t>
  </si>
  <si>
    <t>Asumsi kondisi peralatan listrik baik, dan tidak ada mati listrik, sehingga tidak ada batal karena listrik</t>
  </si>
  <si>
    <t>IF Kondisi terkini&lt;=Batas (50),"RTU01","Saklar Lampu"</t>
  </si>
  <si>
    <t xml:space="preserve">Cek agen </t>
  </si>
  <si>
    <t>IF Kondisi terkini&lt;Batas (0.5),"RTU01","Batal"</t>
  </si>
  <si>
    <t>IF Kondisi terkini&lt;Batas (25),"Tempat tidur","AC"</t>
  </si>
  <si>
    <t>IF Kondisi terkini (Tempat tidur)=Batas (Kosong),"Tempat tidur","Batal"</t>
  </si>
  <si>
    <t>IF Kondisi terkini&gt;=Batas (150),"Pintu","Saklar Lampu"</t>
  </si>
  <si>
    <t>IF Kondisi terkini&lt;Batas (0.2),"Pintu","Batal"</t>
  </si>
  <si>
    <t>IF Kondisi terkini (Pintu)=Batas (Terbuka),"Bak mandi","Batal"</t>
  </si>
  <si>
    <t>IF Kondisi terkini&gt;=Batas (15),"Kloset","Kran air"</t>
  </si>
  <si>
    <t>IF Kondisi terkini&gt;=Batas (30),"Kloset","Kran air"</t>
  </si>
  <si>
    <r>
      <t>*</t>
    </r>
    <r>
      <rPr>
        <sz val="10"/>
        <color rgb="FFFF0000"/>
        <rFont val="Calibri"/>
        <family val="2"/>
        <scheme val="minor"/>
      </rPr>
      <t>Jika sebelumnya membuka kran</t>
    </r>
  </si>
  <si>
    <t>jika air tidak cukup, maka membuka kran dan menunggu di ruang</t>
  </si>
  <si>
    <r>
      <t>Kran air</t>
    </r>
    <r>
      <rPr>
        <b/>
        <sz val="11"/>
        <color rgb="FFFF0000"/>
        <rFont val="Calibri"/>
        <family val="2"/>
        <scheme val="minor"/>
      </rPr>
      <t xml:space="preserve">* </t>
    </r>
    <r>
      <rPr>
        <sz val="11"/>
        <rFont val="Calibri"/>
        <family val="2"/>
        <scheme val="minor"/>
      </rPr>
      <t>-&gt; Pintu</t>
    </r>
  </si>
  <si>
    <t>IF Kondisi terkini&gt;=Batas (90),"Bak mandi","Kran air"</t>
  </si>
  <si>
    <r>
      <t>jika air tidak cukup, maka membuka kran dan menunggu di ruang atau jika waktu tunggu &gt;= 15 menit, melakukan aktivitas 2</t>
    </r>
    <r>
      <rPr>
        <b/>
        <sz val="10"/>
        <rFont val="Calibri"/>
        <family val="2"/>
        <scheme val="minor"/>
      </rPr>
      <t>**</t>
    </r>
  </si>
  <si>
    <t>Berdandan (prereq: Mandi)</t>
  </si>
  <si>
    <r>
      <t>*</t>
    </r>
    <r>
      <rPr>
        <sz val="10"/>
        <color rgb="FFFF0000"/>
        <rFont val="Calibri"/>
        <family val="2"/>
        <scheme val="minor"/>
      </rPr>
      <t xml:space="preserve">Jika sebelumnya membuka kran </t>
    </r>
    <r>
      <rPr>
        <sz val="10"/>
        <rFont val="Calibri"/>
        <family val="2"/>
        <scheme val="minor"/>
      </rPr>
      <t>**Aktivitas tanpa keluar rumah &amp; bukan aktivitas prereq</t>
    </r>
  </si>
  <si>
    <t>IF Kondisi terkini (Pintu)=Batas (Terbuka),"RTU01","Batal"</t>
  </si>
  <si>
    <t>IF Kondisi terkini (Lemari)=Batas (Terbuka),"Lemari","Batal"</t>
  </si>
  <si>
    <t>IF Kondisi terkini&gt;=Batas (60),"Bak mandi","Kran air"</t>
  </si>
  <si>
    <t>Kondisi: Anak 2 sudah di depan pintu kamar mandi menunggu Ibu/ Ayah datang untuk memandikan</t>
  </si>
  <si>
    <t>IF Kondisi terkini&lt;=Batas (0),"Pintu","Batal"</t>
  </si>
  <si>
    <t>Jika agen ada kebiasaan (peluang) mematikan lampu</t>
  </si>
  <si>
    <t>IF Kondisi terkini (Pintu)=Batas (Terbuka),"RCC01","Batal"</t>
  </si>
  <si>
    <t>IF Kondisi terkini&lt;Batas (0.5),"RCC01","Batal"</t>
  </si>
  <si>
    <t>IF Kondisi terkini&lt;Batas (0.2),"RMK01","Batal"</t>
  </si>
  <si>
    <t>IF Kondisi terkini&gt;=Batas (150),"RCC01","Saklar Lampu"</t>
  </si>
  <si>
    <t>IF Kondisi terkini&gt;=Batas (150),"RDP01","Saklar Lampu"</t>
  </si>
  <si>
    <t>IF Kondisi terkini&lt;Batas (0.2),"RDP01","Batal"</t>
  </si>
  <si>
    <t>IF Kondisi terkini&gt;=Batas (150),"RGD01","Saklar Lampu"</t>
  </si>
  <si>
    <t>IF Kondisi terkini (Pintu)=Batas (Terbuka),"RGD01","Batal"</t>
  </si>
  <si>
    <t>IF Kondisi terkini&lt;Batas (0.5),"RGD01","Batal"</t>
  </si>
  <si>
    <t>IF Kondisi terkini&gt;=Batas (150),"RKD01","Saklar Lampu"</t>
  </si>
  <si>
    <t>IF Kondisi terkini&lt;Batas (0.2),"RKD01","Batal"</t>
  </si>
  <si>
    <t>IF Kondisi terkini&lt;Batas (0.2),"RTU02","Batal"</t>
  </si>
  <si>
    <t>IF Kondisi terkini&lt;Batas (0.5),"RTA01","Batal"</t>
  </si>
  <si>
    <t>IF Kondisi terkini&lt;Batas (0.2),"RKG01","Batal"</t>
  </si>
  <si>
    <t>IF Kondisi terkini&gt;=Batas (150),"RTM01","Saklar Lampu"</t>
  </si>
  <si>
    <t>IF Kondisi terkini&lt;Batas (0.2),"RTM01","Batal"</t>
  </si>
  <si>
    <t>IF Kondisi terkini (Pintu)=Batas (Terbuka),"RTS01","Batal"</t>
  </si>
  <si>
    <t>IF Kondisi terkini&lt;Batas (0.5),"RTS01","Batal"</t>
  </si>
  <si>
    <t>IF Kondisi terkini&lt;Batas (0.2),"RGD01","Batal"</t>
  </si>
  <si>
    <t>IF Kondisi terkini&gt;=Batas (150),"RTU01","Saklar Lampu"</t>
  </si>
  <si>
    <t>IF Kondisi terkini&lt;Batas (0.2),"RTU01","Batal"</t>
  </si>
  <si>
    <t>IF Kondisi terkini (Pintu)=Batas (Terbuka),"RTU02","Batal"</t>
  </si>
  <si>
    <t>IF Kondisi terkini&gt;=Batas (150),"RTU02","Saklar Lampu"</t>
  </si>
  <si>
    <t>IF Kondisi terkini (Pintu)=Batas (Terbuka),"RTA01","Batal"</t>
  </si>
  <si>
    <t>IF Kondisi terkini&gt;=Batas (150),"RTA01","Saklar Lampu"</t>
  </si>
  <si>
    <t>IF Kondisi terkini&lt;Batas (0.2),"RTA01","Batal"</t>
  </si>
  <si>
    <t>IF Kondisi terkini&lt;Batas (0.2),"RTS01","Batal"</t>
  </si>
  <si>
    <t>Obyeknya pompa,cek device pompa, perlu cek sumberdaya listrik atau tidak?</t>
  </si>
  <si>
    <t>Pompa 1 ada di RHD01(f)</t>
  </si>
  <si>
    <t>(f) agen sampai di RHD01</t>
  </si>
  <si>
    <t>IF Kondisi terkini=Batas (Hidup),"Saklar pompa","RHD01")</t>
  </si>
  <si>
    <t>IF Kondisi terkini&gt;=Batas (150),"RHD01","Saklar Lampu"</t>
  </si>
  <si>
    <t>IF Kondisi terkini=Batas (Hidup),"Pompa air 2","Batal"</t>
  </si>
  <si>
    <t>IF Kondisi terkini=Batas (Hidup),"Pompa air 1","Batal"</t>
  </si>
  <si>
    <t>IF Kondisi terkini=Batas (Hidup),"Saklar pompa","Batal")</t>
  </si>
  <si>
    <t>IF Kondisi terkini=Batas (Mati),"Saklar pompa","RHD01")</t>
  </si>
  <si>
    <t>G12 ; L1***</t>
  </si>
  <si>
    <t>L1***</t>
  </si>
  <si>
    <t xml:space="preserve">J3 ; L1*** </t>
  </si>
  <si>
    <t>J3 ; L1***</t>
  </si>
  <si>
    <t>***Mematikan lampu hanya jika di ruang tidak ada agen lain</t>
  </si>
  <si>
    <t>IF Kondisi terkini&lt;Batas (0.5),"Tempat sampah","Batal"</t>
  </si>
  <si>
    <t>IF Kondisi terkini&gt;=Batas (100),"RDP01","Saklar Lampu"</t>
  </si>
  <si>
    <t>IF Kondisi terkini (Pintu)=Batas (Terbuka),"RHD01","Batal"</t>
  </si>
  <si>
    <t>IF Kondisi terkini&lt;=Batas (1),"Kran air","Batal"</t>
  </si>
  <si>
    <t>IF Kondisi terkini=Batas (Ada),"Pot tanaman","Pompa air 1"</t>
  </si>
  <si>
    <t>O9</t>
  </si>
  <si>
    <t>Saklar pompa</t>
  </si>
  <si>
    <t>W1</t>
  </si>
  <si>
    <t>W1= mematikan saklar</t>
  </si>
  <si>
    <t>IF Kondisi terkini=Batas (Mati),"Saklar pompa","Batal")</t>
  </si>
  <si>
    <t>IF Kondisi terkini&lt;=Batas (2),"Kran air","Batal"</t>
  </si>
  <si>
    <t>IF Kondisi terkini&lt;=Batas (2),"Kompor","Batal"</t>
  </si>
  <si>
    <t>IF Kondisi terkini=Batas (Bagus),"Gas","Batal"</t>
  </si>
  <si>
    <t>IF Kondisi terkini=Batas (Ada),"Kompor","Gas cadagan"</t>
  </si>
  <si>
    <t>IF Kondisi terkini=Batas (Ada),"Kompor","Batal"</t>
  </si>
  <si>
    <t>G11</t>
  </si>
  <si>
    <t>IF Kondisi terkini=Batas (Bagus),"Rice cooker 1","Rice cooker 2"</t>
  </si>
  <si>
    <t>IF Kondisi terkini=Batas (Bagus),"Rice cooker 2","Batal"</t>
  </si>
  <si>
    <t>RDP01/ RMK01</t>
  </si>
  <si>
    <t>J3</t>
  </si>
  <si>
    <t>IF Kondisi terkini=Batas (Hidup),"Rice cooker 1/2","Batal"</t>
  </si>
  <si>
    <t>IF Kondisi terkini&lt;=Batas (2),"Blender","Batal"</t>
  </si>
  <si>
    <t>IF Kondisi terkini=Batas (Bagus),"Blender","Batal"</t>
  </si>
  <si>
    <t>IF Kondisi terkini=Batas (Hidup),"Blender","Batal"</t>
  </si>
  <si>
    <t>IF Kondisi terkini&lt;=Batas (2),"RHD01","Batal"</t>
  </si>
  <si>
    <t>IF Kondisi terkini&lt;=Batas (2),"Bak cuci piring","Batal"</t>
  </si>
  <si>
    <t>B3</t>
  </si>
  <si>
    <r>
      <t xml:space="preserve">RMK01 </t>
    </r>
    <r>
      <rPr>
        <i/>
        <sz val="11"/>
        <color rgb="FFFF0000"/>
        <rFont val="Calibri"/>
        <family val="2"/>
        <scheme val="minor"/>
      </rPr>
      <t>(iii)</t>
    </r>
  </si>
  <si>
    <t>IF Kondisi terkini=Batas (Ada),"Kran air","Batal"</t>
  </si>
  <si>
    <t>IF Kondisi terkini (Pompa air)=Batas (Hidup),"Saklar pompa","Batal"</t>
  </si>
  <si>
    <t>berjalan ke ruang makan, menghidupkan pompa, ketika sampai di RMK01: cek prasyarat (iii), ketika pompa hidup, kembali ke RDP01: cek prasyarat (iv)</t>
  </si>
  <si>
    <r>
      <t xml:space="preserve">RDP01 </t>
    </r>
    <r>
      <rPr>
        <i/>
        <sz val="11"/>
        <color rgb="FFFF0000"/>
        <rFont val="Calibri"/>
        <family val="2"/>
        <scheme val="minor"/>
      </rPr>
      <t>(iv)</t>
    </r>
  </si>
  <si>
    <t>W1= mematikan saklar, jika sebelumnya menghidupkan saklar untuk mencuci piring</t>
  </si>
  <si>
    <t>IF Kondisi terkini=Batas (Hidup),"Mesin cuci","Batal"</t>
  </si>
  <si>
    <t>Bisa berbeda untuk tiap agen</t>
  </si>
  <si>
    <t>jika perlu menghidupkan pompa air, cek prasyarat (iii)</t>
  </si>
  <si>
    <t>IF Kondisi terkini (Mesin cuci)=Batas (Mati),"Mesin cuci","Batal"</t>
  </si>
  <si>
    <t>IF Kondisi terkini (Air)=Batas (Ada),"Mesin cuci","Pompa air"</t>
  </si>
  <si>
    <t>IF Kondisi terkini (Air)=Batas (Ada),"Kran air","Pompa air"</t>
  </si>
  <si>
    <r>
      <t>O9 / W1</t>
    </r>
    <r>
      <rPr>
        <b/>
        <sz val="11"/>
        <color rgb="FFFF0000"/>
        <rFont val="Calibri"/>
        <family val="2"/>
        <scheme val="minor"/>
      </rPr>
      <t>*</t>
    </r>
  </si>
  <si>
    <t>jika perlu menghidupkan pompa air, cek prasyarat (iii); *jika sebelumnya menghidupkan pompa</t>
  </si>
  <si>
    <t>IF Kondisi terkini (Pintu)=Batas (Terbuka),"Pintu","Batal"</t>
  </si>
  <si>
    <t>IF Kondisi terkini&lt;=Batas (2),"RCC01","Batal"</t>
  </si>
  <si>
    <t>IF Kondisi terkini&lt;=Batas (1),"Meja setrika","Batal"</t>
  </si>
  <si>
    <t>IF Kondisi terkini (Setrika)=Batas (Bagus),"Meja setrika","Batal"</t>
  </si>
  <si>
    <t>IF Kondisi terkini (Listrik)=Batas (Hidup),"Kursi","Batal"</t>
  </si>
  <si>
    <t>IF Kondisi terkini&lt;=Batas (1),"Karpet","RTA01"</t>
  </si>
  <si>
    <t>IF Kondisi terkini=Batas (Kosong),"Karpet","RTA01"</t>
  </si>
  <si>
    <t>IF Kondisi terkini&lt;=Batas (25),"Karpet","Kipas angin"</t>
  </si>
  <si>
    <t>IF Kondisi terkini=Batas (Bagus),"Kipas angin","RTA01"</t>
  </si>
  <si>
    <t>IF Kondisi terkini=Batas (Hidup),"Karpet","Batal"</t>
  </si>
  <si>
    <t>IF Kondisi terkini&lt;=Batas (1),"Tempat tidur","Batal"</t>
  </si>
  <si>
    <t>IF Kondisi terkini&lt;=Batas (25),"Tempat tidur","AC"</t>
  </si>
  <si>
    <t>IF Kondisi terkini (AC)=Batas (Bagus),"Tempat tidur","Batal"</t>
  </si>
  <si>
    <t>IF Kondisi terkini (AC)=Batas (Hidup),"AC","Batal"</t>
  </si>
  <si>
    <t>IF Kondisi terkini&lt;=Batas (1),"Sofa/ Karpet","Batal"</t>
  </si>
  <si>
    <t>IF Kondisi terkini (Sofa)=Batas (Kosong),"Sofa","Karpet"</t>
  </si>
  <si>
    <t>IF Kondisi terkini (Karpet)=Batas (Kosong),"Sofa","Karpet"</t>
  </si>
  <si>
    <t>IF Kondisi terkini (Karpet)=Batas (Bagus),"Sofa/ Karpet","Batal"</t>
  </si>
  <si>
    <t>IF Kondisi terkini (Listrik)=Batas (Hidup),"Sofa/ Karpet","Batal"</t>
  </si>
  <si>
    <t>IF Kondisi terkini&lt;=Batas (25),"Sofa/ Karpet","Kipas angin"</t>
  </si>
  <si>
    <t>IF Kondisi terkini=Batas (Bagus),"Kipas angin","Batal"</t>
  </si>
  <si>
    <t>IF Kondisi terkini (Sofa)=Batas (Kosong),"Sofa","RTM01"</t>
  </si>
  <si>
    <t>IF Kondisi terkini&lt;=Batas (0.6),"Sofa","RTM01"</t>
  </si>
  <si>
    <t>IF Kondisi terkini&lt;=Batas (25),"Sofa","Kipas angin"</t>
  </si>
  <si>
    <t>IF Kondisi terkini=Batas (Hidup),"Sofa","Batal"</t>
  </si>
  <si>
    <t>IF Kondisi terkini=Batas (Bagus),"Kipas angin","RTM01"</t>
  </si>
  <si>
    <t>IF Kondisi terkini&lt;=Batas (0.4),"Sofa","Batal"</t>
  </si>
  <si>
    <t>IF Kondisi terkini (Sofa)=Batas (Kosong),"Sofa","Batal"</t>
  </si>
  <si>
    <t>IF Kondisi terkini&lt;=Batas (27),"Sofa","Batal"</t>
  </si>
  <si>
    <t>L1*** ; J3</t>
  </si>
  <si>
    <t>IF Kondisi terkini (Sofa)=Batas (Kosong),"Sofa","RTU01"</t>
  </si>
  <si>
    <t>IF Kondisi terkini&lt;=Batas (1),"Sofa","RTU01"</t>
  </si>
  <si>
    <t>F2***</t>
  </si>
  <si>
    <t>F2*** ; L1*** ; G12</t>
  </si>
  <si>
    <t>IF Kondisi terkini&lt;=Batas (0.4),"Tempat tidur","Batal"</t>
  </si>
  <si>
    <t>IF Kondisi terkini&lt;=Batas (24),"Tempat tidur","AC"</t>
  </si>
  <si>
    <t>IF Kondisi terkini=Batas (Bagus),"AC","Batal"</t>
  </si>
  <si>
    <t>IF Kondisi terkini=Batas (Hidup),"Tempat tidur","Batal"</t>
  </si>
  <si>
    <t>IF Kondisi terkini&lt;Batas (2),"Dispenser","Batal"</t>
  </si>
  <si>
    <t>IF Kondisi terkini (Dispenser)=Batas (Kosong),"Kosong","Batal"</t>
  </si>
  <si>
    <t>Pergi memasukan laundry</t>
  </si>
  <si>
    <t>Pergi mengambil laundry</t>
  </si>
  <si>
    <t>Berangkat kerja</t>
  </si>
  <si>
    <t>Berangkat checkup ke RS</t>
  </si>
  <si>
    <t>Pergi jalan ke Mall</t>
  </si>
  <si>
    <t>Agen berada di RTS01, cek lampu teras</t>
  </si>
  <si>
    <t>Kendaraan</t>
  </si>
  <si>
    <t>Bensin</t>
  </si>
  <si>
    <t>IF Kondisi terkini (Bensin)=Batas (Ada),"Kendaraan","Batal"</t>
  </si>
  <si>
    <t>IF Kondisi terkini (Kendaraan)=Batas (Ada),"RGS01","Batal"</t>
  </si>
  <si>
    <t>IF Kondisi terkini&gt;=Batas (150),"RGS01","Saklar Lampu"</t>
  </si>
  <si>
    <t xml:space="preserve">J3 </t>
  </si>
  <si>
    <t>Kendaraan / RGS01</t>
  </si>
  <si>
    <t>RGS01</t>
  </si>
  <si>
    <t>Membeli galon asumsi waktu berjalan 10 menit (agen diam di ruang selama 10 menit di depan/dalam ruang) setelah itu cek prassyarat selanjutnya</t>
  </si>
  <si>
    <t>D2</t>
  </si>
  <si>
    <t>O9 ; J3 ; D2</t>
  </si>
  <si>
    <t>L1*** ; J3 ; D2</t>
  </si>
  <si>
    <t>J3 ; L1*** ; D2</t>
  </si>
  <si>
    <t>J3 ; D2</t>
  </si>
  <si>
    <t>S2 ; J3 ; D2</t>
  </si>
  <si>
    <t>A3*** ; L1*** ; J3 ; D2</t>
  </si>
  <si>
    <t>D4</t>
  </si>
  <si>
    <t>D2 ; D4</t>
  </si>
  <si>
    <t>T4 ; A3*** ; L2 ; J3 ; D2 ; D4</t>
  </si>
  <si>
    <t>Asumsi alat kebersihan selalu tersedia atau dalam agen mengambil alat kebersihan di ruang lain, dan selama aktivitas bersih-bersih, peralatan selalu ada pada agen</t>
  </si>
  <si>
    <t>Bahan makanan</t>
  </si>
  <si>
    <t>RMT01</t>
  </si>
  <si>
    <t>Menghidupkan lampu halaman di sore hari</t>
  </si>
  <si>
    <t>IF Kondisi terkini&lt;Batas (60),"Saklar lampu","Batal"</t>
  </si>
  <si>
    <t>Menghidupkan lampu garasi di sore hari</t>
  </si>
  <si>
    <t>IF Kondisi terkini (Lampu)=Batas (Mati),"Saklar lampu","Batal"</t>
  </si>
  <si>
    <t>IF Kondisi terkini (2)&lt;=Batas,"Saklar lampu",0)</t>
  </si>
  <si>
    <t>Mematikan lampu halaman di pagi hari</t>
  </si>
  <si>
    <t>Mematikan lampu garasi di pagi hari</t>
  </si>
  <si>
    <t>IF Kondisi terkini (Lampu)=Batas (Hidup),"Saklar lampu","Batal"</t>
  </si>
  <si>
    <t>IF Kondisi terkini&lt;=Batas (150),"Saklar lampu","Batal"</t>
  </si>
  <si>
    <t>IF Kondisi terkini (Rice cooker)=Batas (Hidup),"Kabel rice cooker","Batal"</t>
  </si>
  <si>
    <t>IF Kondisi terkini&lt;=Batas (150),"RGS01","Saklar Lampu"</t>
  </si>
  <si>
    <t>Mati, 60</t>
  </si>
  <si>
    <t>PA-I</t>
  </si>
  <si>
    <t>A4</t>
  </si>
  <si>
    <t>PR;A73</t>
  </si>
  <si>
    <t>A7</t>
  </si>
  <si>
    <t>PR;A74</t>
  </si>
  <si>
    <t>A8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</si>
  <si>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</si>
  <si>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</si>
  <si>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</si>
  <si>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</si>
  <si>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</si>
  <si>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</si>
  <si>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</si>
  <si>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</si>
  <si>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</si>
  <si>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</si>
  <si>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</si>
  <si>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</si>
  <si>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PR;A15</t>
  </si>
  <si>
    <t>A22</t>
  </si>
  <si>
    <t>PR;A26</t>
  </si>
  <si>
    <t>A23</t>
  </si>
  <si>
    <t>PR;A27</t>
  </si>
  <si>
    <t>A24</t>
  </si>
  <si>
    <t>PR;A19</t>
  </si>
  <si>
    <t>A25</t>
  </si>
  <si>
    <t>PR;A18</t>
  </si>
  <si>
    <t>A26</t>
  </si>
  <si>
    <t>PR;A14</t>
  </si>
  <si>
    <t>A27</t>
  </si>
  <si>
    <t>PR;A13</t>
  </si>
  <si>
    <t>A28</t>
  </si>
  <si>
    <t>PR;A11</t>
  </si>
  <si>
    <t>A29</t>
  </si>
  <si>
    <t>PR;A12</t>
  </si>
  <si>
    <t>A30</t>
  </si>
  <si>
    <t>PR;A20</t>
  </si>
  <si>
    <t>A31</t>
  </si>
  <si>
    <t>A32</t>
  </si>
  <si>
    <t>PA-O</t>
  </si>
  <si>
    <t>A34</t>
  </si>
  <si>
    <t>UA-O</t>
  </si>
  <si>
    <t>A35</t>
  </si>
  <si>
    <t>A36</t>
  </si>
  <si>
    <t>A39</t>
  </si>
  <si>
    <t>A40</t>
  </si>
  <si>
    <t>A42</t>
  </si>
  <si>
    <t>A43</t>
  </si>
  <si>
    <t>A44</t>
  </si>
  <si>
    <t>PR;A43;A44</t>
  </si>
  <si>
    <t>A45</t>
  </si>
  <si>
    <t>A48</t>
  </si>
  <si>
    <t>UA-I</t>
  </si>
  <si>
    <t>A58</t>
  </si>
  <si>
    <t>PR;A45</t>
  </si>
  <si>
    <t>A59</t>
  </si>
  <si>
    <t>A63</t>
  </si>
  <si>
    <t>A64</t>
  </si>
  <si>
    <t>PR;A1</t>
  </si>
  <si>
    <t>A65</t>
  </si>
  <si>
    <t>A69</t>
  </si>
  <si>
    <t>A70</t>
  </si>
  <si>
    <t>A72</t>
  </si>
  <si>
    <t>A73</t>
  </si>
  <si>
    <t>A74</t>
  </si>
  <si>
    <t>PR;A72</t>
  </si>
  <si>
    <t>A82</t>
  </si>
  <si>
    <t>PR;B7</t>
  </si>
  <si>
    <t>A83</t>
  </si>
  <si>
    <t>A84</t>
  </si>
  <si>
    <t>A85</t>
  </si>
  <si>
    <t>DLA</t>
  </si>
  <si>
    <t>B2</t>
  </si>
  <si>
    <t>B4</t>
  </si>
  <si>
    <t>B5</t>
  </si>
  <si>
    <t>B6</t>
  </si>
  <si>
    <t>B7</t>
  </si>
  <si>
    <t>Mematikan pompa 1</t>
  </si>
  <si>
    <t>Menggunakan blender</t>
  </si>
  <si>
    <t>Mengepel Ruang Tidur Anak 1,2</t>
  </si>
  <si>
    <t>Ibadah di rumah</t>
  </si>
  <si>
    <t>Mencuci baju konvensional</t>
  </si>
  <si>
    <t>Mencuci dengan mesin cuci</t>
  </si>
  <si>
    <t>Menjemur pakaian</t>
  </si>
  <si>
    <t>Mematikan rice cooker 2</t>
  </si>
  <si>
    <t>Memasak makan malam dengan rice cooker 1</t>
  </si>
  <si>
    <t>Mematikan rice cooker 1</t>
  </si>
  <si>
    <t>A37 ; A68</t>
  </si>
  <si>
    <t>Memandikan anak 2 pagi hari ; Memandikan anak 2 sore hari</t>
  </si>
  <si>
    <t>A38 ; A52 ; A78</t>
  </si>
  <si>
    <t>Menyuapi anak2 makan pagi ; Menyuapi anak 2 makan siang ; Menyuapi anak 2 makan malam</t>
  </si>
  <si>
    <t>Menghidupkan Pompa 2</t>
  </si>
  <si>
    <t>Menghidupkan Pompa 1</t>
  </si>
  <si>
    <t>A5 ; A6 ; A60</t>
  </si>
  <si>
    <t>A2 ; A66</t>
  </si>
  <si>
    <t>A1 ; A72</t>
  </si>
  <si>
    <t>Memasak makan pagi dengan rice cooker 2 ; 1</t>
  </si>
  <si>
    <t>Mematikan Pompa 2</t>
  </si>
  <si>
    <t>A3 ; A61</t>
  </si>
  <si>
    <t>PR;A2 ; A60</t>
  </si>
  <si>
    <t>PR;A6 ; A5 ; A66</t>
  </si>
  <si>
    <t>A9 ; A46 ; A67</t>
  </si>
  <si>
    <t>A33 ; A51 ; A76</t>
  </si>
  <si>
    <t>Memasak makan pagi dengan kompor gas ; Memasak makan siang dengan kompor gas; Memasak makan malam dengan kompor gas</t>
  </si>
  <si>
    <t>Mencuci piring dan alat masak pagi ; Mencuci piring dan alat masak siang ; Mencuci piring dan alat masak malam</t>
  </si>
  <si>
    <t>A50 ; A57 ; A81</t>
  </si>
  <si>
    <t>PR;A33 ; A51 ; A76</t>
  </si>
  <si>
    <t>A56 ; A79</t>
  </si>
  <si>
    <t>Menonton TV siang ; Menonton TV malam</t>
  </si>
  <si>
    <t>A47 ; A62</t>
  </si>
  <si>
    <t>Kegiatan sosial di pagi hari ; Kegiatan sosial di sore hari</t>
  </si>
  <si>
    <t>A41 ; A53 ; A77</t>
  </si>
  <si>
    <t>Pergi makan pagi di luar rumah ; Pergi makan siang di luar rumah ; Pergi makan malam di luar rumah</t>
  </si>
  <si>
    <t>Jenis</t>
  </si>
  <si>
    <t>No</t>
  </si>
  <si>
    <t>G12</t>
  </si>
  <si>
    <t>L1</t>
  </si>
  <si>
    <t>F2</t>
  </si>
  <si>
    <t>T4</t>
  </si>
  <si>
    <t>A3</t>
  </si>
  <si>
    <t>L2</t>
  </si>
  <si>
    <t>S2</t>
  </si>
  <si>
    <t>***</t>
  </si>
  <si>
    <t>mematikan hanya jika tidak ada agen di ruang</t>
  </si>
  <si>
    <t>*</t>
  </si>
  <si>
    <t>jika sebelumnya membuka kran</t>
  </si>
  <si>
    <t>**</t>
  </si>
  <si>
    <t>Mematikan saklar pompa</t>
  </si>
  <si>
    <t>Keluar dari ruang</t>
  </si>
  <si>
    <t>Mematikan blender</t>
  </si>
  <si>
    <t>Menutup Pintu</t>
  </si>
  <si>
    <t>Mengunci pintu</t>
  </si>
  <si>
    <t>Mematikan kipas angin</t>
  </si>
  <si>
    <t>Mematikan kompor</t>
  </si>
  <si>
    <t>Meletakan piring kotor di bak cuci piring</t>
  </si>
  <si>
    <t>Mematikan AC</t>
  </si>
  <si>
    <t>pilih aktivitas selanjutnya: hanya aktivitas indoor ; proses bak terisi dan kran terbuka berjalan</t>
  </si>
  <si>
    <t>Mematikan lampu</t>
  </si>
  <si>
    <t>Menghidupkan lampu</t>
  </si>
  <si>
    <t>L2 ; J3</t>
  </si>
  <si>
    <t>Menutup kran air</t>
  </si>
  <si>
    <t>Mematikan setrika</t>
  </si>
  <si>
    <t>Bangun dari tempat tidur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</si>
</sst>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82">
    <xf numFmtId="0" fontId="0" fillId="0" borderId="0" xfId="0"/>
    <xf numFmtId="0" fontId="2" fillId="2" borderId="11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vertical="center" wrapText="1"/>
    </xf>
    <xf numFmtId="0" fontId="2" fillId="0" borderId="24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/>
    </xf>
    <xf numFmtId="0" fontId="5" fillId="6" borderId="19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0" fillId="6" borderId="19" xfId="1" applyFont="1" applyFill="1" applyBorder="1" applyAlignment="1">
      <alignment horizontal="center" vertical="center" wrapText="1"/>
    </xf>
    <xf numFmtId="0" fontId="0" fillId="0" borderId="19" xfId="1" applyFont="1" applyFill="1" applyBorder="1" applyAlignment="1">
      <alignment horizontal="center" vertical="center" wrapText="1"/>
    </xf>
    <xf numFmtId="0" fontId="0" fillId="0" borderId="19" xfId="1" applyFont="1" applyFill="1" applyBorder="1" applyAlignment="1">
      <alignment horizontal="center" vertical="center"/>
    </xf>
    <xf numFmtId="0" fontId="1" fillId="0" borderId="19" xfId="1" applyFont="1" applyFill="1" applyBorder="1" applyAlignment="1">
      <alignment horizontal="center" vertical="center" wrapText="1"/>
    </xf>
    <xf numFmtId="0" fontId="1" fillId="6" borderId="18" xfId="1" applyFont="1" applyFill="1" applyBorder="1" applyAlignment="1">
      <alignment horizontal="center" vertical="center" wrapText="1"/>
    </xf>
    <xf numFmtId="0" fontId="1" fillId="0" borderId="21" xfId="1" applyFont="1" applyFill="1" applyBorder="1" applyAlignment="1">
      <alignment horizontal="center" vertical="center" wrapText="1"/>
    </xf>
    <xf numFmtId="0" fontId="0" fillId="0" borderId="22" xfId="1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 wrapText="1"/>
    </xf>
    <xf numFmtId="0" fontId="0" fillId="0" borderId="18" xfId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0" xfId="0" applyAlignment="1">
      <alignment wrapText="1"/>
    </xf>
    <xf numFmtId="0" fontId="0" fillId="7" borderId="11" xfId="0" applyFill="1" applyBorder="1" applyAlignment="1">
      <alignment horizontal="left" wrapText="1"/>
    </xf>
    <xf numFmtId="0" fontId="0" fillId="0" borderId="32" xfId="0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left" wrapText="1"/>
    </xf>
    <xf numFmtId="0" fontId="2" fillId="0" borderId="28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left"/>
    </xf>
    <xf numFmtId="0" fontId="0" fillId="3" borderId="46" xfId="0" applyFill="1" applyBorder="1" applyAlignment="1">
      <alignment horizontal="left"/>
    </xf>
    <xf numFmtId="0" fontId="0" fillId="7" borderId="32" xfId="0" applyFill="1" applyBorder="1" applyAlignment="1">
      <alignment horizontal="left" wrapText="1"/>
    </xf>
    <xf numFmtId="0" fontId="0" fillId="7" borderId="20" xfId="0" applyFill="1" applyBorder="1" applyAlignment="1">
      <alignment horizontal="left" wrapText="1"/>
    </xf>
    <xf numFmtId="0" fontId="0" fillId="0" borderId="46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7" borderId="8" xfId="0" applyFill="1" applyBorder="1" applyAlignment="1">
      <alignment horizontal="left" wrapText="1"/>
    </xf>
    <xf numFmtId="0" fontId="1" fillId="6" borderId="29" xfId="1" applyFont="1" applyFill="1" applyBorder="1" applyAlignment="1">
      <alignment horizontal="center" vertical="center" wrapText="1"/>
    </xf>
    <xf numFmtId="0" fontId="0" fillId="7" borderId="46" xfId="0" applyFill="1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56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9" fillId="0" borderId="20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54" xfId="0" applyBorder="1" applyAlignment="1">
      <alignment vertical="center" wrapText="1"/>
    </xf>
    <xf numFmtId="0" fontId="0" fillId="0" borderId="51" xfId="0" applyBorder="1" applyAlignment="1">
      <alignment horizontal="left" wrapText="1"/>
    </xf>
    <xf numFmtId="0" fontId="0" fillId="0" borderId="52" xfId="0" applyBorder="1" applyAlignment="1">
      <alignment horizontal="left" wrapText="1"/>
    </xf>
    <xf numFmtId="0" fontId="0" fillId="0" borderId="53" xfId="0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0" borderId="59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63" xfId="0" applyBorder="1" applyAlignment="1">
      <alignment horizontal="left" wrapText="1"/>
    </xf>
    <xf numFmtId="0" fontId="0" fillId="0" borderId="62" xfId="0" applyBorder="1" applyAlignment="1">
      <alignment horizontal="left" wrapText="1"/>
    </xf>
    <xf numFmtId="0" fontId="2" fillId="8" borderId="5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12" fillId="0" borderId="0" xfId="0" applyFont="1" applyAlignment="1">
      <alignment wrapText="1"/>
    </xf>
    <xf numFmtId="0" fontId="0" fillId="7" borderId="19" xfId="0" applyFill="1" applyBorder="1" applyAlignment="1">
      <alignment horizontal="left" wrapText="1"/>
    </xf>
    <xf numFmtId="0" fontId="0" fillId="0" borderId="58" xfId="0" applyBorder="1" applyAlignment="1">
      <alignment horizontal="left" wrapText="1"/>
    </xf>
    <xf numFmtId="0" fontId="0" fillId="0" borderId="63" xfId="0" applyBorder="1" applyAlignment="1">
      <alignment wrapText="1"/>
    </xf>
    <xf numFmtId="0" fontId="0" fillId="0" borderId="6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61" xfId="0" applyBorder="1" applyAlignment="1">
      <alignment wrapText="1"/>
    </xf>
    <xf numFmtId="0" fontId="0" fillId="3" borderId="20" xfId="0" applyFill="1" applyBorder="1" applyAlignment="1">
      <alignment horizontal="left"/>
    </xf>
    <xf numFmtId="0" fontId="2" fillId="0" borderId="20" xfId="1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10" fillId="7" borderId="0" xfId="0" applyFont="1" applyFill="1" applyAlignment="1">
      <alignment wrapText="1"/>
    </xf>
    <xf numFmtId="0" fontId="10" fillId="8" borderId="0" xfId="0" applyFont="1" applyFill="1" applyAlignment="1">
      <alignment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0" borderId="57" xfId="0" applyBorder="1" applyAlignment="1">
      <alignment horizontal="left" wrapText="1"/>
    </xf>
    <xf numFmtId="0" fontId="0" fillId="0" borderId="5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51" xfId="0" applyBorder="1" applyAlignment="1">
      <alignment wrapText="1"/>
    </xf>
    <xf numFmtId="0" fontId="0" fillId="0" borderId="24" xfId="0" applyBorder="1" applyAlignment="1">
      <alignment wrapText="1"/>
    </xf>
    <xf numFmtId="0" fontId="10" fillId="9" borderId="0" xfId="0" applyFont="1" applyFill="1" applyAlignment="1">
      <alignment wrapText="1"/>
    </xf>
    <xf numFmtId="0" fontId="7" fillId="0" borderId="64" xfId="0" applyFont="1" applyBorder="1" applyAlignment="1">
      <alignment wrapText="1"/>
    </xf>
    <xf numFmtId="0" fontId="2" fillId="0" borderId="48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27" xfId="0" applyFont="1" applyFill="1" applyBorder="1" applyAlignment="1">
      <alignment horizontal="left" vertical="center" wrapText="1"/>
    </xf>
    <xf numFmtId="0" fontId="7" fillId="0" borderId="65" xfId="0" applyFont="1" applyBorder="1" applyAlignment="1">
      <alignment horizontal="left" vertical="center" wrapText="1"/>
    </xf>
    <xf numFmtId="0" fontId="7" fillId="0" borderId="3" xfId="0" applyFont="1" applyBorder="1" applyAlignment="1">
      <alignment wrapText="1"/>
    </xf>
    <xf numFmtId="0" fontId="7" fillId="0" borderId="49" xfId="0" applyFont="1" applyBorder="1" applyAlignment="1">
      <alignment wrapText="1"/>
    </xf>
    <xf numFmtId="0" fontId="7" fillId="0" borderId="65" xfId="0" applyFont="1" applyBorder="1" applyAlignment="1">
      <alignment vertical="center" wrapText="1"/>
    </xf>
    <xf numFmtId="0" fontId="7" fillId="0" borderId="49" xfId="0" applyFont="1" applyBorder="1" applyAlignment="1">
      <alignment horizontal="left" vertical="center" wrapText="1"/>
    </xf>
    <xf numFmtId="0" fontId="7" fillId="0" borderId="6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26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7" xfId="0" applyFont="1" applyBorder="1" applyAlignment="1">
      <alignment wrapText="1"/>
    </xf>
    <xf numFmtId="0" fontId="16" fillId="0" borderId="27" xfId="0" applyFont="1" applyBorder="1" applyAlignment="1">
      <alignment wrapText="1"/>
    </xf>
    <xf numFmtId="0" fontId="0" fillId="9" borderId="11" xfId="0" applyFill="1" applyBorder="1" applyAlignment="1">
      <alignment horizontal="left"/>
    </xf>
    <xf numFmtId="0" fontId="0" fillId="9" borderId="8" xfId="0" applyFill="1" applyBorder="1" applyAlignment="1">
      <alignment horizontal="left"/>
    </xf>
    <xf numFmtId="0" fontId="0" fillId="9" borderId="20" xfId="0" applyFill="1" applyBorder="1" applyAlignment="1">
      <alignment horizontal="left"/>
    </xf>
    <xf numFmtId="0" fontId="0" fillId="9" borderId="32" xfId="0" applyFill="1" applyBorder="1" applyAlignment="1">
      <alignment horizontal="left"/>
    </xf>
    <xf numFmtId="0" fontId="7" fillId="0" borderId="63" xfId="0" applyFont="1" applyBorder="1" applyAlignment="1">
      <alignment horizontal="left" vertical="center" wrapText="1"/>
    </xf>
    <xf numFmtId="0" fontId="7" fillId="0" borderId="61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2" fillId="2" borderId="9" xfId="1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9" xfId="1" applyFont="1" applyFill="1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9" fillId="3" borderId="11" xfId="1" applyFont="1" applyFill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17" xfId="0" applyFont="1" applyBorder="1" applyAlignment="1">
      <alignment wrapText="1"/>
    </xf>
    <xf numFmtId="0" fontId="7" fillId="0" borderId="65" xfId="0" applyFont="1" applyBorder="1" applyAlignment="1">
      <alignment wrapText="1"/>
    </xf>
    <xf numFmtId="0" fontId="7" fillId="0" borderId="26" xfId="0" applyFont="1" applyBorder="1" applyAlignment="1">
      <alignment wrapText="1"/>
    </xf>
    <xf numFmtId="0" fontId="7" fillId="0" borderId="60" xfId="0" applyFont="1" applyBorder="1" applyAlignment="1">
      <alignment wrapText="1"/>
    </xf>
    <xf numFmtId="0" fontId="7" fillId="0" borderId="62" xfId="0" applyFont="1" applyBorder="1" applyAlignment="1">
      <alignment horizontal="left" vertical="center" wrapText="1"/>
    </xf>
    <xf numFmtId="0" fontId="7" fillId="0" borderId="66" xfId="0" applyFont="1" applyBorder="1" applyAlignment="1">
      <alignment wrapText="1"/>
    </xf>
    <xf numFmtId="0" fontId="7" fillId="0" borderId="36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7" fillId="0" borderId="63" xfId="0" applyFont="1" applyBorder="1" applyAlignment="1">
      <alignment wrapText="1"/>
    </xf>
    <xf numFmtId="0" fontId="7" fillId="0" borderId="62" xfId="0" applyFont="1" applyBorder="1" applyAlignment="1">
      <alignment wrapText="1"/>
    </xf>
    <xf numFmtId="0" fontId="7" fillId="0" borderId="61" xfId="0" applyFont="1" applyBorder="1" applyAlignment="1">
      <alignment wrapText="1"/>
    </xf>
    <xf numFmtId="0" fontId="2" fillId="6" borderId="67" xfId="1" applyFont="1" applyFill="1" applyBorder="1" applyAlignment="1">
      <alignment horizontal="center" vertical="center" wrapText="1"/>
    </xf>
    <xf numFmtId="0" fontId="2" fillId="6" borderId="29" xfId="1" applyFont="1" applyFill="1" applyBorder="1" applyAlignment="1">
      <alignment horizontal="center" vertical="center" wrapText="1"/>
    </xf>
    <xf numFmtId="0" fontId="1" fillId="6" borderId="29" xfId="1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2" fillId="0" borderId="39" xfId="0" applyFont="1" applyBorder="1" applyAlignment="1">
      <alignment horizontal="center" vertical="center" wrapText="1"/>
    </xf>
    <xf numFmtId="0" fontId="7" fillId="0" borderId="53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52" xfId="0" applyBorder="1" applyAlignment="1">
      <alignment wrapText="1"/>
    </xf>
    <xf numFmtId="0" fontId="0" fillId="0" borderId="44" xfId="1" applyFont="1" applyBorder="1" applyAlignment="1">
      <alignment horizontal="center" vertical="center"/>
    </xf>
    <xf numFmtId="0" fontId="0" fillId="0" borderId="31" xfId="1" applyFont="1" applyBorder="1" applyAlignment="1">
      <alignment horizontal="center" vertical="center" wrapText="1"/>
    </xf>
    <xf numFmtId="0" fontId="7" fillId="0" borderId="52" xfId="0" applyFont="1" applyBorder="1" applyAlignment="1">
      <alignment wrapText="1"/>
    </xf>
    <xf numFmtId="0" fontId="0" fillId="0" borderId="4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4" xfId="1" applyFont="1" applyBorder="1" applyAlignment="1">
      <alignment horizontal="center" vertical="center"/>
    </xf>
    <xf numFmtId="0" fontId="0" fillId="0" borderId="23" xfId="1" applyFont="1" applyBorder="1" applyAlignment="1">
      <alignment horizontal="center" vertical="center"/>
    </xf>
    <xf numFmtId="0" fontId="0" fillId="0" borderId="46" xfId="1" applyFont="1" applyBorder="1" applyAlignment="1">
      <alignment horizontal="center" vertical="center"/>
    </xf>
    <xf numFmtId="0" fontId="0" fillId="0" borderId="20" xfId="1" applyFont="1" applyBorder="1" applyAlignment="1">
      <alignment horizontal="center" vertical="center"/>
    </xf>
    <xf numFmtId="0" fontId="13" fillId="0" borderId="66" xfId="1" applyFont="1" applyBorder="1" applyAlignment="1">
      <alignment horizontal="center" vertical="center" wrapText="1"/>
    </xf>
    <xf numFmtId="0" fontId="13" fillId="0" borderId="25" xfId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6" borderId="34" xfId="1" applyFont="1" applyFill="1" applyBorder="1" applyAlignment="1">
      <alignment horizontal="center" vertical="center"/>
    </xf>
    <xf numFmtId="0" fontId="0" fillId="6" borderId="35" xfId="1" applyFont="1" applyFill="1" applyBorder="1" applyAlignment="1">
      <alignment horizontal="center" vertical="center"/>
    </xf>
    <xf numFmtId="0" fontId="0" fillId="6" borderId="7" xfId="1" applyFont="1" applyFill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8" xfId="1" applyFont="1" applyBorder="1" applyAlignment="1">
      <alignment horizontal="center" vertical="center"/>
    </xf>
    <xf numFmtId="0" fontId="13" fillId="0" borderId="36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0" fillId="0" borderId="43" xfId="1" applyFont="1" applyBorder="1" applyAlignment="1">
      <alignment horizontal="center" vertical="center"/>
    </xf>
    <xf numFmtId="0" fontId="0" fillId="0" borderId="44" xfId="1" applyFont="1" applyBorder="1" applyAlignment="1">
      <alignment horizontal="center" vertical="center"/>
    </xf>
    <xf numFmtId="0" fontId="0" fillId="0" borderId="18" xfId="1" applyFont="1" applyBorder="1" applyAlignment="1">
      <alignment horizontal="center" vertical="center"/>
    </xf>
    <xf numFmtId="0" fontId="0" fillId="0" borderId="45" xfId="1" applyFont="1" applyBorder="1" applyAlignment="1">
      <alignment horizontal="center" vertical="center"/>
    </xf>
    <xf numFmtId="0" fontId="0" fillId="0" borderId="31" xfId="1" applyFont="1" applyBorder="1" applyAlignment="1">
      <alignment horizontal="center" vertical="center"/>
    </xf>
    <xf numFmtId="0" fontId="0" fillId="0" borderId="19" xfId="1" applyFont="1" applyBorder="1" applyAlignment="1">
      <alignment horizontal="center" vertical="center"/>
    </xf>
    <xf numFmtId="0" fontId="0" fillId="0" borderId="35" xfId="1" applyFont="1" applyBorder="1" applyAlignment="1">
      <alignment horizontal="center" vertical="center"/>
    </xf>
    <xf numFmtId="0" fontId="0" fillId="6" borderId="37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0" fillId="6" borderId="23" xfId="1" applyFont="1" applyFill="1" applyBorder="1" applyAlignment="1">
      <alignment horizontal="center" vertical="center"/>
    </xf>
    <xf numFmtId="0" fontId="0" fillId="0" borderId="46" xfId="1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 wrapText="1"/>
    </xf>
    <xf numFmtId="0" fontId="0" fillId="0" borderId="37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0" borderId="32" xfId="1" applyFont="1" applyBorder="1" applyAlignment="1">
      <alignment horizontal="center" vertical="center" wrapText="1"/>
    </xf>
    <xf numFmtId="0" fontId="0" fillId="0" borderId="8" xfId="1" applyFont="1" applyBorder="1" applyAlignment="1">
      <alignment horizontal="center" vertical="center" wrapText="1"/>
    </xf>
    <xf numFmtId="0" fontId="0" fillId="6" borderId="37" xfId="1" applyFont="1" applyFill="1" applyBorder="1" applyAlignment="1">
      <alignment horizontal="center" vertical="center" wrapText="1"/>
    </xf>
    <xf numFmtId="0" fontId="0" fillId="6" borderId="35" xfId="1" applyFont="1" applyFill="1" applyBorder="1" applyAlignment="1">
      <alignment horizontal="center" vertical="center" wrapText="1"/>
    </xf>
    <xf numFmtId="0" fontId="0" fillId="6" borderId="7" xfId="1" applyFont="1" applyFill="1" applyBorder="1" applyAlignment="1">
      <alignment horizontal="center" vertical="center" wrapText="1"/>
    </xf>
    <xf numFmtId="0" fontId="0" fillId="6" borderId="34" xfId="1" applyFont="1" applyFill="1" applyBorder="1" applyAlignment="1">
      <alignment horizontal="center" vertical="center" wrapText="1"/>
    </xf>
    <xf numFmtId="0" fontId="0" fillId="6" borderId="23" xfId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46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14" xfId="1" applyFont="1" applyFill="1" applyBorder="1" applyAlignment="1">
      <alignment horizontal="center" vertical="center" wrapText="1"/>
    </xf>
    <xf numFmtId="0" fontId="2" fillId="4" borderId="15" xfId="1" applyFont="1" applyFill="1" applyBorder="1" applyAlignment="1">
      <alignment horizontal="center" vertical="center" wrapText="1"/>
    </xf>
    <xf numFmtId="0" fontId="2" fillId="4" borderId="16" xfId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 wrapText="1"/>
    </xf>
    <xf numFmtId="0" fontId="2" fillId="0" borderId="18" xfId="1" applyFont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 wrapText="1"/>
    </xf>
    <xf numFmtId="0" fontId="2" fillId="0" borderId="22" xfId="1" applyFont="1" applyFill="1" applyBorder="1" applyAlignment="1">
      <alignment horizontal="center" vertical="center" wrapText="1"/>
    </xf>
    <xf numFmtId="0" fontId="0" fillId="0" borderId="66" xfId="0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" fillId="0" borderId="3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left" vertical="center" wrapText="1"/>
    </xf>
    <xf numFmtId="0" fontId="7" fillId="0" borderId="59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0" xfId="0" applyBorder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center" wrapText="1"/>
    </xf>
    <xf numFmtId="0" fontId="10" fillId="0" borderId="65" xfId="0" applyFont="1" applyBorder="1" applyAlignment="1">
      <alignment vertical="center" wrapText="1"/>
    </xf>
    <xf numFmtId="0" fontId="10" fillId="0" borderId="65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90"/>
  <sheetViews>
    <sheetView topLeftCell="A13" zoomScale="120" zoomScaleNormal="120" workbookViewId="0">
      <pane xSplit="5" ySplit="2" topLeftCell="G43" activePane="bottomRight" state="frozen"/>
      <selection activeCell="A13" sqref="A13"/>
      <selection pane="topRight" activeCell="D13" sqref="D13"/>
      <selection pane="bottomLeft" activeCell="A15" sqref="A15"/>
      <selection pane="bottomRight" activeCell="M47" sqref="M47"/>
    </sheetView>
  </sheetViews>
  <sheetFormatPr defaultRowHeight="15" x14ac:dyDescent="0.25"/>
  <cols>
    <col min="1" max="1" width="2.28515625" customWidth="1"/>
    <col min="2" max="2" width="9" style="128" bestFit="1" customWidth="1"/>
    <col min="3" max="3" width="5.5703125" style="128" bestFit="1" customWidth="1"/>
    <col min="4" max="4" width="30.7109375" style="128" customWidth="1"/>
    <col min="5" max="5" width="12" style="122" bestFit="1" customWidth="1"/>
    <col min="6" max="6" width="15.7109375" style="47" customWidth="1"/>
    <col min="7" max="7" width="10.7109375" style="123" customWidth="1"/>
    <col min="8" max="8" width="10.7109375" style="25" customWidth="1"/>
    <col min="9" max="9" width="10.7109375" customWidth="1"/>
    <col min="10" max="13" width="10.7109375" style="25" customWidth="1"/>
    <col min="14" max="14" width="40.7109375" style="25" customWidth="1"/>
    <col min="15" max="15" width="40.7109375" style="47" customWidth="1"/>
    <col min="16" max="16" width="30.7109375" style="82" customWidth="1"/>
    <col min="17" max="17" width="30.7109375" customWidth="1"/>
    <col min="18" max="19" width="9.140625" customWidth="1"/>
    <col min="20" max="20" width="6.28515625" customWidth="1"/>
    <col min="21" max="21" width="10.140625" customWidth="1"/>
    <col min="22" max="23" width="8.5703125" customWidth="1"/>
    <col min="24" max="24" width="7.5703125" customWidth="1"/>
    <col min="25" max="25" width="5.5703125" customWidth="1"/>
    <col min="26" max="26" width="9.140625" customWidth="1"/>
    <col min="27" max="27" width="6.140625" customWidth="1"/>
    <col min="28" max="28" width="5.5703125" customWidth="1"/>
    <col min="29" max="29" width="9.140625" customWidth="1"/>
    <col min="30" max="30" width="9.7109375" customWidth="1"/>
    <col min="31" max="32" width="7.28515625" customWidth="1"/>
    <col min="33" max="33" width="6.7109375" customWidth="1"/>
  </cols>
  <sheetData>
    <row r="1" spans="2:34" ht="15.75" thickBot="1" x14ac:dyDescent="0.3"/>
    <row r="2" spans="2:34" x14ac:dyDescent="0.25">
      <c r="B2" s="223"/>
      <c r="C2" s="223"/>
      <c r="D2" s="223"/>
      <c r="E2" s="223"/>
      <c r="F2" s="223"/>
      <c r="G2" s="223"/>
      <c r="H2" s="223"/>
      <c r="I2" s="223"/>
      <c r="J2" s="223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226" t="s">
        <v>326</v>
      </c>
      <c r="V2" s="227"/>
      <c r="W2" s="227"/>
      <c r="X2" s="227"/>
      <c r="Y2" s="227"/>
      <c r="Z2" s="227"/>
      <c r="AA2" s="227"/>
      <c r="AB2" s="227"/>
      <c r="AC2" s="227"/>
      <c r="AD2" s="227"/>
      <c r="AE2" s="228" t="s">
        <v>0</v>
      </c>
      <c r="AF2" s="229"/>
      <c r="AG2" s="230"/>
      <c r="AH2" s="234" t="s">
        <v>1</v>
      </c>
    </row>
    <row r="3" spans="2:34" x14ac:dyDescent="0.25">
      <c r="B3" s="146"/>
      <c r="C3" s="146"/>
      <c r="D3" s="146"/>
      <c r="E3" s="237" t="s">
        <v>3</v>
      </c>
      <c r="F3" s="116" t="s">
        <v>4</v>
      </c>
      <c r="G3" s="239" t="s">
        <v>5</v>
      </c>
      <c r="H3" s="240"/>
      <c r="I3" s="1"/>
      <c r="J3" s="237" t="s">
        <v>6</v>
      </c>
      <c r="K3" s="243" t="s">
        <v>2</v>
      </c>
      <c r="L3" s="249" t="s">
        <v>4</v>
      </c>
      <c r="M3" s="250"/>
      <c r="N3" s="250"/>
      <c r="O3" s="251"/>
      <c r="P3" s="132"/>
      <c r="Q3" s="249" t="s">
        <v>5</v>
      </c>
      <c r="R3" s="251"/>
      <c r="S3" s="2"/>
      <c r="T3" s="252" t="s">
        <v>6</v>
      </c>
      <c r="U3" s="241" t="s">
        <v>7</v>
      </c>
      <c r="V3" s="243" t="s">
        <v>2</v>
      </c>
      <c r="W3" s="237" t="s">
        <v>3</v>
      </c>
      <c r="X3" s="245" t="s">
        <v>4</v>
      </c>
      <c r="Y3" s="246"/>
      <c r="Z3" s="3"/>
      <c r="AA3" s="245" t="s">
        <v>5</v>
      </c>
      <c r="AB3" s="246"/>
      <c r="AC3" s="3"/>
      <c r="AD3" s="247" t="s">
        <v>6</v>
      </c>
      <c r="AE3" s="231"/>
      <c r="AF3" s="232"/>
      <c r="AG3" s="233"/>
      <c r="AH3" s="235"/>
    </row>
    <row r="4" spans="2:34" ht="45.75" thickBot="1" x14ac:dyDescent="0.3">
      <c r="B4" s="147"/>
      <c r="C4" s="147"/>
      <c r="D4" s="147"/>
      <c r="E4" s="238"/>
      <c r="F4" s="4" t="s">
        <v>8</v>
      </c>
      <c r="G4" s="74" t="s">
        <v>8</v>
      </c>
      <c r="H4" s="4" t="s">
        <v>9</v>
      </c>
      <c r="I4" s="4" t="s">
        <v>11</v>
      </c>
      <c r="J4" s="238"/>
      <c r="K4" s="244"/>
      <c r="L4" s="4" t="s">
        <v>8</v>
      </c>
      <c r="M4" s="4"/>
      <c r="N4" s="4"/>
      <c r="O4" s="4" t="s">
        <v>9</v>
      </c>
      <c r="P4" s="50" t="s">
        <v>10</v>
      </c>
      <c r="Q4" s="4" t="s">
        <v>8</v>
      </c>
      <c r="R4" s="4" t="s">
        <v>9</v>
      </c>
      <c r="S4" s="4" t="s">
        <v>11</v>
      </c>
      <c r="T4" s="253"/>
      <c r="U4" s="242"/>
      <c r="V4" s="244"/>
      <c r="W4" s="238"/>
      <c r="X4" s="4" t="s">
        <v>8</v>
      </c>
      <c r="Y4" s="4" t="s">
        <v>9</v>
      </c>
      <c r="Z4" s="4" t="s">
        <v>10</v>
      </c>
      <c r="AA4" s="4" t="s">
        <v>8</v>
      </c>
      <c r="AB4" s="4" t="s">
        <v>9</v>
      </c>
      <c r="AC4" s="4" t="s">
        <v>11</v>
      </c>
      <c r="AD4" s="248"/>
      <c r="AE4" s="5" t="s">
        <v>2</v>
      </c>
      <c r="AF4" s="6" t="s">
        <v>12</v>
      </c>
      <c r="AG4" s="7" t="s">
        <v>8</v>
      </c>
      <c r="AH4" s="236"/>
    </row>
    <row r="5" spans="2:34" ht="15.75" thickBot="1" x14ac:dyDescent="0.3">
      <c r="B5" s="148"/>
      <c r="C5" s="148"/>
      <c r="D5" s="148"/>
      <c r="E5" s="14">
        <v>150</v>
      </c>
      <c r="F5" s="8" t="e">
        <f>IF(E5&lt;=#REF!,"Tidak","Ya")</f>
        <v>#REF!</v>
      </c>
      <c r="G5" s="124" t="e">
        <f>IF(#REF!="Ya","L2",0)</f>
        <v>#REF!</v>
      </c>
      <c r="H5" s="14" t="e">
        <f t="shared" ref="H5:I5" si="0">IF(G5="Ya","L2",0)</f>
        <v>#REF!</v>
      </c>
      <c r="I5" s="8" t="e">
        <f t="shared" si="0"/>
        <v>#REF!</v>
      </c>
      <c r="J5" s="14" t="e">
        <f>IF(F5="Ya","LA10",0)</f>
        <v>#REF!</v>
      </c>
      <c r="K5" s="9">
        <v>60</v>
      </c>
      <c r="L5" s="14" t="e">
        <f>IF(K5&lt;=#REF!,"Ya","Tidak")</f>
        <v>#REF!</v>
      </c>
      <c r="M5" s="14"/>
      <c r="N5" s="14"/>
      <c r="O5" s="8" t="e">
        <f>IF(L5="Ya","O1",0)</f>
        <v>#REF!</v>
      </c>
      <c r="P5" s="133" t="e">
        <f t="shared" ref="P5:S5" si="1">IF(O5="Ya","L2",0)</f>
        <v>#REF!</v>
      </c>
      <c r="Q5" s="8" t="e">
        <f t="shared" si="1"/>
        <v>#REF!</v>
      </c>
      <c r="R5" s="8" t="e">
        <f t="shared" si="1"/>
        <v>#REF!</v>
      </c>
      <c r="S5" s="8" t="e">
        <f t="shared" si="1"/>
        <v>#REF!</v>
      </c>
      <c r="T5" s="8" t="e">
        <f>IF(L5="Ya","WT03",0)</f>
        <v>#REF!</v>
      </c>
      <c r="U5" s="10" t="s">
        <v>13</v>
      </c>
      <c r="V5" s="11" t="s">
        <v>14</v>
      </c>
      <c r="W5" s="12" t="s">
        <v>14</v>
      </c>
      <c r="X5" s="13" t="str">
        <f>IF(V5=W5,"Tidak","Ya")</f>
        <v>Tidak</v>
      </c>
      <c r="Y5" s="12" t="str">
        <f>IF(X5="Ya","G2","0")</f>
        <v>0</v>
      </c>
      <c r="Z5" s="14">
        <v>1</v>
      </c>
      <c r="AA5" s="14">
        <v>0</v>
      </c>
      <c r="AB5" s="14" t="s">
        <v>319</v>
      </c>
      <c r="AC5" s="14">
        <v>1</v>
      </c>
      <c r="AD5" s="8" t="str">
        <f>IF(X5="Ya","PT08","0")</f>
        <v>0</v>
      </c>
      <c r="AE5" s="15">
        <v>0</v>
      </c>
      <c r="AF5" s="16">
        <v>0.2</v>
      </c>
      <c r="AG5" s="17" t="str">
        <f>IF(AF5&lt;=AE5,"Tidak","Ya")</f>
        <v>Ya</v>
      </c>
      <c r="AH5" s="18" t="e">
        <f>IF(F5="Tidak",IF(L5="Tidak",IF(X5="Ya",IF(AG5="Ya","Jalan","Tidak Jalan"),"Tidak Jalan"),"Tidak Jalan"),"Tidak Jalan")</f>
        <v>#REF!</v>
      </c>
    </row>
    <row r="7" spans="2:34" ht="15.75" thickBot="1" x14ac:dyDescent="0.3"/>
    <row r="8" spans="2:34" x14ac:dyDescent="0.25">
      <c r="B8" s="223"/>
      <c r="C8" s="223"/>
      <c r="D8" s="223"/>
      <c r="E8" s="223"/>
      <c r="F8" s="223"/>
      <c r="G8" s="223"/>
      <c r="H8" s="223"/>
      <c r="I8" s="223"/>
      <c r="J8" s="223"/>
      <c r="K8" s="224"/>
      <c r="L8" s="224"/>
      <c r="M8" s="224"/>
      <c r="N8" s="224"/>
      <c r="O8" s="224"/>
      <c r="P8" s="224"/>
      <c r="Q8" s="224"/>
      <c r="R8" s="224"/>
      <c r="S8" s="224"/>
      <c r="T8" s="225"/>
      <c r="U8" s="226" t="s">
        <v>326</v>
      </c>
      <c r="V8" s="227"/>
      <c r="W8" s="227"/>
      <c r="X8" s="227"/>
      <c r="Y8" s="227"/>
      <c r="Z8" s="227"/>
      <c r="AA8" s="227"/>
      <c r="AB8" s="227"/>
      <c r="AC8" s="227"/>
      <c r="AD8" s="227"/>
      <c r="AE8" s="228" t="s">
        <v>0</v>
      </c>
      <c r="AF8" s="229"/>
      <c r="AG8" s="230"/>
      <c r="AH8" s="234" t="s">
        <v>1</v>
      </c>
    </row>
    <row r="9" spans="2:34" x14ac:dyDescent="0.25">
      <c r="B9" s="146"/>
      <c r="C9" s="146"/>
      <c r="D9" s="146"/>
      <c r="E9" s="237" t="s">
        <v>3</v>
      </c>
      <c r="F9" s="116" t="s">
        <v>4</v>
      </c>
      <c r="G9" s="239" t="s">
        <v>5</v>
      </c>
      <c r="H9" s="240"/>
      <c r="I9" s="1"/>
      <c r="J9" s="237" t="s">
        <v>6</v>
      </c>
      <c r="K9" s="243" t="s">
        <v>2</v>
      </c>
      <c r="L9" s="249" t="s">
        <v>4</v>
      </c>
      <c r="M9" s="250"/>
      <c r="N9" s="250"/>
      <c r="O9" s="251"/>
      <c r="P9" s="132"/>
      <c r="Q9" s="249" t="s">
        <v>5</v>
      </c>
      <c r="R9" s="251"/>
      <c r="S9" s="2"/>
      <c r="T9" s="252" t="s">
        <v>6</v>
      </c>
      <c r="U9" s="241" t="s">
        <v>7</v>
      </c>
      <c r="V9" s="243" t="s">
        <v>2</v>
      </c>
      <c r="W9" s="237" t="s">
        <v>3</v>
      </c>
      <c r="X9" s="245" t="s">
        <v>4</v>
      </c>
      <c r="Y9" s="246"/>
      <c r="Z9" s="3"/>
      <c r="AA9" s="245" t="s">
        <v>5</v>
      </c>
      <c r="AB9" s="246"/>
      <c r="AC9" s="3"/>
      <c r="AD9" s="247" t="s">
        <v>6</v>
      </c>
      <c r="AE9" s="231"/>
      <c r="AF9" s="232"/>
      <c r="AG9" s="233"/>
      <c r="AH9" s="235"/>
    </row>
    <row r="10" spans="2:34" ht="45.75" thickBot="1" x14ac:dyDescent="0.3">
      <c r="B10" s="147"/>
      <c r="C10" s="147"/>
      <c r="D10" s="147"/>
      <c r="E10" s="238"/>
      <c r="F10" s="4" t="s">
        <v>8</v>
      </c>
      <c r="G10" s="74" t="s">
        <v>8</v>
      </c>
      <c r="H10" s="4" t="s">
        <v>9</v>
      </c>
      <c r="I10" s="4" t="s">
        <v>11</v>
      </c>
      <c r="J10" s="238"/>
      <c r="K10" s="244"/>
      <c r="L10" s="4" t="s">
        <v>8</v>
      </c>
      <c r="M10" s="4"/>
      <c r="N10" s="4"/>
      <c r="O10" s="4" t="s">
        <v>9</v>
      </c>
      <c r="P10" s="50" t="s">
        <v>10</v>
      </c>
      <c r="Q10" s="4" t="s">
        <v>8</v>
      </c>
      <c r="R10" s="4" t="s">
        <v>9</v>
      </c>
      <c r="S10" s="4" t="s">
        <v>11</v>
      </c>
      <c r="T10" s="253"/>
      <c r="U10" s="242"/>
      <c r="V10" s="244"/>
      <c r="W10" s="238"/>
      <c r="X10" s="4" t="s">
        <v>8</v>
      </c>
      <c r="Y10" s="4" t="s">
        <v>9</v>
      </c>
      <c r="Z10" s="4" t="s">
        <v>10</v>
      </c>
      <c r="AA10" s="4" t="s">
        <v>8</v>
      </c>
      <c r="AB10" s="4" t="s">
        <v>9</v>
      </c>
      <c r="AC10" s="4" t="s">
        <v>11</v>
      </c>
      <c r="AD10" s="248"/>
      <c r="AE10" s="5" t="s">
        <v>2</v>
      </c>
      <c r="AF10" s="6" t="s">
        <v>12</v>
      </c>
      <c r="AG10" s="7" t="s">
        <v>8</v>
      </c>
      <c r="AH10" s="236"/>
    </row>
    <row r="11" spans="2:34" ht="30.75" thickBot="1" x14ac:dyDescent="0.3">
      <c r="B11" s="148"/>
      <c r="C11" s="148"/>
      <c r="D11" s="148"/>
      <c r="E11" s="14">
        <v>150</v>
      </c>
      <c r="F11" s="8" t="e">
        <f>IF(E11&lt;=#REF!,"Tidak","Ya")</f>
        <v>#REF!</v>
      </c>
      <c r="G11" s="124" t="e">
        <f>IF(#REF!="Ya","L2",0)</f>
        <v>#REF!</v>
      </c>
      <c r="H11" s="14" t="e">
        <f t="shared" ref="H11" si="2">IF(G11="Ya","L2",0)</f>
        <v>#REF!</v>
      </c>
      <c r="I11" s="8">
        <f>IF(G21="Ya","L2",0)</f>
        <v>0</v>
      </c>
      <c r="J11" s="14">
        <f>IF(E41="Ya","LA11",0)</f>
        <v>0</v>
      </c>
      <c r="K11" s="42">
        <v>0</v>
      </c>
      <c r="L11" s="14" t="e">
        <f>IF(K11&lt;=#REF!,"Ya","Tidak")</f>
        <v>#REF!</v>
      </c>
      <c r="M11" s="14"/>
      <c r="N11" s="14"/>
      <c r="O11" s="8" t="e">
        <f>IF(L11="Ya","KK1",0)</f>
        <v>#REF!</v>
      </c>
      <c r="P11" s="133" t="e">
        <f t="shared" ref="P11:S11" si="3">IF(O11="Ya","L2",0)</f>
        <v>#REF!</v>
      </c>
      <c r="Q11" s="8" t="e">
        <f t="shared" si="3"/>
        <v>#REF!</v>
      </c>
      <c r="R11" s="8" t="e">
        <f t="shared" si="3"/>
        <v>#REF!</v>
      </c>
      <c r="S11" s="8" t="e">
        <f t="shared" si="3"/>
        <v>#REF!</v>
      </c>
      <c r="T11" s="8" t="e">
        <f>IF(L11="Ya","RE02",0)</f>
        <v>#REF!</v>
      </c>
      <c r="U11" s="19" t="s">
        <v>15</v>
      </c>
      <c r="V11" s="11" t="s">
        <v>16</v>
      </c>
      <c r="W11" s="12" t="s">
        <v>17</v>
      </c>
      <c r="X11" s="13" t="str">
        <f>IF(V11=W11,"Pindah","Ya")</f>
        <v>Ya</v>
      </c>
      <c r="Y11" s="12" t="str">
        <f>IF(X11="Ya","KU1","KU3")</f>
        <v>KU1</v>
      </c>
      <c r="Z11" s="14">
        <v>1</v>
      </c>
      <c r="AA11" s="13" t="str">
        <f>IF(X11="Ya","Tidak","Ya")</f>
        <v>Tidak</v>
      </c>
      <c r="AB11" s="12" t="str">
        <f>IF(AA11="Tidak","0","KU1")</f>
        <v>0</v>
      </c>
      <c r="AC11" s="14">
        <v>1</v>
      </c>
      <c r="AD11" s="8" t="str">
        <f>IF(AA11="Tidak","KU01","KU02")</f>
        <v>KU01</v>
      </c>
      <c r="AE11" s="15">
        <v>0.2</v>
      </c>
      <c r="AF11" s="16">
        <v>0.6</v>
      </c>
      <c r="AG11" s="17" t="str">
        <f>IF(AE41&lt;=AE11,"Tidak","Ya")</f>
        <v>Tidak</v>
      </c>
      <c r="AH11" s="18" t="str">
        <f>IF(E41="Tidak",IF(L11="Tidak",IF(AD11="Ya",IF(AG11="Ya","Jalan","Tidak Jalan"),"Tidak Jalan"),"Tidak Jalan"),"Tidak Jalan")</f>
        <v>Tidak Jalan</v>
      </c>
    </row>
    <row r="12" spans="2:34" x14ac:dyDescent="0.25">
      <c r="AD12" t="s">
        <v>18</v>
      </c>
    </row>
    <row r="13" spans="2:34" s="77" customFormat="1" ht="64.5" thickBot="1" x14ac:dyDescent="0.25">
      <c r="B13" s="129"/>
      <c r="C13" s="129"/>
      <c r="D13" s="129"/>
      <c r="E13" s="81"/>
      <c r="F13" s="81"/>
      <c r="G13" s="78"/>
      <c r="I13" s="88" t="s">
        <v>257</v>
      </c>
      <c r="J13" s="79" t="s">
        <v>103</v>
      </c>
      <c r="N13" s="80" t="s">
        <v>152</v>
      </c>
      <c r="O13" s="81"/>
      <c r="P13" s="82"/>
    </row>
    <row r="14" spans="2:34" ht="45.75" thickBot="1" x14ac:dyDescent="0.3">
      <c r="B14" s="31" t="s">
        <v>457</v>
      </c>
      <c r="C14" s="33" t="s">
        <v>9</v>
      </c>
      <c r="D14" s="150" t="s">
        <v>19</v>
      </c>
      <c r="E14" s="32" t="s">
        <v>20</v>
      </c>
      <c r="F14" s="33" t="s">
        <v>21</v>
      </c>
      <c r="G14" s="33" t="s">
        <v>6</v>
      </c>
      <c r="H14" s="33" t="s">
        <v>3</v>
      </c>
      <c r="I14" s="34" t="s">
        <v>2</v>
      </c>
      <c r="J14" s="33" t="s">
        <v>34</v>
      </c>
      <c r="K14" s="33" t="s">
        <v>35</v>
      </c>
      <c r="L14" s="48" t="s">
        <v>39</v>
      </c>
      <c r="M14" s="64" t="s">
        <v>5</v>
      </c>
      <c r="N14" s="90" t="s">
        <v>151</v>
      </c>
      <c r="O14" s="90" t="s">
        <v>22</v>
      </c>
      <c r="P14"/>
    </row>
    <row r="15" spans="2:34" ht="38.25" x14ac:dyDescent="0.25">
      <c r="B15" s="205" t="s">
        <v>415</v>
      </c>
      <c r="C15" s="202" t="s">
        <v>416</v>
      </c>
      <c r="D15" s="254" t="s">
        <v>40</v>
      </c>
      <c r="E15" s="221" t="s">
        <v>23</v>
      </c>
      <c r="F15" s="125" t="s">
        <v>147</v>
      </c>
      <c r="G15" s="39" t="s">
        <v>33</v>
      </c>
      <c r="H15" s="36">
        <v>150</v>
      </c>
      <c r="I15" s="43">
        <v>100</v>
      </c>
      <c r="J15" s="39">
        <f>IF(I15&gt;=H15,"RMK01",0)</f>
        <v>0</v>
      </c>
      <c r="K15" s="39" t="str">
        <f>IF(I15&lt;H15,"Saklar Lampu",0)</f>
        <v>Saklar Lampu</v>
      </c>
      <c r="L15" s="83"/>
      <c r="M15" s="68"/>
      <c r="N15" s="271" t="s">
        <v>123</v>
      </c>
      <c r="O15" s="91" t="s">
        <v>158</v>
      </c>
      <c r="P15"/>
    </row>
    <row r="16" spans="2:34" ht="45" x14ac:dyDescent="0.25">
      <c r="B16" s="206"/>
      <c r="C16" s="203"/>
      <c r="D16" s="255"/>
      <c r="E16" s="210"/>
      <c r="F16" s="114" t="s">
        <v>99</v>
      </c>
      <c r="G16" s="22" t="s">
        <v>139</v>
      </c>
      <c r="H16" s="21">
        <v>1</v>
      </c>
      <c r="I16" s="26">
        <v>1</v>
      </c>
      <c r="J16" s="24">
        <f>IF(I16&lt;H16,"Meja makan",0)</f>
        <v>0</v>
      </c>
      <c r="K16" s="24" t="str">
        <f>IF(I16&gt;=H16,"Batal",0)</f>
        <v>Batal</v>
      </c>
      <c r="L16" s="51"/>
      <c r="M16" s="57"/>
      <c r="N16" s="272" t="s">
        <v>124</v>
      </c>
      <c r="O16" s="95" t="s">
        <v>134</v>
      </c>
      <c r="P16"/>
    </row>
    <row r="17" spans="2:16" ht="30" x14ac:dyDescent="0.25">
      <c r="B17" s="206"/>
      <c r="C17" s="203"/>
      <c r="D17" s="255"/>
      <c r="E17" s="210"/>
      <c r="F17" s="216" t="s">
        <v>32</v>
      </c>
      <c r="G17" s="22" t="s">
        <v>100</v>
      </c>
      <c r="H17" s="22" t="s">
        <v>25</v>
      </c>
      <c r="I17" s="26" t="s">
        <v>26</v>
      </c>
      <c r="J17" s="22">
        <f>IF(I17=H17,"Meja makan",0)</f>
        <v>0</v>
      </c>
      <c r="K17" s="22" t="str">
        <f>IF(I17=H17,0,"Rice cooker 2")</f>
        <v>Rice cooker 2</v>
      </c>
      <c r="L17" s="51"/>
      <c r="M17" s="55"/>
      <c r="N17" s="273" t="s">
        <v>125</v>
      </c>
      <c r="O17" s="134"/>
      <c r="P17" s="257"/>
    </row>
    <row r="18" spans="2:16" ht="30" x14ac:dyDescent="0.25">
      <c r="B18" s="206"/>
      <c r="C18" s="203"/>
      <c r="D18" s="255"/>
      <c r="E18" s="210"/>
      <c r="F18" s="217"/>
      <c r="G18" s="22" t="s">
        <v>100</v>
      </c>
      <c r="H18" s="22" t="s">
        <v>25</v>
      </c>
      <c r="I18" s="26" t="s">
        <v>106</v>
      </c>
      <c r="J18" s="22" t="str">
        <f t="shared" ref="J18" si="4">IF(I18=H18,"Meja makan",0)</f>
        <v>Meja makan</v>
      </c>
      <c r="K18" s="22">
        <f>IF(I18=H18,0,"RDP01")</f>
        <v>0</v>
      </c>
      <c r="L18" s="51"/>
      <c r="M18" s="55"/>
      <c r="N18" s="274" t="s">
        <v>141</v>
      </c>
      <c r="O18" s="134"/>
      <c r="P18" s="257"/>
    </row>
    <row r="19" spans="2:16" ht="25.5" x14ac:dyDescent="0.25">
      <c r="B19" s="206"/>
      <c r="C19" s="203"/>
      <c r="D19" s="255"/>
      <c r="E19" s="210"/>
      <c r="F19" s="114" t="s">
        <v>148</v>
      </c>
      <c r="G19" s="22" t="s">
        <v>15</v>
      </c>
      <c r="H19" s="20" t="s">
        <v>16</v>
      </c>
      <c r="I19" s="26" t="s">
        <v>17</v>
      </c>
      <c r="J19" s="22">
        <f t="shared" ref="J19" si="5">IF(I19=H19,"Kursi",0)</f>
        <v>0</v>
      </c>
      <c r="K19" s="22" t="str">
        <f>IF(I19=H19,0,"RKG01")</f>
        <v>RKG01</v>
      </c>
      <c r="L19" s="51"/>
      <c r="M19" s="55"/>
      <c r="N19" s="274" t="s">
        <v>126</v>
      </c>
      <c r="O19" s="92" t="s">
        <v>128</v>
      </c>
      <c r="P19"/>
    </row>
    <row r="20" spans="2:16" ht="30.75" thickBot="1" x14ac:dyDescent="0.3">
      <c r="B20" s="206"/>
      <c r="C20" s="203"/>
      <c r="D20" s="255"/>
      <c r="E20" s="210"/>
      <c r="F20" s="114" t="s">
        <v>119</v>
      </c>
      <c r="G20" s="23" t="s">
        <v>117</v>
      </c>
      <c r="H20" s="40">
        <v>27</v>
      </c>
      <c r="I20" s="41">
        <v>28</v>
      </c>
      <c r="J20" s="23">
        <f>IF(I20&lt;H20,"Kursi",0)</f>
        <v>0</v>
      </c>
      <c r="K20" s="44" t="str">
        <f>IF(I20&gt;H20,"RKG01",0)</f>
        <v>RKG01</v>
      </c>
      <c r="L20" s="52" t="s">
        <v>41</v>
      </c>
      <c r="M20" s="58" t="s">
        <v>218</v>
      </c>
      <c r="N20" s="274" t="s">
        <v>127</v>
      </c>
      <c r="O20" s="92" t="s">
        <v>150</v>
      </c>
      <c r="P20"/>
    </row>
    <row r="21" spans="2:16" ht="30" x14ac:dyDescent="0.25">
      <c r="B21" s="206"/>
      <c r="C21" s="203"/>
      <c r="D21" s="255"/>
      <c r="E21" s="221" t="s">
        <v>27</v>
      </c>
      <c r="F21" s="125" t="s">
        <v>24</v>
      </c>
      <c r="G21" s="39" t="s">
        <v>33</v>
      </c>
      <c r="H21" s="36">
        <v>150</v>
      </c>
      <c r="I21" s="43">
        <v>100</v>
      </c>
      <c r="J21" s="39">
        <f>IF(I21&gt;=H21,"RDP01",0)</f>
        <v>0</v>
      </c>
      <c r="K21" s="39" t="str">
        <f>IF(I21&lt;H21,"Saklar Lampu",0)</f>
        <v>Saklar Lampu</v>
      </c>
      <c r="L21" s="83"/>
      <c r="M21" s="68"/>
      <c r="N21" s="271" t="s">
        <v>123</v>
      </c>
      <c r="O21" s="93"/>
      <c r="P21"/>
    </row>
    <row r="22" spans="2:16" ht="45" x14ac:dyDescent="0.25">
      <c r="B22" s="206"/>
      <c r="C22" s="203"/>
      <c r="D22" s="255"/>
      <c r="E22" s="210"/>
      <c r="F22" s="114" t="s">
        <v>99</v>
      </c>
      <c r="G22" s="22" t="s">
        <v>139</v>
      </c>
      <c r="H22" s="21">
        <v>1</v>
      </c>
      <c r="I22" s="26">
        <v>1</v>
      </c>
      <c r="J22" s="24">
        <f>IF(I22&lt;H22,"Rice cooker 1",0)</f>
        <v>0</v>
      </c>
      <c r="K22" s="24" t="str">
        <f>IF(I22&gt;=H22,"Batal",0)</f>
        <v>Batal</v>
      </c>
      <c r="L22" s="51"/>
      <c r="M22" s="57"/>
      <c r="N22" s="272" t="s">
        <v>142</v>
      </c>
      <c r="O22" s="95" t="s">
        <v>134</v>
      </c>
      <c r="P22"/>
    </row>
    <row r="23" spans="2:16" ht="30.75" thickBot="1" x14ac:dyDescent="0.3">
      <c r="B23" s="206"/>
      <c r="C23" s="203"/>
      <c r="D23" s="255"/>
      <c r="E23" s="211"/>
      <c r="F23" s="75" t="s">
        <v>32</v>
      </c>
      <c r="G23" s="30" t="s">
        <v>100</v>
      </c>
      <c r="H23" s="30" t="s">
        <v>25</v>
      </c>
      <c r="I23" s="38" t="s">
        <v>26</v>
      </c>
      <c r="J23" s="30">
        <f>IF(I23=H23,"RMK01",0)</f>
        <v>0</v>
      </c>
      <c r="K23" s="30" t="str">
        <f>IF(I23=H23,0,"Batal")</f>
        <v>Batal</v>
      </c>
      <c r="L23" s="52"/>
      <c r="M23" s="59"/>
      <c r="N23" s="275" t="s">
        <v>146</v>
      </c>
      <c r="O23" s="94" t="s">
        <v>149</v>
      </c>
      <c r="P23"/>
    </row>
    <row r="24" spans="2:16" ht="30" x14ac:dyDescent="0.25">
      <c r="B24" s="206"/>
      <c r="C24" s="203"/>
      <c r="D24" s="255"/>
      <c r="E24" s="221" t="s">
        <v>36</v>
      </c>
      <c r="F24" s="125" t="s">
        <v>24</v>
      </c>
      <c r="G24" s="39" t="s">
        <v>33</v>
      </c>
      <c r="H24" s="36">
        <v>150</v>
      </c>
      <c r="I24" s="43">
        <v>100</v>
      </c>
      <c r="J24" s="39">
        <f>IF(I24&gt;=H24,"RKG01",0)</f>
        <v>0</v>
      </c>
      <c r="K24" s="39" t="str">
        <f>IF(I24&lt;H24,"Saklar Lampu",0)</f>
        <v>Saklar Lampu</v>
      </c>
      <c r="L24" s="83"/>
      <c r="M24" s="68"/>
      <c r="N24" s="271" t="s">
        <v>130</v>
      </c>
      <c r="O24" s="91" t="s">
        <v>129</v>
      </c>
      <c r="P24"/>
    </row>
    <row r="25" spans="2:16" ht="45" x14ac:dyDescent="0.25">
      <c r="B25" s="206"/>
      <c r="C25" s="203"/>
      <c r="D25" s="255"/>
      <c r="E25" s="210"/>
      <c r="F25" s="114" t="s">
        <v>160</v>
      </c>
      <c r="G25" s="22" t="s">
        <v>139</v>
      </c>
      <c r="H25" s="21">
        <v>1</v>
      </c>
      <c r="I25" s="26">
        <v>1</v>
      </c>
      <c r="J25" s="24">
        <f>IF(I25&lt;H25,"Sofa",0)</f>
        <v>0</v>
      </c>
      <c r="K25" s="24" t="str">
        <f>IF(I25&gt;=H25,"Batal",0)</f>
        <v>Batal</v>
      </c>
      <c r="L25" s="51"/>
      <c r="M25" s="57"/>
      <c r="N25" s="272" t="s">
        <v>131</v>
      </c>
      <c r="O25" s="95" t="s">
        <v>134</v>
      </c>
      <c r="P25"/>
    </row>
    <row r="26" spans="2:16" ht="38.25" x14ac:dyDescent="0.25">
      <c r="B26" s="206"/>
      <c r="C26" s="203"/>
      <c r="D26" s="255"/>
      <c r="E26" s="210"/>
      <c r="F26" s="216" t="s">
        <v>45</v>
      </c>
      <c r="G26" s="22" t="s">
        <v>37</v>
      </c>
      <c r="H26" s="20" t="s">
        <v>16</v>
      </c>
      <c r="I26" s="26" t="s">
        <v>17</v>
      </c>
      <c r="J26" s="24">
        <f>IF(I26&lt;H26,"Sofa",0)</f>
        <v>0</v>
      </c>
      <c r="K26" s="22" t="str">
        <f>IF(I26=H26,0,"Karpet")</f>
        <v>Karpet</v>
      </c>
      <c r="L26" s="49"/>
      <c r="M26" s="61"/>
      <c r="N26" s="274" t="s">
        <v>132</v>
      </c>
      <c r="O26" s="95" t="s">
        <v>42</v>
      </c>
      <c r="P26"/>
    </row>
    <row r="27" spans="2:16" ht="25.5" x14ac:dyDescent="0.25">
      <c r="B27" s="206"/>
      <c r="C27" s="203"/>
      <c r="D27" s="255"/>
      <c r="E27" s="210"/>
      <c r="F27" s="217"/>
      <c r="G27" s="22" t="s">
        <v>38</v>
      </c>
      <c r="H27" s="20" t="s">
        <v>16</v>
      </c>
      <c r="I27" s="26" t="s">
        <v>17</v>
      </c>
      <c r="J27" s="22">
        <f>IF(I27=H27,"Karpet",0)</f>
        <v>0</v>
      </c>
      <c r="K27" s="22" t="str">
        <f>IF(I27=H27,0,"Batal")</f>
        <v>Batal</v>
      </c>
      <c r="L27" s="49"/>
      <c r="M27" s="61"/>
      <c r="N27" s="274" t="s">
        <v>133</v>
      </c>
      <c r="O27" s="95" t="s">
        <v>134</v>
      </c>
      <c r="P27"/>
    </row>
    <row r="28" spans="2:16" ht="30.75" thickBot="1" x14ac:dyDescent="0.3">
      <c r="B28" s="207"/>
      <c r="C28" s="204"/>
      <c r="D28" s="256"/>
      <c r="E28" s="210"/>
      <c r="F28" s="114" t="s">
        <v>119</v>
      </c>
      <c r="G28" s="23" t="s">
        <v>117</v>
      </c>
      <c r="H28" s="109">
        <v>25</v>
      </c>
      <c r="I28" s="41">
        <v>28</v>
      </c>
      <c r="J28" s="23">
        <f>IF(I28&lt;H28,"Sofa/ Karpet",0)</f>
        <v>0</v>
      </c>
      <c r="K28" s="44" t="str">
        <f>IF(I28&gt;H28,"Kipas angin",0)</f>
        <v>Kipas angin</v>
      </c>
      <c r="L28" s="52" t="s">
        <v>41</v>
      </c>
      <c r="M28" s="58" t="s">
        <v>297</v>
      </c>
      <c r="N28" s="274" t="s">
        <v>135</v>
      </c>
      <c r="O28" s="92" t="s">
        <v>153</v>
      </c>
      <c r="P28"/>
    </row>
    <row r="29" spans="2:16" ht="30" x14ac:dyDescent="0.25">
      <c r="B29" s="260" t="s">
        <v>415</v>
      </c>
      <c r="C29" s="258" t="s">
        <v>249</v>
      </c>
      <c r="D29" s="262" t="s">
        <v>43</v>
      </c>
      <c r="E29" s="221" t="s">
        <v>23</v>
      </c>
      <c r="F29" s="125" t="s">
        <v>24</v>
      </c>
      <c r="G29" s="39" t="s">
        <v>33</v>
      </c>
      <c r="H29" s="36">
        <v>150</v>
      </c>
      <c r="I29" s="43">
        <v>100</v>
      </c>
      <c r="J29" s="39">
        <f>IF(I29&gt;=H29,"RMK01",0)</f>
        <v>0</v>
      </c>
      <c r="K29" s="39" t="str">
        <f>IF(I29&lt;H29,"Saklar Lampu",0)</f>
        <v>Saklar Lampu</v>
      </c>
      <c r="L29" s="83"/>
      <c r="M29" s="62"/>
      <c r="N29" s="271" t="s">
        <v>123</v>
      </c>
      <c r="O29" s="96"/>
      <c r="P29"/>
    </row>
    <row r="30" spans="2:16" ht="45" x14ac:dyDescent="0.25">
      <c r="B30" s="206"/>
      <c r="C30" s="203"/>
      <c r="D30" s="255"/>
      <c r="E30" s="210"/>
      <c r="F30" s="114" t="s">
        <v>99</v>
      </c>
      <c r="G30" s="22" t="s">
        <v>139</v>
      </c>
      <c r="H30" s="21">
        <v>1.5</v>
      </c>
      <c r="I30" s="26">
        <v>1.6</v>
      </c>
      <c r="J30" s="24">
        <f>IF(I30&lt;H30,"Dispenser",0)</f>
        <v>0</v>
      </c>
      <c r="K30" s="24" t="str">
        <f>IF(I30&gt;=H30,"Batal",0)</f>
        <v>Batal</v>
      </c>
      <c r="L30" s="51"/>
      <c r="M30" s="57"/>
      <c r="N30" s="272" t="s">
        <v>136</v>
      </c>
      <c r="O30" s="97"/>
      <c r="P30"/>
    </row>
    <row r="31" spans="2:16" ht="25.5" x14ac:dyDescent="0.25">
      <c r="B31" s="206"/>
      <c r="C31" s="203"/>
      <c r="D31" s="255"/>
      <c r="E31" s="210"/>
      <c r="F31" s="216" t="s">
        <v>32</v>
      </c>
      <c r="G31" s="22" t="s">
        <v>101</v>
      </c>
      <c r="H31" s="22" t="s">
        <v>25</v>
      </c>
      <c r="I31" s="26" t="s">
        <v>83</v>
      </c>
      <c r="J31" s="22">
        <f t="shared" ref="J31:J33" si="6">IF(I31=H31,"Kursi",0)</f>
        <v>0</v>
      </c>
      <c r="K31" s="22" t="str">
        <f>IF(I31=H31,0,"Kulkas 2")</f>
        <v>Kulkas 2</v>
      </c>
      <c r="L31" s="51"/>
      <c r="M31" s="55"/>
      <c r="N31" s="273" t="s">
        <v>137</v>
      </c>
      <c r="O31" s="134"/>
      <c r="P31"/>
    </row>
    <row r="32" spans="2:16" ht="25.5" x14ac:dyDescent="0.25">
      <c r="B32" s="206"/>
      <c r="C32" s="203"/>
      <c r="D32" s="255"/>
      <c r="E32" s="210"/>
      <c r="F32" s="217"/>
      <c r="G32" s="22" t="s">
        <v>101</v>
      </c>
      <c r="H32" s="22" t="s">
        <v>25</v>
      </c>
      <c r="I32" s="26" t="s">
        <v>83</v>
      </c>
      <c r="J32" s="22">
        <f t="shared" si="6"/>
        <v>0</v>
      </c>
      <c r="K32" s="22" t="str">
        <f>IF(I32=H32,0,"RDP01")</f>
        <v>RDP01</v>
      </c>
      <c r="L32" s="49"/>
      <c r="M32" s="61"/>
      <c r="N32" s="273" t="s">
        <v>155</v>
      </c>
      <c r="O32" s="98" t="s">
        <v>156</v>
      </c>
      <c r="P32"/>
    </row>
    <row r="33" spans="2:16" ht="25.5" x14ac:dyDescent="0.25">
      <c r="B33" s="206"/>
      <c r="C33" s="203"/>
      <c r="D33" s="255"/>
      <c r="E33" s="210"/>
      <c r="F33" s="114" t="s">
        <v>45</v>
      </c>
      <c r="G33" s="22" t="s">
        <v>15</v>
      </c>
      <c r="H33" s="20" t="s">
        <v>16</v>
      </c>
      <c r="I33" s="26" t="s">
        <v>17</v>
      </c>
      <c r="J33" s="22">
        <f t="shared" si="6"/>
        <v>0</v>
      </c>
      <c r="K33" s="22" t="str">
        <f>IF(I33=H33,0,"RKG01")</f>
        <v>RKG01</v>
      </c>
      <c r="L33" s="51"/>
      <c r="M33" s="56"/>
      <c r="N33" s="274" t="s">
        <v>126</v>
      </c>
      <c r="O33" s="99" t="s">
        <v>154</v>
      </c>
      <c r="P33"/>
    </row>
    <row r="34" spans="2:16" ht="30.75" thickBot="1" x14ac:dyDescent="0.3">
      <c r="B34" s="206"/>
      <c r="C34" s="203"/>
      <c r="D34" s="255"/>
      <c r="E34" s="211"/>
      <c r="F34" s="114" t="s">
        <v>119</v>
      </c>
      <c r="G34" s="23" t="s">
        <v>117</v>
      </c>
      <c r="H34" s="40">
        <v>27</v>
      </c>
      <c r="I34" s="41">
        <v>28</v>
      </c>
      <c r="J34" s="23">
        <f>IF(I34&lt;H34,"Kursi",0)</f>
        <v>0</v>
      </c>
      <c r="K34" s="44" t="str">
        <f>IF(I34&gt;H34,"RKG01",0)</f>
        <v>RKG01</v>
      </c>
      <c r="L34" s="65" t="s">
        <v>41</v>
      </c>
      <c r="M34" s="58" t="s">
        <v>218</v>
      </c>
      <c r="N34" s="274" t="s">
        <v>127</v>
      </c>
      <c r="O34" s="92" t="s">
        <v>157</v>
      </c>
      <c r="P34"/>
    </row>
    <row r="35" spans="2:16" ht="30" x14ac:dyDescent="0.25">
      <c r="B35" s="206"/>
      <c r="C35" s="203"/>
      <c r="D35" s="255"/>
      <c r="E35" s="221" t="s">
        <v>27</v>
      </c>
      <c r="F35" s="125" t="s">
        <v>24</v>
      </c>
      <c r="G35" s="39" t="s">
        <v>33</v>
      </c>
      <c r="H35" s="36">
        <v>150</v>
      </c>
      <c r="I35" s="43">
        <v>100</v>
      </c>
      <c r="J35" s="39">
        <f>IF(I35&gt;=H35,"RDP01",0)</f>
        <v>0</v>
      </c>
      <c r="K35" s="39" t="str">
        <f>IF(I35&lt;H35,"Saklar Lampu",0)</f>
        <v>Saklar Lampu</v>
      </c>
      <c r="L35" s="83"/>
      <c r="M35" s="68"/>
      <c r="N35" s="271" t="s">
        <v>140</v>
      </c>
      <c r="O35" s="91" t="s">
        <v>138</v>
      </c>
      <c r="P35"/>
    </row>
    <row r="36" spans="2:16" ht="30" x14ac:dyDescent="0.25">
      <c r="B36" s="206"/>
      <c r="C36" s="203"/>
      <c r="D36" s="255"/>
      <c r="E36" s="210"/>
      <c r="F36" s="114" t="s">
        <v>99</v>
      </c>
      <c r="G36" s="22" t="s">
        <v>102</v>
      </c>
      <c r="H36" s="21">
        <v>1.5</v>
      </c>
      <c r="I36" s="26">
        <v>1.7</v>
      </c>
      <c r="J36" s="24">
        <f>IF(I36&lt;H36,"Kulkas 1",0)</f>
        <v>0</v>
      </c>
      <c r="K36" s="24" t="str">
        <f>IF(I36&gt;=H36,"Batal",0)</f>
        <v>Batal</v>
      </c>
      <c r="L36" s="51"/>
      <c r="M36" s="57"/>
      <c r="N36" s="272" t="s">
        <v>142</v>
      </c>
      <c r="O36" s="97"/>
      <c r="P36"/>
    </row>
    <row r="37" spans="2:16" ht="30.75" thickBot="1" x14ac:dyDescent="0.3">
      <c r="B37" s="206"/>
      <c r="C37" s="203"/>
      <c r="D37" s="255"/>
      <c r="E37" s="210"/>
      <c r="F37" s="114" t="s">
        <v>32</v>
      </c>
      <c r="G37" s="22" t="s">
        <v>101</v>
      </c>
      <c r="H37" s="22" t="s">
        <v>25</v>
      </c>
      <c r="I37" s="26" t="s">
        <v>26</v>
      </c>
      <c r="J37" s="22">
        <f>IF(I37=H37,"RMK01",0)</f>
        <v>0</v>
      </c>
      <c r="K37" s="22" t="str">
        <f>IF(I37=H37,0,"Batal")</f>
        <v>Batal</v>
      </c>
      <c r="L37" s="53"/>
      <c r="M37" s="60"/>
      <c r="N37" s="274" t="s">
        <v>143</v>
      </c>
      <c r="O37" s="99" t="s">
        <v>144</v>
      </c>
      <c r="P37"/>
    </row>
    <row r="38" spans="2:16" ht="30" x14ac:dyDescent="0.25">
      <c r="B38" s="206"/>
      <c r="C38" s="203"/>
      <c r="D38" s="255"/>
      <c r="E38" s="221" t="s">
        <v>36</v>
      </c>
      <c r="F38" s="125" t="s">
        <v>24</v>
      </c>
      <c r="G38" s="39" t="s">
        <v>33</v>
      </c>
      <c r="H38" s="36">
        <v>150</v>
      </c>
      <c r="I38" s="43">
        <v>100</v>
      </c>
      <c r="J38" s="39">
        <f>IF(I38&gt;=H38,"RKG01",0)</f>
        <v>0</v>
      </c>
      <c r="K38" s="39" t="str">
        <f>IF(I38&lt;H38,"Saklar Lampu",0)</f>
        <v>Saklar Lampu</v>
      </c>
      <c r="L38" s="83"/>
      <c r="M38" s="68"/>
      <c r="N38" s="271" t="s">
        <v>130</v>
      </c>
      <c r="O38" s="100" t="s">
        <v>145</v>
      </c>
      <c r="P38"/>
    </row>
    <row r="39" spans="2:16" ht="45" x14ac:dyDescent="0.25">
      <c r="B39" s="206"/>
      <c r="C39" s="203"/>
      <c r="D39" s="255"/>
      <c r="E39" s="210"/>
      <c r="F39" s="114" t="s">
        <v>160</v>
      </c>
      <c r="G39" s="22" t="s">
        <v>139</v>
      </c>
      <c r="H39" s="21">
        <v>1</v>
      </c>
      <c r="I39" s="26">
        <v>1</v>
      </c>
      <c r="J39" s="24">
        <f>IF(I39&lt;H39,"Sofa",0)</f>
        <v>0</v>
      </c>
      <c r="K39" s="24" t="str">
        <f>IF(I39&gt;=H39,"Batal",0)</f>
        <v>Batal</v>
      </c>
      <c r="L39" s="51"/>
      <c r="M39" s="57"/>
      <c r="N39" s="272" t="s">
        <v>131</v>
      </c>
      <c r="O39" s="97"/>
      <c r="P39"/>
    </row>
    <row r="40" spans="2:16" ht="25.5" x14ac:dyDescent="0.25">
      <c r="B40" s="206"/>
      <c r="C40" s="203"/>
      <c r="D40" s="255"/>
      <c r="E40" s="210"/>
      <c r="F40" s="216" t="s">
        <v>45</v>
      </c>
      <c r="G40" s="22" t="s">
        <v>37</v>
      </c>
      <c r="H40" s="20" t="s">
        <v>16</v>
      </c>
      <c r="I40" s="26" t="s">
        <v>17</v>
      </c>
      <c r="J40" s="24">
        <f>IF(I40&lt;H40,"Sofa",0)</f>
        <v>0</v>
      </c>
      <c r="K40" s="22" t="str">
        <f>IF(I40=H40,0,"Karpet")</f>
        <v>Karpet</v>
      </c>
      <c r="L40" s="49"/>
      <c r="M40" s="61"/>
      <c r="N40" s="274" t="s">
        <v>132</v>
      </c>
      <c r="O40" s="97"/>
      <c r="P40"/>
    </row>
    <row r="41" spans="2:16" ht="25.5" x14ac:dyDescent="0.25">
      <c r="B41" s="206"/>
      <c r="C41" s="203"/>
      <c r="D41" s="255"/>
      <c r="E41" s="210"/>
      <c r="F41" s="217"/>
      <c r="G41" s="22" t="s">
        <v>38</v>
      </c>
      <c r="H41" s="20" t="s">
        <v>16</v>
      </c>
      <c r="I41" s="26" t="s">
        <v>17</v>
      </c>
      <c r="J41" s="22">
        <f>IF(I41=H41,"Karpet",0)</f>
        <v>0</v>
      </c>
      <c r="K41" s="22" t="str">
        <f>IF(I41=H41,0,"Batal")</f>
        <v>Batal</v>
      </c>
      <c r="L41" s="49"/>
      <c r="M41" s="61"/>
      <c r="N41" s="274" t="s">
        <v>133</v>
      </c>
      <c r="O41" s="101"/>
      <c r="P41"/>
    </row>
    <row r="42" spans="2:16" ht="30.75" thickBot="1" x14ac:dyDescent="0.3">
      <c r="B42" s="261"/>
      <c r="C42" s="259"/>
      <c r="D42" s="263"/>
      <c r="E42" s="211"/>
      <c r="F42" s="75" t="s">
        <v>119</v>
      </c>
      <c r="G42" s="30" t="s">
        <v>117</v>
      </c>
      <c r="H42" s="110">
        <v>25</v>
      </c>
      <c r="I42" s="38">
        <v>28</v>
      </c>
      <c r="J42" s="30">
        <f>IF(I42&lt;H42,"Sofa/ Karpet",0)</f>
        <v>0</v>
      </c>
      <c r="K42" s="45" t="str">
        <f>IF(I42&gt;H42,"Kipas angin",0)</f>
        <v>Kipas angin</v>
      </c>
      <c r="L42" s="52" t="s">
        <v>41</v>
      </c>
      <c r="M42" s="58" t="s">
        <v>297</v>
      </c>
      <c r="N42" s="276" t="s">
        <v>135</v>
      </c>
      <c r="O42" s="102" t="s">
        <v>153</v>
      </c>
      <c r="P42"/>
    </row>
    <row r="43" spans="2:16" ht="25.5" x14ac:dyDescent="0.25">
      <c r="B43" s="205" t="s">
        <v>415</v>
      </c>
      <c r="C43" s="202" t="s">
        <v>417</v>
      </c>
      <c r="D43" s="254" t="s">
        <v>46</v>
      </c>
      <c r="E43" s="221" t="s">
        <v>47</v>
      </c>
      <c r="F43" s="126" t="s">
        <v>45</v>
      </c>
      <c r="G43" s="24" t="s">
        <v>13</v>
      </c>
      <c r="H43" s="27" t="s">
        <v>14</v>
      </c>
      <c r="I43" s="37" t="s">
        <v>51</v>
      </c>
      <c r="J43" s="24">
        <f>IF(I43=H43,"RTU01",0)</f>
        <v>0</v>
      </c>
      <c r="K43" s="24" t="str">
        <f>IF(I43=H43,0,"Batal")</f>
        <v>Batal</v>
      </c>
      <c r="L43" s="54"/>
      <c r="M43" s="56" t="s">
        <v>327</v>
      </c>
      <c r="N43" s="277" t="s">
        <v>176</v>
      </c>
      <c r="O43" s="103"/>
      <c r="P43"/>
    </row>
    <row r="44" spans="2:16" ht="30" x14ac:dyDescent="0.25">
      <c r="B44" s="206"/>
      <c r="C44" s="203"/>
      <c r="D44" s="255"/>
      <c r="E44" s="210"/>
      <c r="F44" s="115" t="s">
        <v>24</v>
      </c>
      <c r="G44" s="24" t="s">
        <v>33</v>
      </c>
      <c r="H44" s="28">
        <v>50</v>
      </c>
      <c r="I44" s="37">
        <v>150</v>
      </c>
      <c r="J44" s="24">
        <f>IF(I44&lt;=H44,"RTU01",0)</f>
        <v>0</v>
      </c>
      <c r="K44" s="24" t="str">
        <f>IF(I44&gt;H44,"Saklar Lampu",0)</f>
        <v>Saklar Lampu</v>
      </c>
      <c r="L44" s="54"/>
      <c r="M44" s="56"/>
      <c r="N44" s="277" t="s">
        <v>159</v>
      </c>
      <c r="O44" s="97"/>
      <c r="P44"/>
    </row>
    <row r="45" spans="2:16" ht="30" x14ac:dyDescent="0.25">
      <c r="B45" s="206"/>
      <c r="C45" s="203"/>
      <c r="D45" s="255"/>
      <c r="E45" s="210"/>
      <c r="F45" s="114" t="s">
        <v>99</v>
      </c>
      <c r="G45" s="22" t="s">
        <v>102</v>
      </c>
      <c r="H45" s="21">
        <v>0.5</v>
      </c>
      <c r="I45" s="26">
        <v>0.2</v>
      </c>
      <c r="J45" s="24" t="str">
        <f>IF(I45&lt;H45,"RTU01",0)</f>
        <v>RTU01</v>
      </c>
      <c r="K45" s="24">
        <f>IF(I45&gt;=H45,"Batal",0)</f>
        <v>0</v>
      </c>
      <c r="L45" s="51"/>
      <c r="M45" s="56"/>
      <c r="N45" s="278" t="s">
        <v>161</v>
      </c>
      <c r="O45" s="97"/>
      <c r="P45"/>
    </row>
    <row r="46" spans="2:16" ht="30" x14ac:dyDescent="0.25">
      <c r="B46" s="206"/>
      <c r="C46" s="203"/>
      <c r="D46" s="255"/>
      <c r="E46" s="210"/>
      <c r="F46" s="76" t="s">
        <v>119</v>
      </c>
      <c r="G46" s="22" t="s">
        <v>117</v>
      </c>
      <c r="H46" s="108">
        <v>24</v>
      </c>
      <c r="I46" s="26">
        <v>28</v>
      </c>
      <c r="J46" s="22">
        <f>IF(I46&lt;H46,"Tempat tidur",0)</f>
        <v>0</v>
      </c>
      <c r="K46" s="22" t="str">
        <f>IF(I46&gt;H46,"AC",0)</f>
        <v>AC</v>
      </c>
      <c r="L46" s="51"/>
      <c r="M46" s="63"/>
      <c r="N46" s="278" t="s">
        <v>162</v>
      </c>
      <c r="O46" s="97"/>
      <c r="P46"/>
    </row>
    <row r="47" spans="2:16" ht="45.75" thickBot="1" x14ac:dyDescent="0.3">
      <c r="B47" s="207"/>
      <c r="C47" s="204"/>
      <c r="D47" s="256"/>
      <c r="E47" s="211"/>
      <c r="F47" s="115" t="s">
        <v>45</v>
      </c>
      <c r="G47" s="24" t="s">
        <v>48</v>
      </c>
      <c r="H47" s="27" t="s">
        <v>16</v>
      </c>
      <c r="I47" s="37" t="s">
        <v>16</v>
      </c>
      <c r="J47" s="24" t="str">
        <f>IF(I47=H47,"Tempat tidur",0)</f>
        <v>Tempat tidur</v>
      </c>
      <c r="K47" s="24">
        <f>IF(I47=H47,0,"Batal")</f>
        <v>0</v>
      </c>
      <c r="L47" s="54" t="s">
        <v>48</v>
      </c>
      <c r="M47" s="56" t="s">
        <v>328</v>
      </c>
      <c r="N47" s="274" t="s">
        <v>163</v>
      </c>
      <c r="O47" s="106"/>
      <c r="P47"/>
    </row>
    <row r="48" spans="2:16" ht="30" x14ac:dyDescent="0.25">
      <c r="B48" s="205" t="s">
        <v>415</v>
      </c>
      <c r="C48" s="202" t="s">
        <v>418</v>
      </c>
      <c r="D48" s="200" t="s">
        <v>49</v>
      </c>
      <c r="E48" s="221" t="s">
        <v>50</v>
      </c>
      <c r="F48" s="127" t="s">
        <v>24</v>
      </c>
      <c r="G48" s="39" t="s">
        <v>33</v>
      </c>
      <c r="H48" s="36">
        <v>150</v>
      </c>
      <c r="I48" s="43">
        <v>100</v>
      </c>
      <c r="J48" s="39">
        <f>IF(I48&gt;=H48,"Pintu",0)</f>
        <v>0</v>
      </c>
      <c r="K48" s="39" t="str">
        <f>IF(I48&lt;H48,"Saklar Lampu",0)</f>
        <v>Saklar Lampu</v>
      </c>
      <c r="L48" s="83"/>
      <c r="M48" s="62"/>
      <c r="N48" s="271" t="s">
        <v>164</v>
      </c>
      <c r="O48" s="97"/>
      <c r="P48"/>
    </row>
    <row r="49" spans="2:16" ht="30" x14ac:dyDescent="0.25">
      <c r="B49" s="206"/>
      <c r="C49" s="203"/>
      <c r="D49" s="198"/>
      <c r="E49" s="210"/>
      <c r="F49" s="114" t="s">
        <v>99</v>
      </c>
      <c r="G49" s="22" t="s">
        <v>102</v>
      </c>
      <c r="H49" s="21">
        <v>0</v>
      </c>
      <c r="I49" s="26">
        <v>0.2</v>
      </c>
      <c r="J49" s="24">
        <f>IF(I49&lt;=H49,"Pintu",0)</f>
        <v>0</v>
      </c>
      <c r="K49" s="24" t="str">
        <f>IF(I49&gt;H49,"Batal",0)</f>
        <v>Batal</v>
      </c>
      <c r="L49" s="51"/>
      <c r="M49" s="63"/>
      <c r="N49" s="272" t="s">
        <v>180</v>
      </c>
      <c r="O49" s="97"/>
      <c r="P49"/>
    </row>
    <row r="50" spans="2:16" ht="25.5" x14ac:dyDescent="0.25">
      <c r="B50" s="206"/>
      <c r="C50" s="203"/>
      <c r="D50" s="198"/>
      <c r="E50" s="210"/>
      <c r="F50" s="76" t="s">
        <v>45</v>
      </c>
      <c r="G50" s="22" t="s">
        <v>13</v>
      </c>
      <c r="H50" s="20" t="s">
        <v>14</v>
      </c>
      <c r="I50" s="26" t="s">
        <v>51</v>
      </c>
      <c r="J50" s="22">
        <f>IF(I50=H50,"Bak mandi",0)</f>
        <v>0</v>
      </c>
      <c r="K50" s="22" t="str">
        <f>IF(I50=H50,0,"Batal")</f>
        <v>Batal</v>
      </c>
      <c r="L50" s="51"/>
      <c r="M50" s="63" t="s">
        <v>327</v>
      </c>
      <c r="N50" s="278" t="s">
        <v>166</v>
      </c>
      <c r="O50" s="97"/>
      <c r="P50"/>
    </row>
    <row r="51" spans="2:16" ht="30.75" thickBot="1" x14ac:dyDescent="0.3">
      <c r="B51" s="207"/>
      <c r="C51" s="204"/>
      <c r="D51" s="201"/>
      <c r="E51" s="210"/>
      <c r="F51" s="114" t="s">
        <v>32</v>
      </c>
      <c r="G51" s="22" t="s">
        <v>104</v>
      </c>
      <c r="H51" s="22">
        <v>15</v>
      </c>
      <c r="I51" s="26">
        <v>5</v>
      </c>
      <c r="J51" s="22">
        <f>IF(I51&gt;=H51,"Kloset",0)</f>
        <v>0</v>
      </c>
      <c r="K51" s="22" t="str">
        <f>IF(I51&gt;=H51,0,"Kran air")</f>
        <v>Kran air</v>
      </c>
      <c r="L51" s="51" t="s">
        <v>171</v>
      </c>
      <c r="M51" s="55" t="s">
        <v>320</v>
      </c>
      <c r="N51" s="277" t="s">
        <v>167</v>
      </c>
      <c r="O51" s="104" t="s">
        <v>170</v>
      </c>
      <c r="P51" s="66" t="s">
        <v>169</v>
      </c>
    </row>
    <row r="52" spans="2:16" ht="30" x14ac:dyDescent="0.25">
      <c r="B52" s="205" t="s">
        <v>415</v>
      </c>
      <c r="C52" s="202" t="s">
        <v>419</v>
      </c>
      <c r="D52" s="200" t="s">
        <v>52</v>
      </c>
      <c r="E52" s="221" t="s">
        <v>50</v>
      </c>
      <c r="F52" s="127" t="s">
        <v>24</v>
      </c>
      <c r="G52" s="39" t="s">
        <v>33</v>
      </c>
      <c r="H52" s="36">
        <v>150</v>
      </c>
      <c r="I52" s="43">
        <v>100</v>
      </c>
      <c r="J52" s="39">
        <f>IF(I52&gt;=H52,"Pintu",0)</f>
        <v>0</v>
      </c>
      <c r="K52" s="39" t="str">
        <f>IF(I52&lt;H52,"Saklar Lampu",0)</f>
        <v>Saklar Lampu</v>
      </c>
      <c r="L52" s="83"/>
      <c r="M52" s="62"/>
      <c r="N52" s="271" t="s">
        <v>164</v>
      </c>
      <c r="O52" s="97"/>
      <c r="P52"/>
    </row>
    <row r="53" spans="2:16" ht="30" x14ac:dyDescent="0.25">
      <c r="B53" s="206"/>
      <c r="C53" s="203"/>
      <c r="D53" s="198"/>
      <c r="E53" s="210"/>
      <c r="F53" s="114" t="s">
        <v>99</v>
      </c>
      <c r="G53" s="22" t="s">
        <v>102</v>
      </c>
      <c r="H53" s="21">
        <v>0</v>
      </c>
      <c r="I53" s="26">
        <v>0.2</v>
      </c>
      <c r="J53" s="24">
        <f>IF(I53&lt;=H53,"Pintu",0)</f>
        <v>0</v>
      </c>
      <c r="K53" s="24" t="str">
        <f>IF(I53&gt;H53,"Batal",0)</f>
        <v>Batal</v>
      </c>
      <c r="L53" s="51"/>
      <c r="M53" s="63"/>
      <c r="N53" s="272" t="s">
        <v>180</v>
      </c>
      <c r="O53" s="97"/>
      <c r="P53"/>
    </row>
    <row r="54" spans="2:16" ht="25.5" x14ac:dyDescent="0.25">
      <c r="B54" s="206"/>
      <c r="C54" s="203"/>
      <c r="D54" s="198"/>
      <c r="E54" s="210"/>
      <c r="F54" s="76" t="s">
        <v>45</v>
      </c>
      <c r="G54" s="22" t="s">
        <v>13</v>
      </c>
      <c r="H54" s="20" t="s">
        <v>14</v>
      </c>
      <c r="I54" s="26" t="s">
        <v>51</v>
      </c>
      <c r="J54" s="22">
        <f>IF(I54=H54,"Bak mandi",0)</f>
        <v>0</v>
      </c>
      <c r="K54" s="22" t="str">
        <f>IF(I54=H54,0,"Batal")</f>
        <v>Batal</v>
      </c>
      <c r="L54" s="51"/>
      <c r="M54" s="63" t="s">
        <v>327</v>
      </c>
      <c r="N54" s="278" t="s">
        <v>166</v>
      </c>
      <c r="O54" s="97"/>
      <c r="P54"/>
    </row>
    <row r="55" spans="2:16" ht="30.75" thickBot="1" x14ac:dyDescent="0.3">
      <c r="B55" s="207"/>
      <c r="C55" s="204"/>
      <c r="D55" s="201"/>
      <c r="E55" s="211"/>
      <c r="F55" s="46" t="s">
        <v>32</v>
      </c>
      <c r="G55" s="30" t="s">
        <v>104</v>
      </c>
      <c r="H55" s="30">
        <v>30</v>
      </c>
      <c r="I55" s="38">
        <v>80</v>
      </c>
      <c r="J55" s="30" t="str">
        <f>IF(I55&gt;=H55,"Kloset",0)</f>
        <v>Kloset</v>
      </c>
      <c r="K55" s="30">
        <f>IF(I55&gt;=H55,0,"Kran air")</f>
        <v>0</v>
      </c>
      <c r="L55" s="51" t="s">
        <v>171</v>
      </c>
      <c r="M55" s="55" t="s">
        <v>320</v>
      </c>
      <c r="N55" s="277" t="s">
        <v>168</v>
      </c>
      <c r="O55" s="104" t="s">
        <v>170</v>
      </c>
      <c r="P55" s="66" t="s">
        <v>169</v>
      </c>
    </row>
    <row r="56" spans="2:16" ht="30" x14ac:dyDescent="0.25">
      <c r="B56" s="205" t="s">
        <v>415</v>
      </c>
      <c r="C56" s="202" t="s">
        <v>420</v>
      </c>
      <c r="D56" s="200" t="s">
        <v>53</v>
      </c>
      <c r="E56" s="221" t="s">
        <v>50</v>
      </c>
      <c r="F56" s="127" t="s">
        <v>24</v>
      </c>
      <c r="G56" s="39" t="s">
        <v>33</v>
      </c>
      <c r="H56" s="36">
        <v>150</v>
      </c>
      <c r="I56" s="43">
        <v>100</v>
      </c>
      <c r="J56" s="39">
        <f>IF(I56&gt;=H56,"Pintu",0)</f>
        <v>0</v>
      </c>
      <c r="K56" s="39" t="str">
        <f>IF(I56&lt;H56,"Saklar Lampu",0)</f>
        <v>Saklar Lampu</v>
      </c>
      <c r="L56" s="83"/>
      <c r="M56" s="62"/>
      <c r="N56" s="271" t="s">
        <v>164</v>
      </c>
      <c r="O56" s="100"/>
      <c r="P56"/>
    </row>
    <row r="57" spans="2:16" ht="30" x14ac:dyDescent="0.25">
      <c r="B57" s="206"/>
      <c r="C57" s="203"/>
      <c r="D57" s="198"/>
      <c r="E57" s="210"/>
      <c r="F57" s="114" t="s">
        <v>99</v>
      </c>
      <c r="G57" s="22" t="s">
        <v>102</v>
      </c>
      <c r="H57" s="21">
        <v>0</v>
      </c>
      <c r="I57" s="26">
        <v>0.2</v>
      </c>
      <c r="J57" s="24">
        <f>IF(I57&lt;=H57,"Pintu",0)</f>
        <v>0</v>
      </c>
      <c r="K57" s="24" t="str">
        <f>IF(I57&gt;H57,"Batal",0)</f>
        <v>Batal</v>
      </c>
      <c r="L57" s="51"/>
      <c r="M57" s="63"/>
      <c r="N57" s="272" t="s">
        <v>180</v>
      </c>
      <c r="O57" s="97"/>
      <c r="P57"/>
    </row>
    <row r="58" spans="2:16" ht="25.5" x14ac:dyDescent="0.25">
      <c r="B58" s="206"/>
      <c r="C58" s="203"/>
      <c r="D58" s="198"/>
      <c r="E58" s="210"/>
      <c r="F58" s="76" t="s">
        <v>45</v>
      </c>
      <c r="G58" s="22" t="s">
        <v>13</v>
      </c>
      <c r="H58" s="20" t="s">
        <v>14</v>
      </c>
      <c r="I58" s="26" t="s">
        <v>51</v>
      </c>
      <c r="J58" s="22">
        <f>IF(I58=H58,"Bak mandi",0)</f>
        <v>0</v>
      </c>
      <c r="K58" s="22" t="str">
        <f>IF(I58=H58,0,"Batal")</f>
        <v>Batal</v>
      </c>
      <c r="L58" s="51"/>
      <c r="M58" s="63" t="s">
        <v>327</v>
      </c>
      <c r="N58" s="278" t="s">
        <v>166</v>
      </c>
      <c r="O58" s="97"/>
      <c r="P58"/>
    </row>
    <row r="59" spans="2:16" ht="39.75" thickBot="1" x14ac:dyDescent="0.3">
      <c r="B59" s="207"/>
      <c r="C59" s="204"/>
      <c r="D59" s="201"/>
      <c r="E59" s="211"/>
      <c r="F59" s="75" t="s">
        <v>32</v>
      </c>
      <c r="G59" s="30" t="s">
        <v>104</v>
      </c>
      <c r="H59" s="30">
        <v>90</v>
      </c>
      <c r="I59" s="38">
        <v>10</v>
      </c>
      <c r="J59" s="30">
        <f>IF(I59&gt;=H59,"Bak mandi",0)</f>
        <v>0</v>
      </c>
      <c r="K59" s="30" t="str">
        <f>IF(I59&gt;=H59,0,"Kran air")</f>
        <v>Kran air</v>
      </c>
      <c r="L59" s="52" t="s">
        <v>171</v>
      </c>
      <c r="M59" s="59" t="s">
        <v>320</v>
      </c>
      <c r="N59" s="279" t="s">
        <v>172</v>
      </c>
      <c r="O59" s="104" t="s">
        <v>173</v>
      </c>
      <c r="P59" s="66" t="s">
        <v>175</v>
      </c>
    </row>
    <row r="60" spans="2:16" ht="25.5" x14ac:dyDescent="0.25">
      <c r="B60" s="168" t="s">
        <v>411</v>
      </c>
      <c r="C60" s="161" t="s">
        <v>412</v>
      </c>
      <c r="D60" s="200" t="s">
        <v>174</v>
      </c>
      <c r="E60" s="221" t="s">
        <v>47</v>
      </c>
      <c r="F60" s="126" t="s">
        <v>45</v>
      </c>
      <c r="G60" s="24" t="s">
        <v>13</v>
      </c>
      <c r="H60" s="27" t="s">
        <v>14</v>
      </c>
      <c r="I60" s="37" t="s">
        <v>51</v>
      </c>
      <c r="J60" s="24">
        <f>IF(I60=H60,"RTU01",0)</f>
        <v>0</v>
      </c>
      <c r="K60" s="24" t="str">
        <f>IF(I60=H60,0,"Batal")</f>
        <v>Batal</v>
      </c>
      <c r="L60" s="54"/>
      <c r="M60" s="56" t="s">
        <v>319</v>
      </c>
      <c r="N60" s="271" t="s">
        <v>176</v>
      </c>
      <c r="O60" s="105"/>
      <c r="P60" s="66"/>
    </row>
    <row r="61" spans="2:16" ht="30" x14ac:dyDescent="0.25">
      <c r="B61" s="169"/>
      <c r="C61" s="171"/>
      <c r="D61" s="198"/>
      <c r="E61" s="210"/>
      <c r="F61" s="76" t="s">
        <v>24</v>
      </c>
      <c r="G61" s="22" t="s">
        <v>33</v>
      </c>
      <c r="H61" s="21">
        <v>150</v>
      </c>
      <c r="I61" s="26">
        <v>100</v>
      </c>
      <c r="J61" s="22">
        <f>IF(I61&gt;=H61,"Pintu",0)</f>
        <v>0</v>
      </c>
      <c r="K61" s="22" t="str">
        <f>IF(I61&lt;H61,"Saklar Lampu",0)</f>
        <v>Saklar Lampu</v>
      </c>
      <c r="L61" s="51"/>
      <c r="M61" s="63"/>
      <c r="N61" s="277" t="s">
        <v>164</v>
      </c>
      <c r="O61" s="135"/>
      <c r="P61"/>
    </row>
    <row r="62" spans="2:16" ht="30" x14ac:dyDescent="0.25">
      <c r="B62" s="169"/>
      <c r="C62" s="171"/>
      <c r="D62" s="198"/>
      <c r="E62" s="210"/>
      <c r="F62" s="115" t="s">
        <v>99</v>
      </c>
      <c r="G62" s="24" t="s">
        <v>102</v>
      </c>
      <c r="H62" s="28">
        <v>0.5</v>
      </c>
      <c r="I62" s="37">
        <v>0.2</v>
      </c>
      <c r="J62" s="24" t="str">
        <f>IF(I62&lt;H62,"Lemari",0)</f>
        <v>Lemari</v>
      </c>
      <c r="K62" s="24">
        <f>IF(I62&gt;=H62,"Batal",0)</f>
        <v>0</v>
      </c>
      <c r="L62" s="51"/>
      <c r="M62" s="63"/>
      <c r="N62" s="278" t="s">
        <v>165</v>
      </c>
      <c r="O62" s="135"/>
      <c r="P62"/>
    </row>
    <row r="63" spans="2:16" ht="30.75" thickBot="1" x14ac:dyDescent="0.3">
      <c r="B63" s="184"/>
      <c r="C63" s="162"/>
      <c r="D63" s="201"/>
      <c r="E63" s="211"/>
      <c r="F63" s="75" t="s">
        <v>45</v>
      </c>
      <c r="G63" s="30" t="s">
        <v>105</v>
      </c>
      <c r="H63" s="29" t="s">
        <v>14</v>
      </c>
      <c r="I63" s="38" t="s">
        <v>51</v>
      </c>
      <c r="J63" s="30">
        <f>IF(I63=H63,"Lemari",0)</f>
        <v>0</v>
      </c>
      <c r="K63" s="30" t="str">
        <f>IF(I63=H63,0,"Batal")</f>
        <v>Batal</v>
      </c>
      <c r="L63" s="65" t="s">
        <v>47</v>
      </c>
      <c r="M63" s="58" t="s">
        <v>321</v>
      </c>
      <c r="N63" s="276" t="s">
        <v>177</v>
      </c>
      <c r="O63" s="106" t="s">
        <v>181</v>
      </c>
      <c r="P63"/>
    </row>
    <row r="64" spans="2:16" ht="39" x14ac:dyDescent="0.25">
      <c r="B64" s="159" t="s">
        <v>344</v>
      </c>
      <c r="C64" s="185" t="s">
        <v>431</v>
      </c>
      <c r="D64" s="200" t="s">
        <v>432</v>
      </c>
      <c r="E64" s="210" t="s">
        <v>50</v>
      </c>
      <c r="F64" s="126" t="s">
        <v>24</v>
      </c>
      <c r="G64" s="24" t="s">
        <v>33</v>
      </c>
      <c r="H64" s="28">
        <v>150</v>
      </c>
      <c r="I64" s="37">
        <v>100</v>
      </c>
      <c r="J64" s="24">
        <f>IF(I64&gt;=H64,"Pintu",0)</f>
        <v>0</v>
      </c>
      <c r="K64" s="24" t="str">
        <f>IF(I64&lt;H64,"Saklar Lampu",0)</f>
        <v>Saklar Lampu</v>
      </c>
      <c r="L64" s="83"/>
      <c r="M64" s="62"/>
      <c r="N64" s="271" t="s">
        <v>164</v>
      </c>
      <c r="O64" s="100" t="s">
        <v>179</v>
      </c>
      <c r="P64"/>
    </row>
    <row r="65" spans="2:16" ht="30" x14ac:dyDescent="0.25">
      <c r="B65" s="181"/>
      <c r="C65" s="186"/>
      <c r="D65" s="198"/>
      <c r="E65" s="210"/>
      <c r="F65" s="114" t="s">
        <v>99</v>
      </c>
      <c r="G65" s="22" t="s">
        <v>102</v>
      </c>
      <c r="H65" s="21">
        <v>0</v>
      </c>
      <c r="I65" s="26">
        <v>0</v>
      </c>
      <c r="J65" s="24" t="str">
        <f>IF(I65&lt;=H65,"Pintu",0)</f>
        <v>Pintu</v>
      </c>
      <c r="K65" s="24">
        <f>IF(I65&gt;H65,"Batal",0)</f>
        <v>0</v>
      </c>
      <c r="L65" s="51"/>
      <c r="M65" s="63"/>
      <c r="N65" s="272" t="s">
        <v>165</v>
      </c>
      <c r="O65" s="97"/>
      <c r="P65"/>
    </row>
    <row r="66" spans="2:16" ht="25.5" x14ac:dyDescent="0.25">
      <c r="B66" s="181"/>
      <c r="C66" s="186"/>
      <c r="D66" s="198"/>
      <c r="E66" s="210"/>
      <c r="F66" s="76" t="s">
        <v>45</v>
      </c>
      <c r="G66" s="22" t="s">
        <v>13</v>
      </c>
      <c r="H66" s="20" t="s">
        <v>14</v>
      </c>
      <c r="I66" s="26" t="s">
        <v>51</v>
      </c>
      <c r="J66" s="22">
        <f>IF(I66=H66,"Bak mandi",0)</f>
        <v>0</v>
      </c>
      <c r="K66" s="22" t="str">
        <f>IF(I66=H66,0,"Batal")</f>
        <v>Batal</v>
      </c>
      <c r="L66" s="51"/>
      <c r="M66" s="63" t="s">
        <v>327</v>
      </c>
      <c r="N66" s="278" t="s">
        <v>166</v>
      </c>
      <c r="O66" s="97"/>
      <c r="P66"/>
    </row>
    <row r="67" spans="2:16" ht="39.75" thickBot="1" x14ac:dyDescent="0.3">
      <c r="B67" s="160"/>
      <c r="C67" s="187"/>
      <c r="D67" s="201"/>
      <c r="E67" s="211"/>
      <c r="F67" s="75" t="s">
        <v>32</v>
      </c>
      <c r="G67" s="30" t="s">
        <v>104</v>
      </c>
      <c r="H67" s="30">
        <v>60</v>
      </c>
      <c r="I67" s="38">
        <v>5</v>
      </c>
      <c r="J67" s="30">
        <f>IF(I67&gt;=H67,"Bak mandi",0)</f>
        <v>0</v>
      </c>
      <c r="K67" s="30" t="str">
        <f>IF(I67&gt;=H67,0,"Kran air")</f>
        <v>Kran air</v>
      </c>
      <c r="L67" s="52" t="s">
        <v>171</v>
      </c>
      <c r="M67" s="59" t="s">
        <v>320</v>
      </c>
      <c r="N67" s="279" t="s">
        <v>178</v>
      </c>
      <c r="O67" s="104" t="s">
        <v>173</v>
      </c>
      <c r="P67" s="66" t="s">
        <v>175</v>
      </c>
    </row>
    <row r="68" spans="2:16" ht="38.25" x14ac:dyDescent="0.25">
      <c r="B68" s="159" t="s">
        <v>344</v>
      </c>
      <c r="C68" s="185" t="s">
        <v>433</v>
      </c>
      <c r="D68" s="163" t="s">
        <v>434</v>
      </c>
      <c r="E68" s="221" t="s">
        <v>23</v>
      </c>
      <c r="F68" s="125" t="s">
        <v>147</v>
      </c>
      <c r="G68" s="39" t="s">
        <v>33</v>
      </c>
      <c r="H68" s="36">
        <v>150</v>
      </c>
      <c r="I68" s="43">
        <v>100</v>
      </c>
      <c r="J68" s="39">
        <f>IF(I68&gt;=H68,"RMK01",0)</f>
        <v>0</v>
      </c>
      <c r="K68" s="39" t="str">
        <f>IF(I68&lt;H68,"Saklar Lampu",0)</f>
        <v>Saklar Lampu</v>
      </c>
      <c r="L68" s="83"/>
      <c r="M68" s="68"/>
      <c r="N68" s="271" t="s">
        <v>123</v>
      </c>
      <c r="O68" s="91" t="s">
        <v>158</v>
      </c>
      <c r="P68"/>
    </row>
    <row r="69" spans="2:16" ht="45" x14ac:dyDescent="0.25">
      <c r="B69" s="181"/>
      <c r="C69" s="186"/>
      <c r="D69" s="173"/>
      <c r="E69" s="210"/>
      <c r="F69" s="114" t="s">
        <v>99</v>
      </c>
      <c r="G69" s="22" t="s">
        <v>139</v>
      </c>
      <c r="H69" s="21">
        <v>1</v>
      </c>
      <c r="I69" s="26">
        <v>1</v>
      </c>
      <c r="J69" s="24">
        <f>IF(I69&lt;H69,"Meja makan",0)</f>
        <v>0</v>
      </c>
      <c r="K69" s="24" t="str">
        <f>IF(I69&gt;=H69,"Batal",0)</f>
        <v>Batal</v>
      </c>
      <c r="L69" s="51"/>
      <c r="M69" s="57"/>
      <c r="N69" s="272" t="s">
        <v>124</v>
      </c>
      <c r="O69" s="95" t="s">
        <v>134</v>
      </c>
      <c r="P69"/>
    </row>
    <row r="70" spans="2:16" ht="30" x14ac:dyDescent="0.25">
      <c r="B70" s="181"/>
      <c r="C70" s="186"/>
      <c r="D70" s="173"/>
      <c r="E70" s="210"/>
      <c r="F70" s="216" t="s">
        <v>32</v>
      </c>
      <c r="G70" s="22" t="s">
        <v>100</v>
      </c>
      <c r="H70" s="22" t="s">
        <v>25</v>
      </c>
      <c r="I70" s="26" t="s">
        <v>26</v>
      </c>
      <c r="J70" s="22">
        <f>IF(I70=H70,"Meja makan",0)</f>
        <v>0</v>
      </c>
      <c r="K70" s="22" t="str">
        <f>IF(I70=H70,0,"Rice cooker 2")</f>
        <v>Rice cooker 2</v>
      </c>
      <c r="L70" s="51"/>
      <c r="M70" s="55"/>
      <c r="N70" s="273" t="s">
        <v>125</v>
      </c>
      <c r="O70" s="134"/>
      <c r="P70"/>
    </row>
    <row r="71" spans="2:16" ht="30" x14ac:dyDescent="0.25">
      <c r="B71" s="181"/>
      <c r="C71" s="186"/>
      <c r="D71" s="173"/>
      <c r="E71" s="210"/>
      <c r="F71" s="217"/>
      <c r="G71" s="22" t="s">
        <v>100</v>
      </c>
      <c r="H71" s="22" t="s">
        <v>25</v>
      </c>
      <c r="I71" s="26" t="s">
        <v>106</v>
      </c>
      <c r="J71" s="22" t="str">
        <f t="shared" ref="J71" si="7">IF(I71=H71,"Meja makan",0)</f>
        <v>Meja makan</v>
      </c>
      <c r="K71" s="22">
        <f>IF(I71=H71,0,"RDP01")</f>
        <v>0</v>
      </c>
      <c r="L71" s="51"/>
      <c r="M71" s="55"/>
      <c r="N71" s="274" t="s">
        <v>141</v>
      </c>
      <c r="O71" s="134"/>
      <c r="P71"/>
    </row>
    <row r="72" spans="2:16" ht="25.5" x14ac:dyDescent="0.25">
      <c r="B72" s="181"/>
      <c r="C72" s="186"/>
      <c r="D72" s="173"/>
      <c r="E72" s="210"/>
      <c r="F72" s="114" t="s">
        <v>148</v>
      </c>
      <c r="G72" s="22" t="s">
        <v>15</v>
      </c>
      <c r="H72" s="20" t="s">
        <v>16</v>
      </c>
      <c r="I72" s="26" t="s">
        <v>17</v>
      </c>
      <c r="J72" s="22">
        <f t="shared" ref="J72" si="8">IF(I72=H72,"Kursi",0)</f>
        <v>0</v>
      </c>
      <c r="K72" s="22" t="str">
        <f>IF(I72=H72,0,"RKG01")</f>
        <v>RKG01</v>
      </c>
      <c r="L72" s="51"/>
      <c r="M72" s="55"/>
      <c r="N72" s="274" t="s">
        <v>126</v>
      </c>
      <c r="O72" s="92" t="s">
        <v>128</v>
      </c>
      <c r="P72"/>
    </row>
    <row r="73" spans="2:16" ht="30.75" thickBot="1" x14ac:dyDescent="0.3">
      <c r="B73" s="181"/>
      <c r="C73" s="186"/>
      <c r="D73" s="173"/>
      <c r="E73" s="210"/>
      <c r="F73" s="114" t="s">
        <v>119</v>
      </c>
      <c r="G73" s="23" t="s">
        <v>117</v>
      </c>
      <c r="H73" s="40">
        <v>27</v>
      </c>
      <c r="I73" s="41">
        <v>28</v>
      </c>
      <c r="J73" s="23">
        <f>IF(I73&lt;H73,"Kursi",0)</f>
        <v>0</v>
      </c>
      <c r="K73" s="44" t="str">
        <f>IF(I73&gt;H73,"RKG01",0)</f>
        <v>RKG01</v>
      </c>
      <c r="L73" s="52" t="s">
        <v>41</v>
      </c>
      <c r="M73" s="58" t="s">
        <v>218</v>
      </c>
      <c r="N73" s="274" t="s">
        <v>127</v>
      </c>
      <c r="O73" s="92" t="s">
        <v>150</v>
      </c>
      <c r="P73"/>
    </row>
    <row r="74" spans="2:16" ht="30" x14ac:dyDescent="0.25">
      <c r="B74" s="181"/>
      <c r="C74" s="186"/>
      <c r="D74" s="173"/>
      <c r="E74" s="221" t="s">
        <v>27</v>
      </c>
      <c r="F74" s="125" t="s">
        <v>24</v>
      </c>
      <c r="G74" s="39" t="s">
        <v>33</v>
      </c>
      <c r="H74" s="36">
        <v>150</v>
      </c>
      <c r="I74" s="43">
        <v>100</v>
      </c>
      <c r="J74" s="39">
        <f>IF(I74&gt;=H74,"RDP01",0)</f>
        <v>0</v>
      </c>
      <c r="K74" s="39" t="str">
        <f>IF(I74&lt;H74,"Saklar Lampu",0)</f>
        <v>Saklar Lampu</v>
      </c>
      <c r="L74" s="83"/>
      <c r="M74" s="68"/>
      <c r="N74" s="271" t="s">
        <v>123</v>
      </c>
      <c r="O74" s="93"/>
      <c r="P74"/>
    </row>
    <row r="75" spans="2:16" ht="45" x14ac:dyDescent="0.25">
      <c r="B75" s="181"/>
      <c r="C75" s="186"/>
      <c r="D75" s="173"/>
      <c r="E75" s="210"/>
      <c r="F75" s="114" t="s">
        <v>99</v>
      </c>
      <c r="G75" s="22" t="s">
        <v>139</v>
      </c>
      <c r="H75" s="21">
        <v>1</v>
      </c>
      <c r="I75" s="26">
        <v>1</v>
      </c>
      <c r="J75" s="24">
        <f>IF(I75&lt;H75,"Rice cooker 1",0)</f>
        <v>0</v>
      </c>
      <c r="K75" s="24" t="str">
        <f>IF(I75&gt;=H75,"Batal",0)</f>
        <v>Batal</v>
      </c>
      <c r="L75" s="51"/>
      <c r="M75" s="57"/>
      <c r="N75" s="272" t="s">
        <v>142</v>
      </c>
      <c r="O75" s="95" t="s">
        <v>134</v>
      </c>
      <c r="P75"/>
    </row>
    <row r="76" spans="2:16" ht="30.75" thickBot="1" x14ac:dyDescent="0.3">
      <c r="B76" s="181"/>
      <c r="C76" s="186"/>
      <c r="D76" s="173"/>
      <c r="E76" s="211"/>
      <c r="F76" s="75" t="s">
        <v>32</v>
      </c>
      <c r="G76" s="30" t="s">
        <v>100</v>
      </c>
      <c r="H76" s="30" t="s">
        <v>25</v>
      </c>
      <c r="I76" s="38" t="s">
        <v>26</v>
      </c>
      <c r="J76" s="30">
        <f>IF(I76=H76,"RMK01",0)</f>
        <v>0</v>
      </c>
      <c r="K76" s="30" t="str">
        <f>IF(I76=H76,0,"Batal")</f>
        <v>Batal</v>
      </c>
      <c r="L76" s="52"/>
      <c r="M76" s="59"/>
      <c r="N76" s="275" t="s">
        <v>146</v>
      </c>
      <c r="O76" s="94" t="s">
        <v>149</v>
      </c>
      <c r="P76"/>
    </row>
    <row r="77" spans="2:16" ht="30" x14ac:dyDescent="0.25">
      <c r="B77" s="181"/>
      <c r="C77" s="186"/>
      <c r="D77" s="173"/>
      <c r="E77" s="221" t="s">
        <v>36</v>
      </c>
      <c r="F77" s="125" t="s">
        <v>24</v>
      </c>
      <c r="G77" s="39" t="s">
        <v>33</v>
      </c>
      <c r="H77" s="36">
        <v>150</v>
      </c>
      <c r="I77" s="43">
        <v>100</v>
      </c>
      <c r="J77" s="39">
        <f>IF(I77&gt;=H77,"RKG01",0)</f>
        <v>0</v>
      </c>
      <c r="K77" s="39" t="str">
        <f>IF(I77&lt;H77,"Saklar Lampu",0)</f>
        <v>Saklar Lampu</v>
      </c>
      <c r="L77" s="83"/>
      <c r="M77" s="68"/>
      <c r="N77" s="271" t="s">
        <v>130</v>
      </c>
      <c r="O77" s="91" t="s">
        <v>129</v>
      </c>
      <c r="P77"/>
    </row>
    <row r="78" spans="2:16" ht="45" x14ac:dyDescent="0.25">
      <c r="B78" s="181"/>
      <c r="C78" s="186"/>
      <c r="D78" s="173"/>
      <c r="E78" s="210"/>
      <c r="F78" s="114" t="s">
        <v>160</v>
      </c>
      <c r="G78" s="22" t="s">
        <v>139</v>
      </c>
      <c r="H78" s="21">
        <v>1</v>
      </c>
      <c r="I78" s="26">
        <v>1</v>
      </c>
      <c r="J78" s="24">
        <f>IF(I78&lt;H78,"Sofa",0)</f>
        <v>0</v>
      </c>
      <c r="K78" s="24" t="str">
        <f>IF(I78&gt;=H78,"Batal",0)</f>
        <v>Batal</v>
      </c>
      <c r="L78" s="51"/>
      <c r="M78" s="57"/>
      <c r="N78" s="272" t="s">
        <v>131</v>
      </c>
      <c r="O78" s="95" t="s">
        <v>134</v>
      </c>
      <c r="P78"/>
    </row>
    <row r="79" spans="2:16" ht="38.25" x14ac:dyDescent="0.25">
      <c r="B79" s="181"/>
      <c r="C79" s="186"/>
      <c r="D79" s="173"/>
      <c r="E79" s="210"/>
      <c r="F79" s="216" t="s">
        <v>45</v>
      </c>
      <c r="G79" s="22" t="s">
        <v>37</v>
      </c>
      <c r="H79" s="20" t="s">
        <v>16</v>
      </c>
      <c r="I79" s="26" t="s">
        <v>17</v>
      </c>
      <c r="J79" s="24">
        <f>IF(I79&lt;H79,"Sofa",0)</f>
        <v>0</v>
      </c>
      <c r="K79" s="22" t="str">
        <f>IF(I79=H79,0,"Karpet")</f>
        <v>Karpet</v>
      </c>
      <c r="L79" s="49"/>
      <c r="M79" s="61"/>
      <c r="N79" s="274" t="s">
        <v>132</v>
      </c>
      <c r="O79" s="95" t="s">
        <v>42</v>
      </c>
      <c r="P79"/>
    </row>
    <row r="80" spans="2:16" ht="25.5" x14ac:dyDescent="0.25">
      <c r="B80" s="181"/>
      <c r="C80" s="186"/>
      <c r="D80" s="173"/>
      <c r="E80" s="210"/>
      <c r="F80" s="217"/>
      <c r="G80" s="22" t="s">
        <v>38</v>
      </c>
      <c r="H80" s="20" t="s">
        <v>16</v>
      </c>
      <c r="I80" s="26" t="s">
        <v>17</v>
      </c>
      <c r="J80" s="22">
        <f>IF(I80=H80,"Karpet",0)</f>
        <v>0</v>
      </c>
      <c r="K80" s="22" t="str">
        <f>IF(I80=H80,0,"Batal")</f>
        <v>Batal</v>
      </c>
      <c r="L80" s="49"/>
      <c r="M80" s="61"/>
      <c r="N80" s="274" t="s">
        <v>133</v>
      </c>
      <c r="O80" s="95" t="s">
        <v>134</v>
      </c>
      <c r="P80"/>
    </row>
    <row r="81" spans="2:16" ht="30.75" thickBot="1" x14ac:dyDescent="0.3">
      <c r="B81" s="160"/>
      <c r="C81" s="187"/>
      <c r="D81" s="164"/>
      <c r="E81" s="210"/>
      <c r="F81" s="114" t="s">
        <v>119</v>
      </c>
      <c r="G81" s="23" t="s">
        <v>117</v>
      </c>
      <c r="H81" s="109">
        <v>25</v>
      </c>
      <c r="I81" s="41">
        <v>28</v>
      </c>
      <c r="J81" s="23">
        <f>IF(I81&lt;H81,"Sofa/ Karpet",0)</f>
        <v>0</v>
      </c>
      <c r="K81" s="44" t="str">
        <f>IF(I81&gt;H81,"Kipas angin",0)</f>
        <v>Kipas angin</v>
      </c>
      <c r="L81" s="52" t="s">
        <v>41</v>
      </c>
      <c r="M81" s="58" t="s">
        <v>296</v>
      </c>
      <c r="N81" s="276" t="s">
        <v>135</v>
      </c>
      <c r="O81" s="102" t="s">
        <v>153</v>
      </c>
      <c r="P81"/>
    </row>
    <row r="82" spans="2:16" ht="30" x14ac:dyDescent="0.25">
      <c r="B82" s="188" t="s">
        <v>344</v>
      </c>
      <c r="C82" s="183" t="s">
        <v>350</v>
      </c>
      <c r="D82" s="197" t="s">
        <v>31</v>
      </c>
      <c r="E82" s="221" t="s">
        <v>29</v>
      </c>
      <c r="F82" s="125" t="s">
        <v>24</v>
      </c>
      <c r="G82" s="39" t="s">
        <v>33</v>
      </c>
      <c r="H82" s="36">
        <v>150</v>
      </c>
      <c r="I82" s="43">
        <v>100</v>
      </c>
      <c r="J82" s="39">
        <f>IF(I82&gt;=H82,"Pintu",0)</f>
        <v>0</v>
      </c>
      <c r="K82" s="39" t="str">
        <f>IF(I82&lt;H82,"Saklar Lampu",0)</f>
        <v>Saklar Lampu</v>
      </c>
      <c r="L82" s="83"/>
      <c r="M82" s="68"/>
      <c r="N82" s="277" t="s">
        <v>185</v>
      </c>
      <c r="O82" s="264" t="s">
        <v>329</v>
      </c>
      <c r="P82"/>
    </row>
    <row r="83" spans="2:16" ht="25.5" x14ac:dyDescent="0.25">
      <c r="B83" s="181"/>
      <c r="C83" s="171"/>
      <c r="D83" s="198"/>
      <c r="E83" s="210"/>
      <c r="F83" s="114" t="s">
        <v>45</v>
      </c>
      <c r="G83" s="22" t="s">
        <v>13</v>
      </c>
      <c r="H83" s="20" t="s">
        <v>14</v>
      </c>
      <c r="I83" s="26" t="s">
        <v>14</v>
      </c>
      <c r="J83" s="22" t="str">
        <f>IF(I83=H83,"RCC01",0)</f>
        <v>RCC01</v>
      </c>
      <c r="K83" s="22">
        <f>IF(I83=H83,0,"Batal")</f>
        <v>0</v>
      </c>
      <c r="L83" s="51"/>
      <c r="M83" s="63"/>
      <c r="N83" s="278" t="s">
        <v>182</v>
      </c>
      <c r="O83" s="265"/>
      <c r="P83"/>
    </row>
    <row r="84" spans="2:16" ht="30.75" thickBot="1" x14ac:dyDescent="0.3">
      <c r="B84" s="189"/>
      <c r="C84" s="172"/>
      <c r="D84" s="199"/>
      <c r="E84" s="210"/>
      <c r="F84" s="114" t="s">
        <v>99</v>
      </c>
      <c r="G84" s="22" t="s">
        <v>102</v>
      </c>
      <c r="H84" s="21">
        <v>0.5</v>
      </c>
      <c r="I84" s="26">
        <v>0.5</v>
      </c>
      <c r="J84" s="24">
        <f>IF(I84&lt;H84,"RCC01",0)</f>
        <v>0</v>
      </c>
      <c r="K84" s="24" t="str">
        <f>IF(I84&gt;=H84,"Batal",0)</f>
        <v>Batal</v>
      </c>
      <c r="L84" s="51" t="s">
        <v>13</v>
      </c>
      <c r="M84" s="56" t="s">
        <v>322</v>
      </c>
      <c r="N84" s="279" t="s">
        <v>183</v>
      </c>
      <c r="O84" s="266"/>
      <c r="P84"/>
    </row>
    <row r="85" spans="2:16" ht="30" x14ac:dyDescent="0.25">
      <c r="B85" s="159" t="s">
        <v>344</v>
      </c>
      <c r="C85" s="161" t="s">
        <v>351</v>
      </c>
      <c r="D85" s="200" t="s">
        <v>54</v>
      </c>
      <c r="E85" s="221" t="s">
        <v>23</v>
      </c>
      <c r="F85" s="125" t="s">
        <v>24</v>
      </c>
      <c r="G85" s="39" t="s">
        <v>33</v>
      </c>
      <c r="H85" s="36">
        <v>150</v>
      </c>
      <c r="I85" s="43">
        <v>100</v>
      </c>
      <c r="J85" s="39">
        <f>IF(I85&gt;=H85,"RMK01",0)</f>
        <v>0</v>
      </c>
      <c r="K85" s="39" t="str">
        <f>IF(I85&lt;H85,"Saklar Lampu",0)</f>
        <v>Saklar Lampu</v>
      </c>
      <c r="L85" s="83"/>
      <c r="M85" s="68"/>
      <c r="N85" s="271" t="s">
        <v>123</v>
      </c>
      <c r="O85" s="97"/>
      <c r="P85"/>
    </row>
    <row r="86" spans="2:16" ht="30.75" thickBot="1" x14ac:dyDescent="0.3">
      <c r="B86" s="160"/>
      <c r="C86" s="162"/>
      <c r="D86" s="201"/>
      <c r="E86" s="210"/>
      <c r="F86" s="114" t="s">
        <v>99</v>
      </c>
      <c r="G86" s="22" t="s">
        <v>102</v>
      </c>
      <c r="H86" s="21">
        <v>0.2</v>
      </c>
      <c r="I86" s="26">
        <v>1</v>
      </c>
      <c r="J86" s="24">
        <f>IF(I86&lt;H86,"RMK01",0)</f>
        <v>0</v>
      </c>
      <c r="K86" s="24" t="str">
        <f>IF(I86&gt;=H86,"Batal",0)</f>
        <v>Batal</v>
      </c>
      <c r="L86" s="51"/>
      <c r="M86" s="58" t="s">
        <v>221</v>
      </c>
      <c r="N86" s="279" t="s">
        <v>184</v>
      </c>
      <c r="O86" s="106" t="s">
        <v>120</v>
      </c>
      <c r="P86"/>
    </row>
    <row r="87" spans="2:16" ht="30" x14ac:dyDescent="0.25">
      <c r="B87" s="188" t="s">
        <v>344</v>
      </c>
      <c r="C87" s="183" t="s">
        <v>352</v>
      </c>
      <c r="D87" s="197" t="s">
        <v>55</v>
      </c>
      <c r="E87" s="221" t="s">
        <v>27</v>
      </c>
      <c r="F87" s="125" t="s">
        <v>24</v>
      </c>
      <c r="G87" s="39" t="s">
        <v>33</v>
      </c>
      <c r="H87" s="36">
        <v>150</v>
      </c>
      <c r="I87" s="43">
        <v>100</v>
      </c>
      <c r="J87" s="39">
        <f>IF(I87&gt;=H87,"RDP01",0)</f>
        <v>0</v>
      </c>
      <c r="K87" s="39" t="str">
        <f>IF(I87&lt;H87,"Saklar Lampu",0)</f>
        <v>Saklar Lampu</v>
      </c>
      <c r="L87" s="83"/>
      <c r="M87" s="68"/>
      <c r="N87" s="271" t="s">
        <v>186</v>
      </c>
      <c r="O87" s="97"/>
      <c r="P87"/>
    </row>
    <row r="88" spans="2:16" ht="30.75" thickBot="1" x14ac:dyDescent="0.3">
      <c r="B88" s="189"/>
      <c r="C88" s="172"/>
      <c r="D88" s="199"/>
      <c r="E88" s="210"/>
      <c r="F88" s="75" t="s">
        <v>99</v>
      </c>
      <c r="G88" s="30" t="s">
        <v>102</v>
      </c>
      <c r="H88" s="73">
        <v>0.2</v>
      </c>
      <c r="I88" s="38">
        <v>1</v>
      </c>
      <c r="J88" s="45">
        <f>IF(I88&lt;H88,"RDP01",0)</f>
        <v>0</v>
      </c>
      <c r="K88" s="45" t="str">
        <f>IF(I88&gt;=H88,"Batal",0)</f>
        <v>Batal</v>
      </c>
      <c r="L88" s="52"/>
      <c r="M88" s="58" t="s">
        <v>242</v>
      </c>
      <c r="N88" s="279" t="s">
        <v>187</v>
      </c>
      <c r="O88" s="106" t="s">
        <v>120</v>
      </c>
      <c r="P88"/>
    </row>
    <row r="89" spans="2:16" ht="25.5" x14ac:dyDescent="0.25">
      <c r="B89" s="159" t="s">
        <v>344</v>
      </c>
      <c r="C89" s="161" t="s">
        <v>353</v>
      </c>
      <c r="D89" s="200" t="s">
        <v>56</v>
      </c>
      <c r="E89" s="221" t="s">
        <v>57</v>
      </c>
      <c r="F89" s="126" t="s">
        <v>45</v>
      </c>
      <c r="G89" s="24" t="s">
        <v>13</v>
      </c>
      <c r="H89" s="27" t="s">
        <v>14</v>
      </c>
      <c r="I89" s="37" t="s">
        <v>51</v>
      </c>
      <c r="J89" s="24">
        <f>IF(I89=H89,"RGD01",0)</f>
        <v>0</v>
      </c>
      <c r="K89" s="24" t="str">
        <f>IF(I89=H89,0,"Batal")</f>
        <v>Batal</v>
      </c>
      <c r="L89" s="54"/>
      <c r="M89" s="56"/>
      <c r="N89" s="277" t="s">
        <v>189</v>
      </c>
      <c r="O89" s="101"/>
      <c r="P89"/>
    </row>
    <row r="90" spans="2:16" ht="30" x14ac:dyDescent="0.25">
      <c r="B90" s="181"/>
      <c r="C90" s="171"/>
      <c r="D90" s="198"/>
      <c r="E90" s="210"/>
      <c r="F90" s="115" t="s">
        <v>24</v>
      </c>
      <c r="G90" s="24" t="s">
        <v>33</v>
      </c>
      <c r="H90" s="28">
        <v>150</v>
      </c>
      <c r="I90" s="37">
        <v>100</v>
      </c>
      <c r="J90" s="24">
        <f>IF(I90&gt;=H90,"Pintu",0)</f>
        <v>0</v>
      </c>
      <c r="K90" s="24" t="str">
        <f>IF(I90&lt;H90,"Saklar Lampu",0)</f>
        <v>Saklar Lampu</v>
      </c>
      <c r="L90" s="54"/>
      <c r="M90" s="57"/>
      <c r="N90" s="277" t="s">
        <v>188</v>
      </c>
      <c r="O90" s="97"/>
      <c r="P90"/>
    </row>
    <row r="91" spans="2:16" ht="30.75" thickBot="1" x14ac:dyDescent="0.3">
      <c r="B91" s="160"/>
      <c r="C91" s="162"/>
      <c r="D91" s="201"/>
      <c r="E91" s="210"/>
      <c r="F91" s="114" t="s">
        <v>99</v>
      </c>
      <c r="G91" s="22" t="s">
        <v>102</v>
      </c>
      <c r="H91" s="21">
        <v>0.5</v>
      </c>
      <c r="I91" s="26">
        <v>1</v>
      </c>
      <c r="J91" s="24">
        <f>IF(I91&lt;H91,"RGD01",0)</f>
        <v>0</v>
      </c>
      <c r="K91" s="24" t="str">
        <f>IF(I91&gt;=H91,"Batal",0)</f>
        <v>Batal</v>
      </c>
      <c r="L91" s="51" t="s">
        <v>13</v>
      </c>
      <c r="M91" s="56" t="s">
        <v>322</v>
      </c>
      <c r="N91" s="279" t="s">
        <v>190</v>
      </c>
      <c r="O91" s="106" t="s">
        <v>120</v>
      </c>
      <c r="P91"/>
    </row>
    <row r="92" spans="2:16" ht="30" x14ac:dyDescent="0.25">
      <c r="B92" s="188" t="s">
        <v>344</v>
      </c>
      <c r="C92" s="183" t="s">
        <v>354</v>
      </c>
      <c r="D92" s="197" t="s">
        <v>59</v>
      </c>
      <c r="E92" s="221" t="s">
        <v>61</v>
      </c>
      <c r="F92" s="125" t="s">
        <v>24</v>
      </c>
      <c r="G92" s="39" t="s">
        <v>33</v>
      </c>
      <c r="H92" s="36">
        <v>150</v>
      </c>
      <c r="I92" s="43">
        <v>100</v>
      </c>
      <c r="J92" s="39">
        <f>IF(I92&gt;=H92,"RKD01",0)</f>
        <v>0</v>
      </c>
      <c r="K92" s="39" t="str">
        <f>IF(I92&lt;H92,"Saklar Lampu",0)</f>
        <v>Saklar Lampu</v>
      </c>
      <c r="L92" s="83"/>
      <c r="M92" s="68"/>
      <c r="N92" s="271" t="s">
        <v>191</v>
      </c>
      <c r="O92" s="97"/>
      <c r="P92"/>
    </row>
    <row r="93" spans="2:16" ht="30.75" thickBot="1" x14ac:dyDescent="0.3">
      <c r="B93" s="189"/>
      <c r="C93" s="172"/>
      <c r="D93" s="199"/>
      <c r="E93" s="210"/>
      <c r="F93" s="75" t="s">
        <v>99</v>
      </c>
      <c r="G93" s="30" t="s">
        <v>102</v>
      </c>
      <c r="H93" s="73">
        <v>0.2</v>
      </c>
      <c r="I93" s="38">
        <v>1</v>
      </c>
      <c r="J93" s="45">
        <f>IF(I93&lt;H93,"RKD01",0)</f>
        <v>0</v>
      </c>
      <c r="K93" s="45" t="str">
        <f>IF(I93&gt;=H93,"Batal",0)</f>
        <v>Batal</v>
      </c>
      <c r="L93" s="52"/>
      <c r="M93" s="58" t="s">
        <v>219</v>
      </c>
      <c r="N93" s="279" t="s">
        <v>192</v>
      </c>
      <c r="O93" s="106" t="s">
        <v>120</v>
      </c>
      <c r="P93"/>
    </row>
    <row r="94" spans="2:16" ht="25.5" x14ac:dyDescent="0.25">
      <c r="B94" s="175" t="s">
        <v>344</v>
      </c>
      <c r="C94" s="178" t="s">
        <v>355</v>
      </c>
      <c r="D94" s="200" t="s">
        <v>73</v>
      </c>
      <c r="E94" s="221" t="s">
        <v>47</v>
      </c>
      <c r="F94" s="127" t="s">
        <v>45</v>
      </c>
      <c r="G94" s="39" t="s">
        <v>13</v>
      </c>
      <c r="H94" s="35" t="s">
        <v>14</v>
      </c>
      <c r="I94" s="43" t="s">
        <v>51</v>
      </c>
      <c r="J94" s="39">
        <f>IF(I94=H94,"RTU01",0)</f>
        <v>0</v>
      </c>
      <c r="K94" s="39" t="str">
        <f>IF(I94=H94,0,"Batal")</f>
        <v>Batal</v>
      </c>
      <c r="L94" s="83"/>
      <c r="M94" s="62"/>
      <c r="N94" s="271" t="s">
        <v>176</v>
      </c>
      <c r="O94" s="97"/>
      <c r="P94"/>
    </row>
    <row r="95" spans="2:16" ht="30" x14ac:dyDescent="0.25">
      <c r="B95" s="176"/>
      <c r="C95" s="179"/>
      <c r="D95" s="198"/>
      <c r="E95" s="210"/>
      <c r="F95" s="115" t="s">
        <v>24</v>
      </c>
      <c r="G95" s="24" t="s">
        <v>33</v>
      </c>
      <c r="H95" s="28">
        <v>150</v>
      </c>
      <c r="I95" s="37">
        <v>100</v>
      </c>
      <c r="J95" s="24">
        <f>IF(I95&gt;=H95,"Pintu",0)</f>
        <v>0</v>
      </c>
      <c r="K95" s="24" t="str">
        <f>IF(I95&lt;H95,"Saklar Lampu",0)</f>
        <v>Saklar Lampu</v>
      </c>
      <c r="L95" s="54"/>
      <c r="M95" s="57"/>
      <c r="N95" s="277" t="s">
        <v>201</v>
      </c>
      <c r="O95" s="97"/>
      <c r="P95"/>
    </row>
    <row r="96" spans="2:16" ht="30.75" thickBot="1" x14ac:dyDescent="0.3">
      <c r="B96" s="177"/>
      <c r="C96" s="180"/>
      <c r="D96" s="201"/>
      <c r="E96" s="210"/>
      <c r="F96" s="75" t="s">
        <v>99</v>
      </c>
      <c r="G96" s="30" t="s">
        <v>102</v>
      </c>
      <c r="H96" s="73">
        <v>0.5</v>
      </c>
      <c r="I96" s="38">
        <v>0.2</v>
      </c>
      <c r="J96" s="45" t="str">
        <f>IF(I96&lt;H96,"RTU01",0)</f>
        <v>RTU01</v>
      </c>
      <c r="K96" s="45">
        <f>IF(I96&gt;=H96,"Batal",0)</f>
        <v>0</v>
      </c>
      <c r="L96" s="52" t="s">
        <v>13</v>
      </c>
      <c r="M96" s="58" t="s">
        <v>322</v>
      </c>
      <c r="N96" s="279" t="s">
        <v>161</v>
      </c>
      <c r="O96" s="106" t="s">
        <v>120</v>
      </c>
      <c r="P96"/>
    </row>
    <row r="97" spans="2:16" ht="25.5" x14ac:dyDescent="0.25">
      <c r="B97" s="188" t="s">
        <v>344</v>
      </c>
      <c r="C97" s="183" t="s">
        <v>356</v>
      </c>
      <c r="D97" s="197" t="s">
        <v>74</v>
      </c>
      <c r="E97" s="221" t="s">
        <v>75</v>
      </c>
      <c r="F97" s="126" t="s">
        <v>45</v>
      </c>
      <c r="G97" s="24" t="s">
        <v>13</v>
      </c>
      <c r="H97" s="27" t="s">
        <v>14</v>
      </c>
      <c r="I97" s="37" t="s">
        <v>51</v>
      </c>
      <c r="J97" s="24">
        <f>IF(I97=H97,"RTU02",0)</f>
        <v>0</v>
      </c>
      <c r="K97" s="24" t="str">
        <f>IF(I97=H97,0,"Batal")</f>
        <v>Batal</v>
      </c>
      <c r="L97" s="54"/>
      <c r="M97" s="56"/>
      <c r="N97" s="277" t="s">
        <v>203</v>
      </c>
      <c r="O97" s="101"/>
      <c r="P97"/>
    </row>
    <row r="98" spans="2:16" ht="30" x14ac:dyDescent="0.25">
      <c r="B98" s="181"/>
      <c r="C98" s="171"/>
      <c r="D98" s="198"/>
      <c r="E98" s="210"/>
      <c r="F98" s="115" t="s">
        <v>24</v>
      </c>
      <c r="G98" s="24" t="s">
        <v>33</v>
      </c>
      <c r="H98" s="28">
        <v>150</v>
      </c>
      <c r="I98" s="37">
        <v>100</v>
      </c>
      <c r="J98" s="24">
        <f>IF(I98&gt;=H98,"Pintu",0)</f>
        <v>0</v>
      </c>
      <c r="K98" s="24" t="str">
        <f>IF(I98&lt;H98,"Saklar Lampu",0)</f>
        <v>Saklar Lampu</v>
      </c>
      <c r="L98" s="54"/>
      <c r="M98" s="57"/>
      <c r="N98" s="277" t="s">
        <v>204</v>
      </c>
      <c r="O98" s="97"/>
      <c r="P98"/>
    </row>
    <row r="99" spans="2:16" ht="30.75" thickBot="1" x14ac:dyDescent="0.3">
      <c r="B99" s="189"/>
      <c r="C99" s="172"/>
      <c r="D99" s="199"/>
      <c r="E99" s="210"/>
      <c r="F99" s="75" t="s">
        <v>99</v>
      </c>
      <c r="G99" s="30" t="s">
        <v>102</v>
      </c>
      <c r="H99" s="73">
        <v>0.2</v>
      </c>
      <c r="I99" s="38">
        <v>1</v>
      </c>
      <c r="J99" s="45">
        <f>IF(I99&lt;H99,"RTU02",0)</f>
        <v>0</v>
      </c>
      <c r="K99" s="45" t="str">
        <f>IF(I99&gt;=H99,"Batal",0)</f>
        <v>Batal</v>
      </c>
      <c r="L99" s="52" t="s">
        <v>13</v>
      </c>
      <c r="M99" s="58" t="s">
        <v>322</v>
      </c>
      <c r="N99" s="279" t="s">
        <v>193</v>
      </c>
      <c r="O99" s="106" t="s">
        <v>120</v>
      </c>
      <c r="P99"/>
    </row>
    <row r="100" spans="2:16" ht="25.5" x14ac:dyDescent="0.25">
      <c r="B100" s="159" t="s">
        <v>344</v>
      </c>
      <c r="C100" s="161" t="s">
        <v>357</v>
      </c>
      <c r="D100" s="200" t="s">
        <v>76</v>
      </c>
      <c r="E100" s="221" t="s">
        <v>77</v>
      </c>
      <c r="F100" s="126" t="s">
        <v>45</v>
      </c>
      <c r="G100" s="24" t="s">
        <v>13</v>
      </c>
      <c r="H100" s="27" t="s">
        <v>14</v>
      </c>
      <c r="I100" s="37" t="s">
        <v>51</v>
      </c>
      <c r="J100" s="24">
        <f>IF(I100=E20,"RTA01",0)</f>
        <v>0</v>
      </c>
      <c r="K100" s="24" t="str">
        <f>IF(I100=E20,0,"Batal")</f>
        <v>Batal</v>
      </c>
      <c r="L100" s="54"/>
      <c r="M100" s="56"/>
      <c r="N100" s="277" t="s">
        <v>205</v>
      </c>
      <c r="O100" s="101"/>
      <c r="P100"/>
    </row>
    <row r="101" spans="2:16" ht="30" x14ac:dyDescent="0.25">
      <c r="B101" s="181"/>
      <c r="C101" s="171"/>
      <c r="D101" s="198"/>
      <c r="E101" s="210"/>
      <c r="F101" s="115" t="s">
        <v>24</v>
      </c>
      <c r="G101" s="24" t="s">
        <v>33</v>
      </c>
      <c r="H101" s="28">
        <v>150</v>
      </c>
      <c r="I101" s="37">
        <v>100</v>
      </c>
      <c r="J101" s="24">
        <f>IF(I101&gt;=E21,"Pintu",0)</f>
        <v>0</v>
      </c>
      <c r="K101" s="24" t="str">
        <f>IF(I101&lt;E21,"Saklar Lampu",0)</f>
        <v>Saklar Lampu</v>
      </c>
      <c r="L101" s="54"/>
      <c r="M101" s="57"/>
      <c r="N101" s="277" t="s">
        <v>206</v>
      </c>
      <c r="O101" s="97"/>
      <c r="P101"/>
    </row>
    <row r="102" spans="2:16" ht="30.75" thickBot="1" x14ac:dyDescent="0.3">
      <c r="B102" s="160"/>
      <c r="C102" s="162"/>
      <c r="D102" s="201"/>
      <c r="E102" s="210"/>
      <c r="F102" s="114" t="s">
        <v>99</v>
      </c>
      <c r="G102" s="22" t="s">
        <v>102</v>
      </c>
      <c r="H102" s="21">
        <v>0.2</v>
      </c>
      <c r="I102" s="26">
        <v>1</v>
      </c>
      <c r="J102" s="24">
        <f>IF(I102&lt;E22,"RTA01",0)</f>
        <v>0</v>
      </c>
      <c r="K102" s="24" t="str">
        <f>IF(I102&gt;=E22,"Batal",0)</f>
        <v>Batal</v>
      </c>
      <c r="L102" s="51" t="s">
        <v>13</v>
      </c>
      <c r="M102" s="56" t="s">
        <v>322</v>
      </c>
      <c r="N102" s="279" t="s">
        <v>194</v>
      </c>
      <c r="O102" s="106" t="s">
        <v>120</v>
      </c>
      <c r="P102"/>
    </row>
    <row r="103" spans="2:16" ht="25.5" x14ac:dyDescent="0.25">
      <c r="B103" s="188" t="s">
        <v>344</v>
      </c>
      <c r="C103" s="183" t="s">
        <v>358</v>
      </c>
      <c r="D103" s="197" t="s">
        <v>60</v>
      </c>
      <c r="E103" s="221" t="s">
        <v>36</v>
      </c>
      <c r="F103" s="125" t="s">
        <v>24</v>
      </c>
      <c r="G103" s="39" t="s">
        <v>33</v>
      </c>
      <c r="H103" s="36">
        <v>150</v>
      </c>
      <c r="I103" s="43">
        <v>100</v>
      </c>
      <c r="J103" s="39" t="str">
        <f>IF(I103&gt;=E23,"RKG01",0)</f>
        <v>RKG01</v>
      </c>
      <c r="K103" s="39">
        <f>IF(I103&lt;E23,"Saklar Lampu",0)</f>
        <v>0</v>
      </c>
      <c r="L103" s="83"/>
      <c r="M103" s="68"/>
      <c r="N103" s="271" t="s">
        <v>130</v>
      </c>
      <c r="O103" s="97"/>
      <c r="P103"/>
    </row>
    <row r="104" spans="2:16" ht="30.75" thickBot="1" x14ac:dyDescent="0.3">
      <c r="B104" s="189"/>
      <c r="C104" s="172"/>
      <c r="D104" s="199"/>
      <c r="E104" s="210"/>
      <c r="F104" s="114" t="s">
        <v>99</v>
      </c>
      <c r="G104" s="22" t="s">
        <v>102</v>
      </c>
      <c r="H104" s="21">
        <v>0.5</v>
      </c>
      <c r="I104" s="26">
        <v>1</v>
      </c>
      <c r="J104" s="24" t="str">
        <f>IF(I104&lt;E24,"RKG01",0)</f>
        <v>RKG01</v>
      </c>
      <c r="K104" s="24">
        <f>IF(I104&gt;=E24,"Batal",0)</f>
        <v>0</v>
      </c>
      <c r="L104" s="51"/>
      <c r="M104" s="58" t="s">
        <v>220</v>
      </c>
      <c r="N104" s="279" t="s">
        <v>195</v>
      </c>
      <c r="O104" s="106" t="s">
        <v>120</v>
      </c>
      <c r="P104"/>
    </row>
    <row r="105" spans="2:16" ht="25.5" x14ac:dyDescent="0.25">
      <c r="B105" s="159" t="s">
        <v>344</v>
      </c>
      <c r="C105" s="161" t="s">
        <v>359</v>
      </c>
      <c r="D105" s="200" t="s">
        <v>62</v>
      </c>
      <c r="E105" s="221" t="s">
        <v>63</v>
      </c>
      <c r="F105" s="125" t="s">
        <v>24</v>
      </c>
      <c r="G105" s="39" t="s">
        <v>33</v>
      </c>
      <c r="H105" s="36">
        <v>150</v>
      </c>
      <c r="I105" s="43">
        <v>100</v>
      </c>
      <c r="J105" s="39" t="str">
        <f>IF(I105&gt;=E25,"RTM01",0)</f>
        <v>RTM01</v>
      </c>
      <c r="K105" s="39">
        <f>IF(I105&lt;E25,"Saklar Lampu",0)</f>
        <v>0</v>
      </c>
      <c r="L105" s="83"/>
      <c r="M105" s="68"/>
      <c r="N105" s="271" t="s">
        <v>196</v>
      </c>
      <c r="O105" s="97"/>
      <c r="P105"/>
    </row>
    <row r="106" spans="2:16" ht="30.75" thickBot="1" x14ac:dyDescent="0.3">
      <c r="B106" s="160"/>
      <c r="C106" s="162"/>
      <c r="D106" s="201"/>
      <c r="E106" s="210"/>
      <c r="F106" s="114" t="s">
        <v>99</v>
      </c>
      <c r="G106" s="22" t="s">
        <v>102</v>
      </c>
      <c r="H106" s="21">
        <v>0.2</v>
      </c>
      <c r="I106" s="26">
        <v>1</v>
      </c>
      <c r="J106" s="24">
        <f>IF(I106&lt;E26,"RTM01",0)</f>
        <v>0</v>
      </c>
      <c r="K106" s="24" t="str">
        <f>IF(I106&gt;=E26,"Batal",0)</f>
        <v>Batal</v>
      </c>
      <c r="L106" s="51"/>
      <c r="M106" s="58" t="s">
        <v>220</v>
      </c>
      <c r="N106" s="279" t="s">
        <v>197</v>
      </c>
      <c r="O106" s="106" t="s">
        <v>120</v>
      </c>
      <c r="P106"/>
    </row>
    <row r="107" spans="2:16" ht="25.5" x14ac:dyDescent="0.25">
      <c r="B107" s="188" t="s">
        <v>344</v>
      </c>
      <c r="C107" s="183" t="s">
        <v>360</v>
      </c>
      <c r="D107" s="197" t="s">
        <v>64</v>
      </c>
      <c r="E107" s="221" t="s">
        <v>65</v>
      </c>
      <c r="F107" s="125" t="s">
        <v>24</v>
      </c>
      <c r="G107" s="39" t="s">
        <v>33</v>
      </c>
      <c r="H107" s="36">
        <v>150</v>
      </c>
      <c r="I107" s="43">
        <v>100</v>
      </c>
      <c r="J107" s="39" t="str">
        <f>IF(I107&gt;=E27,"Pintu",0)</f>
        <v>Pintu</v>
      </c>
      <c r="K107" s="39">
        <f>IF(I107&lt;E27,"Saklar Lampu",0)</f>
        <v>0</v>
      </c>
      <c r="L107" s="83"/>
      <c r="M107" s="68"/>
      <c r="N107" s="277" t="s">
        <v>164</v>
      </c>
      <c r="O107" s="97"/>
      <c r="P107"/>
    </row>
    <row r="108" spans="2:16" ht="25.5" x14ac:dyDescent="0.25">
      <c r="B108" s="181"/>
      <c r="C108" s="171"/>
      <c r="D108" s="198"/>
      <c r="E108" s="210"/>
      <c r="F108" s="114" t="s">
        <v>45</v>
      </c>
      <c r="G108" s="22" t="s">
        <v>13</v>
      </c>
      <c r="H108" s="20" t="s">
        <v>14</v>
      </c>
      <c r="I108" s="26" t="s">
        <v>51</v>
      </c>
      <c r="J108" s="22">
        <f>IF(I108=E28,"RTS01",0)</f>
        <v>0</v>
      </c>
      <c r="K108" s="22" t="str">
        <f>IF(I108=E28,0,"Batal")</f>
        <v>Batal</v>
      </c>
      <c r="L108" s="51"/>
      <c r="M108" s="63"/>
      <c r="N108" s="278" t="s">
        <v>198</v>
      </c>
      <c r="O108" s="97"/>
      <c r="P108"/>
    </row>
    <row r="109" spans="2:16" ht="30.75" thickBot="1" x14ac:dyDescent="0.3">
      <c r="B109" s="189"/>
      <c r="C109" s="172"/>
      <c r="D109" s="199"/>
      <c r="E109" s="210"/>
      <c r="F109" s="114" t="s">
        <v>99</v>
      </c>
      <c r="G109" s="22" t="s">
        <v>102</v>
      </c>
      <c r="H109" s="21">
        <v>0.5</v>
      </c>
      <c r="I109" s="26">
        <v>1</v>
      </c>
      <c r="J109" s="24" t="str">
        <f>IF(I109&lt;E29,"RTS01",0)</f>
        <v>RTS01</v>
      </c>
      <c r="K109" s="24">
        <f>IF(I109&gt;=E29,"Batal",0)</f>
        <v>0</v>
      </c>
      <c r="L109" s="51" t="s">
        <v>13</v>
      </c>
      <c r="M109" s="56" t="s">
        <v>322</v>
      </c>
      <c r="N109" s="279" t="s">
        <v>199</v>
      </c>
      <c r="O109" s="106" t="s">
        <v>120</v>
      </c>
      <c r="P109"/>
    </row>
    <row r="110" spans="2:16" ht="30" x14ac:dyDescent="0.25">
      <c r="B110" s="168" t="s">
        <v>376</v>
      </c>
      <c r="C110" s="161" t="s">
        <v>377</v>
      </c>
      <c r="D110" s="200" t="s">
        <v>66</v>
      </c>
      <c r="E110" s="221" t="s">
        <v>23</v>
      </c>
      <c r="F110" s="125" t="s">
        <v>24</v>
      </c>
      <c r="G110" s="39" t="s">
        <v>33</v>
      </c>
      <c r="H110" s="36">
        <v>150</v>
      </c>
      <c r="I110" s="43">
        <v>100</v>
      </c>
      <c r="J110" s="39">
        <f>IF(I110&gt;=H110,"RMK01",0)</f>
        <v>0</v>
      </c>
      <c r="K110" s="39" t="str">
        <f>IF(I110&lt;H110,"Saklar Lampu",0)</f>
        <v>Saklar Lampu</v>
      </c>
      <c r="L110" s="83"/>
      <c r="M110" s="68"/>
      <c r="N110" s="271" t="s">
        <v>123</v>
      </c>
      <c r="O110" s="97"/>
      <c r="P110"/>
    </row>
    <row r="111" spans="2:16" ht="30.75" thickBot="1" x14ac:dyDescent="0.3">
      <c r="B111" s="184"/>
      <c r="C111" s="162"/>
      <c r="D111" s="201"/>
      <c r="E111" s="210"/>
      <c r="F111" s="114" t="s">
        <v>99</v>
      </c>
      <c r="G111" s="22" t="s">
        <v>102</v>
      </c>
      <c r="H111" s="21">
        <v>0.2</v>
      </c>
      <c r="I111" s="26">
        <v>1</v>
      </c>
      <c r="J111" s="24">
        <f>IF(I111&lt;H111,"RMK01",0)</f>
        <v>0</v>
      </c>
      <c r="K111" s="24" t="str">
        <f>IF(I111&gt;=H111,"Batal",0)</f>
        <v>Batal</v>
      </c>
      <c r="L111" s="51"/>
      <c r="M111" s="58" t="s">
        <v>220</v>
      </c>
      <c r="N111" s="279" t="s">
        <v>184</v>
      </c>
      <c r="O111" s="106" t="s">
        <v>120</v>
      </c>
      <c r="P111"/>
    </row>
    <row r="112" spans="2:16" ht="30" x14ac:dyDescent="0.25">
      <c r="B112" s="182" t="s">
        <v>378</v>
      </c>
      <c r="C112" s="183" t="s">
        <v>379</v>
      </c>
      <c r="D112" s="197" t="s">
        <v>67</v>
      </c>
      <c r="E112" s="221" t="s">
        <v>27</v>
      </c>
      <c r="F112" s="125" t="s">
        <v>24</v>
      </c>
      <c r="G112" s="39" t="s">
        <v>33</v>
      </c>
      <c r="H112" s="36">
        <v>150</v>
      </c>
      <c r="I112" s="43">
        <v>100</v>
      </c>
      <c r="J112" s="39">
        <f>IF(I112&gt;=H112,"RDP01",0)</f>
        <v>0</v>
      </c>
      <c r="K112" s="39" t="str">
        <f>IF(I112&lt;H112,"Saklar Lampu",0)</f>
        <v>Saklar Lampu</v>
      </c>
      <c r="L112" s="83"/>
      <c r="M112" s="68"/>
      <c r="N112" s="271" t="s">
        <v>186</v>
      </c>
      <c r="O112" s="97"/>
      <c r="P112"/>
    </row>
    <row r="113" spans="2:16" ht="30.75" thickBot="1" x14ac:dyDescent="0.3">
      <c r="B113" s="170"/>
      <c r="C113" s="172"/>
      <c r="D113" s="199"/>
      <c r="E113" s="210"/>
      <c r="F113" s="75" t="s">
        <v>99</v>
      </c>
      <c r="G113" s="30" t="s">
        <v>102</v>
      </c>
      <c r="H113" s="73">
        <v>0.2</v>
      </c>
      <c r="I113" s="38">
        <v>1</v>
      </c>
      <c r="J113" s="45">
        <f>IF(I113&lt;H113,"RDP01",0)</f>
        <v>0</v>
      </c>
      <c r="K113" s="45" t="str">
        <f>IF(I113&gt;=H113,"Batal",0)</f>
        <v>Batal</v>
      </c>
      <c r="L113" s="52"/>
      <c r="M113" s="58" t="s">
        <v>315</v>
      </c>
      <c r="N113" s="279" t="s">
        <v>187</v>
      </c>
      <c r="O113" s="106" t="s">
        <v>120</v>
      </c>
      <c r="P113"/>
    </row>
    <row r="114" spans="2:16" ht="25.5" x14ac:dyDescent="0.25">
      <c r="B114" s="168" t="s">
        <v>374</v>
      </c>
      <c r="C114" s="161" t="s">
        <v>375</v>
      </c>
      <c r="D114" s="200" t="s">
        <v>68</v>
      </c>
      <c r="E114" s="221" t="s">
        <v>57</v>
      </c>
      <c r="F114" s="126" t="s">
        <v>45</v>
      </c>
      <c r="G114" s="24" t="s">
        <v>13</v>
      </c>
      <c r="H114" s="27" t="s">
        <v>14</v>
      </c>
      <c r="I114" s="37" t="s">
        <v>51</v>
      </c>
      <c r="J114" s="24">
        <f>IF(I114=H114,"RTS01",0)</f>
        <v>0</v>
      </c>
      <c r="K114" s="24" t="str">
        <f>IF(I114=H114,0,"Batal")</f>
        <v>Batal</v>
      </c>
      <c r="L114" s="54"/>
      <c r="M114" s="56"/>
      <c r="N114" s="277" t="s">
        <v>189</v>
      </c>
      <c r="O114" s="101"/>
      <c r="P114"/>
    </row>
    <row r="115" spans="2:16" ht="30" x14ac:dyDescent="0.25">
      <c r="B115" s="169"/>
      <c r="C115" s="171"/>
      <c r="D115" s="198"/>
      <c r="E115" s="210"/>
      <c r="F115" s="115" t="s">
        <v>24</v>
      </c>
      <c r="G115" s="24" t="s">
        <v>33</v>
      </c>
      <c r="H115" s="28">
        <v>150</v>
      </c>
      <c r="I115" s="37">
        <v>100</v>
      </c>
      <c r="J115" s="24">
        <f>IF(I115&gt;=H115,"Pintu",0)</f>
        <v>0</v>
      </c>
      <c r="K115" s="24" t="str">
        <f>IF(I115&lt;H115,"Saklar Lampu",0)</f>
        <v>Saklar Lampu</v>
      </c>
      <c r="L115" s="54"/>
      <c r="M115" s="57"/>
      <c r="N115" s="277" t="s">
        <v>188</v>
      </c>
      <c r="O115" s="97"/>
      <c r="P115"/>
    </row>
    <row r="116" spans="2:16" ht="30.75" thickBot="1" x14ac:dyDescent="0.3">
      <c r="B116" s="184"/>
      <c r="C116" s="162"/>
      <c r="D116" s="201"/>
      <c r="E116" s="210"/>
      <c r="F116" s="114" t="s">
        <v>99</v>
      </c>
      <c r="G116" s="22" t="s">
        <v>102</v>
      </c>
      <c r="H116" s="21">
        <v>0.2</v>
      </c>
      <c r="I116" s="26">
        <v>1</v>
      </c>
      <c r="J116" s="24">
        <f>IF(I116&lt;H116,"RGD01",0)</f>
        <v>0</v>
      </c>
      <c r="K116" s="24" t="str">
        <f>IF(I116&gt;=H116,"Batal",0)</f>
        <v>Batal</v>
      </c>
      <c r="L116" s="51" t="s">
        <v>13</v>
      </c>
      <c r="M116" s="56" t="s">
        <v>322</v>
      </c>
      <c r="N116" s="279" t="s">
        <v>200</v>
      </c>
      <c r="O116" s="106" t="s">
        <v>120</v>
      </c>
      <c r="P116"/>
    </row>
    <row r="117" spans="2:16" ht="30" x14ac:dyDescent="0.25">
      <c r="B117" s="182" t="s">
        <v>372</v>
      </c>
      <c r="C117" s="183" t="s">
        <v>373</v>
      </c>
      <c r="D117" s="197" t="s">
        <v>69</v>
      </c>
      <c r="E117" s="221" t="s">
        <v>61</v>
      </c>
      <c r="F117" s="125" t="s">
        <v>24</v>
      </c>
      <c r="G117" s="39" t="s">
        <v>33</v>
      </c>
      <c r="H117" s="36">
        <v>150</v>
      </c>
      <c r="I117" s="43">
        <v>100</v>
      </c>
      <c r="J117" s="39">
        <f>IF(I117&gt;=H117,"RKD01",0)</f>
        <v>0</v>
      </c>
      <c r="K117" s="39" t="str">
        <f>IF(I117&lt;H117,"Saklar Lampu",0)</f>
        <v>Saklar Lampu</v>
      </c>
      <c r="L117" s="83"/>
      <c r="M117" s="62"/>
      <c r="N117" s="271" t="s">
        <v>191</v>
      </c>
      <c r="O117" s="97"/>
      <c r="P117"/>
    </row>
    <row r="118" spans="2:16" ht="30.75" thickBot="1" x14ac:dyDescent="0.3">
      <c r="B118" s="170"/>
      <c r="C118" s="172"/>
      <c r="D118" s="199"/>
      <c r="E118" s="210"/>
      <c r="F118" s="75" t="s">
        <v>99</v>
      </c>
      <c r="G118" s="30" t="s">
        <v>102</v>
      </c>
      <c r="H118" s="73">
        <v>0.2</v>
      </c>
      <c r="I118" s="38">
        <v>1</v>
      </c>
      <c r="J118" s="30">
        <f>IF(I118&lt;H118,"RKD01",0)</f>
        <v>0</v>
      </c>
      <c r="K118" s="30" t="str">
        <f>IF(I118&gt;=H118,"Batal",0)</f>
        <v>Batal</v>
      </c>
      <c r="L118" s="52"/>
      <c r="M118" s="59" t="s">
        <v>220</v>
      </c>
      <c r="N118" s="276" t="s">
        <v>192</v>
      </c>
      <c r="O118" s="106" t="s">
        <v>120</v>
      </c>
      <c r="P118"/>
    </row>
    <row r="119" spans="2:16" ht="25.5" x14ac:dyDescent="0.25">
      <c r="B119" s="168" t="s">
        <v>362</v>
      </c>
      <c r="C119" s="161" t="s">
        <v>363</v>
      </c>
      <c r="D119" s="200" t="s">
        <v>78</v>
      </c>
      <c r="E119" s="221" t="s">
        <v>47</v>
      </c>
      <c r="F119" s="126" t="s">
        <v>45</v>
      </c>
      <c r="G119" s="24" t="s">
        <v>13</v>
      </c>
      <c r="H119" s="27" t="s">
        <v>14</v>
      </c>
      <c r="I119" s="37" t="s">
        <v>51</v>
      </c>
      <c r="J119" s="24">
        <f>IF(I119=H119,"RTS01",0)</f>
        <v>0</v>
      </c>
      <c r="K119" s="24" t="str">
        <f>IF(I119=H119,0,"Batal")</f>
        <v>Batal</v>
      </c>
      <c r="L119" s="54"/>
      <c r="M119" s="56"/>
      <c r="N119" s="277" t="s">
        <v>176</v>
      </c>
      <c r="O119" s="101"/>
      <c r="P119"/>
    </row>
    <row r="120" spans="2:16" ht="30" x14ac:dyDescent="0.25">
      <c r="B120" s="169"/>
      <c r="C120" s="171"/>
      <c r="D120" s="198"/>
      <c r="E120" s="210"/>
      <c r="F120" s="114" t="s">
        <v>24</v>
      </c>
      <c r="G120" s="22" t="s">
        <v>33</v>
      </c>
      <c r="H120" s="21">
        <v>150</v>
      </c>
      <c r="I120" s="26">
        <v>100</v>
      </c>
      <c r="J120" s="22">
        <f>IF(I120&gt;=H120,"Pintu",0)</f>
        <v>0</v>
      </c>
      <c r="K120" s="22" t="str">
        <f>IF(I120&lt;H120,"Saklar Lampu",0)</f>
        <v>Saklar Lampu</v>
      </c>
      <c r="L120" s="51"/>
      <c r="M120" s="63"/>
      <c r="N120" s="278" t="s">
        <v>201</v>
      </c>
      <c r="O120" s="136"/>
      <c r="P120"/>
    </row>
    <row r="121" spans="2:16" ht="30.75" thickBot="1" x14ac:dyDescent="0.3">
      <c r="B121" s="184"/>
      <c r="C121" s="162"/>
      <c r="D121" s="201"/>
      <c r="E121" s="210"/>
      <c r="F121" s="75" t="s">
        <v>99</v>
      </c>
      <c r="G121" s="30" t="s">
        <v>102</v>
      </c>
      <c r="H121" s="73">
        <v>0.2</v>
      </c>
      <c r="I121" s="38">
        <v>1</v>
      </c>
      <c r="J121" s="45">
        <f>IF(I121&lt;H121,"RTU01",0)</f>
        <v>0</v>
      </c>
      <c r="K121" s="45" t="str">
        <f>IF(I121&gt;=H121,"Batal",0)</f>
        <v>Batal</v>
      </c>
      <c r="L121" s="51" t="s">
        <v>13</v>
      </c>
      <c r="M121" s="56" t="s">
        <v>322</v>
      </c>
      <c r="N121" s="279" t="s">
        <v>202</v>
      </c>
      <c r="O121" s="106"/>
      <c r="P121"/>
    </row>
    <row r="122" spans="2:16" ht="25.5" x14ac:dyDescent="0.25">
      <c r="B122" s="182" t="s">
        <v>364</v>
      </c>
      <c r="C122" s="183" t="s">
        <v>365</v>
      </c>
      <c r="D122" s="197" t="s">
        <v>79</v>
      </c>
      <c r="E122" s="221" t="s">
        <v>75</v>
      </c>
      <c r="F122" s="127" t="s">
        <v>45</v>
      </c>
      <c r="G122" s="39" t="s">
        <v>13</v>
      </c>
      <c r="H122" s="35" t="s">
        <v>14</v>
      </c>
      <c r="I122" s="43" t="s">
        <v>51</v>
      </c>
      <c r="J122" s="39">
        <f>IF(I122=H122,"RTS01",0)</f>
        <v>0</v>
      </c>
      <c r="K122" s="39" t="str">
        <f>IF(I122=H122,0,"Batal")</f>
        <v>Batal</v>
      </c>
      <c r="L122" s="83"/>
      <c r="M122" s="62"/>
      <c r="N122" s="271" t="s">
        <v>203</v>
      </c>
      <c r="O122" s="96"/>
      <c r="P122"/>
    </row>
    <row r="123" spans="2:16" ht="30" x14ac:dyDescent="0.25">
      <c r="B123" s="169"/>
      <c r="C123" s="171"/>
      <c r="D123" s="198"/>
      <c r="E123" s="210"/>
      <c r="F123" s="76" t="s">
        <v>24</v>
      </c>
      <c r="G123" s="22" t="s">
        <v>33</v>
      </c>
      <c r="H123" s="21">
        <v>150</v>
      </c>
      <c r="I123" s="26">
        <v>100</v>
      </c>
      <c r="J123" s="22">
        <f>IF(I123&gt;=H123,"Pintu",0)</f>
        <v>0</v>
      </c>
      <c r="K123" s="22" t="str">
        <f>IF(I123&lt;H123,"Saklar Lampu",0)</f>
        <v>Saklar Lampu</v>
      </c>
      <c r="L123" s="51"/>
      <c r="M123" s="63"/>
      <c r="N123" s="278" t="s">
        <v>204</v>
      </c>
      <c r="O123" s="135"/>
      <c r="P123"/>
    </row>
    <row r="124" spans="2:16" ht="30.75" thickBot="1" x14ac:dyDescent="0.3">
      <c r="B124" s="170"/>
      <c r="C124" s="172"/>
      <c r="D124" s="199"/>
      <c r="E124" s="210"/>
      <c r="F124" s="75" t="s">
        <v>99</v>
      </c>
      <c r="G124" s="30" t="s">
        <v>102</v>
      </c>
      <c r="H124" s="73">
        <v>0.2</v>
      </c>
      <c r="I124" s="38">
        <v>1</v>
      </c>
      <c r="J124" s="30">
        <f>IF(I124&lt;H124,"RTU02",0)</f>
        <v>0</v>
      </c>
      <c r="K124" s="30" t="str">
        <f>IF(I124&gt;=H124,"Batal",0)</f>
        <v>Batal</v>
      </c>
      <c r="L124" s="51" t="s">
        <v>13</v>
      </c>
      <c r="M124" s="56" t="s">
        <v>322</v>
      </c>
      <c r="N124" s="276" t="s">
        <v>193</v>
      </c>
      <c r="O124" s="137"/>
      <c r="P124"/>
    </row>
    <row r="125" spans="2:16" ht="25.5" x14ac:dyDescent="0.25">
      <c r="B125" s="168" t="s">
        <v>366</v>
      </c>
      <c r="C125" s="161" t="s">
        <v>367</v>
      </c>
      <c r="D125" s="200" t="s">
        <v>423</v>
      </c>
      <c r="E125" s="221" t="s">
        <v>77</v>
      </c>
      <c r="F125" s="126" t="s">
        <v>45</v>
      </c>
      <c r="G125" s="24" t="s">
        <v>13</v>
      </c>
      <c r="H125" s="27" t="s">
        <v>14</v>
      </c>
      <c r="I125" s="37" t="s">
        <v>51</v>
      </c>
      <c r="J125" s="24">
        <f>IF(I125=H125,"RTS01",0)</f>
        <v>0</v>
      </c>
      <c r="K125" s="24" t="str">
        <f>IF(I125=H125,0,"Batal")</f>
        <v>Batal</v>
      </c>
      <c r="L125" s="54"/>
      <c r="M125" s="56"/>
      <c r="N125" s="277" t="s">
        <v>205</v>
      </c>
      <c r="O125" s="101"/>
      <c r="P125"/>
    </row>
    <row r="126" spans="2:16" ht="30" x14ac:dyDescent="0.25">
      <c r="B126" s="169"/>
      <c r="C126" s="171"/>
      <c r="D126" s="198"/>
      <c r="E126" s="210"/>
      <c r="F126" s="115" t="s">
        <v>24</v>
      </c>
      <c r="G126" s="24" t="s">
        <v>33</v>
      </c>
      <c r="H126" s="28">
        <v>150</v>
      </c>
      <c r="I126" s="37">
        <v>100</v>
      </c>
      <c r="J126" s="24">
        <f>IF(I126&gt;=H126,"Pintu",0)</f>
        <v>0</v>
      </c>
      <c r="K126" s="24" t="str">
        <f>IF(I126&lt;H126,"Saklar Lampu",0)</f>
        <v>Saklar Lampu</v>
      </c>
      <c r="L126" s="54"/>
      <c r="M126" s="56"/>
      <c r="N126" s="277" t="s">
        <v>206</v>
      </c>
      <c r="O126" s="97"/>
      <c r="P126"/>
    </row>
    <row r="127" spans="2:16" ht="30.75" thickBot="1" x14ac:dyDescent="0.3">
      <c r="B127" s="184"/>
      <c r="C127" s="162"/>
      <c r="D127" s="201"/>
      <c r="E127" s="210"/>
      <c r="F127" s="114" t="s">
        <v>99</v>
      </c>
      <c r="G127" s="22" t="s">
        <v>102</v>
      </c>
      <c r="H127" s="21">
        <v>0.2</v>
      </c>
      <c r="I127" s="26">
        <v>1</v>
      </c>
      <c r="J127" s="24">
        <f>IF(I127&lt;H127,"RTA01",0)</f>
        <v>0</v>
      </c>
      <c r="K127" s="24" t="str">
        <f>IF(I127&gt;=H127,"Batal",0)</f>
        <v>Batal</v>
      </c>
      <c r="L127" s="51" t="s">
        <v>13</v>
      </c>
      <c r="M127" s="56" t="s">
        <v>322</v>
      </c>
      <c r="N127" s="279" t="s">
        <v>207</v>
      </c>
      <c r="O127" s="106"/>
      <c r="P127"/>
    </row>
    <row r="128" spans="2:16" ht="30" x14ac:dyDescent="0.25">
      <c r="B128" s="182" t="s">
        <v>370</v>
      </c>
      <c r="C128" s="183" t="s">
        <v>371</v>
      </c>
      <c r="D128" s="197" t="s">
        <v>70</v>
      </c>
      <c r="E128" s="221" t="s">
        <v>36</v>
      </c>
      <c r="F128" s="125" t="s">
        <v>24</v>
      </c>
      <c r="G128" s="39" t="s">
        <v>33</v>
      </c>
      <c r="H128" s="36">
        <v>150</v>
      </c>
      <c r="I128" s="43">
        <v>100</v>
      </c>
      <c r="J128" s="39">
        <f>IF(I128&gt;=H128,"RKG01",0)</f>
        <v>0</v>
      </c>
      <c r="K128" s="39" t="str">
        <f>IF(I128&lt;H128,"Saklar Lampu",0)</f>
        <v>Saklar Lampu</v>
      </c>
      <c r="L128" s="83"/>
      <c r="M128" s="62"/>
      <c r="N128" s="277" t="s">
        <v>130</v>
      </c>
      <c r="O128" s="97"/>
      <c r="P128"/>
    </row>
    <row r="129" spans="2:16" ht="30.75" thickBot="1" x14ac:dyDescent="0.3">
      <c r="B129" s="170"/>
      <c r="C129" s="172"/>
      <c r="D129" s="199"/>
      <c r="E129" s="210"/>
      <c r="F129" s="114" t="s">
        <v>99</v>
      </c>
      <c r="G129" s="22" t="s">
        <v>102</v>
      </c>
      <c r="H129" s="21">
        <v>0.2</v>
      </c>
      <c r="I129" s="26">
        <v>1</v>
      </c>
      <c r="J129" s="24">
        <f>IF(I129&lt;H129,"RKG01",0)</f>
        <v>0</v>
      </c>
      <c r="K129" s="24" t="str">
        <f>IF(I129&gt;=H129,"Batal",0)</f>
        <v>Batal</v>
      </c>
      <c r="L129" s="51"/>
      <c r="M129" s="63"/>
      <c r="N129" s="279" t="s">
        <v>195</v>
      </c>
      <c r="O129" s="106"/>
      <c r="P129"/>
    </row>
    <row r="130" spans="2:16" ht="30" x14ac:dyDescent="0.25">
      <c r="B130" s="168" t="s">
        <v>368</v>
      </c>
      <c r="C130" s="161" t="s">
        <v>369</v>
      </c>
      <c r="D130" s="200" t="s">
        <v>71</v>
      </c>
      <c r="E130" s="221" t="s">
        <v>63</v>
      </c>
      <c r="F130" s="125" t="s">
        <v>24</v>
      </c>
      <c r="G130" s="39" t="s">
        <v>33</v>
      </c>
      <c r="H130" s="36">
        <v>150</v>
      </c>
      <c r="I130" s="43">
        <v>100</v>
      </c>
      <c r="J130" s="39">
        <f>IF(I130&gt;=H130,"RTM01",0)</f>
        <v>0</v>
      </c>
      <c r="K130" s="39" t="str">
        <f>IF(I130&lt;H130,"Saklar Lampu",0)</f>
        <v>Saklar Lampu</v>
      </c>
      <c r="L130" s="83"/>
      <c r="M130" s="62"/>
      <c r="N130" s="277" t="s">
        <v>196</v>
      </c>
      <c r="O130" s="97"/>
      <c r="P130"/>
    </row>
    <row r="131" spans="2:16" ht="30.75" thickBot="1" x14ac:dyDescent="0.3">
      <c r="B131" s="184"/>
      <c r="C131" s="162"/>
      <c r="D131" s="201"/>
      <c r="E131" s="210"/>
      <c r="F131" s="114" t="s">
        <v>99</v>
      </c>
      <c r="G131" s="22" t="s">
        <v>102</v>
      </c>
      <c r="H131" s="21">
        <v>0.2</v>
      </c>
      <c r="I131" s="26">
        <v>1</v>
      </c>
      <c r="J131" s="24">
        <f>IF(I131&lt;H131,"RTM01",0)</f>
        <v>0</v>
      </c>
      <c r="K131" s="24" t="str">
        <f>IF(I131&gt;=H131,"Batal",0)</f>
        <v>Batal</v>
      </c>
      <c r="L131" s="51"/>
      <c r="M131" s="63"/>
      <c r="N131" s="279" t="s">
        <v>197</v>
      </c>
      <c r="O131" s="106"/>
      <c r="P131"/>
    </row>
    <row r="132" spans="2:16" ht="30" x14ac:dyDescent="0.25">
      <c r="B132" s="182" t="s">
        <v>380</v>
      </c>
      <c r="C132" s="183" t="s">
        <v>381</v>
      </c>
      <c r="D132" s="197" t="s">
        <v>72</v>
      </c>
      <c r="E132" s="221" t="s">
        <v>65</v>
      </c>
      <c r="F132" s="125" t="s">
        <v>24</v>
      </c>
      <c r="G132" s="39" t="s">
        <v>33</v>
      </c>
      <c r="H132" s="36">
        <v>150</v>
      </c>
      <c r="I132" s="43">
        <v>100</v>
      </c>
      <c r="J132" s="39">
        <f>IF(I132&gt;=H132,"Pintu",0)</f>
        <v>0</v>
      </c>
      <c r="K132" s="39" t="str">
        <f>IF(I132&lt;H132,"Saklar Lampu",0)</f>
        <v>Saklar Lampu</v>
      </c>
      <c r="L132" s="83"/>
      <c r="M132" s="62"/>
      <c r="N132" s="277" t="s">
        <v>164</v>
      </c>
      <c r="O132" s="97"/>
      <c r="P132"/>
    </row>
    <row r="133" spans="2:16" ht="25.5" x14ac:dyDescent="0.25">
      <c r="B133" s="169"/>
      <c r="C133" s="171"/>
      <c r="D133" s="198"/>
      <c r="E133" s="210"/>
      <c r="F133" s="114" t="s">
        <v>45</v>
      </c>
      <c r="G133" s="22" t="s">
        <v>13</v>
      </c>
      <c r="H133" s="20" t="s">
        <v>14</v>
      </c>
      <c r="I133" s="26" t="s">
        <v>51</v>
      </c>
      <c r="J133" s="22">
        <f>IF(I133=H133,"RTS01",0)</f>
        <v>0</v>
      </c>
      <c r="K133" s="22" t="str">
        <f>IF(I133=H133,0,"Batal")</f>
        <v>Batal</v>
      </c>
      <c r="L133" s="51"/>
      <c r="M133" s="63"/>
      <c r="N133" s="278" t="s">
        <v>198</v>
      </c>
      <c r="O133" s="97"/>
      <c r="P133"/>
    </row>
    <row r="134" spans="2:16" ht="30.75" thickBot="1" x14ac:dyDescent="0.3">
      <c r="B134" s="170"/>
      <c r="C134" s="172"/>
      <c r="D134" s="199"/>
      <c r="E134" s="210"/>
      <c r="F134" s="114" t="s">
        <v>99</v>
      </c>
      <c r="G134" s="22" t="s">
        <v>102</v>
      </c>
      <c r="H134" s="21">
        <v>0.2</v>
      </c>
      <c r="I134" s="26">
        <v>1</v>
      </c>
      <c r="J134" s="24">
        <f>IF(I134&lt;H134,"RTS01",0)</f>
        <v>0</v>
      </c>
      <c r="K134" s="24" t="str">
        <f>IF(I134&gt;=H134,"Batal",0)</f>
        <v>Batal</v>
      </c>
      <c r="L134" s="51" t="s">
        <v>13</v>
      </c>
      <c r="M134" s="56" t="s">
        <v>322</v>
      </c>
      <c r="N134" s="279" t="s">
        <v>208</v>
      </c>
      <c r="O134" s="107" t="s">
        <v>222</v>
      </c>
      <c r="P134"/>
    </row>
    <row r="135" spans="2:16" ht="30" x14ac:dyDescent="0.25">
      <c r="B135" s="159" t="s">
        <v>344</v>
      </c>
      <c r="C135" s="185" t="s">
        <v>437</v>
      </c>
      <c r="D135" s="200" t="s">
        <v>435</v>
      </c>
      <c r="E135" s="218" t="s">
        <v>250</v>
      </c>
      <c r="F135" s="125" t="s">
        <v>24</v>
      </c>
      <c r="G135" s="39" t="s">
        <v>33</v>
      </c>
      <c r="H135" s="36">
        <v>150</v>
      </c>
      <c r="I135" s="43">
        <v>100</v>
      </c>
      <c r="J135" s="39">
        <f>IF(I135&gt;=H135,"RMK01",0)</f>
        <v>0</v>
      </c>
      <c r="K135" s="39" t="str">
        <f>IF(I135&lt;H135,"Saklar Lampu",0)</f>
        <v>Saklar Lampu</v>
      </c>
      <c r="L135" s="83"/>
      <c r="M135" s="62"/>
      <c r="N135" s="271" t="s">
        <v>123</v>
      </c>
      <c r="O135" s="100"/>
      <c r="P135"/>
    </row>
    <row r="136" spans="2:16" ht="30" x14ac:dyDescent="0.25">
      <c r="B136" s="181"/>
      <c r="C136" s="186"/>
      <c r="D136" s="198"/>
      <c r="E136" s="219"/>
      <c r="F136" s="76" t="s">
        <v>32</v>
      </c>
      <c r="G136" s="22" t="s">
        <v>88</v>
      </c>
      <c r="H136" s="22" t="s">
        <v>80</v>
      </c>
      <c r="I136" s="26" t="s">
        <v>80</v>
      </c>
      <c r="J136" s="22" t="str">
        <f>IF(I136=H136,"Pompa air 2",0)</f>
        <v>Pompa air 2</v>
      </c>
      <c r="K136" s="22">
        <f>IF(I136=H136,0,"Batal")</f>
        <v>0</v>
      </c>
      <c r="L136" s="51"/>
      <c r="M136" s="63"/>
      <c r="N136" s="278" t="s">
        <v>214</v>
      </c>
      <c r="O136" s="97" t="s">
        <v>209</v>
      </c>
      <c r="P136"/>
    </row>
    <row r="137" spans="2:16" ht="30" x14ac:dyDescent="0.25">
      <c r="B137" s="181"/>
      <c r="C137" s="186"/>
      <c r="D137" s="198"/>
      <c r="E137" s="220"/>
      <c r="F137" s="76" t="s">
        <v>58</v>
      </c>
      <c r="G137" s="24" t="s">
        <v>121</v>
      </c>
      <c r="H137" s="24" t="s">
        <v>30</v>
      </c>
      <c r="I137" s="37" t="s">
        <v>30</v>
      </c>
      <c r="J137" s="24" t="str">
        <f>IF(I137=H137,"Saklar pompa",0)</f>
        <v>Saklar pompa</v>
      </c>
      <c r="K137" s="24">
        <f>IF(I137=H137,0,"RHD01")</f>
        <v>0</v>
      </c>
      <c r="L137" s="54"/>
      <c r="M137" s="56" t="s">
        <v>221</v>
      </c>
      <c r="N137" s="278" t="s">
        <v>217</v>
      </c>
      <c r="O137" s="101" t="s">
        <v>210</v>
      </c>
      <c r="P137"/>
    </row>
    <row r="138" spans="2:16" ht="25.5" x14ac:dyDescent="0.25">
      <c r="B138" s="181"/>
      <c r="C138" s="186" t="s">
        <v>438</v>
      </c>
      <c r="D138" s="198" t="s">
        <v>436</v>
      </c>
      <c r="E138" s="210" t="s">
        <v>28</v>
      </c>
      <c r="F138" s="119" t="s">
        <v>24</v>
      </c>
      <c r="G138" s="24" t="s">
        <v>33</v>
      </c>
      <c r="H138" s="28">
        <v>150</v>
      </c>
      <c r="I138" s="37">
        <v>100</v>
      </c>
      <c r="J138" s="24">
        <f>IF(I138&gt;=H138,"RHD01",0)</f>
        <v>0</v>
      </c>
      <c r="K138" s="24" t="str">
        <f>IF(I138&lt;H138,"Batal",0)</f>
        <v>Batal</v>
      </c>
      <c r="L138" s="54"/>
      <c r="M138" s="56"/>
      <c r="N138" s="277" t="s">
        <v>213</v>
      </c>
      <c r="O138" s="82"/>
      <c r="P138"/>
    </row>
    <row r="139" spans="2:16" ht="30" x14ac:dyDescent="0.25">
      <c r="B139" s="181"/>
      <c r="C139" s="186"/>
      <c r="D139" s="198"/>
      <c r="E139" s="210"/>
      <c r="F139" s="76" t="s">
        <v>32</v>
      </c>
      <c r="G139" s="22" t="s">
        <v>88</v>
      </c>
      <c r="H139" s="22" t="s">
        <v>80</v>
      </c>
      <c r="I139" s="26" t="s">
        <v>80</v>
      </c>
      <c r="J139" s="22" t="str">
        <f>IF(I139=H139,"Pompa air 1",0)</f>
        <v>Pompa air 1</v>
      </c>
      <c r="K139" s="22">
        <f>IF(I139=H139,0,"Batal")</f>
        <v>0</v>
      </c>
      <c r="L139" s="51"/>
      <c r="M139" s="63"/>
      <c r="N139" s="278" t="s">
        <v>215</v>
      </c>
      <c r="O139" s="97" t="s">
        <v>211</v>
      </c>
      <c r="P139"/>
    </row>
    <row r="140" spans="2:16" ht="30.75" thickBot="1" x14ac:dyDescent="0.3">
      <c r="B140" s="160"/>
      <c r="C140" s="187"/>
      <c r="D140" s="201"/>
      <c r="E140" s="210"/>
      <c r="F140" s="114" t="s">
        <v>58</v>
      </c>
      <c r="G140" s="24" t="s">
        <v>122</v>
      </c>
      <c r="H140" s="24" t="s">
        <v>30</v>
      </c>
      <c r="I140" s="37" t="s">
        <v>30</v>
      </c>
      <c r="J140" s="24" t="str">
        <f>IF(I140=H140,"Saklar pompa",0)</f>
        <v>Saklar pompa</v>
      </c>
      <c r="K140" s="24">
        <f>IF(I140=H140,0,"Batal")</f>
        <v>0</v>
      </c>
      <c r="L140" s="54"/>
      <c r="M140" s="57"/>
      <c r="N140" s="276" t="s">
        <v>216</v>
      </c>
      <c r="O140" s="106"/>
      <c r="P140"/>
    </row>
    <row r="141" spans="2:16" ht="30" x14ac:dyDescent="0.25">
      <c r="B141" s="192" t="s">
        <v>444</v>
      </c>
      <c r="C141" s="190" t="s">
        <v>445</v>
      </c>
      <c r="D141" s="197" t="s">
        <v>441</v>
      </c>
      <c r="E141" s="221" t="s">
        <v>23</v>
      </c>
      <c r="F141" s="125" t="s">
        <v>24</v>
      </c>
      <c r="G141" s="39" t="s">
        <v>33</v>
      </c>
      <c r="H141" s="36">
        <v>150</v>
      </c>
      <c r="I141" s="43">
        <v>100</v>
      </c>
      <c r="J141" s="39">
        <f>IF(I141&gt;=H141,"Saklar pompa",0)</f>
        <v>0</v>
      </c>
      <c r="K141" s="39" t="str">
        <f>IF(I141&lt;H141,"Saklar Lampu",0)</f>
        <v>Saklar Lampu</v>
      </c>
      <c r="L141" s="83"/>
      <c r="M141" s="62"/>
      <c r="N141" s="277" t="s">
        <v>123</v>
      </c>
      <c r="O141" s="100"/>
      <c r="P141"/>
    </row>
    <row r="142" spans="2:16" ht="30" x14ac:dyDescent="0.25">
      <c r="B142" s="193"/>
      <c r="C142" s="186"/>
      <c r="D142" s="198"/>
      <c r="E142" s="210"/>
      <c r="F142" s="114" t="s">
        <v>32</v>
      </c>
      <c r="G142" s="22" t="s">
        <v>88</v>
      </c>
      <c r="H142" s="22" t="s">
        <v>80</v>
      </c>
      <c r="I142" s="26" t="s">
        <v>80</v>
      </c>
      <c r="J142" s="22" t="str">
        <f>IF(I142=H142,"Pompa air",0)</f>
        <v>Pompa air</v>
      </c>
      <c r="K142" s="22">
        <f>IF(I142=H142,0,"Batal")</f>
        <v>0</v>
      </c>
      <c r="L142" s="51"/>
      <c r="M142" s="63"/>
      <c r="N142" s="278" t="s">
        <v>214</v>
      </c>
      <c r="O142" s="97"/>
      <c r="P142"/>
    </row>
    <row r="143" spans="2:16" ht="30.75" thickBot="1" x14ac:dyDescent="0.3">
      <c r="B143" s="194"/>
      <c r="C143" s="191"/>
      <c r="D143" s="199"/>
      <c r="E143" s="211"/>
      <c r="F143" s="75" t="s">
        <v>58</v>
      </c>
      <c r="G143" s="45" t="s">
        <v>121</v>
      </c>
      <c r="H143" s="45" t="s">
        <v>80</v>
      </c>
      <c r="I143" s="67" t="s">
        <v>30</v>
      </c>
      <c r="J143" s="45">
        <f>IF(I143=H143,"Saklar pompa",0)</f>
        <v>0</v>
      </c>
      <c r="K143" s="45" t="str">
        <f>IF(I143=H143,0,"RHD01")</f>
        <v>RHD01</v>
      </c>
      <c r="L143" s="65"/>
      <c r="M143" s="59" t="s">
        <v>221</v>
      </c>
      <c r="N143" s="276" t="s">
        <v>212</v>
      </c>
      <c r="O143" s="106"/>
      <c r="P143"/>
    </row>
    <row r="144" spans="2:16" ht="30" x14ac:dyDescent="0.25">
      <c r="B144" s="195" t="s">
        <v>443</v>
      </c>
      <c r="C144" s="185" t="s">
        <v>442</v>
      </c>
      <c r="D144" s="200" t="s">
        <v>421</v>
      </c>
      <c r="E144" s="210" t="s">
        <v>28</v>
      </c>
      <c r="F144" s="115" t="s">
        <v>24</v>
      </c>
      <c r="G144" s="24" t="s">
        <v>33</v>
      </c>
      <c r="H144" s="28">
        <v>150</v>
      </c>
      <c r="I144" s="37">
        <v>100</v>
      </c>
      <c r="J144" s="24">
        <f>IF(I144&gt;=H144,"Saklar pompa",0)</f>
        <v>0</v>
      </c>
      <c r="K144" s="24" t="str">
        <f>IF(I144&lt;H144,"Saklar Lampu",0)</f>
        <v>Saklar Lampu</v>
      </c>
      <c r="L144" s="54"/>
      <c r="M144" s="56"/>
      <c r="N144" s="277" t="s">
        <v>213</v>
      </c>
      <c r="O144" s="97"/>
      <c r="P144"/>
    </row>
    <row r="145" spans="2:16" ht="30" x14ac:dyDescent="0.25">
      <c r="B145" s="193"/>
      <c r="C145" s="186"/>
      <c r="D145" s="198"/>
      <c r="E145" s="210"/>
      <c r="F145" s="114" t="s">
        <v>32</v>
      </c>
      <c r="G145" s="22" t="s">
        <v>88</v>
      </c>
      <c r="H145" s="22" t="s">
        <v>80</v>
      </c>
      <c r="I145" s="26" t="s">
        <v>30</v>
      </c>
      <c r="J145" s="22">
        <f>IF(I145=H145,"Pompa air",0)</f>
        <v>0</v>
      </c>
      <c r="K145" s="22" t="str">
        <f>IF(I145=H145,0,"Batal")</f>
        <v>Batal</v>
      </c>
      <c r="L145" s="51"/>
      <c r="M145" s="63"/>
      <c r="N145" s="278" t="s">
        <v>215</v>
      </c>
      <c r="O145" s="97"/>
      <c r="P145"/>
    </row>
    <row r="146" spans="2:16" ht="30.75" thickBot="1" x14ac:dyDescent="0.3">
      <c r="B146" s="196"/>
      <c r="C146" s="187"/>
      <c r="D146" s="201"/>
      <c r="E146" s="211"/>
      <c r="F146" s="75" t="s">
        <v>58</v>
      </c>
      <c r="G146" s="45" t="s">
        <v>122</v>
      </c>
      <c r="H146" s="45" t="s">
        <v>80</v>
      </c>
      <c r="I146" s="67" t="s">
        <v>80</v>
      </c>
      <c r="J146" s="45" t="str">
        <f>IF(I146=H146,"Saklar pompa",0)</f>
        <v>Saklar pompa</v>
      </c>
      <c r="K146" s="45">
        <f>IF(I146=H146,0,"Batal")</f>
        <v>0</v>
      </c>
      <c r="L146" s="65"/>
      <c r="M146" s="58"/>
      <c r="N146" s="276" t="s">
        <v>216</v>
      </c>
      <c r="O146" s="106"/>
      <c r="P146"/>
    </row>
    <row r="147" spans="2:16" ht="25.5" x14ac:dyDescent="0.25">
      <c r="B147" s="188" t="s">
        <v>344</v>
      </c>
      <c r="C147" s="183" t="s">
        <v>361</v>
      </c>
      <c r="D147" s="197" t="s">
        <v>81</v>
      </c>
      <c r="E147" s="210" t="s">
        <v>27</v>
      </c>
      <c r="F147" s="115" t="s">
        <v>24</v>
      </c>
      <c r="G147" s="24" t="s">
        <v>90</v>
      </c>
      <c r="H147" s="28">
        <v>100</v>
      </c>
      <c r="I147" s="37">
        <v>120</v>
      </c>
      <c r="J147" s="24" t="str">
        <f>IF(I147&gt;=H147,"RDP01",0)</f>
        <v>RDP01</v>
      </c>
      <c r="K147" s="24">
        <f>IF(I147&lt;H147,"Saklar Lampu",0)</f>
        <v>0</v>
      </c>
      <c r="L147" s="54"/>
      <c r="M147" s="56"/>
      <c r="N147" s="277" t="s">
        <v>224</v>
      </c>
      <c r="O147" s="97"/>
      <c r="P147"/>
    </row>
    <row r="148" spans="2:16" ht="30" x14ac:dyDescent="0.25">
      <c r="B148" s="181"/>
      <c r="C148" s="171"/>
      <c r="D148" s="198"/>
      <c r="E148" s="210"/>
      <c r="F148" s="76" t="s">
        <v>99</v>
      </c>
      <c r="G148" s="22" t="s">
        <v>102</v>
      </c>
      <c r="H148" s="21">
        <v>0.5</v>
      </c>
      <c r="I148" s="26">
        <v>0.3</v>
      </c>
      <c r="J148" s="24" t="str">
        <f>IF(I148&lt;H148,"Tempat sampah",0)</f>
        <v>Tempat sampah</v>
      </c>
      <c r="K148" s="24">
        <f>IF(I148&gt;=H148,"Batal",0)</f>
        <v>0</v>
      </c>
      <c r="L148" s="51"/>
      <c r="M148" s="56"/>
      <c r="N148" s="278" t="s">
        <v>223</v>
      </c>
      <c r="O148" s="97"/>
      <c r="P148"/>
    </row>
    <row r="149" spans="2:16" ht="26.25" thickBot="1" x14ac:dyDescent="0.3">
      <c r="B149" s="189"/>
      <c r="C149" s="172"/>
      <c r="D149" s="199"/>
      <c r="E149" s="210"/>
      <c r="F149" s="115" t="s">
        <v>45</v>
      </c>
      <c r="G149" s="24" t="s">
        <v>13</v>
      </c>
      <c r="H149" s="27" t="s">
        <v>14</v>
      </c>
      <c r="I149" s="37" t="s">
        <v>14</v>
      </c>
      <c r="J149" s="24" t="str">
        <f>IF(I149=H149,"RCC01",0)</f>
        <v>RCC01</v>
      </c>
      <c r="K149" s="24">
        <f>IF(I149=H149,0,"Batal")</f>
        <v>0</v>
      </c>
      <c r="L149" s="54"/>
      <c r="M149" s="56"/>
      <c r="N149" s="276" t="s">
        <v>182</v>
      </c>
      <c r="O149" s="106"/>
      <c r="P149"/>
    </row>
    <row r="150" spans="2:16" ht="30" x14ac:dyDescent="0.25">
      <c r="B150" s="159" t="s">
        <v>344</v>
      </c>
      <c r="C150" s="161" t="s">
        <v>388</v>
      </c>
      <c r="D150" s="200" t="s">
        <v>82</v>
      </c>
      <c r="E150" s="213" t="s">
        <v>50</v>
      </c>
      <c r="F150" s="127" t="s">
        <v>24</v>
      </c>
      <c r="G150" s="39" t="s">
        <v>33</v>
      </c>
      <c r="H150" s="36">
        <v>150</v>
      </c>
      <c r="I150" s="43">
        <v>100</v>
      </c>
      <c r="J150" s="39">
        <f>IF(I150&gt;=H150,"Pintu",0)</f>
        <v>0</v>
      </c>
      <c r="K150" s="39" t="str">
        <f>IF(I150&lt;H150,"Saklar Lampu",0)</f>
        <v>Saklar Lampu</v>
      </c>
      <c r="L150" s="83"/>
      <c r="M150" s="62"/>
      <c r="N150" s="271" t="s">
        <v>164</v>
      </c>
      <c r="O150" s="100"/>
      <c r="P150"/>
    </row>
    <row r="151" spans="2:16" ht="30" x14ac:dyDescent="0.25">
      <c r="B151" s="181"/>
      <c r="C151" s="171"/>
      <c r="D151" s="198"/>
      <c r="E151" s="214"/>
      <c r="F151" s="114" t="s">
        <v>99</v>
      </c>
      <c r="G151" s="22" t="s">
        <v>102</v>
      </c>
      <c r="H151" s="21">
        <v>0</v>
      </c>
      <c r="I151" s="26">
        <v>0.2</v>
      </c>
      <c r="J151" s="24">
        <f>IF(I151&lt;=H151,"Pintu",0)</f>
        <v>0</v>
      </c>
      <c r="K151" s="24" t="str">
        <f>IF(I151&gt;H151,"Batal",0)</f>
        <v>Batal</v>
      </c>
      <c r="L151" s="51"/>
      <c r="M151" s="63"/>
      <c r="N151" s="272" t="s">
        <v>180</v>
      </c>
      <c r="O151" s="97"/>
      <c r="P151"/>
    </row>
    <row r="152" spans="2:16" ht="25.5" x14ac:dyDescent="0.25">
      <c r="B152" s="181"/>
      <c r="C152" s="171"/>
      <c r="D152" s="198"/>
      <c r="E152" s="214"/>
      <c r="F152" s="76" t="s">
        <v>45</v>
      </c>
      <c r="G152" s="22" t="s">
        <v>13</v>
      </c>
      <c r="H152" s="20" t="s">
        <v>14</v>
      </c>
      <c r="I152" s="26" t="s">
        <v>51</v>
      </c>
      <c r="J152" s="22">
        <f>IF(I152=H152,"Bak mandi",0)</f>
        <v>0</v>
      </c>
      <c r="K152" s="22" t="str">
        <f>IF(I152=H152,0,"Batal")</f>
        <v>Batal</v>
      </c>
      <c r="L152" s="51"/>
      <c r="M152" s="63" t="s">
        <v>327</v>
      </c>
      <c r="N152" s="278" t="s">
        <v>166</v>
      </c>
      <c r="O152" s="97"/>
      <c r="P152"/>
    </row>
    <row r="153" spans="2:16" ht="39" thickBot="1" x14ac:dyDescent="0.3">
      <c r="B153" s="160"/>
      <c r="C153" s="162"/>
      <c r="D153" s="201"/>
      <c r="E153" s="214"/>
      <c r="F153" s="75" t="s">
        <v>32</v>
      </c>
      <c r="G153" s="30" t="s">
        <v>104</v>
      </c>
      <c r="H153" s="30">
        <v>120</v>
      </c>
      <c r="I153" s="38">
        <v>80</v>
      </c>
      <c r="J153" s="30">
        <f>IF(I153&gt;=H153,"Bak mandi",0)</f>
        <v>0</v>
      </c>
      <c r="K153" s="30" t="str">
        <f>IF(I153&gt;=H153,0,"Kran air")</f>
        <v>Kran air</v>
      </c>
      <c r="L153" s="52" t="s">
        <v>171</v>
      </c>
      <c r="M153" s="59" t="s">
        <v>320</v>
      </c>
      <c r="N153" s="279" t="s">
        <v>172</v>
      </c>
      <c r="O153" s="104" t="s">
        <v>173</v>
      </c>
      <c r="P153"/>
    </row>
    <row r="154" spans="2:16" ht="25.5" x14ac:dyDescent="0.25">
      <c r="B154" s="188" t="s">
        <v>344</v>
      </c>
      <c r="C154" s="183" t="s">
        <v>389</v>
      </c>
      <c r="D154" s="197" t="s">
        <v>84</v>
      </c>
      <c r="E154" s="221" t="s">
        <v>28</v>
      </c>
      <c r="F154" s="127" t="s">
        <v>24</v>
      </c>
      <c r="G154" s="39" t="s">
        <v>90</v>
      </c>
      <c r="H154" s="36">
        <v>100</v>
      </c>
      <c r="I154" s="43">
        <v>120</v>
      </c>
      <c r="J154" s="39" t="str">
        <f>IF(I154&gt;H154,"Pintu",0)</f>
        <v>Pintu</v>
      </c>
      <c r="K154" s="39">
        <f>IF(I154&lt;=H154,"Batal",0)</f>
        <v>0</v>
      </c>
      <c r="L154" s="83"/>
      <c r="M154" s="62"/>
      <c r="N154" s="280" t="s">
        <v>225</v>
      </c>
      <c r="O154" s="97"/>
      <c r="P154"/>
    </row>
    <row r="155" spans="2:16" ht="25.5" x14ac:dyDescent="0.25">
      <c r="B155" s="181"/>
      <c r="C155" s="171"/>
      <c r="D155" s="198"/>
      <c r="E155" s="210"/>
      <c r="F155" s="76" t="s">
        <v>45</v>
      </c>
      <c r="G155" s="22" t="s">
        <v>13</v>
      </c>
      <c r="H155" s="20" t="s">
        <v>14</v>
      </c>
      <c r="I155" s="26" t="s">
        <v>14</v>
      </c>
      <c r="J155" s="22" t="str">
        <f>IF(I155=H155,"RHD01",0)</f>
        <v>RHD01</v>
      </c>
      <c r="K155" s="22">
        <f>IF(I155=H155,0,"Batal")</f>
        <v>0</v>
      </c>
      <c r="L155" s="51"/>
      <c r="M155" s="63"/>
      <c r="N155" s="278" t="s">
        <v>225</v>
      </c>
      <c r="O155" s="97"/>
      <c r="P155"/>
    </row>
    <row r="156" spans="2:16" ht="30" x14ac:dyDescent="0.25">
      <c r="B156" s="181"/>
      <c r="C156" s="171"/>
      <c r="D156" s="198"/>
      <c r="E156" s="210"/>
      <c r="F156" s="114" t="s">
        <v>99</v>
      </c>
      <c r="G156" s="22" t="s">
        <v>102</v>
      </c>
      <c r="H156" s="21">
        <v>1</v>
      </c>
      <c r="I156" s="26">
        <v>0.8</v>
      </c>
      <c r="J156" s="24" t="str">
        <f>IF(I156&lt;=H156,"Kran air",0)</f>
        <v>Kran air</v>
      </c>
      <c r="K156" s="24">
        <f>IF(I156&gt;H156,"Batal",0)</f>
        <v>0</v>
      </c>
      <c r="L156" s="51"/>
      <c r="M156" s="63"/>
      <c r="N156" s="277" t="s">
        <v>226</v>
      </c>
      <c r="O156" s="97"/>
      <c r="P156"/>
    </row>
    <row r="157" spans="2:16" ht="30" x14ac:dyDescent="0.25">
      <c r="B157" s="181"/>
      <c r="C157" s="171"/>
      <c r="D157" s="198"/>
      <c r="E157" s="210"/>
      <c r="F157" s="76" t="s">
        <v>32</v>
      </c>
      <c r="G157" s="22" t="s">
        <v>104</v>
      </c>
      <c r="H157" s="22" t="s">
        <v>107</v>
      </c>
      <c r="I157" s="26" t="s">
        <v>107</v>
      </c>
      <c r="J157" s="22" t="str">
        <f>IF(I157=H157,"Pot tanaman",0)</f>
        <v>Pot tanaman</v>
      </c>
      <c r="K157" s="22">
        <f>IF(I157=H157,0,"Pompa air 1")</f>
        <v>0</v>
      </c>
      <c r="L157" s="51" t="s">
        <v>85</v>
      </c>
      <c r="M157" s="63" t="s">
        <v>228</v>
      </c>
      <c r="N157" s="277" t="s">
        <v>227</v>
      </c>
      <c r="O157" s="97"/>
      <c r="P157"/>
    </row>
    <row r="158" spans="2:16" ht="30" x14ac:dyDescent="0.25">
      <c r="B158" s="181"/>
      <c r="C158" s="171"/>
      <c r="D158" s="198"/>
      <c r="E158" s="210"/>
      <c r="F158" s="114" t="s">
        <v>32</v>
      </c>
      <c r="G158" s="22" t="s">
        <v>88</v>
      </c>
      <c r="H158" s="22" t="s">
        <v>80</v>
      </c>
      <c r="I158" s="26" t="s">
        <v>80</v>
      </c>
      <c r="J158" s="22" t="str">
        <f>IF(I158=H158,"Pompa air",0)</f>
        <v>Pompa air</v>
      </c>
      <c r="K158" s="22">
        <f>IF(I158=H158,0,"Batal")</f>
        <v>0</v>
      </c>
      <c r="L158" s="51"/>
      <c r="M158" s="63"/>
      <c r="N158" s="277" t="s">
        <v>215</v>
      </c>
      <c r="O158" s="97"/>
      <c r="P158"/>
    </row>
    <row r="159" spans="2:16" ht="30.75" thickBot="1" x14ac:dyDescent="0.3">
      <c r="B159" s="189"/>
      <c r="C159" s="172"/>
      <c r="D159" s="199"/>
      <c r="E159" s="211"/>
      <c r="F159" s="75" t="s">
        <v>58</v>
      </c>
      <c r="G159" s="45" t="s">
        <v>122</v>
      </c>
      <c r="H159" s="45" t="s">
        <v>30</v>
      </c>
      <c r="I159" s="67" t="s">
        <v>80</v>
      </c>
      <c r="J159" s="45">
        <f>IF(I159=H159,"Saklar pompa",0)</f>
        <v>0</v>
      </c>
      <c r="K159" s="45" t="str">
        <f>IF(I159=H159,0,"Batal")</f>
        <v>Batal</v>
      </c>
      <c r="L159" s="51" t="s">
        <v>229</v>
      </c>
      <c r="M159" s="63" t="s">
        <v>230</v>
      </c>
      <c r="N159" s="276" t="s">
        <v>232</v>
      </c>
      <c r="O159" s="106" t="s">
        <v>231</v>
      </c>
      <c r="P159"/>
    </row>
    <row r="160" spans="2:16" ht="25.5" x14ac:dyDescent="0.25">
      <c r="B160" s="159" t="s">
        <v>344</v>
      </c>
      <c r="C160" s="161" t="s">
        <v>404</v>
      </c>
      <c r="D160" s="200" t="s">
        <v>86</v>
      </c>
      <c r="E160" s="213" t="s">
        <v>28</v>
      </c>
      <c r="F160" s="127" t="s">
        <v>24</v>
      </c>
      <c r="G160" s="39" t="s">
        <v>90</v>
      </c>
      <c r="H160" s="36">
        <v>100</v>
      </c>
      <c r="I160" s="43">
        <v>120</v>
      </c>
      <c r="J160" s="39" t="str">
        <f>IF(I160&gt;H160,"Pintu",0)</f>
        <v>Pintu</v>
      </c>
      <c r="K160" s="39">
        <f>IF(I160&lt;=H160,"Batal",0)</f>
        <v>0</v>
      </c>
      <c r="L160" s="83"/>
      <c r="M160" s="62"/>
      <c r="N160" s="280" t="s">
        <v>225</v>
      </c>
      <c r="O160" s="97"/>
      <c r="P160"/>
    </row>
    <row r="161" spans="2:16" ht="25.5" x14ac:dyDescent="0.25">
      <c r="B161" s="181"/>
      <c r="C161" s="171"/>
      <c r="D161" s="198"/>
      <c r="E161" s="214"/>
      <c r="F161" s="76" t="s">
        <v>45</v>
      </c>
      <c r="G161" s="22" t="s">
        <v>13</v>
      </c>
      <c r="H161" s="20" t="s">
        <v>14</v>
      </c>
      <c r="I161" s="26" t="s">
        <v>14</v>
      </c>
      <c r="J161" s="22" t="str">
        <f>IF(I161=H161,"RHD01",0)</f>
        <v>RHD01</v>
      </c>
      <c r="K161" s="22">
        <f>IF(I161=H161,0,"Batal")</f>
        <v>0</v>
      </c>
      <c r="L161" s="51"/>
      <c r="M161" s="63"/>
      <c r="N161" s="278" t="s">
        <v>225</v>
      </c>
      <c r="O161" s="97"/>
      <c r="P161"/>
    </row>
    <row r="162" spans="2:16" ht="30" x14ac:dyDescent="0.25">
      <c r="B162" s="181"/>
      <c r="C162" s="171"/>
      <c r="D162" s="198"/>
      <c r="E162" s="214"/>
      <c r="F162" s="114" t="s">
        <v>99</v>
      </c>
      <c r="G162" s="22" t="s">
        <v>102</v>
      </c>
      <c r="H162" s="21">
        <v>1</v>
      </c>
      <c r="I162" s="26">
        <v>0.8</v>
      </c>
      <c r="J162" s="24" t="str">
        <f>IF(I162&lt;=H162,"Kran air",0)</f>
        <v>Kran air</v>
      </c>
      <c r="K162" s="24">
        <f>IF(I162&gt;H162,"Batal",0)</f>
        <v>0</v>
      </c>
      <c r="L162" s="51"/>
      <c r="M162" s="63"/>
      <c r="N162" s="277" t="s">
        <v>226</v>
      </c>
      <c r="O162" s="97"/>
      <c r="P162"/>
    </row>
    <row r="163" spans="2:16" ht="30" x14ac:dyDescent="0.25">
      <c r="B163" s="181"/>
      <c r="C163" s="171"/>
      <c r="D163" s="198"/>
      <c r="E163" s="214"/>
      <c r="F163" s="76" t="s">
        <v>32</v>
      </c>
      <c r="G163" s="22" t="s">
        <v>104</v>
      </c>
      <c r="H163" s="22" t="s">
        <v>107</v>
      </c>
      <c r="I163" s="26" t="s">
        <v>107</v>
      </c>
      <c r="J163" s="22" t="str">
        <f>IF(I163=H163,"Pot tanaman",0)</f>
        <v>Pot tanaman</v>
      </c>
      <c r="K163" s="22">
        <f>IF(I163=H163,0,"Pompa air 1")</f>
        <v>0</v>
      </c>
      <c r="L163" s="51" t="s">
        <v>85</v>
      </c>
      <c r="M163" s="63" t="s">
        <v>228</v>
      </c>
      <c r="N163" s="277" t="s">
        <v>227</v>
      </c>
      <c r="O163" s="97"/>
      <c r="P163"/>
    </row>
    <row r="164" spans="2:16" ht="30" x14ac:dyDescent="0.25">
      <c r="B164" s="181"/>
      <c r="C164" s="171"/>
      <c r="D164" s="198"/>
      <c r="E164" s="214"/>
      <c r="F164" s="114" t="s">
        <v>32</v>
      </c>
      <c r="G164" s="22" t="s">
        <v>88</v>
      </c>
      <c r="H164" s="22" t="s">
        <v>80</v>
      </c>
      <c r="I164" s="26" t="s">
        <v>80</v>
      </c>
      <c r="J164" s="22" t="str">
        <f>IF(I164=H164,"Pompa air",0)</f>
        <v>Pompa air</v>
      </c>
      <c r="K164" s="22">
        <f>IF(I164=H164,0,"Batal")</f>
        <v>0</v>
      </c>
      <c r="L164" s="51"/>
      <c r="M164" s="63"/>
      <c r="N164" s="277" t="s">
        <v>215</v>
      </c>
      <c r="O164" s="97"/>
      <c r="P164"/>
    </row>
    <row r="165" spans="2:16" ht="30.75" thickBot="1" x14ac:dyDescent="0.3">
      <c r="B165" s="160"/>
      <c r="C165" s="162"/>
      <c r="D165" s="201"/>
      <c r="E165" s="214"/>
      <c r="F165" s="75" t="s">
        <v>58</v>
      </c>
      <c r="G165" s="45" t="s">
        <v>122</v>
      </c>
      <c r="H165" s="45" t="s">
        <v>30</v>
      </c>
      <c r="I165" s="67" t="s">
        <v>80</v>
      </c>
      <c r="J165" s="45">
        <f>IF(I165=H165,"Saklar pompa",0)</f>
        <v>0</v>
      </c>
      <c r="K165" s="45" t="str">
        <f>IF(I165=H165,0,"Batal")</f>
        <v>Batal</v>
      </c>
      <c r="L165" s="51" t="s">
        <v>229</v>
      </c>
      <c r="M165" s="63" t="s">
        <v>230</v>
      </c>
      <c r="N165" s="276" t="s">
        <v>232</v>
      </c>
      <c r="O165" s="106"/>
      <c r="P165"/>
    </row>
    <row r="166" spans="2:16" ht="30" x14ac:dyDescent="0.25">
      <c r="B166" s="188" t="s">
        <v>344</v>
      </c>
      <c r="C166" s="190" t="s">
        <v>446</v>
      </c>
      <c r="D166" s="197" t="s">
        <v>447</v>
      </c>
      <c r="E166" s="221" t="s">
        <v>27</v>
      </c>
      <c r="F166" s="127" t="s">
        <v>24</v>
      </c>
      <c r="G166" s="39" t="s">
        <v>33</v>
      </c>
      <c r="H166" s="36">
        <v>150</v>
      </c>
      <c r="I166" s="43">
        <v>100</v>
      </c>
      <c r="J166" s="39">
        <f>IF(I166&gt;=H166,"RDP01",0)</f>
        <v>0</v>
      </c>
      <c r="K166" s="39" t="str">
        <f>IF(I166&lt;H166,"Saklar Lampu",0)</f>
        <v>Saklar Lampu</v>
      </c>
      <c r="L166" s="83"/>
      <c r="M166" s="62"/>
      <c r="N166" s="271" t="s">
        <v>186</v>
      </c>
      <c r="O166" s="97"/>
      <c r="P166"/>
    </row>
    <row r="167" spans="2:16" ht="30" x14ac:dyDescent="0.25">
      <c r="B167" s="181"/>
      <c r="C167" s="186"/>
      <c r="D167" s="198"/>
      <c r="E167" s="210"/>
      <c r="F167" s="114" t="s">
        <v>99</v>
      </c>
      <c r="G167" s="22" t="s">
        <v>102</v>
      </c>
      <c r="H167" s="21">
        <v>2</v>
      </c>
      <c r="I167" s="26">
        <v>0.2</v>
      </c>
      <c r="J167" s="24" t="str">
        <f>IF(I167&lt;=H167,"Kompor",0)</f>
        <v>Kompor</v>
      </c>
      <c r="K167" s="24">
        <f>IF(I167&gt;H167,"Batal",0)</f>
        <v>0</v>
      </c>
      <c r="L167" s="51"/>
      <c r="M167" s="63"/>
      <c r="N167" s="277" t="s">
        <v>234</v>
      </c>
      <c r="O167" s="97"/>
      <c r="P167"/>
    </row>
    <row r="168" spans="2:16" x14ac:dyDescent="0.25">
      <c r="B168" s="181"/>
      <c r="C168" s="186"/>
      <c r="D168" s="198"/>
      <c r="E168" s="210"/>
      <c r="F168" s="76" t="s">
        <v>45</v>
      </c>
      <c r="G168" s="22" t="s">
        <v>108</v>
      </c>
      <c r="H168" s="20" t="s">
        <v>109</v>
      </c>
      <c r="I168" s="26" t="s">
        <v>109</v>
      </c>
      <c r="J168" s="22" t="str">
        <f>IF(I168=H168,"Gas",0)</f>
        <v>Gas</v>
      </c>
      <c r="K168" s="22">
        <f>IF(I168=H168,0,"Batal")</f>
        <v>0</v>
      </c>
      <c r="L168" s="51"/>
      <c r="M168" s="63"/>
      <c r="N168" s="278" t="s">
        <v>235</v>
      </c>
      <c r="O168" s="97"/>
      <c r="P168"/>
    </row>
    <row r="169" spans="2:16" ht="30" x14ac:dyDescent="0.25">
      <c r="B169" s="181"/>
      <c r="C169" s="186"/>
      <c r="D169" s="198"/>
      <c r="E169" s="210"/>
      <c r="F169" s="267" t="s">
        <v>32</v>
      </c>
      <c r="G169" s="22" t="s">
        <v>330</v>
      </c>
      <c r="H169" s="20">
        <v>0</v>
      </c>
      <c r="I169" s="26">
        <v>2</v>
      </c>
      <c r="J169" s="22" t="str">
        <f>IF(I169&gt;H169,"Lemari bahan",0)</f>
        <v>Lemari bahan</v>
      </c>
      <c r="K169" s="22" t="str">
        <f>IF(I169&lt;H169,0,"Batal")</f>
        <v>Batal</v>
      </c>
      <c r="L169" s="51"/>
      <c r="M169" s="63"/>
      <c r="N169" s="278" t="s">
        <v>235</v>
      </c>
      <c r="O169" s="97"/>
      <c r="P169"/>
    </row>
    <row r="170" spans="2:16" ht="30" x14ac:dyDescent="0.25">
      <c r="B170" s="181"/>
      <c r="C170" s="186"/>
      <c r="D170" s="198"/>
      <c r="E170" s="210"/>
      <c r="F170" s="268"/>
      <c r="G170" s="22" t="s">
        <v>87</v>
      </c>
      <c r="H170" s="22" t="s">
        <v>25</v>
      </c>
      <c r="I170" s="26" t="s">
        <v>83</v>
      </c>
      <c r="J170" s="22">
        <f>IF(I170=H170,"Kompor",0)</f>
        <v>0</v>
      </c>
      <c r="K170" s="22" t="str">
        <f>IF(I170=H170,0,"Gas cadangan")</f>
        <v>Gas cadangan</v>
      </c>
      <c r="L170" s="51"/>
      <c r="M170" s="63"/>
      <c r="N170" s="277" t="s">
        <v>236</v>
      </c>
      <c r="O170" s="97"/>
      <c r="P170"/>
    </row>
    <row r="171" spans="2:16" ht="30.75" thickBot="1" x14ac:dyDescent="0.3">
      <c r="B171" s="189"/>
      <c r="C171" s="191"/>
      <c r="D171" s="199"/>
      <c r="E171" s="210"/>
      <c r="F171" s="269"/>
      <c r="G171" s="22" t="s">
        <v>110</v>
      </c>
      <c r="H171" s="22" t="s">
        <v>25</v>
      </c>
      <c r="I171" s="26" t="s">
        <v>25</v>
      </c>
      <c r="J171" s="22" t="str">
        <f>IF(I171=H171,"Kompor",0)</f>
        <v>Kompor</v>
      </c>
      <c r="K171" s="22">
        <f>IF(I171=H171,0,"Batal")</f>
        <v>0</v>
      </c>
      <c r="L171" s="51" t="s">
        <v>108</v>
      </c>
      <c r="M171" s="63" t="s">
        <v>238</v>
      </c>
      <c r="N171" s="277" t="s">
        <v>237</v>
      </c>
      <c r="O171" s="106"/>
      <c r="P171"/>
    </row>
    <row r="172" spans="2:16" ht="30" x14ac:dyDescent="0.25">
      <c r="B172" s="159" t="s">
        <v>344</v>
      </c>
      <c r="C172" s="161" t="s">
        <v>406</v>
      </c>
      <c r="D172" s="200" t="s">
        <v>429</v>
      </c>
      <c r="E172" s="221" t="s">
        <v>27</v>
      </c>
      <c r="F172" s="127" t="s">
        <v>24</v>
      </c>
      <c r="G172" s="39" t="s">
        <v>33</v>
      </c>
      <c r="H172" s="36">
        <v>150</v>
      </c>
      <c r="I172" s="43">
        <v>100</v>
      </c>
      <c r="J172" s="39">
        <f>IF(I172&gt;=H172,"RDP01",0)</f>
        <v>0</v>
      </c>
      <c r="K172" s="39" t="str">
        <f>IF(I172&lt;H172,"Saklar Lampu",0)</f>
        <v>Saklar Lampu</v>
      </c>
      <c r="L172" s="83"/>
      <c r="M172" s="62"/>
      <c r="N172" s="271" t="s">
        <v>186</v>
      </c>
      <c r="O172" s="97"/>
      <c r="P172"/>
    </row>
    <row r="173" spans="2:16" ht="30" x14ac:dyDescent="0.25">
      <c r="B173" s="181"/>
      <c r="C173" s="171"/>
      <c r="D173" s="198"/>
      <c r="E173" s="210"/>
      <c r="F173" s="114" t="s">
        <v>99</v>
      </c>
      <c r="G173" s="22" t="s">
        <v>102</v>
      </c>
      <c r="H173" s="21">
        <v>2</v>
      </c>
      <c r="I173" s="26">
        <v>2.1</v>
      </c>
      <c r="J173" s="24">
        <f>IF(I173&lt;=H173,"Rice Cooker 1",0)</f>
        <v>0</v>
      </c>
      <c r="K173" s="24" t="str">
        <f>IF(I173&gt;H173,"Batal",0)</f>
        <v>Batal</v>
      </c>
      <c r="L173" s="51"/>
      <c r="M173" s="63"/>
      <c r="N173" s="277" t="s">
        <v>234</v>
      </c>
      <c r="O173" s="97"/>
      <c r="P173"/>
    </row>
    <row r="174" spans="2:16" ht="30" x14ac:dyDescent="0.25">
      <c r="B174" s="181"/>
      <c r="C174" s="171"/>
      <c r="D174" s="198"/>
      <c r="E174" s="222"/>
      <c r="F174" s="216" t="s">
        <v>45</v>
      </c>
      <c r="G174" s="22" t="s">
        <v>111</v>
      </c>
      <c r="H174" s="20" t="s">
        <v>109</v>
      </c>
      <c r="I174" s="26" t="s">
        <v>109</v>
      </c>
      <c r="J174" s="22" t="str">
        <f>IF(I174=H174,"Rice cooker 1",0)</f>
        <v>Rice cooker 1</v>
      </c>
      <c r="K174" s="22">
        <f>IF(I174=H174,0,"Rice cooker 2")</f>
        <v>0</v>
      </c>
      <c r="L174" s="51"/>
      <c r="M174" s="63"/>
      <c r="N174" s="278" t="s">
        <v>239</v>
      </c>
      <c r="O174" s="97"/>
      <c r="P174"/>
    </row>
    <row r="175" spans="2:16" ht="30" x14ac:dyDescent="0.25">
      <c r="B175" s="181"/>
      <c r="C175" s="186" t="s">
        <v>439</v>
      </c>
      <c r="D175" s="198" t="s">
        <v>440</v>
      </c>
      <c r="E175" s="121" t="s">
        <v>23</v>
      </c>
      <c r="F175" s="217"/>
      <c r="G175" s="22" t="s">
        <v>112</v>
      </c>
      <c r="H175" s="20" t="s">
        <v>109</v>
      </c>
      <c r="I175" s="26" t="s">
        <v>109</v>
      </c>
      <c r="J175" s="22" t="str">
        <f>IF(I175=H175,"Rice cooker 2",0)</f>
        <v>Rice cooker 2</v>
      </c>
      <c r="K175" s="22">
        <f>IF(I175=H175,0,"Batal")</f>
        <v>0</v>
      </c>
      <c r="L175" s="51"/>
      <c r="M175" s="63"/>
      <c r="N175" s="278" t="s">
        <v>240</v>
      </c>
      <c r="O175" s="97"/>
      <c r="P175"/>
    </row>
    <row r="176" spans="2:16" ht="30.75" thickBot="1" x14ac:dyDescent="0.3">
      <c r="B176" s="160"/>
      <c r="C176" s="187"/>
      <c r="D176" s="201"/>
      <c r="E176" s="149" t="s">
        <v>241</v>
      </c>
      <c r="F176" s="76" t="s">
        <v>32</v>
      </c>
      <c r="G176" s="22" t="s">
        <v>88</v>
      </c>
      <c r="H176" s="22" t="s">
        <v>80</v>
      </c>
      <c r="I176" s="26" t="s">
        <v>80</v>
      </c>
      <c r="J176" s="22" t="str">
        <f>IF(I176=H176,"Rice cooker 1/2",0)</f>
        <v>Rice cooker 1/2</v>
      </c>
      <c r="K176" s="22">
        <f>IF(I176=H176,0,"Batal")</f>
        <v>0</v>
      </c>
      <c r="L176" s="51" t="s">
        <v>241</v>
      </c>
      <c r="M176" s="63" t="s">
        <v>242</v>
      </c>
      <c r="N176" s="277" t="s">
        <v>243</v>
      </c>
      <c r="O176" s="106"/>
      <c r="P176"/>
    </row>
    <row r="177" spans="2:16" ht="30" x14ac:dyDescent="0.25">
      <c r="B177" s="188" t="s">
        <v>344</v>
      </c>
      <c r="C177" s="183" t="s">
        <v>345</v>
      </c>
      <c r="D177" s="197" t="s">
        <v>422</v>
      </c>
      <c r="E177" s="213" t="s">
        <v>27</v>
      </c>
      <c r="F177" s="127" t="s">
        <v>24</v>
      </c>
      <c r="G177" s="39" t="s">
        <v>33</v>
      </c>
      <c r="H177" s="36">
        <v>150</v>
      </c>
      <c r="I177" s="43">
        <v>100</v>
      </c>
      <c r="J177" s="39">
        <f>IF(I177&gt;=H177,"RDP01",0)</f>
        <v>0</v>
      </c>
      <c r="K177" s="39" t="str">
        <f>IF(I177&lt;H177,"Saklar Lampu",0)</f>
        <v>Saklar Lampu</v>
      </c>
      <c r="L177" s="83"/>
      <c r="M177" s="62"/>
      <c r="N177" s="271" t="s">
        <v>186</v>
      </c>
      <c r="O177" s="97"/>
      <c r="P177"/>
    </row>
    <row r="178" spans="2:16" ht="30" x14ac:dyDescent="0.25">
      <c r="B178" s="181"/>
      <c r="C178" s="171"/>
      <c r="D178" s="198"/>
      <c r="E178" s="214"/>
      <c r="F178" s="114" t="s">
        <v>99</v>
      </c>
      <c r="G178" s="22" t="s">
        <v>102</v>
      </c>
      <c r="H178" s="21">
        <v>2</v>
      </c>
      <c r="I178" s="26">
        <v>2.1</v>
      </c>
      <c r="J178" s="24">
        <f>IF(I178&lt;=H178,"Blender",0)</f>
        <v>0</v>
      </c>
      <c r="K178" s="24" t="str">
        <f>IF(I178&gt;H178,"Batal",0)</f>
        <v>Batal</v>
      </c>
      <c r="L178" s="51"/>
      <c r="M178" s="63"/>
      <c r="N178" s="277" t="s">
        <v>244</v>
      </c>
      <c r="O178" s="97"/>
      <c r="P178"/>
    </row>
    <row r="179" spans="2:16" ht="25.5" x14ac:dyDescent="0.25">
      <c r="B179" s="181"/>
      <c r="C179" s="171"/>
      <c r="D179" s="198"/>
      <c r="E179" s="214"/>
      <c r="F179" s="114" t="s">
        <v>45</v>
      </c>
      <c r="G179" s="22" t="s">
        <v>113</v>
      </c>
      <c r="H179" s="20" t="s">
        <v>109</v>
      </c>
      <c r="I179" s="26" t="s">
        <v>109</v>
      </c>
      <c r="J179" s="22" t="str">
        <f>IF(I179=H179,"Blender",0)</f>
        <v>Blender</v>
      </c>
      <c r="K179" s="22">
        <f>IF(I179=H179,0,"Batal")</f>
        <v>0</v>
      </c>
      <c r="L179" s="51"/>
      <c r="M179" s="63"/>
      <c r="N179" s="278" t="s">
        <v>245</v>
      </c>
      <c r="O179" s="97"/>
      <c r="P179"/>
    </row>
    <row r="180" spans="2:16" ht="30.75" thickBot="1" x14ac:dyDescent="0.3">
      <c r="B180" s="189"/>
      <c r="C180" s="172"/>
      <c r="D180" s="199"/>
      <c r="E180" s="214"/>
      <c r="F180" s="76" t="s">
        <v>32</v>
      </c>
      <c r="G180" s="22" t="s">
        <v>88</v>
      </c>
      <c r="H180" s="22" t="s">
        <v>80</v>
      </c>
      <c r="I180" s="26" t="s">
        <v>30</v>
      </c>
      <c r="J180" s="22">
        <f>IF(I180=H180,"Blender",0)</f>
        <v>0</v>
      </c>
      <c r="K180" s="22" t="str">
        <f>IF(I180=H180,0,"Batal")</f>
        <v>Batal</v>
      </c>
      <c r="L180" s="51" t="s">
        <v>27</v>
      </c>
      <c r="M180" s="63" t="s">
        <v>249</v>
      </c>
      <c r="N180" s="277" t="s">
        <v>246</v>
      </c>
      <c r="O180" s="106"/>
      <c r="P180"/>
    </row>
    <row r="181" spans="2:16" ht="25.5" x14ac:dyDescent="0.25">
      <c r="B181" s="159" t="s">
        <v>344</v>
      </c>
      <c r="C181" s="161" t="s">
        <v>382</v>
      </c>
      <c r="D181" s="200" t="s">
        <v>89</v>
      </c>
      <c r="E181" s="213" t="s">
        <v>28</v>
      </c>
      <c r="F181" s="127" t="s">
        <v>24</v>
      </c>
      <c r="G181" s="39" t="s">
        <v>90</v>
      </c>
      <c r="H181" s="36">
        <v>80</v>
      </c>
      <c r="I181" s="43">
        <v>60</v>
      </c>
      <c r="J181" s="39">
        <f>IF(I181&gt;=H181,"RHD01",0)</f>
        <v>0</v>
      </c>
      <c r="K181" s="39" t="str">
        <f>IF(I181&lt;H181,"Batal",0)</f>
        <v>Batal</v>
      </c>
      <c r="L181" s="83"/>
      <c r="M181" s="62"/>
      <c r="N181" s="280" t="s">
        <v>225</v>
      </c>
      <c r="O181" s="97"/>
      <c r="P181"/>
    </row>
    <row r="182" spans="2:16" ht="25.5" x14ac:dyDescent="0.25">
      <c r="B182" s="181"/>
      <c r="C182" s="171"/>
      <c r="D182" s="198"/>
      <c r="E182" s="214"/>
      <c r="F182" s="114" t="s">
        <v>45</v>
      </c>
      <c r="G182" s="22" t="s">
        <v>13</v>
      </c>
      <c r="H182" s="20" t="s">
        <v>14</v>
      </c>
      <c r="I182" s="26" t="s">
        <v>51</v>
      </c>
      <c r="J182" s="22">
        <f>IF(I182=H182,"RHD01",0)</f>
        <v>0</v>
      </c>
      <c r="K182" s="22" t="str">
        <f>IF(I182=H182,0,"Batal")</f>
        <v>Batal</v>
      </c>
      <c r="L182" s="51"/>
      <c r="M182" s="63"/>
      <c r="N182" s="278" t="s">
        <v>225</v>
      </c>
      <c r="O182" s="97"/>
      <c r="P182"/>
    </row>
    <row r="183" spans="2:16" ht="30.75" thickBot="1" x14ac:dyDescent="0.3">
      <c r="B183" s="160"/>
      <c r="C183" s="162"/>
      <c r="D183" s="201"/>
      <c r="E183" s="214"/>
      <c r="F183" s="114" t="s">
        <v>99</v>
      </c>
      <c r="G183" s="22" t="s">
        <v>102</v>
      </c>
      <c r="H183" s="21">
        <v>2</v>
      </c>
      <c r="I183" s="26">
        <v>2</v>
      </c>
      <c r="J183" s="24" t="str">
        <f>IF(I183&lt;=H183,"RHD01",0)</f>
        <v>RHD01</v>
      </c>
      <c r="K183" s="24">
        <f>IF(I183&gt;H183,"Batal",0)</f>
        <v>0</v>
      </c>
      <c r="L183" s="51" t="s">
        <v>63</v>
      </c>
      <c r="M183" s="63" t="s">
        <v>319</v>
      </c>
      <c r="N183" s="277" t="s">
        <v>247</v>
      </c>
      <c r="O183" s="106"/>
      <c r="P183"/>
    </row>
    <row r="184" spans="2:16" ht="30" x14ac:dyDescent="0.25">
      <c r="B184" s="192" t="s">
        <v>450</v>
      </c>
      <c r="C184" s="190" t="s">
        <v>449</v>
      </c>
      <c r="D184" s="197" t="s">
        <v>448</v>
      </c>
      <c r="E184" s="213" t="s">
        <v>254</v>
      </c>
      <c r="F184" s="127" t="s">
        <v>24</v>
      </c>
      <c r="G184" s="39" t="s">
        <v>33</v>
      </c>
      <c r="H184" s="36">
        <v>150</v>
      </c>
      <c r="I184" s="43">
        <v>100</v>
      </c>
      <c r="J184" s="39">
        <f>IF(I184&gt;=H184,"RDP01",0)</f>
        <v>0</v>
      </c>
      <c r="K184" s="39" t="str">
        <f>IF(I184&lt;H184,"Saklar Lampu",0)</f>
        <v>Saklar Lampu</v>
      </c>
      <c r="L184" s="83"/>
      <c r="M184" s="62"/>
      <c r="N184" s="271" t="s">
        <v>186</v>
      </c>
      <c r="O184" s="97"/>
      <c r="P184"/>
    </row>
    <row r="185" spans="2:16" ht="30" x14ac:dyDescent="0.25">
      <c r="B185" s="193"/>
      <c r="C185" s="186"/>
      <c r="D185" s="198"/>
      <c r="E185" s="214"/>
      <c r="F185" s="114" t="s">
        <v>99</v>
      </c>
      <c r="G185" s="22" t="s">
        <v>102</v>
      </c>
      <c r="H185" s="21">
        <v>2</v>
      </c>
      <c r="I185" s="26">
        <v>2</v>
      </c>
      <c r="J185" s="24" t="str">
        <f>IF(I185&lt;=H185,"Bak cuci piring",0)</f>
        <v>Bak cuci piring</v>
      </c>
      <c r="K185" s="24">
        <f>IF(I185&gt;H185,"Batal",0)</f>
        <v>0</v>
      </c>
      <c r="L185" s="51"/>
      <c r="M185" s="63"/>
      <c r="N185" s="277" t="s">
        <v>248</v>
      </c>
      <c r="O185" s="97"/>
      <c r="P185"/>
    </row>
    <row r="186" spans="2:16" ht="51.75" x14ac:dyDescent="0.25">
      <c r="B186" s="193"/>
      <c r="C186" s="186"/>
      <c r="D186" s="198"/>
      <c r="E186" s="214"/>
      <c r="F186" s="76" t="s">
        <v>32</v>
      </c>
      <c r="G186" s="22" t="s">
        <v>104</v>
      </c>
      <c r="H186" s="22" t="s">
        <v>107</v>
      </c>
      <c r="I186" s="26" t="s">
        <v>83</v>
      </c>
      <c r="J186" s="22">
        <f>IF(I186=H186,"Kran air",0)</f>
        <v>0</v>
      </c>
      <c r="K186" s="22" t="str">
        <f>IF(I186=H186,0,"Pompa air 2")</f>
        <v>Pompa air 2</v>
      </c>
      <c r="L186" s="51" t="s">
        <v>85</v>
      </c>
      <c r="M186" s="63" t="s">
        <v>228</v>
      </c>
      <c r="N186" s="278" t="s">
        <v>251</v>
      </c>
      <c r="O186" s="97" t="s">
        <v>253</v>
      </c>
      <c r="P186"/>
    </row>
    <row r="187" spans="2:16" ht="30.75" thickBot="1" x14ac:dyDescent="0.3">
      <c r="B187" s="194"/>
      <c r="C187" s="191"/>
      <c r="D187" s="199"/>
      <c r="E187" s="214"/>
      <c r="F187" s="115" t="s">
        <v>45</v>
      </c>
      <c r="G187" s="24" t="s">
        <v>121</v>
      </c>
      <c r="H187" s="27" t="s">
        <v>80</v>
      </c>
      <c r="I187" s="37" t="s">
        <v>30</v>
      </c>
      <c r="J187" s="24" t="str">
        <f>IF(I187=H187,0,"Saklar pompa")</f>
        <v>Saklar pompa</v>
      </c>
      <c r="K187" s="24">
        <f>IF(I187=H187,"Batal",0)</f>
        <v>0</v>
      </c>
      <c r="L187" s="54" t="s">
        <v>229</v>
      </c>
      <c r="M187" s="56" t="s">
        <v>230</v>
      </c>
      <c r="N187" s="278" t="s">
        <v>252</v>
      </c>
      <c r="O187" s="89" t="s">
        <v>255</v>
      </c>
      <c r="P187"/>
    </row>
    <row r="188" spans="2:16" ht="30" x14ac:dyDescent="0.25">
      <c r="B188" s="159" t="s">
        <v>344</v>
      </c>
      <c r="C188" s="161" t="s">
        <v>392</v>
      </c>
      <c r="D188" s="200" t="s">
        <v>426</v>
      </c>
      <c r="E188" s="221" t="s">
        <v>29</v>
      </c>
      <c r="F188" s="127" t="s">
        <v>24</v>
      </c>
      <c r="G188" s="39" t="s">
        <v>33</v>
      </c>
      <c r="H188" s="36">
        <v>150</v>
      </c>
      <c r="I188" s="43">
        <v>100</v>
      </c>
      <c r="J188" s="39">
        <f>IF(I188&gt;=H188,"Pintu",0)</f>
        <v>0</v>
      </c>
      <c r="K188" s="39" t="str">
        <f>IF(I188&lt;H188,"Saklar Lampu",0)</f>
        <v>Saklar Lampu</v>
      </c>
      <c r="L188" s="83"/>
      <c r="M188" s="62"/>
      <c r="N188" s="271" t="s">
        <v>164</v>
      </c>
      <c r="O188" s="97"/>
      <c r="P188"/>
    </row>
    <row r="189" spans="2:16" ht="25.5" x14ac:dyDescent="0.25">
      <c r="B189" s="181"/>
      <c r="C189" s="171"/>
      <c r="D189" s="198"/>
      <c r="E189" s="210"/>
      <c r="F189" s="76" t="s">
        <v>45</v>
      </c>
      <c r="G189" s="22" t="s">
        <v>13</v>
      </c>
      <c r="H189" s="20" t="s">
        <v>14</v>
      </c>
      <c r="I189" s="26" t="s">
        <v>14</v>
      </c>
      <c r="J189" s="22" t="str">
        <f>IF(I189=H189,"RCC01",0)</f>
        <v>RCC01</v>
      </c>
      <c r="K189" s="22">
        <f>IF(I189=H189,0,"Batal")</f>
        <v>0</v>
      </c>
      <c r="L189" s="51"/>
      <c r="M189" s="63"/>
      <c r="N189" s="278" t="s">
        <v>182</v>
      </c>
      <c r="O189" s="97"/>
      <c r="P189"/>
    </row>
    <row r="190" spans="2:16" ht="30" x14ac:dyDescent="0.25">
      <c r="B190" s="181"/>
      <c r="C190" s="171"/>
      <c r="D190" s="198"/>
      <c r="E190" s="210"/>
      <c r="F190" s="114" t="s">
        <v>99</v>
      </c>
      <c r="G190" s="22" t="s">
        <v>102</v>
      </c>
      <c r="H190" s="21">
        <v>2</v>
      </c>
      <c r="I190" s="26">
        <v>0.4</v>
      </c>
      <c r="J190" s="24" t="str">
        <f>IF(I190&lt;=H190,"Kran air",0)</f>
        <v>Kran air</v>
      </c>
      <c r="K190" s="24">
        <f>IF(I190&gt;H190,"Batal",0)</f>
        <v>0</v>
      </c>
      <c r="L190" s="51"/>
      <c r="M190" s="63"/>
      <c r="N190" s="277" t="s">
        <v>233</v>
      </c>
      <c r="O190" s="97"/>
      <c r="P190"/>
    </row>
    <row r="191" spans="2:16" ht="30" x14ac:dyDescent="0.25">
      <c r="B191" s="181"/>
      <c r="C191" s="171"/>
      <c r="D191" s="198"/>
      <c r="E191" s="210"/>
      <c r="F191" s="76" t="s">
        <v>32</v>
      </c>
      <c r="G191" s="22" t="s">
        <v>104</v>
      </c>
      <c r="H191" s="22" t="s">
        <v>25</v>
      </c>
      <c r="I191" s="26" t="s">
        <v>83</v>
      </c>
      <c r="J191" s="22">
        <f>IF(I191=H191,"Mesin cuci",0)</f>
        <v>0</v>
      </c>
      <c r="K191" s="22" t="str">
        <f>IF(I191=H191,0,"Pompa air")</f>
        <v>Pompa air</v>
      </c>
      <c r="L191" s="51"/>
      <c r="M191" s="63"/>
      <c r="N191" s="278" t="s">
        <v>260</v>
      </c>
      <c r="O191" s="97" t="s">
        <v>258</v>
      </c>
      <c r="P191"/>
    </row>
    <row r="192" spans="2:16" ht="30" x14ac:dyDescent="0.25">
      <c r="B192" s="181"/>
      <c r="C192" s="171"/>
      <c r="D192" s="198"/>
      <c r="E192" s="210"/>
      <c r="F192" s="76" t="s">
        <v>32</v>
      </c>
      <c r="G192" s="22" t="s">
        <v>88</v>
      </c>
      <c r="H192" s="22" t="s">
        <v>80</v>
      </c>
      <c r="I192" s="26" t="s">
        <v>80</v>
      </c>
      <c r="J192" s="22" t="str">
        <f>IF(I192=H192,"Mesin cuci",0)</f>
        <v>Mesin cuci</v>
      </c>
      <c r="K192" s="22">
        <f>IF(I192=H192,0,"Batal")</f>
        <v>0</v>
      </c>
      <c r="L192" s="51"/>
      <c r="M192" s="56"/>
      <c r="N192" s="278" t="s">
        <v>256</v>
      </c>
      <c r="O192" s="97"/>
      <c r="P192"/>
    </row>
    <row r="193" spans="2:16" ht="26.25" thickBot="1" x14ac:dyDescent="0.3">
      <c r="B193" s="160"/>
      <c r="C193" s="162"/>
      <c r="D193" s="201"/>
      <c r="E193" s="210"/>
      <c r="F193" s="115" t="s">
        <v>45</v>
      </c>
      <c r="G193" s="24" t="s">
        <v>91</v>
      </c>
      <c r="H193" s="27" t="s">
        <v>30</v>
      </c>
      <c r="I193" s="37" t="s">
        <v>30</v>
      </c>
      <c r="J193" s="24" t="str">
        <f>IF(I193=H193,"Mesin cuci",0)</f>
        <v>Mesin cuci</v>
      </c>
      <c r="K193" s="24">
        <f>IF(I193=H193,0,"Batal")</f>
        <v>0</v>
      </c>
      <c r="L193" s="54" t="s">
        <v>29</v>
      </c>
      <c r="M193" s="56"/>
      <c r="N193" s="278" t="s">
        <v>259</v>
      </c>
      <c r="O193" s="106"/>
      <c r="P193"/>
    </row>
    <row r="194" spans="2:16" ht="25.5" x14ac:dyDescent="0.25">
      <c r="B194" s="188" t="s">
        <v>344</v>
      </c>
      <c r="C194" s="183" t="s">
        <v>391</v>
      </c>
      <c r="D194" s="197" t="s">
        <v>425</v>
      </c>
      <c r="E194" s="221" t="s">
        <v>29</v>
      </c>
      <c r="F194" s="127" t="s">
        <v>24</v>
      </c>
      <c r="G194" s="39" t="s">
        <v>33</v>
      </c>
      <c r="H194" s="36">
        <v>150</v>
      </c>
      <c r="I194" s="43">
        <v>150</v>
      </c>
      <c r="J194" s="39" t="str">
        <f>IF(I194&gt;=H194,"Pintu",0)</f>
        <v>Pintu</v>
      </c>
      <c r="K194" s="39">
        <f>IF(I194&lt;H194,"Saklar Lampu",0)</f>
        <v>0</v>
      </c>
      <c r="L194" s="83"/>
      <c r="M194" s="62"/>
      <c r="N194" s="271" t="s">
        <v>164</v>
      </c>
      <c r="O194" s="97"/>
      <c r="P194"/>
    </row>
    <row r="195" spans="2:16" ht="30" x14ac:dyDescent="0.25">
      <c r="B195" s="181"/>
      <c r="C195" s="171"/>
      <c r="D195" s="198"/>
      <c r="E195" s="210"/>
      <c r="F195" s="114" t="s">
        <v>99</v>
      </c>
      <c r="G195" s="22" t="s">
        <v>102</v>
      </c>
      <c r="H195" s="21">
        <v>2</v>
      </c>
      <c r="I195" s="26">
        <v>1</v>
      </c>
      <c r="J195" s="24" t="str">
        <f>IF(I195&lt;=H195,"RCC01",0)</f>
        <v>RCC01</v>
      </c>
      <c r="K195" s="24">
        <f>IF(I195&gt;H195,"Batal",0)</f>
        <v>0</v>
      </c>
      <c r="L195" s="51"/>
      <c r="M195" s="63"/>
      <c r="N195" s="277" t="s">
        <v>265</v>
      </c>
      <c r="O195" s="97"/>
      <c r="P195"/>
    </row>
    <row r="196" spans="2:16" ht="30.75" thickBot="1" x14ac:dyDescent="0.3">
      <c r="B196" s="189"/>
      <c r="C196" s="172"/>
      <c r="D196" s="199"/>
      <c r="E196" s="210"/>
      <c r="F196" s="76" t="s">
        <v>32</v>
      </c>
      <c r="G196" s="22" t="s">
        <v>104</v>
      </c>
      <c r="H196" s="22" t="s">
        <v>25</v>
      </c>
      <c r="I196" s="26" t="s">
        <v>25</v>
      </c>
      <c r="J196" s="22" t="str">
        <f>IF(I196=H196,"Kran air",0)</f>
        <v>Kran air</v>
      </c>
      <c r="K196" s="22">
        <f>IF(I196=H196,0,"Pompa air")</f>
        <v>0</v>
      </c>
      <c r="L196" s="51" t="s">
        <v>85</v>
      </c>
      <c r="M196" s="63" t="s">
        <v>262</v>
      </c>
      <c r="N196" s="278" t="s">
        <v>261</v>
      </c>
      <c r="O196" s="106" t="s">
        <v>263</v>
      </c>
      <c r="P196"/>
    </row>
    <row r="197" spans="2:16" ht="30" x14ac:dyDescent="0.25">
      <c r="B197" s="195" t="s">
        <v>393</v>
      </c>
      <c r="C197" s="161" t="s">
        <v>394</v>
      </c>
      <c r="D197" s="200" t="s">
        <v>427</v>
      </c>
      <c r="E197" s="221" t="s">
        <v>29</v>
      </c>
      <c r="F197" s="127" t="s">
        <v>24</v>
      </c>
      <c r="G197" s="39" t="s">
        <v>33</v>
      </c>
      <c r="H197" s="36">
        <v>150</v>
      </c>
      <c r="I197" s="43">
        <v>100</v>
      </c>
      <c r="J197" s="39">
        <f>IF(I197&gt;=H197,"Pintu",0)</f>
        <v>0</v>
      </c>
      <c r="K197" s="39" t="str">
        <f t="shared" ref="K197" si="9">IF(I197&lt;H197,"Saklar Lampu",0)</f>
        <v>Saklar Lampu</v>
      </c>
      <c r="L197" s="83"/>
      <c r="M197" s="62"/>
      <c r="N197" s="271" t="s">
        <v>164</v>
      </c>
      <c r="O197" s="97"/>
      <c r="P197"/>
    </row>
    <row r="198" spans="2:16" ht="26.25" thickBot="1" x14ac:dyDescent="0.3">
      <c r="B198" s="196"/>
      <c r="C198" s="162"/>
      <c r="D198" s="201"/>
      <c r="E198" s="210"/>
      <c r="F198" s="75" t="s">
        <v>45</v>
      </c>
      <c r="G198" s="30" t="s">
        <v>13</v>
      </c>
      <c r="H198" s="29" t="s">
        <v>14</v>
      </c>
      <c r="I198" s="38" t="s">
        <v>14</v>
      </c>
      <c r="J198" s="30" t="str">
        <f>IF(I198=H198,"RCC01",0)</f>
        <v>RCC01</v>
      </c>
      <c r="K198" s="30">
        <f>IF(I198=H198,0,"Batal")</f>
        <v>0</v>
      </c>
      <c r="L198" s="52" t="s">
        <v>13</v>
      </c>
      <c r="M198" s="59" t="s">
        <v>323</v>
      </c>
      <c r="N198" s="276" t="s">
        <v>182</v>
      </c>
      <c r="O198" s="106"/>
      <c r="P198"/>
    </row>
    <row r="199" spans="2:16" ht="30" x14ac:dyDescent="0.25">
      <c r="B199" s="182" t="s">
        <v>398</v>
      </c>
      <c r="C199" s="183" t="s">
        <v>399</v>
      </c>
      <c r="D199" s="197" t="s">
        <v>92</v>
      </c>
      <c r="E199" s="221" t="s">
        <v>29</v>
      </c>
      <c r="F199" s="115" t="s">
        <v>24</v>
      </c>
      <c r="G199" s="24" t="s">
        <v>33</v>
      </c>
      <c r="H199" s="28">
        <v>150</v>
      </c>
      <c r="I199" s="37">
        <v>100</v>
      </c>
      <c r="J199" s="39">
        <f>IF(I199&gt;=H199,"Pintu",0)</f>
        <v>0</v>
      </c>
      <c r="K199" s="39" t="str">
        <f t="shared" ref="K199" si="10">IF(I199&lt;H199,"Saklar Lampu",0)</f>
        <v>Saklar Lampu</v>
      </c>
      <c r="L199" s="83"/>
      <c r="M199" s="62"/>
      <c r="N199" s="271" t="s">
        <v>164</v>
      </c>
      <c r="O199" s="97"/>
      <c r="P199"/>
    </row>
    <row r="200" spans="2:16" ht="26.25" thickBot="1" x14ac:dyDescent="0.3">
      <c r="B200" s="170"/>
      <c r="C200" s="172"/>
      <c r="D200" s="199"/>
      <c r="E200" s="210"/>
      <c r="F200" s="114" t="s">
        <v>45</v>
      </c>
      <c r="G200" s="22" t="s">
        <v>13</v>
      </c>
      <c r="H200" s="20" t="s">
        <v>14</v>
      </c>
      <c r="I200" s="26" t="s">
        <v>14</v>
      </c>
      <c r="J200" s="30" t="str">
        <f>IF(I200=H200,"RCC01",0)</f>
        <v>RCC01</v>
      </c>
      <c r="K200" s="30">
        <f>IF(I200=H200,0,"Batal")</f>
        <v>0</v>
      </c>
      <c r="L200" s="52" t="s">
        <v>13</v>
      </c>
      <c r="M200" s="59" t="s">
        <v>323</v>
      </c>
      <c r="N200" s="276" t="s">
        <v>182</v>
      </c>
      <c r="O200" s="106"/>
      <c r="P200"/>
    </row>
    <row r="201" spans="2:16" ht="30" x14ac:dyDescent="0.25">
      <c r="B201" s="159" t="s">
        <v>344</v>
      </c>
      <c r="C201" s="161" t="s">
        <v>405</v>
      </c>
      <c r="D201" s="200" t="s">
        <v>93</v>
      </c>
      <c r="E201" s="221" t="s">
        <v>57</v>
      </c>
      <c r="F201" s="127" t="s">
        <v>24</v>
      </c>
      <c r="G201" s="39" t="s">
        <v>33</v>
      </c>
      <c r="H201" s="36">
        <v>150</v>
      </c>
      <c r="I201" s="43">
        <v>100</v>
      </c>
      <c r="J201" s="39">
        <f>IF(I201&gt;=H201,"Pintu",0)</f>
        <v>0</v>
      </c>
      <c r="K201" s="39" t="str">
        <f t="shared" ref="K201" si="11">IF(I201&lt;H201,"Saklar Lampu",0)</f>
        <v>Saklar Lampu</v>
      </c>
      <c r="L201" s="83"/>
      <c r="M201" s="62"/>
      <c r="N201" s="271" t="s">
        <v>164</v>
      </c>
      <c r="O201" s="97"/>
      <c r="P201"/>
    </row>
    <row r="202" spans="2:16" ht="25.5" x14ac:dyDescent="0.25">
      <c r="B202" s="181"/>
      <c r="C202" s="171"/>
      <c r="D202" s="198"/>
      <c r="E202" s="210"/>
      <c r="F202" s="76" t="s">
        <v>45</v>
      </c>
      <c r="G202" s="22" t="s">
        <v>13</v>
      </c>
      <c r="H202" s="20" t="s">
        <v>14</v>
      </c>
      <c r="I202" s="26" t="s">
        <v>14</v>
      </c>
      <c r="J202" s="22" t="str">
        <f>IF(I202=H202,"RGD01",0)</f>
        <v>RGD01</v>
      </c>
      <c r="K202" s="22">
        <f>IF(I202=H202,0,"Batal")</f>
        <v>0</v>
      </c>
      <c r="L202" s="51"/>
      <c r="M202" s="63"/>
      <c r="N202" s="278" t="s">
        <v>189</v>
      </c>
      <c r="O202" s="97"/>
      <c r="P202"/>
    </row>
    <row r="203" spans="2:16" ht="30" x14ac:dyDescent="0.25">
      <c r="B203" s="181"/>
      <c r="C203" s="171"/>
      <c r="D203" s="198"/>
      <c r="E203" s="210"/>
      <c r="F203" s="114" t="s">
        <v>99</v>
      </c>
      <c r="G203" s="22" t="s">
        <v>102</v>
      </c>
      <c r="H203" s="21">
        <v>1</v>
      </c>
      <c r="I203" s="26">
        <v>1</v>
      </c>
      <c r="J203" s="24" t="str">
        <f>IF(I203&lt;=H203,"Meja setrika",0)</f>
        <v>Meja setrika</v>
      </c>
      <c r="K203" s="24">
        <f>IF(I203&gt;H203,"Batal",0)</f>
        <v>0</v>
      </c>
      <c r="L203" s="54"/>
      <c r="M203" s="56"/>
      <c r="N203" s="277" t="s">
        <v>266</v>
      </c>
      <c r="O203" s="97"/>
      <c r="P203"/>
    </row>
    <row r="204" spans="2:16" ht="30" x14ac:dyDescent="0.25">
      <c r="B204" s="181"/>
      <c r="C204" s="171"/>
      <c r="D204" s="198"/>
      <c r="E204" s="210"/>
      <c r="F204" s="76" t="s">
        <v>45</v>
      </c>
      <c r="G204" s="22" t="s">
        <v>94</v>
      </c>
      <c r="H204" s="21" t="s">
        <v>109</v>
      </c>
      <c r="I204" s="26" t="s">
        <v>109</v>
      </c>
      <c r="J204" s="22" t="str">
        <f>IF(I204=H204,"Meja setrika",0)</f>
        <v>Meja setrika</v>
      </c>
      <c r="K204" s="22">
        <f>IF(I204=H204,0,"Batal")</f>
        <v>0</v>
      </c>
      <c r="L204" s="51"/>
      <c r="M204" s="63"/>
      <c r="N204" s="278" t="s">
        <v>267</v>
      </c>
      <c r="O204" s="97"/>
      <c r="P204"/>
    </row>
    <row r="205" spans="2:16" ht="30.75" thickBot="1" x14ac:dyDescent="0.3">
      <c r="B205" s="160"/>
      <c r="C205" s="162"/>
      <c r="D205" s="201"/>
      <c r="E205" s="210"/>
      <c r="F205" s="76" t="s">
        <v>32</v>
      </c>
      <c r="G205" s="22" t="s">
        <v>88</v>
      </c>
      <c r="H205" s="22" t="s">
        <v>80</v>
      </c>
      <c r="I205" s="26" t="s">
        <v>80</v>
      </c>
      <c r="J205" s="24" t="str">
        <f>IF(I205=H205,"Kursi",0)</f>
        <v>Kursi</v>
      </c>
      <c r="K205" s="24">
        <f>IF(I205=H205,0,"Batal")</f>
        <v>0</v>
      </c>
      <c r="L205" s="51" t="s">
        <v>13</v>
      </c>
      <c r="M205" s="63" t="s">
        <v>324</v>
      </c>
      <c r="N205" s="278" t="s">
        <v>268</v>
      </c>
      <c r="O205" s="106"/>
      <c r="P205"/>
    </row>
    <row r="206" spans="2:16" ht="30" x14ac:dyDescent="0.25">
      <c r="B206" s="159" t="s">
        <v>344</v>
      </c>
      <c r="C206" s="161" t="s">
        <v>401</v>
      </c>
      <c r="D206" s="200" t="s">
        <v>95</v>
      </c>
      <c r="E206" s="218" t="s">
        <v>36</v>
      </c>
      <c r="F206" s="127" t="s">
        <v>24</v>
      </c>
      <c r="G206" s="39" t="s">
        <v>33</v>
      </c>
      <c r="H206" s="36">
        <v>150</v>
      </c>
      <c r="I206" s="43">
        <v>100</v>
      </c>
      <c r="J206" s="39">
        <f>IF(I206&gt;=H206,"RKG01",0)</f>
        <v>0</v>
      </c>
      <c r="K206" s="39" t="str">
        <f>IF(I206&lt;H206,"Saklar Lampu",0)</f>
        <v>Saklar Lampu</v>
      </c>
      <c r="L206" s="84"/>
      <c r="M206" s="69"/>
      <c r="N206" s="271" t="s">
        <v>130</v>
      </c>
      <c r="O206" s="100"/>
      <c r="P206"/>
    </row>
    <row r="207" spans="2:16" ht="30" x14ac:dyDescent="0.25">
      <c r="B207" s="181"/>
      <c r="C207" s="171"/>
      <c r="D207" s="198"/>
      <c r="E207" s="219"/>
      <c r="F207" s="118" t="s">
        <v>99</v>
      </c>
      <c r="G207" s="22" t="s">
        <v>102</v>
      </c>
      <c r="H207" s="21">
        <v>2</v>
      </c>
      <c r="I207" s="26">
        <v>1</v>
      </c>
      <c r="J207" s="24" t="str">
        <f>IF(I207&lt;=H207,"Karpet",0)</f>
        <v>Karpet</v>
      </c>
      <c r="K207" s="24">
        <f>IF(I207&gt;H207,"RTA01",0)</f>
        <v>0</v>
      </c>
      <c r="L207" s="51"/>
      <c r="M207" s="63"/>
      <c r="N207" s="277" t="s">
        <v>269</v>
      </c>
      <c r="O207" s="97"/>
      <c r="P207"/>
    </row>
    <row r="208" spans="2:16" ht="25.5" x14ac:dyDescent="0.25">
      <c r="B208" s="181"/>
      <c r="C208" s="171"/>
      <c r="D208" s="198"/>
      <c r="E208" s="219"/>
      <c r="F208" s="118" t="s">
        <v>45</v>
      </c>
      <c r="G208" s="22" t="s">
        <v>38</v>
      </c>
      <c r="H208" s="20" t="s">
        <v>16</v>
      </c>
      <c r="I208" s="26" t="s">
        <v>16</v>
      </c>
      <c r="J208" s="22" t="str">
        <f>IF(I208=H208,"Karpet",0)</f>
        <v>Karpet</v>
      </c>
      <c r="K208" s="22">
        <f>IF(I208=H208,0,"RTA01")</f>
        <v>0</v>
      </c>
      <c r="L208" s="85"/>
      <c r="M208" s="70"/>
      <c r="N208" s="278" t="s">
        <v>270</v>
      </c>
      <c r="O208" s="97"/>
      <c r="P208"/>
    </row>
    <row r="209" spans="2:16" ht="30" x14ac:dyDescent="0.25">
      <c r="B209" s="181"/>
      <c r="C209" s="171"/>
      <c r="D209" s="198"/>
      <c r="E209" s="219"/>
      <c r="F209" s="76" t="s">
        <v>116</v>
      </c>
      <c r="G209" s="22" t="s">
        <v>117</v>
      </c>
      <c r="H209" s="108">
        <v>25</v>
      </c>
      <c r="I209" s="26">
        <v>26</v>
      </c>
      <c r="J209" s="22">
        <f>IF(I209&lt;=H209,"Karpet",0)</f>
        <v>0</v>
      </c>
      <c r="K209" s="22" t="str">
        <f>IF(I209&gt;H209,"Kipas angin",0)</f>
        <v>Kipas angin</v>
      </c>
      <c r="L209" s="85"/>
      <c r="M209" s="70"/>
      <c r="N209" s="278" t="s">
        <v>271</v>
      </c>
      <c r="O209" s="97"/>
      <c r="P209"/>
    </row>
    <row r="210" spans="2:16" ht="30" x14ac:dyDescent="0.25">
      <c r="B210" s="181"/>
      <c r="C210" s="171"/>
      <c r="D210" s="198"/>
      <c r="E210" s="219"/>
      <c r="F210" s="126" t="s">
        <v>45</v>
      </c>
      <c r="G210" s="24" t="s">
        <v>115</v>
      </c>
      <c r="H210" s="27" t="s">
        <v>109</v>
      </c>
      <c r="I210" s="37" t="s">
        <v>109</v>
      </c>
      <c r="J210" s="24" t="str">
        <f>IF(I210=H210,"Kipas angin",0)</f>
        <v>Kipas angin</v>
      </c>
      <c r="K210" s="24">
        <f>IF(I210=H210,0,"RTA01")</f>
        <v>0</v>
      </c>
      <c r="L210" s="51"/>
      <c r="M210" s="57"/>
      <c r="N210" s="278" t="s">
        <v>272</v>
      </c>
      <c r="O210" s="97"/>
      <c r="P210"/>
    </row>
    <row r="211" spans="2:16" ht="30" x14ac:dyDescent="0.25">
      <c r="B211" s="181"/>
      <c r="C211" s="171"/>
      <c r="D211" s="198"/>
      <c r="E211" s="220"/>
      <c r="F211" s="76" t="s">
        <v>32</v>
      </c>
      <c r="G211" s="22" t="s">
        <v>88</v>
      </c>
      <c r="H211" s="22" t="s">
        <v>80</v>
      </c>
      <c r="I211" s="26" t="s">
        <v>80</v>
      </c>
      <c r="J211" s="22" t="str">
        <f>IF(I211=H211,"Karpet",0)</f>
        <v>Karpet</v>
      </c>
      <c r="K211" s="22">
        <f>IF(I211=H211,0,"Batal")</f>
        <v>0</v>
      </c>
      <c r="L211" s="85"/>
      <c r="M211" s="70" t="s">
        <v>296</v>
      </c>
      <c r="N211" s="278" t="s">
        <v>273</v>
      </c>
      <c r="O211" s="101"/>
      <c r="P211"/>
    </row>
    <row r="212" spans="2:16" ht="25.5" x14ac:dyDescent="0.25">
      <c r="B212" s="181"/>
      <c r="C212" s="171"/>
      <c r="D212" s="198"/>
      <c r="E212" s="210" t="s">
        <v>77</v>
      </c>
      <c r="F212" s="126" t="s">
        <v>45</v>
      </c>
      <c r="G212" s="24" t="s">
        <v>13</v>
      </c>
      <c r="H212" s="27" t="s">
        <v>14</v>
      </c>
      <c r="I212" s="37" t="s">
        <v>51</v>
      </c>
      <c r="J212" s="24">
        <f>IF(I212=H212,"Pintu",0)</f>
        <v>0</v>
      </c>
      <c r="K212" s="24" t="str">
        <f>IF(I212=H212,0,"Batal")</f>
        <v>Batal</v>
      </c>
      <c r="L212" s="54"/>
      <c r="M212" s="56"/>
      <c r="N212" s="277" t="s">
        <v>264</v>
      </c>
      <c r="O212" s="97"/>
      <c r="P212"/>
    </row>
    <row r="213" spans="2:16" ht="25.5" x14ac:dyDescent="0.25">
      <c r="B213" s="181"/>
      <c r="C213" s="171"/>
      <c r="D213" s="198"/>
      <c r="E213" s="210"/>
      <c r="F213" s="126" t="s">
        <v>24</v>
      </c>
      <c r="G213" s="24" t="s">
        <v>33</v>
      </c>
      <c r="H213" s="28">
        <v>150</v>
      </c>
      <c r="I213" s="37">
        <v>150</v>
      </c>
      <c r="J213" s="24" t="str">
        <f>IF(I213&gt;=H213,"RTA01",0)</f>
        <v>RTA01</v>
      </c>
      <c r="K213" s="24">
        <f>IF(I213&lt;H213,"Saklar Lampu",0)</f>
        <v>0</v>
      </c>
      <c r="L213" s="86"/>
      <c r="M213" s="71"/>
      <c r="N213" s="277" t="s">
        <v>206</v>
      </c>
      <c r="O213" s="97"/>
      <c r="P213"/>
    </row>
    <row r="214" spans="2:16" ht="30" x14ac:dyDescent="0.25">
      <c r="B214" s="181"/>
      <c r="C214" s="171"/>
      <c r="D214" s="198"/>
      <c r="E214" s="210"/>
      <c r="F214" s="114" t="s">
        <v>99</v>
      </c>
      <c r="G214" s="22" t="s">
        <v>102</v>
      </c>
      <c r="H214" s="21">
        <v>1</v>
      </c>
      <c r="I214" s="26">
        <v>0.5</v>
      </c>
      <c r="J214" s="24" t="str">
        <f>IF(I214&lt;=H214,"Tempat tidur",0)</f>
        <v>Tempat tidur</v>
      </c>
      <c r="K214" s="24">
        <f>IF(I214&gt;H214,"Batal",0)</f>
        <v>0</v>
      </c>
      <c r="L214" s="51"/>
      <c r="M214" s="63"/>
      <c r="N214" s="277" t="s">
        <v>274</v>
      </c>
      <c r="O214" s="97"/>
      <c r="P214"/>
    </row>
    <row r="215" spans="2:16" ht="30" x14ac:dyDescent="0.25">
      <c r="B215" s="181"/>
      <c r="C215" s="171"/>
      <c r="D215" s="198"/>
      <c r="E215" s="210"/>
      <c r="F215" s="76" t="s">
        <v>116</v>
      </c>
      <c r="G215" s="22" t="s">
        <v>117</v>
      </c>
      <c r="H215" s="108">
        <v>24</v>
      </c>
      <c r="I215" s="26">
        <v>27</v>
      </c>
      <c r="J215" s="22">
        <f>IF(I215&lt;=H215,"Tempat tidur",0)</f>
        <v>0</v>
      </c>
      <c r="K215" s="22" t="str">
        <f>IF(I215&gt;H215,"AC",0)</f>
        <v>AC</v>
      </c>
      <c r="L215" s="85"/>
      <c r="M215" s="70"/>
      <c r="N215" s="278" t="s">
        <v>275</v>
      </c>
      <c r="O215" s="97"/>
      <c r="P215"/>
    </row>
    <row r="216" spans="2:16" ht="30" x14ac:dyDescent="0.25">
      <c r="B216" s="181"/>
      <c r="C216" s="171"/>
      <c r="D216" s="198"/>
      <c r="E216" s="210"/>
      <c r="F216" s="76" t="s">
        <v>45</v>
      </c>
      <c r="G216" s="22" t="s">
        <v>118</v>
      </c>
      <c r="H216" s="20" t="s">
        <v>109</v>
      </c>
      <c r="I216" s="26" t="s">
        <v>109</v>
      </c>
      <c r="J216" s="22" t="str">
        <f>IF(I216=H216,"Tempat tidur",0)</f>
        <v>Tempat tidur</v>
      </c>
      <c r="K216" s="22">
        <f>IF(I216=H216,0,"Batal")</f>
        <v>0</v>
      </c>
      <c r="L216" s="51"/>
      <c r="M216" s="63"/>
      <c r="N216" s="278" t="s">
        <v>276</v>
      </c>
      <c r="O216" s="101"/>
      <c r="P216"/>
    </row>
    <row r="217" spans="2:16" ht="45.75" thickBot="1" x14ac:dyDescent="0.3">
      <c r="B217" s="160"/>
      <c r="C217" s="162"/>
      <c r="D217" s="201"/>
      <c r="E217" s="210"/>
      <c r="F217" s="75" t="s">
        <v>32</v>
      </c>
      <c r="G217" s="30" t="s">
        <v>88</v>
      </c>
      <c r="H217" s="30" t="s">
        <v>80</v>
      </c>
      <c r="I217" s="38" t="s">
        <v>80</v>
      </c>
      <c r="J217" s="30" t="str">
        <f>IF(I217=H217,"AC",0)</f>
        <v>AC</v>
      </c>
      <c r="K217" s="30">
        <f>IF(I217=H217,0,"Batal")</f>
        <v>0</v>
      </c>
      <c r="L217" s="87" t="s">
        <v>13</v>
      </c>
      <c r="M217" s="72" t="s">
        <v>325</v>
      </c>
      <c r="N217" s="276" t="s">
        <v>277</v>
      </c>
      <c r="O217" s="137"/>
      <c r="P217"/>
    </row>
    <row r="218" spans="2:16" ht="30" x14ac:dyDescent="0.25">
      <c r="B218" s="188" t="s">
        <v>396</v>
      </c>
      <c r="C218" s="190" t="s">
        <v>451</v>
      </c>
      <c r="D218" s="197" t="s">
        <v>452</v>
      </c>
      <c r="E218" s="221" t="s">
        <v>36</v>
      </c>
      <c r="F218" s="126" t="s">
        <v>24</v>
      </c>
      <c r="G218" s="24" t="s">
        <v>33</v>
      </c>
      <c r="H218" s="28">
        <v>150</v>
      </c>
      <c r="I218" s="37">
        <v>100</v>
      </c>
      <c r="J218" s="24">
        <f>IF(I218&gt;=H218,"RKG01",0)</f>
        <v>0</v>
      </c>
      <c r="K218" s="24" t="str">
        <f>IF(I218&lt;H218,"Saklar Lampu",0)</f>
        <v>Saklar Lampu</v>
      </c>
      <c r="L218" s="86"/>
      <c r="M218" s="71"/>
      <c r="N218" s="271" t="s">
        <v>130</v>
      </c>
      <c r="O218" s="97"/>
      <c r="P218"/>
    </row>
    <row r="219" spans="2:16" ht="30" x14ac:dyDescent="0.25">
      <c r="B219" s="181"/>
      <c r="C219" s="186"/>
      <c r="D219" s="198"/>
      <c r="E219" s="210"/>
      <c r="F219" s="114" t="s">
        <v>99</v>
      </c>
      <c r="G219" s="22" t="s">
        <v>102</v>
      </c>
      <c r="H219" s="21">
        <v>1</v>
      </c>
      <c r="I219" s="26">
        <v>1</v>
      </c>
      <c r="J219" s="24" t="str">
        <f>IF(I219&lt;=H219,"Sofa/ Karpet",0)</f>
        <v>Sofa/ Karpet</v>
      </c>
      <c r="K219" s="24">
        <f>IF(I219&gt;H219,"Batal",0)</f>
        <v>0</v>
      </c>
      <c r="L219" s="51"/>
      <c r="M219" s="63"/>
      <c r="N219" s="277" t="s">
        <v>278</v>
      </c>
      <c r="O219" s="97"/>
      <c r="P219"/>
    </row>
    <row r="220" spans="2:16" ht="25.5" x14ac:dyDescent="0.25">
      <c r="B220" s="181"/>
      <c r="C220" s="186"/>
      <c r="D220" s="198"/>
      <c r="E220" s="210"/>
      <c r="F220" s="216" t="s">
        <v>45</v>
      </c>
      <c r="G220" s="22" t="s">
        <v>37</v>
      </c>
      <c r="H220" s="20" t="s">
        <v>16</v>
      </c>
      <c r="I220" s="26" t="s">
        <v>16</v>
      </c>
      <c r="J220" s="22" t="str">
        <f>IF(I220=H220,"Sofa",0)</f>
        <v>Sofa</v>
      </c>
      <c r="K220" s="22">
        <f>IF(I220=H220,0,"Karpet")</f>
        <v>0</v>
      </c>
      <c r="L220" s="85"/>
      <c r="M220" s="70"/>
      <c r="N220" s="278" t="s">
        <v>279</v>
      </c>
      <c r="O220" s="97"/>
      <c r="P220"/>
    </row>
    <row r="221" spans="2:16" ht="25.5" x14ac:dyDescent="0.25">
      <c r="B221" s="181"/>
      <c r="C221" s="186"/>
      <c r="D221" s="198"/>
      <c r="E221" s="210"/>
      <c r="F221" s="217"/>
      <c r="G221" s="22" t="s">
        <v>38</v>
      </c>
      <c r="H221" s="20" t="s">
        <v>16</v>
      </c>
      <c r="I221" s="26" t="s">
        <v>16</v>
      </c>
      <c r="J221" s="22" t="str">
        <f>IF(I221=H221,"Karpet",0)</f>
        <v>Karpet</v>
      </c>
      <c r="K221" s="22">
        <f t="shared" ref="K221:K222" si="12">IF(I221=H221,0,"Batal")</f>
        <v>0</v>
      </c>
      <c r="L221" s="85"/>
      <c r="M221" s="70"/>
      <c r="N221" s="278" t="s">
        <v>280</v>
      </c>
      <c r="O221" s="97"/>
      <c r="P221"/>
    </row>
    <row r="222" spans="2:16" ht="30" x14ac:dyDescent="0.25">
      <c r="B222" s="181"/>
      <c r="C222" s="186"/>
      <c r="D222" s="198"/>
      <c r="E222" s="210"/>
      <c r="F222" s="217"/>
      <c r="G222" s="22" t="s">
        <v>114</v>
      </c>
      <c r="H222" s="20" t="s">
        <v>109</v>
      </c>
      <c r="I222" s="26" t="s">
        <v>109</v>
      </c>
      <c r="J222" s="22" t="str">
        <f>IF(I222=H222,"Sofa/ Karpet",0)</f>
        <v>Sofa/ Karpet</v>
      </c>
      <c r="K222" s="22">
        <f t="shared" si="12"/>
        <v>0</v>
      </c>
      <c r="L222" s="85"/>
      <c r="M222" s="70"/>
      <c r="N222" s="278" t="s">
        <v>281</v>
      </c>
      <c r="O222" s="97"/>
      <c r="P222"/>
    </row>
    <row r="223" spans="2:16" ht="30" x14ac:dyDescent="0.25">
      <c r="B223" s="181"/>
      <c r="C223" s="186"/>
      <c r="D223" s="198"/>
      <c r="E223" s="210"/>
      <c r="F223" s="76" t="s">
        <v>32</v>
      </c>
      <c r="G223" s="22" t="s">
        <v>88</v>
      </c>
      <c r="H223" s="22" t="s">
        <v>80</v>
      </c>
      <c r="I223" s="26" t="s">
        <v>343</v>
      </c>
      <c r="J223" s="22">
        <f>IF(I223=H223,"Sofa/ Karpet",0)</f>
        <v>0</v>
      </c>
      <c r="K223" s="24" t="str">
        <f>IF(I223=H223,0,"Batal")</f>
        <v>Batal</v>
      </c>
      <c r="L223" s="51"/>
      <c r="M223" s="57"/>
      <c r="N223" s="278" t="s">
        <v>282</v>
      </c>
      <c r="O223" s="97"/>
      <c r="P223"/>
    </row>
    <row r="224" spans="2:16" ht="30" x14ac:dyDescent="0.25">
      <c r="B224" s="181"/>
      <c r="C224" s="186"/>
      <c r="D224" s="198"/>
      <c r="E224" s="210"/>
      <c r="F224" s="76" t="s">
        <v>116</v>
      </c>
      <c r="G224" s="22" t="s">
        <v>117</v>
      </c>
      <c r="H224" s="108">
        <v>25</v>
      </c>
      <c r="I224" s="26">
        <v>27</v>
      </c>
      <c r="J224" s="22">
        <f>IF(I224&lt;=H224,"Sofa/ Karpet",0)</f>
        <v>0</v>
      </c>
      <c r="K224" s="22" t="str">
        <f>IF(I224&gt;H224,"Kipas angin",0)</f>
        <v>Kipas angin</v>
      </c>
      <c r="L224" s="85"/>
      <c r="M224" s="70"/>
      <c r="N224" s="278" t="s">
        <v>283</v>
      </c>
      <c r="O224" s="97"/>
      <c r="P224"/>
    </row>
    <row r="225" spans="2:16" ht="30.75" thickBot="1" x14ac:dyDescent="0.3">
      <c r="B225" s="189"/>
      <c r="C225" s="191"/>
      <c r="D225" s="199"/>
      <c r="E225" s="211"/>
      <c r="F225" s="126" t="s">
        <v>45</v>
      </c>
      <c r="G225" s="24" t="s">
        <v>115</v>
      </c>
      <c r="H225" s="111" t="s">
        <v>109</v>
      </c>
      <c r="I225" s="37" t="s">
        <v>109</v>
      </c>
      <c r="J225" s="24" t="str">
        <f>IF(I225=H225,"Kipas angin",0)</f>
        <v>Kipas angin</v>
      </c>
      <c r="K225" s="24">
        <f>IF(I225=H225,0,"Batal")</f>
        <v>0</v>
      </c>
      <c r="L225" s="86" t="s">
        <v>36</v>
      </c>
      <c r="M225" s="71" t="s">
        <v>296</v>
      </c>
      <c r="N225" s="276" t="s">
        <v>284</v>
      </c>
      <c r="O225" s="106"/>
      <c r="P225"/>
    </row>
    <row r="226" spans="2:16" ht="30" x14ac:dyDescent="0.25">
      <c r="B226" s="159" t="s">
        <v>396</v>
      </c>
      <c r="C226" s="161" t="s">
        <v>413</v>
      </c>
      <c r="D226" s="200" t="s">
        <v>96</v>
      </c>
      <c r="E226" s="218" t="s">
        <v>36</v>
      </c>
      <c r="F226" s="127" t="s">
        <v>24</v>
      </c>
      <c r="G226" s="39" t="s">
        <v>33</v>
      </c>
      <c r="H226" s="36">
        <v>150</v>
      </c>
      <c r="I226" s="43">
        <v>100</v>
      </c>
      <c r="J226" s="39">
        <f>IF(I226&gt;=H226,"RKG01",0)</f>
        <v>0</v>
      </c>
      <c r="K226" s="39" t="str">
        <f>IF(I226&lt;H226,"Saklar Lampu",0)</f>
        <v>Saklar Lampu</v>
      </c>
      <c r="L226" s="84"/>
      <c r="M226" s="69"/>
      <c r="N226" s="271" t="s">
        <v>130</v>
      </c>
      <c r="O226" s="100"/>
      <c r="P226"/>
    </row>
    <row r="227" spans="2:16" ht="30" x14ac:dyDescent="0.25">
      <c r="B227" s="181"/>
      <c r="C227" s="171"/>
      <c r="D227" s="198"/>
      <c r="E227" s="219"/>
      <c r="F227" s="118" t="s">
        <v>99</v>
      </c>
      <c r="G227" s="22" t="s">
        <v>102</v>
      </c>
      <c r="H227" s="21">
        <v>0.6</v>
      </c>
      <c r="I227" s="26">
        <v>1.2</v>
      </c>
      <c r="J227" s="24">
        <f>IF(I227&lt;H227,"Sofa",0)</f>
        <v>0</v>
      </c>
      <c r="K227" s="24" t="str">
        <f>IF(I227&gt;=H227,"RTM01",0)</f>
        <v>RTM01</v>
      </c>
      <c r="L227" s="51"/>
      <c r="M227" s="63"/>
      <c r="N227" s="277" t="s">
        <v>286</v>
      </c>
      <c r="O227" s="97"/>
      <c r="P227"/>
    </row>
    <row r="228" spans="2:16" ht="25.5" x14ac:dyDescent="0.25">
      <c r="B228" s="181"/>
      <c r="C228" s="171"/>
      <c r="D228" s="198"/>
      <c r="E228" s="219"/>
      <c r="F228" s="76" t="s">
        <v>45</v>
      </c>
      <c r="G228" s="22" t="s">
        <v>37</v>
      </c>
      <c r="H228" s="20" t="s">
        <v>16</v>
      </c>
      <c r="I228" s="26" t="s">
        <v>17</v>
      </c>
      <c r="J228" s="22">
        <f>IF(I228=H228,"Sofa",0)</f>
        <v>0</v>
      </c>
      <c r="K228" s="22" t="str">
        <f>IF(I228=H228,0,"RTM01")</f>
        <v>RTM01</v>
      </c>
      <c r="L228" s="85"/>
      <c r="M228" s="70"/>
      <c r="N228" s="278" t="s">
        <v>285</v>
      </c>
      <c r="O228" s="97"/>
      <c r="P228"/>
    </row>
    <row r="229" spans="2:16" ht="30" x14ac:dyDescent="0.25">
      <c r="B229" s="181"/>
      <c r="C229" s="171"/>
      <c r="D229" s="198"/>
      <c r="E229" s="219"/>
      <c r="F229" s="76" t="s">
        <v>116</v>
      </c>
      <c r="G229" s="22" t="s">
        <v>117</v>
      </c>
      <c r="H229" s="108">
        <v>25</v>
      </c>
      <c r="I229" s="26">
        <v>25</v>
      </c>
      <c r="J229" s="22" t="str">
        <f>IF(I229&lt;=H229,"Sofa",0)</f>
        <v>Sofa</v>
      </c>
      <c r="K229" s="22">
        <f>IF(I229&gt;H229,"Kipas angin",0)</f>
        <v>0</v>
      </c>
      <c r="L229" s="85"/>
      <c r="M229" s="70"/>
      <c r="N229" s="278" t="s">
        <v>287</v>
      </c>
      <c r="O229" s="97"/>
      <c r="P229"/>
    </row>
    <row r="230" spans="2:16" ht="30" x14ac:dyDescent="0.25">
      <c r="B230" s="181"/>
      <c r="C230" s="171"/>
      <c r="D230" s="198"/>
      <c r="E230" s="219"/>
      <c r="F230" s="126" t="s">
        <v>45</v>
      </c>
      <c r="G230" s="24" t="s">
        <v>115</v>
      </c>
      <c r="H230" s="27" t="s">
        <v>109</v>
      </c>
      <c r="I230" s="37" t="s">
        <v>109</v>
      </c>
      <c r="J230" s="24" t="str">
        <f>IF(I230=H230,"Kipas angin",0)</f>
        <v>Kipas angin</v>
      </c>
      <c r="K230" s="24">
        <f>IF(I230=H230,0,"RTM01")</f>
        <v>0</v>
      </c>
      <c r="L230" s="51"/>
      <c r="M230" s="57"/>
      <c r="N230" s="278" t="s">
        <v>289</v>
      </c>
      <c r="O230" s="97"/>
      <c r="P230"/>
    </row>
    <row r="231" spans="2:16" ht="30" x14ac:dyDescent="0.25">
      <c r="B231" s="181"/>
      <c r="C231" s="171"/>
      <c r="D231" s="198"/>
      <c r="E231" s="220"/>
      <c r="F231" s="76" t="s">
        <v>32</v>
      </c>
      <c r="G231" s="22" t="s">
        <v>88</v>
      </c>
      <c r="H231" s="22" t="s">
        <v>80</v>
      </c>
      <c r="I231" s="26" t="s">
        <v>80</v>
      </c>
      <c r="J231" s="22" t="str">
        <f>IF(I231=H231,"Sofa",0)</f>
        <v>Sofa</v>
      </c>
      <c r="K231" s="22">
        <f>IF(I231=H231,0,"Batal")</f>
        <v>0</v>
      </c>
      <c r="L231" s="85"/>
      <c r="M231" s="70" t="s">
        <v>296</v>
      </c>
      <c r="N231" s="278" t="s">
        <v>288</v>
      </c>
      <c r="O231" s="151"/>
      <c r="P231"/>
    </row>
    <row r="232" spans="2:16" ht="25.5" x14ac:dyDescent="0.25">
      <c r="B232" s="181"/>
      <c r="C232" s="171"/>
      <c r="D232" s="198"/>
      <c r="E232" s="210" t="s">
        <v>63</v>
      </c>
      <c r="F232" s="126" t="s">
        <v>24</v>
      </c>
      <c r="G232" s="24" t="s">
        <v>33</v>
      </c>
      <c r="H232" s="28">
        <v>150</v>
      </c>
      <c r="I232" s="37">
        <v>150</v>
      </c>
      <c r="J232" s="24" t="str">
        <f>IF(I232&gt;=H232,"RTM01",0)</f>
        <v>RTM01</v>
      </c>
      <c r="K232" s="24">
        <f>IF(I232&lt;H232,"Saklar Lampu",0)</f>
        <v>0</v>
      </c>
      <c r="L232" s="86"/>
      <c r="M232" s="71"/>
      <c r="N232" s="277" t="s">
        <v>196</v>
      </c>
      <c r="O232" s="97"/>
      <c r="P232"/>
    </row>
    <row r="233" spans="2:16" ht="30" x14ac:dyDescent="0.25">
      <c r="B233" s="181"/>
      <c r="C233" s="171"/>
      <c r="D233" s="198"/>
      <c r="E233" s="210"/>
      <c r="F233" s="114" t="s">
        <v>99</v>
      </c>
      <c r="G233" s="22" t="s">
        <v>102</v>
      </c>
      <c r="H233" s="21">
        <v>0.4</v>
      </c>
      <c r="I233" s="26">
        <v>0.2</v>
      </c>
      <c r="J233" s="24" t="str">
        <f>IF(I233&lt;H233,"Sofa",0)</f>
        <v>Sofa</v>
      </c>
      <c r="K233" s="24">
        <f>IF(I233&gt;=H233,"Batal",0)</f>
        <v>0</v>
      </c>
      <c r="L233" s="51"/>
      <c r="M233" s="63"/>
      <c r="N233" s="277" t="s">
        <v>290</v>
      </c>
      <c r="O233" s="97"/>
      <c r="P233"/>
    </row>
    <row r="234" spans="2:16" ht="25.5" x14ac:dyDescent="0.25">
      <c r="B234" s="181"/>
      <c r="C234" s="171"/>
      <c r="D234" s="198"/>
      <c r="E234" s="210"/>
      <c r="F234" s="76" t="s">
        <v>45</v>
      </c>
      <c r="G234" s="22" t="s">
        <v>37</v>
      </c>
      <c r="H234" s="20" t="s">
        <v>16</v>
      </c>
      <c r="I234" s="26" t="s">
        <v>16</v>
      </c>
      <c r="J234" s="22" t="str">
        <f>IF(I234=H234,"Sofa",0)</f>
        <v>Sofa</v>
      </c>
      <c r="K234" s="22">
        <f>IF(I234=H234,0,"Batal")</f>
        <v>0</v>
      </c>
      <c r="L234" s="54"/>
      <c r="M234" s="56"/>
      <c r="N234" s="278" t="s">
        <v>291</v>
      </c>
      <c r="O234" s="97"/>
      <c r="P234"/>
    </row>
    <row r="235" spans="2:16" ht="30.75" thickBot="1" x14ac:dyDescent="0.3">
      <c r="B235" s="160"/>
      <c r="C235" s="162"/>
      <c r="D235" s="201"/>
      <c r="E235" s="210"/>
      <c r="F235" s="118" t="s">
        <v>116</v>
      </c>
      <c r="G235" s="23" t="s">
        <v>117</v>
      </c>
      <c r="H235" s="109">
        <v>27</v>
      </c>
      <c r="I235" s="41">
        <v>28</v>
      </c>
      <c r="J235" s="23">
        <f>IF(I235&lt;=H235,"Sofa",0)</f>
        <v>0</v>
      </c>
      <c r="K235" s="23" t="str">
        <f>IF(I235&gt;H235,"Batal",0)</f>
        <v>Batal</v>
      </c>
      <c r="L235" s="152"/>
      <c r="M235" s="153" t="s">
        <v>293</v>
      </c>
      <c r="N235" s="274" t="s">
        <v>292</v>
      </c>
      <c r="O235" s="138"/>
      <c r="P235"/>
    </row>
    <row r="236" spans="2:16" ht="30" x14ac:dyDescent="0.25">
      <c r="B236" s="159" t="s">
        <v>396</v>
      </c>
      <c r="C236" s="161" t="s">
        <v>414</v>
      </c>
      <c r="D236" s="208" t="s">
        <v>98</v>
      </c>
      <c r="E236" s="212" t="s">
        <v>36</v>
      </c>
      <c r="F236" s="76" t="s">
        <v>24</v>
      </c>
      <c r="G236" s="22" t="s">
        <v>33</v>
      </c>
      <c r="H236" s="21">
        <v>150</v>
      </c>
      <c r="I236" s="26">
        <v>100</v>
      </c>
      <c r="J236" s="22">
        <f>IF(I236&gt;=H236,"RKG01",0)</f>
        <v>0</v>
      </c>
      <c r="K236" s="22" t="str">
        <f>IF(I236&lt;H236,"Saklar Lampu",0)</f>
        <v>Saklar Lampu</v>
      </c>
      <c r="L236" s="85"/>
      <c r="M236" s="70"/>
      <c r="N236" s="281" t="s">
        <v>130</v>
      </c>
      <c r="O236" s="100"/>
      <c r="P236"/>
    </row>
    <row r="237" spans="2:16" ht="30" x14ac:dyDescent="0.25">
      <c r="B237" s="181"/>
      <c r="C237" s="171"/>
      <c r="D237" s="209"/>
      <c r="E237" s="212"/>
      <c r="F237" s="76" t="s">
        <v>99</v>
      </c>
      <c r="G237" s="22" t="s">
        <v>102</v>
      </c>
      <c r="H237" s="21">
        <v>1</v>
      </c>
      <c r="I237" s="26">
        <v>1.2</v>
      </c>
      <c r="J237" s="22">
        <f>IF(I237&lt;H237,"Sofa",0)</f>
        <v>0</v>
      </c>
      <c r="K237" s="22" t="str">
        <f>IF(I237&gt;=H237,"RTU01",0)</f>
        <v>RTU01</v>
      </c>
      <c r="L237" s="51"/>
      <c r="M237" s="63"/>
      <c r="N237" s="281" t="s">
        <v>295</v>
      </c>
      <c r="O237" s="97"/>
      <c r="P237"/>
    </row>
    <row r="238" spans="2:16" ht="25.5" x14ac:dyDescent="0.25">
      <c r="B238" s="181"/>
      <c r="C238" s="171"/>
      <c r="D238" s="209"/>
      <c r="E238" s="212"/>
      <c r="F238" s="76" t="s">
        <v>45</v>
      </c>
      <c r="G238" s="22" t="s">
        <v>37</v>
      </c>
      <c r="H238" s="20" t="s">
        <v>16</v>
      </c>
      <c r="I238" s="26" t="s">
        <v>17</v>
      </c>
      <c r="J238" s="22">
        <f>IF(I238=H238,"Sofa",0)</f>
        <v>0</v>
      </c>
      <c r="K238" s="22" t="str">
        <f>IF(I238=H238,0,"RTU01")</f>
        <v>RTU01</v>
      </c>
      <c r="L238" s="85"/>
      <c r="M238" s="70"/>
      <c r="N238" s="281" t="s">
        <v>294</v>
      </c>
      <c r="O238" s="97"/>
      <c r="P238"/>
    </row>
    <row r="239" spans="2:16" ht="30" x14ac:dyDescent="0.25">
      <c r="B239" s="181"/>
      <c r="C239" s="171"/>
      <c r="D239" s="209"/>
      <c r="E239" s="212"/>
      <c r="F239" s="76" t="s">
        <v>116</v>
      </c>
      <c r="G239" s="22" t="s">
        <v>117</v>
      </c>
      <c r="H239" s="108">
        <v>25</v>
      </c>
      <c r="I239" s="26">
        <v>25</v>
      </c>
      <c r="J239" s="22" t="str">
        <f>IF(I239&lt;=H239,"Sofa",0)</f>
        <v>Sofa</v>
      </c>
      <c r="K239" s="22">
        <f>IF(I239&gt;H239,"Kipas angin",0)</f>
        <v>0</v>
      </c>
      <c r="L239" s="85"/>
      <c r="M239" s="70"/>
      <c r="N239" s="281" t="s">
        <v>287</v>
      </c>
      <c r="O239" s="97"/>
      <c r="P239"/>
    </row>
    <row r="240" spans="2:16" ht="30" x14ac:dyDescent="0.25">
      <c r="B240" s="181"/>
      <c r="C240" s="171"/>
      <c r="D240" s="209"/>
      <c r="E240" s="212"/>
      <c r="F240" s="76" t="s">
        <v>45</v>
      </c>
      <c r="G240" s="22" t="s">
        <v>115</v>
      </c>
      <c r="H240" s="20" t="s">
        <v>109</v>
      </c>
      <c r="I240" s="26" t="s">
        <v>109</v>
      </c>
      <c r="J240" s="22" t="str">
        <f>IF(I240=H240,"Kipas angin",0)</f>
        <v>Kipas angin</v>
      </c>
      <c r="K240" s="22">
        <f>IF(I240=H240,0,"RTU01")</f>
        <v>0</v>
      </c>
      <c r="L240" s="51"/>
      <c r="M240" s="63"/>
      <c r="N240" s="281" t="s">
        <v>289</v>
      </c>
      <c r="O240" s="97"/>
      <c r="P240"/>
    </row>
    <row r="241" spans="2:16" ht="30" x14ac:dyDescent="0.25">
      <c r="B241" s="181"/>
      <c r="C241" s="171"/>
      <c r="D241" s="209"/>
      <c r="E241" s="212"/>
      <c r="F241" s="76" t="s">
        <v>32</v>
      </c>
      <c r="G241" s="22" t="s">
        <v>88</v>
      </c>
      <c r="H241" s="22" t="s">
        <v>80</v>
      </c>
      <c r="I241" s="26" t="s">
        <v>80</v>
      </c>
      <c r="J241" s="22" t="str">
        <f>IF(I241=H241,"Sofa",0)</f>
        <v>Sofa</v>
      </c>
      <c r="K241" s="22">
        <f>IF(I241=H241,0,"Batal")</f>
        <v>0</v>
      </c>
      <c r="L241" s="85"/>
      <c r="M241" s="70" t="s">
        <v>296</v>
      </c>
      <c r="N241" s="281" t="s">
        <v>288</v>
      </c>
      <c r="O241" s="97"/>
      <c r="P241"/>
    </row>
    <row r="242" spans="2:16" ht="25.5" x14ac:dyDescent="0.25">
      <c r="B242" s="181"/>
      <c r="C242" s="171"/>
      <c r="D242" s="198"/>
      <c r="E242" s="210" t="s">
        <v>47</v>
      </c>
      <c r="F242" s="126" t="s">
        <v>45</v>
      </c>
      <c r="G242" s="24" t="s">
        <v>13</v>
      </c>
      <c r="H242" s="27" t="s">
        <v>14</v>
      </c>
      <c r="I242" s="37" t="s">
        <v>51</v>
      </c>
      <c r="J242" s="24">
        <f>IF(I242=H242,"Pintu",0)</f>
        <v>0</v>
      </c>
      <c r="K242" s="24" t="str">
        <f>IF(I242=H242,0,"Batal")</f>
        <v>Batal</v>
      </c>
      <c r="L242" s="54"/>
      <c r="M242" s="56" t="s">
        <v>327</v>
      </c>
      <c r="N242" s="277" t="s">
        <v>264</v>
      </c>
      <c r="O242" s="97"/>
      <c r="P242"/>
    </row>
    <row r="243" spans="2:16" ht="30" x14ac:dyDescent="0.25">
      <c r="B243" s="181"/>
      <c r="C243" s="171"/>
      <c r="D243" s="198"/>
      <c r="E243" s="210"/>
      <c r="F243" s="126" t="s">
        <v>24</v>
      </c>
      <c r="G243" s="24" t="s">
        <v>33</v>
      </c>
      <c r="H243" s="28">
        <v>150</v>
      </c>
      <c r="I243" s="37">
        <v>100</v>
      </c>
      <c r="J243" s="24">
        <f>IF(I243&gt;=H243,"RTU01",0)</f>
        <v>0</v>
      </c>
      <c r="K243" s="24" t="str">
        <f>IF(I243&lt;H243,"Saklar Lampu",0)</f>
        <v>Saklar Lampu</v>
      </c>
      <c r="L243" s="86"/>
      <c r="M243" s="71"/>
      <c r="N243" s="277" t="s">
        <v>201</v>
      </c>
      <c r="O243" s="97"/>
      <c r="P243"/>
    </row>
    <row r="244" spans="2:16" ht="30" x14ac:dyDescent="0.25">
      <c r="B244" s="181"/>
      <c r="C244" s="171"/>
      <c r="D244" s="198"/>
      <c r="E244" s="210"/>
      <c r="F244" s="114" t="s">
        <v>99</v>
      </c>
      <c r="G244" s="22" t="s">
        <v>102</v>
      </c>
      <c r="H244" s="21">
        <v>0.4</v>
      </c>
      <c r="I244" s="26">
        <v>1</v>
      </c>
      <c r="J244" s="24">
        <f>IF(I244&lt;H244,"Tempat tidur",0)</f>
        <v>0</v>
      </c>
      <c r="K244" s="24" t="str">
        <f>IF(I244&gt;=H244,"Batal",0)</f>
        <v>Batal</v>
      </c>
      <c r="L244" s="85"/>
      <c r="M244" s="70"/>
      <c r="N244" s="277" t="s">
        <v>298</v>
      </c>
      <c r="O244" s="97"/>
      <c r="P244"/>
    </row>
    <row r="245" spans="2:16" ht="30" x14ac:dyDescent="0.25">
      <c r="B245" s="181"/>
      <c r="C245" s="171"/>
      <c r="D245" s="198"/>
      <c r="E245" s="210"/>
      <c r="F245" s="76" t="s">
        <v>45</v>
      </c>
      <c r="G245" s="22" t="s">
        <v>48</v>
      </c>
      <c r="H245" s="20" t="s">
        <v>16</v>
      </c>
      <c r="I245" s="26" t="s">
        <v>17</v>
      </c>
      <c r="J245" s="22">
        <f>IF(I245=H245,"Tempat tidur",0)</f>
        <v>0</v>
      </c>
      <c r="K245" s="22" t="str">
        <f>IF(I245=H245,0,"Batal")</f>
        <v>Batal</v>
      </c>
      <c r="L245" s="85"/>
      <c r="M245" s="70"/>
      <c r="N245" s="278" t="s">
        <v>163</v>
      </c>
      <c r="O245" s="97"/>
      <c r="P245"/>
    </row>
    <row r="246" spans="2:16" ht="30" x14ac:dyDescent="0.25">
      <c r="B246" s="181"/>
      <c r="C246" s="171"/>
      <c r="D246" s="198"/>
      <c r="E246" s="210"/>
      <c r="F246" s="76" t="s">
        <v>116</v>
      </c>
      <c r="G246" s="22" t="s">
        <v>117</v>
      </c>
      <c r="H246" s="108">
        <v>24</v>
      </c>
      <c r="I246" s="26">
        <v>25</v>
      </c>
      <c r="J246" s="22">
        <f>IF(I246&lt;=H246,"Tempat tidur",0)</f>
        <v>0</v>
      </c>
      <c r="K246" s="22" t="str">
        <f>IF(I246&gt;H246,"AC",0)</f>
        <v>AC</v>
      </c>
      <c r="L246" s="85"/>
      <c r="M246" s="70"/>
      <c r="N246" s="278" t="s">
        <v>299</v>
      </c>
      <c r="O246" s="97"/>
      <c r="P246"/>
    </row>
    <row r="247" spans="2:16" x14ac:dyDescent="0.25">
      <c r="B247" s="181"/>
      <c r="C247" s="171"/>
      <c r="D247" s="198"/>
      <c r="E247" s="210"/>
      <c r="F247" s="126" t="s">
        <v>45</v>
      </c>
      <c r="G247" s="24" t="s">
        <v>118</v>
      </c>
      <c r="H247" s="27" t="s">
        <v>109</v>
      </c>
      <c r="I247" s="37" t="s">
        <v>109</v>
      </c>
      <c r="J247" s="24" t="str">
        <f>IF(I247=H247,"AC",0)</f>
        <v>AC</v>
      </c>
      <c r="K247" s="24">
        <f>IF(I247=H247,0,"Batal")</f>
        <v>0</v>
      </c>
      <c r="L247" s="51"/>
      <c r="M247" s="57"/>
      <c r="N247" s="278" t="s">
        <v>300</v>
      </c>
      <c r="O247" s="97"/>
      <c r="P247"/>
    </row>
    <row r="248" spans="2:16" ht="45.75" thickBot="1" x14ac:dyDescent="0.3">
      <c r="B248" s="160"/>
      <c r="C248" s="162"/>
      <c r="D248" s="201"/>
      <c r="E248" s="211"/>
      <c r="F248" s="75" t="s">
        <v>32</v>
      </c>
      <c r="G248" s="30" t="s">
        <v>88</v>
      </c>
      <c r="H248" s="30" t="s">
        <v>80</v>
      </c>
      <c r="I248" s="38" t="s">
        <v>80</v>
      </c>
      <c r="J248" s="30" t="str">
        <f>IF(I248=H248,"Tempat tidur",0)</f>
        <v>Tempat tidur</v>
      </c>
      <c r="K248" s="30">
        <f>IF(I248=H248,0,"Batal")</f>
        <v>0</v>
      </c>
      <c r="L248" s="87"/>
      <c r="M248" s="72" t="s">
        <v>325</v>
      </c>
      <c r="N248" s="276" t="s">
        <v>301</v>
      </c>
      <c r="O248" s="106"/>
      <c r="P248"/>
    </row>
    <row r="249" spans="2:16" ht="51" x14ac:dyDescent="0.25">
      <c r="B249" s="188" t="s">
        <v>385</v>
      </c>
      <c r="C249" s="183" t="s">
        <v>386</v>
      </c>
      <c r="D249" s="197" t="s">
        <v>97</v>
      </c>
      <c r="E249" s="213" t="s">
        <v>23</v>
      </c>
      <c r="F249" s="127" t="s">
        <v>147</v>
      </c>
      <c r="G249" s="39" t="s">
        <v>33</v>
      </c>
      <c r="H249" s="36">
        <v>150</v>
      </c>
      <c r="I249" s="43">
        <v>100</v>
      </c>
      <c r="J249" s="39">
        <f>IF(I249&gt;=H249,"RMK01",0)</f>
        <v>0</v>
      </c>
      <c r="K249" s="39" t="str">
        <f>IF(I249&lt;H249,"Saklar Lampu",0)</f>
        <v>Saklar Lampu</v>
      </c>
      <c r="L249" s="83"/>
      <c r="M249" s="62"/>
      <c r="N249" s="271" t="s">
        <v>123</v>
      </c>
      <c r="O249" s="112" t="s">
        <v>318</v>
      </c>
      <c r="P249"/>
    </row>
    <row r="250" spans="2:16" ht="45" x14ac:dyDescent="0.25">
      <c r="B250" s="181"/>
      <c r="C250" s="171"/>
      <c r="D250" s="198"/>
      <c r="E250" s="214"/>
      <c r="F250" s="76" t="s">
        <v>99</v>
      </c>
      <c r="G250" s="22" t="s">
        <v>139</v>
      </c>
      <c r="H250" s="21">
        <v>2</v>
      </c>
      <c r="I250" s="26">
        <v>1</v>
      </c>
      <c r="J250" s="22" t="str">
        <f>IF(I250&lt;H250,"Dispenser",0)</f>
        <v>Dispenser</v>
      </c>
      <c r="K250" s="22">
        <f>IF(I250&gt;=H250,"Batal",0)</f>
        <v>0</v>
      </c>
      <c r="L250" s="51"/>
      <c r="M250" s="63"/>
      <c r="N250" s="278" t="s">
        <v>302</v>
      </c>
      <c r="O250" s="139"/>
      <c r="P250"/>
    </row>
    <row r="251" spans="2:16" ht="26.25" thickBot="1" x14ac:dyDescent="0.3">
      <c r="B251" s="189"/>
      <c r="C251" s="172"/>
      <c r="D251" s="199"/>
      <c r="E251" s="215"/>
      <c r="F251" s="75" t="s">
        <v>45</v>
      </c>
      <c r="G251" s="30" t="s">
        <v>44</v>
      </c>
      <c r="H251" s="29" t="s">
        <v>16</v>
      </c>
      <c r="I251" s="38" t="s">
        <v>16</v>
      </c>
      <c r="J251" s="30" t="str">
        <f>IF(I251=H251,"Dispenser",0)</f>
        <v>Dispenser</v>
      </c>
      <c r="K251" s="30">
        <f>IF(I251=H251,0,"Batal")</f>
        <v>0</v>
      </c>
      <c r="L251" s="52" t="s">
        <v>23</v>
      </c>
      <c r="M251" s="59" t="s">
        <v>242</v>
      </c>
      <c r="N251" s="276" t="s">
        <v>303</v>
      </c>
      <c r="O251" s="113"/>
      <c r="P251"/>
    </row>
    <row r="252" spans="2:16" ht="30" x14ac:dyDescent="0.25">
      <c r="B252" s="159" t="s">
        <v>383</v>
      </c>
      <c r="C252" s="161" t="s">
        <v>384</v>
      </c>
      <c r="D252" s="200" t="s">
        <v>304</v>
      </c>
      <c r="E252" s="221" t="s">
        <v>28</v>
      </c>
      <c r="F252" s="127" t="s">
        <v>24</v>
      </c>
      <c r="G252" s="39" t="s">
        <v>33</v>
      </c>
      <c r="H252" s="36">
        <v>150</v>
      </c>
      <c r="I252" s="43">
        <v>100</v>
      </c>
      <c r="J252" s="39">
        <f>IF(I252&gt;=H252,"RGS01",0)</f>
        <v>0</v>
      </c>
      <c r="K252" s="39" t="str">
        <f>IF(I252&lt;H252,"Saklar Lampu",0)</f>
        <v>Saklar Lampu</v>
      </c>
      <c r="L252" s="83"/>
      <c r="M252" s="62"/>
      <c r="N252" s="271" t="s">
        <v>314</v>
      </c>
      <c r="O252" s="140" t="s">
        <v>309</v>
      </c>
      <c r="P252"/>
    </row>
    <row r="253" spans="2:16" ht="25.5" x14ac:dyDescent="0.25">
      <c r="B253" s="181"/>
      <c r="C253" s="171"/>
      <c r="D253" s="198"/>
      <c r="E253" s="210"/>
      <c r="F253" s="76" t="s">
        <v>45</v>
      </c>
      <c r="G253" s="24" t="s">
        <v>310</v>
      </c>
      <c r="H253" s="27" t="s">
        <v>25</v>
      </c>
      <c r="I253" s="37" t="s">
        <v>25</v>
      </c>
      <c r="J253" s="24" t="str">
        <f>IF(I253=H253,"RGS01",0)</f>
        <v>RGS01</v>
      </c>
      <c r="K253" s="24">
        <f>IF(I253=H253,0,"Batal")</f>
        <v>0</v>
      </c>
      <c r="L253" s="54"/>
      <c r="M253" s="56"/>
      <c r="N253" s="277" t="s">
        <v>313</v>
      </c>
      <c r="O253" s="141"/>
      <c r="P253"/>
    </row>
    <row r="254" spans="2:16" ht="30.75" thickBot="1" x14ac:dyDescent="0.3">
      <c r="B254" s="160"/>
      <c r="C254" s="162"/>
      <c r="D254" s="201"/>
      <c r="E254" s="211"/>
      <c r="F254" s="75" t="s">
        <v>32</v>
      </c>
      <c r="G254" s="130" t="s">
        <v>311</v>
      </c>
      <c r="H254" s="131" t="s">
        <v>25</v>
      </c>
      <c r="I254" s="130" t="s">
        <v>25</v>
      </c>
      <c r="J254" s="45" t="str">
        <f>IF(I254=H254,"Kendaraan",0)</f>
        <v>Kendaraan</v>
      </c>
      <c r="K254" s="45">
        <f>IF(I254=H254,0,"Batal")</f>
        <v>0</v>
      </c>
      <c r="L254" s="87" t="s">
        <v>316</v>
      </c>
      <c r="M254" s="72" t="s">
        <v>242</v>
      </c>
      <c r="N254" s="279" t="s">
        <v>312</v>
      </c>
      <c r="O254" s="142"/>
      <c r="P254"/>
    </row>
    <row r="255" spans="2:16" ht="30" x14ac:dyDescent="0.25">
      <c r="B255" s="188" t="s">
        <v>383</v>
      </c>
      <c r="C255" s="183" t="s">
        <v>400</v>
      </c>
      <c r="D255" s="197" t="s">
        <v>305</v>
      </c>
      <c r="E255" s="221" t="s">
        <v>28</v>
      </c>
      <c r="F255" s="127" t="s">
        <v>24</v>
      </c>
      <c r="G255" s="39" t="s">
        <v>33</v>
      </c>
      <c r="H255" s="36">
        <v>150</v>
      </c>
      <c r="I255" s="43">
        <v>100</v>
      </c>
      <c r="J255" s="39">
        <f>IF(I255&gt;=H255,"RGS01",0)</f>
        <v>0</v>
      </c>
      <c r="K255" s="39" t="str">
        <f>IF(I255&lt;H255,"Saklar Lampu",0)</f>
        <v>Saklar Lampu</v>
      </c>
      <c r="L255" s="83"/>
      <c r="M255" s="62"/>
      <c r="N255" s="271" t="s">
        <v>314</v>
      </c>
      <c r="O255" s="140" t="s">
        <v>309</v>
      </c>
      <c r="P255"/>
    </row>
    <row r="256" spans="2:16" ht="25.5" x14ac:dyDescent="0.25">
      <c r="B256" s="181"/>
      <c r="C256" s="171"/>
      <c r="D256" s="198"/>
      <c r="E256" s="210"/>
      <c r="F256" s="76" t="s">
        <v>45</v>
      </c>
      <c r="G256" s="24" t="s">
        <v>310</v>
      </c>
      <c r="H256" s="27" t="s">
        <v>25</v>
      </c>
      <c r="I256" s="37" t="s">
        <v>25</v>
      </c>
      <c r="J256" s="24" t="str">
        <f>IF(I256=H256,"RGS01",0)</f>
        <v>RGS01</v>
      </c>
      <c r="K256" s="24">
        <f>IF(I256=H256,0,"Batal")</f>
        <v>0</v>
      </c>
      <c r="L256" s="54"/>
      <c r="M256" s="56"/>
      <c r="N256" s="277" t="s">
        <v>313</v>
      </c>
      <c r="O256" s="141"/>
      <c r="P256"/>
    </row>
    <row r="257" spans="2:16" ht="30.75" thickBot="1" x14ac:dyDescent="0.3">
      <c r="B257" s="189"/>
      <c r="C257" s="172"/>
      <c r="D257" s="199"/>
      <c r="E257" s="211"/>
      <c r="F257" s="75" t="s">
        <v>32</v>
      </c>
      <c r="G257" s="130" t="s">
        <v>311</v>
      </c>
      <c r="H257" s="131" t="s">
        <v>25</v>
      </c>
      <c r="I257" s="130" t="s">
        <v>25</v>
      </c>
      <c r="J257" s="45" t="str">
        <f>IF(I257=H257,"Kendaraan",0)</f>
        <v>Kendaraan</v>
      </c>
      <c r="K257" s="45">
        <f>IF(I257=H257,0,"Batal")</f>
        <v>0</v>
      </c>
      <c r="L257" s="87" t="s">
        <v>316</v>
      </c>
      <c r="M257" s="72" t="s">
        <v>242</v>
      </c>
      <c r="N257" s="279" t="s">
        <v>312</v>
      </c>
      <c r="O257" s="142"/>
      <c r="P257"/>
    </row>
    <row r="258" spans="2:16" ht="30" x14ac:dyDescent="0.25">
      <c r="B258" s="159" t="s">
        <v>383</v>
      </c>
      <c r="C258" s="161" t="s">
        <v>387</v>
      </c>
      <c r="D258" s="200" t="s">
        <v>306</v>
      </c>
      <c r="E258" s="221" t="s">
        <v>28</v>
      </c>
      <c r="F258" s="127" t="s">
        <v>24</v>
      </c>
      <c r="G258" s="39" t="s">
        <v>33</v>
      </c>
      <c r="H258" s="36">
        <v>150</v>
      </c>
      <c r="I258" s="43">
        <v>100</v>
      </c>
      <c r="J258" s="39">
        <f>IF(I258&gt;=H258,"RGS01",0)</f>
        <v>0</v>
      </c>
      <c r="K258" s="39" t="str">
        <f>IF(I258&lt;H258,"Saklar Lampu",0)</f>
        <v>Saklar Lampu</v>
      </c>
      <c r="L258" s="83"/>
      <c r="M258" s="62"/>
      <c r="N258" s="271" t="s">
        <v>314</v>
      </c>
      <c r="O258" s="140" t="s">
        <v>309</v>
      </c>
      <c r="P258"/>
    </row>
    <row r="259" spans="2:16" ht="25.5" x14ac:dyDescent="0.25">
      <c r="B259" s="181"/>
      <c r="C259" s="171"/>
      <c r="D259" s="198"/>
      <c r="E259" s="210"/>
      <c r="F259" s="76" t="s">
        <v>45</v>
      </c>
      <c r="G259" s="24" t="s">
        <v>310</v>
      </c>
      <c r="H259" s="27" t="s">
        <v>25</v>
      </c>
      <c r="I259" s="37" t="s">
        <v>25</v>
      </c>
      <c r="J259" s="24" t="str">
        <f>IF(I259=H259,"RGS01",0)</f>
        <v>RGS01</v>
      </c>
      <c r="K259" s="24">
        <f>IF(I259=H259,0,"Batal")</f>
        <v>0</v>
      </c>
      <c r="L259" s="54"/>
      <c r="M259" s="56"/>
      <c r="N259" s="277" t="s">
        <v>313</v>
      </c>
      <c r="O259" s="141"/>
      <c r="P259"/>
    </row>
    <row r="260" spans="2:16" ht="30.75" thickBot="1" x14ac:dyDescent="0.3">
      <c r="B260" s="160"/>
      <c r="C260" s="162"/>
      <c r="D260" s="201"/>
      <c r="E260" s="211"/>
      <c r="F260" s="75" t="s">
        <v>32</v>
      </c>
      <c r="G260" s="130" t="s">
        <v>311</v>
      </c>
      <c r="H260" s="131" t="s">
        <v>25</v>
      </c>
      <c r="I260" s="130" t="s">
        <v>25</v>
      </c>
      <c r="J260" s="45" t="str">
        <f>IF(I260=H260,"Kendaraan",0)</f>
        <v>Kendaraan</v>
      </c>
      <c r="K260" s="45">
        <f>IF(I260=H260,0,"Batal")</f>
        <v>0</v>
      </c>
      <c r="L260" s="87" t="s">
        <v>316</v>
      </c>
      <c r="M260" s="72" t="s">
        <v>242</v>
      </c>
      <c r="N260" s="279" t="s">
        <v>312</v>
      </c>
      <c r="O260" s="142"/>
      <c r="P260"/>
    </row>
    <row r="261" spans="2:16" ht="30" x14ac:dyDescent="0.25">
      <c r="B261" s="188" t="s">
        <v>383</v>
      </c>
      <c r="C261" s="183" t="s">
        <v>395</v>
      </c>
      <c r="D261" s="197" t="s">
        <v>307</v>
      </c>
      <c r="E261" s="221" t="s">
        <v>28</v>
      </c>
      <c r="F261" s="127" t="s">
        <v>24</v>
      </c>
      <c r="G261" s="39" t="s">
        <v>33</v>
      </c>
      <c r="H261" s="36">
        <v>150</v>
      </c>
      <c r="I261" s="43">
        <v>100</v>
      </c>
      <c r="J261" s="39">
        <f>IF(I261&gt;=H261,"RGS01",0)</f>
        <v>0</v>
      </c>
      <c r="K261" s="39" t="str">
        <f>IF(I261&lt;H261,"Saklar Lampu",0)</f>
        <v>Saklar Lampu</v>
      </c>
      <c r="L261" s="83"/>
      <c r="M261" s="62"/>
      <c r="N261" s="271" t="s">
        <v>314</v>
      </c>
      <c r="O261" s="140" t="s">
        <v>309</v>
      </c>
      <c r="P261"/>
    </row>
    <row r="262" spans="2:16" ht="25.5" x14ac:dyDescent="0.25">
      <c r="B262" s="181"/>
      <c r="C262" s="171"/>
      <c r="D262" s="198"/>
      <c r="E262" s="210"/>
      <c r="F262" s="76" t="s">
        <v>45</v>
      </c>
      <c r="G262" s="24" t="s">
        <v>310</v>
      </c>
      <c r="H262" s="27" t="s">
        <v>25</v>
      </c>
      <c r="I262" s="37" t="s">
        <v>25</v>
      </c>
      <c r="J262" s="24" t="str">
        <f>IF(I262=H262,"RGS01",0)</f>
        <v>RGS01</v>
      </c>
      <c r="K262" s="24">
        <f>IF(I262=H262,0,"Batal")</f>
        <v>0</v>
      </c>
      <c r="L262" s="54"/>
      <c r="M262" s="56"/>
      <c r="N262" s="277" t="s">
        <v>313</v>
      </c>
      <c r="O262" s="141"/>
      <c r="P262"/>
    </row>
    <row r="263" spans="2:16" ht="30.75" thickBot="1" x14ac:dyDescent="0.3">
      <c r="B263" s="189"/>
      <c r="C263" s="172"/>
      <c r="D263" s="199"/>
      <c r="E263" s="211"/>
      <c r="F263" s="75" t="s">
        <v>32</v>
      </c>
      <c r="G263" s="130" t="s">
        <v>311</v>
      </c>
      <c r="H263" s="131" t="s">
        <v>25</v>
      </c>
      <c r="I263" s="130" t="s">
        <v>25</v>
      </c>
      <c r="J263" s="45" t="str">
        <f>IF(I263=H263,"Kendaraan",0)</f>
        <v>Kendaraan</v>
      </c>
      <c r="K263" s="45">
        <f>IF(I263=H263,0,"Batal")</f>
        <v>0</v>
      </c>
      <c r="L263" s="87" t="s">
        <v>316</v>
      </c>
      <c r="M263" s="72" t="s">
        <v>242</v>
      </c>
      <c r="N263" s="279" t="s">
        <v>312</v>
      </c>
      <c r="O263" s="142"/>
      <c r="P263"/>
    </row>
    <row r="264" spans="2:16" ht="30" x14ac:dyDescent="0.25">
      <c r="B264" s="159" t="s">
        <v>383</v>
      </c>
      <c r="C264" s="185" t="s">
        <v>455</v>
      </c>
      <c r="D264" s="200" t="s">
        <v>456</v>
      </c>
      <c r="E264" s="221" t="s">
        <v>28</v>
      </c>
      <c r="F264" s="127" t="s">
        <v>24</v>
      </c>
      <c r="G264" s="39" t="s">
        <v>33</v>
      </c>
      <c r="H264" s="36">
        <v>150</v>
      </c>
      <c r="I264" s="43">
        <v>100</v>
      </c>
      <c r="J264" s="39">
        <f>IF(I264&gt;=H264,"RGS01",0)</f>
        <v>0</v>
      </c>
      <c r="K264" s="39" t="str">
        <f>IF(I264&lt;H264,"Saklar Lampu",0)</f>
        <v>Saklar Lampu</v>
      </c>
      <c r="L264" s="83"/>
      <c r="M264" s="62"/>
      <c r="N264" s="271" t="s">
        <v>342</v>
      </c>
      <c r="O264" s="140" t="s">
        <v>309</v>
      </c>
      <c r="P264"/>
    </row>
    <row r="265" spans="2:16" ht="25.5" x14ac:dyDescent="0.25">
      <c r="B265" s="181"/>
      <c r="C265" s="186"/>
      <c r="D265" s="198"/>
      <c r="E265" s="210"/>
      <c r="F265" s="76" t="s">
        <v>45</v>
      </c>
      <c r="G265" s="24" t="s">
        <v>310</v>
      </c>
      <c r="H265" s="27" t="s">
        <v>25</v>
      </c>
      <c r="I265" s="37" t="s">
        <v>25</v>
      </c>
      <c r="J265" s="24" t="str">
        <f>IF(I265=H265,"RGS01",0)</f>
        <v>RGS01</v>
      </c>
      <c r="K265" s="24">
        <f>IF(I265=H265,0,"Batal")</f>
        <v>0</v>
      </c>
      <c r="L265" s="54"/>
      <c r="M265" s="56"/>
      <c r="N265" s="277" t="s">
        <v>313</v>
      </c>
      <c r="O265" s="141"/>
      <c r="P265"/>
    </row>
    <row r="266" spans="2:16" ht="30.75" thickBot="1" x14ac:dyDescent="0.3">
      <c r="B266" s="160"/>
      <c r="C266" s="187"/>
      <c r="D266" s="201"/>
      <c r="E266" s="211"/>
      <c r="F266" s="75" t="s">
        <v>32</v>
      </c>
      <c r="G266" s="130" t="s">
        <v>311</v>
      </c>
      <c r="H266" s="131" t="s">
        <v>25</v>
      </c>
      <c r="I266" s="130" t="s">
        <v>25</v>
      </c>
      <c r="J266" s="45" t="str">
        <f>IF(I266=H266,"Kendaraan",0)</f>
        <v>Kendaraan</v>
      </c>
      <c r="K266" s="45">
        <f>IF(I266=H266,0,"Batal")</f>
        <v>0</v>
      </c>
      <c r="L266" s="87" t="s">
        <v>316</v>
      </c>
      <c r="M266" s="72" t="s">
        <v>242</v>
      </c>
      <c r="N266" s="279" t="s">
        <v>312</v>
      </c>
      <c r="O266" s="142"/>
      <c r="P266"/>
    </row>
    <row r="267" spans="2:16" ht="30.75" thickBot="1" x14ac:dyDescent="0.3">
      <c r="B267" s="154" t="s">
        <v>383</v>
      </c>
      <c r="C267" s="155" t="s">
        <v>453</v>
      </c>
      <c r="D267" s="117" t="s">
        <v>454</v>
      </c>
      <c r="E267" s="120" t="s">
        <v>28</v>
      </c>
      <c r="F267" s="127" t="s">
        <v>24</v>
      </c>
      <c r="G267" s="39" t="s">
        <v>33</v>
      </c>
      <c r="H267" s="36">
        <v>150</v>
      </c>
      <c r="I267" s="43">
        <v>100</v>
      </c>
      <c r="J267" s="39">
        <f>IF(I267&gt;=H267,"RGS01",0)</f>
        <v>0</v>
      </c>
      <c r="K267" s="39" t="str">
        <f>IF(I267&lt;H267,"Saklar Lampu",0)</f>
        <v>Saklar Lampu</v>
      </c>
      <c r="L267" s="83" t="s">
        <v>317</v>
      </c>
      <c r="M267" s="62" t="s">
        <v>242</v>
      </c>
      <c r="N267" s="271" t="s">
        <v>342</v>
      </c>
      <c r="O267" s="140" t="s">
        <v>309</v>
      </c>
      <c r="P267"/>
    </row>
    <row r="268" spans="2:16" ht="30" x14ac:dyDescent="0.25">
      <c r="B268" s="159" t="s">
        <v>383</v>
      </c>
      <c r="C268" s="161" t="s">
        <v>397</v>
      </c>
      <c r="D268" s="200" t="s">
        <v>308</v>
      </c>
      <c r="E268" s="221" t="s">
        <v>28</v>
      </c>
      <c r="F268" s="127" t="s">
        <v>24</v>
      </c>
      <c r="G268" s="39" t="s">
        <v>33</v>
      </c>
      <c r="H268" s="36">
        <v>150</v>
      </c>
      <c r="I268" s="43">
        <v>100</v>
      </c>
      <c r="J268" s="39">
        <f>IF(I268&gt;=H268,"RGS01",0)</f>
        <v>0</v>
      </c>
      <c r="K268" s="39" t="str">
        <f>IF(I268&lt;H268,"Saklar Lampu",0)</f>
        <v>Saklar Lampu</v>
      </c>
      <c r="L268" s="83"/>
      <c r="M268" s="62"/>
      <c r="N268" s="271" t="s">
        <v>314</v>
      </c>
      <c r="O268" s="140" t="s">
        <v>309</v>
      </c>
      <c r="P268"/>
    </row>
    <row r="269" spans="2:16" ht="25.5" x14ac:dyDescent="0.25">
      <c r="B269" s="181"/>
      <c r="C269" s="171"/>
      <c r="D269" s="198"/>
      <c r="E269" s="210"/>
      <c r="F269" s="76" t="s">
        <v>45</v>
      </c>
      <c r="G269" s="24" t="s">
        <v>310</v>
      </c>
      <c r="H269" s="27" t="s">
        <v>25</v>
      </c>
      <c r="I269" s="37" t="s">
        <v>25</v>
      </c>
      <c r="J269" s="24" t="str">
        <f>IF(I269=H269,"RGS01",0)</f>
        <v>RGS01</v>
      </c>
      <c r="K269" s="24">
        <f>IF(I269=H269,0,"Batal")</f>
        <v>0</v>
      </c>
      <c r="L269" s="54"/>
      <c r="M269" s="56"/>
      <c r="N269" s="277" t="s">
        <v>313</v>
      </c>
      <c r="O269" s="141"/>
      <c r="P269"/>
    </row>
    <row r="270" spans="2:16" ht="30.75" thickBot="1" x14ac:dyDescent="0.3">
      <c r="B270" s="160"/>
      <c r="C270" s="162"/>
      <c r="D270" s="201"/>
      <c r="E270" s="211"/>
      <c r="F270" s="75" t="s">
        <v>32</v>
      </c>
      <c r="G270" s="130" t="s">
        <v>311</v>
      </c>
      <c r="H270" s="131" t="s">
        <v>25</v>
      </c>
      <c r="I270" s="130" t="s">
        <v>25</v>
      </c>
      <c r="J270" s="45" t="str">
        <f>IF(I270=H270,"Kendaraan",0)</f>
        <v>Kendaraan</v>
      </c>
      <c r="K270" s="45">
        <f>IF(I270=H270,0,"Batal")</f>
        <v>0</v>
      </c>
      <c r="L270" s="87" t="s">
        <v>316</v>
      </c>
      <c r="M270" s="72" t="s">
        <v>242</v>
      </c>
      <c r="N270" s="279" t="s">
        <v>312</v>
      </c>
      <c r="O270" s="142"/>
      <c r="P270"/>
    </row>
    <row r="271" spans="2:16" ht="30" x14ac:dyDescent="0.25">
      <c r="B271" s="181" t="s">
        <v>344</v>
      </c>
      <c r="C271" s="171" t="s">
        <v>407</v>
      </c>
      <c r="D271" s="198" t="s">
        <v>332</v>
      </c>
      <c r="E271" s="165" t="s">
        <v>331</v>
      </c>
      <c r="F271" s="127" t="s">
        <v>24</v>
      </c>
      <c r="G271" s="39" t="s">
        <v>33</v>
      </c>
      <c r="H271" s="36">
        <v>60</v>
      </c>
      <c r="I271" s="43">
        <v>40</v>
      </c>
      <c r="J271" s="39" t="str">
        <f>IF(I271&lt;H271,"Saklar lampu",0)</f>
        <v>Saklar lampu</v>
      </c>
      <c r="K271" s="39">
        <f>IF(I271&gt;H271,"Batal",0)</f>
        <v>0</v>
      </c>
      <c r="L271" s="270"/>
      <c r="M271" s="71"/>
      <c r="N271" s="271" t="s">
        <v>333</v>
      </c>
      <c r="O271" s="143"/>
      <c r="P271"/>
    </row>
    <row r="272" spans="2:16" ht="30" x14ac:dyDescent="0.25">
      <c r="B272" s="181"/>
      <c r="C272" s="171"/>
      <c r="D272" s="198"/>
      <c r="E272" s="166"/>
      <c r="F272" s="114" t="s">
        <v>99</v>
      </c>
      <c r="G272" s="22" t="s">
        <v>102</v>
      </c>
      <c r="H272" s="21">
        <v>2</v>
      </c>
      <c r="I272" s="26">
        <v>1</v>
      </c>
      <c r="J272" s="22" t="str">
        <f>IF(I272&lt;=H272,"Saklar lampu",0)</f>
        <v>Saklar lampu</v>
      </c>
      <c r="K272" s="51">
        <f>IF(I272&gt;H272,"Batal",0)</f>
        <v>0</v>
      </c>
      <c r="L272" s="51"/>
      <c r="M272" s="70"/>
      <c r="N272" s="272" t="s">
        <v>336</v>
      </c>
      <c r="O272" s="144"/>
      <c r="P272"/>
    </row>
    <row r="273" spans="2:16" ht="26.25" thickBot="1" x14ac:dyDescent="0.3">
      <c r="B273" s="189"/>
      <c r="C273" s="172"/>
      <c r="D273" s="199"/>
      <c r="E273" s="167"/>
      <c r="F273" s="75" t="s">
        <v>45</v>
      </c>
      <c r="G273" s="22" t="s">
        <v>33</v>
      </c>
      <c r="H273" s="29" t="s">
        <v>30</v>
      </c>
      <c r="I273" s="38" t="s">
        <v>80</v>
      </c>
      <c r="J273" s="30">
        <f>IF(I273=H273,"Saklar lampu",0)</f>
        <v>0</v>
      </c>
      <c r="K273" s="52" t="str">
        <f>IF(I273=H273,0,"Batal")</f>
        <v>Batal</v>
      </c>
      <c r="L273" s="52" t="s">
        <v>63</v>
      </c>
      <c r="M273" s="153" t="s">
        <v>483</v>
      </c>
      <c r="N273" s="278" t="s">
        <v>335</v>
      </c>
      <c r="O273" s="145"/>
      <c r="P273"/>
    </row>
    <row r="274" spans="2:16" ht="30" x14ac:dyDescent="0.25">
      <c r="B274" s="159" t="s">
        <v>344</v>
      </c>
      <c r="C274" s="161" t="s">
        <v>408</v>
      </c>
      <c r="D274" s="200" t="s">
        <v>334</v>
      </c>
      <c r="E274" s="165" t="s">
        <v>331</v>
      </c>
      <c r="F274" s="127" t="s">
        <v>24</v>
      </c>
      <c r="G274" s="39" t="s">
        <v>33</v>
      </c>
      <c r="H274" s="36">
        <v>60</v>
      </c>
      <c r="I274" s="43">
        <v>40</v>
      </c>
      <c r="J274" s="39" t="str">
        <f>IF(I274&lt;H274,"Saklar lampu",0)</f>
        <v>Saklar lampu</v>
      </c>
      <c r="K274" s="39">
        <f>IF(I274&gt;H274,"Batal",0)</f>
        <v>0</v>
      </c>
      <c r="L274" s="270"/>
      <c r="M274" s="69"/>
      <c r="N274" s="271" t="s">
        <v>333</v>
      </c>
      <c r="O274" s="143"/>
      <c r="P274"/>
    </row>
    <row r="275" spans="2:16" ht="30" x14ac:dyDescent="0.25">
      <c r="B275" s="181"/>
      <c r="C275" s="171"/>
      <c r="D275" s="198"/>
      <c r="E275" s="166"/>
      <c r="F275" s="114" t="s">
        <v>99</v>
      </c>
      <c r="G275" s="22" t="s">
        <v>102</v>
      </c>
      <c r="H275" s="21">
        <v>2</v>
      </c>
      <c r="I275" s="26">
        <v>1</v>
      </c>
      <c r="J275" s="22" t="str">
        <f>IF(I275&lt;=H275,"Saklar lampu",0)</f>
        <v>Saklar lampu</v>
      </c>
      <c r="K275" s="51">
        <f>IF(I275&gt;H275,"Batal",0)</f>
        <v>0</v>
      </c>
      <c r="L275" s="51"/>
      <c r="M275" s="70"/>
      <c r="N275" s="272" t="s">
        <v>336</v>
      </c>
      <c r="O275" s="144"/>
      <c r="P275"/>
    </row>
    <row r="276" spans="2:16" ht="26.25" thickBot="1" x14ac:dyDescent="0.3">
      <c r="B276" s="160"/>
      <c r="C276" s="162"/>
      <c r="D276" s="201"/>
      <c r="E276" s="167"/>
      <c r="F276" s="75" t="s">
        <v>45</v>
      </c>
      <c r="G276" s="30" t="s">
        <v>33</v>
      </c>
      <c r="H276" s="29" t="s">
        <v>30</v>
      </c>
      <c r="I276" s="38" t="s">
        <v>80</v>
      </c>
      <c r="J276" s="30">
        <f>IF(I276=H276,"Saklar lampu",0)</f>
        <v>0</v>
      </c>
      <c r="K276" s="52" t="str">
        <f>IF(I276=H276,0,"Batal")</f>
        <v>Batal</v>
      </c>
      <c r="L276" s="52" t="s">
        <v>63</v>
      </c>
      <c r="M276" s="72" t="s">
        <v>483</v>
      </c>
      <c r="N276" s="278" t="s">
        <v>335</v>
      </c>
      <c r="O276" s="145"/>
      <c r="P276"/>
    </row>
    <row r="277" spans="2:16" ht="30" x14ac:dyDescent="0.25">
      <c r="B277" s="182" t="s">
        <v>346</v>
      </c>
      <c r="C277" s="183" t="s">
        <v>347</v>
      </c>
      <c r="D277" s="197" t="s">
        <v>337</v>
      </c>
      <c r="E277" s="165" t="s">
        <v>331</v>
      </c>
      <c r="F277" s="127" t="s">
        <v>24</v>
      </c>
      <c r="G277" s="39" t="s">
        <v>33</v>
      </c>
      <c r="H277" s="36">
        <v>80</v>
      </c>
      <c r="I277" s="43">
        <v>100</v>
      </c>
      <c r="J277" s="39" t="str">
        <f>IF(I277&gt;=H277,"Saklar lampu",0)</f>
        <v>Saklar lampu</v>
      </c>
      <c r="K277" s="39">
        <f>IF(I277&gt;=H277,0,"Batal")</f>
        <v>0</v>
      </c>
      <c r="L277" s="270"/>
      <c r="M277" s="69"/>
      <c r="N277" s="271" t="s">
        <v>333</v>
      </c>
      <c r="O277" s="143"/>
      <c r="P277"/>
    </row>
    <row r="278" spans="2:16" ht="30" x14ac:dyDescent="0.25">
      <c r="B278" s="169"/>
      <c r="C278" s="171"/>
      <c r="D278" s="198"/>
      <c r="E278" s="166"/>
      <c r="F278" s="114" t="s">
        <v>99</v>
      </c>
      <c r="G278" s="22" t="s">
        <v>102</v>
      </c>
      <c r="H278" s="21">
        <v>2</v>
      </c>
      <c r="I278" s="26">
        <v>1</v>
      </c>
      <c r="J278" s="22" t="str">
        <f>IF(I278&lt;=H278,"Saklar lampu",0)</f>
        <v>Saklar lampu</v>
      </c>
      <c r="K278" s="22">
        <f>IF(I278&gt;H278,"Batal",0)</f>
        <v>0</v>
      </c>
      <c r="L278" s="51"/>
      <c r="M278" s="70"/>
      <c r="N278" s="272" t="s">
        <v>336</v>
      </c>
      <c r="O278" s="144"/>
      <c r="P278"/>
    </row>
    <row r="279" spans="2:16" ht="30.75" thickBot="1" x14ac:dyDescent="0.3">
      <c r="B279" s="170"/>
      <c r="C279" s="172"/>
      <c r="D279" s="199"/>
      <c r="E279" s="167"/>
      <c r="F279" s="75" t="s">
        <v>45</v>
      </c>
      <c r="G279" s="22" t="s">
        <v>33</v>
      </c>
      <c r="H279" s="29" t="s">
        <v>80</v>
      </c>
      <c r="I279" s="38" t="s">
        <v>80</v>
      </c>
      <c r="J279" s="24" t="str">
        <f>IF(I279=H279,"Saklar lampu",0)</f>
        <v>Saklar lampu</v>
      </c>
      <c r="K279" s="24">
        <f>IF(I279=H279,0,"Batal")</f>
        <v>0</v>
      </c>
      <c r="L279" s="52" t="s">
        <v>63</v>
      </c>
      <c r="M279" s="72" t="s">
        <v>293</v>
      </c>
      <c r="N279" s="278" t="s">
        <v>339</v>
      </c>
      <c r="O279" s="145"/>
      <c r="P279"/>
    </row>
    <row r="280" spans="2:16" ht="30" x14ac:dyDescent="0.25">
      <c r="B280" s="168" t="s">
        <v>348</v>
      </c>
      <c r="C280" s="161" t="s">
        <v>349</v>
      </c>
      <c r="D280" s="200" t="s">
        <v>338</v>
      </c>
      <c r="E280" s="165" t="s">
        <v>331</v>
      </c>
      <c r="F280" s="127" t="s">
        <v>24</v>
      </c>
      <c r="G280" s="39" t="s">
        <v>33</v>
      </c>
      <c r="H280" s="36">
        <v>60</v>
      </c>
      <c r="I280" s="43">
        <v>40</v>
      </c>
      <c r="J280" s="39" t="str">
        <f>IF(I280&lt;H280,"Saklar lampu",0)</f>
        <v>Saklar lampu</v>
      </c>
      <c r="K280" s="39">
        <f>IF(I280&gt;H280,"Batal",0)</f>
        <v>0</v>
      </c>
      <c r="L280" s="270"/>
      <c r="M280" s="69"/>
      <c r="N280" s="271" t="s">
        <v>333</v>
      </c>
      <c r="O280" s="143"/>
      <c r="P280"/>
    </row>
    <row r="281" spans="2:16" ht="30" x14ac:dyDescent="0.25">
      <c r="B281" s="169"/>
      <c r="C281" s="171"/>
      <c r="D281" s="198"/>
      <c r="E281" s="166"/>
      <c r="F281" s="114" t="s">
        <v>99</v>
      </c>
      <c r="G281" s="22" t="s">
        <v>102</v>
      </c>
      <c r="H281" s="21">
        <v>2</v>
      </c>
      <c r="I281" s="26">
        <v>1</v>
      </c>
      <c r="J281" s="22" t="str">
        <f>IF(I281&lt;=H281,"Saklar lampu",0)</f>
        <v>Saklar lampu</v>
      </c>
      <c r="K281" s="51">
        <f>IF(I281&gt;H281,"Batal",0)</f>
        <v>0</v>
      </c>
      <c r="L281" s="51"/>
      <c r="M281" s="70"/>
      <c r="N281" s="272" t="s">
        <v>336</v>
      </c>
      <c r="O281" s="144"/>
      <c r="P281"/>
    </row>
    <row r="282" spans="2:16" ht="26.25" thickBot="1" x14ac:dyDescent="0.3">
      <c r="B282" s="184"/>
      <c r="C282" s="162"/>
      <c r="D282" s="201"/>
      <c r="E282" s="167"/>
      <c r="F282" s="75" t="s">
        <v>45</v>
      </c>
      <c r="G282" s="30" t="s">
        <v>33</v>
      </c>
      <c r="H282" s="29" t="s">
        <v>80</v>
      </c>
      <c r="I282" s="38" t="s">
        <v>80</v>
      </c>
      <c r="J282" s="24" t="str">
        <f>IF(I282=H282,"Saklar lampu",0)</f>
        <v>Saklar lampu</v>
      </c>
      <c r="K282" s="24">
        <f>IF(I282=H282,0,"Batal")</f>
        <v>0</v>
      </c>
      <c r="L282" s="52" t="s">
        <v>63</v>
      </c>
      <c r="M282" s="72" t="s">
        <v>293</v>
      </c>
      <c r="N282" s="276" t="s">
        <v>339</v>
      </c>
      <c r="O282" s="145"/>
      <c r="P282"/>
    </row>
    <row r="283" spans="2:16" ht="30" x14ac:dyDescent="0.25">
      <c r="B283" s="182" t="s">
        <v>402</v>
      </c>
      <c r="C283" s="183" t="s">
        <v>403</v>
      </c>
      <c r="D283" s="197" t="s">
        <v>428</v>
      </c>
      <c r="E283" s="165" t="s">
        <v>23</v>
      </c>
      <c r="F283" s="127" t="s">
        <v>24</v>
      </c>
      <c r="G283" s="39" t="s">
        <v>33</v>
      </c>
      <c r="H283" s="36">
        <v>150</v>
      </c>
      <c r="I283" s="43">
        <v>100</v>
      </c>
      <c r="J283" s="39" t="str">
        <f>IF(I283&gt;=H283,0,"Saklar lampu")</f>
        <v>Saklar lampu</v>
      </c>
      <c r="K283" s="39">
        <f>IF(I283&gt;=H283,"Batal",0)</f>
        <v>0</v>
      </c>
      <c r="L283" s="270"/>
      <c r="M283" s="69"/>
      <c r="N283" s="271" t="s">
        <v>340</v>
      </c>
      <c r="O283" s="143"/>
      <c r="P283"/>
    </row>
    <row r="284" spans="2:16" ht="30" x14ac:dyDescent="0.25">
      <c r="B284" s="169"/>
      <c r="C284" s="171"/>
      <c r="D284" s="198"/>
      <c r="E284" s="166"/>
      <c r="F284" s="114" t="s">
        <v>99</v>
      </c>
      <c r="G284" s="22" t="s">
        <v>102</v>
      </c>
      <c r="H284" s="21">
        <v>2</v>
      </c>
      <c r="I284" s="26">
        <v>2</v>
      </c>
      <c r="J284" s="22" t="str">
        <f>IF(I284&lt;=H284,"Rice cooker 2",0)</f>
        <v>Rice cooker 2</v>
      </c>
      <c r="K284" s="22">
        <f>IF(I284&gt;H284,"Batal",0)</f>
        <v>0</v>
      </c>
      <c r="L284" s="51"/>
      <c r="M284" s="70"/>
      <c r="N284" s="272" t="s">
        <v>336</v>
      </c>
      <c r="O284" s="144"/>
      <c r="P284"/>
    </row>
    <row r="285" spans="2:16" ht="30.75" thickBot="1" x14ac:dyDescent="0.3">
      <c r="B285" s="170"/>
      <c r="C285" s="172"/>
      <c r="D285" s="199"/>
      <c r="E285" s="167"/>
      <c r="F285" s="75" t="s">
        <v>45</v>
      </c>
      <c r="G285" s="30" t="s">
        <v>112</v>
      </c>
      <c r="H285" s="29" t="s">
        <v>80</v>
      </c>
      <c r="I285" s="38" t="s">
        <v>80</v>
      </c>
      <c r="J285" s="30" t="str">
        <f>IF(I285=H285,"Rice cooker 2",0)</f>
        <v>Rice cooker 2</v>
      </c>
      <c r="K285" s="30">
        <f>IF(I285=H285,0,"Batal")</f>
        <v>0</v>
      </c>
      <c r="L285" s="52" t="s">
        <v>23</v>
      </c>
      <c r="M285" s="72" t="s">
        <v>293</v>
      </c>
      <c r="N285" s="276" t="s">
        <v>341</v>
      </c>
      <c r="O285" s="156"/>
      <c r="P285"/>
    </row>
    <row r="286" spans="2:16" ht="30" x14ac:dyDescent="0.25">
      <c r="B286" s="168" t="s">
        <v>409</v>
      </c>
      <c r="C286" s="161" t="s">
        <v>410</v>
      </c>
      <c r="D286" s="163" t="s">
        <v>430</v>
      </c>
      <c r="E286" s="165" t="s">
        <v>27</v>
      </c>
      <c r="F286" s="127" t="s">
        <v>24</v>
      </c>
      <c r="G286" s="39" t="s">
        <v>33</v>
      </c>
      <c r="H286" s="36">
        <v>150</v>
      </c>
      <c r="I286" s="43">
        <v>80</v>
      </c>
      <c r="J286" s="39" t="str">
        <f>IF(I286&gt;=H286,0,"Saklar lampu")</f>
        <v>Saklar lampu</v>
      </c>
      <c r="K286" s="39">
        <f>IF(I286&gt;=H286,"Batal",0)</f>
        <v>0</v>
      </c>
      <c r="L286" s="270"/>
      <c r="M286" s="69"/>
      <c r="N286" s="271" t="s">
        <v>340</v>
      </c>
      <c r="O286" s="143"/>
      <c r="P286"/>
    </row>
    <row r="287" spans="2:16" ht="30" x14ac:dyDescent="0.25">
      <c r="B287" s="169"/>
      <c r="C287" s="171"/>
      <c r="D287" s="173"/>
      <c r="E287" s="166"/>
      <c r="F287" s="118" t="s">
        <v>99</v>
      </c>
      <c r="G287" s="22" t="s">
        <v>102</v>
      </c>
      <c r="H287" s="21">
        <v>2</v>
      </c>
      <c r="I287" s="26">
        <v>2</v>
      </c>
      <c r="J287" s="22" t="str">
        <f>IF(I287&lt;=H287,"Rice cooker 1",0)</f>
        <v>Rice cooker 1</v>
      </c>
      <c r="K287" s="22">
        <f>IF(I287&gt;H287,"Batal",0)</f>
        <v>0</v>
      </c>
      <c r="L287" s="51"/>
      <c r="M287" s="70"/>
      <c r="N287" s="272" t="s">
        <v>336</v>
      </c>
      <c r="O287" s="144"/>
    </row>
    <row r="288" spans="2:16" ht="30.75" thickBot="1" x14ac:dyDescent="0.3">
      <c r="B288" s="170"/>
      <c r="C288" s="172"/>
      <c r="D288" s="174"/>
      <c r="E288" s="167"/>
      <c r="F288" s="75" t="s">
        <v>45</v>
      </c>
      <c r="G288" s="30" t="s">
        <v>112</v>
      </c>
      <c r="H288" s="29" t="s">
        <v>80</v>
      </c>
      <c r="I288" s="38" t="s">
        <v>80</v>
      </c>
      <c r="J288" s="30" t="str">
        <f>IF(I288=H288,"Rice cooker 1",0)</f>
        <v>Rice cooker 1</v>
      </c>
      <c r="K288" s="30">
        <f>IF(I288=H288,0,"Batal")</f>
        <v>0</v>
      </c>
      <c r="L288" s="52" t="s">
        <v>27</v>
      </c>
      <c r="M288" s="72" t="s">
        <v>293</v>
      </c>
      <c r="N288" s="276" t="s">
        <v>341</v>
      </c>
      <c r="O288" s="145"/>
    </row>
    <row r="289" spans="2:15" ht="30" x14ac:dyDescent="0.25">
      <c r="B289" s="159" t="s">
        <v>344</v>
      </c>
      <c r="C289" s="161" t="s">
        <v>390</v>
      </c>
      <c r="D289" s="163" t="s">
        <v>424</v>
      </c>
      <c r="E289" s="157" t="s">
        <v>63</v>
      </c>
      <c r="F289" s="127" t="s">
        <v>24</v>
      </c>
      <c r="G289" s="39" t="s">
        <v>33</v>
      </c>
      <c r="H289" s="36">
        <v>150</v>
      </c>
      <c r="I289" s="43">
        <v>80</v>
      </c>
      <c r="J289" s="39" t="str">
        <f>IF(I289&gt;=H289,0,"Saklar lampu")</f>
        <v>Saklar lampu</v>
      </c>
      <c r="K289" s="39">
        <f>IF(I289&gt;=H289,"Batal",0)</f>
        <v>0</v>
      </c>
      <c r="L289" s="270"/>
      <c r="M289" s="69"/>
      <c r="N289" s="271" t="s">
        <v>340</v>
      </c>
      <c r="O289" s="143"/>
    </row>
    <row r="290" spans="2:15" ht="30.75" thickBot="1" x14ac:dyDescent="0.3">
      <c r="B290" s="160"/>
      <c r="C290" s="162"/>
      <c r="D290" s="164"/>
      <c r="E290" s="158"/>
      <c r="F290" s="75" t="s">
        <v>99</v>
      </c>
      <c r="G290" s="30" t="s">
        <v>102</v>
      </c>
      <c r="H290" s="73">
        <v>6</v>
      </c>
      <c r="I290" s="38">
        <v>2</v>
      </c>
      <c r="J290" s="30" t="str">
        <f>IF(I290&lt;=H290,"Sofa",0)</f>
        <v>Sofa</v>
      </c>
      <c r="K290" s="30">
        <f>IF(I290&gt;H290,"Batal",0)</f>
        <v>0</v>
      </c>
      <c r="L290" s="52"/>
      <c r="M290" s="72"/>
      <c r="N290" s="279" t="s">
        <v>336</v>
      </c>
      <c r="O290" s="145"/>
    </row>
  </sheetData>
  <mergeCells count="321">
    <mergeCell ref="D277:D279"/>
    <mergeCell ref="E277:E279"/>
    <mergeCell ref="D280:D282"/>
    <mergeCell ref="E280:E282"/>
    <mergeCell ref="D283:D285"/>
    <mergeCell ref="E283:E285"/>
    <mergeCell ref="C283:C285"/>
    <mergeCell ref="B283:B285"/>
    <mergeCell ref="O82:O84"/>
    <mergeCell ref="F169:F171"/>
    <mergeCell ref="D271:D273"/>
    <mergeCell ref="E271:E273"/>
    <mergeCell ref="D274:D276"/>
    <mergeCell ref="E274:E276"/>
    <mergeCell ref="D255:D257"/>
    <mergeCell ref="D258:D260"/>
    <mergeCell ref="D261:D263"/>
    <mergeCell ref="D264:D266"/>
    <mergeCell ref="D268:D270"/>
    <mergeCell ref="D252:D254"/>
    <mergeCell ref="E252:E254"/>
    <mergeCell ref="E255:E257"/>
    <mergeCell ref="E258:E260"/>
    <mergeCell ref="E261:E263"/>
    <mergeCell ref="E264:E266"/>
    <mergeCell ref="E268:E270"/>
    <mergeCell ref="D43:D47"/>
    <mergeCell ref="E43:E47"/>
    <mergeCell ref="D60:D63"/>
    <mergeCell ref="E60:E63"/>
    <mergeCell ref="E68:E73"/>
    <mergeCell ref="D68:D81"/>
    <mergeCell ref="D114:D116"/>
    <mergeCell ref="E114:E116"/>
    <mergeCell ref="D105:D106"/>
    <mergeCell ref="E105:E106"/>
    <mergeCell ref="D107:D109"/>
    <mergeCell ref="E107:E109"/>
    <mergeCell ref="D172:D174"/>
    <mergeCell ref="C154:C159"/>
    <mergeCell ref="B154:B159"/>
    <mergeCell ref="B160:B165"/>
    <mergeCell ref="C160:C165"/>
    <mergeCell ref="C166:C171"/>
    <mergeCell ref="B166:B171"/>
    <mergeCell ref="C177:C180"/>
    <mergeCell ref="E232:E235"/>
    <mergeCell ref="D160:D165"/>
    <mergeCell ref="E160:E165"/>
    <mergeCell ref="D201:D205"/>
    <mergeCell ref="E201:E205"/>
    <mergeCell ref="D188:D193"/>
    <mergeCell ref="E188:E193"/>
    <mergeCell ref="D181:D183"/>
    <mergeCell ref="E181:E183"/>
    <mergeCell ref="D206:D217"/>
    <mergeCell ref="E212:E217"/>
    <mergeCell ref="E226:E231"/>
    <mergeCell ref="D226:D235"/>
    <mergeCell ref="E218:E225"/>
    <mergeCell ref="D218:D225"/>
    <mergeCell ref="C181:C183"/>
    <mergeCell ref="B97:B99"/>
    <mergeCell ref="C97:C99"/>
    <mergeCell ref="B100:B102"/>
    <mergeCell ref="C100:C102"/>
    <mergeCell ref="B103:B104"/>
    <mergeCell ref="E125:E127"/>
    <mergeCell ref="E141:E143"/>
    <mergeCell ref="D147:D149"/>
    <mergeCell ref="E147:E149"/>
    <mergeCell ref="E138:E140"/>
    <mergeCell ref="E144:E146"/>
    <mergeCell ref="D132:D134"/>
    <mergeCell ref="E132:E134"/>
    <mergeCell ref="B128:B129"/>
    <mergeCell ref="C128:C129"/>
    <mergeCell ref="B130:B131"/>
    <mergeCell ref="C130:C131"/>
    <mergeCell ref="B132:B134"/>
    <mergeCell ref="C132:C134"/>
    <mergeCell ref="B135:B140"/>
    <mergeCell ref="D138:D140"/>
    <mergeCell ref="E97:E99"/>
    <mergeCell ref="D130:D131"/>
    <mergeCell ref="E130:E131"/>
    <mergeCell ref="D125:D127"/>
    <mergeCell ref="D97:D99"/>
    <mergeCell ref="E112:E113"/>
    <mergeCell ref="D100:D102"/>
    <mergeCell ref="E100:E102"/>
    <mergeCell ref="D103:D104"/>
    <mergeCell ref="E103:E104"/>
    <mergeCell ref="D110:D111"/>
    <mergeCell ref="E110:E111"/>
    <mergeCell ref="E52:E55"/>
    <mergeCell ref="E35:E37"/>
    <mergeCell ref="D92:D93"/>
    <mergeCell ref="E92:E93"/>
    <mergeCell ref="D89:D91"/>
    <mergeCell ref="E89:E91"/>
    <mergeCell ref="D29:D42"/>
    <mergeCell ref="E74:E76"/>
    <mergeCell ref="E77:E81"/>
    <mergeCell ref="E29:E34"/>
    <mergeCell ref="E38:E42"/>
    <mergeCell ref="D87:D88"/>
    <mergeCell ref="E87:E88"/>
    <mergeCell ref="D85:D86"/>
    <mergeCell ref="F40:F41"/>
    <mergeCell ref="P17:P18"/>
    <mergeCell ref="E21:E23"/>
    <mergeCell ref="C29:C42"/>
    <mergeCell ref="B29:B42"/>
    <mergeCell ref="C15:C28"/>
    <mergeCell ref="B15:B28"/>
    <mergeCell ref="D48:D51"/>
    <mergeCell ref="E48:E51"/>
    <mergeCell ref="F31:F32"/>
    <mergeCell ref="F26:F27"/>
    <mergeCell ref="E15:E20"/>
    <mergeCell ref="E24:E28"/>
    <mergeCell ref="D15:D28"/>
    <mergeCell ref="B8:J8"/>
    <mergeCell ref="K8:T8"/>
    <mergeCell ref="U8:AD8"/>
    <mergeCell ref="F17:F18"/>
    <mergeCell ref="AE8:AG9"/>
    <mergeCell ref="AH8:AH10"/>
    <mergeCell ref="E9:E10"/>
    <mergeCell ref="G9:H9"/>
    <mergeCell ref="J9:J10"/>
    <mergeCell ref="U9:U10"/>
    <mergeCell ref="V9:V10"/>
    <mergeCell ref="W9:W10"/>
    <mergeCell ref="X9:Y9"/>
    <mergeCell ref="AA9:AB9"/>
    <mergeCell ref="AD9:AD10"/>
    <mergeCell ref="K9:K10"/>
    <mergeCell ref="L9:O9"/>
    <mergeCell ref="Q9:R9"/>
    <mergeCell ref="T9:T10"/>
    <mergeCell ref="B2:J2"/>
    <mergeCell ref="K2:T2"/>
    <mergeCell ref="U2:AD2"/>
    <mergeCell ref="AE2:AG3"/>
    <mergeCell ref="AH2:AH4"/>
    <mergeCell ref="E3:E4"/>
    <mergeCell ref="G3:H3"/>
    <mergeCell ref="J3:J4"/>
    <mergeCell ref="U3:U4"/>
    <mergeCell ref="V3:V4"/>
    <mergeCell ref="W3:W4"/>
    <mergeCell ref="X3:Y3"/>
    <mergeCell ref="AA3:AB3"/>
    <mergeCell ref="AD3:AD4"/>
    <mergeCell ref="K3:K4"/>
    <mergeCell ref="L3:O3"/>
    <mergeCell ref="Q3:R3"/>
    <mergeCell ref="T3:T4"/>
    <mergeCell ref="F70:F71"/>
    <mergeCell ref="D82:D84"/>
    <mergeCell ref="E82:E84"/>
    <mergeCell ref="D56:D59"/>
    <mergeCell ref="E56:E59"/>
    <mergeCell ref="E64:E67"/>
    <mergeCell ref="F79:F80"/>
    <mergeCell ref="B60:B63"/>
    <mergeCell ref="C60:C63"/>
    <mergeCell ref="B68:B81"/>
    <mergeCell ref="C82:C84"/>
    <mergeCell ref="B82:B84"/>
    <mergeCell ref="E249:E251"/>
    <mergeCell ref="D249:D251"/>
    <mergeCell ref="F220:F222"/>
    <mergeCell ref="E135:E137"/>
    <mergeCell ref="E206:E211"/>
    <mergeCell ref="D197:D198"/>
    <mergeCell ref="E197:E198"/>
    <mergeCell ref="D199:D200"/>
    <mergeCell ref="E199:E200"/>
    <mergeCell ref="E172:E174"/>
    <mergeCell ref="D194:D196"/>
    <mergeCell ref="E194:E196"/>
    <mergeCell ref="D184:D187"/>
    <mergeCell ref="E184:E187"/>
    <mergeCell ref="E166:E171"/>
    <mergeCell ref="E150:E153"/>
    <mergeCell ref="D150:D153"/>
    <mergeCell ref="F174:F175"/>
    <mergeCell ref="D177:D180"/>
    <mergeCell ref="E177:E180"/>
    <mergeCell ref="E154:E159"/>
    <mergeCell ref="D154:D159"/>
    <mergeCell ref="D166:D171"/>
    <mergeCell ref="D175:D176"/>
    <mergeCell ref="C52:C55"/>
    <mergeCell ref="B52:B55"/>
    <mergeCell ref="C48:C51"/>
    <mergeCell ref="B48:B51"/>
    <mergeCell ref="C43:C47"/>
    <mergeCell ref="B43:B47"/>
    <mergeCell ref="D236:D248"/>
    <mergeCell ref="E242:E248"/>
    <mergeCell ref="E236:E241"/>
    <mergeCell ref="E85:E86"/>
    <mergeCell ref="D64:D67"/>
    <mergeCell ref="E94:E96"/>
    <mergeCell ref="D128:D129"/>
    <mergeCell ref="E128:E129"/>
    <mergeCell ref="D122:D124"/>
    <mergeCell ref="E122:E124"/>
    <mergeCell ref="D117:D118"/>
    <mergeCell ref="E117:E118"/>
    <mergeCell ref="D119:D121"/>
    <mergeCell ref="E119:E121"/>
    <mergeCell ref="D94:D96"/>
    <mergeCell ref="D112:D113"/>
    <mergeCell ref="C68:C81"/>
    <mergeCell ref="D52:D55"/>
    <mergeCell ref="C85:C86"/>
    <mergeCell ref="B85:B86"/>
    <mergeCell ref="B87:B88"/>
    <mergeCell ref="C89:C91"/>
    <mergeCell ref="B89:B91"/>
    <mergeCell ref="B92:B93"/>
    <mergeCell ref="C92:C93"/>
    <mergeCell ref="C56:C59"/>
    <mergeCell ref="B56:B59"/>
    <mergeCell ref="C103:C104"/>
    <mergeCell ref="B105:B106"/>
    <mergeCell ref="C105:C106"/>
    <mergeCell ref="B107:B109"/>
    <mergeCell ref="C107:C109"/>
    <mergeCell ref="B110:B111"/>
    <mergeCell ref="C110:C111"/>
    <mergeCell ref="B112:B113"/>
    <mergeCell ref="C112:C113"/>
    <mergeCell ref="D135:D137"/>
    <mergeCell ref="C135:C137"/>
    <mergeCell ref="B114:B116"/>
    <mergeCell ref="C114:C116"/>
    <mergeCell ref="B117:B118"/>
    <mergeCell ref="C117:C118"/>
    <mergeCell ref="B119:B121"/>
    <mergeCell ref="C119:C121"/>
    <mergeCell ref="B122:B124"/>
    <mergeCell ref="C122:C124"/>
    <mergeCell ref="B125:B127"/>
    <mergeCell ref="C125:C127"/>
    <mergeCell ref="D141:D143"/>
    <mergeCell ref="D144:D146"/>
    <mergeCell ref="C144:C146"/>
    <mergeCell ref="B144:B146"/>
    <mergeCell ref="C147:C149"/>
    <mergeCell ref="B147:B149"/>
    <mergeCell ref="C150:C153"/>
    <mergeCell ref="B150:B153"/>
    <mergeCell ref="C138:C140"/>
    <mergeCell ref="B188:B193"/>
    <mergeCell ref="C197:C198"/>
    <mergeCell ref="B197:B198"/>
    <mergeCell ref="C194:C196"/>
    <mergeCell ref="B194:B196"/>
    <mergeCell ref="C199:C200"/>
    <mergeCell ref="B199:B200"/>
    <mergeCell ref="C141:C143"/>
    <mergeCell ref="B141:B143"/>
    <mergeCell ref="B172:B176"/>
    <mergeCell ref="C175:C176"/>
    <mergeCell ref="C172:C174"/>
    <mergeCell ref="B181:B183"/>
    <mergeCell ref="B177:B180"/>
    <mergeCell ref="C64:C67"/>
    <mergeCell ref="B64:B67"/>
    <mergeCell ref="C87:C88"/>
    <mergeCell ref="B252:B254"/>
    <mergeCell ref="C252:C254"/>
    <mergeCell ref="B255:B257"/>
    <mergeCell ref="C255:C257"/>
    <mergeCell ref="C264:C266"/>
    <mergeCell ref="B264:B266"/>
    <mergeCell ref="C249:C251"/>
    <mergeCell ref="B249:B251"/>
    <mergeCell ref="B261:B263"/>
    <mergeCell ref="C261:C263"/>
    <mergeCell ref="C258:C260"/>
    <mergeCell ref="B258:B260"/>
    <mergeCell ref="B201:B205"/>
    <mergeCell ref="C201:C205"/>
    <mergeCell ref="C206:C217"/>
    <mergeCell ref="B206:B217"/>
    <mergeCell ref="C218:C225"/>
    <mergeCell ref="B218:B225"/>
    <mergeCell ref="B226:B235"/>
    <mergeCell ref="C226:C235"/>
    <mergeCell ref="B236:B248"/>
    <mergeCell ref="E289:E290"/>
    <mergeCell ref="B289:B290"/>
    <mergeCell ref="C289:C290"/>
    <mergeCell ref="D289:D290"/>
    <mergeCell ref="E286:E288"/>
    <mergeCell ref="B286:B288"/>
    <mergeCell ref="C286:C288"/>
    <mergeCell ref="D286:D288"/>
    <mergeCell ref="B94:B96"/>
    <mergeCell ref="C94:C96"/>
    <mergeCell ref="C274:C276"/>
    <mergeCell ref="B274:B276"/>
    <mergeCell ref="B277:B279"/>
    <mergeCell ref="C277:C279"/>
    <mergeCell ref="B280:B282"/>
    <mergeCell ref="C280:C282"/>
    <mergeCell ref="C268:C270"/>
    <mergeCell ref="B268:B270"/>
    <mergeCell ref="C271:C273"/>
    <mergeCell ref="B271:B273"/>
    <mergeCell ref="C236:C248"/>
    <mergeCell ref="B184:B187"/>
    <mergeCell ref="C184:C187"/>
    <mergeCell ref="C188:C19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9DF-AE77-438F-859C-5ECEE5E997EA}">
  <dimension ref="B2:D19"/>
  <sheetViews>
    <sheetView tabSelected="1" workbookViewId="0">
      <selection activeCell="D17" sqref="D17"/>
    </sheetView>
  </sheetViews>
  <sheetFormatPr defaultRowHeight="15" x14ac:dyDescent="0.25"/>
  <cols>
    <col min="2" max="2" width="3.5703125" bestFit="1" customWidth="1"/>
    <col min="3" max="3" width="5.5703125" bestFit="1" customWidth="1"/>
  </cols>
  <sheetData>
    <row r="2" spans="2:4" x14ac:dyDescent="0.25">
      <c r="B2" t="s">
        <v>458</v>
      </c>
      <c r="C2" t="s">
        <v>9</v>
      </c>
      <c r="D2" t="s">
        <v>22</v>
      </c>
    </row>
    <row r="3" spans="2:4" x14ac:dyDescent="0.25">
      <c r="B3">
        <v>1</v>
      </c>
      <c r="C3" t="s">
        <v>463</v>
      </c>
      <c r="D3" t="s">
        <v>479</v>
      </c>
    </row>
    <row r="4" spans="2:4" x14ac:dyDescent="0.25">
      <c r="B4">
        <v>2</v>
      </c>
      <c r="C4" t="s">
        <v>249</v>
      </c>
      <c r="D4" t="s">
        <v>473</v>
      </c>
    </row>
    <row r="5" spans="2:4" x14ac:dyDescent="0.25">
      <c r="B5">
        <v>3</v>
      </c>
      <c r="C5" t="s">
        <v>319</v>
      </c>
      <c r="D5" t="s">
        <v>474</v>
      </c>
    </row>
    <row r="6" spans="2:4" x14ac:dyDescent="0.25">
      <c r="B6">
        <v>4</v>
      </c>
      <c r="C6" t="s">
        <v>326</v>
      </c>
      <c r="D6" t="s">
        <v>475</v>
      </c>
    </row>
    <row r="7" spans="2:4" x14ac:dyDescent="0.25">
      <c r="B7">
        <v>5</v>
      </c>
      <c r="C7" t="s">
        <v>461</v>
      </c>
      <c r="D7" t="s">
        <v>476</v>
      </c>
    </row>
    <row r="8" spans="2:4" x14ac:dyDescent="0.25">
      <c r="B8">
        <v>6</v>
      </c>
      <c r="C8" t="s">
        <v>238</v>
      </c>
      <c r="D8" t="s">
        <v>477</v>
      </c>
    </row>
    <row r="9" spans="2:4" x14ac:dyDescent="0.25">
      <c r="B9">
        <v>7</v>
      </c>
      <c r="C9" t="s">
        <v>459</v>
      </c>
      <c r="D9" t="s">
        <v>478</v>
      </c>
    </row>
    <row r="10" spans="2:4" x14ac:dyDescent="0.25">
      <c r="B10">
        <v>8</v>
      </c>
      <c r="C10" t="s">
        <v>242</v>
      </c>
      <c r="D10" t="s">
        <v>472</v>
      </c>
    </row>
    <row r="11" spans="2:4" x14ac:dyDescent="0.25">
      <c r="B11">
        <v>9</v>
      </c>
      <c r="C11" t="s">
        <v>460</v>
      </c>
      <c r="D11" t="s">
        <v>481</v>
      </c>
    </row>
    <row r="12" spans="2:4" x14ac:dyDescent="0.25">
      <c r="B12">
        <v>10</v>
      </c>
      <c r="C12" t="s">
        <v>464</v>
      </c>
      <c r="D12" t="s">
        <v>482</v>
      </c>
    </row>
    <row r="13" spans="2:4" x14ac:dyDescent="0.25">
      <c r="B13">
        <v>11</v>
      </c>
      <c r="C13" t="s">
        <v>228</v>
      </c>
      <c r="D13" t="s">
        <v>484</v>
      </c>
    </row>
    <row r="14" spans="2:4" x14ac:dyDescent="0.25">
      <c r="B14">
        <v>12</v>
      </c>
      <c r="C14" t="s">
        <v>465</v>
      </c>
      <c r="D14" t="s">
        <v>485</v>
      </c>
    </row>
    <row r="15" spans="2:4" x14ac:dyDescent="0.25">
      <c r="B15">
        <v>13</v>
      </c>
      <c r="C15" t="s">
        <v>462</v>
      </c>
      <c r="D15" t="s">
        <v>486</v>
      </c>
    </row>
    <row r="16" spans="2:4" x14ac:dyDescent="0.25">
      <c r="B16">
        <v>14</v>
      </c>
      <c r="C16" t="s">
        <v>230</v>
      </c>
      <c r="D16" t="s">
        <v>471</v>
      </c>
    </row>
    <row r="17" spans="3:4" x14ac:dyDescent="0.25">
      <c r="C17" t="s">
        <v>468</v>
      </c>
      <c r="D17" t="s">
        <v>469</v>
      </c>
    </row>
    <row r="18" spans="3:4" x14ac:dyDescent="0.25">
      <c r="C18" t="s">
        <v>470</v>
      </c>
      <c r="D18" t="s">
        <v>480</v>
      </c>
    </row>
    <row r="19" spans="3:4" x14ac:dyDescent="0.25">
      <c r="C19" t="s">
        <v>466</v>
      </c>
      <c r="D19" t="s">
        <v>467</v>
      </c>
    </row>
  </sheetData>
  <sortState xmlns:xlrd2="http://schemas.microsoft.com/office/spreadsheetml/2017/richdata2" ref="C3:C16">
    <sortCondition ref="C3:C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Prasyarat 3-Agen di depan ruang</vt:lpstr>
      <vt:lpstr>Aktivitas Pendukung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2021-08-05T03:22:25Z</dcterms:created>
  <dcterms:modified xsi:type="dcterms:W3CDTF">2021-08-29T17:17:43Z</dcterms:modified>
</cp:coreProperties>
</file>