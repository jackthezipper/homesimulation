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360" windowWidth="20730" windowHeight="11280" tabRatio="773" activeTab="5"/>
  </bookViews>
  <sheets>
    <sheet name="Data Fisik" sheetId="8" r:id="rId1"/>
    <sheet name="Data Biologis" sheetId="9" r:id="rId2"/>
    <sheet name="Tingkat IC" sheetId="10" r:id="rId3"/>
    <sheet name="Daftar Efek" sheetId="11" r:id="rId4"/>
    <sheet name="KODE &amp; DATA IC" sheetId="12" r:id="rId5"/>
    <sheet name="Kal.B" sheetId="3" r:id="rId6"/>
  </sheets>
  <calcPr calcId="145621"/>
</workbook>
</file>

<file path=xl/calcChain.xml><?xml version="1.0" encoding="utf-8"?>
<calcChain xmlns="http://schemas.openxmlformats.org/spreadsheetml/2006/main">
  <c r="H29" i="12" l="1"/>
  <c r="E25" i="12"/>
  <c r="E7" i="12"/>
  <c r="P10" i="9"/>
  <c r="L10" i="9"/>
  <c r="H10" i="9"/>
  <c r="D10" i="9"/>
  <c r="P8" i="9"/>
  <c r="L8" i="9"/>
  <c r="H8" i="9"/>
  <c r="D8" i="9"/>
  <c r="R6" i="9"/>
  <c r="R10" i="9" s="1"/>
  <c r="P6" i="9"/>
  <c r="Q6" i="9" s="1"/>
  <c r="N6" i="9"/>
  <c r="N10" i="9" s="1"/>
  <c r="L6" i="9"/>
  <c r="M6" i="9" s="1"/>
  <c r="J6" i="9"/>
  <c r="J10" i="9" s="1"/>
  <c r="H6" i="9"/>
  <c r="I6" i="9" s="1"/>
  <c r="F6" i="9"/>
  <c r="E6" i="9"/>
  <c r="E8" i="9" s="1"/>
  <c r="H9" i="8"/>
  <c r="H8" i="8"/>
  <c r="G7" i="8"/>
  <c r="M10" i="9" l="1"/>
  <c r="M8" i="9"/>
  <c r="I8" i="9"/>
  <c r="I10" i="9"/>
  <c r="Q8" i="9"/>
  <c r="Q10" i="9"/>
  <c r="O6" i="9"/>
  <c r="J8" i="9"/>
  <c r="N8" i="9"/>
  <c r="R8" i="9"/>
  <c r="K6" i="9"/>
  <c r="S6" i="9"/>
  <c r="D87" i="3"/>
  <c r="D89" i="3" s="1"/>
  <c r="E74" i="3"/>
  <c r="D6" i="3"/>
  <c r="D7" i="3"/>
  <c r="D93" i="3"/>
  <c r="E93" i="3" s="1"/>
  <c r="E88" i="3"/>
  <c r="D53" i="3"/>
  <c r="D75" i="3"/>
  <c r="D42" i="3"/>
  <c r="E42" i="3" s="1"/>
  <c r="E47" i="3"/>
  <c r="K8" i="9" l="1"/>
  <c r="K10" i="9"/>
  <c r="S8" i="9"/>
  <c r="S10" i="9"/>
  <c r="O8" i="9"/>
  <c r="O10" i="9"/>
  <c r="D76" i="3"/>
  <c r="D77" i="3" s="1"/>
  <c r="E75" i="3"/>
  <c r="D71" i="3"/>
  <c r="D8" i="3"/>
  <c r="D78" i="3" l="1"/>
  <c r="D79" i="3"/>
  <c r="F16" i="3"/>
  <c r="D47" i="3"/>
  <c r="E16" i="3" s="1"/>
  <c r="D86" i="3"/>
  <c r="E87" i="3" s="1"/>
  <c r="E89" i="3" s="1"/>
  <c r="D58" i="3"/>
  <c r="D59" i="3" s="1"/>
  <c r="E58" i="3"/>
  <c r="D80" i="3" l="1"/>
  <c r="E59" i="3"/>
  <c r="E48" i="3"/>
  <c r="E49" i="3" s="1"/>
  <c r="D48" i="3"/>
  <c r="D49" i="3" s="1"/>
  <c r="D45" i="3"/>
  <c r="E41" i="3" s="1"/>
  <c r="D81" i="3" l="1"/>
  <c r="D85" i="3" s="1"/>
  <c r="E5" i="3"/>
  <c r="D31" i="3" l="1"/>
  <c r="D34" i="3" s="1"/>
  <c r="D12" i="3"/>
  <c r="E12" i="3" s="1"/>
  <c r="D15" i="3" l="1"/>
  <c r="D17" i="3" s="1"/>
  <c r="D18" i="3" s="1"/>
  <c r="E31" i="3"/>
  <c r="D35" i="3"/>
  <c r="D36" i="3"/>
  <c r="E7" i="3" l="1"/>
  <c r="E69" i="3" l="1"/>
  <c r="E65" i="3"/>
  <c r="D63" i="3"/>
  <c r="D62" i="3"/>
  <c r="F65" i="3" l="1"/>
  <c r="G65" i="3" s="1"/>
  <c r="H65" i="3" s="1"/>
  <c r="I65" i="3" s="1"/>
  <c r="J65" i="3" s="1"/>
  <c r="K65" i="3" s="1"/>
  <c r="L65" i="3" s="1"/>
  <c r="M65" i="3" s="1"/>
  <c r="N65" i="3" s="1"/>
  <c r="O65" i="3" s="1"/>
  <c r="P65" i="3" s="1"/>
  <c r="Q65" i="3" s="1"/>
  <c r="R65" i="3" s="1"/>
  <c r="S65" i="3" s="1"/>
  <c r="T65" i="3" s="1"/>
  <c r="U65" i="3" s="1"/>
  <c r="V65" i="3" s="1"/>
  <c r="W65" i="3" s="1"/>
  <c r="X65" i="3" s="1"/>
  <c r="Y65" i="3" s="1"/>
  <c r="Z65" i="3" s="1"/>
  <c r="AA65" i="3" s="1"/>
  <c r="AB65" i="3" s="1"/>
  <c r="AC65" i="3" s="1"/>
  <c r="AD65" i="3" s="1"/>
  <c r="AE65" i="3" s="1"/>
  <c r="AF65" i="3" s="1"/>
  <c r="AG65" i="3" s="1"/>
  <c r="AH65" i="3" s="1"/>
  <c r="AI65" i="3" s="1"/>
  <c r="AJ65" i="3" s="1"/>
  <c r="AK65" i="3" s="1"/>
  <c r="AL65" i="3" s="1"/>
  <c r="AM65" i="3" s="1"/>
  <c r="AN65" i="3" s="1"/>
  <c r="AO65" i="3" s="1"/>
  <c r="AP65" i="3" s="1"/>
  <c r="AQ65" i="3" s="1"/>
  <c r="AR65" i="3" s="1"/>
  <c r="AS65" i="3" s="1"/>
  <c r="AT65" i="3" s="1"/>
  <c r="AU65" i="3" s="1"/>
  <c r="AV65" i="3" s="1"/>
  <c r="AW65" i="3" s="1"/>
  <c r="AX65" i="3" s="1"/>
  <c r="AY65" i="3" s="1"/>
  <c r="AZ65" i="3" s="1"/>
  <c r="BA65" i="3" s="1"/>
  <c r="BB65" i="3" s="1"/>
  <c r="BC65" i="3" s="1"/>
  <c r="BD65" i="3" s="1"/>
  <c r="BE65" i="3" s="1"/>
  <c r="BF65" i="3" s="1"/>
  <c r="BG65" i="3" s="1"/>
  <c r="BH65" i="3" s="1"/>
  <c r="BI65" i="3" s="1"/>
  <c r="BJ65" i="3" s="1"/>
  <c r="BK65" i="3" s="1"/>
  <c r="BL65" i="3" s="1"/>
  <c r="BM65" i="3" s="1"/>
  <c r="BN65" i="3" s="1"/>
  <c r="BO65" i="3" s="1"/>
  <c r="BP65" i="3" s="1"/>
  <c r="BQ65" i="3" s="1"/>
  <c r="BR65" i="3" s="1"/>
  <c r="BS65" i="3" s="1"/>
  <c r="BT65" i="3" s="1"/>
  <c r="BU65" i="3" s="1"/>
  <c r="BV65" i="3" s="1"/>
  <c r="BW65" i="3" s="1"/>
  <c r="BX65" i="3" s="1"/>
  <c r="E68" i="3"/>
  <c r="E98" i="3"/>
  <c r="E53" i="3" l="1"/>
  <c r="E63" i="3"/>
  <c r="D22" i="3"/>
  <c r="E22" i="3" l="1"/>
  <c r="D25" i="3"/>
  <c r="D26" i="3" s="1"/>
  <c r="F69" i="3"/>
  <c r="D27" i="3" l="1"/>
  <c r="E6" i="3" s="1"/>
  <c r="E8" i="3" s="1"/>
  <c r="G69" i="3"/>
  <c r="H69" i="3" s="1"/>
  <c r="I69" i="3" s="1"/>
  <c r="E45" i="3"/>
  <c r="D56" i="3"/>
  <c r="E52" i="3" s="1"/>
  <c r="E56" i="3" s="1"/>
  <c r="E30" i="3"/>
  <c r="E34" i="3" s="1"/>
  <c r="E35" i="3" l="1"/>
  <c r="E21" i="3"/>
  <c r="E25" i="3" s="1"/>
  <c r="E36" i="3"/>
  <c r="J69" i="3"/>
  <c r="K69" i="3" s="1"/>
  <c r="L69" i="3" s="1"/>
  <c r="M69" i="3" s="1"/>
  <c r="N69" i="3" s="1"/>
  <c r="O69" i="3" s="1"/>
  <c r="P69" i="3" s="1"/>
  <c r="Q69" i="3" s="1"/>
  <c r="R69" i="3" s="1"/>
  <c r="S69" i="3" s="1"/>
  <c r="T69" i="3" s="1"/>
  <c r="U69" i="3" s="1"/>
  <c r="V69" i="3" s="1"/>
  <c r="W69" i="3" s="1"/>
  <c r="X69" i="3" s="1"/>
  <c r="Y69" i="3" s="1"/>
  <c r="Z69" i="3" s="1"/>
  <c r="AA69" i="3" s="1"/>
  <c r="AB69" i="3" s="1"/>
  <c r="AC69" i="3" s="1"/>
  <c r="AD69" i="3" s="1"/>
  <c r="AE69" i="3" s="1"/>
  <c r="AF69" i="3" s="1"/>
  <c r="AG69" i="3" s="1"/>
  <c r="AH69" i="3" s="1"/>
  <c r="AI69" i="3" s="1"/>
  <c r="AJ69" i="3" s="1"/>
  <c r="AK69" i="3" s="1"/>
  <c r="AL69" i="3" s="1"/>
  <c r="AM69" i="3" s="1"/>
  <c r="AN69" i="3" s="1"/>
  <c r="AO69" i="3" s="1"/>
  <c r="AP69" i="3" s="1"/>
  <c r="AQ69" i="3" s="1"/>
  <c r="AR69" i="3" s="1"/>
  <c r="AS69" i="3" s="1"/>
  <c r="AT69" i="3" s="1"/>
  <c r="AU69" i="3" s="1"/>
  <c r="AV69" i="3" s="1"/>
  <c r="AW69" i="3" s="1"/>
  <c r="AX69" i="3" s="1"/>
  <c r="AY69" i="3" s="1"/>
  <c r="AZ69" i="3" s="1"/>
  <c r="BA69" i="3" s="1"/>
  <c r="BB69" i="3" s="1"/>
  <c r="BC69" i="3" s="1"/>
  <c r="BD69" i="3" s="1"/>
  <c r="BE69" i="3" s="1"/>
  <c r="BF69" i="3" s="1"/>
  <c r="BG69" i="3" s="1"/>
  <c r="BH69" i="3" s="1"/>
  <c r="BI69" i="3" s="1"/>
  <c r="BJ69" i="3" s="1"/>
  <c r="BK69" i="3" s="1"/>
  <c r="BL69" i="3" s="1"/>
  <c r="BM69" i="3" s="1"/>
  <c r="BN69" i="3" s="1"/>
  <c r="BO69" i="3" s="1"/>
  <c r="BP69" i="3" s="1"/>
  <c r="BQ69" i="3" s="1"/>
  <c r="BR69" i="3" s="1"/>
  <c r="BS69" i="3" s="1"/>
  <c r="BT69" i="3" s="1"/>
  <c r="BU69" i="3" s="1"/>
  <c r="BV69" i="3" s="1"/>
  <c r="BW69" i="3" s="1"/>
  <c r="BX69" i="3" s="1"/>
  <c r="E11" i="3"/>
  <c r="E15" i="3" s="1"/>
  <c r="E17" i="3" s="1"/>
  <c r="E18" i="3" s="1"/>
  <c r="E26" i="3" l="1"/>
  <c r="E27" i="3" s="1"/>
  <c r="F5" i="3"/>
  <c r="E62" i="3"/>
  <c r="E64" i="3" s="1"/>
  <c r="D97" i="3" l="1"/>
  <c r="D99" i="3" s="1"/>
  <c r="E92" i="3" l="1"/>
  <c r="F21" i="3"/>
  <c r="D98" i="3" l="1"/>
  <c r="F30" i="3" l="1"/>
  <c r="E97" i="3" l="1"/>
  <c r="E99" i="3" s="1"/>
  <c r="E38" i="3"/>
  <c r="F42" i="3" l="1"/>
  <c r="E76" i="3"/>
  <c r="F93" i="3"/>
  <c r="F47" i="3"/>
  <c r="F74" i="3" s="1"/>
  <c r="E70" i="3"/>
  <c r="F41" i="3"/>
  <c r="F45" i="3" s="1"/>
  <c r="F6" i="3"/>
  <c r="F7" i="3"/>
  <c r="F92" i="3"/>
  <c r="F12" i="3"/>
  <c r="F58" i="3"/>
  <c r="F22" i="3"/>
  <c r="F25" i="3" s="1"/>
  <c r="F26" i="3" s="1"/>
  <c r="F27" i="3" s="1"/>
  <c r="F88" i="3"/>
  <c r="F31" i="3"/>
  <c r="F34" i="3" s="1"/>
  <c r="F35" i="3" s="1"/>
  <c r="F98" i="3"/>
  <c r="F53" i="3"/>
  <c r="F52" i="3" s="1"/>
  <c r="F56" i="3" s="1"/>
  <c r="F97" i="3" l="1"/>
  <c r="F99" i="3" s="1"/>
  <c r="G92" i="3" s="1"/>
  <c r="G16" i="3"/>
  <c r="F8" i="3"/>
  <c r="G5" i="3" s="1"/>
  <c r="E77" i="3"/>
  <c r="F75" i="3"/>
  <c r="E71" i="3"/>
  <c r="F68" i="3"/>
  <c r="F59" i="3"/>
  <c r="F62" i="3" s="1"/>
  <c r="F48" i="3"/>
  <c r="F49" i="3" s="1"/>
  <c r="F36" i="3"/>
  <c r="F38" i="3" s="1"/>
  <c r="G93" i="3" l="1"/>
  <c r="G97" i="3" s="1"/>
  <c r="G99" i="3" s="1"/>
  <c r="G42" i="3"/>
  <c r="G47" i="3"/>
  <c r="G74" i="3" s="1"/>
  <c r="E78" i="3"/>
  <c r="E79" i="3" s="1"/>
  <c r="E80" i="3" s="1"/>
  <c r="F70" i="3"/>
  <c r="F71" i="3" s="1"/>
  <c r="G41" i="3"/>
  <c r="G6" i="3"/>
  <c r="G12" i="3"/>
  <c r="G58" i="3"/>
  <c r="G59" i="3" s="1"/>
  <c r="G22" i="3"/>
  <c r="G88" i="3"/>
  <c r="F63" i="3"/>
  <c r="F64" i="3" s="1"/>
  <c r="G31" i="3"/>
  <c r="G21" i="3"/>
  <c r="G30" i="3"/>
  <c r="H16" i="3" l="1"/>
  <c r="E81" i="3"/>
  <c r="E85" i="3" s="1"/>
  <c r="E86" i="3" s="1"/>
  <c r="F87" i="3" s="1"/>
  <c r="F89" i="3" s="1"/>
  <c r="G68" i="3"/>
  <c r="G48" i="3"/>
  <c r="G49" i="3" s="1"/>
  <c r="G25" i="3"/>
  <c r="G34" i="3"/>
  <c r="F76" i="3"/>
  <c r="F77" i="3" s="1"/>
  <c r="F78" i="3" s="1"/>
  <c r="F11" i="3"/>
  <c r="F15" i="3" s="1"/>
  <c r="F17" i="3" s="1"/>
  <c r="F18" i="3" s="1"/>
  <c r="G36" i="3" l="1"/>
  <c r="G35" i="3"/>
  <c r="G7" i="3"/>
  <c r="G8" i="3" s="1"/>
  <c r="G98" i="3"/>
  <c r="G53" i="3"/>
  <c r="G52" i="3" s="1"/>
  <c r="G56" i="3" s="1"/>
  <c r="G45" i="3"/>
  <c r="F79" i="3" l="1"/>
  <c r="F80" i="3" s="1"/>
  <c r="H92" i="3"/>
  <c r="G26" i="3"/>
  <c r="G27" i="3" s="1"/>
  <c r="G62" i="3"/>
  <c r="G75" i="3"/>
  <c r="H30" i="3"/>
  <c r="F81" i="3" l="1"/>
  <c r="F85" i="3" s="1"/>
  <c r="F86" i="3" s="1"/>
  <c r="G87" i="3" s="1"/>
  <c r="G89" i="3" s="1"/>
  <c r="H5" i="3"/>
  <c r="G63" i="3"/>
  <c r="G64" i="3" s="1"/>
  <c r="G38" i="3"/>
  <c r="G76" i="3" l="1"/>
  <c r="G77" i="3" s="1"/>
  <c r="H93" i="3"/>
  <c r="H97" i="3" s="1"/>
  <c r="H99" i="3" s="1"/>
  <c r="H47" i="3"/>
  <c r="H74" i="3" s="1"/>
  <c r="H42" i="3"/>
  <c r="H41" i="3" s="1"/>
  <c r="H45" i="3" s="1"/>
  <c r="G70" i="3"/>
  <c r="H6" i="3"/>
  <c r="H12" i="3"/>
  <c r="H58" i="3"/>
  <c r="H59" i="3" s="1"/>
  <c r="H22" i="3"/>
  <c r="H88" i="3"/>
  <c r="H31" i="3"/>
  <c r="H34" i="3" s="1"/>
  <c r="H98" i="3"/>
  <c r="H53" i="3"/>
  <c r="H52" i="3" s="1"/>
  <c r="H56" i="3" s="1"/>
  <c r="G11" i="3"/>
  <c r="G15" i="3" s="1"/>
  <c r="G17" i="3" s="1"/>
  <c r="G18" i="3" s="1"/>
  <c r="I16" i="3" l="1"/>
  <c r="G78" i="3"/>
  <c r="G79" i="3" s="1"/>
  <c r="G71" i="3"/>
  <c r="H68" i="3"/>
  <c r="H36" i="3"/>
  <c r="H35" i="3"/>
  <c r="I92" i="3"/>
  <c r="H48" i="3"/>
  <c r="H49" i="3" s="1"/>
  <c r="H7" i="3"/>
  <c r="H8" i="3" s="1"/>
  <c r="H21" i="3"/>
  <c r="H25" i="3" s="1"/>
  <c r="H26" i="3" l="1"/>
  <c r="H27" i="3" s="1"/>
  <c r="G80" i="3"/>
  <c r="H75" i="3"/>
  <c r="H63" i="3"/>
  <c r="H62" i="3"/>
  <c r="I30" i="3"/>
  <c r="G81" i="3" l="1"/>
  <c r="G85" i="3" s="1"/>
  <c r="G86" i="3" s="1"/>
  <c r="H87" i="3" s="1"/>
  <c r="I5" i="3"/>
  <c r="H64" i="3"/>
  <c r="H38" i="3"/>
  <c r="H70" i="3" s="1"/>
  <c r="H11" i="3"/>
  <c r="H15" i="3" s="1"/>
  <c r="H17" i="3" s="1"/>
  <c r="H18" i="3" s="1"/>
  <c r="I6" i="3" l="1"/>
  <c r="I47" i="3"/>
  <c r="I74" i="3" s="1"/>
  <c r="I42" i="3"/>
  <c r="I41" i="3" s="1"/>
  <c r="I45" i="3" s="1"/>
  <c r="I93" i="3"/>
  <c r="I97" i="3" s="1"/>
  <c r="I99" i="3" s="1"/>
  <c r="H89" i="3"/>
  <c r="I68" i="3"/>
  <c r="H71" i="3"/>
  <c r="I12" i="3"/>
  <c r="I58" i="3"/>
  <c r="I22" i="3"/>
  <c r="I88" i="3"/>
  <c r="H76" i="3"/>
  <c r="H77" i="3" s="1"/>
  <c r="I31" i="3"/>
  <c r="I34" i="3" s="1"/>
  <c r="I7" i="3"/>
  <c r="I53" i="3"/>
  <c r="I52" i="3" s="1"/>
  <c r="I56" i="3" s="1"/>
  <c r="I98" i="3"/>
  <c r="J16" i="3" l="1"/>
  <c r="I8" i="3"/>
  <c r="H78" i="3"/>
  <c r="I36" i="3"/>
  <c r="J30" i="3" s="1"/>
  <c r="I35" i="3"/>
  <c r="I59" i="3"/>
  <c r="I48" i="3"/>
  <c r="I49" i="3" s="1"/>
  <c r="I21" i="3"/>
  <c r="I25" i="3" s="1"/>
  <c r="I26" i="3" s="1"/>
  <c r="H79" i="3" l="1"/>
  <c r="H80" i="3" s="1"/>
  <c r="J92" i="3"/>
  <c r="J5" i="3"/>
  <c r="I27" i="3"/>
  <c r="I75" i="3"/>
  <c r="I63" i="3"/>
  <c r="I38" i="3"/>
  <c r="I11" i="3"/>
  <c r="I15" i="3" s="1"/>
  <c r="I17" i="3" s="1"/>
  <c r="I18" i="3" s="1"/>
  <c r="J42" i="3" l="1"/>
  <c r="J93" i="3"/>
  <c r="J97" i="3" s="1"/>
  <c r="J99" i="3" s="1"/>
  <c r="J47" i="3"/>
  <c r="J74" i="3" s="1"/>
  <c r="H81" i="3"/>
  <c r="H85" i="3" s="1"/>
  <c r="H86" i="3" s="1"/>
  <c r="I87" i="3" s="1"/>
  <c r="I89" i="3" s="1"/>
  <c r="J41" i="3"/>
  <c r="J45" i="3" s="1"/>
  <c r="J6" i="3"/>
  <c r="I70" i="3"/>
  <c r="J68" i="3" s="1"/>
  <c r="J12" i="3"/>
  <c r="J58" i="3"/>
  <c r="J59" i="3" s="1"/>
  <c r="J22" i="3"/>
  <c r="J88" i="3"/>
  <c r="I76" i="3"/>
  <c r="I77" i="3" s="1"/>
  <c r="J31" i="3"/>
  <c r="J34" i="3" s="1"/>
  <c r="J36" i="3" s="1"/>
  <c r="J7" i="3"/>
  <c r="I62" i="3"/>
  <c r="I64" i="3" s="1"/>
  <c r="J21" i="3"/>
  <c r="J98" i="3"/>
  <c r="J53" i="3"/>
  <c r="J52" i="3" s="1"/>
  <c r="J56" i="3" s="1"/>
  <c r="K16" i="3" l="1"/>
  <c r="I78" i="3"/>
  <c r="I71" i="3"/>
  <c r="J8" i="3"/>
  <c r="J35" i="3"/>
  <c r="J48" i="3"/>
  <c r="J49" i="3" s="1"/>
  <c r="J25" i="3"/>
  <c r="J26" i="3" s="1"/>
  <c r="J27" i="3" s="1"/>
  <c r="K30" i="3"/>
  <c r="I79" i="3" l="1"/>
  <c r="I80" i="3" s="1"/>
  <c r="K92" i="3"/>
  <c r="K5" i="3"/>
  <c r="J75" i="3"/>
  <c r="J63" i="3"/>
  <c r="J38" i="3"/>
  <c r="J70" i="3" l="1"/>
  <c r="K68" i="3" s="1"/>
  <c r="K93" i="3"/>
  <c r="K42" i="3"/>
  <c r="K41" i="3" s="1"/>
  <c r="K45" i="3" s="1"/>
  <c r="K47" i="3" s="1"/>
  <c r="K74" i="3" s="1"/>
  <c r="K97" i="3"/>
  <c r="K98" i="3" s="1"/>
  <c r="I81" i="3"/>
  <c r="I85" i="3" s="1"/>
  <c r="I86" i="3" s="1"/>
  <c r="J87" i="3" s="1"/>
  <c r="K6" i="3"/>
  <c r="K12" i="3"/>
  <c r="K22" i="3"/>
  <c r="J76" i="3"/>
  <c r="J77" i="3" s="1"/>
  <c r="K31" i="3"/>
  <c r="K34" i="3" s="1"/>
  <c r="J62" i="3"/>
  <c r="J64" i="3" s="1"/>
  <c r="K53" i="3"/>
  <c r="K52" i="3" s="1"/>
  <c r="K56" i="3" s="1"/>
  <c r="J11" i="3"/>
  <c r="J15" i="3" s="1"/>
  <c r="J17" i="3" s="1"/>
  <c r="J18" i="3" s="1"/>
  <c r="J71" i="3" l="1"/>
  <c r="K99" i="3"/>
  <c r="L92" i="3" s="1"/>
  <c r="J78" i="3"/>
  <c r="J89" i="3"/>
  <c r="K36" i="3"/>
  <c r="K35" i="3"/>
  <c r="K7" i="3"/>
  <c r="K8" i="3" s="1"/>
  <c r="K21" i="3"/>
  <c r="K25" i="3" s="1"/>
  <c r="K58" i="3"/>
  <c r="K59" i="3" s="1"/>
  <c r="J79" i="3" l="1"/>
  <c r="J80" i="3" s="1"/>
  <c r="K75" i="3"/>
  <c r="L16" i="3"/>
  <c r="K48" i="3"/>
  <c r="K26" i="3"/>
  <c r="K27" i="3" s="1"/>
  <c r="L30" i="3"/>
  <c r="J81" i="3" l="1"/>
  <c r="J85" i="3" s="1"/>
  <c r="J86" i="3" s="1"/>
  <c r="K87" i="3" s="1"/>
  <c r="K49" i="3"/>
  <c r="K63" i="3" s="1"/>
  <c r="L5" i="3"/>
  <c r="K62" i="3"/>
  <c r="K38" i="3"/>
  <c r="K11" i="3"/>
  <c r="K15" i="3" s="1"/>
  <c r="K17" i="3" s="1"/>
  <c r="K18" i="3" s="1"/>
  <c r="L6" i="3" l="1"/>
  <c r="L93" i="3"/>
  <c r="L97" i="3" s="1"/>
  <c r="L98" i="3" s="1"/>
  <c r="L99" i="3" s="1"/>
  <c r="L42" i="3"/>
  <c r="L41" i="3" s="1"/>
  <c r="L45" i="3" s="1"/>
  <c r="L47" i="3" s="1"/>
  <c r="L74" i="3" s="1"/>
  <c r="K88" i="3"/>
  <c r="K89" i="3"/>
  <c r="K70" i="3"/>
  <c r="K64" i="3"/>
  <c r="L12" i="3"/>
  <c r="L22" i="3"/>
  <c r="K76" i="3"/>
  <c r="K77" i="3" s="1"/>
  <c r="L31" i="3"/>
  <c r="L34" i="3" s="1"/>
  <c r="L21" i="3"/>
  <c r="L53" i="3"/>
  <c r="K78" i="3" l="1"/>
  <c r="K79" i="3" s="1"/>
  <c r="L68" i="3"/>
  <c r="K71" i="3"/>
  <c r="L52" i="3"/>
  <c r="L56" i="3" s="1"/>
  <c r="L58" i="3" s="1"/>
  <c r="L59" i="3" s="1"/>
  <c r="L36" i="3"/>
  <c r="M30" i="3" s="1"/>
  <c r="L35" i="3"/>
  <c r="M92" i="3"/>
  <c r="L25" i="3"/>
  <c r="L7" i="3"/>
  <c r="L8" i="3" s="1"/>
  <c r="L11" i="3"/>
  <c r="L15" i="3" s="1"/>
  <c r="L17" i="3" s="1"/>
  <c r="L18" i="3" s="1"/>
  <c r="L26" i="3" l="1"/>
  <c r="L27" i="3" s="1"/>
  <c r="K80" i="3"/>
  <c r="L62" i="3"/>
  <c r="L38" i="3"/>
  <c r="M93" i="3" l="1"/>
  <c r="M97" i="3" s="1"/>
  <c r="M98" i="3" s="1"/>
  <c r="M99" i="3" s="1"/>
  <c r="M42" i="3"/>
  <c r="K81" i="3"/>
  <c r="M6" i="3"/>
  <c r="M7" i="3"/>
  <c r="L70" i="3"/>
  <c r="L71" i="3" s="1"/>
  <c r="M41" i="3"/>
  <c r="M45" i="3" s="1"/>
  <c r="M47" i="3" s="1"/>
  <c r="M74" i="3" s="1"/>
  <c r="M16" i="3"/>
  <c r="L75" i="3"/>
  <c r="L48" i="3"/>
  <c r="L49" i="3" s="1"/>
  <c r="L63" i="3" s="1"/>
  <c r="L64" i="3" s="1"/>
  <c r="M12" i="3"/>
  <c r="M5" i="3"/>
  <c r="M22" i="3"/>
  <c r="M31" i="3"/>
  <c r="M34" i="3" s="1"/>
  <c r="M36" i="3" s="1"/>
  <c r="M21" i="3"/>
  <c r="M53" i="3"/>
  <c r="M52" i="3" s="1"/>
  <c r="M56" i="3" s="1"/>
  <c r="K85" i="3" l="1"/>
  <c r="M8" i="3"/>
  <c r="N5" i="3" s="1"/>
  <c r="M35" i="3"/>
  <c r="N92" i="3"/>
  <c r="L76" i="3"/>
  <c r="M58" i="3"/>
  <c r="M25" i="3"/>
  <c r="M26" i="3" s="1"/>
  <c r="N30" i="3"/>
  <c r="K86" i="3" l="1"/>
  <c r="L87" i="3" s="1"/>
  <c r="L89" i="3" s="1"/>
  <c r="L77" i="3"/>
  <c r="N16" i="3"/>
  <c r="M59" i="3"/>
  <c r="M75" i="3"/>
  <c r="M48" i="3"/>
  <c r="M27" i="3"/>
  <c r="M38" i="3"/>
  <c r="N42" i="3" l="1"/>
  <c r="N41" i="3" s="1"/>
  <c r="N45" i="3" s="1"/>
  <c r="N47" i="3" s="1"/>
  <c r="N74" i="3" s="1"/>
  <c r="N93" i="3"/>
  <c r="N97" i="3" s="1"/>
  <c r="N98" i="3" s="1"/>
  <c r="N99" i="3" s="1"/>
  <c r="L78" i="3"/>
  <c r="L79" i="3" s="1"/>
  <c r="L80" i="3" s="1"/>
  <c r="L88" i="3"/>
  <c r="N6" i="3"/>
  <c r="M49" i="3"/>
  <c r="M63" i="3" s="1"/>
  <c r="N12" i="3"/>
  <c r="N22" i="3"/>
  <c r="M76" i="3"/>
  <c r="N31" i="3"/>
  <c r="N34" i="3" s="1"/>
  <c r="N36" i="3" s="1"/>
  <c r="M62" i="3"/>
  <c r="N53" i="3"/>
  <c r="N52" i="3" s="1"/>
  <c r="N56" i="3" s="1"/>
  <c r="M11" i="3"/>
  <c r="M15" i="3" s="1"/>
  <c r="M17" i="3" s="1"/>
  <c r="M18" i="3" s="1"/>
  <c r="M68" i="3" l="1"/>
  <c r="M70" i="3" s="1"/>
  <c r="L81" i="3"/>
  <c r="M77" i="3"/>
  <c r="M78" i="3" s="1"/>
  <c r="N35" i="3"/>
  <c r="O92" i="3"/>
  <c r="M64" i="3"/>
  <c r="N58" i="3"/>
  <c r="N59" i="3" s="1"/>
  <c r="N21" i="3"/>
  <c r="N25" i="3" s="1"/>
  <c r="M79" i="3" l="1"/>
  <c r="M80" i="3" s="1"/>
  <c r="L85" i="3"/>
  <c r="M71" i="3"/>
  <c r="O16" i="3"/>
  <c r="N75" i="3"/>
  <c r="N48" i="3"/>
  <c r="N49" i="3" s="1"/>
  <c r="N63" i="3" s="1"/>
  <c r="O30" i="3"/>
  <c r="N7" i="3"/>
  <c r="N8" i="3" s="1"/>
  <c r="N38" i="3"/>
  <c r="N11" i="3"/>
  <c r="N15" i="3" s="1"/>
  <c r="O93" i="3" l="1"/>
  <c r="O97" i="3" s="1"/>
  <c r="O98" i="3" s="1"/>
  <c r="O99" i="3" s="1"/>
  <c r="O42" i="3"/>
  <c r="O41" i="3" s="1"/>
  <c r="O45" i="3" s="1"/>
  <c r="O47" i="3" s="1"/>
  <c r="O74" i="3" s="1"/>
  <c r="N17" i="3"/>
  <c r="N18" i="3" s="1"/>
  <c r="L86" i="3"/>
  <c r="M87" i="3" s="1"/>
  <c r="M81" i="3"/>
  <c r="M85" i="3" s="1"/>
  <c r="M86" i="3" s="1"/>
  <c r="O12" i="3"/>
  <c r="N26" i="3"/>
  <c r="N27" i="3" s="1"/>
  <c r="O6" i="3" s="1"/>
  <c r="O22" i="3"/>
  <c r="N76" i="3"/>
  <c r="N77" i="3" s="1"/>
  <c r="N78" i="3" s="1"/>
  <c r="O31" i="3"/>
  <c r="O34" i="3" s="1"/>
  <c r="O36" i="3" s="1"/>
  <c r="O53" i="3"/>
  <c r="O52" i="3" s="1"/>
  <c r="O56" i="3" s="1"/>
  <c r="M88" i="3" l="1"/>
  <c r="N79" i="3" s="1"/>
  <c r="N80" i="3" s="1"/>
  <c r="M89" i="3"/>
  <c r="P92" i="3"/>
  <c r="O35" i="3"/>
  <c r="O5" i="3"/>
  <c r="O58" i="3"/>
  <c r="O59" i="3" s="1"/>
  <c r="O21" i="3"/>
  <c r="O25" i="3" s="1"/>
  <c r="O7" i="3"/>
  <c r="N62" i="3"/>
  <c r="N64" i="3" s="1"/>
  <c r="O11" i="3"/>
  <c r="O15" i="3" s="1"/>
  <c r="O17" i="3" s="1"/>
  <c r="O18" i="3" s="1"/>
  <c r="N87" i="3" l="1"/>
  <c r="N89" i="3" s="1"/>
  <c r="N68" i="3"/>
  <c r="N70" i="3" s="1"/>
  <c r="P16" i="3"/>
  <c r="O75" i="3"/>
  <c r="O8" i="3"/>
  <c r="O48" i="3"/>
  <c r="O49" i="3" s="1"/>
  <c r="O26" i="3"/>
  <c r="O27" i="3" s="1"/>
  <c r="P30" i="3"/>
  <c r="O62" i="3"/>
  <c r="N81" i="3"/>
  <c r="N85" i="3" s="1"/>
  <c r="N86" i="3" s="1"/>
  <c r="N88" i="3" l="1"/>
  <c r="O68" i="3" s="1"/>
  <c r="N71" i="3"/>
  <c r="P5" i="3"/>
  <c r="O38" i="3"/>
  <c r="O63" i="3"/>
  <c r="O64" i="3" s="1"/>
  <c r="P7" i="3" l="1"/>
  <c r="P93" i="3"/>
  <c r="P97" i="3" s="1"/>
  <c r="P98" i="3" s="1"/>
  <c r="P99" i="3" s="1"/>
  <c r="P42" i="3"/>
  <c r="P41" i="3" s="1"/>
  <c r="O87" i="3"/>
  <c r="P6" i="3"/>
  <c r="P8" i="3" s="1"/>
  <c r="P12" i="3"/>
  <c r="O76" i="3"/>
  <c r="P22" i="3"/>
  <c r="P21" i="3"/>
  <c r="P53" i="3"/>
  <c r="P31" i="3"/>
  <c r="P34" i="3" s="1"/>
  <c r="P35" i="3" s="1"/>
  <c r="O70" i="3"/>
  <c r="P11" i="3"/>
  <c r="P45" i="3" l="1"/>
  <c r="P47" i="3" s="1"/>
  <c r="P74" i="3" s="1"/>
  <c r="O77" i="3"/>
  <c r="P52" i="3"/>
  <c r="P56" i="3" s="1"/>
  <c r="P58" i="3" s="1"/>
  <c r="Q92" i="3"/>
  <c r="O71" i="3"/>
  <c r="O89" i="3"/>
  <c r="O88" i="3"/>
  <c r="Q5" i="3"/>
  <c r="P15" i="3"/>
  <c r="P25" i="3"/>
  <c r="P26" i="3" s="1"/>
  <c r="P27" i="3" s="1"/>
  <c r="P36" i="3"/>
  <c r="P38" i="3" s="1"/>
  <c r="Q6" i="3" l="1"/>
  <c r="Q93" i="3"/>
  <c r="Q97" i="3" s="1"/>
  <c r="Q42" i="3"/>
  <c r="Q41" i="3" s="1"/>
  <c r="O78" i="3"/>
  <c r="O79" i="3" s="1"/>
  <c r="P68" i="3"/>
  <c r="P59" i="3"/>
  <c r="P62" i="3" s="1"/>
  <c r="Q16" i="3"/>
  <c r="P75" i="3"/>
  <c r="P17" i="3"/>
  <c r="P48" i="3"/>
  <c r="P49" i="3" s="1"/>
  <c r="P63" i="3" s="1"/>
  <c r="Q12" i="3"/>
  <c r="Q21" i="3"/>
  <c r="Q22" i="3"/>
  <c r="Q30" i="3"/>
  <c r="Q31" i="3"/>
  <c r="Q53" i="3"/>
  <c r="Q52" i="3" s="1"/>
  <c r="Q56" i="3" s="1"/>
  <c r="P18" i="3" l="1"/>
  <c r="Q7" i="3" s="1"/>
  <c r="Q8" i="3" s="1"/>
  <c r="R5" i="3" s="1"/>
  <c r="Q98" i="3"/>
  <c r="Q99" i="3" s="1"/>
  <c r="O80" i="3"/>
  <c r="P64" i="3"/>
  <c r="Q58" i="3"/>
  <c r="Q25" i="3"/>
  <c r="Q26" i="3" s="1"/>
  <c r="Q27" i="3" s="1"/>
  <c r="Q34" i="3"/>
  <c r="P76" i="3"/>
  <c r="P77" i="3" s="1"/>
  <c r="P78" i="3" s="1"/>
  <c r="Q45" i="3"/>
  <c r="Q47" i="3" s="1"/>
  <c r="Q74" i="3" s="1"/>
  <c r="Q11" i="3"/>
  <c r="Q15" i="3" s="1"/>
  <c r="Q17" i="3" s="1"/>
  <c r="Q18" i="3" s="1"/>
  <c r="R92" i="3" l="1"/>
  <c r="P79" i="3"/>
  <c r="P80" i="3" s="1"/>
  <c r="O81" i="3"/>
  <c r="O85" i="3" s="1"/>
  <c r="Q36" i="3"/>
  <c r="R30" i="3" s="1"/>
  <c r="Q35" i="3"/>
  <c r="Q59" i="3"/>
  <c r="Q62" i="3" s="1"/>
  <c r="P70" i="3"/>
  <c r="R21" i="3"/>
  <c r="Q38" i="3" l="1"/>
  <c r="R7" i="3" s="1"/>
  <c r="O86" i="3"/>
  <c r="P87" i="3" s="1"/>
  <c r="P81" i="3"/>
  <c r="P85" i="3" s="1"/>
  <c r="P86" i="3" s="1"/>
  <c r="P71" i="3"/>
  <c r="Q75" i="3"/>
  <c r="R16" i="3"/>
  <c r="Q48" i="3"/>
  <c r="R12" i="3"/>
  <c r="R22" i="3"/>
  <c r="R25" i="3" s="1"/>
  <c r="R26" i="3" s="1"/>
  <c r="R31" i="3"/>
  <c r="R34" i="3" s="1"/>
  <c r="R53" i="3"/>
  <c r="R6" i="3" l="1"/>
  <c r="R8" i="3" s="1"/>
  <c r="R93" i="3"/>
  <c r="R97" i="3" s="1"/>
  <c r="R98" i="3" s="1"/>
  <c r="R99" i="3" s="1"/>
  <c r="S92" i="3" s="1"/>
  <c r="R42" i="3"/>
  <c r="R41" i="3" s="1"/>
  <c r="R45" i="3" s="1"/>
  <c r="R47" i="3" s="1"/>
  <c r="R74" i="3" s="1"/>
  <c r="P89" i="3"/>
  <c r="P88" i="3"/>
  <c r="Q68" i="3" s="1"/>
  <c r="R36" i="3"/>
  <c r="R35" i="3"/>
  <c r="R52" i="3"/>
  <c r="R56" i="3" s="1"/>
  <c r="Q49" i="3"/>
  <c r="Q63" i="3" s="1"/>
  <c r="Q64" i="3" s="1"/>
  <c r="S5" i="3"/>
  <c r="R27" i="3"/>
  <c r="S30" i="3"/>
  <c r="Q76" i="3"/>
  <c r="Q77" i="3" s="1"/>
  <c r="Q78" i="3" s="1"/>
  <c r="Q79" i="3" l="1"/>
  <c r="Q87" i="3"/>
  <c r="R58" i="3"/>
  <c r="R59" i="3" s="1"/>
  <c r="R62" i="3" s="1"/>
  <c r="R38" i="3"/>
  <c r="R11" i="3"/>
  <c r="R15" i="3" s="1"/>
  <c r="R17" i="3" s="1"/>
  <c r="R18" i="3" s="1"/>
  <c r="S93" i="3" l="1"/>
  <c r="S97" i="3" s="1"/>
  <c r="S42" i="3"/>
  <c r="S41" i="3" s="1"/>
  <c r="Q89" i="3"/>
  <c r="S6" i="3"/>
  <c r="R75" i="3"/>
  <c r="S16" i="3"/>
  <c r="R48" i="3"/>
  <c r="S12" i="3"/>
  <c r="S22" i="3"/>
  <c r="Q80" i="3"/>
  <c r="S31" i="3"/>
  <c r="S34" i="3" s="1"/>
  <c r="S21" i="3"/>
  <c r="S98" i="3"/>
  <c r="S53" i="3"/>
  <c r="S52" i="3" s="1"/>
  <c r="S56" i="3" s="1"/>
  <c r="S99" i="3" l="1"/>
  <c r="Q81" i="3"/>
  <c r="Q85" i="3" s="1"/>
  <c r="Q88" i="3"/>
  <c r="S36" i="3"/>
  <c r="S38" i="3" s="1"/>
  <c r="S35" i="3"/>
  <c r="S58" i="3"/>
  <c r="S59" i="3" s="1"/>
  <c r="T92" i="3"/>
  <c r="R49" i="3"/>
  <c r="R63" i="3" s="1"/>
  <c r="R64" i="3" s="1"/>
  <c r="R76" i="3"/>
  <c r="S25" i="3"/>
  <c r="Q70" i="3"/>
  <c r="S7" i="3"/>
  <c r="S8" i="3" s="1"/>
  <c r="S45" i="3"/>
  <c r="S47" i="3" s="1"/>
  <c r="S74" i="3" s="1"/>
  <c r="S11" i="3"/>
  <c r="S15" i="3" s="1"/>
  <c r="S17" i="3" s="1"/>
  <c r="S18" i="3" s="1"/>
  <c r="T93" i="3" l="1"/>
  <c r="T42" i="3"/>
  <c r="Q86" i="3"/>
  <c r="R87" i="3" s="1"/>
  <c r="R77" i="3"/>
  <c r="R78" i="3" s="1"/>
  <c r="T97" i="3"/>
  <c r="R68" i="3"/>
  <c r="Q71" i="3"/>
  <c r="T41" i="3"/>
  <c r="T12" i="3"/>
  <c r="S26" i="3"/>
  <c r="S27" i="3" s="1"/>
  <c r="T6" i="3" s="1"/>
  <c r="T22" i="3"/>
  <c r="T30" i="3"/>
  <c r="S62" i="3"/>
  <c r="T31" i="3"/>
  <c r="T7" i="3"/>
  <c r="T53" i="3"/>
  <c r="T52" i="3" s="1"/>
  <c r="T56" i="3" s="1"/>
  <c r="R79" i="3" l="1"/>
  <c r="R80" i="3" s="1"/>
  <c r="R89" i="3"/>
  <c r="T98" i="3"/>
  <c r="T99" i="3" s="1"/>
  <c r="S75" i="3"/>
  <c r="S76" i="3" s="1"/>
  <c r="T16" i="3"/>
  <c r="S48" i="3"/>
  <c r="T5" i="3"/>
  <c r="T8" i="3" s="1"/>
  <c r="T34" i="3"/>
  <c r="T36" i="3" s="1"/>
  <c r="T58" i="3"/>
  <c r="T59" i="3" s="1"/>
  <c r="R88" i="3"/>
  <c r="R70" i="3"/>
  <c r="T21" i="3"/>
  <c r="T25" i="3" s="1"/>
  <c r="T26" i="3" s="1"/>
  <c r="T45" i="3"/>
  <c r="T47" i="3" s="1"/>
  <c r="T74" i="3" s="1"/>
  <c r="U92" i="3" l="1"/>
  <c r="T35" i="3"/>
  <c r="S77" i="3"/>
  <c r="S78" i="3" s="1"/>
  <c r="S68" i="3"/>
  <c r="R71" i="3"/>
  <c r="U5" i="3"/>
  <c r="S49" i="3"/>
  <c r="S63" i="3" s="1"/>
  <c r="S64" i="3" s="1"/>
  <c r="T62" i="3"/>
  <c r="T27" i="3"/>
  <c r="U30" i="3"/>
  <c r="R81" i="3"/>
  <c r="R85" i="3" s="1"/>
  <c r="T38" i="3"/>
  <c r="T11" i="3"/>
  <c r="T15" i="3" s="1"/>
  <c r="T17" i="3" s="1"/>
  <c r="T18" i="3" s="1"/>
  <c r="U42" i="3" l="1"/>
  <c r="U41" i="3" s="1"/>
  <c r="U93" i="3"/>
  <c r="U97" i="3" s="1"/>
  <c r="S79" i="3"/>
  <c r="U6" i="3"/>
  <c r="U16" i="3"/>
  <c r="T75" i="3"/>
  <c r="T48" i="3"/>
  <c r="U12" i="3"/>
  <c r="U22" i="3"/>
  <c r="U31" i="3"/>
  <c r="U34" i="3" s="1"/>
  <c r="U36" i="3" s="1"/>
  <c r="U21" i="3"/>
  <c r="U7" i="3"/>
  <c r="U53" i="3"/>
  <c r="U52" i="3" s="1"/>
  <c r="U56" i="3" s="1"/>
  <c r="U98" i="3" l="1"/>
  <c r="U99" i="3" s="1"/>
  <c r="V92" i="3" s="1"/>
  <c r="R86" i="3"/>
  <c r="S87" i="3" s="1"/>
  <c r="U8" i="3"/>
  <c r="U35" i="3"/>
  <c r="T49" i="3"/>
  <c r="T63" i="3" s="1"/>
  <c r="T64" i="3" s="1"/>
  <c r="U25" i="3"/>
  <c r="U26" i="3" s="1"/>
  <c r="U27" i="3" s="1"/>
  <c r="S70" i="3"/>
  <c r="S80" i="3"/>
  <c r="T76" i="3"/>
  <c r="T77" i="3" s="1"/>
  <c r="T78" i="3" s="1"/>
  <c r="U45" i="3"/>
  <c r="U47" i="3" s="1"/>
  <c r="U74" i="3" s="1"/>
  <c r="V30" i="3"/>
  <c r="U58" i="3"/>
  <c r="S81" i="3" l="1"/>
  <c r="S85" i="3" s="1"/>
  <c r="S71" i="3"/>
  <c r="U59" i="3"/>
  <c r="S89" i="3"/>
  <c r="S88" i="3"/>
  <c r="T79" i="3" s="1"/>
  <c r="V5" i="3"/>
  <c r="U38" i="3"/>
  <c r="V42" i="3" l="1"/>
  <c r="V41" i="3" s="1"/>
  <c r="V45" i="3" s="1"/>
  <c r="V47" i="3" s="1"/>
  <c r="V74" i="3" s="1"/>
  <c r="V93" i="3"/>
  <c r="V97" i="3" s="1"/>
  <c r="V98" i="3" s="1"/>
  <c r="V99" i="3" s="1"/>
  <c r="S86" i="3"/>
  <c r="T87" i="3" s="1"/>
  <c r="T68" i="3"/>
  <c r="V6" i="3"/>
  <c r="V16" i="3"/>
  <c r="U75" i="3"/>
  <c r="U48" i="3"/>
  <c r="V12" i="3"/>
  <c r="V22" i="3"/>
  <c r="U62" i="3"/>
  <c r="V31" i="3"/>
  <c r="V34" i="3" s="1"/>
  <c r="V53" i="3"/>
  <c r="V52" i="3" s="1"/>
  <c r="V56" i="3" s="1"/>
  <c r="U11" i="3"/>
  <c r="U15" i="3" s="1"/>
  <c r="U17" i="3" s="1"/>
  <c r="U18" i="3" s="1"/>
  <c r="T89" i="3" l="1"/>
  <c r="V36" i="3"/>
  <c r="V35" i="3"/>
  <c r="W92" i="3"/>
  <c r="U49" i="3"/>
  <c r="U63" i="3" s="1"/>
  <c r="U64" i="3" s="1"/>
  <c r="T88" i="3"/>
  <c r="T80" i="3"/>
  <c r="T70" i="3"/>
  <c r="U76" i="3"/>
  <c r="U77" i="3" s="1"/>
  <c r="U78" i="3" s="1"/>
  <c r="V21" i="3"/>
  <c r="V25" i="3" s="1"/>
  <c r="V7" i="3"/>
  <c r="V8" i="3" s="1"/>
  <c r="V58" i="3"/>
  <c r="U79" i="3" l="1"/>
  <c r="T81" i="3"/>
  <c r="T85" i="3" s="1"/>
  <c r="U68" i="3"/>
  <c r="T71" i="3"/>
  <c r="V59" i="3"/>
  <c r="V26" i="3"/>
  <c r="V27" i="3" s="1"/>
  <c r="W30" i="3"/>
  <c r="V38" i="3"/>
  <c r="W93" i="3" l="1"/>
  <c r="W97" i="3" s="1"/>
  <c r="W42" i="3"/>
  <c r="W41" i="3" s="1"/>
  <c r="W45" i="3" s="1"/>
  <c r="W47" i="3" s="1"/>
  <c r="W74" i="3" s="1"/>
  <c r="T86" i="3"/>
  <c r="U87" i="3" s="1"/>
  <c r="W6" i="3"/>
  <c r="W16" i="3"/>
  <c r="V75" i="3"/>
  <c r="V48" i="3"/>
  <c r="W12" i="3"/>
  <c r="W5" i="3"/>
  <c r="W22" i="3"/>
  <c r="V62" i="3"/>
  <c r="W31" i="3"/>
  <c r="W34" i="3" s="1"/>
  <c r="W36" i="3" s="1"/>
  <c r="W98" i="3"/>
  <c r="W99" i="3" s="1"/>
  <c r="W53" i="3"/>
  <c r="W52" i="3" s="1"/>
  <c r="W56" i="3" s="1"/>
  <c r="V11" i="3"/>
  <c r="V15" i="3" s="1"/>
  <c r="V17" i="3" s="1"/>
  <c r="V18" i="3" s="1"/>
  <c r="U89" i="3" l="1"/>
  <c r="W35" i="3"/>
  <c r="X92" i="3"/>
  <c r="V49" i="3"/>
  <c r="V63" i="3" s="1"/>
  <c r="V64" i="3" s="1"/>
  <c r="V76" i="3"/>
  <c r="U88" i="3"/>
  <c r="U80" i="3"/>
  <c r="U70" i="3"/>
  <c r="W7" i="3"/>
  <c r="W8" i="3" s="1"/>
  <c r="W21" i="3"/>
  <c r="W25" i="3" s="1"/>
  <c r="W58" i="3"/>
  <c r="W59" i="3" s="1"/>
  <c r="U81" i="3" l="1"/>
  <c r="U85" i="3" s="1"/>
  <c r="V77" i="3"/>
  <c r="V68" i="3"/>
  <c r="U71" i="3"/>
  <c r="W26" i="3"/>
  <c r="W27" i="3" s="1"/>
  <c r="X30" i="3"/>
  <c r="W38" i="3"/>
  <c r="X93" i="3" l="1"/>
  <c r="X97" i="3" s="1"/>
  <c r="X42" i="3"/>
  <c r="X41" i="3" s="1"/>
  <c r="X45" i="3" s="1"/>
  <c r="X47" i="3" s="1"/>
  <c r="X74" i="3" s="1"/>
  <c r="V78" i="3"/>
  <c r="V79" i="3" s="1"/>
  <c r="W78" i="3"/>
  <c r="X6" i="3"/>
  <c r="X16" i="3"/>
  <c r="W75" i="3"/>
  <c r="W48" i="3"/>
  <c r="X12" i="3"/>
  <c r="X5" i="3"/>
  <c r="X22" i="3"/>
  <c r="W62" i="3"/>
  <c r="U86" i="3"/>
  <c r="V87" i="3" s="1"/>
  <c r="X31" i="3"/>
  <c r="X34" i="3" s="1"/>
  <c r="X36" i="3" s="1"/>
  <c r="X98" i="3"/>
  <c r="X99" i="3" s="1"/>
  <c r="X53" i="3"/>
  <c r="X52" i="3" s="1"/>
  <c r="X56" i="3" s="1"/>
  <c r="W11" i="3"/>
  <c r="W15" i="3" s="1"/>
  <c r="W17" i="3" s="1"/>
  <c r="W18" i="3" s="1"/>
  <c r="X35" i="3" l="1"/>
  <c r="Y92" i="3"/>
  <c r="W76" i="3"/>
  <c r="W49" i="3"/>
  <c r="W63" i="3" s="1"/>
  <c r="W64" i="3" s="1"/>
  <c r="X58" i="3"/>
  <c r="X59" i="3" s="1"/>
  <c r="V89" i="3"/>
  <c r="X7" i="3"/>
  <c r="X8" i="3" s="1"/>
  <c r="X21" i="3"/>
  <c r="X25" i="3" s="1"/>
  <c r="W77" i="3" l="1"/>
  <c r="Y16" i="3"/>
  <c r="X75" i="3"/>
  <c r="X48" i="3"/>
  <c r="X26" i="3"/>
  <c r="X27" i="3" s="1"/>
  <c r="V88" i="3"/>
  <c r="V70" i="3"/>
  <c r="V80" i="3"/>
  <c r="Y30" i="3"/>
  <c r="W79" i="3" l="1"/>
  <c r="W80" i="3" s="1"/>
  <c r="V81" i="3"/>
  <c r="V85" i="3" s="1"/>
  <c r="W68" i="3"/>
  <c r="V71" i="3"/>
  <c r="X49" i="3"/>
  <c r="X63" i="3" s="1"/>
  <c r="Y5" i="3"/>
  <c r="X62" i="3"/>
  <c r="X38" i="3"/>
  <c r="X11" i="3"/>
  <c r="X15" i="3" s="1"/>
  <c r="X17" i="3" s="1"/>
  <c r="X18" i="3" s="1"/>
  <c r="Y42" i="3" l="1"/>
  <c r="Y41" i="3" s="1"/>
  <c r="Y45" i="3" s="1"/>
  <c r="Y47" i="3" s="1"/>
  <c r="Y74" i="3" s="1"/>
  <c r="Y93" i="3"/>
  <c r="Y97" i="3" s="1"/>
  <c r="V86" i="3"/>
  <c r="W87" i="3" s="1"/>
  <c r="Y6" i="3"/>
  <c r="X64" i="3"/>
  <c r="Y12" i="3"/>
  <c r="X76" i="3"/>
  <c r="X77" i="3" s="1"/>
  <c r="X78" i="3" s="1"/>
  <c r="Y22" i="3"/>
  <c r="W81" i="3"/>
  <c r="W85" i="3" s="1"/>
  <c r="W70" i="3"/>
  <c r="Y31" i="3"/>
  <c r="Y34" i="3" s="1"/>
  <c r="Y21" i="3"/>
  <c r="Y7" i="3"/>
  <c r="Y98" i="3"/>
  <c r="Y99" i="3" s="1"/>
  <c r="Y53" i="3"/>
  <c r="Y52" i="3" s="1"/>
  <c r="Y56" i="3" s="1"/>
  <c r="W89" i="3" l="1"/>
  <c r="Y8" i="3"/>
  <c r="Y36" i="3"/>
  <c r="Z30" i="3" s="1"/>
  <c r="Y35" i="3"/>
  <c r="Z92" i="3"/>
  <c r="W71" i="3"/>
  <c r="Y25" i="3"/>
  <c r="Y26" i="3" s="1"/>
  <c r="W86" i="3"/>
  <c r="Y58" i="3"/>
  <c r="W88" i="3" l="1"/>
  <c r="X79" i="3" s="1"/>
  <c r="Y75" i="3"/>
  <c r="Z16" i="3"/>
  <c r="Y59" i="3"/>
  <c r="Y48" i="3"/>
  <c r="Z5" i="3"/>
  <c r="Y27" i="3"/>
  <c r="Y38" i="3"/>
  <c r="Y11" i="3"/>
  <c r="Y15" i="3" s="1"/>
  <c r="Y17" i="3" s="1"/>
  <c r="Y18" i="3" s="1"/>
  <c r="Z42" i="3" l="1"/>
  <c r="Z93" i="3"/>
  <c r="Z97" i="3" s="1"/>
  <c r="X87" i="3"/>
  <c r="X89" i="3" s="1"/>
  <c r="X80" i="3"/>
  <c r="X81" i="3" s="1"/>
  <c r="X85" i="3" s="1"/>
  <c r="X68" i="3"/>
  <c r="X70" i="3" s="1"/>
  <c r="X71" i="3" s="1"/>
  <c r="Z41" i="3"/>
  <c r="Z45" i="3" s="1"/>
  <c r="Z47" i="3" s="1"/>
  <c r="Z74" i="3" s="1"/>
  <c r="Z6" i="3"/>
  <c r="Y49" i="3"/>
  <c r="Y63" i="3" s="1"/>
  <c r="Z12" i="3"/>
  <c r="Z22" i="3"/>
  <c r="Y62" i="3"/>
  <c r="Y76" i="3"/>
  <c r="Y77" i="3" s="1"/>
  <c r="Y78" i="3" s="1"/>
  <c r="Z31" i="3"/>
  <c r="Z34" i="3" s="1"/>
  <c r="Z36" i="3" s="1"/>
  <c r="Z7" i="3"/>
  <c r="Z98" i="3"/>
  <c r="Z99" i="3" s="1"/>
  <c r="Z53" i="3"/>
  <c r="Z52" i="3" s="1"/>
  <c r="Z56" i="3" s="1"/>
  <c r="X88" i="3" l="1"/>
  <c r="Y79" i="3" s="1"/>
  <c r="X86" i="3"/>
  <c r="Z8" i="3"/>
  <c r="Z35" i="3"/>
  <c r="AA92" i="3"/>
  <c r="Y64" i="3"/>
  <c r="Z21" i="3"/>
  <c r="Z25" i="3" s="1"/>
  <c r="Z26" i="3" s="1"/>
  <c r="Z58" i="3"/>
  <c r="Z59" i="3" s="1"/>
  <c r="AA30" i="3"/>
  <c r="Y87" i="3" l="1"/>
  <c r="Y89" i="3" s="1"/>
  <c r="Y68" i="3"/>
  <c r="Y70" i="3" s="1"/>
  <c r="Z75" i="3"/>
  <c r="AA16" i="3"/>
  <c r="Z48" i="3"/>
  <c r="AA5" i="3"/>
  <c r="Z27" i="3"/>
  <c r="Z62" i="3"/>
  <c r="Y80" i="3"/>
  <c r="Z38" i="3"/>
  <c r="Z11" i="3"/>
  <c r="Z15" i="3" s="1"/>
  <c r="Z17" i="3" s="1"/>
  <c r="Z18" i="3" s="1"/>
  <c r="AA93" i="3" l="1"/>
  <c r="AA97" i="3" s="1"/>
  <c r="AA42" i="3"/>
  <c r="AA41" i="3" s="1"/>
  <c r="AA45" i="3" s="1"/>
  <c r="AA47" i="3" s="1"/>
  <c r="Y88" i="3"/>
  <c r="Y81" i="3"/>
  <c r="Y85" i="3" s="1"/>
  <c r="AA6" i="3"/>
  <c r="Y71" i="3"/>
  <c r="Z49" i="3"/>
  <c r="Z63" i="3" s="1"/>
  <c r="Z64" i="3" s="1"/>
  <c r="AA12" i="3"/>
  <c r="AA58" i="3"/>
  <c r="AA59" i="3" s="1"/>
  <c r="AA22" i="3"/>
  <c r="Z76" i="3"/>
  <c r="Z77" i="3" s="1"/>
  <c r="Z78" i="3" s="1"/>
  <c r="AA31" i="3"/>
  <c r="AA34" i="3" s="1"/>
  <c r="AA36" i="3" s="1"/>
  <c r="AA7" i="3"/>
  <c r="AA98" i="3"/>
  <c r="AA53" i="3"/>
  <c r="AA52" i="3" s="1"/>
  <c r="AA56" i="3" s="1"/>
  <c r="AA74" i="3" l="1"/>
  <c r="AB16" i="3"/>
  <c r="AA99" i="3"/>
  <c r="AB92" i="3"/>
  <c r="Z79" i="3"/>
  <c r="Z68" i="3"/>
  <c r="Y86" i="3"/>
  <c r="Z87" i="3" s="1"/>
  <c r="AA8" i="3"/>
  <c r="AA35" i="3"/>
  <c r="AA48" i="3"/>
  <c r="AA49" i="3" s="1"/>
  <c r="AA21" i="3"/>
  <c r="AA25" i="3" s="1"/>
  <c r="AA26" i="3" s="1"/>
  <c r="AB30" i="3"/>
  <c r="Z89" i="3" l="1"/>
  <c r="AB5" i="3"/>
  <c r="AA27" i="3"/>
  <c r="AA62" i="3"/>
  <c r="Z88" i="3"/>
  <c r="Z80" i="3"/>
  <c r="AA75" i="3"/>
  <c r="Z70" i="3"/>
  <c r="AA63" i="3"/>
  <c r="AA38" i="3"/>
  <c r="AA11" i="3"/>
  <c r="AA15" i="3" s="1"/>
  <c r="AA17" i="3" s="1"/>
  <c r="AA18" i="3" s="1"/>
  <c r="AB93" i="3" l="1"/>
  <c r="AB97" i="3" s="1"/>
  <c r="AB42" i="3"/>
  <c r="AB41" i="3" s="1"/>
  <c r="AB45" i="3" s="1"/>
  <c r="AB47" i="3" s="1"/>
  <c r="Z81" i="3"/>
  <c r="Z85" i="3" s="1"/>
  <c r="AB6" i="3"/>
  <c r="AA68" i="3"/>
  <c r="Z71" i="3"/>
  <c r="AB12" i="3"/>
  <c r="AB58" i="3"/>
  <c r="AB59" i="3" s="1"/>
  <c r="AB22" i="3"/>
  <c r="AA64" i="3"/>
  <c r="AA76" i="3"/>
  <c r="AA77" i="3" s="1"/>
  <c r="AA78" i="3" s="1"/>
  <c r="AB31" i="3"/>
  <c r="AB34" i="3" s="1"/>
  <c r="AB36" i="3" s="1"/>
  <c r="AB7" i="3"/>
  <c r="AB98" i="3"/>
  <c r="AB53" i="3"/>
  <c r="AB52" i="3" s="1"/>
  <c r="AB56" i="3" s="1"/>
  <c r="AB74" i="3" l="1"/>
  <c r="AC16" i="3"/>
  <c r="AB99" i="3"/>
  <c r="AC92" i="3" s="1"/>
  <c r="AA79" i="3"/>
  <c r="Z86" i="3"/>
  <c r="AA87" i="3" s="1"/>
  <c r="AB8" i="3"/>
  <c r="AB35" i="3"/>
  <c r="AB48" i="3"/>
  <c r="AB49" i="3" s="1"/>
  <c r="AB21" i="3"/>
  <c r="AB25" i="3" s="1"/>
  <c r="AB26" i="3" s="1"/>
  <c r="AC30" i="3"/>
  <c r="AB62" i="3"/>
  <c r="AC5" i="3" l="1"/>
  <c r="AB27" i="3"/>
  <c r="AA89" i="3"/>
  <c r="AA88" i="3"/>
  <c r="AA80" i="3"/>
  <c r="AB75" i="3"/>
  <c r="AB63" i="3"/>
  <c r="AB64" i="3" s="1"/>
  <c r="AB38" i="3"/>
  <c r="AC93" i="3" l="1"/>
  <c r="AC97" i="3" s="1"/>
  <c r="AC42" i="3"/>
  <c r="AC41" i="3" s="1"/>
  <c r="AC45" i="3" s="1"/>
  <c r="AC47" i="3" s="1"/>
  <c r="AA81" i="3"/>
  <c r="AA85" i="3" s="1"/>
  <c r="AC6" i="3"/>
  <c r="AC12" i="3"/>
  <c r="AC22" i="3"/>
  <c r="AB76" i="3"/>
  <c r="AB77" i="3" s="1"/>
  <c r="AB78" i="3" s="1"/>
  <c r="AC31" i="3"/>
  <c r="AC34" i="3" s="1"/>
  <c r="AC36" i="3" s="1"/>
  <c r="AA70" i="3"/>
  <c r="AC98" i="3"/>
  <c r="AC53" i="3"/>
  <c r="AC52" i="3" s="1"/>
  <c r="AC56" i="3" s="1"/>
  <c r="AC58" i="3" s="1"/>
  <c r="AC59" i="3" s="1"/>
  <c r="AB11" i="3"/>
  <c r="AB15" i="3" s="1"/>
  <c r="AB17" i="3" s="1"/>
  <c r="AB18" i="3" s="1"/>
  <c r="AC74" i="3" l="1"/>
  <c r="AD16" i="3"/>
  <c r="AC99" i="3"/>
  <c r="AD92" i="3" s="1"/>
  <c r="AB79" i="3"/>
  <c r="AB80" i="3" s="1"/>
  <c r="AA86" i="3"/>
  <c r="AB87" i="3" s="1"/>
  <c r="AC75" i="3"/>
  <c r="AC35" i="3"/>
  <c r="AB68" i="3"/>
  <c r="AB70" i="3" s="1"/>
  <c r="AA71" i="3"/>
  <c r="AC48" i="3"/>
  <c r="AC49" i="3" s="1"/>
  <c r="AC62" i="3"/>
  <c r="AC21" i="3"/>
  <c r="AC25" i="3" s="1"/>
  <c r="AC7" i="3"/>
  <c r="AC8" i="3" s="1"/>
  <c r="AB81" i="3" l="1"/>
  <c r="AB85" i="3" s="1"/>
  <c r="AB71" i="3"/>
  <c r="AC26" i="3"/>
  <c r="AC27" i="3" s="1"/>
  <c r="AD30" i="3"/>
  <c r="AB89" i="3"/>
  <c r="AB88" i="3"/>
  <c r="AC63" i="3"/>
  <c r="AC64" i="3" s="1"/>
  <c r="AC38" i="3"/>
  <c r="AC11" i="3"/>
  <c r="AC15" i="3" s="1"/>
  <c r="AC17" i="3" s="1"/>
  <c r="AC18" i="3" s="1"/>
  <c r="AD42" i="3" l="1"/>
  <c r="AD93" i="3"/>
  <c r="AD97" i="3" s="1"/>
  <c r="AD99" i="3" s="1"/>
  <c r="AC68" i="3"/>
  <c r="AC70" i="3" s="1"/>
  <c r="AD6" i="3"/>
  <c r="AD41" i="3"/>
  <c r="AD45" i="3" s="1"/>
  <c r="AD47" i="3" s="1"/>
  <c r="AD12" i="3"/>
  <c r="AD5" i="3"/>
  <c r="AD22" i="3"/>
  <c r="AC76" i="3"/>
  <c r="AC77" i="3" s="1"/>
  <c r="AC78" i="3" s="1"/>
  <c r="AD31" i="3"/>
  <c r="AD34" i="3" s="1"/>
  <c r="AD36" i="3" s="1"/>
  <c r="AD21" i="3"/>
  <c r="AD7" i="3"/>
  <c r="AD98" i="3"/>
  <c r="AD53" i="3"/>
  <c r="AD52" i="3" s="1"/>
  <c r="AD56" i="3" s="1"/>
  <c r="AD58" i="3" s="1"/>
  <c r="AD59" i="3" s="1"/>
  <c r="AD74" i="3" l="1"/>
  <c r="AE16" i="3"/>
  <c r="AC79" i="3"/>
  <c r="AC80" i="3" s="1"/>
  <c r="AD35" i="3"/>
  <c r="AE92" i="3"/>
  <c r="AC71" i="3"/>
  <c r="AD8" i="3"/>
  <c r="AD48" i="3"/>
  <c r="AD49" i="3" s="1"/>
  <c r="AD25" i="3"/>
  <c r="AD26" i="3" s="1"/>
  <c r="AD27" i="3" s="1"/>
  <c r="AD62" i="3"/>
  <c r="AB86" i="3"/>
  <c r="AC87" i="3" s="1"/>
  <c r="AE30" i="3"/>
  <c r="AC81" i="3" l="1"/>
  <c r="AC85" i="3" s="1"/>
  <c r="AE5" i="3"/>
  <c r="AD75" i="3"/>
  <c r="AD63" i="3"/>
  <c r="AD64" i="3" s="1"/>
  <c r="AD38" i="3"/>
  <c r="AE93" i="3" l="1"/>
  <c r="AE97" i="3" s="1"/>
  <c r="AE42" i="3"/>
  <c r="AE41" i="3"/>
  <c r="AE45" i="3" s="1"/>
  <c r="AE47" i="3" s="1"/>
  <c r="AE6" i="3"/>
  <c r="AE12" i="3"/>
  <c r="AE22" i="3"/>
  <c r="AC89" i="3"/>
  <c r="AC88" i="3"/>
  <c r="AD76" i="3"/>
  <c r="AD77" i="3" s="1"/>
  <c r="AD78" i="3" s="1"/>
  <c r="AC86" i="3"/>
  <c r="AE31" i="3"/>
  <c r="AE34" i="3" s="1"/>
  <c r="AE98" i="3"/>
  <c r="AE53" i="3"/>
  <c r="AE52" i="3" s="1"/>
  <c r="AE56" i="3" s="1"/>
  <c r="AE58" i="3" s="1"/>
  <c r="AE59" i="3" s="1"/>
  <c r="AD11" i="3"/>
  <c r="AD15" i="3" s="1"/>
  <c r="AD17" i="3" s="1"/>
  <c r="AD18" i="3" s="1"/>
  <c r="AE74" i="3" l="1"/>
  <c r="AE75" i="3" s="1"/>
  <c r="AF16" i="3"/>
  <c r="AD87" i="3"/>
  <c r="AE99" i="3"/>
  <c r="AD79" i="3"/>
  <c r="AE36" i="3"/>
  <c r="AE35" i="3"/>
  <c r="AD68" i="3"/>
  <c r="AD70" i="3" s="1"/>
  <c r="AE48" i="3"/>
  <c r="AE49" i="3" s="1"/>
  <c r="AE62" i="3"/>
  <c r="AE21" i="3"/>
  <c r="AE25" i="3" s="1"/>
  <c r="AE7" i="3"/>
  <c r="AE8" i="3" s="1"/>
  <c r="AF92" i="3" l="1"/>
  <c r="AD80" i="3"/>
  <c r="AD71" i="3"/>
  <c r="AE26" i="3"/>
  <c r="AE27" i="3" s="1"/>
  <c r="AD89" i="3"/>
  <c r="AD88" i="3"/>
  <c r="AE63" i="3"/>
  <c r="AE64" i="3" s="1"/>
  <c r="AF30" i="3"/>
  <c r="AE68" i="3" l="1"/>
  <c r="AD81" i="3"/>
  <c r="AD85" i="3" s="1"/>
  <c r="AF5" i="3"/>
  <c r="AE38" i="3"/>
  <c r="AE11" i="3"/>
  <c r="AE15" i="3" s="1"/>
  <c r="AE17" i="3" s="1"/>
  <c r="AE18" i="3" s="1"/>
  <c r="AF93" i="3" l="1"/>
  <c r="AF97" i="3" s="1"/>
  <c r="AF42" i="3"/>
  <c r="AF6" i="3"/>
  <c r="AF41" i="3"/>
  <c r="AF45" i="3" s="1"/>
  <c r="AF47" i="3" s="1"/>
  <c r="AE70" i="3"/>
  <c r="AF12" i="3"/>
  <c r="AF22" i="3"/>
  <c r="AE76" i="3"/>
  <c r="AE77" i="3" s="1"/>
  <c r="AD86" i="3"/>
  <c r="AE87" i="3" s="1"/>
  <c r="AF31" i="3"/>
  <c r="AF34" i="3" s="1"/>
  <c r="AF7" i="3"/>
  <c r="AF21" i="3"/>
  <c r="AF98" i="3"/>
  <c r="AF53" i="3"/>
  <c r="AF52" i="3" s="1"/>
  <c r="AF56" i="3" s="1"/>
  <c r="AF58" i="3" s="1"/>
  <c r="AF74" i="3" l="1"/>
  <c r="AG16" i="3"/>
  <c r="AF8" i="3"/>
  <c r="AF99" i="3"/>
  <c r="AE78" i="3"/>
  <c r="AE79" i="3" s="1"/>
  <c r="AF36" i="3"/>
  <c r="AF35" i="3"/>
  <c r="AE71" i="3"/>
  <c r="AF59" i="3"/>
  <c r="AF62" i="3" s="1"/>
  <c r="AF48" i="3"/>
  <c r="AF49" i="3" s="1"/>
  <c r="AF25" i="3"/>
  <c r="AF26" i="3" s="1"/>
  <c r="AF27" i="3" s="1"/>
  <c r="AG30" i="3"/>
  <c r="AG92" i="3" l="1"/>
  <c r="AG5" i="3"/>
  <c r="AE89" i="3"/>
  <c r="AE88" i="3"/>
  <c r="AF75" i="3"/>
  <c r="AF63" i="3"/>
  <c r="AF64" i="3" s="1"/>
  <c r="AF38" i="3"/>
  <c r="AG93" i="3" l="1"/>
  <c r="AG42" i="3"/>
  <c r="AG41" i="3" s="1"/>
  <c r="AG45" i="3" s="1"/>
  <c r="AG47" i="3" s="1"/>
  <c r="AG97" i="3"/>
  <c r="AG6" i="3"/>
  <c r="AE80" i="3"/>
  <c r="AF68" i="3"/>
  <c r="AF70" i="3" s="1"/>
  <c r="AG12" i="3"/>
  <c r="AG22" i="3"/>
  <c r="AF76" i="3"/>
  <c r="AF77" i="3" s="1"/>
  <c r="AF78" i="3" s="1"/>
  <c r="AG31" i="3"/>
  <c r="AG34" i="3" s="1"/>
  <c r="AG53" i="3"/>
  <c r="AG52" i="3" s="1"/>
  <c r="AG56" i="3" s="1"/>
  <c r="AG58" i="3" s="1"/>
  <c r="AG59" i="3" s="1"/>
  <c r="AF11" i="3"/>
  <c r="AF15" i="3" s="1"/>
  <c r="AF17" i="3" s="1"/>
  <c r="AF18" i="3" s="1"/>
  <c r="AG74" i="3" l="1"/>
  <c r="AH16" i="3"/>
  <c r="AG99" i="3"/>
  <c r="AH92" i="3" s="1"/>
  <c r="AG98" i="3"/>
  <c r="AF79" i="3"/>
  <c r="AE81" i="3"/>
  <c r="AE85" i="3" s="1"/>
  <c r="AG36" i="3"/>
  <c r="AG35" i="3"/>
  <c r="AF71" i="3"/>
  <c r="AG48" i="3"/>
  <c r="AG49" i="3" s="1"/>
  <c r="AG62" i="3"/>
  <c r="AG21" i="3"/>
  <c r="AG25" i="3" s="1"/>
  <c r="AG7" i="3"/>
  <c r="AG8" i="3" s="1"/>
  <c r="AE86" i="3" l="1"/>
  <c r="AF87" i="3" s="1"/>
  <c r="AF88" i="3" s="1"/>
  <c r="AF80" i="3"/>
  <c r="AG26" i="3"/>
  <c r="AG27" i="3" s="1"/>
  <c r="AG75" i="3"/>
  <c r="AG63" i="3"/>
  <c r="AG64" i="3" s="1"/>
  <c r="AG11" i="3"/>
  <c r="AG15" i="3" s="1"/>
  <c r="AG17" i="3" s="1"/>
  <c r="AG18" i="3" s="1"/>
  <c r="AH30" i="3"/>
  <c r="AG68" i="3" l="1"/>
  <c r="AF89" i="3"/>
  <c r="AF81" i="3"/>
  <c r="AF85" i="3" s="1"/>
  <c r="AH5" i="3"/>
  <c r="AH21" i="3"/>
  <c r="AG38" i="3"/>
  <c r="AH6" i="3" s="1"/>
  <c r="AH93" i="3" l="1"/>
  <c r="AH97" i="3" s="1"/>
  <c r="AH42" i="3"/>
  <c r="AH41" i="3" s="1"/>
  <c r="AH45" i="3" s="1"/>
  <c r="AH47" i="3" s="1"/>
  <c r="AH7" i="3"/>
  <c r="AH8" i="3" s="1"/>
  <c r="AF86" i="3"/>
  <c r="AG87" i="3" s="1"/>
  <c r="AG70" i="3"/>
  <c r="AH12" i="3"/>
  <c r="AH58" i="3"/>
  <c r="AH22" i="3"/>
  <c r="AH25" i="3" s="1"/>
  <c r="AH26" i="3" s="1"/>
  <c r="AG88" i="3"/>
  <c r="AG76" i="3"/>
  <c r="AG77" i="3" s="1"/>
  <c r="AH31" i="3"/>
  <c r="AH34" i="3" s="1"/>
  <c r="AH98" i="3"/>
  <c r="AH53" i="3"/>
  <c r="AH52" i="3" s="1"/>
  <c r="AH56" i="3" s="1"/>
  <c r="AH74" i="3" l="1"/>
  <c r="AI16" i="3"/>
  <c r="AH99" i="3"/>
  <c r="AG78" i="3"/>
  <c r="AG79" i="3" s="1"/>
  <c r="AG89" i="3"/>
  <c r="AH36" i="3"/>
  <c r="AH38" i="3" s="1"/>
  <c r="AH35" i="3"/>
  <c r="AH68" i="3"/>
  <c r="AG71" i="3"/>
  <c r="AH59" i="3"/>
  <c r="AH62" i="3" s="1"/>
  <c r="AH48" i="3"/>
  <c r="AH49" i="3" s="1"/>
  <c r="AI5" i="3"/>
  <c r="AH27" i="3"/>
  <c r="AI30" i="3"/>
  <c r="AI93" i="3" l="1"/>
  <c r="AI42" i="3"/>
  <c r="AI41" i="3" s="1"/>
  <c r="AI6" i="3"/>
  <c r="AI92" i="3"/>
  <c r="AI97" i="3" s="1"/>
  <c r="AH75" i="3"/>
  <c r="AH63" i="3"/>
  <c r="AH64" i="3" s="1"/>
  <c r="AH11" i="3"/>
  <c r="AH15" i="3" s="1"/>
  <c r="AH17" i="3" s="1"/>
  <c r="AH18" i="3" s="1"/>
  <c r="AG80" i="3" l="1"/>
  <c r="AH70" i="3"/>
  <c r="AI12" i="3"/>
  <c r="AI45" i="3"/>
  <c r="AI47" i="3" s="1"/>
  <c r="AI74" i="3" s="1"/>
  <c r="AI22" i="3"/>
  <c r="AH76" i="3"/>
  <c r="AH77" i="3" s="1"/>
  <c r="AH78" i="3" s="1"/>
  <c r="AI31" i="3"/>
  <c r="AI34" i="3" s="1"/>
  <c r="AI21" i="3"/>
  <c r="AI7" i="3"/>
  <c r="AI8" i="3" s="1"/>
  <c r="AI98" i="3"/>
  <c r="AI99" i="3" s="1"/>
  <c r="AI53" i="3"/>
  <c r="AH79" i="3" l="1"/>
  <c r="AG81" i="3"/>
  <c r="AG85" i="3" s="1"/>
  <c r="AJ92" i="3"/>
  <c r="AI52" i="3"/>
  <c r="AI56" i="3" s="1"/>
  <c r="AI58" i="3" s="1"/>
  <c r="AI36" i="3"/>
  <c r="AI35" i="3"/>
  <c r="AH71" i="3"/>
  <c r="AI25" i="3"/>
  <c r="AI26" i="3" s="1"/>
  <c r="AI27" i="3" s="1"/>
  <c r="AJ30" i="3"/>
  <c r="AI11" i="3"/>
  <c r="AI15" i="3" s="1"/>
  <c r="AI17" i="3" s="1"/>
  <c r="AI18" i="3" s="1"/>
  <c r="AG86" i="3" l="1"/>
  <c r="AH87" i="3" s="1"/>
  <c r="AH80" i="3"/>
  <c r="AI59" i="3"/>
  <c r="AI62" i="3" s="1"/>
  <c r="AI48" i="3"/>
  <c r="AI49" i="3" s="1"/>
  <c r="AI63" i="3" s="1"/>
  <c r="AI75" i="3"/>
  <c r="AJ16" i="3"/>
  <c r="AJ5" i="3"/>
  <c r="AH88" i="3"/>
  <c r="AI38" i="3"/>
  <c r="AJ93" i="3" l="1"/>
  <c r="AJ97" i="3" s="1"/>
  <c r="AJ42" i="3"/>
  <c r="AI68" i="3"/>
  <c r="AI70" i="3" s="1"/>
  <c r="AH89" i="3"/>
  <c r="AH81" i="3"/>
  <c r="AH85" i="3" s="1"/>
  <c r="AJ6" i="3"/>
  <c r="AI64" i="3"/>
  <c r="AJ41" i="3"/>
  <c r="AJ45" i="3" s="1"/>
  <c r="AJ47" i="3" s="1"/>
  <c r="AJ74" i="3" s="1"/>
  <c r="AJ7" i="3"/>
  <c r="AJ12" i="3"/>
  <c r="AJ22" i="3"/>
  <c r="AJ21" i="3"/>
  <c r="AI76" i="3"/>
  <c r="AI77" i="3" s="1"/>
  <c r="AJ31" i="3"/>
  <c r="AJ34" i="3" s="1"/>
  <c r="AJ53" i="3"/>
  <c r="AJ98" i="3" l="1"/>
  <c r="AJ99" i="3" s="1"/>
  <c r="AK92" i="3" s="1"/>
  <c r="AH86" i="3"/>
  <c r="AI87" i="3" s="1"/>
  <c r="AI78" i="3"/>
  <c r="AI79" i="3" s="1"/>
  <c r="AJ8" i="3"/>
  <c r="AK5" i="3" s="1"/>
  <c r="AJ36" i="3"/>
  <c r="AJ35" i="3"/>
  <c r="AJ52" i="3"/>
  <c r="AJ56" i="3" s="1"/>
  <c r="AJ58" i="3" s="1"/>
  <c r="AJ59" i="3" s="1"/>
  <c r="AJ62" i="3" s="1"/>
  <c r="AI71" i="3"/>
  <c r="AJ25" i="3"/>
  <c r="AJ26" i="3" s="1"/>
  <c r="AJ27" i="3" s="1"/>
  <c r="AI80" i="3" l="1"/>
  <c r="AI81" i="3" s="1"/>
  <c r="AI85" i="3" s="1"/>
  <c r="AK16" i="3"/>
  <c r="AJ75" i="3"/>
  <c r="AJ48" i="3"/>
  <c r="AI89" i="3"/>
  <c r="AI88" i="3"/>
  <c r="AK30" i="3"/>
  <c r="AJ38" i="3"/>
  <c r="AJ11" i="3"/>
  <c r="AJ15" i="3" s="1"/>
  <c r="AJ17" i="3" s="1"/>
  <c r="AJ18" i="3" s="1"/>
  <c r="AK42" i="3" l="1"/>
  <c r="AK93" i="3"/>
  <c r="AK97" i="3" s="1"/>
  <c r="AJ78" i="3"/>
  <c r="AJ68" i="3"/>
  <c r="AJ70" i="3" s="1"/>
  <c r="AI86" i="3"/>
  <c r="AJ87" i="3" s="1"/>
  <c r="AK41" i="3"/>
  <c r="AK45" i="3" s="1"/>
  <c r="AK47" i="3" s="1"/>
  <c r="AK74" i="3" s="1"/>
  <c r="AK6" i="3"/>
  <c r="AJ49" i="3"/>
  <c r="AJ63" i="3" s="1"/>
  <c r="AJ64" i="3" s="1"/>
  <c r="AK12" i="3"/>
  <c r="AK22" i="3"/>
  <c r="AJ76" i="3"/>
  <c r="AJ77" i="3" s="1"/>
  <c r="AJ79" i="3" s="1"/>
  <c r="AK31" i="3"/>
  <c r="AK34" i="3" s="1"/>
  <c r="AK21" i="3"/>
  <c r="AK7" i="3"/>
  <c r="AK98" i="3"/>
  <c r="AK99" i="3" s="1"/>
  <c r="AK53" i="3"/>
  <c r="AL92" i="3" l="1"/>
  <c r="AK8" i="3"/>
  <c r="AK52" i="3"/>
  <c r="AK56" i="3" s="1"/>
  <c r="AK58" i="3" s="1"/>
  <c r="AK36" i="3"/>
  <c r="AK35" i="3"/>
  <c r="AJ71" i="3"/>
  <c r="AK25" i="3"/>
  <c r="AK26" i="3" s="1"/>
  <c r="AK27" i="3" s="1"/>
  <c r="AJ89" i="3"/>
  <c r="AJ88" i="3"/>
  <c r="AJ80" i="3"/>
  <c r="AJ81" i="3" l="1"/>
  <c r="AJ85" i="3" s="1"/>
  <c r="AK68" i="3"/>
  <c r="AK59" i="3"/>
  <c r="AK62" i="3" s="1"/>
  <c r="AL16" i="3"/>
  <c r="AK75" i="3"/>
  <c r="AK48" i="3"/>
  <c r="AL5" i="3"/>
  <c r="AL30" i="3"/>
  <c r="AK38" i="3"/>
  <c r="AK11" i="3"/>
  <c r="AK15" i="3" s="1"/>
  <c r="AK17" i="3" s="1"/>
  <c r="AK18" i="3" s="1"/>
  <c r="AL93" i="3" l="1"/>
  <c r="AL97" i="3" s="1"/>
  <c r="AL98" i="3" s="1"/>
  <c r="AL99" i="3" s="1"/>
  <c r="AL42" i="3"/>
  <c r="AL41" i="3"/>
  <c r="AL45" i="3" s="1"/>
  <c r="AL47" i="3" s="1"/>
  <c r="AL74" i="3" s="1"/>
  <c r="AK70" i="3"/>
  <c r="AK71" i="3" s="1"/>
  <c r="AL6" i="3"/>
  <c r="AK49" i="3"/>
  <c r="AK63" i="3" s="1"/>
  <c r="AK64" i="3" s="1"/>
  <c r="AL12" i="3"/>
  <c r="AL22" i="3"/>
  <c r="AK76" i="3"/>
  <c r="AK77" i="3" s="1"/>
  <c r="AJ86" i="3"/>
  <c r="AK87" i="3" s="1"/>
  <c r="AL31" i="3"/>
  <c r="AL34" i="3" s="1"/>
  <c r="AL21" i="3"/>
  <c r="AL7" i="3"/>
  <c r="AL53" i="3"/>
  <c r="AL52" i="3" s="1"/>
  <c r="AL56" i="3" s="1"/>
  <c r="AK78" i="3" l="1"/>
  <c r="AM92" i="3"/>
  <c r="AL8" i="3"/>
  <c r="AL36" i="3"/>
  <c r="AM30" i="3" s="1"/>
  <c r="AL35" i="3"/>
  <c r="AL25" i="3"/>
  <c r="AL26" i="3" s="1"/>
  <c r="AL27" i="3" s="1"/>
  <c r="AK89" i="3"/>
  <c r="AL58" i="3"/>
  <c r="AK79" i="3" l="1"/>
  <c r="AK80" i="3" s="1"/>
  <c r="AK81" i="3" s="1"/>
  <c r="AK85" i="3" s="1"/>
  <c r="AM16" i="3"/>
  <c r="AL59" i="3"/>
  <c r="AL75" i="3"/>
  <c r="AL48" i="3"/>
  <c r="AL49" i="3" s="1"/>
  <c r="AL63" i="3" s="1"/>
  <c r="AM5" i="3"/>
  <c r="AK88" i="3"/>
  <c r="AL38" i="3"/>
  <c r="AL11" i="3"/>
  <c r="AL15" i="3" s="1"/>
  <c r="AL17" i="3" s="1"/>
  <c r="AL18" i="3" s="1"/>
  <c r="AM93" i="3" l="1"/>
  <c r="AM97" i="3" s="1"/>
  <c r="AM42" i="3"/>
  <c r="AM41" i="3" s="1"/>
  <c r="AM45" i="3" s="1"/>
  <c r="AM47" i="3" s="1"/>
  <c r="AM74" i="3" s="1"/>
  <c r="AK86" i="3"/>
  <c r="AL87" i="3" s="1"/>
  <c r="AL68" i="3"/>
  <c r="AM6" i="3"/>
  <c r="AM12" i="3"/>
  <c r="AM22" i="3"/>
  <c r="AL62" i="3"/>
  <c r="AL64" i="3" s="1"/>
  <c r="AL76" i="3"/>
  <c r="AL77" i="3" s="1"/>
  <c r="AL78" i="3" s="1"/>
  <c r="AM31" i="3"/>
  <c r="AM34" i="3" s="1"/>
  <c r="AM21" i="3"/>
  <c r="AM7" i="3"/>
  <c r="AM98" i="3"/>
  <c r="AM99" i="3" s="1"/>
  <c r="AM53" i="3"/>
  <c r="AM52" i="3" s="1"/>
  <c r="AM56" i="3" s="1"/>
  <c r="AL79" i="3" l="1"/>
  <c r="AL80" i="3" s="1"/>
  <c r="AN92" i="3"/>
  <c r="AM36" i="3"/>
  <c r="AN30" i="3" s="1"/>
  <c r="AM35" i="3"/>
  <c r="AM8" i="3"/>
  <c r="AM25" i="3"/>
  <c r="AM26" i="3" s="1"/>
  <c r="AM27" i="3" s="1"/>
  <c r="AM58" i="3"/>
  <c r="AM59" i="3" s="1"/>
  <c r="AL88" i="3"/>
  <c r="AL89" i="3"/>
  <c r="AM75" i="3" l="1"/>
  <c r="AN16" i="3"/>
  <c r="AM48" i="3"/>
  <c r="AM49" i="3" s="1"/>
  <c r="AM63" i="3" s="1"/>
  <c r="AN5" i="3"/>
  <c r="AM62" i="3"/>
  <c r="AL81" i="3"/>
  <c r="AL85" i="3" s="1"/>
  <c r="AL70" i="3"/>
  <c r="AM38" i="3"/>
  <c r="AM11" i="3"/>
  <c r="AM15" i="3" s="1"/>
  <c r="AM17" i="3" s="1"/>
  <c r="AM18" i="3" s="1"/>
  <c r="AN93" i="3" l="1"/>
  <c r="AN97" i="3" s="1"/>
  <c r="AN98" i="3" s="1"/>
  <c r="AN99" i="3" s="1"/>
  <c r="AN42" i="3"/>
  <c r="AN41" i="3" s="1"/>
  <c r="AN6" i="3"/>
  <c r="AM68" i="3"/>
  <c r="AL71" i="3"/>
  <c r="AN12" i="3"/>
  <c r="AM76" i="3"/>
  <c r="AM77" i="3" s="1"/>
  <c r="AN22" i="3"/>
  <c r="AM64" i="3"/>
  <c r="AL86" i="3"/>
  <c r="AM87" i="3" s="1"/>
  <c r="AN31" i="3"/>
  <c r="AN34" i="3" s="1"/>
  <c r="AN7" i="3"/>
  <c r="AN21" i="3"/>
  <c r="AN53" i="3"/>
  <c r="AN52" i="3" s="1"/>
  <c r="AN56" i="3" s="1"/>
  <c r="AM78" i="3" l="1"/>
  <c r="AM79" i="3" s="1"/>
  <c r="AO92" i="3"/>
  <c r="AN8" i="3"/>
  <c r="AN36" i="3"/>
  <c r="AO30" i="3" s="1"/>
  <c r="AN35" i="3"/>
  <c r="AN45" i="3"/>
  <c r="AN47" i="3" s="1"/>
  <c r="AN74" i="3" s="1"/>
  <c r="AN25" i="3"/>
  <c r="AN26" i="3" s="1"/>
  <c r="AM89" i="3"/>
  <c r="AM88" i="3"/>
  <c r="AM70" i="3"/>
  <c r="AN58" i="3"/>
  <c r="AM80" i="3" l="1"/>
  <c r="AM81" i="3" s="1"/>
  <c r="AM85" i="3" s="1"/>
  <c r="AN68" i="3"/>
  <c r="AM71" i="3"/>
  <c r="AN59" i="3"/>
  <c r="AO5" i="3"/>
  <c r="AN27" i="3"/>
  <c r="AN38" i="3"/>
  <c r="AO42" i="3" l="1"/>
  <c r="AO93" i="3"/>
  <c r="AO97" i="3" s="1"/>
  <c r="AO98" i="3" s="1"/>
  <c r="AO99" i="3" s="1"/>
  <c r="AN78" i="3"/>
  <c r="AM86" i="3"/>
  <c r="AN87" i="3" s="1"/>
  <c r="AO41" i="3"/>
  <c r="AO6" i="3"/>
  <c r="AO16" i="3"/>
  <c r="AN75" i="3"/>
  <c r="AN48" i="3"/>
  <c r="AO12" i="3"/>
  <c r="AO22" i="3"/>
  <c r="AN62" i="3"/>
  <c r="AO31" i="3"/>
  <c r="AO34" i="3" s="1"/>
  <c r="AO36" i="3" s="1"/>
  <c r="AO53" i="3"/>
  <c r="AO52" i="3" s="1"/>
  <c r="AO56" i="3" s="1"/>
  <c r="AN11" i="3"/>
  <c r="AN15" i="3" s="1"/>
  <c r="AN17" i="3" s="1"/>
  <c r="AN18" i="3" s="1"/>
  <c r="AP92" i="3" l="1"/>
  <c r="AN76" i="3"/>
  <c r="AN77" i="3" s="1"/>
  <c r="AN79" i="3" s="1"/>
  <c r="AO35" i="3"/>
  <c r="AN89" i="3"/>
  <c r="AN88" i="3"/>
  <c r="AN49" i="3"/>
  <c r="AN63" i="3" s="1"/>
  <c r="AN64" i="3" s="1"/>
  <c r="AO45" i="3"/>
  <c r="AO47" i="3" s="1"/>
  <c r="AO74" i="3" s="1"/>
  <c r="AN70" i="3"/>
  <c r="AO21" i="3"/>
  <c r="AO25" i="3" s="1"/>
  <c r="AO7" i="3"/>
  <c r="AO8" i="3" s="1"/>
  <c r="AO58" i="3"/>
  <c r="AN80" i="3" l="1"/>
  <c r="AO68" i="3"/>
  <c r="AN71" i="3"/>
  <c r="AO59" i="3"/>
  <c r="AO62" i="3" s="1"/>
  <c r="AO26" i="3"/>
  <c r="AO27" i="3" s="1"/>
  <c r="AP30" i="3"/>
  <c r="AN81" i="3" l="1"/>
  <c r="AO75" i="3"/>
  <c r="AP16" i="3"/>
  <c r="AO48" i="3"/>
  <c r="AO49" i="3" s="1"/>
  <c r="AO63" i="3" s="1"/>
  <c r="AO64" i="3" s="1"/>
  <c r="AP5" i="3"/>
  <c r="AO38" i="3"/>
  <c r="AO11" i="3"/>
  <c r="AO15" i="3" s="1"/>
  <c r="AO17" i="3" s="1"/>
  <c r="AO18" i="3" s="1"/>
  <c r="AP93" i="3" l="1"/>
  <c r="AP97" i="3" s="1"/>
  <c r="AP42" i="3"/>
  <c r="AP41" i="3" s="1"/>
  <c r="AN85" i="3"/>
  <c r="AN86" i="3" s="1"/>
  <c r="AO87" i="3" s="1"/>
  <c r="AP6" i="3"/>
  <c r="AP12" i="3"/>
  <c r="AO76" i="3"/>
  <c r="AP22" i="3"/>
  <c r="AP31" i="3"/>
  <c r="AP34" i="3" s="1"/>
  <c r="AP21" i="3"/>
  <c r="AP7" i="3"/>
  <c r="AP98" i="3"/>
  <c r="AP99" i="3" s="1"/>
  <c r="AP53" i="3"/>
  <c r="AO89" i="3" l="1"/>
  <c r="AO77" i="3"/>
  <c r="AQ92" i="3"/>
  <c r="AP8" i="3"/>
  <c r="AP52" i="3"/>
  <c r="AP56" i="3" s="1"/>
  <c r="AP58" i="3" s="1"/>
  <c r="AP36" i="3"/>
  <c r="AQ30" i="3" s="1"/>
  <c r="AP35" i="3"/>
  <c r="AP45" i="3"/>
  <c r="AP47" i="3" s="1"/>
  <c r="AP74" i="3" s="1"/>
  <c r="AP25" i="3"/>
  <c r="AP26" i="3" s="1"/>
  <c r="AP27" i="3" s="1"/>
  <c r="AO88" i="3"/>
  <c r="AO70" i="3"/>
  <c r="AO78" i="3" l="1"/>
  <c r="AO79" i="3" s="1"/>
  <c r="AO80" i="3" s="1"/>
  <c r="AP59" i="3"/>
  <c r="AP62" i="3" s="1"/>
  <c r="AP68" i="3"/>
  <c r="AO71" i="3"/>
  <c r="AQ5" i="3"/>
  <c r="AP38" i="3"/>
  <c r="AP11" i="3"/>
  <c r="AP15" i="3" s="1"/>
  <c r="AP17" i="3" s="1"/>
  <c r="AP18" i="3" s="1"/>
  <c r="AQ93" i="3" l="1"/>
  <c r="AQ97" i="3" s="1"/>
  <c r="AQ42" i="3"/>
  <c r="AQ41" i="3" s="1"/>
  <c r="AO81" i="3"/>
  <c r="AO85" i="3" s="1"/>
  <c r="AQ6" i="3"/>
  <c r="AQ16" i="3"/>
  <c r="AP75" i="3"/>
  <c r="AP48" i="3"/>
  <c r="AQ12" i="3"/>
  <c r="AQ22" i="3"/>
  <c r="AQ31" i="3"/>
  <c r="AQ34" i="3" s="1"/>
  <c r="AQ21" i="3"/>
  <c r="AQ7" i="3"/>
  <c r="AQ98" i="3"/>
  <c r="AQ99" i="3" s="1"/>
  <c r="AQ53" i="3"/>
  <c r="AQ52" i="3" s="1"/>
  <c r="AQ56" i="3" s="1"/>
  <c r="AO86" i="3" l="1"/>
  <c r="AQ8" i="3"/>
  <c r="AQ36" i="3"/>
  <c r="AR30" i="3" s="1"/>
  <c r="AQ35" i="3"/>
  <c r="AP76" i="3"/>
  <c r="AP77" i="3" s="1"/>
  <c r="AP49" i="3"/>
  <c r="AP63" i="3" s="1"/>
  <c r="AP64" i="3" s="1"/>
  <c r="AR92" i="3"/>
  <c r="AQ45" i="3"/>
  <c r="AQ47" i="3" s="1"/>
  <c r="AQ74" i="3" s="1"/>
  <c r="AQ25" i="3"/>
  <c r="AQ26" i="3" s="1"/>
  <c r="AQ27" i="3" s="1"/>
  <c r="AQ58" i="3"/>
  <c r="AP78" i="3" l="1"/>
  <c r="AP79" i="3" s="1"/>
  <c r="AP87" i="3"/>
  <c r="AP89" i="3" s="1"/>
  <c r="AQ59" i="3"/>
  <c r="AR5" i="3"/>
  <c r="AP70" i="3"/>
  <c r="AQ38" i="3"/>
  <c r="AQ11" i="3"/>
  <c r="AQ15" i="3" s="1"/>
  <c r="AQ17" i="3" s="1"/>
  <c r="AQ18" i="3" s="1"/>
  <c r="AR93" i="3" l="1"/>
  <c r="AR97" i="3" s="1"/>
  <c r="AR98" i="3" s="1"/>
  <c r="AR42" i="3"/>
  <c r="AR41" i="3" s="1"/>
  <c r="AP88" i="3"/>
  <c r="AP80" i="3"/>
  <c r="AR6" i="3"/>
  <c r="AP71" i="3"/>
  <c r="AR16" i="3"/>
  <c r="AQ75" i="3"/>
  <c r="AR12" i="3"/>
  <c r="AQ48" i="3"/>
  <c r="AR22" i="3"/>
  <c r="AQ62" i="3"/>
  <c r="AR31" i="3"/>
  <c r="AR34" i="3" s="1"/>
  <c r="AR21" i="3"/>
  <c r="AR7" i="3"/>
  <c r="AR53" i="3"/>
  <c r="AR52" i="3" s="1"/>
  <c r="AR56" i="3" s="1"/>
  <c r="AR99" i="3" l="1"/>
  <c r="AQ68" i="3"/>
  <c r="AP81" i="3"/>
  <c r="AP85" i="3" s="1"/>
  <c r="AR8" i="3"/>
  <c r="AS92" i="3"/>
  <c r="AR36" i="3"/>
  <c r="AS30" i="3" s="1"/>
  <c r="AR35" i="3"/>
  <c r="AQ76" i="3"/>
  <c r="AQ77" i="3" s="1"/>
  <c r="AQ78" i="3" s="1"/>
  <c r="AQ49" i="3"/>
  <c r="AQ63" i="3" s="1"/>
  <c r="AQ64" i="3" s="1"/>
  <c r="AR45" i="3"/>
  <c r="AR47" i="3" s="1"/>
  <c r="AR74" i="3" s="1"/>
  <c r="AR25" i="3"/>
  <c r="AR26" i="3" s="1"/>
  <c r="AR27" i="3" s="1"/>
  <c r="AR58" i="3"/>
  <c r="AR59" i="3" s="1"/>
  <c r="AQ79" i="3" l="1"/>
  <c r="AP86" i="3"/>
  <c r="AQ87" i="3" s="1"/>
  <c r="AS5" i="3"/>
  <c r="AR62" i="3"/>
  <c r="AQ70" i="3"/>
  <c r="AR38" i="3"/>
  <c r="AR11" i="3"/>
  <c r="AR15" i="3" s="1"/>
  <c r="AR17" i="3" s="1"/>
  <c r="AR18" i="3" s="1"/>
  <c r="AS93" i="3" l="1"/>
  <c r="AS97" i="3" s="1"/>
  <c r="AS42" i="3"/>
  <c r="AS41" i="3" s="1"/>
  <c r="AQ89" i="3"/>
  <c r="AQ88" i="3"/>
  <c r="AQ80" i="3"/>
  <c r="AS6" i="3"/>
  <c r="AQ71" i="3"/>
  <c r="AS16" i="3"/>
  <c r="AR75" i="3"/>
  <c r="AR48" i="3"/>
  <c r="AS12" i="3"/>
  <c r="AS22" i="3"/>
  <c r="AS31" i="3"/>
  <c r="AS34" i="3" s="1"/>
  <c r="AS21" i="3"/>
  <c r="AS7" i="3"/>
  <c r="AS98" i="3"/>
  <c r="AS99" i="3" s="1"/>
  <c r="AS53" i="3"/>
  <c r="AS52" i="3" s="1"/>
  <c r="AS56" i="3" s="1"/>
  <c r="AR68" i="3" l="1"/>
  <c r="AQ81" i="3"/>
  <c r="AQ85" i="3" s="1"/>
  <c r="AT92" i="3"/>
  <c r="AS8" i="3"/>
  <c r="AS36" i="3"/>
  <c r="AT30" i="3" s="1"/>
  <c r="AS35" i="3"/>
  <c r="AR49" i="3"/>
  <c r="AR63" i="3" s="1"/>
  <c r="AR64" i="3" s="1"/>
  <c r="AS45" i="3"/>
  <c r="AS47" i="3" s="1"/>
  <c r="AS74" i="3" s="1"/>
  <c r="AR76" i="3"/>
  <c r="AR77" i="3" s="1"/>
  <c r="AS25" i="3"/>
  <c r="AS26" i="3" s="1"/>
  <c r="AS27" i="3" s="1"/>
  <c r="AS58" i="3"/>
  <c r="AS59" i="3" s="1"/>
  <c r="AQ86" i="3" l="1"/>
  <c r="AR87" i="3" s="1"/>
  <c r="AR78" i="3"/>
  <c r="AR79" i="3" s="1"/>
  <c r="AT5" i="3"/>
  <c r="AS62" i="3"/>
  <c r="AR70" i="3"/>
  <c r="AS38" i="3"/>
  <c r="AT93" i="3" l="1"/>
  <c r="AT97" i="3" s="1"/>
  <c r="AT42" i="3"/>
  <c r="AT41" i="3" s="1"/>
  <c r="AT45" i="3" s="1"/>
  <c r="AT47" i="3" s="1"/>
  <c r="AT74" i="3" s="1"/>
  <c r="AR80" i="3"/>
  <c r="AR81" i="3" s="1"/>
  <c r="AR85" i="3" s="1"/>
  <c r="AR88" i="3"/>
  <c r="AR89" i="3"/>
  <c r="AT6" i="3"/>
  <c r="AR71" i="3"/>
  <c r="AS48" i="3"/>
  <c r="AS49" i="3" s="1"/>
  <c r="AS63" i="3" s="1"/>
  <c r="AS64" i="3" s="1"/>
  <c r="AT16" i="3"/>
  <c r="AS75" i="3"/>
  <c r="AT12" i="3"/>
  <c r="AT22" i="3"/>
  <c r="AT31" i="3"/>
  <c r="AT34" i="3" s="1"/>
  <c r="AT98" i="3"/>
  <c r="AT53" i="3"/>
  <c r="AT52" i="3" s="1"/>
  <c r="AT56" i="3" s="1"/>
  <c r="AS11" i="3"/>
  <c r="AS15" i="3" s="1"/>
  <c r="AS17" i="3" s="1"/>
  <c r="AS18" i="3" s="1"/>
  <c r="AT99" i="3" l="1"/>
  <c r="AS68" i="3"/>
  <c r="AU92" i="3"/>
  <c r="AT36" i="3"/>
  <c r="AT35" i="3"/>
  <c r="AS76" i="3"/>
  <c r="AR86" i="3"/>
  <c r="AS87" i="3" s="1"/>
  <c r="AT21" i="3"/>
  <c r="AT25" i="3" s="1"/>
  <c r="AT7" i="3"/>
  <c r="AT8" i="3" s="1"/>
  <c r="AT58" i="3"/>
  <c r="AS77" i="3" l="1"/>
  <c r="AU16" i="3"/>
  <c r="AT59" i="3"/>
  <c r="AT62" i="3" s="1"/>
  <c r="AT75" i="3"/>
  <c r="AT48" i="3"/>
  <c r="AT26" i="3"/>
  <c r="AT27" i="3" s="1"/>
  <c r="AS89" i="3"/>
  <c r="AU30" i="3"/>
  <c r="AS78" i="3" l="1"/>
  <c r="AS79" i="3" s="1"/>
  <c r="AS80" i="3" s="1"/>
  <c r="AT49" i="3"/>
  <c r="AT63" i="3" s="1"/>
  <c r="AT64" i="3" s="1"/>
  <c r="AU5" i="3"/>
  <c r="AS88" i="3"/>
  <c r="AS70" i="3"/>
  <c r="AT38" i="3"/>
  <c r="AT11" i="3"/>
  <c r="AT15" i="3" s="1"/>
  <c r="AT17" i="3" s="1"/>
  <c r="AT18" i="3" s="1"/>
  <c r="AU93" i="3" l="1"/>
  <c r="AU97" i="3" s="1"/>
  <c r="AU42" i="3"/>
  <c r="AU41" i="3" s="1"/>
  <c r="AU45" i="3" s="1"/>
  <c r="AU47" i="3" s="1"/>
  <c r="AU74" i="3" s="1"/>
  <c r="AS81" i="3"/>
  <c r="AS85" i="3" s="1"/>
  <c r="AU6" i="3"/>
  <c r="AT68" i="3"/>
  <c r="AS71" i="3"/>
  <c r="AU12" i="3"/>
  <c r="AU22" i="3"/>
  <c r="AT76" i="3"/>
  <c r="AT77" i="3" s="1"/>
  <c r="AT78" i="3" s="1"/>
  <c r="AU31" i="3"/>
  <c r="AU34" i="3" s="1"/>
  <c r="AU21" i="3"/>
  <c r="AU7" i="3"/>
  <c r="AU98" i="3"/>
  <c r="AU99" i="3" s="1"/>
  <c r="AU53" i="3"/>
  <c r="AT79" i="3" l="1"/>
  <c r="AV92" i="3"/>
  <c r="AU8" i="3"/>
  <c r="AU36" i="3"/>
  <c r="AV30" i="3" s="1"/>
  <c r="AU35" i="3"/>
  <c r="AU52" i="3"/>
  <c r="AU56" i="3" s="1"/>
  <c r="AU58" i="3" s="1"/>
  <c r="AU25" i="3"/>
  <c r="AU26" i="3" s="1"/>
  <c r="AU27" i="3" s="1"/>
  <c r="AS86" i="3"/>
  <c r="AT87" i="3" s="1"/>
  <c r="AU59" i="3" l="1"/>
  <c r="AU62" i="3" s="1"/>
  <c r="AV16" i="3"/>
  <c r="AU75" i="3"/>
  <c r="AU48" i="3"/>
  <c r="AU49" i="3" s="1"/>
  <c r="AU63" i="3" s="1"/>
  <c r="AV5" i="3"/>
  <c r="AT89" i="3"/>
  <c r="AU38" i="3"/>
  <c r="AU11" i="3"/>
  <c r="AU15" i="3" s="1"/>
  <c r="AU17" i="3" s="1"/>
  <c r="AU18" i="3" s="1"/>
  <c r="AV93" i="3" l="1"/>
  <c r="AV97" i="3" s="1"/>
  <c r="AV42" i="3"/>
  <c r="AV41" i="3" s="1"/>
  <c r="AV45" i="3" s="1"/>
  <c r="AV47" i="3" s="1"/>
  <c r="AV74" i="3" s="1"/>
  <c r="AV6" i="3"/>
  <c r="AV12" i="3"/>
  <c r="AV22" i="3"/>
  <c r="AU64" i="3"/>
  <c r="AT88" i="3"/>
  <c r="AU76" i="3"/>
  <c r="AU77" i="3" s="1"/>
  <c r="AU78" i="3" s="1"/>
  <c r="AT70" i="3"/>
  <c r="AT80" i="3"/>
  <c r="AV31" i="3"/>
  <c r="AV34" i="3" s="1"/>
  <c r="AV7" i="3"/>
  <c r="AV98" i="3"/>
  <c r="AV99" i="3" s="1"/>
  <c r="AV53" i="3"/>
  <c r="AU79" i="3" l="1"/>
  <c r="AT81" i="3"/>
  <c r="AT85" i="3" s="1"/>
  <c r="AW92" i="3"/>
  <c r="AV8" i="3"/>
  <c r="AV36" i="3"/>
  <c r="AW30" i="3" s="1"/>
  <c r="AV35" i="3"/>
  <c r="AV52" i="3"/>
  <c r="AV56" i="3" s="1"/>
  <c r="AV58" i="3" s="1"/>
  <c r="AV59" i="3" s="1"/>
  <c r="AU68" i="3"/>
  <c r="AT71" i="3"/>
  <c r="AV21" i="3"/>
  <c r="AV25" i="3" s="1"/>
  <c r="AV26" i="3" s="1"/>
  <c r="AT86" i="3" l="1"/>
  <c r="AU87" i="3" s="1"/>
  <c r="AW16" i="3"/>
  <c r="AV75" i="3"/>
  <c r="AV48" i="3"/>
  <c r="AV49" i="3" s="1"/>
  <c r="AV63" i="3" s="1"/>
  <c r="AW5" i="3"/>
  <c r="AV27" i="3"/>
  <c r="AV62" i="3"/>
  <c r="AU80" i="3"/>
  <c r="AU70" i="3"/>
  <c r="AV38" i="3"/>
  <c r="AW93" i="3" l="1"/>
  <c r="AW97" i="3" s="1"/>
  <c r="AW98" i="3" s="1"/>
  <c r="AW42" i="3"/>
  <c r="AW41" i="3" s="1"/>
  <c r="AW45" i="3" s="1"/>
  <c r="AW47" i="3" s="1"/>
  <c r="AW74" i="3" s="1"/>
  <c r="AU89" i="3"/>
  <c r="AU81" i="3"/>
  <c r="AU85" i="3" s="1"/>
  <c r="AW6" i="3"/>
  <c r="AU71" i="3"/>
  <c r="AW12" i="3"/>
  <c r="AW22" i="3"/>
  <c r="AV64" i="3"/>
  <c r="AV76" i="3"/>
  <c r="AV77" i="3" s="1"/>
  <c r="AV78" i="3" s="1"/>
  <c r="AW31" i="3"/>
  <c r="AW34" i="3" s="1"/>
  <c r="AW36" i="3" s="1"/>
  <c r="AW53" i="3"/>
  <c r="AV11" i="3"/>
  <c r="AV15" i="3" s="1"/>
  <c r="AV17" i="3" s="1"/>
  <c r="AV18" i="3" s="1"/>
  <c r="AW99" i="3" l="1"/>
  <c r="AU88" i="3"/>
  <c r="AV79" i="3" s="1"/>
  <c r="AU86" i="3"/>
  <c r="AX92" i="3"/>
  <c r="AW35" i="3"/>
  <c r="AW52" i="3"/>
  <c r="AW56" i="3" s="1"/>
  <c r="AW58" i="3" s="1"/>
  <c r="AW59" i="3" s="1"/>
  <c r="AW62" i="3" s="1"/>
  <c r="AW21" i="3"/>
  <c r="AW25" i="3" s="1"/>
  <c r="AW7" i="3"/>
  <c r="AW8" i="3" s="1"/>
  <c r="AV87" i="3" l="1"/>
  <c r="AV89" i="3" s="1"/>
  <c r="AV68" i="3"/>
  <c r="AV70" i="3" s="1"/>
  <c r="AW48" i="3"/>
  <c r="AW49" i="3" s="1"/>
  <c r="AW63" i="3" s="1"/>
  <c r="AW64" i="3" s="1"/>
  <c r="AX16" i="3"/>
  <c r="AW75" i="3"/>
  <c r="AW26" i="3"/>
  <c r="AW27" i="3" s="1"/>
  <c r="AV80" i="3"/>
  <c r="AX30" i="3"/>
  <c r="AV88" i="3" l="1"/>
  <c r="AV81" i="3"/>
  <c r="AV85" i="3" s="1"/>
  <c r="AV71" i="3"/>
  <c r="AX5" i="3"/>
  <c r="AW38" i="3"/>
  <c r="AW11" i="3"/>
  <c r="AW15" i="3" s="1"/>
  <c r="AW17" i="3" s="1"/>
  <c r="AW18" i="3" s="1"/>
  <c r="AX93" i="3" l="1"/>
  <c r="AX97" i="3" s="1"/>
  <c r="AX42" i="3"/>
  <c r="AX41" i="3" s="1"/>
  <c r="AX45" i="3" s="1"/>
  <c r="AX47" i="3" s="1"/>
  <c r="AX74" i="3" s="1"/>
  <c r="AW68" i="3"/>
  <c r="AV86" i="3"/>
  <c r="AW87" i="3" s="1"/>
  <c r="AX6" i="3"/>
  <c r="AX12" i="3"/>
  <c r="AW76" i="3"/>
  <c r="AW77" i="3" s="1"/>
  <c r="AW78" i="3" s="1"/>
  <c r="AX22" i="3"/>
  <c r="AX31" i="3"/>
  <c r="AX34" i="3" s="1"/>
  <c r="AX21" i="3"/>
  <c r="AX7" i="3"/>
  <c r="AX98" i="3"/>
  <c r="AX99" i="3" s="1"/>
  <c r="AX53" i="3"/>
  <c r="AW79" i="3" l="1"/>
  <c r="AW89" i="3"/>
  <c r="AY92" i="3"/>
  <c r="AX8" i="3"/>
  <c r="AX52" i="3"/>
  <c r="AX56" i="3" s="1"/>
  <c r="AX58" i="3" s="1"/>
  <c r="AX36" i="3"/>
  <c r="AY30" i="3" s="1"/>
  <c r="AX35" i="3"/>
  <c r="AX25" i="3"/>
  <c r="AX26" i="3" s="1"/>
  <c r="AW70" i="3"/>
  <c r="AW88" i="3" l="1"/>
  <c r="AW80" i="3"/>
  <c r="AX59" i="3"/>
  <c r="AX62" i="3" s="1"/>
  <c r="AW71" i="3"/>
  <c r="AY16" i="3"/>
  <c r="AX75" i="3"/>
  <c r="AX48" i="3"/>
  <c r="AY5" i="3"/>
  <c r="AX27" i="3"/>
  <c r="AX38" i="3"/>
  <c r="AX11" i="3"/>
  <c r="AX15" i="3" s="1"/>
  <c r="AX17" i="3" s="1"/>
  <c r="AX18" i="3" s="1"/>
  <c r="AY93" i="3" l="1"/>
  <c r="AY97" i="3" s="1"/>
  <c r="AY99" i="3" s="1"/>
  <c r="AY42" i="3"/>
  <c r="AY47" i="3"/>
  <c r="AY74" i="3" s="1"/>
  <c r="AX68" i="3"/>
  <c r="AW81" i="3"/>
  <c r="AW85" i="3" s="1"/>
  <c r="AY6" i="3"/>
  <c r="AY41" i="3"/>
  <c r="AY45" i="3" s="1"/>
  <c r="AX49" i="3"/>
  <c r="AX63" i="3" s="1"/>
  <c r="AX64" i="3" s="1"/>
  <c r="AY12" i="3"/>
  <c r="AY58" i="3"/>
  <c r="AY59" i="3" s="1"/>
  <c r="AY22" i="3"/>
  <c r="AX76" i="3"/>
  <c r="AX77" i="3" s="1"/>
  <c r="AX78" i="3" s="1"/>
  <c r="AY31" i="3"/>
  <c r="AY34" i="3" s="1"/>
  <c r="AY36" i="3" s="1"/>
  <c r="AY21" i="3"/>
  <c r="AY7" i="3"/>
  <c r="AY98" i="3"/>
  <c r="AY53" i="3"/>
  <c r="AY52" i="3" s="1"/>
  <c r="AY56" i="3" s="1"/>
  <c r="AZ16" i="3" l="1"/>
  <c r="AX79" i="3"/>
  <c r="AW86" i="3"/>
  <c r="AX87" i="3" s="1"/>
  <c r="AZ92" i="3"/>
  <c r="AY35" i="3"/>
  <c r="AY8" i="3"/>
  <c r="AY48" i="3"/>
  <c r="AY49" i="3" s="1"/>
  <c r="AY25" i="3"/>
  <c r="AY26" i="3" s="1"/>
  <c r="AY27" i="3" s="1"/>
  <c r="AY62" i="3"/>
  <c r="AZ30" i="3"/>
  <c r="AX89" i="3" l="1"/>
  <c r="AX80" i="3"/>
  <c r="AZ5" i="3"/>
  <c r="AX70" i="3"/>
  <c r="AY75" i="3"/>
  <c r="AY63" i="3"/>
  <c r="AY64" i="3" s="1"/>
  <c r="AY38" i="3"/>
  <c r="AY11" i="3"/>
  <c r="AY15" i="3" s="1"/>
  <c r="AY17" i="3" s="1"/>
  <c r="AY18" i="3" s="1"/>
  <c r="AZ93" i="3" l="1"/>
  <c r="AZ97" i="3" s="1"/>
  <c r="AZ99" i="3" s="1"/>
  <c r="AZ42" i="3"/>
  <c r="AZ47" i="3"/>
  <c r="AZ74" i="3" s="1"/>
  <c r="AX88" i="3"/>
  <c r="AX81" i="3"/>
  <c r="AX85" i="3" s="1"/>
  <c r="AZ41" i="3"/>
  <c r="AZ45" i="3" s="1"/>
  <c r="AZ6" i="3"/>
  <c r="AX71" i="3"/>
  <c r="AZ12" i="3"/>
  <c r="AZ58" i="3"/>
  <c r="AZ59" i="3" s="1"/>
  <c r="AZ22" i="3"/>
  <c r="AY76" i="3"/>
  <c r="AY77" i="3" s="1"/>
  <c r="AY78" i="3" s="1"/>
  <c r="AZ31" i="3"/>
  <c r="AZ34" i="3" s="1"/>
  <c r="AZ21" i="3"/>
  <c r="AZ7" i="3"/>
  <c r="AZ98" i="3"/>
  <c r="AZ53" i="3"/>
  <c r="AZ52" i="3" s="1"/>
  <c r="AZ56" i="3" s="1"/>
  <c r="AY79" i="3" l="1"/>
  <c r="AY68" i="3"/>
  <c r="AX86" i="3"/>
  <c r="AY87" i="3" s="1"/>
  <c r="BA92" i="3"/>
  <c r="AZ8" i="3"/>
  <c r="BA16" i="3"/>
  <c r="AZ36" i="3"/>
  <c r="BA30" i="3" s="1"/>
  <c r="AZ35" i="3"/>
  <c r="AZ48" i="3"/>
  <c r="AZ49" i="3" s="1"/>
  <c r="AZ25" i="3"/>
  <c r="AZ26" i="3" s="1"/>
  <c r="AZ27" i="3" s="1"/>
  <c r="AZ62" i="3"/>
  <c r="BA5" i="3" l="1"/>
  <c r="AY89" i="3"/>
  <c r="AY88" i="3"/>
  <c r="AY80" i="3"/>
  <c r="AZ75" i="3"/>
  <c r="AZ63" i="3"/>
  <c r="AZ64" i="3" s="1"/>
  <c r="AZ11" i="3"/>
  <c r="AZ15" i="3" s="1"/>
  <c r="AZ17" i="3" s="1"/>
  <c r="AZ18" i="3" s="1"/>
  <c r="AZ38" i="3"/>
  <c r="BA47" i="3" l="1"/>
  <c r="BA74" i="3" s="1"/>
  <c r="BA42" i="3"/>
  <c r="BA41" i="3" s="1"/>
  <c r="BA45" i="3" s="1"/>
  <c r="BA93" i="3"/>
  <c r="BA97" i="3" s="1"/>
  <c r="BA99" i="3" s="1"/>
  <c r="AY81" i="3"/>
  <c r="AY85" i="3" s="1"/>
  <c r="BA6" i="3"/>
  <c r="BA12" i="3"/>
  <c r="BA58" i="3"/>
  <c r="BA59" i="3" s="1"/>
  <c r="BA22" i="3"/>
  <c r="AZ76" i="3"/>
  <c r="AZ77" i="3" s="1"/>
  <c r="AZ78" i="3" s="1"/>
  <c r="BA31" i="3"/>
  <c r="BA34" i="3" s="1"/>
  <c r="BA21" i="3"/>
  <c r="BA7" i="3"/>
  <c r="BA98" i="3"/>
  <c r="BA53" i="3"/>
  <c r="BA52" i="3" s="1"/>
  <c r="BA56" i="3" s="1"/>
  <c r="BB16" i="3" l="1"/>
  <c r="AZ79" i="3"/>
  <c r="AZ80" i="3" s="1"/>
  <c r="AY86" i="3"/>
  <c r="AZ87" i="3" s="1"/>
  <c r="BA8" i="3"/>
  <c r="BB92" i="3"/>
  <c r="BA36" i="3"/>
  <c r="BB30" i="3" s="1"/>
  <c r="BA35" i="3"/>
  <c r="BA48" i="3"/>
  <c r="BA49" i="3" s="1"/>
  <c r="BA25" i="3"/>
  <c r="BA26" i="3" s="1"/>
  <c r="BA27" i="3" s="1"/>
  <c r="BA62" i="3"/>
  <c r="AY70" i="3"/>
  <c r="AZ81" i="3" l="1"/>
  <c r="AZ85" i="3" s="1"/>
  <c r="AZ68" i="3"/>
  <c r="AZ70" i="3" s="1"/>
  <c r="AY71" i="3"/>
  <c r="BB5" i="3"/>
  <c r="AZ89" i="3"/>
  <c r="AZ88" i="3"/>
  <c r="BA75" i="3"/>
  <c r="BA63" i="3"/>
  <c r="BA64" i="3" s="1"/>
  <c r="BA38" i="3"/>
  <c r="BB93" i="3" l="1"/>
  <c r="BB97" i="3" s="1"/>
  <c r="BB99" i="3" s="1"/>
  <c r="BB47" i="3"/>
  <c r="BB74" i="3" s="1"/>
  <c r="BB42" i="3"/>
  <c r="BB41" i="3" s="1"/>
  <c r="BB45" i="3" s="1"/>
  <c r="BC16" i="3"/>
  <c r="BB6" i="3"/>
  <c r="BA68" i="3"/>
  <c r="AZ71" i="3"/>
  <c r="BB12" i="3"/>
  <c r="BB58" i="3"/>
  <c r="BB59" i="3" s="1"/>
  <c r="BB22" i="3"/>
  <c r="BA76" i="3"/>
  <c r="BA77" i="3" s="1"/>
  <c r="BA78" i="3" s="1"/>
  <c r="AZ86" i="3"/>
  <c r="BA87" i="3" s="1"/>
  <c r="BB31" i="3"/>
  <c r="BB34" i="3" s="1"/>
  <c r="BB98" i="3"/>
  <c r="BB53" i="3"/>
  <c r="BB52" i="3" s="1"/>
  <c r="BB56" i="3" s="1"/>
  <c r="BA11" i="3"/>
  <c r="BA15" i="3" s="1"/>
  <c r="BA17" i="3" s="1"/>
  <c r="BA18" i="3" s="1"/>
  <c r="BA79" i="3" l="1"/>
  <c r="BA80" i="3" s="1"/>
  <c r="BC92" i="3"/>
  <c r="BB36" i="3"/>
  <c r="BB35" i="3"/>
  <c r="BB48" i="3"/>
  <c r="BB49" i="3" s="1"/>
  <c r="BB62" i="3"/>
  <c r="BA70" i="3"/>
  <c r="BB21" i="3"/>
  <c r="BB25" i="3" s="1"/>
  <c r="BB7" i="3"/>
  <c r="BB8" i="3" s="1"/>
  <c r="BA81" i="3" l="1"/>
  <c r="BA85" i="3" s="1"/>
  <c r="BA71" i="3"/>
  <c r="BB26" i="3"/>
  <c r="BB27" i="3" s="1"/>
  <c r="BA89" i="3"/>
  <c r="BA88" i="3"/>
  <c r="BB75" i="3"/>
  <c r="BB63" i="3"/>
  <c r="BB64" i="3" s="1"/>
  <c r="BC30" i="3"/>
  <c r="BB68" i="3" l="1"/>
  <c r="BC5" i="3"/>
  <c r="BB11" i="3"/>
  <c r="BB15" i="3" s="1"/>
  <c r="BB17" i="3" s="1"/>
  <c r="BB18" i="3" s="1"/>
  <c r="BB38" i="3"/>
  <c r="BC93" i="3" l="1"/>
  <c r="BC97" i="3" s="1"/>
  <c r="BC99" i="3" s="1"/>
  <c r="BC42" i="3"/>
  <c r="BC41" i="3" s="1"/>
  <c r="BC45" i="3" s="1"/>
  <c r="BC47" i="3"/>
  <c r="BC74" i="3" s="1"/>
  <c r="BC6" i="3"/>
  <c r="BC12" i="3"/>
  <c r="BC58" i="3"/>
  <c r="BC22" i="3"/>
  <c r="BB76" i="3"/>
  <c r="BB77" i="3" s="1"/>
  <c r="BA86" i="3"/>
  <c r="BB87" i="3" s="1"/>
  <c r="BC31" i="3"/>
  <c r="BC34" i="3" s="1"/>
  <c r="BB70" i="3"/>
  <c r="BC21" i="3"/>
  <c r="BC7" i="3"/>
  <c r="BC98" i="3"/>
  <c r="BC53" i="3"/>
  <c r="BC52" i="3" s="1"/>
  <c r="BC56" i="3" s="1"/>
  <c r="BD16" i="3" l="1"/>
  <c r="BB78" i="3"/>
  <c r="BB79" i="3" s="1"/>
  <c r="BC8" i="3"/>
  <c r="BC75" i="3"/>
  <c r="BC36" i="3"/>
  <c r="BD30" i="3" s="1"/>
  <c r="BC35" i="3"/>
  <c r="BB71" i="3"/>
  <c r="BC59" i="3"/>
  <c r="BC62" i="3" s="1"/>
  <c r="BC48" i="3"/>
  <c r="BC49" i="3" s="1"/>
  <c r="BC25" i="3"/>
  <c r="BC26" i="3" s="1"/>
  <c r="BC27" i="3" s="1"/>
  <c r="BD92" i="3" l="1"/>
  <c r="BD5" i="3"/>
  <c r="BB89" i="3"/>
  <c r="BB88" i="3"/>
  <c r="BC63" i="3"/>
  <c r="BC64" i="3" s="1"/>
  <c r="BC38" i="3"/>
  <c r="BC11" i="3"/>
  <c r="BC15" i="3" s="1"/>
  <c r="BC17" i="3" s="1"/>
  <c r="BC18" i="3" s="1"/>
  <c r="BD93" i="3" l="1"/>
  <c r="BD42" i="3"/>
  <c r="BD47" i="3"/>
  <c r="BD74" i="3" s="1"/>
  <c r="BD97" i="3"/>
  <c r="BD99" i="3" s="1"/>
  <c r="BC68" i="3"/>
  <c r="BC70" i="3" s="1"/>
  <c r="BB80" i="3"/>
  <c r="BD41" i="3"/>
  <c r="BD45" i="3" s="1"/>
  <c r="BD6" i="3"/>
  <c r="BD12" i="3"/>
  <c r="BD58" i="3"/>
  <c r="BD59" i="3" s="1"/>
  <c r="BD22" i="3"/>
  <c r="BC76" i="3"/>
  <c r="BC77" i="3" s="1"/>
  <c r="BC78" i="3" s="1"/>
  <c r="BD31" i="3"/>
  <c r="BD34" i="3" s="1"/>
  <c r="BD21" i="3"/>
  <c r="BD7" i="3"/>
  <c r="BD98" i="3"/>
  <c r="BD53" i="3"/>
  <c r="BD52" i="3" s="1"/>
  <c r="BD56" i="3" s="1"/>
  <c r="BE16" i="3" l="1"/>
  <c r="BC79" i="3"/>
  <c r="BB81" i="3"/>
  <c r="BB85" i="3" s="1"/>
  <c r="BD8" i="3"/>
  <c r="BD36" i="3"/>
  <c r="BE30" i="3" s="1"/>
  <c r="BD35" i="3"/>
  <c r="BC71" i="3"/>
  <c r="BD48" i="3"/>
  <c r="BD49" i="3" s="1"/>
  <c r="BD25" i="3"/>
  <c r="BD26" i="3" s="1"/>
  <c r="BD27" i="3" s="1"/>
  <c r="BD62" i="3"/>
  <c r="BB86" i="3" l="1"/>
  <c r="BC87" i="3" s="1"/>
  <c r="BE92" i="3"/>
  <c r="BE5" i="3"/>
  <c r="BC88" i="3"/>
  <c r="BD75" i="3"/>
  <c r="BD63" i="3"/>
  <c r="BD64" i="3" s="1"/>
  <c r="BD38" i="3"/>
  <c r="BE93" i="3" l="1"/>
  <c r="BE42" i="3"/>
  <c r="BE97" i="3"/>
  <c r="BE99" i="3" s="1"/>
  <c r="BD68" i="3"/>
  <c r="BD70" i="3" s="1"/>
  <c r="BC89" i="3"/>
  <c r="BC80" i="3"/>
  <c r="BE41" i="3"/>
  <c r="BE45" i="3" s="1"/>
  <c r="BE47" i="3" s="1"/>
  <c r="BE6" i="3"/>
  <c r="BE12" i="3"/>
  <c r="BE58" i="3"/>
  <c r="BE59" i="3" s="1"/>
  <c r="BE22" i="3"/>
  <c r="BD76" i="3"/>
  <c r="BD77" i="3" s="1"/>
  <c r="BD78" i="3" s="1"/>
  <c r="BE31" i="3"/>
  <c r="BE34" i="3" s="1"/>
  <c r="BE98" i="3"/>
  <c r="BE53" i="3"/>
  <c r="BE52" i="3" s="1"/>
  <c r="BE56" i="3" s="1"/>
  <c r="BE74" i="3" l="1"/>
  <c r="BF16" i="3"/>
  <c r="BD79" i="3"/>
  <c r="BC81" i="3"/>
  <c r="BC85" i="3" s="1"/>
  <c r="BF92" i="3"/>
  <c r="BE36" i="3"/>
  <c r="BE35" i="3"/>
  <c r="BD71" i="3"/>
  <c r="BE48" i="3"/>
  <c r="BE49" i="3" s="1"/>
  <c r="BE62" i="3"/>
  <c r="BD11" i="3"/>
  <c r="BD15" i="3" s="1"/>
  <c r="BD17" i="3" s="1"/>
  <c r="BD18" i="3" s="1"/>
  <c r="BC86" i="3" l="1"/>
  <c r="BD87" i="3" s="1"/>
  <c r="BD80" i="3"/>
  <c r="BD88" i="3"/>
  <c r="BE75" i="3"/>
  <c r="BE7" i="3"/>
  <c r="BE8" i="3" s="1"/>
  <c r="BE63" i="3"/>
  <c r="BE64" i="3" s="1"/>
  <c r="BE21" i="3"/>
  <c r="BE25" i="3" s="1"/>
  <c r="BE68" i="3" l="1"/>
  <c r="BD89" i="3"/>
  <c r="BD81" i="3"/>
  <c r="BD85" i="3" s="1"/>
  <c r="BE26" i="3"/>
  <c r="BE27" i="3" s="1"/>
  <c r="BF30" i="3"/>
  <c r="BD86" i="3" l="1"/>
  <c r="BE87" i="3" s="1"/>
  <c r="BF5" i="3"/>
  <c r="BE38" i="3"/>
  <c r="BE11" i="3"/>
  <c r="BE15" i="3" s="1"/>
  <c r="BE17" i="3" s="1"/>
  <c r="BE18" i="3" s="1"/>
  <c r="BF93" i="3" l="1"/>
  <c r="BF97" i="3" s="1"/>
  <c r="BF42" i="3"/>
  <c r="BF41" i="3"/>
  <c r="BF45" i="3" s="1"/>
  <c r="BF47" i="3" s="1"/>
  <c r="BF6" i="3"/>
  <c r="BE70" i="3"/>
  <c r="BF12" i="3"/>
  <c r="BF22" i="3"/>
  <c r="BE89" i="3"/>
  <c r="BE88" i="3"/>
  <c r="BE76" i="3"/>
  <c r="BF31" i="3"/>
  <c r="BF34" i="3" s="1"/>
  <c r="BF7" i="3"/>
  <c r="BF21" i="3"/>
  <c r="BF98" i="3"/>
  <c r="BF53" i="3"/>
  <c r="BF52" i="3" s="1"/>
  <c r="BF56" i="3" s="1"/>
  <c r="BF58" i="3" s="1"/>
  <c r="BF74" i="3" l="1"/>
  <c r="BG16" i="3"/>
  <c r="BF99" i="3"/>
  <c r="BG92" i="3" s="1"/>
  <c r="BE77" i="3"/>
  <c r="BF8" i="3"/>
  <c r="BF36" i="3"/>
  <c r="BG30" i="3" s="1"/>
  <c r="BF35" i="3"/>
  <c r="BF68" i="3"/>
  <c r="BE71" i="3"/>
  <c r="BF59" i="3"/>
  <c r="BF48" i="3"/>
  <c r="BF49" i="3" s="1"/>
  <c r="BF25" i="3"/>
  <c r="BF26" i="3" s="1"/>
  <c r="BF27" i="3" s="1"/>
  <c r="BE78" i="3" l="1"/>
  <c r="BG5" i="3"/>
  <c r="BF62" i="3"/>
  <c r="BF75" i="3"/>
  <c r="BF63" i="3"/>
  <c r="BF38" i="3"/>
  <c r="BG93" i="3" l="1"/>
  <c r="BG97" i="3" s="1"/>
  <c r="BG42" i="3"/>
  <c r="BE79" i="3"/>
  <c r="BE80" i="3" s="1"/>
  <c r="BG41" i="3"/>
  <c r="BG45" i="3" s="1"/>
  <c r="BG47" i="3" s="1"/>
  <c r="BG74" i="3" s="1"/>
  <c r="BG6" i="3"/>
  <c r="BF70" i="3"/>
  <c r="BG12" i="3"/>
  <c r="BG22" i="3"/>
  <c r="BF64" i="3"/>
  <c r="BF76" i="3"/>
  <c r="BF77" i="3" s="1"/>
  <c r="BF78" i="3" s="1"/>
  <c r="BG31" i="3"/>
  <c r="BG34" i="3" s="1"/>
  <c r="BG98" i="3"/>
  <c r="BG53" i="3"/>
  <c r="BG52" i="3" s="1"/>
  <c r="BG56" i="3" s="1"/>
  <c r="BG58" i="3" s="1"/>
  <c r="BG59" i="3" s="1"/>
  <c r="BG99" i="3" l="1"/>
  <c r="BH92" i="3" s="1"/>
  <c r="BF79" i="3"/>
  <c r="BE81" i="3"/>
  <c r="BE85" i="3" s="1"/>
  <c r="BE86" i="3" s="1"/>
  <c r="BF87" i="3" s="1"/>
  <c r="BF88" i="3" s="1"/>
  <c r="BG68" i="3" s="1"/>
  <c r="BH16" i="3"/>
  <c r="BG75" i="3"/>
  <c r="BG36" i="3"/>
  <c r="BG35" i="3"/>
  <c r="BF71" i="3"/>
  <c r="BG48" i="3"/>
  <c r="BG49" i="3" s="1"/>
  <c r="BF11" i="3"/>
  <c r="BF15" i="3" s="1"/>
  <c r="BF17" i="3" s="1"/>
  <c r="BF18" i="3" s="1"/>
  <c r="BF89" i="3" l="1"/>
  <c r="BG62" i="3"/>
  <c r="BF80" i="3"/>
  <c r="BG7" i="3"/>
  <c r="BG8" i="3" s="1"/>
  <c r="BG63" i="3"/>
  <c r="BG21" i="3"/>
  <c r="BG25" i="3" s="1"/>
  <c r="BF81" i="3" l="1"/>
  <c r="BF85" i="3" s="1"/>
  <c r="BG26" i="3"/>
  <c r="BG27" i="3" s="1"/>
  <c r="BG64" i="3"/>
  <c r="BH30" i="3"/>
  <c r="BF86" i="3" l="1"/>
  <c r="BG87" i="3" s="1"/>
  <c r="BG88" i="3" s="1"/>
  <c r="BH5" i="3"/>
  <c r="BG38" i="3"/>
  <c r="BG11" i="3"/>
  <c r="BG15" i="3" s="1"/>
  <c r="BG17" i="3" s="1"/>
  <c r="BG18" i="3" s="1"/>
  <c r="BH93" i="3" l="1"/>
  <c r="BH97" i="3" s="1"/>
  <c r="BH42" i="3"/>
  <c r="BH41" i="3" s="1"/>
  <c r="BH45" i="3" s="1"/>
  <c r="BH47" i="3" s="1"/>
  <c r="BH74" i="3" s="1"/>
  <c r="BG89" i="3"/>
  <c r="BH6" i="3"/>
  <c r="BG70" i="3"/>
  <c r="BH12" i="3"/>
  <c r="BG76" i="3"/>
  <c r="BG77" i="3" s="1"/>
  <c r="BH22" i="3"/>
  <c r="BH31" i="3"/>
  <c r="BH34" i="3" s="1"/>
  <c r="BH7" i="3"/>
  <c r="BH21" i="3"/>
  <c r="BH98" i="3"/>
  <c r="BH53" i="3"/>
  <c r="BH99" i="3" l="1"/>
  <c r="BG78" i="3"/>
  <c r="BG79" i="3" s="1"/>
  <c r="BH8" i="3"/>
  <c r="BH52" i="3"/>
  <c r="BH56" i="3" s="1"/>
  <c r="BH58" i="3" s="1"/>
  <c r="BH36" i="3"/>
  <c r="BI30" i="3" s="1"/>
  <c r="BH35" i="3"/>
  <c r="BH68" i="3"/>
  <c r="BG71" i="3"/>
  <c r="BI92" i="3"/>
  <c r="BH25" i="3"/>
  <c r="BH26" i="3" s="1"/>
  <c r="BH27" i="3" s="1"/>
  <c r="BG80" i="3" l="1"/>
  <c r="BH59" i="3"/>
  <c r="BH62" i="3" s="1"/>
  <c r="BI16" i="3"/>
  <c r="BH48" i="3"/>
  <c r="BH49" i="3" s="1"/>
  <c r="BH75" i="3"/>
  <c r="BI5" i="3"/>
  <c r="BH38" i="3"/>
  <c r="BH11" i="3"/>
  <c r="BH15" i="3" s="1"/>
  <c r="BH17" i="3" s="1"/>
  <c r="BH18" i="3" s="1"/>
  <c r="BI93" i="3" l="1"/>
  <c r="BI97" i="3" s="1"/>
  <c r="BI42" i="3"/>
  <c r="BI41" i="3" s="1"/>
  <c r="BI45" i="3" s="1"/>
  <c r="BI47" i="3" s="1"/>
  <c r="BI74" i="3" s="1"/>
  <c r="BH78" i="3"/>
  <c r="BG81" i="3"/>
  <c r="BG85" i="3" s="1"/>
  <c r="BG86" i="3" s="1"/>
  <c r="BH87" i="3" s="1"/>
  <c r="BI6" i="3"/>
  <c r="BI12" i="3"/>
  <c r="BH63" i="3"/>
  <c r="BH64" i="3" s="1"/>
  <c r="BI22" i="3"/>
  <c r="BH70" i="3"/>
  <c r="BH76" i="3"/>
  <c r="BH77" i="3" s="1"/>
  <c r="BI31" i="3"/>
  <c r="BI34" i="3" s="1"/>
  <c r="BI21" i="3"/>
  <c r="BI7" i="3"/>
  <c r="BI98" i="3"/>
  <c r="BI99" i="3" s="1"/>
  <c r="BI53" i="3"/>
  <c r="BH79" i="3" l="1"/>
  <c r="BH80" i="3" s="1"/>
  <c r="BH88" i="3"/>
  <c r="BH89" i="3"/>
  <c r="BJ92" i="3"/>
  <c r="BI8" i="3"/>
  <c r="BI52" i="3"/>
  <c r="BI56" i="3" s="1"/>
  <c r="BI58" i="3" s="1"/>
  <c r="BI36" i="3"/>
  <c r="BJ30" i="3" s="1"/>
  <c r="BI35" i="3"/>
  <c r="BH71" i="3"/>
  <c r="BI25" i="3"/>
  <c r="BI26" i="3" s="1"/>
  <c r="BI27" i="3" s="1"/>
  <c r="BI68" i="3" l="1"/>
  <c r="BH81" i="3"/>
  <c r="BH85" i="3" s="1"/>
  <c r="BI59" i="3"/>
  <c r="BI62" i="3" s="1"/>
  <c r="BJ16" i="3"/>
  <c r="BI48" i="3"/>
  <c r="BI49" i="3" s="1"/>
  <c r="BI63" i="3" s="1"/>
  <c r="BI75" i="3"/>
  <c r="BJ5" i="3"/>
  <c r="BI38" i="3"/>
  <c r="BJ93" i="3" l="1"/>
  <c r="BJ97" i="3" s="1"/>
  <c r="BJ42" i="3"/>
  <c r="BH86" i="3"/>
  <c r="BI87" i="3" s="1"/>
  <c r="BJ41" i="3"/>
  <c r="BJ45" i="3" s="1"/>
  <c r="BJ47" i="3" s="1"/>
  <c r="BJ74" i="3" s="1"/>
  <c r="BJ6" i="3"/>
  <c r="BJ12" i="3"/>
  <c r="BJ22" i="3"/>
  <c r="BI64" i="3"/>
  <c r="BI76" i="3"/>
  <c r="BJ31" i="3"/>
  <c r="BJ34" i="3" s="1"/>
  <c r="BJ98" i="3"/>
  <c r="BJ53" i="3"/>
  <c r="BJ99" i="3" l="1"/>
  <c r="BI89" i="3"/>
  <c r="BI77" i="3"/>
  <c r="BK92" i="3"/>
  <c r="BJ36" i="3"/>
  <c r="BJ35" i="3"/>
  <c r="BJ52" i="3"/>
  <c r="BJ56" i="3" s="1"/>
  <c r="BJ58" i="3" s="1"/>
  <c r="BI70" i="3"/>
  <c r="BI11" i="3"/>
  <c r="BI15" i="3" s="1"/>
  <c r="BI17" i="3" s="1"/>
  <c r="BI18" i="3" s="1"/>
  <c r="BI78" i="3" l="1"/>
  <c r="BI88" i="3"/>
  <c r="BJ59" i="3"/>
  <c r="BJ62" i="3" s="1"/>
  <c r="BI71" i="3"/>
  <c r="BJ75" i="3"/>
  <c r="BK16" i="3"/>
  <c r="BJ48" i="3"/>
  <c r="BJ7" i="3"/>
  <c r="BJ8" i="3" s="1"/>
  <c r="BJ21" i="3"/>
  <c r="BJ25" i="3" s="1"/>
  <c r="BI79" i="3" l="1"/>
  <c r="BI80" i="3" s="1"/>
  <c r="BJ68" i="3"/>
  <c r="BJ49" i="3"/>
  <c r="BJ63" i="3" s="1"/>
  <c r="BJ64" i="3" s="1"/>
  <c r="BJ26" i="3"/>
  <c r="BJ27" i="3" s="1"/>
  <c r="BK30" i="3"/>
  <c r="BJ11" i="3"/>
  <c r="BJ15" i="3" s="1"/>
  <c r="BJ17" i="3" s="1"/>
  <c r="BJ18" i="3" s="1"/>
  <c r="BI81" i="3" l="1"/>
  <c r="BI85" i="3" s="1"/>
  <c r="BK5" i="3"/>
  <c r="BJ38" i="3"/>
  <c r="BK93" i="3" l="1"/>
  <c r="BK97" i="3" s="1"/>
  <c r="BK42" i="3"/>
  <c r="BK41" i="3" s="1"/>
  <c r="BK45" i="3" s="1"/>
  <c r="BK47" i="3" s="1"/>
  <c r="BK74" i="3" s="1"/>
  <c r="BI86" i="3"/>
  <c r="BJ87" i="3" s="1"/>
  <c r="BK7" i="3"/>
  <c r="BJ70" i="3"/>
  <c r="BJ71" i="3" s="1"/>
  <c r="BK6" i="3"/>
  <c r="BK12" i="3"/>
  <c r="BJ76" i="3"/>
  <c r="BJ77" i="3" s="1"/>
  <c r="BK22" i="3"/>
  <c r="BK21" i="3"/>
  <c r="BK31" i="3"/>
  <c r="BK34" i="3" s="1"/>
  <c r="BK98" i="3"/>
  <c r="BK99" i="3" s="1"/>
  <c r="BK53" i="3"/>
  <c r="BJ78" i="3" l="1"/>
  <c r="BJ89" i="3"/>
  <c r="BJ88" i="3"/>
  <c r="BL92" i="3"/>
  <c r="BK8" i="3"/>
  <c r="BL5" i="3" s="1"/>
  <c r="BK36" i="3"/>
  <c r="BK35" i="3"/>
  <c r="BK52" i="3"/>
  <c r="BK56" i="3" s="1"/>
  <c r="BK58" i="3" s="1"/>
  <c r="BK25" i="3"/>
  <c r="BK26" i="3" s="1"/>
  <c r="BL30" i="3"/>
  <c r="BK11" i="3"/>
  <c r="BK15" i="3" s="1"/>
  <c r="BK17" i="3" s="1"/>
  <c r="BK18" i="3" s="1"/>
  <c r="BJ79" i="3" l="1"/>
  <c r="BJ80" i="3" s="1"/>
  <c r="BJ81" i="3" s="1"/>
  <c r="BJ85" i="3" s="1"/>
  <c r="BJ86" i="3" s="1"/>
  <c r="BK87" i="3" s="1"/>
  <c r="BK68" i="3"/>
  <c r="BK59" i="3"/>
  <c r="BK62" i="3" s="1"/>
  <c r="BL16" i="3"/>
  <c r="BK48" i="3"/>
  <c r="BK49" i="3" s="1"/>
  <c r="BK27" i="3"/>
  <c r="BK38" i="3"/>
  <c r="BL93" i="3" l="1"/>
  <c r="BL97" i="3" s="1"/>
  <c r="BL42" i="3"/>
  <c r="BL41" i="3" s="1"/>
  <c r="BL7" i="3"/>
  <c r="BL6" i="3"/>
  <c r="BL12" i="3"/>
  <c r="BL22" i="3"/>
  <c r="BL21" i="3"/>
  <c r="BK89" i="3"/>
  <c r="BK88" i="3"/>
  <c r="BK70" i="3"/>
  <c r="BL31" i="3"/>
  <c r="BL34" i="3" s="1"/>
  <c r="BL36" i="3" s="1"/>
  <c r="BL98" i="3"/>
  <c r="BL99" i="3" s="1"/>
  <c r="BL53" i="3"/>
  <c r="BM92" i="3" l="1"/>
  <c r="BL8" i="3"/>
  <c r="BM5" i="3" s="1"/>
  <c r="BL52" i="3"/>
  <c r="BL56" i="3" s="1"/>
  <c r="BL58" i="3" s="1"/>
  <c r="BL35" i="3"/>
  <c r="BL68" i="3"/>
  <c r="BK71" i="3"/>
  <c r="BL25" i="3"/>
  <c r="BL26" i="3" s="1"/>
  <c r="BL27" i="3" s="1"/>
  <c r="BM30" i="3"/>
  <c r="BL59" i="3" l="1"/>
  <c r="BL62" i="3" s="1"/>
  <c r="BL38" i="3"/>
  <c r="BL11" i="3"/>
  <c r="BL15" i="3" s="1"/>
  <c r="BL17" i="3" s="1"/>
  <c r="BL18" i="3" s="1"/>
  <c r="BM93" i="3" l="1"/>
  <c r="BM97" i="3" s="1"/>
  <c r="BM42" i="3"/>
  <c r="BM6" i="3"/>
  <c r="BM12" i="3"/>
  <c r="BM22" i="3"/>
  <c r="BM31" i="3"/>
  <c r="BM34" i="3" s="1"/>
  <c r="BM21" i="3"/>
  <c r="BM53" i="3"/>
  <c r="BM52" i="3" s="1"/>
  <c r="BM56" i="3" s="1"/>
  <c r="BM98" i="3" l="1"/>
  <c r="BM99" i="3" s="1"/>
  <c r="BN92" i="3" s="1"/>
  <c r="BM36" i="3"/>
  <c r="BM35" i="3"/>
  <c r="BM25" i="3"/>
  <c r="BL70" i="3"/>
  <c r="BN30" i="3"/>
  <c r="BL71" i="3" l="1"/>
  <c r="BM38" i="3"/>
  <c r="BN93" i="3" l="1"/>
  <c r="BN97" i="3" s="1"/>
  <c r="BN42" i="3"/>
  <c r="BN12" i="3"/>
  <c r="BN22" i="3"/>
  <c r="BN31" i="3"/>
  <c r="BN34" i="3" s="1"/>
  <c r="BN36" i="3" s="1"/>
  <c r="BN98" i="3"/>
  <c r="BN99" i="3" s="1"/>
  <c r="BN53" i="3"/>
  <c r="BO92" i="3" l="1"/>
  <c r="BN38" i="3" l="1"/>
  <c r="BO93" i="3" l="1"/>
  <c r="BO97" i="3" s="1"/>
  <c r="BO42" i="3"/>
  <c r="BO12" i="3"/>
  <c r="BO22" i="3"/>
  <c r="BO31" i="3"/>
  <c r="BO98" i="3"/>
  <c r="BO99" i="3" s="1"/>
  <c r="BO53" i="3"/>
  <c r="BP92" i="3" l="1"/>
  <c r="BO30" i="3" l="1"/>
  <c r="BO34" i="3" s="1"/>
  <c r="BO36" i="3" s="1"/>
  <c r="BP30" i="3" s="1"/>
  <c r="BO38" i="3" l="1"/>
  <c r="BP93" i="3" l="1"/>
  <c r="BP97" i="3" s="1"/>
  <c r="BP98" i="3" s="1"/>
  <c r="BP99" i="3" s="1"/>
  <c r="BP42" i="3"/>
  <c r="BP12" i="3"/>
  <c r="BP31" i="3"/>
  <c r="BP34" i="3" s="1"/>
  <c r="BP36" i="3" s="1"/>
  <c r="BP22" i="3"/>
  <c r="BP53" i="3"/>
  <c r="BQ92" i="3" l="1"/>
  <c r="BQ30" i="3"/>
  <c r="BP38" i="3"/>
  <c r="BQ42" i="3" l="1"/>
  <c r="BQ93" i="3"/>
  <c r="BQ97" i="3" s="1"/>
  <c r="BQ98" i="3" s="1"/>
  <c r="BQ99" i="3" s="1"/>
  <c r="BQ12" i="3"/>
  <c r="BQ31" i="3"/>
  <c r="BQ34" i="3" s="1"/>
  <c r="BQ53" i="3"/>
  <c r="BQ22" i="3"/>
  <c r="BR92" i="3" l="1"/>
  <c r="BQ36" i="3"/>
  <c r="BR30" i="3" l="1"/>
  <c r="BQ38" i="3"/>
  <c r="BR93" i="3" l="1"/>
  <c r="BR97" i="3" s="1"/>
  <c r="BR42" i="3"/>
  <c r="BR12" i="3"/>
  <c r="BR31" i="3"/>
  <c r="BR34" i="3" s="1"/>
  <c r="BR98" i="3"/>
  <c r="BR99" i="3" s="1"/>
  <c r="BR53" i="3"/>
  <c r="BR22" i="3"/>
  <c r="BS92" i="3" l="1"/>
  <c r="BR36" i="3"/>
  <c r="BS30" i="3" l="1"/>
  <c r="BR38" i="3"/>
  <c r="BS93" i="3" l="1"/>
  <c r="BS97" i="3" s="1"/>
  <c r="BS98" i="3" s="1"/>
  <c r="BS99" i="3" s="1"/>
  <c r="BS42" i="3"/>
  <c r="BS12" i="3"/>
  <c r="BS31" i="3"/>
  <c r="BS34" i="3" s="1"/>
  <c r="BS53" i="3"/>
  <c r="BS22" i="3"/>
  <c r="BT92" i="3" l="1"/>
  <c r="BS36" i="3"/>
  <c r="BT30" i="3" l="1"/>
  <c r="BS38" i="3"/>
  <c r="BT93" i="3" l="1"/>
  <c r="BT97" i="3" s="1"/>
  <c r="BT42" i="3"/>
  <c r="BT12" i="3"/>
  <c r="BT31" i="3"/>
  <c r="BT34" i="3" s="1"/>
  <c r="BT98" i="3"/>
  <c r="BT99" i="3" s="1"/>
  <c r="BT22" i="3"/>
  <c r="BT53" i="3"/>
  <c r="BU92" i="3" l="1"/>
  <c r="BT36" i="3"/>
  <c r="BU30" i="3" l="1"/>
  <c r="BT38" i="3"/>
  <c r="BU42" i="3" l="1"/>
  <c r="BU93" i="3"/>
  <c r="BU97" i="3" s="1"/>
  <c r="BU98" i="3" s="1"/>
  <c r="BU99" i="3" s="1"/>
  <c r="BU12" i="3"/>
  <c r="BU22" i="3"/>
  <c r="BU53" i="3"/>
  <c r="BU31" i="3"/>
  <c r="BU34" i="3" s="1"/>
  <c r="BV92" i="3" l="1"/>
  <c r="BU36" i="3"/>
  <c r="BV30" i="3" l="1"/>
  <c r="BU38" i="3"/>
  <c r="BV93" i="3" l="1"/>
  <c r="BV97" i="3" s="1"/>
  <c r="BV42" i="3"/>
  <c r="BV12" i="3"/>
  <c r="BV53" i="3"/>
  <c r="BV98" i="3"/>
  <c r="BV99" i="3" s="1"/>
  <c r="BV31" i="3"/>
  <c r="BV34" i="3" s="1"/>
  <c r="BV22" i="3"/>
  <c r="BW92" i="3" l="1"/>
  <c r="BV36" i="3"/>
  <c r="BW30" i="3" l="1"/>
  <c r="BV38" i="3"/>
  <c r="BW93" i="3" l="1"/>
  <c r="BW97" i="3" s="1"/>
  <c r="BW99" i="3" s="1"/>
  <c r="BW42" i="3"/>
  <c r="BW47" i="3"/>
  <c r="BW74" i="3" s="1"/>
  <c r="BW12" i="3"/>
  <c r="BW98" i="3"/>
  <c r="BW53" i="3"/>
  <c r="BW22" i="3"/>
  <c r="BW31" i="3"/>
  <c r="BW34" i="3" s="1"/>
  <c r="BX92" i="3" l="1"/>
  <c r="BW36" i="3"/>
  <c r="BX30" i="3" l="1"/>
  <c r="BW38" i="3"/>
  <c r="BX93" i="3" l="1"/>
  <c r="BX97" i="3" s="1"/>
  <c r="BX99" i="3" s="1"/>
  <c r="BX47" i="3"/>
  <c r="BX74" i="3" s="1"/>
  <c r="BX42" i="3"/>
  <c r="BX12" i="3"/>
  <c r="BX22" i="3"/>
  <c r="BX98" i="3"/>
  <c r="BX31" i="3"/>
  <c r="BX53" i="3"/>
  <c r="BX34" i="3" l="1"/>
  <c r="BX36" i="3" l="1"/>
  <c r="BX38" i="3" s="1"/>
  <c r="BM7" i="3"/>
  <c r="BM8" i="3" s="1"/>
  <c r="BL45" i="3"/>
  <c r="BL47" i="3" s="1"/>
  <c r="BL74" i="3" s="1"/>
  <c r="BM41" i="3" l="1"/>
  <c r="BK63" i="3"/>
  <c r="BK64" i="3" s="1"/>
  <c r="BK75" i="3"/>
  <c r="BM26" i="3"/>
  <c r="BM27" i="3" s="1"/>
  <c r="BN6" i="3" s="1"/>
  <c r="BM11" i="3"/>
  <c r="BM15" i="3" s="1"/>
  <c r="BK76" i="3" l="1"/>
  <c r="BK77" i="3" s="1"/>
  <c r="BM16" i="3"/>
  <c r="BM17" i="3" s="1"/>
  <c r="BM18" i="3" s="1"/>
  <c r="BN35" i="3"/>
  <c r="BL48" i="3"/>
  <c r="BL49" i="3" s="1"/>
  <c r="BM58" i="3"/>
  <c r="BN52" i="3" s="1"/>
  <c r="BN5" i="3"/>
  <c r="BN21" i="3"/>
  <c r="BN25" i="3" s="1"/>
  <c r="BM45" i="3"/>
  <c r="BM47" i="3" s="1"/>
  <c r="BM74" i="3" s="1"/>
  <c r="BK78" i="3" l="1"/>
  <c r="BK79" i="3" s="1"/>
  <c r="BL78" i="3"/>
  <c r="BN41" i="3"/>
  <c r="BM59" i="3"/>
  <c r="BM62" i="3" s="1"/>
  <c r="BN56" i="3"/>
  <c r="BL63" i="3"/>
  <c r="BL64" i="3" s="1"/>
  <c r="BL75" i="3"/>
  <c r="BL76" i="3" s="1"/>
  <c r="BN11" i="3"/>
  <c r="BN15" i="3" s="1"/>
  <c r="BN7" i="3"/>
  <c r="BN8" i="3" s="1"/>
  <c r="BK80" i="3" l="1"/>
  <c r="BL77" i="3"/>
  <c r="BN16" i="3"/>
  <c r="BN17" i="3" s="1"/>
  <c r="BN18" i="3" s="1"/>
  <c r="BN58" i="3"/>
  <c r="BN59" i="3" s="1"/>
  <c r="BN62" i="3" s="1"/>
  <c r="BM48" i="3"/>
  <c r="BM49" i="3" s="1"/>
  <c r="BN45" i="3"/>
  <c r="BN47" i="3" s="1"/>
  <c r="BN74" i="3" s="1"/>
  <c r="BN26" i="3"/>
  <c r="BN27" i="3" s="1"/>
  <c r="BO6" i="3" s="1"/>
  <c r="BL79" i="3" l="1"/>
  <c r="BL80" i="3" s="1"/>
  <c r="BK81" i="3"/>
  <c r="BK85" i="3" s="1"/>
  <c r="BK86" i="3" s="1"/>
  <c r="BL87" i="3" s="1"/>
  <c r="BO41" i="3"/>
  <c r="BO52" i="3"/>
  <c r="BO56" i="3" s="1"/>
  <c r="BO35" i="3"/>
  <c r="BO5" i="3"/>
  <c r="BM63" i="3"/>
  <c r="BM64" i="3" s="1"/>
  <c r="BO7" i="3"/>
  <c r="BO11" i="3"/>
  <c r="BO15" i="3" s="1"/>
  <c r="BO21" i="3"/>
  <c r="BO25" i="3" s="1"/>
  <c r="BM75" i="3"/>
  <c r="BL89" i="3" l="1"/>
  <c r="BL88" i="3"/>
  <c r="BL81" i="3"/>
  <c r="BL85" i="3" s="1"/>
  <c r="BO16" i="3"/>
  <c r="BO17" i="3" s="1"/>
  <c r="BO18" i="3" s="1"/>
  <c r="BO58" i="3"/>
  <c r="BP52" i="3" s="1"/>
  <c r="BO8" i="3"/>
  <c r="BN48" i="3"/>
  <c r="BN49" i="3" s="1"/>
  <c r="BO45" i="3"/>
  <c r="BO47" i="3" s="1"/>
  <c r="BO74" i="3" s="1"/>
  <c r="BM76" i="3"/>
  <c r="BM77" i="3" s="1"/>
  <c r="BM78" i="3" s="1"/>
  <c r="BO26" i="3"/>
  <c r="BO27" i="3" s="1"/>
  <c r="BP6" i="3" s="1"/>
  <c r="BM79" i="3" l="1"/>
  <c r="BM80" i="3" s="1"/>
  <c r="BM68" i="3"/>
  <c r="BM70" i="3" s="1"/>
  <c r="BM71" i="3" s="1"/>
  <c r="BL86" i="3"/>
  <c r="BM87" i="3" s="1"/>
  <c r="BP41" i="3"/>
  <c r="BO59" i="3"/>
  <c r="BO62" i="3" s="1"/>
  <c r="BP56" i="3"/>
  <c r="BP35" i="3"/>
  <c r="BP5" i="3"/>
  <c r="BN63" i="3"/>
  <c r="BN64" i="3" s="1"/>
  <c r="BP21" i="3"/>
  <c r="BP25" i="3" s="1"/>
  <c r="BN75" i="3"/>
  <c r="BN76" i="3" s="1"/>
  <c r="BP7" i="3"/>
  <c r="BP11" i="3"/>
  <c r="BP15" i="3" s="1"/>
  <c r="BM88" i="3" l="1"/>
  <c r="BM89" i="3"/>
  <c r="BM81" i="3"/>
  <c r="BM85" i="3" s="1"/>
  <c r="BN77" i="3"/>
  <c r="BN78" i="3" s="1"/>
  <c r="BP16" i="3"/>
  <c r="BP17" i="3" s="1"/>
  <c r="BP58" i="3"/>
  <c r="BP59" i="3" s="1"/>
  <c r="BP8" i="3"/>
  <c r="BP45" i="3"/>
  <c r="BP47" i="3" s="1"/>
  <c r="BP74" i="3" s="1"/>
  <c r="BO48" i="3"/>
  <c r="BO49" i="3" s="1"/>
  <c r="BO75" i="3"/>
  <c r="BP26" i="3"/>
  <c r="BP27" i="3" s="1"/>
  <c r="BQ6" i="3" s="1"/>
  <c r="BP18" i="3" l="1"/>
  <c r="BQ7" i="3" s="1"/>
  <c r="BN79" i="3"/>
  <c r="BN80" i="3" s="1"/>
  <c r="BN68" i="3"/>
  <c r="BN70" i="3" s="1"/>
  <c r="BN71" i="3" s="1"/>
  <c r="BM86" i="3"/>
  <c r="BN87" i="3" s="1"/>
  <c r="BQ41" i="3"/>
  <c r="BQ52" i="3"/>
  <c r="BQ35" i="3"/>
  <c r="BQ5" i="3"/>
  <c r="BO63" i="3"/>
  <c r="BO64" i="3" s="1"/>
  <c r="BQ11" i="3"/>
  <c r="BQ15" i="3" s="1"/>
  <c r="BQ21" i="3"/>
  <c r="BQ25" i="3" s="1"/>
  <c r="BQ26" i="3" s="1"/>
  <c r="BQ27" i="3" s="1"/>
  <c r="BR6" i="3" s="1"/>
  <c r="BO76" i="3"/>
  <c r="BO77" i="3" s="1"/>
  <c r="BO78" i="3" s="1"/>
  <c r="BQ8" i="3" l="1"/>
  <c r="BR5" i="3" s="1"/>
  <c r="BN89" i="3"/>
  <c r="BN88" i="3"/>
  <c r="BO79" i="3" s="1"/>
  <c r="BN81" i="3"/>
  <c r="BN85" i="3" s="1"/>
  <c r="BQ45" i="3"/>
  <c r="BQ47" i="3" s="1"/>
  <c r="BQ74" i="3" s="1"/>
  <c r="BR35" i="3"/>
  <c r="BP48" i="3"/>
  <c r="BP49" i="3" s="1"/>
  <c r="BP63" i="3" s="1"/>
  <c r="BP75" i="3"/>
  <c r="BP76" i="3" s="1"/>
  <c r="BQ16" i="3"/>
  <c r="BQ17" i="3" s="1"/>
  <c r="BQ18" i="3" s="1"/>
  <c r="BP62" i="3"/>
  <c r="BQ56" i="3"/>
  <c r="BR21" i="3"/>
  <c r="BR25" i="3" s="1"/>
  <c r="BO68" i="3" l="1"/>
  <c r="BO70" i="3" s="1"/>
  <c r="BO71" i="3" s="1"/>
  <c r="BN86" i="3"/>
  <c r="BO87" i="3" s="1"/>
  <c r="BO80" i="3"/>
  <c r="BP77" i="3"/>
  <c r="BP78" i="3" s="1"/>
  <c r="BR41" i="3"/>
  <c r="BQ58" i="3"/>
  <c r="BR52" i="3" s="1"/>
  <c r="BR7" i="3"/>
  <c r="BR8" i="3" s="1"/>
  <c r="BR11" i="3"/>
  <c r="BR15" i="3" s="1"/>
  <c r="BP64" i="3"/>
  <c r="BO89" i="3" l="1"/>
  <c r="BO88" i="3"/>
  <c r="BP79" i="3" s="1"/>
  <c r="BO81" i="3"/>
  <c r="BO85" i="3" s="1"/>
  <c r="BR45" i="3"/>
  <c r="BR47" i="3" s="1"/>
  <c r="BR74" i="3" s="1"/>
  <c r="BR16" i="3"/>
  <c r="BR17" i="3" s="1"/>
  <c r="BQ75" i="3"/>
  <c r="BQ48" i="3"/>
  <c r="BQ49" i="3" s="1"/>
  <c r="BQ63" i="3" s="1"/>
  <c r="BQ59" i="3"/>
  <c r="BQ62" i="3" s="1"/>
  <c r="BR56" i="3"/>
  <c r="BS5" i="3"/>
  <c r="BR26" i="3"/>
  <c r="BR27" i="3" s="1"/>
  <c r="BS6" i="3" s="1"/>
  <c r="BS11" i="3" l="1"/>
  <c r="BS15" i="3" s="1"/>
  <c r="BR18" i="3"/>
  <c r="BS7" i="3" s="1"/>
  <c r="BS8" i="3" s="1"/>
  <c r="BP80" i="3"/>
  <c r="BP81" i="3" s="1"/>
  <c r="BP85" i="3" s="1"/>
  <c r="BO86" i="3"/>
  <c r="BP87" i="3" s="1"/>
  <c r="BP68" i="3"/>
  <c r="BP70" i="3" s="1"/>
  <c r="BP71" i="3" s="1"/>
  <c r="BQ64" i="3"/>
  <c r="BS41" i="3"/>
  <c r="BQ76" i="3"/>
  <c r="BR58" i="3"/>
  <c r="BR59" i="3" s="1"/>
  <c r="BR62" i="3" s="1"/>
  <c r="BS35" i="3"/>
  <c r="BS21" i="3"/>
  <c r="BS25" i="3" s="1"/>
  <c r="BP89" i="3" l="1"/>
  <c r="BP88" i="3"/>
  <c r="BP86" i="3"/>
  <c r="BQ77" i="3"/>
  <c r="BQ78" i="3" s="1"/>
  <c r="BR75" i="3"/>
  <c r="BR76" i="3" s="1"/>
  <c r="BR48" i="3"/>
  <c r="BR49" i="3" s="1"/>
  <c r="BR63" i="3" s="1"/>
  <c r="BR64" i="3" s="1"/>
  <c r="BS16" i="3"/>
  <c r="BS17" i="3" s="1"/>
  <c r="BS26" i="3"/>
  <c r="BS27" i="3" s="1"/>
  <c r="BT6" i="3" s="1"/>
  <c r="BS52" i="3"/>
  <c r="BS56" i="3" s="1"/>
  <c r="BS45" i="3"/>
  <c r="BS47" i="3" s="1"/>
  <c r="BS74" i="3" s="1"/>
  <c r="BT5" i="3"/>
  <c r="BT11" i="3" l="1"/>
  <c r="BT15" i="3" s="1"/>
  <c r="BS18" i="3"/>
  <c r="BQ79" i="3"/>
  <c r="BQ80" i="3" s="1"/>
  <c r="BQ87" i="3"/>
  <c r="BQ68" i="3"/>
  <c r="BQ70" i="3" s="1"/>
  <c r="BQ71" i="3" s="1"/>
  <c r="BR77" i="3"/>
  <c r="BT7" i="3"/>
  <c r="BT8" i="3" s="1"/>
  <c r="BU5" i="3" s="1"/>
  <c r="BT41" i="3"/>
  <c r="BT21" i="3"/>
  <c r="BT25" i="3" s="1"/>
  <c r="BT35" i="3"/>
  <c r="BS58" i="3"/>
  <c r="BS59" i="3" s="1"/>
  <c r="BS62" i="3" s="1"/>
  <c r="BQ89" i="3" l="1"/>
  <c r="BQ88" i="3"/>
  <c r="BQ81" i="3"/>
  <c r="BQ85" i="3" s="1"/>
  <c r="BR78" i="3"/>
  <c r="BT26" i="3"/>
  <c r="BT27" i="3" s="1"/>
  <c r="BU6" i="3" s="1"/>
  <c r="BS48" i="3"/>
  <c r="BS49" i="3" s="1"/>
  <c r="BS63" i="3" s="1"/>
  <c r="BS64" i="3" s="1"/>
  <c r="BT16" i="3"/>
  <c r="BT17" i="3" s="1"/>
  <c r="BS75" i="3"/>
  <c r="BT52" i="3"/>
  <c r="BT56" i="3" s="1"/>
  <c r="BT45" i="3"/>
  <c r="BT47" i="3" s="1"/>
  <c r="BT74" i="3" s="1"/>
  <c r="BU11" i="3" l="1"/>
  <c r="BU15" i="3" s="1"/>
  <c r="BT18" i="3"/>
  <c r="BR79" i="3"/>
  <c r="BR80" i="3" s="1"/>
  <c r="BR68" i="3"/>
  <c r="BR70" i="3" s="1"/>
  <c r="BR71" i="3" s="1"/>
  <c r="BQ86" i="3"/>
  <c r="BR87" i="3" s="1"/>
  <c r="BS76" i="3"/>
  <c r="BS77" i="3" s="1"/>
  <c r="BS78" i="3" s="1"/>
  <c r="BU21" i="3"/>
  <c r="BU25" i="3" s="1"/>
  <c r="BU35" i="3"/>
  <c r="BU41" i="3"/>
  <c r="BU7" i="3"/>
  <c r="BU8" i="3" s="1"/>
  <c r="BV5" i="3" s="1"/>
  <c r="BR88" i="3" l="1"/>
  <c r="BS79" i="3" s="1"/>
  <c r="BR89" i="3"/>
  <c r="BR81" i="3"/>
  <c r="BR85" i="3" s="1"/>
  <c r="BU26" i="3"/>
  <c r="BU27" i="3" s="1"/>
  <c r="BV6" i="3" s="1"/>
  <c r="BT58" i="3"/>
  <c r="BU52" i="3" s="1"/>
  <c r="BU16" i="3"/>
  <c r="BU17" i="3" s="1"/>
  <c r="BT75" i="3"/>
  <c r="BT48" i="3"/>
  <c r="BT49" i="3" s="1"/>
  <c r="BT63" i="3" s="1"/>
  <c r="BU45" i="3"/>
  <c r="BU47" i="3" s="1"/>
  <c r="BU74" i="3" s="1"/>
  <c r="BV11" i="3" l="1"/>
  <c r="BV15" i="3" s="1"/>
  <c r="BU18" i="3"/>
  <c r="BS68" i="3"/>
  <c r="BS70" i="3" s="1"/>
  <c r="BS71" i="3" s="1"/>
  <c r="BS80" i="3"/>
  <c r="BS81" i="3" s="1"/>
  <c r="BS85" i="3" s="1"/>
  <c r="BR86" i="3"/>
  <c r="BS87" i="3" s="1"/>
  <c r="BV41" i="3"/>
  <c r="BV21" i="3"/>
  <c r="BV25" i="3" s="1"/>
  <c r="BV35" i="3"/>
  <c r="BT59" i="3"/>
  <c r="BT62" i="3" s="1"/>
  <c r="BT64" i="3" s="1"/>
  <c r="BU56" i="3"/>
  <c r="BV7" i="3"/>
  <c r="BV8" i="3" s="1"/>
  <c r="BT76" i="3"/>
  <c r="BT77" i="3" s="1"/>
  <c r="BT78" i="3" s="1"/>
  <c r="BS89" i="3" l="1"/>
  <c r="BS88" i="3"/>
  <c r="BT79" i="3" s="1"/>
  <c r="BS86" i="3"/>
  <c r="BW5" i="3"/>
  <c r="BW58" i="3"/>
  <c r="BW59" i="3" s="1"/>
  <c r="BW62" i="3" s="1"/>
  <c r="BV26" i="3"/>
  <c r="BV27" i="3" s="1"/>
  <c r="BW6" i="3" s="1"/>
  <c r="BV16" i="3"/>
  <c r="BV17" i="3" s="1"/>
  <c r="BV18" i="3" s="1"/>
  <c r="BU75" i="3"/>
  <c r="BU48" i="3"/>
  <c r="BU49" i="3" s="1"/>
  <c r="BU63" i="3" s="1"/>
  <c r="BV45" i="3"/>
  <c r="BV47" i="3" s="1"/>
  <c r="BV74" i="3" s="1"/>
  <c r="BT87" i="3" l="1"/>
  <c r="BT89" i="3" s="1"/>
  <c r="BT68" i="3"/>
  <c r="BT70" i="3" s="1"/>
  <c r="BT71" i="3" s="1"/>
  <c r="BT80" i="3"/>
  <c r="BT81" i="3" s="1"/>
  <c r="BT85" i="3" s="1"/>
  <c r="BW41" i="3"/>
  <c r="BU58" i="3"/>
  <c r="BV52" i="3" s="1"/>
  <c r="BW35" i="3"/>
  <c r="BW21" i="3"/>
  <c r="BW25" i="3" s="1"/>
  <c r="BU76" i="3"/>
  <c r="BU77" i="3" s="1"/>
  <c r="BU78" i="3" s="1"/>
  <c r="BW11" i="3"/>
  <c r="BW15" i="3" s="1"/>
  <c r="BW7" i="3"/>
  <c r="BW8" i="3" s="1"/>
  <c r="BT88" i="3" l="1"/>
  <c r="BU79" i="3" s="1"/>
  <c r="BT86" i="3"/>
  <c r="BU59" i="3"/>
  <c r="BU62" i="3" s="1"/>
  <c r="BU64" i="3" s="1"/>
  <c r="BV56" i="3"/>
  <c r="BX5" i="3"/>
  <c r="BX58" i="3"/>
  <c r="BX59" i="3" s="1"/>
  <c r="BX62" i="3" s="1"/>
  <c r="BW16" i="3"/>
  <c r="BW17" i="3" s="1"/>
  <c r="BW18" i="3" s="1"/>
  <c r="BV75" i="3"/>
  <c r="BV48" i="3"/>
  <c r="BV49" i="3" s="1"/>
  <c r="BV63" i="3" s="1"/>
  <c r="BW45" i="3"/>
  <c r="BX41" i="3" s="1"/>
  <c r="BW26" i="3"/>
  <c r="BW27" i="3" s="1"/>
  <c r="BX6" i="3" s="1"/>
  <c r="BU68" i="3" l="1"/>
  <c r="BU70" i="3" s="1"/>
  <c r="BU71" i="3" s="1"/>
  <c r="BU80" i="3"/>
  <c r="BU81" i="3" s="1"/>
  <c r="BU85" i="3" s="1"/>
  <c r="BU87" i="3"/>
  <c r="BU89" i="3" s="1"/>
  <c r="BX35" i="3"/>
  <c r="BX21" i="3"/>
  <c r="BX25" i="3" s="1"/>
  <c r="BV76" i="3"/>
  <c r="BV77" i="3" s="1"/>
  <c r="BV78" i="3" s="1"/>
  <c r="BX7" i="3"/>
  <c r="BX8" i="3" s="1"/>
  <c r="BX11" i="3"/>
  <c r="BX15" i="3" s="1"/>
  <c r="BU88" i="3" l="1"/>
  <c r="BV79" i="3" s="1"/>
  <c r="BU86" i="3"/>
  <c r="BV58" i="3"/>
  <c r="BW52" i="3" s="1"/>
  <c r="BX16" i="3"/>
  <c r="BX17" i="3" s="1"/>
  <c r="BX18" i="3" s="1"/>
  <c r="BW75" i="3"/>
  <c r="BW48" i="3"/>
  <c r="BW49" i="3" s="1"/>
  <c r="BW63" i="3" s="1"/>
  <c r="BX26" i="3"/>
  <c r="BX27" i="3" s="1"/>
  <c r="BV87" i="3" l="1"/>
  <c r="BV88" i="3" s="1"/>
  <c r="BV80" i="3"/>
  <c r="BV81" i="3" s="1"/>
  <c r="BV85" i="3" s="1"/>
  <c r="BV68" i="3"/>
  <c r="BV70" i="3" s="1"/>
  <c r="BV71" i="3" s="1"/>
  <c r="BV59" i="3"/>
  <c r="BV62" i="3" s="1"/>
  <c r="BV64" i="3" s="1"/>
  <c r="BW64" i="3" s="1"/>
  <c r="BW56" i="3"/>
  <c r="BX52" i="3" s="1"/>
  <c r="BX45" i="3"/>
  <c r="BW76" i="3"/>
  <c r="BW77" i="3" s="1"/>
  <c r="BW78" i="3" s="1"/>
  <c r="BW79" i="3" l="1"/>
  <c r="BW68" i="3"/>
  <c r="BW70" i="3" s="1"/>
  <c r="BW71" i="3" s="1"/>
  <c r="BV89" i="3"/>
  <c r="BV86" i="3"/>
  <c r="BW87" i="3" s="1"/>
  <c r="BX56" i="3"/>
  <c r="BX75" i="3"/>
  <c r="BX76" i="3" s="1"/>
  <c r="BX48" i="3"/>
  <c r="BX49" i="3" s="1"/>
  <c r="BX63" i="3" s="1"/>
  <c r="BX64" i="3" s="1"/>
  <c r="BW88" i="3"/>
  <c r="BW89" i="3" l="1"/>
  <c r="BX77" i="3"/>
  <c r="BX78" i="3" s="1"/>
  <c r="BX68" i="3"/>
  <c r="BX70" i="3" s="1"/>
  <c r="BX71" i="3" s="1"/>
  <c r="BW80" i="3" l="1"/>
  <c r="BX79" i="3" s="1"/>
  <c r="BW81" i="3" l="1"/>
  <c r="BW85" i="3" s="1"/>
  <c r="BX88" i="3"/>
  <c r="BW86" i="3" l="1"/>
  <c r="BX87" i="3" s="1"/>
  <c r="BX80" i="3"/>
  <c r="BX89" i="3" l="1"/>
  <c r="BX81" i="3" l="1"/>
  <c r="BX85" i="3" s="1"/>
  <c r="BX86" i="3" l="1"/>
</calcChain>
</file>

<file path=xl/sharedStrings.xml><?xml version="1.0" encoding="utf-8"?>
<sst xmlns="http://schemas.openxmlformats.org/spreadsheetml/2006/main" count="1274" uniqueCount="397">
  <si>
    <t xml:space="preserve">No </t>
  </si>
  <si>
    <t>Kode</t>
  </si>
  <si>
    <t>Aktivitas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</si>
  <si>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</si>
  <si>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</si>
  <si>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</si>
  <si>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</si>
  <si>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</si>
  <si>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</si>
  <si>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</si>
  <si>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</si>
  <si>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Menyapu Ruang Cuci</t>
  </si>
  <si>
    <t>-1.02</t>
  </si>
  <si>
    <t>-1.01</t>
  </si>
  <si>
    <t>Menyapu Ruang Makan</t>
  </si>
  <si>
    <t>Menyapu Dapur</t>
  </si>
  <si>
    <t>-1.025</t>
  </si>
  <si>
    <t>Menghidupkan pompa</t>
  </si>
  <si>
    <t>Menyapu Gudang</t>
  </si>
  <si>
    <t>-1.04</t>
  </si>
  <si>
    <t>Menyapu Koridor</t>
  </si>
  <si>
    <t>Menyapu Ruang Keluarga</t>
  </si>
  <si>
    <t>Menyapu Ruang Tamu</t>
  </si>
  <si>
    <t>Menyapu Teras</t>
  </si>
  <si>
    <t>Membuang Sampah Dapur</t>
  </si>
  <si>
    <t>Mengepel Ruang Tamu</t>
  </si>
  <si>
    <t>Mengepel Ruang Keluarga</t>
  </si>
  <si>
    <t>Mengepel Koridor</t>
  </si>
  <si>
    <t>Mengepel Gudang</t>
  </si>
  <si>
    <t>Mengepel Ruang Makan</t>
  </si>
  <si>
    <t>Mematikan pompa</t>
  </si>
  <si>
    <t>Mengepel Dapur</t>
  </si>
  <si>
    <t>Membersihkan Kamar Mandi</t>
  </si>
  <si>
    <t>Menyiram tanaman pagi hari</t>
  </si>
  <si>
    <t>Mengepel Teras</t>
  </si>
  <si>
    <t>Belanja</t>
  </si>
  <si>
    <t>Memasak makan pagi dengan kompor gas</t>
  </si>
  <si>
    <t>Memasak makan pagi dengan peralatan listrik</t>
  </si>
  <si>
    <t>Menggunakan blender</t>
  </si>
  <si>
    <t>Memandikan anak 2 pagi hari</t>
  </si>
  <si>
    <t>Menyuapi anak2 makan pagi</t>
  </si>
  <si>
    <t>Kegiatan sosial di pagi hari</t>
  </si>
  <si>
    <t>Mencuci dengan mesin cuci</t>
  </si>
  <si>
    <t>Mencuci piring dan alat masak pagi</t>
  </si>
  <si>
    <t>Mencuci baju konvensional</t>
  </si>
  <si>
    <t>-1.05</t>
  </si>
  <si>
    <t>Menjemur pakaian</t>
  </si>
  <si>
    <t>Memasak makan siang dengan kompor gas</t>
  </si>
  <si>
    <t>Memasak makan siang dengan peralatan listrik</t>
  </si>
  <si>
    <t>Menyuapi anak 2 makan siang</t>
  </si>
  <si>
    <t>Menonton TV siang</t>
  </si>
  <si>
    <t>Mencuci piring dan alat masak siang</t>
  </si>
  <si>
    <t>Menyapu Ruang Tidur Utama 1</t>
  </si>
  <si>
    <t>Menyapu Ruang Tidur Utama 2</t>
  </si>
  <si>
    <t>Menyapu Ruang Tidur Anak 1,2</t>
  </si>
  <si>
    <t>Mengepel Ruang Tidur Utama 1</t>
  </si>
  <si>
    <t>Mengepel Ruang Tidur Utama 2</t>
  </si>
  <si>
    <t>Mengepel Ruang Tidur Anak 1,2</t>
  </si>
  <si>
    <t>Membaca</t>
  </si>
  <si>
    <t>Mengangkat jemuran</t>
  </si>
  <si>
    <t>Menyetrika pakaian</t>
  </si>
  <si>
    <t>-1.035</t>
  </si>
  <si>
    <t>Menyiram tanaman sore hari</t>
  </si>
  <si>
    <t>Kegiatan sosial di sore hari</t>
  </si>
  <si>
    <t>Mengawasi anak 2 bermain</t>
  </si>
  <si>
    <t>Memandikan anak 2 sore hari</t>
  </si>
  <si>
    <t>Mengganti galon</t>
  </si>
  <si>
    <t>Memasak makan malam dengan kompor gas</t>
  </si>
  <si>
    <t>Memasak makan malam dengan peralatan listrik</t>
  </si>
  <si>
    <t>Menyuapi anak 2 makan malam</t>
  </si>
  <si>
    <t>Mencuci piring dan alat masak malam</t>
  </si>
  <si>
    <t>Bersantai</t>
  </si>
  <si>
    <t>Menonton TV malam</t>
  </si>
  <si>
    <t>Aktivitas Biologis</t>
  </si>
  <si>
    <t>BT</t>
  </si>
  <si>
    <t>Bangun tidur di pagi hari</t>
  </si>
  <si>
    <t>MK2</t>
  </si>
  <si>
    <t>MN4</t>
  </si>
  <si>
    <t>-1.03</t>
  </si>
  <si>
    <t>TD</t>
  </si>
  <si>
    <t>TO</t>
  </si>
  <si>
    <t>BAK</t>
  </si>
  <si>
    <t>BAB</t>
  </si>
  <si>
    <t>MD</t>
  </si>
  <si>
    <t>Mandi</t>
  </si>
  <si>
    <t>Identitas</t>
  </si>
  <si>
    <t>Ibu</t>
  </si>
  <si>
    <t>IB21</t>
  </si>
  <si>
    <t>Efek Aktivitas</t>
  </si>
  <si>
    <t>Pengaruh Emosi</t>
  </si>
  <si>
    <t>KELELAHAN</t>
  </si>
  <si>
    <t>Tingkat Kantuk Terkini</t>
  </si>
  <si>
    <t>Kebiasaan Tidur / Bangun</t>
  </si>
  <si>
    <t>KT / KB</t>
  </si>
  <si>
    <t>KB</t>
  </si>
  <si>
    <t>KT</t>
  </si>
  <si>
    <t>Tidur / Bangun</t>
  </si>
  <si>
    <t>T</t>
  </si>
  <si>
    <t>Laju Lapar</t>
  </si>
  <si>
    <t>Kebiasaan</t>
  </si>
  <si>
    <t>Tingkat Haus Terkini</t>
  </si>
  <si>
    <t>Laju Haus</t>
  </si>
  <si>
    <t>Efek Minum</t>
  </si>
  <si>
    <t>Ada di Lambung</t>
  </si>
  <si>
    <t>Laju Lambung ke Usus Halus</t>
  </si>
  <si>
    <t>Ada di Usus Halus</t>
  </si>
  <si>
    <t>Laju dari Usus Halus ke Kolon</t>
  </si>
  <si>
    <t>Ada di Kolon</t>
  </si>
  <si>
    <t>B/T</t>
  </si>
  <si>
    <t>KOTOR</t>
  </si>
  <si>
    <t>Tingkat Kotor Terkini</t>
  </si>
  <si>
    <t>Laju Kotor</t>
  </si>
  <si>
    <t>Kebiasaan Mandi</t>
  </si>
  <si>
    <t>M</t>
  </si>
  <si>
    <t>Total Kotor</t>
  </si>
  <si>
    <t>Efek Mandi</t>
  </si>
  <si>
    <t>No</t>
  </si>
  <si>
    <t>Laju Kantuk</t>
  </si>
  <si>
    <t>Laju Energi (waktu)</t>
  </si>
  <si>
    <t>Total Kelelahan 1 jam berikutnya</t>
  </si>
  <si>
    <t>Kalkulasi krn Efek Akt. dan Emosi</t>
  </si>
  <si>
    <t>Efek Makan (survei = 10 mnt)</t>
  </si>
  <si>
    <t>Tingkat Kelelahan Terkini (copy total kelelahan kolom sblm)</t>
  </si>
  <si>
    <t>Tingkat Energi Terkini (copy total energi kolom sblm)</t>
  </si>
  <si>
    <t>Laju Kelelahan (waktu)</t>
  </si>
  <si>
    <t>Kalkulasi efek khusus (energi kolom sebelumnya)</t>
  </si>
  <si>
    <t>Total Kantuk 1 jam berikutnya</t>
  </si>
  <si>
    <t>Kalkulasi efek khusus (kelelahan kolom sebelumnya)</t>
  </si>
  <si>
    <t>K</t>
  </si>
  <si>
    <t>Total Haus 1 jam berikutnya</t>
  </si>
  <si>
    <t>Emosi</t>
  </si>
  <si>
    <t>Total Energi 1 jam berikutnya</t>
  </si>
  <si>
    <t>Total kotor 1 jam berikutnya</t>
  </si>
  <si>
    <t>Kal. F</t>
  </si>
  <si>
    <t>Total Ability 1 jam berikutnya</t>
  </si>
  <si>
    <t>Total Body Water = 50-60% Body Weight (55% of 60 kg = 33 L) survei</t>
  </si>
  <si>
    <t>ABILITY (Koef. Data Fisik = 8.875)</t>
  </si>
  <si>
    <t>Konversi Kalori ke Poin</t>
  </si>
  <si>
    <t>Tingkat Lapar Terkini (kalori saat ini)</t>
  </si>
  <si>
    <t>Total Lapar 1 jam berikutnya (kalori 1 jam berikutnya)</t>
  </si>
  <si>
    <t>Kalkulasi krn Efek Makan</t>
  </si>
  <si>
    <t>Tingkat Defekasi Terkini mmhg</t>
  </si>
  <si>
    <t xml:space="preserve">Ada di ujung Kolon </t>
  </si>
  <si>
    <t>Laju dari Kolon ke Rektum (*luas penampang kolon)</t>
  </si>
  <si>
    <t>Tekanan ke Klep Rektum gr/cm2 to mmhg  (20-55 mmhg)</t>
  </si>
  <si>
    <t>Konversi mmhg ke poin</t>
  </si>
  <si>
    <t>Konversi mL ke Poin</t>
  </si>
  <si>
    <t>Efek Minum 20% sampai di kemih (mL)</t>
  </si>
  <si>
    <t>Efek Makan 5% sampai di kemih (mL)</t>
  </si>
  <si>
    <t>Laju Kemih (mL/jam) survei</t>
  </si>
  <si>
    <t>Volume Urine sekali BAK (mL) survei</t>
  </si>
  <si>
    <t>Sisa di Kemih (mL)</t>
  </si>
  <si>
    <t>Efek Makan (kalori) (ENERGI &amp; DEFEKASI)</t>
  </si>
  <si>
    <t>Efek Energi</t>
  </si>
  <si>
    <t>Efek Kelelahan</t>
  </si>
  <si>
    <t>Tingkat Ability Terkini (Data Fisik maks=8.875)</t>
  </si>
  <si>
    <t>URINASI (threshold = 275 mL)</t>
  </si>
  <si>
    <t>KANTUK (Threshold = 10, Kebiasaan = 8)</t>
  </si>
  <si>
    <t>HAUS (Threshold = 10, Kebiasaan = 8)</t>
  </si>
  <si>
    <t>IC</t>
  </si>
  <si>
    <t>Ada di Akhir Kolon ke Rektum</t>
  </si>
  <si>
    <t>DF_AB</t>
  </si>
  <si>
    <t>DATA FISIK</t>
  </si>
  <si>
    <t>Tinggi</t>
  </si>
  <si>
    <t>Berat</t>
  </si>
  <si>
    <t>Keb. Kalori (Energi)/hari</t>
  </si>
  <si>
    <t>Kapabilitas</t>
  </si>
  <si>
    <t>Kelemahan Fisik</t>
  </si>
  <si>
    <t>Disabilitas</t>
  </si>
  <si>
    <t>Sakit</t>
  </si>
  <si>
    <t>Kehamilan</t>
  </si>
  <si>
    <t>Terkini</t>
  </si>
  <si>
    <t>Terapi</t>
  </si>
  <si>
    <t>Perawatan</t>
  </si>
  <si>
    <t>Countdown</t>
  </si>
  <si>
    <t>DF_TH</t>
  </si>
  <si>
    <t>Total kapabilitas</t>
  </si>
  <si>
    <t>Total Body Water (mL)</t>
  </si>
  <si>
    <t>DF_WT</t>
  </si>
  <si>
    <t>Konstanta survei</t>
  </si>
  <si>
    <t>DATA BIOLOGIS</t>
  </si>
  <si>
    <t>Kelaparan</t>
  </si>
  <si>
    <t>Kehausan</t>
  </si>
  <si>
    <t>Kelelahan</t>
  </si>
  <si>
    <t>Lj Kemih (IC)</t>
  </si>
  <si>
    <t>Lj Kemih/Menit</t>
  </si>
  <si>
    <t>Ada di Lambung (IC)</t>
  </si>
  <si>
    <t>Lj Kotor (IC)</t>
  </si>
  <si>
    <t>Lj Kotor/Menit</t>
  </si>
  <si>
    <t>Lj Energi (IC)</t>
  </si>
  <si>
    <t>Lj Energi/Menit</t>
  </si>
  <si>
    <t>Lj Lapar (IC)</t>
  </si>
  <si>
    <t>Lj Lapar/Menit</t>
  </si>
  <si>
    <t>Lj Haus (IC)</t>
  </si>
  <si>
    <t>Lj Haus/Menit</t>
  </si>
  <si>
    <t>Lj Lelah (IC)</t>
  </si>
  <si>
    <t>Lj Lelah/Menit</t>
  </si>
  <si>
    <t>Lj Kantuk (IC)</t>
  </si>
  <si>
    <t>Lj Kantuk/Menit</t>
  </si>
  <si>
    <t>Efek makan (kalori) di jam sama</t>
  </si>
  <si>
    <t>Lj/Jam (IC)</t>
  </si>
  <si>
    <t>Lj Kemih (T=B)</t>
  </si>
  <si>
    <t>Lj Lambung ke Usus Halus (IC)</t>
  </si>
  <si>
    <t>Lj Lambung ke Usus Halus/menit</t>
  </si>
  <si>
    <t>Lj Kotor (T)</t>
  </si>
  <si>
    <t>Lj Energi (T)</t>
  </si>
  <si>
    <t>Lj Lapar (T)</t>
  </si>
  <si>
    <t>Lj Haus (T)</t>
  </si>
  <si>
    <t>Lj Lelah (T)</t>
  </si>
  <si>
    <t>Lj Kantuk (T)</t>
  </si>
  <si>
    <t>Formula/60</t>
  </si>
  <si>
    <t>Lj/Menit (IC)</t>
  </si>
  <si>
    <t>Lj Usus Halus ke Kolon (IC)</t>
  </si>
  <si>
    <t>Lj Usus Halus ke Kolon/menit</t>
  </si>
  <si>
    <t>Lj Kotor (B)</t>
  </si>
  <si>
    <t>Lj Energi (B)</t>
  </si>
  <si>
    <t>Lj Lapar (B)</t>
  </si>
  <si>
    <t>Lj Haus (B)</t>
  </si>
  <si>
    <t>Lj Lelah (B)</t>
  </si>
  <si>
    <t>Lj Kantuk (B)</t>
  </si>
  <si>
    <t>Lj dari Kolon ke Rektum (IC)</t>
  </si>
  <si>
    <t>Lj Kolon ke Rektum</t>
  </si>
  <si>
    <t>1397.5 = keb. Kalori (variabel survei)</t>
  </si>
  <si>
    <t>Ada di ujung kolon x 0.15 (*luas penampang)</t>
  </si>
  <si>
    <t>Ada di akhir Kolon ke Rektum (IC)</t>
  </si>
  <si>
    <t>Ada di akhir Kolon ke Rektum/menit</t>
  </si>
  <si>
    <t>Tekanan Klep Rektum (IC)</t>
  </si>
  <si>
    <t>Tekanan Klep Rektum</t>
  </si>
  <si>
    <t>Ada di akhir kolon menuju rektum x 0.7355</t>
  </si>
  <si>
    <t>Tingkat Defekasi Terkini (IC)</t>
  </si>
  <si>
    <t>Tingkat Defekasi Terkini/menit</t>
  </si>
  <si>
    <r>
      <t xml:space="preserve">1 porsi makan/ 6 jam = </t>
    </r>
    <r>
      <rPr>
        <b/>
        <i/>
        <sz val="11"/>
        <color rgb="FFFF0000"/>
        <rFont val="Calibri"/>
        <family val="2"/>
        <scheme val="minor"/>
      </rPr>
      <t>465.83*</t>
    </r>
    <r>
      <rPr>
        <i/>
        <sz val="11"/>
        <color rgb="FFFF0000"/>
        <rFont val="Calibri"/>
        <family val="2"/>
        <scheme val="minor"/>
      </rPr>
      <t>/6 (*465.83 = konstanta survei)</t>
    </r>
  </si>
  <si>
    <t>laju/formula konstan</t>
  </si>
  <si>
    <t>laju parameter di tabel KAL.B_rev (5) kolom IC (kalkulasi dalam JAM)</t>
  </si>
  <si>
    <t>TINGKAT IC IBU</t>
  </si>
  <si>
    <t>Konstanta umum</t>
  </si>
  <si>
    <t>ENERGI</t>
  </si>
  <si>
    <t>Keb. Kalori Harian*)</t>
  </si>
  <si>
    <t>Tingkat (kalori)</t>
  </si>
  <si>
    <t>DEFEKASI</t>
  </si>
  <si>
    <t>Frekuensi Defekasi</t>
  </si>
  <si>
    <t>Ambang Batas Tekanan Rektum</t>
  </si>
  <si>
    <t>Tingkat (mmhg)</t>
  </si>
  <si>
    <t>mmhg</t>
  </si>
  <si>
    <t>Gram/ cm2</t>
  </si>
  <si>
    <t>&lt; 72 jam sekali</t>
  </si>
  <si>
    <t>48 jam sekali</t>
  </si>
  <si>
    <t>36 jam sekali</t>
  </si>
  <si>
    <t>24 jam sekali</t>
  </si>
  <si>
    <t>&lt; 24 jam sekali</t>
  </si>
  <si>
    <t>Keterangan Skala Parameter</t>
  </si>
  <si>
    <t>HAUS</t>
  </si>
  <si>
    <t>LELAH</t>
  </si>
  <si>
    <t>KANTUK</t>
  </si>
  <si>
    <t>Tingkat</t>
  </si>
  <si>
    <t>Keterangan</t>
  </si>
  <si>
    <t>Sangat Bersih</t>
  </si>
  <si>
    <t>Sangat Tidak Haus</t>
  </si>
  <si>
    <t>Sangat Tidak Lelah</t>
  </si>
  <si>
    <t>Sangat Tidak Kantuk</t>
  </si>
  <si>
    <t>Bersih</t>
  </si>
  <si>
    <t>Tidak Haus</t>
  </si>
  <si>
    <t>Tidak Lelah</t>
  </si>
  <si>
    <t>Tidak Kantuk</t>
  </si>
  <si>
    <t>Cukup Bersih</t>
  </si>
  <si>
    <t>Cukup Tidak Haus</t>
  </si>
  <si>
    <t>Cukup Tidak Lelah</t>
  </si>
  <si>
    <t>Cukup Tidak Kantuk</t>
  </si>
  <si>
    <t>Cukup Kotor</t>
  </si>
  <si>
    <t>Cukup Haus</t>
  </si>
  <si>
    <t>Cukup Lelah</t>
  </si>
  <si>
    <t>Cukup Kantuk</t>
  </si>
  <si>
    <t>Sangat Kotor</t>
  </si>
  <si>
    <t>Sangat Haus</t>
  </si>
  <si>
    <t>Sangat Lelah</t>
  </si>
  <si>
    <t>Sangat Kantuk</t>
  </si>
  <si>
    <t>LAPAR</t>
  </si>
  <si>
    <t xml:space="preserve">Frekuensi </t>
  </si>
  <si>
    <t xml:space="preserve">Ambang Batas </t>
  </si>
  <si>
    <t xml:space="preserve">Sisa 1 kali Urinasi </t>
  </si>
  <si>
    <t xml:space="preserve">Volume 1 kali </t>
  </si>
  <si>
    <t>Tingkat mL)</t>
  </si>
  <si>
    <t>Urinasi Harian</t>
  </si>
  <si>
    <t>Kemih (mL)</t>
  </si>
  <si>
    <t>di Kemih (mL)</t>
  </si>
  <si>
    <t>Urinasi (mL)</t>
  </si>
  <si>
    <t>&lt; 4 kali</t>
  </si>
  <si>
    <t>4-5 kali</t>
  </si>
  <si>
    <t>5-6 kali</t>
  </si>
  <si>
    <t>6-7 kali</t>
  </si>
  <si>
    <t>&gt;7 kali</t>
  </si>
  <si>
    <t>Efek Aktivitas Jalan/JAM</t>
  </si>
  <si>
    <t>Efek Aktivitas Tunda/JAM</t>
  </si>
  <si>
    <t>KAL.B</t>
  </si>
  <si>
    <t>KAL.E</t>
  </si>
  <si>
    <t>1.01</t>
  </si>
  <si>
    <t>1.015</t>
  </si>
  <si>
    <t>1.02</t>
  </si>
  <si>
    <t>1.03</t>
  </si>
  <si>
    <t>1.04</t>
  </si>
  <si>
    <t>1.05</t>
  </si>
  <si>
    <t>-1.075</t>
  </si>
  <si>
    <t>1.025</t>
  </si>
  <si>
    <t>Makan</t>
  </si>
  <si>
    <t>1,3</t>
  </si>
  <si>
    <t>Minum</t>
  </si>
  <si>
    <t>Tidur</t>
  </si>
  <si>
    <t>1 JAM BERIKUTNYA</t>
  </si>
  <si>
    <t>ABILITY</t>
  </si>
  <si>
    <t>TABEL</t>
  </si>
  <si>
    <t>KODE SEL/DATA</t>
  </si>
  <si>
    <t>NILAI</t>
  </si>
  <si>
    <t>Formula</t>
  </si>
  <si>
    <t>Tingkat Ability Terkini</t>
  </si>
  <si>
    <t>Data Fisik</t>
  </si>
  <si>
    <t>Formula di sel KAL. B</t>
  </si>
  <si>
    <t>Copy data 1 jam sebelumnya</t>
  </si>
  <si>
    <t>Formula di sel KAL. B (belum ada kal.)</t>
  </si>
  <si>
    <t>Tingkat Energi Terkini</t>
  </si>
  <si>
    <t>Tingkat IC</t>
  </si>
  <si>
    <t>F5</t>
  </si>
  <si>
    <t>Data Biologis</t>
  </si>
  <si>
    <t>J8</t>
  </si>
  <si>
    <t>1 jam sebelumnya Tidur = Laju*0.25, Bangun = Laju</t>
  </si>
  <si>
    <t>Daftar Efek (Jalan/JAM)</t>
  </si>
  <si>
    <t>H65</t>
  </si>
  <si>
    <t>Daftar Efek (Jalan/Tunda/JAM)</t>
  </si>
  <si>
    <t>KAL. E (belum ada perubahan)</t>
  </si>
  <si>
    <t>KAL. E</t>
  </si>
  <si>
    <t>Tingkat Kelelahan Terkini</t>
  </si>
  <si>
    <t>F22</t>
  </si>
  <si>
    <t>P8</t>
  </si>
  <si>
    <t>1 jam sebelumnya Tidur = -Laju*0.5, Bangun = Laju</t>
  </si>
  <si>
    <t>K65</t>
  </si>
  <si>
    <t>H22</t>
  </si>
  <si>
    <t>R8</t>
  </si>
  <si>
    <t>1 jam sebelumnya Tidur = -Laju, Bangun = Laju*0.25</t>
  </si>
  <si>
    <t>L65</t>
  </si>
  <si>
    <t>KODE KEBIASAAN DI JAM TERTENTU</t>
  </si>
  <si>
    <t>KT/KB</t>
  </si>
  <si>
    <t>KODE TIDUR/BANGUN</t>
  </si>
  <si>
    <t xml:space="preserve">Tingkat Lapar Terkini </t>
  </si>
  <si>
    <t>D29</t>
  </si>
  <si>
    <t>L8</t>
  </si>
  <si>
    <t>1 jam sebelumnya Tidur = Laju*0.125, Bangun = Laju*0.5</t>
  </si>
  <si>
    <t>I65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</si>
  <si>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mL) (ke kal. URINASI)</t>
    </r>
  </si>
  <si>
    <t>50 = konstanta survei</t>
  </si>
  <si>
    <t xml:space="preserve">HAUS </t>
  </si>
  <si>
    <t>D20</t>
  </si>
  <si>
    <t>N8</t>
  </si>
  <si>
    <t>J65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</si>
  <si>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(ke kal. URINASI)</t>
    </r>
  </si>
  <si>
    <t>150 = konstanta survei</t>
  </si>
  <si>
    <t>URINASI</t>
  </si>
  <si>
    <t>Efek Minum di jam sama x 20%</t>
  </si>
  <si>
    <t>Efek Makan di jam sama x 5%</t>
  </si>
  <si>
    <t>Total Body Water</t>
  </si>
  <si>
    <t>D8</t>
  </si>
  <si>
    <t>60/JAM</t>
  </si>
  <si>
    <t>E65</t>
  </si>
  <si>
    <t>Ada di Kemih</t>
  </si>
  <si>
    <t>2 JAM BERIKUTNYA</t>
  </si>
  <si>
    <t>Efek Makan di jam sama</t>
  </si>
  <si>
    <r>
      <t xml:space="preserve">1 kali porsi makan dibagi 6 jam = </t>
    </r>
    <r>
      <rPr>
        <b/>
        <i/>
        <sz val="11"/>
        <color rgb="FFFF0000"/>
        <rFont val="Calibri"/>
        <family val="2"/>
        <scheme val="minor"/>
      </rPr>
      <t>465.83</t>
    </r>
    <r>
      <rPr>
        <sz val="11"/>
        <color theme="1"/>
        <rFont val="Calibri"/>
        <family val="2"/>
        <scheme val="minor"/>
      </rPr>
      <t>/6</t>
    </r>
  </si>
  <si>
    <t>465.83 = konstanta survei</t>
  </si>
  <si>
    <t>Formula = KOLOM 1 JAM BERIKUTNYA</t>
  </si>
  <si>
    <t>F65</t>
  </si>
  <si>
    <t>Ada di Akhir Kolon Menuju Rektum</t>
  </si>
  <si>
    <t>H13</t>
  </si>
  <si>
    <t>KODE BAB/TIDAK</t>
  </si>
  <si>
    <t>B20</t>
  </si>
  <si>
    <t>H8</t>
  </si>
  <si>
    <t>1 jam sebelumnya Tidur = Laju*0.5, Bangun = Laju*0.75</t>
  </si>
  <si>
    <t>G65</t>
  </si>
  <si>
    <t>Tekanan ke Klep Rektum gr/cm2 ke mmhg</t>
  </si>
  <si>
    <t>Variabel</t>
  </si>
  <si>
    <t>Total Lapar 1 jam sebelumnya+Efek makan</t>
  </si>
  <si>
    <t>Total Haus 1 jam sebelumnya+Efek minum</t>
  </si>
  <si>
    <t>Copy "Total Ability 1 jam berikutnya"</t>
  </si>
  <si>
    <t>Copy "Total Energi 1 jam berikutnya"</t>
  </si>
  <si>
    <t>Copy "Total Kelelahan 1 jam berikutnya"</t>
  </si>
  <si>
    <t>Copy "Total Kantuk 1 jam berikutnya"</t>
  </si>
  <si>
    <t>Copy "Total Kotor 1 jam berikutnya"</t>
  </si>
  <si>
    <t>Laju Kelelahan</t>
  </si>
  <si>
    <r>
      <t xml:space="preserve">Laju dari Kolon ke Rektum (*luas penampang kolon = </t>
    </r>
    <r>
      <rPr>
        <b/>
        <i/>
        <sz val="11"/>
        <color rgb="FFFF0000"/>
        <rFont val="Calibri"/>
        <family val="2"/>
        <scheme val="minor"/>
      </rPr>
      <t>0.15</t>
    </r>
    <r>
      <rPr>
        <sz val="11"/>
        <color theme="1"/>
        <rFont val="Calibri"/>
        <family val="2"/>
        <scheme val="minor"/>
      </rPr>
      <t>)</t>
    </r>
  </si>
  <si>
    <t>0.15 = konstanta umum</t>
  </si>
  <si>
    <t>*)Dihitung berdasarkan berat badan ideal = ((tinggi badan – 100) – 10%)*25 kalori (untuk wanita x 25 kalori/kg, untuk pria x 30 kalori/kg)</t>
  </si>
  <si>
    <t>1397.5*</t>
  </si>
  <si>
    <t>F36</t>
  </si>
  <si>
    <t>E36</t>
  </si>
  <si>
    <t>ENERGI (Threshold = 232.916 kal = 0 poin)</t>
  </si>
  <si>
    <r>
      <t xml:space="preserve">Konversi Kalori ke Poin (1 porsi makan = </t>
    </r>
    <r>
      <rPr>
        <b/>
        <i/>
        <sz val="11"/>
        <color rgb="FFFF0000"/>
        <rFont val="Calibri"/>
        <family val="2"/>
        <scheme val="minor"/>
      </rPr>
      <t>465.83</t>
    </r>
    <r>
      <rPr>
        <sz val="11"/>
        <color theme="1"/>
        <rFont val="Calibri"/>
        <family val="2"/>
        <scheme val="minor"/>
      </rPr>
      <t xml:space="preserve"> kal)</t>
    </r>
  </si>
  <si>
    <r>
      <t xml:space="preserve">Konversi Poin ke mL (1 porsi makan = </t>
    </r>
    <r>
      <rPr>
        <b/>
        <i/>
        <sz val="11"/>
        <color theme="3" tint="0.59999389629810485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mL) (URINASI)</t>
    </r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</si>
  <si>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(URINASI)</t>
    </r>
  </si>
  <si>
    <t>LAPAR (threshold = 1164.58 kal (10 poin),  kebiasaan = 931.66 kal (8 poin))</t>
  </si>
  <si>
    <t>DEFEKASI (threshold = 39.085 gr/cm2 = 28.747 mmhg)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</si>
</sst>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"/>
    <numFmt numFmtId="165" formatCode="0.0000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6" fillId="2" borderId="1" applyNumberFormat="0" applyAlignment="0" applyProtection="0"/>
  </cellStyleXfs>
  <cellXfs count="399">
    <xf numFmtId="0" fontId="0" fillId="0" borderId="0" xfId="0"/>
    <xf numFmtId="0" fontId="2" fillId="0" borderId="0" xfId="0" applyFont="1"/>
    <xf numFmtId="0" fontId="2" fillId="3" borderId="14" xfId="0" quotePrefix="1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0" borderId="24" xfId="0" quotePrefix="1" applyBorder="1"/>
    <xf numFmtId="0" fontId="0" fillId="0" borderId="25" xfId="0" applyBorder="1"/>
    <xf numFmtId="0" fontId="0" fillId="0" borderId="25" xfId="0" quotePrefix="1" applyBorder="1"/>
    <xf numFmtId="0" fontId="0" fillId="0" borderId="26" xfId="0" applyBorder="1"/>
    <xf numFmtId="0" fontId="0" fillId="3" borderId="22" xfId="0" quotePrefix="1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31" xfId="0" quotePrefix="1" applyBorder="1"/>
    <xf numFmtId="0" fontId="0" fillId="0" borderId="35" xfId="0" quotePrefix="1" applyBorder="1"/>
    <xf numFmtId="0" fontId="0" fillId="0" borderId="32" xfId="0" quotePrefix="1" applyBorder="1"/>
    <xf numFmtId="0" fontId="0" fillId="4" borderId="31" xfId="0" quotePrefix="1" applyFill="1" applyBorder="1"/>
    <xf numFmtId="0" fontId="0" fillId="0" borderId="31" xfId="0" quotePrefix="1" applyFill="1" applyBorder="1"/>
    <xf numFmtId="0" fontId="0" fillId="0" borderId="38" xfId="0" applyBorder="1"/>
    <xf numFmtId="0" fontId="0" fillId="0" borderId="39" xfId="0" applyBorder="1"/>
    <xf numFmtId="0" fontId="0" fillId="0" borderId="40" xfId="0" quotePrefix="1" applyBorder="1"/>
    <xf numFmtId="0" fontId="0" fillId="3" borderId="16" xfId="0" quotePrefix="1" applyFill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6" xfId="0" quotePrefix="1" applyBorder="1"/>
    <xf numFmtId="0" fontId="0" fillId="0" borderId="47" xfId="0" quotePrefix="1" applyBorder="1"/>
    <xf numFmtId="0" fontId="0" fillId="3" borderId="43" xfId="0" quotePrefix="1" applyFill="1" applyBorder="1"/>
    <xf numFmtId="0" fontId="0" fillId="0" borderId="29" xfId="0" applyBorder="1"/>
    <xf numFmtId="0" fontId="0" fillId="0" borderId="49" xfId="0" applyBorder="1"/>
    <xf numFmtId="0" fontId="0" fillId="3" borderId="29" xfId="0" quotePrefix="1" applyFill="1" applyBorder="1"/>
    <xf numFmtId="0" fontId="0" fillId="0" borderId="33" xfId="0" quotePrefix="1" applyBorder="1"/>
    <xf numFmtId="0" fontId="0" fillId="0" borderId="50" xfId="0" quotePrefix="1" applyBorder="1"/>
    <xf numFmtId="0" fontId="0" fillId="0" borderId="51" xfId="0" quotePrefix="1" applyBorder="1"/>
    <xf numFmtId="0" fontId="0" fillId="0" borderId="51" xfId="0" applyBorder="1"/>
    <xf numFmtId="0" fontId="0" fillId="0" borderId="52" xfId="0" applyBorder="1"/>
    <xf numFmtId="0" fontId="0" fillId="0" borderId="36" xfId="0" applyBorder="1"/>
    <xf numFmtId="0" fontId="0" fillId="0" borderId="54" xfId="0" applyBorder="1"/>
    <xf numFmtId="0" fontId="0" fillId="0" borderId="39" xfId="0" quotePrefix="1" applyBorder="1"/>
    <xf numFmtId="0" fontId="0" fillId="3" borderId="36" xfId="0" quotePrefix="1" applyFill="1" applyBorder="1"/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2" fillId="0" borderId="31" xfId="2" applyFont="1" applyFill="1" applyBorder="1" applyAlignment="1">
      <alignment horizontal="center" vertical="center"/>
    </xf>
    <xf numFmtId="0" fontId="3" fillId="0" borderId="31" xfId="2" applyFill="1" applyBorder="1" applyAlignment="1">
      <alignment horizontal="center"/>
    </xf>
    <xf numFmtId="165" fontId="1" fillId="0" borderId="31" xfId="2" applyNumberFormat="1" applyFont="1" applyFill="1" applyBorder="1" applyAlignment="1">
      <alignment horizontal="center"/>
    </xf>
    <xf numFmtId="0" fontId="3" fillId="0" borderId="0" xfId="2" applyAlignment="1">
      <alignment horizontal="center"/>
    </xf>
    <xf numFmtId="0" fontId="3" fillId="0" borderId="0" xfId="2" applyFill="1" applyAlignment="1">
      <alignment horizontal="center"/>
    </xf>
    <xf numFmtId="0" fontId="3" fillId="0" borderId="0" xfId="2" applyFill="1" applyBorder="1" applyAlignment="1">
      <alignment horizontal="center"/>
    </xf>
    <xf numFmtId="0" fontId="3" fillId="0" borderId="0" xfId="2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57" xfId="0" applyFill="1" applyBorder="1"/>
    <xf numFmtId="0" fontId="0" fillId="0" borderId="0" xfId="0" applyFill="1"/>
    <xf numFmtId="2" fontId="0" fillId="0" borderId="57" xfId="0" applyNumberFormat="1" applyFill="1" applyBorder="1"/>
    <xf numFmtId="2" fontId="0" fillId="0" borderId="0" xfId="0" applyNumberFormat="1" applyFill="1"/>
    <xf numFmtId="164" fontId="0" fillId="0" borderId="58" xfId="1" applyNumberFormat="1" applyFont="1" applyFill="1" applyBorder="1"/>
    <xf numFmtId="164" fontId="0" fillId="0" borderId="20" xfId="1" applyNumberFormat="1" applyFont="1" applyFill="1" applyBorder="1"/>
    <xf numFmtId="164" fontId="0" fillId="0" borderId="0" xfId="0" applyNumberFormat="1" applyFill="1" applyBorder="1"/>
    <xf numFmtId="0" fontId="0" fillId="0" borderId="58" xfId="0" applyFill="1" applyBorder="1" applyAlignment="1">
      <alignment horizontal="left"/>
    </xf>
    <xf numFmtId="2" fontId="0" fillId="0" borderId="58" xfId="0" applyNumberFormat="1" applyFill="1" applyBorder="1"/>
    <xf numFmtId="0" fontId="0" fillId="0" borderId="58" xfId="0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/>
    <xf numFmtId="0" fontId="0" fillId="0" borderId="0" xfId="0" applyFill="1" applyBorder="1"/>
    <xf numFmtId="0" fontId="3" fillId="5" borderId="0" xfId="2" applyFill="1"/>
    <xf numFmtId="0" fontId="3" fillId="0" borderId="0" xfId="2" applyFill="1"/>
    <xf numFmtId="0" fontId="2" fillId="0" borderId="0" xfId="0" applyFont="1" applyFill="1" applyAlignment="1">
      <alignment horizontal="left"/>
    </xf>
    <xf numFmtId="20" fontId="0" fillId="0" borderId="57" xfId="0" applyNumberFormat="1" applyFill="1" applyBorder="1"/>
    <xf numFmtId="20" fontId="0" fillId="0" borderId="0" xfId="0" applyNumberFormat="1" applyFill="1"/>
    <xf numFmtId="164" fontId="0" fillId="0" borderId="57" xfId="0" applyNumberFormat="1" applyFill="1" applyBorder="1"/>
    <xf numFmtId="164" fontId="0" fillId="0" borderId="0" xfId="0" applyNumberFormat="1" applyFill="1"/>
    <xf numFmtId="164" fontId="0" fillId="0" borderId="20" xfId="0" applyNumberFormat="1" applyFill="1" applyBorder="1"/>
    <xf numFmtId="164" fontId="0" fillId="0" borderId="58" xfId="0" applyNumberFormat="1" applyFill="1" applyBorder="1"/>
    <xf numFmtId="0" fontId="0" fillId="0" borderId="58" xfId="0" applyNumberFormat="1" applyFill="1" applyBorder="1" applyAlignment="1">
      <alignment horizontal="left"/>
    </xf>
    <xf numFmtId="0" fontId="0" fillId="0" borderId="58" xfId="0" applyNumberFormat="1" applyFill="1" applyBorder="1"/>
    <xf numFmtId="0" fontId="0" fillId="0" borderId="20" xfId="0" applyFill="1" applyBorder="1"/>
    <xf numFmtId="0" fontId="0" fillId="0" borderId="57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2" fontId="0" fillId="3" borderId="22" xfId="0" quotePrefix="1" applyNumberFormat="1" applyFill="1" applyBorder="1"/>
    <xf numFmtId="2" fontId="0" fillId="3" borderId="16" xfId="0" quotePrefix="1" applyNumberFormat="1" applyFill="1" applyBorder="1"/>
    <xf numFmtId="2" fontId="0" fillId="3" borderId="43" xfId="0" quotePrefix="1" applyNumberFormat="1" applyFill="1" applyBorder="1"/>
    <xf numFmtId="2" fontId="0" fillId="3" borderId="29" xfId="0" quotePrefix="1" applyNumberFormat="1" applyFill="1" applyBorder="1"/>
    <xf numFmtId="2" fontId="0" fillId="3" borderId="36" xfId="0" quotePrefix="1" applyNumberFormat="1" applyFill="1" applyBorder="1"/>
    <xf numFmtId="0" fontId="0" fillId="0" borderId="63" xfId="0" applyFill="1" applyBorder="1"/>
    <xf numFmtId="20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2" fontId="0" fillId="0" borderId="20" xfId="0" applyNumberFormat="1" applyFill="1" applyBorder="1"/>
    <xf numFmtId="0" fontId="0" fillId="0" borderId="66" xfId="0" applyFill="1" applyBorder="1"/>
    <xf numFmtId="0" fontId="0" fillId="0" borderId="66" xfId="0" applyFill="1" applyBorder="1" applyAlignment="1">
      <alignment horizontal="left"/>
    </xf>
    <xf numFmtId="0" fontId="0" fillId="0" borderId="63" xfId="0" applyFill="1" applyBorder="1" applyAlignment="1">
      <alignment horizontal="left"/>
    </xf>
    <xf numFmtId="164" fontId="0" fillId="0" borderId="63" xfId="0" applyNumberFormat="1" applyFill="1" applyBorder="1"/>
    <xf numFmtId="164" fontId="0" fillId="0" borderId="26" xfId="0" applyNumberFormat="1" applyFill="1" applyBorder="1"/>
    <xf numFmtId="0" fontId="0" fillId="0" borderId="55" xfId="0" applyFill="1" applyBorder="1"/>
    <xf numFmtId="164" fontId="0" fillId="0" borderId="66" xfId="0" applyNumberFormat="1" applyFill="1" applyBorder="1"/>
    <xf numFmtId="164" fontId="0" fillId="0" borderId="40" xfId="0" applyNumberFormat="1" applyFill="1" applyBorder="1"/>
    <xf numFmtId="167" fontId="0" fillId="0" borderId="55" xfId="0" applyNumberFormat="1" applyFill="1" applyBorder="1"/>
    <xf numFmtId="167" fontId="0" fillId="0" borderId="32" xfId="0" applyNumberFormat="1" applyFill="1" applyBorder="1"/>
    <xf numFmtId="0" fontId="0" fillId="0" borderId="6" xfId="0" applyFill="1" applyBorder="1" applyAlignment="1">
      <alignment horizontal="left"/>
    </xf>
    <xf numFmtId="164" fontId="0" fillId="0" borderId="7" xfId="0" applyNumberFormat="1" applyFill="1" applyBorder="1"/>
    <xf numFmtId="164" fontId="0" fillId="0" borderId="8" xfId="0" applyNumberFormat="1" applyFill="1" applyBorder="1"/>
    <xf numFmtId="2" fontId="0" fillId="0" borderId="7" xfId="0" applyNumberFormat="1" applyFill="1" applyBorder="1"/>
    <xf numFmtId="2" fontId="0" fillId="0" borderId="8" xfId="0" applyNumberFormat="1" applyFill="1" applyBorder="1"/>
    <xf numFmtId="0" fontId="2" fillId="0" borderId="0" xfId="0" applyFont="1" applyAlignment="1">
      <alignment horizontal="center"/>
    </xf>
    <xf numFmtId="0" fontId="0" fillId="0" borderId="55" xfId="0" applyFill="1" applyBorder="1" applyAlignment="1">
      <alignment horizontal="left"/>
    </xf>
    <xf numFmtId="0" fontId="0" fillId="0" borderId="32" xfId="0" applyFill="1" applyBorder="1"/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0" borderId="58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0" borderId="32" xfId="2" applyFont="1" applyFill="1" applyBorder="1" applyAlignment="1">
      <alignment horizontal="center" vertical="center"/>
    </xf>
    <xf numFmtId="0" fontId="2" fillId="0" borderId="33" xfId="2" applyFont="1" applyFill="1" applyBorder="1" applyAlignment="1">
      <alignment horizontal="center" vertical="center"/>
    </xf>
    <xf numFmtId="0" fontId="2" fillId="0" borderId="32" xfId="2" applyFont="1" applyFill="1" applyBorder="1" applyAlignment="1">
      <alignment horizontal="center" vertical="center" wrapText="1"/>
    </xf>
    <xf numFmtId="0" fontId="2" fillId="0" borderId="3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quotePrefix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0" xfId="2" applyFont="1" applyFill="1" applyAlignment="1">
      <alignment horizontal="center"/>
    </xf>
    <xf numFmtId="0" fontId="3" fillId="0" borderId="67" xfId="2" applyFill="1" applyBorder="1" applyAlignment="1">
      <alignment horizontal="center" vertical="center"/>
    </xf>
    <xf numFmtId="0" fontId="3" fillId="0" borderId="68" xfId="2" applyFill="1" applyBorder="1" applyAlignment="1">
      <alignment horizontal="center" vertical="center"/>
    </xf>
    <xf numFmtId="0" fontId="3" fillId="0" borderId="69" xfId="2" applyFill="1" applyBorder="1" applyAlignment="1">
      <alignment horizontal="center" vertical="center"/>
    </xf>
    <xf numFmtId="0" fontId="3" fillId="0" borderId="43" xfId="2" applyFill="1" applyBorder="1" applyAlignment="1">
      <alignment horizontal="center" vertical="center" wrapText="1"/>
    </xf>
    <xf numFmtId="0" fontId="2" fillId="0" borderId="60" xfId="2" applyFont="1" applyFill="1" applyBorder="1" applyAlignment="1">
      <alignment horizontal="center" vertical="center"/>
    </xf>
    <xf numFmtId="0" fontId="2" fillId="0" borderId="44" xfId="2" applyFont="1" applyFill="1" applyBorder="1" applyAlignment="1">
      <alignment horizontal="center" vertical="center"/>
    </xf>
    <xf numFmtId="0" fontId="3" fillId="0" borderId="70" xfId="2" applyFill="1" applyBorder="1" applyAlignment="1">
      <alignment horizontal="center" vertical="center"/>
    </xf>
    <xf numFmtId="0" fontId="3" fillId="0" borderId="56" xfId="2" applyFill="1" applyBorder="1" applyAlignment="1">
      <alignment horizontal="center" vertical="center"/>
    </xf>
    <xf numFmtId="0" fontId="3" fillId="0" borderId="57" xfId="2" applyFill="1" applyBorder="1" applyAlignment="1">
      <alignment horizontal="center" vertical="center"/>
    </xf>
    <xf numFmtId="0" fontId="3" fillId="0" borderId="29" xfId="2" applyFill="1" applyBorder="1" applyAlignment="1">
      <alignment horizontal="center" vertical="center" wrapText="1"/>
    </xf>
    <xf numFmtId="0" fontId="3" fillId="0" borderId="50" xfId="2" applyFill="1" applyBorder="1" applyAlignment="1">
      <alignment horizontal="center" vertical="center" wrapText="1"/>
    </xf>
    <xf numFmtId="0" fontId="1" fillId="0" borderId="32" xfId="2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1" fillId="0" borderId="49" xfId="2" applyFont="1" applyFill="1" applyBorder="1" applyAlignment="1">
      <alignment horizontal="center" vertical="center"/>
    </xf>
    <xf numFmtId="0" fontId="3" fillId="0" borderId="28" xfId="2" applyFill="1" applyBorder="1" applyAlignment="1">
      <alignment horizontal="center" vertical="center" wrapText="1"/>
    </xf>
    <xf numFmtId="0" fontId="3" fillId="0" borderId="31" xfId="2" applyFill="1" applyBorder="1" applyAlignment="1">
      <alignment horizontal="center" vertical="center"/>
    </xf>
    <xf numFmtId="0" fontId="3" fillId="0" borderId="32" xfId="2" applyFill="1" applyBorder="1" applyAlignment="1">
      <alignment horizontal="center" vertical="center"/>
    </xf>
    <xf numFmtId="0" fontId="3" fillId="0" borderId="34" xfId="2" applyFill="1" applyBorder="1" applyAlignment="1">
      <alignment horizontal="center" vertical="center"/>
    </xf>
    <xf numFmtId="0" fontId="3" fillId="0" borderId="18" xfId="2" applyFill="1" applyBorder="1" applyAlignment="1">
      <alignment horizontal="center" vertical="center"/>
    </xf>
    <xf numFmtId="0" fontId="3" fillId="0" borderId="19" xfId="2" applyFill="1" applyBorder="1" applyAlignment="1">
      <alignment horizontal="center" vertical="center"/>
    </xf>
    <xf numFmtId="0" fontId="3" fillId="0" borderId="20" xfId="2" applyFill="1" applyBorder="1" applyAlignment="1">
      <alignment horizontal="center" vertical="center"/>
    </xf>
    <xf numFmtId="0" fontId="2" fillId="5" borderId="36" xfId="2" applyFont="1" applyFill="1" applyBorder="1" applyAlignment="1">
      <alignment horizontal="center" vertical="center" wrapText="1"/>
    </xf>
    <xf numFmtId="0" fontId="3" fillId="0" borderId="21" xfId="2" applyFill="1" applyBorder="1" applyAlignment="1">
      <alignment horizontal="center" vertical="center" wrapText="1"/>
    </xf>
    <xf numFmtId="0" fontId="3" fillId="0" borderId="39" xfId="2" applyFill="1" applyBorder="1" applyAlignment="1">
      <alignment horizontal="center" vertical="center"/>
    </xf>
    <xf numFmtId="0" fontId="3" fillId="0" borderId="40" xfId="2" applyFill="1" applyBorder="1" applyAlignment="1">
      <alignment horizontal="center" vertical="center"/>
    </xf>
    <xf numFmtId="0" fontId="3" fillId="0" borderId="41" xfId="2" applyFill="1" applyBorder="1" applyAlignment="1">
      <alignment horizontal="center" vertical="center"/>
    </xf>
    <xf numFmtId="0" fontId="3" fillId="0" borderId="70" xfId="2" applyFill="1" applyBorder="1"/>
    <xf numFmtId="0" fontId="3" fillId="0" borderId="56" xfId="2" applyFill="1" applyBorder="1"/>
    <xf numFmtId="0" fontId="3" fillId="0" borderId="57" xfId="2" applyFill="1" applyBorder="1"/>
    <xf numFmtId="0" fontId="3" fillId="0" borderId="20" xfId="2" applyFill="1" applyBorder="1"/>
    <xf numFmtId="167" fontId="3" fillId="5" borderId="16" xfId="2" applyNumberFormat="1" applyFill="1" applyBorder="1"/>
    <xf numFmtId="167" fontId="3" fillId="0" borderId="71" xfId="2" applyNumberFormat="1" applyFill="1" applyBorder="1"/>
    <xf numFmtId="167" fontId="3" fillId="0" borderId="56" xfId="2" applyNumberFormat="1" applyFill="1" applyBorder="1"/>
    <xf numFmtId="167" fontId="3" fillId="0" borderId="57" xfId="2" quotePrefix="1" applyNumberFormat="1" applyFill="1" applyBorder="1"/>
    <xf numFmtId="167" fontId="3" fillId="0" borderId="57" xfId="2" applyNumberFormat="1" applyFill="1" applyBorder="1"/>
    <xf numFmtId="167" fontId="3" fillId="0" borderId="62" xfId="2" applyNumberFormat="1" applyFill="1" applyBorder="1"/>
    <xf numFmtId="0" fontId="3" fillId="0" borderId="11" xfId="2" applyFill="1" applyBorder="1" applyAlignment="1">
      <alignment horizontal="center"/>
    </xf>
    <xf numFmtId="0" fontId="3" fillId="0" borderId="12" xfId="2" applyFill="1" applyBorder="1" applyAlignment="1">
      <alignment horizontal="center"/>
    </xf>
    <xf numFmtId="0" fontId="3" fillId="0" borderId="13" xfId="2" applyFill="1" applyBorder="1" applyAlignment="1">
      <alignment horizontal="center"/>
    </xf>
    <xf numFmtId="0" fontId="2" fillId="5" borderId="14" xfId="2" applyFont="1" applyFill="1" applyBorder="1" applyAlignment="1">
      <alignment horizontal="left"/>
    </xf>
    <xf numFmtId="164" fontId="3" fillId="5" borderId="72" xfId="2" applyNumberFormat="1" applyFill="1" applyBorder="1" applyAlignment="1">
      <alignment horizontal="center"/>
    </xf>
    <xf numFmtId="0" fontId="3" fillId="5" borderId="12" xfId="2" applyFill="1" applyBorder="1" applyAlignment="1">
      <alignment horizontal="center"/>
    </xf>
    <xf numFmtId="0" fontId="3" fillId="5" borderId="15" xfId="2" applyFill="1" applyBorder="1" applyAlignment="1">
      <alignment horizontal="center"/>
    </xf>
    <xf numFmtId="0" fontId="2" fillId="0" borderId="51" xfId="2" applyFont="1" applyFill="1" applyBorder="1" applyAlignment="1">
      <alignment horizontal="center" vertical="center"/>
    </xf>
    <xf numFmtId="0" fontId="2" fillId="0" borderId="52" xfId="2" applyFont="1" applyFill="1" applyBorder="1" applyAlignment="1">
      <alignment horizontal="center" vertical="center"/>
    </xf>
    <xf numFmtId="0" fontId="2" fillId="0" borderId="64" xfId="2" applyFont="1" applyFill="1" applyBorder="1" applyAlignment="1">
      <alignment horizontal="center" vertical="center"/>
    </xf>
    <xf numFmtId="0" fontId="2" fillId="0" borderId="50" xfId="2" applyFont="1" applyFill="1" applyBorder="1" applyAlignment="1">
      <alignment horizontal="center" vertical="center"/>
    </xf>
    <xf numFmtId="0" fontId="2" fillId="0" borderId="56" xfId="2" applyFont="1" applyFill="1" applyBorder="1" applyAlignment="1">
      <alignment horizontal="center" vertical="center"/>
    </xf>
    <xf numFmtId="0" fontId="2" fillId="0" borderId="26" xfId="2" applyFont="1" applyFill="1" applyBorder="1" applyAlignment="1">
      <alignment horizontal="center" vertical="center"/>
    </xf>
    <xf numFmtId="0" fontId="2" fillId="0" borderId="63" xfId="2" applyFont="1" applyFill="1" applyBorder="1" applyAlignment="1">
      <alignment horizontal="center" vertical="center"/>
    </xf>
    <xf numFmtId="0" fontId="2" fillId="0" borderId="28" xfId="2" applyFont="1" applyFill="1" applyBorder="1" applyAlignment="1">
      <alignment horizontal="center" vertical="center"/>
    </xf>
    <xf numFmtId="0" fontId="2" fillId="7" borderId="31" xfId="2" applyFont="1" applyFill="1" applyBorder="1" applyAlignment="1">
      <alignment horizontal="center" vertical="center"/>
    </xf>
    <xf numFmtId="0" fontId="2" fillId="4" borderId="32" xfId="2" applyFont="1" applyFill="1" applyBorder="1" applyAlignment="1">
      <alignment horizontal="center" vertical="center" wrapText="1"/>
    </xf>
    <xf numFmtId="164" fontId="3" fillId="0" borderId="31" xfId="2" applyNumberFormat="1" applyFill="1" applyBorder="1" applyAlignment="1">
      <alignment horizontal="center"/>
    </xf>
    <xf numFmtId="164" fontId="0" fillId="7" borderId="31" xfId="2" applyNumberFormat="1" applyFont="1" applyFill="1" applyBorder="1" applyAlignment="1">
      <alignment horizontal="center"/>
    </xf>
    <xf numFmtId="164" fontId="7" fillId="4" borderId="32" xfId="2" applyNumberFormat="1" applyFont="1" applyFill="1" applyBorder="1" applyAlignment="1">
      <alignment horizontal="center" wrapText="1"/>
    </xf>
    <xf numFmtId="164" fontId="3" fillId="7" borderId="31" xfId="2" applyNumberFormat="1" applyFill="1" applyBorder="1" applyAlignment="1">
      <alignment horizontal="center"/>
    </xf>
    <xf numFmtId="164" fontId="7" fillId="0" borderId="31" xfId="2" applyNumberFormat="1" applyFont="1" applyFill="1" applyBorder="1" applyAlignment="1">
      <alignment horizontal="center"/>
    </xf>
    <xf numFmtId="164" fontId="1" fillId="7" borderId="31" xfId="2" applyNumberFormat="1" applyFont="1" applyFill="1" applyBorder="1" applyAlignment="1">
      <alignment horizontal="center"/>
    </xf>
    <xf numFmtId="165" fontId="1" fillId="7" borderId="31" xfId="2" applyNumberFormat="1" applyFont="1" applyFill="1" applyBorder="1" applyAlignment="1">
      <alignment horizontal="center"/>
    </xf>
    <xf numFmtId="164" fontId="1" fillId="0" borderId="31" xfId="2" applyNumberFormat="1" applyFont="1" applyFill="1" applyBorder="1" applyAlignment="1">
      <alignment horizontal="center"/>
    </xf>
    <xf numFmtId="0" fontId="2" fillId="4" borderId="31" xfId="2" applyFont="1" applyFill="1" applyBorder="1" applyAlignment="1">
      <alignment horizontal="center" vertical="center"/>
    </xf>
    <xf numFmtId="164" fontId="1" fillId="4" borderId="31" xfId="2" applyNumberFormat="1" applyFont="1" applyFill="1" applyBorder="1" applyAlignment="1">
      <alignment horizontal="center"/>
    </xf>
    <xf numFmtId="164" fontId="1" fillId="7" borderId="31" xfId="2" applyNumberFormat="1" applyFont="1" applyFill="1" applyBorder="1" applyAlignment="1">
      <alignment horizontal="center" vertical="center"/>
    </xf>
    <xf numFmtId="1" fontId="1" fillId="4" borderId="32" xfId="2" applyNumberFormat="1" applyFont="1" applyFill="1" applyBorder="1" applyAlignment="1">
      <alignment horizontal="center" wrapText="1"/>
    </xf>
    <xf numFmtId="1" fontId="0" fillId="7" borderId="31" xfId="2" applyNumberFormat="1" applyFont="1" applyFill="1" applyBorder="1" applyAlignment="1">
      <alignment horizontal="center"/>
    </xf>
    <xf numFmtId="164" fontId="7" fillId="4" borderId="31" xfId="2" applyNumberFormat="1" applyFont="1" applyFill="1" applyBorder="1" applyAlignment="1">
      <alignment horizontal="center"/>
    </xf>
    <xf numFmtId="0" fontId="8" fillId="0" borderId="0" xfId="2" applyFont="1" applyFill="1" applyAlignment="1">
      <alignment horizontal="left"/>
    </xf>
    <xf numFmtId="0" fontId="3" fillId="4" borderId="31" xfId="2" applyFill="1" applyBorder="1" applyAlignment="1">
      <alignment horizontal="center"/>
    </xf>
    <xf numFmtId="1" fontId="0" fillId="7" borderId="31" xfId="2" applyNumberFormat="1" applyFont="1" applyFill="1" applyBorder="1" applyAlignment="1">
      <alignment horizontal="center" wrapText="1"/>
    </xf>
    <xf numFmtId="0" fontId="2" fillId="4" borderId="32" xfId="2" applyFont="1" applyFill="1" applyBorder="1" applyAlignment="1">
      <alignment horizontal="center" vertical="center"/>
    </xf>
    <xf numFmtId="0" fontId="2" fillId="7" borderId="31" xfId="2" applyFont="1" applyFill="1" applyBorder="1" applyAlignment="1">
      <alignment horizontal="center" vertical="center" wrapText="1"/>
    </xf>
    <xf numFmtId="2" fontId="1" fillId="4" borderId="32" xfId="2" applyNumberFormat="1" applyFont="1" applyFill="1" applyBorder="1" applyAlignment="1">
      <alignment horizontal="center" wrapText="1"/>
    </xf>
    <xf numFmtId="0" fontId="3" fillId="7" borderId="0" xfId="2" applyFill="1" applyBorder="1" applyAlignment="1">
      <alignment horizontal="center"/>
    </xf>
    <xf numFmtId="0" fontId="9" fillId="0" borderId="0" xfId="2" applyFont="1" applyBorder="1" applyAlignment="1">
      <alignment horizontal="left"/>
    </xf>
    <xf numFmtId="0" fontId="3" fillId="4" borderId="0" xfId="2" applyFill="1" applyBorder="1" applyAlignment="1">
      <alignment horizontal="center"/>
    </xf>
    <xf numFmtId="0" fontId="0" fillId="4" borderId="0" xfId="0" applyFill="1"/>
    <xf numFmtId="0" fontId="0" fillId="7" borderId="0" xfId="0" applyFill="1"/>
    <xf numFmtId="0" fontId="2" fillId="0" borderId="32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31" xfId="0" applyFill="1" applyBorder="1"/>
    <xf numFmtId="0" fontId="0" fillId="4" borderId="31" xfId="0" applyFill="1" applyBorder="1"/>
    <xf numFmtId="0" fontId="0" fillId="0" borderId="51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7" borderId="31" xfId="0" applyFill="1" applyBorder="1"/>
    <xf numFmtId="0" fontId="0" fillId="0" borderId="55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1" xfId="0" applyFont="1" applyBorder="1"/>
    <xf numFmtId="0" fontId="0" fillId="0" borderId="0" xfId="0" applyBorder="1"/>
    <xf numFmtId="2" fontId="0" fillId="4" borderId="31" xfId="0" applyNumberFormat="1" applyFill="1" applyBorder="1"/>
    <xf numFmtId="0" fontId="1" fillId="0" borderId="22" xfId="2" applyFont="1" applyBorder="1" applyAlignment="1">
      <alignment horizontal="center"/>
    </xf>
    <xf numFmtId="0" fontId="5" fillId="0" borderId="23" xfId="2" applyFont="1" applyBorder="1"/>
    <xf numFmtId="0" fontId="0" fillId="0" borderId="24" xfId="0" quotePrefix="1" applyFill="1" applyBorder="1"/>
    <xf numFmtId="0" fontId="0" fillId="0" borderId="25" xfId="0" applyFill="1" applyBorder="1"/>
    <xf numFmtId="0" fontId="0" fillId="0" borderId="25" xfId="0" quotePrefix="1" applyFill="1" applyBorder="1"/>
    <xf numFmtId="0" fontId="0" fillId="0" borderId="26" xfId="0" applyFill="1" applyBorder="1"/>
    <xf numFmtId="0" fontId="1" fillId="0" borderId="29" xfId="2" applyFont="1" applyBorder="1" applyAlignment="1">
      <alignment horizontal="center"/>
    </xf>
    <xf numFmtId="0" fontId="5" fillId="0" borderId="30" xfId="2" applyFont="1" applyBorder="1"/>
    <xf numFmtId="0" fontId="0" fillId="0" borderId="35" xfId="0" quotePrefix="1" applyFill="1" applyBorder="1"/>
    <xf numFmtId="0" fontId="0" fillId="0" borderId="35" xfId="0" applyFill="1" applyBorder="1"/>
    <xf numFmtId="0" fontId="0" fillId="0" borderId="32" xfId="0" quotePrefix="1" applyFill="1" applyBorder="1"/>
    <xf numFmtId="0" fontId="1" fillId="0" borderId="16" xfId="2" applyFont="1" applyBorder="1" applyAlignment="1">
      <alignment horizontal="center"/>
    </xf>
    <xf numFmtId="0" fontId="1" fillId="0" borderId="36" xfId="2" applyFont="1" applyBorder="1" applyAlignment="1">
      <alignment horizontal="center"/>
    </xf>
    <xf numFmtId="0" fontId="5" fillId="0" borderId="37" xfId="2" applyFont="1" applyBorder="1"/>
    <xf numFmtId="0" fontId="0" fillId="0" borderId="39" xfId="0" quotePrefix="1" applyFill="1" applyBorder="1"/>
    <xf numFmtId="0" fontId="0" fillId="0" borderId="27" xfId="0" applyFill="1" applyBorder="1"/>
    <xf numFmtId="0" fontId="0" fillId="0" borderId="46" xfId="0" applyFill="1" applyBorder="1"/>
    <xf numFmtId="0" fontId="0" fillId="0" borderId="46" xfId="0" quotePrefix="1" applyFill="1" applyBorder="1"/>
    <xf numFmtId="0" fontId="0" fillId="0" borderId="48" xfId="0" quotePrefix="1" applyFill="1" applyBorder="1"/>
    <xf numFmtId="0" fontId="0" fillId="0" borderId="34" xfId="0" quotePrefix="1" applyFill="1" applyBorder="1"/>
    <xf numFmtId="0" fontId="0" fillId="4" borderId="29" xfId="0" applyFill="1" applyBorder="1"/>
    <xf numFmtId="0" fontId="0" fillId="4" borderId="49" xfId="0" applyFill="1" applyBorder="1"/>
    <xf numFmtId="0" fontId="0" fillId="4" borderId="33" xfId="0" applyFill="1" applyBorder="1"/>
    <xf numFmtId="0" fontId="0" fillId="4" borderId="32" xfId="0" quotePrefix="1" applyFill="1" applyBorder="1"/>
    <xf numFmtId="0" fontId="0" fillId="0" borderId="34" xfId="0" applyFill="1" applyBorder="1"/>
    <xf numFmtId="0" fontId="0" fillId="0" borderId="53" xfId="0" quotePrefix="1" applyFill="1" applyBorder="1"/>
    <xf numFmtId="0" fontId="0" fillId="0" borderId="51" xfId="0" quotePrefix="1" applyFill="1" applyBorder="1"/>
    <xf numFmtId="0" fontId="0" fillId="0" borderId="51" xfId="0" applyFill="1" applyBorder="1"/>
    <xf numFmtId="0" fontId="0" fillId="0" borderId="38" xfId="0" applyFill="1" applyBorder="1"/>
    <xf numFmtId="0" fontId="0" fillId="0" borderId="39" xfId="0" applyFill="1" applyBorder="1"/>
    <xf numFmtId="0" fontId="0" fillId="0" borderId="41" xfId="0" quotePrefix="1" applyFill="1" applyBorder="1"/>
    <xf numFmtId="0" fontId="0" fillId="4" borderId="61" xfId="0" applyFill="1" applyBorder="1"/>
    <xf numFmtId="0" fontId="0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59" xfId="0" applyFont="1" applyBorder="1"/>
    <xf numFmtId="0" fontId="2" fillId="0" borderId="27" xfId="0" applyFont="1" applyBorder="1"/>
    <xf numFmtId="0" fontId="2" fillId="0" borderId="46" xfId="0" applyFont="1" applyBorder="1" applyAlignment="1">
      <alignment horizontal="center"/>
    </xf>
    <xf numFmtId="0" fontId="2" fillId="0" borderId="47" xfId="0" applyFont="1" applyBorder="1"/>
    <xf numFmtId="0" fontId="2" fillId="0" borderId="59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8" xfId="0" applyFont="1" applyBorder="1"/>
    <xf numFmtId="0" fontId="2" fillId="5" borderId="0" xfId="0" applyFont="1" applyFill="1" applyAlignment="1">
      <alignment horizontal="left" vertical="center"/>
    </xf>
    <xf numFmtId="0" fontId="0" fillId="0" borderId="30" xfId="0" applyBorder="1"/>
    <xf numFmtId="0" fontId="2" fillId="0" borderId="35" xfId="0" applyFont="1" applyBorder="1"/>
    <xf numFmtId="0" fontId="2" fillId="0" borderId="32" xfId="0" applyFont="1" applyBorder="1" applyAlignment="1">
      <alignment horizontal="center"/>
    </xf>
    <xf numFmtId="164" fontId="0" fillId="5" borderId="32" xfId="0" applyNumberFormat="1" applyFont="1" applyFill="1" applyBorder="1"/>
    <xf numFmtId="0" fontId="0" fillId="0" borderId="30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164" fontId="0" fillId="8" borderId="34" xfId="0" applyNumberFormat="1" applyFont="1" applyFill="1" applyBorder="1"/>
    <xf numFmtId="0" fontId="0" fillId="7" borderId="0" xfId="0" applyFill="1" applyAlignment="1">
      <alignment horizontal="left" vertical="center"/>
    </xf>
    <xf numFmtId="0" fontId="0" fillId="0" borderId="55" xfId="0" applyFont="1" applyBorder="1" applyAlignment="1">
      <alignment horizontal="center"/>
    </xf>
    <xf numFmtId="0" fontId="0" fillId="0" borderId="32" xfId="0" applyFont="1" applyBorder="1" applyAlignment="1"/>
    <xf numFmtId="0" fontId="0" fillId="0" borderId="49" xfId="0" applyFont="1" applyBorder="1" applyAlignment="1">
      <alignment horizontal="center"/>
    </xf>
    <xf numFmtId="0" fontId="0" fillId="8" borderId="0" xfId="0" applyFill="1"/>
    <xf numFmtId="0" fontId="0" fillId="0" borderId="0" xfId="0" applyAlignment="1">
      <alignment horizontal="left" vertical="center"/>
    </xf>
    <xf numFmtId="0" fontId="0" fillId="0" borderId="65" xfId="0" applyBorder="1"/>
    <xf numFmtId="0" fontId="0" fillId="0" borderId="37" xfId="0" applyBorder="1"/>
    <xf numFmtId="0" fontId="0" fillId="0" borderId="37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0" fillId="8" borderId="40" xfId="0" applyFont="1" applyFill="1" applyBorder="1" applyAlignment="1"/>
    <xf numFmtId="0" fontId="0" fillId="0" borderId="66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0" fillId="8" borderId="34" xfId="0" applyFont="1" applyFill="1" applyBorder="1" applyAlignment="1"/>
    <xf numFmtId="0" fontId="0" fillId="5" borderId="30" xfId="0" applyFont="1" applyFill="1" applyBorder="1" applyAlignment="1">
      <alignment horizontal="center"/>
    </xf>
    <xf numFmtId="0" fontId="0" fillId="5" borderId="55" xfId="0" applyFont="1" applyFill="1" applyBorder="1" applyAlignment="1">
      <alignment horizontal="center"/>
    </xf>
    <xf numFmtId="0" fontId="0" fillId="5" borderId="49" xfId="0" applyFont="1" applyFill="1" applyBorder="1" applyAlignment="1">
      <alignment horizontal="center"/>
    </xf>
    <xf numFmtId="164" fontId="0" fillId="7" borderId="32" xfId="0" applyNumberFormat="1" applyFont="1" applyFill="1" applyBorder="1"/>
    <xf numFmtId="0" fontId="0" fillId="7" borderId="30" xfId="0" applyFont="1" applyFill="1" applyBorder="1" applyAlignment="1">
      <alignment horizontal="center"/>
    </xf>
    <xf numFmtId="0" fontId="0" fillId="7" borderId="55" xfId="0" applyFont="1" applyFill="1" applyBorder="1" applyAlignment="1">
      <alignment horizontal="center"/>
    </xf>
    <xf numFmtId="0" fontId="0" fillId="7" borderId="49" xfId="0" applyFont="1" applyFill="1" applyBorder="1" applyAlignment="1">
      <alignment horizontal="center"/>
    </xf>
    <xf numFmtId="164" fontId="0" fillId="0" borderId="32" xfId="0" applyNumberFormat="1" applyFont="1" applyBorder="1"/>
    <xf numFmtId="0" fontId="0" fillId="8" borderId="32" xfId="0" applyFont="1" applyFill="1" applyBorder="1" applyAlignment="1"/>
    <xf numFmtId="0" fontId="0" fillId="0" borderId="40" xfId="0" applyFont="1" applyBorder="1" applyAlignment="1"/>
    <xf numFmtId="164" fontId="0" fillId="8" borderId="32" xfId="0" applyNumberFormat="1" applyFont="1" applyFill="1" applyBorder="1"/>
    <xf numFmtId="164" fontId="0" fillId="0" borderId="34" xfId="0" applyNumberFormat="1" applyFont="1" applyBorder="1"/>
    <xf numFmtId="164" fontId="0" fillId="0" borderId="40" xfId="0" applyNumberFormat="1" applyFont="1" applyBorder="1"/>
    <xf numFmtId="164" fontId="0" fillId="0" borderId="41" xfId="0" applyNumberFormat="1" applyFont="1" applyBorder="1"/>
    <xf numFmtId="0" fontId="7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0" fillId="8" borderId="40" xfId="0" applyNumberFormat="1" applyFont="1" applyFill="1" applyBorder="1"/>
    <xf numFmtId="0" fontId="2" fillId="6" borderId="35" xfId="0" applyFont="1" applyFill="1" applyBorder="1"/>
    <xf numFmtId="0" fontId="2" fillId="6" borderId="31" xfId="0" applyFont="1" applyFill="1" applyBorder="1" applyAlignment="1">
      <alignment horizontal="center"/>
    </xf>
    <xf numFmtId="164" fontId="0" fillId="6" borderId="32" xfId="0" applyNumberFormat="1" applyFont="1" applyFill="1" applyBorder="1"/>
    <xf numFmtId="0" fontId="0" fillId="6" borderId="30" xfId="0" applyFont="1" applyFill="1" applyBorder="1" applyAlignment="1">
      <alignment horizontal="center"/>
    </xf>
    <xf numFmtId="0" fontId="0" fillId="6" borderId="55" xfId="0" applyFont="1" applyFill="1" applyBorder="1" applyAlignment="1">
      <alignment horizontal="center"/>
    </xf>
    <xf numFmtId="0" fontId="0" fillId="6" borderId="49" xfId="0" applyFont="1" applyFill="1" applyBorder="1" applyAlignment="1">
      <alignment horizontal="center"/>
    </xf>
    <xf numFmtId="0" fontId="0" fillId="6" borderId="0" xfId="0" applyFill="1"/>
    <xf numFmtId="0" fontId="2" fillId="0" borderId="56" xfId="0" applyFont="1" applyFill="1" applyBorder="1" applyAlignment="1">
      <alignment horizontal="right"/>
    </xf>
    <xf numFmtId="0" fontId="0" fillId="0" borderId="56" xfId="0" applyFill="1" applyBorder="1" applyAlignment="1">
      <alignment horizontal="right"/>
    </xf>
    <xf numFmtId="164" fontId="0" fillId="0" borderId="19" xfId="0" applyNumberFormat="1" applyFill="1" applyBorder="1"/>
    <xf numFmtId="2" fontId="0" fillId="0" borderId="56" xfId="0" applyNumberFormat="1" applyFill="1" applyBorder="1"/>
    <xf numFmtId="164" fontId="0" fillId="0" borderId="39" xfId="0" applyNumberFormat="1" applyFill="1" applyBorder="1"/>
    <xf numFmtId="164" fontId="0" fillId="0" borderId="56" xfId="0" applyNumberFormat="1" applyFill="1" applyBorder="1"/>
    <xf numFmtId="2" fontId="0" fillId="0" borderId="19" xfId="0" applyNumberFormat="1" applyFill="1" applyBorder="1" applyAlignment="1">
      <alignment horizontal="right"/>
    </xf>
    <xf numFmtId="2" fontId="0" fillId="0" borderId="56" xfId="0" applyNumberFormat="1" applyFill="1" applyBorder="1" applyAlignment="1">
      <alignment horizontal="right"/>
    </xf>
    <xf numFmtId="0" fontId="0" fillId="0" borderId="56" xfId="0" applyFill="1" applyBorder="1"/>
    <xf numFmtId="167" fontId="0" fillId="0" borderId="31" xfId="0" applyNumberFormat="1" applyFill="1" applyBorder="1"/>
    <xf numFmtId="0" fontId="0" fillId="0" borderId="19" xfId="0" applyFill="1" applyBorder="1"/>
    <xf numFmtId="2" fontId="0" fillId="0" borderId="12" xfId="0" applyNumberFormat="1" applyFill="1" applyBorder="1"/>
    <xf numFmtId="0" fontId="2" fillId="0" borderId="58" xfId="0" applyFont="1" applyFill="1" applyBorder="1" applyAlignment="1">
      <alignment horizontal="left"/>
    </xf>
    <xf numFmtId="0" fontId="2" fillId="0" borderId="5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right"/>
    </xf>
    <xf numFmtId="20" fontId="0" fillId="0" borderId="58" xfId="0" applyNumberFormat="1" applyFill="1" applyBorder="1"/>
    <xf numFmtId="20" fontId="0" fillId="0" borderId="20" xfId="0" applyNumberFormat="1" applyFill="1" applyBorder="1"/>
    <xf numFmtId="164" fontId="0" fillId="5" borderId="56" xfId="0" applyNumberFormat="1" applyFill="1" applyBorder="1" applyAlignment="1">
      <alignment horizontal="right"/>
    </xf>
    <xf numFmtId="164" fontId="0" fillId="8" borderId="19" xfId="0" applyNumberFormat="1" applyFill="1" applyBorder="1"/>
    <xf numFmtId="164" fontId="0" fillId="8" borderId="0" xfId="0" applyNumberFormat="1" applyFill="1" applyBorder="1"/>
    <xf numFmtId="164" fontId="0" fillId="8" borderId="25" xfId="0" applyNumberFormat="1" applyFill="1" applyBorder="1"/>
    <xf numFmtId="164" fontId="0" fillId="8" borderId="19" xfId="1" applyNumberFormat="1" applyFont="1" applyFill="1" applyBorder="1"/>
    <xf numFmtId="164" fontId="0" fillId="8" borderId="56" xfId="0" applyNumberFormat="1" applyFill="1" applyBorder="1"/>
    <xf numFmtId="164" fontId="0" fillId="0" borderId="32" xfId="0" applyNumberFormat="1" applyFont="1" applyFill="1" applyBorder="1"/>
    <xf numFmtId="0" fontId="0" fillId="5" borderId="0" xfId="0" applyFill="1" applyAlignment="1">
      <alignment horizontal="left"/>
    </xf>
    <xf numFmtId="164" fontId="0" fillId="5" borderId="0" xfId="0" applyNumberFormat="1" applyFill="1" applyBorder="1"/>
    <xf numFmtId="164" fontId="0" fillId="5" borderId="0" xfId="0" applyNumberFormat="1" applyFill="1"/>
    <xf numFmtId="164" fontId="0" fillId="5" borderId="57" xfId="0" applyNumberFormat="1" applyFill="1" applyBorder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56" xfId="0" applyFill="1" applyBorder="1" applyAlignment="1">
      <alignment horizontal="right"/>
    </xf>
    <xf numFmtId="0" fontId="0" fillId="6" borderId="0" xfId="0" applyFill="1" applyBorder="1"/>
    <xf numFmtId="0" fontId="0" fillId="6" borderId="57" xfId="0" applyFill="1" applyBorder="1"/>
    <xf numFmtId="164" fontId="0" fillId="8" borderId="0" xfId="0" applyNumberFormat="1" applyFill="1"/>
    <xf numFmtId="2" fontId="0" fillId="6" borderId="57" xfId="0" applyNumberFormat="1" applyFill="1" applyBorder="1"/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 vertical="center"/>
    </xf>
    <xf numFmtId="2" fontId="0" fillId="7" borderId="56" xfId="0" applyNumberFormat="1" applyFill="1" applyBorder="1" applyAlignment="1">
      <alignment horizontal="right"/>
    </xf>
    <xf numFmtId="2" fontId="0" fillId="7" borderId="0" xfId="0" applyNumberFormat="1" applyFill="1" applyBorder="1"/>
    <xf numFmtId="2" fontId="0" fillId="7" borderId="57" xfId="0" applyNumberFormat="1" applyFill="1" applyBorder="1"/>
    <xf numFmtId="2" fontId="0" fillId="7" borderId="0" xfId="0" applyNumberFormat="1" applyFill="1"/>
    <xf numFmtId="164" fontId="0" fillId="6" borderId="56" xfId="0" applyNumberFormat="1" applyFill="1" applyBorder="1" applyAlignment="1">
      <alignment horizontal="right"/>
    </xf>
    <xf numFmtId="164" fontId="0" fillId="6" borderId="0" xfId="0" applyNumberFormat="1" applyFill="1" applyBorder="1" applyAlignment="1">
      <alignment horizontal="right"/>
    </xf>
    <xf numFmtId="164" fontId="0" fillId="6" borderId="0" xfId="0" applyNumberFormat="1" applyFill="1" applyAlignment="1">
      <alignment horizontal="right"/>
    </xf>
    <xf numFmtId="164" fontId="0" fillId="6" borderId="0" xfId="0" applyNumberFormat="1" applyFill="1"/>
    <xf numFmtId="164" fontId="0" fillId="6" borderId="57" xfId="0" applyNumberFormat="1" applyFill="1" applyBorder="1"/>
    <xf numFmtId="0" fontId="0" fillId="6" borderId="56" xfId="0" applyFill="1" applyBorder="1"/>
    <xf numFmtId="0" fontId="0" fillId="7" borderId="56" xfId="0" applyFill="1" applyBorder="1" applyAlignment="1">
      <alignment horizontal="right"/>
    </xf>
    <xf numFmtId="0" fontId="0" fillId="7" borderId="0" xfId="0" applyFill="1" applyBorder="1"/>
    <xf numFmtId="0" fontId="0" fillId="7" borderId="57" xfId="0" applyFill="1" applyBorder="1"/>
    <xf numFmtId="164" fontId="0" fillId="5" borderId="56" xfId="0" applyNumberFormat="1" applyFill="1" applyBorder="1"/>
    <xf numFmtId="2" fontId="0" fillId="5" borderId="56" xfId="0" applyNumberFormat="1" applyFill="1" applyBorder="1" applyAlignment="1">
      <alignment horizontal="right"/>
    </xf>
    <xf numFmtId="0" fontId="0" fillId="5" borderId="56" xfId="0" applyFill="1" applyBorder="1" applyAlignment="1">
      <alignment horizontal="right"/>
    </xf>
    <xf numFmtId="0" fontId="0" fillId="5" borderId="32" xfId="0" applyFont="1" applyFill="1" applyBorder="1" applyAlignment="1"/>
    <xf numFmtId="0" fontId="0" fillId="5" borderId="65" xfId="0" applyFont="1" applyFill="1" applyBorder="1" applyAlignment="1">
      <alignment horizontal="center"/>
    </xf>
    <xf numFmtId="0" fontId="0" fillId="5" borderId="64" xfId="0" applyFont="1" applyFill="1" applyBorder="1" applyAlignment="1">
      <alignment horizontal="center"/>
    </xf>
    <xf numFmtId="0" fontId="0" fillId="5" borderId="52" xfId="0" applyFont="1" applyFill="1" applyBorder="1" applyAlignment="1"/>
    <xf numFmtId="2" fontId="0" fillId="5" borderId="0" xfId="0" applyNumberFormat="1" applyFill="1"/>
    <xf numFmtId="0" fontId="0" fillId="5" borderId="56" xfId="0" applyFill="1" applyBorder="1"/>
    <xf numFmtId="0" fontId="0" fillId="5" borderId="12" xfId="0" applyFill="1" applyBorder="1" applyAlignment="1">
      <alignment horizontal="right"/>
    </xf>
    <xf numFmtId="164" fontId="0" fillId="5" borderId="12" xfId="0" applyNumberFormat="1" applyFill="1" applyBorder="1"/>
    <xf numFmtId="2" fontId="0" fillId="5" borderId="56" xfId="0" applyNumberFormat="1" applyFill="1" applyBorder="1"/>
    <xf numFmtId="0" fontId="7" fillId="0" borderId="0" xfId="0" applyFont="1"/>
    <xf numFmtId="0" fontId="2" fillId="0" borderId="0" xfId="0" applyFont="1" applyFill="1"/>
    <xf numFmtId="0" fontId="7" fillId="5" borderId="31" xfId="0" applyFont="1" applyFill="1" applyBorder="1"/>
    <xf numFmtId="0" fontId="10" fillId="0" borderId="0" xfId="0" applyFont="1"/>
    <xf numFmtId="0" fontId="4" fillId="0" borderId="0" xfId="0" applyFont="1"/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4">
    <cellStyle name="Comma" xfId="1" builtinId="3"/>
    <cellStyle name="Normal" xfId="0" builtinId="0"/>
    <cellStyle name="Normal 2" xfId="2"/>
    <cellStyle name="Output 2" xfId="3"/>
  </cellStyles>
  <dxfs count="0"/>
  <tableStyles count="0" defaultTableStyle="TableStyleMedium2" defaultPivotStyle="PivotStyleLight16"/>
  <colors>
    <mruColors>
      <color rgb="FFFF9966"/>
      <color rgb="FFCC99FF"/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1"/>
  <sheetViews>
    <sheetView zoomScale="115" zoomScaleNormal="115" workbookViewId="0">
      <selection activeCell="H8" sqref="H8:N8"/>
    </sheetView>
  </sheetViews>
  <sheetFormatPr defaultRowHeight="15" x14ac:dyDescent="0.25"/>
  <cols>
    <col min="1" max="1" width="9.140625" style="69"/>
    <col min="2" max="2" width="3.5703125" style="69" bestFit="1" customWidth="1"/>
    <col min="3" max="3" width="8.85546875" style="69" bestFit="1" customWidth="1"/>
    <col min="4" max="4" width="5.5703125" style="69" bestFit="1" customWidth="1"/>
    <col min="5" max="6" width="6.7109375" style="69" customWidth="1"/>
    <col min="7" max="7" width="7.140625" style="69" bestFit="1" customWidth="1"/>
    <col min="8" max="8" width="12" style="69" customWidth="1"/>
    <col min="9" max="9" width="7.5703125" style="69" bestFit="1" customWidth="1"/>
    <col min="10" max="10" width="7" style="69" customWidth="1"/>
    <col min="11" max="11" width="7.5703125" style="69" customWidth="1"/>
    <col min="12" max="12" width="10.85546875" style="69" customWidth="1"/>
    <col min="13" max="13" width="7.5703125" style="69" customWidth="1"/>
    <col min="14" max="14" width="11.42578125" style="69" customWidth="1"/>
    <col min="15" max="16384" width="9.140625" style="69"/>
  </cols>
  <sheetData>
    <row r="2" spans="2:14" ht="15.75" thickBot="1" x14ac:dyDescent="0.3">
      <c r="B2" s="138" t="s">
        <v>162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2:14" x14ac:dyDescent="0.25">
      <c r="B3" s="139" t="s">
        <v>116</v>
      </c>
      <c r="C3" s="140" t="s">
        <v>85</v>
      </c>
      <c r="D3" s="140" t="s">
        <v>1</v>
      </c>
      <c r="E3" s="140" t="s">
        <v>163</v>
      </c>
      <c r="F3" s="141" t="s">
        <v>164</v>
      </c>
      <c r="G3" s="142" t="s">
        <v>165</v>
      </c>
      <c r="H3" s="143" t="s">
        <v>166</v>
      </c>
      <c r="I3" s="143"/>
      <c r="J3" s="143"/>
      <c r="K3" s="143"/>
      <c r="L3" s="143"/>
      <c r="M3" s="143"/>
      <c r="N3" s="144"/>
    </row>
    <row r="4" spans="2:14" ht="15" customHeight="1" x14ac:dyDescent="0.25">
      <c r="B4" s="145"/>
      <c r="C4" s="146"/>
      <c r="D4" s="146"/>
      <c r="E4" s="146"/>
      <c r="F4" s="147"/>
      <c r="G4" s="148"/>
      <c r="H4" s="149" t="s">
        <v>167</v>
      </c>
      <c r="I4" s="150" t="s">
        <v>168</v>
      </c>
      <c r="J4" s="151"/>
      <c r="K4" s="150" t="s">
        <v>169</v>
      </c>
      <c r="L4" s="151"/>
      <c r="M4" s="150" t="s">
        <v>170</v>
      </c>
      <c r="N4" s="152"/>
    </row>
    <row r="5" spans="2:14" x14ac:dyDescent="0.25">
      <c r="B5" s="145"/>
      <c r="C5" s="146"/>
      <c r="D5" s="146"/>
      <c r="E5" s="146"/>
      <c r="F5" s="147"/>
      <c r="G5" s="148"/>
      <c r="H5" s="153"/>
      <c r="I5" s="154" t="s">
        <v>171</v>
      </c>
      <c r="J5" s="154" t="s">
        <v>172</v>
      </c>
      <c r="K5" s="154" t="s">
        <v>171</v>
      </c>
      <c r="L5" s="155" t="s">
        <v>173</v>
      </c>
      <c r="M5" s="155" t="s">
        <v>171</v>
      </c>
      <c r="N5" s="156" t="s">
        <v>174</v>
      </c>
    </row>
    <row r="6" spans="2:14" ht="15.75" thickBot="1" x14ac:dyDescent="0.3">
      <c r="B6" s="157"/>
      <c r="C6" s="158"/>
      <c r="D6" s="158"/>
      <c r="E6" s="158"/>
      <c r="F6" s="159"/>
      <c r="G6" s="160" t="s">
        <v>175</v>
      </c>
      <c r="H6" s="161"/>
      <c r="I6" s="162"/>
      <c r="J6" s="163"/>
      <c r="K6" s="162"/>
      <c r="L6" s="163"/>
      <c r="M6" s="163"/>
      <c r="N6" s="164"/>
    </row>
    <row r="7" spans="2:14" ht="15.75" thickBot="1" x14ac:dyDescent="0.3">
      <c r="B7" s="165">
        <v>1</v>
      </c>
      <c r="C7" s="166" t="s">
        <v>86</v>
      </c>
      <c r="D7" s="167" t="s">
        <v>87</v>
      </c>
      <c r="E7" s="167">
        <v>156</v>
      </c>
      <c r="F7" s="168">
        <v>60</v>
      </c>
      <c r="G7" s="169">
        <f>((E7-100)-10%)*25</f>
        <v>1397.5</v>
      </c>
      <c r="H7" s="170">
        <v>1.6</v>
      </c>
      <c r="I7" s="171">
        <v>0.9</v>
      </c>
      <c r="J7" s="172"/>
      <c r="K7" s="171">
        <v>1</v>
      </c>
      <c r="L7" s="172"/>
      <c r="M7" s="173">
        <v>1</v>
      </c>
      <c r="N7" s="174"/>
    </row>
    <row r="8" spans="2:14" ht="15.75" thickBot="1" x14ac:dyDescent="0.3">
      <c r="B8" s="175" t="s">
        <v>176</v>
      </c>
      <c r="C8" s="176"/>
      <c r="D8" s="176"/>
      <c r="E8" s="176"/>
      <c r="F8" s="177"/>
      <c r="G8" s="178" t="s">
        <v>161</v>
      </c>
      <c r="H8" s="179">
        <f>10-(H7+I7+K7+M7)/4</f>
        <v>8.875</v>
      </c>
      <c r="I8" s="180"/>
      <c r="J8" s="180"/>
      <c r="K8" s="180"/>
      <c r="L8" s="180"/>
      <c r="M8" s="180"/>
      <c r="N8" s="181"/>
    </row>
    <row r="9" spans="2:14" ht="15.75" thickBot="1" x14ac:dyDescent="0.3">
      <c r="B9" s="175" t="s">
        <v>177</v>
      </c>
      <c r="C9" s="176"/>
      <c r="D9" s="176"/>
      <c r="E9" s="176"/>
      <c r="F9" s="177"/>
      <c r="G9" s="178" t="s">
        <v>178</v>
      </c>
      <c r="H9" s="179">
        <f>F7*55%*1000</f>
        <v>33000</v>
      </c>
      <c r="I9" s="180"/>
      <c r="J9" s="180"/>
      <c r="K9" s="180"/>
      <c r="L9" s="180"/>
      <c r="M9" s="180"/>
      <c r="N9" s="181"/>
    </row>
    <row r="11" spans="2:14" x14ac:dyDescent="0.25">
      <c r="B11" s="68" t="s">
        <v>179</v>
      </c>
      <c r="C11" s="68"/>
      <c r="D11" s="68"/>
    </row>
  </sheetData>
  <mergeCells count="16">
    <mergeCell ref="K4:L4"/>
    <mergeCell ref="M4:N4"/>
    <mergeCell ref="B8:E8"/>
    <mergeCell ref="H8:N8"/>
    <mergeCell ref="B9:E9"/>
    <mergeCell ref="H9:N9"/>
    <mergeCell ref="B2:N2"/>
    <mergeCell ref="B3:B6"/>
    <mergeCell ref="C3:C6"/>
    <mergeCell ref="D3:D6"/>
    <mergeCell ref="E3:E6"/>
    <mergeCell ref="F3:F6"/>
    <mergeCell ref="G3:G5"/>
    <mergeCell ref="H3:N3"/>
    <mergeCell ref="H4:H5"/>
    <mergeCell ref="I4:J4"/>
  </mergeCells>
  <pageMargins left="0.7" right="0.7" top="0.75" bottom="0.75" header="0.3" footer="0.3"/>
  <pageSetup paperSize="8" scale="9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1019"/>
  <sheetViews>
    <sheetView showGridLines="0" zoomScale="85" zoomScaleNormal="85" zoomScalePageLayoutView="80" workbookViewId="0">
      <selection activeCell="D7" sqref="D7:D8"/>
    </sheetView>
  </sheetViews>
  <sheetFormatPr defaultColWidth="8.85546875" defaultRowHeight="15" x14ac:dyDescent="0.25"/>
  <cols>
    <col min="1" max="1" width="8.85546875" style="50"/>
    <col min="2" max="2" width="8.85546875" style="50" bestFit="1" customWidth="1"/>
    <col min="3" max="3" width="5.5703125" style="50" bestFit="1" customWidth="1"/>
    <col min="4" max="4" width="20.7109375" style="50" customWidth="1"/>
    <col min="5" max="5" width="22.85546875" style="50" customWidth="1"/>
    <col min="6" max="6" width="31.140625" style="50" customWidth="1"/>
    <col min="7" max="7" width="35.28515625" style="50" customWidth="1"/>
    <col min="8" max="8" width="22.7109375" style="50" customWidth="1"/>
    <col min="9" max="9" width="24.7109375" style="50" customWidth="1"/>
    <col min="10" max="10" width="12.7109375" style="50" customWidth="1"/>
    <col min="11" max="11" width="14.85546875" style="50" customWidth="1"/>
    <col min="12" max="12" width="23" style="50" customWidth="1"/>
    <col min="13" max="13" width="25" style="50" customWidth="1"/>
    <col min="14" max="14" width="23.42578125" style="50" customWidth="1"/>
    <col min="15" max="15" width="25.5703125" style="50" customWidth="1"/>
    <col min="16" max="16" width="11.85546875" style="50" customWidth="1"/>
    <col min="17" max="17" width="14" style="50" customWidth="1"/>
    <col min="18" max="18" width="13.42578125" style="50" customWidth="1"/>
    <col min="19" max="19" width="15.42578125" style="50" customWidth="1"/>
    <col min="20" max="20" width="7.28515625" style="50" customWidth="1"/>
    <col min="21" max="16384" width="8.85546875" style="50"/>
  </cols>
  <sheetData>
    <row r="2" spans="2:19" s="45" customFormat="1" ht="28.35" customHeight="1" x14ac:dyDescent="0.25">
      <c r="B2" s="182" t="s">
        <v>85</v>
      </c>
      <c r="C2" s="182" t="s">
        <v>1</v>
      </c>
      <c r="D2" s="183" t="s">
        <v>180</v>
      </c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5"/>
    </row>
    <row r="3" spans="2:19" s="45" customFormat="1" ht="28.35" customHeight="1" x14ac:dyDescent="0.25">
      <c r="B3" s="186"/>
      <c r="C3" s="186"/>
      <c r="D3" s="187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9"/>
    </row>
    <row r="4" spans="2:19" s="46" customFormat="1" ht="15.75" customHeight="1" x14ac:dyDescent="0.25">
      <c r="B4" s="48" t="s">
        <v>86</v>
      </c>
      <c r="C4" s="48" t="s">
        <v>87</v>
      </c>
      <c r="D4" s="124" t="s">
        <v>3</v>
      </c>
      <c r="E4" s="125"/>
      <c r="F4" s="124" t="s">
        <v>4</v>
      </c>
      <c r="G4" s="125"/>
      <c r="H4" s="126" t="s">
        <v>5</v>
      </c>
      <c r="I4" s="127"/>
      <c r="J4" s="126" t="s">
        <v>6</v>
      </c>
      <c r="K4" s="127"/>
      <c r="L4" s="124" t="s">
        <v>181</v>
      </c>
      <c r="M4" s="125"/>
      <c r="N4" s="124" t="s">
        <v>182</v>
      </c>
      <c r="O4" s="125"/>
      <c r="P4" s="126" t="s">
        <v>183</v>
      </c>
      <c r="Q4" s="127"/>
      <c r="R4" s="124" t="s">
        <v>10</v>
      </c>
      <c r="S4" s="125"/>
    </row>
    <row r="5" spans="2:19" s="46" customFormat="1" x14ac:dyDescent="0.25">
      <c r="B5" s="51"/>
      <c r="C5" s="52"/>
      <c r="D5" s="47" t="s">
        <v>184</v>
      </c>
      <c r="E5" s="190" t="s">
        <v>185</v>
      </c>
      <c r="F5" s="191" t="s">
        <v>186</v>
      </c>
      <c r="G5" s="190" t="s">
        <v>103</v>
      </c>
      <c r="H5" s="47" t="s">
        <v>187</v>
      </c>
      <c r="I5" s="190" t="s">
        <v>188</v>
      </c>
      <c r="J5" s="47" t="s">
        <v>189</v>
      </c>
      <c r="K5" s="190" t="s">
        <v>190</v>
      </c>
      <c r="L5" s="47" t="s">
        <v>191</v>
      </c>
      <c r="M5" s="190" t="s">
        <v>192</v>
      </c>
      <c r="N5" s="47" t="s">
        <v>193</v>
      </c>
      <c r="O5" s="190" t="s">
        <v>194</v>
      </c>
      <c r="P5" s="47" t="s">
        <v>195</v>
      </c>
      <c r="Q5" s="190" t="s">
        <v>196</v>
      </c>
      <c r="R5" s="47" t="s">
        <v>197</v>
      </c>
      <c r="S5" s="190" t="s">
        <v>198</v>
      </c>
    </row>
    <row r="6" spans="2:19" ht="15.75" customHeight="1" x14ac:dyDescent="0.25">
      <c r="B6" s="52"/>
      <c r="C6" s="52"/>
      <c r="D6" s="192">
        <v>60</v>
      </c>
      <c r="E6" s="193">
        <f>D6/60</f>
        <v>1</v>
      </c>
      <c r="F6" s="194">
        <f>465.83/6</f>
        <v>77.638333333333335</v>
      </c>
      <c r="G6" s="193" t="s">
        <v>199</v>
      </c>
      <c r="H6" s="192">
        <f>10/24</f>
        <v>0.41666666666666669</v>
      </c>
      <c r="I6" s="195">
        <f>H6/60</f>
        <v>6.9444444444444449E-3</v>
      </c>
      <c r="J6" s="196">
        <f>1397.5/24</f>
        <v>58.229166666666664</v>
      </c>
      <c r="K6" s="197">
        <f>J6/60</f>
        <v>0.97048611111111105</v>
      </c>
      <c r="L6" s="49">
        <f>1397.5/24</f>
        <v>58.229166666666664</v>
      </c>
      <c r="M6" s="198">
        <f>L6/60</f>
        <v>0.97048611111111105</v>
      </c>
      <c r="N6" s="49">
        <f>10/6</f>
        <v>1.6666666666666667</v>
      </c>
      <c r="O6" s="198">
        <f>N6/60</f>
        <v>2.777777777777778E-2</v>
      </c>
      <c r="P6" s="199">
        <f>10/12</f>
        <v>0.83333333333333337</v>
      </c>
      <c r="Q6" s="197">
        <f>P6/60</f>
        <v>1.388888888888889E-2</v>
      </c>
      <c r="R6" s="49">
        <f>10/24</f>
        <v>0.41666666666666669</v>
      </c>
      <c r="S6" s="198">
        <f>R6/60</f>
        <v>6.9444444444444449E-3</v>
      </c>
    </row>
    <row r="7" spans="2:19" s="51" customFormat="1" x14ac:dyDescent="0.25">
      <c r="B7" s="52"/>
      <c r="C7" s="52"/>
      <c r="D7" s="200" t="s">
        <v>200</v>
      </c>
      <c r="E7" s="190" t="s">
        <v>201</v>
      </c>
      <c r="F7" s="191" t="s">
        <v>202</v>
      </c>
      <c r="G7" s="190" t="s">
        <v>203</v>
      </c>
      <c r="H7" s="200" t="s">
        <v>200</v>
      </c>
      <c r="I7" s="190" t="s">
        <v>204</v>
      </c>
      <c r="J7" s="200" t="s">
        <v>200</v>
      </c>
      <c r="K7" s="190" t="s">
        <v>205</v>
      </c>
      <c r="L7" s="200" t="s">
        <v>200</v>
      </c>
      <c r="M7" s="190" t="s">
        <v>206</v>
      </c>
      <c r="N7" s="200" t="s">
        <v>200</v>
      </c>
      <c r="O7" s="190" t="s">
        <v>207</v>
      </c>
      <c r="P7" s="200" t="s">
        <v>200</v>
      </c>
      <c r="Q7" s="190" t="s">
        <v>208</v>
      </c>
      <c r="R7" s="200" t="s">
        <v>200</v>
      </c>
      <c r="S7" s="190" t="s">
        <v>209</v>
      </c>
    </row>
    <row r="8" spans="2:19" x14ac:dyDescent="0.25">
      <c r="B8" s="52"/>
      <c r="C8" s="52"/>
      <c r="D8" s="201">
        <f>D6</f>
        <v>60</v>
      </c>
      <c r="E8" s="202">
        <f>E6</f>
        <v>1</v>
      </c>
      <c r="F8" s="203">
        <v>0</v>
      </c>
      <c r="G8" s="204" t="s">
        <v>210</v>
      </c>
      <c r="H8" s="201">
        <f>H6</f>
        <v>0.41666666666666669</v>
      </c>
      <c r="I8" s="202">
        <f>I6*0.5</f>
        <v>3.4722222222222225E-3</v>
      </c>
      <c r="J8" s="205">
        <f>J6</f>
        <v>58.229166666666664</v>
      </c>
      <c r="K8" s="202">
        <f>K6*0.25</f>
        <v>0.24262152777777776</v>
      </c>
      <c r="L8" s="201">
        <f>L6</f>
        <v>58.229166666666664</v>
      </c>
      <c r="M8" s="197">
        <f>M6*0.125</f>
        <v>0.12131076388888888</v>
      </c>
      <c r="N8" s="201">
        <f>N6</f>
        <v>1.6666666666666667</v>
      </c>
      <c r="O8" s="197">
        <f>O6*0.25</f>
        <v>6.9444444444444449E-3</v>
      </c>
      <c r="P8" s="201">
        <f>P6</f>
        <v>0.83333333333333337</v>
      </c>
      <c r="Q8" s="197">
        <f>-Q6*0.5</f>
        <v>-6.9444444444444449E-3</v>
      </c>
      <c r="R8" s="201">
        <f>R6</f>
        <v>0.41666666666666669</v>
      </c>
      <c r="S8" s="197">
        <f>-S6</f>
        <v>-6.9444444444444449E-3</v>
      </c>
    </row>
    <row r="9" spans="2:19" x14ac:dyDescent="0.25">
      <c r="B9" s="52"/>
      <c r="C9" s="52"/>
      <c r="D9" s="47" t="s">
        <v>211</v>
      </c>
      <c r="E9" s="51"/>
      <c r="F9" s="191" t="s">
        <v>212</v>
      </c>
      <c r="G9" s="190" t="s">
        <v>213</v>
      </c>
      <c r="H9" s="47" t="s">
        <v>211</v>
      </c>
      <c r="I9" s="190" t="s">
        <v>214</v>
      </c>
      <c r="J9" s="47" t="s">
        <v>211</v>
      </c>
      <c r="K9" s="190" t="s">
        <v>215</v>
      </c>
      <c r="L9" s="47" t="s">
        <v>211</v>
      </c>
      <c r="M9" s="190" t="s">
        <v>216</v>
      </c>
      <c r="N9" s="47" t="s">
        <v>211</v>
      </c>
      <c r="O9" s="190" t="s">
        <v>217</v>
      </c>
      <c r="P9" s="47" t="s">
        <v>211</v>
      </c>
      <c r="Q9" s="190" t="s">
        <v>218</v>
      </c>
      <c r="R9" s="47" t="s">
        <v>211</v>
      </c>
      <c r="S9" s="190" t="s">
        <v>219</v>
      </c>
    </row>
    <row r="10" spans="2:19" x14ac:dyDescent="0.25">
      <c r="B10" s="52"/>
      <c r="C10" s="52"/>
      <c r="D10" s="199">
        <f>D6/60</f>
        <v>1</v>
      </c>
      <c r="E10" s="51"/>
      <c r="F10" s="203">
        <v>0</v>
      </c>
      <c r="G10" s="204" t="s">
        <v>210</v>
      </c>
      <c r="H10" s="199">
        <f>H6/60</f>
        <v>6.9444444444444449E-3</v>
      </c>
      <c r="I10" s="202">
        <f>I6*0.75</f>
        <v>5.2083333333333339E-3</v>
      </c>
      <c r="J10" s="199">
        <f>J6/60</f>
        <v>0.97048611111111105</v>
      </c>
      <c r="K10" s="202">
        <f>K6</f>
        <v>0.97048611111111105</v>
      </c>
      <c r="L10" s="199">
        <f>L6/60</f>
        <v>0.97048611111111105</v>
      </c>
      <c r="M10" s="197">
        <f>M6*0.5</f>
        <v>0.48524305555555552</v>
      </c>
      <c r="N10" s="199">
        <f>N6/60</f>
        <v>2.777777777777778E-2</v>
      </c>
      <c r="O10" s="197">
        <f>O6</f>
        <v>2.777777777777778E-2</v>
      </c>
      <c r="P10" s="199">
        <f>P6/60</f>
        <v>1.388888888888889E-2</v>
      </c>
      <c r="Q10" s="197">
        <f>Q6</f>
        <v>1.388888888888889E-2</v>
      </c>
      <c r="R10" s="199">
        <f>R6/60</f>
        <v>6.9444444444444449E-3</v>
      </c>
      <c r="S10" s="197">
        <f>S6*0.25</f>
        <v>1.7361111111111112E-3</v>
      </c>
    </row>
    <row r="11" spans="2:19" x14ac:dyDescent="0.25">
      <c r="B11" s="52"/>
      <c r="C11" s="52"/>
      <c r="D11" s="52"/>
      <c r="E11" s="51"/>
      <c r="F11" s="191" t="s">
        <v>220</v>
      </c>
      <c r="G11" s="190" t="s">
        <v>221</v>
      </c>
      <c r="H11" s="51"/>
      <c r="I11" s="51"/>
      <c r="J11" s="206" t="s">
        <v>222</v>
      </c>
      <c r="K11" s="51"/>
      <c r="L11" s="51"/>
      <c r="M11" s="51"/>
      <c r="N11" s="51"/>
      <c r="O11" s="51"/>
      <c r="P11" s="51"/>
      <c r="Q11" s="51"/>
      <c r="R11" s="51"/>
      <c r="S11" s="51"/>
    </row>
    <row r="12" spans="2:19" ht="30" x14ac:dyDescent="0.25">
      <c r="B12" s="52"/>
      <c r="C12" s="52"/>
      <c r="D12" s="52"/>
      <c r="E12" s="51"/>
      <c r="F12" s="207">
        <v>0</v>
      </c>
      <c r="G12" s="208" t="s">
        <v>223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spans="2:19" x14ac:dyDescent="0.25">
      <c r="B13" s="52"/>
      <c r="C13" s="52"/>
      <c r="D13" s="52"/>
      <c r="E13" s="51"/>
      <c r="F13" s="209" t="s">
        <v>224</v>
      </c>
      <c r="G13" s="204" t="s">
        <v>225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spans="2:19" x14ac:dyDescent="0.25">
      <c r="B14" s="52"/>
      <c r="C14" s="52"/>
      <c r="D14" s="52"/>
      <c r="E14" s="51"/>
      <c r="F14" s="207">
        <v>0</v>
      </c>
      <c r="G14" s="204" t="s">
        <v>210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</row>
    <row r="15" spans="2:19" ht="15" customHeight="1" x14ac:dyDescent="0.25">
      <c r="B15" s="52"/>
      <c r="C15" s="52"/>
      <c r="D15" s="52"/>
      <c r="E15" s="51"/>
      <c r="F15" s="191" t="s">
        <v>226</v>
      </c>
      <c r="G15" s="210" t="s">
        <v>227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</row>
    <row r="16" spans="2:19" ht="30" x14ac:dyDescent="0.25">
      <c r="B16" s="52"/>
      <c r="C16" s="52"/>
      <c r="D16" s="52"/>
      <c r="E16" s="51"/>
      <c r="F16" s="211">
        <v>19.16</v>
      </c>
      <c r="G16" s="208" t="s">
        <v>228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</row>
    <row r="17" spans="2:19" x14ac:dyDescent="0.25">
      <c r="B17" s="52"/>
      <c r="C17" s="52"/>
      <c r="D17" s="52"/>
      <c r="E17" s="51"/>
      <c r="F17" s="191" t="s">
        <v>229</v>
      </c>
      <c r="G17" s="210" t="s">
        <v>230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</row>
    <row r="18" spans="2:19" x14ac:dyDescent="0.25">
      <c r="B18" s="52"/>
      <c r="C18" s="52"/>
      <c r="D18" s="52"/>
      <c r="E18" s="51"/>
      <c r="F18" s="211">
        <v>0</v>
      </c>
      <c r="G18" s="204" t="s">
        <v>210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</row>
    <row r="19" spans="2:19" x14ac:dyDescent="0.25">
      <c r="F19" s="206" t="s">
        <v>231</v>
      </c>
    </row>
    <row r="21" spans="2:19" ht="15.75" x14ac:dyDescent="0.25">
      <c r="B21" s="212"/>
      <c r="C21" s="213" t="s">
        <v>232</v>
      </c>
      <c r="D21" s="53"/>
    </row>
    <row r="22" spans="2:19" ht="15.75" x14ac:dyDescent="0.25">
      <c r="B22" s="214"/>
      <c r="C22" s="213" t="s">
        <v>233</v>
      </c>
      <c r="D22" s="53"/>
    </row>
    <row r="23" spans="2:19" x14ac:dyDescent="0.25">
      <c r="B23" s="53"/>
      <c r="C23" s="53"/>
      <c r="D23" s="53"/>
    </row>
    <row r="24" spans="2:19" x14ac:dyDescent="0.25">
      <c r="B24" s="53"/>
      <c r="C24" s="53"/>
      <c r="D24" s="53"/>
    </row>
    <row r="25" spans="2:19" x14ac:dyDescent="0.25">
      <c r="B25" s="53"/>
      <c r="C25" s="53"/>
      <c r="D25" s="53"/>
    </row>
    <row r="26" spans="2:19" x14ac:dyDescent="0.25">
      <c r="B26" s="53"/>
      <c r="C26" s="53"/>
      <c r="D26" s="53"/>
    </row>
    <row r="27" spans="2:19" x14ac:dyDescent="0.25">
      <c r="B27" s="53"/>
      <c r="C27" s="53"/>
      <c r="D27" s="53"/>
    </row>
    <row r="28" spans="2:19" x14ac:dyDescent="0.25">
      <c r="B28" s="53"/>
      <c r="C28" s="53"/>
      <c r="D28" s="53"/>
    </row>
    <row r="29" spans="2:19" x14ac:dyDescent="0.25">
      <c r="B29" s="53"/>
      <c r="C29" s="53"/>
      <c r="D29" s="53"/>
    </row>
    <row r="30" spans="2:19" x14ac:dyDescent="0.25">
      <c r="B30" s="53"/>
      <c r="C30" s="53"/>
      <c r="D30" s="53"/>
    </row>
    <row r="31" spans="2:19" x14ac:dyDescent="0.25">
      <c r="B31" s="53"/>
      <c r="C31" s="53"/>
      <c r="D31" s="53"/>
    </row>
    <row r="32" spans="2:19" x14ac:dyDescent="0.25">
      <c r="B32" s="53"/>
      <c r="C32" s="53"/>
      <c r="D32" s="53"/>
    </row>
    <row r="33" spans="2:4" x14ac:dyDescent="0.25">
      <c r="B33" s="53"/>
      <c r="C33" s="53"/>
      <c r="D33" s="53"/>
    </row>
    <row r="34" spans="2:4" x14ac:dyDescent="0.25">
      <c r="B34" s="53"/>
      <c r="C34" s="53"/>
      <c r="D34" s="53"/>
    </row>
    <row r="35" spans="2:4" x14ac:dyDescent="0.25">
      <c r="B35" s="53"/>
      <c r="C35" s="53"/>
      <c r="D35" s="53"/>
    </row>
    <row r="36" spans="2:4" x14ac:dyDescent="0.25">
      <c r="B36" s="53"/>
      <c r="C36" s="53"/>
      <c r="D36" s="53"/>
    </row>
    <row r="37" spans="2:4" x14ac:dyDescent="0.25">
      <c r="B37" s="53"/>
      <c r="C37" s="53"/>
      <c r="D37" s="53"/>
    </row>
    <row r="38" spans="2:4" x14ac:dyDescent="0.25">
      <c r="B38" s="53"/>
      <c r="C38" s="53"/>
      <c r="D38" s="53"/>
    </row>
    <row r="39" spans="2:4" x14ac:dyDescent="0.25">
      <c r="B39" s="53"/>
      <c r="C39" s="53"/>
      <c r="D39" s="53"/>
    </row>
    <row r="40" spans="2:4" x14ac:dyDescent="0.25">
      <c r="B40" s="53"/>
      <c r="C40" s="53"/>
      <c r="D40" s="53"/>
    </row>
    <row r="41" spans="2:4" x14ac:dyDescent="0.25">
      <c r="B41" s="53"/>
      <c r="C41" s="53"/>
      <c r="D41" s="53"/>
    </row>
    <row r="42" spans="2:4" x14ac:dyDescent="0.25">
      <c r="B42" s="53"/>
      <c r="C42" s="53"/>
      <c r="D42" s="53"/>
    </row>
    <row r="43" spans="2:4" x14ac:dyDescent="0.25">
      <c r="B43" s="53"/>
      <c r="C43" s="53"/>
      <c r="D43" s="53"/>
    </row>
    <row r="44" spans="2:4" x14ac:dyDescent="0.25">
      <c r="B44" s="53"/>
      <c r="C44" s="53"/>
      <c r="D44" s="53"/>
    </row>
    <row r="45" spans="2:4" x14ac:dyDescent="0.25">
      <c r="B45" s="53"/>
      <c r="C45" s="53"/>
      <c r="D45" s="53"/>
    </row>
    <row r="46" spans="2:4" x14ac:dyDescent="0.25">
      <c r="B46" s="53"/>
      <c r="C46" s="53"/>
      <c r="D46" s="53"/>
    </row>
    <row r="47" spans="2:4" x14ac:dyDescent="0.25">
      <c r="B47" s="53"/>
      <c r="C47" s="53"/>
      <c r="D47" s="53"/>
    </row>
    <row r="48" spans="2:4" x14ac:dyDescent="0.25">
      <c r="B48" s="53"/>
      <c r="C48" s="53"/>
      <c r="D48" s="53"/>
    </row>
    <row r="49" spans="2:4" x14ac:dyDescent="0.25">
      <c r="B49" s="53"/>
      <c r="C49" s="53"/>
      <c r="D49" s="53"/>
    </row>
    <row r="50" spans="2:4" x14ac:dyDescent="0.25">
      <c r="B50" s="53"/>
      <c r="C50" s="53"/>
      <c r="D50" s="53"/>
    </row>
    <row r="51" spans="2:4" x14ac:dyDescent="0.25">
      <c r="B51" s="53"/>
      <c r="C51" s="53"/>
      <c r="D51" s="53"/>
    </row>
    <row r="52" spans="2:4" x14ac:dyDescent="0.25">
      <c r="B52" s="53"/>
      <c r="C52" s="53"/>
      <c r="D52" s="53"/>
    </row>
    <row r="53" spans="2:4" x14ac:dyDescent="0.25">
      <c r="B53" s="53"/>
      <c r="C53" s="53"/>
      <c r="D53" s="53"/>
    </row>
    <row r="54" spans="2:4" x14ac:dyDescent="0.25">
      <c r="B54" s="53"/>
      <c r="C54" s="53"/>
      <c r="D54" s="53"/>
    </row>
    <row r="55" spans="2:4" x14ac:dyDescent="0.25">
      <c r="B55" s="53"/>
      <c r="C55" s="53"/>
      <c r="D55" s="53"/>
    </row>
    <row r="56" spans="2:4" x14ac:dyDescent="0.25">
      <c r="B56" s="53"/>
      <c r="C56" s="53"/>
      <c r="D56" s="53"/>
    </row>
    <row r="57" spans="2:4" x14ac:dyDescent="0.25">
      <c r="B57" s="53"/>
      <c r="C57" s="53"/>
      <c r="D57" s="53"/>
    </row>
    <row r="58" spans="2:4" x14ac:dyDescent="0.25">
      <c r="B58" s="53"/>
      <c r="C58" s="53"/>
      <c r="D58" s="53"/>
    </row>
    <row r="59" spans="2:4" x14ac:dyDescent="0.25">
      <c r="B59" s="53"/>
      <c r="C59" s="53"/>
      <c r="D59" s="53"/>
    </row>
    <row r="60" spans="2:4" x14ac:dyDescent="0.25">
      <c r="B60" s="53"/>
      <c r="C60" s="53"/>
      <c r="D60" s="53"/>
    </row>
    <row r="61" spans="2:4" x14ac:dyDescent="0.25">
      <c r="B61" s="53"/>
      <c r="C61" s="53"/>
      <c r="D61" s="53"/>
    </row>
    <row r="62" spans="2:4" x14ac:dyDescent="0.25">
      <c r="B62" s="53"/>
      <c r="C62" s="53"/>
      <c r="D62" s="53"/>
    </row>
    <row r="63" spans="2:4" x14ac:dyDescent="0.25">
      <c r="B63" s="53"/>
      <c r="C63" s="53"/>
      <c r="D63" s="53"/>
    </row>
    <row r="64" spans="2:4" x14ac:dyDescent="0.25">
      <c r="B64" s="53"/>
      <c r="C64" s="53"/>
      <c r="D64" s="53"/>
    </row>
    <row r="65" spans="2:4" x14ac:dyDescent="0.25">
      <c r="B65" s="53"/>
      <c r="C65" s="53"/>
      <c r="D65" s="53"/>
    </row>
    <row r="66" spans="2:4" x14ac:dyDescent="0.25">
      <c r="B66" s="53"/>
      <c r="C66" s="53"/>
      <c r="D66" s="53"/>
    </row>
    <row r="67" spans="2:4" x14ac:dyDescent="0.25">
      <c r="B67" s="53"/>
      <c r="C67" s="53"/>
      <c r="D67" s="53"/>
    </row>
    <row r="68" spans="2:4" x14ac:dyDescent="0.25">
      <c r="B68" s="53"/>
      <c r="C68" s="53"/>
      <c r="D68" s="53"/>
    </row>
    <row r="69" spans="2:4" x14ac:dyDescent="0.25">
      <c r="B69" s="53"/>
      <c r="C69" s="53"/>
      <c r="D69" s="53"/>
    </row>
    <row r="70" spans="2:4" x14ac:dyDescent="0.25">
      <c r="B70" s="53"/>
      <c r="C70" s="53"/>
      <c r="D70" s="53"/>
    </row>
    <row r="71" spans="2:4" x14ac:dyDescent="0.25">
      <c r="B71" s="53"/>
      <c r="C71" s="53"/>
      <c r="D71" s="53"/>
    </row>
    <row r="72" spans="2:4" x14ac:dyDescent="0.25">
      <c r="B72" s="53"/>
      <c r="C72" s="53"/>
      <c r="D72" s="53"/>
    </row>
    <row r="73" spans="2:4" x14ac:dyDescent="0.25">
      <c r="B73" s="53"/>
      <c r="C73" s="53"/>
      <c r="D73" s="53"/>
    </row>
    <row r="74" spans="2:4" x14ac:dyDescent="0.25">
      <c r="B74" s="53"/>
      <c r="C74" s="53"/>
      <c r="D74" s="53"/>
    </row>
    <row r="75" spans="2:4" x14ac:dyDescent="0.25">
      <c r="B75" s="53"/>
      <c r="C75" s="53"/>
      <c r="D75" s="53"/>
    </row>
    <row r="76" spans="2:4" x14ac:dyDescent="0.25">
      <c r="B76" s="53"/>
      <c r="C76" s="53"/>
      <c r="D76" s="53"/>
    </row>
    <row r="77" spans="2:4" x14ac:dyDescent="0.25">
      <c r="B77" s="53"/>
      <c r="C77" s="53"/>
      <c r="D77" s="53"/>
    </row>
    <row r="78" spans="2:4" x14ac:dyDescent="0.25">
      <c r="B78" s="53"/>
      <c r="C78" s="53"/>
      <c r="D78" s="53"/>
    </row>
    <row r="79" spans="2:4" x14ac:dyDescent="0.25">
      <c r="B79" s="53"/>
      <c r="C79" s="53"/>
      <c r="D79" s="53"/>
    </row>
    <row r="80" spans="2:4" x14ac:dyDescent="0.25">
      <c r="B80" s="53"/>
      <c r="C80" s="53"/>
      <c r="D80" s="53"/>
    </row>
    <row r="81" spans="2:4" x14ac:dyDescent="0.25">
      <c r="B81" s="53"/>
      <c r="C81" s="53"/>
      <c r="D81" s="53"/>
    </row>
    <row r="82" spans="2:4" x14ac:dyDescent="0.25">
      <c r="B82" s="53"/>
      <c r="C82" s="53"/>
      <c r="D82" s="53"/>
    </row>
    <row r="83" spans="2:4" x14ac:dyDescent="0.25">
      <c r="B83" s="53"/>
      <c r="C83" s="53"/>
      <c r="D83" s="53"/>
    </row>
    <row r="84" spans="2:4" x14ac:dyDescent="0.25">
      <c r="B84" s="53"/>
      <c r="C84" s="53"/>
      <c r="D84" s="53"/>
    </row>
    <row r="85" spans="2:4" x14ac:dyDescent="0.25">
      <c r="B85" s="53"/>
      <c r="C85" s="53"/>
      <c r="D85" s="53"/>
    </row>
    <row r="86" spans="2:4" x14ac:dyDescent="0.25">
      <c r="B86" s="53"/>
      <c r="C86" s="53"/>
      <c r="D86" s="53"/>
    </row>
    <row r="87" spans="2:4" x14ac:dyDescent="0.25">
      <c r="B87" s="53"/>
      <c r="C87" s="53"/>
      <c r="D87" s="53"/>
    </row>
    <row r="88" spans="2:4" x14ac:dyDescent="0.25">
      <c r="B88" s="53"/>
      <c r="C88" s="53"/>
      <c r="D88" s="53"/>
    </row>
    <row r="89" spans="2:4" x14ac:dyDescent="0.25">
      <c r="B89" s="53"/>
      <c r="C89" s="53"/>
      <c r="D89" s="53"/>
    </row>
    <row r="90" spans="2:4" x14ac:dyDescent="0.25">
      <c r="B90" s="53"/>
      <c r="C90" s="53"/>
      <c r="D90" s="53"/>
    </row>
    <row r="91" spans="2:4" x14ac:dyDescent="0.25">
      <c r="B91" s="53"/>
      <c r="C91" s="53"/>
      <c r="D91" s="53"/>
    </row>
    <row r="92" spans="2:4" x14ac:dyDescent="0.25">
      <c r="B92" s="53"/>
      <c r="C92" s="53"/>
      <c r="D92" s="53"/>
    </row>
    <row r="93" spans="2:4" x14ac:dyDescent="0.25">
      <c r="B93" s="53"/>
      <c r="C93" s="53"/>
      <c r="D93" s="53"/>
    </row>
    <row r="94" spans="2:4" x14ac:dyDescent="0.25">
      <c r="B94" s="53"/>
      <c r="C94" s="53"/>
      <c r="D94" s="53"/>
    </row>
    <row r="95" spans="2:4" x14ac:dyDescent="0.25">
      <c r="B95" s="53"/>
      <c r="C95" s="53"/>
      <c r="D95" s="53"/>
    </row>
    <row r="96" spans="2:4" x14ac:dyDescent="0.25">
      <c r="B96" s="53"/>
      <c r="C96" s="53"/>
      <c r="D96" s="53"/>
    </row>
    <row r="97" spans="2:4" x14ac:dyDescent="0.25">
      <c r="B97" s="53"/>
      <c r="C97" s="53"/>
      <c r="D97" s="53"/>
    </row>
    <row r="98" spans="2:4" x14ac:dyDescent="0.25">
      <c r="B98" s="53"/>
      <c r="C98" s="53"/>
      <c r="D98" s="53"/>
    </row>
    <row r="99" spans="2:4" x14ac:dyDescent="0.25">
      <c r="B99" s="53"/>
      <c r="C99" s="53"/>
      <c r="D99" s="53"/>
    </row>
    <row r="100" spans="2:4" x14ac:dyDescent="0.25">
      <c r="B100" s="53"/>
      <c r="C100" s="53"/>
      <c r="D100" s="53"/>
    </row>
    <row r="101" spans="2:4" x14ac:dyDescent="0.25">
      <c r="B101" s="53"/>
      <c r="C101" s="53"/>
      <c r="D101" s="53"/>
    </row>
    <row r="102" spans="2:4" x14ac:dyDescent="0.25">
      <c r="B102" s="53"/>
      <c r="C102" s="53"/>
      <c r="D102" s="53"/>
    </row>
    <row r="103" spans="2:4" x14ac:dyDescent="0.25">
      <c r="B103" s="53"/>
      <c r="C103" s="53"/>
      <c r="D103" s="53"/>
    </row>
    <row r="104" spans="2:4" x14ac:dyDescent="0.25">
      <c r="B104" s="53"/>
      <c r="C104" s="53"/>
      <c r="D104" s="53"/>
    </row>
    <row r="105" spans="2:4" x14ac:dyDescent="0.25">
      <c r="B105" s="53"/>
      <c r="C105" s="53"/>
      <c r="D105" s="53"/>
    </row>
    <row r="106" spans="2:4" x14ac:dyDescent="0.25">
      <c r="B106" s="53"/>
      <c r="C106" s="53"/>
      <c r="D106" s="53"/>
    </row>
    <row r="107" spans="2:4" x14ac:dyDescent="0.25">
      <c r="B107" s="53"/>
      <c r="C107" s="53"/>
      <c r="D107" s="53"/>
    </row>
    <row r="108" spans="2:4" x14ac:dyDescent="0.25">
      <c r="B108" s="53"/>
      <c r="C108" s="53"/>
      <c r="D108" s="53"/>
    </row>
    <row r="109" spans="2:4" x14ac:dyDescent="0.25">
      <c r="B109" s="53"/>
      <c r="C109" s="53"/>
      <c r="D109" s="53"/>
    </row>
    <row r="110" spans="2:4" x14ac:dyDescent="0.25">
      <c r="B110" s="53"/>
      <c r="C110" s="53"/>
      <c r="D110" s="53"/>
    </row>
    <row r="111" spans="2:4" x14ac:dyDescent="0.25">
      <c r="B111" s="53"/>
      <c r="C111" s="53"/>
      <c r="D111" s="53"/>
    </row>
    <row r="112" spans="2:4" x14ac:dyDescent="0.25">
      <c r="B112" s="53"/>
      <c r="C112" s="53"/>
      <c r="D112" s="53"/>
    </row>
    <row r="113" spans="2:4" x14ac:dyDescent="0.25">
      <c r="B113" s="53"/>
      <c r="C113" s="53"/>
      <c r="D113" s="53"/>
    </row>
    <row r="114" spans="2:4" x14ac:dyDescent="0.25">
      <c r="B114" s="53"/>
      <c r="C114" s="53"/>
      <c r="D114" s="53"/>
    </row>
    <row r="115" spans="2:4" x14ac:dyDescent="0.25">
      <c r="B115" s="53"/>
      <c r="C115" s="53"/>
      <c r="D115" s="53"/>
    </row>
    <row r="116" spans="2:4" x14ac:dyDescent="0.25">
      <c r="B116" s="53"/>
      <c r="C116" s="53"/>
      <c r="D116" s="53"/>
    </row>
    <row r="117" spans="2:4" x14ac:dyDescent="0.25">
      <c r="B117" s="53"/>
      <c r="C117" s="53"/>
      <c r="D117" s="53"/>
    </row>
    <row r="118" spans="2:4" x14ac:dyDescent="0.25">
      <c r="B118" s="53"/>
      <c r="C118" s="53"/>
      <c r="D118" s="53"/>
    </row>
    <row r="119" spans="2:4" x14ac:dyDescent="0.25">
      <c r="B119" s="53"/>
      <c r="C119" s="53"/>
      <c r="D119" s="53"/>
    </row>
    <row r="120" spans="2:4" x14ac:dyDescent="0.25">
      <c r="B120" s="53"/>
      <c r="C120" s="53"/>
      <c r="D120" s="53"/>
    </row>
    <row r="121" spans="2:4" x14ac:dyDescent="0.25">
      <c r="B121" s="53"/>
      <c r="C121" s="53"/>
      <c r="D121" s="53"/>
    </row>
    <row r="122" spans="2:4" x14ac:dyDescent="0.25">
      <c r="B122" s="53"/>
      <c r="C122" s="53"/>
      <c r="D122" s="53"/>
    </row>
    <row r="123" spans="2:4" x14ac:dyDescent="0.25">
      <c r="B123" s="53"/>
      <c r="C123" s="53"/>
      <c r="D123" s="53"/>
    </row>
    <row r="124" spans="2:4" x14ac:dyDescent="0.25">
      <c r="B124" s="53"/>
      <c r="C124" s="53"/>
      <c r="D124" s="53"/>
    </row>
    <row r="125" spans="2:4" x14ac:dyDescent="0.25">
      <c r="B125" s="53"/>
      <c r="C125" s="53"/>
      <c r="D125" s="53"/>
    </row>
    <row r="126" spans="2:4" x14ac:dyDescent="0.25">
      <c r="B126" s="53"/>
      <c r="C126" s="53"/>
      <c r="D126" s="53"/>
    </row>
    <row r="127" spans="2:4" x14ac:dyDescent="0.25">
      <c r="B127" s="53"/>
      <c r="C127" s="53"/>
      <c r="D127" s="53"/>
    </row>
    <row r="128" spans="2:4" x14ac:dyDescent="0.25">
      <c r="B128" s="53"/>
      <c r="C128" s="53"/>
      <c r="D128" s="53"/>
    </row>
    <row r="129" spans="2:4" x14ac:dyDescent="0.25">
      <c r="B129" s="53"/>
      <c r="C129" s="53"/>
      <c r="D129" s="53"/>
    </row>
    <row r="130" spans="2:4" x14ac:dyDescent="0.25">
      <c r="B130" s="53"/>
      <c r="C130" s="53"/>
      <c r="D130" s="53"/>
    </row>
    <row r="131" spans="2:4" x14ac:dyDescent="0.25">
      <c r="B131" s="53"/>
      <c r="C131" s="53"/>
      <c r="D131" s="53"/>
    </row>
    <row r="132" spans="2:4" x14ac:dyDescent="0.25">
      <c r="B132" s="53"/>
      <c r="C132" s="53"/>
      <c r="D132" s="53"/>
    </row>
    <row r="133" spans="2:4" x14ac:dyDescent="0.25">
      <c r="B133" s="53"/>
      <c r="C133" s="53"/>
      <c r="D133" s="53"/>
    </row>
    <row r="134" spans="2:4" x14ac:dyDescent="0.25">
      <c r="B134" s="53"/>
      <c r="C134" s="53"/>
      <c r="D134" s="53"/>
    </row>
    <row r="135" spans="2:4" x14ac:dyDescent="0.25">
      <c r="B135" s="53"/>
      <c r="C135" s="53"/>
      <c r="D135" s="53"/>
    </row>
    <row r="136" spans="2:4" x14ac:dyDescent="0.25">
      <c r="B136" s="53"/>
      <c r="C136" s="53"/>
      <c r="D136" s="53"/>
    </row>
    <row r="137" spans="2:4" x14ac:dyDescent="0.25">
      <c r="B137" s="53"/>
      <c r="C137" s="53"/>
      <c r="D137" s="53"/>
    </row>
    <row r="138" spans="2:4" x14ac:dyDescent="0.25">
      <c r="B138" s="53"/>
      <c r="C138" s="53"/>
      <c r="D138" s="53"/>
    </row>
    <row r="139" spans="2:4" x14ac:dyDescent="0.25">
      <c r="B139" s="53"/>
      <c r="C139" s="53"/>
      <c r="D139" s="53"/>
    </row>
    <row r="140" spans="2:4" x14ac:dyDescent="0.25">
      <c r="B140" s="53"/>
      <c r="C140" s="53"/>
      <c r="D140" s="53"/>
    </row>
    <row r="141" spans="2:4" x14ac:dyDescent="0.25">
      <c r="B141" s="53"/>
      <c r="C141" s="53"/>
      <c r="D141" s="53"/>
    </row>
    <row r="142" spans="2:4" x14ac:dyDescent="0.25">
      <c r="B142" s="53"/>
      <c r="C142" s="53"/>
      <c r="D142" s="53"/>
    </row>
    <row r="143" spans="2:4" x14ac:dyDescent="0.25">
      <c r="B143" s="53"/>
      <c r="C143" s="53"/>
      <c r="D143" s="53"/>
    </row>
    <row r="144" spans="2:4" x14ac:dyDescent="0.25">
      <c r="B144" s="53"/>
      <c r="C144" s="53"/>
      <c r="D144" s="53"/>
    </row>
    <row r="145" spans="2:4" x14ac:dyDescent="0.25">
      <c r="B145" s="53"/>
      <c r="C145" s="53"/>
      <c r="D145" s="53"/>
    </row>
    <row r="146" spans="2:4" x14ac:dyDescent="0.25">
      <c r="B146" s="53"/>
      <c r="C146" s="53"/>
      <c r="D146" s="53"/>
    </row>
    <row r="147" spans="2:4" x14ac:dyDescent="0.25">
      <c r="B147" s="53"/>
      <c r="C147" s="53"/>
      <c r="D147" s="53"/>
    </row>
    <row r="148" spans="2:4" x14ac:dyDescent="0.25">
      <c r="B148" s="53"/>
      <c r="C148" s="53"/>
      <c r="D148" s="53"/>
    </row>
    <row r="149" spans="2:4" x14ac:dyDescent="0.25">
      <c r="B149" s="53"/>
      <c r="C149" s="53"/>
      <c r="D149" s="53"/>
    </row>
    <row r="150" spans="2:4" x14ac:dyDescent="0.25">
      <c r="B150" s="53"/>
      <c r="C150" s="53"/>
      <c r="D150" s="53"/>
    </row>
    <row r="151" spans="2:4" x14ac:dyDescent="0.25">
      <c r="B151" s="53"/>
      <c r="C151" s="53"/>
      <c r="D151" s="53"/>
    </row>
    <row r="152" spans="2:4" x14ac:dyDescent="0.25">
      <c r="B152" s="53"/>
      <c r="C152" s="53"/>
      <c r="D152" s="53"/>
    </row>
    <row r="153" spans="2:4" x14ac:dyDescent="0.25">
      <c r="B153" s="53"/>
      <c r="C153" s="53"/>
      <c r="D153" s="53"/>
    </row>
    <row r="154" spans="2:4" x14ac:dyDescent="0.25">
      <c r="B154" s="53"/>
      <c r="C154" s="53"/>
      <c r="D154" s="53"/>
    </row>
    <row r="155" spans="2:4" x14ac:dyDescent="0.25">
      <c r="B155" s="53"/>
      <c r="C155" s="53"/>
      <c r="D155" s="53"/>
    </row>
    <row r="156" spans="2:4" x14ac:dyDescent="0.25">
      <c r="B156" s="53"/>
      <c r="C156" s="53"/>
      <c r="D156" s="53"/>
    </row>
    <row r="157" spans="2:4" x14ac:dyDescent="0.25">
      <c r="B157" s="53"/>
      <c r="C157" s="53"/>
      <c r="D157" s="53"/>
    </row>
    <row r="158" spans="2:4" x14ac:dyDescent="0.25">
      <c r="B158" s="53"/>
      <c r="C158" s="53"/>
      <c r="D158" s="53"/>
    </row>
    <row r="159" spans="2:4" x14ac:dyDescent="0.25">
      <c r="B159" s="53"/>
      <c r="C159" s="53"/>
      <c r="D159" s="53"/>
    </row>
    <row r="160" spans="2:4" x14ac:dyDescent="0.25">
      <c r="B160" s="53"/>
      <c r="C160" s="53"/>
      <c r="D160" s="53"/>
    </row>
    <row r="161" spans="2:4" x14ac:dyDescent="0.25">
      <c r="B161" s="53"/>
      <c r="C161" s="53"/>
      <c r="D161" s="53"/>
    </row>
    <row r="162" spans="2:4" x14ac:dyDescent="0.25">
      <c r="B162" s="53"/>
      <c r="C162" s="53"/>
      <c r="D162" s="53"/>
    </row>
    <row r="163" spans="2:4" x14ac:dyDescent="0.25">
      <c r="B163" s="53"/>
      <c r="C163" s="53"/>
      <c r="D163" s="53"/>
    </row>
    <row r="164" spans="2:4" x14ac:dyDescent="0.25">
      <c r="B164" s="53"/>
      <c r="C164" s="53"/>
      <c r="D164" s="53"/>
    </row>
    <row r="165" spans="2:4" x14ac:dyDescent="0.25">
      <c r="B165" s="53"/>
      <c r="C165" s="53"/>
      <c r="D165" s="53"/>
    </row>
    <row r="166" spans="2:4" x14ac:dyDescent="0.25">
      <c r="B166" s="53"/>
      <c r="C166" s="53"/>
      <c r="D166" s="53"/>
    </row>
    <row r="167" spans="2:4" x14ac:dyDescent="0.25">
      <c r="B167" s="53"/>
      <c r="C167" s="53"/>
      <c r="D167" s="53"/>
    </row>
    <row r="168" spans="2:4" x14ac:dyDescent="0.25">
      <c r="B168" s="53"/>
      <c r="C168" s="53"/>
      <c r="D168" s="53"/>
    </row>
    <row r="169" spans="2:4" x14ac:dyDescent="0.25">
      <c r="B169" s="53"/>
      <c r="C169" s="53"/>
      <c r="D169" s="53"/>
    </row>
    <row r="170" spans="2:4" x14ac:dyDescent="0.25">
      <c r="B170" s="53"/>
      <c r="C170" s="53"/>
      <c r="D170" s="53"/>
    </row>
    <row r="171" spans="2:4" x14ac:dyDescent="0.25">
      <c r="B171" s="53"/>
      <c r="C171" s="53"/>
      <c r="D171" s="53"/>
    </row>
    <row r="172" spans="2:4" x14ac:dyDescent="0.25">
      <c r="B172" s="53"/>
      <c r="C172" s="53"/>
      <c r="D172" s="53"/>
    </row>
    <row r="173" spans="2:4" x14ac:dyDescent="0.25">
      <c r="B173" s="53"/>
      <c r="C173" s="53"/>
      <c r="D173" s="53"/>
    </row>
    <row r="174" spans="2:4" x14ac:dyDescent="0.25">
      <c r="B174" s="53"/>
      <c r="C174" s="53"/>
      <c r="D174" s="53"/>
    </row>
    <row r="175" spans="2:4" x14ac:dyDescent="0.25">
      <c r="B175" s="53"/>
      <c r="C175" s="53"/>
      <c r="D175" s="53"/>
    </row>
    <row r="176" spans="2:4" x14ac:dyDescent="0.25">
      <c r="B176" s="53"/>
      <c r="C176" s="53"/>
      <c r="D176" s="53"/>
    </row>
    <row r="177" spans="2:4" x14ac:dyDescent="0.25">
      <c r="B177" s="53"/>
      <c r="C177" s="53"/>
      <c r="D177" s="53"/>
    </row>
    <row r="178" spans="2:4" x14ac:dyDescent="0.25">
      <c r="B178" s="53"/>
      <c r="C178" s="53"/>
      <c r="D178" s="53"/>
    </row>
    <row r="179" spans="2:4" x14ac:dyDescent="0.25">
      <c r="B179" s="53"/>
      <c r="C179" s="53"/>
      <c r="D179" s="53"/>
    </row>
    <row r="180" spans="2:4" x14ac:dyDescent="0.25">
      <c r="B180" s="53"/>
      <c r="C180" s="53"/>
      <c r="D180" s="53"/>
    </row>
    <row r="181" spans="2:4" x14ac:dyDescent="0.25">
      <c r="B181" s="53"/>
      <c r="C181" s="53"/>
      <c r="D181" s="53"/>
    </row>
    <row r="182" spans="2:4" x14ac:dyDescent="0.25">
      <c r="B182" s="53"/>
      <c r="C182" s="53"/>
      <c r="D182" s="53"/>
    </row>
    <row r="183" spans="2:4" x14ac:dyDescent="0.25">
      <c r="B183" s="53"/>
      <c r="C183" s="53"/>
      <c r="D183" s="53"/>
    </row>
    <row r="184" spans="2:4" x14ac:dyDescent="0.25">
      <c r="B184" s="53"/>
      <c r="C184" s="53"/>
      <c r="D184" s="53"/>
    </row>
    <row r="185" spans="2:4" x14ac:dyDescent="0.25">
      <c r="B185" s="53"/>
      <c r="C185" s="53"/>
      <c r="D185" s="53"/>
    </row>
    <row r="186" spans="2:4" x14ac:dyDescent="0.25">
      <c r="B186" s="53"/>
      <c r="C186" s="53"/>
      <c r="D186" s="53"/>
    </row>
    <row r="187" spans="2:4" x14ac:dyDescent="0.25">
      <c r="B187" s="53"/>
      <c r="C187" s="53"/>
      <c r="D187" s="53"/>
    </row>
    <row r="188" spans="2:4" x14ac:dyDescent="0.25">
      <c r="B188" s="53"/>
      <c r="C188" s="53"/>
      <c r="D188" s="53"/>
    </row>
    <row r="189" spans="2:4" x14ac:dyDescent="0.25">
      <c r="B189" s="53"/>
      <c r="C189" s="53"/>
      <c r="D189" s="53"/>
    </row>
    <row r="190" spans="2:4" x14ac:dyDescent="0.25">
      <c r="B190" s="53"/>
      <c r="C190" s="53"/>
      <c r="D190" s="53"/>
    </row>
    <row r="191" spans="2:4" x14ac:dyDescent="0.25">
      <c r="B191" s="53"/>
      <c r="C191" s="53"/>
      <c r="D191" s="53"/>
    </row>
    <row r="192" spans="2:4" x14ac:dyDescent="0.25">
      <c r="B192" s="53"/>
      <c r="C192" s="53"/>
      <c r="D192" s="53"/>
    </row>
    <row r="193" spans="2:4" x14ac:dyDescent="0.25">
      <c r="B193" s="53"/>
      <c r="C193" s="53"/>
      <c r="D193" s="53"/>
    </row>
    <row r="194" spans="2:4" x14ac:dyDescent="0.25">
      <c r="B194" s="53"/>
      <c r="C194" s="53"/>
      <c r="D194" s="53"/>
    </row>
    <row r="195" spans="2:4" x14ac:dyDescent="0.25">
      <c r="B195" s="53"/>
      <c r="C195" s="53"/>
      <c r="D195" s="53"/>
    </row>
    <row r="196" spans="2:4" x14ac:dyDescent="0.25">
      <c r="B196" s="53"/>
      <c r="C196" s="53"/>
      <c r="D196" s="53"/>
    </row>
    <row r="197" spans="2:4" x14ac:dyDescent="0.25">
      <c r="B197" s="53"/>
      <c r="C197" s="53"/>
      <c r="D197" s="53"/>
    </row>
    <row r="198" spans="2:4" x14ac:dyDescent="0.25">
      <c r="B198" s="53"/>
      <c r="C198" s="53"/>
      <c r="D198" s="53"/>
    </row>
    <row r="199" spans="2:4" x14ac:dyDescent="0.25">
      <c r="B199" s="53"/>
      <c r="C199" s="53"/>
      <c r="D199" s="53"/>
    </row>
    <row r="200" spans="2:4" x14ac:dyDescent="0.25">
      <c r="B200" s="53"/>
      <c r="C200" s="53"/>
      <c r="D200" s="53"/>
    </row>
    <row r="201" spans="2:4" x14ac:dyDescent="0.25">
      <c r="B201" s="53"/>
      <c r="C201" s="53"/>
      <c r="D201" s="53"/>
    </row>
    <row r="202" spans="2:4" x14ac:dyDescent="0.25">
      <c r="B202" s="53"/>
      <c r="C202" s="53"/>
      <c r="D202" s="53"/>
    </row>
    <row r="203" spans="2:4" x14ac:dyDescent="0.25">
      <c r="B203" s="53"/>
      <c r="C203" s="53"/>
      <c r="D203" s="53"/>
    </row>
    <row r="204" spans="2:4" x14ac:dyDescent="0.25">
      <c r="B204" s="53"/>
      <c r="C204" s="53"/>
      <c r="D204" s="53"/>
    </row>
    <row r="205" spans="2:4" x14ac:dyDescent="0.25">
      <c r="B205" s="53"/>
      <c r="C205" s="53"/>
      <c r="D205" s="53"/>
    </row>
    <row r="206" spans="2:4" x14ac:dyDescent="0.25">
      <c r="B206" s="53"/>
      <c r="C206" s="53"/>
      <c r="D206" s="53"/>
    </row>
    <row r="207" spans="2:4" x14ac:dyDescent="0.25">
      <c r="B207" s="53"/>
      <c r="C207" s="53"/>
      <c r="D207" s="53"/>
    </row>
    <row r="208" spans="2:4" x14ac:dyDescent="0.25">
      <c r="B208" s="53"/>
      <c r="C208" s="53"/>
      <c r="D208" s="53"/>
    </row>
    <row r="209" spans="2:4" x14ac:dyDescent="0.25">
      <c r="B209" s="53"/>
      <c r="C209" s="53"/>
      <c r="D209" s="53"/>
    </row>
    <row r="210" spans="2:4" x14ac:dyDescent="0.25">
      <c r="B210" s="53"/>
      <c r="C210" s="53"/>
      <c r="D210" s="53"/>
    </row>
    <row r="211" spans="2:4" x14ac:dyDescent="0.25">
      <c r="B211" s="53"/>
      <c r="C211" s="53"/>
      <c r="D211" s="53"/>
    </row>
    <row r="212" spans="2:4" x14ac:dyDescent="0.25">
      <c r="B212" s="53"/>
      <c r="C212" s="53"/>
      <c r="D212" s="53"/>
    </row>
    <row r="213" spans="2:4" x14ac:dyDescent="0.25">
      <c r="B213" s="53"/>
      <c r="C213" s="53"/>
      <c r="D213" s="53"/>
    </row>
    <row r="214" spans="2:4" x14ac:dyDescent="0.25">
      <c r="B214" s="53"/>
      <c r="C214" s="53"/>
      <c r="D214" s="53"/>
    </row>
    <row r="215" spans="2:4" x14ac:dyDescent="0.25">
      <c r="B215" s="53"/>
      <c r="C215" s="53"/>
      <c r="D215" s="53"/>
    </row>
    <row r="216" spans="2:4" x14ac:dyDescent="0.25">
      <c r="B216" s="53"/>
      <c r="C216" s="53"/>
      <c r="D216" s="53"/>
    </row>
    <row r="217" spans="2:4" x14ac:dyDescent="0.25">
      <c r="B217" s="53"/>
      <c r="C217" s="53"/>
      <c r="D217" s="53"/>
    </row>
    <row r="218" spans="2:4" x14ac:dyDescent="0.25">
      <c r="B218" s="53"/>
      <c r="C218" s="53"/>
      <c r="D218" s="53"/>
    </row>
    <row r="219" spans="2:4" x14ac:dyDescent="0.25">
      <c r="B219" s="53"/>
      <c r="C219" s="53"/>
      <c r="D219" s="53"/>
    </row>
    <row r="220" spans="2:4" x14ac:dyDescent="0.25">
      <c r="B220" s="53"/>
      <c r="C220" s="53"/>
      <c r="D220" s="53"/>
    </row>
    <row r="221" spans="2:4" x14ac:dyDescent="0.25">
      <c r="B221" s="53"/>
      <c r="C221" s="53"/>
      <c r="D221" s="53"/>
    </row>
    <row r="222" spans="2:4" x14ac:dyDescent="0.25">
      <c r="B222" s="53"/>
      <c r="C222" s="53"/>
      <c r="D222" s="53"/>
    </row>
    <row r="223" spans="2:4" x14ac:dyDescent="0.25">
      <c r="B223" s="53"/>
      <c r="C223" s="53"/>
      <c r="D223" s="53"/>
    </row>
    <row r="224" spans="2:4" x14ac:dyDescent="0.25">
      <c r="B224" s="53"/>
      <c r="C224" s="53"/>
      <c r="D224" s="53"/>
    </row>
    <row r="225" spans="2:4" x14ac:dyDescent="0.25">
      <c r="B225" s="53"/>
      <c r="C225" s="53"/>
      <c r="D225" s="53"/>
    </row>
    <row r="226" spans="2:4" x14ac:dyDescent="0.25">
      <c r="B226" s="53"/>
      <c r="C226" s="53"/>
      <c r="D226" s="53"/>
    </row>
    <row r="227" spans="2:4" x14ac:dyDescent="0.25">
      <c r="B227" s="53"/>
      <c r="C227" s="53"/>
      <c r="D227" s="53"/>
    </row>
    <row r="228" spans="2:4" x14ac:dyDescent="0.25">
      <c r="B228" s="53"/>
      <c r="C228" s="53"/>
      <c r="D228" s="53"/>
    </row>
    <row r="229" spans="2:4" x14ac:dyDescent="0.25">
      <c r="B229" s="53"/>
      <c r="C229" s="53"/>
      <c r="D229" s="53"/>
    </row>
    <row r="230" spans="2:4" x14ac:dyDescent="0.25">
      <c r="B230" s="53"/>
      <c r="C230" s="53"/>
      <c r="D230" s="53"/>
    </row>
    <row r="231" spans="2:4" x14ac:dyDescent="0.25">
      <c r="B231" s="53"/>
      <c r="C231" s="53"/>
      <c r="D231" s="53"/>
    </row>
    <row r="232" spans="2:4" x14ac:dyDescent="0.25">
      <c r="B232" s="53"/>
      <c r="C232" s="53"/>
      <c r="D232" s="53"/>
    </row>
    <row r="233" spans="2:4" x14ac:dyDescent="0.25">
      <c r="B233" s="53"/>
      <c r="C233" s="53"/>
      <c r="D233" s="53"/>
    </row>
    <row r="234" spans="2:4" x14ac:dyDescent="0.25">
      <c r="B234" s="53"/>
      <c r="C234" s="53"/>
      <c r="D234" s="53"/>
    </row>
    <row r="235" spans="2:4" x14ac:dyDescent="0.25">
      <c r="B235" s="53"/>
      <c r="C235" s="53"/>
      <c r="D235" s="53"/>
    </row>
    <row r="236" spans="2:4" x14ac:dyDescent="0.25">
      <c r="B236" s="53"/>
      <c r="C236" s="53"/>
      <c r="D236" s="53"/>
    </row>
    <row r="237" spans="2:4" x14ac:dyDescent="0.25">
      <c r="B237" s="53"/>
      <c r="C237" s="53"/>
      <c r="D237" s="53"/>
    </row>
    <row r="238" spans="2:4" x14ac:dyDescent="0.25">
      <c r="B238" s="53"/>
      <c r="C238" s="53"/>
      <c r="D238" s="53"/>
    </row>
    <row r="239" spans="2:4" x14ac:dyDescent="0.25">
      <c r="B239" s="53"/>
      <c r="C239" s="53"/>
      <c r="D239" s="53"/>
    </row>
    <row r="240" spans="2:4" x14ac:dyDescent="0.25">
      <c r="B240" s="53"/>
      <c r="C240" s="53"/>
      <c r="D240" s="53"/>
    </row>
    <row r="241" spans="2:4" x14ac:dyDescent="0.25">
      <c r="B241" s="53"/>
      <c r="C241" s="53"/>
      <c r="D241" s="53"/>
    </row>
    <row r="242" spans="2:4" x14ac:dyDescent="0.25">
      <c r="B242" s="53"/>
      <c r="C242" s="53"/>
      <c r="D242" s="53"/>
    </row>
    <row r="243" spans="2:4" x14ac:dyDescent="0.25">
      <c r="B243" s="53"/>
      <c r="C243" s="53"/>
      <c r="D243" s="53"/>
    </row>
    <row r="244" spans="2:4" x14ac:dyDescent="0.25">
      <c r="B244" s="53"/>
      <c r="C244" s="53"/>
      <c r="D244" s="53"/>
    </row>
    <row r="245" spans="2:4" x14ac:dyDescent="0.25">
      <c r="B245" s="53"/>
      <c r="C245" s="53"/>
      <c r="D245" s="53"/>
    </row>
    <row r="246" spans="2:4" x14ac:dyDescent="0.25">
      <c r="B246" s="53"/>
      <c r="C246" s="53"/>
      <c r="D246" s="53"/>
    </row>
    <row r="247" spans="2:4" x14ac:dyDescent="0.25">
      <c r="B247" s="53"/>
      <c r="C247" s="53"/>
      <c r="D247" s="53"/>
    </row>
    <row r="248" spans="2:4" x14ac:dyDescent="0.25">
      <c r="B248" s="53"/>
      <c r="C248" s="53"/>
      <c r="D248" s="53"/>
    </row>
    <row r="249" spans="2:4" x14ac:dyDescent="0.25">
      <c r="B249" s="53"/>
      <c r="C249" s="53"/>
      <c r="D249" s="53"/>
    </row>
    <row r="250" spans="2:4" x14ac:dyDescent="0.25">
      <c r="B250" s="53"/>
      <c r="C250" s="53"/>
      <c r="D250" s="53"/>
    </row>
    <row r="251" spans="2:4" x14ac:dyDescent="0.25">
      <c r="B251" s="53"/>
      <c r="C251" s="53"/>
      <c r="D251" s="53"/>
    </row>
    <row r="252" spans="2:4" x14ac:dyDescent="0.25">
      <c r="B252" s="53"/>
      <c r="C252" s="53"/>
      <c r="D252" s="53"/>
    </row>
    <row r="253" spans="2:4" x14ac:dyDescent="0.25">
      <c r="B253" s="53"/>
      <c r="C253" s="53"/>
      <c r="D253" s="53"/>
    </row>
    <row r="254" spans="2:4" x14ac:dyDescent="0.25">
      <c r="B254" s="53"/>
      <c r="C254" s="53"/>
      <c r="D254" s="53"/>
    </row>
    <row r="255" spans="2:4" x14ac:dyDescent="0.25">
      <c r="B255" s="53"/>
      <c r="C255" s="53"/>
      <c r="D255" s="53"/>
    </row>
    <row r="256" spans="2:4" x14ac:dyDescent="0.25">
      <c r="B256" s="53"/>
      <c r="C256" s="53"/>
      <c r="D256" s="53"/>
    </row>
    <row r="257" spans="2:4" x14ac:dyDescent="0.25">
      <c r="B257" s="53"/>
      <c r="C257" s="53"/>
      <c r="D257" s="53"/>
    </row>
    <row r="258" spans="2:4" x14ac:dyDescent="0.25">
      <c r="B258" s="53"/>
      <c r="C258" s="53"/>
      <c r="D258" s="53"/>
    </row>
    <row r="259" spans="2:4" x14ac:dyDescent="0.25">
      <c r="B259" s="53"/>
      <c r="C259" s="53"/>
      <c r="D259" s="53"/>
    </row>
    <row r="260" spans="2:4" x14ac:dyDescent="0.25">
      <c r="B260" s="53"/>
      <c r="C260" s="53"/>
      <c r="D260" s="53"/>
    </row>
    <row r="261" spans="2:4" x14ac:dyDescent="0.25">
      <c r="B261" s="53"/>
      <c r="C261" s="53"/>
      <c r="D261" s="53"/>
    </row>
    <row r="262" spans="2:4" x14ac:dyDescent="0.25">
      <c r="B262" s="53"/>
      <c r="C262" s="53"/>
      <c r="D262" s="53"/>
    </row>
    <row r="263" spans="2:4" x14ac:dyDescent="0.25">
      <c r="B263" s="53"/>
      <c r="C263" s="53"/>
      <c r="D263" s="53"/>
    </row>
    <row r="264" spans="2:4" x14ac:dyDescent="0.25">
      <c r="B264" s="53"/>
      <c r="C264" s="53"/>
      <c r="D264" s="53"/>
    </row>
    <row r="265" spans="2:4" x14ac:dyDescent="0.25">
      <c r="B265" s="53"/>
      <c r="C265" s="53"/>
      <c r="D265" s="53"/>
    </row>
    <row r="266" spans="2:4" x14ac:dyDescent="0.25">
      <c r="B266" s="53"/>
      <c r="C266" s="53"/>
      <c r="D266" s="53"/>
    </row>
    <row r="267" spans="2:4" x14ac:dyDescent="0.25">
      <c r="B267" s="53"/>
      <c r="C267" s="53"/>
      <c r="D267" s="53"/>
    </row>
    <row r="268" spans="2:4" x14ac:dyDescent="0.25">
      <c r="B268" s="53"/>
      <c r="C268" s="53"/>
      <c r="D268" s="53"/>
    </row>
    <row r="269" spans="2:4" x14ac:dyDescent="0.25">
      <c r="B269" s="53"/>
      <c r="C269" s="53"/>
      <c r="D269" s="53"/>
    </row>
    <row r="270" spans="2:4" x14ac:dyDescent="0.25">
      <c r="B270" s="53"/>
      <c r="C270" s="53"/>
      <c r="D270" s="53"/>
    </row>
    <row r="271" spans="2:4" x14ac:dyDescent="0.25">
      <c r="B271" s="53"/>
      <c r="C271" s="53"/>
      <c r="D271" s="53"/>
    </row>
    <row r="272" spans="2:4" x14ac:dyDescent="0.25">
      <c r="B272" s="53"/>
      <c r="C272" s="53"/>
      <c r="D272" s="53"/>
    </row>
    <row r="273" spans="2:4" x14ac:dyDescent="0.25">
      <c r="B273" s="53"/>
      <c r="C273" s="53"/>
      <c r="D273" s="53"/>
    </row>
    <row r="274" spans="2:4" x14ac:dyDescent="0.25">
      <c r="B274" s="53"/>
      <c r="C274" s="53"/>
      <c r="D274" s="53"/>
    </row>
    <row r="275" spans="2:4" x14ac:dyDescent="0.25">
      <c r="B275" s="53"/>
      <c r="C275" s="53"/>
      <c r="D275" s="53"/>
    </row>
    <row r="276" spans="2:4" x14ac:dyDescent="0.25">
      <c r="B276" s="53"/>
      <c r="C276" s="53"/>
      <c r="D276" s="53"/>
    </row>
    <row r="277" spans="2:4" x14ac:dyDescent="0.25">
      <c r="B277" s="53"/>
      <c r="C277" s="53"/>
      <c r="D277" s="53"/>
    </row>
    <row r="278" spans="2:4" x14ac:dyDescent="0.25">
      <c r="B278" s="53"/>
      <c r="C278" s="53"/>
      <c r="D278" s="53"/>
    </row>
    <row r="279" spans="2:4" x14ac:dyDescent="0.25">
      <c r="B279" s="53"/>
      <c r="C279" s="53"/>
      <c r="D279" s="53"/>
    </row>
    <row r="280" spans="2:4" x14ac:dyDescent="0.25">
      <c r="B280" s="53"/>
      <c r="C280" s="53"/>
      <c r="D280" s="53"/>
    </row>
    <row r="281" spans="2:4" x14ac:dyDescent="0.25">
      <c r="B281" s="53"/>
      <c r="C281" s="53"/>
      <c r="D281" s="53"/>
    </row>
    <row r="282" spans="2:4" x14ac:dyDescent="0.25">
      <c r="B282" s="53"/>
      <c r="C282" s="53"/>
      <c r="D282" s="53"/>
    </row>
    <row r="283" spans="2:4" x14ac:dyDescent="0.25">
      <c r="B283" s="53"/>
      <c r="C283" s="53"/>
      <c r="D283" s="53"/>
    </row>
    <row r="284" spans="2:4" x14ac:dyDescent="0.25">
      <c r="B284" s="53"/>
      <c r="C284" s="53"/>
      <c r="D284" s="53"/>
    </row>
    <row r="285" spans="2:4" x14ac:dyDescent="0.25">
      <c r="B285" s="53"/>
      <c r="C285" s="53"/>
      <c r="D285" s="53"/>
    </row>
    <row r="286" spans="2:4" x14ac:dyDescent="0.25">
      <c r="B286" s="53"/>
      <c r="C286" s="53"/>
      <c r="D286" s="53"/>
    </row>
    <row r="287" spans="2:4" x14ac:dyDescent="0.25">
      <c r="B287" s="53"/>
      <c r="C287" s="53"/>
      <c r="D287" s="53"/>
    </row>
    <row r="288" spans="2:4" x14ac:dyDescent="0.25">
      <c r="B288" s="53"/>
      <c r="C288" s="53"/>
      <c r="D288" s="53"/>
    </row>
    <row r="289" spans="2:4" x14ac:dyDescent="0.25">
      <c r="B289" s="53"/>
      <c r="C289" s="53"/>
      <c r="D289" s="53"/>
    </row>
    <row r="290" spans="2:4" x14ac:dyDescent="0.25">
      <c r="B290" s="53"/>
      <c r="C290" s="53"/>
      <c r="D290" s="53"/>
    </row>
    <row r="291" spans="2:4" x14ac:dyDescent="0.25">
      <c r="B291" s="53"/>
      <c r="C291" s="53"/>
      <c r="D291" s="53"/>
    </row>
    <row r="292" spans="2:4" x14ac:dyDescent="0.25">
      <c r="B292" s="53"/>
      <c r="C292" s="53"/>
      <c r="D292" s="53"/>
    </row>
    <row r="293" spans="2:4" x14ac:dyDescent="0.25">
      <c r="B293" s="53"/>
      <c r="C293" s="53"/>
      <c r="D293" s="53"/>
    </row>
    <row r="294" spans="2:4" x14ac:dyDescent="0.25">
      <c r="B294" s="53"/>
      <c r="C294" s="53"/>
      <c r="D294" s="53"/>
    </row>
    <row r="295" spans="2:4" x14ac:dyDescent="0.25">
      <c r="B295" s="53"/>
      <c r="C295" s="53"/>
      <c r="D295" s="53"/>
    </row>
    <row r="296" spans="2:4" x14ac:dyDescent="0.25">
      <c r="B296" s="53"/>
      <c r="C296" s="53"/>
      <c r="D296" s="53"/>
    </row>
    <row r="297" spans="2:4" x14ac:dyDescent="0.25">
      <c r="B297" s="53"/>
      <c r="C297" s="53"/>
      <c r="D297" s="53"/>
    </row>
    <row r="298" spans="2:4" x14ac:dyDescent="0.25">
      <c r="B298" s="53"/>
      <c r="C298" s="53"/>
      <c r="D298" s="53"/>
    </row>
    <row r="299" spans="2:4" x14ac:dyDescent="0.25">
      <c r="B299" s="53"/>
      <c r="C299" s="53"/>
      <c r="D299" s="53"/>
    </row>
    <row r="300" spans="2:4" x14ac:dyDescent="0.25">
      <c r="B300" s="53"/>
      <c r="C300" s="53"/>
      <c r="D300" s="53"/>
    </row>
    <row r="301" spans="2:4" x14ac:dyDescent="0.25">
      <c r="B301" s="53"/>
      <c r="C301" s="53"/>
      <c r="D301" s="53"/>
    </row>
    <row r="302" spans="2:4" x14ac:dyDescent="0.25">
      <c r="B302" s="53"/>
      <c r="C302" s="53"/>
      <c r="D302" s="53"/>
    </row>
    <row r="303" spans="2:4" x14ac:dyDescent="0.25">
      <c r="B303" s="53"/>
      <c r="C303" s="53"/>
      <c r="D303" s="53"/>
    </row>
    <row r="304" spans="2:4" x14ac:dyDescent="0.25">
      <c r="B304" s="53"/>
      <c r="C304" s="53"/>
      <c r="D304" s="53"/>
    </row>
    <row r="305" spans="2:4" x14ac:dyDescent="0.25">
      <c r="B305" s="53"/>
      <c r="C305" s="53"/>
      <c r="D305" s="53"/>
    </row>
    <row r="306" spans="2:4" x14ac:dyDescent="0.25">
      <c r="B306" s="53"/>
      <c r="C306" s="53"/>
      <c r="D306" s="53"/>
    </row>
    <row r="307" spans="2:4" x14ac:dyDescent="0.25">
      <c r="B307" s="53"/>
      <c r="C307" s="53"/>
      <c r="D307" s="53"/>
    </row>
    <row r="308" spans="2:4" x14ac:dyDescent="0.25">
      <c r="B308" s="53"/>
      <c r="C308" s="53"/>
      <c r="D308" s="53"/>
    </row>
    <row r="309" spans="2:4" x14ac:dyDescent="0.25">
      <c r="B309" s="53"/>
      <c r="C309" s="53"/>
      <c r="D309" s="53"/>
    </row>
    <row r="310" spans="2:4" x14ac:dyDescent="0.25">
      <c r="B310" s="53"/>
      <c r="C310" s="53"/>
      <c r="D310" s="53"/>
    </row>
    <row r="311" spans="2:4" x14ac:dyDescent="0.25">
      <c r="B311" s="53"/>
      <c r="C311" s="53"/>
      <c r="D311" s="53"/>
    </row>
    <row r="312" spans="2:4" x14ac:dyDescent="0.25">
      <c r="B312" s="53"/>
      <c r="C312" s="53"/>
      <c r="D312" s="53"/>
    </row>
    <row r="313" spans="2:4" x14ac:dyDescent="0.25">
      <c r="B313" s="53"/>
      <c r="C313" s="53"/>
      <c r="D313" s="53"/>
    </row>
    <row r="314" spans="2:4" x14ac:dyDescent="0.25">
      <c r="B314" s="53"/>
      <c r="C314" s="53"/>
      <c r="D314" s="53"/>
    </row>
    <row r="315" spans="2:4" x14ac:dyDescent="0.25">
      <c r="B315" s="53"/>
      <c r="C315" s="53"/>
      <c r="D315" s="53"/>
    </row>
    <row r="316" spans="2:4" x14ac:dyDescent="0.25">
      <c r="B316" s="53"/>
      <c r="C316" s="53"/>
      <c r="D316" s="53"/>
    </row>
    <row r="317" spans="2:4" x14ac:dyDescent="0.25">
      <c r="B317" s="53"/>
      <c r="C317" s="53"/>
      <c r="D317" s="53"/>
    </row>
    <row r="318" spans="2:4" x14ac:dyDescent="0.25">
      <c r="B318" s="53"/>
      <c r="C318" s="53"/>
      <c r="D318" s="53"/>
    </row>
    <row r="319" spans="2:4" x14ac:dyDescent="0.25">
      <c r="B319" s="53"/>
      <c r="C319" s="53"/>
      <c r="D319" s="53"/>
    </row>
    <row r="320" spans="2:4" x14ac:dyDescent="0.25">
      <c r="B320" s="53"/>
      <c r="C320" s="53"/>
      <c r="D320" s="53"/>
    </row>
    <row r="321" spans="2:4" x14ac:dyDescent="0.25">
      <c r="B321" s="53"/>
      <c r="C321" s="53"/>
      <c r="D321" s="53"/>
    </row>
    <row r="322" spans="2:4" x14ac:dyDescent="0.25">
      <c r="B322" s="53"/>
      <c r="C322" s="53"/>
      <c r="D322" s="53"/>
    </row>
    <row r="323" spans="2:4" x14ac:dyDescent="0.25">
      <c r="B323" s="53"/>
      <c r="C323" s="53"/>
      <c r="D323" s="53"/>
    </row>
    <row r="324" spans="2:4" x14ac:dyDescent="0.25">
      <c r="B324" s="53"/>
      <c r="C324" s="53"/>
      <c r="D324" s="53"/>
    </row>
    <row r="325" spans="2:4" x14ac:dyDescent="0.25">
      <c r="B325" s="53"/>
      <c r="C325" s="53"/>
      <c r="D325" s="53"/>
    </row>
    <row r="326" spans="2:4" x14ac:dyDescent="0.25">
      <c r="B326" s="53"/>
      <c r="C326" s="53"/>
      <c r="D326" s="53"/>
    </row>
    <row r="327" spans="2:4" x14ac:dyDescent="0.25">
      <c r="B327" s="53"/>
      <c r="C327" s="53"/>
      <c r="D327" s="53"/>
    </row>
    <row r="328" spans="2:4" x14ac:dyDescent="0.25">
      <c r="B328" s="53"/>
      <c r="C328" s="53"/>
      <c r="D328" s="53"/>
    </row>
    <row r="329" spans="2:4" x14ac:dyDescent="0.25">
      <c r="B329" s="53"/>
      <c r="C329" s="53"/>
      <c r="D329" s="53"/>
    </row>
    <row r="330" spans="2:4" x14ac:dyDescent="0.25">
      <c r="B330" s="53"/>
      <c r="C330" s="53"/>
      <c r="D330" s="53"/>
    </row>
    <row r="331" spans="2:4" x14ac:dyDescent="0.25">
      <c r="B331" s="53"/>
      <c r="C331" s="53"/>
      <c r="D331" s="53"/>
    </row>
    <row r="332" spans="2:4" x14ac:dyDescent="0.25">
      <c r="B332" s="53"/>
      <c r="C332" s="53"/>
      <c r="D332" s="53"/>
    </row>
    <row r="333" spans="2:4" x14ac:dyDescent="0.25">
      <c r="B333" s="53"/>
      <c r="C333" s="53"/>
      <c r="D333" s="53"/>
    </row>
    <row r="334" spans="2:4" x14ac:dyDescent="0.25">
      <c r="B334" s="53"/>
      <c r="C334" s="53"/>
      <c r="D334" s="53"/>
    </row>
    <row r="335" spans="2:4" x14ac:dyDescent="0.25">
      <c r="B335" s="53"/>
      <c r="C335" s="53"/>
      <c r="D335" s="53"/>
    </row>
    <row r="336" spans="2:4" x14ac:dyDescent="0.25">
      <c r="B336" s="53"/>
      <c r="C336" s="53"/>
      <c r="D336" s="53"/>
    </row>
    <row r="337" spans="2:4" x14ac:dyDescent="0.25">
      <c r="B337" s="53"/>
      <c r="C337" s="53"/>
      <c r="D337" s="53"/>
    </row>
    <row r="338" spans="2:4" x14ac:dyDescent="0.25">
      <c r="B338" s="53"/>
      <c r="C338" s="53"/>
      <c r="D338" s="53"/>
    </row>
    <row r="339" spans="2:4" x14ac:dyDescent="0.25">
      <c r="B339" s="53"/>
      <c r="C339" s="53"/>
      <c r="D339" s="53"/>
    </row>
    <row r="340" spans="2:4" x14ac:dyDescent="0.25">
      <c r="B340" s="53"/>
      <c r="C340" s="53"/>
      <c r="D340" s="53"/>
    </row>
    <row r="341" spans="2:4" x14ac:dyDescent="0.25">
      <c r="B341" s="53"/>
      <c r="C341" s="53"/>
      <c r="D341" s="53"/>
    </row>
    <row r="342" spans="2:4" x14ac:dyDescent="0.25">
      <c r="B342" s="53"/>
      <c r="C342" s="53"/>
      <c r="D342" s="53"/>
    </row>
    <row r="343" spans="2:4" x14ac:dyDescent="0.25">
      <c r="B343" s="53"/>
      <c r="C343" s="53"/>
      <c r="D343" s="53"/>
    </row>
    <row r="344" spans="2:4" x14ac:dyDescent="0.25">
      <c r="B344" s="53"/>
      <c r="C344" s="53"/>
      <c r="D344" s="53"/>
    </row>
    <row r="345" spans="2:4" x14ac:dyDescent="0.25">
      <c r="B345" s="53"/>
      <c r="C345" s="53"/>
      <c r="D345" s="53"/>
    </row>
    <row r="346" spans="2:4" x14ac:dyDescent="0.25">
      <c r="B346" s="53"/>
      <c r="C346" s="53"/>
      <c r="D346" s="53"/>
    </row>
    <row r="347" spans="2:4" x14ac:dyDescent="0.25">
      <c r="B347" s="53"/>
      <c r="C347" s="53"/>
      <c r="D347" s="53"/>
    </row>
    <row r="348" spans="2:4" x14ac:dyDescent="0.25">
      <c r="B348" s="53"/>
      <c r="C348" s="53"/>
      <c r="D348" s="53"/>
    </row>
    <row r="349" spans="2:4" x14ac:dyDescent="0.25">
      <c r="B349" s="53"/>
      <c r="C349" s="53"/>
      <c r="D349" s="53"/>
    </row>
    <row r="350" spans="2:4" x14ac:dyDescent="0.25">
      <c r="B350" s="53"/>
      <c r="C350" s="53"/>
      <c r="D350" s="53"/>
    </row>
    <row r="351" spans="2:4" x14ac:dyDescent="0.25">
      <c r="B351" s="53"/>
      <c r="C351" s="53"/>
      <c r="D351" s="53"/>
    </row>
    <row r="352" spans="2:4" x14ac:dyDescent="0.25">
      <c r="B352" s="53"/>
      <c r="C352" s="53"/>
      <c r="D352" s="53"/>
    </row>
    <row r="353" spans="2:4" x14ac:dyDescent="0.25">
      <c r="B353" s="53"/>
      <c r="C353" s="53"/>
      <c r="D353" s="53"/>
    </row>
    <row r="354" spans="2:4" x14ac:dyDescent="0.25">
      <c r="B354" s="53"/>
      <c r="C354" s="53"/>
      <c r="D354" s="53"/>
    </row>
    <row r="355" spans="2:4" x14ac:dyDescent="0.25">
      <c r="B355" s="53"/>
      <c r="C355" s="53"/>
      <c r="D355" s="53"/>
    </row>
    <row r="356" spans="2:4" x14ac:dyDescent="0.25">
      <c r="B356" s="53"/>
      <c r="C356" s="53"/>
      <c r="D356" s="53"/>
    </row>
    <row r="357" spans="2:4" x14ac:dyDescent="0.25">
      <c r="B357" s="53"/>
      <c r="C357" s="53"/>
      <c r="D357" s="53"/>
    </row>
    <row r="358" spans="2:4" x14ac:dyDescent="0.25">
      <c r="B358" s="53"/>
      <c r="C358" s="53"/>
      <c r="D358" s="53"/>
    </row>
    <row r="359" spans="2:4" x14ac:dyDescent="0.25">
      <c r="B359" s="53"/>
      <c r="C359" s="53"/>
      <c r="D359" s="53"/>
    </row>
    <row r="360" spans="2:4" x14ac:dyDescent="0.25">
      <c r="B360" s="53"/>
      <c r="C360" s="53"/>
      <c r="D360" s="53"/>
    </row>
    <row r="361" spans="2:4" x14ac:dyDescent="0.25">
      <c r="B361" s="53"/>
      <c r="C361" s="53"/>
      <c r="D361" s="53"/>
    </row>
    <row r="362" spans="2:4" x14ac:dyDescent="0.25">
      <c r="B362" s="53"/>
      <c r="C362" s="53"/>
      <c r="D362" s="53"/>
    </row>
    <row r="363" spans="2:4" x14ac:dyDescent="0.25">
      <c r="B363" s="53"/>
      <c r="C363" s="53"/>
      <c r="D363" s="53"/>
    </row>
    <row r="364" spans="2:4" x14ac:dyDescent="0.25">
      <c r="B364" s="53"/>
      <c r="C364" s="53"/>
      <c r="D364" s="53"/>
    </row>
    <row r="365" spans="2:4" x14ac:dyDescent="0.25">
      <c r="B365" s="53"/>
      <c r="C365" s="53"/>
      <c r="D365" s="53"/>
    </row>
    <row r="366" spans="2:4" x14ac:dyDescent="0.25">
      <c r="B366" s="53"/>
      <c r="C366" s="53"/>
      <c r="D366" s="53"/>
    </row>
    <row r="367" spans="2:4" x14ac:dyDescent="0.25">
      <c r="B367" s="53"/>
      <c r="C367" s="53"/>
      <c r="D367" s="53"/>
    </row>
    <row r="368" spans="2:4" x14ac:dyDescent="0.25">
      <c r="B368" s="53"/>
      <c r="C368" s="53"/>
      <c r="D368" s="53"/>
    </row>
    <row r="369" spans="2:4" x14ac:dyDescent="0.25">
      <c r="B369" s="53"/>
      <c r="C369" s="53"/>
      <c r="D369" s="53"/>
    </row>
    <row r="370" spans="2:4" x14ac:dyDescent="0.25">
      <c r="B370" s="53"/>
      <c r="C370" s="53"/>
      <c r="D370" s="53"/>
    </row>
    <row r="371" spans="2:4" x14ac:dyDescent="0.25">
      <c r="B371" s="53"/>
      <c r="C371" s="53"/>
      <c r="D371" s="53"/>
    </row>
    <row r="372" spans="2:4" x14ac:dyDescent="0.25">
      <c r="B372" s="53"/>
      <c r="C372" s="53"/>
      <c r="D372" s="53"/>
    </row>
    <row r="373" spans="2:4" x14ac:dyDescent="0.25">
      <c r="B373" s="53"/>
      <c r="C373" s="53"/>
      <c r="D373" s="53"/>
    </row>
    <row r="374" spans="2:4" x14ac:dyDescent="0.25">
      <c r="B374" s="53"/>
      <c r="C374" s="53"/>
      <c r="D374" s="53"/>
    </row>
    <row r="375" spans="2:4" x14ac:dyDescent="0.25">
      <c r="B375" s="53"/>
      <c r="C375" s="53"/>
      <c r="D375" s="53"/>
    </row>
    <row r="376" spans="2:4" x14ac:dyDescent="0.25">
      <c r="B376" s="53"/>
      <c r="C376" s="53"/>
      <c r="D376" s="53"/>
    </row>
    <row r="377" spans="2:4" x14ac:dyDescent="0.25">
      <c r="B377" s="53"/>
      <c r="C377" s="53"/>
      <c r="D377" s="53"/>
    </row>
    <row r="378" spans="2:4" x14ac:dyDescent="0.25">
      <c r="B378" s="53"/>
      <c r="C378" s="53"/>
      <c r="D378" s="53"/>
    </row>
    <row r="379" spans="2:4" x14ac:dyDescent="0.25">
      <c r="B379" s="53"/>
      <c r="C379" s="53"/>
      <c r="D379" s="53"/>
    </row>
    <row r="380" spans="2:4" x14ac:dyDescent="0.25">
      <c r="B380" s="53"/>
      <c r="C380" s="53"/>
      <c r="D380" s="53"/>
    </row>
    <row r="381" spans="2:4" x14ac:dyDescent="0.25">
      <c r="B381" s="53"/>
      <c r="C381" s="53"/>
      <c r="D381" s="53"/>
    </row>
    <row r="382" spans="2:4" x14ac:dyDescent="0.25">
      <c r="B382" s="53"/>
      <c r="C382" s="53"/>
      <c r="D382" s="53"/>
    </row>
    <row r="383" spans="2:4" x14ac:dyDescent="0.25">
      <c r="B383" s="53"/>
      <c r="C383" s="53"/>
      <c r="D383" s="53"/>
    </row>
    <row r="384" spans="2:4" x14ac:dyDescent="0.25">
      <c r="B384" s="53"/>
      <c r="C384" s="53"/>
      <c r="D384" s="53"/>
    </row>
    <row r="385" spans="2:4" x14ac:dyDescent="0.25">
      <c r="B385" s="53"/>
      <c r="C385" s="53"/>
      <c r="D385" s="53"/>
    </row>
    <row r="386" spans="2:4" x14ac:dyDescent="0.25">
      <c r="B386" s="53"/>
      <c r="C386" s="53"/>
      <c r="D386" s="53"/>
    </row>
    <row r="387" spans="2:4" x14ac:dyDescent="0.25">
      <c r="B387" s="53"/>
      <c r="C387" s="53"/>
      <c r="D387" s="53"/>
    </row>
    <row r="388" spans="2:4" x14ac:dyDescent="0.25">
      <c r="B388" s="53"/>
      <c r="C388" s="53"/>
      <c r="D388" s="53"/>
    </row>
    <row r="389" spans="2:4" x14ac:dyDescent="0.25">
      <c r="B389" s="53"/>
      <c r="C389" s="53"/>
      <c r="D389" s="53"/>
    </row>
    <row r="390" spans="2:4" x14ac:dyDescent="0.25">
      <c r="B390" s="53"/>
      <c r="C390" s="53"/>
      <c r="D390" s="53"/>
    </row>
    <row r="391" spans="2:4" x14ac:dyDescent="0.25">
      <c r="B391" s="53"/>
      <c r="C391" s="53"/>
      <c r="D391" s="53"/>
    </row>
    <row r="392" spans="2:4" x14ac:dyDescent="0.25">
      <c r="B392" s="53"/>
      <c r="C392" s="53"/>
      <c r="D392" s="53"/>
    </row>
    <row r="393" spans="2:4" x14ac:dyDescent="0.25">
      <c r="B393" s="53"/>
      <c r="C393" s="53"/>
      <c r="D393" s="53"/>
    </row>
    <row r="394" spans="2:4" x14ac:dyDescent="0.25">
      <c r="B394" s="53"/>
      <c r="C394" s="53"/>
      <c r="D394" s="53"/>
    </row>
    <row r="395" spans="2:4" x14ac:dyDescent="0.25">
      <c r="B395" s="53"/>
      <c r="C395" s="53"/>
      <c r="D395" s="53"/>
    </row>
    <row r="396" spans="2:4" x14ac:dyDescent="0.25">
      <c r="B396" s="53"/>
      <c r="C396" s="53"/>
      <c r="D396" s="53"/>
    </row>
    <row r="397" spans="2:4" x14ac:dyDescent="0.25">
      <c r="B397" s="53"/>
      <c r="C397" s="53"/>
      <c r="D397" s="53"/>
    </row>
    <row r="398" spans="2:4" x14ac:dyDescent="0.25">
      <c r="B398" s="53"/>
      <c r="C398" s="53"/>
      <c r="D398" s="53"/>
    </row>
    <row r="399" spans="2:4" x14ac:dyDescent="0.25">
      <c r="B399" s="53"/>
      <c r="C399" s="53"/>
      <c r="D399" s="53"/>
    </row>
    <row r="400" spans="2:4" x14ac:dyDescent="0.25">
      <c r="B400" s="53"/>
      <c r="C400" s="53"/>
      <c r="D400" s="53"/>
    </row>
    <row r="401" spans="2:4" x14ac:dyDescent="0.25">
      <c r="B401" s="53"/>
      <c r="C401" s="53"/>
      <c r="D401" s="53"/>
    </row>
    <row r="402" spans="2:4" x14ac:dyDescent="0.25">
      <c r="B402" s="53"/>
      <c r="C402" s="53"/>
      <c r="D402" s="53"/>
    </row>
    <row r="403" spans="2:4" x14ac:dyDescent="0.25">
      <c r="B403" s="53"/>
      <c r="C403" s="53"/>
      <c r="D403" s="53"/>
    </row>
    <row r="404" spans="2:4" x14ac:dyDescent="0.25">
      <c r="B404" s="53"/>
      <c r="C404" s="53"/>
      <c r="D404" s="53"/>
    </row>
    <row r="405" spans="2:4" x14ac:dyDescent="0.25">
      <c r="B405" s="53"/>
      <c r="C405" s="53"/>
      <c r="D405" s="53"/>
    </row>
    <row r="406" spans="2:4" x14ac:dyDescent="0.25">
      <c r="B406" s="53"/>
      <c r="C406" s="53"/>
      <c r="D406" s="53"/>
    </row>
    <row r="407" spans="2:4" x14ac:dyDescent="0.25">
      <c r="B407" s="53"/>
      <c r="C407" s="53"/>
      <c r="D407" s="53"/>
    </row>
    <row r="408" spans="2:4" x14ac:dyDescent="0.25">
      <c r="B408" s="53"/>
      <c r="C408" s="53"/>
      <c r="D408" s="53"/>
    </row>
    <row r="409" spans="2:4" x14ac:dyDescent="0.25">
      <c r="B409" s="53"/>
      <c r="C409" s="53"/>
      <c r="D409" s="53"/>
    </row>
    <row r="410" spans="2:4" x14ac:dyDescent="0.25">
      <c r="B410" s="53"/>
      <c r="C410" s="53"/>
      <c r="D410" s="53"/>
    </row>
    <row r="411" spans="2:4" x14ac:dyDescent="0.25">
      <c r="B411" s="53"/>
      <c r="C411" s="53"/>
      <c r="D411" s="53"/>
    </row>
    <row r="412" spans="2:4" x14ac:dyDescent="0.25">
      <c r="B412" s="53"/>
      <c r="C412" s="53"/>
      <c r="D412" s="53"/>
    </row>
    <row r="413" spans="2:4" x14ac:dyDescent="0.25">
      <c r="B413" s="53"/>
      <c r="C413" s="53"/>
      <c r="D413" s="53"/>
    </row>
    <row r="414" spans="2:4" x14ac:dyDescent="0.25">
      <c r="B414" s="53"/>
      <c r="C414" s="53"/>
      <c r="D414" s="53"/>
    </row>
    <row r="415" spans="2:4" x14ac:dyDescent="0.25">
      <c r="B415" s="53"/>
      <c r="C415" s="53"/>
      <c r="D415" s="53"/>
    </row>
    <row r="416" spans="2:4" x14ac:dyDescent="0.25">
      <c r="B416" s="53"/>
      <c r="C416" s="53"/>
      <c r="D416" s="53"/>
    </row>
    <row r="417" spans="2:4" x14ac:dyDescent="0.25">
      <c r="B417" s="53"/>
      <c r="C417" s="53"/>
      <c r="D417" s="53"/>
    </row>
    <row r="418" spans="2:4" x14ac:dyDescent="0.25">
      <c r="B418" s="53"/>
      <c r="C418" s="53"/>
      <c r="D418" s="53"/>
    </row>
    <row r="419" spans="2:4" x14ac:dyDescent="0.25">
      <c r="B419" s="53"/>
      <c r="C419" s="53"/>
      <c r="D419" s="53"/>
    </row>
    <row r="420" spans="2:4" x14ac:dyDescent="0.25">
      <c r="B420" s="53"/>
      <c r="C420" s="53"/>
      <c r="D420" s="53"/>
    </row>
    <row r="421" spans="2:4" x14ac:dyDescent="0.25">
      <c r="B421" s="53"/>
      <c r="C421" s="53"/>
      <c r="D421" s="53"/>
    </row>
    <row r="422" spans="2:4" x14ac:dyDescent="0.25">
      <c r="B422" s="53"/>
      <c r="C422" s="53"/>
      <c r="D422" s="53"/>
    </row>
    <row r="423" spans="2:4" x14ac:dyDescent="0.25">
      <c r="B423" s="53"/>
      <c r="C423" s="53"/>
      <c r="D423" s="53"/>
    </row>
    <row r="424" spans="2:4" x14ac:dyDescent="0.25">
      <c r="B424" s="53"/>
      <c r="C424" s="53"/>
      <c r="D424" s="53"/>
    </row>
    <row r="425" spans="2:4" x14ac:dyDescent="0.25">
      <c r="B425" s="53"/>
      <c r="C425" s="53"/>
      <c r="D425" s="53"/>
    </row>
    <row r="426" spans="2:4" x14ac:dyDescent="0.25">
      <c r="B426" s="53"/>
      <c r="C426" s="53"/>
      <c r="D426" s="53"/>
    </row>
    <row r="427" spans="2:4" x14ac:dyDescent="0.25">
      <c r="B427" s="53"/>
      <c r="C427" s="53"/>
      <c r="D427" s="53"/>
    </row>
    <row r="428" spans="2:4" x14ac:dyDescent="0.25">
      <c r="B428" s="53"/>
      <c r="C428" s="53"/>
      <c r="D428" s="53"/>
    </row>
    <row r="429" spans="2:4" x14ac:dyDescent="0.25">
      <c r="B429" s="53"/>
      <c r="C429" s="53"/>
      <c r="D429" s="53"/>
    </row>
    <row r="430" spans="2:4" x14ac:dyDescent="0.25">
      <c r="B430" s="53"/>
      <c r="C430" s="53"/>
      <c r="D430" s="53"/>
    </row>
    <row r="431" spans="2:4" x14ac:dyDescent="0.25">
      <c r="B431" s="53"/>
      <c r="C431" s="53"/>
      <c r="D431" s="53"/>
    </row>
    <row r="432" spans="2:4" x14ac:dyDescent="0.25">
      <c r="B432" s="53"/>
      <c r="C432" s="53"/>
      <c r="D432" s="53"/>
    </row>
    <row r="433" spans="2:4" x14ac:dyDescent="0.25">
      <c r="B433" s="53"/>
      <c r="C433" s="53"/>
      <c r="D433" s="53"/>
    </row>
    <row r="434" spans="2:4" x14ac:dyDescent="0.25">
      <c r="B434" s="53"/>
      <c r="C434" s="53"/>
      <c r="D434" s="53"/>
    </row>
    <row r="435" spans="2:4" x14ac:dyDescent="0.25">
      <c r="B435" s="53"/>
      <c r="C435" s="53"/>
      <c r="D435" s="53"/>
    </row>
    <row r="436" spans="2:4" x14ac:dyDescent="0.25">
      <c r="B436" s="53"/>
      <c r="C436" s="53"/>
      <c r="D436" s="53"/>
    </row>
    <row r="437" spans="2:4" x14ac:dyDescent="0.25">
      <c r="B437" s="53"/>
      <c r="C437" s="53"/>
      <c r="D437" s="53"/>
    </row>
    <row r="438" spans="2:4" x14ac:dyDescent="0.25">
      <c r="B438" s="53"/>
      <c r="C438" s="53"/>
      <c r="D438" s="53"/>
    </row>
    <row r="439" spans="2:4" x14ac:dyDescent="0.25">
      <c r="B439" s="53"/>
      <c r="C439" s="53"/>
      <c r="D439" s="53"/>
    </row>
    <row r="440" spans="2:4" x14ac:dyDescent="0.25">
      <c r="B440" s="53"/>
      <c r="C440" s="53"/>
      <c r="D440" s="53"/>
    </row>
    <row r="441" spans="2:4" x14ac:dyDescent="0.25">
      <c r="B441" s="53"/>
      <c r="C441" s="53"/>
      <c r="D441" s="53"/>
    </row>
    <row r="442" spans="2:4" x14ac:dyDescent="0.25">
      <c r="B442" s="53"/>
      <c r="C442" s="53"/>
      <c r="D442" s="53"/>
    </row>
    <row r="443" spans="2:4" x14ac:dyDescent="0.25">
      <c r="B443" s="53"/>
      <c r="C443" s="53"/>
      <c r="D443" s="53"/>
    </row>
    <row r="444" spans="2:4" x14ac:dyDescent="0.25">
      <c r="B444" s="53"/>
      <c r="C444" s="53"/>
      <c r="D444" s="53"/>
    </row>
    <row r="445" spans="2:4" x14ac:dyDescent="0.25">
      <c r="B445" s="53"/>
      <c r="C445" s="53"/>
      <c r="D445" s="53"/>
    </row>
    <row r="446" spans="2:4" x14ac:dyDescent="0.25">
      <c r="B446" s="53"/>
      <c r="C446" s="53"/>
      <c r="D446" s="53"/>
    </row>
    <row r="447" spans="2:4" x14ac:dyDescent="0.25">
      <c r="B447" s="53"/>
      <c r="C447" s="53"/>
      <c r="D447" s="53"/>
    </row>
    <row r="448" spans="2:4" x14ac:dyDescent="0.25">
      <c r="B448" s="53"/>
      <c r="C448" s="53"/>
      <c r="D448" s="53"/>
    </row>
    <row r="449" spans="2:4" x14ac:dyDescent="0.25">
      <c r="B449" s="53"/>
      <c r="C449" s="53"/>
      <c r="D449" s="53"/>
    </row>
    <row r="450" spans="2:4" x14ac:dyDescent="0.25">
      <c r="B450" s="53"/>
      <c r="C450" s="53"/>
      <c r="D450" s="53"/>
    </row>
    <row r="451" spans="2:4" x14ac:dyDescent="0.25">
      <c r="B451" s="53"/>
      <c r="C451" s="53"/>
      <c r="D451" s="53"/>
    </row>
    <row r="452" spans="2:4" x14ac:dyDescent="0.25">
      <c r="B452" s="53"/>
      <c r="C452" s="53"/>
      <c r="D452" s="53"/>
    </row>
    <row r="453" spans="2:4" x14ac:dyDescent="0.25">
      <c r="B453" s="53"/>
      <c r="C453" s="53"/>
      <c r="D453" s="53"/>
    </row>
    <row r="454" spans="2:4" x14ac:dyDescent="0.25">
      <c r="B454" s="53"/>
      <c r="C454" s="53"/>
      <c r="D454" s="53"/>
    </row>
    <row r="455" spans="2:4" x14ac:dyDescent="0.25">
      <c r="B455" s="53"/>
      <c r="C455" s="53"/>
      <c r="D455" s="53"/>
    </row>
    <row r="456" spans="2:4" x14ac:dyDescent="0.25">
      <c r="B456" s="53"/>
      <c r="C456" s="53"/>
      <c r="D456" s="53"/>
    </row>
    <row r="457" spans="2:4" x14ac:dyDescent="0.25">
      <c r="B457" s="53"/>
      <c r="C457" s="53"/>
      <c r="D457" s="53"/>
    </row>
    <row r="458" spans="2:4" x14ac:dyDescent="0.25">
      <c r="B458" s="53"/>
      <c r="C458" s="53"/>
      <c r="D458" s="53"/>
    </row>
    <row r="459" spans="2:4" x14ac:dyDescent="0.25">
      <c r="B459" s="53"/>
      <c r="C459" s="53"/>
      <c r="D459" s="53"/>
    </row>
    <row r="460" spans="2:4" x14ac:dyDescent="0.25">
      <c r="B460" s="53"/>
      <c r="C460" s="53"/>
      <c r="D460" s="53"/>
    </row>
    <row r="461" spans="2:4" x14ac:dyDescent="0.25">
      <c r="B461" s="53"/>
      <c r="C461" s="53"/>
      <c r="D461" s="53"/>
    </row>
    <row r="462" spans="2:4" x14ac:dyDescent="0.25">
      <c r="B462" s="53"/>
      <c r="C462" s="53"/>
      <c r="D462" s="53"/>
    </row>
    <row r="463" spans="2:4" x14ac:dyDescent="0.25">
      <c r="B463" s="53"/>
      <c r="C463" s="53"/>
      <c r="D463" s="53"/>
    </row>
    <row r="464" spans="2:4" x14ac:dyDescent="0.25">
      <c r="B464" s="53"/>
      <c r="C464" s="53"/>
      <c r="D464" s="53"/>
    </row>
    <row r="465" spans="2:4" x14ac:dyDescent="0.25">
      <c r="B465" s="53"/>
      <c r="C465" s="53"/>
      <c r="D465" s="53"/>
    </row>
    <row r="466" spans="2:4" x14ac:dyDescent="0.25">
      <c r="B466" s="53"/>
      <c r="C466" s="53"/>
      <c r="D466" s="53"/>
    </row>
    <row r="467" spans="2:4" x14ac:dyDescent="0.25">
      <c r="B467" s="53"/>
      <c r="C467" s="53"/>
      <c r="D467" s="53"/>
    </row>
    <row r="468" spans="2:4" x14ac:dyDescent="0.25">
      <c r="B468" s="53"/>
      <c r="C468" s="53"/>
      <c r="D468" s="53"/>
    </row>
    <row r="469" spans="2:4" x14ac:dyDescent="0.25">
      <c r="B469" s="53"/>
      <c r="C469" s="53"/>
      <c r="D469" s="53"/>
    </row>
    <row r="470" spans="2:4" x14ac:dyDescent="0.25">
      <c r="B470" s="53"/>
      <c r="C470" s="53"/>
      <c r="D470" s="53"/>
    </row>
    <row r="471" spans="2:4" x14ac:dyDescent="0.25">
      <c r="B471" s="53"/>
      <c r="C471" s="53"/>
      <c r="D471" s="53"/>
    </row>
    <row r="472" spans="2:4" x14ac:dyDescent="0.25">
      <c r="B472" s="53"/>
      <c r="C472" s="53"/>
      <c r="D472" s="53"/>
    </row>
    <row r="473" spans="2:4" x14ac:dyDescent="0.25">
      <c r="B473" s="53"/>
      <c r="C473" s="53"/>
      <c r="D473" s="53"/>
    </row>
    <row r="474" spans="2:4" x14ac:dyDescent="0.25">
      <c r="B474" s="53"/>
      <c r="C474" s="53"/>
      <c r="D474" s="53"/>
    </row>
    <row r="475" spans="2:4" x14ac:dyDescent="0.25">
      <c r="B475" s="53"/>
      <c r="C475" s="53"/>
      <c r="D475" s="53"/>
    </row>
    <row r="476" spans="2:4" x14ac:dyDescent="0.25">
      <c r="B476" s="53"/>
      <c r="C476" s="53"/>
      <c r="D476" s="53"/>
    </row>
    <row r="477" spans="2:4" x14ac:dyDescent="0.25">
      <c r="B477" s="53"/>
      <c r="C477" s="53"/>
      <c r="D477" s="53"/>
    </row>
    <row r="478" spans="2:4" x14ac:dyDescent="0.25">
      <c r="B478" s="53"/>
      <c r="C478" s="53"/>
      <c r="D478" s="53"/>
    </row>
    <row r="479" spans="2:4" x14ac:dyDescent="0.25">
      <c r="B479" s="53"/>
      <c r="C479" s="53"/>
      <c r="D479" s="53"/>
    </row>
    <row r="480" spans="2:4" x14ac:dyDescent="0.25">
      <c r="B480" s="53"/>
      <c r="C480" s="53"/>
      <c r="D480" s="53"/>
    </row>
    <row r="481" spans="2:4" x14ac:dyDescent="0.25">
      <c r="B481" s="53"/>
      <c r="C481" s="53"/>
      <c r="D481" s="53"/>
    </row>
    <row r="482" spans="2:4" x14ac:dyDescent="0.25">
      <c r="B482" s="53"/>
      <c r="C482" s="53"/>
      <c r="D482" s="53"/>
    </row>
    <row r="483" spans="2:4" x14ac:dyDescent="0.25">
      <c r="B483" s="53"/>
      <c r="C483" s="53"/>
      <c r="D483" s="53"/>
    </row>
    <row r="484" spans="2:4" x14ac:dyDescent="0.25">
      <c r="B484" s="53"/>
      <c r="C484" s="53"/>
      <c r="D484" s="53"/>
    </row>
    <row r="485" spans="2:4" x14ac:dyDescent="0.25">
      <c r="B485" s="53"/>
      <c r="C485" s="53"/>
      <c r="D485" s="53"/>
    </row>
    <row r="486" spans="2:4" x14ac:dyDescent="0.25">
      <c r="B486" s="53"/>
      <c r="C486" s="53"/>
      <c r="D486" s="53"/>
    </row>
    <row r="487" spans="2:4" x14ac:dyDescent="0.25">
      <c r="B487" s="53"/>
      <c r="C487" s="53"/>
      <c r="D487" s="53"/>
    </row>
    <row r="488" spans="2:4" x14ac:dyDescent="0.25">
      <c r="B488" s="53"/>
      <c r="C488" s="53"/>
      <c r="D488" s="53"/>
    </row>
    <row r="489" spans="2:4" x14ac:dyDescent="0.25">
      <c r="B489" s="53"/>
      <c r="C489" s="53"/>
      <c r="D489" s="53"/>
    </row>
    <row r="490" spans="2:4" x14ac:dyDescent="0.25">
      <c r="B490" s="53"/>
      <c r="C490" s="53"/>
      <c r="D490" s="53"/>
    </row>
    <row r="491" spans="2:4" x14ac:dyDescent="0.25">
      <c r="B491" s="53"/>
      <c r="C491" s="53"/>
      <c r="D491" s="53"/>
    </row>
    <row r="492" spans="2:4" x14ac:dyDescent="0.25">
      <c r="B492" s="53"/>
      <c r="C492" s="53"/>
      <c r="D492" s="53"/>
    </row>
    <row r="493" spans="2:4" x14ac:dyDescent="0.25">
      <c r="B493" s="53"/>
      <c r="C493" s="53"/>
      <c r="D493" s="53"/>
    </row>
    <row r="494" spans="2:4" x14ac:dyDescent="0.25">
      <c r="B494" s="53"/>
      <c r="C494" s="53"/>
      <c r="D494" s="53"/>
    </row>
    <row r="495" spans="2:4" x14ac:dyDescent="0.25">
      <c r="B495" s="53"/>
      <c r="C495" s="53"/>
      <c r="D495" s="53"/>
    </row>
    <row r="496" spans="2:4" x14ac:dyDescent="0.25">
      <c r="B496" s="53"/>
      <c r="C496" s="53"/>
      <c r="D496" s="53"/>
    </row>
    <row r="497" spans="2:4" x14ac:dyDescent="0.25">
      <c r="B497" s="53"/>
      <c r="C497" s="53"/>
      <c r="D497" s="53"/>
    </row>
    <row r="498" spans="2:4" x14ac:dyDescent="0.25">
      <c r="B498" s="53"/>
      <c r="C498" s="53"/>
      <c r="D498" s="53"/>
    </row>
    <row r="499" spans="2:4" x14ac:dyDescent="0.25">
      <c r="B499" s="53"/>
      <c r="C499" s="53"/>
      <c r="D499" s="53"/>
    </row>
    <row r="500" spans="2:4" x14ac:dyDescent="0.25">
      <c r="B500" s="53"/>
      <c r="C500" s="53"/>
      <c r="D500" s="53"/>
    </row>
    <row r="501" spans="2:4" x14ac:dyDescent="0.25">
      <c r="B501" s="53"/>
      <c r="C501" s="53"/>
      <c r="D501" s="53"/>
    </row>
    <row r="502" spans="2:4" x14ac:dyDescent="0.25">
      <c r="B502" s="53"/>
      <c r="C502" s="53"/>
      <c r="D502" s="53"/>
    </row>
    <row r="503" spans="2:4" x14ac:dyDescent="0.25">
      <c r="B503" s="53"/>
      <c r="C503" s="53"/>
      <c r="D503" s="53"/>
    </row>
    <row r="504" spans="2:4" x14ac:dyDescent="0.25">
      <c r="B504" s="53"/>
      <c r="C504" s="53"/>
      <c r="D504" s="53"/>
    </row>
    <row r="505" spans="2:4" x14ac:dyDescent="0.25">
      <c r="B505" s="53"/>
      <c r="C505" s="53"/>
      <c r="D505" s="53"/>
    </row>
    <row r="506" spans="2:4" x14ac:dyDescent="0.25">
      <c r="B506" s="53"/>
      <c r="C506" s="53"/>
      <c r="D506" s="53"/>
    </row>
    <row r="507" spans="2:4" x14ac:dyDescent="0.25">
      <c r="B507" s="53"/>
      <c r="C507" s="53"/>
      <c r="D507" s="53"/>
    </row>
    <row r="508" spans="2:4" x14ac:dyDescent="0.25">
      <c r="B508" s="53"/>
      <c r="C508" s="53"/>
      <c r="D508" s="53"/>
    </row>
    <row r="509" spans="2:4" x14ac:dyDescent="0.25">
      <c r="B509" s="53"/>
      <c r="C509" s="53"/>
      <c r="D509" s="53"/>
    </row>
    <row r="510" spans="2:4" x14ac:dyDescent="0.25">
      <c r="B510" s="53"/>
      <c r="C510" s="53"/>
      <c r="D510" s="53"/>
    </row>
    <row r="511" spans="2:4" x14ac:dyDescent="0.25">
      <c r="B511" s="53"/>
      <c r="C511" s="53"/>
      <c r="D511" s="53"/>
    </row>
    <row r="512" spans="2:4" x14ac:dyDescent="0.25">
      <c r="B512" s="53"/>
      <c r="C512" s="53"/>
      <c r="D512" s="53"/>
    </row>
    <row r="513" spans="2:4" x14ac:dyDescent="0.25">
      <c r="B513" s="53"/>
      <c r="C513" s="53"/>
      <c r="D513" s="53"/>
    </row>
    <row r="514" spans="2:4" x14ac:dyDescent="0.25">
      <c r="B514" s="53"/>
      <c r="C514" s="53"/>
      <c r="D514" s="53"/>
    </row>
    <row r="515" spans="2:4" x14ac:dyDescent="0.25">
      <c r="B515" s="53"/>
      <c r="C515" s="53"/>
      <c r="D515" s="53"/>
    </row>
    <row r="516" spans="2:4" x14ac:dyDescent="0.25">
      <c r="B516" s="53"/>
      <c r="C516" s="53"/>
      <c r="D516" s="53"/>
    </row>
    <row r="517" spans="2:4" x14ac:dyDescent="0.25">
      <c r="B517" s="53"/>
      <c r="C517" s="53"/>
      <c r="D517" s="53"/>
    </row>
    <row r="518" spans="2:4" x14ac:dyDescent="0.25">
      <c r="B518" s="53"/>
      <c r="C518" s="53"/>
      <c r="D518" s="53"/>
    </row>
    <row r="519" spans="2:4" x14ac:dyDescent="0.25">
      <c r="B519" s="53"/>
      <c r="C519" s="53"/>
      <c r="D519" s="53"/>
    </row>
    <row r="520" spans="2:4" x14ac:dyDescent="0.25">
      <c r="B520" s="53"/>
      <c r="C520" s="53"/>
      <c r="D520" s="53"/>
    </row>
    <row r="521" spans="2:4" x14ac:dyDescent="0.25">
      <c r="B521" s="53"/>
      <c r="C521" s="53"/>
      <c r="D521" s="53"/>
    </row>
    <row r="522" spans="2:4" x14ac:dyDescent="0.25">
      <c r="B522" s="53"/>
      <c r="C522" s="53"/>
      <c r="D522" s="53"/>
    </row>
    <row r="523" spans="2:4" x14ac:dyDescent="0.25">
      <c r="B523" s="53"/>
      <c r="C523" s="53"/>
      <c r="D523" s="53"/>
    </row>
    <row r="524" spans="2:4" x14ac:dyDescent="0.25">
      <c r="B524" s="53"/>
      <c r="C524" s="53"/>
      <c r="D524" s="53"/>
    </row>
    <row r="525" spans="2:4" x14ac:dyDescent="0.25">
      <c r="B525" s="53"/>
      <c r="C525" s="53"/>
      <c r="D525" s="53"/>
    </row>
    <row r="526" spans="2:4" x14ac:dyDescent="0.25">
      <c r="B526" s="53"/>
      <c r="C526" s="53"/>
      <c r="D526" s="53"/>
    </row>
    <row r="527" spans="2:4" x14ac:dyDescent="0.25">
      <c r="B527" s="53"/>
      <c r="C527" s="53"/>
      <c r="D527" s="53"/>
    </row>
    <row r="528" spans="2:4" x14ac:dyDescent="0.25">
      <c r="B528" s="53"/>
      <c r="C528" s="53"/>
      <c r="D528" s="53"/>
    </row>
    <row r="529" spans="2:4" x14ac:dyDescent="0.25">
      <c r="B529" s="53"/>
      <c r="C529" s="53"/>
      <c r="D529" s="53"/>
    </row>
    <row r="530" spans="2:4" x14ac:dyDescent="0.25">
      <c r="B530" s="53"/>
      <c r="C530" s="53"/>
      <c r="D530" s="53"/>
    </row>
    <row r="531" spans="2:4" x14ac:dyDescent="0.25">
      <c r="B531" s="53"/>
      <c r="C531" s="53"/>
      <c r="D531" s="53"/>
    </row>
    <row r="532" spans="2:4" x14ac:dyDescent="0.25">
      <c r="B532" s="53"/>
      <c r="C532" s="53"/>
      <c r="D532" s="53"/>
    </row>
    <row r="533" spans="2:4" x14ac:dyDescent="0.25">
      <c r="B533" s="53"/>
      <c r="C533" s="53"/>
      <c r="D533" s="53"/>
    </row>
    <row r="534" spans="2:4" x14ac:dyDescent="0.25">
      <c r="B534" s="53"/>
      <c r="C534" s="53"/>
      <c r="D534" s="53"/>
    </row>
    <row r="535" spans="2:4" x14ac:dyDescent="0.25">
      <c r="B535" s="53"/>
      <c r="C535" s="53"/>
      <c r="D535" s="53"/>
    </row>
    <row r="536" spans="2:4" x14ac:dyDescent="0.25">
      <c r="B536" s="53"/>
      <c r="C536" s="53"/>
      <c r="D536" s="53"/>
    </row>
    <row r="537" spans="2:4" x14ac:dyDescent="0.25">
      <c r="B537" s="53"/>
      <c r="C537" s="53"/>
      <c r="D537" s="53"/>
    </row>
    <row r="538" spans="2:4" x14ac:dyDescent="0.25">
      <c r="B538" s="53"/>
      <c r="C538" s="53"/>
      <c r="D538" s="53"/>
    </row>
    <row r="539" spans="2:4" x14ac:dyDescent="0.25">
      <c r="B539" s="53"/>
      <c r="C539" s="53"/>
      <c r="D539" s="53"/>
    </row>
    <row r="540" spans="2:4" x14ac:dyDescent="0.25">
      <c r="B540" s="53"/>
      <c r="C540" s="53"/>
      <c r="D540" s="53"/>
    </row>
    <row r="541" spans="2:4" x14ac:dyDescent="0.25">
      <c r="B541" s="53"/>
      <c r="C541" s="53"/>
      <c r="D541" s="53"/>
    </row>
    <row r="542" spans="2:4" x14ac:dyDescent="0.25">
      <c r="B542" s="53"/>
      <c r="C542" s="53"/>
      <c r="D542" s="53"/>
    </row>
    <row r="543" spans="2:4" x14ac:dyDescent="0.25">
      <c r="B543" s="53"/>
      <c r="C543" s="53"/>
      <c r="D543" s="53"/>
    </row>
    <row r="544" spans="2:4" x14ac:dyDescent="0.25">
      <c r="B544" s="53"/>
      <c r="C544" s="53"/>
      <c r="D544" s="53"/>
    </row>
    <row r="545" spans="2:4" x14ac:dyDescent="0.25">
      <c r="B545" s="53"/>
      <c r="C545" s="53"/>
      <c r="D545" s="53"/>
    </row>
    <row r="546" spans="2:4" x14ac:dyDescent="0.25">
      <c r="B546" s="53"/>
      <c r="C546" s="53"/>
      <c r="D546" s="53"/>
    </row>
    <row r="547" spans="2:4" x14ac:dyDescent="0.25">
      <c r="B547" s="53"/>
      <c r="C547" s="53"/>
      <c r="D547" s="53"/>
    </row>
    <row r="548" spans="2:4" x14ac:dyDescent="0.25">
      <c r="B548" s="53"/>
      <c r="C548" s="53"/>
      <c r="D548" s="53"/>
    </row>
    <row r="549" spans="2:4" x14ac:dyDescent="0.25">
      <c r="B549" s="53"/>
      <c r="C549" s="53"/>
      <c r="D549" s="53"/>
    </row>
    <row r="550" spans="2:4" x14ac:dyDescent="0.25">
      <c r="B550" s="53"/>
      <c r="C550" s="53"/>
      <c r="D550" s="53"/>
    </row>
    <row r="551" spans="2:4" x14ac:dyDescent="0.25">
      <c r="B551" s="53"/>
      <c r="C551" s="53"/>
      <c r="D551" s="53"/>
    </row>
    <row r="552" spans="2:4" x14ac:dyDescent="0.25">
      <c r="B552" s="53"/>
      <c r="C552" s="53"/>
      <c r="D552" s="53"/>
    </row>
    <row r="553" spans="2:4" x14ac:dyDescent="0.25">
      <c r="B553" s="53"/>
      <c r="C553" s="53"/>
      <c r="D553" s="53"/>
    </row>
    <row r="554" spans="2:4" x14ac:dyDescent="0.25">
      <c r="B554" s="53"/>
      <c r="C554" s="53"/>
      <c r="D554" s="53"/>
    </row>
    <row r="555" spans="2:4" x14ac:dyDescent="0.25">
      <c r="B555" s="53"/>
      <c r="C555" s="53"/>
      <c r="D555" s="53"/>
    </row>
    <row r="556" spans="2:4" x14ac:dyDescent="0.25">
      <c r="B556" s="53"/>
      <c r="C556" s="53"/>
      <c r="D556" s="53"/>
    </row>
    <row r="557" spans="2:4" x14ac:dyDescent="0.25">
      <c r="B557" s="53"/>
      <c r="C557" s="53"/>
      <c r="D557" s="53"/>
    </row>
    <row r="558" spans="2:4" x14ac:dyDescent="0.25">
      <c r="B558" s="53"/>
      <c r="C558" s="53"/>
      <c r="D558" s="53"/>
    </row>
    <row r="559" spans="2:4" x14ac:dyDescent="0.25">
      <c r="B559" s="53"/>
      <c r="C559" s="53"/>
      <c r="D559" s="53"/>
    </row>
    <row r="560" spans="2:4" x14ac:dyDescent="0.25">
      <c r="B560" s="53"/>
      <c r="C560" s="53"/>
      <c r="D560" s="53"/>
    </row>
    <row r="561" spans="2:4" x14ac:dyDescent="0.25">
      <c r="B561" s="53"/>
      <c r="C561" s="53"/>
      <c r="D561" s="53"/>
    </row>
    <row r="562" spans="2:4" x14ac:dyDescent="0.25">
      <c r="B562" s="53"/>
      <c r="C562" s="53"/>
      <c r="D562" s="53"/>
    </row>
    <row r="563" spans="2:4" x14ac:dyDescent="0.25">
      <c r="B563" s="53"/>
      <c r="C563" s="53"/>
      <c r="D563" s="53"/>
    </row>
    <row r="564" spans="2:4" x14ac:dyDescent="0.25">
      <c r="B564" s="53"/>
      <c r="C564" s="53"/>
      <c r="D564" s="53"/>
    </row>
    <row r="565" spans="2:4" x14ac:dyDescent="0.25">
      <c r="B565" s="53"/>
      <c r="C565" s="53"/>
      <c r="D565" s="53"/>
    </row>
    <row r="566" spans="2:4" x14ac:dyDescent="0.25">
      <c r="B566" s="53"/>
      <c r="C566" s="53"/>
      <c r="D566" s="53"/>
    </row>
    <row r="567" spans="2:4" x14ac:dyDescent="0.25">
      <c r="B567" s="53"/>
      <c r="C567" s="53"/>
      <c r="D567" s="53"/>
    </row>
    <row r="568" spans="2:4" x14ac:dyDescent="0.25">
      <c r="B568" s="53"/>
      <c r="C568" s="53"/>
      <c r="D568" s="53"/>
    </row>
    <row r="569" spans="2:4" x14ac:dyDescent="0.25">
      <c r="B569" s="53"/>
      <c r="C569" s="53"/>
      <c r="D569" s="53"/>
    </row>
    <row r="570" spans="2:4" x14ac:dyDescent="0.25">
      <c r="B570" s="53"/>
      <c r="C570" s="53"/>
      <c r="D570" s="53"/>
    </row>
    <row r="571" spans="2:4" x14ac:dyDescent="0.25">
      <c r="B571" s="53"/>
      <c r="C571" s="53"/>
      <c r="D571" s="53"/>
    </row>
    <row r="572" spans="2:4" x14ac:dyDescent="0.25">
      <c r="B572" s="53"/>
      <c r="C572" s="53"/>
      <c r="D572" s="53"/>
    </row>
    <row r="573" spans="2:4" x14ac:dyDescent="0.25">
      <c r="B573" s="53"/>
      <c r="C573" s="53"/>
      <c r="D573" s="53"/>
    </row>
    <row r="574" spans="2:4" x14ac:dyDescent="0.25">
      <c r="B574" s="53"/>
      <c r="C574" s="53"/>
      <c r="D574" s="53"/>
    </row>
    <row r="575" spans="2:4" x14ac:dyDescent="0.25">
      <c r="B575" s="53"/>
      <c r="C575" s="53"/>
      <c r="D575" s="53"/>
    </row>
    <row r="576" spans="2:4" x14ac:dyDescent="0.25">
      <c r="B576" s="53"/>
      <c r="C576" s="53"/>
      <c r="D576" s="53"/>
    </row>
    <row r="577" spans="2:4" x14ac:dyDescent="0.25">
      <c r="B577" s="53"/>
      <c r="C577" s="53"/>
      <c r="D577" s="53"/>
    </row>
    <row r="578" spans="2:4" x14ac:dyDescent="0.25">
      <c r="B578" s="53"/>
      <c r="C578" s="53"/>
      <c r="D578" s="53"/>
    </row>
    <row r="579" spans="2:4" x14ac:dyDescent="0.25">
      <c r="B579" s="53"/>
      <c r="C579" s="53"/>
      <c r="D579" s="53"/>
    </row>
    <row r="580" spans="2:4" x14ac:dyDescent="0.25">
      <c r="B580" s="53"/>
      <c r="C580" s="53"/>
      <c r="D580" s="53"/>
    </row>
    <row r="581" spans="2:4" x14ac:dyDescent="0.25">
      <c r="B581" s="53"/>
      <c r="C581" s="53"/>
      <c r="D581" s="53"/>
    </row>
    <row r="582" spans="2:4" x14ac:dyDescent="0.25">
      <c r="B582" s="53"/>
      <c r="C582" s="53"/>
      <c r="D582" s="53"/>
    </row>
    <row r="583" spans="2:4" x14ac:dyDescent="0.25">
      <c r="B583" s="53"/>
      <c r="C583" s="53"/>
      <c r="D583" s="53"/>
    </row>
    <row r="584" spans="2:4" x14ac:dyDescent="0.25">
      <c r="B584" s="53"/>
      <c r="C584" s="53"/>
      <c r="D584" s="53"/>
    </row>
    <row r="585" spans="2:4" x14ac:dyDescent="0.25">
      <c r="B585" s="53"/>
      <c r="C585" s="53"/>
      <c r="D585" s="53"/>
    </row>
    <row r="586" spans="2:4" x14ac:dyDescent="0.25">
      <c r="B586" s="53"/>
      <c r="C586" s="53"/>
      <c r="D586" s="53"/>
    </row>
    <row r="587" spans="2:4" x14ac:dyDescent="0.25">
      <c r="B587" s="53"/>
      <c r="C587" s="53"/>
      <c r="D587" s="53"/>
    </row>
    <row r="588" spans="2:4" x14ac:dyDescent="0.25">
      <c r="B588" s="53"/>
      <c r="C588" s="53"/>
      <c r="D588" s="53"/>
    </row>
    <row r="589" spans="2:4" x14ac:dyDescent="0.25">
      <c r="B589" s="53"/>
      <c r="C589" s="53"/>
      <c r="D589" s="53"/>
    </row>
    <row r="590" spans="2:4" x14ac:dyDescent="0.25">
      <c r="B590" s="53"/>
      <c r="C590" s="53"/>
      <c r="D590" s="53"/>
    </row>
    <row r="591" spans="2:4" x14ac:dyDescent="0.25">
      <c r="B591" s="53"/>
      <c r="C591" s="53"/>
      <c r="D591" s="53"/>
    </row>
    <row r="592" spans="2:4" x14ac:dyDescent="0.25">
      <c r="B592" s="53"/>
      <c r="C592" s="53"/>
      <c r="D592" s="53"/>
    </row>
    <row r="593" spans="2:4" x14ac:dyDescent="0.25">
      <c r="B593" s="53"/>
      <c r="C593" s="53"/>
      <c r="D593" s="53"/>
    </row>
    <row r="594" spans="2:4" x14ac:dyDescent="0.25">
      <c r="B594" s="53"/>
      <c r="C594" s="53"/>
      <c r="D594" s="53"/>
    </row>
    <row r="595" spans="2:4" x14ac:dyDescent="0.25">
      <c r="B595" s="53"/>
      <c r="C595" s="53"/>
      <c r="D595" s="53"/>
    </row>
    <row r="596" spans="2:4" x14ac:dyDescent="0.25">
      <c r="B596" s="53"/>
      <c r="C596" s="53"/>
      <c r="D596" s="53"/>
    </row>
    <row r="597" spans="2:4" x14ac:dyDescent="0.25">
      <c r="B597" s="53"/>
      <c r="C597" s="53"/>
      <c r="D597" s="53"/>
    </row>
    <row r="598" spans="2:4" x14ac:dyDescent="0.25">
      <c r="B598" s="53"/>
      <c r="C598" s="53"/>
      <c r="D598" s="53"/>
    </row>
    <row r="599" spans="2:4" x14ac:dyDescent="0.25">
      <c r="B599" s="53"/>
      <c r="C599" s="53"/>
      <c r="D599" s="53"/>
    </row>
    <row r="600" spans="2:4" x14ac:dyDescent="0.25">
      <c r="B600" s="53"/>
      <c r="C600" s="53"/>
      <c r="D600" s="53"/>
    </row>
    <row r="601" spans="2:4" x14ac:dyDescent="0.25">
      <c r="B601" s="53"/>
      <c r="C601" s="53"/>
      <c r="D601" s="53"/>
    </row>
    <row r="602" spans="2:4" x14ac:dyDescent="0.25">
      <c r="B602" s="53"/>
      <c r="C602" s="53"/>
      <c r="D602" s="53"/>
    </row>
    <row r="603" spans="2:4" x14ac:dyDescent="0.25">
      <c r="B603" s="53"/>
      <c r="C603" s="53"/>
      <c r="D603" s="53"/>
    </row>
    <row r="604" spans="2:4" x14ac:dyDescent="0.25">
      <c r="B604" s="53"/>
      <c r="C604" s="53"/>
      <c r="D604" s="53"/>
    </row>
    <row r="605" spans="2:4" x14ac:dyDescent="0.25">
      <c r="B605" s="53"/>
      <c r="C605" s="53"/>
      <c r="D605" s="53"/>
    </row>
    <row r="606" spans="2:4" x14ac:dyDescent="0.25">
      <c r="B606" s="53"/>
      <c r="C606" s="53"/>
      <c r="D606" s="53"/>
    </row>
    <row r="607" spans="2:4" x14ac:dyDescent="0.25">
      <c r="B607" s="53"/>
      <c r="C607" s="53"/>
      <c r="D607" s="53"/>
    </row>
    <row r="608" spans="2:4" x14ac:dyDescent="0.25">
      <c r="B608" s="53"/>
      <c r="C608" s="53"/>
      <c r="D608" s="53"/>
    </row>
    <row r="609" spans="2:4" x14ac:dyDescent="0.25">
      <c r="B609" s="53"/>
      <c r="C609" s="53"/>
      <c r="D609" s="53"/>
    </row>
    <row r="610" spans="2:4" x14ac:dyDescent="0.25">
      <c r="B610" s="53"/>
      <c r="C610" s="53"/>
      <c r="D610" s="53"/>
    </row>
    <row r="611" spans="2:4" x14ac:dyDescent="0.25">
      <c r="B611" s="53"/>
      <c r="C611" s="53"/>
      <c r="D611" s="53"/>
    </row>
    <row r="612" spans="2:4" x14ac:dyDescent="0.25">
      <c r="B612" s="53"/>
      <c r="C612" s="53"/>
      <c r="D612" s="53"/>
    </row>
    <row r="613" spans="2:4" x14ac:dyDescent="0.25">
      <c r="B613" s="53"/>
      <c r="C613" s="53"/>
      <c r="D613" s="53"/>
    </row>
    <row r="614" spans="2:4" x14ac:dyDescent="0.25">
      <c r="B614" s="53"/>
      <c r="C614" s="53"/>
      <c r="D614" s="53"/>
    </row>
    <row r="615" spans="2:4" x14ac:dyDescent="0.25">
      <c r="B615" s="53"/>
      <c r="C615" s="53"/>
      <c r="D615" s="53"/>
    </row>
    <row r="616" spans="2:4" x14ac:dyDescent="0.25">
      <c r="B616" s="53"/>
      <c r="C616" s="53"/>
      <c r="D616" s="53"/>
    </row>
    <row r="617" spans="2:4" x14ac:dyDescent="0.25">
      <c r="B617" s="53"/>
      <c r="C617" s="53"/>
      <c r="D617" s="53"/>
    </row>
    <row r="618" spans="2:4" x14ac:dyDescent="0.25">
      <c r="B618" s="53"/>
      <c r="C618" s="53"/>
      <c r="D618" s="53"/>
    </row>
    <row r="619" spans="2:4" x14ac:dyDescent="0.25">
      <c r="B619" s="53"/>
      <c r="C619" s="53"/>
      <c r="D619" s="53"/>
    </row>
    <row r="620" spans="2:4" x14ac:dyDescent="0.25">
      <c r="B620" s="53"/>
      <c r="C620" s="53"/>
      <c r="D620" s="53"/>
    </row>
    <row r="621" spans="2:4" x14ac:dyDescent="0.25">
      <c r="B621" s="53"/>
      <c r="C621" s="53"/>
      <c r="D621" s="53"/>
    </row>
    <row r="622" spans="2:4" x14ac:dyDescent="0.25">
      <c r="B622" s="53"/>
      <c r="C622" s="53"/>
      <c r="D622" s="53"/>
    </row>
    <row r="623" spans="2:4" x14ac:dyDescent="0.25">
      <c r="B623" s="53"/>
      <c r="C623" s="53"/>
      <c r="D623" s="53"/>
    </row>
    <row r="624" spans="2:4" x14ac:dyDescent="0.25">
      <c r="B624" s="53"/>
      <c r="C624" s="53"/>
      <c r="D624" s="53"/>
    </row>
    <row r="625" spans="2:4" x14ac:dyDescent="0.25">
      <c r="B625" s="53"/>
      <c r="C625" s="53"/>
      <c r="D625" s="53"/>
    </row>
    <row r="626" spans="2:4" x14ac:dyDescent="0.25">
      <c r="B626" s="53"/>
      <c r="C626" s="53"/>
      <c r="D626" s="53"/>
    </row>
    <row r="627" spans="2:4" x14ac:dyDescent="0.25">
      <c r="B627" s="53"/>
      <c r="C627" s="53"/>
      <c r="D627" s="53"/>
    </row>
    <row r="628" spans="2:4" x14ac:dyDescent="0.25">
      <c r="B628" s="53"/>
      <c r="C628" s="53"/>
      <c r="D628" s="53"/>
    </row>
    <row r="629" spans="2:4" x14ac:dyDescent="0.25">
      <c r="B629" s="53"/>
      <c r="C629" s="53"/>
      <c r="D629" s="53"/>
    </row>
    <row r="630" spans="2:4" x14ac:dyDescent="0.25">
      <c r="B630" s="53"/>
      <c r="C630" s="53"/>
      <c r="D630" s="53"/>
    </row>
    <row r="631" spans="2:4" x14ac:dyDescent="0.25">
      <c r="B631" s="53"/>
      <c r="C631" s="53"/>
      <c r="D631" s="53"/>
    </row>
    <row r="632" spans="2:4" x14ac:dyDescent="0.25">
      <c r="B632" s="53"/>
      <c r="C632" s="53"/>
      <c r="D632" s="53"/>
    </row>
    <row r="633" spans="2:4" x14ac:dyDescent="0.25">
      <c r="B633" s="53"/>
      <c r="C633" s="53"/>
      <c r="D633" s="53"/>
    </row>
    <row r="634" spans="2:4" x14ac:dyDescent="0.25">
      <c r="B634" s="53"/>
      <c r="C634" s="53"/>
      <c r="D634" s="53"/>
    </row>
    <row r="635" spans="2:4" x14ac:dyDescent="0.25">
      <c r="B635" s="53"/>
      <c r="C635" s="53"/>
      <c r="D635" s="53"/>
    </row>
    <row r="636" spans="2:4" x14ac:dyDescent="0.25">
      <c r="B636" s="53"/>
      <c r="C636" s="53"/>
      <c r="D636" s="53"/>
    </row>
    <row r="637" spans="2:4" x14ac:dyDescent="0.25">
      <c r="B637" s="53"/>
      <c r="C637" s="53"/>
      <c r="D637" s="53"/>
    </row>
    <row r="638" spans="2:4" x14ac:dyDescent="0.25">
      <c r="B638" s="53"/>
      <c r="C638" s="53"/>
      <c r="D638" s="53"/>
    </row>
    <row r="639" spans="2:4" x14ac:dyDescent="0.25">
      <c r="B639" s="53"/>
      <c r="C639" s="53"/>
      <c r="D639" s="53"/>
    </row>
    <row r="640" spans="2:4" x14ac:dyDescent="0.25">
      <c r="B640" s="53"/>
      <c r="C640" s="53"/>
      <c r="D640" s="53"/>
    </row>
    <row r="641" spans="2:4" x14ac:dyDescent="0.25">
      <c r="B641" s="53"/>
      <c r="C641" s="53"/>
      <c r="D641" s="53"/>
    </row>
    <row r="642" spans="2:4" x14ac:dyDescent="0.25">
      <c r="B642" s="53"/>
      <c r="C642" s="53"/>
      <c r="D642" s="53"/>
    </row>
    <row r="643" spans="2:4" x14ac:dyDescent="0.25">
      <c r="B643" s="53"/>
      <c r="C643" s="53"/>
      <c r="D643" s="53"/>
    </row>
    <row r="644" spans="2:4" x14ac:dyDescent="0.25">
      <c r="B644" s="53"/>
      <c r="C644" s="53"/>
      <c r="D644" s="53"/>
    </row>
    <row r="645" spans="2:4" x14ac:dyDescent="0.25">
      <c r="B645" s="53"/>
      <c r="C645" s="53"/>
      <c r="D645" s="53"/>
    </row>
    <row r="646" spans="2:4" x14ac:dyDescent="0.25">
      <c r="B646" s="53"/>
      <c r="C646" s="53"/>
      <c r="D646" s="53"/>
    </row>
    <row r="647" spans="2:4" x14ac:dyDescent="0.25">
      <c r="B647" s="53"/>
      <c r="C647" s="53"/>
      <c r="D647" s="53"/>
    </row>
    <row r="648" spans="2:4" x14ac:dyDescent="0.25">
      <c r="B648" s="53"/>
      <c r="C648" s="53"/>
      <c r="D648" s="53"/>
    </row>
    <row r="649" spans="2:4" x14ac:dyDescent="0.25">
      <c r="B649" s="53"/>
      <c r="C649" s="53"/>
      <c r="D649" s="53"/>
    </row>
    <row r="650" spans="2:4" x14ac:dyDescent="0.25">
      <c r="B650" s="53"/>
      <c r="C650" s="53"/>
      <c r="D650" s="53"/>
    </row>
    <row r="651" spans="2:4" x14ac:dyDescent="0.25">
      <c r="B651" s="53"/>
      <c r="C651" s="53"/>
      <c r="D651" s="53"/>
    </row>
    <row r="652" spans="2:4" x14ac:dyDescent="0.25">
      <c r="B652" s="53"/>
      <c r="C652" s="53"/>
      <c r="D652" s="53"/>
    </row>
    <row r="653" spans="2:4" x14ac:dyDescent="0.25">
      <c r="B653" s="53"/>
      <c r="C653" s="53"/>
      <c r="D653" s="53"/>
    </row>
    <row r="654" spans="2:4" x14ac:dyDescent="0.25">
      <c r="B654" s="53"/>
      <c r="C654" s="53"/>
      <c r="D654" s="53"/>
    </row>
    <row r="655" spans="2:4" x14ac:dyDescent="0.25">
      <c r="B655" s="53"/>
      <c r="C655" s="53"/>
      <c r="D655" s="53"/>
    </row>
    <row r="656" spans="2:4" x14ac:dyDescent="0.25">
      <c r="B656" s="53"/>
      <c r="C656" s="53"/>
      <c r="D656" s="53"/>
    </row>
    <row r="657" spans="2:4" x14ac:dyDescent="0.25">
      <c r="B657" s="53"/>
      <c r="C657" s="53"/>
      <c r="D657" s="53"/>
    </row>
    <row r="658" spans="2:4" x14ac:dyDescent="0.25">
      <c r="B658" s="53"/>
      <c r="C658" s="53"/>
      <c r="D658" s="53"/>
    </row>
    <row r="659" spans="2:4" x14ac:dyDescent="0.25">
      <c r="B659" s="53"/>
      <c r="C659" s="53"/>
      <c r="D659" s="53"/>
    </row>
    <row r="660" spans="2:4" x14ac:dyDescent="0.25">
      <c r="B660" s="53"/>
      <c r="C660" s="53"/>
      <c r="D660" s="53"/>
    </row>
    <row r="661" spans="2:4" x14ac:dyDescent="0.25">
      <c r="B661" s="53"/>
      <c r="C661" s="53"/>
      <c r="D661" s="53"/>
    </row>
    <row r="662" spans="2:4" x14ac:dyDescent="0.25">
      <c r="B662" s="53"/>
      <c r="C662" s="53"/>
      <c r="D662" s="53"/>
    </row>
    <row r="663" spans="2:4" x14ac:dyDescent="0.25">
      <c r="B663" s="53"/>
      <c r="C663" s="53"/>
      <c r="D663" s="53"/>
    </row>
    <row r="664" spans="2:4" x14ac:dyDescent="0.25">
      <c r="B664" s="53"/>
      <c r="C664" s="53"/>
      <c r="D664" s="53"/>
    </row>
    <row r="665" spans="2:4" x14ac:dyDescent="0.25">
      <c r="B665" s="53"/>
      <c r="C665" s="53"/>
      <c r="D665" s="53"/>
    </row>
    <row r="666" spans="2:4" x14ac:dyDescent="0.25">
      <c r="B666" s="53"/>
      <c r="C666" s="53"/>
      <c r="D666" s="53"/>
    </row>
    <row r="667" spans="2:4" x14ac:dyDescent="0.25">
      <c r="B667" s="53"/>
      <c r="C667" s="53"/>
      <c r="D667" s="53"/>
    </row>
    <row r="668" spans="2:4" x14ac:dyDescent="0.25">
      <c r="B668" s="53"/>
      <c r="C668" s="53"/>
      <c r="D668" s="53"/>
    </row>
    <row r="669" spans="2:4" x14ac:dyDescent="0.25">
      <c r="B669" s="53"/>
      <c r="C669" s="53"/>
      <c r="D669" s="53"/>
    </row>
    <row r="670" spans="2:4" x14ac:dyDescent="0.25">
      <c r="B670" s="53"/>
      <c r="C670" s="53"/>
      <c r="D670" s="53"/>
    </row>
    <row r="671" spans="2:4" x14ac:dyDescent="0.25">
      <c r="B671" s="53"/>
      <c r="C671" s="53"/>
      <c r="D671" s="53"/>
    </row>
    <row r="672" spans="2:4" x14ac:dyDescent="0.25">
      <c r="B672" s="53"/>
      <c r="C672" s="53"/>
      <c r="D672" s="53"/>
    </row>
    <row r="673" spans="2:4" x14ac:dyDescent="0.25">
      <c r="B673" s="53"/>
      <c r="C673" s="53"/>
      <c r="D673" s="53"/>
    </row>
    <row r="674" spans="2:4" x14ac:dyDescent="0.25">
      <c r="B674" s="53"/>
      <c r="C674" s="53"/>
      <c r="D674" s="53"/>
    </row>
    <row r="675" spans="2:4" x14ac:dyDescent="0.25">
      <c r="B675" s="53"/>
      <c r="C675" s="53"/>
      <c r="D675" s="53"/>
    </row>
    <row r="676" spans="2:4" x14ac:dyDescent="0.25">
      <c r="B676" s="53"/>
      <c r="C676" s="53"/>
      <c r="D676" s="53"/>
    </row>
    <row r="677" spans="2:4" x14ac:dyDescent="0.25">
      <c r="B677" s="53"/>
      <c r="C677" s="53"/>
      <c r="D677" s="53"/>
    </row>
    <row r="678" spans="2:4" x14ac:dyDescent="0.25">
      <c r="B678" s="53"/>
      <c r="C678" s="53"/>
      <c r="D678" s="53"/>
    </row>
    <row r="679" spans="2:4" x14ac:dyDescent="0.25">
      <c r="B679" s="53"/>
      <c r="C679" s="53"/>
      <c r="D679" s="53"/>
    </row>
    <row r="680" spans="2:4" x14ac:dyDescent="0.25">
      <c r="B680" s="53"/>
      <c r="C680" s="53"/>
      <c r="D680" s="53"/>
    </row>
    <row r="681" spans="2:4" x14ac:dyDescent="0.25">
      <c r="B681" s="53"/>
      <c r="C681" s="53"/>
      <c r="D681" s="53"/>
    </row>
    <row r="682" spans="2:4" x14ac:dyDescent="0.25">
      <c r="B682" s="53"/>
      <c r="C682" s="53"/>
      <c r="D682" s="53"/>
    </row>
    <row r="683" spans="2:4" x14ac:dyDescent="0.25">
      <c r="B683" s="53"/>
      <c r="C683" s="53"/>
      <c r="D683" s="53"/>
    </row>
    <row r="684" spans="2:4" x14ac:dyDescent="0.25">
      <c r="B684" s="53"/>
      <c r="C684" s="53"/>
      <c r="D684" s="53"/>
    </row>
    <row r="685" spans="2:4" x14ac:dyDescent="0.25">
      <c r="B685" s="53"/>
      <c r="C685" s="53"/>
      <c r="D685" s="53"/>
    </row>
    <row r="686" spans="2:4" x14ac:dyDescent="0.25">
      <c r="B686" s="53"/>
      <c r="C686" s="53"/>
      <c r="D686" s="53"/>
    </row>
    <row r="687" spans="2:4" x14ac:dyDescent="0.25">
      <c r="B687" s="53"/>
      <c r="C687" s="53"/>
      <c r="D687" s="53"/>
    </row>
    <row r="688" spans="2:4" x14ac:dyDescent="0.25">
      <c r="B688" s="53"/>
      <c r="C688" s="53"/>
      <c r="D688" s="53"/>
    </row>
    <row r="689" spans="2:4" x14ac:dyDescent="0.25">
      <c r="B689" s="53"/>
      <c r="C689" s="53"/>
      <c r="D689" s="53"/>
    </row>
    <row r="690" spans="2:4" x14ac:dyDescent="0.25">
      <c r="B690" s="53"/>
      <c r="C690" s="53"/>
      <c r="D690" s="53"/>
    </row>
    <row r="691" spans="2:4" x14ac:dyDescent="0.25">
      <c r="B691" s="53"/>
      <c r="C691" s="53"/>
      <c r="D691" s="53"/>
    </row>
    <row r="692" spans="2:4" x14ac:dyDescent="0.25">
      <c r="B692" s="53"/>
      <c r="C692" s="53"/>
      <c r="D692" s="53"/>
    </row>
    <row r="693" spans="2:4" x14ac:dyDescent="0.25">
      <c r="B693" s="53"/>
      <c r="C693" s="53"/>
      <c r="D693" s="53"/>
    </row>
    <row r="694" spans="2:4" x14ac:dyDescent="0.25">
      <c r="B694" s="53"/>
      <c r="C694" s="53"/>
      <c r="D694" s="53"/>
    </row>
    <row r="695" spans="2:4" x14ac:dyDescent="0.25">
      <c r="B695" s="53"/>
      <c r="C695" s="53"/>
      <c r="D695" s="53"/>
    </row>
    <row r="696" spans="2:4" x14ac:dyDescent="0.25">
      <c r="B696" s="53"/>
      <c r="C696" s="53"/>
      <c r="D696" s="53"/>
    </row>
    <row r="697" spans="2:4" x14ac:dyDescent="0.25">
      <c r="B697" s="53"/>
      <c r="C697" s="53"/>
      <c r="D697" s="53"/>
    </row>
    <row r="698" spans="2:4" x14ac:dyDescent="0.25">
      <c r="B698" s="53"/>
      <c r="C698" s="53"/>
      <c r="D698" s="53"/>
    </row>
    <row r="699" spans="2:4" x14ac:dyDescent="0.25">
      <c r="B699" s="53"/>
      <c r="C699" s="53"/>
      <c r="D699" s="53"/>
    </row>
    <row r="700" spans="2:4" x14ac:dyDescent="0.25">
      <c r="B700" s="53"/>
      <c r="C700" s="53"/>
      <c r="D700" s="53"/>
    </row>
    <row r="701" spans="2:4" x14ac:dyDescent="0.25">
      <c r="B701" s="53"/>
      <c r="C701" s="53"/>
      <c r="D701" s="53"/>
    </row>
    <row r="702" spans="2:4" x14ac:dyDescent="0.25">
      <c r="B702" s="53"/>
      <c r="C702" s="53"/>
      <c r="D702" s="53"/>
    </row>
    <row r="703" spans="2:4" x14ac:dyDescent="0.25">
      <c r="B703" s="53"/>
      <c r="C703" s="53"/>
      <c r="D703" s="53"/>
    </row>
    <row r="704" spans="2:4" x14ac:dyDescent="0.25">
      <c r="B704" s="53"/>
      <c r="C704" s="53"/>
      <c r="D704" s="53"/>
    </row>
    <row r="705" spans="2:4" x14ac:dyDescent="0.25">
      <c r="B705" s="53"/>
      <c r="C705" s="53"/>
      <c r="D705" s="53"/>
    </row>
    <row r="706" spans="2:4" x14ac:dyDescent="0.25">
      <c r="B706" s="53"/>
      <c r="C706" s="53"/>
      <c r="D706" s="53"/>
    </row>
    <row r="707" spans="2:4" x14ac:dyDescent="0.25">
      <c r="B707" s="53"/>
      <c r="C707" s="53"/>
      <c r="D707" s="53"/>
    </row>
    <row r="708" spans="2:4" x14ac:dyDescent="0.25">
      <c r="B708" s="53"/>
      <c r="C708" s="53"/>
      <c r="D708" s="53"/>
    </row>
    <row r="709" spans="2:4" x14ac:dyDescent="0.25">
      <c r="B709" s="53"/>
      <c r="C709" s="53"/>
      <c r="D709" s="53"/>
    </row>
    <row r="710" spans="2:4" x14ac:dyDescent="0.25">
      <c r="B710" s="53"/>
      <c r="C710" s="53"/>
      <c r="D710" s="53"/>
    </row>
    <row r="711" spans="2:4" x14ac:dyDescent="0.25">
      <c r="B711" s="53"/>
      <c r="C711" s="53"/>
      <c r="D711" s="53"/>
    </row>
    <row r="712" spans="2:4" x14ac:dyDescent="0.25">
      <c r="B712" s="53"/>
      <c r="C712" s="53"/>
      <c r="D712" s="53"/>
    </row>
    <row r="713" spans="2:4" x14ac:dyDescent="0.25">
      <c r="B713" s="53"/>
      <c r="C713" s="53"/>
      <c r="D713" s="53"/>
    </row>
    <row r="714" spans="2:4" x14ac:dyDescent="0.25">
      <c r="B714" s="53"/>
      <c r="C714" s="53"/>
      <c r="D714" s="53"/>
    </row>
    <row r="715" spans="2:4" x14ac:dyDescent="0.25">
      <c r="B715" s="53"/>
      <c r="C715" s="53"/>
      <c r="D715" s="53"/>
    </row>
    <row r="716" spans="2:4" x14ac:dyDescent="0.25">
      <c r="B716" s="53"/>
      <c r="C716" s="53"/>
      <c r="D716" s="53"/>
    </row>
    <row r="717" spans="2:4" x14ac:dyDescent="0.25">
      <c r="B717" s="53"/>
      <c r="C717" s="53"/>
      <c r="D717" s="53"/>
    </row>
    <row r="718" spans="2:4" x14ac:dyDescent="0.25">
      <c r="B718" s="53"/>
      <c r="C718" s="53"/>
      <c r="D718" s="53"/>
    </row>
    <row r="719" spans="2:4" x14ac:dyDescent="0.25">
      <c r="B719" s="53"/>
      <c r="C719" s="53"/>
      <c r="D719" s="53"/>
    </row>
    <row r="720" spans="2:4" x14ac:dyDescent="0.25">
      <c r="B720" s="53"/>
      <c r="C720" s="53"/>
      <c r="D720" s="53"/>
    </row>
    <row r="721" spans="2:4" x14ac:dyDescent="0.25">
      <c r="B721" s="53"/>
      <c r="C721" s="53"/>
      <c r="D721" s="53"/>
    </row>
    <row r="722" spans="2:4" x14ac:dyDescent="0.25">
      <c r="B722" s="53"/>
      <c r="C722" s="53"/>
      <c r="D722" s="53"/>
    </row>
    <row r="723" spans="2:4" x14ac:dyDescent="0.25">
      <c r="B723" s="53"/>
      <c r="C723" s="53"/>
      <c r="D723" s="53"/>
    </row>
    <row r="724" spans="2:4" x14ac:dyDescent="0.25">
      <c r="B724" s="53"/>
      <c r="C724" s="53"/>
      <c r="D724" s="53"/>
    </row>
    <row r="725" spans="2:4" x14ac:dyDescent="0.25">
      <c r="B725" s="53"/>
      <c r="C725" s="53"/>
      <c r="D725" s="53"/>
    </row>
    <row r="726" spans="2:4" x14ac:dyDescent="0.25">
      <c r="B726" s="53"/>
      <c r="C726" s="53"/>
      <c r="D726" s="53"/>
    </row>
    <row r="727" spans="2:4" x14ac:dyDescent="0.25">
      <c r="B727" s="53"/>
      <c r="C727" s="53"/>
      <c r="D727" s="53"/>
    </row>
    <row r="728" spans="2:4" x14ac:dyDescent="0.25">
      <c r="B728" s="53"/>
      <c r="C728" s="53"/>
      <c r="D728" s="53"/>
    </row>
    <row r="729" spans="2:4" x14ac:dyDescent="0.25">
      <c r="B729" s="53"/>
      <c r="C729" s="53"/>
      <c r="D729" s="53"/>
    </row>
    <row r="730" spans="2:4" x14ac:dyDescent="0.25">
      <c r="B730" s="53"/>
      <c r="C730" s="53"/>
      <c r="D730" s="53"/>
    </row>
    <row r="731" spans="2:4" x14ac:dyDescent="0.25">
      <c r="B731" s="53"/>
      <c r="C731" s="53"/>
      <c r="D731" s="53"/>
    </row>
    <row r="732" spans="2:4" x14ac:dyDescent="0.25">
      <c r="B732" s="53"/>
      <c r="C732" s="53"/>
      <c r="D732" s="53"/>
    </row>
    <row r="733" spans="2:4" x14ac:dyDescent="0.25">
      <c r="B733" s="53"/>
      <c r="C733" s="53"/>
      <c r="D733" s="53"/>
    </row>
    <row r="734" spans="2:4" x14ac:dyDescent="0.25">
      <c r="B734" s="53"/>
      <c r="C734" s="53"/>
      <c r="D734" s="53"/>
    </row>
    <row r="735" spans="2:4" x14ac:dyDescent="0.25">
      <c r="B735" s="53"/>
      <c r="C735" s="53"/>
      <c r="D735" s="53"/>
    </row>
    <row r="736" spans="2:4" x14ac:dyDescent="0.25">
      <c r="B736" s="53"/>
      <c r="C736" s="53"/>
      <c r="D736" s="53"/>
    </row>
    <row r="737" spans="2:4" x14ac:dyDescent="0.25">
      <c r="B737" s="53"/>
      <c r="C737" s="53"/>
      <c r="D737" s="53"/>
    </row>
    <row r="738" spans="2:4" x14ac:dyDescent="0.25">
      <c r="B738" s="53"/>
      <c r="C738" s="53"/>
      <c r="D738" s="53"/>
    </row>
    <row r="739" spans="2:4" x14ac:dyDescent="0.25">
      <c r="B739" s="53"/>
      <c r="C739" s="53"/>
      <c r="D739" s="53"/>
    </row>
    <row r="740" spans="2:4" x14ac:dyDescent="0.25">
      <c r="B740" s="53"/>
      <c r="C740" s="53"/>
      <c r="D740" s="53"/>
    </row>
    <row r="741" spans="2:4" x14ac:dyDescent="0.25">
      <c r="B741" s="53"/>
      <c r="C741" s="53"/>
      <c r="D741" s="53"/>
    </row>
    <row r="742" spans="2:4" x14ac:dyDescent="0.25">
      <c r="B742" s="53"/>
      <c r="C742" s="53"/>
      <c r="D742" s="53"/>
    </row>
    <row r="743" spans="2:4" x14ac:dyDescent="0.25">
      <c r="B743" s="53"/>
      <c r="C743" s="53"/>
      <c r="D743" s="53"/>
    </row>
    <row r="744" spans="2:4" x14ac:dyDescent="0.25">
      <c r="B744" s="53"/>
      <c r="C744" s="53"/>
      <c r="D744" s="53"/>
    </row>
    <row r="745" spans="2:4" x14ac:dyDescent="0.25">
      <c r="B745" s="53"/>
      <c r="C745" s="53"/>
      <c r="D745" s="53"/>
    </row>
    <row r="746" spans="2:4" x14ac:dyDescent="0.25">
      <c r="B746" s="53"/>
      <c r="C746" s="53"/>
      <c r="D746" s="53"/>
    </row>
    <row r="747" spans="2:4" x14ac:dyDescent="0.25">
      <c r="B747" s="53"/>
      <c r="C747" s="53"/>
      <c r="D747" s="53"/>
    </row>
    <row r="748" spans="2:4" x14ac:dyDescent="0.25">
      <c r="B748" s="53"/>
      <c r="C748" s="53"/>
      <c r="D748" s="53"/>
    </row>
    <row r="749" spans="2:4" x14ac:dyDescent="0.25">
      <c r="B749" s="53"/>
      <c r="C749" s="53"/>
      <c r="D749" s="53"/>
    </row>
    <row r="750" spans="2:4" x14ac:dyDescent="0.25">
      <c r="B750" s="53"/>
      <c r="C750" s="53"/>
      <c r="D750" s="53"/>
    </row>
    <row r="751" spans="2:4" x14ac:dyDescent="0.25">
      <c r="B751" s="53"/>
      <c r="C751" s="53"/>
      <c r="D751" s="53"/>
    </row>
    <row r="752" spans="2:4" x14ac:dyDescent="0.25">
      <c r="B752" s="53"/>
      <c r="C752" s="53"/>
      <c r="D752" s="53"/>
    </row>
    <row r="753" spans="2:4" x14ac:dyDescent="0.25">
      <c r="B753" s="53"/>
      <c r="C753" s="53"/>
      <c r="D753" s="53"/>
    </row>
    <row r="754" spans="2:4" x14ac:dyDescent="0.25">
      <c r="B754" s="53"/>
      <c r="C754" s="53"/>
      <c r="D754" s="53"/>
    </row>
    <row r="755" spans="2:4" x14ac:dyDescent="0.25">
      <c r="B755" s="53"/>
      <c r="C755" s="53"/>
      <c r="D755" s="53"/>
    </row>
    <row r="756" spans="2:4" x14ac:dyDescent="0.25">
      <c r="B756" s="53"/>
      <c r="C756" s="53"/>
      <c r="D756" s="53"/>
    </row>
    <row r="757" spans="2:4" x14ac:dyDescent="0.25">
      <c r="B757" s="53"/>
      <c r="C757" s="53"/>
      <c r="D757" s="53"/>
    </row>
    <row r="758" spans="2:4" x14ac:dyDescent="0.25">
      <c r="B758" s="53"/>
      <c r="C758" s="53"/>
      <c r="D758" s="53"/>
    </row>
    <row r="759" spans="2:4" x14ac:dyDescent="0.25">
      <c r="B759" s="53"/>
      <c r="C759" s="53"/>
      <c r="D759" s="53"/>
    </row>
    <row r="760" spans="2:4" x14ac:dyDescent="0.25">
      <c r="B760" s="53"/>
      <c r="C760" s="53"/>
      <c r="D760" s="53"/>
    </row>
    <row r="761" spans="2:4" x14ac:dyDescent="0.25">
      <c r="B761" s="53"/>
      <c r="C761" s="53"/>
      <c r="D761" s="53"/>
    </row>
    <row r="762" spans="2:4" x14ac:dyDescent="0.25">
      <c r="B762" s="53"/>
      <c r="C762" s="53"/>
      <c r="D762" s="53"/>
    </row>
    <row r="763" spans="2:4" x14ac:dyDescent="0.25">
      <c r="B763" s="53"/>
      <c r="C763" s="53"/>
      <c r="D763" s="53"/>
    </row>
    <row r="764" spans="2:4" x14ac:dyDescent="0.25">
      <c r="B764" s="53"/>
      <c r="C764" s="53"/>
      <c r="D764" s="53"/>
    </row>
    <row r="765" spans="2:4" x14ac:dyDescent="0.25">
      <c r="B765" s="53"/>
      <c r="C765" s="53"/>
      <c r="D765" s="53"/>
    </row>
    <row r="766" spans="2:4" x14ac:dyDescent="0.25">
      <c r="B766" s="53"/>
      <c r="C766" s="53"/>
      <c r="D766" s="53"/>
    </row>
    <row r="767" spans="2:4" x14ac:dyDescent="0.25">
      <c r="B767" s="53"/>
      <c r="C767" s="53"/>
      <c r="D767" s="53"/>
    </row>
    <row r="768" spans="2:4" x14ac:dyDescent="0.25">
      <c r="B768" s="53"/>
      <c r="C768" s="53"/>
      <c r="D768" s="53"/>
    </row>
    <row r="769" spans="2:4" x14ac:dyDescent="0.25">
      <c r="B769" s="53"/>
      <c r="C769" s="53"/>
      <c r="D769" s="53"/>
    </row>
    <row r="770" spans="2:4" x14ac:dyDescent="0.25">
      <c r="B770" s="53"/>
      <c r="C770" s="53"/>
      <c r="D770" s="53"/>
    </row>
    <row r="771" spans="2:4" x14ac:dyDescent="0.25">
      <c r="B771" s="53"/>
      <c r="C771" s="53"/>
      <c r="D771" s="53"/>
    </row>
    <row r="772" spans="2:4" x14ac:dyDescent="0.25">
      <c r="B772" s="53"/>
      <c r="C772" s="53"/>
      <c r="D772" s="53"/>
    </row>
    <row r="773" spans="2:4" x14ac:dyDescent="0.25">
      <c r="B773" s="53"/>
      <c r="C773" s="53"/>
      <c r="D773" s="53"/>
    </row>
    <row r="774" spans="2:4" x14ac:dyDescent="0.25">
      <c r="B774" s="53"/>
      <c r="C774" s="53"/>
      <c r="D774" s="53"/>
    </row>
    <row r="775" spans="2:4" x14ac:dyDescent="0.25">
      <c r="B775" s="53"/>
      <c r="C775" s="53"/>
      <c r="D775" s="53"/>
    </row>
    <row r="776" spans="2:4" x14ac:dyDescent="0.25">
      <c r="B776" s="53"/>
      <c r="C776" s="53"/>
      <c r="D776" s="53"/>
    </row>
    <row r="777" spans="2:4" x14ac:dyDescent="0.25">
      <c r="B777" s="53"/>
      <c r="C777" s="53"/>
      <c r="D777" s="53"/>
    </row>
    <row r="778" spans="2:4" x14ac:dyDescent="0.25">
      <c r="B778" s="53"/>
      <c r="C778" s="53"/>
      <c r="D778" s="53"/>
    </row>
    <row r="779" spans="2:4" x14ac:dyDescent="0.25">
      <c r="B779" s="53"/>
      <c r="C779" s="53"/>
      <c r="D779" s="53"/>
    </row>
    <row r="780" spans="2:4" x14ac:dyDescent="0.25">
      <c r="B780" s="53"/>
      <c r="C780" s="53"/>
      <c r="D780" s="53"/>
    </row>
    <row r="781" spans="2:4" x14ac:dyDescent="0.25">
      <c r="B781" s="53"/>
      <c r="C781" s="53"/>
      <c r="D781" s="53"/>
    </row>
    <row r="782" spans="2:4" x14ac:dyDescent="0.25">
      <c r="B782" s="53"/>
      <c r="C782" s="53"/>
      <c r="D782" s="53"/>
    </row>
    <row r="783" spans="2:4" x14ac:dyDescent="0.25">
      <c r="B783" s="53"/>
      <c r="C783" s="53"/>
      <c r="D783" s="53"/>
    </row>
    <row r="784" spans="2:4" x14ac:dyDescent="0.25">
      <c r="B784" s="53"/>
      <c r="C784" s="53"/>
      <c r="D784" s="53"/>
    </row>
    <row r="785" spans="2:4" x14ac:dyDescent="0.25">
      <c r="B785" s="53"/>
      <c r="C785" s="53"/>
      <c r="D785" s="53"/>
    </row>
    <row r="786" spans="2:4" x14ac:dyDescent="0.25">
      <c r="B786" s="53"/>
      <c r="C786" s="53"/>
      <c r="D786" s="53"/>
    </row>
    <row r="787" spans="2:4" x14ac:dyDescent="0.25">
      <c r="B787" s="53"/>
      <c r="C787" s="53"/>
      <c r="D787" s="53"/>
    </row>
    <row r="788" spans="2:4" x14ac:dyDescent="0.25">
      <c r="B788" s="53"/>
      <c r="C788" s="53"/>
      <c r="D788" s="53"/>
    </row>
    <row r="789" spans="2:4" x14ac:dyDescent="0.25">
      <c r="B789" s="53"/>
      <c r="C789" s="53"/>
      <c r="D789" s="53"/>
    </row>
    <row r="790" spans="2:4" x14ac:dyDescent="0.25">
      <c r="B790" s="53"/>
      <c r="C790" s="53"/>
      <c r="D790" s="53"/>
    </row>
    <row r="791" spans="2:4" x14ac:dyDescent="0.25">
      <c r="B791" s="53"/>
      <c r="C791" s="53"/>
      <c r="D791" s="53"/>
    </row>
    <row r="792" spans="2:4" x14ac:dyDescent="0.25">
      <c r="B792" s="53"/>
      <c r="C792" s="53"/>
      <c r="D792" s="53"/>
    </row>
    <row r="793" spans="2:4" x14ac:dyDescent="0.25">
      <c r="B793" s="53"/>
      <c r="C793" s="53"/>
      <c r="D793" s="53"/>
    </row>
    <row r="794" spans="2:4" x14ac:dyDescent="0.25">
      <c r="B794" s="53"/>
      <c r="C794" s="53"/>
      <c r="D794" s="53"/>
    </row>
    <row r="795" spans="2:4" x14ac:dyDescent="0.25">
      <c r="B795" s="53"/>
      <c r="C795" s="53"/>
      <c r="D795" s="53"/>
    </row>
    <row r="796" spans="2:4" x14ac:dyDescent="0.25">
      <c r="B796" s="53"/>
      <c r="C796" s="53"/>
      <c r="D796" s="53"/>
    </row>
    <row r="797" spans="2:4" x14ac:dyDescent="0.25">
      <c r="B797" s="53"/>
      <c r="C797" s="53"/>
      <c r="D797" s="53"/>
    </row>
    <row r="798" spans="2:4" x14ac:dyDescent="0.25">
      <c r="B798" s="53"/>
      <c r="C798" s="53"/>
      <c r="D798" s="53"/>
    </row>
    <row r="799" spans="2:4" x14ac:dyDescent="0.25">
      <c r="B799" s="53"/>
      <c r="C799" s="53"/>
      <c r="D799" s="53"/>
    </row>
    <row r="800" spans="2:4" x14ac:dyDescent="0.25">
      <c r="B800" s="53"/>
      <c r="C800" s="53"/>
      <c r="D800" s="53"/>
    </row>
    <row r="801" spans="2:4" x14ac:dyDescent="0.25">
      <c r="B801" s="53"/>
      <c r="C801" s="53"/>
      <c r="D801" s="53"/>
    </row>
    <row r="802" spans="2:4" x14ac:dyDescent="0.25">
      <c r="B802" s="53"/>
      <c r="C802" s="53"/>
      <c r="D802" s="53"/>
    </row>
    <row r="803" spans="2:4" x14ac:dyDescent="0.25">
      <c r="B803" s="53"/>
      <c r="C803" s="53"/>
      <c r="D803" s="53"/>
    </row>
    <row r="804" spans="2:4" x14ac:dyDescent="0.25">
      <c r="B804" s="53"/>
      <c r="C804" s="53"/>
      <c r="D804" s="53"/>
    </row>
    <row r="805" spans="2:4" x14ac:dyDescent="0.25">
      <c r="B805" s="53"/>
      <c r="C805" s="53"/>
      <c r="D805" s="53"/>
    </row>
    <row r="806" spans="2:4" x14ac:dyDescent="0.25">
      <c r="B806" s="53"/>
      <c r="C806" s="53"/>
      <c r="D806" s="53"/>
    </row>
    <row r="807" spans="2:4" x14ac:dyDescent="0.25">
      <c r="B807" s="53"/>
      <c r="C807" s="53"/>
      <c r="D807" s="53"/>
    </row>
    <row r="808" spans="2:4" x14ac:dyDescent="0.25">
      <c r="B808" s="53"/>
      <c r="C808" s="53"/>
      <c r="D808" s="53"/>
    </row>
    <row r="809" spans="2:4" x14ac:dyDescent="0.25">
      <c r="B809" s="53"/>
      <c r="C809" s="53"/>
      <c r="D809" s="53"/>
    </row>
    <row r="810" spans="2:4" x14ac:dyDescent="0.25">
      <c r="B810" s="53"/>
      <c r="C810" s="53"/>
      <c r="D810" s="53"/>
    </row>
    <row r="811" spans="2:4" x14ac:dyDescent="0.25">
      <c r="B811" s="53"/>
      <c r="C811" s="53"/>
      <c r="D811" s="53"/>
    </row>
    <row r="812" spans="2:4" x14ac:dyDescent="0.25">
      <c r="B812" s="53"/>
      <c r="C812" s="53"/>
      <c r="D812" s="53"/>
    </row>
    <row r="813" spans="2:4" x14ac:dyDescent="0.25">
      <c r="B813" s="53"/>
      <c r="C813" s="53"/>
      <c r="D813" s="53"/>
    </row>
    <row r="814" spans="2:4" x14ac:dyDescent="0.25">
      <c r="B814" s="53"/>
      <c r="C814" s="53"/>
      <c r="D814" s="53"/>
    </row>
    <row r="815" spans="2:4" x14ac:dyDescent="0.25">
      <c r="B815" s="53"/>
      <c r="C815" s="53"/>
      <c r="D815" s="53"/>
    </row>
    <row r="816" spans="2:4" x14ac:dyDescent="0.25">
      <c r="B816" s="53"/>
      <c r="C816" s="53"/>
      <c r="D816" s="53"/>
    </row>
    <row r="817" spans="2:4" x14ac:dyDescent="0.25">
      <c r="B817" s="53"/>
      <c r="C817" s="53"/>
      <c r="D817" s="53"/>
    </row>
    <row r="818" spans="2:4" x14ac:dyDescent="0.25">
      <c r="B818" s="53"/>
      <c r="C818" s="53"/>
      <c r="D818" s="53"/>
    </row>
    <row r="819" spans="2:4" x14ac:dyDescent="0.25">
      <c r="B819" s="53"/>
      <c r="C819" s="53"/>
      <c r="D819" s="53"/>
    </row>
    <row r="820" spans="2:4" x14ac:dyDescent="0.25">
      <c r="B820" s="53"/>
      <c r="C820" s="53"/>
      <c r="D820" s="53"/>
    </row>
    <row r="821" spans="2:4" x14ac:dyDescent="0.25">
      <c r="B821" s="53"/>
      <c r="C821" s="53"/>
      <c r="D821" s="53"/>
    </row>
    <row r="822" spans="2:4" x14ac:dyDescent="0.25">
      <c r="B822" s="53"/>
      <c r="C822" s="53"/>
      <c r="D822" s="53"/>
    </row>
    <row r="823" spans="2:4" x14ac:dyDescent="0.25">
      <c r="B823" s="53"/>
      <c r="C823" s="53"/>
      <c r="D823" s="53"/>
    </row>
    <row r="824" spans="2:4" x14ac:dyDescent="0.25">
      <c r="B824" s="53"/>
      <c r="C824" s="53"/>
      <c r="D824" s="53"/>
    </row>
    <row r="825" spans="2:4" x14ac:dyDescent="0.25">
      <c r="B825" s="53"/>
      <c r="C825" s="53"/>
      <c r="D825" s="53"/>
    </row>
    <row r="826" spans="2:4" x14ac:dyDescent="0.25">
      <c r="B826" s="53"/>
      <c r="C826" s="53"/>
      <c r="D826" s="53"/>
    </row>
    <row r="827" spans="2:4" x14ac:dyDescent="0.25">
      <c r="B827" s="53"/>
      <c r="C827" s="53"/>
      <c r="D827" s="53"/>
    </row>
    <row r="828" spans="2:4" x14ac:dyDescent="0.25">
      <c r="B828" s="53"/>
      <c r="C828" s="53"/>
      <c r="D828" s="53"/>
    </row>
    <row r="829" spans="2:4" x14ac:dyDescent="0.25">
      <c r="B829" s="53"/>
      <c r="C829" s="53"/>
      <c r="D829" s="53"/>
    </row>
    <row r="830" spans="2:4" x14ac:dyDescent="0.25">
      <c r="B830" s="53"/>
      <c r="C830" s="53"/>
      <c r="D830" s="53"/>
    </row>
    <row r="831" spans="2:4" x14ac:dyDescent="0.25">
      <c r="B831" s="53"/>
      <c r="C831" s="53"/>
      <c r="D831" s="53"/>
    </row>
    <row r="832" spans="2:4" x14ac:dyDescent="0.25">
      <c r="B832" s="53"/>
      <c r="C832" s="53"/>
      <c r="D832" s="53"/>
    </row>
    <row r="833" spans="2:4" x14ac:dyDescent="0.25">
      <c r="B833" s="53"/>
      <c r="C833" s="53"/>
      <c r="D833" s="53"/>
    </row>
    <row r="834" spans="2:4" x14ac:dyDescent="0.25">
      <c r="B834" s="53"/>
      <c r="C834" s="53"/>
      <c r="D834" s="53"/>
    </row>
    <row r="835" spans="2:4" x14ac:dyDescent="0.25">
      <c r="B835" s="53"/>
      <c r="C835" s="53"/>
      <c r="D835" s="53"/>
    </row>
    <row r="836" spans="2:4" x14ac:dyDescent="0.25">
      <c r="B836" s="53"/>
      <c r="C836" s="53"/>
      <c r="D836" s="53"/>
    </row>
    <row r="837" spans="2:4" x14ac:dyDescent="0.25">
      <c r="B837" s="53"/>
      <c r="C837" s="53"/>
      <c r="D837" s="53"/>
    </row>
    <row r="838" spans="2:4" x14ac:dyDescent="0.25">
      <c r="B838" s="53"/>
      <c r="C838" s="53"/>
      <c r="D838" s="53"/>
    </row>
    <row r="839" spans="2:4" x14ac:dyDescent="0.25">
      <c r="B839" s="53"/>
      <c r="C839" s="53"/>
      <c r="D839" s="53"/>
    </row>
    <row r="840" spans="2:4" x14ac:dyDescent="0.25">
      <c r="B840" s="53"/>
      <c r="C840" s="53"/>
      <c r="D840" s="53"/>
    </row>
    <row r="841" spans="2:4" x14ac:dyDescent="0.25">
      <c r="B841" s="53"/>
      <c r="C841" s="53"/>
      <c r="D841" s="53"/>
    </row>
    <row r="842" spans="2:4" x14ac:dyDescent="0.25">
      <c r="B842" s="53"/>
      <c r="C842" s="53"/>
      <c r="D842" s="53"/>
    </row>
    <row r="843" spans="2:4" x14ac:dyDescent="0.25">
      <c r="B843" s="53"/>
      <c r="C843" s="53"/>
      <c r="D843" s="53"/>
    </row>
    <row r="844" spans="2:4" x14ac:dyDescent="0.25">
      <c r="B844" s="53"/>
      <c r="C844" s="53"/>
      <c r="D844" s="53"/>
    </row>
    <row r="845" spans="2:4" x14ac:dyDescent="0.25">
      <c r="B845" s="53"/>
      <c r="C845" s="53"/>
      <c r="D845" s="53"/>
    </row>
    <row r="846" spans="2:4" x14ac:dyDescent="0.25">
      <c r="B846" s="53"/>
      <c r="C846" s="53"/>
      <c r="D846" s="53"/>
    </row>
    <row r="847" spans="2:4" x14ac:dyDescent="0.25">
      <c r="B847" s="53"/>
      <c r="C847" s="53"/>
      <c r="D847" s="53"/>
    </row>
    <row r="848" spans="2:4" x14ac:dyDescent="0.25">
      <c r="B848" s="53"/>
      <c r="C848" s="53"/>
      <c r="D848" s="53"/>
    </row>
    <row r="849" spans="2:4" x14ac:dyDescent="0.25">
      <c r="B849" s="53"/>
      <c r="C849" s="53"/>
      <c r="D849" s="53"/>
    </row>
    <row r="850" spans="2:4" x14ac:dyDescent="0.25">
      <c r="B850" s="53"/>
      <c r="C850" s="53"/>
      <c r="D850" s="53"/>
    </row>
    <row r="851" spans="2:4" x14ac:dyDescent="0.25">
      <c r="B851" s="53"/>
      <c r="C851" s="53"/>
      <c r="D851" s="53"/>
    </row>
    <row r="852" spans="2:4" x14ac:dyDescent="0.25">
      <c r="B852" s="53"/>
      <c r="C852" s="53"/>
      <c r="D852" s="53"/>
    </row>
    <row r="853" spans="2:4" x14ac:dyDescent="0.25">
      <c r="B853" s="53"/>
      <c r="C853" s="53"/>
      <c r="D853" s="53"/>
    </row>
    <row r="854" spans="2:4" x14ac:dyDescent="0.25">
      <c r="B854" s="53"/>
      <c r="C854" s="53"/>
      <c r="D854" s="53"/>
    </row>
    <row r="855" spans="2:4" x14ac:dyDescent="0.25">
      <c r="B855" s="53"/>
      <c r="C855" s="53"/>
      <c r="D855" s="53"/>
    </row>
    <row r="856" spans="2:4" x14ac:dyDescent="0.25">
      <c r="B856" s="53"/>
      <c r="C856" s="53"/>
      <c r="D856" s="53"/>
    </row>
    <row r="857" spans="2:4" x14ac:dyDescent="0.25">
      <c r="B857" s="53"/>
      <c r="C857" s="53"/>
      <c r="D857" s="53"/>
    </row>
    <row r="858" spans="2:4" x14ac:dyDescent="0.25">
      <c r="B858" s="53"/>
      <c r="C858" s="53"/>
      <c r="D858" s="53"/>
    </row>
    <row r="859" spans="2:4" x14ac:dyDescent="0.25">
      <c r="B859" s="53"/>
      <c r="C859" s="53"/>
      <c r="D859" s="53"/>
    </row>
    <row r="860" spans="2:4" x14ac:dyDescent="0.25">
      <c r="B860" s="53"/>
      <c r="C860" s="53"/>
      <c r="D860" s="53"/>
    </row>
    <row r="861" spans="2:4" x14ac:dyDescent="0.25">
      <c r="B861" s="53"/>
      <c r="C861" s="53"/>
      <c r="D861" s="53"/>
    </row>
    <row r="862" spans="2:4" x14ac:dyDescent="0.25">
      <c r="B862" s="53"/>
      <c r="C862" s="53"/>
      <c r="D862" s="53"/>
    </row>
    <row r="863" spans="2:4" x14ac:dyDescent="0.25">
      <c r="B863" s="53"/>
      <c r="C863" s="53"/>
      <c r="D863" s="53"/>
    </row>
    <row r="864" spans="2:4" x14ac:dyDescent="0.25">
      <c r="B864" s="53"/>
      <c r="C864" s="53"/>
      <c r="D864" s="53"/>
    </row>
    <row r="865" spans="2:4" x14ac:dyDescent="0.25">
      <c r="B865" s="53"/>
      <c r="C865" s="53"/>
      <c r="D865" s="53"/>
    </row>
    <row r="866" spans="2:4" x14ac:dyDescent="0.25">
      <c r="B866" s="53"/>
      <c r="C866" s="53"/>
      <c r="D866" s="53"/>
    </row>
    <row r="867" spans="2:4" x14ac:dyDescent="0.25">
      <c r="B867" s="53"/>
      <c r="C867" s="53"/>
      <c r="D867" s="53"/>
    </row>
    <row r="868" spans="2:4" x14ac:dyDescent="0.25">
      <c r="B868" s="53"/>
      <c r="C868" s="53"/>
      <c r="D868" s="53"/>
    </row>
    <row r="869" spans="2:4" x14ac:dyDescent="0.25">
      <c r="B869" s="53"/>
      <c r="C869" s="53"/>
      <c r="D869" s="53"/>
    </row>
    <row r="870" spans="2:4" x14ac:dyDescent="0.25">
      <c r="B870" s="53"/>
      <c r="C870" s="53"/>
      <c r="D870" s="53"/>
    </row>
    <row r="871" spans="2:4" x14ac:dyDescent="0.25">
      <c r="B871" s="53"/>
      <c r="C871" s="53"/>
      <c r="D871" s="53"/>
    </row>
    <row r="872" spans="2:4" x14ac:dyDescent="0.25">
      <c r="B872" s="53"/>
      <c r="C872" s="53"/>
      <c r="D872" s="53"/>
    </row>
    <row r="873" spans="2:4" x14ac:dyDescent="0.25">
      <c r="B873" s="53"/>
      <c r="C873" s="53"/>
      <c r="D873" s="53"/>
    </row>
    <row r="874" spans="2:4" x14ac:dyDescent="0.25">
      <c r="B874" s="53"/>
      <c r="C874" s="53"/>
      <c r="D874" s="53"/>
    </row>
    <row r="875" spans="2:4" x14ac:dyDescent="0.25">
      <c r="B875" s="53"/>
      <c r="C875" s="53"/>
      <c r="D875" s="53"/>
    </row>
    <row r="876" spans="2:4" x14ac:dyDescent="0.25">
      <c r="B876" s="53"/>
      <c r="C876" s="53"/>
      <c r="D876" s="53"/>
    </row>
    <row r="877" spans="2:4" x14ac:dyDescent="0.25">
      <c r="B877" s="53"/>
      <c r="C877" s="53"/>
      <c r="D877" s="53"/>
    </row>
    <row r="878" spans="2:4" x14ac:dyDescent="0.25">
      <c r="B878" s="53"/>
      <c r="C878" s="53"/>
      <c r="D878" s="53"/>
    </row>
    <row r="879" spans="2:4" x14ac:dyDescent="0.25">
      <c r="B879" s="53"/>
      <c r="C879" s="53"/>
      <c r="D879" s="53"/>
    </row>
    <row r="880" spans="2:4" x14ac:dyDescent="0.25">
      <c r="B880" s="53"/>
      <c r="C880" s="53"/>
      <c r="D880" s="53"/>
    </row>
    <row r="881" spans="2:4" x14ac:dyDescent="0.25">
      <c r="B881" s="53"/>
      <c r="C881" s="53"/>
      <c r="D881" s="53"/>
    </row>
    <row r="882" spans="2:4" x14ac:dyDescent="0.25">
      <c r="B882" s="53"/>
      <c r="C882" s="53"/>
      <c r="D882" s="53"/>
    </row>
    <row r="883" spans="2:4" x14ac:dyDescent="0.25">
      <c r="B883" s="53"/>
      <c r="C883" s="53"/>
      <c r="D883" s="53"/>
    </row>
    <row r="884" spans="2:4" x14ac:dyDescent="0.25">
      <c r="B884" s="53"/>
      <c r="C884" s="53"/>
      <c r="D884" s="53"/>
    </row>
    <row r="885" spans="2:4" x14ac:dyDescent="0.25">
      <c r="B885" s="53"/>
      <c r="C885" s="53"/>
      <c r="D885" s="53"/>
    </row>
    <row r="886" spans="2:4" x14ac:dyDescent="0.25">
      <c r="B886" s="53"/>
      <c r="C886" s="53"/>
      <c r="D886" s="53"/>
    </row>
    <row r="887" spans="2:4" x14ac:dyDescent="0.25">
      <c r="B887" s="53"/>
      <c r="C887" s="53"/>
      <c r="D887" s="53"/>
    </row>
    <row r="888" spans="2:4" x14ac:dyDescent="0.25">
      <c r="B888" s="53"/>
      <c r="C888" s="53"/>
      <c r="D888" s="53"/>
    </row>
    <row r="889" spans="2:4" x14ac:dyDescent="0.25">
      <c r="B889" s="53"/>
      <c r="C889" s="53"/>
      <c r="D889" s="53"/>
    </row>
    <row r="890" spans="2:4" x14ac:dyDescent="0.25">
      <c r="B890" s="53"/>
      <c r="C890" s="53"/>
      <c r="D890" s="53"/>
    </row>
    <row r="891" spans="2:4" x14ac:dyDescent="0.25">
      <c r="B891" s="53"/>
      <c r="C891" s="53"/>
      <c r="D891" s="53"/>
    </row>
    <row r="892" spans="2:4" x14ac:dyDescent="0.25">
      <c r="B892" s="53"/>
      <c r="C892" s="53"/>
      <c r="D892" s="53"/>
    </row>
    <row r="893" spans="2:4" x14ac:dyDescent="0.25">
      <c r="B893" s="53"/>
      <c r="C893" s="53"/>
      <c r="D893" s="53"/>
    </row>
    <row r="894" spans="2:4" x14ac:dyDescent="0.25">
      <c r="B894" s="53"/>
      <c r="C894" s="53"/>
      <c r="D894" s="53"/>
    </row>
    <row r="895" spans="2:4" x14ac:dyDescent="0.25">
      <c r="B895" s="53"/>
      <c r="C895" s="53"/>
      <c r="D895" s="53"/>
    </row>
    <row r="896" spans="2:4" x14ac:dyDescent="0.25">
      <c r="B896" s="53"/>
      <c r="C896" s="53"/>
      <c r="D896" s="53"/>
    </row>
    <row r="897" spans="2:4" x14ac:dyDescent="0.25">
      <c r="B897" s="53"/>
      <c r="C897" s="53"/>
      <c r="D897" s="53"/>
    </row>
    <row r="898" spans="2:4" x14ac:dyDescent="0.25">
      <c r="B898" s="53"/>
      <c r="C898" s="53"/>
      <c r="D898" s="53"/>
    </row>
    <row r="899" spans="2:4" x14ac:dyDescent="0.25">
      <c r="B899" s="53"/>
      <c r="C899" s="53"/>
      <c r="D899" s="53"/>
    </row>
    <row r="900" spans="2:4" x14ac:dyDescent="0.25">
      <c r="B900" s="53"/>
      <c r="C900" s="53"/>
      <c r="D900" s="53"/>
    </row>
    <row r="901" spans="2:4" x14ac:dyDescent="0.25">
      <c r="B901" s="53"/>
      <c r="C901" s="53"/>
      <c r="D901" s="53"/>
    </row>
    <row r="902" spans="2:4" x14ac:dyDescent="0.25">
      <c r="B902" s="53"/>
      <c r="C902" s="53"/>
      <c r="D902" s="53"/>
    </row>
    <row r="903" spans="2:4" x14ac:dyDescent="0.25">
      <c r="B903" s="53"/>
      <c r="C903" s="53"/>
      <c r="D903" s="53"/>
    </row>
    <row r="904" spans="2:4" x14ac:dyDescent="0.25">
      <c r="B904" s="53"/>
      <c r="C904" s="53"/>
      <c r="D904" s="53"/>
    </row>
    <row r="905" spans="2:4" x14ac:dyDescent="0.25">
      <c r="B905" s="53"/>
      <c r="C905" s="53"/>
      <c r="D905" s="53"/>
    </row>
    <row r="906" spans="2:4" x14ac:dyDescent="0.25">
      <c r="B906" s="53"/>
      <c r="C906" s="53"/>
      <c r="D906" s="53"/>
    </row>
    <row r="907" spans="2:4" x14ac:dyDescent="0.25">
      <c r="B907" s="53"/>
      <c r="C907" s="53"/>
      <c r="D907" s="53"/>
    </row>
    <row r="908" spans="2:4" x14ac:dyDescent="0.25">
      <c r="B908" s="53"/>
      <c r="C908" s="53"/>
      <c r="D908" s="53"/>
    </row>
    <row r="909" spans="2:4" x14ac:dyDescent="0.25">
      <c r="B909" s="53"/>
      <c r="C909" s="53"/>
      <c r="D909" s="53"/>
    </row>
    <row r="910" spans="2:4" x14ac:dyDescent="0.25">
      <c r="B910" s="53"/>
      <c r="C910" s="53"/>
      <c r="D910" s="53"/>
    </row>
    <row r="911" spans="2:4" x14ac:dyDescent="0.25">
      <c r="B911" s="53"/>
      <c r="C911" s="53"/>
      <c r="D911" s="53"/>
    </row>
    <row r="912" spans="2:4" x14ac:dyDescent="0.25">
      <c r="B912" s="53"/>
      <c r="C912" s="53"/>
      <c r="D912" s="53"/>
    </row>
    <row r="913" spans="2:4" x14ac:dyDescent="0.25">
      <c r="B913" s="53"/>
      <c r="C913" s="53"/>
      <c r="D913" s="53"/>
    </row>
    <row r="914" spans="2:4" x14ac:dyDescent="0.25">
      <c r="B914" s="53"/>
      <c r="C914" s="53"/>
      <c r="D914" s="53"/>
    </row>
    <row r="915" spans="2:4" x14ac:dyDescent="0.25">
      <c r="B915" s="53"/>
      <c r="C915" s="53"/>
      <c r="D915" s="53"/>
    </row>
    <row r="916" spans="2:4" x14ac:dyDescent="0.25">
      <c r="B916" s="53"/>
      <c r="C916" s="53"/>
      <c r="D916" s="53"/>
    </row>
    <row r="917" spans="2:4" x14ac:dyDescent="0.25">
      <c r="B917" s="53"/>
      <c r="C917" s="53"/>
      <c r="D917" s="53"/>
    </row>
    <row r="918" spans="2:4" x14ac:dyDescent="0.25">
      <c r="B918" s="53"/>
      <c r="C918" s="53"/>
      <c r="D918" s="53"/>
    </row>
    <row r="919" spans="2:4" x14ac:dyDescent="0.25">
      <c r="B919" s="53"/>
      <c r="C919" s="53"/>
      <c r="D919" s="53"/>
    </row>
    <row r="920" spans="2:4" x14ac:dyDescent="0.25">
      <c r="B920" s="53"/>
      <c r="C920" s="53"/>
      <c r="D920" s="53"/>
    </row>
    <row r="921" spans="2:4" x14ac:dyDescent="0.25">
      <c r="B921" s="53"/>
      <c r="C921" s="53"/>
      <c r="D921" s="53"/>
    </row>
    <row r="922" spans="2:4" x14ac:dyDescent="0.25">
      <c r="B922" s="53"/>
      <c r="C922" s="53"/>
      <c r="D922" s="53"/>
    </row>
    <row r="923" spans="2:4" x14ac:dyDescent="0.25">
      <c r="B923" s="53"/>
      <c r="C923" s="53"/>
      <c r="D923" s="53"/>
    </row>
    <row r="924" spans="2:4" x14ac:dyDescent="0.25">
      <c r="B924" s="53"/>
      <c r="C924" s="53"/>
      <c r="D924" s="53"/>
    </row>
    <row r="925" spans="2:4" x14ac:dyDescent="0.25">
      <c r="B925" s="53"/>
      <c r="C925" s="53"/>
      <c r="D925" s="53"/>
    </row>
    <row r="926" spans="2:4" x14ac:dyDescent="0.25">
      <c r="B926" s="53"/>
      <c r="C926" s="53"/>
      <c r="D926" s="53"/>
    </row>
    <row r="927" spans="2:4" x14ac:dyDescent="0.25">
      <c r="B927" s="53"/>
      <c r="C927" s="53"/>
      <c r="D927" s="53"/>
    </row>
    <row r="928" spans="2:4" x14ac:dyDescent="0.25">
      <c r="B928" s="53"/>
      <c r="C928" s="53"/>
      <c r="D928" s="53"/>
    </row>
    <row r="929" spans="2:4" x14ac:dyDescent="0.25">
      <c r="B929" s="53"/>
      <c r="C929" s="53"/>
      <c r="D929" s="53"/>
    </row>
    <row r="930" spans="2:4" x14ac:dyDescent="0.25">
      <c r="B930" s="53"/>
      <c r="C930" s="53"/>
      <c r="D930" s="53"/>
    </row>
    <row r="931" spans="2:4" x14ac:dyDescent="0.25">
      <c r="B931" s="53"/>
      <c r="C931" s="53"/>
      <c r="D931" s="53"/>
    </row>
    <row r="932" spans="2:4" x14ac:dyDescent="0.25">
      <c r="B932" s="53"/>
      <c r="C932" s="53"/>
      <c r="D932" s="53"/>
    </row>
    <row r="933" spans="2:4" x14ac:dyDescent="0.25">
      <c r="B933" s="53"/>
      <c r="C933" s="53"/>
      <c r="D933" s="53"/>
    </row>
    <row r="934" spans="2:4" x14ac:dyDescent="0.25">
      <c r="B934" s="53"/>
      <c r="C934" s="53"/>
      <c r="D934" s="53"/>
    </row>
    <row r="935" spans="2:4" x14ac:dyDescent="0.25">
      <c r="B935" s="53"/>
      <c r="C935" s="53"/>
      <c r="D935" s="53"/>
    </row>
    <row r="936" spans="2:4" x14ac:dyDescent="0.25">
      <c r="B936" s="53"/>
      <c r="C936" s="53"/>
      <c r="D936" s="53"/>
    </row>
    <row r="937" spans="2:4" x14ac:dyDescent="0.25">
      <c r="B937" s="53"/>
      <c r="C937" s="53"/>
      <c r="D937" s="53"/>
    </row>
    <row r="938" spans="2:4" x14ac:dyDescent="0.25">
      <c r="B938" s="53"/>
      <c r="C938" s="53"/>
      <c r="D938" s="53"/>
    </row>
    <row r="939" spans="2:4" x14ac:dyDescent="0.25">
      <c r="B939" s="53"/>
      <c r="C939" s="53"/>
      <c r="D939" s="53"/>
    </row>
    <row r="940" spans="2:4" x14ac:dyDescent="0.25">
      <c r="B940" s="53"/>
      <c r="C940" s="53"/>
      <c r="D940" s="53"/>
    </row>
    <row r="941" spans="2:4" x14ac:dyDescent="0.25">
      <c r="B941" s="53"/>
      <c r="C941" s="53"/>
      <c r="D941" s="53"/>
    </row>
    <row r="942" spans="2:4" x14ac:dyDescent="0.25">
      <c r="B942" s="53"/>
      <c r="C942" s="53"/>
      <c r="D942" s="53"/>
    </row>
    <row r="943" spans="2:4" x14ac:dyDescent="0.25">
      <c r="B943" s="53"/>
      <c r="C943" s="53"/>
      <c r="D943" s="53"/>
    </row>
    <row r="944" spans="2:4" x14ac:dyDescent="0.25">
      <c r="B944" s="53"/>
      <c r="C944" s="53"/>
      <c r="D944" s="53"/>
    </row>
    <row r="945" spans="2:4" x14ac:dyDescent="0.25">
      <c r="B945" s="53"/>
      <c r="C945" s="53"/>
      <c r="D945" s="53"/>
    </row>
    <row r="946" spans="2:4" x14ac:dyDescent="0.25">
      <c r="B946" s="53"/>
      <c r="C946" s="53"/>
      <c r="D946" s="53"/>
    </row>
    <row r="947" spans="2:4" x14ac:dyDescent="0.25">
      <c r="B947" s="53"/>
      <c r="C947" s="53"/>
      <c r="D947" s="53"/>
    </row>
    <row r="948" spans="2:4" x14ac:dyDescent="0.25">
      <c r="B948" s="53"/>
      <c r="C948" s="53"/>
      <c r="D948" s="53"/>
    </row>
    <row r="949" spans="2:4" x14ac:dyDescent="0.25">
      <c r="B949" s="53"/>
      <c r="C949" s="53"/>
      <c r="D949" s="53"/>
    </row>
    <row r="950" spans="2:4" x14ac:dyDescent="0.25">
      <c r="B950" s="53"/>
      <c r="C950" s="53"/>
      <c r="D950" s="53"/>
    </row>
    <row r="951" spans="2:4" x14ac:dyDescent="0.25">
      <c r="B951" s="53"/>
      <c r="C951" s="53"/>
      <c r="D951" s="53"/>
    </row>
    <row r="952" spans="2:4" x14ac:dyDescent="0.25">
      <c r="B952" s="53"/>
      <c r="C952" s="53"/>
      <c r="D952" s="53"/>
    </row>
    <row r="953" spans="2:4" x14ac:dyDescent="0.25">
      <c r="B953" s="53"/>
      <c r="C953" s="53"/>
      <c r="D953" s="53"/>
    </row>
    <row r="954" spans="2:4" x14ac:dyDescent="0.25">
      <c r="B954" s="53"/>
      <c r="C954" s="53"/>
      <c r="D954" s="53"/>
    </row>
    <row r="955" spans="2:4" x14ac:dyDescent="0.25">
      <c r="B955" s="53"/>
      <c r="C955" s="53"/>
      <c r="D955" s="53"/>
    </row>
    <row r="956" spans="2:4" x14ac:dyDescent="0.25">
      <c r="B956" s="53"/>
      <c r="C956" s="53"/>
      <c r="D956" s="53"/>
    </row>
    <row r="957" spans="2:4" x14ac:dyDescent="0.25">
      <c r="B957" s="53"/>
      <c r="C957" s="53"/>
      <c r="D957" s="53"/>
    </row>
    <row r="958" spans="2:4" x14ac:dyDescent="0.25">
      <c r="B958" s="53"/>
      <c r="C958" s="53"/>
      <c r="D958" s="53"/>
    </row>
    <row r="959" spans="2:4" x14ac:dyDescent="0.25">
      <c r="B959" s="53"/>
      <c r="C959" s="53"/>
      <c r="D959" s="53"/>
    </row>
    <row r="960" spans="2:4" x14ac:dyDescent="0.25">
      <c r="B960" s="53"/>
      <c r="C960" s="53"/>
      <c r="D960" s="53"/>
    </row>
    <row r="961" spans="2:4" x14ac:dyDescent="0.25">
      <c r="B961" s="53"/>
      <c r="C961" s="53"/>
      <c r="D961" s="53"/>
    </row>
    <row r="962" spans="2:4" x14ac:dyDescent="0.25">
      <c r="B962" s="53"/>
      <c r="C962" s="53"/>
      <c r="D962" s="53"/>
    </row>
    <row r="963" spans="2:4" x14ac:dyDescent="0.25">
      <c r="B963" s="53"/>
      <c r="C963" s="53"/>
      <c r="D963" s="53"/>
    </row>
    <row r="964" spans="2:4" x14ac:dyDescent="0.25">
      <c r="B964" s="53"/>
      <c r="C964" s="53"/>
      <c r="D964" s="53"/>
    </row>
    <row r="965" spans="2:4" x14ac:dyDescent="0.25">
      <c r="B965" s="53"/>
      <c r="C965" s="53"/>
      <c r="D965" s="53"/>
    </row>
    <row r="966" spans="2:4" x14ac:dyDescent="0.25">
      <c r="B966" s="53"/>
      <c r="C966" s="53"/>
      <c r="D966" s="53"/>
    </row>
    <row r="967" spans="2:4" x14ac:dyDescent="0.25">
      <c r="B967" s="53"/>
      <c r="C967" s="53"/>
      <c r="D967" s="53"/>
    </row>
    <row r="968" spans="2:4" x14ac:dyDescent="0.25">
      <c r="B968" s="53"/>
      <c r="C968" s="53"/>
      <c r="D968" s="53"/>
    </row>
    <row r="969" spans="2:4" x14ac:dyDescent="0.25">
      <c r="B969" s="53"/>
      <c r="C969" s="53"/>
      <c r="D969" s="53"/>
    </row>
    <row r="970" spans="2:4" x14ac:dyDescent="0.25">
      <c r="B970" s="53"/>
      <c r="C970" s="53"/>
      <c r="D970" s="53"/>
    </row>
    <row r="971" spans="2:4" x14ac:dyDescent="0.25">
      <c r="B971" s="53"/>
      <c r="C971" s="53"/>
      <c r="D971" s="53"/>
    </row>
    <row r="972" spans="2:4" x14ac:dyDescent="0.25">
      <c r="B972" s="53"/>
      <c r="C972" s="53"/>
      <c r="D972" s="53"/>
    </row>
    <row r="973" spans="2:4" x14ac:dyDescent="0.25">
      <c r="B973" s="53"/>
      <c r="C973" s="53"/>
      <c r="D973" s="53"/>
    </row>
    <row r="974" spans="2:4" x14ac:dyDescent="0.25">
      <c r="B974" s="53"/>
      <c r="C974" s="53"/>
      <c r="D974" s="53"/>
    </row>
    <row r="975" spans="2:4" x14ac:dyDescent="0.25">
      <c r="B975" s="53"/>
      <c r="C975" s="53"/>
      <c r="D975" s="53"/>
    </row>
    <row r="976" spans="2:4" x14ac:dyDescent="0.25">
      <c r="B976" s="53"/>
      <c r="C976" s="53"/>
      <c r="D976" s="53"/>
    </row>
    <row r="977" spans="2:4" x14ac:dyDescent="0.25">
      <c r="B977" s="53"/>
      <c r="C977" s="53"/>
      <c r="D977" s="53"/>
    </row>
    <row r="978" spans="2:4" x14ac:dyDescent="0.25">
      <c r="B978" s="53"/>
      <c r="C978" s="53"/>
      <c r="D978" s="53"/>
    </row>
    <row r="979" spans="2:4" x14ac:dyDescent="0.25">
      <c r="B979" s="53"/>
      <c r="C979" s="53"/>
      <c r="D979" s="53"/>
    </row>
    <row r="980" spans="2:4" x14ac:dyDescent="0.25">
      <c r="B980" s="53"/>
      <c r="C980" s="53"/>
      <c r="D980" s="53"/>
    </row>
    <row r="981" spans="2:4" x14ac:dyDescent="0.25">
      <c r="B981" s="53"/>
      <c r="C981" s="53"/>
      <c r="D981" s="53"/>
    </row>
    <row r="982" spans="2:4" x14ac:dyDescent="0.25">
      <c r="B982" s="53"/>
      <c r="C982" s="53"/>
      <c r="D982" s="53"/>
    </row>
    <row r="983" spans="2:4" x14ac:dyDescent="0.25">
      <c r="B983" s="53"/>
      <c r="C983" s="53"/>
      <c r="D983" s="53"/>
    </row>
    <row r="984" spans="2:4" x14ac:dyDescent="0.25">
      <c r="B984" s="53"/>
      <c r="C984" s="53"/>
      <c r="D984" s="53"/>
    </row>
    <row r="985" spans="2:4" x14ac:dyDescent="0.25">
      <c r="B985" s="53"/>
      <c r="C985" s="53"/>
      <c r="D985" s="53"/>
    </row>
    <row r="986" spans="2:4" x14ac:dyDescent="0.25">
      <c r="B986" s="53"/>
      <c r="C986" s="53"/>
      <c r="D986" s="53"/>
    </row>
    <row r="987" spans="2:4" x14ac:dyDescent="0.25">
      <c r="B987" s="53"/>
      <c r="C987" s="53"/>
      <c r="D987" s="53"/>
    </row>
    <row r="988" spans="2:4" x14ac:dyDescent="0.25">
      <c r="B988" s="53"/>
      <c r="C988" s="53"/>
      <c r="D988" s="53"/>
    </row>
    <row r="989" spans="2:4" x14ac:dyDescent="0.25">
      <c r="B989" s="53"/>
      <c r="C989" s="53"/>
      <c r="D989" s="53"/>
    </row>
    <row r="990" spans="2:4" x14ac:dyDescent="0.25">
      <c r="B990" s="53"/>
      <c r="C990" s="53"/>
      <c r="D990" s="53"/>
    </row>
    <row r="991" spans="2:4" x14ac:dyDescent="0.25">
      <c r="B991" s="53"/>
      <c r="C991" s="53"/>
      <c r="D991" s="53"/>
    </row>
    <row r="992" spans="2:4" x14ac:dyDescent="0.25">
      <c r="B992" s="53"/>
      <c r="C992" s="53"/>
      <c r="D992" s="53"/>
    </row>
    <row r="993" spans="2:4" x14ac:dyDescent="0.25">
      <c r="B993" s="53"/>
      <c r="C993" s="53"/>
      <c r="D993" s="53"/>
    </row>
    <row r="994" spans="2:4" x14ac:dyDescent="0.25">
      <c r="B994" s="53"/>
      <c r="C994" s="53"/>
      <c r="D994" s="53"/>
    </row>
    <row r="995" spans="2:4" x14ac:dyDescent="0.25">
      <c r="B995" s="53"/>
      <c r="C995" s="53"/>
      <c r="D995" s="53"/>
    </row>
    <row r="996" spans="2:4" x14ac:dyDescent="0.25">
      <c r="B996" s="53"/>
      <c r="C996" s="53"/>
      <c r="D996" s="53"/>
    </row>
    <row r="997" spans="2:4" x14ac:dyDescent="0.25">
      <c r="B997" s="53"/>
      <c r="C997" s="53"/>
      <c r="D997" s="53"/>
    </row>
    <row r="998" spans="2:4" x14ac:dyDescent="0.25">
      <c r="B998" s="53"/>
      <c r="C998" s="53"/>
      <c r="D998" s="53"/>
    </row>
    <row r="999" spans="2:4" x14ac:dyDescent="0.25">
      <c r="B999" s="53"/>
      <c r="C999" s="53"/>
      <c r="D999" s="53"/>
    </row>
    <row r="1000" spans="2:4" x14ac:dyDescent="0.25">
      <c r="B1000" s="53"/>
      <c r="C1000" s="53"/>
      <c r="D1000" s="53"/>
    </row>
    <row r="1001" spans="2:4" x14ac:dyDescent="0.25">
      <c r="B1001" s="53"/>
      <c r="C1001" s="53"/>
      <c r="D1001" s="53"/>
    </row>
    <row r="1002" spans="2:4" x14ac:dyDescent="0.25">
      <c r="B1002" s="53"/>
      <c r="C1002" s="53"/>
      <c r="D1002" s="53"/>
    </row>
    <row r="1003" spans="2:4" x14ac:dyDescent="0.25">
      <c r="B1003" s="53"/>
      <c r="C1003" s="53"/>
      <c r="D1003" s="53"/>
    </row>
    <row r="1004" spans="2:4" x14ac:dyDescent="0.25">
      <c r="B1004" s="53"/>
      <c r="C1004" s="53"/>
      <c r="D1004" s="53"/>
    </row>
    <row r="1005" spans="2:4" x14ac:dyDescent="0.25">
      <c r="B1005" s="53"/>
      <c r="C1005" s="53"/>
      <c r="D1005" s="53"/>
    </row>
    <row r="1006" spans="2:4" x14ac:dyDescent="0.25">
      <c r="B1006" s="53"/>
      <c r="C1006" s="53"/>
      <c r="D1006" s="53"/>
    </row>
    <row r="1007" spans="2:4" x14ac:dyDescent="0.25">
      <c r="B1007" s="53"/>
      <c r="C1007" s="53"/>
      <c r="D1007" s="53"/>
    </row>
    <row r="1008" spans="2:4" x14ac:dyDescent="0.25">
      <c r="B1008" s="53"/>
      <c r="C1008" s="53"/>
      <c r="D1008" s="53"/>
    </row>
    <row r="1009" spans="2:4" x14ac:dyDescent="0.25">
      <c r="B1009" s="53"/>
      <c r="C1009" s="53"/>
      <c r="D1009" s="53"/>
    </row>
    <row r="1010" spans="2:4" x14ac:dyDescent="0.25">
      <c r="B1010" s="53"/>
      <c r="C1010" s="53"/>
      <c r="D1010" s="53"/>
    </row>
    <row r="1011" spans="2:4" x14ac:dyDescent="0.25">
      <c r="B1011" s="53"/>
      <c r="C1011" s="53"/>
      <c r="D1011" s="53"/>
    </row>
    <row r="1012" spans="2:4" x14ac:dyDescent="0.25">
      <c r="B1012" s="53"/>
      <c r="C1012" s="53"/>
      <c r="D1012" s="53"/>
    </row>
    <row r="1013" spans="2:4" x14ac:dyDescent="0.25">
      <c r="B1013" s="53"/>
      <c r="C1013" s="53"/>
      <c r="D1013" s="53"/>
    </row>
    <row r="1014" spans="2:4" x14ac:dyDescent="0.25">
      <c r="B1014" s="53"/>
      <c r="C1014" s="53"/>
      <c r="D1014" s="53"/>
    </row>
    <row r="1015" spans="2:4" x14ac:dyDescent="0.25">
      <c r="B1015" s="53"/>
      <c r="C1015" s="53"/>
      <c r="D1015" s="53"/>
    </row>
    <row r="1016" spans="2:4" x14ac:dyDescent="0.25">
      <c r="B1016" s="53"/>
      <c r="C1016" s="53"/>
      <c r="D1016" s="53"/>
    </row>
    <row r="1017" spans="2:4" x14ac:dyDescent="0.25">
      <c r="B1017" s="53"/>
      <c r="C1017" s="53"/>
      <c r="D1017" s="53"/>
    </row>
    <row r="1018" spans="2:4" x14ac:dyDescent="0.25">
      <c r="B1018" s="53"/>
      <c r="C1018" s="53"/>
    </row>
    <row r="1019" spans="2:4" x14ac:dyDescent="0.25">
      <c r="B1019" s="53"/>
      <c r="C1019" s="53"/>
    </row>
  </sheetData>
  <mergeCells count="11">
    <mergeCell ref="R4:S4"/>
    <mergeCell ref="B2:B3"/>
    <mergeCell ref="C2:C3"/>
    <mergeCell ref="D2:S3"/>
    <mergeCell ref="D4:E4"/>
    <mergeCell ref="F4:G4"/>
    <mergeCell ref="H4:I4"/>
    <mergeCell ref="J4:K4"/>
    <mergeCell ref="L4:M4"/>
    <mergeCell ref="N4:O4"/>
    <mergeCell ref="P4:Q4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workbookViewId="0">
      <selection activeCell="B2" sqref="B2"/>
    </sheetView>
  </sheetViews>
  <sheetFormatPr defaultRowHeight="15" x14ac:dyDescent="0.25"/>
  <cols>
    <col min="2" max="2" width="18.7109375" customWidth="1"/>
    <col min="3" max="3" width="12.85546875" customWidth="1"/>
    <col min="4" max="4" width="7.42578125" customWidth="1"/>
    <col min="5" max="5" width="16.85546875" customWidth="1"/>
    <col min="6" max="6" width="7.42578125" customWidth="1"/>
    <col min="7" max="7" width="17.42578125" bestFit="1" customWidth="1"/>
    <col min="8" max="8" width="7.42578125" bestFit="1" customWidth="1"/>
    <col min="9" max="9" width="18.85546875" bestFit="1" customWidth="1"/>
    <col min="10" max="11" width="6" bestFit="1" customWidth="1"/>
  </cols>
  <sheetData>
    <row r="1" spans="2:10" x14ac:dyDescent="0.25">
      <c r="B1" s="215" t="s">
        <v>234</v>
      </c>
      <c r="C1" s="215"/>
      <c r="D1" s="82" t="s">
        <v>179</v>
      </c>
      <c r="E1" s="82"/>
      <c r="F1" s="216" t="s">
        <v>235</v>
      </c>
      <c r="G1" s="216"/>
    </row>
    <row r="2" spans="2:10" x14ac:dyDescent="0.25">
      <c r="B2" s="1" t="s">
        <v>236</v>
      </c>
    </row>
    <row r="3" spans="2:10" x14ac:dyDescent="0.25">
      <c r="B3" s="12" t="s">
        <v>237</v>
      </c>
      <c r="C3" s="217" t="s">
        <v>238</v>
      </c>
      <c r="D3" s="218"/>
      <c r="E3" s="218"/>
      <c r="F3" s="218"/>
      <c r="G3" s="218"/>
      <c r="H3" s="219"/>
    </row>
    <row r="4" spans="2:10" x14ac:dyDescent="0.25">
      <c r="B4" s="394" t="s">
        <v>388</v>
      </c>
      <c r="C4" s="12">
        <v>0</v>
      </c>
      <c r="D4" s="12">
        <v>2</v>
      </c>
      <c r="E4" s="12">
        <v>4</v>
      </c>
      <c r="F4" s="220">
        <v>6</v>
      </c>
      <c r="G4" s="12">
        <v>8</v>
      </c>
      <c r="H4" s="12">
        <v>10</v>
      </c>
    </row>
    <row r="5" spans="2:10" x14ac:dyDescent="0.25">
      <c r="B5" s="12"/>
      <c r="C5" s="12">
        <v>232.92</v>
      </c>
      <c r="D5" s="12">
        <v>465.83</v>
      </c>
      <c r="E5" s="12">
        <v>698.75</v>
      </c>
      <c r="F5" s="221">
        <v>931.66</v>
      </c>
      <c r="G5" s="12">
        <v>1164.58</v>
      </c>
      <c r="H5" s="12">
        <v>1397.5</v>
      </c>
    </row>
    <row r="6" spans="2:10" x14ac:dyDescent="0.25">
      <c r="B6" s="395" t="s">
        <v>387</v>
      </c>
    </row>
    <row r="7" spans="2:10" x14ac:dyDescent="0.25">
      <c r="B7" s="1" t="s">
        <v>239</v>
      </c>
    </row>
    <row r="8" spans="2:10" x14ac:dyDescent="0.25">
      <c r="B8" s="222" t="s">
        <v>240</v>
      </c>
      <c r="C8" s="223" t="s">
        <v>241</v>
      </c>
      <c r="D8" s="224"/>
      <c r="E8" s="217" t="s">
        <v>242</v>
      </c>
      <c r="F8" s="218"/>
      <c r="G8" s="218"/>
      <c r="H8" s="218"/>
      <c r="I8" s="218"/>
      <c r="J8" s="219"/>
    </row>
    <row r="9" spans="2:10" x14ac:dyDescent="0.25">
      <c r="B9" s="225"/>
      <c r="C9" s="12" t="s">
        <v>243</v>
      </c>
      <c r="D9" s="12" t="s">
        <v>244</v>
      </c>
      <c r="E9" s="12">
        <v>0</v>
      </c>
      <c r="F9" s="12">
        <v>2</v>
      </c>
      <c r="G9" s="12">
        <v>4</v>
      </c>
      <c r="H9" s="12">
        <v>6</v>
      </c>
      <c r="I9" s="12">
        <v>8</v>
      </c>
      <c r="J9" s="12">
        <v>10</v>
      </c>
    </row>
    <row r="10" spans="2:10" x14ac:dyDescent="0.25">
      <c r="B10" s="12" t="s">
        <v>245</v>
      </c>
      <c r="C10" s="226">
        <v>55</v>
      </c>
      <c r="D10" s="226">
        <v>74.77</v>
      </c>
      <c r="E10" s="12">
        <v>9.16</v>
      </c>
      <c r="F10" s="12">
        <v>18.36</v>
      </c>
      <c r="G10" s="12">
        <v>27.52</v>
      </c>
      <c r="H10" s="12">
        <v>36.68</v>
      </c>
      <c r="I10" s="12">
        <v>45.84</v>
      </c>
      <c r="J10" s="12">
        <v>55</v>
      </c>
    </row>
    <row r="11" spans="2:10" x14ac:dyDescent="0.25">
      <c r="B11" s="12" t="s">
        <v>246</v>
      </c>
      <c r="C11" s="226">
        <v>46.25</v>
      </c>
      <c r="D11" s="226">
        <v>62.87</v>
      </c>
      <c r="E11" s="12">
        <v>7.71</v>
      </c>
      <c r="F11" s="12">
        <v>15.41</v>
      </c>
      <c r="G11" s="12">
        <v>23.12</v>
      </c>
      <c r="H11" s="12">
        <v>30.83</v>
      </c>
      <c r="I11" s="12">
        <v>38.54</v>
      </c>
      <c r="J11" s="12">
        <v>46.25</v>
      </c>
    </row>
    <row r="12" spans="2:10" x14ac:dyDescent="0.25">
      <c r="B12" s="12" t="s">
        <v>247</v>
      </c>
      <c r="C12" s="226">
        <v>37.5</v>
      </c>
      <c r="D12" s="226">
        <v>50.98</v>
      </c>
      <c r="E12" s="12">
        <v>6.25</v>
      </c>
      <c r="F12" s="12">
        <v>12.5</v>
      </c>
      <c r="G12" s="12">
        <v>18.75</v>
      </c>
      <c r="H12" s="12">
        <v>25</v>
      </c>
      <c r="I12" s="12">
        <v>31.25</v>
      </c>
      <c r="J12" s="12">
        <v>37.5</v>
      </c>
    </row>
    <row r="13" spans="2:10" x14ac:dyDescent="0.25">
      <c r="B13" s="12" t="s">
        <v>248</v>
      </c>
      <c r="C13" s="226">
        <v>28.75</v>
      </c>
      <c r="D13" s="226">
        <v>39.08</v>
      </c>
      <c r="E13" s="12">
        <v>4.79</v>
      </c>
      <c r="F13" s="12">
        <v>9.58</v>
      </c>
      <c r="G13" s="12">
        <v>14.37</v>
      </c>
      <c r="H13" s="221">
        <v>19.16</v>
      </c>
      <c r="I13" s="12">
        <v>23.95</v>
      </c>
      <c r="J13" s="12">
        <v>28.75</v>
      </c>
    </row>
    <row r="14" spans="2:10" x14ac:dyDescent="0.25">
      <c r="B14" s="12" t="s">
        <v>249</v>
      </c>
      <c r="C14" s="226">
        <v>20</v>
      </c>
      <c r="D14" s="226">
        <v>27.19</v>
      </c>
      <c r="E14" s="12">
        <v>3.33</v>
      </c>
      <c r="F14" s="12">
        <v>6.67</v>
      </c>
      <c r="G14" s="12">
        <v>10</v>
      </c>
      <c r="H14" s="12">
        <v>13.33</v>
      </c>
      <c r="I14" s="12">
        <v>16.66</v>
      </c>
      <c r="J14" s="12">
        <v>20</v>
      </c>
    </row>
    <row r="16" spans="2:10" x14ac:dyDescent="0.25">
      <c r="B16" s="223" t="s">
        <v>250</v>
      </c>
      <c r="C16" s="227"/>
      <c r="D16" s="227"/>
      <c r="E16" s="227"/>
      <c r="F16" s="227"/>
      <c r="G16" s="227"/>
      <c r="H16" s="227"/>
      <c r="I16" s="224"/>
    </row>
    <row r="17" spans="2:11" x14ac:dyDescent="0.25">
      <c r="B17" s="228" t="s">
        <v>109</v>
      </c>
      <c r="C17" s="228"/>
      <c r="D17" s="228" t="s">
        <v>251</v>
      </c>
      <c r="E17" s="228"/>
      <c r="F17" s="228" t="s">
        <v>252</v>
      </c>
      <c r="G17" s="228"/>
      <c r="H17" s="228" t="s">
        <v>253</v>
      </c>
      <c r="I17" s="228"/>
    </row>
    <row r="18" spans="2:11" x14ac:dyDescent="0.25">
      <c r="B18" s="229" t="s">
        <v>254</v>
      </c>
      <c r="C18" s="229" t="s">
        <v>255</v>
      </c>
      <c r="D18" s="229" t="s">
        <v>254</v>
      </c>
      <c r="E18" s="229" t="s">
        <v>255</v>
      </c>
      <c r="F18" s="229" t="s">
        <v>254</v>
      </c>
      <c r="G18" s="229" t="s">
        <v>255</v>
      </c>
      <c r="H18" s="229" t="s">
        <v>254</v>
      </c>
      <c r="I18" s="229" t="s">
        <v>255</v>
      </c>
    </row>
    <row r="19" spans="2:11" x14ac:dyDescent="0.25">
      <c r="B19" s="12">
        <v>0</v>
      </c>
      <c r="C19" s="12" t="s">
        <v>256</v>
      </c>
      <c r="D19" s="12">
        <v>0</v>
      </c>
      <c r="E19" s="12" t="s">
        <v>257</v>
      </c>
      <c r="F19" s="12">
        <v>0</v>
      </c>
      <c r="G19" s="12" t="s">
        <v>258</v>
      </c>
      <c r="H19" s="12">
        <v>0</v>
      </c>
      <c r="I19" s="12" t="s">
        <v>259</v>
      </c>
    </row>
    <row r="20" spans="2:11" x14ac:dyDescent="0.25">
      <c r="B20" s="221">
        <v>2</v>
      </c>
      <c r="C20" s="12" t="s">
        <v>260</v>
      </c>
      <c r="D20" s="221">
        <v>2</v>
      </c>
      <c r="E20" s="12" t="s">
        <v>261</v>
      </c>
      <c r="F20" s="12">
        <v>2</v>
      </c>
      <c r="G20" s="12" t="s">
        <v>262</v>
      </c>
      <c r="H20" s="12">
        <v>2</v>
      </c>
      <c r="I20" s="12" t="s">
        <v>263</v>
      </c>
    </row>
    <row r="21" spans="2:11" x14ac:dyDescent="0.25">
      <c r="B21" s="12">
        <v>4</v>
      </c>
      <c r="C21" s="12" t="s">
        <v>264</v>
      </c>
      <c r="D21" s="12">
        <v>4</v>
      </c>
      <c r="E21" s="12" t="s">
        <v>265</v>
      </c>
      <c r="F21" s="12">
        <v>4</v>
      </c>
      <c r="G21" s="12" t="s">
        <v>266</v>
      </c>
      <c r="H21" s="12">
        <v>4</v>
      </c>
      <c r="I21" s="12" t="s">
        <v>267</v>
      </c>
    </row>
    <row r="22" spans="2:11" x14ac:dyDescent="0.25">
      <c r="B22" s="12">
        <v>6</v>
      </c>
      <c r="C22" s="12" t="s">
        <v>268</v>
      </c>
      <c r="D22" s="12">
        <v>6</v>
      </c>
      <c r="E22" s="12" t="s">
        <v>269</v>
      </c>
      <c r="F22" s="221">
        <v>6</v>
      </c>
      <c r="G22" s="220" t="s">
        <v>270</v>
      </c>
      <c r="H22" s="221">
        <v>6</v>
      </c>
      <c r="I22" s="220" t="s">
        <v>271</v>
      </c>
    </row>
    <row r="23" spans="2:11" x14ac:dyDescent="0.25">
      <c r="B23" s="12">
        <v>8</v>
      </c>
      <c r="C23" s="12" t="s">
        <v>5</v>
      </c>
      <c r="D23" s="12">
        <v>8</v>
      </c>
      <c r="E23" s="12" t="s">
        <v>8</v>
      </c>
      <c r="F23" s="12">
        <v>8</v>
      </c>
      <c r="G23" s="12" t="s">
        <v>9</v>
      </c>
      <c r="H23" s="12">
        <v>8</v>
      </c>
      <c r="I23" s="12" t="s">
        <v>10</v>
      </c>
    </row>
    <row r="24" spans="2:11" x14ac:dyDescent="0.25">
      <c r="B24" s="12">
        <v>10</v>
      </c>
      <c r="C24" s="12" t="s">
        <v>272</v>
      </c>
      <c r="D24" s="12">
        <v>10</v>
      </c>
      <c r="E24" s="12" t="s">
        <v>273</v>
      </c>
      <c r="F24" s="12">
        <v>10</v>
      </c>
      <c r="G24" s="12" t="s">
        <v>274</v>
      </c>
      <c r="H24" s="12">
        <v>10</v>
      </c>
      <c r="I24" s="12" t="s">
        <v>275</v>
      </c>
    </row>
    <row r="25" spans="2:11" x14ac:dyDescent="0.25">
      <c r="B25" s="230"/>
      <c r="C25" s="230"/>
      <c r="D25" s="230"/>
      <c r="E25" s="230"/>
      <c r="F25" s="230"/>
      <c r="G25" s="230"/>
      <c r="H25" s="230"/>
      <c r="I25" s="230"/>
    </row>
    <row r="26" spans="2:11" x14ac:dyDescent="0.25">
      <c r="B26" s="1" t="s">
        <v>276</v>
      </c>
    </row>
    <row r="27" spans="2:11" x14ac:dyDescent="0.25">
      <c r="B27" s="12" t="s">
        <v>237</v>
      </c>
      <c r="C27" s="223" t="s">
        <v>238</v>
      </c>
      <c r="D27" s="227"/>
      <c r="E27" s="227"/>
      <c r="F27" s="227"/>
      <c r="G27" s="227"/>
      <c r="H27" s="224"/>
    </row>
    <row r="28" spans="2:11" x14ac:dyDescent="0.25">
      <c r="B28" s="394" t="s">
        <v>388</v>
      </c>
      <c r="C28" s="12">
        <v>0</v>
      </c>
      <c r="D28" s="220">
        <v>2</v>
      </c>
      <c r="E28" s="12">
        <v>4</v>
      </c>
      <c r="F28" s="12">
        <v>6</v>
      </c>
      <c r="G28" s="12">
        <v>8</v>
      </c>
      <c r="H28" s="12">
        <v>10</v>
      </c>
    </row>
    <row r="29" spans="2:11" x14ac:dyDescent="0.25">
      <c r="B29" s="12"/>
      <c r="C29" s="12">
        <v>1397.5</v>
      </c>
      <c r="D29" s="231">
        <v>1164.58</v>
      </c>
      <c r="E29" s="12">
        <v>931.66</v>
      </c>
      <c r="F29" s="12">
        <v>698.75</v>
      </c>
      <c r="G29" s="12">
        <v>465.83</v>
      </c>
      <c r="H29" s="12">
        <v>232.92</v>
      </c>
    </row>
    <row r="30" spans="2:11" x14ac:dyDescent="0.25">
      <c r="B30" s="395" t="s">
        <v>387</v>
      </c>
    </row>
    <row r="31" spans="2:11" x14ac:dyDescent="0.25">
      <c r="B31" s="396" t="s">
        <v>354</v>
      </c>
    </row>
    <row r="32" spans="2:11" x14ac:dyDescent="0.25">
      <c r="B32" s="229" t="s">
        <v>277</v>
      </c>
      <c r="C32" s="12" t="s">
        <v>278</v>
      </c>
      <c r="D32" s="12" t="s">
        <v>279</v>
      </c>
      <c r="E32" s="226" t="s">
        <v>280</v>
      </c>
      <c r="F32" s="223" t="s">
        <v>281</v>
      </c>
      <c r="G32" s="227"/>
      <c r="H32" s="227"/>
      <c r="I32" s="227"/>
      <c r="J32" s="227"/>
      <c r="K32" s="224"/>
    </row>
    <row r="33" spans="2:11" x14ac:dyDescent="0.25">
      <c r="B33" s="12" t="s">
        <v>282</v>
      </c>
      <c r="C33" s="12" t="s">
        <v>283</v>
      </c>
      <c r="D33" s="12" t="s">
        <v>284</v>
      </c>
      <c r="E33" s="226" t="s">
        <v>285</v>
      </c>
      <c r="F33" s="12">
        <v>0</v>
      </c>
      <c r="G33" s="12">
        <v>2</v>
      </c>
      <c r="H33" s="12">
        <v>4</v>
      </c>
      <c r="I33" s="12">
        <v>6</v>
      </c>
      <c r="J33" s="12">
        <v>8</v>
      </c>
      <c r="K33" s="12">
        <v>10</v>
      </c>
    </row>
    <row r="34" spans="2:11" x14ac:dyDescent="0.25">
      <c r="B34" s="12" t="s">
        <v>286</v>
      </c>
      <c r="C34" s="226">
        <v>400</v>
      </c>
      <c r="D34" s="226">
        <v>10</v>
      </c>
      <c r="E34" s="12">
        <v>390</v>
      </c>
      <c r="F34" s="12">
        <v>10</v>
      </c>
      <c r="G34" s="12">
        <v>78</v>
      </c>
      <c r="H34" s="12">
        <v>156</v>
      </c>
      <c r="I34" s="12">
        <v>234</v>
      </c>
      <c r="J34" s="12">
        <v>312</v>
      </c>
      <c r="K34" s="12">
        <v>400</v>
      </c>
    </row>
    <row r="35" spans="2:11" x14ac:dyDescent="0.25">
      <c r="B35" s="12" t="s">
        <v>287</v>
      </c>
      <c r="C35" s="226">
        <v>337.5</v>
      </c>
      <c r="D35" s="226">
        <v>32.5</v>
      </c>
      <c r="E35" s="12">
        <v>305</v>
      </c>
      <c r="F35" s="12">
        <v>32.5</v>
      </c>
      <c r="G35" s="12">
        <v>93.5</v>
      </c>
      <c r="H35" s="12">
        <v>154.5</v>
      </c>
      <c r="I35" s="12">
        <v>215.5</v>
      </c>
      <c r="J35" s="12">
        <v>276.5</v>
      </c>
      <c r="K35" s="12">
        <v>337.5</v>
      </c>
    </row>
    <row r="36" spans="2:11" x14ac:dyDescent="0.25">
      <c r="B36" s="12" t="s">
        <v>288</v>
      </c>
      <c r="C36" s="226">
        <v>275</v>
      </c>
      <c r="D36" s="226">
        <v>55</v>
      </c>
      <c r="E36" s="221">
        <v>220</v>
      </c>
      <c r="F36" s="221">
        <v>55</v>
      </c>
      <c r="G36" s="12">
        <v>99</v>
      </c>
      <c r="H36" s="12">
        <v>143</v>
      </c>
      <c r="I36" s="12">
        <v>187</v>
      </c>
      <c r="J36" s="12">
        <v>231</v>
      </c>
      <c r="K36" s="12">
        <v>275</v>
      </c>
    </row>
    <row r="37" spans="2:11" x14ac:dyDescent="0.25">
      <c r="B37" s="12" t="s">
        <v>289</v>
      </c>
      <c r="C37" s="226">
        <v>212.5</v>
      </c>
      <c r="D37" s="226">
        <v>77.5</v>
      </c>
      <c r="E37" s="12">
        <v>135</v>
      </c>
      <c r="F37" s="12">
        <v>77.5</v>
      </c>
      <c r="G37" s="12">
        <v>104.5</v>
      </c>
      <c r="H37" s="12">
        <v>131.5</v>
      </c>
      <c r="I37" s="12">
        <v>158.5</v>
      </c>
      <c r="J37" s="12">
        <v>185.5</v>
      </c>
      <c r="K37" s="12">
        <v>212.5</v>
      </c>
    </row>
    <row r="38" spans="2:11" x14ac:dyDescent="0.25">
      <c r="B38" s="12" t="s">
        <v>290</v>
      </c>
      <c r="C38" s="226">
        <v>150</v>
      </c>
      <c r="D38" s="226">
        <v>100</v>
      </c>
      <c r="E38" s="12">
        <v>50</v>
      </c>
      <c r="F38" s="12">
        <v>100</v>
      </c>
      <c r="G38" s="12">
        <v>110</v>
      </c>
      <c r="H38" s="12">
        <v>120</v>
      </c>
      <c r="I38" s="12">
        <v>130</v>
      </c>
      <c r="J38" s="12">
        <v>140</v>
      </c>
      <c r="K38" s="12">
        <v>150</v>
      </c>
    </row>
  </sheetData>
  <mergeCells count="11">
    <mergeCell ref="C27:H27"/>
    <mergeCell ref="F32:K32"/>
    <mergeCell ref="C3:H3"/>
    <mergeCell ref="B8:B9"/>
    <mergeCell ref="C8:D8"/>
    <mergeCell ref="E8:J8"/>
    <mergeCell ref="B16:I16"/>
    <mergeCell ref="B17:C17"/>
    <mergeCell ref="D17:E17"/>
    <mergeCell ref="F17:G17"/>
    <mergeCell ref="H17: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9"/>
  <sheetViews>
    <sheetView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H76" sqref="H76"/>
    </sheetView>
  </sheetViews>
  <sheetFormatPr defaultRowHeight="15" x14ac:dyDescent="0.25"/>
  <cols>
    <col min="1" max="1" width="2.28515625" customWidth="1"/>
    <col min="2" max="3" width="6" customWidth="1"/>
    <col min="4" max="4" width="48" bestFit="1" customWidth="1"/>
    <col min="5" max="5" width="7.140625" bestFit="1" customWidth="1"/>
    <col min="6" max="6" width="8.7109375" bestFit="1" customWidth="1"/>
    <col min="7" max="7" width="6.7109375" bestFit="1" customWidth="1"/>
    <col min="8" max="8" width="7.42578125" bestFit="1" customWidth="1"/>
    <col min="9" max="10" width="5.7109375" bestFit="1" customWidth="1"/>
    <col min="11" max="11" width="6.7109375" bestFit="1" customWidth="1"/>
    <col min="12" max="12" width="7.140625" customWidth="1"/>
    <col min="13" max="13" width="9.28515625" bestFit="1" customWidth="1"/>
    <col min="14" max="14" width="7.7109375" bestFit="1" customWidth="1"/>
    <col min="15" max="15" width="8.7109375" bestFit="1" customWidth="1"/>
    <col min="16" max="16" width="7.7109375" bestFit="1" customWidth="1"/>
    <col min="17" max="17" width="8.42578125" bestFit="1" customWidth="1"/>
    <col min="18" max="19" width="6.7109375" bestFit="1" customWidth="1"/>
    <col min="20" max="20" width="7.7109375" bestFit="1" customWidth="1"/>
    <col min="21" max="21" width="7.140625" customWidth="1"/>
    <col min="22" max="22" width="9.28515625" bestFit="1" customWidth="1"/>
  </cols>
  <sheetData>
    <row r="1" spans="2:22" ht="15.75" thickBot="1" x14ac:dyDescent="0.3">
      <c r="B1" s="215"/>
      <c r="C1" t="s">
        <v>159</v>
      </c>
    </row>
    <row r="2" spans="2:22" s="1" customFormat="1" ht="15.75" thickBot="1" x14ac:dyDescent="0.3">
      <c r="B2" s="121" t="s">
        <v>0</v>
      </c>
      <c r="C2" s="121" t="s">
        <v>1</v>
      </c>
      <c r="D2" s="128" t="s">
        <v>2</v>
      </c>
      <c r="E2" s="131" t="s">
        <v>291</v>
      </c>
      <c r="F2" s="132"/>
      <c r="G2" s="132"/>
      <c r="H2" s="132"/>
      <c r="I2" s="132"/>
      <c r="J2" s="132"/>
      <c r="K2" s="132"/>
      <c r="L2" s="132"/>
      <c r="M2" s="132"/>
      <c r="N2" s="133" t="s">
        <v>292</v>
      </c>
      <c r="O2" s="134"/>
      <c r="P2" s="134"/>
      <c r="Q2" s="134"/>
      <c r="R2" s="134"/>
      <c r="S2" s="134"/>
      <c r="T2" s="134"/>
      <c r="U2" s="134"/>
      <c r="V2" s="134"/>
    </row>
    <row r="3" spans="2:22" s="1" customFormat="1" ht="15.75" thickBot="1" x14ac:dyDescent="0.3">
      <c r="B3" s="122"/>
      <c r="C3" s="122"/>
      <c r="D3" s="129"/>
      <c r="E3" s="135" t="s">
        <v>293</v>
      </c>
      <c r="F3" s="136"/>
      <c r="G3" s="136"/>
      <c r="H3" s="136"/>
      <c r="I3" s="136"/>
      <c r="J3" s="136"/>
      <c r="K3" s="136"/>
      <c r="L3" s="137"/>
      <c r="M3" s="2" t="s">
        <v>294</v>
      </c>
      <c r="N3" s="135" t="s">
        <v>293</v>
      </c>
      <c r="O3" s="136"/>
      <c r="P3" s="136"/>
      <c r="Q3" s="136"/>
      <c r="R3" s="136"/>
      <c r="S3" s="136"/>
      <c r="T3" s="136"/>
      <c r="U3" s="137"/>
      <c r="V3" s="2" t="s">
        <v>294</v>
      </c>
    </row>
    <row r="4" spans="2:22" s="108" customFormat="1" ht="15.75" thickBot="1" x14ac:dyDescent="0.3">
      <c r="B4" s="123"/>
      <c r="C4" s="123"/>
      <c r="D4" s="130"/>
      <c r="E4" s="3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5" t="s">
        <v>10</v>
      </c>
      <c r="M4" s="6" t="s">
        <v>130</v>
      </c>
      <c r="N4" s="3" t="s">
        <v>3</v>
      </c>
      <c r="O4" s="4" t="s">
        <v>4</v>
      </c>
      <c r="P4" s="4" t="s">
        <v>5</v>
      </c>
      <c r="Q4" s="4" t="s">
        <v>6</v>
      </c>
      <c r="R4" s="4" t="s">
        <v>7</v>
      </c>
      <c r="S4" s="4" t="s">
        <v>8</v>
      </c>
      <c r="T4" s="4" t="s">
        <v>9</v>
      </c>
      <c r="U4" s="5" t="s">
        <v>10</v>
      </c>
      <c r="V4" s="6" t="s">
        <v>130</v>
      </c>
    </row>
    <row r="5" spans="2:22" x14ac:dyDescent="0.25">
      <c r="B5" s="232">
        <v>1</v>
      </c>
      <c r="C5" s="232"/>
      <c r="D5" s="233" t="s">
        <v>11</v>
      </c>
      <c r="E5" s="7" t="s">
        <v>295</v>
      </c>
      <c r="F5" s="8">
        <v>0</v>
      </c>
      <c r="G5" s="9" t="s">
        <v>295</v>
      </c>
      <c r="H5" s="9" t="s">
        <v>12</v>
      </c>
      <c r="I5" s="8">
        <v>0</v>
      </c>
      <c r="J5" s="8">
        <v>0</v>
      </c>
      <c r="K5" s="9" t="s">
        <v>296</v>
      </c>
      <c r="L5" s="10">
        <v>0</v>
      </c>
      <c r="M5" s="84">
        <v>0.05</v>
      </c>
      <c r="N5" s="234" t="s">
        <v>295</v>
      </c>
      <c r="O5" s="235">
        <v>0</v>
      </c>
      <c r="P5" s="236" t="s">
        <v>295</v>
      </c>
      <c r="Q5" s="236" t="s">
        <v>12</v>
      </c>
      <c r="R5" s="235">
        <v>0</v>
      </c>
      <c r="S5" s="235">
        <v>0</v>
      </c>
      <c r="T5" s="236" t="s">
        <v>296</v>
      </c>
      <c r="U5" s="237">
        <v>0</v>
      </c>
      <c r="V5" s="11">
        <v>-7.0000000000000007E-2</v>
      </c>
    </row>
    <row r="6" spans="2:22" x14ac:dyDescent="0.25">
      <c r="B6" s="232">
        <v>2</v>
      </c>
      <c r="C6" s="238"/>
      <c r="D6" s="239" t="s">
        <v>14</v>
      </c>
      <c r="E6" s="7" t="s">
        <v>295</v>
      </c>
      <c r="F6" s="12">
        <v>0</v>
      </c>
      <c r="G6" s="9" t="s">
        <v>295</v>
      </c>
      <c r="H6" s="9" t="s">
        <v>12</v>
      </c>
      <c r="I6" s="8">
        <v>0</v>
      </c>
      <c r="J6" s="8">
        <v>0</v>
      </c>
      <c r="K6" s="9" t="s">
        <v>297</v>
      </c>
      <c r="L6" s="10">
        <v>0</v>
      </c>
      <c r="M6" s="84">
        <v>0.05</v>
      </c>
      <c r="N6" s="234" t="s">
        <v>295</v>
      </c>
      <c r="O6" s="235">
        <v>0</v>
      </c>
      <c r="P6" s="236" t="s">
        <v>295</v>
      </c>
      <c r="Q6" s="236" t="s">
        <v>12</v>
      </c>
      <c r="R6" s="235">
        <v>0</v>
      </c>
      <c r="S6" s="235">
        <v>0</v>
      </c>
      <c r="T6" s="236" t="s">
        <v>297</v>
      </c>
      <c r="U6" s="237">
        <v>0</v>
      </c>
      <c r="V6" s="11">
        <v>-7.0000000000000007E-2</v>
      </c>
    </row>
    <row r="7" spans="2:22" x14ac:dyDescent="0.25">
      <c r="B7" s="232">
        <v>3</v>
      </c>
      <c r="C7" s="238"/>
      <c r="D7" s="239" t="s">
        <v>15</v>
      </c>
      <c r="E7" s="7" t="s">
        <v>295</v>
      </c>
      <c r="F7" s="12">
        <v>0</v>
      </c>
      <c r="G7" s="9" t="s">
        <v>298</v>
      </c>
      <c r="H7" s="9" t="s">
        <v>16</v>
      </c>
      <c r="I7" s="8">
        <v>0</v>
      </c>
      <c r="J7" s="8">
        <v>0</v>
      </c>
      <c r="K7" s="9" t="s">
        <v>299</v>
      </c>
      <c r="L7" s="10">
        <v>0</v>
      </c>
      <c r="M7" s="84">
        <v>0.05</v>
      </c>
      <c r="N7" s="234" t="s">
        <v>295</v>
      </c>
      <c r="O7" s="235">
        <v>0</v>
      </c>
      <c r="P7" s="236" t="s">
        <v>298</v>
      </c>
      <c r="Q7" s="236" t="s">
        <v>16</v>
      </c>
      <c r="R7" s="235">
        <v>0</v>
      </c>
      <c r="S7" s="235">
        <v>0</v>
      </c>
      <c r="T7" s="236" t="s">
        <v>299</v>
      </c>
      <c r="U7" s="237">
        <v>0</v>
      </c>
      <c r="V7" s="11">
        <v>-7.0000000000000007E-2</v>
      </c>
    </row>
    <row r="8" spans="2:22" x14ac:dyDescent="0.25">
      <c r="B8" s="232">
        <v>4</v>
      </c>
      <c r="C8" s="238"/>
      <c r="D8" s="239" t="s">
        <v>17</v>
      </c>
      <c r="E8" s="7">
        <v>0</v>
      </c>
      <c r="F8" s="12">
        <v>0</v>
      </c>
      <c r="G8" s="9">
        <v>0</v>
      </c>
      <c r="H8" s="9">
        <v>0</v>
      </c>
      <c r="I8" s="8">
        <v>0</v>
      </c>
      <c r="J8" s="8">
        <v>0</v>
      </c>
      <c r="K8" s="9" t="s">
        <v>300</v>
      </c>
      <c r="L8" s="10">
        <v>0</v>
      </c>
      <c r="M8" s="84">
        <v>0.1</v>
      </c>
      <c r="N8" s="234">
        <v>0</v>
      </c>
      <c r="O8" s="235">
        <v>0</v>
      </c>
      <c r="P8" s="236">
        <v>0</v>
      </c>
      <c r="Q8" s="236">
        <v>0</v>
      </c>
      <c r="R8" s="235">
        <v>0</v>
      </c>
      <c r="S8" s="235">
        <v>0</v>
      </c>
      <c r="T8" s="236" t="s">
        <v>300</v>
      </c>
      <c r="U8" s="237">
        <v>0</v>
      </c>
      <c r="V8" s="11">
        <v>-0.5</v>
      </c>
    </row>
    <row r="9" spans="2:22" x14ac:dyDescent="0.25">
      <c r="B9" s="232">
        <v>5</v>
      </c>
      <c r="C9" s="238"/>
      <c r="D9" s="239" t="s">
        <v>18</v>
      </c>
      <c r="E9" s="7" t="s">
        <v>295</v>
      </c>
      <c r="F9" s="12">
        <v>0</v>
      </c>
      <c r="G9" s="9" t="s">
        <v>300</v>
      </c>
      <c r="H9" s="9" t="s">
        <v>19</v>
      </c>
      <c r="I9" s="8">
        <v>0</v>
      </c>
      <c r="J9" s="8">
        <v>0</v>
      </c>
      <c r="K9" s="9" t="s">
        <v>299</v>
      </c>
      <c r="L9" s="10">
        <v>0</v>
      </c>
      <c r="M9" s="84">
        <v>0.05</v>
      </c>
      <c r="N9" s="234" t="s">
        <v>295</v>
      </c>
      <c r="O9" s="235">
        <v>0</v>
      </c>
      <c r="P9" s="236" t="s">
        <v>300</v>
      </c>
      <c r="Q9" s="236" t="s">
        <v>19</v>
      </c>
      <c r="R9" s="235">
        <v>0</v>
      </c>
      <c r="S9" s="235">
        <v>0</v>
      </c>
      <c r="T9" s="236" t="s">
        <v>299</v>
      </c>
      <c r="U9" s="237">
        <v>0</v>
      </c>
      <c r="V9" s="11">
        <v>-7.0000000000000007E-2</v>
      </c>
    </row>
    <row r="10" spans="2:22" x14ac:dyDescent="0.25">
      <c r="B10" s="232">
        <v>6</v>
      </c>
      <c r="C10" s="238"/>
      <c r="D10" s="239" t="s">
        <v>20</v>
      </c>
      <c r="E10" s="7" t="s">
        <v>295</v>
      </c>
      <c r="F10" s="12">
        <v>0</v>
      </c>
      <c r="G10" s="9" t="s">
        <v>295</v>
      </c>
      <c r="H10" s="9" t="s">
        <v>78</v>
      </c>
      <c r="I10" s="8">
        <v>0</v>
      </c>
      <c r="J10" s="8">
        <v>0</v>
      </c>
      <c r="K10" s="9" t="s">
        <v>296</v>
      </c>
      <c r="L10" s="10">
        <v>0</v>
      </c>
      <c r="M10" s="84">
        <v>0.05</v>
      </c>
      <c r="N10" s="234" t="s">
        <v>295</v>
      </c>
      <c r="O10" s="235">
        <v>0</v>
      </c>
      <c r="P10" s="236" t="s">
        <v>295</v>
      </c>
      <c r="Q10" s="236" t="s">
        <v>13</v>
      </c>
      <c r="R10" s="235">
        <v>0</v>
      </c>
      <c r="S10" s="235">
        <v>0</v>
      </c>
      <c r="T10" s="236" t="s">
        <v>296</v>
      </c>
      <c r="U10" s="237">
        <v>0</v>
      </c>
      <c r="V10" s="11">
        <v>-7.0000000000000007E-2</v>
      </c>
    </row>
    <row r="11" spans="2:22" x14ac:dyDescent="0.25">
      <c r="B11" s="232">
        <v>7</v>
      </c>
      <c r="C11" s="238"/>
      <c r="D11" s="239" t="s">
        <v>21</v>
      </c>
      <c r="E11" s="7" t="s">
        <v>295</v>
      </c>
      <c r="F11" s="12">
        <v>0</v>
      </c>
      <c r="G11" s="9" t="s">
        <v>297</v>
      </c>
      <c r="H11" s="9" t="s">
        <v>78</v>
      </c>
      <c r="I11" s="8">
        <v>0</v>
      </c>
      <c r="J11" s="8">
        <v>0</v>
      </c>
      <c r="K11" s="9" t="s">
        <v>298</v>
      </c>
      <c r="L11" s="10">
        <v>0</v>
      </c>
      <c r="M11" s="84">
        <v>0.05</v>
      </c>
      <c r="N11" s="234" t="s">
        <v>295</v>
      </c>
      <c r="O11" s="235">
        <v>0</v>
      </c>
      <c r="P11" s="236" t="s">
        <v>297</v>
      </c>
      <c r="Q11" s="236" t="s">
        <v>13</v>
      </c>
      <c r="R11" s="235">
        <v>0</v>
      </c>
      <c r="S11" s="235">
        <v>0</v>
      </c>
      <c r="T11" s="236" t="s">
        <v>298</v>
      </c>
      <c r="U11" s="237">
        <v>0</v>
      </c>
      <c r="V11" s="11">
        <v>-7.0000000000000007E-2</v>
      </c>
    </row>
    <row r="12" spans="2:22" x14ac:dyDescent="0.25">
      <c r="B12" s="232">
        <v>8</v>
      </c>
      <c r="C12" s="238"/>
      <c r="D12" s="239" t="s">
        <v>22</v>
      </c>
      <c r="E12" s="7" t="s">
        <v>295</v>
      </c>
      <c r="F12" s="12">
        <v>0</v>
      </c>
      <c r="G12" s="9" t="s">
        <v>295</v>
      </c>
      <c r="H12" s="9" t="s">
        <v>78</v>
      </c>
      <c r="I12" s="8">
        <v>0</v>
      </c>
      <c r="J12" s="8">
        <v>0</v>
      </c>
      <c r="K12" s="9" t="s">
        <v>297</v>
      </c>
      <c r="L12" s="10">
        <v>0</v>
      </c>
      <c r="M12" s="84">
        <v>0.05</v>
      </c>
      <c r="N12" s="234" t="s">
        <v>295</v>
      </c>
      <c r="O12" s="235">
        <v>0</v>
      </c>
      <c r="P12" s="236" t="s">
        <v>295</v>
      </c>
      <c r="Q12" s="236" t="s">
        <v>13</v>
      </c>
      <c r="R12" s="235">
        <v>0</v>
      </c>
      <c r="S12" s="235">
        <v>0</v>
      </c>
      <c r="T12" s="236" t="s">
        <v>297</v>
      </c>
      <c r="U12" s="237">
        <v>0</v>
      </c>
      <c r="V12" s="11">
        <v>-7.0000000000000007E-2</v>
      </c>
    </row>
    <row r="13" spans="2:22" x14ac:dyDescent="0.25">
      <c r="B13" s="232">
        <v>9</v>
      </c>
      <c r="C13" s="238"/>
      <c r="D13" s="239" t="s">
        <v>23</v>
      </c>
      <c r="E13" s="7" t="s">
        <v>295</v>
      </c>
      <c r="F13" s="12">
        <v>0</v>
      </c>
      <c r="G13" s="9" t="s">
        <v>295</v>
      </c>
      <c r="H13" s="9" t="s">
        <v>78</v>
      </c>
      <c r="I13" s="8">
        <v>0</v>
      </c>
      <c r="J13" s="8">
        <v>0</v>
      </c>
      <c r="K13" s="16" t="s">
        <v>296</v>
      </c>
      <c r="L13" s="10">
        <v>0</v>
      </c>
      <c r="M13" s="84">
        <v>0.05</v>
      </c>
      <c r="N13" s="234" t="s">
        <v>295</v>
      </c>
      <c r="O13" s="235">
        <v>0</v>
      </c>
      <c r="P13" s="236" t="s">
        <v>295</v>
      </c>
      <c r="Q13" s="236" t="s">
        <v>13</v>
      </c>
      <c r="R13" s="235">
        <v>0</v>
      </c>
      <c r="S13" s="235">
        <v>0</v>
      </c>
      <c r="T13" s="20" t="s">
        <v>296</v>
      </c>
      <c r="U13" s="237">
        <v>0</v>
      </c>
      <c r="V13" s="11">
        <v>-7.0000000000000007E-2</v>
      </c>
    </row>
    <row r="14" spans="2:22" x14ac:dyDescent="0.25">
      <c r="B14" s="232">
        <v>10</v>
      </c>
      <c r="C14" s="238"/>
      <c r="D14" s="239" t="s">
        <v>24</v>
      </c>
      <c r="E14" s="7" t="s">
        <v>295</v>
      </c>
      <c r="F14" s="12">
        <v>0</v>
      </c>
      <c r="G14" s="9" t="s">
        <v>295</v>
      </c>
      <c r="H14" s="9" t="s">
        <v>78</v>
      </c>
      <c r="I14" s="8">
        <v>0</v>
      </c>
      <c r="J14" s="8">
        <v>0</v>
      </c>
      <c r="K14" s="16" t="s">
        <v>295</v>
      </c>
      <c r="L14" s="10">
        <v>0</v>
      </c>
      <c r="M14" s="84">
        <v>0.1</v>
      </c>
      <c r="N14" s="234" t="s">
        <v>295</v>
      </c>
      <c r="O14" s="235">
        <v>0</v>
      </c>
      <c r="P14" s="236" t="s">
        <v>295</v>
      </c>
      <c r="Q14" s="236" t="s">
        <v>78</v>
      </c>
      <c r="R14" s="235">
        <v>0</v>
      </c>
      <c r="S14" s="235">
        <v>0</v>
      </c>
      <c r="T14" s="20" t="s">
        <v>295</v>
      </c>
      <c r="U14" s="237">
        <v>0</v>
      </c>
      <c r="V14" s="11">
        <v>-0.5</v>
      </c>
    </row>
    <row r="15" spans="2:22" x14ac:dyDescent="0.25">
      <c r="B15" s="232">
        <v>11</v>
      </c>
      <c r="C15" s="238"/>
      <c r="D15" s="239" t="s">
        <v>25</v>
      </c>
      <c r="E15" s="7" t="s">
        <v>295</v>
      </c>
      <c r="F15" s="12">
        <v>0</v>
      </c>
      <c r="G15" s="9" t="s">
        <v>295</v>
      </c>
      <c r="H15" s="9" t="s">
        <v>13</v>
      </c>
      <c r="I15" s="8">
        <v>0</v>
      </c>
      <c r="J15" s="8">
        <v>0</v>
      </c>
      <c r="K15" s="16" t="s">
        <v>295</v>
      </c>
      <c r="L15" s="10">
        <v>0</v>
      </c>
      <c r="M15" s="84">
        <v>0.05</v>
      </c>
      <c r="N15" s="234" t="s">
        <v>295</v>
      </c>
      <c r="O15" s="235">
        <v>0</v>
      </c>
      <c r="P15" s="236" t="s">
        <v>295</v>
      </c>
      <c r="Q15" s="236" t="s">
        <v>301</v>
      </c>
      <c r="R15" s="235">
        <v>0</v>
      </c>
      <c r="S15" s="235">
        <v>0</v>
      </c>
      <c r="T15" s="20" t="s">
        <v>295</v>
      </c>
      <c r="U15" s="237">
        <v>0</v>
      </c>
      <c r="V15" s="11">
        <v>-7.0000000000000007E-2</v>
      </c>
    </row>
    <row r="16" spans="2:22" x14ac:dyDescent="0.25">
      <c r="B16" s="232">
        <v>12</v>
      </c>
      <c r="C16" s="238"/>
      <c r="D16" s="239" t="s">
        <v>26</v>
      </c>
      <c r="E16" s="7" t="s">
        <v>295</v>
      </c>
      <c r="F16" s="12">
        <v>0</v>
      </c>
      <c r="G16" s="9" t="s">
        <v>295</v>
      </c>
      <c r="H16" s="9" t="s">
        <v>13</v>
      </c>
      <c r="I16" s="8">
        <v>0</v>
      </c>
      <c r="J16" s="8">
        <v>0</v>
      </c>
      <c r="K16" s="16" t="s">
        <v>295</v>
      </c>
      <c r="L16" s="10">
        <v>0</v>
      </c>
      <c r="M16" s="84">
        <v>0.05</v>
      </c>
      <c r="N16" s="234" t="s">
        <v>295</v>
      </c>
      <c r="O16" s="235">
        <v>0</v>
      </c>
      <c r="P16" s="236" t="s">
        <v>295</v>
      </c>
      <c r="Q16" s="236" t="s">
        <v>301</v>
      </c>
      <c r="R16" s="235">
        <v>0</v>
      </c>
      <c r="S16" s="235">
        <v>0</v>
      </c>
      <c r="T16" s="20" t="s">
        <v>295</v>
      </c>
      <c r="U16" s="237">
        <v>0</v>
      </c>
      <c r="V16" s="11">
        <v>-7.0000000000000007E-2</v>
      </c>
    </row>
    <row r="17" spans="2:22" x14ac:dyDescent="0.25">
      <c r="B17" s="232">
        <v>13</v>
      </c>
      <c r="C17" s="238"/>
      <c r="D17" s="239" t="s">
        <v>27</v>
      </c>
      <c r="E17" s="7" t="s">
        <v>295</v>
      </c>
      <c r="F17" s="12">
        <v>0</v>
      </c>
      <c r="G17" s="9" t="s">
        <v>295</v>
      </c>
      <c r="H17" s="9" t="s">
        <v>45</v>
      </c>
      <c r="I17" s="8">
        <v>0</v>
      </c>
      <c r="J17" s="8">
        <v>0</v>
      </c>
      <c r="K17" s="16" t="s">
        <v>295</v>
      </c>
      <c r="L17" s="10">
        <v>0</v>
      </c>
      <c r="M17" s="84">
        <v>0.05</v>
      </c>
      <c r="N17" s="234" t="s">
        <v>295</v>
      </c>
      <c r="O17" s="235">
        <v>0</v>
      </c>
      <c r="P17" s="236" t="s">
        <v>295</v>
      </c>
      <c r="Q17" s="236" t="s">
        <v>45</v>
      </c>
      <c r="R17" s="235">
        <v>0</v>
      </c>
      <c r="S17" s="235">
        <v>0</v>
      </c>
      <c r="T17" s="20" t="s">
        <v>295</v>
      </c>
      <c r="U17" s="237">
        <v>0</v>
      </c>
      <c r="V17" s="11">
        <v>-7.0000000000000007E-2</v>
      </c>
    </row>
    <row r="18" spans="2:22" x14ac:dyDescent="0.25">
      <c r="B18" s="232">
        <v>14</v>
      </c>
      <c r="C18" s="238"/>
      <c r="D18" s="239" t="s">
        <v>28</v>
      </c>
      <c r="E18" s="7" t="s">
        <v>295</v>
      </c>
      <c r="F18" s="12">
        <v>0</v>
      </c>
      <c r="G18" s="9" t="s">
        <v>298</v>
      </c>
      <c r="H18" s="9" t="s">
        <v>78</v>
      </c>
      <c r="I18" s="8">
        <v>0</v>
      </c>
      <c r="J18" s="8">
        <v>0</v>
      </c>
      <c r="K18" s="16" t="s">
        <v>298</v>
      </c>
      <c r="L18" s="10">
        <v>0</v>
      </c>
      <c r="M18" s="84">
        <v>0.05</v>
      </c>
      <c r="N18" s="234" t="s">
        <v>295</v>
      </c>
      <c r="O18" s="235">
        <v>0</v>
      </c>
      <c r="P18" s="236" t="s">
        <v>298</v>
      </c>
      <c r="Q18" s="236" t="s">
        <v>13</v>
      </c>
      <c r="R18" s="235">
        <v>0</v>
      </c>
      <c r="S18" s="235">
        <v>0</v>
      </c>
      <c r="T18" s="20" t="s">
        <v>298</v>
      </c>
      <c r="U18" s="237">
        <v>0</v>
      </c>
      <c r="V18" s="11">
        <v>-7.0000000000000007E-2</v>
      </c>
    </row>
    <row r="19" spans="2:22" x14ac:dyDescent="0.25">
      <c r="B19" s="232">
        <v>15</v>
      </c>
      <c r="C19" s="232"/>
      <c r="D19" s="239" t="s">
        <v>29</v>
      </c>
      <c r="E19" s="7" t="s">
        <v>295</v>
      </c>
      <c r="F19" s="12">
        <v>0</v>
      </c>
      <c r="G19" s="9" t="s">
        <v>295</v>
      </c>
      <c r="H19" s="9" t="s">
        <v>13</v>
      </c>
      <c r="I19" s="8">
        <v>0</v>
      </c>
      <c r="J19" s="8">
        <v>0</v>
      </c>
      <c r="K19" s="16" t="s">
        <v>295</v>
      </c>
      <c r="L19" s="10">
        <v>0</v>
      </c>
      <c r="M19" s="84">
        <v>0.05</v>
      </c>
      <c r="N19" s="234" t="s">
        <v>295</v>
      </c>
      <c r="O19" s="235">
        <v>0</v>
      </c>
      <c r="P19" s="236" t="s">
        <v>295</v>
      </c>
      <c r="Q19" s="236" t="s">
        <v>301</v>
      </c>
      <c r="R19" s="235">
        <v>0</v>
      </c>
      <c r="S19" s="235">
        <v>0</v>
      </c>
      <c r="T19" s="20" t="s">
        <v>295</v>
      </c>
      <c r="U19" s="237">
        <v>0</v>
      </c>
      <c r="V19" s="11">
        <v>-7.0000000000000007E-2</v>
      </c>
    </row>
    <row r="20" spans="2:22" x14ac:dyDescent="0.25">
      <c r="B20" s="232">
        <v>16</v>
      </c>
      <c r="C20" s="232"/>
      <c r="D20" s="239" t="s">
        <v>30</v>
      </c>
      <c r="E20" s="7">
        <v>0</v>
      </c>
      <c r="F20" s="12">
        <v>0</v>
      </c>
      <c r="G20" s="12">
        <v>0</v>
      </c>
      <c r="H20" s="12">
        <v>0</v>
      </c>
      <c r="I20" s="8">
        <v>0</v>
      </c>
      <c r="J20" s="8">
        <v>0</v>
      </c>
      <c r="K20" s="16" t="s">
        <v>300</v>
      </c>
      <c r="L20" s="10">
        <v>0</v>
      </c>
      <c r="M20" s="84">
        <v>0.05</v>
      </c>
      <c r="N20" s="234">
        <v>0</v>
      </c>
      <c r="O20" s="235">
        <v>0</v>
      </c>
      <c r="P20" s="220">
        <v>0</v>
      </c>
      <c r="Q20" s="220">
        <v>0</v>
      </c>
      <c r="R20" s="235">
        <v>0</v>
      </c>
      <c r="S20" s="235">
        <v>0</v>
      </c>
      <c r="T20" s="20" t="s">
        <v>300</v>
      </c>
      <c r="U20" s="237">
        <v>0</v>
      </c>
      <c r="V20" s="11">
        <v>-7.0000000000000007E-2</v>
      </c>
    </row>
    <row r="21" spans="2:22" x14ac:dyDescent="0.25">
      <c r="B21" s="232">
        <v>17</v>
      </c>
      <c r="C21" s="238"/>
      <c r="D21" s="239" t="s">
        <v>31</v>
      </c>
      <c r="E21" s="7" t="s">
        <v>295</v>
      </c>
      <c r="F21" s="12">
        <v>0</v>
      </c>
      <c r="G21" s="16" t="s">
        <v>295</v>
      </c>
      <c r="H21" s="16" t="s">
        <v>13</v>
      </c>
      <c r="I21" s="8">
        <v>0</v>
      </c>
      <c r="J21" s="8">
        <v>0</v>
      </c>
      <c r="K21" s="16" t="s">
        <v>295</v>
      </c>
      <c r="L21" s="10">
        <v>0</v>
      </c>
      <c r="M21" s="84">
        <v>0.05</v>
      </c>
      <c r="N21" s="234" t="s">
        <v>295</v>
      </c>
      <c r="O21" s="235">
        <v>0</v>
      </c>
      <c r="P21" s="20" t="s">
        <v>295</v>
      </c>
      <c r="Q21" s="20" t="s">
        <v>301</v>
      </c>
      <c r="R21" s="235">
        <v>0</v>
      </c>
      <c r="S21" s="235">
        <v>0</v>
      </c>
      <c r="T21" s="20" t="s">
        <v>295</v>
      </c>
      <c r="U21" s="237">
        <v>0</v>
      </c>
      <c r="V21" s="11">
        <v>-7.0000000000000007E-2</v>
      </c>
    </row>
    <row r="22" spans="2:22" x14ac:dyDescent="0.25">
      <c r="B22" s="232">
        <v>18</v>
      </c>
      <c r="C22" s="238"/>
      <c r="D22" s="239" t="s">
        <v>32</v>
      </c>
      <c r="E22" s="17" t="s">
        <v>297</v>
      </c>
      <c r="F22" s="16" t="s">
        <v>295</v>
      </c>
      <c r="G22" s="16" t="s">
        <v>299</v>
      </c>
      <c r="H22" s="16" t="s">
        <v>12</v>
      </c>
      <c r="I22" s="8">
        <v>0</v>
      </c>
      <c r="J22" s="8">
        <v>0</v>
      </c>
      <c r="K22" s="16" t="s">
        <v>302</v>
      </c>
      <c r="L22" s="10">
        <v>0</v>
      </c>
      <c r="M22" s="84">
        <v>0.3</v>
      </c>
      <c r="N22" s="240" t="s">
        <v>297</v>
      </c>
      <c r="O22" s="20" t="s">
        <v>295</v>
      </c>
      <c r="P22" s="20" t="s">
        <v>299</v>
      </c>
      <c r="Q22" s="20" t="s">
        <v>12</v>
      </c>
      <c r="R22" s="235">
        <v>0</v>
      </c>
      <c r="S22" s="235">
        <v>0</v>
      </c>
      <c r="T22" s="20" t="s">
        <v>302</v>
      </c>
      <c r="U22" s="237">
        <v>0</v>
      </c>
      <c r="V22" s="11">
        <v>-0.5</v>
      </c>
    </row>
    <row r="23" spans="2:22" x14ac:dyDescent="0.25">
      <c r="B23" s="232">
        <v>19</v>
      </c>
      <c r="C23" s="238"/>
      <c r="D23" s="239" t="s">
        <v>33</v>
      </c>
      <c r="E23" s="17" t="s">
        <v>295</v>
      </c>
      <c r="F23" s="16" t="s">
        <v>295</v>
      </c>
      <c r="G23" s="16" t="s">
        <v>295</v>
      </c>
      <c r="H23" s="16" t="s">
        <v>78</v>
      </c>
      <c r="I23" s="8">
        <v>0</v>
      </c>
      <c r="J23" s="8">
        <v>0</v>
      </c>
      <c r="K23" s="16" t="s">
        <v>295</v>
      </c>
      <c r="L23" s="10">
        <v>0</v>
      </c>
      <c r="M23" s="84">
        <v>1</v>
      </c>
      <c r="N23" s="240" t="s">
        <v>295</v>
      </c>
      <c r="O23" s="20" t="s">
        <v>295</v>
      </c>
      <c r="P23" s="20" t="s">
        <v>295</v>
      </c>
      <c r="Q23" s="20" t="s">
        <v>13</v>
      </c>
      <c r="R23" s="235">
        <v>0</v>
      </c>
      <c r="S23" s="235">
        <v>0</v>
      </c>
      <c r="T23" s="20" t="s">
        <v>295</v>
      </c>
      <c r="U23" s="237">
        <v>0</v>
      </c>
      <c r="V23" s="11">
        <v>-1</v>
      </c>
    </row>
    <row r="24" spans="2:22" x14ac:dyDescent="0.25">
      <c r="B24" s="232">
        <v>20</v>
      </c>
      <c r="C24" s="238"/>
      <c r="D24" s="239" t="s">
        <v>34</v>
      </c>
      <c r="E24" s="17" t="s">
        <v>295</v>
      </c>
      <c r="F24" s="12">
        <v>0</v>
      </c>
      <c r="G24" s="16" t="s">
        <v>295</v>
      </c>
      <c r="H24" s="16" t="s">
        <v>78</v>
      </c>
      <c r="I24" s="8">
        <v>0</v>
      </c>
      <c r="J24" s="8">
        <v>0</v>
      </c>
      <c r="K24" s="16" t="s">
        <v>300</v>
      </c>
      <c r="L24" s="10">
        <v>0</v>
      </c>
      <c r="M24" s="84">
        <v>0.05</v>
      </c>
      <c r="N24" s="240" t="s">
        <v>295</v>
      </c>
      <c r="O24" s="220">
        <v>0</v>
      </c>
      <c r="P24" s="20" t="s">
        <v>295</v>
      </c>
      <c r="Q24" s="20" t="s">
        <v>13</v>
      </c>
      <c r="R24" s="235">
        <v>0</v>
      </c>
      <c r="S24" s="235">
        <v>0</v>
      </c>
      <c r="T24" s="20" t="s">
        <v>300</v>
      </c>
      <c r="U24" s="237">
        <v>0</v>
      </c>
      <c r="V24" s="11">
        <v>-7.0000000000000007E-2</v>
      </c>
    </row>
    <row r="25" spans="2:22" x14ac:dyDescent="0.25">
      <c r="B25" s="232">
        <v>21</v>
      </c>
      <c r="C25" s="238"/>
      <c r="D25" s="239" t="s">
        <v>35</v>
      </c>
      <c r="E25" s="15">
        <v>0</v>
      </c>
      <c r="F25" s="12">
        <v>0</v>
      </c>
      <c r="G25" s="12">
        <v>0</v>
      </c>
      <c r="H25" s="12">
        <v>0</v>
      </c>
      <c r="I25" s="8">
        <v>0</v>
      </c>
      <c r="J25" s="8">
        <v>0</v>
      </c>
      <c r="K25" s="12">
        <v>0</v>
      </c>
      <c r="L25" s="10">
        <v>0</v>
      </c>
      <c r="M25" s="84">
        <v>1</v>
      </c>
      <c r="N25" s="241">
        <v>0</v>
      </c>
      <c r="O25" s="220">
        <v>0</v>
      </c>
      <c r="P25" s="220">
        <v>0</v>
      </c>
      <c r="Q25" s="220">
        <v>0</v>
      </c>
      <c r="R25" s="235">
        <v>0</v>
      </c>
      <c r="S25" s="235">
        <v>0</v>
      </c>
      <c r="T25" s="220">
        <v>0</v>
      </c>
      <c r="U25" s="237">
        <v>0</v>
      </c>
      <c r="V25" s="11">
        <v>-1</v>
      </c>
    </row>
    <row r="26" spans="2:22" x14ac:dyDescent="0.25">
      <c r="B26" s="232">
        <v>22</v>
      </c>
      <c r="C26" s="238"/>
      <c r="D26" s="239" t="s">
        <v>36</v>
      </c>
      <c r="E26" s="17" t="s">
        <v>295</v>
      </c>
      <c r="F26" s="12">
        <v>0</v>
      </c>
      <c r="G26" s="16" t="s">
        <v>295</v>
      </c>
      <c r="H26" s="16" t="s">
        <v>78</v>
      </c>
      <c r="I26" s="16" t="s">
        <v>297</v>
      </c>
      <c r="J26" s="8">
        <v>0</v>
      </c>
      <c r="K26" s="16" t="s">
        <v>297</v>
      </c>
      <c r="L26" s="18" t="s">
        <v>295</v>
      </c>
      <c r="M26" s="84">
        <v>0.3</v>
      </c>
      <c r="N26" s="240" t="s">
        <v>295</v>
      </c>
      <c r="O26" s="220">
        <v>0</v>
      </c>
      <c r="P26" s="20" t="s">
        <v>295</v>
      </c>
      <c r="Q26" s="20" t="s">
        <v>13</v>
      </c>
      <c r="R26" s="20" t="s">
        <v>297</v>
      </c>
      <c r="S26" s="235">
        <v>0</v>
      </c>
      <c r="T26" s="20" t="s">
        <v>297</v>
      </c>
      <c r="U26" s="242" t="s">
        <v>295</v>
      </c>
      <c r="V26" s="11">
        <v>-0.5</v>
      </c>
    </row>
    <row r="27" spans="2:22" x14ac:dyDescent="0.25">
      <c r="B27" s="232">
        <v>23</v>
      </c>
      <c r="C27" s="238"/>
      <c r="D27" s="239" t="s">
        <v>37</v>
      </c>
      <c r="E27" s="17" t="s">
        <v>300</v>
      </c>
      <c r="F27" s="12">
        <v>0</v>
      </c>
      <c r="G27" s="16" t="s">
        <v>298</v>
      </c>
      <c r="H27" s="16" t="s">
        <v>45</v>
      </c>
      <c r="I27" s="16" t="s">
        <v>297</v>
      </c>
      <c r="J27" s="8">
        <v>0</v>
      </c>
      <c r="K27" s="16" t="s">
        <v>300</v>
      </c>
      <c r="L27" s="18" t="s">
        <v>295</v>
      </c>
      <c r="M27" s="84">
        <v>0.3</v>
      </c>
      <c r="N27" s="240" t="s">
        <v>300</v>
      </c>
      <c r="O27" s="220">
        <v>0</v>
      </c>
      <c r="P27" s="20" t="s">
        <v>298</v>
      </c>
      <c r="Q27" s="20" t="s">
        <v>45</v>
      </c>
      <c r="R27" s="20" t="s">
        <v>297</v>
      </c>
      <c r="S27" s="235">
        <v>0</v>
      </c>
      <c r="T27" s="20" t="s">
        <v>300</v>
      </c>
      <c r="U27" s="242" t="s">
        <v>295</v>
      </c>
      <c r="V27" s="11">
        <v>-0.5</v>
      </c>
    </row>
    <row r="28" spans="2:22" x14ac:dyDescent="0.25">
      <c r="B28" s="232">
        <v>24</v>
      </c>
      <c r="C28" s="238"/>
      <c r="D28" s="239" t="s">
        <v>38</v>
      </c>
      <c r="E28" s="15">
        <v>0</v>
      </c>
      <c r="F28" s="12">
        <v>0</v>
      </c>
      <c r="G28" s="12">
        <v>0</v>
      </c>
      <c r="H28" s="16" t="s">
        <v>45</v>
      </c>
      <c r="I28" s="12">
        <v>0</v>
      </c>
      <c r="J28" s="8">
        <v>0</v>
      </c>
      <c r="K28" s="16" t="s">
        <v>300</v>
      </c>
      <c r="L28" s="13">
        <v>0</v>
      </c>
      <c r="M28" s="84">
        <v>0.1</v>
      </c>
      <c r="N28" s="241">
        <v>0</v>
      </c>
      <c r="O28" s="220">
        <v>0</v>
      </c>
      <c r="P28" s="220"/>
      <c r="Q28" s="20" t="s">
        <v>45</v>
      </c>
      <c r="R28" s="220">
        <v>0</v>
      </c>
      <c r="S28" s="235">
        <v>0</v>
      </c>
      <c r="T28" s="20" t="s">
        <v>300</v>
      </c>
      <c r="U28" s="110">
        <v>0</v>
      </c>
      <c r="V28" s="11">
        <v>-0.5</v>
      </c>
    </row>
    <row r="29" spans="2:22" x14ac:dyDescent="0.25">
      <c r="B29" s="232">
        <v>25</v>
      </c>
      <c r="C29" s="238"/>
      <c r="D29" s="239" t="s">
        <v>39</v>
      </c>
      <c r="E29" s="17" t="s">
        <v>298</v>
      </c>
      <c r="F29" s="12">
        <v>0</v>
      </c>
      <c r="G29" s="16" t="s">
        <v>297</v>
      </c>
      <c r="H29" s="16" t="s">
        <v>78</v>
      </c>
      <c r="I29" s="12">
        <v>0</v>
      </c>
      <c r="J29" s="8">
        <v>0</v>
      </c>
      <c r="K29" s="16" t="s">
        <v>295</v>
      </c>
      <c r="L29" s="13">
        <v>0</v>
      </c>
      <c r="M29" s="84">
        <v>0.5</v>
      </c>
      <c r="N29" s="240" t="s">
        <v>298</v>
      </c>
      <c r="O29" s="220">
        <v>0</v>
      </c>
      <c r="P29" s="20" t="s">
        <v>297</v>
      </c>
      <c r="Q29" s="20" t="s">
        <v>13</v>
      </c>
      <c r="R29" s="220">
        <v>0</v>
      </c>
      <c r="S29" s="235">
        <v>0</v>
      </c>
      <c r="T29" s="20" t="s">
        <v>295</v>
      </c>
      <c r="U29" s="110">
        <v>0</v>
      </c>
      <c r="V29" s="11">
        <v>-0.5</v>
      </c>
    </row>
    <row r="30" spans="2:22" x14ac:dyDescent="0.25">
      <c r="B30" s="232">
        <v>26</v>
      </c>
      <c r="C30" s="238"/>
      <c r="D30" s="239" t="s">
        <v>40</v>
      </c>
      <c r="E30" s="15">
        <v>0</v>
      </c>
      <c r="F30" s="12">
        <v>0</v>
      </c>
      <c r="G30" s="12">
        <v>0</v>
      </c>
      <c r="H30" s="16" t="s">
        <v>45</v>
      </c>
      <c r="I30" s="16" t="s">
        <v>295</v>
      </c>
      <c r="J30" s="8">
        <v>0</v>
      </c>
      <c r="K30" s="16" t="s">
        <v>295</v>
      </c>
      <c r="L30" s="18" t="s">
        <v>295</v>
      </c>
      <c r="M30" s="84">
        <v>0.5</v>
      </c>
      <c r="N30" s="241">
        <v>0</v>
      </c>
      <c r="O30" s="220">
        <v>0</v>
      </c>
      <c r="P30" s="220"/>
      <c r="Q30" s="20" t="s">
        <v>45</v>
      </c>
      <c r="R30" s="20" t="s">
        <v>295</v>
      </c>
      <c r="S30" s="235">
        <v>0</v>
      </c>
      <c r="T30" s="20" t="s">
        <v>295</v>
      </c>
      <c r="U30" s="242" t="s">
        <v>295</v>
      </c>
      <c r="V30" s="11">
        <v>-0.5</v>
      </c>
    </row>
    <row r="31" spans="2:22" x14ac:dyDescent="0.25">
      <c r="B31" s="232">
        <v>27</v>
      </c>
      <c r="C31" s="238"/>
      <c r="D31" s="239" t="s">
        <v>41</v>
      </c>
      <c r="E31" s="17" t="s">
        <v>295</v>
      </c>
      <c r="F31" s="12">
        <v>0</v>
      </c>
      <c r="G31" s="16" t="s">
        <v>298</v>
      </c>
      <c r="H31" s="16" t="s">
        <v>19</v>
      </c>
      <c r="I31" s="16" t="s">
        <v>298</v>
      </c>
      <c r="J31" s="16" t="s">
        <v>299</v>
      </c>
      <c r="K31" s="16" t="s">
        <v>299</v>
      </c>
      <c r="L31" s="13">
        <v>0</v>
      </c>
      <c r="M31" s="84">
        <v>1</v>
      </c>
      <c r="N31" s="240" t="s">
        <v>295</v>
      </c>
      <c r="O31" s="220">
        <v>0</v>
      </c>
      <c r="P31" s="20" t="s">
        <v>298</v>
      </c>
      <c r="Q31" s="20" t="s">
        <v>19</v>
      </c>
      <c r="R31" s="20" t="s">
        <v>298</v>
      </c>
      <c r="S31" s="20" t="s">
        <v>299</v>
      </c>
      <c r="T31" s="20" t="s">
        <v>299</v>
      </c>
      <c r="U31" s="110">
        <v>0</v>
      </c>
      <c r="V31" s="11">
        <v>-1</v>
      </c>
    </row>
    <row r="32" spans="2:22" x14ac:dyDescent="0.25">
      <c r="B32" s="232">
        <v>28</v>
      </c>
      <c r="C32" s="238"/>
      <c r="D32" s="239" t="s">
        <v>42</v>
      </c>
      <c r="E32" s="15">
        <v>0</v>
      </c>
      <c r="F32" s="12">
        <v>0</v>
      </c>
      <c r="G32" s="16" t="s">
        <v>298</v>
      </c>
      <c r="H32" s="16" t="s">
        <v>12</v>
      </c>
      <c r="I32" s="16" t="s">
        <v>295</v>
      </c>
      <c r="J32" s="16" t="s">
        <v>295</v>
      </c>
      <c r="K32" s="16" t="s">
        <v>298</v>
      </c>
      <c r="L32" s="13">
        <v>0</v>
      </c>
      <c r="M32" s="84">
        <v>0.05</v>
      </c>
      <c r="N32" s="241">
        <v>0</v>
      </c>
      <c r="O32" s="220">
        <v>0</v>
      </c>
      <c r="P32" s="20" t="s">
        <v>298</v>
      </c>
      <c r="Q32" s="20" t="s">
        <v>12</v>
      </c>
      <c r="R32" s="20" t="s">
        <v>295</v>
      </c>
      <c r="S32" s="20" t="s">
        <v>295</v>
      </c>
      <c r="T32" s="20" t="s">
        <v>298</v>
      </c>
      <c r="U32" s="110">
        <v>0</v>
      </c>
      <c r="V32" s="11">
        <v>-7.0000000000000007E-2</v>
      </c>
    </row>
    <row r="33" spans="2:22" x14ac:dyDescent="0.25">
      <c r="B33" s="232">
        <v>29</v>
      </c>
      <c r="C33" s="238"/>
      <c r="D33" s="239" t="s">
        <v>43</v>
      </c>
      <c r="E33" s="17" t="s">
        <v>295</v>
      </c>
      <c r="F33" s="12">
        <v>0</v>
      </c>
      <c r="G33" s="16" t="s">
        <v>300</v>
      </c>
      <c r="H33" s="16" t="s">
        <v>78</v>
      </c>
      <c r="I33" s="12">
        <v>0</v>
      </c>
      <c r="J33" s="12">
        <v>0</v>
      </c>
      <c r="K33" s="16" t="s">
        <v>297</v>
      </c>
      <c r="L33" s="13">
        <v>0</v>
      </c>
      <c r="M33" s="84">
        <v>0.05</v>
      </c>
      <c r="N33" s="240" t="s">
        <v>295</v>
      </c>
      <c r="O33" s="220">
        <v>0</v>
      </c>
      <c r="P33" s="20" t="s">
        <v>300</v>
      </c>
      <c r="Q33" s="20" t="s">
        <v>13</v>
      </c>
      <c r="R33" s="220">
        <v>0</v>
      </c>
      <c r="S33" s="220">
        <v>0</v>
      </c>
      <c r="T33" s="20" t="s">
        <v>297</v>
      </c>
      <c r="U33" s="110">
        <v>0</v>
      </c>
      <c r="V33" s="11">
        <v>-7.0000000000000007E-2</v>
      </c>
    </row>
    <row r="34" spans="2:22" x14ac:dyDescent="0.25">
      <c r="B34" s="232">
        <v>30</v>
      </c>
      <c r="C34" s="238"/>
      <c r="D34" s="239" t="s">
        <v>44</v>
      </c>
      <c r="E34" s="17" t="s">
        <v>298</v>
      </c>
      <c r="F34" s="16" t="s">
        <v>297</v>
      </c>
      <c r="G34" s="16" t="s">
        <v>300</v>
      </c>
      <c r="H34" s="16" t="s">
        <v>45</v>
      </c>
      <c r="I34" s="16" t="s">
        <v>297</v>
      </c>
      <c r="J34" s="16" t="s">
        <v>299</v>
      </c>
      <c r="K34" s="16" t="s">
        <v>300</v>
      </c>
      <c r="L34" s="13">
        <v>0</v>
      </c>
      <c r="M34" s="84">
        <v>0.02</v>
      </c>
      <c r="N34" s="240" t="s">
        <v>298</v>
      </c>
      <c r="O34" s="20" t="s">
        <v>297</v>
      </c>
      <c r="P34" s="20" t="s">
        <v>300</v>
      </c>
      <c r="Q34" s="20" t="s">
        <v>45</v>
      </c>
      <c r="R34" s="20" t="s">
        <v>297</v>
      </c>
      <c r="S34" s="20" t="s">
        <v>299</v>
      </c>
      <c r="T34" s="20" t="s">
        <v>300</v>
      </c>
      <c r="U34" s="110">
        <v>0</v>
      </c>
      <c r="V34" s="11">
        <v>-0.02</v>
      </c>
    </row>
    <row r="35" spans="2:22" x14ac:dyDescent="0.25">
      <c r="B35" s="232">
        <v>31</v>
      </c>
      <c r="C35" s="238"/>
      <c r="D35" s="239" t="s">
        <v>46</v>
      </c>
      <c r="E35" s="17" t="s">
        <v>295</v>
      </c>
      <c r="F35" s="16" t="s">
        <v>295</v>
      </c>
      <c r="G35" s="16" t="s">
        <v>297</v>
      </c>
      <c r="H35" s="16" t="s">
        <v>12</v>
      </c>
      <c r="I35" s="16" t="s">
        <v>295</v>
      </c>
      <c r="J35" s="16" t="s">
        <v>297</v>
      </c>
      <c r="K35" s="16" t="s">
        <v>298</v>
      </c>
      <c r="L35" s="13">
        <v>0</v>
      </c>
      <c r="M35" s="84">
        <v>7.0000000000000007E-2</v>
      </c>
      <c r="N35" s="240" t="s">
        <v>295</v>
      </c>
      <c r="O35" s="20" t="s">
        <v>295</v>
      </c>
      <c r="P35" s="20" t="s">
        <v>297</v>
      </c>
      <c r="Q35" s="20" t="s">
        <v>12</v>
      </c>
      <c r="R35" s="20" t="s">
        <v>295</v>
      </c>
      <c r="S35" s="20" t="s">
        <v>297</v>
      </c>
      <c r="T35" s="20" t="s">
        <v>298</v>
      </c>
      <c r="U35" s="110">
        <v>0</v>
      </c>
      <c r="V35" s="11">
        <v>-7.0000000000000007E-2</v>
      </c>
    </row>
    <row r="36" spans="2:22" x14ac:dyDescent="0.25">
      <c r="B36" s="232">
        <v>32</v>
      </c>
      <c r="C36" s="238"/>
      <c r="D36" s="239" t="s">
        <v>47</v>
      </c>
      <c r="E36" s="17" t="s">
        <v>295</v>
      </c>
      <c r="F36" s="12">
        <v>0</v>
      </c>
      <c r="G36" s="16" t="s">
        <v>295</v>
      </c>
      <c r="H36" s="16" t="s">
        <v>78</v>
      </c>
      <c r="I36" s="16" t="s">
        <v>297</v>
      </c>
      <c r="J36" s="12">
        <v>0</v>
      </c>
      <c r="K36" s="16" t="s">
        <v>297</v>
      </c>
      <c r="L36" s="18" t="s">
        <v>295</v>
      </c>
      <c r="M36" s="84">
        <v>0.3</v>
      </c>
      <c r="N36" s="240" t="s">
        <v>295</v>
      </c>
      <c r="O36" s="220">
        <v>0</v>
      </c>
      <c r="P36" s="20" t="s">
        <v>295</v>
      </c>
      <c r="Q36" s="20" t="s">
        <v>13</v>
      </c>
      <c r="R36" s="20" t="s">
        <v>297</v>
      </c>
      <c r="S36" s="220">
        <v>0</v>
      </c>
      <c r="T36" s="20" t="s">
        <v>297</v>
      </c>
      <c r="U36" s="242" t="s">
        <v>295</v>
      </c>
      <c r="V36" s="11">
        <v>-0.5</v>
      </c>
    </row>
    <row r="37" spans="2:22" x14ac:dyDescent="0.25">
      <c r="B37" s="232">
        <v>33</v>
      </c>
      <c r="C37" s="238"/>
      <c r="D37" s="239" t="s">
        <v>48</v>
      </c>
      <c r="E37" s="17" t="s">
        <v>300</v>
      </c>
      <c r="F37" s="12">
        <v>0</v>
      </c>
      <c r="G37" s="16" t="s">
        <v>298</v>
      </c>
      <c r="H37" s="16" t="s">
        <v>45</v>
      </c>
      <c r="I37" s="16" t="s">
        <v>297</v>
      </c>
      <c r="J37" s="12">
        <v>0</v>
      </c>
      <c r="K37" s="16" t="s">
        <v>300</v>
      </c>
      <c r="L37" s="18" t="s">
        <v>295</v>
      </c>
      <c r="M37" s="84">
        <v>0.3</v>
      </c>
      <c r="N37" s="240" t="s">
        <v>300</v>
      </c>
      <c r="O37" s="220">
        <v>0</v>
      </c>
      <c r="P37" s="20" t="s">
        <v>298</v>
      </c>
      <c r="Q37" s="20" t="s">
        <v>45</v>
      </c>
      <c r="R37" s="20" t="s">
        <v>297</v>
      </c>
      <c r="S37" s="220">
        <v>0</v>
      </c>
      <c r="T37" s="20" t="s">
        <v>300</v>
      </c>
      <c r="U37" s="242" t="s">
        <v>295</v>
      </c>
      <c r="V37" s="11">
        <v>-0.5</v>
      </c>
    </row>
    <row r="38" spans="2:22" x14ac:dyDescent="0.25">
      <c r="B38" s="232">
        <v>34</v>
      </c>
      <c r="C38" s="238"/>
      <c r="D38" s="239" t="s">
        <v>49</v>
      </c>
      <c r="E38" s="15">
        <v>0</v>
      </c>
      <c r="F38" s="12">
        <v>0</v>
      </c>
      <c r="G38" s="12"/>
      <c r="H38" s="16" t="s">
        <v>45</v>
      </c>
      <c r="I38" s="16" t="s">
        <v>295</v>
      </c>
      <c r="J38" s="12">
        <v>0</v>
      </c>
      <c r="K38" s="16" t="s">
        <v>295</v>
      </c>
      <c r="L38" s="18" t="s">
        <v>295</v>
      </c>
      <c r="M38" s="84">
        <v>0.5</v>
      </c>
      <c r="N38" s="241">
        <v>0</v>
      </c>
      <c r="O38" s="220">
        <v>0</v>
      </c>
      <c r="P38" s="220">
        <v>0</v>
      </c>
      <c r="Q38" s="20" t="s">
        <v>45</v>
      </c>
      <c r="R38" s="20" t="s">
        <v>295</v>
      </c>
      <c r="S38" s="220">
        <v>0</v>
      </c>
      <c r="T38" s="20" t="s">
        <v>295</v>
      </c>
      <c r="U38" s="242" t="s">
        <v>295</v>
      </c>
      <c r="V38" s="11">
        <v>-0.5</v>
      </c>
    </row>
    <row r="39" spans="2:22" x14ac:dyDescent="0.25">
      <c r="B39" s="232">
        <v>35</v>
      </c>
      <c r="C39" s="238"/>
      <c r="D39" s="239" t="s">
        <v>50</v>
      </c>
      <c r="E39" s="15">
        <v>0</v>
      </c>
      <c r="F39" s="12">
        <v>0</v>
      </c>
      <c r="G39" s="12"/>
      <c r="H39" s="16" t="s">
        <v>295</v>
      </c>
      <c r="I39" s="16" t="s">
        <v>295</v>
      </c>
      <c r="J39" s="16" t="s">
        <v>297</v>
      </c>
      <c r="K39" s="16" t="s">
        <v>13</v>
      </c>
      <c r="L39" s="18" t="s">
        <v>295</v>
      </c>
      <c r="M39" s="84">
        <v>0.7</v>
      </c>
      <c r="N39" s="241">
        <v>0</v>
      </c>
      <c r="O39" s="220">
        <v>0</v>
      </c>
      <c r="P39" s="220">
        <v>0</v>
      </c>
      <c r="Q39" s="20" t="s">
        <v>13</v>
      </c>
      <c r="R39" s="20">
        <v>0</v>
      </c>
      <c r="S39" s="220">
        <v>0</v>
      </c>
      <c r="T39" s="20" t="s">
        <v>295</v>
      </c>
      <c r="U39" s="242">
        <v>0</v>
      </c>
      <c r="V39" s="11">
        <v>-0.7</v>
      </c>
    </row>
    <row r="40" spans="2:22" x14ac:dyDescent="0.25">
      <c r="B40" s="232">
        <v>36</v>
      </c>
      <c r="C40" s="238"/>
      <c r="D40" s="239" t="s">
        <v>51</v>
      </c>
      <c r="E40" s="15">
        <v>0</v>
      </c>
      <c r="F40" s="12">
        <v>0</v>
      </c>
      <c r="G40" s="16" t="s">
        <v>300</v>
      </c>
      <c r="H40" s="16" t="s">
        <v>78</v>
      </c>
      <c r="I40" s="12">
        <v>0</v>
      </c>
      <c r="J40" s="12">
        <v>0</v>
      </c>
      <c r="K40" s="16" t="s">
        <v>297</v>
      </c>
      <c r="L40" s="13">
        <v>0</v>
      </c>
      <c r="M40" s="84">
        <v>0.05</v>
      </c>
      <c r="N40" s="240" t="s">
        <v>295</v>
      </c>
      <c r="O40" s="220">
        <v>0</v>
      </c>
      <c r="P40" s="20" t="s">
        <v>300</v>
      </c>
      <c r="Q40" s="20" t="s">
        <v>13</v>
      </c>
      <c r="R40" s="20">
        <v>0</v>
      </c>
      <c r="S40" s="220">
        <v>0</v>
      </c>
      <c r="T40" s="20" t="s">
        <v>297</v>
      </c>
      <c r="U40" s="242">
        <v>0</v>
      </c>
      <c r="V40" s="11">
        <v>-7.0000000000000007E-2</v>
      </c>
    </row>
    <row r="41" spans="2:22" x14ac:dyDescent="0.25">
      <c r="B41" s="232">
        <v>37</v>
      </c>
      <c r="C41" s="238"/>
      <c r="D41" s="239" t="s">
        <v>52</v>
      </c>
      <c r="E41" s="7" t="s">
        <v>295</v>
      </c>
      <c r="F41" s="12">
        <v>0</v>
      </c>
      <c r="G41" s="9" t="s">
        <v>297</v>
      </c>
      <c r="H41" s="9" t="s">
        <v>78</v>
      </c>
      <c r="I41" s="12">
        <v>0</v>
      </c>
      <c r="J41" s="12">
        <v>0</v>
      </c>
      <c r="K41" s="9" t="s">
        <v>298</v>
      </c>
      <c r="L41" s="13">
        <v>0</v>
      </c>
      <c r="M41" s="84">
        <v>0.05</v>
      </c>
      <c r="N41" s="234" t="s">
        <v>295</v>
      </c>
      <c r="O41" s="220">
        <v>0</v>
      </c>
      <c r="P41" s="236" t="s">
        <v>297</v>
      </c>
      <c r="Q41" s="236" t="s">
        <v>13</v>
      </c>
      <c r="R41" s="20">
        <v>0</v>
      </c>
      <c r="S41" s="220">
        <v>0</v>
      </c>
      <c r="T41" s="236" t="s">
        <v>298</v>
      </c>
      <c r="U41" s="242">
        <v>0</v>
      </c>
      <c r="V41" s="11">
        <v>-7.0000000000000007E-2</v>
      </c>
    </row>
    <row r="42" spans="2:22" x14ac:dyDescent="0.25">
      <c r="B42" s="232">
        <v>38</v>
      </c>
      <c r="C42" s="238"/>
      <c r="D42" s="239" t="s">
        <v>53</v>
      </c>
      <c r="E42" s="7" t="s">
        <v>295</v>
      </c>
      <c r="F42" s="12">
        <v>0</v>
      </c>
      <c r="G42" s="9" t="s">
        <v>297</v>
      </c>
      <c r="H42" s="9" t="s">
        <v>78</v>
      </c>
      <c r="I42" s="12">
        <v>0</v>
      </c>
      <c r="J42" s="12">
        <v>0</v>
      </c>
      <c r="K42" s="9" t="s">
        <v>298</v>
      </c>
      <c r="L42" s="13">
        <v>0</v>
      </c>
      <c r="M42" s="84">
        <v>0.05</v>
      </c>
      <c r="N42" s="234" t="s">
        <v>295</v>
      </c>
      <c r="O42" s="220">
        <v>0</v>
      </c>
      <c r="P42" s="236" t="s">
        <v>297</v>
      </c>
      <c r="Q42" s="236" t="s">
        <v>13</v>
      </c>
      <c r="R42" s="20">
        <v>0</v>
      </c>
      <c r="S42" s="220">
        <v>0</v>
      </c>
      <c r="T42" s="236" t="s">
        <v>298</v>
      </c>
      <c r="U42" s="242">
        <v>0</v>
      </c>
      <c r="V42" s="11">
        <v>-7.0000000000000007E-2</v>
      </c>
    </row>
    <row r="43" spans="2:22" x14ac:dyDescent="0.25">
      <c r="B43" s="232">
        <v>39</v>
      </c>
      <c r="C43" s="238"/>
      <c r="D43" s="239" t="s">
        <v>54</v>
      </c>
      <c r="E43" s="7" t="s">
        <v>295</v>
      </c>
      <c r="F43" s="12">
        <v>0</v>
      </c>
      <c r="G43" s="9" t="s">
        <v>297</v>
      </c>
      <c r="H43" s="9" t="s">
        <v>78</v>
      </c>
      <c r="I43" s="12">
        <v>0</v>
      </c>
      <c r="J43" s="12">
        <v>0</v>
      </c>
      <c r="K43" s="9" t="s">
        <v>298</v>
      </c>
      <c r="L43" s="13">
        <v>0</v>
      </c>
      <c r="M43" s="84">
        <v>0.05</v>
      </c>
      <c r="N43" s="234" t="s">
        <v>295</v>
      </c>
      <c r="O43" s="220">
        <v>0</v>
      </c>
      <c r="P43" s="236" t="s">
        <v>297</v>
      </c>
      <c r="Q43" s="236" t="s">
        <v>13</v>
      </c>
      <c r="R43" s="20">
        <v>0</v>
      </c>
      <c r="S43" s="220">
        <v>0</v>
      </c>
      <c r="T43" s="236" t="s">
        <v>298</v>
      </c>
      <c r="U43" s="242">
        <v>0</v>
      </c>
      <c r="V43" s="11">
        <v>-7.0000000000000007E-2</v>
      </c>
    </row>
    <row r="44" spans="2:22" x14ac:dyDescent="0.25">
      <c r="B44" s="232">
        <v>40</v>
      </c>
      <c r="C44" s="238"/>
      <c r="D44" s="239" t="s">
        <v>55</v>
      </c>
      <c r="E44" s="7" t="s">
        <v>295</v>
      </c>
      <c r="F44" s="12">
        <v>0</v>
      </c>
      <c r="G44" s="9" t="s">
        <v>295</v>
      </c>
      <c r="H44" s="9" t="s">
        <v>13</v>
      </c>
      <c r="I44" s="12">
        <v>0</v>
      </c>
      <c r="J44" s="12">
        <v>0</v>
      </c>
      <c r="K44" s="16" t="s">
        <v>295</v>
      </c>
      <c r="L44" s="13">
        <v>0</v>
      </c>
      <c r="M44" s="84">
        <v>0.05</v>
      </c>
      <c r="N44" s="234" t="s">
        <v>295</v>
      </c>
      <c r="O44" s="220">
        <v>0</v>
      </c>
      <c r="P44" s="236" t="s">
        <v>295</v>
      </c>
      <c r="Q44" s="236" t="s">
        <v>301</v>
      </c>
      <c r="R44" s="20">
        <v>0</v>
      </c>
      <c r="S44" s="220">
        <v>0</v>
      </c>
      <c r="T44" s="20" t="s">
        <v>295</v>
      </c>
      <c r="U44" s="242">
        <v>0</v>
      </c>
      <c r="V44" s="11">
        <v>-7.0000000000000007E-2</v>
      </c>
    </row>
    <row r="45" spans="2:22" x14ac:dyDescent="0.25">
      <c r="B45" s="232">
        <v>41</v>
      </c>
      <c r="C45" s="238"/>
      <c r="D45" s="239" t="s">
        <v>56</v>
      </c>
      <c r="E45" s="7" t="s">
        <v>295</v>
      </c>
      <c r="F45" s="12">
        <v>0</v>
      </c>
      <c r="G45" s="9" t="s">
        <v>295</v>
      </c>
      <c r="H45" s="9" t="s">
        <v>13</v>
      </c>
      <c r="I45" s="12">
        <v>0</v>
      </c>
      <c r="J45" s="12">
        <v>0</v>
      </c>
      <c r="K45" s="16" t="s">
        <v>295</v>
      </c>
      <c r="L45" s="13">
        <v>0</v>
      </c>
      <c r="M45" s="84">
        <v>0.05</v>
      </c>
      <c r="N45" s="234" t="s">
        <v>295</v>
      </c>
      <c r="O45" s="220">
        <v>0</v>
      </c>
      <c r="P45" s="236" t="s">
        <v>295</v>
      </c>
      <c r="Q45" s="236" t="s">
        <v>301</v>
      </c>
      <c r="R45" s="20">
        <v>0</v>
      </c>
      <c r="S45" s="220">
        <v>0</v>
      </c>
      <c r="T45" s="20" t="s">
        <v>295</v>
      </c>
      <c r="U45" s="242">
        <v>0</v>
      </c>
      <c r="V45" s="11">
        <v>-7.0000000000000007E-2</v>
      </c>
    </row>
    <row r="46" spans="2:22" x14ac:dyDescent="0.25">
      <c r="B46" s="232">
        <v>42</v>
      </c>
      <c r="C46" s="238"/>
      <c r="D46" s="239" t="s">
        <v>57</v>
      </c>
      <c r="E46" s="7" t="s">
        <v>295</v>
      </c>
      <c r="F46" s="12">
        <v>0</v>
      </c>
      <c r="G46" s="9" t="s">
        <v>295</v>
      </c>
      <c r="H46" s="9" t="s">
        <v>13</v>
      </c>
      <c r="I46" s="12">
        <v>0</v>
      </c>
      <c r="J46" s="12">
        <v>0</v>
      </c>
      <c r="K46" s="16" t="s">
        <v>295</v>
      </c>
      <c r="L46" s="13">
        <v>0</v>
      </c>
      <c r="M46" s="84">
        <v>0.05</v>
      </c>
      <c r="N46" s="234" t="s">
        <v>295</v>
      </c>
      <c r="O46" s="220">
        <v>0</v>
      </c>
      <c r="P46" s="236" t="s">
        <v>295</v>
      </c>
      <c r="Q46" s="236" t="s">
        <v>301</v>
      </c>
      <c r="R46" s="20">
        <v>0</v>
      </c>
      <c r="S46" s="220">
        <v>0</v>
      </c>
      <c r="T46" s="20" t="s">
        <v>295</v>
      </c>
      <c r="U46" s="242">
        <v>0</v>
      </c>
      <c r="V46" s="11">
        <v>-7.0000000000000007E-2</v>
      </c>
    </row>
    <row r="47" spans="2:22" x14ac:dyDescent="0.25">
      <c r="B47" s="232">
        <v>43</v>
      </c>
      <c r="C47" s="238"/>
      <c r="D47" s="239" t="s">
        <v>58</v>
      </c>
      <c r="E47" s="15">
        <v>0</v>
      </c>
      <c r="F47" s="12">
        <v>0</v>
      </c>
      <c r="G47" s="12"/>
      <c r="H47" s="16" t="s">
        <v>45</v>
      </c>
      <c r="I47" s="16" t="s">
        <v>295</v>
      </c>
      <c r="J47" s="16" t="s">
        <v>297</v>
      </c>
      <c r="K47" s="16" t="s">
        <v>12</v>
      </c>
      <c r="L47" s="18" t="s">
        <v>298</v>
      </c>
      <c r="M47" s="84">
        <v>1</v>
      </c>
      <c r="N47" s="241">
        <v>0</v>
      </c>
      <c r="O47" s="220">
        <v>0</v>
      </c>
      <c r="P47" s="220">
        <v>0</v>
      </c>
      <c r="Q47" s="20">
        <v>0</v>
      </c>
      <c r="R47" s="20">
        <v>0</v>
      </c>
      <c r="S47" s="220">
        <v>0</v>
      </c>
      <c r="T47" s="20" t="s">
        <v>297</v>
      </c>
      <c r="U47" s="242">
        <v>0</v>
      </c>
      <c r="V47" s="11">
        <v>-1</v>
      </c>
    </row>
    <row r="48" spans="2:22" x14ac:dyDescent="0.25">
      <c r="B48" s="232">
        <v>44</v>
      </c>
      <c r="C48" s="238"/>
      <c r="D48" s="239" t="s">
        <v>59</v>
      </c>
      <c r="E48" s="17" t="s">
        <v>295</v>
      </c>
      <c r="F48" s="16" t="s">
        <v>295</v>
      </c>
      <c r="G48" s="16" t="s">
        <v>297</v>
      </c>
      <c r="H48" s="16" t="s">
        <v>12</v>
      </c>
      <c r="I48" s="16" t="s">
        <v>295</v>
      </c>
      <c r="J48" s="16" t="s">
        <v>297</v>
      </c>
      <c r="K48" s="16" t="s">
        <v>298</v>
      </c>
      <c r="L48" s="13">
        <v>0</v>
      </c>
      <c r="M48" s="84">
        <v>0.7</v>
      </c>
      <c r="N48" s="240" t="s">
        <v>295</v>
      </c>
      <c r="O48" s="20" t="s">
        <v>295</v>
      </c>
      <c r="P48" s="20" t="s">
        <v>297</v>
      </c>
      <c r="Q48" s="20" t="s">
        <v>12</v>
      </c>
      <c r="R48" s="20" t="s">
        <v>295</v>
      </c>
      <c r="S48" s="20" t="s">
        <v>297</v>
      </c>
      <c r="T48" s="20" t="s">
        <v>298</v>
      </c>
      <c r="U48" s="242">
        <v>0</v>
      </c>
      <c r="V48" s="11">
        <v>-0.7</v>
      </c>
    </row>
    <row r="49" spans="2:22" x14ac:dyDescent="0.25">
      <c r="B49" s="232">
        <v>45</v>
      </c>
      <c r="C49" s="238"/>
      <c r="D49" s="239" t="s">
        <v>60</v>
      </c>
      <c r="E49" s="17" t="s">
        <v>295</v>
      </c>
      <c r="F49" s="16" t="s">
        <v>297</v>
      </c>
      <c r="G49" s="16" t="s">
        <v>298</v>
      </c>
      <c r="H49" s="16" t="s">
        <v>61</v>
      </c>
      <c r="I49" s="16" t="s">
        <v>295</v>
      </c>
      <c r="J49" s="16" t="s">
        <v>298</v>
      </c>
      <c r="K49" s="16" t="s">
        <v>300</v>
      </c>
      <c r="L49" s="18" t="s">
        <v>297</v>
      </c>
      <c r="M49" s="84">
        <v>0.05</v>
      </c>
      <c r="N49" s="240" t="s">
        <v>295</v>
      </c>
      <c r="O49" s="20" t="s">
        <v>297</v>
      </c>
      <c r="P49" s="20" t="s">
        <v>298</v>
      </c>
      <c r="Q49" s="20" t="s">
        <v>61</v>
      </c>
      <c r="R49" s="20" t="s">
        <v>295</v>
      </c>
      <c r="S49" s="20" t="s">
        <v>298</v>
      </c>
      <c r="T49" s="20" t="s">
        <v>300</v>
      </c>
      <c r="U49" s="242" t="s">
        <v>297</v>
      </c>
      <c r="V49" s="11">
        <v>-7.0000000000000007E-2</v>
      </c>
    </row>
    <row r="50" spans="2:22" x14ac:dyDescent="0.25">
      <c r="B50" s="232">
        <v>46</v>
      </c>
      <c r="C50" s="238"/>
      <c r="D50" s="239" t="s">
        <v>62</v>
      </c>
      <c r="E50" s="17" t="s">
        <v>295</v>
      </c>
      <c r="F50" s="16" t="s">
        <v>295</v>
      </c>
      <c r="G50" s="16" t="s">
        <v>295</v>
      </c>
      <c r="H50" s="16" t="s">
        <v>78</v>
      </c>
      <c r="I50" s="12">
        <v>0</v>
      </c>
      <c r="J50" s="12">
        <v>0</v>
      </c>
      <c r="K50" s="16" t="s">
        <v>295</v>
      </c>
      <c r="L50" s="13">
        <v>0</v>
      </c>
      <c r="M50" s="84">
        <v>1</v>
      </c>
      <c r="N50" s="240" t="s">
        <v>295</v>
      </c>
      <c r="O50" s="20" t="s">
        <v>295</v>
      </c>
      <c r="P50" s="20" t="s">
        <v>295</v>
      </c>
      <c r="Q50" s="20" t="s">
        <v>13</v>
      </c>
      <c r="R50" s="220">
        <v>0</v>
      </c>
      <c r="S50" s="220">
        <v>0</v>
      </c>
      <c r="T50" s="20" t="s">
        <v>295</v>
      </c>
      <c r="U50" s="110">
        <v>0</v>
      </c>
      <c r="V50" s="11">
        <v>-1</v>
      </c>
    </row>
    <row r="51" spans="2:22" x14ac:dyDescent="0.25">
      <c r="B51" s="232">
        <v>47</v>
      </c>
      <c r="C51" s="238"/>
      <c r="D51" s="239" t="s">
        <v>63</v>
      </c>
      <c r="E51" s="17" t="s">
        <v>295</v>
      </c>
      <c r="F51" s="16">
        <v>0</v>
      </c>
      <c r="G51" s="16" t="s">
        <v>298</v>
      </c>
      <c r="H51" s="16" t="s">
        <v>19</v>
      </c>
      <c r="I51" s="16" t="s">
        <v>298</v>
      </c>
      <c r="J51" s="16" t="s">
        <v>299</v>
      </c>
      <c r="K51" s="16" t="s">
        <v>299</v>
      </c>
      <c r="L51" s="13">
        <v>0</v>
      </c>
      <c r="M51" s="84">
        <v>0.5</v>
      </c>
      <c r="N51" s="240" t="s">
        <v>295</v>
      </c>
      <c r="O51" s="20">
        <v>0</v>
      </c>
      <c r="P51" s="20" t="s">
        <v>298</v>
      </c>
      <c r="Q51" s="20" t="s">
        <v>19</v>
      </c>
      <c r="R51" s="20" t="s">
        <v>298</v>
      </c>
      <c r="S51" s="20" t="s">
        <v>299</v>
      </c>
      <c r="T51" s="20" t="s">
        <v>299</v>
      </c>
      <c r="U51" s="110">
        <v>0</v>
      </c>
      <c r="V51" s="11">
        <v>-0.5</v>
      </c>
    </row>
    <row r="52" spans="2:22" x14ac:dyDescent="0.25">
      <c r="B52" s="232">
        <v>48</v>
      </c>
      <c r="C52" s="238"/>
      <c r="D52" s="239" t="s">
        <v>64</v>
      </c>
      <c r="E52" s="15"/>
      <c r="F52" s="16">
        <v>0</v>
      </c>
      <c r="G52" s="12">
        <v>0</v>
      </c>
      <c r="H52" s="16" t="s">
        <v>12</v>
      </c>
      <c r="I52" s="12">
        <v>0</v>
      </c>
      <c r="J52" s="16" t="s">
        <v>297</v>
      </c>
      <c r="K52" s="16" t="s">
        <v>297</v>
      </c>
      <c r="L52" s="18" t="s">
        <v>295</v>
      </c>
      <c r="M52" s="84">
        <v>1</v>
      </c>
      <c r="N52" s="241">
        <v>0</v>
      </c>
      <c r="O52" s="20">
        <v>0</v>
      </c>
      <c r="P52" s="220">
        <v>0</v>
      </c>
      <c r="Q52" s="20" t="s">
        <v>12</v>
      </c>
      <c r="R52" s="220">
        <v>0</v>
      </c>
      <c r="S52" s="20" t="s">
        <v>297</v>
      </c>
      <c r="T52" s="20" t="s">
        <v>297</v>
      </c>
      <c r="U52" s="242" t="s">
        <v>295</v>
      </c>
      <c r="V52" s="11">
        <v>-1</v>
      </c>
    </row>
    <row r="53" spans="2:22" x14ac:dyDescent="0.25">
      <c r="B53" s="232">
        <v>49</v>
      </c>
      <c r="C53" s="238"/>
      <c r="D53" s="239" t="s">
        <v>65</v>
      </c>
      <c r="E53" s="17" t="s">
        <v>298</v>
      </c>
      <c r="F53" s="16">
        <v>0</v>
      </c>
      <c r="G53" s="16" t="s">
        <v>297</v>
      </c>
      <c r="H53" s="16" t="s">
        <v>78</v>
      </c>
      <c r="I53" s="12">
        <v>0</v>
      </c>
      <c r="J53" s="12">
        <v>0</v>
      </c>
      <c r="K53" s="16" t="s">
        <v>295</v>
      </c>
      <c r="L53" s="13">
        <v>0</v>
      </c>
      <c r="M53" s="84">
        <v>0.5</v>
      </c>
      <c r="N53" s="240" t="s">
        <v>298</v>
      </c>
      <c r="O53" s="20">
        <v>0</v>
      </c>
      <c r="P53" s="20" t="s">
        <v>297</v>
      </c>
      <c r="Q53" s="20" t="s">
        <v>13</v>
      </c>
      <c r="R53" s="220">
        <v>0</v>
      </c>
      <c r="S53" s="220">
        <v>0</v>
      </c>
      <c r="T53" s="20" t="s">
        <v>295</v>
      </c>
      <c r="U53" s="110">
        <v>0</v>
      </c>
      <c r="V53" s="11">
        <v>-0.5</v>
      </c>
    </row>
    <row r="54" spans="2:22" x14ac:dyDescent="0.25">
      <c r="B54" s="232">
        <v>50</v>
      </c>
      <c r="C54" s="238"/>
      <c r="D54" s="239" t="s">
        <v>66</v>
      </c>
      <c r="E54" s="15">
        <v>0</v>
      </c>
      <c r="F54" s="16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3">
        <v>0</v>
      </c>
      <c r="M54" s="84">
        <v>0.1</v>
      </c>
      <c r="N54" s="241">
        <v>0</v>
      </c>
      <c r="O54" s="20">
        <v>0</v>
      </c>
      <c r="P54" s="220">
        <v>0</v>
      </c>
      <c r="Q54" s="220">
        <v>0</v>
      </c>
      <c r="R54" s="220">
        <v>0</v>
      </c>
      <c r="S54" s="220">
        <v>0</v>
      </c>
      <c r="T54" s="220">
        <v>0</v>
      </c>
      <c r="U54" s="110">
        <v>0</v>
      </c>
      <c r="V54" s="11">
        <v>-0.5</v>
      </c>
    </row>
    <row r="55" spans="2:22" x14ac:dyDescent="0.25">
      <c r="B55" s="232">
        <v>51</v>
      </c>
      <c r="C55" s="238"/>
      <c r="D55" s="239" t="s">
        <v>67</v>
      </c>
      <c r="E55" s="17" t="s">
        <v>295</v>
      </c>
      <c r="F55" s="16">
        <v>0</v>
      </c>
      <c r="G55" s="16" t="s">
        <v>295</v>
      </c>
      <c r="H55" s="16" t="s">
        <v>78</v>
      </c>
      <c r="I55" s="16" t="s">
        <v>297</v>
      </c>
      <c r="J55" s="12">
        <v>0</v>
      </c>
      <c r="K55" s="16" t="s">
        <v>297</v>
      </c>
      <c r="L55" s="18" t="s">
        <v>295</v>
      </c>
      <c r="M55" s="84">
        <v>0.3</v>
      </c>
      <c r="N55" s="240" t="s">
        <v>295</v>
      </c>
      <c r="O55" s="20">
        <v>0</v>
      </c>
      <c r="P55" s="20" t="s">
        <v>295</v>
      </c>
      <c r="Q55" s="20" t="s">
        <v>13</v>
      </c>
      <c r="R55" s="20" t="s">
        <v>297</v>
      </c>
      <c r="S55" s="220">
        <v>0</v>
      </c>
      <c r="T55" s="20" t="s">
        <v>297</v>
      </c>
      <c r="U55" s="242" t="s">
        <v>295</v>
      </c>
      <c r="V55" s="11">
        <v>-0.5</v>
      </c>
    </row>
    <row r="56" spans="2:22" x14ac:dyDescent="0.25">
      <c r="B56" s="232">
        <v>52</v>
      </c>
      <c r="C56" s="238"/>
      <c r="D56" s="239" t="s">
        <v>68</v>
      </c>
      <c r="E56" s="17" t="s">
        <v>300</v>
      </c>
      <c r="F56" s="16">
        <v>0</v>
      </c>
      <c r="G56" s="16" t="s">
        <v>298</v>
      </c>
      <c r="H56" s="16" t="s">
        <v>45</v>
      </c>
      <c r="I56" s="16" t="s">
        <v>297</v>
      </c>
      <c r="J56" s="12">
        <v>0</v>
      </c>
      <c r="K56" s="16" t="s">
        <v>300</v>
      </c>
      <c r="L56" s="18" t="s">
        <v>295</v>
      </c>
      <c r="M56" s="84">
        <v>0.3</v>
      </c>
      <c r="N56" s="240" t="s">
        <v>300</v>
      </c>
      <c r="O56" s="20">
        <v>0</v>
      </c>
      <c r="P56" s="20" t="s">
        <v>298</v>
      </c>
      <c r="Q56" s="20" t="s">
        <v>45</v>
      </c>
      <c r="R56" s="20" t="s">
        <v>297</v>
      </c>
      <c r="S56" s="220">
        <v>0</v>
      </c>
      <c r="T56" s="20" t="s">
        <v>300</v>
      </c>
      <c r="U56" s="242" t="s">
        <v>295</v>
      </c>
      <c r="V56" s="11">
        <v>-0.5</v>
      </c>
    </row>
    <row r="57" spans="2:22" x14ac:dyDescent="0.25">
      <c r="B57" s="232">
        <v>53</v>
      </c>
      <c r="C57" s="238"/>
      <c r="D57" s="239" t="s">
        <v>69</v>
      </c>
      <c r="E57" s="15">
        <v>0</v>
      </c>
      <c r="F57" s="16">
        <v>0</v>
      </c>
      <c r="G57" s="12">
        <v>0</v>
      </c>
      <c r="H57" s="16" t="s">
        <v>45</v>
      </c>
      <c r="I57" s="16" t="s">
        <v>295</v>
      </c>
      <c r="J57" s="12">
        <v>0</v>
      </c>
      <c r="K57" s="16" t="s">
        <v>295</v>
      </c>
      <c r="L57" s="18" t="s">
        <v>295</v>
      </c>
      <c r="M57" s="84">
        <v>0.5</v>
      </c>
      <c r="N57" s="241">
        <v>0</v>
      </c>
      <c r="O57" s="20">
        <v>0</v>
      </c>
      <c r="P57" s="220"/>
      <c r="Q57" s="20" t="s">
        <v>45</v>
      </c>
      <c r="R57" s="20" t="s">
        <v>295</v>
      </c>
      <c r="S57" s="220">
        <v>0</v>
      </c>
      <c r="T57" s="20" t="s">
        <v>295</v>
      </c>
      <c r="U57" s="242" t="s">
        <v>295</v>
      </c>
      <c r="V57" s="11">
        <v>-0.5</v>
      </c>
    </row>
    <row r="58" spans="2:22" x14ac:dyDescent="0.25">
      <c r="B58" s="232">
        <v>54</v>
      </c>
      <c r="C58" s="238"/>
      <c r="D58" s="239" t="s">
        <v>70</v>
      </c>
      <c r="E58" s="17" t="s">
        <v>295</v>
      </c>
      <c r="F58" s="16">
        <v>0</v>
      </c>
      <c r="G58" s="16" t="s">
        <v>300</v>
      </c>
      <c r="H58" s="16" t="s">
        <v>78</v>
      </c>
      <c r="I58" s="12">
        <v>0</v>
      </c>
      <c r="J58" s="12">
        <v>0</v>
      </c>
      <c r="K58" s="16" t="s">
        <v>297</v>
      </c>
      <c r="L58" s="13">
        <v>0</v>
      </c>
      <c r="M58" s="84">
        <v>0.05</v>
      </c>
      <c r="N58" s="240" t="s">
        <v>295</v>
      </c>
      <c r="O58" s="20">
        <v>0</v>
      </c>
      <c r="P58" s="20">
        <v>0</v>
      </c>
      <c r="Q58" s="20" t="s">
        <v>13</v>
      </c>
      <c r="R58" s="220">
        <v>0</v>
      </c>
      <c r="S58" s="220">
        <v>0</v>
      </c>
      <c r="T58" s="20" t="s">
        <v>297</v>
      </c>
      <c r="U58" s="110">
        <v>0</v>
      </c>
      <c r="V58" s="11">
        <v>-7.0000000000000007E-2</v>
      </c>
    </row>
    <row r="59" spans="2:22" x14ac:dyDescent="0.25">
      <c r="B59" s="232">
        <v>55</v>
      </c>
      <c r="C59" s="238"/>
      <c r="D59" s="239" t="s">
        <v>71</v>
      </c>
      <c r="E59" s="15">
        <v>0</v>
      </c>
      <c r="F59" s="16">
        <v>0</v>
      </c>
      <c r="G59" s="12">
        <v>0</v>
      </c>
      <c r="H59" s="16" t="s">
        <v>300</v>
      </c>
      <c r="I59" s="12">
        <v>0</v>
      </c>
      <c r="J59" s="12">
        <v>0</v>
      </c>
      <c r="K59" s="16" t="s">
        <v>45</v>
      </c>
      <c r="L59" s="18" t="s">
        <v>297</v>
      </c>
      <c r="M59" s="84">
        <v>1</v>
      </c>
      <c r="N59" s="241">
        <v>0</v>
      </c>
      <c r="O59" s="20">
        <v>0</v>
      </c>
      <c r="P59" s="220">
        <v>0</v>
      </c>
      <c r="Q59" s="20" t="s">
        <v>45</v>
      </c>
      <c r="R59" s="220">
        <v>0</v>
      </c>
      <c r="S59" s="220">
        <v>0</v>
      </c>
      <c r="T59" s="20">
        <v>0</v>
      </c>
      <c r="U59" s="110">
        <v>0</v>
      </c>
      <c r="V59" s="11">
        <v>-1</v>
      </c>
    </row>
    <row r="60" spans="2:22" ht="15.75" thickBot="1" x14ac:dyDescent="0.3">
      <c r="B60" s="243">
        <v>56</v>
      </c>
      <c r="C60" s="244"/>
      <c r="D60" s="245" t="s">
        <v>72</v>
      </c>
      <c r="E60" s="21">
        <v>0</v>
      </c>
      <c r="F60" s="16">
        <v>0</v>
      </c>
      <c r="G60" s="22">
        <v>0</v>
      </c>
      <c r="H60" s="22">
        <v>1.01</v>
      </c>
      <c r="I60" s="22">
        <v>1.01</v>
      </c>
      <c r="J60" s="22">
        <v>1.02</v>
      </c>
      <c r="K60" s="22">
        <v>-1.01</v>
      </c>
      <c r="L60" s="23" t="s">
        <v>295</v>
      </c>
      <c r="M60" s="85">
        <v>0.7</v>
      </c>
      <c r="N60" s="241">
        <v>0</v>
      </c>
      <c r="O60" s="20">
        <v>0</v>
      </c>
      <c r="P60" s="220">
        <v>0</v>
      </c>
      <c r="Q60" s="246" t="s">
        <v>13</v>
      </c>
      <c r="R60" s="220">
        <v>0</v>
      </c>
      <c r="S60" s="220">
        <v>0</v>
      </c>
      <c r="T60" s="246" t="s">
        <v>295</v>
      </c>
      <c r="U60" s="110">
        <v>0</v>
      </c>
      <c r="V60" s="24">
        <v>-0.7</v>
      </c>
    </row>
    <row r="61" spans="2:22" s="56" customFormat="1" ht="15.75" thickBot="1" x14ac:dyDescent="0.3">
      <c r="B61" s="393" t="s">
        <v>73</v>
      </c>
      <c r="M61" s="58"/>
    </row>
    <row r="62" spans="2:22" x14ac:dyDescent="0.25">
      <c r="B62" s="26">
        <v>1</v>
      </c>
      <c r="C62" s="27" t="s">
        <v>74</v>
      </c>
      <c r="D62" s="26" t="s">
        <v>75</v>
      </c>
      <c r="E62" s="28">
        <v>0</v>
      </c>
      <c r="F62" s="29">
        <v>0</v>
      </c>
      <c r="G62" s="29">
        <v>0</v>
      </c>
      <c r="H62" s="30" t="s">
        <v>295</v>
      </c>
      <c r="I62" s="30">
        <v>0</v>
      </c>
      <c r="J62" s="30">
        <v>0</v>
      </c>
      <c r="K62" s="30">
        <v>0</v>
      </c>
      <c r="L62" s="31" t="s">
        <v>13</v>
      </c>
      <c r="M62" s="86">
        <v>0.3</v>
      </c>
      <c r="N62" s="247">
        <v>0</v>
      </c>
      <c r="O62" s="248">
        <v>0</v>
      </c>
      <c r="P62" s="248">
        <v>0</v>
      </c>
      <c r="Q62" s="249" t="s">
        <v>13</v>
      </c>
      <c r="R62" s="249">
        <v>0</v>
      </c>
      <c r="S62" s="249">
        <v>0</v>
      </c>
      <c r="T62" s="249" t="s">
        <v>295</v>
      </c>
      <c r="U62" s="250" t="s">
        <v>295</v>
      </c>
      <c r="V62" s="32">
        <v>-0.5</v>
      </c>
    </row>
    <row r="63" spans="2:22" x14ac:dyDescent="0.25">
      <c r="B63" s="33">
        <v>2</v>
      </c>
      <c r="C63" s="34" t="s">
        <v>76</v>
      </c>
      <c r="D63" s="33" t="s">
        <v>303</v>
      </c>
      <c r="E63" s="14">
        <v>0</v>
      </c>
      <c r="F63" s="16" t="s">
        <v>304</v>
      </c>
      <c r="G63" s="12">
        <v>0</v>
      </c>
      <c r="H63" s="16" t="s">
        <v>298</v>
      </c>
      <c r="I63" s="16" t="s">
        <v>45</v>
      </c>
      <c r="J63" s="16" t="s">
        <v>297</v>
      </c>
      <c r="K63" s="12">
        <v>0</v>
      </c>
      <c r="L63" s="18" t="s">
        <v>295</v>
      </c>
      <c r="M63" s="87">
        <v>0.2</v>
      </c>
      <c r="N63" s="241">
        <v>0</v>
      </c>
      <c r="O63" s="20">
        <v>0</v>
      </c>
      <c r="P63" s="220">
        <v>0</v>
      </c>
      <c r="Q63" s="20">
        <v>0</v>
      </c>
      <c r="R63" s="20" t="s">
        <v>300</v>
      </c>
      <c r="S63" s="20">
        <v>0</v>
      </c>
      <c r="T63" s="220">
        <v>0</v>
      </c>
      <c r="U63" s="251">
        <v>0</v>
      </c>
      <c r="V63" s="35">
        <v>-0.7</v>
      </c>
    </row>
    <row r="64" spans="2:22" x14ac:dyDescent="0.25">
      <c r="B64" s="33">
        <v>6</v>
      </c>
      <c r="C64" s="34" t="s">
        <v>77</v>
      </c>
      <c r="D64" s="33" t="s">
        <v>305</v>
      </c>
      <c r="E64" s="36" t="s">
        <v>297</v>
      </c>
      <c r="F64" s="16" t="s">
        <v>295</v>
      </c>
      <c r="G64" s="12">
        <v>0</v>
      </c>
      <c r="H64" s="16" t="s">
        <v>295</v>
      </c>
      <c r="I64" s="12">
        <v>0</v>
      </c>
      <c r="J64" s="16" t="s">
        <v>45</v>
      </c>
      <c r="K64" s="16" t="s">
        <v>12</v>
      </c>
      <c r="L64" s="18" t="s">
        <v>12</v>
      </c>
      <c r="M64" s="87">
        <v>0.2</v>
      </c>
      <c r="N64" s="240">
        <v>0</v>
      </c>
      <c r="O64" s="20">
        <v>0</v>
      </c>
      <c r="P64" s="220">
        <v>0</v>
      </c>
      <c r="Q64" s="20">
        <v>0</v>
      </c>
      <c r="R64" s="220">
        <v>0</v>
      </c>
      <c r="S64" s="20" t="s">
        <v>300</v>
      </c>
      <c r="T64" s="20" t="s">
        <v>297</v>
      </c>
      <c r="U64" s="251" t="s">
        <v>297</v>
      </c>
      <c r="V64" s="35">
        <v>-0.7</v>
      </c>
    </row>
    <row r="65" spans="2:22" x14ac:dyDescent="0.25">
      <c r="B65" s="252">
        <v>8</v>
      </c>
      <c r="C65" s="253" t="s">
        <v>79</v>
      </c>
      <c r="D65" s="252" t="s">
        <v>306</v>
      </c>
      <c r="E65" s="254">
        <v>0</v>
      </c>
      <c r="F65" s="221">
        <v>1.1000000000000001</v>
      </c>
      <c r="G65" s="221">
        <v>0.1</v>
      </c>
      <c r="H65" s="19">
        <v>0.5</v>
      </c>
      <c r="I65" s="221">
        <v>0.8</v>
      </c>
      <c r="J65" s="19">
        <v>0.5</v>
      </c>
      <c r="K65" s="19">
        <v>-0.2</v>
      </c>
      <c r="L65" s="255">
        <v>-0.2</v>
      </c>
      <c r="M65" s="87">
        <v>0.5</v>
      </c>
      <c r="N65" s="241">
        <v>0</v>
      </c>
      <c r="O65" s="220">
        <v>0</v>
      </c>
      <c r="P65" s="220">
        <v>0</v>
      </c>
      <c r="Q65" s="20" t="s">
        <v>45</v>
      </c>
      <c r="R65" s="220">
        <v>0</v>
      </c>
      <c r="S65" s="20">
        <v>0</v>
      </c>
      <c r="T65" s="20" t="s">
        <v>298</v>
      </c>
      <c r="U65" s="251" t="s">
        <v>296</v>
      </c>
      <c r="V65" s="35">
        <v>-0.5</v>
      </c>
    </row>
    <row r="66" spans="2:22" x14ac:dyDescent="0.25">
      <c r="B66" s="33">
        <v>9</v>
      </c>
      <c r="C66" s="34" t="s">
        <v>80</v>
      </c>
      <c r="D66" s="33" t="s">
        <v>81</v>
      </c>
      <c r="E66" s="36" t="s">
        <v>45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3">
        <v>0</v>
      </c>
      <c r="M66" s="87">
        <v>0.1</v>
      </c>
      <c r="N66" s="240" t="s">
        <v>300</v>
      </c>
      <c r="O66" s="220">
        <v>0</v>
      </c>
      <c r="P66" s="220">
        <v>0</v>
      </c>
      <c r="Q66" s="220">
        <v>0</v>
      </c>
      <c r="R66" s="220">
        <v>0</v>
      </c>
      <c r="S66" s="20">
        <v>0</v>
      </c>
      <c r="T66" s="220">
        <v>0</v>
      </c>
      <c r="U66" s="256">
        <v>0</v>
      </c>
      <c r="V66" s="35">
        <v>-0.5</v>
      </c>
    </row>
    <row r="67" spans="2:22" x14ac:dyDescent="0.25">
      <c r="B67" s="33">
        <v>10</v>
      </c>
      <c r="C67" s="34" t="s">
        <v>80</v>
      </c>
      <c r="D67" s="33" t="s">
        <v>82</v>
      </c>
      <c r="E67" s="37" t="s">
        <v>12</v>
      </c>
      <c r="F67" s="38" t="s">
        <v>45</v>
      </c>
      <c r="G67" s="39">
        <v>0</v>
      </c>
      <c r="H67" s="39">
        <v>0</v>
      </c>
      <c r="I67" s="39">
        <v>0</v>
      </c>
      <c r="J67" s="39">
        <v>0</v>
      </c>
      <c r="K67" s="39">
        <v>0</v>
      </c>
      <c r="L67" s="40">
        <v>0</v>
      </c>
      <c r="M67" s="87">
        <v>0.1</v>
      </c>
      <c r="N67" s="257">
        <v>0</v>
      </c>
      <c r="O67" s="258" t="s">
        <v>300</v>
      </c>
      <c r="P67" s="259">
        <v>0</v>
      </c>
      <c r="Q67" s="259">
        <v>0</v>
      </c>
      <c r="R67" s="259">
        <v>0</v>
      </c>
      <c r="S67" s="20">
        <v>0</v>
      </c>
      <c r="T67" s="220">
        <v>0</v>
      </c>
      <c r="U67" s="256">
        <v>0</v>
      </c>
      <c r="V67" s="35">
        <v>-0.5</v>
      </c>
    </row>
    <row r="68" spans="2:22" ht="15.75" thickBot="1" x14ac:dyDescent="0.3">
      <c r="B68" s="41">
        <v>11</v>
      </c>
      <c r="C68" s="42" t="s">
        <v>83</v>
      </c>
      <c r="D68" s="41" t="s">
        <v>84</v>
      </c>
      <c r="E68" s="25">
        <v>0</v>
      </c>
      <c r="F68" s="22">
        <v>0</v>
      </c>
      <c r="G68" s="43" t="s">
        <v>45</v>
      </c>
      <c r="H68" s="22">
        <v>0</v>
      </c>
      <c r="I68" s="43" t="s">
        <v>297</v>
      </c>
      <c r="J68" s="22">
        <v>0</v>
      </c>
      <c r="K68" s="22">
        <v>0</v>
      </c>
      <c r="L68" s="23" t="s">
        <v>78</v>
      </c>
      <c r="M68" s="88">
        <v>0.2</v>
      </c>
      <c r="N68" s="260">
        <v>0</v>
      </c>
      <c r="O68" s="261">
        <v>0</v>
      </c>
      <c r="P68" s="246" t="s">
        <v>300</v>
      </c>
      <c r="Q68" s="261">
        <v>0</v>
      </c>
      <c r="R68" s="246">
        <v>0</v>
      </c>
      <c r="S68" s="261">
        <v>0</v>
      </c>
      <c r="T68" s="220">
        <v>0</v>
      </c>
      <c r="U68" s="262" t="s">
        <v>298</v>
      </c>
      <c r="V68" s="44">
        <v>-0.7</v>
      </c>
    </row>
    <row r="69" spans="2:22" x14ac:dyDescent="0.25">
      <c r="B69" s="215"/>
      <c r="C69" s="263" t="s">
        <v>159</v>
      </c>
    </row>
  </sheetData>
  <mergeCells count="7">
    <mergeCell ref="B2:B4"/>
    <mergeCell ref="C2:C4"/>
    <mergeCell ref="D2:D4"/>
    <mergeCell ref="E2:M2"/>
    <mergeCell ref="N2:V2"/>
    <mergeCell ref="E3:L3"/>
    <mergeCell ref="N3:U3"/>
  </mergeCells>
  <pageMargins left="0.7" right="0.7" top="0.75" bottom="0.75" header="0.3" footer="0.3"/>
  <pageSetup paperSize="8"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8"/>
  <sheetViews>
    <sheetView zoomScale="85" zoomScaleNormal="85" workbookViewId="0">
      <selection activeCell="F23" sqref="F23:H23"/>
    </sheetView>
  </sheetViews>
  <sheetFormatPr defaultRowHeight="15" x14ac:dyDescent="0.25"/>
  <cols>
    <col min="2" max="2" width="56.5703125" bestFit="1" customWidth="1"/>
    <col min="3" max="3" width="22" style="1" bestFit="1" customWidth="1"/>
    <col min="4" max="4" width="15" style="108" bestFit="1" customWidth="1"/>
    <col min="5" max="5" width="9.5703125" style="264" bestFit="1" customWidth="1"/>
    <col min="6" max="6" width="22" bestFit="1" customWidth="1"/>
    <col min="7" max="7" width="15" bestFit="1" customWidth="1"/>
    <col min="8" max="8" width="9.5703125" bestFit="1" customWidth="1"/>
    <col min="9" max="9" width="24" style="83" bestFit="1" customWidth="1"/>
  </cols>
  <sheetData>
    <row r="1" spans="2:11" ht="15.75" thickBot="1" x14ac:dyDescent="0.3"/>
    <row r="2" spans="2:11" s="1" customFormat="1" ht="15.75" thickBot="1" x14ac:dyDescent="0.3">
      <c r="C2" s="265" t="s">
        <v>159</v>
      </c>
      <c r="D2" s="266"/>
      <c r="E2" s="266"/>
      <c r="F2" s="265" t="s">
        <v>307</v>
      </c>
      <c r="G2" s="266"/>
      <c r="H2" s="267"/>
      <c r="J2" s="268" t="s">
        <v>255</v>
      </c>
      <c r="K2" s="269"/>
    </row>
    <row r="3" spans="2:11" s="1" customFormat="1" x14ac:dyDescent="0.25">
      <c r="B3" s="270" t="s">
        <v>308</v>
      </c>
      <c r="C3" s="271" t="s">
        <v>309</v>
      </c>
      <c r="D3" s="272" t="s">
        <v>310</v>
      </c>
      <c r="E3" s="273" t="s">
        <v>311</v>
      </c>
      <c r="F3" s="274" t="s">
        <v>312</v>
      </c>
      <c r="G3" s="275"/>
      <c r="H3" s="276" t="s">
        <v>311</v>
      </c>
      <c r="J3" s="277"/>
      <c r="K3" s="269" t="s">
        <v>179</v>
      </c>
    </row>
    <row r="4" spans="2:11" x14ac:dyDescent="0.25">
      <c r="B4" s="278" t="s">
        <v>313</v>
      </c>
      <c r="C4" s="279" t="s">
        <v>314</v>
      </c>
      <c r="D4" s="280" t="s">
        <v>161</v>
      </c>
      <c r="E4" s="281">
        <v>8.875</v>
      </c>
      <c r="F4" s="282" t="s">
        <v>379</v>
      </c>
      <c r="G4" s="283"/>
      <c r="H4" s="284">
        <v>8.875</v>
      </c>
      <c r="J4" s="285"/>
      <c r="K4" s="269" t="s">
        <v>235</v>
      </c>
    </row>
    <row r="5" spans="2:11" x14ac:dyDescent="0.25">
      <c r="B5" s="278" t="s">
        <v>154</v>
      </c>
      <c r="C5" s="301" t="s">
        <v>315</v>
      </c>
      <c r="D5" s="302"/>
      <c r="E5" s="383">
        <v>0</v>
      </c>
      <c r="F5" s="282" t="s">
        <v>315</v>
      </c>
      <c r="G5" s="286"/>
      <c r="H5" s="288"/>
      <c r="J5" s="289"/>
      <c r="K5" s="290" t="s">
        <v>316</v>
      </c>
    </row>
    <row r="6" spans="2:11" x14ac:dyDescent="0.25">
      <c r="B6" s="291" t="s">
        <v>153</v>
      </c>
      <c r="C6" s="384" t="s">
        <v>315</v>
      </c>
      <c r="D6" s="385"/>
      <c r="E6" s="386">
        <v>0</v>
      </c>
      <c r="F6" s="282" t="s">
        <v>315</v>
      </c>
      <c r="G6" s="286"/>
      <c r="H6" s="288"/>
      <c r="J6" s="329"/>
      <c r="K6" s="1" t="s">
        <v>376</v>
      </c>
    </row>
    <row r="7" spans="2:11" s="230" customFormat="1" ht="15.75" thickBot="1" x14ac:dyDescent="0.3">
      <c r="B7" s="292" t="s">
        <v>134</v>
      </c>
      <c r="C7" s="293" t="s">
        <v>317</v>
      </c>
      <c r="D7" s="294"/>
      <c r="E7" s="295">
        <f>E4</f>
        <v>8.875</v>
      </c>
      <c r="F7" s="293" t="s">
        <v>315</v>
      </c>
      <c r="G7" s="296"/>
      <c r="H7" s="297"/>
      <c r="I7" s="298"/>
    </row>
    <row r="8" spans="2:11" ht="15.75" thickBot="1" x14ac:dyDescent="0.3">
      <c r="C8" s="265" t="s">
        <v>159</v>
      </c>
      <c r="D8" s="266"/>
      <c r="E8" s="266"/>
      <c r="F8" s="265" t="s">
        <v>307</v>
      </c>
      <c r="G8" s="266"/>
      <c r="H8" s="267"/>
      <c r="I8"/>
    </row>
    <row r="9" spans="2:11" x14ac:dyDescent="0.25">
      <c r="B9" s="270" t="s">
        <v>236</v>
      </c>
      <c r="C9" s="271" t="s">
        <v>309</v>
      </c>
      <c r="D9" s="272" t="s">
        <v>310</v>
      </c>
      <c r="E9" s="273" t="s">
        <v>311</v>
      </c>
      <c r="F9" s="274" t="s">
        <v>312</v>
      </c>
      <c r="G9" s="275"/>
      <c r="H9" s="276" t="s">
        <v>311</v>
      </c>
    </row>
    <row r="10" spans="2:11" x14ac:dyDescent="0.25">
      <c r="B10" s="278" t="s">
        <v>318</v>
      </c>
      <c r="C10" s="279" t="s">
        <v>319</v>
      </c>
      <c r="D10" s="299" t="s">
        <v>320</v>
      </c>
      <c r="E10" s="281">
        <v>931.66</v>
      </c>
      <c r="F10" s="282" t="s">
        <v>380</v>
      </c>
      <c r="G10" s="283"/>
      <c r="H10" s="300">
        <v>873.93499999999995</v>
      </c>
    </row>
    <row r="11" spans="2:11" x14ac:dyDescent="0.25">
      <c r="B11" s="278" t="s">
        <v>118</v>
      </c>
      <c r="C11" s="279" t="s">
        <v>321</v>
      </c>
      <c r="D11" s="299" t="s">
        <v>322</v>
      </c>
      <c r="E11" s="281">
        <v>58.229166666666664</v>
      </c>
      <c r="F11" s="301" t="s">
        <v>323</v>
      </c>
      <c r="G11" s="302"/>
      <c r="H11" s="303"/>
    </row>
    <row r="12" spans="2:11" x14ac:dyDescent="0.25">
      <c r="B12" s="278" t="s">
        <v>88</v>
      </c>
      <c r="C12" s="323" t="s">
        <v>324</v>
      </c>
      <c r="D12" s="324" t="s">
        <v>325</v>
      </c>
      <c r="E12" s="325">
        <v>0.5</v>
      </c>
      <c r="F12" s="326" t="s">
        <v>326</v>
      </c>
      <c r="G12" s="327"/>
      <c r="H12" s="328"/>
    </row>
    <row r="13" spans="2:11" x14ac:dyDescent="0.25">
      <c r="B13" s="278" t="s">
        <v>89</v>
      </c>
      <c r="C13" s="282" t="s">
        <v>327</v>
      </c>
      <c r="D13" s="283"/>
      <c r="E13" s="308">
        <v>1</v>
      </c>
      <c r="F13" s="282" t="s">
        <v>328</v>
      </c>
      <c r="G13" s="286"/>
      <c r="H13" s="288"/>
    </row>
    <row r="14" spans="2:11" x14ac:dyDescent="0.25">
      <c r="B14" s="278" t="s">
        <v>120</v>
      </c>
      <c r="C14" s="282" t="s">
        <v>315</v>
      </c>
      <c r="D14" s="286"/>
      <c r="E14" s="287">
        <v>873.93499999999995</v>
      </c>
      <c r="F14" s="282" t="s">
        <v>315</v>
      </c>
      <c r="G14" s="286"/>
      <c r="H14" s="288"/>
    </row>
    <row r="15" spans="2:11" x14ac:dyDescent="0.25">
      <c r="B15" s="278" t="s">
        <v>140</v>
      </c>
      <c r="C15" s="282" t="s">
        <v>315</v>
      </c>
      <c r="D15" s="286"/>
      <c r="E15" s="287">
        <v>0</v>
      </c>
      <c r="F15" s="282" t="s">
        <v>315</v>
      </c>
      <c r="G15" s="286"/>
      <c r="H15" s="288"/>
    </row>
    <row r="16" spans="2:11" x14ac:dyDescent="0.25">
      <c r="B16" s="278" t="s">
        <v>131</v>
      </c>
      <c r="C16" s="282" t="s">
        <v>315</v>
      </c>
      <c r="D16" s="286"/>
      <c r="E16" s="309">
        <v>873.93499999999995</v>
      </c>
      <c r="F16" s="282" t="s">
        <v>315</v>
      </c>
      <c r="G16" s="286"/>
      <c r="H16" s="288"/>
    </row>
    <row r="17" spans="2:9" ht="15.75" thickBot="1" x14ac:dyDescent="0.3">
      <c r="B17" s="292" t="s">
        <v>137</v>
      </c>
      <c r="C17" s="293" t="s">
        <v>315</v>
      </c>
      <c r="D17" s="296"/>
      <c r="E17" s="310">
        <v>6.2539999999999996</v>
      </c>
      <c r="F17" s="293" t="s">
        <v>315</v>
      </c>
      <c r="G17" s="296"/>
      <c r="H17" s="297"/>
    </row>
    <row r="18" spans="2:9" ht="15.75" thickBot="1" x14ac:dyDescent="0.3">
      <c r="C18" s="265" t="s">
        <v>159</v>
      </c>
      <c r="D18" s="266"/>
      <c r="E18" s="266"/>
      <c r="F18" s="265" t="s">
        <v>307</v>
      </c>
      <c r="G18" s="266"/>
      <c r="H18" s="267"/>
      <c r="I18"/>
    </row>
    <row r="19" spans="2:9" x14ac:dyDescent="0.25">
      <c r="B19" s="270" t="s">
        <v>90</v>
      </c>
      <c r="C19" s="271" t="s">
        <v>309</v>
      </c>
      <c r="D19" s="272" t="s">
        <v>310</v>
      </c>
      <c r="E19" s="273" t="s">
        <v>311</v>
      </c>
      <c r="F19" s="274" t="s">
        <v>312</v>
      </c>
      <c r="G19" s="275"/>
      <c r="H19" s="276" t="s">
        <v>311</v>
      </c>
    </row>
    <row r="20" spans="2:9" x14ac:dyDescent="0.25">
      <c r="B20" s="278" t="s">
        <v>329</v>
      </c>
      <c r="C20" s="279" t="s">
        <v>319</v>
      </c>
      <c r="D20" s="299" t="s">
        <v>330</v>
      </c>
      <c r="E20" s="281">
        <v>6</v>
      </c>
      <c r="F20" s="282" t="s">
        <v>381</v>
      </c>
      <c r="G20" s="283"/>
      <c r="H20" s="284">
        <v>7.4669999999999996</v>
      </c>
    </row>
    <row r="21" spans="2:9" x14ac:dyDescent="0.25">
      <c r="B21" s="278" t="s">
        <v>124</v>
      </c>
      <c r="C21" s="279" t="s">
        <v>321</v>
      </c>
      <c r="D21" s="299" t="s">
        <v>331</v>
      </c>
      <c r="E21" s="281">
        <v>0.83330000000000004</v>
      </c>
      <c r="F21" s="301" t="s">
        <v>332</v>
      </c>
      <c r="G21" s="302"/>
      <c r="H21" s="303"/>
    </row>
    <row r="22" spans="2:9" x14ac:dyDescent="0.25">
      <c r="B22" s="278" t="s">
        <v>88</v>
      </c>
      <c r="C22" s="323" t="s">
        <v>324</v>
      </c>
      <c r="D22" s="324" t="s">
        <v>333</v>
      </c>
      <c r="E22" s="325">
        <v>-0.2</v>
      </c>
      <c r="F22" s="326" t="s">
        <v>326</v>
      </c>
      <c r="G22" s="327"/>
      <c r="H22" s="328"/>
    </row>
    <row r="23" spans="2:9" x14ac:dyDescent="0.25">
      <c r="B23" s="278" t="s">
        <v>89</v>
      </c>
      <c r="C23" s="282" t="s">
        <v>327</v>
      </c>
      <c r="D23" s="283"/>
      <c r="E23" s="308">
        <v>1</v>
      </c>
      <c r="F23" s="282" t="s">
        <v>328</v>
      </c>
      <c r="G23" s="286"/>
      <c r="H23" s="288"/>
    </row>
    <row r="24" spans="2:9" x14ac:dyDescent="0.25">
      <c r="B24" s="278" t="s">
        <v>120</v>
      </c>
      <c r="C24" s="282" t="s">
        <v>315</v>
      </c>
      <c r="D24" s="286"/>
      <c r="E24" s="287">
        <v>6.63</v>
      </c>
      <c r="F24" s="282" t="s">
        <v>315</v>
      </c>
      <c r="G24" s="286"/>
      <c r="H24" s="288"/>
    </row>
    <row r="25" spans="2:9" x14ac:dyDescent="0.25">
      <c r="B25" s="278" t="s">
        <v>125</v>
      </c>
      <c r="C25" s="282" t="s">
        <v>317</v>
      </c>
      <c r="D25" s="286"/>
      <c r="E25" s="287">
        <f>E24</f>
        <v>6.63</v>
      </c>
      <c r="F25" s="282" t="s">
        <v>315</v>
      </c>
      <c r="G25" s="286"/>
      <c r="H25" s="288"/>
    </row>
    <row r="26" spans="2:9" ht="15.75" thickBot="1" x14ac:dyDescent="0.3">
      <c r="B26" s="292" t="s">
        <v>119</v>
      </c>
      <c r="C26" s="293" t="s">
        <v>315</v>
      </c>
      <c r="D26" s="296"/>
      <c r="E26" s="295">
        <v>7.4669999999999996</v>
      </c>
      <c r="F26" s="293" t="s">
        <v>315</v>
      </c>
      <c r="G26" s="296"/>
      <c r="H26" s="297"/>
    </row>
    <row r="27" spans="2:9" ht="15.75" thickBot="1" x14ac:dyDescent="0.3">
      <c r="C27" s="265" t="s">
        <v>159</v>
      </c>
      <c r="D27" s="266"/>
      <c r="E27" s="266"/>
      <c r="F27" s="265" t="s">
        <v>307</v>
      </c>
      <c r="G27" s="266"/>
      <c r="H27" s="267"/>
      <c r="I27"/>
    </row>
    <row r="28" spans="2:9" x14ac:dyDescent="0.25">
      <c r="B28" s="270" t="s">
        <v>253</v>
      </c>
      <c r="C28" s="271" t="s">
        <v>309</v>
      </c>
      <c r="D28" s="272" t="s">
        <v>310</v>
      </c>
      <c r="E28" s="273" t="s">
        <v>311</v>
      </c>
      <c r="F28" s="274" t="s">
        <v>312</v>
      </c>
      <c r="G28" s="275"/>
      <c r="H28" s="276" t="s">
        <v>311</v>
      </c>
    </row>
    <row r="29" spans="2:9" x14ac:dyDescent="0.25">
      <c r="B29" s="278" t="s">
        <v>91</v>
      </c>
      <c r="C29" s="279" t="s">
        <v>319</v>
      </c>
      <c r="D29" s="299" t="s">
        <v>334</v>
      </c>
      <c r="E29" s="281">
        <v>6</v>
      </c>
      <c r="F29" s="282" t="s">
        <v>382</v>
      </c>
      <c r="G29" s="283"/>
      <c r="H29" s="284">
        <f>E35</f>
        <v>6.633</v>
      </c>
    </row>
    <row r="30" spans="2:9" x14ac:dyDescent="0.25">
      <c r="B30" s="278" t="s">
        <v>117</v>
      </c>
      <c r="C30" s="279" t="s">
        <v>321</v>
      </c>
      <c r="D30" s="299" t="s">
        <v>335</v>
      </c>
      <c r="E30" s="281">
        <v>0.41666666666666669</v>
      </c>
      <c r="F30" s="301" t="s">
        <v>336</v>
      </c>
      <c r="G30" s="302"/>
      <c r="H30" s="303"/>
    </row>
    <row r="31" spans="2:9" x14ac:dyDescent="0.25">
      <c r="B31" s="278" t="s">
        <v>88</v>
      </c>
      <c r="C31" s="323" t="s">
        <v>324</v>
      </c>
      <c r="D31" s="324" t="s">
        <v>337</v>
      </c>
      <c r="E31" s="325">
        <v>-0.2</v>
      </c>
      <c r="F31" s="326" t="s">
        <v>326</v>
      </c>
      <c r="G31" s="327"/>
      <c r="H31" s="328"/>
    </row>
    <row r="32" spans="2:9" x14ac:dyDescent="0.25">
      <c r="B32" s="278" t="s">
        <v>89</v>
      </c>
      <c r="C32" s="282" t="s">
        <v>327</v>
      </c>
      <c r="D32" s="283"/>
      <c r="E32" s="308">
        <v>1</v>
      </c>
      <c r="F32" s="282" t="s">
        <v>328</v>
      </c>
      <c r="G32" s="286"/>
      <c r="H32" s="288"/>
    </row>
    <row r="33" spans="2:9" x14ac:dyDescent="0.25">
      <c r="B33" s="278" t="s">
        <v>120</v>
      </c>
      <c r="C33" s="282" t="s">
        <v>317</v>
      </c>
      <c r="D33" s="286"/>
      <c r="E33" s="308">
        <v>6.22</v>
      </c>
      <c r="F33" s="282" t="s">
        <v>315</v>
      </c>
      <c r="G33" s="286"/>
      <c r="H33" s="288"/>
    </row>
    <row r="34" spans="2:9" x14ac:dyDescent="0.25">
      <c r="B34" s="278" t="s">
        <v>127</v>
      </c>
      <c r="C34" s="282" t="s">
        <v>317</v>
      </c>
      <c r="D34" s="286"/>
      <c r="E34" s="308">
        <v>6.22</v>
      </c>
      <c r="F34" s="282" t="s">
        <v>315</v>
      </c>
      <c r="G34" s="286"/>
      <c r="H34" s="288"/>
    </row>
    <row r="35" spans="2:9" x14ac:dyDescent="0.25">
      <c r="B35" s="278" t="s">
        <v>126</v>
      </c>
      <c r="C35" s="282" t="s">
        <v>315</v>
      </c>
      <c r="D35" s="286"/>
      <c r="E35" s="311">
        <v>6.633</v>
      </c>
      <c r="F35" s="282" t="s">
        <v>315</v>
      </c>
      <c r="G35" s="286"/>
      <c r="H35" s="288"/>
    </row>
    <row r="36" spans="2:9" x14ac:dyDescent="0.25">
      <c r="B36" s="278" t="s">
        <v>92</v>
      </c>
      <c r="C36" s="282" t="s">
        <v>338</v>
      </c>
      <c r="D36" s="283"/>
      <c r="E36" s="308" t="s">
        <v>339</v>
      </c>
      <c r="F36" s="282" t="s">
        <v>338</v>
      </c>
      <c r="G36" s="283"/>
      <c r="H36" s="312">
        <v>0</v>
      </c>
    </row>
    <row r="37" spans="2:9" ht="15.75" thickBot="1" x14ac:dyDescent="0.3">
      <c r="B37" s="292" t="s">
        <v>96</v>
      </c>
      <c r="C37" s="293" t="s">
        <v>340</v>
      </c>
      <c r="D37" s="294"/>
      <c r="E37" s="313" t="s">
        <v>97</v>
      </c>
      <c r="F37" s="293" t="s">
        <v>340</v>
      </c>
      <c r="G37" s="294"/>
      <c r="H37" s="314" t="s">
        <v>97</v>
      </c>
    </row>
    <row r="38" spans="2:9" ht="15.75" thickBot="1" x14ac:dyDescent="0.3">
      <c r="C38" s="265" t="s">
        <v>159</v>
      </c>
      <c r="D38" s="266"/>
      <c r="E38" s="266"/>
      <c r="F38" s="265" t="s">
        <v>307</v>
      </c>
      <c r="G38" s="266"/>
      <c r="H38" s="267"/>
      <c r="I38"/>
    </row>
    <row r="39" spans="2:9" x14ac:dyDescent="0.25">
      <c r="B39" s="270" t="s">
        <v>276</v>
      </c>
      <c r="C39" s="271" t="s">
        <v>309</v>
      </c>
      <c r="D39" s="272" t="s">
        <v>310</v>
      </c>
      <c r="E39" s="273" t="s">
        <v>311</v>
      </c>
      <c r="F39" s="274" t="s">
        <v>312</v>
      </c>
      <c r="G39" s="275"/>
      <c r="H39" s="276" t="s">
        <v>311</v>
      </c>
    </row>
    <row r="40" spans="2:9" x14ac:dyDescent="0.25">
      <c r="B40" s="278" t="s">
        <v>341</v>
      </c>
      <c r="C40" s="279" t="s">
        <v>319</v>
      </c>
      <c r="D40" s="299" t="s">
        <v>342</v>
      </c>
      <c r="E40" s="308">
        <v>1164.58</v>
      </c>
      <c r="F40" s="282" t="s">
        <v>377</v>
      </c>
      <c r="G40" s="286"/>
      <c r="H40" s="288"/>
    </row>
    <row r="41" spans="2:9" x14ac:dyDescent="0.25">
      <c r="B41" s="278" t="s">
        <v>98</v>
      </c>
      <c r="C41" s="279" t="s">
        <v>321</v>
      </c>
      <c r="D41" s="299" t="s">
        <v>343</v>
      </c>
      <c r="E41" s="281">
        <v>58.229166666666664</v>
      </c>
      <c r="F41" s="301" t="s">
        <v>344</v>
      </c>
      <c r="G41" s="302"/>
      <c r="H41" s="303"/>
    </row>
    <row r="42" spans="2:9" x14ac:dyDescent="0.25">
      <c r="B42" s="278" t="s">
        <v>88</v>
      </c>
      <c r="C42" s="323" t="s">
        <v>324</v>
      </c>
      <c r="D42" s="324" t="s">
        <v>345</v>
      </c>
      <c r="E42" s="325">
        <v>0.8</v>
      </c>
      <c r="F42" s="326" t="s">
        <v>326</v>
      </c>
      <c r="G42" s="327"/>
      <c r="H42" s="328"/>
    </row>
    <row r="43" spans="2:9" x14ac:dyDescent="0.25">
      <c r="B43" s="278" t="s">
        <v>89</v>
      </c>
      <c r="C43" s="282" t="s">
        <v>327</v>
      </c>
      <c r="D43" s="283"/>
      <c r="E43" s="308">
        <v>1</v>
      </c>
      <c r="F43" s="282" t="s">
        <v>328</v>
      </c>
      <c r="G43" s="286"/>
      <c r="H43" s="288"/>
    </row>
    <row r="44" spans="2:9" x14ac:dyDescent="0.25">
      <c r="B44" s="278" t="s">
        <v>139</v>
      </c>
      <c r="C44" s="282" t="s">
        <v>315</v>
      </c>
      <c r="D44" s="286"/>
      <c r="E44" s="353">
        <v>1105.5509999999999</v>
      </c>
      <c r="F44" s="282" t="s">
        <v>315</v>
      </c>
      <c r="G44" s="286"/>
      <c r="H44" s="288"/>
    </row>
    <row r="45" spans="2:9" x14ac:dyDescent="0.25">
      <c r="B45" s="278" t="s">
        <v>99</v>
      </c>
      <c r="C45" s="282" t="s">
        <v>338</v>
      </c>
      <c r="D45" s="283"/>
      <c r="E45" s="308">
        <v>0</v>
      </c>
      <c r="F45" s="282" t="s">
        <v>338</v>
      </c>
      <c r="G45" s="283"/>
      <c r="H45" s="312">
        <v>0</v>
      </c>
    </row>
    <row r="46" spans="2:9" x14ac:dyDescent="0.25">
      <c r="B46" s="278" t="s">
        <v>152</v>
      </c>
      <c r="C46" s="282" t="s">
        <v>315</v>
      </c>
      <c r="D46" s="286"/>
      <c r="E46" s="308">
        <v>0</v>
      </c>
      <c r="F46" s="282" t="s">
        <v>315</v>
      </c>
      <c r="G46" s="286"/>
      <c r="H46" s="288"/>
    </row>
    <row r="47" spans="2:9" x14ac:dyDescent="0.25">
      <c r="B47" s="278" t="s">
        <v>137</v>
      </c>
      <c r="C47" s="282" t="s">
        <v>315</v>
      </c>
      <c r="D47" s="286"/>
      <c r="E47" s="308">
        <v>0</v>
      </c>
      <c r="F47" s="282" t="s">
        <v>315</v>
      </c>
      <c r="G47" s="286"/>
      <c r="H47" s="288"/>
    </row>
    <row r="48" spans="2:9" ht="15.75" thickBot="1" x14ac:dyDescent="0.3">
      <c r="B48" s="292" t="s">
        <v>346</v>
      </c>
      <c r="C48" s="293" t="s">
        <v>315</v>
      </c>
      <c r="D48" s="296"/>
      <c r="E48" s="313">
        <v>0</v>
      </c>
      <c r="F48" s="293" t="s">
        <v>315</v>
      </c>
      <c r="G48" s="296"/>
      <c r="H48" s="297"/>
      <c r="I48" s="315" t="s">
        <v>347</v>
      </c>
    </row>
    <row r="49" spans="2:9" ht="15.75" thickBot="1" x14ac:dyDescent="0.3">
      <c r="C49" s="265" t="s">
        <v>159</v>
      </c>
      <c r="D49" s="266"/>
      <c r="E49" s="266"/>
      <c r="F49" s="265" t="s">
        <v>307</v>
      </c>
      <c r="G49" s="266"/>
      <c r="H49" s="267"/>
      <c r="I49"/>
    </row>
    <row r="50" spans="2:9" x14ac:dyDescent="0.25">
      <c r="B50" s="270" t="s">
        <v>348</v>
      </c>
      <c r="C50" s="271" t="s">
        <v>309</v>
      </c>
      <c r="D50" s="272" t="s">
        <v>310</v>
      </c>
      <c r="E50" s="273" t="s">
        <v>311</v>
      </c>
      <c r="F50" s="274" t="s">
        <v>312</v>
      </c>
      <c r="G50" s="275"/>
      <c r="H50" s="276" t="s">
        <v>311</v>
      </c>
    </row>
    <row r="51" spans="2:9" x14ac:dyDescent="0.25">
      <c r="B51" s="278" t="s">
        <v>100</v>
      </c>
      <c r="C51" s="279" t="s">
        <v>319</v>
      </c>
      <c r="D51" s="299" t="s">
        <v>349</v>
      </c>
      <c r="E51" s="281">
        <v>2</v>
      </c>
      <c r="F51" s="282" t="s">
        <v>378</v>
      </c>
      <c r="G51" s="286"/>
      <c r="H51" s="288"/>
    </row>
    <row r="52" spans="2:9" x14ac:dyDescent="0.25">
      <c r="B52" s="278" t="s">
        <v>101</v>
      </c>
      <c r="C52" s="279" t="s">
        <v>321</v>
      </c>
      <c r="D52" s="299" t="s">
        <v>350</v>
      </c>
      <c r="E52" s="281">
        <v>1.667</v>
      </c>
      <c r="F52" s="301" t="s">
        <v>323</v>
      </c>
      <c r="G52" s="302"/>
      <c r="H52" s="303"/>
    </row>
    <row r="53" spans="2:9" x14ac:dyDescent="0.25">
      <c r="B53" s="278" t="s">
        <v>88</v>
      </c>
      <c r="C53" s="323" t="s">
        <v>324</v>
      </c>
      <c r="D53" s="324" t="s">
        <v>351</v>
      </c>
      <c r="E53" s="325">
        <v>0.5</v>
      </c>
      <c r="F53" s="326" t="s">
        <v>326</v>
      </c>
      <c r="G53" s="327"/>
      <c r="H53" s="328"/>
    </row>
    <row r="54" spans="2:9" x14ac:dyDescent="0.25">
      <c r="B54" s="278" t="s">
        <v>89</v>
      </c>
      <c r="C54" s="282" t="s">
        <v>327</v>
      </c>
      <c r="D54" s="283"/>
      <c r="E54" s="308">
        <v>1</v>
      </c>
      <c r="F54" s="282" t="s">
        <v>328</v>
      </c>
      <c r="G54" s="286"/>
      <c r="H54" s="288"/>
    </row>
    <row r="55" spans="2:9" x14ac:dyDescent="0.25">
      <c r="B55" s="278" t="s">
        <v>129</v>
      </c>
      <c r="C55" s="282" t="s">
        <v>315</v>
      </c>
      <c r="D55" s="286"/>
      <c r="E55" s="353">
        <v>4.1669999999999998</v>
      </c>
      <c r="F55" s="282" t="s">
        <v>315</v>
      </c>
      <c r="G55" s="286"/>
      <c r="H55" s="288"/>
    </row>
    <row r="56" spans="2:9" x14ac:dyDescent="0.25">
      <c r="B56" s="278" t="s">
        <v>99</v>
      </c>
      <c r="C56" s="282" t="s">
        <v>338</v>
      </c>
      <c r="D56" s="283"/>
      <c r="E56" s="308">
        <v>0</v>
      </c>
      <c r="F56" s="282" t="s">
        <v>338</v>
      </c>
      <c r="G56" s="283"/>
      <c r="H56" s="312">
        <v>0</v>
      </c>
    </row>
    <row r="57" spans="2:9" x14ac:dyDescent="0.25">
      <c r="B57" s="278" t="s">
        <v>102</v>
      </c>
      <c r="C57" s="282" t="s">
        <v>315</v>
      </c>
      <c r="D57" s="286"/>
      <c r="E57" s="308">
        <v>0</v>
      </c>
      <c r="F57" s="282" t="s">
        <v>315</v>
      </c>
      <c r="G57" s="286"/>
      <c r="H57" s="288"/>
    </row>
    <row r="58" spans="2:9" ht="15.75" thickBot="1" x14ac:dyDescent="0.3">
      <c r="B58" s="292" t="s">
        <v>352</v>
      </c>
      <c r="C58" s="293" t="s">
        <v>315</v>
      </c>
      <c r="D58" s="296"/>
      <c r="E58" s="313">
        <v>0</v>
      </c>
      <c r="F58" s="293" t="s">
        <v>315</v>
      </c>
      <c r="G58" s="296"/>
      <c r="H58" s="297"/>
      <c r="I58" s="315" t="s">
        <v>353</v>
      </c>
    </row>
    <row r="59" spans="2:9" ht="15.75" thickBot="1" x14ac:dyDescent="0.3">
      <c r="C59" s="265" t="s">
        <v>159</v>
      </c>
      <c r="D59" s="266"/>
      <c r="E59" s="266"/>
      <c r="F59" s="265" t="s">
        <v>307</v>
      </c>
      <c r="G59" s="266"/>
      <c r="H59" s="267"/>
      <c r="I59"/>
    </row>
    <row r="60" spans="2:9" x14ac:dyDescent="0.25">
      <c r="B60" s="270" t="s">
        <v>354</v>
      </c>
      <c r="C60" s="271" t="s">
        <v>309</v>
      </c>
      <c r="D60" s="272" t="s">
        <v>310</v>
      </c>
      <c r="E60" s="273" t="s">
        <v>311</v>
      </c>
      <c r="F60" s="274" t="s">
        <v>312</v>
      </c>
      <c r="G60" s="275"/>
      <c r="H60" s="276" t="s">
        <v>311</v>
      </c>
    </row>
    <row r="61" spans="2:9" x14ac:dyDescent="0.25">
      <c r="B61" s="278" t="s">
        <v>147</v>
      </c>
      <c r="C61" s="282" t="s">
        <v>355</v>
      </c>
      <c r="D61" s="283"/>
      <c r="E61" s="308">
        <v>0</v>
      </c>
      <c r="F61" s="282" t="s">
        <v>355</v>
      </c>
      <c r="G61" s="286"/>
      <c r="H61" s="288"/>
    </row>
    <row r="62" spans="2:9" x14ac:dyDescent="0.25">
      <c r="B62" s="278" t="s">
        <v>148</v>
      </c>
      <c r="C62" s="282" t="s">
        <v>356</v>
      </c>
      <c r="D62" s="283"/>
      <c r="E62" s="308">
        <v>0</v>
      </c>
      <c r="F62" s="282" t="s">
        <v>356</v>
      </c>
      <c r="G62" s="286"/>
      <c r="H62" s="288"/>
    </row>
    <row r="63" spans="2:9" x14ac:dyDescent="0.25">
      <c r="B63" s="278" t="s">
        <v>357</v>
      </c>
      <c r="C63" s="279" t="s">
        <v>314</v>
      </c>
      <c r="D63" s="299" t="s">
        <v>178</v>
      </c>
      <c r="E63" s="281">
        <v>33000</v>
      </c>
      <c r="F63" s="282" t="s">
        <v>315</v>
      </c>
      <c r="G63" s="286"/>
      <c r="H63" s="288"/>
    </row>
    <row r="64" spans="2:9" x14ac:dyDescent="0.25">
      <c r="B64" s="278" t="s">
        <v>149</v>
      </c>
      <c r="C64" s="279" t="s">
        <v>321</v>
      </c>
      <c r="D64" s="299" t="s">
        <v>358</v>
      </c>
      <c r="E64" s="304">
        <v>60</v>
      </c>
      <c r="F64" s="305" t="s">
        <v>359</v>
      </c>
      <c r="G64" s="306"/>
      <c r="H64" s="307"/>
    </row>
    <row r="65" spans="2:10" x14ac:dyDescent="0.25">
      <c r="B65" s="278" t="s">
        <v>88</v>
      </c>
      <c r="C65" s="323" t="s">
        <v>324</v>
      </c>
      <c r="D65" s="324" t="s">
        <v>360</v>
      </c>
      <c r="E65" s="325">
        <v>0</v>
      </c>
      <c r="F65" s="326" t="s">
        <v>326</v>
      </c>
      <c r="G65" s="327"/>
      <c r="H65" s="328"/>
    </row>
    <row r="66" spans="2:10" x14ac:dyDescent="0.25">
      <c r="B66" s="278" t="s">
        <v>89</v>
      </c>
      <c r="C66" s="282" t="s">
        <v>327</v>
      </c>
      <c r="D66" s="283"/>
      <c r="E66" s="308">
        <v>1</v>
      </c>
      <c r="F66" s="282" t="s">
        <v>328</v>
      </c>
      <c r="G66" s="286"/>
      <c r="H66" s="288"/>
    </row>
    <row r="67" spans="2:10" x14ac:dyDescent="0.25">
      <c r="B67" s="278" t="s">
        <v>361</v>
      </c>
      <c r="C67" s="279" t="s">
        <v>319</v>
      </c>
      <c r="D67" s="299" t="s">
        <v>389</v>
      </c>
      <c r="E67" s="281">
        <v>55</v>
      </c>
      <c r="F67" s="282" t="s">
        <v>315</v>
      </c>
      <c r="G67" s="286"/>
      <c r="H67" s="288"/>
    </row>
    <row r="68" spans="2:10" x14ac:dyDescent="0.25">
      <c r="B68" s="278" t="s">
        <v>150</v>
      </c>
      <c r="C68" s="279" t="s">
        <v>319</v>
      </c>
      <c r="D68" s="299" t="s">
        <v>390</v>
      </c>
      <c r="E68" s="281">
        <v>220</v>
      </c>
      <c r="F68" s="282" t="s">
        <v>315</v>
      </c>
      <c r="G68" s="286"/>
      <c r="H68" s="288"/>
    </row>
    <row r="69" spans="2:10" x14ac:dyDescent="0.25">
      <c r="B69" s="278" t="s">
        <v>151</v>
      </c>
      <c r="C69" s="279" t="s">
        <v>319</v>
      </c>
      <c r="D69" s="299" t="s">
        <v>389</v>
      </c>
      <c r="E69" s="281">
        <v>55</v>
      </c>
      <c r="F69" s="282" t="s">
        <v>315</v>
      </c>
      <c r="G69" s="286"/>
      <c r="H69" s="288"/>
    </row>
    <row r="70" spans="2:10" ht="15.75" thickBot="1" x14ac:dyDescent="0.3">
      <c r="B70" s="292" t="s">
        <v>146</v>
      </c>
      <c r="C70" s="293" t="s">
        <v>315</v>
      </c>
      <c r="D70" s="296"/>
      <c r="E70" s="313">
        <v>2</v>
      </c>
      <c r="F70" s="293" t="s">
        <v>315</v>
      </c>
      <c r="G70" s="296"/>
      <c r="H70" s="297"/>
    </row>
    <row r="71" spans="2:10" ht="15.75" thickBot="1" x14ac:dyDescent="0.3">
      <c r="C71" s="265" t="s">
        <v>159</v>
      </c>
      <c r="D71" s="266"/>
      <c r="E71" s="266"/>
      <c r="F71" s="265" t="s">
        <v>307</v>
      </c>
      <c r="G71" s="266"/>
      <c r="H71" s="267"/>
      <c r="I71" s="316" t="s">
        <v>362</v>
      </c>
    </row>
    <row r="72" spans="2:10" x14ac:dyDescent="0.25">
      <c r="B72" s="270" t="s">
        <v>239</v>
      </c>
      <c r="C72" s="271" t="s">
        <v>309</v>
      </c>
      <c r="D72" s="272" t="s">
        <v>310</v>
      </c>
      <c r="E72" s="273" t="s">
        <v>311</v>
      </c>
      <c r="F72" s="274" t="s">
        <v>312</v>
      </c>
      <c r="G72" s="275"/>
      <c r="H72" s="276" t="s">
        <v>311</v>
      </c>
      <c r="I72" s="317"/>
    </row>
    <row r="73" spans="2:10" x14ac:dyDescent="0.25">
      <c r="B73" s="278" t="s">
        <v>121</v>
      </c>
      <c r="C73" s="282" t="s">
        <v>363</v>
      </c>
      <c r="D73" s="283"/>
      <c r="E73" s="308">
        <v>0</v>
      </c>
      <c r="F73" s="282" t="s">
        <v>364</v>
      </c>
      <c r="G73" s="286"/>
      <c r="H73" s="288"/>
      <c r="I73" s="318" t="s">
        <v>363</v>
      </c>
      <c r="J73" s="319" t="s">
        <v>365</v>
      </c>
    </row>
    <row r="74" spans="2:10" x14ac:dyDescent="0.25">
      <c r="B74" s="278" t="s">
        <v>103</v>
      </c>
      <c r="C74" s="282" t="s">
        <v>364</v>
      </c>
      <c r="D74" s="283"/>
      <c r="E74" s="281">
        <v>77.64</v>
      </c>
      <c r="F74" s="282" t="s">
        <v>315</v>
      </c>
      <c r="G74" s="286"/>
      <c r="H74" s="288"/>
      <c r="I74" s="320" t="s">
        <v>366</v>
      </c>
    </row>
    <row r="75" spans="2:10" x14ac:dyDescent="0.25">
      <c r="B75" s="278" t="s">
        <v>104</v>
      </c>
      <c r="C75" s="282" t="s">
        <v>317</v>
      </c>
      <c r="D75" s="286"/>
      <c r="E75" s="308">
        <v>0</v>
      </c>
      <c r="F75" s="282" t="s">
        <v>315</v>
      </c>
      <c r="G75" s="286"/>
      <c r="H75" s="288"/>
      <c r="I75" s="320"/>
    </row>
    <row r="76" spans="2:10" x14ac:dyDescent="0.25">
      <c r="B76" s="278" t="s">
        <v>105</v>
      </c>
      <c r="C76" s="282" t="s">
        <v>317</v>
      </c>
      <c r="D76" s="286"/>
      <c r="E76" s="308">
        <v>0</v>
      </c>
      <c r="F76" s="282" t="s">
        <v>315</v>
      </c>
      <c r="G76" s="286"/>
      <c r="H76" s="288"/>
      <c r="I76" s="320"/>
    </row>
    <row r="77" spans="2:10" x14ac:dyDescent="0.25">
      <c r="B77" s="278" t="s">
        <v>106</v>
      </c>
      <c r="C77" s="282" t="s">
        <v>317</v>
      </c>
      <c r="D77" s="286"/>
      <c r="E77" s="308">
        <v>0</v>
      </c>
      <c r="F77" s="282" t="s">
        <v>315</v>
      </c>
      <c r="G77" s="286"/>
      <c r="H77" s="288"/>
      <c r="I77" s="320"/>
    </row>
    <row r="78" spans="2:10" x14ac:dyDescent="0.25">
      <c r="B78" s="278" t="s">
        <v>107</v>
      </c>
      <c r="C78" s="282" t="s">
        <v>317</v>
      </c>
      <c r="D78" s="286"/>
      <c r="E78" s="308">
        <v>0</v>
      </c>
      <c r="F78" s="282" t="s">
        <v>315</v>
      </c>
      <c r="G78" s="286"/>
      <c r="H78" s="288"/>
      <c r="I78" s="320"/>
    </row>
    <row r="79" spans="2:10" x14ac:dyDescent="0.25">
      <c r="B79" s="278" t="s">
        <v>142</v>
      </c>
      <c r="C79" s="282" t="s">
        <v>317</v>
      </c>
      <c r="D79" s="286"/>
      <c r="E79" s="308">
        <v>0</v>
      </c>
      <c r="F79" s="282" t="s">
        <v>315</v>
      </c>
      <c r="G79" s="286"/>
      <c r="H79" s="288"/>
      <c r="I79" s="320"/>
    </row>
    <row r="80" spans="2:10" x14ac:dyDescent="0.25">
      <c r="B80" s="278" t="s">
        <v>385</v>
      </c>
      <c r="C80" s="282" t="s">
        <v>317</v>
      </c>
      <c r="D80" s="286"/>
      <c r="E80" s="308">
        <v>0</v>
      </c>
      <c r="F80" s="282" t="s">
        <v>315</v>
      </c>
      <c r="G80" s="286"/>
      <c r="H80" s="288"/>
      <c r="I80" s="320"/>
      <c r="J80" s="392" t="s">
        <v>386</v>
      </c>
    </row>
    <row r="81" spans="2:9" x14ac:dyDescent="0.25">
      <c r="B81" s="278" t="s">
        <v>99</v>
      </c>
      <c r="C81" s="282" t="s">
        <v>338</v>
      </c>
      <c r="D81" s="283"/>
      <c r="E81" s="308">
        <v>0</v>
      </c>
      <c r="F81" s="282" t="s">
        <v>338</v>
      </c>
      <c r="G81" s="286"/>
      <c r="H81" s="288"/>
      <c r="I81" s="320"/>
    </row>
    <row r="82" spans="2:9" x14ac:dyDescent="0.25">
      <c r="B82" s="278" t="s">
        <v>88</v>
      </c>
      <c r="C82" s="323" t="s">
        <v>324</v>
      </c>
      <c r="D82" s="324" t="s">
        <v>367</v>
      </c>
      <c r="E82" s="325">
        <v>1.1000000000000001</v>
      </c>
      <c r="F82" s="326" t="s">
        <v>326</v>
      </c>
      <c r="G82" s="327"/>
      <c r="H82" s="328"/>
      <c r="I82" s="320"/>
    </row>
    <row r="83" spans="2:9" x14ac:dyDescent="0.25">
      <c r="B83" s="278" t="s">
        <v>89</v>
      </c>
      <c r="C83" s="282" t="s">
        <v>327</v>
      </c>
      <c r="D83" s="283"/>
      <c r="E83" s="308">
        <v>1</v>
      </c>
      <c r="F83" s="282" t="s">
        <v>328</v>
      </c>
      <c r="G83" s="286"/>
      <c r="H83" s="288"/>
      <c r="I83" s="320"/>
    </row>
    <row r="84" spans="2:9" x14ac:dyDescent="0.25">
      <c r="B84" s="278" t="s">
        <v>368</v>
      </c>
      <c r="C84" s="282" t="s">
        <v>317</v>
      </c>
      <c r="D84" s="286"/>
      <c r="E84" s="308">
        <v>0</v>
      </c>
      <c r="F84" s="282" t="s">
        <v>315</v>
      </c>
      <c r="G84" s="286"/>
      <c r="H84" s="288"/>
      <c r="I84" s="320"/>
    </row>
    <row r="85" spans="2:9" x14ac:dyDescent="0.25">
      <c r="B85" s="278" t="s">
        <v>375</v>
      </c>
      <c r="C85" s="279" t="s">
        <v>319</v>
      </c>
      <c r="D85" s="299" t="s">
        <v>369</v>
      </c>
      <c r="E85" s="281">
        <v>19.16</v>
      </c>
      <c r="F85" s="282" t="s">
        <v>315</v>
      </c>
      <c r="G85" s="286"/>
      <c r="H85" s="288"/>
      <c r="I85" s="320"/>
    </row>
    <row r="86" spans="2:9" x14ac:dyDescent="0.25">
      <c r="B86" s="278" t="s">
        <v>141</v>
      </c>
      <c r="C86" s="282" t="s">
        <v>317</v>
      </c>
      <c r="D86" s="286"/>
      <c r="E86" s="308">
        <v>0</v>
      </c>
      <c r="F86" s="282" t="s">
        <v>315</v>
      </c>
      <c r="G86" s="286"/>
      <c r="H86" s="288"/>
      <c r="I86" s="320"/>
    </row>
    <row r="87" spans="2:9" x14ac:dyDescent="0.25">
      <c r="B87" s="278" t="s">
        <v>108</v>
      </c>
      <c r="C87" s="282" t="s">
        <v>370</v>
      </c>
      <c r="D87" s="283"/>
      <c r="E87" s="308" t="s">
        <v>97</v>
      </c>
      <c r="F87" s="282" t="s">
        <v>370</v>
      </c>
      <c r="G87" s="286"/>
      <c r="H87" s="288"/>
      <c r="I87" s="320"/>
    </row>
    <row r="88" spans="2:9" ht="15.75" thickBot="1" x14ac:dyDescent="0.3">
      <c r="B88" s="292" t="s">
        <v>145</v>
      </c>
      <c r="C88" s="293" t="s">
        <v>317</v>
      </c>
      <c r="D88" s="296"/>
      <c r="E88" s="313">
        <v>0</v>
      </c>
      <c r="F88" s="293" t="s">
        <v>315</v>
      </c>
      <c r="G88" s="296"/>
      <c r="H88" s="297"/>
      <c r="I88" s="321"/>
    </row>
    <row r="89" spans="2:9" ht="15.75" thickBot="1" x14ac:dyDescent="0.3">
      <c r="C89" s="265" t="s">
        <v>159</v>
      </c>
      <c r="D89" s="266"/>
      <c r="E89" s="266"/>
      <c r="F89" s="265" t="s">
        <v>307</v>
      </c>
      <c r="G89" s="266"/>
      <c r="H89" s="267"/>
      <c r="I89"/>
    </row>
    <row r="90" spans="2:9" x14ac:dyDescent="0.25">
      <c r="B90" s="270" t="s">
        <v>109</v>
      </c>
      <c r="C90" s="271" t="s">
        <v>309</v>
      </c>
      <c r="D90" s="272" t="s">
        <v>310</v>
      </c>
      <c r="E90" s="273" t="s">
        <v>311</v>
      </c>
      <c r="F90" s="274" t="s">
        <v>312</v>
      </c>
      <c r="G90" s="275"/>
      <c r="H90" s="276" t="s">
        <v>311</v>
      </c>
    </row>
    <row r="91" spans="2:9" x14ac:dyDescent="0.25">
      <c r="B91" s="278" t="s">
        <v>110</v>
      </c>
      <c r="C91" s="279" t="s">
        <v>319</v>
      </c>
      <c r="D91" s="299" t="s">
        <v>371</v>
      </c>
      <c r="E91" s="281">
        <v>2</v>
      </c>
      <c r="F91" s="282" t="s">
        <v>383</v>
      </c>
      <c r="G91" s="283"/>
      <c r="H91" s="284">
        <v>2.9329999999999998</v>
      </c>
    </row>
    <row r="92" spans="2:9" x14ac:dyDescent="0.25">
      <c r="B92" s="278" t="s">
        <v>111</v>
      </c>
      <c r="C92" s="279" t="s">
        <v>321</v>
      </c>
      <c r="D92" s="299" t="s">
        <v>372</v>
      </c>
      <c r="E92" s="304">
        <v>0.41699999999999998</v>
      </c>
      <c r="F92" s="305" t="s">
        <v>373</v>
      </c>
      <c r="G92" s="306"/>
      <c r="H92" s="307"/>
    </row>
    <row r="93" spans="2:9" x14ac:dyDescent="0.25">
      <c r="B93" s="278" t="s">
        <v>112</v>
      </c>
      <c r="C93" s="282" t="s">
        <v>338</v>
      </c>
      <c r="D93" s="283"/>
      <c r="E93" s="308">
        <v>0</v>
      </c>
      <c r="F93" s="282" t="s">
        <v>338</v>
      </c>
      <c r="G93" s="286"/>
      <c r="H93" s="288"/>
    </row>
    <row r="94" spans="2:9" x14ac:dyDescent="0.25">
      <c r="B94" s="278" t="s">
        <v>88</v>
      </c>
      <c r="C94" s="323" t="s">
        <v>324</v>
      </c>
      <c r="D94" s="324" t="s">
        <v>374</v>
      </c>
      <c r="E94" s="325">
        <v>0.1</v>
      </c>
      <c r="F94" s="326" t="s">
        <v>326</v>
      </c>
      <c r="G94" s="327"/>
      <c r="H94" s="328"/>
    </row>
    <row r="95" spans="2:9" x14ac:dyDescent="0.25">
      <c r="B95" s="278" t="s">
        <v>89</v>
      </c>
      <c r="C95" s="282" t="s">
        <v>327</v>
      </c>
      <c r="D95" s="283"/>
      <c r="E95" s="308">
        <v>1</v>
      </c>
      <c r="F95" s="282" t="s">
        <v>328</v>
      </c>
      <c r="G95" s="286"/>
      <c r="H95" s="288"/>
    </row>
    <row r="96" spans="2:9" x14ac:dyDescent="0.25">
      <c r="B96" s="278" t="s">
        <v>114</v>
      </c>
      <c r="C96" s="282" t="s">
        <v>315</v>
      </c>
      <c r="D96" s="286"/>
      <c r="E96" s="308">
        <v>2.5169999999999999</v>
      </c>
      <c r="F96" s="282" t="s">
        <v>315</v>
      </c>
      <c r="G96" s="286"/>
      <c r="H96" s="288"/>
    </row>
    <row r="97" spans="2:8" x14ac:dyDescent="0.25">
      <c r="B97" s="278" t="s">
        <v>115</v>
      </c>
      <c r="C97" s="282" t="s">
        <v>315</v>
      </c>
      <c r="D97" s="286"/>
      <c r="E97" s="308">
        <v>0</v>
      </c>
      <c r="F97" s="282" t="s">
        <v>315</v>
      </c>
      <c r="G97" s="286"/>
      <c r="H97" s="288"/>
    </row>
    <row r="98" spans="2:8" ht="15.75" thickBot="1" x14ac:dyDescent="0.3">
      <c r="B98" s="292" t="s">
        <v>132</v>
      </c>
      <c r="C98" s="293" t="s">
        <v>315</v>
      </c>
      <c r="D98" s="294"/>
      <c r="E98" s="322">
        <v>2.9329999999999998</v>
      </c>
      <c r="F98" s="293" t="s">
        <v>315</v>
      </c>
      <c r="G98" s="296"/>
      <c r="H98" s="297"/>
    </row>
  </sheetData>
  <mergeCells count="160">
    <mergeCell ref="C96:D96"/>
    <mergeCell ref="F96:H96"/>
    <mergeCell ref="C97:D97"/>
    <mergeCell ref="F97:H97"/>
    <mergeCell ref="C98:D98"/>
    <mergeCell ref="F98:H98"/>
    <mergeCell ref="F92:H92"/>
    <mergeCell ref="C93:D93"/>
    <mergeCell ref="F93:H93"/>
    <mergeCell ref="F94:H94"/>
    <mergeCell ref="C95:D95"/>
    <mergeCell ref="F95:H95"/>
    <mergeCell ref="C88:D88"/>
    <mergeCell ref="F88:H88"/>
    <mergeCell ref="C89:E89"/>
    <mergeCell ref="F89:H89"/>
    <mergeCell ref="F90:G90"/>
    <mergeCell ref="F91:G91"/>
    <mergeCell ref="C84:D84"/>
    <mergeCell ref="F84:H84"/>
    <mergeCell ref="F85:H85"/>
    <mergeCell ref="C86:D86"/>
    <mergeCell ref="F86:H86"/>
    <mergeCell ref="C87:D87"/>
    <mergeCell ref="F87:H87"/>
    <mergeCell ref="C80:D80"/>
    <mergeCell ref="F80:H80"/>
    <mergeCell ref="C81:D81"/>
    <mergeCell ref="F81:H81"/>
    <mergeCell ref="F82:H82"/>
    <mergeCell ref="C83:D83"/>
    <mergeCell ref="F83:H83"/>
    <mergeCell ref="F76:H76"/>
    <mergeCell ref="C77:D77"/>
    <mergeCell ref="F77:H77"/>
    <mergeCell ref="C78:D78"/>
    <mergeCell ref="F78:H78"/>
    <mergeCell ref="C79:D79"/>
    <mergeCell ref="F79:H79"/>
    <mergeCell ref="I71:I72"/>
    <mergeCell ref="F72:G72"/>
    <mergeCell ref="C73:D73"/>
    <mergeCell ref="F73:H73"/>
    <mergeCell ref="C74:D74"/>
    <mergeCell ref="F74:H74"/>
    <mergeCell ref="I74:I88"/>
    <mergeCell ref="C75:D75"/>
    <mergeCell ref="F75:H75"/>
    <mergeCell ref="C76:D76"/>
    <mergeCell ref="F67:H67"/>
    <mergeCell ref="F68:H68"/>
    <mergeCell ref="F69:H69"/>
    <mergeCell ref="C70:D70"/>
    <mergeCell ref="F70:H70"/>
    <mergeCell ref="C71:E71"/>
    <mergeCell ref="F71:H71"/>
    <mergeCell ref="C62:D62"/>
    <mergeCell ref="F62:H62"/>
    <mergeCell ref="F63:H63"/>
    <mergeCell ref="F64:H64"/>
    <mergeCell ref="F65:H65"/>
    <mergeCell ref="C66:D66"/>
    <mergeCell ref="F66:H66"/>
    <mergeCell ref="C58:D58"/>
    <mergeCell ref="F58:H58"/>
    <mergeCell ref="C59:E59"/>
    <mergeCell ref="F59:H59"/>
    <mergeCell ref="F60:G60"/>
    <mergeCell ref="C61:D61"/>
    <mergeCell ref="F61:H61"/>
    <mergeCell ref="C55:D55"/>
    <mergeCell ref="F55:H55"/>
    <mergeCell ref="C56:D56"/>
    <mergeCell ref="F56:G56"/>
    <mergeCell ref="C57:D57"/>
    <mergeCell ref="F57:H57"/>
    <mergeCell ref="F50:G50"/>
    <mergeCell ref="F52:H52"/>
    <mergeCell ref="F53:H53"/>
    <mergeCell ref="C54:D54"/>
    <mergeCell ref="F54:H54"/>
    <mergeCell ref="F51:H51"/>
    <mergeCell ref="C47:D47"/>
    <mergeCell ref="F47:H47"/>
    <mergeCell ref="C48:D48"/>
    <mergeCell ref="F48:H48"/>
    <mergeCell ref="C49:E49"/>
    <mergeCell ref="F49:H49"/>
    <mergeCell ref="C44:D44"/>
    <mergeCell ref="F44:H44"/>
    <mergeCell ref="C45:D45"/>
    <mergeCell ref="F45:G45"/>
    <mergeCell ref="C46:D46"/>
    <mergeCell ref="F46:H46"/>
    <mergeCell ref="F39:G39"/>
    <mergeCell ref="F41:H41"/>
    <mergeCell ref="F42:H42"/>
    <mergeCell ref="C43:D43"/>
    <mergeCell ref="F43:H43"/>
    <mergeCell ref="F40:H40"/>
    <mergeCell ref="C36:D36"/>
    <mergeCell ref="F36:G36"/>
    <mergeCell ref="C37:D37"/>
    <mergeCell ref="F37:G37"/>
    <mergeCell ref="C38:E38"/>
    <mergeCell ref="F38:H38"/>
    <mergeCell ref="C33:D33"/>
    <mergeCell ref="F33:H33"/>
    <mergeCell ref="C34:D34"/>
    <mergeCell ref="F34:H34"/>
    <mergeCell ref="C35:D35"/>
    <mergeCell ref="F35:H35"/>
    <mergeCell ref="F28:G28"/>
    <mergeCell ref="F29:G29"/>
    <mergeCell ref="F30:H30"/>
    <mergeCell ref="F31:H31"/>
    <mergeCell ref="C32:D32"/>
    <mergeCell ref="F32:H32"/>
    <mergeCell ref="C25:D25"/>
    <mergeCell ref="F25:H25"/>
    <mergeCell ref="C26:D26"/>
    <mergeCell ref="F26:H26"/>
    <mergeCell ref="C27:E27"/>
    <mergeCell ref="F27:H27"/>
    <mergeCell ref="F21:H21"/>
    <mergeCell ref="F22:H22"/>
    <mergeCell ref="C23:D23"/>
    <mergeCell ref="F23:H23"/>
    <mergeCell ref="C24:D24"/>
    <mergeCell ref="F24:H24"/>
    <mergeCell ref="C17:D17"/>
    <mergeCell ref="F17:H17"/>
    <mergeCell ref="C18:E18"/>
    <mergeCell ref="F18:H18"/>
    <mergeCell ref="F19:G19"/>
    <mergeCell ref="F20:G20"/>
    <mergeCell ref="C14:D14"/>
    <mergeCell ref="F14:H14"/>
    <mergeCell ref="C15:D15"/>
    <mergeCell ref="F15:H15"/>
    <mergeCell ref="C16:D16"/>
    <mergeCell ref="F16:H16"/>
    <mergeCell ref="F9:G9"/>
    <mergeCell ref="F10:G10"/>
    <mergeCell ref="F11:H11"/>
    <mergeCell ref="F12:H12"/>
    <mergeCell ref="C13:D13"/>
    <mergeCell ref="F13:H13"/>
    <mergeCell ref="C6:D6"/>
    <mergeCell ref="F6:H6"/>
    <mergeCell ref="C7:D7"/>
    <mergeCell ref="F7:H7"/>
    <mergeCell ref="C8:E8"/>
    <mergeCell ref="F8:H8"/>
    <mergeCell ref="C2:E2"/>
    <mergeCell ref="F2:H2"/>
    <mergeCell ref="F3:G3"/>
    <mergeCell ref="F4:G4"/>
    <mergeCell ref="C5:D5"/>
    <mergeCell ref="F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BY100"/>
  <sheetViews>
    <sheetView tabSelected="1" zoomScale="115" zoomScaleNormal="115" workbookViewId="0">
      <pane xSplit="2" ySplit="3" topLeftCell="C73" activePane="bottomRight" state="frozen"/>
      <selection pane="topRight" activeCell="C1" sqref="C1"/>
      <selection pane="bottomLeft" activeCell="A2" sqref="A2"/>
      <selection pane="bottomRight" activeCell="F90" sqref="F90"/>
    </sheetView>
  </sheetViews>
  <sheetFormatPr defaultRowHeight="15" x14ac:dyDescent="0.25"/>
  <cols>
    <col min="1" max="1" width="2.140625" style="56" bestFit="1" customWidth="1"/>
    <col min="2" max="2" width="46.140625" style="54" customWidth="1"/>
    <col min="3" max="3" width="5.5703125" style="112" bestFit="1" customWidth="1"/>
    <col min="4" max="4" width="9.28515625" style="331" customWidth="1"/>
    <col min="5" max="5" width="9.28515625" style="67" customWidth="1"/>
    <col min="6" max="10" width="9.28515625" style="56" customWidth="1"/>
    <col min="11" max="28" width="9.28515625" style="56" bestFit="1" customWidth="1"/>
    <col min="29" max="29" width="9.28515625" style="55" bestFit="1" customWidth="1"/>
    <col min="30" max="52" width="9.28515625" style="56" bestFit="1" customWidth="1"/>
    <col min="53" max="53" width="9.28515625" style="55" bestFit="1" customWidth="1"/>
    <col min="54" max="63" width="9.28515625" style="56" bestFit="1" customWidth="1"/>
    <col min="64" max="76" width="10.42578125" style="56" bestFit="1" customWidth="1"/>
    <col min="77" max="77" width="8.5703125" style="55" bestFit="1" customWidth="1"/>
    <col min="78" max="16384" width="9.140625" style="56"/>
  </cols>
  <sheetData>
    <row r="1" spans="2:77" x14ac:dyDescent="0.25">
      <c r="C1" s="268" t="s">
        <v>255</v>
      </c>
      <c r="D1" s="70"/>
      <c r="E1" s="277"/>
      <c r="F1" s="397" t="s">
        <v>179</v>
      </c>
      <c r="H1" s="289"/>
      <c r="I1" s="290" t="s">
        <v>316</v>
      </c>
    </row>
    <row r="2" spans="2:77" x14ac:dyDescent="0.25">
      <c r="C2" s="56"/>
      <c r="D2" s="56"/>
      <c r="E2" s="285"/>
      <c r="F2" s="398" t="s">
        <v>235</v>
      </c>
      <c r="H2" s="329"/>
      <c r="I2" s="1" t="s">
        <v>376</v>
      </c>
    </row>
    <row r="3" spans="2:77" x14ac:dyDescent="0.25">
      <c r="B3" s="70" t="s">
        <v>133</v>
      </c>
      <c r="C3" s="111"/>
      <c r="D3" s="330"/>
    </row>
    <row r="4" spans="2:77" s="64" customFormat="1" ht="15.75" thickBot="1" x14ac:dyDescent="0.3">
      <c r="B4" s="342" t="s">
        <v>136</v>
      </c>
      <c r="C4" s="343"/>
      <c r="D4" s="344" t="s">
        <v>159</v>
      </c>
      <c r="E4" s="345">
        <v>4.1666666666666664E-2</v>
      </c>
      <c r="F4" s="345">
        <v>8.3333333333333301E-2</v>
      </c>
      <c r="G4" s="345">
        <v>0.125</v>
      </c>
      <c r="H4" s="345">
        <v>0.16666666666666699</v>
      </c>
      <c r="I4" s="345">
        <v>0.20833333333333301</v>
      </c>
      <c r="J4" s="345">
        <v>0.25</v>
      </c>
      <c r="K4" s="345">
        <v>0.29166666666666702</v>
      </c>
      <c r="L4" s="345">
        <v>0.33333333333333298</v>
      </c>
      <c r="M4" s="345">
        <v>0.375</v>
      </c>
      <c r="N4" s="345">
        <v>0.41666666666666702</v>
      </c>
      <c r="O4" s="345">
        <v>0.45833333333333298</v>
      </c>
      <c r="P4" s="345">
        <v>0.5</v>
      </c>
      <c r="Q4" s="345">
        <v>0.54166666666666696</v>
      </c>
      <c r="R4" s="345">
        <v>0.58333333333333304</v>
      </c>
      <c r="S4" s="345">
        <v>0.625</v>
      </c>
      <c r="T4" s="345">
        <v>0.66666666666666696</v>
      </c>
      <c r="U4" s="345">
        <v>0.70833333333333304</v>
      </c>
      <c r="V4" s="345">
        <v>0.75</v>
      </c>
      <c r="W4" s="345">
        <v>0.79166666666666696</v>
      </c>
      <c r="X4" s="345">
        <v>0.83333333333333304</v>
      </c>
      <c r="Y4" s="345">
        <v>0.875</v>
      </c>
      <c r="Z4" s="345">
        <v>0.91666666666666696</v>
      </c>
      <c r="AA4" s="345">
        <v>0.95833333333333404</v>
      </c>
      <c r="AB4" s="345">
        <v>1</v>
      </c>
      <c r="AC4" s="346">
        <v>1.0416666666666701</v>
      </c>
      <c r="AD4" s="345">
        <v>1.0833333333333299</v>
      </c>
      <c r="AE4" s="345">
        <v>0.125</v>
      </c>
      <c r="AF4" s="345">
        <v>0.16666666666666699</v>
      </c>
      <c r="AG4" s="345">
        <v>0.20833333333333301</v>
      </c>
      <c r="AH4" s="345">
        <v>0.25</v>
      </c>
      <c r="AI4" s="345">
        <v>0.29166666666666702</v>
      </c>
      <c r="AJ4" s="345">
        <v>0.33333333333333298</v>
      </c>
      <c r="AK4" s="345">
        <v>0.375</v>
      </c>
      <c r="AL4" s="345">
        <v>0.41666666666666702</v>
      </c>
      <c r="AM4" s="345">
        <v>0.45833333333333298</v>
      </c>
      <c r="AN4" s="345">
        <v>0.5</v>
      </c>
      <c r="AO4" s="345">
        <v>0.54166666666666696</v>
      </c>
      <c r="AP4" s="345">
        <v>0.58333333333333304</v>
      </c>
      <c r="AQ4" s="345">
        <v>0.625</v>
      </c>
      <c r="AR4" s="345">
        <v>0.66666666666666696</v>
      </c>
      <c r="AS4" s="345">
        <v>0.70833333333333304</v>
      </c>
      <c r="AT4" s="345">
        <v>0.75</v>
      </c>
      <c r="AU4" s="345">
        <v>0.79166666666666696</v>
      </c>
      <c r="AV4" s="345">
        <v>0.83333333333333304</v>
      </c>
      <c r="AW4" s="345">
        <v>0.875</v>
      </c>
      <c r="AX4" s="345">
        <v>0.91666666666666696</v>
      </c>
      <c r="AY4" s="345">
        <v>0.95833333333333404</v>
      </c>
      <c r="AZ4" s="345">
        <v>1</v>
      </c>
      <c r="BA4" s="346">
        <v>1.0416666666666701</v>
      </c>
      <c r="BB4" s="345">
        <v>1.0833333333333299</v>
      </c>
      <c r="BC4" s="345">
        <v>0.125</v>
      </c>
      <c r="BD4" s="345">
        <v>0.16666666666666699</v>
      </c>
      <c r="BE4" s="345">
        <v>0.20833333333333301</v>
      </c>
      <c r="BF4" s="345">
        <v>0.25</v>
      </c>
      <c r="BG4" s="345">
        <v>0.29166666666666702</v>
      </c>
      <c r="BH4" s="345">
        <v>0.33333333333333298</v>
      </c>
      <c r="BI4" s="345">
        <v>0.375</v>
      </c>
      <c r="BJ4" s="345">
        <v>0.41666666666666702</v>
      </c>
      <c r="BK4" s="345">
        <v>0.45833333333333298</v>
      </c>
      <c r="BL4" s="345">
        <v>0.5</v>
      </c>
      <c r="BM4" s="345">
        <v>0.54166666666666696</v>
      </c>
      <c r="BN4" s="345">
        <v>0.58333333333333304</v>
      </c>
      <c r="BO4" s="345">
        <v>0.625</v>
      </c>
      <c r="BP4" s="345">
        <v>0.66666666666666696</v>
      </c>
      <c r="BQ4" s="345">
        <v>0.70833333333333304</v>
      </c>
      <c r="BR4" s="345">
        <v>0.75</v>
      </c>
      <c r="BS4" s="345">
        <v>0.79166666666666696</v>
      </c>
      <c r="BT4" s="345">
        <v>0.83333333333333304</v>
      </c>
      <c r="BU4" s="345">
        <v>0.875</v>
      </c>
      <c r="BV4" s="345">
        <v>0.91666666666666696</v>
      </c>
      <c r="BW4" s="345">
        <v>0.95833333333333404</v>
      </c>
      <c r="BX4" s="345">
        <v>1</v>
      </c>
      <c r="BY4" s="346"/>
    </row>
    <row r="5" spans="2:77" x14ac:dyDescent="0.25">
      <c r="B5" s="54" t="s">
        <v>155</v>
      </c>
      <c r="D5" s="347">
        <v>8.875</v>
      </c>
      <c r="E5" s="349">
        <f>D8</f>
        <v>8.875</v>
      </c>
      <c r="F5" s="61">
        <f t="shared" ref="F5:BQ5" si="0">E8</f>
        <v>8.875</v>
      </c>
      <c r="G5" s="61">
        <f t="shared" si="0"/>
        <v>8.875</v>
      </c>
      <c r="H5" s="61">
        <f t="shared" si="0"/>
        <v>8.875</v>
      </c>
      <c r="I5" s="61">
        <f t="shared" si="0"/>
        <v>8.875</v>
      </c>
      <c r="J5" s="61">
        <f t="shared" si="0"/>
        <v>8.875</v>
      </c>
      <c r="K5" s="61">
        <f t="shared" si="0"/>
        <v>8.875</v>
      </c>
      <c r="L5" s="61">
        <f t="shared" si="0"/>
        <v>8.6496777754614111</v>
      </c>
      <c r="M5" s="61">
        <f t="shared" si="0"/>
        <v>8.3567356714218217</v>
      </c>
      <c r="N5" s="61">
        <f t="shared" si="0"/>
        <v>8.0926010846521113</v>
      </c>
      <c r="O5" s="61">
        <f t="shared" si="0"/>
        <v>7.9149242934447717</v>
      </c>
      <c r="P5" s="61">
        <f t="shared" si="0"/>
        <v>7.7079201440772627</v>
      </c>
      <c r="Q5" s="61">
        <f t="shared" si="0"/>
        <v>7.5105772513092175</v>
      </c>
      <c r="R5" s="61">
        <f t="shared" si="0"/>
        <v>7.3034013077608204</v>
      </c>
      <c r="S5" s="61">
        <f t="shared" si="0"/>
        <v>7.1115721842756265</v>
      </c>
      <c r="T5" s="61">
        <f t="shared" si="0"/>
        <v>6.9321453936528883</v>
      </c>
      <c r="U5" s="61">
        <f t="shared" si="0"/>
        <v>6.7415150141183018</v>
      </c>
      <c r="V5" s="61">
        <f t="shared" si="0"/>
        <v>6.5514840065590194</v>
      </c>
      <c r="W5" s="61">
        <f t="shared" si="0"/>
        <v>6.356150890531465</v>
      </c>
      <c r="X5" s="61">
        <f t="shared" si="0"/>
        <v>6.1584664062574257</v>
      </c>
      <c r="Y5" s="61">
        <f t="shared" si="0"/>
        <v>5.9882051836260093</v>
      </c>
      <c r="Z5" s="61">
        <f t="shared" si="0"/>
        <v>5.8300938843705907</v>
      </c>
      <c r="AA5" s="61">
        <f t="shared" si="0"/>
        <v>5.7110591630481897</v>
      </c>
      <c r="AB5" s="61">
        <f t="shared" si="0"/>
        <v>6.5311366986920634</v>
      </c>
      <c r="AC5" s="61">
        <f t="shared" si="0"/>
        <v>7.3558429492561315</v>
      </c>
      <c r="AD5" s="61">
        <f t="shared" si="0"/>
        <v>8.1774554558067329</v>
      </c>
      <c r="AE5" s="61">
        <f t="shared" si="0"/>
        <v>8.875</v>
      </c>
      <c r="AF5" s="61">
        <f t="shared" si="0"/>
        <v>8.875</v>
      </c>
      <c r="AG5" s="61">
        <f t="shared" si="0"/>
        <v>8.875</v>
      </c>
      <c r="AH5" s="61">
        <f t="shared" si="0"/>
        <v>8.875</v>
      </c>
      <c r="AI5" s="61">
        <f t="shared" si="0"/>
        <v>8.875</v>
      </c>
      <c r="AJ5" s="61">
        <f t="shared" si="0"/>
        <v>8.875</v>
      </c>
      <c r="AK5" s="61">
        <f t="shared" si="0"/>
        <v>8.8085292053049447</v>
      </c>
      <c r="AL5" s="61">
        <f t="shared" si="0"/>
        <v>8.6282837930470251</v>
      </c>
      <c r="AM5" s="61">
        <f t="shared" si="0"/>
        <v>8.5153559842435662</v>
      </c>
      <c r="AN5" s="61">
        <f t="shared" si="0"/>
        <v>8.357595116606932</v>
      </c>
      <c r="AO5" s="61">
        <f t="shared" si="0"/>
        <v>8.2172483559062659</v>
      </c>
      <c r="AP5" s="61">
        <f t="shared" si="0"/>
        <v>8.0631921192569962</v>
      </c>
      <c r="AQ5" s="61">
        <f t="shared" si="0"/>
        <v>7.9264209152550551</v>
      </c>
      <c r="AR5" s="61">
        <f t="shared" si="0"/>
        <v>7.801082937823506</v>
      </c>
      <c r="AS5" s="61">
        <f t="shared" si="0"/>
        <v>7.665025924626141</v>
      </c>
      <c r="AT5" s="61">
        <f t="shared" si="0"/>
        <v>7.5293260068310639</v>
      </c>
      <c r="AU5" s="61">
        <f t="shared" si="0"/>
        <v>7.3884451188542224</v>
      </c>
      <c r="AV5" s="61">
        <f t="shared" si="0"/>
        <v>7.2760162701655728</v>
      </c>
      <c r="AW5" s="61">
        <f t="shared" si="0"/>
        <v>7.2257629414538433</v>
      </c>
      <c r="AX5" s="61">
        <f t="shared" si="0"/>
        <v>7.1394194302730343</v>
      </c>
      <c r="AY5" s="61">
        <f t="shared" si="0"/>
        <v>7.0661185878461445</v>
      </c>
      <c r="AZ5" s="61">
        <f t="shared" si="0"/>
        <v>7.9500591678280115</v>
      </c>
      <c r="BA5" s="61">
        <f t="shared" si="0"/>
        <v>8.875</v>
      </c>
      <c r="BB5" s="61">
        <f t="shared" si="0"/>
        <v>8.875</v>
      </c>
      <c r="BC5" s="61">
        <f t="shared" si="0"/>
        <v>8.875</v>
      </c>
      <c r="BD5" s="61">
        <f t="shared" si="0"/>
        <v>8.875</v>
      </c>
      <c r="BE5" s="61">
        <f t="shared" si="0"/>
        <v>8.875</v>
      </c>
      <c r="BF5" s="61">
        <f t="shared" si="0"/>
        <v>8.875</v>
      </c>
      <c r="BG5" s="61">
        <f t="shared" si="0"/>
        <v>8.875</v>
      </c>
      <c r="BH5" s="61">
        <f t="shared" si="0"/>
        <v>8.875</v>
      </c>
      <c r="BI5" s="61">
        <f t="shared" si="0"/>
        <v>8.8643323480467</v>
      </c>
      <c r="BJ5" s="61">
        <f t="shared" si="0"/>
        <v>8.7396814915546557</v>
      </c>
      <c r="BK5" s="61">
        <f t="shared" si="0"/>
        <v>8.6978837915292946</v>
      </c>
      <c r="BL5" s="61">
        <f t="shared" si="0"/>
        <v>8.6285610528916088</v>
      </c>
      <c r="BM5" s="61">
        <f t="shared" si="0"/>
        <v>8.5679984110794649</v>
      </c>
      <c r="BN5" s="61">
        <f t="shared" si="0"/>
        <v>8.4980532983739288</v>
      </c>
      <c r="BO5" s="61">
        <f t="shared" si="0"/>
        <v>8.4432297157881155</v>
      </c>
      <c r="BP5" s="61">
        <f t="shared" si="0"/>
        <v>8.4009211110364994</v>
      </c>
      <c r="BQ5" s="61">
        <f t="shared" si="0"/>
        <v>8.3473525948871643</v>
      </c>
      <c r="BR5" s="61">
        <f t="shared" ref="BR5:BX5" si="1">BQ8</f>
        <v>8.2944116119560682</v>
      </c>
      <c r="BS5" s="61">
        <f t="shared" si="1"/>
        <v>8.2361544399352322</v>
      </c>
      <c r="BT5" s="61">
        <f t="shared" si="1"/>
        <v>8.1755529399786457</v>
      </c>
      <c r="BU5" s="61">
        <f t="shared" si="1"/>
        <v>8.1423711815093149</v>
      </c>
      <c r="BV5" s="61">
        <f t="shared" si="1"/>
        <v>8.1213411064936665</v>
      </c>
      <c r="BW5" s="61">
        <f t="shared" si="1"/>
        <v>8.1401022928784563</v>
      </c>
      <c r="BX5" s="61">
        <f t="shared" si="1"/>
        <v>8.875</v>
      </c>
    </row>
    <row r="6" spans="2:77" x14ac:dyDescent="0.25">
      <c r="B6" s="354" t="s">
        <v>154</v>
      </c>
      <c r="C6" s="120"/>
      <c r="D6" s="382">
        <f>IF(C38="T",C27/12,C27/8)</f>
        <v>0</v>
      </c>
      <c r="E6" s="61">
        <f>IF(D38="T",D27/12,D27/8)</f>
        <v>0.62222222222222212</v>
      </c>
      <c r="F6" s="61">
        <f t="shared" ref="F6:BQ6" si="2">IF(E38="T",E27/12,E27/8)</f>
        <v>0.25367116378453597</v>
      </c>
      <c r="G6" s="61">
        <f t="shared" si="2"/>
        <v>0.4380580339395746</v>
      </c>
      <c r="H6" s="61">
        <f t="shared" si="2"/>
        <v>0.34597593979825086</v>
      </c>
      <c r="I6" s="61">
        <f t="shared" si="2"/>
        <v>0.39212832780510837</v>
      </c>
      <c r="J6" s="61">
        <f t="shared" si="2"/>
        <v>0.3691634747378752</v>
      </c>
      <c r="K6" s="61">
        <f t="shared" si="2"/>
        <v>0.57113586331153099</v>
      </c>
      <c r="L6" s="61">
        <f t="shared" si="2"/>
        <v>0.63685005805800909</v>
      </c>
      <c r="M6" s="61">
        <f t="shared" si="2"/>
        <v>0.60613685603360723</v>
      </c>
      <c r="N6" s="61">
        <f t="shared" si="2"/>
        <v>0.54863735239464539</v>
      </c>
      <c r="O6" s="61">
        <f t="shared" si="2"/>
        <v>0.57605902580029211</v>
      </c>
      <c r="P6" s="61">
        <f t="shared" si="2"/>
        <v>0.56449208444630605</v>
      </c>
      <c r="Q6" s="61">
        <f t="shared" si="2"/>
        <v>0.57241945047213627</v>
      </c>
      <c r="R6" s="61">
        <f t="shared" si="2"/>
        <v>0.57059966280805841</v>
      </c>
      <c r="S6" s="61">
        <f t="shared" si="2"/>
        <v>0.55629164519108121</v>
      </c>
      <c r="T6" s="61">
        <f t="shared" si="2"/>
        <v>0.56558954934840699</v>
      </c>
      <c r="U6" s="61">
        <f t="shared" si="2"/>
        <v>0.5630844926185814</v>
      </c>
      <c r="V6" s="61">
        <f t="shared" si="2"/>
        <v>0.56648091633233133</v>
      </c>
      <c r="W6" s="61">
        <f t="shared" si="2"/>
        <v>0.56692659982429372</v>
      </c>
      <c r="X6" s="61">
        <f t="shared" si="2"/>
        <v>0.53759765342714971</v>
      </c>
      <c r="Y6" s="61">
        <f t="shared" si="2"/>
        <v>0.5544060219745589</v>
      </c>
      <c r="Z6" s="61">
        <f t="shared" si="2"/>
        <v>0.51342375928702011</v>
      </c>
      <c r="AA6" s="61">
        <f t="shared" si="2"/>
        <v>0.35737252398641783</v>
      </c>
      <c r="AB6" s="61">
        <f t="shared" si="2"/>
        <v>0.35229844532144045</v>
      </c>
      <c r="AC6" s="61">
        <f t="shared" si="2"/>
        <v>0.35494682559012475</v>
      </c>
      <c r="AD6" s="61">
        <f t="shared" si="2"/>
        <v>0.35373397639197818</v>
      </c>
      <c r="AE6" s="61">
        <f t="shared" si="2"/>
        <v>0.3544517419272471</v>
      </c>
      <c r="AF6" s="61">
        <f t="shared" si="2"/>
        <v>0.35420420009580816</v>
      </c>
      <c r="AG6" s="61">
        <f t="shared" si="2"/>
        <v>0.35443931194772332</v>
      </c>
      <c r="AH6" s="61">
        <f t="shared" si="2"/>
        <v>0.35443309695796127</v>
      </c>
      <c r="AI6" s="61">
        <f t="shared" si="2"/>
        <v>0.35454754538903793</v>
      </c>
      <c r="AJ6" s="61">
        <f t="shared" si="2"/>
        <v>0.45690249316454273</v>
      </c>
      <c r="AK6" s="61">
        <f t="shared" si="2"/>
        <v>0.56877142597288699</v>
      </c>
      <c r="AL6" s="61">
        <f t="shared" si="2"/>
        <v>0.51498085491755219</v>
      </c>
      <c r="AM6" s="61">
        <f t="shared" si="2"/>
        <v>0.5579082289962034</v>
      </c>
      <c r="AN6" s="61">
        <f t="shared" si="2"/>
        <v>0.53858843730571504</v>
      </c>
      <c r="AO6" s="61">
        <f t="shared" si="2"/>
        <v>0.55039222849979652</v>
      </c>
      <c r="AP6" s="61">
        <f t="shared" si="2"/>
        <v>0.54663422825159291</v>
      </c>
      <c r="AQ6" s="61">
        <f t="shared" si="2"/>
        <v>0.53329531692667864</v>
      </c>
      <c r="AR6" s="61">
        <f t="shared" si="2"/>
        <v>0.54210866793797297</v>
      </c>
      <c r="AS6" s="61">
        <f t="shared" si="2"/>
        <v>0.53984588778116305</v>
      </c>
      <c r="AT6" s="61">
        <f t="shared" si="2"/>
        <v>0.54312117320840525</v>
      </c>
      <c r="AU6" s="61">
        <f t="shared" si="2"/>
        <v>0.54362742584362134</v>
      </c>
      <c r="AV6" s="61">
        <f t="shared" si="2"/>
        <v>0.47954622111217909</v>
      </c>
      <c r="AW6" s="61">
        <f t="shared" si="2"/>
        <v>0.51373071882673738</v>
      </c>
      <c r="AX6" s="61">
        <f t="shared" si="2"/>
        <v>0.49878236531829551</v>
      </c>
      <c r="AY6" s="61">
        <f t="shared" si="2"/>
        <v>0.38893362494756906</v>
      </c>
      <c r="AZ6" s="61">
        <f t="shared" si="2"/>
        <v>0.31266185851607869</v>
      </c>
      <c r="BA6" s="61">
        <f t="shared" si="2"/>
        <v>0.35090908266801946</v>
      </c>
      <c r="BB6" s="61">
        <f t="shared" si="2"/>
        <v>0.33189681152824468</v>
      </c>
      <c r="BC6" s="61">
        <f t="shared" si="2"/>
        <v>0.34151428803432754</v>
      </c>
      <c r="BD6" s="61">
        <f t="shared" si="2"/>
        <v>0.33681689071748172</v>
      </c>
      <c r="BE6" s="61">
        <f t="shared" si="2"/>
        <v>0.33927693031210016</v>
      </c>
      <c r="BF6" s="61">
        <f t="shared" si="2"/>
        <v>0.33815825145098649</v>
      </c>
      <c r="BG6" s="61">
        <f t="shared" si="2"/>
        <v>0.33882893181773888</v>
      </c>
      <c r="BH6" s="61">
        <f t="shared" si="2"/>
        <v>0.43290739885583734</v>
      </c>
      <c r="BI6" s="61">
        <f t="shared" si="2"/>
        <v>0.54498491864006005</v>
      </c>
      <c r="BJ6" s="61">
        <f t="shared" si="2"/>
        <v>0.49109005409678591</v>
      </c>
      <c r="BK6" s="61">
        <f t="shared" si="2"/>
        <v>0.51670940795458875</v>
      </c>
      <c r="BL6" s="61">
        <f t="shared" si="2"/>
        <v>0.50604362637452438</v>
      </c>
      <c r="BM6" s="61">
        <f t="shared" si="2"/>
        <v>0.51352041251339364</v>
      </c>
      <c r="BN6" s="61">
        <f t="shared" si="2"/>
        <v>0.51192591479279614</v>
      </c>
      <c r="BO6" s="61">
        <f t="shared" si="2"/>
        <v>0.49750525220407876</v>
      </c>
      <c r="BP6" s="61">
        <f t="shared" si="2"/>
        <v>0.50685947884727456</v>
      </c>
      <c r="BQ6" s="61">
        <f t="shared" si="2"/>
        <v>0.50432626087451382</v>
      </c>
      <c r="BR6" s="61">
        <f t="shared" ref="BR6:BX6" si="3">IF(BQ38="T",BQ27/12,BQ27/8)</f>
        <v>0.50773676520973143</v>
      </c>
      <c r="BS6" s="61">
        <f t="shared" si="3"/>
        <v>0.50817540839095965</v>
      </c>
      <c r="BT6" s="61">
        <f t="shared" si="3"/>
        <v>0.47884998214918267</v>
      </c>
      <c r="BU6" s="61">
        <f t="shared" si="3"/>
        <v>0.49565659061890838</v>
      </c>
      <c r="BV6" s="61">
        <f t="shared" si="3"/>
        <v>0.45467520797021116</v>
      </c>
      <c r="BW6" s="61">
        <f t="shared" si="3"/>
        <v>0.36766985713256867</v>
      </c>
      <c r="BX6" s="61">
        <f t="shared" si="3"/>
        <v>0.28732758882588366</v>
      </c>
    </row>
    <row r="7" spans="2:77" x14ac:dyDescent="0.25">
      <c r="B7" s="354" t="s">
        <v>153</v>
      </c>
      <c r="C7" s="120"/>
      <c r="D7" s="382">
        <f>IF(C38="T",C18/6,C18/18)</f>
        <v>0</v>
      </c>
      <c r="E7" s="61">
        <f>IF(D38="T",D18/6,D18/18)</f>
        <v>1.0422597893063008</v>
      </c>
      <c r="F7" s="61">
        <f t="shared" ref="F7:BQ7" si="4">IF(E38="T",E18/6,E18/18)</f>
        <v>1.0418144255615187</v>
      </c>
      <c r="G7" s="61">
        <f t="shared" si="4"/>
        <v>1.0413690618167362</v>
      </c>
      <c r="H7" s="61">
        <f t="shared" si="4"/>
        <v>1.0409236980719538</v>
      </c>
      <c r="I7" s="61">
        <f t="shared" si="4"/>
        <v>1.0404783343271713</v>
      </c>
      <c r="J7" s="61">
        <f t="shared" si="4"/>
        <v>1.040032970582389</v>
      </c>
      <c r="K7" s="61">
        <f t="shared" si="4"/>
        <v>0.34581363877294113</v>
      </c>
      <c r="L7" s="61">
        <f t="shared" si="4"/>
        <v>0.34390795401841912</v>
      </c>
      <c r="M7" s="61">
        <f t="shared" si="4"/>
        <v>0.3420022692638971</v>
      </c>
      <c r="N7" s="61">
        <f t="shared" si="4"/>
        <v>0.37096056118730525</v>
      </c>
      <c r="O7" s="61">
        <f t="shared" si="4"/>
        <v>0.36905487643278323</v>
      </c>
      <c r="P7" s="61">
        <f t="shared" si="4"/>
        <v>0.36714919167826132</v>
      </c>
      <c r="Q7" s="61">
        <f t="shared" si="4"/>
        <v>0.3652435069237393</v>
      </c>
      <c r="R7" s="61">
        <f t="shared" si="4"/>
        <v>0.37877053932286475</v>
      </c>
      <c r="S7" s="61">
        <f t="shared" si="4"/>
        <v>0.37686485456834279</v>
      </c>
      <c r="T7" s="61">
        <f t="shared" si="4"/>
        <v>0.37495916981382077</v>
      </c>
      <c r="U7" s="61">
        <f t="shared" si="4"/>
        <v>0.37305348505929881</v>
      </c>
      <c r="V7" s="61">
        <f t="shared" si="4"/>
        <v>0.37114780030477684</v>
      </c>
      <c r="W7" s="61">
        <f t="shared" si="4"/>
        <v>0.36924211555025482</v>
      </c>
      <c r="X7" s="61">
        <f t="shared" si="4"/>
        <v>0.36733643079573292</v>
      </c>
      <c r="Y7" s="61">
        <f t="shared" si="4"/>
        <v>0.39629472271914107</v>
      </c>
      <c r="Z7" s="61">
        <f t="shared" si="4"/>
        <v>0.3943890379646191</v>
      </c>
      <c r="AA7" s="61">
        <f t="shared" si="4"/>
        <v>1.1774500596302913</v>
      </c>
      <c r="AB7" s="61">
        <f t="shared" si="4"/>
        <v>1.1770046958855087</v>
      </c>
      <c r="AC7" s="61">
        <f t="shared" si="4"/>
        <v>1.1765593321407266</v>
      </c>
      <c r="AD7" s="61">
        <f t="shared" si="4"/>
        <v>1.1761139683959441</v>
      </c>
      <c r="AE7" s="61">
        <f t="shared" si="4"/>
        <v>1.1756686046511617</v>
      </c>
      <c r="AF7" s="61">
        <f t="shared" si="4"/>
        <v>1.1752232409063794</v>
      </c>
      <c r="AG7" s="61">
        <f t="shared" si="4"/>
        <v>1.1747778771615971</v>
      </c>
      <c r="AH7" s="61">
        <f t="shared" si="4"/>
        <v>1.1743325134168145</v>
      </c>
      <c r="AI7" s="61">
        <f t="shared" si="4"/>
        <v>1.1738871496720324</v>
      </c>
      <c r="AJ7" s="61">
        <f t="shared" si="4"/>
        <v>0.39043169846948877</v>
      </c>
      <c r="AK7" s="61">
        <f t="shared" si="4"/>
        <v>0.38852601371496681</v>
      </c>
      <c r="AL7" s="61">
        <f t="shared" si="4"/>
        <v>0.40205304611409226</v>
      </c>
      <c r="AM7" s="61">
        <f t="shared" si="4"/>
        <v>0.40014736135957024</v>
      </c>
      <c r="AN7" s="61">
        <f t="shared" si="4"/>
        <v>0.39824167660504828</v>
      </c>
      <c r="AO7" s="61">
        <f t="shared" si="4"/>
        <v>0.39633599185052631</v>
      </c>
      <c r="AP7" s="61">
        <f t="shared" si="4"/>
        <v>0.40986302424965171</v>
      </c>
      <c r="AQ7" s="61">
        <f t="shared" si="4"/>
        <v>0.40795733949512974</v>
      </c>
      <c r="AR7" s="61">
        <f t="shared" si="4"/>
        <v>0.40605165474060778</v>
      </c>
      <c r="AS7" s="61">
        <f t="shared" si="4"/>
        <v>0.40414596998608576</v>
      </c>
      <c r="AT7" s="61">
        <f t="shared" si="4"/>
        <v>0.40224028523156385</v>
      </c>
      <c r="AU7" s="61">
        <f t="shared" si="4"/>
        <v>0.43119857715497206</v>
      </c>
      <c r="AV7" s="61">
        <f t="shared" si="4"/>
        <v>0.42929289240045004</v>
      </c>
      <c r="AW7" s="61">
        <f t="shared" si="4"/>
        <v>0.42738720764592814</v>
      </c>
      <c r="AX7" s="61">
        <f t="shared" si="4"/>
        <v>0.42548152289140612</v>
      </c>
      <c r="AY7" s="61">
        <f t="shared" si="4"/>
        <v>1.2728742049294359</v>
      </c>
      <c r="AZ7" s="61">
        <f t="shared" si="4"/>
        <v>1.2724288411846538</v>
      </c>
      <c r="BA7" s="61">
        <f t="shared" si="4"/>
        <v>1.2719834774398715</v>
      </c>
      <c r="BB7" s="61">
        <f t="shared" si="4"/>
        <v>1.2715381136950892</v>
      </c>
      <c r="BC7" s="61">
        <f t="shared" si="4"/>
        <v>1.2710927499503069</v>
      </c>
      <c r="BD7" s="61">
        <f t="shared" si="4"/>
        <v>1.2706473862055248</v>
      </c>
      <c r="BE7" s="61">
        <f t="shared" si="4"/>
        <v>1.2702020224607424</v>
      </c>
      <c r="BF7" s="61">
        <f t="shared" si="4"/>
        <v>1.2697566587159603</v>
      </c>
      <c r="BG7" s="61">
        <f t="shared" si="4"/>
        <v>1.269311294971178</v>
      </c>
      <c r="BH7" s="61">
        <f t="shared" si="4"/>
        <v>0.42223974690253741</v>
      </c>
      <c r="BI7" s="61">
        <f t="shared" si="4"/>
        <v>0.42033406214801539</v>
      </c>
      <c r="BJ7" s="61">
        <f t="shared" si="4"/>
        <v>0.44929235407142365</v>
      </c>
      <c r="BK7" s="61">
        <f t="shared" si="4"/>
        <v>0.4473866693169018</v>
      </c>
      <c r="BL7" s="61">
        <f t="shared" si="4"/>
        <v>0.44548098456237994</v>
      </c>
      <c r="BM7" s="61">
        <f t="shared" si="4"/>
        <v>0.44357529980785804</v>
      </c>
      <c r="BN7" s="61">
        <f t="shared" si="4"/>
        <v>0.45710233220698349</v>
      </c>
      <c r="BO7" s="61">
        <f t="shared" si="4"/>
        <v>0.45519664745246163</v>
      </c>
      <c r="BP7" s="61">
        <f t="shared" si="4"/>
        <v>0.45329096269793973</v>
      </c>
      <c r="BQ7" s="61">
        <f t="shared" si="4"/>
        <v>0.45138527794341776</v>
      </c>
      <c r="BR7" s="61">
        <f t="shared" ref="BR7:BX7" si="5">IF(BQ38="T",BQ18/6,BQ18/18)</f>
        <v>0.44947959318889591</v>
      </c>
      <c r="BS7" s="61">
        <f t="shared" si="5"/>
        <v>0.44757390843437406</v>
      </c>
      <c r="BT7" s="61">
        <f t="shared" si="5"/>
        <v>0.44566822367985215</v>
      </c>
      <c r="BU7" s="61">
        <f t="shared" si="5"/>
        <v>0.47462651560326041</v>
      </c>
      <c r="BV7" s="61">
        <f t="shared" si="5"/>
        <v>0.47343639435499973</v>
      </c>
      <c r="BW7" s="61">
        <f t="shared" si="5"/>
        <v>1.4167388193202168</v>
      </c>
      <c r="BX7" s="61">
        <f t="shared" si="5"/>
        <v>1.4162934555754347</v>
      </c>
    </row>
    <row r="8" spans="2:77" s="64" customFormat="1" ht="15.75" thickBot="1" x14ac:dyDescent="0.3">
      <c r="B8" s="62" t="s">
        <v>134</v>
      </c>
      <c r="C8" s="113"/>
      <c r="D8" s="348">
        <f>IF(D5-D6+D7&gt;8.875,8.875,D5-D6+D7)</f>
        <v>8.875</v>
      </c>
      <c r="E8" s="76">
        <f t="shared" ref="E8:BP8" si="6">IF(E5-E6+E7&gt;8.875,8.875,E5-E6+E7)</f>
        <v>8.875</v>
      </c>
      <c r="F8" s="76">
        <f t="shared" si="6"/>
        <v>8.875</v>
      </c>
      <c r="G8" s="76">
        <f t="shared" si="6"/>
        <v>8.875</v>
      </c>
      <c r="H8" s="76">
        <f t="shared" si="6"/>
        <v>8.875</v>
      </c>
      <c r="I8" s="76">
        <f t="shared" si="6"/>
        <v>8.875</v>
      </c>
      <c r="J8" s="76">
        <f t="shared" si="6"/>
        <v>8.875</v>
      </c>
      <c r="K8" s="76">
        <f t="shared" si="6"/>
        <v>8.6496777754614111</v>
      </c>
      <c r="L8" s="76">
        <f t="shared" si="6"/>
        <v>8.3567356714218217</v>
      </c>
      <c r="M8" s="76">
        <f t="shared" si="6"/>
        <v>8.0926010846521113</v>
      </c>
      <c r="N8" s="76">
        <f t="shared" si="6"/>
        <v>7.9149242934447717</v>
      </c>
      <c r="O8" s="76">
        <f t="shared" si="6"/>
        <v>7.7079201440772627</v>
      </c>
      <c r="P8" s="76">
        <f t="shared" si="6"/>
        <v>7.5105772513092175</v>
      </c>
      <c r="Q8" s="76">
        <f t="shared" si="6"/>
        <v>7.3034013077608204</v>
      </c>
      <c r="R8" s="76">
        <f t="shared" si="6"/>
        <v>7.1115721842756265</v>
      </c>
      <c r="S8" s="76">
        <f t="shared" si="6"/>
        <v>6.9321453936528883</v>
      </c>
      <c r="T8" s="76">
        <f t="shared" si="6"/>
        <v>6.7415150141183018</v>
      </c>
      <c r="U8" s="76">
        <f t="shared" si="6"/>
        <v>6.5514840065590194</v>
      </c>
      <c r="V8" s="76">
        <f t="shared" si="6"/>
        <v>6.356150890531465</v>
      </c>
      <c r="W8" s="76">
        <f t="shared" si="6"/>
        <v>6.1584664062574257</v>
      </c>
      <c r="X8" s="76">
        <f t="shared" si="6"/>
        <v>5.9882051836260093</v>
      </c>
      <c r="Y8" s="76">
        <f t="shared" si="6"/>
        <v>5.8300938843705907</v>
      </c>
      <c r="Z8" s="76">
        <f t="shared" si="6"/>
        <v>5.7110591630481897</v>
      </c>
      <c r="AA8" s="76">
        <f t="shared" si="6"/>
        <v>6.5311366986920634</v>
      </c>
      <c r="AB8" s="76">
        <f t="shared" si="6"/>
        <v>7.3558429492561315</v>
      </c>
      <c r="AC8" s="76">
        <f t="shared" si="6"/>
        <v>8.1774554558067329</v>
      </c>
      <c r="AD8" s="76">
        <f t="shared" si="6"/>
        <v>8.875</v>
      </c>
      <c r="AE8" s="76">
        <f t="shared" si="6"/>
        <v>8.875</v>
      </c>
      <c r="AF8" s="76">
        <f t="shared" si="6"/>
        <v>8.875</v>
      </c>
      <c r="AG8" s="76">
        <f t="shared" si="6"/>
        <v>8.875</v>
      </c>
      <c r="AH8" s="76">
        <f t="shared" si="6"/>
        <v>8.875</v>
      </c>
      <c r="AI8" s="76">
        <f t="shared" si="6"/>
        <v>8.875</v>
      </c>
      <c r="AJ8" s="76">
        <f t="shared" si="6"/>
        <v>8.8085292053049447</v>
      </c>
      <c r="AK8" s="76">
        <f t="shared" si="6"/>
        <v>8.6282837930470251</v>
      </c>
      <c r="AL8" s="76">
        <f t="shared" si="6"/>
        <v>8.5153559842435662</v>
      </c>
      <c r="AM8" s="76">
        <f t="shared" si="6"/>
        <v>8.357595116606932</v>
      </c>
      <c r="AN8" s="76">
        <f t="shared" si="6"/>
        <v>8.2172483559062659</v>
      </c>
      <c r="AO8" s="76">
        <f t="shared" si="6"/>
        <v>8.0631921192569962</v>
      </c>
      <c r="AP8" s="76">
        <f t="shared" si="6"/>
        <v>7.9264209152550551</v>
      </c>
      <c r="AQ8" s="76">
        <f t="shared" si="6"/>
        <v>7.801082937823506</v>
      </c>
      <c r="AR8" s="76">
        <f t="shared" si="6"/>
        <v>7.665025924626141</v>
      </c>
      <c r="AS8" s="76">
        <f t="shared" si="6"/>
        <v>7.5293260068310639</v>
      </c>
      <c r="AT8" s="76">
        <f t="shared" si="6"/>
        <v>7.3884451188542224</v>
      </c>
      <c r="AU8" s="76">
        <f t="shared" si="6"/>
        <v>7.2760162701655728</v>
      </c>
      <c r="AV8" s="76">
        <f t="shared" si="6"/>
        <v>7.2257629414538433</v>
      </c>
      <c r="AW8" s="76">
        <f t="shared" si="6"/>
        <v>7.1394194302730343</v>
      </c>
      <c r="AX8" s="76">
        <f t="shared" si="6"/>
        <v>7.0661185878461445</v>
      </c>
      <c r="AY8" s="76">
        <f t="shared" si="6"/>
        <v>7.9500591678280115</v>
      </c>
      <c r="AZ8" s="76">
        <f t="shared" si="6"/>
        <v>8.875</v>
      </c>
      <c r="BA8" s="76">
        <f t="shared" si="6"/>
        <v>8.875</v>
      </c>
      <c r="BB8" s="76">
        <f t="shared" si="6"/>
        <v>8.875</v>
      </c>
      <c r="BC8" s="76">
        <f t="shared" si="6"/>
        <v>8.875</v>
      </c>
      <c r="BD8" s="76">
        <f t="shared" si="6"/>
        <v>8.875</v>
      </c>
      <c r="BE8" s="76">
        <f t="shared" si="6"/>
        <v>8.875</v>
      </c>
      <c r="BF8" s="76">
        <f t="shared" si="6"/>
        <v>8.875</v>
      </c>
      <c r="BG8" s="76">
        <f t="shared" si="6"/>
        <v>8.875</v>
      </c>
      <c r="BH8" s="76">
        <f t="shared" si="6"/>
        <v>8.8643323480467</v>
      </c>
      <c r="BI8" s="76">
        <f t="shared" si="6"/>
        <v>8.7396814915546557</v>
      </c>
      <c r="BJ8" s="76">
        <f t="shared" si="6"/>
        <v>8.6978837915292946</v>
      </c>
      <c r="BK8" s="76">
        <f t="shared" si="6"/>
        <v>8.6285610528916088</v>
      </c>
      <c r="BL8" s="76">
        <f t="shared" si="6"/>
        <v>8.5679984110794649</v>
      </c>
      <c r="BM8" s="76">
        <f t="shared" si="6"/>
        <v>8.4980532983739288</v>
      </c>
      <c r="BN8" s="76">
        <f t="shared" si="6"/>
        <v>8.4432297157881155</v>
      </c>
      <c r="BO8" s="76">
        <f t="shared" si="6"/>
        <v>8.4009211110364994</v>
      </c>
      <c r="BP8" s="76">
        <f t="shared" si="6"/>
        <v>8.3473525948871643</v>
      </c>
      <c r="BQ8" s="76">
        <f t="shared" ref="BQ8:BX8" si="7">IF(BQ5-BQ6+BQ7&gt;8.875,8.875,BQ5-BQ6+BQ7)</f>
        <v>8.2944116119560682</v>
      </c>
      <c r="BR8" s="76">
        <f t="shared" si="7"/>
        <v>8.2361544399352322</v>
      </c>
      <c r="BS8" s="76">
        <f t="shared" si="7"/>
        <v>8.1755529399786457</v>
      </c>
      <c r="BT8" s="76">
        <f t="shared" si="7"/>
        <v>8.1423711815093149</v>
      </c>
      <c r="BU8" s="76">
        <f t="shared" si="7"/>
        <v>8.1213411064936665</v>
      </c>
      <c r="BV8" s="76">
        <f t="shared" si="7"/>
        <v>8.1401022928784563</v>
      </c>
      <c r="BW8" s="76">
        <f t="shared" si="7"/>
        <v>8.875</v>
      </c>
      <c r="BX8" s="76">
        <f t="shared" si="7"/>
        <v>8.875</v>
      </c>
      <c r="BY8" s="76"/>
    </row>
    <row r="10" spans="2:77" x14ac:dyDescent="0.25">
      <c r="B10" s="70" t="s">
        <v>391</v>
      </c>
      <c r="C10" s="111"/>
      <c r="E10" s="90">
        <v>4.1666666666666664E-2</v>
      </c>
      <c r="F10" s="72">
        <v>8.3333333333333301E-2</v>
      </c>
      <c r="G10" s="72">
        <v>0.125</v>
      </c>
      <c r="H10" s="72">
        <v>0.16666666666666699</v>
      </c>
      <c r="I10" s="72">
        <v>0.20833333333333301</v>
      </c>
      <c r="J10" s="72">
        <v>0.25</v>
      </c>
      <c r="K10" s="72">
        <v>0.29166666666666702</v>
      </c>
      <c r="L10" s="72">
        <v>0.33333333333333298</v>
      </c>
      <c r="M10" s="72">
        <v>0.375</v>
      </c>
      <c r="N10" s="72">
        <v>0.41666666666666702</v>
      </c>
      <c r="O10" s="72">
        <v>0.45833333333333298</v>
      </c>
      <c r="P10" s="72">
        <v>0.5</v>
      </c>
      <c r="Q10" s="72">
        <v>0.54166666666666696</v>
      </c>
      <c r="R10" s="72">
        <v>0.58333333333333304</v>
      </c>
      <c r="S10" s="72">
        <v>0.625</v>
      </c>
      <c r="T10" s="72">
        <v>0.66666666666666696</v>
      </c>
      <c r="U10" s="72">
        <v>0.70833333333333304</v>
      </c>
      <c r="V10" s="72">
        <v>0.75</v>
      </c>
      <c r="W10" s="72">
        <v>0.79166666666666696</v>
      </c>
      <c r="X10" s="72">
        <v>0.83333333333333304</v>
      </c>
      <c r="Y10" s="72">
        <v>0.875</v>
      </c>
      <c r="Z10" s="72">
        <v>0.91666666666666696</v>
      </c>
      <c r="AA10" s="72">
        <v>0.95833333333333404</v>
      </c>
      <c r="AB10" s="72">
        <v>1</v>
      </c>
      <c r="AC10" s="71">
        <v>1.0416666666666701</v>
      </c>
      <c r="AD10" s="72">
        <v>1.0833333333333299</v>
      </c>
      <c r="AE10" s="72">
        <v>0.125</v>
      </c>
      <c r="AF10" s="72">
        <v>0.16666666666666699</v>
      </c>
      <c r="AG10" s="72">
        <v>0.20833333333333301</v>
      </c>
      <c r="AH10" s="72">
        <v>0.25</v>
      </c>
      <c r="AI10" s="72">
        <v>0.29166666666666702</v>
      </c>
      <c r="AJ10" s="72">
        <v>0.33333333333333298</v>
      </c>
      <c r="AK10" s="72">
        <v>0.375</v>
      </c>
      <c r="AL10" s="72">
        <v>0.41666666666666702</v>
      </c>
      <c r="AM10" s="72">
        <v>0.45833333333333298</v>
      </c>
      <c r="AN10" s="72">
        <v>0.5</v>
      </c>
      <c r="AO10" s="72">
        <v>0.54166666666666696</v>
      </c>
      <c r="AP10" s="72">
        <v>0.58333333333333304</v>
      </c>
      <c r="AQ10" s="72">
        <v>0.625</v>
      </c>
      <c r="AR10" s="72">
        <v>0.66666666666666696</v>
      </c>
      <c r="AS10" s="72">
        <v>0.70833333333333304</v>
      </c>
      <c r="AT10" s="72">
        <v>0.75</v>
      </c>
      <c r="AU10" s="72">
        <v>0.79166666666666696</v>
      </c>
      <c r="AV10" s="72">
        <v>0.83333333333333304</v>
      </c>
      <c r="AW10" s="72">
        <v>0.875</v>
      </c>
      <c r="AX10" s="72">
        <v>0.91666666666666696</v>
      </c>
      <c r="AY10" s="72">
        <v>0.95833333333333404</v>
      </c>
      <c r="AZ10" s="72">
        <v>1</v>
      </c>
      <c r="BA10" s="71">
        <v>1.0416666666666701</v>
      </c>
      <c r="BB10" s="72">
        <v>1.0833333333333299</v>
      </c>
      <c r="BC10" s="72">
        <v>0.125</v>
      </c>
      <c r="BD10" s="72">
        <v>0.16666666666666699</v>
      </c>
      <c r="BE10" s="72">
        <v>0.20833333333333301</v>
      </c>
      <c r="BF10" s="72">
        <v>0.25</v>
      </c>
      <c r="BG10" s="72">
        <v>0.29166666666666702</v>
      </c>
      <c r="BH10" s="72">
        <v>0.33333333333333298</v>
      </c>
      <c r="BI10" s="72">
        <v>0.375</v>
      </c>
      <c r="BJ10" s="72">
        <v>0.41666666666666702</v>
      </c>
      <c r="BK10" s="72">
        <v>0.45833333333333298</v>
      </c>
      <c r="BL10" s="72">
        <v>0.5</v>
      </c>
      <c r="BM10" s="72">
        <v>0.54166666666666696</v>
      </c>
      <c r="BN10" s="72">
        <v>0.58333333333333304</v>
      </c>
      <c r="BO10" s="72">
        <v>0.625</v>
      </c>
      <c r="BP10" s="72">
        <v>0.66666666666666696</v>
      </c>
      <c r="BQ10" s="72">
        <v>0.70833333333333304</v>
      </c>
      <c r="BR10" s="72">
        <v>0.75</v>
      </c>
      <c r="BS10" s="72">
        <v>0.79166666666666696</v>
      </c>
      <c r="BT10" s="72">
        <v>0.83333333333333304</v>
      </c>
      <c r="BU10" s="72">
        <v>0.875</v>
      </c>
      <c r="BV10" s="72">
        <v>0.91666666666666696</v>
      </c>
      <c r="BW10" s="72">
        <v>0.95833333333333404</v>
      </c>
      <c r="BX10" s="72">
        <v>1</v>
      </c>
      <c r="BY10" s="71"/>
    </row>
    <row r="11" spans="2:77" x14ac:dyDescent="0.25">
      <c r="B11" s="54" t="s">
        <v>123</v>
      </c>
      <c r="D11" s="347">
        <v>931.66399999999999</v>
      </c>
      <c r="E11" s="349">
        <f>D17</f>
        <v>873.93483333333336</v>
      </c>
      <c r="F11" s="74">
        <f t="shared" ref="F11:BQ11" si="8">E17</f>
        <v>873.56139583333334</v>
      </c>
      <c r="G11" s="74">
        <f t="shared" si="8"/>
        <v>873.18795833333331</v>
      </c>
      <c r="H11" s="74">
        <f t="shared" si="8"/>
        <v>872.81452083333329</v>
      </c>
      <c r="I11" s="74">
        <f t="shared" si="8"/>
        <v>872.44108333333327</v>
      </c>
      <c r="J11" s="74">
        <f t="shared" si="8"/>
        <v>872.06764583333324</v>
      </c>
      <c r="K11" s="74">
        <f t="shared" si="8"/>
        <v>869.89420833333327</v>
      </c>
      <c r="L11" s="74">
        <f t="shared" si="8"/>
        <v>865.10045833333322</v>
      </c>
      <c r="M11" s="74">
        <f t="shared" si="8"/>
        <v>860.30670833333318</v>
      </c>
      <c r="N11" s="74">
        <f t="shared" si="8"/>
        <v>933.15129166666645</v>
      </c>
      <c r="O11" s="74">
        <f t="shared" si="8"/>
        <v>928.35754166666641</v>
      </c>
      <c r="P11" s="74">
        <f t="shared" si="8"/>
        <v>923.56379166666636</v>
      </c>
      <c r="Q11" s="74">
        <f t="shared" si="8"/>
        <v>918.77004166666632</v>
      </c>
      <c r="R11" s="74">
        <f t="shared" si="8"/>
        <v>952.7972916666663</v>
      </c>
      <c r="S11" s="74">
        <f t="shared" si="8"/>
        <v>948.00354166666625</v>
      </c>
      <c r="T11" s="74">
        <f t="shared" si="8"/>
        <v>943.20979166666621</v>
      </c>
      <c r="U11" s="74">
        <f t="shared" si="8"/>
        <v>938.41604166666616</v>
      </c>
      <c r="V11" s="74">
        <f t="shared" si="8"/>
        <v>933.62229166666611</v>
      </c>
      <c r="W11" s="74">
        <f t="shared" si="8"/>
        <v>928.82854166666607</v>
      </c>
      <c r="X11" s="74">
        <f t="shared" si="8"/>
        <v>924.03479166666602</v>
      </c>
      <c r="Y11" s="74">
        <f t="shared" si="8"/>
        <v>996.8793749999993</v>
      </c>
      <c r="Z11" s="74">
        <f t="shared" si="8"/>
        <v>992.08562499999925</v>
      </c>
      <c r="AA11" s="74">
        <f t="shared" si="8"/>
        <v>987.29187499999921</v>
      </c>
      <c r="AB11" s="74">
        <f t="shared" si="8"/>
        <v>986.91843749999919</v>
      </c>
      <c r="AC11" s="73">
        <f t="shared" si="8"/>
        <v>986.54499999999916</v>
      </c>
      <c r="AD11" s="74">
        <f t="shared" si="8"/>
        <v>986.17156249999914</v>
      </c>
      <c r="AE11" s="74">
        <f t="shared" si="8"/>
        <v>985.79812499999912</v>
      </c>
      <c r="AF11" s="74">
        <f t="shared" si="8"/>
        <v>985.4246874999991</v>
      </c>
      <c r="AG11" s="74">
        <f t="shared" si="8"/>
        <v>985.05124999999907</v>
      </c>
      <c r="AH11" s="74">
        <f t="shared" si="8"/>
        <v>984.67781249999905</v>
      </c>
      <c r="AI11" s="74">
        <f t="shared" si="8"/>
        <v>984.30437499999903</v>
      </c>
      <c r="AJ11" s="74">
        <f t="shared" si="8"/>
        <v>982.13093749999905</v>
      </c>
      <c r="AK11" s="74">
        <f t="shared" si="8"/>
        <v>977.337187499999</v>
      </c>
      <c r="AL11" s="74">
        <f t="shared" si="8"/>
        <v>1011.364437499999</v>
      </c>
      <c r="AM11" s="74">
        <f t="shared" si="8"/>
        <v>1006.5706874999989</v>
      </c>
      <c r="AN11" s="74">
        <f t="shared" si="8"/>
        <v>1001.7769374999989</v>
      </c>
      <c r="AO11" s="74">
        <f t="shared" si="8"/>
        <v>996.98318749999885</v>
      </c>
      <c r="AP11" s="74">
        <f t="shared" si="8"/>
        <v>1031.0104374999989</v>
      </c>
      <c r="AQ11" s="74">
        <f t="shared" si="8"/>
        <v>1026.2166874999989</v>
      </c>
      <c r="AR11" s="74">
        <f t="shared" si="8"/>
        <v>1021.4229374999989</v>
      </c>
      <c r="AS11" s="74">
        <f t="shared" si="8"/>
        <v>1016.6291874999988</v>
      </c>
      <c r="AT11" s="74">
        <f t="shared" si="8"/>
        <v>1011.8354374999988</v>
      </c>
      <c r="AU11" s="74">
        <f t="shared" si="8"/>
        <v>1084.6800208333323</v>
      </c>
      <c r="AV11" s="74">
        <f t="shared" si="8"/>
        <v>1079.8862708333322</v>
      </c>
      <c r="AW11" s="74">
        <f t="shared" si="8"/>
        <v>1075.0925208333322</v>
      </c>
      <c r="AX11" s="74">
        <f t="shared" si="8"/>
        <v>1070.2987708333321</v>
      </c>
      <c r="AY11" s="74">
        <f t="shared" si="8"/>
        <v>1067.305020833332</v>
      </c>
      <c r="AZ11" s="74">
        <f t="shared" si="8"/>
        <v>1066.9315833333321</v>
      </c>
      <c r="BA11" s="73">
        <f t="shared" si="8"/>
        <v>1066.5581458333322</v>
      </c>
      <c r="BB11" s="74">
        <f t="shared" si="8"/>
        <v>1066.1847083333323</v>
      </c>
      <c r="BC11" s="74">
        <f t="shared" si="8"/>
        <v>1065.8112708333324</v>
      </c>
      <c r="BD11" s="74">
        <f t="shared" si="8"/>
        <v>1065.4378333333325</v>
      </c>
      <c r="BE11" s="74">
        <f t="shared" si="8"/>
        <v>1065.0643958333326</v>
      </c>
      <c r="BF11" s="74">
        <f t="shared" si="8"/>
        <v>1064.6909583333327</v>
      </c>
      <c r="BG11" s="74">
        <f t="shared" si="8"/>
        <v>1064.3175208333328</v>
      </c>
      <c r="BH11" s="74">
        <f t="shared" si="8"/>
        <v>1062.1440833333329</v>
      </c>
      <c r="BI11" s="74">
        <f t="shared" si="8"/>
        <v>1057.3503333333329</v>
      </c>
      <c r="BJ11" s="74">
        <f t="shared" si="8"/>
        <v>1130.1949166666664</v>
      </c>
      <c r="BK11" s="74">
        <f t="shared" si="8"/>
        <v>1125.4011666666665</v>
      </c>
      <c r="BL11" s="74">
        <f t="shared" si="8"/>
        <v>1120.6074166666667</v>
      </c>
      <c r="BM11" s="74">
        <f t="shared" si="8"/>
        <v>1115.8136666666669</v>
      </c>
      <c r="BN11" s="74">
        <f t="shared" si="8"/>
        <v>1149.840916666667</v>
      </c>
      <c r="BO11" s="74">
        <f t="shared" si="8"/>
        <v>1145.0471666666672</v>
      </c>
      <c r="BP11" s="74">
        <f t="shared" si="8"/>
        <v>1140.2534166666674</v>
      </c>
      <c r="BQ11" s="74">
        <f t="shared" si="8"/>
        <v>1135.4596666666675</v>
      </c>
      <c r="BR11" s="74">
        <f t="shared" ref="BR11:BX11" si="9">BQ17</f>
        <v>1130.6659166666677</v>
      </c>
      <c r="BS11" s="74">
        <f t="shared" si="9"/>
        <v>1125.8721666666679</v>
      </c>
      <c r="BT11" s="74">
        <f t="shared" si="9"/>
        <v>1121.0784166666681</v>
      </c>
      <c r="BU11" s="74">
        <f t="shared" si="9"/>
        <v>1193.9230000000016</v>
      </c>
      <c r="BV11" s="74">
        <f t="shared" si="9"/>
        <v>1190.9292500000017</v>
      </c>
      <c r="BW11" s="74">
        <f t="shared" si="9"/>
        <v>1187.9355000000019</v>
      </c>
      <c r="BX11" s="74">
        <f t="shared" si="9"/>
        <v>1187.562062500002</v>
      </c>
      <c r="BY11" s="74"/>
    </row>
    <row r="12" spans="2:77" s="82" customFormat="1" x14ac:dyDescent="0.25">
      <c r="B12" s="354" t="s">
        <v>118</v>
      </c>
      <c r="C12" s="120"/>
      <c r="D12" s="347">
        <f>1397.5/24</f>
        <v>58.229166666666664</v>
      </c>
      <c r="E12" s="355">
        <f>IF(D38="T",$D$12*0.25,$D$12)</f>
        <v>14.557291666666666</v>
      </c>
      <c r="F12" s="356">
        <f t="shared" ref="F12:BQ12" si="10">IF(E38="T",$D$12*0.25,$D$12)</f>
        <v>14.557291666666666</v>
      </c>
      <c r="G12" s="356">
        <f t="shared" si="10"/>
        <v>14.557291666666666</v>
      </c>
      <c r="H12" s="356">
        <f t="shared" si="10"/>
        <v>14.557291666666666</v>
      </c>
      <c r="I12" s="356">
        <f t="shared" si="10"/>
        <v>14.557291666666666</v>
      </c>
      <c r="J12" s="356">
        <f t="shared" si="10"/>
        <v>14.557291666666666</v>
      </c>
      <c r="K12" s="356">
        <f t="shared" si="10"/>
        <v>58.229166666666664</v>
      </c>
      <c r="L12" s="356">
        <f t="shared" si="10"/>
        <v>58.229166666666664</v>
      </c>
      <c r="M12" s="356">
        <f t="shared" si="10"/>
        <v>58.229166666666664</v>
      </c>
      <c r="N12" s="356">
        <f t="shared" si="10"/>
        <v>58.229166666666664</v>
      </c>
      <c r="O12" s="356">
        <f t="shared" si="10"/>
        <v>58.229166666666664</v>
      </c>
      <c r="P12" s="356">
        <f t="shared" si="10"/>
        <v>58.229166666666664</v>
      </c>
      <c r="Q12" s="356">
        <f t="shared" si="10"/>
        <v>58.229166666666664</v>
      </c>
      <c r="R12" s="356">
        <f t="shared" si="10"/>
        <v>58.229166666666664</v>
      </c>
      <c r="S12" s="356">
        <f t="shared" si="10"/>
        <v>58.229166666666664</v>
      </c>
      <c r="T12" s="356">
        <f t="shared" si="10"/>
        <v>58.229166666666664</v>
      </c>
      <c r="U12" s="356">
        <f t="shared" si="10"/>
        <v>58.229166666666664</v>
      </c>
      <c r="V12" s="356">
        <f t="shared" si="10"/>
        <v>58.229166666666664</v>
      </c>
      <c r="W12" s="356">
        <f t="shared" si="10"/>
        <v>58.229166666666664</v>
      </c>
      <c r="X12" s="356">
        <f t="shared" si="10"/>
        <v>58.229166666666664</v>
      </c>
      <c r="Y12" s="356">
        <f t="shared" si="10"/>
        <v>58.229166666666664</v>
      </c>
      <c r="Z12" s="356">
        <f t="shared" si="10"/>
        <v>58.229166666666664</v>
      </c>
      <c r="AA12" s="356">
        <f t="shared" si="10"/>
        <v>14.557291666666666</v>
      </c>
      <c r="AB12" s="356">
        <f t="shared" si="10"/>
        <v>14.557291666666666</v>
      </c>
      <c r="AC12" s="357">
        <f t="shared" si="10"/>
        <v>14.557291666666666</v>
      </c>
      <c r="AD12" s="356">
        <f t="shared" si="10"/>
        <v>14.557291666666666</v>
      </c>
      <c r="AE12" s="356">
        <f t="shared" si="10"/>
        <v>14.557291666666666</v>
      </c>
      <c r="AF12" s="356">
        <f t="shared" si="10"/>
        <v>14.557291666666666</v>
      </c>
      <c r="AG12" s="356">
        <f t="shared" si="10"/>
        <v>14.557291666666666</v>
      </c>
      <c r="AH12" s="356">
        <f t="shared" si="10"/>
        <v>14.557291666666666</v>
      </c>
      <c r="AI12" s="356">
        <f t="shared" si="10"/>
        <v>14.557291666666666</v>
      </c>
      <c r="AJ12" s="356">
        <f t="shared" si="10"/>
        <v>58.229166666666664</v>
      </c>
      <c r="AK12" s="356">
        <f t="shared" si="10"/>
        <v>58.229166666666664</v>
      </c>
      <c r="AL12" s="356">
        <f t="shared" si="10"/>
        <v>58.229166666666664</v>
      </c>
      <c r="AM12" s="356">
        <f t="shared" si="10"/>
        <v>58.229166666666664</v>
      </c>
      <c r="AN12" s="356">
        <f t="shared" si="10"/>
        <v>58.229166666666664</v>
      </c>
      <c r="AO12" s="356">
        <f t="shared" si="10"/>
        <v>58.229166666666664</v>
      </c>
      <c r="AP12" s="356">
        <f t="shared" si="10"/>
        <v>58.229166666666664</v>
      </c>
      <c r="AQ12" s="356">
        <f t="shared" si="10"/>
        <v>58.229166666666664</v>
      </c>
      <c r="AR12" s="356">
        <f t="shared" si="10"/>
        <v>58.229166666666664</v>
      </c>
      <c r="AS12" s="356">
        <f t="shared" si="10"/>
        <v>58.229166666666664</v>
      </c>
      <c r="AT12" s="356">
        <f t="shared" si="10"/>
        <v>58.229166666666664</v>
      </c>
      <c r="AU12" s="356">
        <f t="shared" si="10"/>
        <v>58.229166666666664</v>
      </c>
      <c r="AV12" s="356">
        <f t="shared" si="10"/>
        <v>58.229166666666664</v>
      </c>
      <c r="AW12" s="356">
        <f t="shared" si="10"/>
        <v>58.229166666666664</v>
      </c>
      <c r="AX12" s="356">
        <f t="shared" si="10"/>
        <v>58.229166666666664</v>
      </c>
      <c r="AY12" s="356">
        <f t="shared" si="10"/>
        <v>14.557291666666666</v>
      </c>
      <c r="AZ12" s="356">
        <f t="shared" si="10"/>
        <v>14.557291666666666</v>
      </c>
      <c r="BA12" s="357">
        <f t="shared" si="10"/>
        <v>14.557291666666666</v>
      </c>
      <c r="BB12" s="356">
        <f t="shared" si="10"/>
        <v>14.557291666666666</v>
      </c>
      <c r="BC12" s="356">
        <f t="shared" si="10"/>
        <v>14.557291666666666</v>
      </c>
      <c r="BD12" s="356">
        <f t="shared" si="10"/>
        <v>14.557291666666666</v>
      </c>
      <c r="BE12" s="356">
        <f t="shared" si="10"/>
        <v>14.557291666666666</v>
      </c>
      <c r="BF12" s="356">
        <f t="shared" si="10"/>
        <v>14.557291666666666</v>
      </c>
      <c r="BG12" s="356">
        <f t="shared" si="10"/>
        <v>14.557291666666666</v>
      </c>
      <c r="BH12" s="356">
        <f t="shared" si="10"/>
        <v>58.229166666666664</v>
      </c>
      <c r="BI12" s="356">
        <f t="shared" si="10"/>
        <v>58.229166666666664</v>
      </c>
      <c r="BJ12" s="356">
        <f t="shared" si="10"/>
        <v>58.229166666666664</v>
      </c>
      <c r="BK12" s="356">
        <f t="shared" si="10"/>
        <v>58.229166666666664</v>
      </c>
      <c r="BL12" s="356">
        <f t="shared" si="10"/>
        <v>58.229166666666664</v>
      </c>
      <c r="BM12" s="356">
        <f t="shared" si="10"/>
        <v>58.229166666666664</v>
      </c>
      <c r="BN12" s="356">
        <f t="shared" si="10"/>
        <v>58.229166666666664</v>
      </c>
      <c r="BO12" s="356">
        <f t="shared" si="10"/>
        <v>58.229166666666664</v>
      </c>
      <c r="BP12" s="356">
        <f t="shared" si="10"/>
        <v>58.229166666666664</v>
      </c>
      <c r="BQ12" s="356">
        <f t="shared" si="10"/>
        <v>58.229166666666664</v>
      </c>
      <c r="BR12" s="356">
        <f t="shared" ref="BR12:BX12" si="11">IF(BQ38="T",$D$12*0.25,$D$12)</f>
        <v>58.229166666666664</v>
      </c>
      <c r="BS12" s="356">
        <f t="shared" si="11"/>
        <v>58.229166666666664</v>
      </c>
      <c r="BT12" s="356">
        <f t="shared" si="11"/>
        <v>58.229166666666664</v>
      </c>
      <c r="BU12" s="356">
        <f t="shared" si="11"/>
        <v>58.229166666666664</v>
      </c>
      <c r="BV12" s="356">
        <f t="shared" si="11"/>
        <v>58.229166666666664</v>
      </c>
      <c r="BW12" s="356">
        <f t="shared" si="11"/>
        <v>14.557291666666666</v>
      </c>
      <c r="BX12" s="356">
        <f t="shared" si="11"/>
        <v>14.557291666666666</v>
      </c>
      <c r="BY12" s="356"/>
    </row>
    <row r="13" spans="2:77" s="329" customFormat="1" x14ac:dyDescent="0.25">
      <c r="B13" s="358" t="s">
        <v>88</v>
      </c>
      <c r="C13" s="359"/>
      <c r="D13" s="360">
        <v>0.5</v>
      </c>
      <c r="E13" s="361">
        <v>0.5</v>
      </c>
      <c r="F13" s="329">
        <v>0.5</v>
      </c>
      <c r="G13" s="329">
        <v>0.5</v>
      </c>
      <c r="H13" s="329">
        <v>0.5</v>
      </c>
      <c r="I13" s="329">
        <v>0.5</v>
      </c>
      <c r="J13" s="329">
        <v>-1.3</v>
      </c>
      <c r="K13" s="329">
        <v>-1.3</v>
      </c>
      <c r="L13" s="329">
        <v>-1.3</v>
      </c>
      <c r="M13" s="329">
        <v>-1.3</v>
      </c>
      <c r="N13" s="329">
        <v>-1.3</v>
      </c>
      <c r="O13" s="329">
        <v>-1.3</v>
      </c>
      <c r="P13" s="329">
        <v>-1.3</v>
      </c>
      <c r="Q13" s="329">
        <v>-1.3</v>
      </c>
      <c r="R13" s="329">
        <v>-1.3</v>
      </c>
      <c r="S13" s="329">
        <v>-1.3</v>
      </c>
      <c r="T13" s="329">
        <v>-1.3</v>
      </c>
      <c r="U13" s="329">
        <v>-1.3</v>
      </c>
      <c r="V13" s="329">
        <v>-1.3</v>
      </c>
      <c r="W13" s="329">
        <v>-1.3</v>
      </c>
      <c r="X13" s="329">
        <v>-1.3</v>
      </c>
      <c r="Y13" s="329">
        <v>-1.3</v>
      </c>
      <c r="Z13" s="329">
        <v>-1.3</v>
      </c>
      <c r="AA13" s="329">
        <v>0.5</v>
      </c>
      <c r="AB13" s="329">
        <v>0.5</v>
      </c>
      <c r="AC13" s="329">
        <v>0.5</v>
      </c>
      <c r="AD13" s="329">
        <v>0.5</v>
      </c>
      <c r="AE13" s="329">
        <v>0.5</v>
      </c>
      <c r="AF13" s="329">
        <v>0.5</v>
      </c>
      <c r="AG13" s="329">
        <v>0.5</v>
      </c>
      <c r="AH13" s="329">
        <v>0.5</v>
      </c>
      <c r="AI13" s="329">
        <v>-1.3</v>
      </c>
      <c r="AJ13" s="329">
        <v>-1.3</v>
      </c>
      <c r="AK13" s="329">
        <v>-1.3</v>
      </c>
      <c r="AL13" s="329">
        <v>-1.3</v>
      </c>
      <c r="AM13" s="329">
        <v>-1.3</v>
      </c>
      <c r="AN13" s="329">
        <v>-1.3</v>
      </c>
      <c r="AO13" s="329">
        <v>-1.3</v>
      </c>
      <c r="AP13" s="329">
        <v>-1.3</v>
      </c>
      <c r="AQ13" s="329">
        <v>-1.3</v>
      </c>
      <c r="AR13" s="329">
        <v>-1.3</v>
      </c>
      <c r="AS13" s="329">
        <v>-1.3</v>
      </c>
      <c r="AT13" s="329">
        <v>-1.3</v>
      </c>
      <c r="AU13" s="329">
        <v>-1.3</v>
      </c>
      <c r="AV13" s="329">
        <v>-1.3</v>
      </c>
      <c r="AW13" s="329">
        <v>-1.3</v>
      </c>
      <c r="AX13" s="329">
        <v>0.5</v>
      </c>
      <c r="AY13" s="329">
        <v>0.5</v>
      </c>
      <c r="AZ13" s="329">
        <v>0.5</v>
      </c>
      <c r="BA13" s="329">
        <v>0.5</v>
      </c>
      <c r="BB13" s="329">
        <v>0.5</v>
      </c>
      <c r="BC13" s="329">
        <v>0.5</v>
      </c>
      <c r="BD13" s="329">
        <v>0.5</v>
      </c>
      <c r="BE13" s="329">
        <v>0.5</v>
      </c>
      <c r="BF13" s="329">
        <v>0.5</v>
      </c>
      <c r="BG13" s="329">
        <v>-1.3</v>
      </c>
      <c r="BH13" s="329">
        <v>-1.3</v>
      </c>
      <c r="BI13" s="329">
        <v>-1.3</v>
      </c>
      <c r="BJ13" s="329">
        <v>-1.3</v>
      </c>
      <c r="BK13" s="329">
        <v>-1.3</v>
      </c>
      <c r="BL13" s="329">
        <v>-1.3</v>
      </c>
      <c r="BM13" s="329">
        <v>-1.3</v>
      </c>
      <c r="BN13" s="329">
        <v>-1.3</v>
      </c>
      <c r="BO13" s="329">
        <v>-1.3</v>
      </c>
      <c r="BP13" s="329">
        <v>-1.3</v>
      </c>
      <c r="BQ13" s="329">
        <v>-1.3</v>
      </c>
      <c r="BR13" s="329">
        <v>-1.3</v>
      </c>
      <c r="BS13" s="329">
        <v>-1.3</v>
      </c>
      <c r="BT13" s="329">
        <v>-1.3</v>
      </c>
      <c r="BU13" s="329">
        <v>0.5</v>
      </c>
      <c r="BV13" s="329">
        <v>0.5</v>
      </c>
      <c r="BW13" s="329">
        <v>0.5</v>
      </c>
      <c r="BX13" s="329">
        <v>0.5</v>
      </c>
      <c r="BY13" s="362"/>
    </row>
    <row r="14" spans="2:77" x14ac:dyDescent="0.25">
      <c r="B14" s="54" t="s">
        <v>89</v>
      </c>
      <c r="D14" s="333">
        <v>1</v>
      </c>
      <c r="E14" s="66">
        <v>1.06</v>
      </c>
      <c r="F14" s="58">
        <v>1.06</v>
      </c>
      <c r="G14" s="58">
        <v>1.06</v>
      </c>
      <c r="H14" s="58">
        <v>1.06</v>
      </c>
      <c r="I14" s="58">
        <v>1.06</v>
      </c>
      <c r="J14" s="58">
        <v>1.06</v>
      </c>
      <c r="K14" s="58">
        <v>1.06</v>
      </c>
      <c r="L14" s="58">
        <v>1.06</v>
      </c>
      <c r="M14" s="58">
        <v>1.06</v>
      </c>
      <c r="N14" s="58">
        <v>1.06</v>
      </c>
      <c r="O14" s="58">
        <v>1.06</v>
      </c>
      <c r="P14" s="58">
        <v>1.06</v>
      </c>
      <c r="Q14" s="58">
        <v>1.06</v>
      </c>
      <c r="R14" s="58">
        <v>1.06</v>
      </c>
      <c r="S14" s="58">
        <v>1.06</v>
      </c>
      <c r="T14" s="58">
        <v>1.06</v>
      </c>
      <c r="U14" s="58">
        <v>1.06</v>
      </c>
      <c r="V14" s="58">
        <v>1.06</v>
      </c>
      <c r="W14" s="58">
        <v>1.06</v>
      </c>
      <c r="X14" s="58">
        <v>1.06</v>
      </c>
      <c r="Y14" s="58">
        <v>1.06</v>
      </c>
      <c r="Z14" s="58">
        <v>1.06</v>
      </c>
      <c r="AA14" s="58">
        <v>1.06</v>
      </c>
      <c r="AB14" s="58">
        <v>1.06</v>
      </c>
      <c r="AC14" s="57">
        <v>1.06</v>
      </c>
      <c r="AD14" s="58">
        <v>1.06</v>
      </c>
      <c r="AE14" s="58">
        <v>1.06</v>
      </c>
      <c r="AF14" s="58">
        <v>1.06</v>
      </c>
      <c r="AG14" s="58">
        <v>1.06</v>
      </c>
      <c r="AH14" s="58">
        <v>1.06</v>
      </c>
      <c r="AI14" s="58">
        <v>1.06</v>
      </c>
      <c r="AJ14" s="58">
        <v>1.06</v>
      </c>
      <c r="AK14" s="58">
        <v>1.06</v>
      </c>
      <c r="AL14" s="58">
        <v>1.06</v>
      </c>
      <c r="AM14" s="58">
        <v>1.06</v>
      </c>
      <c r="AN14" s="58">
        <v>1.06</v>
      </c>
      <c r="AO14" s="58">
        <v>1.06</v>
      </c>
      <c r="AP14" s="58">
        <v>1.06</v>
      </c>
      <c r="AQ14" s="58">
        <v>1.06</v>
      </c>
      <c r="AR14" s="58">
        <v>1.06</v>
      </c>
      <c r="AS14" s="58">
        <v>1.06</v>
      </c>
      <c r="AT14" s="58">
        <v>1.06</v>
      </c>
      <c r="AU14" s="58">
        <v>1.06</v>
      </c>
      <c r="AV14" s="58">
        <v>1.06</v>
      </c>
      <c r="AW14" s="58">
        <v>1.06</v>
      </c>
      <c r="AX14" s="58">
        <v>1.06</v>
      </c>
      <c r="AY14" s="58">
        <v>1.06</v>
      </c>
      <c r="AZ14" s="58">
        <v>1.06</v>
      </c>
      <c r="BA14" s="57">
        <v>1.06</v>
      </c>
      <c r="BB14" s="58">
        <v>1.06</v>
      </c>
      <c r="BC14" s="58">
        <v>1.06</v>
      </c>
      <c r="BD14" s="58">
        <v>1.06</v>
      </c>
      <c r="BE14" s="58">
        <v>1.06</v>
      </c>
      <c r="BF14" s="58">
        <v>1.06</v>
      </c>
      <c r="BG14" s="58">
        <v>1.06</v>
      </c>
      <c r="BH14" s="58">
        <v>1.06</v>
      </c>
      <c r="BI14" s="58">
        <v>1.06</v>
      </c>
      <c r="BJ14" s="58">
        <v>1.06</v>
      </c>
      <c r="BK14" s="58">
        <v>1.06</v>
      </c>
      <c r="BL14" s="58">
        <v>1.06</v>
      </c>
      <c r="BM14" s="58">
        <v>1.06</v>
      </c>
      <c r="BN14" s="58">
        <v>1.06</v>
      </c>
      <c r="BO14" s="58">
        <v>1.06</v>
      </c>
      <c r="BP14" s="58">
        <v>1.06</v>
      </c>
      <c r="BQ14" s="58">
        <v>1.06</v>
      </c>
      <c r="BR14" s="58">
        <v>1.06</v>
      </c>
      <c r="BS14" s="58">
        <v>1.06</v>
      </c>
      <c r="BT14" s="58">
        <v>1.06</v>
      </c>
      <c r="BU14" s="58">
        <v>1.06</v>
      </c>
      <c r="BV14" s="58">
        <v>1.06</v>
      </c>
      <c r="BW14" s="58">
        <v>1.06</v>
      </c>
      <c r="BX14" s="58">
        <v>1.06</v>
      </c>
      <c r="BY14" s="57"/>
    </row>
    <row r="15" spans="2:77" x14ac:dyDescent="0.25">
      <c r="B15" s="54" t="s">
        <v>120</v>
      </c>
      <c r="D15" s="333">
        <f>D11-(D12*D14)+D13</f>
        <v>873.93483333333336</v>
      </c>
      <c r="E15" s="66">
        <f>E11-(E12*E14)+E13</f>
        <v>859.00410416666671</v>
      </c>
      <c r="F15" s="58">
        <f t="shared" ref="F15:BP15" si="12">F11-(F12*F14)+F13</f>
        <v>858.63066666666668</v>
      </c>
      <c r="G15" s="58">
        <f t="shared" si="12"/>
        <v>858.25722916666666</v>
      </c>
      <c r="H15" s="58">
        <f t="shared" si="12"/>
        <v>857.88379166666664</v>
      </c>
      <c r="I15" s="58">
        <f t="shared" si="12"/>
        <v>857.51035416666662</v>
      </c>
      <c r="J15" s="58">
        <f t="shared" si="12"/>
        <v>855.33691666666664</v>
      </c>
      <c r="K15" s="58">
        <f t="shared" si="12"/>
        <v>806.87129166666659</v>
      </c>
      <c r="L15" s="58">
        <f t="shared" si="12"/>
        <v>802.07754166666655</v>
      </c>
      <c r="M15" s="58">
        <f t="shared" si="12"/>
        <v>797.2837916666665</v>
      </c>
      <c r="N15" s="58">
        <f t="shared" si="12"/>
        <v>870.12837499999978</v>
      </c>
      <c r="O15" s="58">
        <f t="shared" si="12"/>
        <v>865.33462499999973</v>
      </c>
      <c r="P15" s="58">
        <f t="shared" si="12"/>
        <v>860.54087499999969</v>
      </c>
      <c r="Q15" s="58">
        <f t="shared" si="12"/>
        <v>855.74712499999964</v>
      </c>
      <c r="R15" s="58">
        <f t="shared" si="12"/>
        <v>889.77437499999962</v>
      </c>
      <c r="S15" s="58">
        <f t="shared" si="12"/>
        <v>884.98062499999958</v>
      </c>
      <c r="T15" s="58">
        <f t="shared" si="12"/>
        <v>880.18687499999953</v>
      </c>
      <c r="U15" s="58">
        <f t="shared" si="12"/>
        <v>875.39312499999949</v>
      </c>
      <c r="V15" s="58">
        <f t="shared" si="12"/>
        <v>870.59937499999944</v>
      </c>
      <c r="W15" s="58">
        <f t="shared" si="12"/>
        <v>865.8056249999994</v>
      </c>
      <c r="X15" s="58">
        <f t="shared" si="12"/>
        <v>861.01187499999935</v>
      </c>
      <c r="Y15" s="58">
        <f t="shared" si="12"/>
        <v>933.85645833333263</v>
      </c>
      <c r="Z15" s="58">
        <f t="shared" si="12"/>
        <v>929.06270833333258</v>
      </c>
      <c r="AA15" s="58">
        <f t="shared" si="12"/>
        <v>972.36114583333256</v>
      </c>
      <c r="AB15" s="58">
        <f t="shared" si="12"/>
        <v>971.98770833333253</v>
      </c>
      <c r="AC15" s="57">
        <f t="shared" si="12"/>
        <v>971.61427083333251</v>
      </c>
      <c r="AD15" s="58">
        <f t="shared" si="12"/>
        <v>971.24083333333249</v>
      </c>
      <c r="AE15" s="58">
        <f t="shared" si="12"/>
        <v>970.86739583333247</v>
      </c>
      <c r="AF15" s="58">
        <f t="shared" si="12"/>
        <v>970.49395833333244</v>
      </c>
      <c r="AG15" s="58">
        <f t="shared" si="12"/>
        <v>970.12052083333242</v>
      </c>
      <c r="AH15" s="58">
        <f t="shared" si="12"/>
        <v>969.7470833333324</v>
      </c>
      <c r="AI15" s="58">
        <f t="shared" si="12"/>
        <v>967.57364583333242</v>
      </c>
      <c r="AJ15" s="58">
        <f t="shared" si="12"/>
        <v>919.10802083333238</v>
      </c>
      <c r="AK15" s="58">
        <f t="shared" si="12"/>
        <v>914.31427083333233</v>
      </c>
      <c r="AL15" s="58">
        <f t="shared" si="12"/>
        <v>948.34152083333231</v>
      </c>
      <c r="AM15" s="58">
        <f t="shared" si="12"/>
        <v>943.54777083333227</v>
      </c>
      <c r="AN15" s="58">
        <f t="shared" si="12"/>
        <v>938.75402083333222</v>
      </c>
      <c r="AO15" s="58">
        <f t="shared" si="12"/>
        <v>933.96027083333217</v>
      </c>
      <c r="AP15" s="58">
        <f t="shared" si="12"/>
        <v>967.98752083333227</v>
      </c>
      <c r="AQ15" s="58">
        <f t="shared" si="12"/>
        <v>963.19377083333222</v>
      </c>
      <c r="AR15" s="58">
        <f t="shared" si="12"/>
        <v>958.40002083333218</v>
      </c>
      <c r="AS15" s="58">
        <f t="shared" si="12"/>
        <v>953.60627083333213</v>
      </c>
      <c r="AT15" s="58">
        <f t="shared" si="12"/>
        <v>948.81252083333209</v>
      </c>
      <c r="AU15" s="58">
        <f t="shared" si="12"/>
        <v>1021.6571041666656</v>
      </c>
      <c r="AV15" s="58">
        <f t="shared" si="12"/>
        <v>1016.8633541666655</v>
      </c>
      <c r="AW15" s="58">
        <f t="shared" si="12"/>
        <v>1012.0696041666655</v>
      </c>
      <c r="AX15" s="58">
        <f t="shared" si="12"/>
        <v>1009.0758541666654</v>
      </c>
      <c r="AY15" s="58">
        <f t="shared" si="12"/>
        <v>1052.3742916666654</v>
      </c>
      <c r="AZ15" s="58">
        <f t="shared" si="12"/>
        <v>1052.0008541666655</v>
      </c>
      <c r="BA15" s="57">
        <f t="shared" si="12"/>
        <v>1051.6274166666656</v>
      </c>
      <c r="BB15" s="58">
        <f t="shared" si="12"/>
        <v>1051.2539791666657</v>
      </c>
      <c r="BC15" s="58">
        <f t="shared" si="12"/>
        <v>1050.8805416666657</v>
      </c>
      <c r="BD15" s="58">
        <f t="shared" si="12"/>
        <v>1050.5071041666658</v>
      </c>
      <c r="BE15" s="58">
        <f t="shared" si="12"/>
        <v>1050.1336666666659</v>
      </c>
      <c r="BF15" s="58">
        <f t="shared" si="12"/>
        <v>1049.760229166666</v>
      </c>
      <c r="BG15" s="58">
        <f t="shared" si="12"/>
        <v>1047.5867916666662</v>
      </c>
      <c r="BH15" s="58">
        <f t="shared" si="12"/>
        <v>999.12116666666623</v>
      </c>
      <c r="BI15" s="58">
        <f t="shared" si="12"/>
        <v>994.32741666666618</v>
      </c>
      <c r="BJ15" s="58">
        <f t="shared" si="12"/>
        <v>1067.1719999999998</v>
      </c>
      <c r="BK15" s="58">
        <f t="shared" si="12"/>
        <v>1062.37825</v>
      </c>
      <c r="BL15" s="58">
        <f t="shared" si="12"/>
        <v>1057.5845000000002</v>
      </c>
      <c r="BM15" s="58">
        <f t="shared" si="12"/>
        <v>1052.7907500000003</v>
      </c>
      <c r="BN15" s="58">
        <f t="shared" si="12"/>
        <v>1086.8180000000004</v>
      </c>
      <c r="BO15" s="58">
        <f t="shared" si="12"/>
        <v>1082.0242500000006</v>
      </c>
      <c r="BP15" s="58">
        <f t="shared" si="12"/>
        <v>1077.2305000000008</v>
      </c>
      <c r="BQ15" s="58">
        <f t="shared" ref="BQ15:BX15" si="13">BQ11-(BQ12*BQ14)+BQ13</f>
        <v>1072.436750000001</v>
      </c>
      <c r="BR15" s="58">
        <f t="shared" si="13"/>
        <v>1067.6430000000012</v>
      </c>
      <c r="BS15" s="58">
        <f t="shared" si="13"/>
        <v>1062.8492500000013</v>
      </c>
      <c r="BT15" s="58">
        <f t="shared" si="13"/>
        <v>1058.0555000000015</v>
      </c>
      <c r="BU15" s="58">
        <f t="shared" si="13"/>
        <v>1132.700083333335</v>
      </c>
      <c r="BV15" s="58">
        <f t="shared" si="13"/>
        <v>1129.7063333333351</v>
      </c>
      <c r="BW15" s="58">
        <f t="shared" si="13"/>
        <v>1173.0047708333352</v>
      </c>
      <c r="BX15" s="58">
        <f t="shared" si="13"/>
        <v>1172.6313333333353</v>
      </c>
      <c r="BY15" s="57"/>
    </row>
    <row r="16" spans="2:77" x14ac:dyDescent="0.25">
      <c r="B16" s="54" t="s">
        <v>140</v>
      </c>
      <c r="D16" s="333">
        <v>0</v>
      </c>
      <c r="E16" s="66">
        <f>D47/6</f>
        <v>0</v>
      </c>
      <c r="F16" s="58">
        <f t="shared" ref="F16:BQ16" si="14">E47/6</f>
        <v>0</v>
      </c>
      <c r="G16" s="58">
        <f t="shared" si="14"/>
        <v>0</v>
      </c>
      <c r="H16" s="58">
        <f t="shared" si="14"/>
        <v>0</v>
      </c>
      <c r="I16" s="58">
        <f t="shared" si="14"/>
        <v>0</v>
      </c>
      <c r="J16" s="58">
        <f t="shared" si="14"/>
        <v>0</v>
      </c>
      <c r="K16" s="58">
        <f t="shared" si="14"/>
        <v>0</v>
      </c>
      <c r="L16" s="58">
        <f t="shared" si="14"/>
        <v>0</v>
      </c>
      <c r="M16" s="58">
        <f t="shared" si="14"/>
        <v>77.638333333333335</v>
      </c>
      <c r="N16" s="58">
        <f t="shared" si="14"/>
        <v>0</v>
      </c>
      <c r="O16" s="58">
        <f t="shared" si="14"/>
        <v>0</v>
      </c>
      <c r="P16" s="58">
        <f t="shared" si="14"/>
        <v>0</v>
      </c>
      <c r="Q16" s="58">
        <f t="shared" si="14"/>
        <v>38.820999999999998</v>
      </c>
      <c r="R16" s="58">
        <f t="shared" si="14"/>
        <v>0</v>
      </c>
      <c r="S16" s="58">
        <f t="shared" si="14"/>
        <v>0</v>
      </c>
      <c r="T16" s="58">
        <f t="shared" si="14"/>
        <v>0</v>
      </c>
      <c r="U16" s="58">
        <f t="shared" si="14"/>
        <v>0</v>
      </c>
      <c r="V16" s="58">
        <f t="shared" si="14"/>
        <v>0</v>
      </c>
      <c r="W16" s="58">
        <f t="shared" si="14"/>
        <v>0</v>
      </c>
      <c r="X16" s="58">
        <f t="shared" si="14"/>
        <v>77.638333333333335</v>
      </c>
      <c r="Y16" s="58">
        <f t="shared" si="14"/>
        <v>0</v>
      </c>
      <c r="Z16" s="58">
        <f t="shared" si="14"/>
        <v>0</v>
      </c>
      <c r="AA16" s="58">
        <f t="shared" si="14"/>
        <v>0</v>
      </c>
      <c r="AB16" s="58">
        <f t="shared" si="14"/>
        <v>0</v>
      </c>
      <c r="AC16" s="57">
        <f t="shared" si="14"/>
        <v>0</v>
      </c>
      <c r="AD16" s="58">
        <f t="shared" si="14"/>
        <v>0</v>
      </c>
      <c r="AE16" s="58">
        <f t="shared" si="14"/>
        <v>0</v>
      </c>
      <c r="AF16" s="58">
        <f t="shared" si="14"/>
        <v>0</v>
      </c>
      <c r="AG16" s="58">
        <f t="shared" si="14"/>
        <v>0</v>
      </c>
      <c r="AH16" s="58">
        <f t="shared" si="14"/>
        <v>0</v>
      </c>
      <c r="AI16" s="58">
        <f t="shared" si="14"/>
        <v>0</v>
      </c>
      <c r="AJ16" s="58">
        <f t="shared" si="14"/>
        <v>0</v>
      </c>
      <c r="AK16" s="58">
        <f t="shared" si="14"/>
        <v>38.820999999999998</v>
      </c>
      <c r="AL16" s="58">
        <f t="shared" si="14"/>
        <v>0</v>
      </c>
      <c r="AM16" s="58">
        <f t="shared" si="14"/>
        <v>0</v>
      </c>
      <c r="AN16" s="58">
        <f t="shared" si="14"/>
        <v>0</v>
      </c>
      <c r="AO16" s="58">
        <f t="shared" si="14"/>
        <v>38.820999999999998</v>
      </c>
      <c r="AP16" s="58">
        <f t="shared" si="14"/>
        <v>0</v>
      </c>
      <c r="AQ16" s="58">
        <f t="shared" si="14"/>
        <v>0</v>
      </c>
      <c r="AR16" s="58">
        <f t="shared" si="14"/>
        <v>0</v>
      </c>
      <c r="AS16" s="58">
        <f t="shared" si="14"/>
        <v>0</v>
      </c>
      <c r="AT16" s="58">
        <f t="shared" si="14"/>
        <v>77.638333333333335</v>
      </c>
      <c r="AU16" s="58">
        <f t="shared" si="14"/>
        <v>0</v>
      </c>
      <c r="AV16" s="58">
        <f t="shared" si="14"/>
        <v>0</v>
      </c>
      <c r="AW16" s="58">
        <f t="shared" si="14"/>
        <v>0</v>
      </c>
      <c r="AX16" s="58">
        <f t="shared" si="14"/>
        <v>0</v>
      </c>
      <c r="AY16" s="58">
        <f t="shared" si="14"/>
        <v>0</v>
      </c>
      <c r="AZ16" s="58">
        <f t="shared" si="14"/>
        <v>0</v>
      </c>
      <c r="BA16" s="57">
        <f t="shared" si="14"/>
        <v>0</v>
      </c>
      <c r="BB16" s="58">
        <f t="shared" si="14"/>
        <v>0</v>
      </c>
      <c r="BC16" s="58">
        <f t="shared" si="14"/>
        <v>0</v>
      </c>
      <c r="BD16" s="58">
        <f t="shared" si="14"/>
        <v>0</v>
      </c>
      <c r="BE16" s="58">
        <f t="shared" si="14"/>
        <v>0</v>
      </c>
      <c r="BF16" s="58">
        <f t="shared" si="14"/>
        <v>0</v>
      </c>
      <c r="BG16" s="58">
        <f t="shared" si="14"/>
        <v>0</v>
      </c>
      <c r="BH16" s="58">
        <f t="shared" si="14"/>
        <v>0</v>
      </c>
      <c r="BI16" s="58">
        <f t="shared" si="14"/>
        <v>77.638333333333335</v>
      </c>
      <c r="BJ16" s="58">
        <f t="shared" si="14"/>
        <v>0</v>
      </c>
      <c r="BK16" s="58">
        <f t="shared" si="14"/>
        <v>0</v>
      </c>
      <c r="BL16" s="58">
        <f t="shared" si="14"/>
        <v>0</v>
      </c>
      <c r="BM16" s="58">
        <f t="shared" si="14"/>
        <v>38.820999999999998</v>
      </c>
      <c r="BN16" s="58">
        <f t="shared" si="14"/>
        <v>0</v>
      </c>
      <c r="BO16" s="58">
        <f t="shared" si="14"/>
        <v>0</v>
      </c>
      <c r="BP16" s="58">
        <f t="shared" si="14"/>
        <v>0</v>
      </c>
      <c r="BQ16" s="58">
        <f t="shared" si="14"/>
        <v>0</v>
      </c>
      <c r="BR16" s="58">
        <f t="shared" ref="BR16:BX16" si="15">BQ47/6</f>
        <v>0</v>
      </c>
      <c r="BS16" s="58">
        <f t="shared" si="15"/>
        <v>0</v>
      </c>
      <c r="BT16" s="58">
        <f t="shared" si="15"/>
        <v>77.638333333333335</v>
      </c>
      <c r="BU16" s="58">
        <f t="shared" si="15"/>
        <v>0</v>
      </c>
      <c r="BV16" s="58">
        <f t="shared" si="15"/>
        <v>0</v>
      </c>
      <c r="BW16" s="58">
        <f t="shared" si="15"/>
        <v>0</v>
      </c>
      <c r="BX16" s="58">
        <f t="shared" si="15"/>
        <v>0</v>
      </c>
      <c r="BY16" s="57"/>
    </row>
    <row r="17" spans="2:77" s="89" customFormat="1" x14ac:dyDescent="0.25">
      <c r="B17" s="95" t="s">
        <v>131</v>
      </c>
      <c r="C17" s="114"/>
      <c r="D17" s="350">
        <f>D15+D16</f>
        <v>873.93483333333336</v>
      </c>
      <c r="E17" s="96">
        <f>E15+E16+E12</f>
        <v>873.56139583333334</v>
      </c>
      <c r="F17" s="96">
        <f t="shared" ref="F17:L17" si="16">F15+F16+F12</f>
        <v>873.18795833333331</v>
      </c>
      <c r="G17" s="96">
        <f t="shared" si="16"/>
        <v>872.81452083333329</v>
      </c>
      <c r="H17" s="96">
        <f t="shared" si="16"/>
        <v>872.44108333333327</v>
      </c>
      <c r="I17" s="96">
        <f t="shared" si="16"/>
        <v>872.06764583333324</v>
      </c>
      <c r="J17" s="96">
        <f t="shared" si="16"/>
        <v>869.89420833333327</v>
      </c>
      <c r="K17" s="96">
        <f t="shared" si="16"/>
        <v>865.10045833333322</v>
      </c>
      <c r="L17" s="96">
        <f t="shared" si="16"/>
        <v>860.30670833333318</v>
      </c>
      <c r="M17" s="96">
        <f>M15+M16+M12</f>
        <v>933.15129166666645</v>
      </c>
      <c r="N17" s="96">
        <f t="shared" ref="N17" si="17">N15+N16+N12</f>
        <v>928.35754166666641</v>
      </c>
      <c r="O17" s="96">
        <f t="shared" ref="O17" si="18">O15+O16+O12</f>
        <v>923.56379166666636</v>
      </c>
      <c r="P17" s="96">
        <f t="shared" ref="P17" si="19">P15+P16+P12</f>
        <v>918.77004166666632</v>
      </c>
      <c r="Q17" s="96">
        <f t="shared" ref="Q17" si="20">Q15+Q16+Q12</f>
        <v>952.7972916666663</v>
      </c>
      <c r="R17" s="96">
        <f t="shared" ref="R17" si="21">R15+R16+R12</f>
        <v>948.00354166666625</v>
      </c>
      <c r="S17" s="96">
        <f t="shared" ref="S17" si="22">S15+S16+S12</f>
        <v>943.20979166666621</v>
      </c>
      <c r="T17" s="96">
        <f t="shared" ref="T17" si="23">T15+T16+T12</f>
        <v>938.41604166666616</v>
      </c>
      <c r="U17" s="96">
        <f t="shared" ref="U17" si="24">U15+U16+U12</f>
        <v>933.62229166666611</v>
      </c>
      <c r="V17" s="96">
        <f t="shared" ref="V17" si="25">V15+V16+V12</f>
        <v>928.82854166666607</v>
      </c>
      <c r="W17" s="96">
        <f t="shared" ref="W17" si="26">W15+W16+W12</f>
        <v>924.03479166666602</v>
      </c>
      <c r="X17" s="96">
        <f t="shared" ref="X17" si="27">X15+X16+X12</f>
        <v>996.8793749999993</v>
      </c>
      <c r="Y17" s="96">
        <f t="shared" ref="Y17" si="28">Y15+Y16+Y12</f>
        <v>992.08562499999925</v>
      </c>
      <c r="Z17" s="96">
        <f t="shared" ref="Z17" si="29">Z15+Z16+Z12</f>
        <v>987.29187499999921</v>
      </c>
      <c r="AA17" s="96">
        <f t="shared" ref="AA17" si="30">AA15+AA16+AA12</f>
        <v>986.91843749999919</v>
      </c>
      <c r="AB17" s="96">
        <f t="shared" ref="AB17" si="31">AB15+AB16+AB12</f>
        <v>986.54499999999916</v>
      </c>
      <c r="AC17" s="97">
        <f t="shared" ref="AC17" si="32">AC15+AC16+AC12</f>
        <v>986.17156249999914</v>
      </c>
      <c r="AD17" s="96">
        <f t="shared" ref="AD17" si="33">AD15+AD16+AD12</f>
        <v>985.79812499999912</v>
      </c>
      <c r="AE17" s="96">
        <f t="shared" ref="AE17" si="34">AE15+AE16+AE12</f>
        <v>985.4246874999991</v>
      </c>
      <c r="AF17" s="96">
        <f t="shared" ref="AF17" si="35">AF15+AF16+AF12</f>
        <v>985.05124999999907</v>
      </c>
      <c r="AG17" s="96">
        <f t="shared" ref="AG17" si="36">AG15+AG16+AG12</f>
        <v>984.67781249999905</v>
      </c>
      <c r="AH17" s="96">
        <f t="shared" ref="AH17" si="37">AH15+AH16+AH12</f>
        <v>984.30437499999903</v>
      </c>
      <c r="AI17" s="96">
        <f t="shared" ref="AI17" si="38">AI15+AI16+AI12</f>
        <v>982.13093749999905</v>
      </c>
      <c r="AJ17" s="96">
        <f t="shared" ref="AJ17" si="39">AJ15+AJ16+AJ12</f>
        <v>977.337187499999</v>
      </c>
      <c r="AK17" s="96">
        <f t="shared" ref="AK17" si="40">AK15+AK16+AK12</f>
        <v>1011.364437499999</v>
      </c>
      <c r="AL17" s="96">
        <f t="shared" ref="AL17" si="41">AL15+AL16+AL12</f>
        <v>1006.5706874999989</v>
      </c>
      <c r="AM17" s="96">
        <f t="shared" ref="AM17" si="42">AM15+AM16+AM12</f>
        <v>1001.7769374999989</v>
      </c>
      <c r="AN17" s="96">
        <f t="shared" ref="AN17" si="43">AN15+AN16+AN12</f>
        <v>996.98318749999885</v>
      </c>
      <c r="AO17" s="96">
        <f t="shared" ref="AO17" si="44">AO15+AO16+AO12</f>
        <v>1031.0104374999989</v>
      </c>
      <c r="AP17" s="96">
        <f t="shared" ref="AP17" si="45">AP15+AP16+AP12</f>
        <v>1026.2166874999989</v>
      </c>
      <c r="AQ17" s="96">
        <f t="shared" ref="AQ17" si="46">AQ15+AQ16+AQ12</f>
        <v>1021.4229374999989</v>
      </c>
      <c r="AR17" s="96">
        <f t="shared" ref="AR17" si="47">AR15+AR16+AR12</f>
        <v>1016.6291874999988</v>
      </c>
      <c r="AS17" s="96">
        <f t="shared" ref="AS17" si="48">AS15+AS16+AS12</f>
        <v>1011.8354374999988</v>
      </c>
      <c r="AT17" s="96">
        <f t="shared" ref="AT17" si="49">AT15+AT16+AT12</f>
        <v>1084.6800208333323</v>
      </c>
      <c r="AU17" s="96">
        <f t="shared" ref="AU17" si="50">AU15+AU16+AU12</f>
        <v>1079.8862708333322</v>
      </c>
      <c r="AV17" s="96">
        <f t="shared" ref="AV17" si="51">AV15+AV16+AV12</f>
        <v>1075.0925208333322</v>
      </c>
      <c r="AW17" s="96">
        <f t="shared" ref="AW17" si="52">AW15+AW16+AW12</f>
        <v>1070.2987708333321</v>
      </c>
      <c r="AX17" s="96">
        <f t="shared" ref="AX17" si="53">AX15+AX16+AX12</f>
        <v>1067.305020833332</v>
      </c>
      <c r="AY17" s="96">
        <f t="shared" ref="AY17" si="54">AY15+AY16+AY12</f>
        <v>1066.9315833333321</v>
      </c>
      <c r="AZ17" s="96">
        <f t="shared" ref="AZ17" si="55">AZ15+AZ16+AZ12</f>
        <v>1066.5581458333322</v>
      </c>
      <c r="BA17" s="97">
        <f t="shared" ref="BA17" si="56">BA15+BA16+BA12</f>
        <v>1066.1847083333323</v>
      </c>
      <c r="BB17" s="96">
        <f t="shared" ref="BB17" si="57">BB15+BB16+BB12</f>
        <v>1065.8112708333324</v>
      </c>
      <c r="BC17" s="96">
        <f t="shared" ref="BC17" si="58">BC15+BC16+BC12</f>
        <v>1065.4378333333325</v>
      </c>
      <c r="BD17" s="96">
        <f t="shared" ref="BD17" si="59">BD15+BD16+BD12</f>
        <v>1065.0643958333326</v>
      </c>
      <c r="BE17" s="96">
        <f t="shared" ref="BE17" si="60">BE15+BE16+BE12</f>
        <v>1064.6909583333327</v>
      </c>
      <c r="BF17" s="96">
        <f t="shared" ref="BF17" si="61">BF15+BF16+BF12</f>
        <v>1064.3175208333328</v>
      </c>
      <c r="BG17" s="96">
        <f t="shared" ref="BG17" si="62">BG15+BG16+BG12</f>
        <v>1062.1440833333329</v>
      </c>
      <c r="BH17" s="96">
        <f t="shared" ref="BH17" si="63">BH15+BH16+BH12</f>
        <v>1057.3503333333329</v>
      </c>
      <c r="BI17" s="96">
        <f t="shared" ref="BI17" si="64">BI15+BI16+BI12</f>
        <v>1130.1949166666664</v>
      </c>
      <c r="BJ17" s="96">
        <f t="shared" ref="BJ17" si="65">BJ15+BJ16+BJ12</f>
        <v>1125.4011666666665</v>
      </c>
      <c r="BK17" s="96">
        <f t="shared" ref="BK17" si="66">BK15+BK16+BK12</f>
        <v>1120.6074166666667</v>
      </c>
      <c r="BL17" s="96">
        <f t="shared" ref="BL17" si="67">BL15+BL16+BL12</f>
        <v>1115.8136666666669</v>
      </c>
      <c r="BM17" s="96">
        <f t="shared" ref="BM17" si="68">BM15+BM16+BM12</f>
        <v>1149.840916666667</v>
      </c>
      <c r="BN17" s="96">
        <f t="shared" ref="BN17" si="69">BN15+BN16+BN12</f>
        <v>1145.0471666666672</v>
      </c>
      <c r="BO17" s="96">
        <f t="shared" ref="BO17" si="70">BO15+BO16+BO12</f>
        <v>1140.2534166666674</v>
      </c>
      <c r="BP17" s="96">
        <f t="shared" ref="BP17" si="71">BP15+BP16+BP12</f>
        <v>1135.4596666666675</v>
      </c>
      <c r="BQ17" s="96">
        <f t="shared" ref="BQ17" si="72">BQ15+BQ16+BQ12</f>
        <v>1130.6659166666677</v>
      </c>
      <c r="BR17" s="96">
        <f t="shared" ref="BR17" si="73">BR15+BR16+BR12</f>
        <v>1125.8721666666679</v>
      </c>
      <c r="BS17" s="96">
        <f t="shared" ref="BS17" si="74">BS15+BS16+BS12</f>
        <v>1121.0784166666681</v>
      </c>
      <c r="BT17" s="96">
        <f t="shared" ref="BT17" si="75">BT15+BT16+BT12</f>
        <v>1193.9230000000016</v>
      </c>
      <c r="BU17" s="96">
        <f t="shared" ref="BU17" si="76">BU15+BU16+BU12</f>
        <v>1190.9292500000017</v>
      </c>
      <c r="BV17" s="96">
        <f t="shared" ref="BV17" si="77">BV15+BV16+BV12</f>
        <v>1187.9355000000019</v>
      </c>
      <c r="BW17" s="96">
        <f t="shared" ref="BW17" si="78">BW15+BW16+BW12</f>
        <v>1187.562062500002</v>
      </c>
      <c r="BX17" s="96">
        <f t="shared" ref="BX17" si="79">BX15+BX16+BX12</f>
        <v>1187.188625000002</v>
      </c>
      <c r="BY17" s="97"/>
    </row>
    <row r="18" spans="2:77" s="93" customFormat="1" ht="15.75" thickBot="1" x14ac:dyDescent="0.3">
      <c r="B18" s="94" t="s">
        <v>137</v>
      </c>
      <c r="C18" s="115"/>
      <c r="D18" s="334">
        <f>(D17/1397.5)*10</f>
        <v>6.2535587358378049</v>
      </c>
      <c r="E18" s="99">
        <f t="shared" ref="E18:M18" si="80">IF(E17&lt;232.916,0,(E17/1397.5)*10)</f>
        <v>6.2508865533691118</v>
      </c>
      <c r="F18" s="99">
        <f t="shared" si="80"/>
        <v>6.248214370900417</v>
      </c>
      <c r="G18" s="99">
        <f t="shared" si="80"/>
        <v>6.245542188431723</v>
      </c>
      <c r="H18" s="99">
        <f t="shared" si="80"/>
        <v>6.2428700059630282</v>
      </c>
      <c r="I18" s="99">
        <f t="shared" si="80"/>
        <v>6.2401978234943343</v>
      </c>
      <c r="J18" s="99">
        <f t="shared" si="80"/>
        <v>6.22464549791294</v>
      </c>
      <c r="K18" s="99">
        <f t="shared" si="80"/>
        <v>6.1903431723315441</v>
      </c>
      <c r="L18" s="99">
        <f t="shared" si="80"/>
        <v>6.1560408467501482</v>
      </c>
      <c r="M18" s="99">
        <f t="shared" si="80"/>
        <v>6.6772901013714945</v>
      </c>
      <c r="N18" s="99">
        <f>IF(N17&lt;232.916,0,(N17/1397.5)*10)</f>
        <v>6.6429877757900986</v>
      </c>
      <c r="O18" s="99">
        <f t="shared" ref="O18:BX18" si="81">IF(O17&lt;232.916,0,(O17/1397.5)*10)</f>
        <v>6.6086854502087036</v>
      </c>
      <c r="P18" s="99">
        <f t="shared" si="81"/>
        <v>6.5743831246273077</v>
      </c>
      <c r="Q18" s="99">
        <f t="shared" si="81"/>
        <v>6.8178697078115658</v>
      </c>
      <c r="R18" s="99">
        <f t="shared" si="81"/>
        <v>6.7835673822301699</v>
      </c>
      <c r="S18" s="99">
        <f t="shared" si="81"/>
        <v>6.749265056648774</v>
      </c>
      <c r="T18" s="99">
        <f t="shared" si="81"/>
        <v>6.714962731067379</v>
      </c>
      <c r="U18" s="99">
        <f t="shared" si="81"/>
        <v>6.6806604054859831</v>
      </c>
      <c r="V18" s="99">
        <f t="shared" si="81"/>
        <v>6.6463580799045872</v>
      </c>
      <c r="W18" s="99">
        <f t="shared" si="81"/>
        <v>6.6120557543231921</v>
      </c>
      <c r="X18" s="99">
        <f t="shared" si="81"/>
        <v>7.1333050089445393</v>
      </c>
      <c r="Y18" s="99">
        <f t="shared" si="81"/>
        <v>7.0990026833631434</v>
      </c>
      <c r="Z18" s="99">
        <f t="shared" si="81"/>
        <v>7.0647003577817475</v>
      </c>
      <c r="AA18" s="99">
        <f t="shared" si="81"/>
        <v>7.0620281753130527</v>
      </c>
      <c r="AB18" s="99">
        <f t="shared" si="81"/>
        <v>7.0593559928443597</v>
      </c>
      <c r="AC18" s="100">
        <f t="shared" si="81"/>
        <v>7.0566838103756648</v>
      </c>
      <c r="AD18" s="99">
        <f t="shared" si="81"/>
        <v>7.0540116279069709</v>
      </c>
      <c r="AE18" s="99">
        <f t="shared" si="81"/>
        <v>7.0513394454382761</v>
      </c>
      <c r="AF18" s="99">
        <f t="shared" si="81"/>
        <v>7.0486672629695821</v>
      </c>
      <c r="AG18" s="99">
        <f t="shared" si="81"/>
        <v>7.0459950805008873</v>
      </c>
      <c r="AH18" s="99">
        <f t="shared" si="81"/>
        <v>7.0433228980321942</v>
      </c>
      <c r="AI18" s="99">
        <f t="shared" si="81"/>
        <v>7.0277705724507982</v>
      </c>
      <c r="AJ18" s="99">
        <f t="shared" si="81"/>
        <v>6.9934682468694023</v>
      </c>
      <c r="AK18" s="99">
        <f t="shared" si="81"/>
        <v>7.2369548300536604</v>
      </c>
      <c r="AL18" s="99">
        <f t="shared" si="81"/>
        <v>7.2026525044722645</v>
      </c>
      <c r="AM18" s="99">
        <f t="shared" si="81"/>
        <v>7.1683501788908686</v>
      </c>
      <c r="AN18" s="99">
        <f t="shared" si="81"/>
        <v>7.1340478533094736</v>
      </c>
      <c r="AO18" s="99">
        <f t="shared" si="81"/>
        <v>7.3775344364937308</v>
      </c>
      <c r="AP18" s="99">
        <f t="shared" si="81"/>
        <v>7.3432321109123357</v>
      </c>
      <c r="AQ18" s="99">
        <f t="shared" si="81"/>
        <v>7.3089297853309398</v>
      </c>
      <c r="AR18" s="99">
        <f t="shared" si="81"/>
        <v>7.2746274597495439</v>
      </c>
      <c r="AS18" s="99">
        <f t="shared" si="81"/>
        <v>7.2403251341681489</v>
      </c>
      <c r="AT18" s="99">
        <f t="shared" si="81"/>
        <v>7.761574388789497</v>
      </c>
      <c r="AU18" s="99">
        <f t="shared" si="81"/>
        <v>7.7272720632081011</v>
      </c>
      <c r="AV18" s="99">
        <f t="shared" si="81"/>
        <v>7.6929697376267061</v>
      </c>
      <c r="AW18" s="99">
        <f t="shared" si="81"/>
        <v>7.6586674120453102</v>
      </c>
      <c r="AX18" s="99">
        <f t="shared" si="81"/>
        <v>7.6372452295766156</v>
      </c>
      <c r="AY18" s="99">
        <f t="shared" si="81"/>
        <v>7.6345730471079225</v>
      </c>
      <c r="AZ18" s="99">
        <f t="shared" si="81"/>
        <v>7.6319008646392286</v>
      </c>
      <c r="BA18" s="100">
        <f t="shared" si="81"/>
        <v>7.6292286821705355</v>
      </c>
      <c r="BB18" s="99">
        <f t="shared" si="81"/>
        <v>7.6265564997018416</v>
      </c>
      <c r="BC18" s="99">
        <f t="shared" si="81"/>
        <v>7.6238843172331485</v>
      </c>
      <c r="BD18" s="99">
        <f t="shared" si="81"/>
        <v>7.6212121347644546</v>
      </c>
      <c r="BE18" s="99">
        <f t="shared" si="81"/>
        <v>7.6185399522957624</v>
      </c>
      <c r="BF18" s="99">
        <f t="shared" si="81"/>
        <v>7.6158677698270685</v>
      </c>
      <c r="BG18" s="99">
        <f t="shared" si="81"/>
        <v>7.6003154442456733</v>
      </c>
      <c r="BH18" s="99">
        <f t="shared" si="81"/>
        <v>7.5660131186642774</v>
      </c>
      <c r="BI18" s="99">
        <f t="shared" si="81"/>
        <v>8.0872623732856255</v>
      </c>
      <c r="BJ18" s="99">
        <f t="shared" si="81"/>
        <v>8.0529600477042322</v>
      </c>
      <c r="BK18" s="99">
        <f t="shared" si="81"/>
        <v>8.018657722122839</v>
      </c>
      <c r="BL18" s="99">
        <f t="shared" si="81"/>
        <v>7.9843553965414449</v>
      </c>
      <c r="BM18" s="99">
        <f t="shared" si="81"/>
        <v>8.227841979725703</v>
      </c>
      <c r="BN18" s="99">
        <f t="shared" si="81"/>
        <v>8.1935396541443097</v>
      </c>
      <c r="BO18" s="99">
        <f t="shared" si="81"/>
        <v>8.1592373285629147</v>
      </c>
      <c r="BP18" s="99">
        <f t="shared" si="81"/>
        <v>8.1249350029815197</v>
      </c>
      <c r="BQ18" s="99">
        <f t="shared" si="81"/>
        <v>8.0906326774001265</v>
      </c>
      <c r="BR18" s="99">
        <f t="shared" si="81"/>
        <v>8.0563303518187332</v>
      </c>
      <c r="BS18" s="99">
        <f t="shared" si="81"/>
        <v>8.0220280262373382</v>
      </c>
      <c r="BT18" s="99">
        <f t="shared" si="81"/>
        <v>8.5432772808586872</v>
      </c>
      <c r="BU18" s="99">
        <f t="shared" si="81"/>
        <v>8.5218550983899952</v>
      </c>
      <c r="BV18" s="99">
        <f t="shared" si="81"/>
        <v>8.5004329159213015</v>
      </c>
      <c r="BW18" s="99">
        <f t="shared" si="81"/>
        <v>8.4977607334526084</v>
      </c>
      <c r="BX18" s="99">
        <f t="shared" si="81"/>
        <v>8.4950885509839154</v>
      </c>
      <c r="BY18" s="100"/>
    </row>
    <row r="19" spans="2:77" x14ac:dyDescent="0.25">
      <c r="B19" s="70"/>
      <c r="C19" s="111"/>
    </row>
    <row r="20" spans="2:77" x14ac:dyDescent="0.25">
      <c r="B20" s="70" t="s">
        <v>90</v>
      </c>
      <c r="C20" s="111"/>
      <c r="E20" s="90">
        <v>4.1666666666666664E-2</v>
      </c>
      <c r="F20" s="72">
        <v>8.3333333333333301E-2</v>
      </c>
      <c r="G20" s="72">
        <v>0.125</v>
      </c>
      <c r="H20" s="72">
        <v>0.16666666666666699</v>
      </c>
      <c r="I20" s="72">
        <v>0.20833333333333301</v>
      </c>
      <c r="J20" s="72">
        <v>0.25</v>
      </c>
      <c r="K20" s="72">
        <v>0.29166666666666702</v>
      </c>
      <c r="L20" s="72">
        <v>0.33333333333333298</v>
      </c>
      <c r="M20" s="72">
        <v>0.375</v>
      </c>
      <c r="N20" s="72">
        <v>0.41666666666666702</v>
      </c>
      <c r="O20" s="72">
        <v>0.45833333333333298</v>
      </c>
      <c r="P20" s="72">
        <v>0.5</v>
      </c>
      <c r="Q20" s="72">
        <v>0.54166666666666696</v>
      </c>
      <c r="R20" s="72">
        <v>0.58333333333333304</v>
      </c>
      <c r="S20" s="72">
        <v>0.625</v>
      </c>
      <c r="T20" s="72">
        <v>0.66666666666666696</v>
      </c>
      <c r="U20" s="72">
        <v>0.70833333333333304</v>
      </c>
      <c r="V20" s="72">
        <v>0.75</v>
      </c>
      <c r="W20" s="72">
        <v>0.79166666666666696</v>
      </c>
      <c r="X20" s="72">
        <v>0.83333333333333304</v>
      </c>
      <c r="Y20" s="72">
        <v>0.875</v>
      </c>
      <c r="Z20" s="72">
        <v>0.91666666666666696</v>
      </c>
      <c r="AA20" s="72">
        <v>0.95833333333333404</v>
      </c>
      <c r="AB20" s="72">
        <v>1</v>
      </c>
      <c r="AC20" s="71">
        <v>1.0416666666666701</v>
      </c>
      <c r="AD20" s="72">
        <v>1.0833333333333299</v>
      </c>
      <c r="AE20" s="72">
        <v>1.125</v>
      </c>
      <c r="AF20" s="72">
        <v>1.1666666666666701</v>
      </c>
      <c r="AG20" s="72">
        <v>1.2083333333333299</v>
      </c>
      <c r="AH20" s="72">
        <v>1.25</v>
      </c>
      <c r="AI20" s="72">
        <v>1.2916666666666701</v>
      </c>
      <c r="AJ20" s="72">
        <v>1.3333333333333299</v>
      </c>
      <c r="AK20" s="72">
        <v>1.375</v>
      </c>
      <c r="AL20" s="72">
        <v>1.4166666666666701</v>
      </c>
      <c r="AM20" s="72">
        <v>1.4583333333333299</v>
      </c>
      <c r="AN20" s="72">
        <v>1.5</v>
      </c>
      <c r="AO20" s="72">
        <v>1.5416666666666701</v>
      </c>
      <c r="AP20" s="72">
        <v>1.5833333333333299</v>
      </c>
      <c r="AQ20" s="72">
        <v>1.625</v>
      </c>
      <c r="AR20" s="72">
        <v>1.6666666666666701</v>
      </c>
      <c r="AS20" s="72">
        <v>1.7083333333333299</v>
      </c>
      <c r="AT20" s="72">
        <v>1.75</v>
      </c>
      <c r="AU20" s="72">
        <v>1.7916666666666701</v>
      </c>
      <c r="AV20" s="72">
        <v>1.8333333333333299</v>
      </c>
      <c r="AW20" s="72">
        <v>1.875</v>
      </c>
      <c r="AX20" s="72">
        <v>1.9166666666666701</v>
      </c>
      <c r="AY20" s="72">
        <v>1.9583333333333299</v>
      </c>
      <c r="AZ20" s="72">
        <v>2</v>
      </c>
      <c r="BA20" s="71">
        <v>1.0416666666666701</v>
      </c>
      <c r="BB20" s="72">
        <v>1.0833333333333299</v>
      </c>
      <c r="BC20" s="72">
        <v>1.125</v>
      </c>
      <c r="BD20" s="72">
        <v>1.1666666666666701</v>
      </c>
      <c r="BE20" s="72">
        <v>1.2083333333333299</v>
      </c>
      <c r="BF20" s="72">
        <v>1.25</v>
      </c>
      <c r="BG20" s="72">
        <v>1.2916666666666701</v>
      </c>
      <c r="BH20" s="72">
        <v>1.3333333333333299</v>
      </c>
      <c r="BI20" s="72">
        <v>1.375</v>
      </c>
      <c r="BJ20" s="72">
        <v>1.4166666666666701</v>
      </c>
      <c r="BK20" s="72">
        <v>1.4583333333333299</v>
      </c>
      <c r="BL20" s="72">
        <v>1.5</v>
      </c>
      <c r="BM20" s="72">
        <v>1.5416666666666701</v>
      </c>
      <c r="BN20" s="72">
        <v>1.5833333333333299</v>
      </c>
      <c r="BO20" s="72">
        <v>1.625</v>
      </c>
      <c r="BP20" s="72">
        <v>1.6666666666666701</v>
      </c>
      <c r="BQ20" s="72">
        <v>1.7083333333333299</v>
      </c>
      <c r="BR20" s="72">
        <v>1.75</v>
      </c>
      <c r="BS20" s="72">
        <v>1.7916666666666701</v>
      </c>
      <c r="BT20" s="72">
        <v>1.8333333333333299</v>
      </c>
      <c r="BU20" s="72">
        <v>1.875</v>
      </c>
      <c r="BV20" s="72">
        <v>1.9166666666666701</v>
      </c>
      <c r="BW20" s="72">
        <v>1.9583333333333299</v>
      </c>
      <c r="BX20" s="72">
        <v>2</v>
      </c>
      <c r="BY20" s="71"/>
    </row>
    <row r="21" spans="2:77" x14ac:dyDescent="0.25">
      <c r="B21" s="54" t="s">
        <v>122</v>
      </c>
      <c r="D21" s="382">
        <v>6</v>
      </c>
      <c r="E21" s="349">
        <f>D27</f>
        <v>7.4666666666666659</v>
      </c>
      <c r="F21" s="74">
        <f t="shared" ref="F21:BQ21" si="82">E27</f>
        <v>3.0440539654144314</v>
      </c>
      <c r="G21" s="74">
        <f t="shared" si="82"/>
        <v>5.2566964072748954</v>
      </c>
      <c r="H21" s="74">
        <f t="shared" si="82"/>
        <v>4.1517112775790102</v>
      </c>
      <c r="I21" s="74">
        <f t="shared" si="82"/>
        <v>4.7055399336613002</v>
      </c>
      <c r="J21" s="74">
        <f t="shared" si="82"/>
        <v>4.4299616968545026</v>
      </c>
      <c r="K21" s="74">
        <f t="shared" si="82"/>
        <v>4.5690869064922479</v>
      </c>
      <c r="L21" s="74">
        <f t="shared" si="82"/>
        <v>5.0948004644640728</v>
      </c>
      <c r="M21" s="74">
        <f t="shared" si="82"/>
        <v>4.8490948482688578</v>
      </c>
      <c r="N21" s="74">
        <f t="shared" si="82"/>
        <v>4.3890988191571632</v>
      </c>
      <c r="O21" s="74">
        <f t="shared" si="82"/>
        <v>4.6084722064023369</v>
      </c>
      <c r="P21" s="74">
        <f t="shared" si="82"/>
        <v>4.5159366755704484</v>
      </c>
      <c r="Q21" s="74">
        <f t="shared" si="82"/>
        <v>4.5793556037770902</v>
      </c>
      <c r="R21" s="74">
        <f t="shared" si="82"/>
        <v>4.5647973024644672</v>
      </c>
      <c r="S21" s="74">
        <f t="shared" si="82"/>
        <v>4.4503331615286497</v>
      </c>
      <c r="T21" s="74">
        <f t="shared" si="82"/>
        <v>4.524716394787256</v>
      </c>
      <c r="U21" s="74">
        <f t="shared" si="82"/>
        <v>4.5046759409486512</v>
      </c>
      <c r="V21" s="74">
        <f t="shared" si="82"/>
        <v>4.5318473306586506</v>
      </c>
      <c r="W21" s="74">
        <f t="shared" si="82"/>
        <v>4.5354127985943498</v>
      </c>
      <c r="X21" s="74">
        <f t="shared" si="82"/>
        <v>4.3007812274171977</v>
      </c>
      <c r="Y21" s="74">
        <f t="shared" si="82"/>
        <v>4.4352481757964712</v>
      </c>
      <c r="Z21" s="74">
        <f t="shared" si="82"/>
        <v>4.1073900742961609</v>
      </c>
      <c r="AA21" s="74">
        <f t="shared" si="82"/>
        <v>4.288470287837014</v>
      </c>
      <c r="AB21" s="74">
        <f t="shared" si="82"/>
        <v>4.2275813438572856</v>
      </c>
      <c r="AC21" s="73">
        <f t="shared" si="82"/>
        <v>4.2593619070814972</v>
      </c>
      <c r="AD21" s="74">
        <f t="shared" si="82"/>
        <v>4.2448077167037379</v>
      </c>
      <c r="AE21" s="74">
        <f t="shared" si="82"/>
        <v>4.2534209031269654</v>
      </c>
      <c r="AF21" s="74">
        <f t="shared" si="82"/>
        <v>4.2504504011496982</v>
      </c>
      <c r="AG21" s="74">
        <f t="shared" si="82"/>
        <v>4.2532717433726797</v>
      </c>
      <c r="AH21" s="74">
        <f t="shared" si="82"/>
        <v>4.2531971634955354</v>
      </c>
      <c r="AI21" s="74">
        <f t="shared" si="82"/>
        <v>4.2545705446684554</v>
      </c>
      <c r="AJ21" s="74">
        <f t="shared" si="82"/>
        <v>3.6552199453163419</v>
      </c>
      <c r="AK21" s="74">
        <f t="shared" si="82"/>
        <v>4.5501714077830959</v>
      </c>
      <c r="AL21" s="74">
        <f t="shared" si="82"/>
        <v>4.1198468393404175</v>
      </c>
      <c r="AM21" s="74">
        <f t="shared" si="82"/>
        <v>4.4632658319696272</v>
      </c>
      <c r="AN21" s="74">
        <f t="shared" si="82"/>
        <v>4.3087074984457203</v>
      </c>
      <c r="AO21" s="74">
        <f t="shared" si="82"/>
        <v>4.4031378279983722</v>
      </c>
      <c r="AP21" s="74">
        <f t="shared" si="82"/>
        <v>4.3730738260127433</v>
      </c>
      <c r="AQ21" s="74">
        <f t="shared" si="82"/>
        <v>4.2663625354134291</v>
      </c>
      <c r="AR21" s="74">
        <f t="shared" si="82"/>
        <v>4.3368693435037837</v>
      </c>
      <c r="AS21" s="74">
        <f t="shared" si="82"/>
        <v>4.3187671022493044</v>
      </c>
      <c r="AT21" s="74">
        <f t="shared" si="82"/>
        <v>4.344969385667242</v>
      </c>
      <c r="AU21" s="74">
        <f t="shared" si="82"/>
        <v>4.3490194067489707</v>
      </c>
      <c r="AV21" s="74">
        <f t="shared" si="82"/>
        <v>3.8363697688974328</v>
      </c>
      <c r="AW21" s="74">
        <f t="shared" si="82"/>
        <v>4.109845750613899</v>
      </c>
      <c r="AX21" s="74">
        <f t="shared" si="82"/>
        <v>3.9902589225463641</v>
      </c>
      <c r="AY21" s="74">
        <f t="shared" si="82"/>
        <v>4.6672034993708289</v>
      </c>
      <c r="AZ21" s="74">
        <f t="shared" si="82"/>
        <v>3.7519423021929446</v>
      </c>
      <c r="BA21" s="73">
        <f t="shared" si="82"/>
        <v>4.2109089920162335</v>
      </c>
      <c r="BB21" s="74">
        <f t="shared" si="82"/>
        <v>3.9827617383389362</v>
      </c>
      <c r="BC21" s="74">
        <f t="shared" si="82"/>
        <v>4.0981714564119303</v>
      </c>
      <c r="BD21" s="74">
        <f t="shared" si="82"/>
        <v>4.0418026886097804</v>
      </c>
      <c r="BE21" s="74">
        <f t="shared" si="82"/>
        <v>4.0713231637452019</v>
      </c>
      <c r="BF21" s="74">
        <f t="shared" si="82"/>
        <v>4.0578990174118381</v>
      </c>
      <c r="BG21" s="74">
        <f t="shared" si="82"/>
        <v>4.0659471818128665</v>
      </c>
      <c r="BH21" s="74">
        <f t="shared" si="82"/>
        <v>3.4632591908466988</v>
      </c>
      <c r="BI21" s="74">
        <f t="shared" si="82"/>
        <v>4.3598793491204804</v>
      </c>
      <c r="BJ21" s="74">
        <f t="shared" si="82"/>
        <v>3.9287204327742873</v>
      </c>
      <c r="BK21" s="74">
        <f t="shared" si="82"/>
        <v>4.13367526363671</v>
      </c>
      <c r="BL21" s="74">
        <f t="shared" si="82"/>
        <v>4.048349010996195</v>
      </c>
      <c r="BM21" s="74">
        <f t="shared" si="82"/>
        <v>4.1081633001071491</v>
      </c>
      <c r="BN21" s="74">
        <f t="shared" si="82"/>
        <v>4.0954073183423692</v>
      </c>
      <c r="BO21" s="74">
        <f t="shared" si="82"/>
        <v>3.9800420176326301</v>
      </c>
      <c r="BP21" s="74">
        <f t="shared" si="82"/>
        <v>4.0548758307781965</v>
      </c>
      <c r="BQ21" s="74">
        <f t="shared" si="82"/>
        <v>4.0346100869961106</v>
      </c>
      <c r="BR21" s="74">
        <f t="shared" ref="BR21:BX21" si="83">BQ27</f>
        <v>4.0618941216778515</v>
      </c>
      <c r="BS21" s="74">
        <f t="shared" si="83"/>
        <v>4.0654032671276772</v>
      </c>
      <c r="BT21" s="74">
        <f t="shared" si="83"/>
        <v>3.8307998571934614</v>
      </c>
      <c r="BU21" s="74">
        <f t="shared" si="83"/>
        <v>3.965252724951267</v>
      </c>
      <c r="BV21" s="74">
        <f t="shared" si="83"/>
        <v>3.6374016637616893</v>
      </c>
      <c r="BW21" s="74">
        <f t="shared" si="83"/>
        <v>4.4120382855908238</v>
      </c>
      <c r="BX21" s="74">
        <f t="shared" si="83"/>
        <v>3.4479310659106042</v>
      </c>
      <c r="BY21" s="73"/>
    </row>
    <row r="22" spans="2:77" s="82" customFormat="1" x14ac:dyDescent="0.25">
      <c r="B22" s="354" t="s">
        <v>384</v>
      </c>
      <c r="C22" s="120"/>
      <c r="D22" s="347">
        <f>10/12</f>
        <v>0.83333333333333337</v>
      </c>
      <c r="E22" s="355">
        <f t="shared" ref="E22:AJ22" si="84">IF(D38="T",-$D$22*0.5,$D$22)</f>
        <v>-0.41666666666666669</v>
      </c>
      <c r="F22" s="356">
        <f t="shared" si="84"/>
        <v>-0.41666666666666669</v>
      </c>
      <c r="G22" s="356">
        <f t="shared" si="84"/>
        <v>-0.41666666666666669</v>
      </c>
      <c r="H22" s="356">
        <f t="shared" si="84"/>
        <v>-0.41666666666666669</v>
      </c>
      <c r="I22" s="356">
        <f t="shared" si="84"/>
        <v>-0.41666666666666669</v>
      </c>
      <c r="J22" s="356">
        <f t="shared" si="84"/>
        <v>-0.41666666666666669</v>
      </c>
      <c r="K22" s="356">
        <f t="shared" si="84"/>
        <v>0.83333333333333337</v>
      </c>
      <c r="L22" s="356">
        <f t="shared" si="84"/>
        <v>0.83333333333333337</v>
      </c>
      <c r="M22" s="356">
        <f t="shared" si="84"/>
        <v>0.83333333333333337</v>
      </c>
      <c r="N22" s="356">
        <f t="shared" si="84"/>
        <v>0.83333333333333337</v>
      </c>
      <c r="O22" s="356">
        <f t="shared" si="84"/>
        <v>0.83333333333333337</v>
      </c>
      <c r="P22" s="356">
        <f t="shared" si="84"/>
        <v>0.83333333333333337</v>
      </c>
      <c r="Q22" s="356">
        <f t="shared" si="84"/>
        <v>0.83333333333333337</v>
      </c>
      <c r="R22" s="356">
        <f t="shared" si="84"/>
        <v>0.83333333333333337</v>
      </c>
      <c r="S22" s="356">
        <f t="shared" si="84"/>
        <v>0.83333333333333337</v>
      </c>
      <c r="T22" s="356">
        <f t="shared" si="84"/>
        <v>0.83333333333333337</v>
      </c>
      <c r="U22" s="356">
        <f t="shared" si="84"/>
        <v>0.83333333333333337</v>
      </c>
      <c r="V22" s="356">
        <f t="shared" si="84"/>
        <v>0.83333333333333337</v>
      </c>
      <c r="W22" s="356">
        <f t="shared" si="84"/>
        <v>0.83333333333333337</v>
      </c>
      <c r="X22" s="356">
        <f t="shared" si="84"/>
        <v>0.83333333333333337</v>
      </c>
      <c r="Y22" s="356">
        <f t="shared" si="84"/>
        <v>0.83333333333333337</v>
      </c>
      <c r="Z22" s="356">
        <f t="shared" si="84"/>
        <v>0.83333333333333337</v>
      </c>
      <c r="AA22" s="356">
        <f t="shared" si="84"/>
        <v>-0.41666666666666669</v>
      </c>
      <c r="AB22" s="356">
        <f t="shared" si="84"/>
        <v>-0.41666666666666669</v>
      </c>
      <c r="AC22" s="357">
        <f t="shared" si="84"/>
        <v>-0.41666666666666669</v>
      </c>
      <c r="AD22" s="356">
        <f t="shared" si="84"/>
        <v>-0.41666666666666669</v>
      </c>
      <c r="AE22" s="356">
        <f t="shared" si="84"/>
        <v>-0.41666666666666669</v>
      </c>
      <c r="AF22" s="356">
        <f t="shared" si="84"/>
        <v>-0.41666666666666669</v>
      </c>
      <c r="AG22" s="356">
        <f t="shared" si="84"/>
        <v>-0.41666666666666669</v>
      </c>
      <c r="AH22" s="356">
        <f t="shared" si="84"/>
        <v>-0.41666666666666669</v>
      </c>
      <c r="AI22" s="356">
        <f t="shared" si="84"/>
        <v>-0.41666666666666669</v>
      </c>
      <c r="AJ22" s="356">
        <f t="shared" si="84"/>
        <v>0.83333333333333337</v>
      </c>
      <c r="AK22" s="356">
        <f t="shared" ref="AK22:BP22" si="85">IF(AJ38="T",-$D$22*0.5,$D$22)</f>
        <v>0.83333333333333337</v>
      </c>
      <c r="AL22" s="356">
        <f t="shared" si="85"/>
        <v>0.83333333333333337</v>
      </c>
      <c r="AM22" s="356">
        <f t="shared" si="85"/>
        <v>0.83333333333333337</v>
      </c>
      <c r="AN22" s="356">
        <f t="shared" si="85"/>
        <v>0.83333333333333337</v>
      </c>
      <c r="AO22" s="356">
        <f t="shared" si="85"/>
        <v>0.83333333333333337</v>
      </c>
      <c r="AP22" s="356">
        <f t="shared" si="85"/>
        <v>0.83333333333333337</v>
      </c>
      <c r="AQ22" s="356">
        <f t="shared" si="85"/>
        <v>0.83333333333333337</v>
      </c>
      <c r="AR22" s="356">
        <f t="shared" si="85"/>
        <v>0.83333333333333337</v>
      </c>
      <c r="AS22" s="356">
        <f t="shared" si="85"/>
        <v>0.83333333333333337</v>
      </c>
      <c r="AT22" s="356">
        <f t="shared" si="85"/>
        <v>0.83333333333333337</v>
      </c>
      <c r="AU22" s="356">
        <f t="shared" si="85"/>
        <v>0.83333333333333337</v>
      </c>
      <c r="AV22" s="356">
        <f t="shared" si="85"/>
        <v>0.83333333333333337</v>
      </c>
      <c r="AW22" s="356">
        <f t="shared" si="85"/>
        <v>0.83333333333333337</v>
      </c>
      <c r="AX22" s="356">
        <f t="shared" si="85"/>
        <v>0.83333333333333337</v>
      </c>
      <c r="AY22" s="356">
        <f t="shared" si="85"/>
        <v>-0.41666666666666669</v>
      </c>
      <c r="AZ22" s="356">
        <f t="shared" si="85"/>
        <v>-0.41666666666666669</v>
      </c>
      <c r="BA22" s="357">
        <f t="shared" si="85"/>
        <v>-0.41666666666666669</v>
      </c>
      <c r="BB22" s="356">
        <f t="shared" si="85"/>
        <v>-0.41666666666666669</v>
      </c>
      <c r="BC22" s="356">
        <f t="shared" si="85"/>
        <v>-0.41666666666666669</v>
      </c>
      <c r="BD22" s="356">
        <f t="shared" si="85"/>
        <v>-0.41666666666666669</v>
      </c>
      <c r="BE22" s="356">
        <f t="shared" si="85"/>
        <v>-0.41666666666666669</v>
      </c>
      <c r="BF22" s="356">
        <f t="shared" si="85"/>
        <v>-0.41666666666666669</v>
      </c>
      <c r="BG22" s="356">
        <f t="shared" si="85"/>
        <v>-0.41666666666666669</v>
      </c>
      <c r="BH22" s="356">
        <f t="shared" si="85"/>
        <v>0.83333333333333337</v>
      </c>
      <c r="BI22" s="356">
        <f t="shared" si="85"/>
        <v>0.83333333333333337</v>
      </c>
      <c r="BJ22" s="356">
        <f t="shared" si="85"/>
        <v>0.83333333333333337</v>
      </c>
      <c r="BK22" s="356">
        <f t="shared" si="85"/>
        <v>0.83333333333333337</v>
      </c>
      <c r="BL22" s="356">
        <f t="shared" si="85"/>
        <v>0.83333333333333337</v>
      </c>
      <c r="BM22" s="356">
        <f t="shared" si="85"/>
        <v>0.83333333333333337</v>
      </c>
      <c r="BN22" s="356">
        <f t="shared" si="85"/>
        <v>0.83333333333333337</v>
      </c>
      <c r="BO22" s="356">
        <f t="shared" si="85"/>
        <v>0.83333333333333337</v>
      </c>
      <c r="BP22" s="356">
        <f t="shared" si="85"/>
        <v>0.83333333333333337</v>
      </c>
      <c r="BQ22" s="356">
        <f t="shared" ref="BQ22:BX22" si="86">IF(BP38="T",-$D$22*0.5,$D$22)</f>
        <v>0.83333333333333337</v>
      </c>
      <c r="BR22" s="356">
        <f t="shared" si="86"/>
        <v>0.83333333333333337</v>
      </c>
      <c r="BS22" s="356">
        <f t="shared" si="86"/>
        <v>0.83333333333333337</v>
      </c>
      <c r="BT22" s="356">
        <f t="shared" si="86"/>
        <v>0.83333333333333337</v>
      </c>
      <c r="BU22" s="356">
        <f t="shared" si="86"/>
        <v>0.83333333333333337</v>
      </c>
      <c r="BV22" s="356">
        <f t="shared" si="86"/>
        <v>0.83333333333333337</v>
      </c>
      <c r="BW22" s="356">
        <f t="shared" si="86"/>
        <v>-0.41666666666666669</v>
      </c>
      <c r="BX22" s="356">
        <f t="shared" si="86"/>
        <v>-0.41666666666666669</v>
      </c>
      <c r="BY22" s="356"/>
    </row>
    <row r="23" spans="2:77" s="329" customFormat="1" x14ac:dyDescent="0.25">
      <c r="B23" s="358" t="s">
        <v>88</v>
      </c>
      <c r="C23" s="359"/>
      <c r="D23" s="360">
        <v>-0.2</v>
      </c>
      <c r="E23" s="361">
        <v>-0.2</v>
      </c>
      <c r="F23" s="329">
        <v>-0.2</v>
      </c>
      <c r="G23" s="329">
        <v>-0.2</v>
      </c>
      <c r="H23" s="329">
        <v>-0.2</v>
      </c>
      <c r="I23" s="329">
        <v>-0.2</v>
      </c>
      <c r="J23" s="329">
        <v>-0.2</v>
      </c>
      <c r="K23" s="329">
        <v>-0.2</v>
      </c>
      <c r="L23" s="329">
        <v>-0.2</v>
      </c>
      <c r="M23" s="329">
        <v>1</v>
      </c>
      <c r="N23" s="329">
        <v>0.5</v>
      </c>
      <c r="O23" s="329">
        <v>0.5</v>
      </c>
      <c r="P23" s="329">
        <v>0.5</v>
      </c>
      <c r="Q23" s="329">
        <v>0.5</v>
      </c>
      <c r="R23" s="329">
        <v>0.5</v>
      </c>
      <c r="S23" s="329">
        <v>0.5</v>
      </c>
      <c r="T23" s="329">
        <v>0.5</v>
      </c>
      <c r="U23" s="329">
        <v>0.5</v>
      </c>
      <c r="V23" s="329">
        <v>0.5</v>
      </c>
      <c r="W23" s="329">
        <v>1</v>
      </c>
      <c r="X23" s="329">
        <v>1</v>
      </c>
      <c r="Y23" s="329">
        <v>1</v>
      </c>
      <c r="Z23" s="329">
        <v>1</v>
      </c>
      <c r="AA23" s="329">
        <v>-0.2</v>
      </c>
      <c r="AB23" s="329">
        <v>-0.2</v>
      </c>
      <c r="AC23" s="361">
        <v>-0.2</v>
      </c>
      <c r="AD23" s="329">
        <v>-0.2</v>
      </c>
      <c r="AE23" s="329">
        <v>-0.2</v>
      </c>
      <c r="AF23" s="329">
        <v>-0.2</v>
      </c>
      <c r="AG23" s="329">
        <v>-0.2</v>
      </c>
      <c r="AH23" s="329">
        <v>-0.2</v>
      </c>
      <c r="AI23" s="329">
        <v>1</v>
      </c>
      <c r="AJ23" s="329">
        <v>1</v>
      </c>
      <c r="AK23" s="329">
        <v>1</v>
      </c>
      <c r="AL23" s="329">
        <v>0.5</v>
      </c>
      <c r="AM23" s="329">
        <v>0.5</v>
      </c>
      <c r="AN23" s="329">
        <v>0.5</v>
      </c>
      <c r="AO23" s="329">
        <v>0.5</v>
      </c>
      <c r="AP23" s="329">
        <v>0.5</v>
      </c>
      <c r="AQ23" s="329">
        <v>0.5</v>
      </c>
      <c r="AR23" s="329">
        <v>0.5</v>
      </c>
      <c r="AS23" s="329">
        <v>0.5</v>
      </c>
      <c r="AT23" s="329">
        <v>0.5</v>
      </c>
      <c r="AU23" s="329">
        <v>1</v>
      </c>
      <c r="AV23" s="329">
        <v>1</v>
      </c>
      <c r="AW23" s="329">
        <v>1</v>
      </c>
      <c r="AX23" s="329">
        <v>-0.2</v>
      </c>
      <c r="AY23" s="329">
        <v>-0.2</v>
      </c>
      <c r="AZ23" s="329">
        <v>-0.2</v>
      </c>
      <c r="BA23" s="361">
        <v>-0.2</v>
      </c>
      <c r="BB23" s="329">
        <v>-0.2</v>
      </c>
      <c r="BC23" s="329">
        <v>-0.2</v>
      </c>
      <c r="BD23" s="329">
        <v>-0.2</v>
      </c>
      <c r="BE23" s="329">
        <v>-0.2</v>
      </c>
      <c r="BF23" s="329">
        <v>-0.2</v>
      </c>
      <c r="BG23" s="329">
        <v>1</v>
      </c>
      <c r="BH23" s="329">
        <v>1</v>
      </c>
      <c r="BI23" s="329">
        <v>1</v>
      </c>
      <c r="BJ23" s="329">
        <v>0.5</v>
      </c>
      <c r="BK23" s="329">
        <v>0.5</v>
      </c>
      <c r="BL23" s="329">
        <v>0.5</v>
      </c>
      <c r="BM23" s="329">
        <v>0.5</v>
      </c>
      <c r="BN23" s="329">
        <v>0.5</v>
      </c>
      <c r="BO23" s="329">
        <v>0.5</v>
      </c>
      <c r="BP23" s="329">
        <v>0.5</v>
      </c>
      <c r="BQ23" s="329">
        <v>0.5</v>
      </c>
      <c r="BR23" s="329">
        <v>0.5</v>
      </c>
      <c r="BS23" s="329">
        <v>1</v>
      </c>
      <c r="BT23" s="329">
        <v>1</v>
      </c>
      <c r="BU23" s="329">
        <v>1</v>
      </c>
      <c r="BV23" s="329">
        <v>-0.2</v>
      </c>
      <c r="BW23" s="329">
        <v>-0.2</v>
      </c>
      <c r="BX23" s="329">
        <v>-0.2</v>
      </c>
      <c r="BY23" s="362"/>
    </row>
    <row r="24" spans="2:77" x14ac:dyDescent="0.25">
      <c r="B24" s="54" t="s">
        <v>89</v>
      </c>
      <c r="D24" s="333">
        <v>1</v>
      </c>
      <c r="E24" s="66">
        <v>1.06</v>
      </c>
      <c r="F24" s="58">
        <v>1.06</v>
      </c>
      <c r="G24" s="58">
        <v>1.06</v>
      </c>
      <c r="H24" s="58">
        <v>1.06</v>
      </c>
      <c r="I24" s="58">
        <v>1.06</v>
      </c>
      <c r="J24" s="58">
        <v>1.06</v>
      </c>
      <c r="K24" s="58">
        <v>1.06</v>
      </c>
      <c r="L24" s="58">
        <v>1.06</v>
      </c>
      <c r="M24" s="58">
        <v>1.06</v>
      </c>
      <c r="N24" s="58">
        <v>1.06</v>
      </c>
      <c r="O24" s="58">
        <v>1.06</v>
      </c>
      <c r="P24" s="58">
        <v>1.06</v>
      </c>
      <c r="Q24" s="58">
        <v>1.06</v>
      </c>
      <c r="R24" s="58">
        <v>1.06</v>
      </c>
      <c r="S24" s="58">
        <v>1.06</v>
      </c>
      <c r="T24" s="58">
        <v>1.06</v>
      </c>
      <c r="U24" s="58">
        <v>1.06</v>
      </c>
      <c r="V24" s="58">
        <v>1.06</v>
      </c>
      <c r="W24" s="58">
        <v>1.06</v>
      </c>
      <c r="X24" s="58">
        <v>1.06</v>
      </c>
      <c r="Y24" s="58">
        <v>1.06</v>
      </c>
      <c r="Z24" s="58">
        <v>1.06</v>
      </c>
      <c r="AA24" s="58">
        <v>1.06</v>
      </c>
      <c r="AB24" s="58">
        <v>1.06</v>
      </c>
      <c r="AC24" s="57">
        <v>1.06</v>
      </c>
      <c r="AD24" s="58">
        <v>1.06</v>
      </c>
      <c r="AE24" s="58">
        <v>1.06</v>
      </c>
      <c r="AF24" s="58">
        <v>1.06</v>
      </c>
      <c r="AG24" s="58">
        <v>1.06</v>
      </c>
      <c r="AH24" s="58">
        <v>1.06</v>
      </c>
      <c r="AI24" s="58">
        <v>1.06</v>
      </c>
      <c r="AJ24" s="58">
        <v>1.06</v>
      </c>
      <c r="AK24" s="58">
        <v>1.06</v>
      </c>
      <c r="AL24" s="58">
        <v>1.06</v>
      </c>
      <c r="AM24" s="58">
        <v>1.06</v>
      </c>
      <c r="AN24" s="58">
        <v>1.06</v>
      </c>
      <c r="AO24" s="58">
        <v>1.06</v>
      </c>
      <c r="AP24" s="58">
        <v>1.06</v>
      </c>
      <c r="AQ24" s="58">
        <v>1.06</v>
      </c>
      <c r="AR24" s="58">
        <v>1.06</v>
      </c>
      <c r="AS24" s="58">
        <v>1.06</v>
      </c>
      <c r="AT24" s="58">
        <v>1.06</v>
      </c>
      <c r="AU24" s="58">
        <v>1.06</v>
      </c>
      <c r="AV24" s="58">
        <v>1.06</v>
      </c>
      <c r="AW24" s="58">
        <v>1.06</v>
      </c>
      <c r="AX24" s="58">
        <v>1.06</v>
      </c>
      <c r="AY24" s="58">
        <v>1.06</v>
      </c>
      <c r="AZ24" s="58">
        <v>1.06</v>
      </c>
      <c r="BA24" s="57">
        <v>1.06</v>
      </c>
      <c r="BB24" s="58">
        <v>1.06</v>
      </c>
      <c r="BC24" s="58">
        <v>1.06</v>
      </c>
      <c r="BD24" s="58">
        <v>1.06</v>
      </c>
      <c r="BE24" s="58">
        <v>1.06</v>
      </c>
      <c r="BF24" s="58">
        <v>1.06</v>
      </c>
      <c r="BG24" s="58">
        <v>1.06</v>
      </c>
      <c r="BH24" s="58">
        <v>1.06</v>
      </c>
      <c r="BI24" s="58">
        <v>1.06</v>
      </c>
      <c r="BJ24" s="58">
        <v>1.06</v>
      </c>
      <c r="BK24" s="58">
        <v>1.06</v>
      </c>
      <c r="BL24" s="58">
        <v>1.06</v>
      </c>
      <c r="BM24" s="58">
        <v>1.06</v>
      </c>
      <c r="BN24" s="58">
        <v>1.06</v>
      </c>
      <c r="BO24" s="58">
        <v>1.06</v>
      </c>
      <c r="BP24" s="58">
        <v>1.06</v>
      </c>
      <c r="BQ24" s="58">
        <v>1.06</v>
      </c>
      <c r="BR24" s="58">
        <v>1.06</v>
      </c>
      <c r="BS24" s="58">
        <v>1.06</v>
      </c>
      <c r="BT24" s="58">
        <v>1.06</v>
      </c>
      <c r="BU24" s="58">
        <v>1.06</v>
      </c>
      <c r="BV24" s="58">
        <v>1.06</v>
      </c>
      <c r="BW24" s="58">
        <v>1.06</v>
      </c>
      <c r="BX24" s="58">
        <v>1.06</v>
      </c>
      <c r="BY24" s="57"/>
    </row>
    <row r="25" spans="2:77" x14ac:dyDescent="0.25">
      <c r="B25" s="54" t="s">
        <v>120</v>
      </c>
      <c r="D25" s="333">
        <f>D21+(D22*D24)+D23</f>
        <v>6.6333333333333329</v>
      </c>
      <c r="E25" s="66">
        <f t="shared" ref="E25" si="87">E21+(E22*E24)+E23</f>
        <v>6.8249999999999993</v>
      </c>
      <c r="F25" s="58">
        <f t="shared" ref="F25" si="88">F21+(F22*F24)+F23</f>
        <v>2.4023872987477644</v>
      </c>
      <c r="G25" s="58">
        <f t="shared" ref="G25" si="89">G21+(G22*G24)+G23</f>
        <v>4.6150297406082288</v>
      </c>
      <c r="H25" s="58">
        <f t="shared" ref="H25" si="90">H21+(H22*H24)+H23</f>
        <v>3.5100446109123431</v>
      </c>
      <c r="I25" s="58">
        <f t="shared" ref="I25" si="91">I21+(I22*I24)+I23</f>
        <v>4.0638732669946336</v>
      </c>
      <c r="J25" s="58">
        <f t="shared" ref="J25" si="92">J21+(J22*J24)+J23</f>
        <v>3.7882950301878355</v>
      </c>
      <c r="K25" s="58">
        <f t="shared" ref="K25" si="93">K21+(K22*K24)+K23</f>
        <v>5.2524202398255815</v>
      </c>
      <c r="L25" s="58">
        <f t="shared" ref="L25" si="94">L21+(L22*L24)+L23</f>
        <v>5.7781337977974063</v>
      </c>
      <c r="M25" s="58">
        <f t="shared" ref="M25" si="95">M21+(M22*M24)+M23</f>
        <v>6.7324281816021916</v>
      </c>
      <c r="N25" s="58">
        <f t="shared" ref="N25" si="96">N21+(N22*N24)+N23</f>
        <v>5.7724321524904969</v>
      </c>
      <c r="O25" s="58">
        <f t="shared" ref="O25" si="97">O21+(O22*O24)+O23</f>
        <v>5.9918055397356706</v>
      </c>
      <c r="P25" s="58">
        <f t="shared" ref="P25" si="98">P21+(P22*P24)+P23</f>
        <v>5.8992700089037822</v>
      </c>
      <c r="Q25" s="58">
        <f t="shared" ref="Q25" si="99">Q21+(Q22*Q24)+Q23</f>
        <v>5.9626889371104239</v>
      </c>
      <c r="R25" s="58">
        <f t="shared" ref="R25" si="100">R21+(R22*R24)+R23</f>
        <v>5.948130635797801</v>
      </c>
      <c r="S25" s="58">
        <f t="shared" ref="S25" si="101">S21+(S22*S24)+S23</f>
        <v>5.8336664948619834</v>
      </c>
      <c r="T25" s="58">
        <f t="shared" ref="T25" si="102">T21+(T22*T24)+T23</f>
        <v>5.9080497281205897</v>
      </c>
      <c r="U25" s="58">
        <f t="shared" ref="U25" si="103">U21+(U22*U24)+U23</f>
        <v>5.888009274281985</v>
      </c>
      <c r="V25" s="58">
        <f t="shared" ref="V25" si="104">V21+(V22*V24)+V23</f>
        <v>5.9151806639919844</v>
      </c>
      <c r="W25" s="58">
        <f t="shared" ref="W25" si="105">W21+(W22*W24)+W23</f>
        <v>6.4187461319276835</v>
      </c>
      <c r="X25" s="58">
        <f t="shared" ref="X25" si="106">X21+(X22*X24)+X23</f>
        <v>6.1841145607505315</v>
      </c>
      <c r="Y25" s="58">
        <f t="shared" ref="Y25" si="107">Y21+(Y22*Y24)+Y23</f>
        <v>6.318581509129805</v>
      </c>
      <c r="Z25" s="58">
        <f t="shared" ref="Z25" si="108">Z21+(Z22*Z24)+Z23</f>
        <v>5.9907234076294946</v>
      </c>
      <c r="AA25" s="58">
        <f t="shared" ref="AA25" si="109">AA21+(AA22*AA24)+AA23</f>
        <v>3.646803621170347</v>
      </c>
      <c r="AB25" s="58">
        <f t="shared" ref="AB25" si="110">AB21+(AB22*AB24)+AB23</f>
        <v>3.5859146771906185</v>
      </c>
      <c r="AC25" s="57">
        <f t="shared" ref="AC25" si="111">AC21+(AC22*AC24)+AC23</f>
        <v>3.6176952404148301</v>
      </c>
      <c r="AD25" s="58">
        <f t="shared" ref="AD25" si="112">AD21+(AD22*AD24)+AD23</f>
        <v>3.6031410500370709</v>
      </c>
      <c r="AE25" s="58">
        <f t="shared" ref="AE25" si="113">AE21+(AE22*AE24)+AE23</f>
        <v>3.6117542364602984</v>
      </c>
      <c r="AF25" s="58">
        <f t="shared" ref="AF25" si="114">AF21+(AF22*AF24)+AF23</f>
        <v>3.6087837344830311</v>
      </c>
      <c r="AG25" s="58">
        <f t="shared" ref="AG25" si="115">AG21+(AG22*AG24)+AG23</f>
        <v>3.6116050767060126</v>
      </c>
      <c r="AH25" s="58">
        <f t="shared" ref="AH25" si="116">AH21+(AH22*AH24)+AH23</f>
        <v>3.6115304968288684</v>
      </c>
      <c r="AI25" s="58">
        <f t="shared" ref="AI25" si="117">AI21+(AI22*AI24)+AI23</f>
        <v>4.812903878001789</v>
      </c>
      <c r="AJ25" s="58">
        <f t="shared" ref="AJ25" si="118">AJ21+(AJ22*AJ24)+AJ23</f>
        <v>5.5385532786496752</v>
      </c>
      <c r="AK25" s="58">
        <f t="shared" ref="AK25" si="119">AK21+(AK22*AK24)+AK23</f>
        <v>6.4335047411164297</v>
      </c>
      <c r="AL25" s="58">
        <f t="shared" ref="AL25" si="120">AL21+(AL22*AL24)+AL23</f>
        <v>5.5031801726737513</v>
      </c>
      <c r="AM25" s="58">
        <f t="shared" ref="AM25" si="121">AM21+(AM22*AM24)+AM23</f>
        <v>5.846599165302961</v>
      </c>
      <c r="AN25" s="58">
        <f t="shared" ref="AN25" si="122">AN21+(AN22*AN24)+AN23</f>
        <v>5.6920408317790541</v>
      </c>
      <c r="AO25" s="58">
        <f t="shared" ref="AO25" si="123">AO21+(AO22*AO24)+AO23</f>
        <v>5.7864711613317059</v>
      </c>
      <c r="AP25" s="58">
        <f t="shared" ref="AP25" si="124">AP21+(AP22*AP24)+AP23</f>
        <v>5.7564071593460771</v>
      </c>
      <c r="AQ25" s="58">
        <f t="shared" ref="AQ25" si="125">AQ21+(AQ22*AQ24)+AQ23</f>
        <v>5.6496958687467629</v>
      </c>
      <c r="AR25" s="58">
        <f t="shared" ref="AR25" si="126">AR21+(AR22*AR24)+AR23</f>
        <v>5.7202026768371175</v>
      </c>
      <c r="AS25" s="58">
        <f t="shared" ref="AS25" si="127">AS21+(AS22*AS24)+AS23</f>
        <v>5.7021004355826381</v>
      </c>
      <c r="AT25" s="58">
        <f t="shared" ref="AT25" si="128">AT21+(AT22*AT24)+AT23</f>
        <v>5.7283027190005757</v>
      </c>
      <c r="AU25" s="58">
        <f t="shared" ref="AU25" si="129">AU21+(AU22*AU24)+AU23</f>
        <v>6.2323527400823044</v>
      </c>
      <c r="AV25" s="58">
        <f t="shared" ref="AV25" si="130">AV21+(AV22*AV24)+AV23</f>
        <v>5.7197031022307661</v>
      </c>
      <c r="AW25" s="58">
        <f t="shared" ref="AW25" si="131">AW21+(AW22*AW24)+AW23</f>
        <v>5.9931790839472328</v>
      </c>
      <c r="AX25" s="58">
        <f t="shared" ref="AX25" si="132">AX21+(AX22*AX24)+AX23</f>
        <v>4.6735922558796972</v>
      </c>
      <c r="AY25" s="58">
        <f t="shared" ref="AY25" si="133">AY21+(AY22*AY24)+AY23</f>
        <v>4.0255368327041623</v>
      </c>
      <c r="AZ25" s="58">
        <f t="shared" ref="AZ25" si="134">AZ21+(AZ22*AZ24)+AZ23</f>
        <v>3.1102756355262775</v>
      </c>
      <c r="BA25" s="57">
        <f t="shared" ref="BA25" si="135">BA21+(BA22*BA24)+BA23</f>
        <v>3.5692423253495664</v>
      </c>
      <c r="BB25" s="58">
        <f t="shared" ref="BB25" si="136">BB21+(BB22*BB24)+BB23</f>
        <v>3.3410950716722692</v>
      </c>
      <c r="BC25" s="58">
        <f t="shared" ref="BC25" si="137">BC21+(BC22*BC24)+BC23</f>
        <v>3.4565047897452632</v>
      </c>
      <c r="BD25" s="58">
        <f t="shared" ref="BD25" si="138">BD21+(BD22*BD24)+BD23</f>
        <v>3.4001360219431134</v>
      </c>
      <c r="BE25" s="58">
        <f t="shared" ref="BE25" si="139">BE21+(BE22*BE24)+BE23</f>
        <v>3.4296564970785348</v>
      </c>
      <c r="BF25" s="58">
        <f t="shared" ref="BF25" si="140">BF21+(BF22*BF24)+BF23</f>
        <v>3.4162323507451711</v>
      </c>
      <c r="BG25" s="58">
        <f t="shared" ref="BG25" si="141">BG21+(BG22*BG24)+BG23</f>
        <v>4.6242805151462001</v>
      </c>
      <c r="BH25" s="58">
        <f t="shared" ref="BH25" si="142">BH21+(BH22*BH24)+BH23</f>
        <v>5.3465925241800321</v>
      </c>
      <c r="BI25" s="58">
        <f t="shared" ref="BI25" si="143">BI21+(BI22*BI24)+BI23</f>
        <v>6.2432126824538141</v>
      </c>
      <c r="BJ25" s="58">
        <f t="shared" ref="BJ25" si="144">BJ21+(BJ22*BJ24)+BJ23</f>
        <v>5.3120537661076206</v>
      </c>
      <c r="BK25" s="58">
        <f t="shared" ref="BK25" si="145">BK21+(BK22*BK24)+BK23</f>
        <v>5.5170085969700438</v>
      </c>
      <c r="BL25" s="58">
        <f t="shared" ref="BL25" si="146">BL21+(BL22*BL24)+BL23</f>
        <v>5.4316823443295288</v>
      </c>
      <c r="BM25" s="58">
        <f t="shared" ref="BM25" si="147">BM21+(BM22*BM24)+BM23</f>
        <v>5.4914966334404829</v>
      </c>
      <c r="BN25" s="58">
        <f t="shared" ref="BN25" si="148">BN21+(BN22*BN24)+BN23</f>
        <v>5.4787406516757029</v>
      </c>
      <c r="BO25" s="58">
        <f t="shared" ref="BO25" si="149">BO21+(BO22*BO24)+BO23</f>
        <v>5.3633753509659634</v>
      </c>
      <c r="BP25" s="58">
        <f t="shared" ref="BP25" si="150">BP21+(BP22*BP24)+BP23</f>
        <v>5.4382091641115302</v>
      </c>
      <c r="BQ25" s="58">
        <f t="shared" ref="BQ25" si="151">BQ21+(BQ22*BQ24)+BQ23</f>
        <v>5.4179434203294443</v>
      </c>
      <c r="BR25" s="58">
        <f t="shared" ref="BR25" si="152">BR21+(BR22*BR24)+BR23</f>
        <v>5.4452274550111852</v>
      </c>
      <c r="BS25" s="58">
        <f t="shared" ref="BS25" si="153">BS21+(BS22*BS24)+BS23</f>
        <v>5.9487366004610109</v>
      </c>
      <c r="BT25" s="58">
        <f t="shared" ref="BT25" si="154">BT21+(BT22*BT24)+BT23</f>
        <v>5.7141331905267947</v>
      </c>
      <c r="BU25" s="58">
        <f t="shared" ref="BU25" si="155">BU21+(BU22*BU24)+BU23</f>
        <v>5.8485860582846003</v>
      </c>
      <c r="BV25" s="58">
        <f t="shared" ref="BV25" si="156">BV21+(BV22*BV24)+BV23</f>
        <v>4.3207349970950224</v>
      </c>
      <c r="BW25" s="58">
        <f t="shared" ref="BW25" si="157">BW21+(BW22*BW24)+BW23</f>
        <v>3.7703716189241567</v>
      </c>
      <c r="BX25" s="58">
        <f t="shared" ref="BX25" si="158">BX21+(BX22*BX24)+BX23</f>
        <v>2.8062643992439371</v>
      </c>
      <c r="BY25" s="57"/>
    </row>
    <row r="26" spans="2:77" x14ac:dyDescent="0.25">
      <c r="B26" s="54" t="s">
        <v>125</v>
      </c>
      <c r="D26" s="333">
        <f>D25</f>
        <v>6.6333333333333329</v>
      </c>
      <c r="E26" s="66">
        <f>10-(D18+E25)/2</f>
        <v>3.4607206320810979</v>
      </c>
      <c r="F26" s="66">
        <f t="shared" ref="F26:G26" si="159">10-(E18+F25)/2</f>
        <v>5.6733630739415624</v>
      </c>
      <c r="G26" s="66">
        <f t="shared" si="159"/>
        <v>4.5683779442456771</v>
      </c>
      <c r="H26" s="66">
        <f t="shared" ref="H26" si="160">10-(G18+H25)/2</f>
        <v>5.1222066003279672</v>
      </c>
      <c r="I26" s="66">
        <f t="shared" ref="I26" si="161">10-(H18+I25)/2</f>
        <v>4.8466283635211695</v>
      </c>
      <c r="J26" s="66">
        <f t="shared" ref="J26" si="162">10-(I18+J25)/2</f>
        <v>4.9857535731589149</v>
      </c>
      <c r="K26" s="66">
        <f t="shared" ref="K26" si="163">10-(J18+K25)/2</f>
        <v>4.2614671311307397</v>
      </c>
      <c r="L26" s="66">
        <f t="shared" ref="L26" si="164">10-(K18+L25)/2</f>
        <v>4.0157615149355248</v>
      </c>
      <c r="M26" s="66">
        <f t="shared" ref="M26" si="165">10-(L18+M25)/2</f>
        <v>3.5557654858238301</v>
      </c>
      <c r="N26" s="66">
        <f t="shared" ref="N26" si="166">10-(M18+N25)/2</f>
        <v>3.7751388730690039</v>
      </c>
      <c r="O26" s="66">
        <f t="shared" ref="O26" si="167">10-(N18+O25)/2</f>
        <v>3.6826033422371154</v>
      </c>
      <c r="P26" s="66">
        <f t="shared" ref="P26" si="168">10-(O18+P25)/2</f>
        <v>3.7460222704437571</v>
      </c>
      <c r="Q26" s="66">
        <f t="shared" ref="Q26" si="169">10-(P18+Q25)/2</f>
        <v>3.7314639691311342</v>
      </c>
      <c r="R26" s="66">
        <f t="shared" ref="R26" si="170">10-(Q18+R25)/2</f>
        <v>3.6169998281953166</v>
      </c>
      <c r="S26" s="66">
        <f t="shared" ref="S26" si="171">10-(R18+S25)/2</f>
        <v>3.6913830614539229</v>
      </c>
      <c r="T26" s="66">
        <f t="shared" ref="T26" si="172">10-(S18+T25)/2</f>
        <v>3.6713426076153182</v>
      </c>
      <c r="U26" s="66">
        <f t="shared" ref="U26" si="173">10-(T18+U25)/2</f>
        <v>3.6985139973253176</v>
      </c>
      <c r="V26" s="66">
        <f t="shared" ref="V26" si="174">10-(U18+V25)/2</f>
        <v>3.7020794652610167</v>
      </c>
      <c r="W26" s="66">
        <f t="shared" ref="W26" si="175">10-(V18+W25)/2</f>
        <v>3.4674478940838647</v>
      </c>
      <c r="X26" s="66">
        <f t="shared" ref="X26" si="176">10-(W18+X25)/2</f>
        <v>3.6019148424631382</v>
      </c>
      <c r="Y26" s="66">
        <f t="shared" ref="Y26" si="177">10-(X18+Y25)/2</f>
        <v>3.2740567409628278</v>
      </c>
      <c r="Z26" s="66">
        <f t="shared" ref="Z26" si="178">10-(Y18+Z25)/2</f>
        <v>3.455136954503681</v>
      </c>
      <c r="AA26" s="66">
        <f t="shared" ref="AA26" si="179">10-(Z18+AA25)/2</f>
        <v>4.6442480105239525</v>
      </c>
      <c r="AB26" s="66">
        <f t="shared" ref="AB26" si="180">10-(AA18+AB25)/2</f>
        <v>4.6760285737481642</v>
      </c>
      <c r="AC26" s="66">
        <f t="shared" ref="AC26" si="181">10-(AB18+AC25)/2</f>
        <v>4.6614743833704049</v>
      </c>
      <c r="AD26" s="58">
        <f t="shared" ref="AD26" si="182">10-(AC18+AD25)/2</f>
        <v>4.6700875697936324</v>
      </c>
      <c r="AE26" s="58">
        <f t="shared" ref="AE26" si="183">10-(AD18+AE25)/2</f>
        <v>4.6671170678163652</v>
      </c>
      <c r="AF26" s="58">
        <f t="shared" ref="AF26" si="184">10-(AE18+AF25)/2</f>
        <v>4.6699384100393466</v>
      </c>
      <c r="AG26" s="58">
        <f t="shared" ref="AG26" si="185">10-(AF18+AG25)/2</f>
        <v>4.6698638301622024</v>
      </c>
      <c r="AH26" s="58">
        <f t="shared" ref="AH26" si="186">10-(AG18+AH25)/2</f>
        <v>4.6712372113351224</v>
      </c>
      <c r="AI26" s="58">
        <f t="shared" ref="AI26" si="187">10-(AH18+AI25)/2</f>
        <v>4.0718866119830084</v>
      </c>
      <c r="AJ26" s="58">
        <f t="shared" ref="AJ26" si="188">10-(AI18+AJ25)/2</f>
        <v>3.7168380744497629</v>
      </c>
      <c r="AK26" s="58">
        <f t="shared" ref="AK26" si="189">10-(AJ18+AK25)/2</f>
        <v>3.2865135060070845</v>
      </c>
      <c r="AL26" s="58">
        <f t="shared" ref="AL26" si="190">10-(AK18+AL25)/2</f>
        <v>3.6299324986362942</v>
      </c>
      <c r="AM26" s="58">
        <f t="shared" ref="AM26" si="191">10-(AL18+AM25)/2</f>
        <v>3.4753741651123873</v>
      </c>
      <c r="AN26" s="58">
        <f t="shared" ref="AN26" si="192">10-(AM18+AN25)/2</f>
        <v>3.5698044946650391</v>
      </c>
      <c r="AO26" s="58">
        <f t="shared" ref="AO26" si="193">10-(AN18+AO25)/2</f>
        <v>3.5397404926794103</v>
      </c>
      <c r="AP26" s="58">
        <f t="shared" ref="AP26" si="194">10-(AO18+AP25)/2</f>
        <v>3.4330292020800961</v>
      </c>
      <c r="AQ26" s="58">
        <f t="shared" ref="AQ26" si="195">10-(AP18+AQ25)/2</f>
        <v>3.5035360101704507</v>
      </c>
      <c r="AR26" s="58">
        <f t="shared" ref="AR26" si="196">10-(AQ18+AR25)/2</f>
        <v>3.4854337689159713</v>
      </c>
      <c r="AS26" s="58">
        <f t="shared" ref="AS26" si="197">10-(AR18+AS25)/2</f>
        <v>3.511636052333909</v>
      </c>
      <c r="AT26" s="58">
        <f t="shared" ref="AT26" si="198">10-(AS18+AT25)/2</f>
        <v>3.5156860734156377</v>
      </c>
      <c r="AU26" s="58">
        <f t="shared" ref="AU26" si="199">10-(AT18+AU25)/2</f>
        <v>3.0030364355640993</v>
      </c>
      <c r="AV26" s="58">
        <f t="shared" ref="AV26" si="200">10-(AU18+AV25)/2</f>
        <v>3.276512417280566</v>
      </c>
      <c r="AW26" s="58">
        <f t="shared" ref="AW26" si="201">10-(AV18+AW25)/2</f>
        <v>3.1569255892130306</v>
      </c>
      <c r="AX26" s="58">
        <f t="shared" ref="AX26" si="202">10-(AW18+AX25)/2</f>
        <v>3.8338701660374959</v>
      </c>
      <c r="AY26" s="58">
        <f t="shared" ref="AY26" si="203">10-(AX18+AY25)/2</f>
        <v>4.1686089688596111</v>
      </c>
      <c r="AZ26" s="58">
        <f t="shared" ref="AZ26" si="204">10-(AY18+AZ25)/2</f>
        <v>4.6275756586829004</v>
      </c>
      <c r="BA26" s="57">
        <f t="shared" ref="BA26" si="205">10-(AZ18+BA25)/2</f>
        <v>4.3994284050056027</v>
      </c>
      <c r="BB26" s="58">
        <f t="shared" ref="BB26" si="206">10-(BA18+BB25)/2</f>
        <v>4.5148381230785972</v>
      </c>
      <c r="BC26" s="58">
        <f t="shared" ref="BC26" si="207">10-(BB18+BC25)/2</f>
        <v>4.4584693552764474</v>
      </c>
      <c r="BD26" s="58">
        <f t="shared" ref="BD26" si="208">10-(BC18+BD25)/2</f>
        <v>4.4879898304118688</v>
      </c>
      <c r="BE26" s="58">
        <f t="shared" ref="BE26" si="209">10-(BD18+BE25)/2</f>
        <v>4.4745656840785051</v>
      </c>
      <c r="BF26" s="58">
        <f t="shared" ref="BF26" si="210">10-(BE18+BF25)/2</f>
        <v>4.4826138484795335</v>
      </c>
      <c r="BG26" s="58">
        <f t="shared" ref="BG26" si="211">10-(BF18+BG25)/2</f>
        <v>3.8799258575133653</v>
      </c>
      <c r="BH26" s="58">
        <f t="shared" ref="BH26" si="212">10-(BG18+BH25)/2</f>
        <v>3.5265460157871473</v>
      </c>
      <c r="BI26" s="58">
        <f t="shared" ref="BI26" si="213">10-(BH18+BI25)/2</f>
        <v>3.0953870994409538</v>
      </c>
      <c r="BJ26" s="58">
        <f t="shared" ref="BJ26" si="214">10-(BI18+BJ25)/2</f>
        <v>3.300341930303377</v>
      </c>
      <c r="BK26" s="58">
        <f t="shared" ref="BK26" si="215">10-(BJ18+BK25)/2</f>
        <v>3.215015677662862</v>
      </c>
      <c r="BL26" s="58">
        <f t="shared" ref="BL26" si="216">10-(BK18+BL25)/2</f>
        <v>3.2748299667738161</v>
      </c>
      <c r="BM26" s="58">
        <f t="shared" ref="BM26" si="217">10-(BL18+BM25)/2</f>
        <v>3.2620739850090361</v>
      </c>
      <c r="BN26" s="58">
        <f t="shared" ref="BN26" si="218">10-(BM18+BN25)/2</f>
        <v>3.1467086842992966</v>
      </c>
      <c r="BO26" s="58">
        <f t="shared" ref="BO26" si="219">10-(BN18+BO25)/2</f>
        <v>3.2215424974448634</v>
      </c>
      <c r="BP26" s="58">
        <f t="shared" ref="BP26" si="220">10-(BO18+BP25)/2</f>
        <v>3.2012767536627775</v>
      </c>
      <c r="BQ26" s="58">
        <f t="shared" ref="BQ26" si="221">10-(BP18+BQ25)/2</f>
        <v>3.2285607883445184</v>
      </c>
      <c r="BR26" s="58">
        <f t="shared" ref="BR26" si="222">10-(BQ18+BR25)/2</f>
        <v>3.2320699337943442</v>
      </c>
      <c r="BS26" s="58">
        <f t="shared" ref="BS26" si="223">10-(BR18+BS25)/2</f>
        <v>2.9974665238601279</v>
      </c>
      <c r="BT26" s="58">
        <f t="shared" ref="BT26" si="224">10-(BS18+BT25)/2</f>
        <v>3.1319193916179335</v>
      </c>
      <c r="BU26" s="58">
        <f t="shared" ref="BU26" si="225">10-(BT18+BU25)/2</f>
        <v>2.8040683304283558</v>
      </c>
      <c r="BV26" s="58">
        <f t="shared" ref="BV26" si="226">10-(BU18+BV25)/2</f>
        <v>3.5787049522574907</v>
      </c>
      <c r="BW26" s="58">
        <f t="shared" ref="BW26" si="227">10-(BV18+BW25)/2</f>
        <v>3.8645977325772707</v>
      </c>
      <c r="BX26" s="58">
        <f t="shared" ref="BX26" si="228">10-(BW18+BX25)/2</f>
        <v>4.3479874336517277</v>
      </c>
      <c r="BY26" s="57"/>
    </row>
    <row r="27" spans="2:77" s="78" customFormat="1" ht="15.75" thickBot="1" x14ac:dyDescent="0.3">
      <c r="B27" s="77" t="s">
        <v>119</v>
      </c>
      <c r="C27" s="116"/>
      <c r="D27" s="351">
        <f>D26+D22</f>
        <v>7.4666666666666659</v>
      </c>
      <c r="E27" s="59">
        <f>E26+E22</f>
        <v>3.0440539654144314</v>
      </c>
      <c r="F27" s="59">
        <f t="shared" ref="F27:BQ27" si="229">F26+F22</f>
        <v>5.2566964072748954</v>
      </c>
      <c r="G27" s="59">
        <f t="shared" si="229"/>
        <v>4.1517112775790102</v>
      </c>
      <c r="H27" s="59">
        <f t="shared" si="229"/>
        <v>4.7055399336613002</v>
      </c>
      <c r="I27" s="59">
        <f t="shared" si="229"/>
        <v>4.4299616968545026</v>
      </c>
      <c r="J27" s="59">
        <f t="shared" si="229"/>
        <v>4.5690869064922479</v>
      </c>
      <c r="K27" s="59">
        <f t="shared" si="229"/>
        <v>5.0948004644640728</v>
      </c>
      <c r="L27" s="59">
        <f t="shared" si="229"/>
        <v>4.8490948482688578</v>
      </c>
      <c r="M27" s="59">
        <f t="shared" si="229"/>
        <v>4.3890988191571632</v>
      </c>
      <c r="N27" s="59">
        <f t="shared" si="229"/>
        <v>4.6084722064023369</v>
      </c>
      <c r="O27" s="59">
        <f t="shared" si="229"/>
        <v>4.5159366755704484</v>
      </c>
      <c r="P27" s="59">
        <f t="shared" si="229"/>
        <v>4.5793556037770902</v>
      </c>
      <c r="Q27" s="59">
        <f t="shared" si="229"/>
        <v>4.5647973024644672</v>
      </c>
      <c r="R27" s="59">
        <f t="shared" si="229"/>
        <v>4.4503331615286497</v>
      </c>
      <c r="S27" s="59">
        <f t="shared" si="229"/>
        <v>4.524716394787256</v>
      </c>
      <c r="T27" s="59">
        <f t="shared" si="229"/>
        <v>4.5046759409486512</v>
      </c>
      <c r="U27" s="59">
        <f t="shared" si="229"/>
        <v>4.5318473306586506</v>
      </c>
      <c r="V27" s="59">
        <f t="shared" si="229"/>
        <v>4.5354127985943498</v>
      </c>
      <c r="W27" s="59">
        <f t="shared" si="229"/>
        <v>4.3007812274171977</v>
      </c>
      <c r="X27" s="59">
        <f t="shared" si="229"/>
        <v>4.4352481757964712</v>
      </c>
      <c r="Y27" s="59">
        <f t="shared" si="229"/>
        <v>4.1073900742961609</v>
      </c>
      <c r="Z27" s="59">
        <f t="shared" si="229"/>
        <v>4.288470287837014</v>
      </c>
      <c r="AA27" s="59">
        <f t="shared" si="229"/>
        <v>4.2275813438572856</v>
      </c>
      <c r="AB27" s="59">
        <f t="shared" si="229"/>
        <v>4.2593619070814972</v>
      </c>
      <c r="AC27" s="60">
        <f t="shared" si="229"/>
        <v>4.2448077167037379</v>
      </c>
      <c r="AD27" s="59">
        <f t="shared" si="229"/>
        <v>4.2534209031269654</v>
      </c>
      <c r="AE27" s="59">
        <f t="shared" si="229"/>
        <v>4.2504504011496982</v>
      </c>
      <c r="AF27" s="59">
        <f t="shared" si="229"/>
        <v>4.2532717433726797</v>
      </c>
      <c r="AG27" s="59">
        <f t="shared" si="229"/>
        <v>4.2531971634955354</v>
      </c>
      <c r="AH27" s="59">
        <f t="shared" si="229"/>
        <v>4.2545705446684554</v>
      </c>
      <c r="AI27" s="59">
        <f t="shared" si="229"/>
        <v>3.6552199453163419</v>
      </c>
      <c r="AJ27" s="59">
        <f t="shared" si="229"/>
        <v>4.5501714077830959</v>
      </c>
      <c r="AK27" s="59">
        <f t="shared" si="229"/>
        <v>4.1198468393404175</v>
      </c>
      <c r="AL27" s="59">
        <f t="shared" si="229"/>
        <v>4.4632658319696272</v>
      </c>
      <c r="AM27" s="59">
        <f t="shared" si="229"/>
        <v>4.3087074984457203</v>
      </c>
      <c r="AN27" s="59">
        <f t="shared" si="229"/>
        <v>4.4031378279983722</v>
      </c>
      <c r="AO27" s="59">
        <f t="shared" si="229"/>
        <v>4.3730738260127433</v>
      </c>
      <c r="AP27" s="59">
        <f t="shared" si="229"/>
        <v>4.2663625354134291</v>
      </c>
      <c r="AQ27" s="59">
        <f t="shared" si="229"/>
        <v>4.3368693435037837</v>
      </c>
      <c r="AR27" s="59">
        <f t="shared" si="229"/>
        <v>4.3187671022493044</v>
      </c>
      <c r="AS27" s="59">
        <f t="shared" si="229"/>
        <v>4.344969385667242</v>
      </c>
      <c r="AT27" s="59">
        <f t="shared" si="229"/>
        <v>4.3490194067489707</v>
      </c>
      <c r="AU27" s="59">
        <f t="shared" si="229"/>
        <v>3.8363697688974328</v>
      </c>
      <c r="AV27" s="59">
        <f t="shared" si="229"/>
        <v>4.109845750613899</v>
      </c>
      <c r="AW27" s="59">
        <f t="shared" si="229"/>
        <v>3.9902589225463641</v>
      </c>
      <c r="AX27" s="59">
        <f t="shared" si="229"/>
        <v>4.6672034993708289</v>
      </c>
      <c r="AY27" s="59">
        <f t="shared" si="229"/>
        <v>3.7519423021929446</v>
      </c>
      <c r="AZ27" s="59">
        <f t="shared" si="229"/>
        <v>4.2109089920162335</v>
      </c>
      <c r="BA27" s="60">
        <f t="shared" si="229"/>
        <v>3.9827617383389362</v>
      </c>
      <c r="BB27" s="59">
        <f t="shared" si="229"/>
        <v>4.0981714564119303</v>
      </c>
      <c r="BC27" s="59">
        <f t="shared" si="229"/>
        <v>4.0418026886097804</v>
      </c>
      <c r="BD27" s="59">
        <f t="shared" si="229"/>
        <v>4.0713231637452019</v>
      </c>
      <c r="BE27" s="59">
        <f t="shared" si="229"/>
        <v>4.0578990174118381</v>
      </c>
      <c r="BF27" s="59">
        <f t="shared" si="229"/>
        <v>4.0659471818128665</v>
      </c>
      <c r="BG27" s="59">
        <f t="shared" si="229"/>
        <v>3.4632591908466988</v>
      </c>
      <c r="BH27" s="59">
        <f t="shared" si="229"/>
        <v>4.3598793491204804</v>
      </c>
      <c r="BI27" s="59">
        <f t="shared" si="229"/>
        <v>3.9287204327742873</v>
      </c>
      <c r="BJ27" s="59">
        <f t="shared" si="229"/>
        <v>4.13367526363671</v>
      </c>
      <c r="BK27" s="59">
        <f t="shared" si="229"/>
        <v>4.048349010996195</v>
      </c>
      <c r="BL27" s="59">
        <f t="shared" si="229"/>
        <v>4.1081633001071491</v>
      </c>
      <c r="BM27" s="59">
        <f t="shared" si="229"/>
        <v>4.0954073183423692</v>
      </c>
      <c r="BN27" s="59">
        <f t="shared" si="229"/>
        <v>3.9800420176326301</v>
      </c>
      <c r="BO27" s="59">
        <f t="shared" si="229"/>
        <v>4.0548758307781965</v>
      </c>
      <c r="BP27" s="59">
        <f t="shared" si="229"/>
        <v>4.0346100869961106</v>
      </c>
      <c r="BQ27" s="59">
        <f t="shared" si="229"/>
        <v>4.0618941216778515</v>
      </c>
      <c r="BR27" s="59">
        <f t="shared" ref="BR27:BX27" si="230">BR26+BR22</f>
        <v>4.0654032671276772</v>
      </c>
      <c r="BS27" s="59">
        <f t="shared" si="230"/>
        <v>3.8307998571934614</v>
      </c>
      <c r="BT27" s="59">
        <f t="shared" si="230"/>
        <v>3.965252724951267</v>
      </c>
      <c r="BU27" s="59">
        <f t="shared" si="230"/>
        <v>3.6374016637616893</v>
      </c>
      <c r="BV27" s="59">
        <f t="shared" si="230"/>
        <v>4.4120382855908238</v>
      </c>
      <c r="BW27" s="59">
        <f t="shared" si="230"/>
        <v>3.4479310659106042</v>
      </c>
      <c r="BX27" s="59">
        <f t="shared" si="230"/>
        <v>3.9313207669850612</v>
      </c>
      <c r="BY27" s="60"/>
    </row>
    <row r="28" spans="2:77" x14ac:dyDescent="0.25">
      <c r="E28" s="61"/>
      <c r="F28" s="74"/>
    </row>
    <row r="29" spans="2:77" x14ac:dyDescent="0.25">
      <c r="B29" s="70" t="s">
        <v>157</v>
      </c>
      <c r="C29" s="111"/>
      <c r="E29" s="90">
        <v>4.1666666666666664E-2</v>
      </c>
      <c r="F29" s="72">
        <v>8.3333333333333301E-2</v>
      </c>
      <c r="G29" s="72">
        <v>0.125</v>
      </c>
      <c r="H29" s="72">
        <v>0.16666666666666699</v>
      </c>
      <c r="I29" s="72">
        <v>0.20833333333333401</v>
      </c>
      <c r="J29" s="72">
        <v>0.25</v>
      </c>
      <c r="K29" s="72">
        <v>0.29166666666666702</v>
      </c>
      <c r="L29" s="72">
        <v>0.33333333333333298</v>
      </c>
      <c r="M29" s="72">
        <v>0.375</v>
      </c>
      <c r="N29" s="72">
        <v>0.41666666666666702</v>
      </c>
      <c r="O29" s="72">
        <v>0.45833333333333298</v>
      </c>
      <c r="P29" s="72">
        <v>0.5</v>
      </c>
      <c r="Q29" s="72">
        <v>0.54166666666666696</v>
      </c>
      <c r="R29" s="72">
        <v>0.58333333333333304</v>
      </c>
      <c r="S29" s="72">
        <v>0.625</v>
      </c>
      <c r="T29" s="72">
        <v>0.66666666666666696</v>
      </c>
      <c r="U29" s="72">
        <v>0.70833333333333304</v>
      </c>
      <c r="V29" s="72">
        <v>0.75</v>
      </c>
      <c r="W29" s="72">
        <v>0.79166666666666696</v>
      </c>
      <c r="X29" s="72">
        <v>0.83333333333333304</v>
      </c>
      <c r="Y29" s="72">
        <v>0.875</v>
      </c>
      <c r="Z29" s="72">
        <v>0.91666666666666696</v>
      </c>
      <c r="AA29" s="72">
        <v>0.95833333333333404</v>
      </c>
      <c r="AB29" s="72">
        <v>1</v>
      </c>
      <c r="AC29" s="71">
        <v>1.0416666666666701</v>
      </c>
      <c r="AD29" s="72">
        <v>1.0833333333333299</v>
      </c>
      <c r="AE29" s="72">
        <v>0.125</v>
      </c>
      <c r="AF29" s="72">
        <v>0.16666666666666699</v>
      </c>
      <c r="AG29" s="72">
        <v>0.20833333333333301</v>
      </c>
      <c r="AH29" s="72">
        <v>0.25</v>
      </c>
      <c r="AI29" s="72">
        <v>0.29166666666666702</v>
      </c>
      <c r="AJ29" s="72">
        <v>0.33333333333333298</v>
      </c>
      <c r="AK29" s="72">
        <v>0.375</v>
      </c>
      <c r="AL29" s="72">
        <v>0.41666666666666702</v>
      </c>
      <c r="AM29" s="72">
        <v>0.45833333333333298</v>
      </c>
      <c r="AN29" s="72">
        <v>0.5</v>
      </c>
      <c r="AO29" s="72">
        <v>0.54166666666666696</v>
      </c>
      <c r="AP29" s="72">
        <v>0.58333333333333304</v>
      </c>
      <c r="AQ29" s="72">
        <v>0.625</v>
      </c>
      <c r="AR29" s="72">
        <v>0.66666666666666696</v>
      </c>
      <c r="AS29" s="72">
        <v>0.70833333333333304</v>
      </c>
      <c r="AT29" s="72">
        <v>0.75</v>
      </c>
      <c r="AU29" s="72">
        <v>0.79166666666666696</v>
      </c>
      <c r="AV29" s="72">
        <v>0.83333333333333304</v>
      </c>
      <c r="AW29" s="72">
        <v>0.875</v>
      </c>
      <c r="AX29" s="72">
        <v>0.91666666666666696</v>
      </c>
      <c r="AY29" s="72">
        <v>0.95833333333333404</v>
      </c>
      <c r="AZ29" s="72">
        <v>1</v>
      </c>
      <c r="BA29" s="71">
        <v>1.0416666666666701</v>
      </c>
      <c r="BB29" s="72">
        <v>1.0833333333333299</v>
      </c>
      <c r="BC29" s="72">
        <v>0.125</v>
      </c>
      <c r="BD29" s="72">
        <v>0.16666666666666699</v>
      </c>
      <c r="BE29" s="72">
        <v>0.20833333333333301</v>
      </c>
      <c r="BF29" s="72">
        <v>0.25</v>
      </c>
      <c r="BG29" s="72">
        <v>0.29166666666666702</v>
      </c>
      <c r="BH29" s="72">
        <v>0.33333333333333298</v>
      </c>
      <c r="BI29" s="72">
        <v>0.375</v>
      </c>
      <c r="BJ29" s="72">
        <v>0.41666666666666702</v>
      </c>
      <c r="BK29" s="72">
        <v>0.45833333333333298</v>
      </c>
      <c r="BL29" s="72">
        <v>0.5</v>
      </c>
      <c r="BM29" s="72">
        <v>0.54166666666666696</v>
      </c>
      <c r="BN29" s="72">
        <v>0.58333333333333304</v>
      </c>
      <c r="BO29" s="72">
        <v>0.625</v>
      </c>
      <c r="BP29" s="72">
        <v>0.66666666666666696</v>
      </c>
      <c r="BQ29" s="72">
        <v>0.70833333333333304</v>
      </c>
      <c r="BR29" s="72">
        <v>0.75</v>
      </c>
      <c r="BS29" s="72">
        <v>0.79166666666666696</v>
      </c>
      <c r="BT29" s="72">
        <v>0.83333333333333304</v>
      </c>
      <c r="BU29" s="72">
        <v>0.875</v>
      </c>
      <c r="BV29" s="72">
        <v>0.91666666666666696</v>
      </c>
      <c r="BW29" s="72">
        <v>0.95833333333333404</v>
      </c>
      <c r="BX29" s="72">
        <v>1</v>
      </c>
      <c r="BY29" s="71"/>
    </row>
    <row r="30" spans="2:77" x14ac:dyDescent="0.25">
      <c r="B30" s="54" t="s">
        <v>91</v>
      </c>
      <c r="D30" s="347">
        <v>6</v>
      </c>
      <c r="E30" s="349">
        <f>D36</f>
        <v>6.6333333333333337</v>
      </c>
      <c r="F30" s="74">
        <f t="shared" ref="F30:BQ30" si="231">E36</f>
        <v>5.574583333333333</v>
      </c>
      <c r="G30" s="74">
        <f t="shared" si="231"/>
        <v>4.5158333333333323</v>
      </c>
      <c r="H30" s="74">
        <f t="shared" si="231"/>
        <v>3.457083333333332</v>
      </c>
      <c r="I30" s="74">
        <f t="shared" si="231"/>
        <v>2.3983333333333321</v>
      </c>
      <c r="J30" s="74">
        <f t="shared" si="231"/>
        <v>1.339583333333332</v>
      </c>
      <c r="K30" s="74">
        <f t="shared" si="231"/>
        <v>0.28083333333333199</v>
      </c>
      <c r="L30" s="74">
        <f t="shared" si="231"/>
        <v>0.79552083333333201</v>
      </c>
      <c r="M30" s="74">
        <f t="shared" si="231"/>
        <v>1.3102083333333321</v>
      </c>
      <c r="N30" s="74">
        <f t="shared" si="231"/>
        <v>1.8248958333333323</v>
      </c>
      <c r="O30" s="74">
        <f t="shared" si="231"/>
        <v>2.5395833333333324</v>
      </c>
      <c r="P30" s="74">
        <f t="shared" si="231"/>
        <v>3.2542708333333321</v>
      </c>
      <c r="Q30" s="74">
        <f t="shared" si="231"/>
        <v>3.9689583333333318</v>
      </c>
      <c r="R30" s="74">
        <f t="shared" si="231"/>
        <v>4.6836458333333324</v>
      </c>
      <c r="S30" s="74">
        <f t="shared" si="231"/>
        <v>5.3983333333333325</v>
      </c>
      <c r="T30" s="74">
        <f t="shared" si="231"/>
        <v>6.1130208333333327</v>
      </c>
      <c r="U30" s="74">
        <f t="shared" si="231"/>
        <v>6.8277083333333328</v>
      </c>
      <c r="V30" s="74">
        <f t="shared" si="231"/>
        <v>7.542395833333333</v>
      </c>
      <c r="W30" s="74">
        <f t="shared" si="231"/>
        <v>8.2570833333333322</v>
      </c>
      <c r="X30" s="74">
        <f t="shared" si="231"/>
        <v>8.7717708333333331</v>
      </c>
      <c r="Y30" s="74">
        <f t="shared" si="231"/>
        <v>9.2864583333333339</v>
      </c>
      <c r="Z30" s="74">
        <f t="shared" si="231"/>
        <v>9.8011458333333348</v>
      </c>
      <c r="AA30" s="74">
        <f t="shared" si="231"/>
        <v>10.315833333333336</v>
      </c>
      <c r="AB30" s="74">
        <f t="shared" si="231"/>
        <v>9.2570833333333375</v>
      </c>
      <c r="AC30" s="73">
        <f t="shared" si="231"/>
        <v>8.1983333333333395</v>
      </c>
      <c r="AD30" s="74">
        <f t="shared" si="231"/>
        <v>7.1395833333333387</v>
      </c>
      <c r="AE30" s="74">
        <f t="shared" si="231"/>
        <v>6.080833333333338</v>
      </c>
      <c r="AF30" s="74">
        <f t="shared" si="231"/>
        <v>5.0220833333333372</v>
      </c>
      <c r="AG30" s="74">
        <f t="shared" si="231"/>
        <v>3.9633333333333369</v>
      </c>
      <c r="AH30" s="74">
        <f t="shared" si="231"/>
        <v>2.9045833333333371</v>
      </c>
      <c r="AI30" s="74">
        <f t="shared" si="231"/>
        <v>1.845833333333337</v>
      </c>
      <c r="AJ30" s="74">
        <f t="shared" si="231"/>
        <v>0.78708333333333691</v>
      </c>
      <c r="AK30" s="74">
        <f t="shared" si="231"/>
        <v>1.3017708333333369</v>
      </c>
      <c r="AL30" s="74">
        <f t="shared" si="231"/>
        <v>1.8164583333333371</v>
      </c>
      <c r="AM30" s="74">
        <f t="shared" si="231"/>
        <v>2.531145833333337</v>
      </c>
      <c r="AN30" s="74">
        <f t="shared" si="231"/>
        <v>3.2458333333333367</v>
      </c>
      <c r="AO30" s="74">
        <f t="shared" si="231"/>
        <v>3.9605208333333364</v>
      </c>
      <c r="AP30" s="74">
        <f t="shared" si="231"/>
        <v>4.6752083333333365</v>
      </c>
      <c r="AQ30" s="74">
        <f t="shared" si="231"/>
        <v>5.3898958333333367</v>
      </c>
      <c r="AR30" s="74">
        <f t="shared" si="231"/>
        <v>6.1045833333333368</v>
      </c>
      <c r="AS30" s="74">
        <f t="shared" si="231"/>
        <v>6.8192708333333369</v>
      </c>
      <c r="AT30" s="74">
        <f t="shared" si="231"/>
        <v>7.5339583333333371</v>
      </c>
      <c r="AU30" s="74">
        <f t="shared" si="231"/>
        <v>8.2486458333333363</v>
      </c>
      <c r="AV30" s="74">
        <f t="shared" si="231"/>
        <v>8.7633333333333372</v>
      </c>
      <c r="AW30" s="74">
        <f t="shared" si="231"/>
        <v>9.278020833333338</v>
      </c>
      <c r="AX30" s="74">
        <f t="shared" si="231"/>
        <v>9.7927083333333389</v>
      </c>
      <c r="AY30" s="74">
        <f t="shared" si="231"/>
        <v>10.30739583333334</v>
      </c>
      <c r="AZ30" s="74">
        <f t="shared" si="231"/>
        <v>9.2486458333333417</v>
      </c>
      <c r="BA30" s="73">
        <f t="shared" si="231"/>
        <v>8.1898958333333436</v>
      </c>
      <c r="BB30" s="74">
        <f t="shared" si="231"/>
        <v>7.1311458333333428</v>
      </c>
      <c r="BC30" s="74">
        <f t="shared" si="231"/>
        <v>6.0723958333333421</v>
      </c>
      <c r="BD30" s="74">
        <f t="shared" si="231"/>
        <v>5.0136458333333414</v>
      </c>
      <c r="BE30" s="74">
        <f t="shared" si="231"/>
        <v>3.954895833333341</v>
      </c>
      <c r="BF30" s="74">
        <f t="shared" si="231"/>
        <v>2.8961458333333412</v>
      </c>
      <c r="BG30" s="74">
        <f t="shared" si="231"/>
        <v>1.8373958333333411</v>
      </c>
      <c r="BH30" s="74">
        <f t="shared" si="231"/>
        <v>0.77864583333334103</v>
      </c>
      <c r="BI30" s="74">
        <f t="shared" si="231"/>
        <v>1.293333333333341</v>
      </c>
      <c r="BJ30" s="74">
        <f t="shared" si="231"/>
        <v>1.8080208333333412</v>
      </c>
      <c r="BK30" s="74">
        <f t="shared" si="231"/>
        <v>2.5227083333333411</v>
      </c>
      <c r="BL30" s="74">
        <f t="shared" si="231"/>
        <v>3.2373958333333408</v>
      </c>
      <c r="BM30" s="74">
        <f t="shared" si="231"/>
        <v>3.9520833333333405</v>
      </c>
      <c r="BN30" s="74">
        <f t="shared" si="231"/>
        <v>4.6667708333333406</v>
      </c>
      <c r="BO30" s="74">
        <f t="shared" si="231"/>
        <v>5.3814583333333408</v>
      </c>
      <c r="BP30" s="74">
        <f t="shared" si="231"/>
        <v>6.0961458333333409</v>
      </c>
      <c r="BQ30" s="74">
        <f t="shared" si="231"/>
        <v>6.8108333333333411</v>
      </c>
      <c r="BR30" s="74">
        <f t="shared" ref="BR30:BX30" si="232">BQ36</f>
        <v>7.5255208333333412</v>
      </c>
      <c r="BS30" s="74">
        <f t="shared" si="232"/>
        <v>8.2402083333333405</v>
      </c>
      <c r="BT30" s="74">
        <f t="shared" si="232"/>
        <v>8.7548958333333413</v>
      </c>
      <c r="BU30" s="74">
        <f t="shared" si="232"/>
        <v>9.2695833333333422</v>
      </c>
      <c r="BV30" s="74">
        <f t="shared" si="232"/>
        <v>9.784270833333343</v>
      </c>
      <c r="BW30" s="74">
        <f t="shared" si="232"/>
        <v>10.298958333333344</v>
      </c>
      <c r="BX30" s="74">
        <f t="shared" si="232"/>
        <v>9.2402083333333458</v>
      </c>
      <c r="BY30" s="73"/>
    </row>
    <row r="31" spans="2:77" s="82" customFormat="1" x14ac:dyDescent="0.25">
      <c r="B31" s="354" t="s">
        <v>117</v>
      </c>
      <c r="C31" s="120"/>
      <c r="D31" s="347">
        <f>10/24</f>
        <v>0.41666666666666669</v>
      </c>
      <c r="E31" s="355">
        <f>IF(D38="T",-$D$31,$D$31*0.25)</f>
        <v>-0.41666666666666669</v>
      </c>
      <c r="F31" s="356">
        <f t="shared" ref="F31:BQ31" si="233">IF(E38="T",-$D$31,$D$31*0.25)</f>
        <v>-0.41666666666666669</v>
      </c>
      <c r="G31" s="356">
        <f t="shared" si="233"/>
        <v>-0.41666666666666669</v>
      </c>
      <c r="H31" s="356">
        <f t="shared" si="233"/>
        <v>-0.41666666666666669</v>
      </c>
      <c r="I31" s="356">
        <f t="shared" si="233"/>
        <v>-0.41666666666666669</v>
      </c>
      <c r="J31" s="356">
        <f t="shared" si="233"/>
        <v>-0.41666666666666669</v>
      </c>
      <c r="K31" s="356">
        <f t="shared" si="233"/>
        <v>0.10416666666666667</v>
      </c>
      <c r="L31" s="356">
        <f t="shared" si="233"/>
        <v>0.10416666666666667</v>
      </c>
      <c r="M31" s="356">
        <f t="shared" si="233"/>
        <v>0.10416666666666667</v>
      </c>
      <c r="N31" s="356">
        <f t="shared" si="233"/>
        <v>0.10416666666666667</v>
      </c>
      <c r="O31" s="356">
        <f t="shared" si="233"/>
        <v>0.10416666666666667</v>
      </c>
      <c r="P31" s="356">
        <f t="shared" si="233"/>
        <v>0.10416666666666667</v>
      </c>
      <c r="Q31" s="356">
        <f t="shared" si="233"/>
        <v>0.10416666666666667</v>
      </c>
      <c r="R31" s="356">
        <f t="shared" si="233"/>
        <v>0.10416666666666667</v>
      </c>
      <c r="S31" s="356">
        <f t="shared" si="233"/>
        <v>0.10416666666666667</v>
      </c>
      <c r="T31" s="356">
        <f t="shared" si="233"/>
        <v>0.10416666666666667</v>
      </c>
      <c r="U31" s="356">
        <f t="shared" si="233"/>
        <v>0.10416666666666667</v>
      </c>
      <c r="V31" s="356">
        <f t="shared" si="233"/>
        <v>0.10416666666666667</v>
      </c>
      <c r="W31" s="356">
        <f t="shared" si="233"/>
        <v>0.10416666666666667</v>
      </c>
      <c r="X31" s="356">
        <f t="shared" si="233"/>
        <v>0.10416666666666667</v>
      </c>
      <c r="Y31" s="356">
        <f t="shared" si="233"/>
        <v>0.10416666666666667</v>
      </c>
      <c r="Z31" s="356">
        <f t="shared" si="233"/>
        <v>0.10416666666666667</v>
      </c>
      <c r="AA31" s="356">
        <f t="shared" si="233"/>
        <v>-0.41666666666666669</v>
      </c>
      <c r="AB31" s="356">
        <f t="shared" si="233"/>
        <v>-0.41666666666666669</v>
      </c>
      <c r="AC31" s="357">
        <f t="shared" si="233"/>
        <v>-0.41666666666666669</v>
      </c>
      <c r="AD31" s="356">
        <f t="shared" si="233"/>
        <v>-0.41666666666666669</v>
      </c>
      <c r="AE31" s="356">
        <f t="shared" si="233"/>
        <v>-0.41666666666666669</v>
      </c>
      <c r="AF31" s="356">
        <f t="shared" si="233"/>
        <v>-0.41666666666666669</v>
      </c>
      <c r="AG31" s="356">
        <f t="shared" si="233"/>
        <v>-0.41666666666666669</v>
      </c>
      <c r="AH31" s="356">
        <f t="shared" si="233"/>
        <v>-0.41666666666666669</v>
      </c>
      <c r="AI31" s="356">
        <f t="shared" si="233"/>
        <v>-0.41666666666666669</v>
      </c>
      <c r="AJ31" s="356">
        <f t="shared" si="233"/>
        <v>0.10416666666666667</v>
      </c>
      <c r="AK31" s="356">
        <f t="shared" si="233"/>
        <v>0.10416666666666667</v>
      </c>
      <c r="AL31" s="356">
        <f t="shared" si="233"/>
        <v>0.10416666666666667</v>
      </c>
      <c r="AM31" s="356">
        <f t="shared" si="233"/>
        <v>0.10416666666666667</v>
      </c>
      <c r="AN31" s="356">
        <f t="shared" si="233"/>
        <v>0.10416666666666667</v>
      </c>
      <c r="AO31" s="356">
        <f t="shared" si="233"/>
        <v>0.10416666666666667</v>
      </c>
      <c r="AP31" s="356">
        <f t="shared" si="233"/>
        <v>0.10416666666666667</v>
      </c>
      <c r="AQ31" s="356">
        <f t="shared" si="233"/>
        <v>0.10416666666666667</v>
      </c>
      <c r="AR31" s="356">
        <f t="shared" si="233"/>
        <v>0.10416666666666667</v>
      </c>
      <c r="AS31" s="356">
        <f t="shared" si="233"/>
        <v>0.10416666666666667</v>
      </c>
      <c r="AT31" s="356">
        <f t="shared" si="233"/>
        <v>0.10416666666666667</v>
      </c>
      <c r="AU31" s="356">
        <f t="shared" si="233"/>
        <v>0.10416666666666667</v>
      </c>
      <c r="AV31" s="356">
        <f t="shared" si="233"/>
        <v>0.10416666666666667</v>
      </c>
      <c r="AW31" s="356">
        <f t="shared" si="233"/>
        <v>0.10416666666666667</v>
      </c>
      <c r="AX31" s="356">
        <f t="shared" si="233"/>
        <v>0.10416666666666667</v>
      </c>
      <c r="AY31" s="356">
        <f t="shared" si="233"/>
        <v>-0.41666666666666669</v>
      </c>
      <c r="AZ31" s="356">
        <f t="shared" si="233"/>
        <v>-0.41666666666666669</v>
      </c>
      <c r="BA31" s="357">
        <f t="shared" si="233"/>
        <v>-0.41666666666666669</v>
      </c>
      <c r="BB31" s="356">
        <f t="shared" si="233"/>
        <v>-0.41666666666666669</v>
      </c>
      <c r="BC31" s="356">
        <f t="shared" si="233"/>
        <v>-0.41666666666666669</v>
      </c>
      <c r="BD31" s="356">
        <f t="shared" si="233"/>
        <v>-0.41666666666666669</v>
      </c>
      <c r="BE31" s="356">
        <f t="shared" si="233"/>
        <v>-0.41666666666666669</v>
      </c>
      <c r="BF31" s="356">
        <f t="shared" si="233"/>
        <v>-0.41666666666666669</v>
      </c>
      <c r="BG31" s="356">
        <f t="shared" si="233"/>
        <v>-0.41666666666666669</v>
      </c>
      <c r="BH31" s="356">
        <f t="shared" si="233"/>
        <v>0.10416666666666667</v>
      </c>
      <c r="BI31" s="356">
        <f t="shared" si="233"/>
        <v>0.10416666666666667</v>
      </c>
      <c r="BJ31" s="356">
        <f t="shared" si="233"/>
        <v>0.10416666666666667</v>
      </c>
      <c r="BK31" s="356">
        <f t="shared" si="233"/>
        <v>0.10416666666666667</v>
      </c>
      <c r="BL31" s="356">
        <f t="shared" si="233"/>
        <v>0.10416666666666667</v>
      </c>
      <c r="BM31" s="356">
        <f t="shared" si="233"/>
        <v>0.10416666666666667</v>
      </c>
      <c r="BN31" s="356">
        <f t="shared" si="233"/>
        <v>0.10416666666666667</v>
      </c>
      <c r="BO31" s="356">
        <f t="shared" si="233"/>
        <v>0.10416666666666667</v>
      </c>
      <c r="BP31" s="356">
        <f t="shared" si="233"/>
        <v>0.10416666666666667</v>
      </c>
      <c r="BQ31" s="356">
        <f t="shared" si="233"/>
        <v>0.10416666666666667</v>
      </c>
      <c r="BR31" s="356">
        <f t="shared" ref="BR31:BX31" si="234">IF(BQ38="T",-$D$31,$D$31*0.25)</f>
        <v>0.10416666666666667</v>
      </c>
      <c r="BS31" s="356">
        <f t="shared" si="234"/>
        <v>0.10416666666666667</v>
      </c>
      <c r="BT31" s="356">
        <f t="shared" si="234"/>
        <v>0.10416666666666667</v>
      </c>
      <c r="BU31" s="356">
        <f t="shared" si="234"/>
        <v>0.10416666666666667</v>
      </c>
      <c r="BV31" s="356">
        <f t="shared" si="234"/>
        <v>0.10416666666666667</v>
      </c>
      <c r="BW31" s="356">
        <f t="shared" si="234"/>
        <v>-0.41666666666666669</v>
      </c>
      <c r="BX31" s="356">
        <f t="shared" si="234"/>
        <v>-0.41666666666666669</v>
      </c>
      <c r="BY31" s="356"/>
    </row>
    <row r="32" spans="2:77" s="329" customFormat="1" x14ac:dyDescent="0.25">
      <c r="B32" s="358" t="s">
        <v>88</v>
      </c>
      <c r="C32" s="359"/>
      <c r="D32" s="360">
        <v>-0.2</v>
      </c>
      <c r="E32" s="361">
        <v>-0.2</v>
      </c>
      <c r="F32" s="329">
        <v>-0.2</v>
      </c>
      <c r="G32" s="329">
        <v>-0.2</v>
      </c>
      <c r="H32" s="329">
        <v>-0.2</v>
      </c>
      <c r="I32" s="329">
        <v>-0.2</v>
      </c>
      <c r="J32" s="329">
        <v>-0.2</v>
      </c>
      <c r="K32" s="329">
        <v>0.3</v>
      </c>
      <c r="L32" s="329">
        <v>0.3</v>
      </c>
      <c r="M32" s="329">
        <v>0.3</v>
      </c>
      <c r="N32" s="329">
        <v>0.5</v>
      </c>
      <c r="O32" s="329">
        <v>0.5</v>
      </c>
      <c r="P32" s="329">
        <v>0.5</v>
      </c>
      <c r="Q32" s="329">
        <v>0.5</v>
      </c>
      <c r="R32" s="329">
        <v>0.5</v>
      </c>
      <c r="S32" s="329">
        <v>0.5</v>
      </c>
      <c r="T32" s="329">
        <v>0.5</v>
      </c>
      <c r="U32" s="329">
        <v>0.5</v>
      </c>
      <c r="V32" s="329">
        <v>0.5</v>
      </c>
      <c r="W32" s="329">
        <v>0.3</v>
      </c>
      <c r="X32" s="329">
        <v>0.3</v>
      </c>
      <c r="Y32" s="329">
        <v>0.3</v>
      </c>
      <c r="Z32" s="329">
        <v>0.3</v>
      </c>
      <c r="AA32" s="329">
        <v>-0.2</v>
      </c>
      <c r="AB32" s="329">
        <v>-0.2</v>
      </c>
      <c r="AC32" s="361">
        <v>-0.2</v>
      </c>
      <c r="AD32" s="329">
        <v>-0.2</v>
      </c>
      <c r="AE32" s="329">
        <v>-0.2</v>
      </c>
      <c r="AF32" s="329">
        <v>-0.2</v>
      </c>
      <c r="AG32" s="329">
        <v>-0.2</v>
      </c>
      <c r="AH32" s="329">
        <v>-0.2</v>
      </c>
      <c r="AI32" s="329">
        <v>-0.2</v>
      </c>
      <c r="AJ32" s="329">
        <v>0.3</v>
      </c>
      <c r="AK32" s="329">
        <v>0.3</v>
      </c>
      <c r="AL32" s="329">
        <v>0.5</v>
      </c>
      <c r="AM32" s="329">
        <v>0.5</v>
      </c>
      <c r="AN32" s="329">
        <v>0.5</v>
      </c>
      <c r="AO32" s="329">
        <v>0.5</v>
      </c>
      <c r="AP32" s="329">
        <v>0.5</v>
      </c>
      <c r="AQ32" s="329">
        <v>0.5</v>
      </c>
      <c r="AR32" s="329">
        <v>0.5</v>
      </c>
      <c r="AS32" s="329">
        <v>0.5</v>
      </c>
      <c r="AT32" s="329">
        <v>0.5</v>
      </c>
      <c r="AU32" s="329">
        <v>0.3</v>
      </c>
      <c r="AV32" s="329">
        <v>0.3</v>
      </c>
      <c r="AW32" s="329">
        <v>0.3</v>
      </c>
      <c r="AX32" s="329">
        <v>0.3</v>
      </c>
      <c r="AY32" s="329">
        <v>-0.2</v>
      </c>
      <c r="AZ32" s="329">
        <v>-0.2</v>
      </c>
      <c r="BA32" s="361">
        <v>-0.2</v>
      </c>
      <c r="BB32" s="329">
        <v>-0.2</v>
      </c>
      <c r="BC32" s="329">
        <v>-0.2</v>
      </c>
      <c r="BD32" s="329">
        <v>-0.2</v>
      </c>
      <c r="BE32" s="329">
        <v>-0.2</v>
      </c>
      <c r="BF32" s="329">
        <v>-0.2</v>
      </c>
      <c r="BG32" s="329">
        <v>-0.2</v>
      </c>
      <c r="BH32" s="329">
        <v>0.3</v>
      </c>
      <c r="BI32" s="329">
        <v>0.3</v>
      </c>
      <c r="BJ32" s="329">
        <v>0.5</v>
      </c>
      <c r="BK32" s="329">
        <v>0.5</v>
      </c>
      <c r="BL32" s="329">
        <v>0.5</v>
      </c>
      <c r="BM32" s="329">
        <v>0.5</v>
      </c>
      <c r="BN32" s="329">
        <v>0.5</v>
      </c>
      <c r="BO32" s="329">
        <v>0.5</v>
      </c>
      <c r="BP32" s="329">
        <v>0.5</v>
      </c>
      <c r="BQ32" s="329">
        <v>0.5</v>
      </c>
      <c r="BR32" s="329">
        <v>0.5</v>
      </c>
      <c r="BS32" s="329">
        <v>0.3</v>
      </c>
      <c r="BT32" s="329">
        <v>0.3</v>
      </c>
      <c r="BU32" s="329">
        <v>0.3</v>
      </c>
      <c r="BV32" s="329">
        <v>0.3</v>
      </c>
      <c r="BW32" s="329">
        <v>-0.2</v>
      </c>
      <c r="BX32" s="329">
        <v>-0.2</v>
      </c>
      <c r="BY32" s="362"/>
    </row>
    <row r="33" spans="2:77" x14ac:dyDescent="0.25">
      <c r="B33" s="54" t="s">
        <v>89</v>
      </c>
      <c r="D33" s="333">
        <v>1</v>
      </c>
      <c r="E33" s="66">
        <v>1.0609999999999999</v>
      </c>
      <c r="F33" s="58">
        <v>1.0609999999999999</v>
      </c>
      <c r="G33" s="58">
        <v>1.0609999999999999</v>
      </c>
      <c r="H33" s="58">
        <v>1.0609999999999999</v>
      </c>
      <c r="I33" s="58">
        <v>1.0609999999999999</v>
      </c>
      <c r="J33" s="58">
        <v>1.0609999999999999</v>
      </c>
      <c r="K33" s="58">
        <v>1.0609999999999999</v>
      </c>
      <c r="L33" s="58">
        <v>1.0609999999999999</v>
      </c>
      <c r="M33" s="58">
        <v>1.0609999999999999</v>
      </c>
      <c r="N33" s="58">
        <v>1.0609999999999999</v>
      </c>
      <c r="O33" s="58">
        <v>1.0609999999999999</v>
      </c>
      <c r="P33" s="58">
        <v>1.0609999999999999</v>
      </c>
      <c r="Q33" s="58">
        <v>1.0609999999999999</v>
      </c>
      <c r="R33" s="58">
        <v>1.0609999999999999</v>
      </c>
      <c r="S33" s="58">
        <v>1.0609999999999999</v>
      </c>
      <c r="T33" s="58">
        <v>1.0609999999999999</v>
      </c>
      <c r="U33" s="58">
        <v>1.0609999999999999</v>
      </c>
      <c r="V33" s="58">
        <v>1.0609999999999999</v>
      </c>
      <c r="W33" s="58">
        <v>1.0609999999999999</v>
      </c>
      <c r="X33" s="58">
        <v>1.0609999999999999</v>
      </c>
      <c r="Y33" s="58">
        <v>1.0609999999999999</v>
      </c>
      <c r="Z33" s="58">
        <v>1.0609999999999999</v>
      </c>
      <c r="AA33" s="58">
        <v>1.0609999999999999</v>
      </c>
      <c r="AB33" s="58">
        <v>1.0609999999999999</v>
      </c>
      <c r="AC33" s="57">
        <v>1.0609999999999999</v>
      </c>
      <c r="AD33" s="58">
        <v>1.0609999999999999</v>
      </c>
      <c r="AE33" s="58">
        <v>1.0609999999999999</v>
      </c>
      <c r="AF33" s="58">
        <v>1.0609999999999999</v>
      </c>
      <c r="AG33" s="58">
        <v>1.0609999999999999</v>
      </c>
      <c r="AH33" s="58">
        <v>1.0609999999999999</v>
      </c>
      <c r="AI33" s="58">
        <v>1.0609999999999999</v>
      </c>
      <c r="AJ33" s="58">
        <v>1.0609999999999999</v>
      </c>
      <c r="AK33" s="58">
        <v>1.0609999999999999</v>
      </c>
      <c r="AL33" s="58">
        <v>1.0609999999999999</v>
      </c>
      <c r="AM33" s="58">
        <v>1.0609999999999999</v>
      </c>
      <c r="AN33" s="58">
        <v>1.0609999999999999</v>
      </c>
      <c r="AO33" s="58">
        <v>1.0609999999999999</v>
      </c>
      <c r="AP33" s="58">
        <v>1.0609999999999999</v>
      </c>
      <c r="AQ33" s="58">
        <v>1.0609999999999999</v>
      </c>
      <c r="AR33" s="58">
        <v>1.0609999999999999</v>
      </c>
      <c r="AS33" s="58">
        <v>1.0609999999999999</v>
      </c>
      <c r="AT33" s="58">
        <v>1.0609999999999999</v>
      </c>
      <c r="AU33" s="58">
        <v>1.0609999999999999</v>
      </c>
      <c r="AV33" s="58">
        <v>1.0609999999999999</v>
      </c>
      <c r="AW33" s="58">
        <v>1.0609999999999999</v>
      </c>
      <c r="AX33" s="58">
        <v>1.0609999999999999</v>
      </c>
      <c r="AY33" s="58">
        <v>1.0609999999999999</v>
      </c>
      <c r="AZ33" s="58">
        <v>1.0609999999999999</v>
      </c>
      <c r="BA33" s="57">
        <v>1.0609999999999999</v>
      </c>
      <c r="BB33" s="58">
        <v>1.0609999999999999</v>
      </c>
      <c r="BC33" s="58">
        <v>1.0609999999999999</v>
      </c>
      <c r="BD33" s="58">
        <v>1.0609999999999999</v>
      </c>
      <c r="BE33" s="58">
        <v>1.0609999999999999</v>
      </c>
      <c r="BF33" s="58">
        <v>1.0609999999999999</v>
      </c>
      <c r="BG33" s="58">
        <v>1.0609999999999999</v>
      </c>
      <c r="BH33" s="58">
        <v>1.0609999999999999</v>
      </c>
      <c r="BI33" s="58">
        <v>1.0609999999999999</v>
      </c>
      <c r="BJ33" s="58">
        <v>1.0609999999999999</v>
      </c>
      <c r="BK33" s="58">
        <v>1.0609999999999999</v>
      </c>
      <c r="BL33" s="58">
        <v>1.0609999999999999</v>
      </c>
      <c r="BM33" s="58">
        <v>1.0609999999999999</v>
      </c>
      <c r="BN33" s="58">
        <v>1.0609999999999999</v>
      </c>
      <c r="BO33" s="58">
        <v>1.0609999999999999</v>
      </c>
      <c r="BP33" s="58">
        <v>1.0609999999999999</v>
      </c>
      <c r="BQ33" s="58">
        <v>1.0609999999999999</v>
      </c>
      <c r="BR33" s="58">
        <v>1.0609999999999999</v>
      </c>
      <c r="BS33" s="58">
        <v>1.0609999999999999</v>
      </c>
      <c r="BT33" s="58">
        <v>1.0609999999999999</v>
      </c>
      <c r="BU33" s="58">
        <v>1.0609999999999999</v>
      </c>
      <c r="BV33" s="58">
        <v>1.0609999999999999</v>
      </c>
      <c r="BW33" s="58">
        <v>1.0609999999999999</v>
      </c>
      <c r="BX33" s="58">
        <v>1.0609999999999999</v>
      </c>
      <c r="BY33" s="57"/>
    </row>
    <row r="34" spans="2:77" x14ac:dyDescent="0.25">
      <c r="B34" s="54" t="s">
        <v>120</v>
      </c>
      <c r="D34" s="333">
        <f>D30+(D31*D33)+D32</f>
        <v>6.2166666666666668</v>
      </c>
      <c r="E34" s="66">
        <f t="shared" ref="E34:BP34" si="235">E30+(E31*E33)+E32</f>
        <v>5.99125</v>
      </c>
      <c r="F34" s="58">
        <f t="shared" si="235"/>
        <v>4.9324999999999992</v>
      </c>
      <c r="G34" s="58">
        <f t="shared" si="235"/>
        <v>3.8737499999999985</v>
      </c>
      <c r="H34" s="58">
        <f t="shared" si="235"/>
        <v>2.8149999999999986</v>
      </c>
      <c r="I34" s="58">
        <f t="shared" si="235"/>
        <v>1.7562499999999988</v>
      </c>
      <c r="J34" s="58">
        <f t="shared" si="235"/>
        <v>0.69749999999999868</v>
      </c>
      <c r="K34" s="58">
        <f t="shared" si="235"/>
        <v>0.69135416666666538</v>
      </c>
      <c r="L34" s="58">
        <f t="shared" si="235"/>
        <v>1.2060416666666653</v>
      </c>
      <c r="M34" s="58">
        <f t="shared" si="235"/>
        <v>1.7207291666666655</v>
      </c>
      <c r="N34" s="58">
        <f t="shared" si="235"/>
        <v>2.4354166666666659</v>
      </c>
      <c r="O34" s="58">
        <f t="shared" si="235"/>
        <v>3.1501041666666656</v>
      </c>
      <c r="P34" s="58">
        <f t="shared" si="235"/>
        <v>3.8647916666666653</v>
      </c>
      <c r="Q34" s="58">
        <f t="shared" si="235"/>
        <v>4.5794791666666654</v>
      </c>
      <c r="R34" s="58">
        <f t="shared" si="235"/>
        <v>5.2941666666666656</v>
      </c>
      <c r="S34" s="58">
        <f t="shared" si="235"/>
        <v>6.0088541666666657</v>
      </c>
      <c r="T34" s="58">
        <f t="shared" si="235"/>
        <v>6.7235416666666659</v>
      </c>
      <c r="U34" s="58">
        <f t="shared" si="235"/>
        <v>7.438229166666666</v>
      </c>
      <c r="V34" s="58">
        <f t="shared" si="235"/>
        <v>8.1529166666666661</v>
      </c>
      <c r="W34" s="58">
        <f t="shared" si="235"/>
        <v>8.667604166666667</v>
      </c>
      <c r="X34" s="58">
        <f t="shared" si="235"/>
        <v>9.1822916666666679</v>
      </c>
      <c r="Y34" s="58">
        <f t="shared" si="235"/>
        <v>9.6969791666666687</v>
      </c>
      <c r="Z34" s="58">
        <f t="shared" si="235"/>
        <v>10.21166666666667</v>
      </c>
      <c r="AA34" s="58">
        <f t="shared" si="235"/>
        <v>9.6737500000000036</v>
      </c>
      <c r="AB34" s="58">
        <f t="shared" si="235"/>
        <v>8.6150000000000055</v>
      </c>
      <c r="AC34" s="57">
        <f t="shared" si="235"/>
        <v>7.5562500000000057</v>
      </c>
      <c r="AD34" s="58">
        <f t="shared" si="235"/>
        <v>6.4975000000000049</v>
      </c>
      <c r="AE34" s="58">
        <f t="shared" si="235"/>
        <v>5.4387500000000042</v>
      </c>
      <c r="AF34" s="58">
        <f t="shared" si="235"/>
        <v>4.3800000000000034</v>
      </c>
      <c r="AG34" s="58">
        <f t="shared" si="235"/>
        <v>3.3212500000000036</v>
      </c>
      <c r="AH34" s="58">
        <f t="shared" si="235"/>
        <v>2.2625000000000037</v>
      </c>
      <c r="AI34" s="58">
        <f t="shared" si="235"/>
        <v>1.2037500000000037</v>
      </c>
      <c r="AJ34" s="58">
        <f t="shared" si="235"/>
        <v>1.1976041666666701</v>
      </c>
      <c r="AK34" s="58">
        <f t="shared" si="235"/>
        <v>1.7122916666666703</v>
      </c>
      <c r="AL34" s="58">
        <f t="shared" si="235"/>
        <v>2.4269791666666705</v>
      </c>
      <c r="AM34" s="58">
        <f t="shared" si="235"/>
        <v>3.1416666666666702</v>
      </c>
      <c r="AN34" s="58">
        <f t="shared" si="235"/>
        <v>3.8563541666666699</v>
      </c>
      <c r="AO34" s="58">
        <f t="shared" si="235"/>
        <v>4.5710416666666696</v>
      </c>
      <c r="AP34" s="58">
        <f t="shared" si="235"/>
        <v>5.2857291666666697</v>
      </c>
      <c r="AQ34" s="58">
        <f t="shared" si="235"/>
        <v>6.0004166666666698</v>
      </c>
      <c r="AR34" s="58">
        <f t="shared" si="235"/>
        <v>6.71510416666667</v>
      </c>
      <c r="AS34" s="58">
        <f t="shared" si="235"/>
        <v>7.4297916666666701</v>
      </c>
      <c r="AT34" s="58">
        <f t="shared" si="235"/>
        <v>8.1444791666666703</v>
      </c>
      <c r="AU34" s="58">
        <f t="shared" si="235"/>
        <v>8.6591666666666711</v>
      </c>
      <c r="AV34" s="58">
        <f t="shared" si="235"/>
        <v>9.173854166666672</v>
      </c>
      <c r="AW34" s="58">
        <f t="shared" si="235"/>
        <v>9.6885416666666728</v>
      </c>
      <c r="AX34" s="58">
        <f t="shared" si="235"/>
        <v>10.203229166666674</v>
      </c>
      <c r="AY34" s="58">
        <f t="shared" si="235"/>
        <v>9.6653125000000077</v>
      </c>
      <c r="AZ34" s="58">
        <f t="shared" si="235"/>
        <v>8.6065625000000097</v>
      </c>
      <c r="BA34" s="57">
        <f t="shared" si="235"/>
        <v>7.5478125000000098</v>
      </c>
      <c r="BB34" s="58">
        <f t="shared" si="235"/>
        <v>6.4890625000000091</v>
      </c>
      <c r="BC34" s="58">
        <f t="shared" si="235"/>
        <v>5.4303125000000083</v>
      </c>
      <c r="BD34" s="58">
        <f t="shared" si="235"/>
        <v>4.3715625000000076</v>
      </c>
      <c r="BE34" s="58">
        <f t="shared" si="235"/>
        <v>3.3128125000000077</v>
      </c>
      <c r="BF34" s="58">
        <f t="shared" si="235"/>
        <v>2.2540625000000079</v>
      </c>
      <c r="BG34" s="58">
        <f t="shared" si="235"/>
        <v>1.1953125000000078</v>
      </c>
      <c r="BH34" s="58">
        <f t="shared" si="235"/>
        <v>1.1891666666666743</v>
      </c>
      <c r="BI34" s="58">
        <f t="shared" si="235"/>
        <v>1.7038541666666744</v>
      </c>
      <c r="BJ34" s="58">
        <f t="shared" si="235"/>
        <v>2.4185416666666746</v>
      </c>
      <c r="BK34" s="58">
        <f t="shared" si="235"/>
        <v>3.1332291666666743</v>
      </c>
      <c r="BL34" s="58">
        <f t="shared" si="235"/>
        <v>3.847916666666674</v>
      </c>
      <c r="BM34" s="58">
        <f t="shared" si="235"/>
        <v>4.5626041666666737</v>
      </c>
      <c r="BN34" s="58">
        <f t="shared" si="235"/>
        <v>5.2772916666666738</v>
      </c>
      <c r="BO34" s="58">
        <f t="shared" si="235"/>
        <v>5.991979166666674</v>
      </c>
      <c r="BP34" s="58">
        <f t="shared" si="235"/>
        <v>6.7066666666666741</v>
      </c>
      <c r="BQ34" s="58">
        <f t="shared" ref="BQ34:BX34" si="236">BQ30+(BQ31*BQ33)+BQ32</f>
        <v>7.4213541666666742</v>
      </c>
      <c r="BR34" s="58">
        <f t="shared" si="236"/>
        <v>8.1360416666666744</v>
      </c>
      <c r="BS34" s="58">
        <f t="shared" si="236"/>
        <v>8.6507291666666752</v>
      </c>
      <c r="BT34" s="58">
        <f t="shared" si="236"/>
        <v>9.1654166666666761</v>
      </c>
      <c r="BU34" s="58">
        <f t="shared" si="236"/>
        <v>9.6801041666666769</v>
      </c>
      <c r="BV34" s="58">
        <f t="shared" si="236"/>
        <v>10.194791666666678</v>
      </c>
      <c r="BW34" s="58">
        <f t="shared" si="236"/>
        <v>9.6568750000000119</v>
      </c>
      <c r="BX34" s="58">
        <f t="shared" si="236"/>
        <v>8.5981250000000138</v>
      </c>
      <c r="BY34" s="57"/>
    </row>
    <row r="35" spans="2:77" x14ac:dyDescent="0.25">
      <c r="B35" s="54" t="s">
        <v>127</v>
      </c>
      <c r="D35" s="333">
        <f>D34</f>
        <v>6.2166666666666668</v>
      </c>
      <c r="E35" s="66">
        <f>E34+(D27/8)</f>
        <v>6.9245833333333335</v>
      </c>
      <c r="F35" s="58">
        <f t="shared" ref="F35:BQ35" si="237">F34+(E27/8)</f>
        <v>5.3130067456768035</v>
      </c>
      <c r="G35" s="58">
        <f t="shared" si="237"/>
        <v>4.5308370509093603</v>
      </c>
      <c r="H35" s="58">
        <f t="shared" si="237"/>
        <v>3.333963909697375</v>
      </c>
      <c r="I35" s="58">
        <f t="shared" si="237"/>
        <v>2.3444424917076612</v>
      </c>
      <c r="J35" s="58">
        <f t="shared" si="237"/>
        <v>1.2512452121068116</v>
      </c>
      <c r="K35" s="58">
        <f t="shared" si="237"/>
        <v>1.2624900299781965</v>
      </c>
      <c r="L35" s="58">
        <f t="shared" si="237"/>
        <v>1.8428917247246743</v>
      </c>
      <c r="M35" s="58">
        <f t="shared" si="237"/>
        <v>2.3268660227002727</v>
      </c>
      <c r="N35" s="58">
        <f t="shared" si="237"/>
        <v>2.9840540190613112</v>
      </c>
      <c r="O35" s="58">
        <f t="shared" si="237"/>
        <v>3.7261631924669576</v>
      </c>
      <c r="P35" s="58">
        <f t="shared" si="237"/>
        <v>4.4292837511129717</v>
      </c>
      <c r="Q35" s="58">
        <f t="shared" si="237"/>
        <v>5.1518986171388015</v>
      </c>
      <c r="R35" s="58">
        <f t="shared" si="237"/>
        <v>5.8647663294747243</v>
      </c>
      <c r="S35" s="58">
        <f t="shared" si="237"/>
        <v>6.5651458118577466</v>
      </c>
      <c r="T35" s="58">
        <f t="shared" si="237"/>
        <v>7.2891312160150727</v>
      </c>
      <c r="U35" s="58">
        <f t="shared" si="237"/>
        <v>8.0013136592852483</v>
      </c>
      <c r="V35" s="58">
        <f t="shared" si="237"/>
        <v>8.7193975829989974</v>
      </c>
      <c r="W35" s="58">
        <f t="shared" si="237"/>
        <v>9.2345307664909608</v>
      </c>
      <c r="X35" s="58">
        <f t="shared" si="237"/>
        <v>9.7198893200938183</v>
      </c>
      <c r="Y35" s="58">
        <f t="shared" si="237"/>
        <v>10.251385188641228</v>
      </c>
      <c r="Z35" s="58">
        <f t="shared" si="237"/>
        <v>10.72509042595369</v>
      </c>
      <c r="AA35" s="58">
        <f t="shared" si="237"/>
        <v>10.20980878597963</v>
      </c>
      <c r="AB35" s="58">
        <f t="shared" si="237"/>
        <v>9.1434476679821657</v>
      </c>
      <c r="AC35" s="57">
        <f t="shared" si="237"/>
        <v>8.0886702383851929</v>
      </c>
      <c r="AD35" s="58">
        <f t="shared" si="237"/>
        <v>7.0281009645879724</v>
      </c>
      <c r="AE35" s="58">
        <f t="shared" si="237"/>
        <v>5.9704276128908749</v>
      </c>
      <c r="AF35" s="58">
        <f t="shared" si="237"/>
        <v>4.9113063001437158</v>
      </c>
      <c r="AG35" s="58">
        <f t="shared" si="237"/>
        <v>3.8529089679215884</v>
      </c>
      <c r="AH35" s="58">
        <f t="shared" si="237"/>
        <v>2.7941496454369457</v>
      </c>
      <c r="AI35" s="58">
        <f t="shared" si="237"/>
        <v>1.7355713180835606</v>
      </c>
      <c r="AJ35" s="58">
        <f t="shared" si="237"/>
        <v>1.6545066598312128</v>
      </c>
      <c r="AK35" s="58">
        <f t="shared" si="237"/>
        <v>2.2810630926395574</v>
      </c>
      <c r="AL35" s="58">
        <f t="shared" si="237"/>
        <v>2.9419600215842228</v>
      </c>
      <c r="AM35" s="58">
        <f t="shared" si="237"/>
        <v>3.6995748956628738</v>
      </c>
      <c r="AN35" s="58">
        <f t="shared" si="237"/>
        <v>4.3949426039723853</v>
      </c>
      <c r="AO35" s="58">
        <f t="shared" si="237"/>
        <v>5.121433895166466</v>
      </c>
      <c r="AP35" s="58">
        <f t="shared" si="237"/>
        <v>5.8323633949182625</v>
      </c>
      <c r="AQ35" s="58">
        <f t="shared" si="237"/>
        <v>6.5337119835933484</v>
      </c>
      <c r="AR35" s="58">
        <f t="shared" si="237"/>
        <v>7.2572128346046432</v>
      </c>
      <c r="AS35" s="58">
        <f t="shared" si="237"/>
        <v>7.9696375544478331</v>
      </c>
      <c r="AT35" s="58">
        <f t="shared" si="237"/>
        <v>8.6876003398750754</v>
      </c>
      <c r="AU35" s="58">
        <f t="shared" si="237"/>
        <v>9.2027940925102918</v>
      </c>
      <c r="AV35" s="58">
        <f t="shared" si="237"/>
        <v>9.6534003877788503</v>
      </c>
      <c r="AW35" s="58">
        <f t="shared" si="237"/>
        <v>10.20227238549341</v>
      </c>
      <c r="AX35" s="58">
        <f t="shared" si="237"/>
        <v>10.702011531984969</v>
      </c>
      <c r="AY35" s="58">
        <f t="shared" si="237"/>
        <v>10.248712937421361</v>
      </c>
      <c r="AZ35" s="58">
        <f t="shared" si="237"/>
        <v>9.0755552877741277</v>
      </c>
      <c r="BA35" s="57">
        <f t="shared" si="237"/>
        <v>8.0741761240020384</v>
      </c>
      <c r="BB35" s="58">
        <f t="shared" si="237"/>
        <v>6.9869077172923761</v>
      </c>
      <c r="BC35" s="58">
        <f t="shared" si="237"/>
        <v>5.9425839320514999</v>
      </c>
      <c r="BD35" s="58">
        <f t="shared" si="237"/>
        <v>4.8767878360762298</v>
      </c>
      <c r="BE35" s="58">
        <f t="shared" si="237"/>
        <v>3.8217278954681579</v>
      </c>
      <c r="BF35" s="58">
        <f t="shared" si="237"/>
        <v>2.7612998771764876</v>
      </c>
      <c r="BG35" s="58">
        <f t="shared" si="237"/>
        <v>1.7035558977266161</v>
      </c>
      <c r="BH35" s="58">
        <f t="shared" si="237"/>
        <v>1.6220740655225117</v>
      </c>
      <c r="BI35" s="58">
        <f t="shared" si="237"/>
        <v>2.2488390853067344</v>
      </c>
      <c r="BJ35" s="58">
        <f t="shared" si="237"/>
        <v>2.9096317207634605</v>
      </c>
      <c r="BK35" s="58">
        <f t="shared" si="237"/>
        <v>3.6499385746212631</v>
      </c>
      <c r="BL35" s="58">
        <f t="shared" si="237"/>
        <v>4.3539602930411982</v>
      </c>
      <c r="BM35" s="58">
        <f t="shared" si="237"/>
        <v>5.0761245791800675</v>
      </c>
      <c r="BN35" s="58">
        <f t="shared" si="237"/>
        <v>5.7892175814594697</v>
      </c>
      <c r="BO35" s="58">
        <f t="shared" si="237"/>
        <v>6.4894844188707523</v>
      </c>
      <c r="BP35" s="58">
        <f t="shared" si="237"/>
        <v>7.2135261455139483</v>
      </c>
      <c r="BQ35" s="58">
        <f t="shared" si="237"/>
        <v>7.9256804275411881</v>
      </c>
      <c r="BR35" s="58">
        <f t="shared" ref="BR35:BX35" si="238">BR34+(BQ27/8)</f>
        <v>8.6437784318764059</v>
      </c>
      <c r="BS35" s="58">
        <f t="shared" si="238"/>
        <v>9.158904575057635</v>
      </c>
      <c r="BT35" s="58">
        <f t="shared" si="238"/>
        <v>9.6442666488158579</v>
      </c>
      <c r="BU35" s="58">
        <f t="shared" si="238"/>
        <v>10.175760757285586</v>
      </c>
      <c r="BV35" s="58">
        <f t="shared" si="238"/>
        <v>10.649466874636889</v>
      </c>
      <c r="BW35" s="58">
        <f t="shared" si="238"/>
        <v>10.208379785698865</v>
      </c>
      <c r="BX35" s="58">
        <f t="shared" si="238"/>
        <v>9.0291163832388399</v>
      </c>
      <c r="BY35" s="57"/>
    </row>
    <row r="36" spans="2:77" s="67" customFormat="1" x14ac:dyDescent="0.25">
      <c r="B36" s="65" t="s">
        <v>126</v>
      </c>
      <c r="C36" s="117"/>
      <c r="D36" s="352">
        <f>D34+D31</f>
        <v>6.6333333333333337</v>
      </c>
      <c r="E36" s="61">
        <f>E34+E31</f>
        <v>5.574583333333333</v>
      </c>
      <c r="F36" s="74">
        <f t="shared" ref="F36:BQ36" si="239">F34+F31</f>
        <v>4.5158333333333323</v>
      </c>
      <c r="G36" s="61">
        <f t="shared" si="239"/>
        <v>3.457083333333332</v>
      </c>
      <c r="H36" s="61">
        <f t="shared" si="239"/>
        <v>2.3983333333333321</v>
      </c>
      <c r="I36" s="61">
        <f t="shared" si="239"/>
        <v>1.339583333333332</v>
      </c>
      <c r="J36" s="61">
        <f t="shared" si="239"/>
        <v>0.28083333333333199</v>
      </c>
      <c r="K36" s="61">
        <f t="shared" si="239"/>
        <v>0.79552083333333201</v>
      </c>
      <c r="L36" s="61">
        <f t="shared" si="239"/>
        <v>1.3102083333333321</v>
      </c>
      <c r="M36" s="61">
        <f t="shared" si="239"/>
        <v>1.8248958333333323</v>
      </c>
      <c r="N36" s="61">
        <f t="shared" si="239"/>
        <v>2.5395833333333324</v>
      </c>
      <c r="O36" s="61">
        <f t="shared" si="239"/>
        <v>3.2542708333333321</v>
      </c>
      <c r="P36" s="61">
        <f t="shared" si="239"/>
        <v>3.9689583333333318</v>
      </c>
      <c r="Q36" s="61">
        <f t="shared" si="239"/>
        <v>4.6836458333333324</v>
      </c>
      <c r="R36" s="61">
        <f t="shared" si="239"/>
        <v>5.3983333333333325</v>
      </c>
      <c r="S36" s="61">
        <f t="shared" si="239"/>
        <v>6.1130208333333327</v>
      </c>
      <c r="T36" s="61">
        <f t="shared" si="239"/>
        <v>6.8277083333333328</v>
      </c>
      <c r="U36" s="61">
        <f t="shared" si="239"/>
        <v>7.542395833333333</v>
      </c>
      <c r="V36" s="61">
        <f t="shared" si="239"/>
        <v>8.2570833333333322</v>
      </c>
      <c r="W36" s="61">
        <f t="shared" si="239"/>
        <v>8.7717708333333331</v>
      </c>
      <c r="X36" s="61">
        <f t="shared" si="239"/>
        <v>9.2864583333333339</v>
      </c>
      <c r="Y36" s="61">
        <f t="shared" si="239"/>
        <v>9.8011458333333348</v>
      </c>
      <c r="Z36" s="61">
        <f t="shared" si="239"/>
        <v>10.315833333333336</v>
      </c>
      <c r="AA36" s="61">
        <f t="shared" si="239"/>
        <v>9.2570833333333375</v>
      </c>
      <c r="AB36" s="61">
        <f t="shared" si="239"/>
        <v>8.1983333333333395</v>
      </c>
      <c r="AC36" s="73">
        <f t="shared" si="239"/>
        <v>7.1395833333333387</v>
      </c>
      <c r="AD36" s="61">
        <f t="shared" si="239"/>
        <v>6.080833333333338</v>
      </c>
      <c r="AE36" s="61">
        <f t="shared" si="239"/>
        <v>5.0220833333333372</v>
      </c>
      <c r="AF36" s="61">
        <f t="shared" si="239"/>
        <v>3.9633333333333369</v>
      </c>
      <c r="AG36" s="61">
        <f t="shared" si="239"/>
        <v>2.9045833333333371</v>
      </c>
      <c r="AH36" s="61">
        <f t="shared" si="239"/>
        <v>1.845833333333337</v>
      </c>
      <c r="AI36" s="61">
        <f t="shared" si="239"/>
        <v>0.78708333333333691</v>
      </c>
      <c r="AJ36" s="61">
        <f t="shared" si="239"/>
        <v>1.3017708333333369</v>
      </c>
      <c r="AK36" s="61">
        <f t="shared" si="239"/>
        <v>1.8164583333333371</v>
      </c>
      <c r="AL36" s="61">
        <f t="shared" si="239"/>
        <v>2.531145833333337</v>
      </c>
      <c r="AM36" s="61">
        <f t="shared" si="239"/>
        <v>3.2458333333333367</v>
      </c>
      <c r="AN36" s="61">
        <f t="shared" si="239"/>
        <v>3.9605208333333364</v>
      </c>
      <c r="AO36" s="61">
        <f t="shared" si="239"/>
        <v>4.6752083333333365</v>
      </c>
      <c r="AP36" s="61">
        <f t="shared" si="239"/>
        <v>5.3898958333333367</v>
      </c>
      <c r="AQ36" s="61">
        <f t="shared" si="239"/>
        <v>6.1045833333333368</v>
      </c>
      <c r="AR36" s="61">
        <f t="shared" si="239"/>
        <v>6.8192708333333369</v>
      </c>
      <c r="AS36" s="61">
        <f t="shared" si="239"/>
        <v>7.5339583333333371</v>
      </c>
      <c r="AT36" s="61">
        <f t="shared" si="239"/>
        <v>8.2486458333333363</v>
      </c>
      <c r="AU36" s="61">
        <f t="shared" si="239"/>
        <v>8.7633333333333372</v>
      </c>
      <c r="AV36" s="61">
        <f t="shared" si="239"/>
        <v>9.278020833333338</v>
      </c>
      <c r="AW36" s="61">
        <f t="shared" si="239"/>
        <v>9.7927083333333389</v>
      </c>
      <c r="AX36" s="61">
        <f t="shared" si="239"/>
        <v>10.30739583333334</v>
      </c>
      <c r="AY36" s="61">
        <f t="shared" si="239"/>
        <v>9.2486458333333417</v>
      </c>
      <c r="AZ36" s="61">
        <f t="shared" si="239"/>
        <v>8.1898958333333436</v>
      </c>
      <c r="BA36" s="73">
        <f t="shared" si="239"/>
        <v>7.1311458333333428</v>
      </c>
      <c r="BB36" s="61">
        <f t="shared" si="239"/>
        <v>6.0723958333333421</v>
      </c>
      <c r="BC36" s="61">
        <f t="shared" si="239"/>
        <v>5.0136458333333414</v>
      </c>
      <c r="BD36" s="61">
        <f t="shared" si="239"/>
        <v>3.954895833333341</v>
      </c>
      <c r="BE36" s="61">
        <f t="shared" si="239"/>
        <v>2.8961458333333412</v>
      </c>
      <c r="BF36" s="61">
        <f t="shared" si="239"/>
        <v>1.8373958333333411</v>
      </c>
      <c r="BG36" s="61">
        <f t="shared" si="239"/>
        <v>0.77864583333334103</v>
      </c>
      <c r="BH36" s="61">
        <f t="shared" si="239"/>
        <v>1.293333333333341</v>
      </c>
      <c r="BI36" s="61">
        <f t="shared" si="239"/>
        <v>1.8080208333333412</v>
      </c>
      <c r="BJ36" s="61">
        <f t="shared" si="239"/>
        <v>2.5227083333333411</v>
      </c>
      <c r="BK36" s="61">
        <f t="shared" si="239"/>
        <v>3.2373958333333408</v>
      </c>
      <c r="BL36" s="61">
        <f t="shared" si="239"/>
        <v>3.9520833333333405</v>
      </c>
      <c r="BM36" s="61">
        <f t="shared" si="239"/>
        <v>4.6667708333333406</v>
      </c>
      <c r="BN36" s="61">
        <f t="shared" si="239"/>
        <v>5.3814583333333408</v>
      </c>
      <c r="BO36" s="61">
        <f t="shared" si="239"/>
        <v>6.0961458333333409</v>
      </c>
      <c r="BP36" s="61">
        <f t="shared" si="239"/>
        <v>6.8108333333333411</v>
      </c>
      <c r="BQ36" s="61">
        <f t="shared" si="239"/>
        <v>7.5255208333333412</v>
      </c>
      <c r="BR36" s="61">
        <f t="shared" ref="BR36:BX36" si="240">BR34+BR31</f>
        <v>8.2402083333333405</v>
      </c>
      <c r="BS36" s="61">
        <f t="shared" si="240"/>
        <v>8.7548958333333413</v>
      </c>
      <c r="BT36" s="61">
        <f t="shared" si="240"/>
        <v>9.2695833333333422</v>
      </c>
      <c r="BU36" s="61">
        <f t="shared" si="240"/>
        <v>9.784270833333343</v>
      </c>
      <c r="BV36" s="61">
        <f t="shared" si="240"/>
        <v>10.298958333333344</v>
      </c>
      <c r="BW36" s="61">
        <f t="shared" si="240"/>
        <v>9.2402083333333458</v>
      </c>
      <c r="BX36" s="61">
        <f t="shared" si="240"/>
        <v>8.1814583333333477</v>
      </c>
      <c r="BY36" s="61"/>
    </row>
    <row r="37" spans="2:77" x14ac:dyDescent="0.25">
      <c r="B37" s="54" t="s">
        <v>92</v>
      </c>
      <c r="D37" s="331" t="s">
        <v>93</v>
      </c>
      <c r="E37" s="61"/>
      <c r="F37" s="74"/>
      <c r="G37" s="74"/>
      <c r="H37" s="74"/>
      <c r="I37" s="74"/>
      <c r="J37" s="74"/>
      <c r="K37" s="74"/>
      <c r="L37" s="74" t="s">
        <v>94</v>
      </c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 t="s">
        <v>95</v>
      </c>
      <c r="AA37" s="74"/>
      <c r="AB37" s="74"/>
      <c r="AC37" s="73"/>
      <c r="AD37" s="74"/>
      <c r="AE37" s="74"/>
      <c r="AF37" s="74"/>
      <c r="AG37" s="74"/>
      <c r="AH37" s="74"/>
      <c r="AI37" s="74"/>
      <c r="AJ37" s="74" t="s">
        <v>94</v>
      </c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 t="s">
        <v>95</v>
      </c>
      <c r="AY37" s="74"/>
      <c r="AZ37" s="74"/>
      <c r="BA37" s="73"/>
      <c r="BB37" s="74"/>
      <c r="BC37" s="74"/>
      <c r="BD37" s="74"/>
      <c r="BE37" s="74"/>
      <c r="BF37" s="74"/>
      <c r="BG37" s="74"/>
      <c r="BH37" s="74" t="s">
        <v>94</v>
      </c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 t="s">
        <v>95</v>
      </c>
      <c r="BW37" s="74"/>
      <c r="BX37" s="74"/>
      <c r="BY37" s="73"/>
    </row>
    <row r="38" spans="2:77" s="64" customFormat="1" ht="15.75" thickBot="1" x14ac:dyDescent="0.3">
      <c r="B38" s="62" t="s">
        <v>96</v>
      </c>
      <c r="C38" s="113"/>
      <c r="D38" s="336" t="s">
        <v>97</v>
      </c>
      <c r="E38" s="63" t="str">
        <f t="shared" ref="E38:AJ38" si="241">IF(D38="T",IF(E36&lt;=1,"B",IF(E37="KB",IF(E36&lt;=2,"B","T"),"T")),IF(E37="KT",IF(D38="B",IF(E36&gt;=8,"T","B")),IF(D38="B",IF(E36&gt;=10,"T","B"))))</f>
        <v>T</v>
      </c>
      <c r="F38" s="63" t="str">
        <f t="shared" si="241"/>
        <v>T</v>
      </c>
      <c r="G38" s="63" t="str">
        <f t="shared" si="241"/>
        <v>T</v>
      </c>
      <c r="H38" s="63" t="str">
        <f t="shared" si="241"/>
        <v>T</v>
      </c>
      <c r="I38" s="63" t="str">
        <f t="shared" si="241"/>
        <v>T</v>
      </c>
      <c r="J38" s="63" t="str">
        <f t="shared" si="241"/>
        <v>B</v>
      </c>
      <c r="K38" s="63" t="str">
        <f t="shared" si="241"/>
        <v>B</v>
      </c>
      <c r="L38" s="63" t="str">
        <f t="shared" si="241"/>
        <v>B</v>
      </c>
      <c r="M38" s="63" t="str">
        <f t="shared" si="241"/>
        <v>B</v>
      </c>
      <c r="N38" s="63" t="str">
        <f t="shared" si="241"/>
        <v>B</v>
      </c>
      <c r="O38" s="63" t="str">
        <f t="shared" si="241"/>
        <v>B</v>
      </c>
      <c r="P38" s="63" t="str">
        <f t="shared" si="241"/>
        <v>B</v>
      </c>
      <c r="Q38" s="63" t="str">
        <f t="shared" si="241"/>
        <v>B</v>
      </c>
      <c r="R38" s="63" t="str">
        <f t="shared" si="241"/>
        <v>B</v>
      </c>
      <c r="S38" s="63" t="str">
        <f t="shared" si="241"/>
        <v>B</v>
      </c>
      <c r="T38" s="63" t="str">
        <f t="shared" si="241"/>
        <v>B</v>
      </c>
      <c r="U38" s="63" t="str">
        <f t="shared" si="241"/>
        <v>B</v>
      </c>
      <c r="V38" s="63" t="str">
        <f t="shared" si="241"/>
        <v>B</v>
      </c>
      <c r="W38" s="63" t="str">
        <f t="shared" si="241"/>
        <v>B</v>
      </c>
      <c r="X38" s="63" t="str">
        <f t="shared" si="241"/>
        <v>B</v>
      </c>
      <c r="Y38" s="63" t="str">
        <f t="shared" si="241"/>
        <v>B</v>
      </c>
      <c r="Z38" s="63" t="str">
        <f t="shared" si="241"/>
        <v>T</v>
      </c>
      <c r="AA38" s="63" t="str">
        <f t="shared" si="241"/>
        <v>T</v>
      </c>
      <c r="AB38" s="63" t="str">
        <f t="shared" si="241"/>
        <v>T</v>
      </c>
      <c r="AC38" s="92" t="str">
        <f t="shared" si="241"/>
        <v>T</v>
      </c>
      <c r="AD38" s="63" t="str">
        <f t="shared" si="241"/>
        <v>T</v>
      </c>
      <c r="AE38" s="63" t="str">
        <f t="shared" si="241"/>
        <v>T</v>
      </c>
      <c r="AF38" s="63" t="str">
        <f t="shared" si="241"/>
        <v>T</v>
      </c>
      <c r="AG38" s="63" t="str">
        <f t="shared" si="241"/>
        <v>T</v>
      </c>
      <c r="AH38" s="63" t="str">
        <f t="shared" si="241"/>
        <v>T</v>
      </c>
      <c r="AI38" s="63" t="str">
        <f t="shared" si="241"/>
        <v>B</v>
      </c>
      <c r="AJ38" s="63" t="str">
        <f t="shared" si="241"/>
        <v>B</v>
      </c>
      <c r="AK38" s="63" t="str">
        <f t="shared" ref="AK38:BP38" si="242">IF(AJ38="T",IF(AK36&lt;=1,"B",IF(AK37="KB",IF(AK36&lt;=2,"B","T"),"T")),IF(AK37="KT",IF(AJ38="B",IF(AK36&gt;=8,"T","B")),IF(AJ38="B",IF(AK36&gt;=10,"T","B"))))</f>
        <v>B</v>
      </c>
      <c r="AL38" s="63" t="str">
        <f t="shared" si="242"/>
        <v>B</v>
      </c>
      <c r="AM38" s="63" t="str">
        <f t="shared" si="242"/>
        <v>B</v>
      </c>
      <c r="AN38" s="63" t="str">
        <f t="shared" si="242"/>
        <v>B</v>
      </c>
      <c r="AO38" s="63" t="str">
        <f t="shared" si="242"/>
        <v>B</v>
      </c>
      <c r="AP38" s="63" t="str">
        <f t="shared" si="242"/>
        <v>B</v>
      </c>
      <c r="AQ38" s="63" t="str">
        <f t="shared" si="242"/>
        <v>B</v>
      </c>
      <c r="AR38" s="63" t="str">
        <f t="shared" si="242"/>
        <v>B</v>
      </c>
      <c r="AS38" s="63" t="str">
        <f t="shared" si="242"/>
        <v>B</v>
      </c>
      <c r="AT38" s="63" t="str">
        <f t="shared" si="242"/>
        <v>B</v>
      </c>
      <c r="AU38" s="63" t="str">
        <f t="shared" si="242"/>
        <v>B</v>
      </c>
      <c r="AV38" s="63" t="str">
        <f t="shared" si="242"/>
        <v>B</v>
      </c>
      <c r="AW38" s="63" t="str">
        <f t="shared" si="242"/>
        <v>B</v>
      </c>
      <c r="AX38" s="63" t="str">
        <f t="shared" si="242"/>
        <v>T</v>
      </c>
      <c r="AY38" s="63" t="str">
        <f t="shared" si="242"/>
        <v>T</v>
      </c>
      <c r="AZ38" s="63" t="str">
        <f t="shared" si="242"/>
        <v>T</v>
      </c>
      <c r="BA38" s="92" t="str">
        <f t="shared" si="242"/>
        <v>T</v>
      </c>
      <c r="BB38" s="63" t="str">
        <f t="shared" si="242"/>
        <v>T</v>
      </c>
      <c r="BC38" s="63" t="str">
        <f t="shared" si="242"/>
        <v>T</v>
      </c>
      <c r="BD38" s="63" t="str">
        <f t="shared" si="242"/>
        <v>T</v>
      </c>
      <c r="BE38" s="63" t="str">
        <f t="shared" si="242"/>
        <v>T</v>
      </c>
      <c r="BF38" s="63" t="str">
        <f t="shared" si="242"/>
        <v>T</v>
      </c>
      <c r="BG38" s="63" t="str">
        <f t="shared" si="242"/>
        <v>B</v>
      </c>
      <c r="BH38" s="63" t="str">
        <f t="shared" si="242"/>
        <v>B</v>
      </c>
      <c r="BI38" s="63" t="str">
        <f t="shared" si="242"/>
        <v>B</v>
      </c>
      <c r="BJ38" s="63" t="str">
        <f t="shared" si="242"/>
        <v>B</v>
      </c>
      <c r="BK38" s="63" t="str">
        <f t="shared" si="242"/>
        <v>B</v>
      </c>
      <c r="BL38" s="63" t="str">
        <f t="shared" si="242"/>
        <v>B</v>
      </c>
      <c r="BM38" s="63" t="str">
        <f t="shared" si="242"/>
        <v>B</v>
      </c>
      <c r="BN38" s="63" t="str">
        <f t="shared" si="242"/>
        <v>B</v>
      </c>
      <c r="BO38" s="63" t="str">
        <f t="shared" si="242"/>
        <v>B</v>
      </c>
      <c r="BP38" s="63" t="str">
        <f t="shared" si="242"/>
        <v>B</v>
      </c>
      <c r="BQ38" s="63" t="str">
        <f t="shared" ref="BQ38:BX38" si="243">IF(BP38="T",IF(BQ36&lt;=1,"B",IF(BQ37="KB",IF(BQ36&lt;=2,"B","T"),"T")),IF(BQ37="KT",IF(BP38="B",IF(BQ36&gt;=8,"T","B")),IF(BP38="B",IF(BQ36&gt;=10,"T","B"))))</f>
        <v>B</v>
      </c>
      <c r="BR38" s="63" t="str">
        <f t="shared" si="243"/>
        <v>B</v>
      </c>
      <c r="BS38" s="63" t="str">
        <f t="shared" si="243"/>
        <v>B</v>
      </c>
      <c r="BT38" s="63" t="str">
        <f t="shared" si="243"/>
        <v>B</v>
      </c>
      <c r="BU38" s="63" t="str">
        <f t="shared" si="243"/>
        <v>B</v>
      </c>
      <c r="BV38" s="63" t="str">
        <f t="shared" si="243"/>
        <v>T</v>
      </c>
      <c r="BW38" s="63" t="str">
        <f t="shared" si="243"/>
        <v>T</v>
      </c>
      <c r="BX38" s="63" t="str">
        <f t="shared" si="243"/>
        <v>T</v>
      </c>
      <c r="BY38" s="63"/>
    </row>
    <row r="39" spans="2:77" s="67" customFormat="1" x14ac:dyDescent="0.25">
      <c r="B39" s="65"/>
      <c r="C39" s="117"/>
      <c r="D39" s="337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57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57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</row>
    <row r="40" spans="2:77" x14ac:dyDescent="0.25">
      <c r="B40" s="70" t="s">
        <v>395</v>
      </c>
      <c r="C40" s="111"/>
      <c r="E40" s="90">
        <v>4.1666666666666664E-2</v>
      </c>
      <c r="F40" s="72">
        <v>8.3333333333333301E-2</v>
      </c>
      <c r="G40" s="72">
        <v>0.125</v>
      </c>
      <c r="H40" s="72">
        <v>0.16666666666666699</v>
      </c>
      <c r="I40" s="72">
        <v>0.20833333333333301</v>
      </c>
      <c r="J40" s="72">
        <v>0.25</v>
      </c>
      <c r="K40" s="72">
        <v>0.29166666666666702</v>
      </c>
      <c r="L40" s="72">
        <v>0.33333333333333298</v>
      </c>
      <c r="M40" s="72">
        <v>0.375</v>
      </c>
      <c r="N40" s="72">
        <v>0.41666666666666702</v>
      </c>
      <c r="O40" s="72">
        <v>0.45833333333333298</v>
      </c>
      <c r="P40" s="72">
        <v>0.5</v>
      </c>
      <c r="Q40" s="72">
        <v>0.54166666666666696</v>
      </c>
      <c r="R40" s="72">
        <v>0.58333333333333304</v>
      </c>
      <c r="S40" s="72">
        <v>0.625</v>
      </c>
      <c r="T40" s="72">
        <v>0.66666666666666696</v>
      </c>
      <c r="U40" s="72">
        <v>0.70833333333333304</v>
      </c>
      <c r="V40" s="72">
        <v>0.75</v>
      </c>
      <c r="W40" s="72">
        <v>0.79166666666666696</v>
      </c>
      <c r="X40" s="72">
        <v>0.83333333333333304</v>
      </c>
      <c r="Y40" s="72">
        <v>0.875</v>
      </c>
      <c r="Z40" s="72">
        <v>0.91666666666666696</v>
      </c>
      <c r="AA40" s="72">
        <v>0.95833333333333404</v>
      </c>
      <c r="AB40" s="72">
        <v>1</v>
      </c>
      <c r="AC40" s="71">
        <v>1.0416666666666701</v>
      </c>
      <c r="AD40" s="72">
        <v>1.0833333333333299</v>
      </c>
      <c r="AE40" s="72">
        <v>0.125</v>
      </c>
      <c r="AF40" s="72">
        <v>0.16666666666666699</v>
      </c>
      <c r="AG40" s="72">
        <v>0.20833333333333301</v>
      </c>
      <c r="AH40" s="72">
        <v>0.25</v>
      </c>
      <c r="AI40" s="72">
        <v>0.29166666666666702</v>
      </c>
      <c r="AJ40" s="72">
        <v>0.33333333333333298</v>
      </c>
      <c r="AK40" s="72">
        <v>0.375</v>
      </c>
      <c r="AL40" s="72">
        <v>0.41666666666666702</v>
      </c>
      <c r="AM40" s="72">
        <v>0.45833333333333298</v>
      </c>
      <c r="AN40" s="72">
        <v>0.5</v>
      </c>
      <c r="AO40" s="72">
        <v>0.54166666666666696</v>
      </c>
      <c r="AP40" s="72">
        <v>0.58333333333333304</v>
      </c>
      <c r="AQ40" s="72">
        <v>0.625</v>
      </c>
      <c r="AR40" s="72">
        <v>0.66666666666666696</v>
      </c>
      <c r="AS40" s="72">
        <v>0.70833333333333304</v>
      </c>
      <c r="AT40" s="72">
        <v>0.75</v>
      </c>
      <c r="AU40" s="72">
        <v>0.79166666666666696</v>
      </c>
      <c r="AV40" s="72">
        <v>0.83333333333333304</v>
      </c>
      <c r="AW40" s="72">
        <v>0.875</v>
      </c>
      <c r="AX40" s="72">
        <v>0.91666666666666696</v>
      </c>
      <c r="AY40" s="72">
        <v>0.95833333333333404</v>
      </c>
      <c r="AZ40" s="72">
        <v>1</v>
      </c>
      <c r="BA40" s="71">
        <v>1.0416666666666701</v>
      </c>
      <c r="BB40" s="72">
        <v>1.0833333333333299</v>
      </c>
      <c r="BC40" s="72">
        <v>0.125</v>
      </c>
      <c r="BD40" s="72">
        <v>0.16666666666666699</v>
      </c>
      <c r="BE40" s="72">
        <v>0.20833333333333301</v>
      </c>
      <c r="BF40" s="72">
        <v>0.25</v>
      </c>
      <c r="BG40" s="72">
        <v>0.29166666666666702</v>
      </c>
      <c r="BH40" s="72">
        <v>0.33333333333333298</v>
      </c>
      <c r="BI40" s="72">
        <v>0.375</v>
      </c>
      <c r="BJ40" s="72">
        <v>0.41666666666666702</v>
      </c>
      <c r="BK40" s="72">
        <v>0.45833333333333298</v>
      </c>
      <c r="BL40" s="72">
        <v>0.5</v>
      </c>
      <c r="BM40" s="72">
        <v>0.54166666666666696</v>
      </c>
      <c r="BN40" s="72">
        <v>0.58333333333333304</v>
      </c>
      <c r="BO40" s="72">
        <v>0.625</v>
      </c>
      <c r="BP40" s="72">
        <v>0.66666666666666696</v>
      </c>
      <c r="BQ40" s="72">
        <v>0.70833333333333304</v>
      </c>
      <c r="BR40" s="72">
        <v>0.75</v>
      </c>
      <c r="BS40" s="72">
        <v>0.79166666666666696</v>
      </c>
      <c r="BT40" s="72">
        <v>0.83333333333333304</v>
      </c>
      <c r="BU40" s="72">
        <v>0.875</v>
      </c>
      <c r="BV40" s="72">
        <v>0.91666666666666696</v>
      </c>
      <c r="BW40" s="72">
        <v>0.95833333333333404</v>
      </c>
      <c r="BX40" s="72">
        <v>1</v>
      </c>
      <c r="BY40" s="71"/>
    </row>
    <row r="41" spans="2:77" x14ac:dyDescent="0.25">
      <c r="B41" s="54" t="s">
        <v>138</v>
      </c>
      <c r="D41" s="382">
        <v>1164.58</v>
      </c>
      <c r="E41" s="61">
        <f>D45+D47-E42</f>
        <v>1098.2721875</v>
      </c>
      <c r="F41" s="61">
        <f t="shared" ref="F41:BQ41" si="244">E45+E47-F42</f>
        <v>1082.4781770833333</v>
      </c>
      <c r="G41" s="61">
        <f t="shared" si="244"/>
        <v>1066.6841666666667</v>
      </c>
      <c r="H41" s="61">
        <f t="shared" si="244"/>
        <v>1050.89015625</v>
      </c>
      <c r="I41" s="61">
        <f t="shared" si="244"/>
        <v>1035.0961458333334</v>
      </c>
      <c r="J41" s="61">
        <f t="shared" si="244"/>
        <v>1019.3021354166666</v>
      </c>
      <c r="K41" s="61">
        <f t="shared" si="244"/>
        <v>981.67218749999995</v>
      </c>
      <c r="L41" s="61">
        <f t="shared" si="244"/>
        <v>920.49614583333323</v>
      </c>
      <c r="M41" s="61">
        <f t="shared" si="244"/>
        <v>1325.1501041666666</v>
      </c>
      <c r="N41" s="61">
        <f t="shared" si="244"/>
        <v>1263.8740625</v>
      </c>
      <c r="O41" s="61">
        <f t="shared" si="244"/>
        <v>1202.5980208333335</v>
      </c>
      <c r="P41" s="61">
        <f t="shared" si="244"/>
        <v>1141.321979166667</v>
      </c>
      <c r="Q41" s="61">
        <f t="shared" si="244"/>
        <v>1312.9719375000004</v>
      </c>
      <c r="R41" s="61">
        <f t="shared" si="244"/>
        <v>1251.6958958333339</v>
      </c>
      <c r="S41" s="61">
        <f t="shared" si="244"/>
        <v>1190.4198541666674</v>
      </c>
      <c r="T41" s="61">
        <f t="shared" si="244"/>
        <v>1129.1438125000009</v>
      </c>
      <c r="U41" s="61">
        <f t="shared" si="244"/>
        <v>1067.8677708333344</v>
      </c>
      <c r="V41" s="61">
        <f t="shared" si="244"/>
        <v>1006.5917291666677</v>
      </c>
      <c r="W41" s="61">
        <f t="shared" si="244"/>
        <v>945.3156875000011</v>
      </c>
      <c r="X41" s="61">
        <f t="shared" si="244"/>
        <v>1349.9696458333344</v>
      </c>
      <c r="Y41" s="61">
        <f t="shared" si="244"/>
        <v>1288.7936041666678</v>
      </c>
      <c r="Z41" s="61">
        <f t="shared" si="244"/>
        <v>1227.6175625000012</v>
      </c>
      <c r="AA41" s="61">
        <f t="shared" si="244"/>
        <v>1188.2774583333346</v>
      </c>
      <c r="AB41" s="61">
        <f t="shared" si="244"/>
        <v>1172.483447916668</v>
      </c>
      <c r="AC41" s="61">
        <f t="shared" si="244"/>
        <v>1156.6894375000013</v>
      </c>
      <c r="AD41" s="61">
        <f t="shared" si="244"/>
        <v>1140.8954270833347</v>
      </c>
      <c r="AE41" s="61">
        <f t="shared" si="244"/>
        <v>1125.101416666668</v>
      </c>
      <c r="AF41" s="61">
        <f t="shared" si="244"/>
        <v>1109.3074062500013</v>
      </c>
      <c r="AG41" s="61">
        <f t="shared" si="244"/>
        <v>1093.5133958333347</v>
      </c>
      <c r="AH41" s="61">
        <f t="shared" si="244"/>
        <v>1077.719385416668</v>
      </c>
      <c r="AI41" s="61">
        <f t="shared" si="244"/>
        <v>1061.9253750000014</v>
      </c>
      <c r="AJ41" s="61">
        <f t="shared" si="244"/>
        <v>1023.8954270833345</v>
      </c>
      <c r="AK41" s="61">
        <f t="shared" si="244"/>
        <v>1195.645385416668</v>
      </c>
      <c r="AL41" s="61">
        <f t="shared" si="244"/>
        <v>1134.3693437500015</v>
      </c>
      <c r="AM41" s="61">
        <f t="shared" si="244"/>
        <v>1073.0933020833349</v>
      </c>
      <c r="AN41" s="61">
        <f t="shared" si="244"/>
        <v>1011.8172604166683</v>
      </c>
      <c r="AO41" s="61">
        <f t="shared" si="244"/>
        <v>1183.4672187500018</v>
      </c>
      <c r="AP41" s="61">
        <f t="shared" si="244"/>
        <v>1122.1911770833353</v>
      </c>
      <c r="AQ41" s="61">
        <f t="shared" si="244"/>
        <v>1060.9151354166688</v>
      </c>
      <c r="AR41" s="61">
        <f t="shared" si="244"/>
        <v>999.63909375000219</v>
      </c>
      <c r="AS41" s="61">
        <f t="shared" si="244"/>
        <v>938.36305208333556</v>
      </c>
      <c r="AT41" s="61">
        <f t="shared" si="244"/>
        <v>1342.917010416669</v>
      </c>
      <c r="AU41" s="61">
        <f t="shared" si="244"/>
        <v>1281.6409687500025</v>
      </c>
      <c r="AV41" s="61">
        <f t="shared" si="244"/>
        <v>1220.4649270833359</v>
      </c>
      <c r="AW41" s="61">
        <f t="shared" si="244"/>
        <v>1159.2888854166692</v>
      </c>
      <c r="AX41" s="61">
        <f t="shared" si="244"/>
        <v>1098.1128437500026</v>
      </c>
      <c r="AY41" s="61">
        <f t="shared" si="244"/>
        <v>1058.772739583336</v>
      </c>
      <c r="AZ41" s="61">
        <f t="shared" si="244"/>
        <v>1042.9787291666694</v>
      </c>
      <c r="BA41" s="61">
        <f t="shared" si="244"/>
        <v>1027.1847187500027</v>
      </c>
      <c r="BB41" s="61">
        <f t="shared" si="244"/>
        <v>1011.3907083333361</v>
      </c>
      <c r="BC41" s="61">
        <f t="shared" si="244"/>
        <v>995.59669791666943</v>
      </c>
      <c r="BD41" s="61">
        <f t="shared" si="244"/>
        <v>979.80268750000278</v>
      </c>
      <c r="BE41" s="61">
        <f t="shared" si="244"/>
        <v>964.00867708333612</v>
      </c>
      <c r="BF41" s="61">
        <f t="shared" si="244"/>
        <v>948.21466666666947</v>
      </c>
      <c r="BG41" s="61">
        <f t="shared" si="244"/>
        <v>932.42065625000282</v>
      </c>
      <c r="BH41" s="61">
        <f t="shared" si="244"/>
        <v>894.79070833333617</v>
      </c>
      <c r="BI41" s="61">
        <f t="shared" si="244"/>
        <v>1299.4446666666695</v>
      </c>
      <c r="BJ41" s="61">
        <f t="shared" si="244"/>
        <v>1238.168625000003</v>
      </c>
      <c r="BK41" s="61">
        <f t="shared" si="244"/>
        <v>1176.8925833333365</v>
      </c>
      <c r="BL41" s="61">
        <f t="shared" si="244"/>
        <v>1115.6165416666699</v>
      </c>
      <c r="BM41" s="61">
        <f t="shared" si="244"/>
        <v>1287.2665000000034</v>
      </c>
      <c r="BN41" s="61">
        <f t="shared" si="244"/>
        <v>1225.9904583333368</v>
      </c>
      <c r="BO41" s="61">
        <f t="shared" si="244"/>
        <v>1164.7144166666703</v>
      </c>
      <c r="BP41" s="61">
        <f t="shared" si="244"/>
        <v>1103.4383750000038</v>
      </c>
      <c r="BQ41" s="61">
        <f t="shared" si="244"/>
        <v>1042.1623333333373</v>
      </c>
      <c r="BR41" s="61">
        <f t="shared" ref="BR41:BX41" si="245">BQ45+BQ47-BR42</f>
        <v>980.88629166667067</v>
      </c>
      <c r="BS41" s="61">
        <f t="shared" si="245"/>
        <v>919.61025000000404</v>
      </c>
      <c r="BT41" s="61">
        <f t="shared" si="245"/>
        <v>1324.2642083333374</v>
      </c>
      <c r="BU41" s="61">
        <f t="shared" si="245"/>
        <v>1263.0881666666708</v>
      </c>
      <c r="BV41" s="61">
        <f t="shared" si="245"/>
        <v>1201.9121250000042</v>
      </c>
      <c r="BW41" s="61">
        <f t="shared" si="245"/>
        <v>1162.5720208333375</v>
      </c>
      <c r="BX41" s="61">
        <f t="shared" si="245"/>
        <v>1146.7780104166709</v>
      </c>
      <c r="BY41" s="73"/>
    </row>
    <row r="42" spans="2:77" s="82" customFormat="1" x14ac:dyDescent="0.25">
      <c r="B42" s="354" t="s">
        <v>98</v>
      </c>
      <c r="C42" s="120"/>
      <c r="D42" s="381">
        <f>1397.5/24</f>
        <v>58.229166666666664</v>
      </c>
      <c r="E42" s="355">
        <f>IF(D38="T",$D$42*0.125,$D$42*0.5)</f>
        <v>7.278645833333333</v>
      </c>
      <c r="F42" s="356">
        <f t="shared" ref="F42:BQ42" si="246">IF(E38="T",$D$42*0.125,$D$42*0.5)</f>
        <v>7.278645833333333</v>
      </c>
      <c r="G42" s="356">
        <f t="shared" si="246"/>
        <v>7.278645833333333</v>
      </c>
      <c r="H42" s="356">
        <f t="shared" si="246"/>
        <v>7.278645833333333</v>
      </c>
      <c r="I42" s="356">
        <f t="shared" si="246"/>
        <v>7.278645833333333</v>
      </c>
      <c r="J42" s="356">
        <f t="shared" si="246"/>
        <v>7.278645833333333</v>
      </c>
      <c r="K42" s="356">
        <f t="shared" si="246"/>
        <v>29.114583333333332</v>
      </c>
      <c r="L42" s="356">
        <f t="shared" si="246"/>
        <v>29.114583333333332</v>
      </c>
      <c r="M42" s="356">
        <f t="shared" si="246"/>
        <v>29.114583333333332</v>
      </c>
      <c r="N42" s="356">
        <f t="shared" si="246"/>
        <v>29.114583333333332</v>
      </c>
      <c r="O42" s="356">
        <f t="shared" si="246"/>
        <v>29.114583333333332</v>
      </c>
      <c r="P42" s="356">
        <f t="shared" si="246"/>
        <v>29.114583333333332</v>
      </c>
      <c r="Q42" s="356">
        <f t="shared" si="246"/>
        <v>29.114583333333332</v>
      </c>
      <c r="R42" s="356">
        <f t="shared" si="246"/>
        <v>29.114583333333332</v>
      </c>
      <c r="S42" s="356">
        <f t="shared" si="246"/>
        <v>29.114583333333332</v>
      </c>
      <c r="T42" s="356">
        <f t="shared" si="246"/>
        <v>29.114583333333332</v>
      </c>
      <c r="U42" s="356">
        <f t="shared" si="246"/>
        <v>29.114583333333332</v>
      </c>
      <c r="V42" s="356">
        <f t="shared" si="246"/>
        <v>29.114583333333332</v>
      </c>
      <c r="W42" s="356">
        <f t="shared" si="246"/>
        <v>29.114583333333332</v>
      </c>
      <c r="X42" s="356">
        <f t="shared" si="246"/>
        <v>29.114583333333332</v>
      </c>
      <c r="Y42" s="356">
        <f t="shared" si="246"/>
        <v>29.114583333333332</v>
      </c>
      <c r="Z42" s="356">
        <f t="shared" si="246"/>
        <v>29.114583333333332</v>
      </c>
      <c r="AA42" s="356">
        <f t="shared" si="246"/>
        <v>7.278645833333333</v>
      </c>
      <c r="AB42" s="356">
        <f t="shared" si="246"/>
        <v>7.278645833333333</v>
      </c>
      <c r="AC42" s="357">
        <f t="shared" si="246"/>
        <v>7.278645833333333</v>
      </c>
      <c r="AD42" s="356">
        <f t="shared" si="246"/>
        <v>7.278645833333333</v>
      </c>
      <c r="AE42" s="356">
        <f t="shared" si="246"/>
        <v>7.278645833333333</v>
      </c>
      <c r="AF42" s="356">
        <f t="shared" si="246"/>
        <v>7.278645833333333</v>
      </c>
      <c r="AG42" s="356">
        <f t="shared" si="246"/>
        <v>7.278645833333333</v>
      </c>
      <c r="AH42" s="356">
        <f t="shared" si="246"/>
        <v>7.278645833333333</v>
      </c>
      <c r="AI42" s="356">
        <f t="shared" si="246"/>
        <v>7.278645833333333</v>
      </c>
      <c r="AJ42" s="356">
        <f t="shared" si="246"/>
        <v>29.114583333333332</v>
      </c>
      <c r="AK42" s="356">
        <f t="shared" si="246"/>
        <v>29.114583333333332</v>
      </c>
      <c r="AL42" s="356">
        <f t="shared" si="246"/>
        <v>29.114583333333332</v>
      </c>
      <c r="AM42" s="356">
        <f t="shared" si="246"/>
        <v>29.114583333333332</v>
      </c>
      <c r="AN42" s="356">
        <f t="shared" si="246"/>
        <v>29.114583333333332</v>
      </c>
      <c r="AO42" s="356">
        <f t="shared" si="246"/>
        <v>29.114583333333332</v>
      </c>
      <c r="AP42" s="356">
        <f t="shared" si="246"/>
        <v>29.114583333333332</v>
      </c>
      <c r="AQ42" s="356">
        <f t="shared" si="246"/>
        <v>29.114583333333332</v>
      </c>
      <c r="AR42" s="356">
        <f t="shared" si="246"/>
        <v>29.114583333333332</v>
      </c>
      <c r="AS42" s="356">
        <f t="shared" si="246"/>
        <v>29.114583333333332</v>
      </c>
      <c r="AT42" s="356">
        <f t="shared" si="246"/>
        <v>29.114583333333332</v>
      </c>
      <c r="AU42" s="356">
        <f t="shared" si="246"/>
        <v>29.114583333333332</v>
      </c>
      <c r="AV42" s="356">
        <f t="shared" si="246"/>
        <v>29.114583333333332</v>
      </c>
      <c r="AW42" s="356">
        <f t="shared" si="246"/>
        <v>29.114583333333332</v>
      </c>
      <c r="AX42" s="356">
        <f t="shared" si="246"/>
        <v>29.114583333333332</v>
      </c>
      <c r="AY42" s="356">
        <f t="shared" si="246"/>
        <v>7.278645833333333</v>
      </c>
      <c r="AZ42" s="356">
        <f t="shared" si="246"/>
        <v>7.278645833333333</v>
      </c>
      <c r="BA42" s="357">
        <f t="shared" si="246"/>
        <v>7.278645833333333</v>
      </c>
      <c r="BB42" s="356">
        <f t="shared" si="246"/>
        <v>7.278645833333333</v>
      </c>
      <c r="BC42" s="356">
        <f t="shared" si="246"/>
        <v>7.278645833333333</v>
      </c>
      <c r="BD42" s="356">
        <f t="shared" si="246"/>
        <v>7.278645833333333</v>
      </c>
      <c r="BE42" s="356">
        <f t="shared" si="246"/>
        <v>7.278645833333333</v>
      </c>
      <c r="BF42" s="356">
        <f t="shared" si="246"/>
        <v>7.278645833333333</v>
      </c>
      <c r="BG42" s="356">
        <f t="shared" si="246"/>
        <v>7.278645833333333</v>
      </c>
      <c r="BH42" s="356">
        <f t="shared" si="246"/>
        <v>29.114583333333332</v>
      </c>
      <c r="BI42" s="356">
        <f t="shared" si="246"/>
        <v>29.114583333333332</v>
      </c>
      <c r="BJ42" s="356">
        <f t="shared" si="246"/>
        <v>29.114583333333332</v>
      </c>
      <c r="BK42" s="356">
        <f t="shared" si="246"/>
        <v>29.114583333333332</v>
      </c>
      <c r="BL42" s="356">
        <f t="shared" si="246"/>
        <v>29.114583333333332</v>
      </c>
      <c r="BM42" s="356">
        <f t="shared" si="246"/>
        <v>29.114583333333332</v>
      </c>
      <c r="BN42" s="356">
        <f t="shared" si="246"/>
        <v>29.114583333333332</v>
      </c>
      <c r="BO42" s="356">
        <f t="shared" si="246"/>
        <v>29.114583333333332</v>
      </c>
      <c r="BP42" s="356">
        <f t="shared" si="246"/>
        <v>29.114583333333332</v>
      </c>
      <c r="BQ42" s="356">
        <f t="shared" si="246"/>
        <v>29.114583333333332</v>
      </c>
      <c r="BR42" s="356">
        <f t="shared" ref="BR42:BX42" si="247">IF(BQ38="T",$D$42*0.125,$D$42*0.5)</f>
        <v>29.114583333333332</v>
      </c>
      <c r="BS42" s="356">
        <f t="shared" si="247"/>
        <v>29.114583333333332</v>
      </c>
      <c r="BT42" s="356">
        <f t="shared" si="247"/>
        <v>29.114583333333332</v>
      </c>
      <c r="BU42" s="356">
        <f t="shared" si="247"/>
        <v>29.114583333333332</v>
      </c>
      <c r="BV42" s="356">
        <f t="shared" si="247"/>
        <v>29.114583333333332</v>
      </c>
      <c r="BW42" s="356">
        <f t="shared" si="247"/>
        <v>7.278645833333333</v>
      </c>
      <c r="BX42" s="356">
        <f t="shared" si="247"/>
        <v>7.278645833333333</v>
      </c>
      <c r="BY42" s="357"/>
    </row>
    <row r="43" spans="2:77" s="329" customFormat="1" x14ac:dyDescent="0.25">
      <c r="B43" s="358" t="s">
        <v>88</v>
      </c>
      <c r="C43" s="359"/>
      <c r="D43" s="360">
        <v>0.8</v>
      </c>
      <c r="E43" s="361">
        <v>0.8</v>
      </c>
      <c r="F43" s="329">
        <v>0.8</v>
      </c>
      <c r="G43" s="329">
        <v>0.8</v>
      </c>
      <c r="H43" s="329">
        <v>0.8</v>
      </c>
      <c r="I43" s="329">
        <v>0.8</v>
      </c>
      <c r="J43" s="329">
        <v>0.8</v>
      </c>
      <c r="K43" s="329">
        <v>1.2</v>
      </c>
      <c r="L43" s="329">
        <v>1.2</v>
      </c>
      <c r="M43" s="329">
        <v>1.3</v>
      </c>
      <c r="N43" s="329">
        <v>1.3</v>
      </c>
      <c r="O43" s="329">
        <v>1.3</v>
      </c>
      <c r="P43" s="329">
        <v>1.3</v>
      </c>
      <c r="Q43" s="329">
        <v>1.3</v>
      </c>
      <c r="R43" s="329">
        <v>1.3</v>
      </c>
      <c r="S43" s="329">
        <v>1.3</v>
      </c>
      <c r="T43" s="329">
        <v>1.3</v>
      </c>
      <c r="U43" s="329">
        <v>1.3</v>
      </c>
      <c r="V43" s="329">
        <v>1.3</v>
      </c>
      <c r="W43" s="329">
        <v>1.2</v>
      </c>
      <c r="X43" s="329">
        <v>1.2</v>
      </c>
      <c r="Y43" s="329">
        <v>1.2</v>
      </c>
      <c r="Z43" s="329">
        <v>1.2</v>
      </c>
      <c r="AA43" s="329">
        <v>0.8</v>
      </c>
      <c r="AB43" s="329">
        <v>0.8</v>
      </c>
      <c r="AC43" s="361">
        <v>0.8</v>
      </c>
      <c r="AD43" s="329">
        <v>0.8</v>
      </c>
      <c r="AE43" s="329">
        <v>0.8</v>
      </c>
      <c r="AF43" s="329">
        <v>0.8</v>
      </c>
      <c r="AG43" s="329">
        <v>0.8</v>
      </c>
      <c r="AH43" s="329">
        <v>0.8</v>
      </c>
      <c r="AI43" s="329">
        <v>1.2</v>
      </c>
      <c r="AJ43" s="329">
        <v>1.2</v>
      </c>
      <c r="AK43" s="329">
        <v>1.3</v>
      </c>
      <c r="AL43" s="329">
        <v>1.3</v>
      </c>
      <c r="AM43" s="329">
        <v>1.3</v>
      </c>
      <c r="AN43" s="329">
        <v>1.3</v>
      </c>
      <c r="AO43" s="329">
        <v>1.3</v>
      </c>
      <c r="AP43" s="329">
        <v>1.3</v>
      </c>
      <c r="AQ43" s="329">
        <v>1.3</v>
      </c>
      <c r="AR43" s="329">
        <v>1.3</v>
      </c>
      <c r="AS43" s="329">
        <v>1.3</v>
      </c>
      <c r="AT43" s="329">
        <v>1.3</v>
      </c>
      <c r="AU43" s="329">
        <v>1.2</v>
      </c>
      <c r="AV43" s="329">
        <v>1.2</v>
      </c>
      <c r="AW43" s="329">
        <v>1.2</v>
      </c>
      <c r="AX43" s="329">
        <v>1.2</v>
      </c>
      <c r="AY43" s="329">
        <v>0.8</v>
      </c>
      <c r="AZ43" s="329">
        <v>0.8</v>
      </c>
      <c r="BA43" s="361">
        <v>0.8</v>
      </c>
      <c r="BB43" s="329">
        <v>0.8</v>
      </c>
      <c r="BC43" s="329">
        <v>0.8</v>
      </c>
      <c r="BD43" s="329">
        <v>0.8</v>
      </c>
      <c r="BE43" s="329">
        <v>0.8</v>
      </c>
      <c r="BF43" s="329">
        <v>0.8</v>
      </c>
      <c r="BG43" s="329">
        <v>0.8</v>
      </c>
      <c r="BH43" s="329">
        <v>1.2</v>
      </c>
      <c r="BI43" s="329">
        <v>1.3</v>
      </c>
      <c r="BJ43" s="329">
        <v>1.3</v>
      </c>
      <c r="BK43" s="329">
        <v>1.3</v>
      </c>
      <c r="BL43" s="329">
        <v>1.3</v>
      </c>
      <c r="BM43" s="329">
        <v>1.3</v>
      </c>
      <c r="BN43" s="329">
        <v>1.3</v>
      </c>
      <c r="BO43" s="329">
        <v>1.3</v>
      </c>
      <c r="BP43" s="329">
        <v>1.3</v>
      </c>
      <c r="BQ43" s="329">
        <v>1.3</v>
      </c>
      <c r="BR43" s="329">
        <v>1.3</v>
      </c>
      <c r="BS43" s="329">
        <v>1.2</v>
      </c>
      <c r="BT43" s="329">
        <v>1.2</v>
      </c>
      <c r="BU43" s="329">
        <v>1.2</v>
      </c>
      <c r="BV43" s="329">
        <v>1.2</v>
      </c>
      <c r="BW43" s="329">
        <v>0.8</v>
      </c>
      <c r="BX43" s="329">
        <v>0.8</v>
      </c>
      <c r="BY43" s="362"/>
    </row>
    <row r="44" spans="2:77" x14ac:dyDescent="0.25">
      <c r="B44" s="54" t="s">
        <v>89</v>
      </c>
      <c r="D44" s="333">
        <v>1</v>
      </c>
      <c r="E44" s="66">
        <v>1.06</v>
      </c>
      <c r="F44" s="58">
        <v>1.06</v>
      </c>
      <c r="G44" s="58">
        <v>1.06</v>
      </c>
      <c r="H44" s="58">
        <v>1.06</v>
      </c>
      <c r="I44" s="58">
        <v>1.06</v>
      </c>
      <c r="J44" s="58">
        <v>1.06</v>
      </c>
      <c r="K44" s="58">
        <v>1.06</v>
      </c>
      <c r="L44" s="58">
        <v>1.06</v>
      </c>
      <c r="M44" s="58">
        <v>1.06</v>
      </c>
      <c r="N44" s="58">
        <v>1.06</v>
      </c>
      <c r="O44" s="58">
        <v>1.06</v>
      </c>
      <c r="P44" s="58">
        <v>1.06</v>
      </c>
      <c r="Q44" s="58">
        <v>1.06</v>
      </c>
      <c r="R44" s="58">
        <v>1.06</v>
      </c>
      <c r="S44" s="58">
        <v>1.06</v>
      </c>
      <c r="T44" s="58">
        <v>1.06</v>
      </c>
      <c r="U44" s="58">
        <v>1.06</v>
      </c>
      <c r="V44" s="58">
        <v>1.06</v>
      </c>
      <c r="W44" s="58">
        <v>1.06</v>
      </c>
      <c r="X44" s="58">
        <v>1.06</v>
      </c>
      <c r="Y44" s="58">
        <v>1.06</v>
      </c>
      <c r="Z44" s="58">
        <v>1.06</v>
      </c>
      <c r="AA44" s="58">
        <v>1.06</v>
      </c>
      <c r="AB44" s="58">
        <v>1.06</v>
      </c>
      <c r="AC44" s="57">
        <v>1.06</v>
      </c>
      <c r="AD44" s="58">
        <v>1.06</v>
      </c>
      <c r="AE44" s="58">
        <v>1.06</v>
      </c>
      <c r="AF44" s="58">
        <v>1.06</v>
      </c>
      <c r="AG44" s="58">
        <v>1.06</v>
      </c>
      <c r="AH44" s="58">
        <v>1.06</v>
      </c>
      <c r="AI44" s="58">
        <v>1.06</v>
      </c>
      <c r="AJ44" s="58">
        <v>1.06</v>
      </c>
      <c r="AK44" s="58">
        <v>1.06</v>
      </c>
      <c r="AL44" s="58">
        <v>1.06</v>
      </c>
      <c r="AM44" s="58">
        <v>1.06</v>
      </c>
      <c r="AN44" s="58">
        <v>1.06</v>
      </c>
      <c r="AO44" s="58">
        <v>1.06</v>
      </c>
      <c r="AP44" s="58">
        <v>1.06</v>
      </c>
      <c r="AQ44" s="58">
        <v>1.06</v>
      </c>
      <c r="AR44" s="58">
        <v>1.06</v>
      </c>
      <c r="AS44" s="58">
        <v>1.06</v>
      </c>
      <c r="AT44" s="58">
        <v>1.06</v>
      </c>
      <c r="AU44" s="58">
        <v>1.06</v>
      </c>
      <c r="AV44" s="58">
        <v>1.06</v>
      </c>
      <c r="AW44" s="58">
        <v>1.06</v>
      </c>
      <c r="AX44" s="58">
        <v>1.06</v>
      </c>
      <c r="AY44" s="58">
        <v>1.06</v>
      </c>
      <c r="AZ44" s="58">
        <v>1.06</v>
      </c>
      <c r="BA44" s="57">
        <v>1.06</v>
      </c>
      <c r="BB44" s="58">
        <v>1.06</v>
      </c>
      <c r="BC44" s="58">
        <v>1.06</v>
      </c>
      <c r="BD44" s="58">
        <v>1.06</v>
      </c>
      <c r="BE44" s="58">
        <v>1.06</v>
      </c>
      <c r="BF44" s="58">
        <v>1.06</v>
      </c>
      <c r="BG44" s="58">
        <v>1.06</v>
      </c>
      <c r="BH44" s="58">
        <v>1.06</v>
      </c>
      <c r="BI44" s="58">
        <v>1.06</v>
      </c>
      <c r="BJ44" s="58">
        <v>1.06</v>
      </c>
      <c r="BK44" s="58">
        <v>1.06</v>
      </c>
      <c r="BL44" s="58">
        <v>1.06</v>
      </c>
      <c r="BM44" s="58">
        <v>1.06</v>
      </c>
      <c r="BN44" s="58">
        <v>1.06</v>
      </c>
      <c r="BO44" s="58">
        <v>1.06</v>
      </c>
      <c r="BP44" s="58">
        <v>1.06</v>
      </c>
      <c r="BQ44" s="58">
        <v>1.06</v>
      </c>
      <c r="BR44" s="58">
        <v>1.06</v>
      </c>
      <c r="BS44" s="58">
        <v>1.06</v>
      </c>
      <c r="BT44" s="58">
        <v>1.06</v>
      </c>
      <c r="BU44" s="58">
        <v>1.06</v>
      </c>
      <c r="BV44" s="58">
        <v>1.06</v>
      </c>
      <c r="BW44" s="58">
        <v>1.06</v>
      </c>
      <c r="BX44" s="58">
        <v>1.06</v>
      </c>
      <c r="BY44" s="57"/>
    </row>
    <row r="45" spans="2:77" x14ac:dyDescent="0.25">
      <c r="B45" s="54" t="s">
        <v>139</v>
      </c>
      <c r="D45" s="335">
        <f>D41-(D42*D44)-D43</f>
        <v>1105.5508333333332</v>
      </c>
      <c r="E45" s="61">
        <f t="shared" ref="E45:BP45" si="248">E41-(E42*E44)-E43</f>
        <v>1089.7568229166666</v>
      </c>
      <c r="F45" s="74">
        <f t="shared" si="248"/>
        <v>1073.9628124999999</v>
      </c>
      <c r="G45" s="74">
        <f t="shared" si="248"/>
        <v>1058.1688020833333</v>
      </c>
      <c r="H45" s="74">
        <f t="shared" si="248"/>
        <v>1042.3747916666666</v>
      </c>
      <c r="I45" s="74">
        <f t="shared" si="248"/>
        <v>1026.58078125</v>
      </c>
      <c r="J45" s="74">
        <f t="shared" si="248"/>
        <v>1010.7867708333333</v>
      </c>
      <c r="K45" s="74">
        <f t="shared" si="248"/>
        <v>949.6107291666666</v>
      </c>
      <c r="L45" s="74">
        <f t="shared" si="248"/>
        <v>888.43468749999988</v>
      </c>
      <c r="M45" s="74">
        <f t="shared" si="248"/>
        <v>1292.9886458333333</v>
      </c>
      <c r="N45" s="74">
        <f t="shared" si="248"/>
        <v>1231.7126041666668</v>
      </c>
      <c r="O45" s="74">
        <f t="shared" si="248"/>
        <v>1170.4365625000003</v>
      </c>
      <c r="P45" s="74">
        <f t="shared" si="248"/>
        <v>1109.1605208333337</v>
      </c>
      <c r="Q45" s="74">
        <f t="shared" si="248"/>
        <v>1280.8104791666672</v>
      </c>
      <c r="R45" s="74">
        <f t="shared" si="248"/>
        <v>1219.5344375000006</v>
      </c>
      <c r="S45" s="74">
        <f t="shared" si="248"/>
        <v>1158.2583958333341</v>
      </c>
      <c r="T45" s="74">
        <f t="shared" si="248"/>
        <v>1096.9823541666676</v>
      </c>
      <c r="U45" s="74">
        <f t="shared" si="248"/>
        <v>1035.7063125000011</v>
      </c>
      <c r="V45" s="74">
        <f t="shared" si="248"/>
        <v>974.43027083333448</v>
      </c>
      <c r="W45" s="74">
        <f t="shared" si="248"/>
        <v>913.25422916666776</v>
      </c>
      <c r="X45" s="74">
        <f t="shared" si="248"/>
        <v>1317.9081875000011</v>
      </c>
      <c r="Y45" s="74">
        <f t="shared" si="248"/>
        <v>1256.7321458333345</v>
      </c>
      <c r="Z45" s="74">
        <f t="shared" si="248"/>
        <v>1195.5561041666679</v>
      </c>
      <c r="AA45" s="74">
        <f t="shared" si="248"/>
        <v>1179.7620937500012</v>
      </c>
      <c r="AB45" s="74">
        <f t="shared" si="248"/>
        <v>1163.9680833333346</v>
      </c>
      <c r="AC45" s="73">
        <f t="shared" si="248"/>
        <v>1148.1740729166679</v>
      </c>
      <c r="AD45" s="74">
        <f t="shared" si="248"/>
        <v>1132.3800625000013</v>
      </c>
      <c r="AE45" s="74">
        <f t="shared" si="248"/>
        <v>1116.5860520833346</v>
      </c>
      <c r="AF45" s="74">
        <f t="shared" si="248"/>
        <v>1100.792041666668</v>
      </c>
      <c r="AG45" s="74">
        <f t="shared" si="248"/>
        <v>1084.9980312500013</v>
      </c>
      <c r="AH45" s="74">
        <f t="shared" si="248"/>
        <v>1069.2040208333347</v>
      </c>
      <c r="AI45" s="74">
        <f t="shared" si="248"/>
        <v>1053.0100104166679</v>
      </c>
      <c r="AJ45" s="74">
        <f t="shared" si="248"/>
        <v>991.83396875000119</v>
      </c>
      <c r="AK45" s="74">
        <f t="shared" si="248"/>
        <v>1163.4839270833347</v>
      </c>
      <c r="AL45" s="74">
        <f t="shared" si="248"/>
        <v>1102.2078854166682</v>
      </c>
      <c r="AM45" s="74">
        <f t="shared" si="248"/>
        <v>1040.9318437500017</v>
      </c>
      <c r="AN45" s="74">
        <f t="shared" si="248"/>
        <v>979.65580208333506</v>
      </c>
      <c r="AO45" s="74">
        <f t="shared" si="248"/>
        <v>1151.3057604166686</v>
      </c>
      <c r="AP45" s="74">
        <f t="shared" si="248"/>
        <v>1090.0297187500021</v>
      </c>
      <c r="AQ45" s="74">
        <f t="shared" si="248"/>
        <v>1028.7536770833356</v>
      </c>
      <c r="AR45" s="74">
        <f t="shared" si="248"/>
        <v>967.47763541666893</v>
      </c>
      <c r="AS45" s="74">
        <f t="shared" si="248"/>
        <v>906.2015937500023</v>
      </c>
      <c r="AT45" s="74">
        <f t="shared" si="248"/>
        <v>1310.7555520833357</v>
      </c>
      <c r="AU45" s="74">
        <f t="shared" si="248"/>
        <v>1249.5795104166691</v>
      </c>
      <c r="AV45" s="74">
        <f t="shared" si="248"/>
        <v>1188.4034687500025</v>
      </c>
      <c r="AW45" s="74">
        <f t="shared" si="248"/>
        <v>1127.2274270833359</v>
      </c>
      <c r="AX45" s="74">
        <f t="shared" si="248"/>
        <v>1066.0513854166693</v>
      </c>
      <c r="AY45" s="74">
        <f t="shared" si="248"/>
        <v>1050.2573750000026</v>
      </c>
      <c r="AZ45" s="74">
        <f t="shared" si="248"/>
        <v>1034.463364583336</v>
      </c>
      <c r="BA45" s="73">
        <f t="shared" si="248"/>
        <v>1018.6693541666695</v>
      </c>
      <c r="BB45" s="74">
        <f t="shared" si="248"/>
        <v>1002.8753437500028</v>
      </c>
      <c r="BC45" s="74">
        <f t="shared" si="248"/>
        <v>987.08133333333615</v>
      </c>
      <c r="BD45" s="74">
        <f t="shared" si="248"/>
        <v>971.2873229166695</v>
      </c>
      <c r="BE45" s="74">
        <f t="shared" si="248"/>
        <v>955.49331250000284</v>
      </c>
      <c r="BF45" s="74">
        <f t="shared" si="248"/>
        <v>939.69930208333619</v>
      </c>
      <c r="BG45" s="74">
        <f t="shared" si="248"/>
        <v>923.90529166666954</v>
      </c>
      <c r="BH45" s="74">
        <f t="shared" si="248"/>
        <v>862.72925000000282</v>
      </c>
      <c r="BI45" s="74">
        <f t="shared" si="248"/>
        <v>1267.2832083333362</v>
      </c>
      <c r="BJ45" s="74">
        <f t="shared" si="248"/>
        <v>1206.0071666666697</v>
      </c>
      <c r="BK45" s="74">
        <f t="shared" si="248"/>
        <v>1144.7311250000032</v>
      </c>
      <c r="BL45" s="74">
        <f t="shared" si="248"/>
        <v>1083.4550833333367</v>
      </c>
      <c r="BM45" s="74">
        <f t="shared" si="248"/>
        <v>1255.1050416666701</v>
      </c>
      <c r="BN45" s="74">
        <f t="shared" si="248"/>
        <v>1193.8290000000036</v>
      </c>
      <c r="BO45" s="74">
        <f t="shared" si="248"/>
        <v>1132.5529583333371</v>
      </c>
      <c r="BP45" s="74">
        <f t="shared" si="248"/>
        <v>1071.2769166666706</v>
      </c>
      <c r="BQ45" s="74">
        <f t="shared" ref="BQ45:BX45" si="249">BQ41-(BQ42*BQ44)-BQ43</f>
        <v>1010.000875000004</v>
      </c>
      <c r="BR45" s="74">
        <f t="shared" si="249"/>
        <v>948.72483333333741</v>
      </c>
      <c r="BS45" s="74">
        <f t="shared" si="249"/>
        <v>887.5487916666707</v>
      </c>
      <c r="BT45" s="74">
        <f t="shared" si="249"/>
        <v>1292.202750000004</v>
      </c>
      <c r="BU45" s="74">
        <f t="shared" si="249"/>
        <v>1231.0267083333374</v>
      </c>
      <c r="BV45" s="74">
        <f t="shared" si="249"/>
        <v>1169.8506666666708</v>
      </c>
      <c r="BW45" s="74">
        <f t="shared" si="249"/>
        <v>1154.0566562500042</v>
      </c>
      <c r="BX45" s="74">
        <f t="shared" si="249"/>
        <v>1138.2626458333375</v>
      </c>
      <c r="BY45" s="73"/>
    </row>
    <row r="46" spans="2:77" x14ac:dyDescent="0.25">
      <c r="B46" s="54" t="s">
        <v>99</v>
      </c>
      <c r="E46" s="61"/>
      <c r="F46" s="74"/>
      <c r="G46" s="74"/>
      <c r="H46" s="74"/>
      <c r="I46" s="74"/>
      <c r="J46" s="74"/>
      <c r="K46" s="74"/>
      <c r="L46" s="74" t="s">
        <v>128</v>
      </c>
      <c r="M46" s="74"/>
      <c r="N46" s="74"/>
      <c r="O46" s="74"/>
      <c r="P46" s="74" t="s">
        <v>128</v>
      </c>
      <c r="Q46" s="74"/>
      <c r="R46" s="74"/>
      <c r="S46" s="74"/>
      <c r="T46" s="74"/>
      <c r="U46" s="74"/>
      <c r="V46" s="74"/>
      <c r="W46" s="74" t="s">
        <v>128</v>
      </c>
      <c r="X46" s="74"/>
      <c r="Y46" s="74"/>
      <c r="Z46" s="74"/>
      <c r="AA46" s="74"/>
      <c r="AB46" s="74"/>
      <c r="AC46" s="61"/>
      <c r="AD46" s="74"/>
      <c r="AE46" s="74"/>
      <c r="AF46" s="74"/>
      <c r="AG46" s="74"/>
      <c r="AH46" s="74"/>
      <c r="AI46" s="74"/>
      <c r="AJ46" s="74" t="s">
        <v>128</v>
      </c>
      <c r="AK46" s="74"/>
      <c r="AL46" s="74"/>
      <c r="AM46" s="74"/>
      <c r="AN46" s="74" t="s">
        <v>128</v>
      </c>
      <c r="AO46" s="74"/>
      <c r="AP46" s="74"/>
      <c r="AQ46" s="74"/>
      <c r="AR46" s="74"/>
      <c r="AS46" s="74"/>
      <c r="AT46" s="74"/>
      <c r="AU46" s="74" t="s">
        <v>128</v>
      </c>
      <c r="AV46" s="74"/>
      <c r="AW46" s="74"/>
      <c r="AX46" s="74"/>
      <c r="AY46" s="74"/>
      <c r="AZ46" s="74"/>
      <c r="BA46" s="61"/>
      <c r="BB46" s="74"/>
      <c r="BC46" s="74"/>
      <c r="BD46" s="74"/>
      <c r="BE46" s="74"/>
      <c r="BF46" s="74"/>
      <c r="BG46" s="74"/>
      <c r="BH46" s="74" t="s">
        <v>128</v>
      </c>
      <c r="BI46" s="74"/>
      <c r="BJ46" s="74"/>
      <c r="BK46" s="74"/>
      <c r="BL46" s="74" t="s">
        <v>128</v>
      </c>
      <c r="BM46" s="74"/>
      <c r="BN46" s="74"/>
      <c r="BO46" s="74"/>
      <c r="BP46" s="74"/>
      <c r="BQ46" s="74"/>
      <c r="BR46" s="74"/>
      <c r="BS46" s="74" t="s">
        <v>128</v>
      </c>
      <c r="BT46" s="74"/>
      <c r="BU46" s="74"/>
      <c r="BV46" s="74"/>
      <c r="BW46" s="74"/>
      <c r="BX46" s="74"/>
      <c r="BY46" s="73"/>
    </row>
    <row r="47" spans="2:77" s="67" customFormat="1" x14ac:dyDescent="0.25">
      <c r="B47" s="65" t="s">
        <v>152</v>
      </c>
      <c r="C47" s="117"/>
      <c r="D47" s="338">
        <f>IF(B38="B",IF(D45&lt;1397.5,232.926,IF(D46="K",IF(D45&lt;1397.5,465.83,0),0)),0)</f>
        <v>0</v>
      </c>
      <c r="E47" s="67">
        <f t="shared" ref="E47:AB47" si="250">IF(D38="B",IF(E45&lt;931.66,465.83,IF(E46="K",IF(E45&lt;1164.58,232.926,0),0)),0)</f>
        <v>0</v>
      </c>
      <c r="F47" s="67">
        <f t="shared" si="250"/>
        <v>0</v>
      </c>
      <c r="G47" s="67">
        <f t="shared" si="250"/>
        <v>0</v>
      </c>
      <c r="H47" s="67">
        <f t="shared" si="250"/>
        <v>0</v>
      </c>
      <c r="I47" s="67">
        <f t="shared" si="250"/>
        <v>0</v>
      </c>
      <c r="J47" s="67">
        <f t="shared" si="250"/>
        <v>0</v>
      </c>
      <c r="K47" s="67">
        <f t="shared" si="250"/>
        <v>0</v>
      </c>
      <c r="L47" s="67">
        <f t="shared" si="250"/>
        <v>465.83</v>
      </c>
      <c r="M47" s="67">
        <f t="shared" si="250"/>
        <v>0</v>
      </c>
      <c r="N47" s="67">
        <f t="shared" si="250"/>
        <v>0</v>
      </c>
      <c r="O47" s="67">
        <f t="shared" si="250"/>
        <v>0</v>
      </c>
      <c r="P47" s="67">
        <f t="shared" si="250"/>
        <v>232.92599999999999</v>
      </c>
      <c r="Q47" s="67">
        <f t="shared" si="250"/>
        <v>0</v>
      </c>
      <c r="R47" s="67">
        <f t="shared" si="250"/>
        <v>0</v>
      </c>
      <c r="S47" s="67">
        <f t="shared" si="250"/>
        <v>0</v>
      </c>
      <c r="T47" s="67">
        <f t="shared" si="250"/>
        <v>0</v>
      </c>
      <c r="U47" s="67">
        <f t="shared" si="250"/>
        <v>0</v>
      </c>
      <c r="V47" s="67">
        <f t="shared" si="250"/>
        <v>0</v>
      </c>
      <c r="W47" s="67">
        <f t="shared" si="250"/>
        <v>465.83</v>
      </c>
      <c r="X47" s="67">
        <f t="shared" si="250"/>
        <v>0</v>
      </c>
      <c r="Y47" s="67">
        <f t="shared" si="250"/>
        <v>0</v>
      </c>
      <c r="Z47" s="67">
        <f t="shared" si="250"/>
        <v>0</v>
      </c>
      <c r="AA47" s="67">
        <f t="shared" si="250"/>
        <v>0</v>
      </c>
      <c r="AB47" s="67">
        <f t="shared" si="250"/>
        <v>0</v>
      </c>
      <c r="AC47" s="67">
        <f>IF(AB38="B",IF(AC45&lt;931.66,465.83,IF(AC46="K",IF(AC45&lt;1164.58,232.926,0),0)),0)</f>
        <v>0</v>
      </c>
      <c r="AD47" s="67">
        <f t="shared" ref="AD47:BX47" si="251">IF(AC38="B",IF(AD45&lt;931.66,465.83,IF(AD46="K",IF(AD45&lt;1164.58,232.926,0),0)),0)</f>
        <v>0</v>
      </c>
      <c r="AE47" s="67">
        <f t="shared" si="251"/>
        <v>0</v>
      </c>
      <c r="AF47" s="67">
        <f t="shared" si="251"/>
        <v>0</v>
      </c>
      <c r="AG47" s="67">
        <f t="shared" si="251"/>
        <v>0</v>
      </c>
      <c r="AH47" s="67">
        <f t="shared" si="251"/>
        <v>0</v>
      </c>
      <c r="AI47" s="67">
        <f t="shared" si="251"/>
        <v>0</v>
      </c>
      <c r="AJ47" s="67">
        <f t="shared" si="251"/>
        <v>232.92599999999999</v>
      </c>
      <c r="AK47" s="67">
        <f t="shared" si="251"/>
        <v>0</v>
      </c>
      <c r="AL47" s="67">
        <f t="shared" si="251"/>
        <v>0</v>
      </c>
      <c r="AM47" s="67">
        <f t="shared" si="251"/>
        <v>0</v>
      </c>
      <c r="AN47" s="67">
        <f t="shared" si="251"/>
        <v>232.92599999999999</v>
      </c>
      <c r="AO47" s="67">
        <f t="shared" si="251"/>
        <v>0</v>
      </c>
      <c r="AP47" s="67">
        <f t="shared" si="251"/>
        <v>0</v>
      </c>
      <c r="AQ47" s="67">
        <f t="shared" si="251"/>
        <v>0</v>
      </c>
      <c r="AR47" s="67">
        <f t="shared" si="251"/>
        <v>0</v>
      </c>
      <c r="AS47" s="67">
        <f t="shared" si="251"/>
        <v>465.83</v>
      </c>
      <c r="AT47" s="67">
        <f t="shared" si="251"/>
        <v>0</v>
      </c>
      <c r="AU47" s="67">
        <f t="shared" si="251"/>
        <v>0</v>
      </c>
      <c r="AV47" s="67">
        <f t="shared" si="251"/>
        <v>0</v>
      </c>
      <c r="AW47" s="67">
        <f t="shared" si="251"/>
        <v>0</v>
      </c>
      <c r="AX47" s="67">
        <f t="shared" si="251"/>
        <v>0</v>
      </c>
      <c r="AY47" s="67">
        <f t="shared" si="251"/>
        <v>0</v>
      </c>
      <c r="AZ47" s="67">
        <f t="shared" si="251"/>
        <v>0</v>
      </c>
      <c r="BA47" s="67">
        <f t="shared" si="251"/>
        <v>0</v>
      </c>
      <c r="BB47" s="67">
        <f t="shared" si="251"/>
        <v>0</v>
      </c>
      <c r="BC47" s="67">
        <f t="shared" si="251"/>
        <v>0</v>
      </c>
      <c r="BD47" s="67">
        <f t="shared" si="251"/>
        <v>0</v>
      </c>
      <c r="BE47" s="67">
        <f t="shared" si="251"/>
        <v>0</v>
      </c>
      <c r="BF47" s="67">
        <f t="shared" si="251"/>
        <v>0</v>
      </c>
      <c r="BG47" s="67">
        <f t="shared" si="251"/>
        <v>0</v>
      </c>
      <c r="BH47" s="67">
        <f t="shared" si="251"/>
        <v>465.83</v>
      </c>
      <c r="BI47" s="67">
        <f t="shared" si="251"/>
        <v>0</v>
      </c>
      <c r="BJ47" s="67">
        <f t="shared" si="251"/>
        <v>0</v>
      </c>
      <c r="BK47" s="67">
        <f t="shared" si="251"/>
        <v>0</v>
      </c>
      <c r="BL47" s="67">
        <f t="shared" si="251"/>
        <v>232.92599999999999</v>
      </c>
      <c r="BM47" s="67">
        <f t="shared" si="251"/>
        <v>0</v>
      </c>
      <c r="BN47" s="67">
        <f t="shared" si="251"/>
        <v>0</v>
      </c>
      <c r="BO47" s="67">
        <f t="shared" si="251"/>
        <v>0</v>
      </c>
      <c r="BP47" s="67">
        <f t="shared" si="251"/>
        <v>0</v>
      </c>
      <c r="BQ47" s="67">
        <f t="shared" si="251"/>
        <v>0</v>
      </c>
      <c r="BR47" s="67">
        <f t="shared" si="251"/>
        <v>0</v>
      </c>
      <c r="BS47" s="67">
        <f t="shared" si="251"/>
        <v>465.83</v>
      </c>
      <c r="BT47" s="67">
        <f t="shared" si="251"/>
        <v>0</v>
      </c>
      <c r="BU47" s="67">
        <f t="shared" si="251"/>
        <v>0</v>
      </c>
      <c r="BV47" s="67">
        <f t="shared" si="251"/>
        <v>0</v>
      </c>
      <c r="BW47" s="67">
        <f t="shared" si="251"/>
        <v>0</v>
      </c>
      <c r="BX47" s="67">
        <f t="shared" si="251"/>
        <v>0</v>
      </c>
      <c r="BY47" s="55"/>
    </row>
    <row r="48" spans="2:77" s="98" customFormat="1" x14ac:dyDescent="0.25">
      <c r="B48" s="109" t="s">
        <v>392</v>
      </c>
      <c r="C48" s="118"/>
      <c r="D48" s="339">
        <f t="shared" ref="D48:J48" si="252">D47/465.83*10</f>
        <v>0</v>
      </c>
      <c r="E48" s="101">
        <f t="shared" si="252"/>
        <v>0</v>
      </c>
      <c r="F48" s="101">
        <f t="shared" si="252"/>
        <v>0</v>
      </c>
      <c r="G48" s="101">
        <f t="shared" si="252"/>
        <v>0</v>
      </c>
      <c r="H48" s="101">
        <f t="shared" si="252"/>
        <v>0</v>
      </c>
      <c r="I48" s="101">
        <f t="shared" si="252"/>
        <v>0</v>
      </c>
      <c r="J48" s="101">
        <f t="shared" si="252"/>
        <v>0</v>
      </c>
      <c r="K48" s="101">
        <f>K47/465.83*10</f>
        <v>0</v>
      </c>
      <c r="L48" s="101">
        <f t="shared" ref="L48:BW48" si="253">L47/465.83*10</f>
        <v>10</v>
      </c>
      <c r="M48" s="101">
        <f t="shared" si="253"/>
        <v>0</v>
      </c>
      <c r="N48" s="101">
        <f t="shared" si="253"/>
        <v>0</v>
      </c>
      <c r="O48" s="101">
        <f t="shared" si="253"/>
        <v>0</v>
      </c>
      <c r="P48" s="101">
        <f t="shared" si="253"/>
        <v>5.0002361376467803</v>
      </c>
      <c r="Q48" s="101">
        <f t="shared" si="253"/>
        <v>0</v>
      </c>
      <c r="R48" s="101">
        <f t="shared" si="253"/>
        <v>0</v>
      </c>
      <c r="S48" s="101">
        <f t="shared" si="253"/>
        <v>0</v>
      </c>
      <c r="T48" s="101">
        <f t="shared" si="253"/>
        <v>0</v>
      </c>
      <c r="U48" s="101">
        <f t="shared" si="253"/>
        <v>0</v>
      </c>
      <c r="V48" s="101">
        <f t="shared" si="253"/>
        <v>0</v>
      </c>
      <c r="W48" s="101">
        <f t="shared" si="253"/>
        <v>10</v>
      </c>
      <c r="X48" s="101">
        <f t="shared" si="253"/>
        <v>0</v>
      </c>
      <c r="Y48" s="101">
        <f t="shared" si="253"/>
        <v>0</v>
      </c>
      <c r="Z48" s="101">
        <f t="shared" si="253"/>
        <v>0</v>
      </c>
      <c r="AA48" s="101">
        <f t="shared" si="253"/>
        <v>0</v>
      </c>
      <c r="AB48" s="101">
        <f t="shared" si="253"/>
        <v>0</v>
      </c>
      <c r="AC48" s="102">
        <f t="shared" si="253"/>
        <v>0</v>
      </c>
      <c r="AD48" s="101">
        <f t="shared" si="253"/>
        <v>0</v>
      </c>
      <c r="AE48" s="101">
        <f t="shared" si="253"/>
        <v>0</v>
      </c>
      <c r="AF48" s="101">
        <f t="shared" si="253"/>
        <v>0</v>
      </c>
      <c r="AG48" s="101">
        <f t="shared" si="253"/>
        <v>0</v>
      </c>
      <c r="AH48" s="101">
        <f t="shared" si="253"/>
        <v>0</v>
      </c>
      <c r="AI48" s="101">
        <f t="shared" si="253"/>
        <v>0</v>
      </c>
      <c r="AJ48" s="101">
        <f t="shared" si="253"/>
        <v>5.0002361376467803</v>
      </c>
      <c r="AK48" s="101">
        <f t="shared" si="253"/>
        <v>0</v>
      </c>
      <c r="AL48" s="101">
        <f t="shared" si="253"/>
        <v>0</v>
      </c>
      <c r="AM48" s="101">
        <f t="shared" si="253"/>
        <v>0</v>
      </c>
      <c r="AN48" s="101">
        <f t="shared" si="253"/>
        <v>5.0002361376467803</v>
      </c>
      <c r="AO48" s="101">
        <f t="shared" si="253"/>
        <v>0</v>
      </c>
      <c r="AP48" s="101">
        <f t="shared" si="253"/>
        <v>0</v>
      </c>
      <c r="AQ48" s="101">
        <f t="shared" si="253"/>
        <v>0</v>
      </c>
      <c r="AR48" s="101">
        <f t="shared" si="253"/>
        <v>0</v>
      </c>
      <c r="AS48" s="101">
        <f t="shared" si="253"/>
        <v>10</v>
      </c>
      <c r="AT48" s="101">
        <f t="shared" si="253"/>
        <v>0</v>
      </c>
      <c r="AU48" s="101">
        <f t="shared" si="253"/>
        <v>0</v>
      </c>
      <c r="AV48" s="101">
        <f t="shared" si="253"/>
        <v>0</v>
      </c>
      <c r="AW48" s="101">
        <f t="shared" si="253"/>
        <v>0</v>
      </c>
      <c r="AX48" s="101">
        <f t="shared" si="253"/>
        <v>0</v>
      </c>
      <c r="AY48" s="101">
        <f t="shared" si="253"/>
        <v>0</v>
      </c>
      <c r="AZ48" s="101">
        <f t="shared" si="253"/>
        <v>0</v>
      </c>
      <c r="BA48" s="102">
        <f t="shared" si="253"/>
        <v>0</v>
      </c>
      <c r="BB48" s="101">
        <f t="shared" si="253"/>
        <v>0</v>
      </c>
      <c r="BC48" s="101">
        <f t="shared" si="253"/>
        <v>0</v>
      </c>
      <c r="BD48" s="101">
        <f t="shared" si="253"/>
        <v>0</v>
      </c>
      <c r="BE48" s="101">
        <f t="shared" si="253"/>
        <v>0</v>
      </c>
      <c r="BF48" s="101">
        <f t="shared" si="253"/>
        <v>0</v>
      </c>
      <c r="BG48" s="101">
        <f t="shared" si="253"/>
        <v>0</v>
      </c>
      <c r="BH48" s="101">
        <f t="shared" si="253"/>
        <v>10</v>
      </c>
      <c r="BI48" s="101">
        <f t="shared" si="253"/>
        <v>0</v>
      </c>
      <c r="BJ48" s="101">
        <f t="shared" si="253"/>
        <v>0</v>
      </c>
      <c r="BK48" s="101">
        <f t="shared" si="253"/>
        <v>0</v>
      </c>
      <c r="BL48" s="101">
        <f t="shared" si="253"/>
        <v>5.0002361376467803</v>
      </c>
      <c r="BM48" s="101">
        <f t="shared" si="253"/>
        <v>0</v>
      </c>
      <c r="BN48" s="101">
        <f t="shared" si="253"/>
        <v>0</v>
      </c>
      <c r="BO48" s="101">
        <f t="shared" si="253"/>
        <v>0</v>
      </c>
      <c r="BP48" s="101">
        <f t="shared" si="253"/>
        <v>0</v>
      </c>
      <c r="BQ48" s="101">
        <f t="shared" si="253"/>
        <v>0</v>
      </c>
      <c r="BR48" s="101">
        <f t="shared" si="253"/>
        <v>0</v>
      </c>
      <c r="BS48" s="101">
        <f t="shared" si="253"/>
        <v>10</v>
      </c>
      <c r="BT48" s="101">
        <f t="shared" si="253"/>
        <v>0</v>
      </c>
      <c r="BU48" s="101">
        <f t="shared" si="253"/>
        <v>0</v>
      </c>
      <c r="BV48" s="101">
        <f t="shared" si="253"/>
        <v>0</v>
      </c>
      <c r="BW48" s="101">
        <f t="shared" si="253"/>
        <v>0</v>
      </c>
      <c r="BX48" s="101">
        <f t="shared" ref="BX48" si="254">BX47/465.83*10</f>
        <v>0</v>
      </c>
      <c r="BY48" s="110"/>
    </row>
    <row r="49" spans="2:77" s="64" customFormat="1" ht="15.75" thickBot="1" x14ac:dyDescent="0.3">
      <c r="B49" s="62" t="s">
        <v>393</v>
      </c>
      <c r="C49" s="113"/>
      <c r="D49" s="340">
        <f>D48/10*50</f>
        <v>0</v>
      </c>
      <c r="E49" s="64">
        <f t="shared" ref="E49:BP49" si="255">E48/10*50</f>
        <v>0</v>
      </c>
      <c r="F49" s="64">
        <f t="shared" si="255"/>
        <v>0</v>
      </c>
      <c r="G49" s="64">
        <f t="shared" si="255"/>
        <v>0</v>
      </c>
      <c r="H49" s="64">
        <f t="shared" si="255"/>
        <v>0</v>
      </c>
      <c r="I49" s="64">
        <f t="shared" si="255"/>
        <v>0</v>
      </c>
      <c r="J49" s="64">
        <f t="shared" si="255"/>
        <v>0</v>
      </c>
      <c r="K49" s="64">
        <f t="shared" si="255"/>
        <v>0</v>
      </c>
      <c r="L49" s="64">
        <f t="shared" si="255"/>
        <v>50</v>
      </c>
      <c r="M49" s="64">
        <f t="shared" si="255"/>
        <v>0</v>
      </c>
      <c r="N49" s="64">
        <f t="shared" si="255"/>
        <v>0</v>
      </c>
      <c r="O49" s="64">
        <f t="shared" si="255"/>
        <v>0</v>
      </c>
      <c r="P49" s="64">
        <f t="shared" si="255"/>
        <v>25.001180688233905</v>
      </c>
      <c r="Q49" s="64">
        <f t="shared" si="255"/>
        <v>0</v>
      </c>
      <c r="R49" s="64">
        <f t="shared" si="255"/>
        <v>0</v>
      </c>
      <c r="S49" s="64">
        <f t="shared" si="255"/>
        <v>0</v>
      </c>
      <c r="T49" s="64">
        <f t="shared" si="255"/>
        <v>0</v>
      </c>
      <c r="U49" s="64">
        <f t="shared" si="255"/>
        <v>0</v>
      </c>
      <c r="V49" s="64">
        <f t="shared" si="255"/>
        <v>0</v>
      </c>
      <c r="W49" s="64">
        <f t="shared" si="255"/>
        <v>50</v>
      </c>
      <c r="X49" s="64">
        <f t="shared" si="255"/>
        <v>0</v>
      </c>
      <c r="Y49" s="64">
        <f t="shared" si="255"/>
        <v>0</v>
      </c>
      <c r="Z49" s="64">
        <f t="shared" si="255"/>
        <v>0</v>
      </c>
      <c r="AA49" s="64">
        <f t="shared" si="255"/>
        <v>0</v>
      </c>
      <c r="AB49" s="64">
        <f t="shared" si="255"/>
        <v>0</v>
      </c>
      <c r="AC49" s="79">
        <f t="shared" si="255"/>
        <v>0</v>
      </c>
      <c r="AD49" s="64">
        <f t="shared" si="255"/>
        <v>0</v>
      </c>
      <c r="AE49" s="64">
        <f t="shared" si="255"/>
        <v>0</v>
      </c>
      <c r="AF49" s="64">
        <f t="shared" si="255"/>
        <v>0</v>
      </c>
      <c r="AG49" s="64">
        <f t="shared" si="255"/>
        <v>0</v>
      </c>
      <c r="AH49" s="64">
        <f t="shared" si="255"/>
        <v>0</v>
      </c>
      <c r="AI49" s="64">
        <f t="shared" si="255"/>
        <v>0</v>
      </c>
      <c r="AJ49" s="64">
        <f t="shared" si="255"/>
        <v>25.001180688233905</v>
      </c>
      <c r="AK49" s="64">
        <f t="shared" si="255"/>
        <v>0</v>
      </c>
      <c r="AL49" s="64">
        <f t="shared" si="255"/>
        <v>0</v>
      </c>
      <c r="AM49" s="64">
        <f t="shared" si="255"/>
        <v>0</v>
      </c>
      <c r="AN49" s="64">
        <f t="shared" si="255"/>
        <v>25.001180688233905</v>
      </c>
      <c r="AO49" s="64">
        <f t="shared" si="255"/>
        <v>0</v>
      </c>
      <c r="AP49" s="64">
        <f t="shared" si="255"/>
        <v>0</v>
      </c>
      <c r="AQ49" s="64">
        <f t="shared" si="255"/>
        <v>0</v>
      </c>
      <c r="AR49" s="64">
        <f t="shared" si="255"/>
        <v>0</v>
      </c>
      <c r="AS49" s="64">
        <f t="shared" si="255"/>
        <v>50</v>
      </c>
      <c r="AT49" s="64">
        <f t="shared" si="255"/>
        <v>0</v>
      </c>
      <c r="AU49" s="64">
        <f t="shared" si="255"/>
        <v>0</v>
      </c>
      <c r="AV49" s="64">
        <f t="shared" si="255"/>
        <v>0</v>
      </c>
      <c r="AW49" s="64">
        <f t="shared" si="255"/>
        <v>0</v>
      </c>
      <c r="AX49" s="64">
        <f t="shared" si="255"/>
        <v>0</v>
      </c>
      <c r="AY49" s="64">
        <f t="shared" si="255"/>
        <v>0</v>
      </c>
      <c r="AZ49" s="64">
        <f t="shared" si="255"/>
        <v>0</v>
      </c>
      <c r="BA49" s="79">
        <f t="shared" si="255"/>
        <v>0</v>
      </c>
      <c r="BB49" s="64">
        <f t="shared" si="255"/>
        <v>0</v>
      </c>
      <c r="BC49" s="64">
        <f t="shared" si="255"/>
        <v>0</v>
      </c>
      <c r="BD49" s="64">
        <f t="shared" si="255"/>
        <v>0</v>
      </c>
      <c r="BE49" s="64">
        <f t="shared" si="255"/>
        <v>0</v>
      </c>
      <c r="BF49" s="64">
        <f t="shared" si="255"/>
        <v>0</v>
      </c>
      <c r="BG49" s="64">
        <f t="shared" si="255"/>
        <v>0</v>
      </c>
      <c r="BH49" s="64">
        <f t="shared" si="255"/>
        <v>50</v>
      </c>
      <c r="BI49" s="64">
        <f t="shared" si="255"/>
        <v>0</v>
      </c>
      <c r="BJ49" s="64">
        <f t="shared" si="255"/>
        <v>0</v>
      </c>
      <c r="BK49" s="64">
        <f t="shared" si="255"/>
        <v>0</v>
      </c>
      <c r="BL49" s="64">
        <f t="shared" si="255"/>
        <v>25.001180688233905</v>
      </c>
      <c r="BM49" s="64">
        <f t="shared" si="255"/>
        <v>0</v>
      </c>
      <c r="BN49" s="64">
        <f t="shared" si="255"/>
        <v>0</v>
      </c>
      <c r="BO49" s="64">
        <f t="shared" si="255"/>
        <v>0</v>
      </c>
      <c r="BP49" s="64">
        <f t="shared" si="255"/>
        <v>0</v>
      </c>
      <c r="BQ49" s="64">
        <f t="shared" ref="BQ49:BX49" si="256">BQ48/10*50</f>
        <v>0</v>
      </c>
      <c r="BR49" s="64">
        <f t="shared" si="256"/>
        <v>0</v>
      </c>
      <c r="BS49" s="64">
        <f t="shared" si="256"/>
        <v>50</v>
      </c>
      <c r="BT49" s="64">
        <f t="shared" si="256"/>
        <v>0</v>
      </c>
      <c r="BU49" s="64">
        <f t="shared" si="256"/>
        <v>0</v>
      </c>
      <c r="BV49" s="64">
        <f t="shared" si="256"/>
        <v>0</v>
      </c>
      <c r="BW49" s="64">
        <f t="shared" si="256"/>
        <v>0</v>
      </c>
      <c r="BX49" s="64">
        <f t="shared" si="256"/>
        <v>0</v>
      </c>
      <c r="BY49" s="79"/>
    </row>
    <row r="50" spans="2:77" s="81" customFormat="1" x14ac:dyDescent="0.25">
      <c r="B50" s="70"/>
      <c r="C50" s="111"/>
      <c r="D50" s="331"/>
      <c r="E50" s="91"/>
      <c r="AC50" s="80"/>
      <c r="BA50" s="80"/>
      <c r="BY50" s="80"/>
    </row>
    <row r="51" spans="2:77" x14ac:dyDescent="0.25">
      <c r="B51" s="70" t="s">
        <v>158</v>
      </c>
      <c r="C51" s="111"/>
      <c r="E51" s="90">
        <v>4.1666666666666664E-2</v>
      </c>
      <c r="F51" s="72">
        <v>8.3333333333333301E-2</v>
      </c>
      <c r="G51" s="72">
        <v>0.125</v>
      </c>
      <c r="H51" s="72">
        <v>0.16666666666666699</v>
      </c>
      <c r="I51" s="72">
        <v>0.20833333333333301</v>
      </c>
      <c r="J51" s="72">
        <v>0.25</v>
      </c>
      <c r="K51" s="72">
        <v>0.29166666666666702</v>
      </c>
      <c r="L51" s="72">
        <v>0.33333333333333298</v>
      </c>
      <c r="M51" s="72">
        <v>0.375</v>
      </c>
      <c r="N51" s="72">
        <v>0.41666666666666702</v>
      </c>
      <c r="O51" s="72">
        <v>0.45833333333333298</v>
      </c>
      <c r="P51" s="72">
        <v>0.5</v>
      </c>
      <c r="Q51" s="72">
        <v>0.54166666666666696</v>
      </c>
      <c r="R51" s="72">
        <v>0.58333333333333304</v>
      </c>
      <c r="S51" s="72">
        <v>0.625</v>
      </c>
      <c r="T51" s="72">
        <v>0.66666666666666696</v>
      </c>
      <c r="U51" s="72">
        <v>0.70833333333333304</v>
      </c>
      <c r="V51" s="72">
        <v>0.75</v>
      </c>
      <c r="W51" s="72">
        <v>0.79166666666666696</v>
      </c>
      <c r="X51" s="72">
        <v>0.83333333333333304</v>
      </c>
      <c r="Y51" s="72">
        <v>0.875</v>
      </c>
      <c r="Z51" s="72">
        <v>0.91666666666666696</v>
      </c>
      <c r="AA51" s="72">
        <v>0.95833333333333404</v>
      </c>
      <c r="AB51" s="72">
        <v>1</v>
      </c>
      <c r="AC51" s="71">
        <v>1.0416666666666701</v>
      </c>
      <c r="AD51" s="72">
        <v>1.0833333333333299</v>
      </c>
      <c r="AE51" s="72">
        <v>0.125</v>
      </c>
      <c r="AF51" s="72">
        <v>0.16666666666666699</v>
      </c>
      <c r="AG51" s="72">
        <v>0.20833333333333301</v>
      </c>
      <c r="AH51" s="72">
        <v>0.25</v>
      </c>
      <c r="AI51" s="72">
        <v>0.29166666666666702</v>
      </c>
      <c r="AJ51" s="72">
        <v>0.33333333333333298</v>
      </c>
      <c r="AK51" s="72">
        <v>0.375</v>
      </c>
      <c r="AL51" s="72">
        <v>0.41666666666666702</v>
      </c>
      <c r="AM51" s="72">
        <v>0.45833333333333298</v>
      </c>
      <c r="AN51" s="72">
        <v>0.5</v>
      </c>
      <c r="AO51" s="72">
        <v>0.54166666666666696</v>
      </c>
      <c r="AP51" s="72">
        <v>0.58333333333333304</v>
      </c>
      <c r="AQ51" s="72">
        <v>0.625</v>
      </c>
      <c r="AR51" s="72">
        <v>0.66666666666666696</v>
      </c>
      <c r="AS51" s="72">
        <v>0.70833333333333304</v>
      </c>
      <c r="AT51" s="72">
        <v>0.75</v>
      </c>
      <c r="AU51" s="72">
        <v>0.79166666666666696</v>
      </c>
      <c r="AV51" s="72">
        <v>0.83333333333333304</v>
      </c>
      <c r="AW51" s="72">
        <v>0.875</v>
      </c>
      <c r="AX51" s="72">
        <v>0.91666666666666696</v>
      </c>
      <c r="AY51" s="72">
        <v>0.95833333333333404</v>
      </c>
      <c r="AZ51" s="72">
        <v>1</v>
      </c>
      <c r="BA51" s="71">
        <v>1.0416666666666701</v>
      </c>
      <c r="BB51" s="72">
        <v>1.0833333333333299</v>
      </c>
      <c r="BC51" s="72">
        <v>0.125</v>
      </c>
      <c r="BD51" s="72">
        <v>0.16666666666666699</v>
      </c>
      <c r="BE51" s="72">
        <v>0.20833333333333301</v>
      </c>
      <c r="BF51" s="72">
        <v>0.25</v>
      </c>
      <c r="BG51" s="72">
        <v>0.29166666666666702</v>
      </c>
      <c r="BH51" s="72">
        <v>0.33333333333333298</v>
      </c>
      <c r="BI51" s="72">
        <v>0.375</v>
      </c>
      <c r="BJ51" s="72">
        <v>0.41666666666666702</v>
      </c>
      <c r="BK51" s="72">
        <v>0.45833333333333298</v>
      </c>
      <c r="BL51" s="72">
        <v>0.5</v>
      </c>
      <c r="BM51" s="72">
        <v>0.54166666666666696</v>
      </c>
      <c r="BN51" s="72">
        <v>0.58333333333333304</v>
      </c>
      <c r="BO51" s="72">
        <v>0.625</v>
      </c>
      <c r="BP51" s="72">
        <v>0.66666666666666696</v>
      </c>
      <c r="BQ51" s="72">
        <v>0.70833333333333304</v>
      </c>
      <c r="BR51" s="72">
        <v>0.75</v>
      </c>
      <c r="BS51" s="72">
        <v>0.79166666666666696</v>
      </c>
      <c r="BT51" s="72">
        <v>0.83333333333333304</v>
      </c>
      <c r="BU51" s="72">
        <v>0.875</v>
      </c>
      <c r="BV51" s="72">
        <v>0.91666666666666696</v>
      </c>
      <c r="BW51" s="72">
        <v>0.95833333333333404</v>
      </c>
      <c r="BX51" s="72">
        <v>1</v>
      </c>
      <c r="BY51" s="71"/>
    </row>
    <row r="52" spans="2:77" x14ac:dyDescent="0.25">
      <c r="B52" s="54" t="s">
        <v>100</v>
      </c>
      <c r="D52" s="380">
        <v>2</v>
      </c>
      <c r="E52" s="74">
        <f>D56-D58+E53</f>
        <v>4.5833333333333339</v>
      </c>
      <c r="F52" s="74">
        <f>E56-E58+F53</f>
        <v>5.9416666666666673</v>
      </c>
      <c r="G52" s="74">
        <f t="shared" ref="G52:BR52" si="257">F56-F58+G53</f>
        <v>7.3000000000000007</v>
      </c>
      <c r="H52" s="74">
        <f t="shared" si="257"/>
        <v>8.6583333333333332</v>
      </c>
      <c r="I52" s="74">
        <f t="shared" si="257"/>
        <v>10.016666666666666</v>
      </c>
      <c r="J52" s="74">
        <f t="shared" si="257"/>
        <v>11.374999999999998</v>
      </c>
      <c r="K52" s="74">
        <f t="shared" si="257"/>
        <v>13.983333333333331</v>
      </c>
      <c r="L52" s="74">
        <f t="shared" si="257"/>
        <v>7.916666666666667</v>
      </c>
      <c r="M52" s="74">
        <f t="shared" si="257"/>
        <v>1.8500000000000003</v>
      </c>
      <c r="N52" s="74">
        <f t="shared" si="257"/>
        <v>2.5833333333333339</v>
      </c>
      <c r="O52" s="74">
        <f t="shared" si="257"/>
        <v>7.3166666666666673</v>
      </c>
      <c r="P52" s="74">
        <f t="shared" si="257"/>
        <v>2.0500000000000016</v>
      </c>
      <c r="Q52" s="74">
        <f t="shared" si="257"/>
        <v>6.783333333333335</v>
      </c>
      <c r="R52" s="74">
        <f t="shared" si="257"/>
        <v>3.5166666666666702</v>
      </c>
      <c r="S52" s="74">
        <f t="shared" si="257"/>
        <v>8.2500000000000036</v>
      </c>
      <c r="T52" s="74">
        <f t="shared" si="257"/>
        <v>2.9833333333333387</v>
      </c>
      <c r="U52" s="74">
        <f t="shared" si="257"/>
        <v>7.7166666666666721</v>
      </c>
      <c r="V52" s="74">
        <f t="shared" si="257"/>
        <v>2.4500000000000073</v>
      </c>
      <c r="W52" s="74">
        <f t="shared" si="257"/>
        <v>7.1833333333333407</v>
      </c>
      <c r="X52" s="74">
        <f t="shared" si="257"/>
        <v>11.116666666666674</v>
      </c>
      <c r="Y52" s="74">
        <f t="shared" si="257"/>
        <v>5.0500000000000087</v>
      </c>
      <c r="Z52" s="74">
        <f t="shared" si="257"/>
        <v>8.9833333333333414</v>
      </c>
      <c r="AA52" s="74">
        <f t="shared" si="257"/>
        <v>1.6666666666666756</v>
      </c>
      <c r="AB52" s="74">
        <f t="shared" si="257"/>
        <v>3.0250000000000088</v>
      </c>
      <c r="AC52" s="73">
        <f t="shared" si="257"/>
        <v>4.3833333333333426</v>
      </c>
      <c r="AD52" s="74">
        <f t="shared" si="257"/>
        <v>5.741666666666676</v>
      </c>
      <c r="AE52" s="74">
        <f t="shared" si="257"/>
        <v>7.1000000000000094</v>
      </c>
      <c r="AF52" s="74">
        <f t="shared" si="257"/>
        <v>8.458333333333341</v>
      </c>
      <c r="AG52" s="74">
        <f t="shared" si="257"/>
        <v>9.8166666666666735</v>
      </c>
      <c r="AH52" s="74">
        <f t="shared" si="257"/>
        <v>11.175000000000006</v>
      </c>
      <c r="AI52" s="74">
        <f t="shared" si="257"/>
        <v>12.533333333333339</v>
      </c>
      <c r="AJ52" s="74">
        <f t="shared" si="257"/>
        <v>15.141666666666671</v>
      </c>
      <c r="AK52" s="74">
        <f t="shared" si="257"/>
        <v>9.0750000000000046</v>
      </c>
      <c r="AL52" s="74">
        <f t="shared" si="257"/>
        <v>3.8083333333333398</v>
      </c>
      <c r="AM52" s="74">
        <f t="shared" si="257"/>
        <v>8.5416666666666732</v>
      </c>
      <c r="AN52" s="74">
        <f t="shared" si="257"/>
        <v>3.2750000000000083</v>
      </c>
      <c r="AO52" s="74">
        <f t="shared" si="257"/>
        <v>8.0083333333333417</v>
      </c>
      <c r="AP52" s="74">
        <f t="shared" si="257"/>
        <v>2.7416666666666769</v>
      </c>
      <c r="AQ52" s="74">
        <f t="shared" si="257"/>
        <v>7.4750000000000103</v>
      </c>
      <c r="AR52" s="74">
        <f t="shared" si="257"/>
        <v>2.2083333333333455</v>
      </c>
      <c r="AS52" s="74">
        <f t="shared" si="257"/>
        <v>6.9416666666666789</v>
      </c>
      <c r="AT52" s="74">
        <f t="shared" si="257"/>
        <v>1.6750000000000138</v>
      </c>
      <c r="AU52" s="74">
        <f t="shared" si="257"/>
        <v>6.4083333333333474</v>
      </c>
      <c r="AV52" s="74">
        <f t="shared" si="257"/>
        <v>10.341666666666681</v>
      </c>
      <c r="AW52" s="74">
        <f t="shared" si="257"/>
        <v>4.2750000000000155</v>
      </c>
      <c r="AX52" s="74">
        <f t="shared" si="257"/>
        <v>8.2083333333333481</v>
      </c>
      <c r="AY52" s="74">
        <f t="shared" si="257"/>
        <v>0.89166666666668237</v>
      </c>
      <c r="AZ52" s="74">
        <f t="shared" si="257"/>
        <v>2.2500000000000155</v>
      </c>
      <c r="BA52" s="73">
        <f t="shared" si="257"/>
        <v>3.6083333333333489</v>
      </c>
      <c r="BB52" s="74">
        <f t="shared" si="257"/>
        <v>4.9666666666666828</v>
      </c>
      <c r="BC52" s="74">
        <f t="shared" si="257"/>
        <v>6.3250000000000162</v>
      </c>
      <c r="BD52" s="74">
        <f t="shared" si="257"/>
        <v>7.6833333333333496</v>
      </c>
      <c r="BE52" s="74">
        <f t="shared" si="257"/>
        <v>9.0416666666666821</v>
      </c>
      <c r="BF52" s="74">
        <f t="shared" si="257"/>
        <v>10.400000000000015</v>
      </c>
      <c r="BG52" s="74">
        <f t="shared" si="257"/>
        <v>11.758333333333347</v>
      </c>
      <c r="BH52" s="74">
        <f t="shared" si="257"/>
        <v>14.36666666666668</v>
      </c>
      <c r="BI52" s="74">
        <f t="shared" si="257"/>
        <v>8.3000000000000131</v>
      </c>
      <c r="BJ52" s="74">
        <f t="shared" si="257"/>
        <v>3.0333333333333483</v>
      </c>
      <c r="BK52" s="74">
        <f t="shared" si="257"/>
        <v>7.7666666666666817</v>
      </c>
      <c r="BL52" s="74">
        <f t="shared" si="257"/>
        <v>2.5000000000000169</v>
      </c>
      <c r="BM52" s="74">
        <f t="shared" si="257"/>
        <v>7.2333333333333503</v>
      </c>
      <c r="BN52" s="74">
        <f t="shared" si="257"/>
        <v>1.9666666666666852</v>
      </c>
      <c r="BO52" s="74">
        <f t="shared" si="257"/>
        <v>6.7000000000000188</v>
      </c>
      <c r="BP52" s="74">
        <f t="shared" si="257"/>
        <v>11.433333333333353</v>
      </c>
      <c r="BQ52" s="74">
        <f t="shared" si="257"/>
        <v>6.1666666666666883</v>
      </c>
      <c r="BR52" s="74">
        <f t="shared" si="257"/>
        <v>10.900000000000022</v>
      </c>
      <c r="BS52" s="74">
        <f t="shared" ref="BS52:BX52" si="258">BR56-BR58+BS53</f>
        <v>5.6333333333333568</v>
      </c>
      <c r="BT52" s="74">
        <f t="shared" si="258"/>
        <v>9.5666666666666895</v>
      </c>
      <c r="BU52" s="74">
        <f t="shared" si="258"/>
        <v>3.500000000000024</v>
      </c>
      <c r="BV52" s="74">
        <f t="shared" si="258"/>
        <v>7.4333333333333576</v>
      </c>
      <c r="BW52" s="74">
        <f t="shared" si="258"/>
        <v>10.11666666666669</v>
      </c>
      <c r="BX52" s="74">
        <f t="shared" si="258"/>
        <v>11.475000000000023</v>
      </c>
      <c r="BY52" s="73"/>
    </row>
    <row r="53" spans="2:77" s="82" customFormat="1" x14ac:dyDescent="0.25">
      <c r="B53" s="354" t="s">
        <v>101</v>
      </c>
      <c r="C53" s="120"/>
      <c r="D53" s="380">
        <f>10/6</f>
        <v>1.6666666666666667</v>
      </c>
      <c r="E53" s="355">
        <f t="shared" ref="E53:AJ53" si="259">IF(D38="T",$D$53*0.25,$D$53)</f>
        <v>0.41666666666666669</v>
      </c>
      <c r="F53" s="356">
        <f t="shared" si="259"/>
        <v>0.41666666666666669</v>
      </c>
      <c r="G53" s="356">
        <f t="shared" si="259"/>
        <v>0.41666666666666669</v>
      </c>
      <c r="H53" s="356">
        <f t="shared" si="259"/>
        <v>0.41666666666666669</v>
      </c>
      <c r="I53" s="356">
        <f t="shared" si="259"/>
        <v>0.41666666666666669</v>
      </c>
      <c r="J53" s="356">
        <f t="shared" si="259"/>
        <v>0.41666666666666669</v>
      </c>
      <c r="K53" s="356">
        <f t="shared" si="259"/>
        <v>1.6666666666666667</v>
      </c>
      <c r="L53" s="356">
        <f t="shared" si="259"/>
        <v>1.6666666666666667</v>
      </c>
      <c r="M53" s="356">
        <f t="shared" si="259"/>
        <v>1.6666666666666667</v>
      </c>
      <c r="N53" s="356">
        <f t="shared" si="259"/>
        <v>1.6666666666666667</v>
      </c>
      <c r="O53" s="356">
        <f t="shared" si="259"/>
        <v>1.6666666666666667</v>
      </c>
      <c r="P53" s="356">
        <f t="shared" si="259"/>
        <v>1.6666666666666667</v>
      </c>
      <c r="Q53" s="356">
        <f t="shared" si="259"/>
        <v>1.6666666666666667</v>
      </c>
      <c r="R53" s="356">
        <f t="shared" si="259"/>
        <v>1.6666666666666667</v>
      </c>
      <c r="S53" s="356">
        <f t="shared" si="259"/>
        <v>1.6666666666666667</v>
      </c>
      <c r="T53" s="356">
        <f t="shared" si="259"/>
        <v>1.6666666666666667</v>
      </c>
      <c r="U53" s="356">
        <f t="shared" si="259"/>
        <v>1.6666666666666667</v>
      </c>
      <c r="V53" s="356">
        <f t="shared" si="259"/>
        <v>1.6666666666666667</v>
      </c>
      <c r="W53" s="356">
        <f t="shared" si="259"/>
        <v>1.6666666666666667</v>
      </c>
      <c r="X53" s="356">
        <f t="shared" si="259"/>
        <v>1.6666666666666667</v>
      </c>
      <c r="Y53" s="356">
        <f t="shared" si="259"/>
        <v>1.6666666666666667</v>
      </c>
      <c r="Z53" s="356">
        <f t="shared" si="259"/>
        <v>1.6666666666666667</v>
      </c>
      <c r="AA53" s="356">
        <f t="shared" si="259"/>
        <v>0.41666666666666669</v>
      </c>
      <c r="AB53" s="356">
        <f t="shared" si="259"/>
        <v>0.41666666666666669</v>
      </c>
      <c r="AC53" s="357">
        <f t="shared" si="259"/>
        <v>0.41666666666666669</v>
      </c>
      <c r="AD53" s="356">
        <f t="shared" si="259"/>
        <v>0.41666666666666669</v>
      </c>
      <c r="AE53" s="356">
        <f t="shared" si="259"/>
        <v>0.41666666666666669</v>
      </c>
      <c r="AF53" s="356">
        <f t="shared" si="259"/>
        <v>0.41666666666666669</v>
      </c>
      <c r="AG53" s="356">
        <f t="shared" si="259"/>
        <v>0.41666666666666669</v>
      </c>
      <c r="AH53" s="356">
        <f t="shared" si="259"/>
        <v>0.41666666666666669</v>
      </c>
      <c r="AI53" s="356">
        <f t="shared" si="259"/>
        <v>0.41666666666666669</v>
      </c>
      <c r="AJ53" s="356">
        <f t="shared" si="259"/>
        <v>1.6666666666666667</v>
      </c>
      <c r="AK53" s="356">
        <f t="shared" ref="AK53:BP53" si="260">IF(AJ38="T",$D$53*0.25,$D$53)</f>
        <v>1.6666666666666667</v>
      </c>
      <c r="AL53" s="356">
        <f t="shared" si="260"/>
        <v>1.6666666666666667</v>
      </c>
      <c r="AM53" s="356">
        <f t="shared" si="260"/>
        <v>1.6666666666666667</v>
      </c>
      <c r="AN53" s="356">
        <f t="shared" si="260"/>
        <v>1.6666666666666667</v>
      </c>
      <c r="AO53" s="356">
        <f t="shared" si="260"/>
        <v>1.6666666666666667</v>
      </c>
      <c r="AP53" s="356">
        <f t="shared" si="260"/>
        <v>1.6666666666666667</v>
      </c>
      <c r="AQ53" s="356">
        <f t="shared" si="260"/>
        <v>1.6666666666666667</v>
      </c>
      <c r="AR53" s="356">
        <f t="shared" si="260"/>
        <v>1.6666666666666667</v>
      </c>
      <c r="AS53" s="356">
        <f t="shared" si="260"/>
        <v>1.6666666666666667</v>
      </c>
      <c r="AT53" s="356">
        <f t="shared" si="260"/>
        <v>1.6666666666666667</v>
      </c>
      <c r="AU53" s="356">
        <f t="shared" si="260"/>
        <v>1.6666666666666667</v>
      </c>
      <c r="AV53" s="356">
        <f t="shared" si="260"/>
        <v>1.6666666666666667</v>
      </c>
      <c r="AW53" s="356">
        <f t="shared" si="260"/>
        <v>1.6666666666666667</v>
      </c>
      <c r="AX53" s="356">
        <f t="shared" si="260"/>
        <v>1.6666666666666667</v>
      </c>
      <c r="AY53" s="356">
        <f t="shared" si="260"/>
        <v>0.41666666666666669</v>
      </c>
      <c r="AZ53" s="356">
        <f t="shared" si="260"/>
        <v>0.41666666666666669</v>
      </c>
      <c r="BA53" s="357">
        <f t="shared" si="260"/>
        <v>0.41666666666666669</v>
      </c>
      <c r="BB53" s="356">
        <f t="shared" si="260"/>
        <v>0.41666666666666669</v>
      </c>
      <c r="BC53" s="356">
        <f t="shared" si="260"/>
        <v>0.41666666666666669</v>
      </c>
      <c r="BD53" s="356">
        <f t="shared" si="260"/>
        <v>0.41666666666666669</v>
      </c>
      <c r="BE53" s="356">
        <f t="shared" si="260"/>
        <v>0.41666666666666669</v>
      </c>
      <c r="BF53" s="356">
        <f t="shared" si="260"/>
        <v>0.41666666666666669</v>
      </c>
      <c r="BG53" s="356">
        <f t="shared" si="260"/>
        <v>0.41666666666666669</v>
      </c>
      <c r="BH53" s="356">
        <f t="shared" si="260"/>
        <v>1.6666666666666667</v>
      </c>
      <c r="BI53" s="356">
        <f t="shared" si="260"/>
        <v>1.6666666666666667</v>
      </c>
      <c r="BJ53" s="356">
        <f t="shared" si="260"/>
        <v>1.6666666666666667</v>
      </c>
      <c r="BK53" s="356">
        <f t="shared" si="260"/>
        <v>1.6666666666666667</v>
      </c>
      <c r="BL53" s="356">
        <f t="shared" si="260"/>
        <v>1.6666666666666667</v>
      </c>
      <c r="BM53" s="356">
        <f t="shared" si="260"/>
        <v>1.6666666666666667</v>
      </c>
      <c r="BN53" s="356">
        <f t="shared" si="260"/>
        <v>1.6666666666666667</v>
      </c>
      <c r="BO53" s="356">
        <f t="shared" si="260"/>
        <v>1.6666666666666667</v>
      </c>
      <c r="BP53" s="356">
        <f t="shared" si="260"/>
        <v>1.6666666666666667</v>
      </c>
      <c r="BQ53" s="356">
        <f t="shared" ref="BQ53:BX53" si="261">IF(BP38="T",$D$53*0.25,$D$53)</f>
        <v>1.6666666666666667</v>
      </c>
      <c r="BR53" s="356">
        <f t="shared" si="261"/>
        <v>1.6666666666666667</v>
      </c>
      <c r="BS53" s="356">
        <f t="shared" si="261"/>
        <v>1.6666666666666667</v>
      </c>
      <c r="BT53" s="356">
        <f t="shared" si="261"/>
        <v>1.6666666666666667</v>
      </c>
      <c r="BU53" s="356">
        <f t="shared" si="261"/>
        <v>1.6666666666666667</v>
      </c>
      <c r="BV53" s="356">
        <f t="shared" si="261"/>
        <v>1.6666666666666667</v>
      </c>
      <c r="BW53" s="356">
        <f t="shared" si="261"/>
        <v>0.41666666666666669</v>
      </c>
      <c r="BX53" s="356">
        <f t="shared" si="261"/>
        <v>0.41666666666666669</v>
      </c>
      <c r="BY53" s="357"/>
    </row>
    <row r="54" spans="2:77" s="329" customFormat="1" x14ac:dyDescent="0.25">
      <c r="B54" s="358" t="s">
        <v>88</v>
      </c>
      <c r="C54" s="359"/>
      <c r="D54" s="376">
        <v>0.5</v>
      </c>
      <c r="E54" s="361">
        <v>0.5</v>
      </c>
      <c r="F54" s="329">
        <v>0.5</v>
      </c>
      <c r="G54" s="329">
        <v>0.5</v>
      </c>
      <c r="H54" s="329">
        <v>0.5</v>
      </c>
      <c r="I54" s="329">
        <v>0.5</v>
      </c>
      <c r="J54" s="329">
        <v>0.5</v>
      </c>
      <c r="K54" s="329">
        <v>0.5</v>
      </c>
      <c r="L54" s="329">
        <v>0.5</v>
      </c>
      <c r="M54" s="329">
        <v>1.3</v>
      </c>
      <c r="N54" s="329">
        <v>1.3</v>
      </c>
      <c r="O54" s="329">
        <v>1.3</v>
      </c>
      <c r="P54" s="329">
        <v>1.3</v>
      </c>
      <c r="Q54" s="329">
        <v>1.3</v>
      </c>
      <c r="R54" s="329">
        <v>1.3</v>
      </c>
      <c r="S54" s="329">
        <v>1.3</v>
      </c>
      <c r="T54" s="329">
        <v>1.3</v>
      </c>
      <c r="U54" s="329">
        <v>1.3</v>
      </c>
      <c r="V54" s="329">
        <v>1.3</v>
      </c>
      <c r="W54" s="329">
        <v>0.5</v>
      </c>
      <c r="X54" s="329">
        <v>0.5</v>
      </c>
      <c r="Y54" s="329">
        <v>0.5</v>
      </c>
      <c r="Z54" s="329">
        <v>0.5</v>
      </c>
      <c r="AA54" s="329">
        <v>0.5</v>
      </c>
      <c r="AB54" s="329">
        <v>0.5</v>
      </c>
      <c r="AC54" s="361">
        <v>0.5</v>
      </c>
      <c r="AD54" s="329">
        <v>0.5</v>
      </c>
      <c r="AE54" s="329">
        <v>0.5</v>
      </c>
      <c r="AF54" s="329">
        <v>0.5</v>
      </c>
      <c r="AG54" s="329">
        <v>0.5</v>
      </c>
      <c r="AH54" s="329">
        <v>0.5</v>
      </c>
      <c r="AI54" s="329">
        <v>0.5</v>
      </c>
      <c r="AJ54" s="329">
        <v>0.5</v>
      </c>
      <c r="AK54" s="329">
        <v>1.3</v>
      </c>
      <c r="AL54" s="329">
        <v>1.3</v>
      </c>
      <c r="AM54" s="329">
        <v>1.3</v>
      </c>
      <c r="AN54" s="329">
        <v>1.3</v>
      </c>
      <c r="AO54" s="329">
        <v>1.3</v>
      </c>
      <c r="AP54" s="329">
        <v>1.3</v>
      </c>
      <c r="AQ54" s="329">
        <v>1.3</v>
      </c>
      <c r="AR54" s="329">
        <v>1.3</v>
      </c>
      <c r="AS54" s="329">
        <v>1.3</v>
      </c>
      <c r="AT54" s="329">
        <v>1.3</v>
      </c>
      <c r="AU54" s="329">
        <v>0.5</v>
      </c>
      <c r="AV54" s="329">
        <v>0.5</v>
      </c>
      <c r="AW54" s="329">
        <v>0.5</v>
      </c>
      <c r="AX54" s="329">
        <v>0.5</v>
      </c>
      <c r="AY54" s="329">
        <v>0.5</v>
      </c>
      <c r="AZ54" s="329">
        <v>0.5</v>
      </c>
      <c r="BA54" s="361">
        <v>0.5</v>
      </c>
      <c r="BB54" s="329">
        <v>0.5</v>
      </c>
      <c r="BC54" s="329">
        <v>0.5</v>
      </c>
      <c r="BD54" s="329">
        <v>0.5</v>
      </c>
      <c r="BE54" s="329">
        <v>0.5</v>
      </c>
      <c r="BF54" s="329">
        <v>0.5</v>
      </c>
      <c r="BG54" s="329">
        <v>0.5</v>
      </c>
      <c r="BH54" s="329">
        <v>0.5</v>
      </c>
      <c r="BI54" s="329">
        <v>1.3</v>
      </c>
      <c r="BJ54" s="329">
        <v>1.3</v>
      </c>
      <c r="BK54" s="329">
        <v>1.3</v>
      </c>
      <c r="BL54" s="329">
        <v>1.3</v>
      </c>
      <c r="BM54" s="329">
        <v>1.3</v>
      </c>
      <c r="BN54" s="329">
        <v>1.3</v>
      </c>
      <c r="BO54" s="329">
        <v>1.3</v>
      </c>
      <c r="BP54" s="329">
        <v>1.3</v>
      </c>
      <c r="BQ54" s="329">
        <v>1.3</v>
      </c>
      <c r="BR54" s="329">
        <v>1.3</v>
      </c>
      <c r="BS54" s="329">
        <v>0.5</v>
      </c>
      <c r="BT54" s="329">
        <v>0.5</v>
      </c>
      <c r="BU54" s="329">
        <v>0.5</v>
      </c>
      <c r="BV54" s="329">
        <v>0.5</v>
      </c>
      <c r="BW54" s="329">
        <v>0.5</v>
      </c>
      <c r="BX54" s="329">
        <v>0.5</v>
      </c>
      <c r="BY54" s="362"/>
    </row>
    <row r="55" spans="2:77" x14ac:dyDescent="0.25">
      <c r="B55" s="54" t="s">
        <v>89</v>
      </c>
      <c r="D55" s="333">
        <v>1</v>
      </c>
      <c r="E55" s="66">
        <v>1.06</v>
      </c>
      <c r="F55" s="58">
        <v>1.06</v>
      </c>
      <c r="G55" s="58">
        <v>1.06</v>
      </c>
      <c r="H55" s="58">
        <v>1.06</v>
      </c>
      <c r="I55" s="58">
        <v>1.06</v>
      </c>
      <c r="J55" s="58">
        <v>1.06</v>
      </c>
      <c r="K55" s="58">
        <v>1.06</v>
      </c>
      <c r="L55" s="58">
        <v>1.06</v>
      </c>
      <c r="M55" s="58">
        <v>1.06</v>
      </c>
      <c r="N55" s="58">
        <v>1.06</v>
      </c>
      <c r="O55" s="58">
        <v>1.06</v>
      </c>
      <c r="P55" s="58">
        <v>1.06</v>
      </c>
      <c r="Q55" s="58">
        <v>1.06</v>
      </c>
      <c r="R55" s="58">
        <v>1.06</v>
      </c>
      <c r="S55" s="58">
        <v>1.06</v>
      </c>
      <c r="T55" s="58">
        <v>1.06</v>
      </c>
      <c r="U55" s="58">
        <v>1.06</v>
      </c>
      <c r="V55" s="58">
        <v>1.06</v>
      </c>
      <c r="W55" s="58">
        <v>1.06</v>
      </c>
      <c r="X55" s="58">
        <v>1.06</v>
      </c>
      <c r="Y55" s="58">
        <v>1.06</v>
      </c>
      <c r="Z55" s="58">
        <v>1.06</v>
      </c>
      <c r="AA55" s="58">
        <v>1.06</v>
      </c>
      <c r="AB55" s="58">
        <v>1.06</v>
      </c>
      <c r="AC55" s="57">
        <v>1.06</v>
      </c>
      <c r="AD55" s="58">
        <v>1.06</v>
      </c>
      <c r="AE55" s="58">
        <v>1.06</v>
      </c>
      <c r="AF55" s="58">
        <v>1.06</v>
      </c>
      <c r="AG55" s="58">
        <v>1.06</v>
      </c>
      <c r="AH55" s="58">
        <v>1.06</v>
      </c>
      <c r="AI55" s="58">
        <v>1.06</v>
      </c>
      <c r="AJ55" s="58">
        <v>1.06</v>
      </c>
      <c r="AK55" s="58">
        <v>1.06</v>
      </c>
      <c r="AL55" s="58">
        <v>1.06</v>
      </c>
      <c r="AM55" s="58">
        <v>1.06</v>
      </c>
      <c r="AN55" s="58">
        <v>1.06</v>
      </c>
      <c r="AO55" s="58">
        <v>1.06</v>
      </c>
      <c r="AP55" s="58">
        <v>1.06</v>
      </c>
      <c r="AQ55" s="58">
        <v>1.06</v>
      </c>
      <c r="AR55" s="58">
        <v>1.06</v>
      </c>
      <c r="AS55" s="58">
        <v>1.06</v>
      </c>
      <c r="AT55" s="58">
        <v>1.06</v>
      </c>
      <c r="AU55" s="58">
        <v>1.06</v>
      </c>
      <c r="AV55" s="58">
        <v>1.06</v>
      </c>
      <c r="AW55" s="58">
        <v>1.06</v>
      </c>
      <c r="AX55" s="58">
        <v>1.06</v>
      </c>
      <c r="AY55" s="58">
        <v>1.06</v>
      </c>
      <c r="AZ55" s="58">
        <v>1.06</v>
      </c>
      <c r="BA55" s="57">
        <v>1.06</v>
      </c>
      <c r="BB55" s="58">
        <v>1.06</v>
      </c>
      <c r="BC55" s="58">
        <v>1.06</v>
      </c>
      <c r="BD55" s="58">
        <v>1.06</v>
      </c>
      <c r="BE55" s="58">
        <v>1.06</v>
      </c>
      <c r="BF55" s="58">
        <v>1.06</v>
      </c>
      <c r="BG55" s="58">
        <v>1.06</v>
      </c>
      <c r="BH55" s="58">
        <v>1.06</v>
      </c>
      <c r="BI55" s="58">
        <v>1.06</v>
      </c>
      <c r="BJ55" s="58">
        <v>1.06</v>
      </c>
      <c r="BK55" s="58">
        <v>1.06</v>
      </c>
      <c r="BL55" s="58">
        <v>1.06</v>
      </c>
      <c r="BM55" s="58">
        <v>1.06</v>
      </c>
      <c r="BN55" s="58">
        <v>1.06</v>
      </c>
      <c r="BO55" s="58">
        <v>1.06</v>
      </c>
      <c r="BP55" s="58">
        <v>1.06</v>
      </c>
      <c r="BQ55" s="58">
        <v>1.06</v>
      </c>
      <c r="BR55" s="58">
        <v>1.06</v>
      </c>
      <c r="BS55" s="58">
        <v>1.06</v>
      </c>
      <c r="BT55" s="58">
        <v>1.06</v>
      </c>
      <c r="BU55" s="58">
        <v>1.06</v>
      </c>
      <c r="BV55" s="58">
        <v>1.06</v>
      </c>
      <c r="BW55" s="58">
        <v>1.06</v>
      </c>
      <c r="BX55" s="58">
        <v>1.06</v>
      </c>
      <c r="BY55" s="57"/>
    </row>
    <row r="56" spans="2:77" x14ac:dyDescent="0.25">
      <c r="B56" s="54" t="s">
        <v>129</v>
      </c>
      <c r="D56" s="335">
        <f>(D52+D53+D54)*D55</f>
        <v>4.166666666666667</v>
      </c>
      <c r="E56" s="61">
        <f>E52+(E53*E55)+E54</f>
        <v>5.5250000000000004</v>
      </c>
      <c r="F56" s="74">
        <f t="shared" ref="F56:BQ56" si="262">F52+(F53*F55)+F54</f>
        <v>6.8833333333333337</v>
      </c>
      <c r="G56" s="74">
        <f t="shared" si="262"/>
        <v>8.2416666666666671</v>
      </c>
      <c r="H56" s="74">
        <f t="shared" si="262"/>
        <v>9.6</v>
      </c>
      <c r="I56" s="74">
        <f t="shared" si="262"/>
        <v>10.958333333333332</v>
      </c>
      <c r="J56" s="74">
        <f t="shared" si="262"/>
        <v>12.316666666666665</v>
      </c>
      <c r="K56" s="74">
        <f t="shared" si="262"/>
        <v>16.25</v>
      </c>
      <c r="L56" s="74">
        <f t="shared" si="262"/>
        <v>10.183333333333334</v>
      </c>
      <c r="M56" s="74">
        <f t="shared" si="262"/>
        <v>4.916666666666667</v>
      </c>
      <c r="N56" s="74">
        <f t="shared" si="262"/>
        <v>5.65</v>
      </c>
      <c r="O56" s="74">
        <f t="shared" si="262"/>
        <v>10.383333333333335</v>
      </c>
      <c r="P56" s="74">
        <f t="shared" si="262"/>
        <v>5.116666666666668</v>
      </c>
      <c r="Q56" s="74">
        <f t="shared" si="262"/>
        <v>9.8500000000000032</v>
      </c>
      <c r="R56" s="74">
        <f t="shared" si="262"/>
        <v>6.5833333333333366</v>
      </c>
      <c r="S56" s="74">
        <f t="shared" si="262"/>
        <v>11.316666666666672</v>
      </c>
      <c r="T56" s="74">
        <f t="shared" si="262"/>
        <v>6.0500000000000052</v>
      </c>
      <c r="U56" s="74">
        <f t="shared" si="262"/>
        <v>10.78333333333334</v>
      </c>
      <c r="V56" s="74">
        <f t="shared" si="262"/>
        <v>5.5166666666666737</v>
      </c>
      <c r="W56" s="74">
        <f t="shared" si="262"/>
        <v>9.4500000000000082</v>
      </c>
      <c r="X56" s="74">
        <f t="shared" si="262"/>
        <v>13.383333333333342</v>
      </c>
      <c r="Y56" s="74">
        <f t="shared" si="262"/>
        <v>7.3166666666666753</v>
      </c>
      <c r="Z56" s="74">
        <f t="shared" si="262"/>
        <v>11.250000000000009</v>
      </c>
      <c r="AA56" s="74">
        <f t="shared" si="262"/>
        <v>2.6083333333333423</v>
      </c>
      <c r="AB56" s="74">
        <f t="shared" si="262"/>
        <v>3.9666666666666757</v>
      </c>
      <c r="AC56" s="73">
        <f t="shared" si="262"/>
        <v>5.3250000000000091</v>
      </c>
      <c r="AD56" s="74">
        <f t="shared" si="262"/>
        <v>6.6833333333333425</v>
      </c>
      <c r="AE56" s="74">
        <f t="shared" si="262"/>
        <v>8.041666666666675</v>
      </c>
      <c r="AF56" s="74">
        <f t="shared" si="262"/>
        <v>9.4000000000000075</v>
      </c>
      <c r="AG56" s="74">
        <f t="shared" si="262"/>
        <v>10.75833333333334</v>
      </c>
      <c r="AH56" s="74">
        <f t="shared" si="262"/>
        <v>12.116666666666672</v>
      </c>
      <c r="AI56" s="74">
        <f t="shared" si="262"/>
        <v>13.475000000000005</v>
      </c>
      <c r="AJ56" s="74">
        <f t="shared" si="262"/>
        <v>17.408333333333339</v>
      </c>
      <c r="AK56" s="74">
        <f t="shared" si="262"/>
        <v>12.141666666666673</v>
      </c>
      <c r="AL56" s="74">
        <f t="shared" si="262"/>
        <v>6.8750000000000062</v>
      </c>
      <c r="AM56" s="74">
        <f t="shared" si="262"/>
        <v>11.608333333333341</v>
      </c>
      <c r="AN56" s="74">
        <f t="shared" si="262"/>
        <v>6.3416666666666748</v>
      </c>
      <c r="AO56" s="74">
        <f t="shared" si="262"/>
        <v>11.07500000000001</v>
      </c>
      <c r="AP56" s="74">
        <f t="shared" si="262"/>
        <v>5.8083333333333433</v>
      </c>
      <c r="AQ56" s="74">
        <f t="shared" si="262"/>
        <v>10.541666666666679</v>
      </c>
      <c r="AR56" s="74">
        <f t="shared" si="262"/>
        <v>5.2750000000000119</v>
      </c>
      <c r="AS56" s="74">
        <f t="shared" si="262"/>
        <v>10.008333333333347</v>
      </c>
      <c r="AT56" s="74">
        <f t="shared" si="262"/>
        <v>4.7416666666666805</v>
      </c>
      <c r="AU56" s="74">
        <f t="shared" si="262"/>
        <v>8.6750000000000149</v>
      </c>
      <c r="AV56" s="74">
        <f t="shared" si="262"/>
        <v>12.608333333333348</v>
      </c>
      <c r="AW56" s="74">
        <f t="shared" si="262"/>
        <v>6.5416666666666821</v>
      </c>
      <c r="AX56" s="74">
        <f t="shared" si="262"/>
        <v>10.475000000000016</v>
      </c>
      <c r="AY56" s="74">
        <f t="shared" si="262"/>
        <v>1.833333333333349</v>
      </c>
      <c r="AZ56" s="74">
        <f t="shared" si="262"/>
        <v>3.1916666666666824</v>
      </c>
      <c r="BA56" s="73">
        <f t="shared" si="262"/>
        <v>4.5500000000000158</v>
      </c>
      <c r="BB56" s="74">
        <f t="shared" si="262"/>
        <v>5.9083333333333492</v>
      </c>
      <c r="BC56" s="74">
        <f t="shared" si="262"/>
        <v>7.2666666666666826</v>
      </c>
      <c r="BD56" s="74">
        <f t="shared" si="262"/>
        <v>8.625000000000016</v>
      </c>
      <c r="BE56" s="74">
        <f t="shared" si="262"/>
        <v>9.9833333333333485</v>
      </c>
      <c r="BF56" s="74">
        <f t="shared" si="262"/>
        <v>11.341666666666681</v>
      </c>
      <c r="BG56" s="74">
        <f t="shared" si="262"/>
        <v>12.700000000000014</v>
      </c>
      <c r="BH56" s="74">
        <f t="shared" si="262"/>
        <v>16.633333333333347</v>
      </c>
      <c r="BI56" s="74">
        <f t="shared" si="262"/>
        <v>11.366666666666681</v>
      </c>
      <c r="BJ56" s="74">
        <f t="shared" si="262"/>
        <v>6.1000000000000147</v>
      </c>
      <c r="BK56" s="74">
        <f t="shared" si="262"/>
        <v>10.83333333333335</v>
      </c>
      <c r="BL56" s="74">
        <f t="shared" si="262"/>
        <v>5.5666666666666833</v>
      </c>
      <c r="BM56" s="74">
        <f t="shared" si="262"/>
        <v>10.300000000000018</v>
      </c>
      <c r="BN56" s="74">
        <f t="shared" si="262"/>
        <v>5.0333333333333519</v>
      </c>
      <c r="BO56" s="74">
        <f t="shared" si="262"/>
        <v>9.766666666666687</v>
      </c>
      <c r="BP56" s="74">
        <f t="shared" si="262"/>
        <v>14.500000000000021</v>
      </c>
      <c r="BQ56" s="74">
        <f t="shared" si="262"/>
        <v>9.2333333333333556</v>
      </c>
      <c r="BR56" s="74">
        <f t="shared" ref="BR56:BX56" si="263">BR52+(BR53*BR55)+BR54</f>
        <v>13.96666666666669</v>
      </c>
      <c r="BS56" s="74">
        <f t="shared" si="263"/>
        <v>7.9000000000000234</v>
      </c>
      <c r="BT56" s="74">
        <f t="shared" si="263"/>
        <v>11.833333333333357</v>
      </c>
      <c r="BU56" s="74">
        <f t="shared" si="263"/>
        <v>5.7666666666666906</v>
      </c>
      <c r="BV56" s="74">
        <f t="shared" si="263"/>
        <v>9.7000000000000242</v>
      </c>
      <c r="BW56" s="74">
        <f t="shared" si="263"/>
        <v>11.058333333333357</v>
      </c>
      <c r="BX56" s="74">
        <f t="shared" si="263"/>
        <v>12.416666666666689</v>
      </c>
      <c r="BY56" s="73"/>
    </row>
    <row r="57" spans="2:77" x14ac:dyDescent="0.25">
      <c r="B57" s="54" t="s">
        <v>99</v>
      </c>
      <c r="D57" s="335"/>
      <c r="E57" s="61"/>
      <c r="F57" s="74"/>
      <c r="G57" s="74"/>
      <c r="H57" s="74"/>
      <c r="I57" s="74"/>
      <c r="J57" s="74"/>
      <c r="K57" s="74"/>
      <c r="L57" s="74"/>
      <c r="M57" s="74" t="s">
        <v>128</v>
      </c>
      <c r="N57" s="74"/>
      <c r="O57" s="74"/>
      <c r="P57" s="74" t="s">
        <v>128</v>
      </c>
      <c r="Q57" s="74" t="s">
        <v>128</v>
      </c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61"/>
      <c r="AD57" s="74"/>
      <c r="AE57" s="74"/>
      <c r="AF57" s="74"/>
      <c r="AG57" s="74"/>
      <c r="AH57" s="74"/>
      <c r="AI57" s="74"/>
      <c r="AJ57" s="74"/>
      <c r="AK57" s="74" t="s">
        <v>128</v>
      </c>
      <c r="AL57" s="74"/>
      <c r="AM57" s="74" t="s">
        <v>128</v>
      </c>
      <c r="AN57" s="74"/>
      <c r="AO57" s="74" t="s">
        <v>128</v>
      </c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61"/>
      <c r="BB57" s="74"/>
      <c r="BC57" s="74"/>
      <c r="BD57" s="74"/>
      <c r="BE57" s="74"/>
      <c r="BF57" s="74"/>
      <c r="BG57" s="74"/>
      <c r="BH57" s="74"/>
      <c r="BI57" s="74" t="s">
        <v>128</v>
      </c>
      <c r="BJ57" s="74"/>
      <c r="BK57" s="74" t="s">
        <v>128</v>
      </c>
      <c r="BL57" s="74"/>
      <c r="BM57" s="74" t="s">
        <v>128</v>
      </c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3"/>
    </row>
    <row r="58" spans="2:77" s="67" customFormat="1" x14ac:dyDescent="0.25">
      <c r="B58" s="65" t="s">
        <v>102</v>
      </c>
      <c r="C58" s="117"/>
      <c r="D58" s="338">
        <f>IF(B38="B",IF(D56&gt;=10,10,IF(D57="K",IF(D56&gt;=8,8,IF(B48&gt;0,IF(D56&gt;=10,10,4),0)),0)),0)</f>
        <v>0</v>
      </c>
      <c r="E58" s="67">
        <f t="shared" ref="E58" si="264">IF(D38="B",IF(E56&gt;=10,10,IF(E57="K",IF(E56&gt;=8,8,IF(D48&gt;0,IF(E56&gt;=10,10,4),0)),0)),0)</f>
        <v>0</v>
      </c>
      <c r="F58" s="67">
        <f t="shared" ref="F58" si="265">IF(E38="B",IF(F56&gt;=10,10,IF(F57="K",IF(F56&gt;=8,8,IF(E48&gt;0,IF(F56&gt;=10,10,4),0)),0)),0)</f>
        <v>0</v>
      </c>
      <c r="G58" s="67">
        <f t="shared" ref="G58" si="266">IF(F38="B",IF(G56&gt;=10,10,IF(G57="K",IF(G56&gt;=8,8,IF(F48&gt;0,IF(G56&gt;=10,10,4),0)),0)),0)</f>
        <v>0</v>
      </c>
      <c r="H58" s="67">
        <f t="shared" ref="H58" si="267">IF(G38="B",IF(H56&gt;=10,10,IF(H57="K",IF(H56&gt;=8,8,IF(G48&gt;0,IF(H56&gt;=10,10,4),0)),0)),0)</f>
        <v>0</v>
      </c>
      <c r="I58" s="67">
        <f t="shared" ref="I58" si="268">IF(H38="B",IF(I56&gt;=10,10,IF(I57="K",IF(I56&gt;=8,8,IF(H48&gt;0,IF(I56&gt;=10,10,4),0)),0)),0)</f>
        <v>0</v>
      </c>
      <c r="J58" s="67">
        <f t="shared" ref="J58" si="269">IF(I38="B",IF(J56&gt;=10,10,IF(J57="K",IF(J56&gt;=8,8,IF(I48&gt;0,IF(J56&gt;=10,10,4),0)),0)),0)</f>
        <v>0</v>
      </c>
      <c r="K58" s="67">
        <f t="shared" ref="K58" si="270">IF(J38="B",IF(K56&gt;=10,10,IF(K57="K",IF(K56&gt;=8,8,IF(J48&gt;0,IF(K56&gt;=10,10,4),0)),0)),0)</f>
        <v>10</v>
      </c>
      <c r="L58" s="67">
        <f t="shared" ref="L58" si="271">IF(K38="B",IF(L56&gt;=10,10,IF(L57="K",IF(L56&gt;=8,8,IF(K48&gt;0,IF(L56&gt;=10,10,4),0)),0)),0)</f>
        <v>10</v>
      </c>
      <c r="M58" s="67">
        <f t="shared" ref="M58" si="272">IF(L38="B",IF(M56&gt;=10,10,IF(M57="K",IF(M56&gt;=8,8,IF(L48&gt;0,IF(M56&gt;=10,10,4),0)),0)),0)</f>
        <v>4</v>
      </c>
      <c r="N58" s="67">
        <f t="shared" ref="N58" si="273">IF(M38="B",IF(N56&gt;=10,10,IF(N57="K",IF(N56&gt;=8,8,IF(M48&gt;0,IF(N56&gt;=10,10,4),0)),0)),0)</f>
        <v>0</v>
      </c>
      <c r="O58" s="67">
        <f t="shared" ref="O58" si="274">IF(N38="B",IF(O56&gt;=10,10,IF(O57="K",IF(O56&gt;=8,8,IF(N48&gt;0,IF(O56&gt;=10,10,4),0)),0)),0)</f>
        <v>10</v>
      </c>
      <c r="P58" s="67">
        <f t="shared" ref="P58" si="275">IF(O38="B",IF(P56&gt;=10,10,IF(P57="K",IF(P56&gt;=8,8,IF(O48&gt;0,IF(P56&gt;=10,10,4),0)),0)),0)</f>
        <v>0</v>
      </c>
      <c r="Q58" s="67">
        <f t="shared" ref="Q58" si="276">IF(P38="B",IF(Q56&gt;=10,10,IF(Q57="K",IF(Q56&gt;=8,8,IF(P48&gt;0,IF(Q56&gt;=10,10,4),0)),0)),0)</f>
        <v>8</v>
      </c>
      <c r="R58" s="67">
        <f t="shared" ref="R58" si="277">IF(Q38="B",IF(R56&gt;=10,10,IF(R57="K",IF(R56&gt;=8,8,IF(Q48&gt;0,IF(R56&gt;=10,10,4),0)),0)),0)</f>
        <v>0</v>
      </c>
      <c r="S58" s="67">
        <f t="shared" ref="S58" si="278">IF(R38="B",IF(S56&gt;=10,10,IF(S57="K",IF(S56&gt;=8,8,IF(R48&gt;0,IF(S56&gt;=10,10,4),0)),0)),0)</f>
        <v>10</v>
      </c>
      <c r="T58" s="67">
        <f t="shared" ref="T58" si="279">IF(S38="B",IF(T56&gt;=10,10,IF(T57="K",IF(T56&gt;=8,8,IF(S48&gt;0,IF(T56&gt;=10,10,4),0)),0)),0)</f>
        <v>0</v>
      </c>
      <c r="U58" s="67">
        <f t="shared" ref="U58" si="280">IF(T38="B",IF(U56&gt;=10,10,IF(U57="K",IF(U56&gt;=8,8,IF(T48&gt;0,IF(U56&gt;=10,10,4),0)),0)),0)</f>
        <v>10</v>
      </c>
      <c r="V58" s="67">
        <f t="shared" ref="V58" si="281">IF(U38="B",IF(V56&gt;=10,10,IF(V57="K",IF(V56&gt;=8,8,IF(U48&gt;0,IF(V56&gt;=10,10,4),0)),0)),0)</f>
        <v>0</v>
      </c>
      <c r="W58" s="67">
        <f t="shared" ref="W58" si="282">IF(V38="B",IF(W56&gt;=10,10,IF(W57="K",IF(W56&gt;=8,8,IF(V48&gt;0,IF(W56&gt;=10,10,4),0)),0)),0)</f>
        <v>0</v>
      </c>
      <c r="X58" s="67">
        <f t="shared" ref="X58" si="283">IF(W38="B",IF(X56&gt;=10,10,IF(X57="K",IF(X56&gt;=8,8,IF(W48&gt;0,IF(X56&gt;=10,10,4),0)),0)),0)</f>
        <v>10</v>
      </c>
      <c r="Y58" s="67">
        <f t="shared" ref="Y58" si="284">IF(X38="B",IF(Y56&gt;=10,10,IF(Y57="K",IF(Y56&gt;=8,8,IF(X48&gt;0,IF(Y56&gt;=10,10,4),0)),0)),0)</f>
        <v>0</v>
      </c>
      <c r="Z58" s="67">
        <f t="shared" ref="Z58" si="285">IF(Y38="B",IF(Z56&gt;=10,10,IF(Z57="K",IF(Z56&gt;=8,8,IF(Y48&gt;0,IF(Z56&gt;=10,10,4),0)),0)),0)</f>
        <v>10</v>
      </c>
      <c r="AA58" s="67">
        <f t="shared" ref="AA58" si="286">IF(Z38="B",IF(AA56&gt;=10,10,IF(AA57="K",IF(AA56&gt;=8,8,IF(Z48&gt;0,IF(AA56&gt;=10,10,4),0)),0)),0)</f>
        <v>0</v>
      </c>
      <c r="AB58" s="67">
        <f t="shared" ref="AB58" si="287">IF(AA38="B",IF(AB56&gt;=10,10,IF(AB57="K",IF(AB56&gt;=8,8,IF(AA48&gt;0,IF(AB56&gt;=10,10,4),0)),0)),0)</f>
        <v>0</v>
      </c>
      <c r="AC58" s="67">
        <f t="shared" ref="AC58" si="288">IF(AB38="B",IF(AC56&gt;=10,10,IF(AC57="K",IF(AC56&gt;=8,8,IF(AB48&gt;0,IF(AC56&gt;=10,10,4),0)),0)),0)</f>
        <v>0</v>
      </c>
      <c r="AD58" s="67">
        <f t="shared" ref="AD58" si="289">IF(AC38="B",IF(AD56&gt;=10,10,IF(AD57="K",IF(AD56&gt;=8,8,IF(AC48&gt;0,IF(AD56&gt;=10,10,4),0)),0)),0)</f>
        <v>0</v>
      </c>
      <c r="AE58" s="67">
        <f t="shared" ref="AE58" si="290">IF(AD38="B",IF(AE56&gt;=10,10,IF(AE57="K",IF(AE56&gt;=8,8,IF(AD48&gt;0,IF(AE56&gt;=10,10,4),0)),0)),0)</f>
        <v>0</v>
      </c>
      <c r="AF58" s="67">
        <f t="shared" ref="AF58" si="291">IF(AE38="B",IF(AF56&gt;=10,10,IF(AF57="K",IF(AF56&gt;=8,8,IF(AE48&gt;0,IF(AF56&gt;=10,10,4),0)),0)),0)</f>
        <v>0</v>
      </c>
      <c r="AG58" s="67">
        <f t="shared" ref="AG58" si="292">IF(AF38="B",IF(AG56&gt;=10,10,IF(AG57="K",IF(AG56&gt;=8,8,IF(AF48&gt;0,IF(AG56&gt;=10,10,4),0)),0)),0)</f>
        <v>0</v>
      </c>
      <c r="AH58" s="67">
        <f t="shared" ref="AH58" si="293">IF(AG38="B",IF(AH56&gt;=10,10,IF(AH57="K",IF(AH56&gt;=8,8,IF(AG48&gt;0,IF(AH56&gt;=10,10,4),0)),0)),0)</f>
        <v>0</v>
      </c>
      <c r="AI58" s="67">
        <f t="shared" ref="AI58" si="294">IF(AH38="B",IF(AI56&gt;=10,10,IF(AI57="K",IF(AI56&gt;=8,8,IF(AH48&gt;0,IF(AI56&gt;=10,10,4),0)),0)),0)</f>
        <v>0</v>
      </c>
      <c r="AJ58" s="67">
        <f t="shared" ref="AJ58" si="295">IF(AI38="B",IF(AJ56&gt;=10,10,IF(AJ57="K",IF(AJ56&gt;=8,8,IF(AI48&gt;0,IF(AJ56&gt;=10,10,4),0)),0)),0)</f>
        <v>10</v>
      </c>
      <c r="AK58" s="67">
        <f t="shared" ref="AK58" si="296">IF(AJ38="B",IF(AK56&gt;=10,10,IF(AK57="K",IF(AK56&gt;=8,8,IF(AJ48&gt;0,IF(AK56&gt;=10,10,4),0)),0)),0)</f>
        <v>10</v>
      </c>
      <c r="AL58" s="67">
        <f t="shared" ref="AL58" si="297">IF(AK38="B",IF(AL56&gt;=10,10,IF(AL57="K",IF(AL56&gt;=8,8,IF(AK48&gt;0,IF(AL56&gt;=10,10,4),0)),0)),0)</f>
        <v>0</v>
      </c>
      <c r="AM58" s="67">
        <f t="shared" ref="AM58" si="298">IF(AL38="B",IF(AM56&gt;=10,10,IF(AM57="K",IF(AM56&gt;=8,8,IF(AL48&gt;0,IF(AM56&gt;=10,10,4),0)),0)),0)</f>
        <v>10</v>
      </c>
      <c r="AN58" s="67">
        <f t="shared" ref="AN58" si="299">IF(AM38="B",IF(AN56&gt;=10,10,IF(AN57="K",IF(AN56&gt;=8,8,IF(AM48&gt;0,IF(AN56&gt;=10,10,4),0)),0)),0)</f>
        <v>0</v>
      </c>
      <c r="AO58" s="67">
        <f t="shared" ref="AO58" si="300">IF(AN38="B",IF(AO56&gt;=10,10,IF(AO57="K",IF(AO56&gt;=8,8,IF(AN48&gt;0,IF(AO56&gt;=10,10,4),0)),0)),0)</f>
        <v>10</v>
      </c>
      <c r="AP58" s="67">
        <f t="shared" ref="AP58" si="301">IF(AO38="B",IF(AP56&gt;=10,10,IF(AP57="K",IF(AP56&gt;=8,8,IF(AO48&gt;0,IF(AP56&gt;=10,10,4),0)),0)),0)</f>
        <v>0</v>
      </c>
      <c r="AQ58" s="67">
        <f t="shared" ref="AQ58" si="302">IF(AP38="B",IF(AQ56&gt;=10,10,IF(AQ57="K",IF(AQ56&gt;=8,8,IF(AP48&gt;0,IF(AQ56&gt;=10,10,4),0)),0)),0)</f>
        <v>10</v>
      </c>
      <c r="AR58" s="67">
        <f t="shared" ref="AR58" si="303">IF(AQ38="B",IF(AR56&gt;=10,10,IF(AR57="K",IF(AR56&gt;=8,8,IF(AQ48&gt;0,IF(AR56&gt;=10,10,4),0)),0)),0)</f>
        <v>0</v>
      </c>
      <c r="AS58" s="67">
        <f t="shared" ref="AS58" si="304">IF(AR38="B",IF(AS56&gt;=10,10,IF(AS57="K",IF(AS56&gt;=8,8,IF(AR48&gt;0,IF(AS56&gt;=10,10,4),0)),0)),0)</f>
        <v>10</v>
      </c>
      <c r="AT58" s="67">
        <f t="shared" ref="AT58" si="305">IF(AS38="B",IF(AT56&gt;=10,10,IF(AT57="K",IF(AT56&gt;=8,8,IF(AS48&gt;0,IF(AT56&gt;=10,10,4),0)),0)),0)</f>
        <v>0</v>
      </c>
      <c r="AU58" s="67">
        <f t="shared" ref="AU58" si="306">IF(AT38="B",IF(AU56&gt;=10,10,IF(AU57="K",IF(AU56&gt;=8,8,IF(AT48&gt;0,IF(AU56&gt;=10,10,4),0)),0)),0)</f>
        <v>0</v>
      </c>
      <c r="AV58" s="67">
        <f t="shared" ref="AV58" si="307">IF(AU38="B",IF(AV56&gt;=10,10,IF(AV57="K",IF(AV56&gt;=8,8,IF(AU48&gt;0,IF(AV56&gt;=10,10,4),0)),0)),0)</f>
        <v>10</v>
      </c>
      <c r="AW58" s="67">
        <f t="shared" ref="AW58" si="308">IF(AV38="B",IF(AW56&gt;=10,10,IF(AW57="K",IF(AW56&gt;=8,8,IF(AV48&gt;0,IF(AW56&gt;=10,10,4),0)),0)),0)</f>
        <v>0</v>
      </c>
      <c r="AX58" s="67">
        <f t="shared" ref="AX58" si="309">IF(AW38="B",IF(AX56&gt;=10,10,IF(AX57="K",IF(AX56&gt;=8,8,IF(AW48&gt;0,IF(AX56&gt;=10,10,4),0)),0)),0)</f>
        <v>10</v>
      </c>
      <c r="AY58" s="67">
        <f t="shared" ref="AY58" si="310">IF(AX38="B",IF(AY56&gt;=10,10,IF(AY57="K",IF(AY56&gt;=8,8,IF(AX48&gt;0,IF(AY56&gt;=10,10,4),0)),0)),0)</f>
        <v>0</v>
      </c>
      <c r="AZ58" s="67">
        <f t="shared" ref="AZ58" si="311">IF(AY38="B",IF(AZ56&gt;=10,10,IF(AZ57="K",IF(AZ56&gt;=8,8,IF(AY48&gt;0,IF(AZ56&gt;=10,10,4),0)),0)),0)</f>
        <v>0</v>
      </c>
      <c r="BA58" s="67">
        <f t="shared" ref="BA58" si="312">IF(AZ38="B",IF(BA56&gt;=10,10,IF(BA57="K",IF(BA56&gt;=8,8,IF(AZ48&gt;0,IF(BA56&gt;=10,10,4),0)),0)),0)</f>
        <v>0</v>
      </c>
      <c r="BB58" s="67">
        <f t="shared" ref="BB58" si="313">IF(BA38="B",IF(BB56&gt;=10,10,IF(BB57="K",IF(BB56&gt;=8,8,IF(BA48&gt;0,IF(BB56&gt;=10,10,4),0)),0)),0)</f>
        <v>0</v>
      </c>
      <c r="BC58" s="67">
        <f t="shared" ref="BC58" si="314">IF(BB38="B",IF(BC56&gt;=10,10,IF(BC57="K",IF(BC56&gt;=8,8,IF(BB48&gt;0,IF(BC56&gt;=10,10,4),0)),0)),0)</f>
        <v>0</v>
      </c>
      <c r="BD58" s="67">
        <f t="shared" ref="BD58" si="315">IF(BC38="B",IF(BD56&gt;=10,10,IF(BD57="K",IF(BD56&gt;=8,8,IF(BC48&gt;0,IF(BD56&gt;=10,10,4),0)),0)),0)</f>
        <v>0</v>
      </c>
      <c r="BE58" s="67">
        <f t="shared" ref="BE58" si="316">IF(BD38="B",IF(BE56&gt;=10,10,IF(BE57="K",IF(BE56&gt;=8,8,IF(BD48&gt;0,IF(BE56&gt;=10,10,4),0)),0)),0)</f>
        <v>0</v>
      </c>
      <c r="BF58" s="67">
        <f t="shared" ref="BF58" si="317">IF(BE38="B",IF(BF56&gt;=10,10,IF(BF57="K",IF(BF56&gt;=8,8,IF(BE48&gt;0,IF(BF56&gt;=10,10,4),0)),0)),0)</f>
        <v>0</v>
      </c>
      <c r="BG58" s="67">
        <f t="shared" ref="BG58" si="318">IF(BF38="B",IF(BG56&gt;=10,10,IF(BG57="K",IF(BG56&gt;=8,8,IF(BF48&gt;0,IF(BG56&gt;=10,10,4),0)),0)),0)</f>
        <v>0</v>
      </c>
      <c r="BH58" s="67">
        <f t="shared" ref="BH58" si="319">IF(BG38="B",IF(BH56&gt;=10,10,IF(BH57="K",IF(BH56&gt;=8,8,IF(BG48&gt;0,IF(BH56&gt;=10,10,4),0)),0)),0)</f>
        <v>10</v>
      </c>
      <c r="BI58" s="67">
        <f t="shared" ref="BI58" si="320">IF(BH38="B",IF(BI56&gt;=10,10,IF(BI57="K",IF(BI56&gt;=8,8,IF(BH48&gt;0,IF(BI56&gt;=10,10,4),0)),0)),0)</f>
        <v>10</v>
      </c>
      <c r="BJ58" s="67">
        <f t="shared" ref="BJ58" si="321">IF(BI38="B",IF(BJ56&gt;=10,10,IF(BJ57="K",IF(BJ56&gt;=8,8,IF(BI48&gt;0,IF(BJ56&gt;=10,10,4),0)),0)),0)</f>
        <v>0</v>
      </c>
      <c r="BK58" s="67">
        <f t="shared" ref="BK58" si="322">IF(BJ38="B",IF(BK56&gt;=10,10,IF(BK57="K",IF(BK56&gt;=8,8,IF(BJ48&gt;0,IF(BK56&gt;=10,10,4),0)),0)),0)</f>
        <v>10</v>
      </c>
      <c r="BL58" s="67">
        <f t="shared" ref="BL58" si="323">IF(BK38="B",IF(BL56&gt;=10,10,IF(BL57="K",IF(BL56&gt;=8,8,IF(BK48&gt;0,IF(BL56&gt;=10,10,4),0)),0)),0)</f>
        <v>0</v>
      </c>
      <c r="BM58" s="67">
        <f t="shared" ref="BM58" si="324">IF(BL38="B",IF(BM56&gt;=10,10,IF(BM57="K",IF(BM56&gt;=8,8,IF(BL48&gt;0,IF(BM56&gt;=10,10,4),0)),0)),0)</f>
        <v>10</v>
      </c>
      <c r="BN58" s="67">
        <f t="shared" ref="BN58" si="325">IF(BM38="B",IF(BN56&gt;=10,10,IF(BN57="K",IF(BN56&gt;=8,8,IF(BM48&gt;0,IF(BN56&gt;=10,10,4),0)),0)),0)</f>
        <v>0</v>
      </c>
      <c r="BO58" s="67">
        <f t="shared" ref="BO58" si="326">IF(BN38="B",IF(BO56&gt;=10,10,IF(BO57="K",IF(BO56&gt;=8,8,IF(BN48&gt;0,IF(BO56&gt;=10,10,4),0)),0)),0)</f>
        <v>0</v>
      </c>
      <c r="BP58" s="67">
        <f t="shared" ref="BP58" si="327">IF(BO38="B",IF(BP56&gt;=10,10,IF(BP57="K",IF(BP56&gt;=8,8,IF(BO48&gt;0,IF(BP56&gt;=10,10,4),0)),0)),0)</f>
        <v>10</v>
      </c>
      <c r="BQ58" s="67">
        <f t="shared" ref="BQ58" si="328">IF(BP38="B",IF(BQ56&gt;=10,10,IF(BQ57="K",IF(BQ56&gt;=8,8,IF(BP48&gt;0,IF(BQ56&gt;=10,10,4),0)),0)),0)</f>
        <v>0</v>
      </c>
      <c r="BR58" s="67">
        <f t="shared" ref="BR58" si="329">IF(BQ38="B",IF(BR56&gt;=10,10,IF(BR57="K",IF(BR56&gt;=8,8,IF(BQ48&gt;0,IF(BR56&gt;=10,10,4),0)),0)),0)</f>
        <v>10</v>
      </c>
      <c r="BS58" s="67">
        <f t="shared" ref="BS58" si="330">IF(BR38="B",IF(BS56&gt;=10,10,IF(BS57="K",IF(BS56&gt;=8,8,IF(BR48&gt;0,IF(BS56&gt;=10,10,4),0)),0)),0)</f>
        <v>0</v>
      </c>
      <c r="BT58" s="67">
        <f t="shared" ref="BT58" si="331">IF(BS38="B",IF(BT56&gt;=10,10,IF(BT57="K",IF(BT56&gt;=8,8,IF(BS48&gt;0,IF(BT56&gt;=10,10,4),0)),0)),0)</f>
        <v>10</v>
      </c>
      <c r="BU58" s="67">
        <f t="shared" ref="BU58" si="332">IF(BT38="B",IF(BU56&gt;=10,10,IF(BU57="K",IF(BU56&gt;=8,8,IF(BT48&gt;0,IF(BU56&gt;=10,10,4),0)),0)),0)</f>
        <v>0</v>
      </c>
      <c r="BV58" s="67">
        <f t="shared" ref="BV58" si="333">IF(BU38="B",IF(BV56&gt;=10,10,IF(BV57="K",IF(BV56&gt;=8,8,IF(BU48&gt;0,IF(BV56&gt;=10,10,4),0)),0)),0)</f>
        <v>0</v>
      </c>
      <c r="BW58" s="67">
        <f t="shared" ref="BW58" si="334">IF(BV38="B",IF(BW56&gt;=10,10,IF(BW57="K",IF(BW56&gt;=8,8,IF(BV48&gt;0,IF(BW56&gt;=10,10,4),0)),0)),0)</f>
        <v>0</v>
      </c>
      <c r="BX58" s="67">
        <f t="shared" ref="BX58" si="335">IF(BW38="B",IF(BX56&gt;=10,10,IF(BX57="K",IF(BX56&gt;=8,8,IF(BW48&gt;0,IF(BX56&gt;=10,10,4),0)),0)),0)</f>
        <v>0</v>
      </c>
    </row>
    <row r="59" spans="2:77" s="64" customFormat="1" ht="15.75" thickBot="1" x14ac:dyDescent="0.3">
      <c r="B59" s="62" t="s">
        <v>394</v>
      </c>
      <c r="C59" s="113"/>
      <c r="D59" s="340">
        <f>D58/10*150</f>
        <v>0</v>
      </c>
      <c r="E59" s="64">
        <f t="shared" ref="E59:BP59" si="336">E58/10*150</f>
        <v>0</v>
      </c>
      <c r="F59" s="64">
        <f t="shared" si="336"/>
        <v>0</v>
      </c>
      <c r="G59" s="64">
        <f t="shared" si="336"/>
        <v>0</v>
      </c>
      <c r="H59" s="64">
        <f t="shared" si="336"/>
        <v>0</v>
      </c>
      <c r="I59" s="64">
        <f t="shared" si="336"/>
        <v>0</v>
      </c>
      <c r="J59" s="64">
        <f t="shared" si="336"/>
        <v>0</v>
      </c>
      <c r="K59" s="64">
        <f t="shared" si="336"/>
        <v>150</v>
      </c>
      <c r="L59" s="64">
        <f t="shared" si="336"/>
        <v>150</v>
      </c>
      <c r="M59" s="64">
        <f t="shared" si="336"/>
        <v>60</v>
      </c>
      <c r="N59" s="64">
        <f t="shared" si="336"/>
        <v>0</v>
      </c>
      <c r="O59" s="64">
        <f t="shared" si="336"/>
        <v>150</v>
      </c>
      <c r="P59" s="64">
        <f t="shared" si="336"/>
        <v>0</v>
      </c>
      <c r="Q59" s="64">
        <f t="shared" si="336"/>
        <v>120</v>
      </c>
      <c r="R59" s="64">
        <f t="shared" si="336"/>
        <v>0</v>
      </c>
      <c r="S59" s="64">
        <f t="shared" si="336"/>
        <v>150</v>
      </c>
      <c r="T59" s="64">
        <f t="shared" si="336"/>
        <v>0</v>
      </c>
      <c r="U59" s="64">
        <f t="shared" si="336"/>
        <v>150</v>
      </c>
      <c r="V59" s="64">
        <f t="shared" si="336"/>
        <v>0</v>
      </c>
      <c r="W59" s="64">
        <f t="shared" si="336"/>
        <v>0</v>
      </c>
      <c r="X59" s="64">
        <f t="shared" si="336"/>
        <v>150</v>
      </c>
      <c r="Y59" s="64">
        <f t="shared" si="336"/>
        <v>0</v>
      </c>
      <c r="Z59" s="64">
        <f t="shared" si="336"/>
        <v>150</v>
      </c>
      <c r="AA59" s="64">
        <f t="shared" si="336"/>
        <v>0</v>
      </c>
      <c r="AB59" s="64">
        <f t="shared" si="336"/>
        <v>0</v>
      </c>
      <c r="AC59" s="79">
        <f t="shared" si="336"/>
        <v>0</v>
      </c>
      <c r="AD59" s="64">
        <f t="shared" si="336"/>
        <v>0</v>
      </c>
      <c r="AE59" s="64">
        <f t="shared" si="336"/>
        <v>0</v>
      </c>
      <c r="AF59" s="64">
        <f t="shared" si="336"/>
        <v>0</v>
      </c>
      <c r="AG59" s="64">
        <f t="shared" si="336"/>
        <v>0</v>
      </c>
      <c r="AH59" s="64">
        <f t="shared" si="336"/>
        <v>0</v>
      </c>
      <c r="AI59" s="64">
        <f t="shared" si="336"/>
        <v>0</v>
      </c>
      <c r="AJ59" s="64">
        <f t="shared" si="336"/>
        <v>150</v>
      </c>
      <c r="AK59" s="64">
        <f t="shared" si="336"/>
        <v>150</v>
      </c>
      <c r="AL59" s="64">
        <f t="shared" si="336"/>
        <v>0</v>
      </c>
      <c r="AM59" s="64">
        <f t="shared" si="336"/>
        <v>150</v>
      </c>
      <c r="AN59" s="64">
        <f t="shared" si="336"/>
        <v>0</v>
      </c>
      <c r="AO59" s="64">
        <f t="shared" si="336"/>
        <v>150</v>
      </c>
      <c r="AP59" s="64">
        <f t="shared" si="336"/>
        <v>0</v>
      </c>
      <c r="AQ59" s="64">
        <f t="shared" si="336"/>
        <v>150</v>
      </c>
      <c r="AR59" s="64">
        <f t="shared" si="336"/>
        <v>0</v>
      </c>
      <c r="AS59" s="64">
        <f t="shared" si="336"/>
        <v>150</v>
      </c>
      <c r="AT59" s="64">
        <f t="shared" si="336"/>
        <v>0</v>
      </c>
      <c r="AU59" s="64">
        <f t="shared" si="336"/>
        <v>0</v>
      </c>
      <c r="AV59" s="64">
        <f t="shared" si="336"/>
        <v>150</v>
      </c>
      <c r="AW59" s="64">
        <f t="shared" si="336"/>
        <v>0</v>
      </c>
      <c r="AX59" s="64">
        <f t="shared" si="336"/>
        <v>150</v>
      </c>
      <c r="AY59" s="64">
        <f t="shared" si="336"/>
        <v>0</v>
      </c>
      <c r="AZ59" s="64">
        <f t="shared" si="336"/>
        <v>0</v>
      </c>
      <c r="BA59" s="79">
        <f t="shared" si="336"/>
        <v>0</v>
      </c>
      <c r="BB59" s="64">
        <f t="shared" si="336"/>
        <v>0</v>
      </c>
      <c r="BC59" s="64">
        <f t="shared" si="336"/>
        <v>0</v>
      </c>
      <c r="BD59" s="64">
        <f t="shared" si="336"/>
        <v>0</v>
      </c>
      <c r="BE59" s="64">
        <f t="shared" si="336"/>
        <v>0</v>
      </c>
      <c r="BF59" s="64">
        <f t="shared" si="336"/>
        <v>0</v>
      </c>
      <c r="BG59" s="64">
        <f t="shared" si="336"/>
        <v>0</v>
      </c>
      <c r="BH59" s="64">
        <f t="shared" si="336"/>
        <v>150</v>
      </c>
      <c r="BI59" s="64">
        <f t="shared" si="336"/>
        <v>150</v>
      </c>
      <c r="BJ59" s="64">
        <f t="shared" si="336"/>
        <v>0</v>
      </c>
      <c r="BK59" s="64">
        <f t="shared" si="336"/>
        <v>150</v>
      </c>
      <c r="BL59" s="64">
        <f t="shared" si="336"/>
        <v>0</v>
      </c>
      <c r="BM59" s="64">
        <f t="shared" si="336"/>
        <v>150</v>
      </c>
      <c r="BN59" s="64">
        <f t="shared" si="336"/>
        <v>0</v>
      </c>
      <c r="BO59" s="64">
        <f t="shared" si="336"/>
        <v>0</v>
      </c>
      <c r="BP59" s="64">
        <f t="shared" si="336"/>
        <v>150</v>
      </c>
      <c r="BQ59" s="64">
        <f t="shared" ref="BQ59:BX59" si="337">BQ58/10*150</f>
        <v>0</v>
      </c>
      <c r="BR59" s="64">
        <f t="shared" si="337"/>
        <v>150</v>
      </c>
      <c r="BS59" s="64">
        <f t="shared" si="337"/>
        <v>0</v>
      </c>
      <c r="BT59" s="64">
        <f t="shared" si="337"/>
        <v>150</v>
      </c>
      <c r="BU59" s="64">
        <f t="shared" si="337"/>
        <v>0</v>
      </c>
      <c r="BV59" s="64">
        <f t="shared" si="337"/>
        <v>0</v>
      </c>
      <c r="BW59" s="64">
        <f t="shared" si="337"/>
        <v>0</v>
      </c>
      <c r="BX59" s="64">
        <f t="shared" si="337"/>
        <v>0</v>
      </c>
      <c r="BY59" s="79"/>
    </row>
    <row r="60" spans="2:77" s="81" customFormat="1" x14ac:dyDescent="0.25">
      <c r="B60" s="70"/>
      <c r="C60" s="111"/>
      <c r="D60" s="331"/>
      <c r="E60" s="91"/>
      <c r="AC60" s="80"/>
      <c r="BA60" s="80"/>
      <c r="BY60" s="80"/>
    </row>
    <row r="61" spans="2:77" x14ac:dyDescent="0.25">
      <c r="B61" s="70" t="s">
        <v>156</v>
      </c>
      <c r="C61" s="111"/>
      <c r="E61" s="90">
        <v>4.1666666666666664E-2</v>
      </c>
      <c r="F61" s="72">
        <v>8.3333333333333301E-2</v>
      </c>
      <c r="G61" s="72">
        <v>0.125</v>
      </c>
      <c r="H61" s="72">
        <v>0.16666666666666699</v>
      </c>
      <c r="I61" s="72">
        <v>0.20833333333333301</v>
      </c>
      <c r="J61" s="72">
        <v>0.25</v>
      </c>
      <c r="K61" s="72">
        <v>0.29166666666666702</v>
      </c>
      <c r="L61" s="72">
        <v>0.33333333333333298</v>
      </c>
      <c r="M61" s="72">
        <v>0.375</v>
      </c>
      <c r="N61" s="72">
        <v>0.41666666666666702</v>
      </c>
      <c r="O61" s="72">
        <v>0.45833333333333298</v>
      </c>
      <c r="P61" s="72">
        <v>0.5</v>
      </c>
      <c r="Q61" s="72">
        <v>0.54166666666666696</v>
      </c>
      <c r="R61" s="72">
        <v>0.58333333333333304</v>
      </c>
      <c r="S61" s="72">
        <v>0.625</v>
      </c>
      <c r="T61" s="72">
        <v>0.66666666666666696</v>
      </c>
      <c r="U61" s="72">
        <v>0.70833333333333304</v>
      </c>
      <c r="V61" s="72">
        <v>0.75</v>
      </c>
      <c r="W61" s="72">
        <v>0.79166666666666696</v>
      </c>
      <c r="X61" s="72">
        <v>0.83333333333333304</v>
      </c>
      <c r="Y61" s="72">
        <v>0.875</v>
      </c>
      <c r="Z61" s="72">
        <v>0.91666666666666696</v>
      </c>
      <c r="AA61" s="72">
        <v>0.95833333333333404</v>
      </c>
      <c r="AB61" s="72">
        <v>1</v>
      </c>
      <c r="AC61" s="71">
        <v>1.0416666666666701</v>
      </c>
      <c r="AD61" s="72">
        <v>1.0833333333333399</v>
      </c>
      <c r="AE61" s="72">
        <v>0.125</v>
      </c>
      <c r="AF61" s="72">
        <v>0.16666666666666699</v>
      </c>
      <c r="AG61" s="72">
        <v>0.20833333333333301</v>
      </c>
      <c r="AH61" s="72">
        <v>0.25</v>
      </c>
      <c r="AI61" s="72">
        <v>0.29166666666666702</v>
      </c>
      <c r="AJ61" s="72">
        <v>0.33333333333333298</v>
      </c>
      <c r="AK61" s="72">
        <v>0.375</v>
      </c>
      <c r="AL61" s="72">
        <v>0.41666666666666702</v>
      </c>
      <c r="AM61" s="72">
        <v>0.45833333333333298</v>
      </c>
      <c r="AN61" s="72">
        <v>0.5</v>
      </c>
      <c r="AO61" s="72">
        <v>0.54166666666666696</v>
      </c>
      <c r="AP61" s="72">
        <v>0.58333333333333304</v>
      </c>
      <c r="AQ61" s="72">
        <v>0.625</v>
      </c>
      <c r="AR61" s="72">
        <v>0.66666666666666696</v>
      </c>
      <c r="AS61" s="72">
        <v>0.70833333333333304</v>
      </c>
      <c r="AT61" s="72">
        <v>0.75</v>
      </c>
      <c r="AU61" s="72">
        <v>0.79166666666666696</v>
      </c>
      <c r="AV61" s="72">
        <v>0.83333333333333304</v>
      </c>
      <c r="AW61" s="72">
        <v>0.875</v>
      </c>
      <c r="AX61" s="72">
        <v>0.91666666666666696</v>
      </c>
      <c r="AY61" s="72">
        <v>0.95833333333333404</v>
      </c>
      <c r="AZ61" s="72">
        <v>1</v>
      </c>
      <c r="BA61" s="71">
        <v>1.0416666666666701</v>
      </c>
      <c r="BB61" s="72">
        <v>1.0833333333333399</v>
      </c>
      <c r="BC61" s="72">
        <v>0.125</v>
      </c>
      <c r="BD61" s="72">
        <v>0.16666666666666699</v>
      </c>
      <c r="BE61" s="72">
        <v>0.20833333333333301</v>
      </c>
      <c r="BF61" s="72">
        <v>0.25</v>
      </c>
      <c r="BG61" s="72">
        <v>0.29166666666666702</v>
      </c>
      <c r="BH61" s="72">
        <v>0.33333333333333298</v>
      </c>
      <c r="BI61" s="72">
        <v>0.375</v>
      </c>
      <c r="BJ61" s="72">
        <v>0.41666666666666702</v>
      </c>
      <c r="BK61" s="72">
        <v>0.45833333333333298</v>
      </c>
      <c r="BL61" s="72">
        <v>0.5</v>
      </c>
      <c r="BM61" s="72">
        <v>0.54166666666666696</v>
      </c>
      <c r="BN61" s="72">
        <v>0.58333333333333304</v>
      </c>
      <c r="BO61" s="72">
        <v>0.625</v>
      </c>
      <c r="BP61" s="72">
        <v>0.66666666666666696</v>
      </c>
      <c r="BQ61" s="72">
        <v>0.70833333333333304</v>
      </c>
      <c r="BR61" s="72">
        <v>0.75</v>
      </c>
      <c r="BS61" s="72">
        <v>0.79166666666666696</v>
      </c>
      <c r="BT61" s="72">
        <v>0.83333333333333304</v>
      </c>
      <c r="BU61" s="72">
        <v>0.875</v>
      </c>
      <c r="BV61" s="72">
        <v>0.91666666666666696</v>
      </c>
      <c r="BW61" s="72">
        <v>0.95833333333333404</v>
      </c>
      <c r="BX61" s="72">
        <v>1</v>
      </c>
      <c r="BY61" s="71"/>
    </row>
    <row r="62" spans="2:77" x14ac:dyDescent="0.25">
      <c r="B62" s="54" t="s">
        <v>147</v>
      </c>
      <c r="D62" s="338">
        <f>D59*20%</f>
        <v>0</v>
      </c>
      <c r="E62" s="67">
        <f t="shared" ref="E62:AB62" si="338">E59*20%</f>
        <v>0</v>
      </c>
      <c r="F62" s="56">
        <f t="shared" si="338"/>
        <v>0</v>
      </c>
      <c r="G62" s="56">
        <f t="shared" si="338"/>
        <v>0</v>
      </c>
      <c r="H62" s="56">
        <f t="shared" si="338"/>
        <v>0</v>
      </c>
      <c r="I62" s="56">
        <f t="shared" si="338"/>
        <v>0</v>
      </c>
      <c r="J62" s="56">
        <f t="shared" si="338"/>
        <v>0</v>
      </c>
      <c r="K62" s="56">
        <f t="shared" si="338"/>
        <v>30</v>
      </c>
      <c r="L62" s="56">
        <f t="shared" si="338"/>
        <v>30</v>
      </c>
      <c r="M62" s="56">
        <f t="shared" si="338"/>
        <v>12</v>
      </c>
      <c r="N62" s="56">
        <f t="shared" si="338"/>
        <v>0</v>
      </c>
      <c r="O62" s="56">
        <f t="shared" si="338"/>
        <v>30</v>
      </c>
      <c r="P62" s="56">
        <f t="shared" si="338"/>
        <v>0</v>
      </c>
      <c r="Q62" s="56">
        <f t="shared" si="338"/>
        <v>24</v>
      </c>
      <c r="R62" s="56">
        <f t="shared" si="338"/>
        <v>0</v>
      </c>
      <c r="S62" s="56">
        <f t="shared" si="338"/>
        <v>30</v>
      </c>
      <c r="T62" s="56">
        <f t="shared" si="338"/>
        <v>0</v>
      </c>
      <c r="U62" s="56">
        <f t="shared" si="338"/>
        <v>30</v>
      </c>
      <c r="V62" s="56">
        <f t="shared" si="338"/>
        <v>0</v>
      </c>
      <c r="W62" s="56">
        <f t="shared" si="338"/>
        <v>0</v>
      </c>
      <c r="X62" s="56">
        <f t="shared" si="338"/>
        <v>30</v>
      </c>
      <c r="Y62" s="56">
        <f t="shared" si="338"/>
        <v>0</v>
      </c>
      <c r="Z62" s="56">
        <f t="shared" si="338"/>
        <v>30</v>
      </c>
      <c r="AA62" s="56">
        <f t="shared" si="338"/>
        <v>0</v>
      </c>
      <c r="AB62" s="56">
        <f t="shared" si="338"/>
        <v>0</v>
      </c>
      <c r="AC62" s="55">
        <f t="shared" ref="AC62:BX62" si="339">AC59*20%</f>
        <v>0</v>
      </c>
      <c r="AD62" s="56">
        <f t="shared" si="339"/>
        <v>0</v>
      </c>
      <c r="AE62" s="56">
        <f t="shared" si="339"/>
        <v>0</v>
      </c>
      <c r="AF62" s="56">
        <f t="shared" si="339"/>
        <v>0</v>
      </c>
      <c r="AG62" s="56">
        <f t="shared" si="339"/>
        <v>0</v>
      </c>
      <c r="AH62" s="56">
        <f t="shared" si="339"/>
        <v>0</v>
      </c>
      <c r="AI62" s="56">
        <f t="shared" si="339"/>
        <v>0</v>
      </c>
      <c r="AJ62" s="56">
        <f t="shared" si="339"/>
        <v>30</v>
      </c>
      <c r="AK62" s="56">
        <f t="shared" si="339"/>
        <v>30</v>
      </c>
      <c r="AL62" s="56">
        <f t="shared" si="339"/>
        <v>0</v>
      </c>
      <c r="AM62" s="56">
        <f t="shared" si="339"/>
        <v>30</v>
      </c>
      <c r="AN62" s="56">
        <f t="shared" si="339"/>
        <v>0</v>
      </c>
      <c r="AO62" s="56">
        <f t="shared" si="339"/>
        <v>30</v>
      </c>
      <c r="AP62" s="56">
        <f t="shared" si="339"/>
        <v>0</v>
      </c>
      <c r="AQ62" s="56">
        <f t="shared" si="339"/>
        <v>30</v>
      </c>
      <c r="AR62" s="56">
        <f t="shared" si="339"/>
        <v>0</v>
      </c>
      <c r="AS62" s="56">
        <f t="shared" si="339"/>
        <v>30</v>
      </c>
      <c r="AT62" s="56">
        <f t="shared" si="339"/>
        <v>0</v>
      </c>
      <c r="AU62" s="56">
        <f t="shared" si="339"/>
        <v>0</v>
      </c>
      <c r="AV62" s="56">
        <f t="shared" si="339"/>
        <v>30</v>
      </c>
      <c r="AW62" s="56">
        <f t="shared" si="339"/>
        <v>0</v>
      </c>
      <c r="AX62" s="56">
        <f t="shared" si="339"/>
        <v>30</v>
      </c>
      <c r="AY62" s="56">
        <f t="shared" si="339"/>
        <v>0</v>
      </c>
      <c r="AZ62" s="56">
        <f t="shared" si="339"/>
        <v>0</v>
      </c>
      <c r="BA62" s="55">
        <f t="shared" si="339"/>
        <v>0</v>
      </c>
      <c r="BB62" s="56">
        <f t="shared" si="339"/>
        <v>0</v>
      </c>
      <c r="BC62" s="56">
        <f t="shared" si="339"/>
        <v>0</v>
      </c>
      <c r="BD62" s="56">
        <f t="shared" si="339"/>
        <v>0</v>
      </c>
      <c r="BE62" s="56">
        <f t="shared" si="339"/>
        <v>0</v>
      </c>
      <c r="BF62" s="56">
        <f t="shared" si="339"/>
        <v>0</v>
      </c>
      <c r="BG62" s="56">
        <f t="shared" si="339"/>
        <v>0</v>
      </c>
      <c r="BH62" s="56">
        <f t="shared" si="339"/>
        <v>30</v>
      </c>
      <c r="BI62" s="56">
        <f t="shared" si="339"/>
        <v>30</v>
      </c>
      <c r="BJ62" s="56">
        <f t="shared" si="339"/>
        <v>0</v>
      </c>
      <c r="BK62" s="56">
        <f t="shared" si="339"/>
        <v>30</v>
      </c>
      <c r="BL62" s="56">
        <f t="shared" si="339"/>
        <v>0</v>
      </c>
      <c r="BM62" s="56">
        <f t="shared" si="339"/>
        <v>30</v>
      </c>
      <c r="BN62" s="56">
        <f t="shared" si="339"/>
        <v>0</v>
      </c>
      <c r="BO62" s="56">
        <f t="shared" si="339"/>
        <v>0</v>
      </c>
      <c r="BP62" s="56">
        <f t="shared" si="339"/>
        <v>30</v>
      </c>
      <c r="BQ62" s="56">
        <f t="shared" si="339"/>
        <v>0</v>
      </c>
      <c r="BR62" s="56">
        <f t="shared" si="339"/>
        <v>30</v>
      </c>
      <c r="BS62" s="56">
        <f t="shared" si="339"/>
        <v>0</v>
      </c>
      <c r="BT62" s="56">
        <f t="shared" si="339"/>
        <v>30</v>
      </c>
      <c r="BU62" s="56">
        <f t="shared" si="339"/>
        <v>0</v>
      </c>
      <c r="BV62" s="56">
        <f t="shared" si="339"/>
        <v>0</v>
      </c>
      <c r="BW62" s="56">
        <f t="shared" si="339"/>
        <v>0</v>
      </c>
      <c r="BX62" s="56">
        <f t="shared" si="339"/>
        <v>0</v>
      </c>
    </row>
    <row r="63" spans="2:77" x14ac:dyDescent="0.25">
      <c r="B63" s="54" t="s">
        <v>148</v>
      </c>
      <c r="D63" s="338">
        <f>D49*5%</f>
        <v>0</v>
      </c>
      <c r="E63" s="67">
        <f t="shared" ref="E63:AB63" si="340">E49*5%</f>
        <v>0</v>
      </c>
      <c r="F63" s="56">
        <f t="shared" si="340"/>
        <v>0</v>
      </c>
      <c r="G63" s="56">
        <f t="shared" si="340"/>
        <v>0</v>
      </c>
      <c r="H63" s="56">
        <f t="shared" si="340"/>
        <v>0</v>
      </c>
      <c r="I63" s="56">
        <f t="shared" si="340"/>
        <v>0</v>
      </c>
      <c r="J63" s="56">
        <f t="shared" si="340"/>
        <v>0</v>
      </c>
      <c r="K63" s="56">
        <f t="shared" si="340"/>
        <v>0</v>
      </c>
      <c r="L63" s="56">
        <f t="shared" si="340"/>
        <v>2.5</v>
      </c>
      <c r="M63" s="56">
        <f t="shared" si="340"/>
        <v>0</v>
      </c>
      <c r="N63" s="56">
        <f t="shared" si="340"/>
        <v>0</v>
      </c>
      <c r="O63" s="56">
        <f t="shared" si="340"/>
        <v>0</v>
      </c>
      <c r="P63" s="56">
        <f t="shared" si="340"/>
        <v>1.2500590344116953</v>
      </c>
      <c r="Q63" s="56">
        <f t="shared" si="340"/>
        <v>0</v>
      </c>
      <c r="R63" s="56">
        <f t="shared" si="340"/>
        <v>0</v>
      </c>
      <c r="S63" s="56">
        <f t="shared" si="340"/>
        <v>0</v>
      </c>
      <c r="T63" s="56">
        <f t="shared" si="340"/>
        <v>0</v>
      </c>
      <c r="U63" s="56">
        <f t="shared" si="340"/>
        <v>0</v>
      </c>
      <c r="V63" s="56">
        <f t="shared" si="340"/>
        <v>0</v>
      </c>
      <c r="W63" s="56">
        <f t="shared" si="340"/>
        <v>2.5</v>
      </c>
      <c r="X63" s="56">
        <f t="shared" si="340"/>
        <v>0</v>
      </c>
      <c r="Y63" s="56">
        <f t="shared" si="340"/>
        <v>0</v>
      </c>
      <c r="Z63" s="56">
        <f t="shared" si="340"/>
        <v>0</v>
      </c>
      <c r="AA63" s="56">
        <f t="shared" si="340"/>
        <v>0</v>
      </c>
      <c r="AB63" s="56">
        <f t="shared" si="340"/>
        <v>0</v>
      </c>
      <c r="AC63" s="55">
        <f t="shared" ref="AC63:BX63" si="341">AC49*5%</f>
        <v>0</v>
      </c>
      <c r="AD63" s="56">
        <f t="shared" si="341"/>
        <v>0</v>
      </c>
      <c r="AE63" s="56">
        <f t="shared" si="341"/>
        <v>0</v>
      </c>
      <c r="AF63" s="56">
        <f t="shared" si="341"/>
        <v>0</v>
      </c>
      <c r="AG63" s="56">
        <f t="shared" si="341"/>
        <v>0</v>
      </c>
      <c r="AH63" s="56">
        <f t="shared" si="341"/>
        <v>0</v>
      </c>
      <c r="AI63" s="56">
        <f t="shared" si="341"/>
        <v>0</v>
      </c>
      <c r="AJ63" s="56">
        <f t="shared" si="341"/>
        <v>1.2500590344116953</v>
      </c>
      <c r="AK63" s="56">
        <f t="shared" si="341"/>
        <v>0</v>
      </c>
      <c r="AL63" s="56">
        <f t="shared" si="341"/>
        <v>0</v>
      </c>
      <c r="AM63" s="56">
        <f t="shared" si="341"/>
        <v>0</v>
      </c>
      <c r="AN63" s="56">
        <f t="shared" si="341"/>
        <v>1.2500590344116953</v>
      </c>
      <c r="AO63" s="56">
        <f t="shared" si="341"/>
        <v>0</v>
      </c>
      <c r="AP63" s="56">
        <f t="shared" si="341"/>
        <v>0</v>
      </c>
      <c r="AQ63" s="56">
        <f t="shared" si="341"/>
        <v>0</v>
      </c>
      <c r="AR63" s="56">
        <f t="shared" si="341"/>
        <v>0</v>
      </c>
      <c r="AS63" s="56">
        <f t="shared" si="341"/>
        <v>2.5</v>
      </c>
      <c r="AT63" s="56">
        <f t="shared" si="341"/>
        <v>0</v>
      </c>
      <c r="AU63" s="56">
        <f t="shared" si="341"/>
        <v>0</v>
      </c>
      <c r="AV63" s="56">
        <f t="shared" si="341"/>
        <v>0</v>
      </c>
      <c r="AW63" s="56">
        <f t="shared" si="341"/>
        <v>0</v>
      </c>
      <c r="AX63" s="56">
        <f t="shared" si="341"/>
        <v>0</v>
      </c>
      <c r="AY63" s="56">
        <f t="shared" si="341"/>
        <v>0</v>
      </c>
      <c r="AZ63" s="56">
        <f t="shared" si="341"/>
        <v>0</v>
      </c>
      <c r="BA63" s="55">
        <f t="shared" si="341"/>
        <v>0</v>
      </c>
      <c r="BB63" s="56">
        <f t="shared" si="341"/>
        <v>0</v>
      </c>
      <c r="BC63" s="56">
        <f t="shared" si="341"/>
        <v>0</v>
      </c>
      <c r="BD63" s="56">
        <f t="shared" si="341"/>
        <v>0</v>
      </c>
      <c r="BE63" s="56">
        <f t="shared" si="341"/>
        <v>0</v>
      </c>
      <c r="BF63" s="56">
        <f t="shared" si="341"/>
        <v>0</v>
      </c>
      <c r="BG63" s="56">
        <f t="shared" si="341"/>
        <v>0</v>
      </c>
      <c r="BH63" s="56">
        <f t="shared" si="341"/>
        <v>2.5</v>
      </c>
      <c r="BI63" s="56">
        <f t="shared" si="341"/>
        <v>0</v>
      </c>
      <c r="BJ63" s="56">
        <f t="shared" si="341"/>
        <v>0</v>
      </c>
      <c r="BK63" s="56">
        <f t="shared" si="341"/>
        <v>0</v>
      </c>
      <c r="BL63" s="56">
        <f t="shared" si="341"/>
        <v>1.2500590344116953</v>
      </c>
      <c r="BM63" s="56">
        <f t="shared" si="341"/>
        <v>0</v>
      </c>
      <c r="BN63" s="56">
        <f t="shared" si="341"/>
        <v>0</v>
      </c>
      <c r="BO63" s="56">
        <f t="shared" si="341"/>
        <v>0</v>
      </c>
      <c r="BP63" s="56">
        <f t="shared" si="341"/>
        <v>0</v>
      </c>
      <c r="BQ63" s="56">
        <f t="shared" si="341"/>
        <v>0</v>
      </c>
      <c r="BR63" s="56">
        <f t="shared" si="341"/>
        <v>0</v>
      </c>
      <c r="BS63" s="56">
        <f t="shared" si="341"/>
        <v>2.5</v>
      </c>
      <c r="BT63" s="56">
        <f t="shared" si="341"/>
        <v>0</v>
      </c>
      <c r="BU63" s="56">
        <f t="shared" si="341"/>
        <v>0</v>
      </c>
      <c r="BV63" s="56">
        <f t="shared" si="341"/>
        <v>0</v>
      </c>
      <c r="BW63" s="56">
        <f t="shared" si="341"/>
        <v>0</v>
      </c>
      <c r="BX63" s="56">
        <f t="shared" si="341"/>
        <v>0</v>
      </c>
    </row>
    <row r="64" spans="2:77" x14ac:dyDescent="0.25">
      <c r="B64" s="54" t="s">
        <v>135</v>
      </c>
      <c r="D64" s="388">
        <v>33000</v>
      </c>
      <c r="E64" s="67">
        <f>E62+E63+D64-D65</f>
        <v>32940</v>
      </c>
      <c r="F64" s="56">
        <f t="shared" ref="F64:AB64" si="342">F62+F63+E64-E65</f>
        <v>32880</v>
      </c>
      <c r="G64" s="56">
        <f t="shared" si="342"/>
        <v>32820</v>
      </c>
      <c r="H64" s="56">
        <f t="shared" si="342"/>
        <v>32760</v>
      </c>
      <c r="I64" s="56">
        <f t="shared" si="342"/>
        <v>32700</v>
      </c>
      <c r="J64" s="56">
        <f t="shared" si="342"/>
        <v>32640</v>
      </c>
      <c r="K64" s="56">
        <f t="shared" si="342"/>
        <v>32610</v>
      </c>
      <c r="L64" s="56">
        <f t="shared" si="342"/>
        <v>32582.5</v>
      </c>
      <c r="M64" s="56">
        <f t="shared" si="342"/>
        <v>32534.5</v>
      </c>
      <c r="N64" s="56">
        <f t="shared" si="342"/>
        <v>32474.5</v>
      </c>
      <c r="O64" s="56">
        <f t="shared" si="342"/>
        <v>32444.5</v>
      </c>
      <c r="P64" s="56">
        <f t="shared" si="342"/>
        <v>32385.750059034413</v>
      </c>
      <c r="Q64" s="56">
        <f t="shared" si="342"/>
        <v>32349.750059034413</v>
      </c>
      <c r="R64" s="56">
        <f t="shared" si="342"/>
        <v>32289.750059034413</v>
      </c>
      <c r="S64" s="56">
        <f t="shared" si="342"/>
        <v>32259.750059034413</v>
      </c>
      <c r="T64" s="56">
        <f t="shared" si="342"/>
        <v>32199.750059034413</v>
      </c>
      <c r="U64" s="56">
        <f t="shared" si="342"/>
        <v>32169.750059034413</v>
      </c>
      <c r="V64" s="56">
        <f t="shared" si="342"/>
        <v>32109.750059034413</v>
      </c>
      <c r="W64" s="56">
        <f t="shared" si="342"/>
        <v>32052.250059034413</v>
      </c>
      <c r="X64" s="56">
        <f t="shared" si="342"/>
        <v>32022.250059034413</v>
      </c>
      <c r="Y64" s="56">
        <f t="shared" si="342"/>
        <v>31962.250059034413</v>
      </c>
      <c r="Z64" s="56">
        <f t="shared" si="342"/>
        <v>31932.250059034413</v>
      </c>
      <c r="AA64" s="56">
        <f t="shared" si="342"/>
        <v>31872.250059034413</v>
      </c>
      <c r="AB64" s="56">
        <f t="shared" si="342"/>
        <v>31812.250059034413</v>
      </c>
      <c r="AC64" s="55">
        <f t="shared" ref="AC64" si="343">AC62+AC63+AB64-AB65</f>
        <v>31752.250059034413</v>
      </c>
      <c r="AD64" s="56">
        <f t="shared" ref="AD64" si="344">AD62+AD63+AC64-AC65</f>
        <v>31692.250059034413</v>
      </c>
      <c r="AE64" s="56">
        <f t="shared" ref="AE64" si="345">AE62+AE63+AD64-AD65</f>
        <v>31632.250059034413</v>
      </c>
      <c r="AF64" s="56">
        <f t="shared" ref="AF64" si="346">AF62+AF63+AE64-AE65</f>
        <v>31572.250059034413</v>
      </c>
      <c r="AG64" s="56">
        <f t="shared" ref="AG64" si="347">AG62+AG63+AF64-AF65</f>
        <v>31512.250059034413</v>
      </c>
      <c r="AH64" s="56">
        <f t="shared" ref="AH64" si="348">AH62+AH63+AG64-AG65</f>
        <v>31452.250059034413</v>
      </c>
      <c r="AI64" s="56">
        <f t="shared" ref="AI64" si="349">AI62+AI63+AH64-AH65</f>
        <v>31392.250059034413</v>
      </c>
      <c r="AJ64" s="56">
        <f t="shared" ref="AJ64" si="350">AJ62+AJ63+AI64-AI65</f>
        <v>31363.500118068827</v>
      </c>
      <c r="AK64" s="56">
        <f t="shared" ref="AK64" si="351">AK62+AK63+AJ64-AJ65</f>
        <v>31333.500118068827</v>
      </c>
      <c r="AL64" s="56">
        <f t="shared" ref="AL64" si="352">AL62+AL63+AK64-AK65</f>
        <v>31273.500118068827</v>
      </c>
      <c r="AM64" s="56">
        <f t="shared" ref="AM64" si="353">AM62+AM63+AL64-AL65</f>
        <v>31243.500118068827</v>
      </c>
      <c r="AN64" s="56">
        <f t="shared" ref="AN64" si="354">AN62+AN63+AM64-AM65</f>
        <v>31184.75017710324</v>
      </c>
      <c r="AO64" s="56">
        <f t="shared" ref="AO64" si="355">AO62+AO63+AN64-AN65</f>
        <v>31154.75017710324</v>
      </c>
      <c r="AP64" s="56">
        <f t="shared" ref="AP64" si="356">AP62+AP63+AO64-AO65</f>
        <v>31094.75017710324</v>
      </c>
      <c r="AQ64" s="56">
        <f t="shared" ref="AQ64" si="357">AQ62+AQ63+AP64-AP65</f>
        <v>31064.75017710324</v>
      </c>
      <c r="AR64" s="56">
        <f t="shared" ref="AR64" si="358">AR62+AR63+AQ64-AQ65</f>
        <v>31004.75017710324</v>
      </c>
      <c r="AS64" s="56">
        <f t="shared" ref="AS64" si="359">AS62+AS63+AR64-AR65</f>
        <v>30977.25017710324</v>
      </c>
      <c r="AT64" s="56">
        <f t="shared" ref="AT64" si="360">AT62+AT63+AS64-AS65</f>
        <v>30917.25017710324</v>
      </c>
      <c r="AU64" s="56">
        <f t="shared" ref="AU64" si="361">AU62+AU63+AT64-AT65</f>
        <v>30857.25017710324</v>
      </c>
      <c r="AV64" s="56">
        <f t="shared" ref="AV64" si="362">AV62+AV63+AU64-AU65</f>
        <v>30827.25017710324</v>
      </c>
      <c r="AW64" s="56">
        <f t="shared" ref="AW64" si="363">AW62+AW63+AV64-AV65</f>
        <v>30767.25017710324</v>
      </c>
      <c r="AX64" s="56">
        <f t="shared" ref="AX64" si="364">AX62+AX63+AW64-AW65</f>
        <v>30737.25017710324</v>
      </c>
      <c r="AY64" s="56">
        <f t="shared" ref="AY64" si="365">AY62+AY63+AX64-AX65</f>
        <v>30677.25017710324</v>
      </c>
      <c r="AZ64" s="56">
        <f t="shared" ref="AZ64" si="366">AZ62+AZ63+AY64-AY65</f>
        <v>30617.25017710324</v>
      </c>
      <c r="BA64" s="55">
        <f t="shared" ref="BA64" si="367">BA62+BA63+AZ64-AZ65</f>
        <v>30557.25017710324</v>
      </c>
      <c r="BB64" s="56">
        <f t="shared" ref="BB64" si="368">BB62+BB63+BA64-BA65</f>
        <v>30497.25017710324</v>
      </c>
      <c r="BC64" s="56">
        <f t="shared" ref="BC64" si="369">BC62+BC63+BB64-BB65</f>
        <v>30437.25017710324</v>
      </c>
      <c r="BD64" s="56">
        <f t="shared" ref="BD64" si="370">BD62+BD63+BC64-BC65</f>
        <v>30377.25017710324</v>
      </c>
      <c r="BE64" s="56">
        <f t="shared" ref="BE64" si="371">BE62+BE63+BD64-BD65</f>
        <v>30317.25017710324</v>
      </c>
      <c r="BF64" s="56">
        <f t="shared" ref="BF64" si="372">BF62+BF63+BE64-BE65</f>
        <v>30257.25017710324</v>
      </c>
      <c r="BG64" s="56">
        <f t="shared" ref="BG64" si="373">BG62+BG63+BF64-BF65</f>
        <v>30197.25017710324</v>
      </c>
      <c r="BH64" s="56">
        <f t="shared" ref="BH64" si="374">BH62+BH63+BG64-BG65</f>
        <v>30169.75017710324</v>
      </c>
      <c r="BI64" s="56">
        <f t="shared" ref="BI64" si="375">BI62+BI63+BH64-BH65</f>
        <v>30139.75017710324</v>
      </c>
      <c r="BJ64" s="56">
        <f t="shared" ref="BJ64" si="376">BJ62+BJ63+BI64-BI65</f>
        <v>30079.75017710324</v>
      </c>
      <c r="BK64" s="56">
        <f t="shared" ref="BK64" si="377">BK62+BK63+BJ64-BJ65</f>
        <v>30049.75017710324</v>
      </c>
      <c r="BL64" s="56">
        <f t="shared" ref="BL64" si="378">BL62+BL63+BK64-BK65</f>
        <v>29991.000236137654</v>
      </c>
      <c r="BM64" s="56">
        <f t="shared" ref="BM64" si="379">BM62+BM63+BL64-BL65</f>
        <v>29961.000236137654</v>
      </c>
      <c r="BN64" s="56">
        <f t="shared" ref="BN64" si="380">BN62+BN63+BM64-BM65</f>
        <v>29901.000236137654</v>
      </c>
      <c r="BO64" s="56">
        <f t="shared" ref="BO64" si="381">BO62+BO63+BN64-BN65</f>
        <v>29841.000236137654</v>
      </c>
      <c r="BP64" s="56">
        <f t="shared" ref="BP64" si="382">BP62+BP63+BO64-BO65</f>
        <v>29811.000236137654</v>
      </c>
      <c r="BQ64" s="56">
        <f t="shared" ref="BQ64" si="383">BQ62+BQ63+BP64-BP65</f>
        <v>29751.000236137654</v>
      </c>
      <c r="BR64" s="56">
        <f t="shared" ref="BR64" si="384">BR62+BR63+BQ64-BQ65</f>
        <v>29721.000236137654</v>
      </c>
      <c r="BS64" s="56">
        <f t="shared" ref="BS64" si="385">BS62+BS63+BR64-BR65</f>
        <v>29663.500236137654</v>
      </c>
      <c r="BT64" s="56">
        <f t="shared" ref="BT64" si="386">BT62+BT63+BS64-BS65</f>
        <v>29633.500236137654</v>
      </c>
      <c r="BU64" s="56">
        <f t="shared" ref="BU64" si="387">BU62+BU63+BT64-BT65</f>
        <v>29573.500236137654</v>
      </c>
      <c r="BV64" s="56">
        <f t="shared" ref="BV64" si="388">BV62+BV63+BU64-BU65</f>
        <v>29513.500236137654</v>
      </c>
      <c r="BW64" s="56">
        <f t="shared" ref="BW64" si="389">BW62+BW63+BV64-BV65</f>
        <v>29453.500236137654</v>
      </c>
      <c r="BX64" s="56">
        <f t="shared" ref="BX64" si="390">BX62+BX63+BW64-BW65</f>
        <v>29393.500236137654</v>
      </c>
    </row>
    <row r="65" spans="2:77" s="216" customFormat="1" x14ac:dyDescent="0.25">
      <c r="B65" s="365" t="s">
        <v>149</v>
      </c>
      <c r="C65" s="366"/>
      <c r="D65" s="377">
        <v>60</v>
      </c>
      <c r="E65" s="378">
        <f>D65</f>
        <v>60</v>
      </c>
      <c r="F65" s="216">
        <f t="shared" ref="F65:I65" si="391">E65</f>
        <v>60</v>
      </c>
      <c r="G65" s="216">
        <f t="shared" si="391"/>
        <v>60</v>
      </c>
      <c r="H65" s="216">
        <f t="shared" si="391"/>
        <v>60</v>
      </c>
      <c r="I65" s="216">
        <f t="shared" si="391"/>
        <v>60</v>
      </c>
      <c r="J65" s="216">
        <f t="shared" ref="J65:AB65" si="392">I65</f>
        <v>60</v>
      </c>
      <c r="K65" s="216">
        <f t="shared" si="392"/>
        <v>60</v>
      </c>
      <c r="L65" s="216">
        <f t="shared" si="392"/>
        <v>60</v>
      </c>
      <c r="M65" s="216">
        <f t="shared" si="392"/>
        <v>60</v>
      </c>
      <c r="N65" s="216">
        <f t="shared" si="392"/>
        <v>60</v>
      </c>
      <c r="O65" s="216">
        <f t="shared" si="392"/>
        <v>60</v>
      </c>
      <c r="P65" s="216">
        <f t="shared" si="392"/>
        <v>60</v>
      </c>
      <c r="Q65" s="216">
        <f t="shared" si="392"/>
        <v>60</v>
      </c>
      <c r="R65" s="216">
        <f t="shared" si="392"/>
        <v>60</v>
      </c>
      <c r="S65" s="216">
        <f t="shared" si="392"/>
        <v>60</v>
      </c>
      <c r="T65" s="216">
        <f t="shared" si="392"/>
        <v>60</v>
      </c>
      <c r="U65" s="216">
        <f t="shared" si="392"/>
        <v>60</v>
      </c>
      <c r="V65" s="216">
        <f t="shared" si="392"/>
        <v>60</v>
      </c>
      <c r="W65" s="216">
        <f t="shared" si="392"/>
        <v>60</v>
      </c>
      <c r="X65" s="216">
        <f t="shared" si="392"/>
        <v>60</v>
      </c>
      <c r="Y65" s="216">
        <f t="shared" si="392"/>
        <v>60</v>
      </c>
      <c r="Z65" s="216">
        <f t="shared" si="392"/>
        <v>60</v>
      </c>
      <c r="AA65" s="216">
        <f t="shared" si="392"/>
        <v>60</v>
      </c>
      <c r="AB65" s="216">
        <f t="shared" si="392"/>
        <v>60</v>
      </c>
      <c r="AC65" s="379">
        <f t="shared" ref="AC65" si="393">AB65</f>
        <v>60</v>
      </c>
      <c r="AD65" s="216">
        <f t="shared" ref="AD65" si="394">AC65</f>
        <v>60</v>
      </c>
      <c r="AE65" s="216">
        <f t="shared" ref="AE65" si="395">AD65</f>
        <v>60</v>
      </c>
      <c r="AF65" s="216">
        <f t="shared" ref="AF65" si="396">AE65</f>
        <v>60</v>
      </c>
      <c r="AG65" s="216">
        <f t="shared" ref="AG65" si="397">AF65</f>
        <v>60</v>
      </c>
      <c r="AH65" s="216">
        <f t="shared" ref="AH65" si="398">AG65</f>
        <v>60</v>
      </c>
      <c r="AI65" s="216">
        <f t="shared" ref="AI65" si="399">AH65</f>
        <v>60</v>
      </c>
      <c r="AJ65" s="216">
        <f t="shared" ref="AJ65" si="400">AI65</f>
        <v>60</v>
      </c>
      <c r="AK65" s="216">
        <f t="shared" ref="AK65" si="401">AJ65</f>
        <v>60</v>
      </c>
      <c r="AL65" s="216">
        <f t="shared" ref="AL65" si="402">AK65</f>
        <v>60</v>
      </c>
      <c r="AM65" s="216">
        <f t="shared" ref="AM65" si="403">AL65</f>
        <v>60</v>
      </c>
      <c r="AN65" s="216">
        <f t="shared" ref="AN65" si="404">AM65</f>
        <v>60</v>
      </c>
      <c r="AO65" s="216">
        <f t="shared" ref="AO65" si="405">AN65</f>
        <v>60</v>
      </c>
      <c r="AP65" s="216">
        <f t="shared" ref="AP65" si="406">AO65</f>
        <v>60</v>
      </c>
      <c r="AQ65" s="216">
        <f t="shared" ref="AQ65" si="407">AP65</f>
        <v>60</v>
      </c>
      <c r="AR65" s="216">
        <f t="shared" ref="AR65" si="408">AQ65</f>
        <v>60</v>
      </c>
      <c r="AS65" s="216">
        <f t="shared" ref="AS65" si="409">AR65</f>
        <v>60</v>
      </c>
      <c r="AT65" s="216">
        <f t="shared" ref="AT65" si="410">AS65</f>
        <v>60</v>
      </c>
      <c r="AU65" s="216">
        <f t="shared" ref="AU65" si="411">AT65</f>
        <v>60</v>
      </c>
      <c r="AV65" s="216">
        <f t="shared" ref="AV65" si="412">AU65</f>
        <v>60</v>
      </c>
      <c r="AW65" s="216">
        <f t="shared" ref="AW65" si="413">AV65</f>
        <v>60</v>
      </c>
      <c r="AX65" s="216">
        <f t="shared" ref="AX65" si="414">AW65</f>
        <v>60</v>
      </c>
      <c r="AY65" s="216">
        <f t="shared" ref="AY65" si="415">AX65</f>
        <v>60</v>
      </c>
      <c r="AZ65" s="216">
        <f t="shared" ref="AZ65" si="416">AY65</f>
        <v>60</v>
      </c>
      <c r="BA65" s="379">
        <f t="shared" ref="BA65" si="417">AZ65</f>
        <v>60</v>
      </c>
      <c r="BB65" s="216">
        <f t="shared" ref="BB65" si="418">BA65</f>
        <v>60</v>
      </c>
      <c r="BC65" s="216">
        <f t="shared" ref="BC65" si="419">BB65</f>
        <v>60</v>
      </c>
      <c r="BD65" s="216">
        <f t="shared" ref="BD65" si="420">BC65</f>
        <v>60</v>
      </c>
      <c r="BE65" s="216">
        <f t="shared" ref="BE65" si="421">BD65</f>
        <v>60</v>
      </c>
      <c r="BF65" s="216">
        <f t="shared" ref="BF65" si="422">BE65</f>
        <v>60</v>
      </c>
      <c r="BG65" s="216">
        <f t="shared" ref="BG65" si="423">BF65</f>
        <v>60</v>
      </c>
      <c r="BH65" s="216">
        <f t="shared" ref="BH65" si="424">BG65</f>
        <v>60</v>
      </c>
      <c r="BI65" s="216">
        <f t="shared" ref="BI65" si="425">BH65</f>
        <v>60</v>
      </c>
      <c r="BJ65" s="216">
        <f t="shared" ref="BJ65" si="426">BI65</f>
        <v>60</v>
      </c>
      <c r="BK65" s="216">
        <f t="shared" ref="BK65" si="427">BJ65</f>
        <v>60</v>
      </c>
      <c r="BL65" s="216">
        <f t="shared" ref="BL65" si="428">BK65</f>
        <v>60</v>
      </c>
      <c r="BM65" s="216">
        <f t="shared" ref="BM65" si="429">BL65</f>
        <v>60</v>
      </c>
      <c r="BN65" s="216">
        <f t="shared" ref="BN65" si="430">BM65</f>
        <v>60</v>
      </c>
      <c r="BO65" s="216">
        <f t="shared" ref="BO65" si="431">BN65</f>
        <v>60</v>
      </c>
      <c r="BP65" s="216">
        <f t="shared" ref="BP65" si="432">BO65</f>
        <v>60</v>
      </c>
      <c r="BQ65" s="216">
        <f t="shared" ref="BQ65" si="433">BP65</f>
        <v>60</v>
      </c>
      <c r="BR65" s="216">
        <f t="shared" ref="BR65" si="434">BQ65</f>
        <v>60</v>
      </c>
      <c r="BS65" s="216">
        <f t="shared" ref="BS65" si="435">BR65</f>
        <v>60</v>
      </c>
      <c r="BT65" s="216">
        <f t="shared" ref="BT65" si="436">BS65</f>
        <v>60</v>
      </c>
      <c r="BU65" s="216">
        <f t="shared" ref="BU65" si="437">BT65</f>
        <v>60</v>
      </c>
      <c r="BV65" s="216">
        <f t="shared" ref="BV65" si="438">BU65</f>
        <v>60</v>
      </c>
      <c r="BW65" s="216">
        <f t="shared" ref="BW65" si="439">BV65</f>
        <v>60</v>
      </c>
      <c r="BX65" s="216">
        <f t="shared" ref="BX65" si="440">BW65</f>
        <v>60</v>
      </c>
      <c r="BY65" s="379"/>
    </row>
    <row r="66" spans="2:77" s="329" customFormat="1" x14ac:dyDescent="0.25">
      <c r="B66" s="358" t="s">
        <v>88</v>
      </c>
      <c r="C66" s="359"/>
      <c r="D66" s="360">
        <v>0</v>
      </c>
      <c r="E66" s="361">
        <v>0</v>
      </c>
      <c r="F66" s="329">
        <v>0</v>
      </c>
      <c r="G66" s="329">
        <v>0</v>
      </c>
      <c r="H66" s="329">
        <v>0</v>
      </c>
      <c r="I66" s="329">
        <v>0</v>
      </c>
      <c r="J66" s="329">
        <v>0</v>
      </c>
      <c r="K66" s="329">
        <v>0</v>
      </c>
      <c r="L66" s="329">
        <v>0</v>
      </c>
      <c r="M66" s="329">
        <v>0</v>
      </c>
      <c r="N66" s="329">
        <v>0</v>
      </c>
      <c r="O66" s="329">
        <v>0</v>
      </c>
      <c r="P66" s="329">
        <v>0</v>
      </c>
      <c r="Q66" s="329">
        <v>0</v>
      </c>
      <c r="R66" s="329">
        <v>0</v>
      </c>
      <c r="S66" s="329">
        <v>0</v>
      </c>
      <c r="T66" s="329">
        <v>0</v>
      </c>
      <c r="U66" s="329">
        <v>0</v>
      </c>
      <c r="V66" s="329">
        <v>0</v>
      </c>
      <c r="W66" s="329">
        <v>0</v>
      </c>
      <c r="X66" s="329">
        <v>0</v>
      </c>
      <c r="Y66" s="329">
        <v>0</v>
      </c>
      <c r="Z66" s="329">
        <v>0</v>
      </c>
      <c r="AA66" s="329">
        <v>0</v>
      </c>
      <c r="AB66" s="329">
        <v>0</v>
      </c>
      <c r="AC66" s="362">
        <v>0</v>
      </c>
      <c r="AD66" s="329">
        <v>0</v>
      </c>
      <c r="AE66" s="329">
        <v>0</v>
      </c>
      <c r="AF66" s="329">
        <v>0</v>
      </c>
      <c r="AG66" s="329">
        <v>0</v>
      </c>
      <c r="AH66" s="329">
        <v>0</v>
      </c>
      <c r="AI66" s="329">
        <v>0</v>
      </c>
      <c r="AJ66" s="329">
        <v>0</v>
      </c>
      <c r="AK66" s="329">
        <v>0</v>
      </c>
      <c r="AL66" s="329">
        <v>0</v>
      </c>
      <c r="AM66" s="329">
        <v>0</v>
      </c>
      <c r="AN66" s="329">
        <v>0</v>
      </c>
      <c r="AO66" s="329">
        <v>0</v>
      </c>
      <c r="AP66" s="329">
        <v>0</v>
      </c>
      <c r="AQ66" s="329">
        <v>0</v>
      </c>
      <c r="AR66" s="329">
        <v>0</v>
      </c>
      <c r="AS66" s="329">
        <v>0</v>
      </c>
      <c r="AT66" s="329">
        <v>0</v>
      </c>
      <c r="AU66" s="329">
        <v>0</v>
      </c>
      <c r="AV66" s="329">
        <v>0</v>
      </c>
      <c r="AW66" s="329">
        <v>0</v>
      </c>
      <c r="AX66" s="329">
        <v>0</v>
      </c>
      <c r="AY66" s="329">
        <v>0</v>
      </c>
      <c r="AZ66" s="329">
        <v>0</v>
      </c>
      <c r="BA66" s="362">
        <v>0</v>
      </c>
      <c r="BB66" s="329">
        <v>0</v>
      </c>
      <c r="BC66" s="329">
        <v>0</v>
      </c>
      <c r="BD66" s="329">
        <v>0</v>
      </c>
      <c r="BE66" s="329">
        <v>0</v>
      </c>
      <c r="BF66" s="329">
        <v>0</v>
      </c>
      <c r="BG66" s="329">
        <v>0</v>
      </c>
      <c r="BH66" s="329">
        <v>0</v>
      </c>
      <c r="BI66" s="329">
        <v>0</v>
      </c>
      <c r="BJ66" s="329">
        <v>0</v>
      </c>
      <c r="BK66" s="329">
        <v>0</v>
      </c>
      <c r="BL66" s="329">
        <v>0</v>
      </c>
      <c r="BM66" s="329">
        <v>0</v>
      </c>
      <c r="BN66" s="329">
        <v>0</v>
      </c>
      <c r="BO66" s="329">
        <v>0</v>
      </c>
      <c r="BP66" s="329">
        <v>0</v>
      </c>
      <c r="BQ66" s="329">
        <v>0</v>
      </c>
      <c r="BR66" s="329">
        <v>0</v>
      </c>
      <c r="BS66" s="329">
        <v>0</v>
      </c>
      <c r="BT66" s="329">
        <v>0</v>
      </c>
      <c r="BU66" s="329">
        <v>0</v>
      </c>
      <c r="BV66" s="329">
        <v>0</v>
      </c>
      <c r="BW66" s="329">
        <v>0</v>
      </c>
      <c r="BX66" s="329">
        <v>0</v>
      </c>
      <c r="BY66" s="362"/>
    </row>
    <row r="67" spans="2:77" ht="15.75" thickBot="1" x14ac:dyDescent="0.3">
      <c r="B67" s="54" t="s">
        <v>89</v>
      </c>
      <c r="D67" s="333">
        <v>1</v>
      </c>
      <c r="E67" s="66">
        <v>1.06</v>
      </c>
      <c r="F67" s="58">
        <v>1.06</v>
      </c>
      <c r="G67" s="58">
        <v>1.06</v>
      </c>
      <c r="H67" s="58">
        <v>1.06</v>
      </c>
      <c r="I67" s="58">
        <v>1.06</v>
      </c>
      <c r="J67" s="58">
        <v>1.06</v>
      </c>
      <c r="K67" s="58">
        <v>1.06</v>
      </c>
      <c r="L67" s="58">
        <v>1.06</v>
      </c>
      <c r="M67" s="58">
        <v>1.06</v>
      </c>
      <c r="N67" s="58">
        <v>1.06</v>
      </c>
      <c r="O67" s="58">
        <v>1.06</v>
      </c>
      <c r="P67" s="58">
        <v>1.06</v>
      </c>
      <c r="Q67" s="58">
        <v>1.06</v>
      </c>
      <c r="R67" s="58">
        <v>1.06</v>
      </c>
      <c r="S67" s="58">
        <v>1.06</v>
      </c>
      <c r="T67" s="58">
        <v>1.06</v>
      </c>
      <c r="U67" s="58">
        <v>1.06</v>
      </c>
      <c r="V67" s="58">
        <v>1.06</v>
      </c>
      <c r="W67" s="58">
        <v>1.06</v>
      </c>
      <c r="X67" s="58">
        <v>1.06</v>
      </c>
      <c r="Y67" s="58">
        <v>1.06</v>
      </c>
      <c r="Z67" s="58">
        <v>1.06</v>
      </c>
      <c r="AA67" s="58">
        <v>1.06</v>
      </c>
      <c r="AB67" s="58">
        <v>1.06</v>
      </c>
      <c r="AC67" s="57">
        <v>1.06</v>
      </c>
      <c r="AD67" s="58">
        <v>1.06</v>
      </c>
      <c r="AE67" s="58">
        <v>1.06</v>
      </c>
      <c r="AF67" s="58">
        <v>1.06</v>
      </c>
      <c r="AG67" s="58">
        <v>1.06</v>
      </c>
      <c r="AH67" s="58">
        <v>1.06</v>
      </c>
      <c r="AI67" s="58">
        <v>1.06</v>
      </c>
      <c r="AJ67" s="58">
        <v>1.06</v>
      </c>
      <c r="AK67" s="58">
        <v>1.06</v>
      </c>
      <c r="AL67" s="58">
        <v>1.06</v>
      </c>
      <c r="AM67" s="58">
        <v>1.06</v>
      </c>
      <c r="AN67" s="58">
        <v>1.06</v>
      </c>
      <c r="AO67" s="58">
        <v>1.06</v>
      </c>
      <c r="AP67" s="58">
        <v>1.06</v>
      </c>
      <c r="AQ67" s="58">
        <v>1.06</v>
      </c>
      <c r="AR67" s="58">
        <v>1.06</v>
      </c>
      <c r="AS67" s="58">
        <v>1.06</v>
      </c>
      <c r="AT67" s="58">
        <v>1.06</v>
      </c>
      <c r="AU67" s="58">
        <v>1.06</v>
      </c>
      <c r="AV67" s="58">
        <v>1.06</v>
      </c>
      <c r="AW67" s="58">
        <v>1.06</v>
      </c>
      <c r="AX67" s="58">
        <v>1.06</v>
      </c>
      <c r="AY67" s="58">
        <v>1.06</v>
      </c>
      <c r="AZ67" s="58">
        <v>1.06</v>
      </c>
      <c r="BA67" s="57">
        <v>1.06</v>
      </c>
      <c r="BB67" s="58">
        <v>1.06</v>
      </c>
      <c r="BC67" s="58">
        <v>1.06</v>
      </c>
      <c r="BD67" s="58">
        <v>1.06</v>
      </c>
      <c r="BE67" s="58">
        <v>1.06</v>
      </c>
      <c r="BF67" s="58">
        <v>1.06</v>
      </c>
      <c r="BG67" s="58">
        <v>1.06</v>
      </c>
      <c r="BH67" s="58">
        <v>1.06</v>
      </c>
      <c r="BI67" s="58">
        <v>1.06</v>
      </c>
      <c r="BJ67" s="58">
        <v>1.06</v>
      </c>
      <c r="BK67" s="58">
        <v>1.06</v>
      </c>
      <c r="BL67" s="58">
        <v>1.06</v>
      </c>
      <c r="BM67" s="58">
        <v>1.06</v>
      </c>
      <c r="BN67" s="58">
        <v>1.06</v>
      </c>
      <c r="BO67" s="58">
        <v>1.06</v>
      </c>
      <c r="BP67" s="58">
        <v>1.06</v>
      </c>
      <c r="BQ67" s="58">
        <v>1.06</v>
      </c>
      <c r="BR67" s="58">
        <v>1.06</v>
      </c>
      <c r="BS67" s="58">
        <v>1.06</v>
      </c>
      <c r="BT67" s="58">
        <v>1.06</v>
      </c>
      <c r="BU67" s="58">
        <v>1.06</v>
      </c>
      <c r="BV67" s="58">
        <v>1.06</v>
      </c>
      <c r="BW67" s="58">
        <v>1.06</v>
      </c>
      <c r="BX67" s="58">
        <v>1.06</v>
      </c>
      <c r="BY67" s="57"/>
    </row>
    <row r="68" spans="2:77" ht="15.75" thickBot="1" x14ac:dyDescent="0.3">
      <c r="B68" s="103" t="s">
        <v>361</v>
      </c>
      <c r="C68" s="119"/>
      <c r="D68" s="389">
        <v>55</v>
      </c>
      <c r="E68" s="104">
        <f>((D70+(E65*E67)+E66+IF(D88="B",E65,0)))</f>
        <v>118.6</v>
      </c>
      <c r="F68" s="104">
        <f t="shared" ref="F68:BQ68" si="441">((E70+(F65*F67)+F66+IF(E88="B",F65,0)))</f>
        <v>182.2</v>
      </c>
      <c r="G68" s="104">
        <f t="shared" si="441"/>
        <v>245.79999999999998</v>
      </c>
      <c r="H68" s="104">
        <f t="shared" si="441"/>
        <v>309.39999999999998</v>
      </c>
      <c r="I68" s="104">
        <f t="shared" si="441"/>
        <v>373</v>
      </c>
      <c r="J68" s="105">
        <f t="shared" si="441"/>
        <v>436.6</v>
      </c>
      <c r="K68" s="74">
        <f t="shared" si="441"/>
        <v>280.20000000000005</v>
      </c>
      <c r="L68" s="74">
        <f t="shared" si="441"/>
        <v>123.80000000000004</v>
      </c>
      <c r="M68" s="74">
        <f t="shared" si="441"/>
        <v>187.40000000000003</v>
      </c>
      <c r="N68" s="74">
        <f t="shared" si="441"/>
        <v>251.00000000000003</v>
      </c>
      <c r="O68" s="74">
        <f t="shared" si="441"/>
        <v>314.60000000000002</v>
      </c>
      <c r="P68" s="74">
        <f t="shared" si="441"/>
        <v>158.20000000000002</v>
      </c>
      <c r="Q68" s="74">
        <f t="shared" si="441"/>
        <v>221.8</v>
      </c>
      <c r="R68" s="74">
        <f t="shared" si="441"/>
        <v>285.40000000000003</v>
      </c>
      <c r="S68" s="74">
        <f t="shared" si="441"/>
        <v>129.00000000000003</v>
      </c>
      <c r="T68" s="74">
        <f t="shared" si="441"/>
        <v>192.60000000000002</v>
      </c>
      <c r="U68" s="74">
        <f t="shared" si="441"/>
        <v>256.20000000000005</v>
      </c>
      <c r="V68" s="74">
        <f t="shared" si="441"/>
        <v>319.80000000000007</v>
      </c>
      <c r="W68" s="74">
        <f t="shared" si="441"/>
        <v>163.40000000000006</v>
      </c>
      <c r="X68" s="74">
        <f t="shared" si="441"/>
        <v>227.00000000000006</v>
      </c>
      <c r="Y68" s="74">
        <f t="shared" si="441"/>
        <v>290.60000000000008</v>
      </c>
      <c r="Z68" s="74">
        <f t="shared" si="441"/>
        <v>134.20000000000007</v>
      </c>
      <c r="AA68" s="74">
        <f t="shared" si="441"/>
        <v>197.80000000000007</v>
      </c>
      <c r="AB68" s="74">
        <f t="shared" si="441"/>
        <v>261.40000000000009</v>
      </c>
      <c r="AC68" s="73">
        <f t="shared" si="441"/>
        <v>325.00000000000011</v>
      </c>
      <c r="AD68" s="74">
        <f t="shared" si="441"/>
        <v>388.60000000000014</v>
      </c>
      <c r="AE68" s="74">
        <f t="shared" si="441"/>
        <v>452.20000000000016</v>
      </c>
      <c r="AF68" s="74">
        <f t="shared" si="441"/>
        <v>515.80000000000018</v>
      </c>
      <c r="AG68" s="74">
        <f t="shared" si="441"/>
        <v>579.4000000000002</v>
      </c>
      <c r="AH68" s="74">
        <f t="shared" si="441"/>
        <v>643.00000000000023</v>
      </c>
      <c r="AI68" s="74">
        <f t="shared" si="441"/>
        <v>706.60000000000025</v>
      </c>
      <c r="AJ68" s="74">
        <f t="shared" si="441"/>
        <v>550.20000000000027</v>
      </c>
      <c r="AK68" s="74">
        <f t="shared" si="441"/>
        <v>393.8000000000003</v>
      </c>
      <c r="AL68" s="74">
        <f t="shared" si="441"/>
        <v>237.40000000000029</v>
      </c>
      <c r="AM68" s="74">
        <f t="shared" si="441"/>
        <v>301.00000000000028</v>
      </c>
      <c r="AN68" s="74">
        <f t="shared" si="441"/>
        <v>144.60000000000028</v>
      </c>
      <c r="AO68" s="74">
        <f t="shared" si="441"/>
        <v>268.20000000000027</v>
      </c>
      <c r="AP68" s="74">
        <f t="shared" si="441"/>
        <v>281.8000000000003</v>
      </c>
      <c r="AQ68" s="74">
        <f t="shared" si="441"/>
        <v>125.40000000000029</v>
      </c>
      <c r="AR68" s="74">
        <f t="shared" si="441"/>
        <v>189.00000000000028</v>
      </c>
      <c r="AS68" s="74">
        <f t="shared" si="441"/>
        <v>252.60000000000028</v>
      </c>
      <c r="AT68" s="74">
        <f t="shared" si="441"/>
        <v>316.20000000000027</v>
      </c>
      <c r="AU68" s="74">
        <f t="shared" si="441"/>
        <v>159.80000000000027</v>
      </c>
      <c r="AV68" s="74">
        <f t="shared" si="441"/>
        <v>223.40000000000026</v>
      </c>
      <c r="AW68" s="74">
        <f t="shared" si="441"/>
        <v>287.00000000000028</v>
      </c>
      <c r="AX68" s="74">
        <f t="shared" si="441"/>
        <v>130.60000000000028</v>
      </c>
      <c r="AY68" s="74">
        <f t="shared" si="441"/>
        <v>194.20000000000027</v>
      </c>
      <c r="AZ68" s="74">
        <f t="shared" si="441"/>
        <v>257.8000000000003</v>
      </c>
      <c r="BA68" s="73">
        <f t="shared" si="441"/>
        <v>321.40000000000032</v>
      </c>
      <c r="BB68" s="74">
        <f t="shared" si="441"/>
        <v>385.00000000000034</v>
      </c>
      <c r="BC68" s="74">
        <f t="shared" si="441"/>
        <v>448.60000000000036</v>
      </c>
      <c r="BD68" s="74">
        <f t="shared" si="441"/>
        <v>512.20000000000039</v>
      </c>
      <c r="BE68" s="74">
        <f t="shared" si="441"/>
        <v>575.80000000000041</v>
      </c>
      <c r="BF68" s="74">
        <f t="shared" si="441"/>
        <v>639.40000000000043</v>
      </c>
      <c r="BG68" s="74">
        <f t="shared" si="441"/>
        <v>703.00000000000045</v>
      </c>
      <c r="BH68" s="74">
        <f t="shared" si="441"/>
        <v>546.60000000000048</v>
      </c>
      <c r="BI68" s="74">
        <f t="shared" si="441"/>
        <v>390.2000000000005</v>
      </c>
      <c r="BJ68" s="74">
        <f t="shared" si="441"/>
        <v>293.80000000000052</v>
      </c>
      <c r="BK68" s="74">
        <f t="shared" si="441"/>
        <v>137.40000000000052</v>
      </c>
      <c r="BL68" s="74">
        <f t="shared" si="441"/>
        <v>201.00000000000051</v>
      </c>
      <c r="BM68" s="74">
        <f t="shared" si="441"/>
        <v>264.60000000000053</v>
      </c>
      <c r="BN68" s="74">
        <f t="shared" si="441"/>
        <v>328.20000000000056</v>
      </c>
      <c r="BO68" s="74">
        <f t="shared" si="441"/>
        <v>171.80000000000055</v>
      </c>
      <c r="BP68" s="74">
        <f t="shared" si="441"/>
        <v>235.40000000000055</v>
      </c>
      <c r="BQ68" s="74">
        <f t="shared" si="441"/>
        <v>299.00000000000057</v>
      </c>
      <c r="BR68" s="74">
        <f t="shared" ref="BR68:BX68" si="442">((BQ70+(BR65*BR67)+BR66+IF(BQ88="B",BR65,0)))</f>
        <v>142.60000000000056</v>
      </c>
      <c r="BS68" s="74">
        <f t="shared" si="442"/>
        <v>206.20000000000056</v>
      </c>
      <c r="BT68" s="74">
        <f t="shared" si="442"/>
        <v>269.80000000000058</v>
      </c>
      <c r="BU68" s="74">
        <f t="shared" si="442"/>
        <v>333.4000000000006</v>
      </c>
      <c r="BV68" s="74">
        <f t="shared" si="442"/>
        <v>177.0000000000006</v>
      </c>
      <c r="BW68" s="74">
        <f t="shared" si="442"/>
        <v>240.60000000000059</v>
      </c>
      <c r="BX68" s="74">
        <f t="shared" si="442"/>
        <v>304.20000000000061</v>
      </c>
      <c r="BY68" s="74"/>
    </row>
    <row r="69" spans="2:77" ht="15.75" thickBot="1" x14ac:dyDescent="0.3">
      <c r="B69" s="54" t="s">
        <v>150</v>
      </c>
      <c r="D69" s="382">
        <v>220</v>
      </c>
      <c r="E69" s="61">
        <f>D69</f>
        <v>220</v>
      </c>
      <c r="F69" s="74">
        <f t="shared" ref="F69:AB69" si="443">E69</f>
        <v>220</v>
      </c>
      <c r="G69" s="74">
        <f t="shared" si="443"/>
        <v>220</v>
      </c>
      <c r="H69" s="74">
        <f t="shared" si="443"/>
        <v>220</v>
      </c>
      <c r="I69" s="74">
        <f t="shared" si="443"/>
        <v>220</v>
      </c>
      <c r="J69" s="74">
        <f t="shared" si="443"/>
        <v>220</v>
      </c>
      <c r="K69" s="74">
        <f t="shared" si="443"/>
        <v>220</v>
      </c>
      <c r="L69" s="74">
        <f t="shared" si="443"/>
        <v>220</v>
      </c>
      <c r="M69" s="74">
        <f t="shared" si="443"/>
        <v>220</v>
      </c>
      <c r="N69" s="74">
        <f t="shared" si="443"/>
        <v>220</v>
      </c>
      <c r="O69" s="74">
        <f t="shared" si="443"/>
        <v>220</v>
      </c>
      <c r="P69" s="74">
        <f t="shared" si="443"/>
        <v>220</v>
      </c>
      <c r="Q69" s="74">
        <f t="shared" si="443"/>
        <v>220</v>
      </c>
      <c r="R69" s="74">
        <f t="shared" si="443"/>
        <v>220</v>
      </c>
      <c r="S69" s="74">
        <f t="shared" si="443"/>
        <v>220</v>
      </c>
      <c r="T69" s="74">
        <f t="shared" si="443"/>
        <v>220</v>
      </c>
      <c r="U69" s="74">
        <f t="shared" si="443"/>
        <v>220</v>
      </c>
      <c r="V69" s="74">
        <f t="shared" si="443"/>
        <v>220</v>
      </c>
      <c r="W69" s="74">
        <f t="shared" si="443"/>
        <v>220</v>
      </c>
      <c r="X69" s="74">
        <f t="shared" si="443"/>
        <v>220</v>
      </c>
      <c r="Y69" s="74">
        <f t="shared" si="443"/>
        <v>220</v>
      </c>
      <c r="Z69" s="74">
        <f t="shared" si="443"/>
        <v>220</v>
      </c>
      <c r="AA69" s="74">
        <f t="shared" si="443"/>
        <v>220</v>
      </c>
      <c r="AB69" s="74">
        <f t="shared" si="443"/>
        <v>220</v>
      </c>
      <c r="AC69" s="73">
        <f t="shared" ref="AC69" si="444">AB69</f>
        <v>220</v>
      </c>
      <c r="AD69" s="74">
        <f t="shared" ref="AD69" si="445">AC69</f>
        <v>220</v>
      </c>
      <c r="AE69" s="74">
        <f t="shared" ref="AE69" si="446">AD69</f>
        <v>220</v>
      </c>
      <c r="AF69" s="74">
        <f t="shared" ref="AF69" si="447">AE69</f>
        <v>220</v>
      </c>
      <c r="AG69" s="74">
        <f t="shared" ref="AG69" si="448">AF69</f>
        <v>220</v>
      </c>
      <c r="AH69" s="74">
        <f t="shared" ref="AH69" si="449">AG69</f>
        <v>220</v>
      </c>
      <c r="AI69" s="74">
        <f t="shared" ref="AI69" si="450">AH69</f>
        <v>220</v>
      </c>
      <c r="AJ69" s="74">
        <f t="shared" ref="AJ69" si="451">AI69</f>
        <v>220</v>
      </c>
      <c r="AK69" s="74">
        <f t="shared" ref="AK69" si="452">AJ69</f>
        <v>220</v>
      </c>
      <c r="AL69" s="74">
        <f t="shared" ref="AL69" si="453">AK69</f>
        <v>220</v>
      </c>
      <c r="AM69" s="74">
        <f t="shared" ref="AM69" si="454">AL69</f>
        <v>220</v>
      </c>
      <c r="AN69" s="74">
        <f t="shared" ref="AN69" si="455">AM69</f>
        <v>220</v>
      </c>
      <c r="AO69" s="74">
        <f t="shared" ref="AO69" si="456">AN69</f>
        <v>220</v>
      </c>
      <c r="AP69" s="74">
        <f t="shared" ref="AP69" si="457">AO69</f>
        <v>220</v>
      </c>
      <c r="AQ69" s="74">
        <f t="shared" ref="AQ69" si="458">AP69</f>
        <v>220</v>
      </c>
      <c r="AR69" s="74">
        <f t="shared" ref="AR69" si="459">AQ69</f>
        <v>220</v>
      </c>
      <c r="AS69" s="74">
        <f t="shared" ref="AS69" si="460">AR69</f>
        <v>220</v>
      </c>
      <c r="AT69" s="74">
        <f t="shared" ref="AT69" si="461">AS69</f>
        <v>220</v>
      </c>
      <c r="AU69" s="74">
        <f t="shared" ref="AU69" si="462">AT69</f>
        <v>220</v>
      </c>
      <c r="AV69" s="74">
        <f t="shared" ref="AV69" si="463">AU69</f>
        <v>220</v>
      </c>
      <c r="AW69" s="74">
        <f t="shared" ref="AW69" si="464">AV69</f>
        <v>220</v>
      </c>
      <c r="AX69" s="74">
        <f t="shared" ref="AX69" si="465">AW69</f>
        <v>220</v>
      </c>
      <c r="AY69" s="74">
        <f t="shared" ref="AY69" si="466">AX69</f>
        <v>220</v>
      </c>
      <c r="AZ69" s="74">
        <f t="shared" ref="AZ69" si="467">AY69</f>
        <v>220</v>
      </c>
      <c r="BA69" s="73">
        <f t="shared" ref="BA69" si="468">AZ69</f>
        <v>220</v>
      </c>
      <c r="BB69" s="74">
        <f t="shared" ref="BB69" si="469">BA69</f>
        <v>220</v>
      </c>
      <c r="BC69" s="74">
        <f t="shared" ref="BC69" si="470">BB69</f>
        <v>220</v>
      </c>
      <c r="BD69" s="74">
        <f t="shared" ref="BD69" si="471">BC69</f>
        <v>220</v>
      </c>
      <c r="BE69" s="74">
        <f t="shared" ref="BE69" si="472">BD69</f>
        <v>220</v>
      </c>
      <c r="BF69" s="74">
        <f t="shared" ref="BF69" si="473">BE69</f>
        <v>220</v>
      </c>
      <c r="BG69" s="74">
        <f t="shared" ref="BG69" si="474">BF69</f>
        <v>220</v>
      </c>
      <c r="BH69" s="74">
        <f t="shared" ref="BH69" si="475">BG69</f>
        <v>220</v>
      </c>
      <c r="BI69" s="74">
        <f t="shared" ref="BI69" si="476">BH69</f>
        <v>220</v>
      </c>
      <c r="BJ69" s="74">
        <f t="shared" ref="BJ69" si="477">BI69</f>
        <v>220</v>
      </c>
      <c r="BK69" s="74">
        <f t="shared" ref="BK69" si="478">BJ69</f>
        <v>220</v>
      </c>
      <c r="BL69" s="74">
        <f t="shared" ref="BL69" si="479">BK69</f>
        <v>220</v>
      </c>
      <c r="BM69" s="74">
        <f t="shared" ref="BM69" si="480">BL69</f>
        <v>220</v>
      </c>
      <c r="BN69" s="74">
        <f t="shared" ref="BN69" si="481">BM69</f>
        <v>220</v>
      </c>
      <c r="BO69" s="74">
        <f t="shared" ref="BO69" si="482">BN69</f>
        <v>220</v>
      </c>
      <c r="BP69" s="74">
        <f t="shared" ref="BP69" si="483">BO69</f>
        <v>220</v>
      </c>
      <c r="BQ69" s="74">
        <f t="shared" ref="BQ69" si="484">BP69</f>
        <v>220</v>
      </c>
      <c r="BR69" s="74">
        <f t="shared" ref="BR69" si="485">BQ69</f>
        <v>220</v>
      </c>
      <c r="BS69" s="74">
        <f t="shared" ref="BS69" si="486">BR69</f>
        <v>220</v>
      </c>
      <c r="BT69" s="74">
        <f t="shared" ref="BT69" si="487">BS69</f>
        <v>220</v>
      </c>
      <c r="BU69" s="74">
        <f t="shared" ref="BU69" si="488">BT69</f>
        <v>220</v>
      </c>
      <c r="BV69" s="74">
        <f t="shared" ref="BV69" si="489">BU69</f>
        <v>220</v>
      </c>
      <c r="BW69" s="74">
        <f t="shared" ref="BW69" si="490">BV69</f>
        <v>220</v>
      </c>
      <c r="BX69" s="74">
        <f t="shared" ref="BX69" si="491">BW69</f>
        <v>220</v>
      </c>
      <c r="BY69" s="73"/>
    </row>
    <row r="70" spans="2:77" ht="15.75" thickBot="1" x14ac:dyDescent="0.3">
      <c r="B70" s="103" t="s">
        <v>151</v>
      </c>
      <c r="C70" s="119"/>
      <c r="D70" s="390">
        <v>55</v>
      </c>
      <c r="E70" s="104">
        <f>IF(E38="B",IF(E68&gt;=275,E68-E69,IF(D88="B",E68-50,E68)),E68)</f>
        <v>118.6</v>
      </c>
      <c r="F70" s="104">
        <f t="shared" ref="F70:BQ70" si="492">IF(F38="B",IF(F68&gt;=275,F68-F69,IF(E88="B",F68-50,F68)),F68)</f>
        <v>182.2</v>
      </c>
      <c r="G70" s="104">
        <f t="shared" si="492"/>
        <v>245.79999999999998</v>
      </c>
      <c r="H70" s="104">
        <f t="shared" si="492"/>
        <v>309.39999999999998</v>
      </c>
      <c r="I70" s="104">
        <f t="shared" si="492"/>
        <v>373</v>
      </c>
      <c r="J70" s="105">
        <f t="shared" si="492"/>
        <v>216.60000000000002</v>
      </c>
      <c r="K70" s="74">
        <f t="shared" si="492"/>
        <v>60.200000000000045</v>
      </c>
      <c r="L70" s="74">
        <f t="shared" si="492"/>
        <v>123.80000000000004</v>
      </c>
      <c r="M70" s="74">
        <f t="shared" si="492"/>
        <v>187.40000000000003</v>
      </c>
      <c r="N70" s="74">
        <f t="shared" si="492"/>
        <v>251.00000000000003</v>
      </c>
      <c r="O70" s="74">
        <f t="shared" si="492"/>
        <v>94.600000000000023</v>
      </c>
      <c r="P70" s="74">
        <f t="shared" si="492"/>
        <v>158.20000000000002</v>
      </c>
      <c r="Q70" s="74">
        <f t="shared" si="492"/>
        <v>221.8</v>
      </c>
      <c r="R70" s="74">
        <f t="shared" si="492"/>
        <v>65.400000000000034</v>
      </c>
      <c r="S70" s="74">
        <f t="shared" si="492"/>
        <v>129.00000000000003</v>
      </c>
      <c r="T70" s="74">
        <f t="shared" si="492"/>
        <v>192.60000000000002</v>
      </c>
      <c r="U70" s="74">
        <f t="shared" si="492"/>
        <v>256.20000000000005</v>
      </c>
      <c r="V70" s="74">
        <f t="shared" si="492"/>
        <v>99.800000000000068</v>
      </c>
      <c r="W70" s="74">
        <f t="shared" si="492"/>
        <v>163.40000000000006</v>
      </c>
      <c r="X70" s="74">
        <f t="shared" si="492"/>
        <v>227.00000000000006</v>
      </c>
      <c r="Y70" s="74">
        <f t="shared" si="492"/>
        <v>70.60000000000008</v>
      </c>
      <c r="Z70" s="74">
        <f t="shared" si="492"/>
        <v>134.20000000000007</v>
      </c>
      <c r="AA70" s="74">
        <f t="shared" si="492"/>
        <v>197.80000000000007</v>
      </c>
      <c r="AB70" s="74">
        <f t="shared" si="492"/>
        <v>261.40000000000009</v>
      </c>
      <c r="AC70" s="73">
        <f t="shared" si="492"/>
        <v>325.00000000000011</v>
      </c>
      <c r="AD70" s="74">
        <f t="shared" si="492"/>
        <v>388.60000000000014</v>
      </c>
      <c r="AE70" s="74">
        <f t="shared" si="492"/>
        <v>452.20000000000016</v>
      </c>
      <c r="AF70" s="74">
        <f t="shared" si="492"/>
        <v>515.80000000000018</v>
      </c>
      <c r="AG70" s="74">
        <f t="shared" si="492"/>
        <v>579.4000000000002</v>
      </c>
      <c r="AH70" s="74">
        <f t="shared" si="492"/>
        <v>643.00000000000023</v>
      </c>
      <c r="AI70" s="74">
        <f t="shared" si="492"/>
        <v>486.60000000000025</v>
      </c>
      <c r="AJ70" s="74">
        <f t="shared" si="492"/>
        <v>330.20000000000027</v>
      </c>
      <c r="AK70" s="74">
        <f t="shared" si="492"/>
        <v>173.8000000000003</v>
      </c>
      <c r="AL70" s="74">
        <f t="shared" si="492"/>
        <v>237.40000000000029</v>
      </c>
      <c r="AM70" s="74">
        <f t="shared" si="492"/>
        <v>81.000000000000284</v>
      </c>
      <c r="AN70" s="74">
        <f t="shared" si="492"/>
        <v>144.60000000000028</v>
      </c>
      <c r="AO70" s="74">
        <f t="shared" si="492"/>
        <v>218.20000000000027</v>
      </c>
      <c r="AP70" s="74">
        <f t="shared" si="492"/>
        <v>61.800000000000296</v>
      </c>
      <c r="AQ70" s="74">
        <f t="shared" si="492"/>
        <v>125.40000000000029</v>
      </c>
      <c r="AR70" s="74">
        <f t="shared" si="492"/>
        <v>189.00000000000028</v>
      </c>
      <c r="AS70" s="74">
        <f t="shared" si="492"/>
        <v>252.60000000000028</v>
      </c>
      <c r="AT70" s="74">
        <f t="shared" si="492"/>
        <v>96.200000000000273</v>
      </c>
      <c r="AU70" s="74">
        <f t="shared" si="492"/>
        <v>159.80000000000027</v>
      </c>
      <c r="AV70" s="74">
        <f t="shared" si="492"/>
        <v>223.40000000000026</v>
      </c>
      <c r="AW70" s="74">
        <f t="shared" si="492"/>
        <v>67.000000000000284</v>
      </c>
      <c r="AX70" s="74">
        <f t="shared" si="492"/>
        <v>130.60000000000028</v>
      </c>
      <c r="AY70" s="74">
        <f t="shared" si="492"/>
        <v>194.20000000000027</v>
      </c>
      <c r="AZ70" s="74">
        <f t="shared" si="492"/>
        <v>257.8000000000003</v>
      </c>
      <c r="BA70" s="73">
        <f t="shared" si="492"/>
        <v>321.40000000000032</v>
      </c>
      <c r="BB70" s="74">
        <f t="shared" si="492"/>
        <v>385.00000000000034</v>
      </c>
      <c r="BC70" s="74">
        <f t="shared" si="492"/>
        <v>448.60000000000036</v>
      </c>
      <c r="BD70" s="74">
        <f t="shared" si="492"/>
        <v>512.20000000000039</v>
      </c>
      <c r="BE70" s="74">
        <f t="shared" si="492"/>
        <v>575.80000000000041</v>
      </c>
      <c r="BF70" s="74">
        <f t="shared" si="492"/>
        <v>639.40000000000043</v>
      </c>
      <c r="BG70" s="74">
        <f t="shared" si="492"/>
        <v>483.00000000000045</v>
      </c>
      <c r="BH70" s="74">
        <f t="shared" si="492"/>
        <v>326.60000000000048</v>
      </c>
      <c r="BI70" s="74">
        <f t="shared" si="492"/>
        <v>170.2000000000005</v>
      </c>
      <c r="BJ70" s="74">
        <f t="shared" si="492"/>
        <v>73.800000000000523</v>
      </c>
      <c r="BK70" s="74">
        <f t="shared" si="492"/>
        <v>137.40000000000052</v>
      </c>
      <c r="BL70" s="74">
        <f t="shared" si="492"/>
        <v>201.00000000000051</v>
      </c>
      <c r="BM70" s="74">
        <f t="shared" si="492"/>
        <v>264.60000000000053</v>
      </c>
      <c r="BN70" s="74">
        <f t="shared" si="492"/>
        <v>108.20000000000056</v>
      </c>
      <c r="BO70" s="74">
        <f t="shared" si="492"/>
        <v>171.80000000000055</v>
      </c>
      <c r="BP70" s="74">
        <f t="shared" si="492"/>
        <v>235.40000000000055</v>
      </c>
      <c r="BQ70" s="74">
        <f t="shared" si="492"/>
        <v>79.000000000000568</v>
      </c>
      <c r="BR70" s="74">
        <f t="shared" ref="BR70:BX70" si="493">IF(BR38="B",IF(BR68&gt;=275,BR68-BR69,IF(BQ88="B",BR68-50,BR68)),BR68)</f>
        <v>142.60000000000056</v>
      </c>
      <c r="BS70" s="74">
        <f t="shared" si="493"/>
        <v>206.20000000000056</v>
      </c>
      <c r="BT70" s="74">
        <f t="shared" si="493"/>
        <v>269.80000000000058</v>
      </c>
      <c r="BU70" s="74">
        <f t="shared" si="493"/>
        <v>113.4000000000006</v>
      </c>
      <c r="BV70" s="74">
        <f t="shared" si="493"/>
        <v>177.0000000000006</v>
      </c>
      <c r="BW70" s="74">
        <f t="shared" si="493"/>
        <v>240.60000000000059</v>
      </c>
      <c r="BX70" s="74">
        <f t="shared" si="493"/>
        <v>304.20000000000061</v>
      </c>
      <c r="BY70" s="73"/>
    </row>
    <row r="71" spans="2:77" s="64" customFormat="1" ht="15.75" thickBot="1" x14ac:dyDescent="0.3">
      <c r="B71" s="62" t="s">
        <v>146</v>
      </c>
      <c r="C71" s="113"/>
      <c r="D71" s="332">
        <f>D70/275*10</f>
        <v>2</v>
      </c>
      <c r="E71" s="76">
        <f>E70/275*10</f>
        <v>4.3127272727272725</v>
      </c>
      <c r="F71" s="76">
        <f t="shared" ref="F71:BQ71" si="494">F70/275*10</f>
        <v>6.625454545454545</v>
      </c>
      <c r="G71" s="76">
        <f t="shared" si="494"/>
        <v>8.9381818181818176</v>
      </c>
      <c r="H71" s="76">
        <f t="shared" si="494"/>
        <v>11.25090909090909</v>
      </c>
      <c r="I71" s="76">
        <f t="shared" si="494"/>
        <v>13.563636363636364</v>
      </c>
      <c r="J71" s="76">
        <f t="shared" si="494"/>
        <v>7.8763636363636369</v>
      </c>
      <c r="K71" s="76">
        <f t="shared" si="494"/>
        <v>2.1890909090909108</v>
      </c>
      <c r="L71" s="76">
        <f t="shared" si="494"/>
        <v>4.5018181818181837</v>
      </c>
      <c r="M71" s="76">
        <f t="shared" si="494"/>
        <v>6.8145454545454553</v>
      </c>
      <c r="N71" s="76">
        <f t="shared" si="494"/>
        <v>9.1272727272727288</v>
      </c>
      <c r="O71" s="76">
        <f t="shared" si="494"/>
        <v>3.4400000000000008</v>
      </c>
      <c r="P71" s="76">
        <f t="shared" si="494"/>
        <v>5.7527272727272738</v>
      </c>
      <c r="Q71" s="76">
        <f t="shared" si="494"/>
        <v>8.0654545454545463</v>
      </c>
      <c r="R71" s="76">
        <f t="shared" si="494"/>
        <v>2.3781818181818193</v>
      </c>
      <c r="S71" s="76">
        <f t="shared" si="494"/>
        <v>4.6909090909090914</v>
      </c>
      <c r="T71" s="76">
        <f t="shared" si="494"/>
        <v>7.0036363636363639</v>
      </c>
      <c r="U71" s="76">
        <f t="shared" si="494"/>
        <v>9.3163636363636382</v>
      </c>
      <c r="V71" s="76">
        <f t="shared" si="494"/>
        <v>3.6290909090909116</v>
      </c>
      <c r="W71" s="76">
        <f t="shared" si="494"/>
        <v>5.9418181818181832</v>
      </c>
      <c r="X71" s="76">
        <f t="shared" si="494"/>
        <v>8.2545454545454575</v>
      </c>
      <c r="Y71" s="76">
        <f t="shared" si="494"/>
        <v>2.56727272727273</v>
      </c>
      <c r="Z71" s="76">
        <f t="shared" si="494"/>
        <v>4.8800000000000026</v>
      </c>
      <c r="AA71" s="76">
        <f t="shared" si="494"/>
        <v>7.1927272727272751</v>
      </c>
      <c r="AB71" s="76">
        <f t="shared" si="494"/>
        <v>9.5054545454545494</v>
      </c>
      <c r="AC71" s="76">
        <f t="shared" si="494"/>
        <v>11.818181818181824</v>
      </c>
      <c r="AD71" s="76">
        <f t="shared" si="494"/>
        <v>14.130909090909096</v>
      </c>
      <c r="AE71" s="76">
        <f t="shared" si="494"/>
        <v>16.443636363636369</v>
      </c>
      <c r="AF71" s="76">
        <f t="shared" si="494"/>
        <v>18.756363636363641</v>
      </c>
      <c r="AG71" s="76">
        <f t="shared" si="494"/>
        <v>21.069090909090917</v>
      </c>
      <c r="AH71" s="76">
        <f t="shared" si="494"/>
        <v>23.38181818181819</v>
      </c>
      <c r="AI71" s="76">
        <f t="shared" si="494"/>
        <v>17.694545454545462</v>
      </c>
      <c r="AJ71" s="76">
        <f t="shared" si="494"/>
        <v>12.007272727272738</v>
      </c>
      <c r="AK71" s="76">
        <f t="shared" si="494"/>
        <v>6.3200000000000109</v>
      </c>
      <c r="AL71" s="76">
        <f t="shared" si="494"/>
        <v>8.6327272727272835</v>
      </c>
      <c r="AM71" s="76">
        <f t="shared" si="494"/>
        <v>2.9454545454545555</v>
      </c>
      <c r="AN71" s="76">
        <f t="shared" si="494"/>
        <v>5.2581818181818285</v>
      </c>
      <c r="AO71" s="76">
        <f t="shared" si="494"/>
        <v>7.9345454545454643</v>
      </c>
      <c r="AP71" s="76">
        <f t="shared" si="494"/>
        <v>2.2472727272727382</v>
      </c>
      <c r="AQ71" s="76">
        <f t="shared" si="494"/>
        <v>4.5600000000000112</v>
      </c>
      <c r="AR71" s="76">
        <f t="shared" si="494"/>
        <v>6.8727272727272828</v>
      </c>
      <c r="AS71" s="76">
        <f t="shared" si="494"/>
        <v>9.1854545454545562</v>
      </c>
      <c r="AT71" s="76">
        <f t="shared" si="494"/>
        <v>3.4981818181818278</v>
      </c>
      <c r="AU71" s="76">
        <f t="shared" si="494"/>
        <v>5.8109090909091012</v>
      </c>
      <c r="AV71" s="76">
        <f t="shared" si="494"/>
        <v>8.123636363636372</v>
      </c>
      <c r="AW71" s="76">
        <f t="shared" si="494"/>
        <v>2.4363636363636467</v>
      </c>
      <c r="AX71" s="76">
        <f t="shared" si="494"/>
        <v>4.7490909090909197</v>
      </c>
      <c r="AY71" s="76">
        <f t="shared" si="494"/>
        <v>7.0618181818181913</v>
      </c>
      <c r="AZ71" s="76">
        <f t="shared" si="494"/>
        <v>9.3745454545454656</v>
      </c>
      <c r="BA71" s="76">
        <f t="shared" si="494"/>
        <v>11.68727272727274</v>
      </c>
      <c r="BB71" s="76">
        <f t="shared" si="494"/>
        <v>14.000000000000012</v>
      </c>
      <c r="BC71" s="76">
        <f t="shared" si="494"/>
        <v>16.312727272727287</v>
      </c>
      <c r="BD71" s="76">
        <f t="shared" si="494"/>
        <v>18.625454545454559</v>
      </c>
      <c r="BE71" s="76">
        <f t="shared" si="494"/>
        <v>20.938181818181832</v>
      </c>
      <c r="BF71" s="76">
        <f t="shared" si="494"/>
        <v>23.250909090909108</v>
      </c>
      <c r="BG71" s="76">
        <f t="shared" si="494"/>
        <v>17.56363636363638</v>
      </c>
      <c r="BH71" s="76">
        <f t="shared" si="494"/>
        <v>11.876363636363653</v>
      </c>
      <c r="BI71" s="76">
        <f t="shared" si="494"/>
        <v>6.1890909090909272</v>
      </c>
      <c r="BJ71" s="76">
        <f t="shared" si="494"/>
        <v>2.6836363636363822</v>
      </c>
      <c r="BK71" s="76">
        <f t="shared" si="494"/>
        <v>4.9963636363636557</v>
      </c>
      <c r="BL71" s="76">
        <f t="shared" si="494"/>
        <v>7.3090909090909273</v>
      </c>
      <c r="BM71" s="76">
        <f t="shared" si="494"/>
        <v>9.6218181818182007</v>
      </c>
      <c r="BN71" s="76">
        <f t="shared" si="494"/>
        <v>3.934545454545475</v>
      </c>
      <c r="BO71" s="76">
        <f t="shared" si="494"/>
        <v>6.2472727272727466</v>
      </c>
      <c r="BP71" s="76">
        <f t="shared" si="494"/>
        <v>8.56000000000002</v>
      </c>
      <c r="BQ71" s="76">
        <f t="shared" si="494"/>
        <v>2.8727272727272934</v>
      </c>
      <c r="BR71" s="76">
        <f t="shared" ref="BR71:BX71" si="495">BR70/275*10</f>
        <v>5.1854545454545669</v>
      </c>
      <c r="BS71" s="76">
        <f t="shared" si="495"/>
        <v>7.4981818181818385</v>
      </c>
      <c r="BT71" s="76">
        <f t="shared" si="495"/>
        <v>9.8109090909091119</v>
      </c>
      <c r="BU71" s="76">
        <f t="shared" si="495"/>
        <v>4.1236363636363853</v>
      </c>
      <c r="BV71" s="76">
        <f t="shared" si="495"/>
        <v>6.4363636363636578</v>
      </c>
      <c r="BW71" s="76">
        <f t="shared" si="495"/>
        <v>8.7490909090909312</v>
      </c>
      <c r="BX71" s="76">
        <f t="shared" si="495"/>
        <v>11.061818181818204</v>
      </c>
      <c r="BY71" s="76"/>
    </row>
    <row r="72" spans="2:77" s="81" customFormat="1" x14ac:dyDescent="0.25">
      <c r="B72" s="70"/>
      <c r="C72" s="111"/>
      <c r="D72" s="331"/>
      <c r="E72" s="91"/>
      <c r="AC72" s="80"/>
      <c r="AI72" s="54"/>
      <c r="BA72" s="80"/>
      <c r="BG72" s="54"/>
      <c r="BY72" s="80"/>
    </row>
    <row r="73" spans="2:77" x14ac:dyDescent="0.25">
      <c r="B73" s="70" t="s">
        <v>396</v>
      </c>
      <c r="C73" s="111"/>
      <c r="E73" s="90">
        <v>4.1666666666666664E-2</v>
      </c>
      <c r="F73" s="72">
        <v>8.3333333333333301E-2</v>
      </c>
      <c r="G73" s="72">
        <v>0.125</v>
      </c>
      <c r="H73" s="72">
        <v>0.16666666666666699</v>
      </c>
      <c r="I73" s="72">
        <v>0.20833333333333301</v>
      </c>
      <c r="J73" s="72">
        <v>0.25</v>
      </c>
      <c r="K73" s="72">
        <v>0.29166666666666702</v>
      </c>
      <c r="L73" s="72">
        <v>0.33333333333333298</v>
      </c>
      <c r="M73" s="72">
        <v>0.375</v>
      </c>
      <c r="N73" s="72">
        <v>0.41666666666666702</v>
      </c>
      <c r="O73" s="72">
        <v>0.45833333333333298</v>
      </c>
      <c r="P73" s="72">
        <v>0.5</v>
      </c>
      <c r="Q73" s="72">
        <v>0.54166666666666696</v>
      </c>
      <c r="R73" s="72">
        <v>0.58333333333333304</v>
      </c>
      <c r="S73" s="72">
        <v>0.625</v>
      </c>
      <c r="T73" s="72">
        <v>0.66666666666666696</v>
      </c>
      <c r="U73" s="72">
        <v>0.70833333333333304</v>
      </c>
      <c r="V73" s="72">
        <v>0.75</v>
      </c>
      <c r="W73" s="72">
        <v>0.79166666666666696</v>
      </c>
      <c r="X73" s="72">
        <v>0.83333333333333304</v>
      </c>
      <c r="Y73" s="72">
        <v>0.875</v>
      </c>
      <c r="Z73" s="72">
        <v>0.91666666666666696</v>
      </c>
      <c r="AA73" s="72">
        <v>0.95833333333333404</v>
      </c>
      <c r="AB73" s="72">
        <v>1</v>
      </c>
      <c r="AC73" s="71">
        <v>4.1666666666666602E-2</v>
      </c>
      <c r="AD73" s="72">
        <v>8.3333333333333301E-2</v>
      </c>
      <c r="AE73" s="72">
        <v>0.125</v>
      </c>
      <c r="AF73" s="72">
        <v>0.16666666666666699</v>
      </c>
      <c r="AG73" s="72">
        <v>0.20833333333333301</v>
      </c>
      <c r="AH73" s="72">
        <v>0.25</v>
      </c>
      <c r="AI73" s="72">
        <v>0.29166666666666702</v>
      </c>
      <c r="AJ73" s="72">
        <v>0.33333333333333298</v>
      </c>
      <c r="AK73" s="72">
        <v>0.375</v>
      </c>
      <c r="AL73" s="72">
        <v>0.41666666666666702</v>
      </c>
      <c r="AM73" s="72">
        <v>0.45833333333333298</v>
      </c>
      <c r="AN73" s="72">
        <v>0.5</v>
      </c>
      <c r="AO73" s="72">
        <v>0.54166666666666696</v>
      </c>
      <c r="AP73" s="72">
        <v>0.58333333333333304</v>
      </c>
      <c r="AQ73" s="72">
        <v>0.625</v>
      </c>
      <c r="AR73" s="72">
        <v>0.66666666666666696</v>
      </c>
      <c r="AS73" s="72">
        <v>0.70833333333333304</v>
      </c>
      <c r="AT73" s="72">
        <v>0.75</v>
      </c>
      <c r="AU73" s="72">
        <v>0.79166666666666696</v>
      </c>
      <c r="AV73" s="72">
        <v>0.83333333333333304</v>
      </c>
      <c r="AW73" s="72">
        <v>0.875</v>
      </c>
      <c r="AX73" s="72">
        <v>0.91666666666666696</v>
      </c>
      <c r="AY73" s="72">
        <v>0.95833333333333404</v>
      </c>
      <c r="AZ73" s="72">
        <v>1</v>
      </c>
      <c r="BA73" s="71">
        <v>4.1666666666666602E-2</v>
      </c>
      <c r="BB73" s="72">
        <v>8.3333333333333301E-2</v>
      </c>
      <c r="BC73" s="72">
        <v>0.125</v>
      </c>
      <c r="BD73" s="72">
        <v>0.16666666666666699</v>
      </c>
      <c r="BE73" s="72">
        <v>0.20833333333333301</v>
      </c>
      <c r="BF73" s="72">
        <v>0.25</v>
      </c>
      <c r="BG73" s="72">
        <v>0.29166666666666702</v>
      </c>
      <c r="BH73" s="72">
        <v>0.33333333333333298</v>
      </c>
      <c r="BI73" s="72">
        <v>0.375</v>
      </c>
      <c r="BJ73" s="72">
        <v>0.41666666666666702</v>
      </c>
      <c r="BK73" s="72">
        <v>0.45833333333333298</v>
      </c>
      <c r="BL73" s="72">
        <v>0.5</v>
      </c>
      <c r="BM73" s="72">
        <v>0.54166666666666696</v>
      </c>
      <c r="BN73" s="72">
        <v>0.58333333333333304</v>
      </c>
      <c r="BO73" s="72">
        <v>0.625</v>
      </c>
      <c r="BP73" s="72">
        <v>0.66666666666666696</v>
      </c>
      <c r="BQ73" s="72">
        <v>0.70833333333333304</v>
      </c>
      <c r="BR73" s="72">
        <v>0.75</v>
      </c>
      <c r="BS73" s="72">
        <v>0.79166666666666696</v>
      </c>
      <c r="BT73" s="72">
        <v>0.83333333333333304</v>
      </c>
      <c r="BU73" s="72">
        <v>0.875</v>
      </c>
      <c r="BV73" s="72">
        <v>0.91666666666666696</v>
      </c>
      <c r="BW73" s="72">
        <v>0.95833333333333404</v>
      </c>
      <c r="BX73" s="72">
        <v>1</v>
      </c>
      <c r="BY73" s="72"/>
    </row>
    <row r="74" spans="2:77" x14ac:dyDescent="0.25">
      <c r="B74" s="54" t="s">
        <v>121</v>
      </c>
      <c r="D74" s="337">
        <v>0</v>
      </c>
      <c r="E74" s="387">
        <f>465.83/6</f>
        <v>77.638333333333335</v>
      </c>
      <c r="F74" s="58">
        <f>F47</f>
        <v>0</v>
      </c>
      <c r="G74" s="58">
        <f t="shared" ref="G74:BR74" si="496">G47</f>
        <v>0</v>
      </c>
      <c r="H74" s="58">
        <f t="shared" si="496"/>
        <v>0</v>
      </c>
      <c r="I74" s="58">
        <f t="shared" si="496"/>
        <v>0</v>
      </c>
      <c r="J74" s="58">
        <f t="shared" si="496"/>
        <v>0</v>
      </c>
      <c r="K74" s="58">
        <f t="shared" si="496"/>
        <v>0</v>
      </c>
      <c r="L74" s="58">
        <f t="shared" si="496"/>
        <v>465.83</v>
      </c>
      <c r="M74" s="58">
        <f t="shared" si="496"/>
        <v>0</v>
      </c>
      <c r="N74" s="58">
        <f t="shared" si="496"/>
        <v>0</v>
      </c>
      <c r="O74" s="58">
        <f t="shared" si="496"/>
        <v>0</v>
      </c>
      <c r="P74" s="58">
        <f t="shared" si="496"/>
        <v>232.92599999999999</v>
      </c>
      <c r="Q74" s="58">
        <f t="shared" si="496"/>
        <v>0</v>
      </c>
      <c r="R74" s="58">
        <f t="shared" si="496"/>
        <v>0</v>
      </c>
      <c r="S74" s="58">
        <f t="shared" si="496"/>
        <v>0</v>
      </c>
      <c r="T74" s="58">
        <f t="shared" si="496"/>
        <v>0</v>
      </c>
      <c r="U74" s="58">
        <f t="shared" si="496"/>
        <v>0</v>
      </c>
      <c r="V74" s="58">
        <f t="shared" si="496"/>
        <v>0</v>
      </c>
      <c r="W74" s="58">
        <f t="shared" si="496"/>
        <v>465.83</v>
      </c>
      <c r="X74" s="58">
        <f t="shared" si="496"/>
        <v>0</v>
      </c>
      <c r="Y74" s="58">
        <f t="shared" si="496"/>
        <v>0</v>
      </c>
      <c r="Z74" s="58">
        <f t="shared" si="496"/>
        <v>0</v>
      </c>
      <c r="AA74" s="58">
        <f t="shared" si="496"/>
        <v>0</v>
      </c>
      <c r="AB74" s="58">
        <f t="shared" si="496"/>
        <v>0</v>
      </c>
      <c r="AC74" s="57">
        <f t="shared" si="496"/>
        <v>0</v>
      </c>
      <c r="AD74" s="58">
        <f t="shared" si="496"/>
        <v>0</v>
      </c>
      <c r="AE74" s="58">
        <f t="shared" si="496"/>
        <v>0</v>
      </c>
      <c r="AF74" s="58">
        <f t="shared" si="496"/>
        <v>0</v>
      </c>
      <c r="AG74" s="58">
        <f t="shared" si="496"/>
        <v>0</v>
      </c>
      <c r="AH74" s="58">
        <f t="shared" si="496"/>
        <v>0</v>
      </c>
      <c r="AI74" s="58">
        <f t="shared" si="496"/>
        <v>0</v>
      </c>
      <c r="AJ74" s="58">
        <f t="shared" si="496"/>
        <v>232.92599999999999</v>
      </c>
      <c r="AK74" s="58">
        <f t="shared" si="496"/>
        <v>0</v>
      </c>
      <c r="AL74" s="58">
        <f t="shared" si="496"/>
        <v>0</v>
      </c>
      <c r="AM74" s="58">
        <f t="shared" si="496"/>
        <v>0</v>
      </c>
      <c r="AN74" s="58">
        <f t="shared" si="496"/>
        <v>232.92599999999999</v>
      </c>
      <c r="AO74" s="58">
        <f t="shared" si="496"/>
        <v>0</v>
      </c>
      <c r="AP74" s="58">
        <f t="shared" si="496"/>
        <v>0</v>
      </c>
      <c r="AQ74" s="58">
        <f t="shared" si="496"/>
        <v>0</v>
      </c>
      <c r="AR74" s="58">
        <f t="shared" si="496"/>
        <v>0</v>
      </c>
      <c r="AS74" s="58">
        <f t="shared" si="496"/>
        <v>465.83</v>
      </c>
      <c r="AT74" s="58">
        <f t="shared" si="496"/>
        <v>0</v>
      </c>
      <c r="AU74" s="58">
        <f t="shared" si="496"/>
        <v>0</v>
      </c>
      <c r="AV74" s="58">
        <f t="shared" si="496"/>
        <v>0</v>
      </c>
      <c r="AW74" s="58">
        <f t="shared" si="496"/>
        <v>0</v>
      </c>
      <c r="AX74" s="58">
        <f t="shared" si="496"/>
        <v>0</v>
      </c>
      <c r="AY74" s="58">
        <f t="shared" si="496"/>
        <v>0</v>
      </c>
      <c r="AZ74" s="58">
        <f t="shared" si="496"/>
        <v>0</v>
      </c>
      <c r="BA74" s="57">
        <f t="shared" si="496"/>
        <v>0</v>
      </c>
      <c r="BB74" s="58">
        <f t="shared" si="496"/>
        <v>0</v>
      </c>
      <c r="BC74" s="58">
        <f t="shared" si="496"/>
        <v>0</v>
      </c>
      <c r="BD74" s="58">
        <f t="shared" si="496"/>
        <v>0</v>
      </c>
      <c r="BE74" s="58">
        <f t="shared" si="496"/>
        <v>0</v>
      </c>
      <c r="BF74" s="58">
        <f t="shared" si="496"/>
        <v>0</v>
      </c>
      <c r="BG74" s="58">
        <f t="shared" si="496"/>
        <v>0</v>
      </c>
      <c r="BH74" s="58">
        <f t="shared" si="496"/>
        <v>465.83</v>
      </c>
      <c r="BI74" s="58">
        <f t="shared" si="496"/>
        <v>0</v>
      </c>
      <c r="BJ74" s="58">
        <f t="shared" si="496"/>
        <v>0</v>
      </c>
      <c r="BK74" s="58">
        <f t="shared" si="496"/>
        <v>0</v>
      </c>
      <c r="BL74" s="58">
        <f t="shared" si="496"/>
        <v>232.92599999999999</v>
      </c>
      <c r="BM74" s="58">
        <f t="shared" si="496"/>
        <v>0</v>
      </c>
      <c r="BN74" s="58">
        <f t="shared" si="496"/>
        <v>0</v>
      </c>
      <c r="BO74" s="58">
        <f t="shared" si="496"/>
        <v>0</v>
      </c>
      <c r="BP74" s="58">
        <f t="shared" si="496"/>
        <v>0</v>
      </c>
      <c r="BQ74" s="58">
        <f t="shared" si="496"/>
        <v>0</v>
      </c>
      <c r="BR74" s="58">
        <f t="shared" si="496"/>
        <v>0</v>
      </c>
      <c r="BS74" s="58">
        <f t="shared" ref="BS74:BX74" si="497">BS47</f>
        <v>465.83</v>
      </c>
      <c r="BT74" s="58">
        <f t="shared" si="497"/>
        <v>0</v>
      </c>
      <c r="BU74" s="58">
        <f t="shared" si="497"/>
        <v>0</v>
      </c>
      <c r="BV74" s="58">
        <f t="shared" si="497"/>
        <v>0</v>
      </c>
      <c r="BW74" s="58">
        <f t="shared" si="497"/>
        <v>0</v>
      </c>
      <c r="BX74" s="58">
        <f t="shared" si="497"/>
        <v>0</v>
      </c>
      <c r="BY74" s="57"/>
    </row>
    <row r="75" spans="2:77" x14ac:dyDescent="0.25">
      <c r="B75" s="54" t="s">
        <v>103</v>
      </c>
      <c r="D75" s="381">
        <f>465.83/6</f>
        <v>77.638333333333335</v>
      </c>
      <c r="E75" s="58">
        <f t="shared" ref="E75:F75" si="498">IF(E74&gt;0,E74+D75,IF(D75&gt;1,D75-D76,0))</f>
        <v>155.27666666666667</v>
      </c>
      <c r="F75" s="58">
        <f t="shared" si="498"/>
        <v>142.33694444444444</v>
      </c>
      <c r="G75" s="58">
        <f t="shared" ref="G75" si="499">IF(G74&gt;0,G74+F75,IF(F75&gt;1,F75-F76,0))</f>
        <v>129.39722222222221</v>
      </c>
      <c r="H75" s="58">
        <f t="shared" ref="H75" si="500">IF(H74&gt;0,H74+G75,IF(G75&gt;1,G75-G76,0))</f>
        <v>116.45749999999998</v>
      </c>
      <c r="I75" s="58">
        <f t="shared" ref="I75" si="501">IF(I74&gt;0,I74+H75,IF(H75&gt;1,H75-H76,0))</f>
        <v>103.51777777777775</v>
      </c>
      <c r="J75" s="58">
        <f t="shared" ref="J75" si="502">IF(J74&gt;0,J74+I75,IF(I75&gt;1,I75-I76,0))</f>
        <v>90.578055555555522</v>
      </c>
      <c r="K75" s="58">
        <f t="shared" ref="K75" si="503">IF(K74&gt;0,K74+J75,IF(J75&gt;1,J75-J76,0))</f>
        <v>77.638333333333293</v>
      </c>
      <c r="L75" s="58">
        <f t="shared" ref="L75" si="504">IF(L74&gt;0,L74+K75,IF(K75&gt;1,K75-K76,0))</f>
        <v>543.46833333333325</v>
      </c>
      <c r="M75" s="58">
        <f t="shared" ref="M75" si="505">IF(M74&gt;0,M74+L75,IF(L75&gt;1,L75-L76,0))</f>
        <v>452.89027777777773</v>
      </c>
      <c r="N75" s="58">
        <f t="shared" ref="N75" si="506">IF(N74&gt;0,N74+M75,IF(M75&gt;1,M75-M76,0))</f>
        <v>362.3122222222222</v>
      </c>
      <c r="O75" s="58">
        <f t="shared" ref="O75" si="507">IF(O74&gt;0,O74+N75,IF(N75&gt;1,N75-N76,0))</f>
        <v>271.73416666666668</v>
      </c>
      <c r="P75" s="58">
        <f t="shared" ref="P75" si="508">IF(P74&gt;0,P74+O75,IF(O75&gt;1,O75-O76,0))</f>
        <v>504.66016666666667</v>
      </c>
      <c r="Q75" s="58">
        <f t="shared" ref="Q75" si="509">IF(Q74&gt;0,Q74+P75,IF(P75&gt;1,P75-P76,0))</f>
        <v>420.55013888888891</v>
      </c>
      <c r="R75" s="58">
        <f t="shared" ref="R75" si="510">IF(R74&gt;0,R74+Q75,IF(Q75&gt;1,Q75-Q76,0))</f>
        <v>336.44011111111115</v>
      </c>
      <c r="S75" s="58">
        <f t="shared" ref="S75" si="511">IF(S74&gt;0,S74+R75,IF(R75&gt;1,R75-R76,0))</f>
        <v>252.33008333333339</v>
      </c>
      <c r="T75" s="58">
        <f t="shared" ref="T75" si="512">IF(T74&gt;0,T74+S75,IF(S75&gt;1,S75-S76,0))</f>
        <v>168.22005555555563</v>
      </c>
      <c r="U75" s="58">
        <f t="shared" ref="U75" si="513">IF(U74&gt;0,U74+T75,IF(T75&gt;1,T75-T76,0))</f>
        <v>84.110027777777859</v>
      </c>
      <c r="V75" s="58">
        <f t="shared" ref="V75" si="514">IF(V74&gt;0,V74+U75,IF(U75&gt;1,U75-U76,0))</f>
        <v>8.5265128291212022E-14</v>
      </c>
      <c r="W75" s="58">
        <f t="shared" ref="W75" si="515">IF(W74&gt;0,W74+V75,IF(V75&gt;1,V75-V76,0))</f>
        <v>465.83000000000004</v>
      </c>
      <c r="X75" s="58">
        <f t="shared" ref="X75" si="516">IF(X74&gt;0,X74+W75,IF(W75&gt;1,W75-W76,0))</f>
        <v>388.19166666666672</v>
      </c>
      <c r="Y75" s="58">
        <f t="shared" ref="Y75" si="517">IF(Y74&gt;0,Y74+X75,IF(X75&gt;1,X75-X76,0))</f>
        <v>310.5533333333334</v>
      </c>
      <c r="Z75" s="58">
        <f t="shared" ref="Z75" si="518">IF(Z74&gt;0,Z74+Y75,IF(Y75&gt;1,Y75-Y76,0))</f>
        <v>232.91500000000008</v>
      </c>
      <c r="AA75" s="58">
        <f t="shared" ref="AA75" si="519">IF(AA74&gt;0,AA74+Z75,IF(Z75&gt;1,Z75-Z76,0))</f>
        <v>155.27666666666676</v>
      </c>
      <c r="AB75" s="58">
        <f t="shared" ref="AB75" si="520">IF(AB74&gt;0,AB74+AA75,IF(AA75&gt;1,AA75-AA76,0))</f>
        <v>77.638333333333421</v>
      </c>
      <c r="AC75" s="57">
        <f t="shared" ref="AC75" si="521">IF(AC74&gt;0,AC74+AB75,IF(AB75&gt;1,AB75-AB76,0))</f>
        <v>8.5265128291212022E-14</v>
      </c>
      <c r="AD75" s="58">
        <f t="shared" ref="AD75" si="522">IF(AD74&gt;0,AD74+AC75,IF(AC75&gt;1,AC75-AC76,0))</f>
        <v>0</v>
      </c>
      <c r="AE75" s="58">
        <f t="shared" ref="AE75" si="523">IF(AE74&gt;0,AE74+AD75,IF(AD75&gt;1,AD75-AD76,0))</f>
        <v>0</v>
      </c>
      <c r="AF75" s="58">
        <f t="shared" ref="AF75" si="524">IF(AF74&gt;0,AF74+AE75,IF(AE75&gt;1,AE75-AE76,0))</f>
        <v>0</v>
      </c>
      <c r="AG75" s="58">
        <f t="shared" ref="AG75" si="525">IF(AG74&gt;0,AG74+AF75,IF(AF75&gt;1,AF75-AF76,0))</f>
        <v>0</v>
      </c>
      <c r="AH75" s="58">
        <f t="shared" ref="AH75" si="526">IF(AH74&gt;0,AH74+AG75,IF(AG75&gt;1,AG75-AG76,0))</f>
        <v>0</v>
      </c>
      <c r="AI75" s="58">
        <f t="shared" ref="AI75" si="527">IF(AI74&gt;0,AI74+AH75,IF(AH75&gt;1,AH75-AH76,0))</f>
        <v>0</v>
      </c>
      <c r="AJ75" s="58">
        <f t="shared" ref="AJ75" si="528">IF(AJ74&gt;0,AJ74+AI75,IF(AI75&gt;1,AI75-AI76,0))</f>
        <v>232.92599999999999</v>
      </c>
      <c r="AK75" s="58">
        <f t="shared" ref="AK75" si="529">IF(AK74&gt;0,AK74+AJ75,IF(AJ75&gt;1,AJ75-AJ76,0))</f>
        <v>194.10499999999999</v>
      </c>
      <c r="AL75" s="58">
        <f t="shared" ref="AL75" si="530">IF(AL74&gt;0,AL74+AK75,IF(AK75&gt;1,AK75-AK76,0))</f>
        <v>155.28399999999999</v>
      </c>
      <c r="AM75" s="58">
        <f t="shared" ref="AM75" si="531">IF(AM74&gt;0,AM74+AL75,IF(AL75&gt;1,AL75-AL76,0))</f>
        <v>116.46299999999999</v>
      </c>
      <c r="AN75" s="58">
        <f t="shared" ref="AN75" si="532">IF(AN74&gt;0,AN74+AM75,IF(AM75&gt;1,AM75-AM76,0))</f>
        <v>349.38900000000001</v>
      </c>
      <c r="AO75" s="58">
        <f t="shared" ref="AO75" si="533">IF(AO74&gt;0,AO74+AN75,IF(AN75&gt;1,AN75-AN76,0))</f>
        <v>291.15750000000003</v>
      </c>
      <c r="AP75" s="58">
        <f t="shared" ref="AP75" si="534">IF(AP74&gt;0,AP74+AO75,IF(AO75&gt;1,AO75-AO76,0))</f>
        <v>232.92600000000002</v>
      </c>
      <c r="AQ75" s="58">
        <f t="shared" ref="AQ75" si="535">IF(AQ74&gt;0,AQ74+AP75,IF(AP75&gt;1,AP75-AP76,0))</f>
        <v>174.69450000000001</v>
      </c>
      <c r="AR75" s="58">
        <f t="shared" ref="AR75" si="536">IF(AR74&gt;0,AR74+AQ75,IF(AQ75&gt;1,AQ75-AQ76,0))</f>
        <v>116.46299999999999</v>
      </c>
      <c r="AS75" s="58">
        <f t="shared" ref="AS75" si="537">IF(AS74&gt;0,AS74+AR75,IF(AR75&gt;1,AR75-AR76,0))</f>
        <v>582.29300000000001</v>
      </c>
      <c r="AT75" s="58">
        <f t="shared" ref="AT75" si="538">IF(AT74&gt;0,AT74+AS75,IF(AS75&gt;1,AS75-AS76,0))</f>
        <v>485.24416666666667</v>
      </c>
      <c r="AU75" s="58">
        <f t="shared" ref="AU75" si="539">IF(AU74&gt;0,AU74+AT75,IF(AT75&gt;1,AT75-AT76,0))</f>
        <v>388.19533333333334</v>
      </c>
      <c r="AV75" s="58">
        <f t="shared" ref="AV75" si="540">IF(AV74&gt;0,AV74+AU75,IF(AU75&gt;1,AU75-AU76,0))</f>
        <v>291.1465</v>
      </c>
      <c r="AW75" s="58">
        <f t="shared" ref="AW75" si="541">IF(AW74&gt;0,AW74+AV75,IF(AV75&gt;1,AV75-AV76,0))</f>
        <v>194.09766666666667</v>
      </c>
      <c r="AX75" s="58">
        <f t="shared" ref="AX75" si="542">IF(AX74&gt;0,AX74+AW75,IF(AW75&gt;1,AW75-AW76,0))</f>
        <v>97.048833333333334</v>
      </c>
      <c r="AY75" s="58">
        <f t="shared" ref="AY75" si="543">IF(AY74&gt;0,AY74+AX75,IF(AX75&gt;1,AX75-AX76,0))</f>
        <v>0</v>
      </c>
      <c r="AZ75" s="58">
        <f t="shared" ref="AZ75" si="544">IF(AZ74&gt;0,AZ74+AY75,IF(AY75&gt;1,AY75-AY76,0))</f>
        <v>0</v>
      </c>
      <c r="BA75" s="57">
        <f t="shared" ref="BA75" si="545">IF(BA74&gt;0,BA74+AZ75,IF(AZ75&gt;1,AZ75-AZ76,0))</f>
        <v>0</v>
      </c>
      <c r="BB75" s="58">
        <f t="shared" ref="BB75" si="546">IF(BB74&gt;0,BB74+BA75,IF(BA75&gt;1,BA75-BA76,0))</f>
        <v>0</v>
      </c>
      <c r="BC75" s="58">
        <f t="shared" ref="BC75" si="547">IF(BC74&gt;0,BC74+BB75,IF(BB75&gt;1,BB75-BB76,0))</f>
        <v>0</v>
      </c>
      <c r="BD75" s="58">
        <f t="shared" ref="BD75" si="548">IF(BD74&gt;0,BD74+BC75,IF(BC75&gt;1,BC75-BC76,0))</f>
        <v>0</v>
      </c>
      <c r="BE75" s="58">
        <f t="shared" ref="BE75" si="549">IF(BE74&gt;0,BE74+BD75,IF(BD75&gt;1,BD75-BD76,0))</f>
        <v>0</v>
      </c>
      <c r="BF75" s="58">
        <f t="shared" ref="BF75" si="550">IF(BF74&gt;0,BF74+BE75,IF(BE75&gt;1,BE75-BE76,0))</f>
        <v>0</v>
      </c>
      <c r="BG75" s="58">
        <f t="shared" ref="BG75" si="551">IF(BG74&gt;0,BG74+BF75,IF(BF75&gt;1,BF75-BF76,0))</f>
        <v>0</v>
      </c>
      <c r="BH75" s="58">
        <f t="shared" ref="BH75" si="552">IF(BH74&gt;0,BH74+BG75,IF(BG75&gt;1,BG75-BG76,0))</f>
        <v>465.83</v>
      </c>
      <c r="BI75" s="58">
        <f t="shared" ref="BI75" si="553">IF(BI74&gt;0,BI74+BH75,IF(BH75&gt;1,BH75-BH76,0))</f>
        <v>388.19166666666666</v>
      </c>
      <c r="BJ75" s="58">
        <f t="shared" ref="BJ75" si="554">IF(BJ74&gt;0,BJ74+BI75,IF(BI75&gt;1,BI75-BI76,0))</f>
        <v>310.55333333333334</v>
      </c>
      <c r="BK75" s="58">
        <f t="shared" ref="BK75" si="555">IF(BK74&gt;0,BK74+BJ75,IF(BJ75&gt;1,BJ75-BJ76,0))</f>
        <v>232.91500000000002</v>
      </c>
      <c r="BL75" s="58">
        <f t="shared" ref="BL75" si="556">IF(BL74&gt;0,BL74+BK75,IF(BK75&gt;1,BK75-BK76,0))</f>
        <v>465.84100000000001</v>
      </c>
      <c r="BM75" s="58">
        <f t="shared" ref="BM75" si="557">IF(BM74&gt;0,BM74+BL75,IF(BL75&gt;1,BL75-BL76,0))</f>
        <v>388.20083333333332</v>
      </c>
      <c r="BN75" s="58">
        <f t="shared" ref="BN75" si="558">IF(BN74&gt;0,BN74+BM75,IF(BM75&gt;1,BM75-BM76,0))</f>
        <v>310.56066666666663</v>
      </c>
      <c r="BO75" s="58">
        <f t="shared" ref="BO75" si="559">IF(BO74&gt;0,BO74+BN75,IF(BN75&gt;1,BN75-BN76,0))</f>
        <v>232.92049999999995</v>
      </c>
      <c r="BP75" s="58">
        <f t="shared" ref="BP75" si="560">IF(BP74&gt;0,BP74+BO75,IF(BO75&gt;1,BO75-BO76,0))</f>
        <v>155.28033333333326</v>
      </c>
      <c r="BQ75" s="58">
        <f t="shared" ref="BQ75" si="561">IF(BQ74&gt;0,BQ74+BP75,IF(BP75&gt;1,BP75-BP76,0))</f>
        <v>77.640166666666588</v>
      </c>
      <c r="BR75" s="58">
        <f t="shared" ref="BR75" si="562">IF(BR74&gt;0,BR74+BQ75,IF(BQ75&gt;1,BQ75-BQ76,0))</f>
        <v>-8.5265128291212022E-14</v>
      </c>
      <c r="BS75" s="58">
        <f t="shared" ref="BS75" si="563">IF(BS74&gt;0,BS74+BR75,IF(BR75&gt;1,BR75-BR76,0))</f>
        <v>465.82999999999993</v>
      </c>
      <c r="BT75" s="58">
        <f t="shared" ref="BT75" si="564">IF(BT74&gt;0,BT74+BS75,IF(BS75&gt;1,BS75-BS76,0))</f>
        <v>388.19166666666661</v>
      </c>
      <c r="BU75" s="58">
        <f t="shared" ref="BU75" si="565">IF(BU74&gt;0,BU74+BT75,IF(BT75&gt;1,BT75-BT76,0))</f>
        <v>310.55333333333328</v>
      </c>
      <c r="BV75" s="58">
        <f t="shared" ref="BV75" si="566">IF(BV74&gt;0,BV74+BU75,IF(BU75&gt;1,BU75-BU76,0))</f>
        <v>232.91499999999996</v>
      </c>
      <c r="BW75" s="58">
        <f t="shared" ref="BW75" si="567">IF(BW74&gt;0,BW74+BV75,IF(BV75&gt;1,BV75-BV76,0))</f>
        <v>155.27666666666664</v>
      </c>
      <c r="BX75" s="58">
        <f t="shared" ref="BX75" si="568">IF(BX74&gt;0,BX74+BW75,IF(BW75&gt;1,BW75-BW76,0))</f>
        <v>77.638333333333321</v>
      </c>
      <c r="BY75" s="58"/>
    </row>
    <row r="76" spans="2:77" x14ac:dyDescent="0.25">
      <c r="B76" s="54" t="s">
        <v>104</v>
      </c>
      <c r="D76" s="333">
        <f>IF(D38="B",IF(D74&gt;0,(D74+C75)/6,IF(D75&gt;0,C76,0)),IF(D74&gt;0,(D74+C75)/12,IF(D75&gt;0,C76,0)))</f>
        <v>0</v>
      </c>
      <c r="E76" s="58">
        <f t="shared" ref="E76:AJ76" si="569">IF(E38="B",IF(E74&gt;0,(E74+D75)/6,IF(E75&gt;0,D76,0)),IF(E74&gt;0,(E74+D75)/12,IF(E75&gt;0,D76,0)))</f>
        <v>12.939722222222223</v>
      </c>
      <c r="F76" s="58">
        <f t="shared" si="569"/>
        <v>12.939722222222223</v>
      </c>
      <c r="G76" s="58">
        <f>IF(G38="B",IF(G74&gt;0,(G74+F75)/6,IF(G75&gt;0,F76,0)),IF(G74&gt;0,(G74+F75)/12,IF(G75&gt;0,F76,0)))</f>
        <v>12.939722222222223</v>
      </c>
      <c r="H76" s="58">
        <f t="shared" si="569"/>
        <v>12.939722222222223</v>
      </c>
      <c r="I76" s="58">
        <f t="shared" si="569"/>
        <v>12.939722222222223</v>
      </c>
      <c r="J76" s="58">
        <f t="shared" si="569"/>
        <v>12.939722222222223</v>
      </c>
      <c r="K76" s="58">
        <f t="shared" si="569"/>
        <v>12.939722222222223</v>
      </c>
      <c r="L76" s="58">
        <f t="shared" si="569"/>
        <v>90.578055555555537</v>
      </c>
      <c r="M76" s="58">
        <f t="shared" si="569"/>
        <v>90.578055555555537</v>
      </c>
      <c r="N76" s="58">
        <f t="shared" si="569"/>
        <v>90.578055555555537</v>
      </c>
      <c r="O76" s="58">
        <f t="shared" si="569"/>
        <v>90.578055555555537</v>
      </c>
      <c r="P76" s="58">
        <f t="shared" si="569"/>
        <v>84.110027777777773</v>
      </c>
      <c r="Q76" s="58">
        <f t="shared" si="569"/>
        <v>84.110027777777773</v>
      </c>
      <c r="R76" s="58">
        <f t="shared" si="569"/>
        <v>84.110027777777773</v>
      </c>
      <c r="S76" s="58">
        <f t="shared" si="569"/>
        <v>84.110027777777773</v>
      </c>
      <c r="T76" s="58">
        <f t="shared" si="569"/>
        <v>84.110027777777773</v>
      </c>
      <c r="U76" s="58">
        <f t="shared" si="569"/>
        <v>84.110027777777773</v>
      </c>
      <c r="V76" s="58">
        <f t="shared" si="569"/>
        <v>84.110027777777773</v>
      </c>
      <c r="W76" s="58">
        <f t="shared" si="569"/>
        <v>77.638333333333335</v>
      </c>
      <c r="X76" s="58">
        <f t="shared" si="569"/>
        <v>77.638333333333335</v>
      </c>
      <c r="Y76" s="58">
        <f t="shared" si="569"/>
        <v>77.638333333333335</v>
      </c>
      <c r="Z76" s="58">
        <f t="shared" si="569"/>
        <v>77.638333333333335</v>
      </c>
      <c r="AA76" s="58">
        <f t="shared" si="569"/>
        <v>77.638333333333335</v>
      </c>
      <c r="AB76" s="58">
        <f t="shared" si="569"/>
        <v>77.638333333333335</v>
      </c>
      <c r="AC76" s="58">
        <f t="shared" si="569"/>
        <v>77.638333333333335</v>
      </c>
      <c r="AD76" s="58">
        <f t="shared" si="569"/>
        <v>0</v>
      </c>
      <c r="AE76" s="58">
        <f t="shared" si="569"/>
        <v>0</v>
      </c>
      <c r="AF76" s="58">
        <f t="shared" si="569"/>
        <v>0</v>
      </c>
      <c r="AG76" s="58">
        <f t="shared" si="569"/>
        <v>0</v>
      </c>
      <c r="AH76" s="58">
        <f t="shared" si="569"/>
        <v>0</v>
      </c>
      <c r="AI76" s="58">
        <f t="shared" si="569"/>
        <v>0</v>
      </c>
      <c r="AJ76" s="58">
        <f t="shared" si="569"/>
        <v>38.820999999999998</v>
      </c>
      <c r="AK76" s="58">
        <f t="shared" ref="AK76:BP76" si="570">IF(AK38="B",IF(AK74&gt;0,(AK74+AJ75)/6,IF(AK75&gt;0,AJ76,0)),IF(AK74&gt;0,(AK74+AJ75)/12,IF(AK75&gt;0,AJ76,0)))</f>
        <v>38.820999999999998</v>
      </c>
      <c r="AL76" s="58">
        <f t="shared" si="570"/>
        <v>38.820999999999998</v>
      </c>
      <c r="AM76" s="58">
        <f t="shared" si="570"/>
        <v>38.820999999999998</v>
      </c>
      <c r="AN76" s="58">
        <f t="shared" si="570"/>
        <v>58.231500000000004</v>
      </c>
      <c r="AO76" s="58">
        <f t="shared" si="570"/>
        <v>58.231500000000004</v>
      </c>
      <c r="AP76" s="58">
        <f t="shared" si="570"/>
        <v>58.231500000000004</v>
      </c>
      <c r="AQ76" s="58">
        <f t="shared" si="570"/>
        <v>58.231500000000004</v>
      </c>
      <c r="AR76" s="58">
        <f t="shared" si="570"/>
        <v>58.231500000000004</v>
      </c>
      <c r="AS76" s="58">
        <f t="shared" si="570"/>
        <v>97.048833333333334</v>
      </c>
      <c r="AT76" s="58">
        <f t="shared" si="570"/>
        <v>97.048833333333334</v>
      </c>
      <c r="AU76" s="58">
        <f t="shared" si="570"/>
        <v>97.048833333333334</v>
      </c>
      <c r="AV76" s="58">
        <f t="shared" si="570"/>
        <v>97.048833333333334</v>
      </c>
      <c r="AW76" s="58">
        <f t="shared" si="570"/>
        <v>97.048833333333334</v>
      </c>
      <c r="AX76" s="58">
        <f t="shared" si="570"/>
        <v>97.048833333333334</v>
      </c>
      <c r="AY76" s="58">
        <f t="shared" si="570"/>
        <v>0</v>
      </c>
      <c r="AZ76" s="58">
        <f t="shared" si="570"/>
        <v>0</v>
      </c>
      <c r="BA76" s="57">
        <f t="shared" si="570"/>
        <v>0</v>
      </c>
      <c r="BB76" s="58">
        <f t="shared" si="570"/>
        <v>0</v>
      </c>
      <c r="BC76" s="58">
        <f t="shared" si="570"/>
        <v>0</v>
      </c>
      <c r="BD76" s="58">
        <f t="shared" si="570"/>
        <v>0</v>
      </c>
      <c r="BE76" s="58">
        <f t="shared" si="570"/>
        <v>0</v>
      </c>
      <c r="BF76" s="58">
        <f t="shared" si="570"/>
        <v>0</v>
      </c>
      <c r="BG76" s="58">
        <f t="shared" si="570"/>
        <v>0</v>
      </c>
      <c r="BH76" s="58">
        <f t="shared" si="570"/>
        <v>77.638333333333335</v>
      </c>
      <c r="BI76" s="58">
        <f t="shared" si="570"/>
        <v>77.638333333333335</v>
      </c>
      <c r="BJ76" s="58">
        <f t="shared" si="570"/>
        <v>77.638333333333335</v>
      </c>
      <c r="BK76" s="58">
        <f t="shared" si="570"/>
        <v>77.638333333333335</v>
      </c>
      <c r="BL76" s="58">
        <f t="shared" si="570"/>
        <v>77.640166666666673</v>
      </c>
      <c r="BM76" s="58">
        <f t="shared" si="570"/>
        <v>77.640166666666673</v>
      </c>
      <c r="BN76" s="58">
        <f t="shared" si="570"/>
        <v>77.640166666666673</v>
      </c>
      <c r="BO76" s="58">
        <f t="shared" si="570"/>
        <v>77.640166666666673</v>
      </c>
      <c r="BP76" s="58">
        <f t="shared" si="570"/>
        <v>77.640166666666673</v>
      </c>
      <c r="BQ76" s="58">
        <f t="shared" ref="BQ76:BX76" si="571">IF(BQ38="B",IF(BQ74&gt;0,(BQ74+BP75)/6,IF(BQ75&gt;0,BP76,0)),IF(BQ74&gt;0,(BQ74+BP75)/12,IF(BQ75&gt;0,BP76,0)))</f>
        <v>77.640166666666673</v>
      </c>
      <c r="BR76" s="58">
        <f t="shared" si="571"/>
        <v>0</v>
      </c>
      <c r="BS76" s="58">
        <f t="shared" si="571"/>
        <v>77.638333333333321</v>
      </c>
      <c r="BT76" s="58">
        <f t="shared" si="571"/>
        <v>77.638333333333321</v>
      </c>
      <c r="BU76" s="58">
        <f t="shared" si="571"/>
        <v>77.638333333333321</v>
      </c>
      <c r="BV76" s="58">
        <f t="shared" si="571"/>
        <v>77.638333333333321</v>
      </c>
      <c r="BW76" s="58">
        <f t="shared" si="571"/>
        <v>77.638333333333321</v>
      </c>
      <c r="BX76" s="58">
        <f t="shared" si="571"/>
        <v>77.638333333333321</v>
      </c>
      <c r="BY76" s="58"/>
    </row>
    <row r="77" spans="2:77" x14ac:dyDescent="0.25">
      <c r="B77" s="54" t="s">
        <v>105</v>
      </c>
      <c r="D77" s="333">
        <f>IF(D38="B",IF(D75&gt;=0,C77+D76/6,IF(C77&lt;=1,0,C77-C78)),IF(D75&gt;=0,C77+D76/12,IF(C77&lt;=1,0,C77-C78)))</f>
        <v>0</v>
      </c>
      <c r="E77" s="58">
        <f t="shared" ref="E77:AH77" si="572">IF(E38="B",IF(E75&gt;=0,D77+E76/6,IF(D77&lt;=1,0,D77-D78)),IF(E75&gt;=0,D77+E76/12,IF(D77&lt;=1,0,D77-D78)))</f>
        <v>1.0783101851851853</v>
      </c>
      <c r="F77" s="58">
        <f t="shared" si="572"/>
        <v>2.1566203703703706</v>
      </c>
      <c r="G77" s="58">
        <f t="shared" si="572"/>
        <v>3.2349305555555556</v>
      </c>
      <c r="H77" s="58">
        <f t="shared" si="572"/>
        <v>4.3132407407407412</v>
      </c>
      <c r="I77" s="58">
        <f t="shared" si="572"/>
        <v>5.3915509259259267</v>
      </c>
      <c r="J77" s="58">
        <f t="shared" si="572"/>
        <v>7.5481712962962977</v>
      </c>
      <c r="K77" s="58">
        <f t="shared" si="572"/>
        <v>9.7047916666666687</v>
      </c>
      <c r="L77" s="58">
        <f t="shared" si="572"/>
        <v>24.801134259259257</v>
      </c>
      <c r="M77" s="58">
        <f t="shared" si="572"/>
        <v>39.897476851851849</v>
      </c>
      <c r="N77" s="58">
        <f t="shared" si="572"/>
        <v>54.993819444444441</v>
      </c>
      <c r="O77" s="58">
        <f t="shared" si="572"/>
        <v>70.090162037037032</v>
      </c>
      <c r="P77" s="58">
        <f t="shared" si="572"/>
        <v>84.108499999999992</v>
      </c>
      <c r="Q77" s="58">
        <f t="shared" si="572"/>
        <v>98.126837962962952</v>
      </c>
      <c r="R77" s="58">
        <f t="shared" si="572"/>
        <v>112.14517592592591</v>
      </c>
      <c r="S77" s="58">
        <f t="shared" si="572"/>
        <v>126.16351388888887</v>
      </c>
      <c r="T77" s="58">
        <f t="shared" si="572"/>
        <v>140.18185185185183</v>
      </c>
      <c r="U77" s="58">
        <f t="shared" si="572"/>
        <v>154.20018981481479</v>
      </c>
      <c r="V77" s="58">
        <f t="shared" si="572"/>
        <v>168.21852777777775</v>
      </c>
      <c r="W77" s="58">
        <f t="shared" si="572"/>
        <v>181.15824999999998</v>
      </c>
      <c r="X77" s="58">
        <f t="shared" si="572"/>
        <v>194.09797222222221</v>
      </c>
      <c r="Y77" s="58">
        <f t="shared" si="572"/>
        <v>207.03769444444444</v>
      </c>
      <c r="Z77" s="58">
        <f t="shared" si="572"/>
        <v>213.50755555555554</v>
      </c>
      <c r="AA77" s="58">
        <f t="shared" si="572"/>
        <v>219.97741666666664</v>
      </c>
      <c r="AB77" s="58">
        <f t="shared" si="572"/>
        <v>226.44727777777774</v>
      </c>
      <c r="AC77" s="58">
        <f t="shared" si="572"/>
        <v>232.91713888888884</v>
      </c>
      <c r="AD77" s="58">
        <f t="shared" si="572"/>
        <v>232.91713888888884</v>
      </c>
      <c r="AE77" s="58">
        <f t="shared" si="572"/>
        <v>232.91713888888884</v>
      </c>
      <c r="AF77" s="58">
        <f t="shared" si="572"/>
        <v>232.91713888888884</v>
      </c>
      <c r="AG77" s="58">
        <f t="shared" si="572"/>
        <v>232.91713888888884</v>
      </c>
      <c r="AH77" s="58">
        <f t="shared" si="572"/>
        <v>232.91713888888884</v>
      </c>
      <c r="AI77" s="58">
        <f>IF(AI38="B",IF(AI75&gt;=0,AH77+AI76/6,IF(AH77&lt;=1,0,AH77-AH78)),IF(AI75&gt;=0,AH77+AI76/12,IF(AH77&lt;=1,0,AH77-AH78)))</f>
        <v>232.91713888888884</v>
      </c>
      <c r="AJ77" s="58">
        <f t="shared" ref="AJ77:BX77" si="573">IF(AJ38="B",IF(AJ75&gt;=0,AI77+AJ76/6,IF(AI77&lt;=1,0,AI77-AI78)),IF(AJ75&gt;=0,AI77+AJ76/12,IF(AI77&lt;=1,0,AI77-AI78)))</f>
        <v>239.38730555555551</v>
      </c>
      <c r="AK77" s="58">
        <f t="shared" si="573"/>
        <v>245.85747222222219</v>
      </c>
      <c r="AL77" s="58">
        <f t="shared" si="573"/>
        <v>252.32763888888886</v>
      </c>
      <c r="AM77" s="58">
        <f t="shared" si="573"/>
        <v>258.7978055555555</v>
      </c>
      <c r="AN77" s="58">
        <f t="shared" si="573"/>
        <v>268.50305555555548</v>
      </c>
      <c r="AO77" s="58">
        <f t="shared" si="573"/>
        <v>278.20830555555546</v>
      </c>
      <c r="AP77" s="58">
        <f t="shared" si="573"/>
        <v>287.91355555555543</v>
      </c>
      <c r="AQ77" s="58">
        <f t="shared" si="573"/>
        <v>297.61880555555541</v>
      </c>
      <c r="AR77" s="58">
        <f t="shared" si="573"/>
        <v>307.32405555555539</v>
      </c>
      <c r="AS77" s="58">
        <f t="shared" si="573"/>
        <v>323.49886111111095</v>
      </c>
      <c r="AT77" s="58">
        <f t="shared" si="573"/>
        <v>339.67366666666652</v>
      </c>
      <c r="AU77" s="58">
        <f t="shared" si="573"/>
        <v>355.84847222222209</v>
      </c>
      <c r="AV77" s="58">
        <f t="shared" si="573"/>
        <v>372.02327777777765</v>
      </c>
      <c r="AW77" s="58">
        <f t="shared" si="573"/>
        <v>388.19808333333322</v>
      </c>
      <c r="AX77" s="58">
        <f t="shared" si="573"/>
        <v>396.28548611111097</v>
      </c>
      <c r="AY77" s="58">
        <f t="shared" si="573"/>
        <v>396.28548611111097</v>
      </c>
      <c r="AZ77" s="58">
        <f t="shared" si="573"/>
        <v>396.28548611111097</v>
      </c>
      <c r="BA77" s="58">
        <f t="shared" si="573"/>
        <v>396.28548611111097</v>
      </c>
      <c r="BB77" s="58">
        <f t="shared" si="573"/>
        <v>396.28548611111097</v>
      </c>
      <c r="BC77" s="58">
        <f t="shared" si="573"/>
        <v>396.28548611111097</v>
      </c>
      <c r="BD77" s="58">
        <f t="shared" si="573"/>
        <v>396.28548611111097</v>
      </c>
      <c r="BE77" s="58">
        <f t="shared" si="573"/>
        <v>396.28548611111097</v>
      </c>
      <c r="BF77" s="58">
        <f t="shared" si="573"/>
        <v>396.28548611111097</v>
      </c>
      <c r="BG77" s="58">
        <f t="shared" si="573"/>
        <v>396.28548611111097</v>
      </c>
      <c r="BH77" s="58">
        <f t="shared" si="573"/>
        <v>409.22520833333317</v>
      </c>
      <c r="BI77" s="58">
        <f t="shared" si="573"/>
        <v>422.16493055555537</v>
      </c>
      <c r="BJ77" s="58">
        <f t="shared" si="573"/>
        <v>435.10465277777757</v>
      </c>
      <c r="BK77" s="58">
        <f t="shared" si="573"/>
        <v>448.04437499999977</v>
      </c>
      <c r="BL77" s="58">
        <f t="shared" si="573"/>
        <v>460.98440277777758</v>
      </c>
      <c r="BM77" s="58">
        <f t="shared" si="573"/>
        <v>473.92443055555538</v>
      </c>
      <c r="BN77" s="58">
        <f t="shared" si="573"/>
        <v>486.86445833333318</v>
      </c>
      <c r="BO77" s="58">
        <f t="shared" si="573"/>
        <v>499.80448611111098</v>
      </c>
      <c r="BP77" s="58">
        <f t="shared" si="573"/>
        <v>512.74451388888872</v>
      </c>
      <c r="BQ77" s="58">
        <f t="shared" si="573"/>
        <v>525.68454166666652</v>
      </c>
      <c r="BR77" s="58">
        <f t="shared" si="573"/>
        <v>412.18947916666656</v>
      </c>
      <c r="BS77" s="58">
        <f t="shared" si="573"/>
        <v>425.12920138888876</v>
      </c>
      <c r="BT77" s="58">
        <f t="shared" si="573"/>
        <v>438.06892361111096</v>
      </c>
      <c r="BU77" s="58">
        <f t="shared" si="573"/>
        <v>451.00864583333316</v>
      </c>
      <c r="BV77" s="58">
        <f t="shared" si="573"/>
        <v>457.47850694444429</v>
      </c>
      <c r="BW77" s="58">
        <f t="shared" si="573"/>
        <v>463.94836805555542</v>
      </c>
      <c r="BX77" s="58">
        <f t="shared" si="573"/>
        <v>470.41822916666655</v>
      </c>
      <c r="BY77" s="58"/>
    </row>
    <row r="78" spans="2:77" x14ac:dyDescent="0.25">
      <c r="B78" s="54" t="s">
        <v>106</v>
      </c>
      <c r="D78" s="333">
        <f>IF(D38="B",IF(D74&gt;0,(D74+C77)/6,IF(D77&gt;0,C78,0)),IF(D74&gt;0,(D74+C77)/12,IF(D77&gt;0,C78,0)))</f>
        <v>0</v>
      </c>
      <c r="E78" s="58">
        <f t="shared" ref="E78:AJ78" si="574">IF(E38="B",IF(E74&gt;0,(E74+D77)/6,IF(E77&gt;0,D78,0)),IF(E74&gt;0,(E74+D77)/12,IF(E77&gt;0,D78,0)))</f>
        <v>6.4698611111111113</v>
      </c>
      <c r="F78" s="58">
        <f t="shared" si="574"/>
        <v>6.4698611111111113</v>
      </c>
      <c r="G78" s="58">
        <f t="shared" si="574"/>
        <v>6.4698611111111113</v>
      </c>
      <c r="H78" s="58">
        <f t="shared" si="574"/>
        <v>6.4698611111111113</v>
      </c>
      <c r="I78" s="58">
        <f t="shared" si="574"/>
        <v>6.4698611111111113</v>
      </c>
      <c r="J78" s="58">
        <f t="shared" si="574"/>
        <v>6.4698611111111113</v>
      </c>
      <c r="K78" s="58">
        <f t="shared" si="574"/>
        <v>6.4698611111111113</v>
      </c>
      <c r="L78" s="58">
        <f t="shared" si="574"/>
        <v>79.255798611111103</v>
      </c>
      <c r="M78" s="58">
        <f t="shared" si="574"/>
        <v>79.255798611111103</v>
      </c>
      <c r="N78" s="58">
        <f t="shared" si="574"/>
        <v>79.255798611111103</v>
      </c>
      <c r="O78" s="58">
        <f t="shared" si="574"/>
        <v>79.255798611111103</v>
      </c>
      <c r="P78" s="58">
        <f t="shared" si="574"/>
        <v>50.502693672839506</v>
      </c>
      <c r="Q78" s="58">
        <f t="shared" si="574"/>
        <v>50.502693672839506</v>
      </c>
      <c r="R78" s="58">
        <f t="shared" si="574"/>
        <v>50.502693672839506</v>
      </c>
      <c r="S78" s="58">
        <f t="shared" si="574"/>
        <v>50.502693672839506</v>
      </c>
      <c r="T78" s="58">
        <f t="shared" si="574"/>
        <v>50.502693672839506</v>
      </c>
      <c r="U78" s="58">
        <f t="shared" si="574"/>
        <v>50.502693672839506</v>
      </c>
      <c r="V78" s="58">
        <f t="shared" si="574"/>
        <v>50.502693672839506</v>
      </c>
      <c r="W78" s="58">
        <f t="shared" si="574"/>
        <v>105.67475462962962</v>
      </c>
      <c r="X78" s="58">
        <f t="shared" si="574"/>
        <v>105.67475462962962</v>
      </c>
      <c r="Y78" s="58">
        <f t="shared" si="574"/>
        <v>105.67475462962962</v>
      </c>
      <c r="Z78" s="58">
        <f t="shared" si="574"/>
        <v>105.67475462962962</v>
      </c>
      <c r="AA78" s="58">
        <f t="shared" si="574"/>
        <v>105.67475462962962</v>
      </c>
      <c r="AB78" s="58">
        <f t="shared" si="574"/>
        <v>105.67475462962962</v>
      </c>
      <c r="AC78" s="58">
        <f t="shared" si="574"/>
        <v>105.67475462962962</v>
      </c>
      <c r="AD78" s="58">
        <f t="shared" si="574"/>
        <v>105.67475462962962</v>
      </c>
      <c r="AE78" s="58">
        <f t="shared" si="574"/>
        <v>105.67475462962962</v>
      </c>
      <c r="AF78" s="58">
        <f t="shared" si="574"/>
        <v>105.67475462962962</v>
      </c>
      <c r="AG78" s="58">
        <f t="shared" si="574"/>
        <v>105.67475462962962</v>
      </c>
      <c r="AH78" s="58">
        <f t="shared" si="574"/>
        <v>105.67475462962962</v>
      </c>
      <c r="AI78" s="58">
        <f t="shared" si="574"/>
        <v>105.67475462962962</v>
      </c>
      <c r="AJ78" s="58">
        <f t="shared" si="574"/>
        <v>77.640523148148134</v>
      </c>
      <c r="AK78" s="58">
        <f t="shared" ref="AK78:BP78" si="575">IF(AK38="B",IF(AK74&gt;0,(AK74+AJ77)/6,IF(AK77&gt;0,AJ78,0)),IF(AK74&gt;0,(AK74+AJ77)/12,IF(AK77&gt;0,AJ78,0)))</f>
        <v>77.640523148148134</v>
      </c>
      <c r="AL78" s="58">
        <f t="shared" si="575"/>
        <v>77.640523148148134</v>
      </c>
      <c r="AM78" s="58">
        <f t="shared" si="575"/>
        <v>77.640523148148134</v>
      </c>
      <c r="AN78" s="58">
        <f t="shared" si="575"/>
        <v>81.953967592592576</v>
      </c>
      <c r="AO78" s="58">
        <f t="shared" si="575"/>
        <v>81.953967592592576</v>
      </c>
      <c r="AP78" s="58">
        <f t="shared" si="575"/>
        <v>81.953967592592576</v>
      </c>
      <c r="AQ78" s="58">
        <f t="shared" si="575"/>
        <v>81.953967592592576</v>
      </c>
      <c r="AR78" s="58">
        <f t="shared" si="575"/>
        <v>81.953967592592576</v>
      </c>
      <c r="AS78" s="58">
        <f t="shared" si="575"/>
        <v>128.85900925925924</v>
      </c>
      <c r="AT78" s="58">
        <f t="shared" si="575"/>
        <v>128.85900925925924</v>
      </c>
      <c r="AU78" s="58">
        <f t="shared" si="575"/>
        <v>128.85900925925924</v>
      </c>
      <c r="AV78" s="58">
        <f t="shared" si="575"/>
        <v>128.85900925925924</v>
      </c>
      <c r="AW78" s="58">
        <f t="shared" si="575"/>
        <v>128.85900925925924</v>
      </c>
      <c r="AX78" s="58">
        <f t="shared" si="575"/>
        <v>128.85900925925924</v>
      </c>
      <c r="AY78" s="58">
        <f t="shared" si="575"/>
        <v>128.85900925925924</v>
      </c>
      <c r="AZ78" s="58">
        <f t="shared" si="575"/>
        <v>128.85900925925924</v>
      </c>
      <c r="BA78" s="57">
        <f t="shared" si="575"/>
        <v>128.85900925925924</v>
      </c>
      <c r="BB78" s="58">
        <f t="shared" si="575"/>
        <v>128.85900925925924</v>
      </c>
      <c r="BC78" s="58">
        <f t="shared" si="575"/>
        <v>128.85900925925924</v>
      </c>
      <c r="BD78" s="58">
        <f t="shared" si="575"/>
        <v>128.85900925925924</v>
      </c>
      <c r="BE78" s="58">
        <f t="shared" si="575"/>
        <v>128.85900925925924</v>
      </c>
      <c r="BF78" s="58">
        <f t="shared" si="575"/>
        <v>128.85900925925924</v>
      </c>
      <c r="BG78" s="58">
        <f t="shared" si="575"/>
        <v>128.85900925925924</v>
      </c>
      <c r="BH78" s="58">
        <f t="shared" si="575"/>
        <v>143.68591435185184</v>
      </c>
      <c r="BI78" s="58">
        <f t="shared" si="575"/>
        <v>143.68591435185184</v>
      </c>
      <c r="BJ78" s="58">
        <f t="shared" si="575"/>
        <v>143.68591435185184</v>
      </c>
      <c r="BK78" s="58">
        <f t="shared" si="575"/>
        <v>143.68591435185184</v>
      </c>
      <c r="BL78" s="58">
        <f t="shared" si="575"/>
        <v>113.49506249999996</v>
      </c>
      <c r="BM78" s="58">
        <f t="shared" si="575"/>
        <v>113.49506249999996</v>
      </c>
      <c r="BN78" s="58">
        <f t="shared" si="575"/>
        <v>113.49506249999996</v>
      </c>
      <c r="BO78" s="58">
        <f t="shared" si="575"/>
        <v>113.49506249999996</v>
      </c>
      <c r="BP78" s="58">
        <f t="shared" si="575"/>
        <v>113.49506249999996</v>
      </c>
      <c r="BQ78" s="58">
        <f t="shared" ref="BQ78:BX78" si="576">IF(BQ38="B",IF(BQ74&gt;0,(BQ74+BP77)/6,IF(BQ77&gt;0,BP78,0)),IF(BQ74&gt;0,(BQ74+BP77)/12,IF(BQ77&gt;0,BP78,0)))</f>
        <v>113.49506249999996</v>
      </c>
      <c r="BR78" s="58">
        <f t="shared" si="576"/>
        <v>113.49506249999996</v>
      </c>
      <c r="BS78" s="58">
        <f t="shared" si="576"/>
        <v>146.33657986111109</v>
      </c>
      <c r="BT78" s="58">
        <f t="shared" si="576"/>
        <v>146.33657986111109</v>
      </c>
      <c r="BU78" s="58">
        <f t="shared" si="576"/>
        <v>146.33657986111109</v>
      </c>
      <c r="BV78" s="58">
        <f t="shared" si="576"/>
        <v>146.33657986111109</v>
      </c>
      <c r="BW78" s="58">
        <f t="shared" si="576"/>
        <v>146.33657986111109</v>
      </c>
      <c r="BX78" s="58">
        <f t="shared" si="576"/>
        <v>146.33657986111109</v>
      </c>
      <c r="BY78" s="58"/>
    </row>
    <row r="79" spans="2:77" x14ac:dyDescent="0.25">
      <c r="B79" s="54" t="s">
        <v>107</v>
      </c>
      <c r="D79" s="333">
        <f>IF(C82="K",IF(C88="B",C80-(#REF!*5),IF(C88="B",C80-453.592*3,IF(D77&gt;=1,C80+D78,IF(C80&lt;=1,0,C80-#REF!)))),IF(C88="B",C80-453.592*5,IF(D77&gt;=1,C80+D78,IF(C80&lt;=1,0,C80-#REF!))))</f>
        <v>0</v>
      </c>
      <c r="E79" s="58">
        <f>IF(D82="K",IF(D88="B",D80-(C81*5),IF(D88="B",D80-453.592*3,IF(E77&gt;=1,D80+E78,IF(D80&lt;=1,0,D80-C81)))),IF(D88="B",D80-453.592*5,IF(E77&gt;=1,D80+E78,IF(D80&lt;=1,0,D80-C81))))</f>
        <v>6.4698611111111113</v>
      </c>
      <c r="F79" s="58">
        <f t="shared" ref="F79:AK79" si="577">IF(E82="K",IF(E88="B",E80-(E81*5),IF(E88="B",E80-453.592*3,IF(F77&gt;=1,E80+F78,IF(E80&lt;=1,0,E80-E81)))),IF(E88="B",E80-453.592*5,IF(F77&gt;=1,E80+F78,IF(E80&lt;=1,0,E80-E81))))</f>
        <v>13.20929976851852</v>
      </c>
      <c r="G79" s="58">
        <f t="shared" si="577"/>
        <v>19.948738425925928</v>
      </c>
      <c r="H79" s="58">
        <f t="shared" si="577"/>
        <v>26.688177083333336</v>
      </c>
      <c r="I79" s="58">
        <f t="shared" si="577"/>
        <v>33.427615740740748</v>
      </c>
      <c r="J79" s="58">
        <f t="shared" si="577"/>
        <v>40.167054398148153</v>
      </c>
      <c r="K79" s="58">
        <f t="shared" si="577"/>
        <v>46.906493055555558</v>
      </c>
      <c r="L79" s="58">
        <f t="shared" si="577"/>
        <v>126.43186921296297</v>
      </c>
      <c r="M79" s="58">
        <f t="shared" si="577"/>
        <v>212.29231770833331</v>
      </c>
      <c r="N79" s="58">
        <f t="shared" si="577"/>
        <v>298.15276620370366</v>
      </c>
      <c r="O79" s="58">
        <f t="shared" si="577"/>
        <v>384.01321469907401</v>
      </c>
      <c r="P79" s="58">
        <f t="shared" si="577"/>
        <v>441.12055825617273</v>
      </c>
      <c r="Q79" s="58">
        <f t="shared" si="577"/>
        <v>495.83180973508217</v>
      </c>
      <c r="R79" s="58">
        <f t="shared" si="577"/>
        <v>550.54306121399168</v>
      </c>
      <c r="S79" s="58">
        <f t="shared" si="577"/>
        <v>605.25431269290118</v>
      </c>
      <c r="T79" s="58">
        <f t="shared" si="577"/>
        <v>659.96556417181068</v>
      </c>
      <c r="U79" s="58">
        <f t="shared" si="577"/>
        <v>714.67681565072019</v>
      </c>
      <c r="V79" s="58">
        <f t="shared" si="577"/>
        <v>769.38806712962969</v>
      </c>
      <c r="W79" s="58">
        <f t="shared" si="577"/>
        <v>879.27137956532931</v>
      </c>
      <c r="X79" s="58">
        <f t="shared" si="577"/>
        <v>993.75236374742815</v>
      </c>
      <c r="Y79" s="58">
        <f t="shared" si="577"/>
        <v>1108.2333479295269</v>
      </c>
      <c r="Z79" s="58">
        <f t="shared" si="577"/>
        <v>1222.7143321116257</v>
      </c>
      <c r="AA79" s="58">
        <f t="shared" si="577"/>
        <v>1337.1953162937245</v>
      </c>
      <c r="AB79" s="58">
        <f t="shared" si="577"/>
        <v>1451.6763004758234</v>
      </c>
      <c r="AC79" s="58">
        <f t="shared" si="577"/>
        <v>1561.7541698816876</v>
      </c>
      <c r="AD79" s="58">
        <f t="shared" si="577"/>
        <v>1671.8320392875519</v>
      </c>
      <c r="AE79" s="58">
        <f t="shared" si="577"/>
        <v>1781.9099086934161</v>
      </c>
      <c r="AF79" s="58">
        <f t="shared" si="577"/>
        <v>1891.9877780992804</v>
      </c>
      <c r="AG79" s="58">
        <f t="shared" si="577"/>
        <v>2002.0656475051446</v>
      </c>
      <c r="AH79" s="58">
        <f t="shared" si="577"/>
        <v>2112.1435169110086</v>
      </c>
      <c r="AI79" s="58">
        <f t="shared" si="577"/>
        <v>2222.2213863168727</v>
      </c>
      <c r="AJ79" s="58">
        <f t="shared" si="577"/>
        <v>2304.2650242412551</v>
      </c>
      <c r="AK79" s="58">
        <f t="shared" si="577"/>
        <v>2385.1405691872428</v>
      </c>
      <c r="AL79" s="58">
        <f>IF(AK82="K",IF(AK88="B",AK80-(AK81*5),IF(AK88="B",AK80-453.592*3,IF(AL77&gt;=1,AK80+AL78,IF(AK80&lt;=1,0,AK80-AK81)))),IF(AK88="B",AK80-453.592*5,IF(AL77&gt;=1,AK80+AL78,IF(AK80&lt;=1,0,AK80-AK81))))</f>
        <v>2469.2511359310697</v>
      </c>
      <c r="AM79" s="58">
        <f t="shared" ref="AM79:BX79" si="578">IF(AL82="K",IF(AL88="B",AL80-(AL81*5),IF(AL88="B",AL80-453.592*3,IF(AM77&gt;=1,AL80+AM78,IF(AL80&lt;=1,0,AL80-AL81)))),IF(AL88="B",AL80-453.592*5,IF(AM77&gt;=1,AL80+AM78,IF(AL80&lt;=1,0,AL80-AL81))))</f>
        <v>2553.3617026748966</v>
      </c>
      <c r="AN79" s="58">
        <f t="shared" si="578"/>
        <v>2641.785713863168</v>
      </c>
      <c r="AO79" s="58">
        <f t="shared" si="578"/>
        <v>662.15380279063766</v>
      </c>
      <c r="AP79" s="58">
        <f t="shared" si="578"/>
        <v>297.34526768261298</v>
      </c>
      <c r="AQ79" s="58">
        <f t="shared" si="578"/>
        <v>386.12873257458824</v>
      </c>
      <c r="AR79" s="58">
        <f t="shared" si="578"/>
        <v>474.9121974665635</v>
      </c>
      <c r="AS79" s="58">
        <f t="shared" si="578"/>
        <v>610.60070402520546</v>
      </c>
      <c r="AT79" s="58">
        <f t="shared" si="578"/>
        <v>750.19796405606962</v>
      </c>
      <c r="AU79" s="58">
        <f t="shared" si="578"/>
        <v>889.79522408693379</v>
      </c>
      <c r="AV79" s="58">
        <f t="shared" si="578"/>
        <v>1029.3924841177979</v>
      </c>
      <c r="AW79" s="58">
        <f t="shared" si="578"/>
        <v>1168.9897441486621</v>
      </c>
      <c r="AX79" s="58">
        <f t="shared" si="578"/>
        <v>1308.5870041795263</v>
      </c>
      <c r="AY79" s="58">
        <f t="shared" si="578"/>
        <v>1448.1842642103904</v>
      </c>
      <c r="AZ79" s="58">
        <f t="shared" si="578"/>
        <v>1587.7815242412546</v>
      </c>
      <c r="BA79" s="58">
        <f t="shared" si="578"/>
        <v>1722.0096588863162</v>
      </c>
      <c r="BB79" s="58">
        <f t="shared" si="578"/>
        <v>1856.2377935313777</v>
      </c>
      <c r="BC79" s="58">
        <f t="shared" si="578"/>
        <v>1990.4659281764393</v>
      </c>
      <c r="BD79" s="58">
        <f t="shared" si="578"/>
        <v>2124.6940628215011</v>
      </c>
      <c r="BE79" s="58">
        <f t="shared" si="578"/>
        <v>2258.9221974665629</v>
      </c>
      <c r="BF79" s="58">
        <f t="shared" si="578"/>
        <v>2393.1503321116247</v>
      </c>
      <c r="BG79" s="58">
        <f t="shared" si="578"/>
        <v>2527.3784667566865</v>
      </c>
      <c r="BH79" s="58">
        <f t="shared" si="578"/>
        <v>2676.4335064943407</v>
      </c>
      <c r="BI79" s="58">
        <f t="shared" si="578"/>
        <v>2826.1063339441862</v>
      </c>
      <c r="BJ79" s="58">
        <f t="shared" si="578"/>
        <v>570.12016014017399</v>
      </c>
      <c r="BK79" s="58">
        <f t="shared" si="578"/>
        <v>272.18790068801343</v>
      </c>
      <c r="BL79" s="58">
        <f t="shared" si="578"/>
        <v>397.65678938400106</v>
      </c>
      <c r="BM79" s="58">
        <f t="shared" si="578"/>
        <v>520.60977375900097</v>
      </c>
      <c r="BN79" s="58">
        <f t="shared" si="578"/>
        <v>643.56275813400089</v>
      </c>
      <c r="BO79" s="58">
        <f t="shared" si="578"/>
        <v>766.5157425090008</v>
      </c>
      <c r="BP79" s="58">
        <f t="shared" si="578"/>
        <v>889.46872688400072</v>
      </c>
      <c r="BQ79" s="58">
        <f t="shared" si="578"/>
        <v>1012.4217112590006</v>
      </c>
      <c r="BR79" s="58">
        <f t="shared" si="578"/>
        <v>1135.3746956340005</v>
      </c>
      <c r="BS79" s="58">
        <f t="shared" si="578"/>
        <v>1291.1691973701118</v>
      </c>
      <c r="BT79" s="58">
        <f t="shared" si="578"/>
        <v>1449.7004922196488</v>
      </c>
      <c r="BU79" s="58">
        <f t="shared" si="578"/>
        <v>1608.2317870691859</v>
      </c>
      <c r="BV79" s="58">
        <f t="shared" si="578"/>
        <v>1766.7630819187229</v>
      </c>
      <c r="BW79" s="58">
        <f t="shared" si="578"/>
        <v>1925.29437676826</v>
      </c>
      <c r="BX79" s="58">
        <f t="shared" si="578"/>
        <v>2083.8256716177971</v>
      </c>
      <c r="BY79" s="58"/>
    </row>
    <row r="80" spans="2:77" x14ac:dyDescent="0.25">
      <c r="B80" s="54" t="s">
        <v>142</v>
      </c>
      <c r="D80" s="333">
        <f>IF(A38="B",IF(C88="B",D79+D78/12-453.592,D79+D78/12),D79+D78/24)</f>
        <v>0</v>
      </c>
      <c r="E80" s="58">
        <f>IF(B38="B",IF(D88="B",E79+E78/12-453.592,E79+E78/12),E79+E78/24)</f>
        <v>6.7394386574074074</v>
      </c>
      <c r="F80" s="58">
        <f t="shared" ref="F80:AJ80" si="579">IF(D38="B",IF(E88="B",F79+F78/12-453.592,F79+F78/12),F79+F78/24)</f>
        <v>13.478877314814817</v>
      </c>
      <c r="G80" s="58">
        <f t="shared" si="579"/>
        <v>20.218315972222225</v>
      </c>
      <c r="H80" s="58">
        <f t="shared" si="579"/>
        <v>26.957754629629633</v>
      </c>
      <c r="I80" s="58">
        <f t="shared" si="579"/>
        <v>33.697193287037045</v>
      </c>
      <c r="J80" s="58">
        <f t="shared" si="579"/>
        <v>40.43663194444445</v>
      </c>
      <c r="K80" s="58">
        <f t="shared" si="579"/>
        <v>47.176070601851855</v>
      </c>
      <c r="L80" s="58">
        <f t="shared" si="579"/>
        <v>133.03651909722223</v>
      </c>
      <c r="M80" s="58">
        <f t="shared" si="579"/>
        <v>218.89696759259257</v>
      </c>
      <c r="N80" s="58">
        <f t="shared" si="579"/>
        <v>304.75741608796289</v>
      </c>
      <c r="O80" s="58">
        <f t="shared" si="579"/>
        <v>390.61786458333324</v>
      </c>
      <c r="P80" s="58">
        <f t="shared" si="579"/>
        <v>445.32911606224269</v>
      </c>
      <c r="Q80" s="58">
        <f t="shared" si="579"/>
        <v>500.04036754115214</v>
      </c>
      <c r="R80" s="58">
        <f t="shared" si="579"/>
        <v>554.75161902006164</v>
      </c>
      <c r="S80" s="58">
        <f t="shared" si="579"/>
        <v>609.46287049897114</v>
      </c>
      <c r="T80" s="58">
        <f t="shared" si="579"/>
        <v>664.17412197788065</v>
      </c>
      <c r="U80" s="58">
        <f t="shared" si="579"/>
        <v>718.88537345679015</v>
      </c>
      <c r="V80" s="58">
        <f t="shared" si="579"/>
        <v>773.59662493569965</v>
      </c>
      <c r="W80" s="58">
        <f t="shared" si="579"/>
        <v>888.07760911779849</v>
      </c>
      <c r="X80" s="58">
        <f t="shared" si="579"/>
        <v>1002.5585932998973</v>
      </c>
      <c r="Y80" s="58">
        <f t="shared" si="579"/>
        <v>1117.039577481996</v>
      </c>
      <c r="Z80" s="58">
        <f t="shared" si="579"/>
        <v>1231.5205616640949</v>
      </c>
      <c r="AA80" s="58">
        <f t="shared" si="579"/>
        <v>1346.0015458461937</v>
      </c>
      <c r="AB80" s="58">
        <f t="shared" si="579"/>
        <v>1456.079415252058</v>
      </c>
      <c r="AC80" s="58">
        <f t="shared" si="579"/>
        <v>1566.1572846579222</v>
      </c>
      <c r="AD80" s="58">
        <f t="shared" si="579"/>
        <v>1676.2351540637865</v>
      </c>
      <c r="AE80" s="58">
        <f t="shared" si="579"/>
        <v>1786.3130234696507</v>
      </c>
      <c r="AF80" s="58">
        <f t="shared" si="579"/>
        <v>1896.390892875515</v>
      </c>
      <c r="AG80" s="58">
        <f t="shared" si="579"/>
        <v>2006.4687622813792</v>
      </c>
      <c r="AH80" s="58">
        <f t="shared" si="579"/>
        <v>2116.546631687243</v>
      </c>
      <c r="AI80" s="58">
        <f t="shared" si="579"/>
        <v>2226.624501093107</v>
      </c>
      <c r="AJ80" s="58">
        <f t="shared" si="579"/>
        <v>2307.5000460390947</v>
      </c>
      <c r="AK80" s="58">
        <f t="shared" ref="AK80:BP80" si="580">IF(AI38="B",IF(AJ88="B",AK79+AK78/12-453.592,AK79+AK78/12),AK79+AK78/24)</f>
        <v>2391.6106127829216</v>
      </c>
      <c r="AL80" s="58">
        <f t="shared" si="580"/>
        <v>2475.7211795267485</v>
      </c>
      <c r="AM80" s="58">
        <f t="shared" si="580"/>
        <v>2559.8317462705754</v>
      </c>
      <c r="AN80" s="58">
        <f t="shared" si="580"/>
        <v>2648.6152111625506</v>
      </c>
      <c r="AO80" s="58">
        <f t="shared" si="580"/>
        <v>215.39130009002042</v>
      </c>
      <c r="AP80" s="58">
        <f t="shared" si="580"/>
        <v>304.17476498199568</v>
      </c>
      <c r="AQ80" s="58">
        <f t="shared" si="580"/>
        <v>392.95822987397094</v>
      </c>
      <c r="AR80" s="58">
        <f t="shared" si="580"/>
        <v>481.74169476594619</v>
      </c>
      <c r="AS80" s="58">
        <f t="shared" si="580"/>
        <v>621.33895479681041</v>
      </c>
      <c r="AT80" s="58">
        <f t="shared" si="580"/>
        <v>760.93621482767458</v>
      </c>
      <c r="AU80" s="58">
        <f t="shared" si="580"/>
        <v>900.53347485853874</v>
      </c>
      <c r="AV80" s="58">
        <f t="shared" si="580"/>
        <v>1040.1307348894029</v>
      </c>
      <c r="AW80" s="58">
        <f t="shared" si="580"/>
        <v>1179.7279949202671</v>
      </c>
      <c r="AX80" s="58">
        <f t="shared" si="580"/>
        <v>1319.3252549511312</v>
      </c>
      <c r="AY80" s="58">
        <f t="shared" si="580"/>
        <v>1458.9225149819954</v>
      </c>
      <c r="AZ80" s="58">
        <f t="shared" si="580"/>
        <v>1593.150649627057</v>
      </c>
      <c r="BA80" s="58">
        <f t="shared" si="580"/>
        <v>1727.3787842721185</v>
      </c>
      <c r="BB80" s="58">
        <f t="shared" si="580"/>
        <v>1861.6069189171801</v>
      </c>
      <c r="BC80" s="58">
        <f t="shared" si="580"/>
        <v>1995.8350535622417</v>
      </c>
      <c r="BD80" s="58">
        <f t="shared" si="580"/>
        <v>2130.0631882073035</v>
      </c>
      <c r="BE80" s="58">
        <f t="shared" si="580"/>
        <v>2264.2913228523653</v>
      </c>
      <c r="BF80" s="58">
        <f t="shared" si="580"/>
        <v>2398.5194574974271</v>
      </c>
      <c r="BG80" s="58">
        <f t="shared" si="580"/>
        <v>2532.7475921424889</v>
      </c>
      <c r="BH80" s="58">
        <f t="shared" si="580"/>
        <v>2682.4204195923344</v>
      </c>
      <c r="BI80" s="58">
        <f t="shared" si="580"/>
        <v>2838.080160140174</v>
      </c>
      <c r="BJ80" s="58">
        <f t="shared" si="580"/>
        <v>128.50198633616162</v>
      </c>
      <c r="BK80" s="58">
        <f t="shared" si="580"/>
        <v>284.1617268840011</v>
      </c>
      <c r="BL80" s="58">
        <f t="shared" si="580"/>
        <v>407.11471125900107</v>
      </c>
      <c r="BM80" s="58">
        <f t="shared" si="580"/>
        <v>530.06769563400098</v>
      </c>
      <c r="BN80" s="58">
        <f t="shared" si="580"/>
        <v>653.0206800090009</v>
      </c>
      <c r="BO80" s="58">
        <f t="shared" si="580"/>
        <v>775.97366438400081</v>
      </c>
      <c r="BP80" s="58">
        <f t="shared" si="580"/>
        <v>898.92664875900073</v>
      </c>
      <c r="BQ80" s="58">
        <f t="shared" ref="BQ80:BX80" si="581">IF(BO38="B",IF(BP88="B",BQ79+BQ78/12-453.592,BQ79+BQ78/12),BQ79+BQ78/24)</f>
        <v>1021.8796331340006</v>
      </c>
      <c r="BR80" s="58">
        <f t="shared" si="581"/>
        <v>1144.8326175090006</v>
      </c>
      <c r="BS80" s="58">
        <f t="shared" si="581"/>
        <v>1303.3639123585376</v>
      </c>
      <c r="BT80" s="58">
        <f t="shared" si="581"/>
        <v>1461.8952072080747</v>
      </c>
      <c r="BU80" s="58">
        <f t="shared" si="581"/>
        <v>1620.4265020576117</v>
      </c>
      <c r="BV80" s="58">
        <f t="shared" si="581"/>
        <v>1778.9577969071488</v>
      </c>
      <c r="BW80" s="58">
        <f t="shared" si="581"/>
        <v>1937.4890917566859</v>
      </c>
      <c r="BX80" s="58">
        <f t="shared" si="581"/>
        <v>2089.9230291120102</v>
      </c>
      <c r="BY80" s="58"/>
    </row>
    <row r="81" spans="2:77" x14ac:dyDescent="0.25">
      <c r="B81" s="54" t="s">
        <v>143</v>
      </c>
      <c r="C81" s="366">
        <v>0.15</v>
      </c>
      <c r="D81" s="333">
        <f>D80*$C$81</f>
        <v>0</v>
      </c>
      <c r="E81" s="66">
        <f>E80*$C$81</f>
        <v>1.010915798611111</v>
      </c>
      <c r="F81" s="58">
        <f>F80*$C$81</f>
        <v>2.0218315972222225</v>
      </c>
      <c r="G81" s="58">
        <f>G80*$C$81</f>
        <v>3.0327473958333337</v>
      </c>
      <c r="H81" s="58">
        <f>H80*$C$81</f>
        <v>4.043663194444445</v>
      </c>
      <c r="I81" s="58">
        <f>I80*$C$81</f>
        <v>5.0545789930555562</v>
      </c>
      <c r="J81" s="58">
        <f>J80*$C$81</f>
        <v>6.0654947916666675</v>
      </c>
      <c r="K81" s="58">
        <f>K80*$C$81</f>
        <v>7.0764105902777779</v>
      </c>
      <c r="L81" s="58">
        <f>L80*$C$81</f>
        <v>19.955477864583333</v>
      </c>
      <c r="M81" s="58">
        <f>M80*$C$81</f>
        <v>32.834545138888885</v>
      </c>
      <c r="N81" s="58">
        <f>N80*$C$81</f>
        <v>45.713612413194433</v>
      </c>
      <c r="O81" s="58">
        <f>O80*$C$81</f>
        <v>58.592679687499981</v>
      </c>
      <c r="P81" s="58">
        <f>P80*$C$81</f>
        <v>66.799367409336398</v>
      </c>
      <c r="Q81" s="58">
        <f>Q80*$C$81</f>
        <v>75.006055131172815</v>
      </c>
      <c r="R81" s="58">
        <f>R80*$C$81</f>
        <v>83.212742853009246</v>
      </c>
      <c r="S81" s="58">
        <f>S80*$C$81</f>
        <v>91.419430574845663</v>
      </c>
      <c r="T81" s="58">
        <f>T80*$C$81</f>
        <v>99.626118296682094</v>
      </c>
      <c r="U81" s="58">
        <f>U80*$C$81</f>
        <v>107.83280601851853</v>
      </c>
      <c r="V81" s="58">
        <f>V80*$C$81</f>
        <v>116.03949374035494</v>
      </c>
      <c r="W81" s="58">
        <f>W80*$C$81</f>
        <v>133.21164136766976</v>
      </c>
      <c r="X81" s="58">
        <f>X80*$C$81</f>
        <v>150.3837889949846</v>
      </c>
      <c r="Y81" s="58">
        <f>Y80*$C$81</f>
        <v>167.55593662229941</v>
      </c>
      <c r="Z81" s="58">
        <f>Z80*$C$81</f>
        <v>184.72808424961423</v>
      </c>
      <c r="AA81" s="58">
        <f>AA80*$C$81</f>
        <v>201.90023187692904</v>
      </c>
      <c r="AB81" s="58">
        <f>AB80*$C$81</f>
        <v>218.41191228780869</v>
      </c>
      <c r="AC81" s="57">
        <f>AC80*$C$81</f>
        <v>234.92359269868831</v>
      </c>
      <c r="AD81" s="58">
        <f>AD80*$C$81</f>
        <v>251.43527310956796</v>
      </c>
      <c r="AE81" s="58">
        <f>AE80*$C$81</f>
        <v>267.94695352044761</v>
      </c>
      <c r="AF81" s="58">
        <f>AF80*$C$81</f>
        <v>284.45863393132726</v>
      </c>
      <c r="AG81" s="58">
        <f>AG80*$C$81</f>
        <v>300.97031434220685</v>
      </c>
      <c r="AH81" s="58">
        <f>AH80*$C$81</f>
        <v>317.48199475308644</v>
      </c>
      <c r="AI81" s="58">
        <f>AI80*$C$81</f>
        <v>333.99367516396603</v>
      </c>
      <c r="AJ81" s="58">
        <f>AJ80*$C$81</f>
        <v>346.12500690586421</v>
      </c>
      <c r="AK81" s="58">
        <f>AK80*$C$81</f>
        <v>358.74159191743826</v>
      </c>
      <c r="AL81" s="58">
        <f>AL80*$C$81</f>
        <v>371.35817692901225</v>
      </c>
      <c r="AM81" s="58">
        <f>AM80*$C$81</f>
        <v>383.97476194058629</v>
      </c>
      <c r="AN81" s="58">
        <f>AN80*$C$81</f>
        <v>397.29228167438259</v>
      </c>
      <c r="AO81" s="58">
        <f>AO80*$C$81</f>
        <v>32.308695013503062</v>
      </c>
      <c r="AP81" s="58">
        <f>AP80*$C$81</f>
        <v>45.62621474729935</v>
      </c>
      <c r="AQ81" s="58">
        <f>AQ80*$C$81</f>
        <v>58.943734481095639</v>
      </c>
      <c r="AR81" s="58">
        <f>AR80*$C$81</f>
        <v>72.26125421489192</v>
      </c>
      <c r="AS81" s="58">
        <f>AS80*$C$81</f>
        <v>93.200843219521559</v>
      </c>
      <c r="AT81" s="58">
        <f>AT80*$C$81</f>
        <v>114.14043222415118</v>
      </c>
      <c r="AU81" s="58">
        <f>AU80*$C$81</f>
        <v>135.08002122878079</v>
      </c>
      <c r="AV81" s="58">
        <f>AV80*$C$81</f>
        <v>156.01961023341042</v>
      </c>
      <c r="AW81" s="58">
        <f>AW80*$C$81</f>
        <v>176.95919923804004</v>
      </c>
      <c r="AX81" s="58">
        <f>AX80*$C$81</f>
        <v>197.89878824266967</v>
      </c>
      <c r="AY81" s="58">
        <f>AY80*$C$81</f>
        <v>218.83837724729929</v>
      </c>
      <c r="AZ81" s="58">
        <f>AZ80*$C$81</f>
        <v>238.97259744405852</v>
      </c>
      <c r="BA81" s="57">
        <f>BA80*$C$81</f>
        <v>259.10681764081778</v>
      </c>
      <c r="BB81" s="58">
        <f>BB80*$C$81</f>
        <v>279.24103783757698</v>
      </c>
      <c r="BC81" s="58">
        <f>BC80*$C$81</f>
        <v>299.37525803433624</v>
      </c>
      <c r="BD81" s="58">
        <f>BD80*$C$81</f>
        <v>319.5094782310955</v>
      </c>
      <c r="BE81" s="58">
        <f>BE80*$C$81</f>
        <v>339.64369842785476</v>
      </c>
      <c r="BF81" s="58">
        <f>BF80*$C$81</f>
        <v>359.77791862461407</v>
      </c>
      <c r="BG81" s="58">
        <f>BG80*$C$81</f>
        <v>379.91213882137333</v>
      </c>
      <c r="BH81" s="58">
        <f>BH80*$C$81</f>
        <v>402.36306293885013</v>
      </c>
      <c r="BI81" s="58">
        <f>BI80*$C$81</f>
        <v>425.71202402102608</v>
      </c>
      <c r="BJ81" s="58">
        <f>BJ80*$C$81</f>
        <v>19.275297950424243</v>
      </c>
      <c r="BK81" s="58">
        <f>BK80*$C$81</f>
        <v>42.624259032600165</v>
      </c>
      <c r="BL81" s="58">
        <f>BL80*$C$81</f>
        <v>61.067206688850156</v>
      </c>
      <c r="BM81" s="58">
        <f>BM80*$C$81</f>
        <v>79.510154345100148</v>
      </c>
      <c r="BN81" s="58">
        <f>BN80*$C$81</f>
        <v>97.953102001350132</v>
      </c>
      <c r="BO81" s="58">
        <f>BO80*$C$81</f>
        <v>116.39604965760012</v>
      </c>
      <c r="BP81" s="58">
        <f>BP80*$C$81</f>
        <v>134.83899731385011</v>
      </c>
      <c r="BQ81" s="58">
        <f>BQ80*$C$81</f>
        <v>153.28194497010008</v>
      </c>
      <c r="BR81" s="58">
        <f>BR80*$C$81</f>
        <v>171.72489262635008</v>
      </c>
      <c r="BS81" s="58">
        <f>BS80*$C$81</f>
        <v>195.50458685378064</v>
      </c>
      <c r="BT81" s="58">
        <f>BT80*$C$81</f>
        <v>219.28428108121119</v>
      </c>
      <c r="BU81" s="58">
        <f>BU80*$C$81</f>
        <v>243.06397530864174</v>
      </c>
      <c r="BV81" s="58">
        <f>BV80*$C$81</f>
        <v>266.8436695360723</v>
      </c>
      <c r="BW81" s="58">
        <f>BW80*$C$81</f>
        <v>290.62336376350288</v>
      </c>
      <c r="BX81" s="58">
        <f>BX80*$C$81</f>
        <v>313.48845436680153</v>
      </c>
      <c r="BY81" s="58"/>
    </row>
    <row r="82" spans="2:77" x14ac:dyDescent="0.25">
      <c r="B82" s="54" t="s">
        <v>99</v>
      </c>
      <c r="D82" s="337"/>
      <c r="E82" s="66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 t="s">
        <v>128</v>
      </c>
      <c r="Q82" s="58"/>
      <c r="R82" s="58"/>
      <c r="S82" s="58"/>
      <c r="T82" s="58"/>
      <c r="U82" s="58"/>
      <c r="V82" s="58"/>
      <c r="W82" s="58" t="s">
        <v>128</v>
      </c>
      <c r="X82" s="58"/>
      <c r="Y82" s="58"/>
      <c r="Z82" s="58"/>
      <c r="AA82" s="58"/>
      <c r="AB82" s="58"/>
      <c r="AC82" s="57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 t="s">
        <v>128</v>
      </c>
      <c r="AO82" s="58"/>
      <c r="AP82" s="58"/>
      <c r="AQ82" s="58"/>
      <c r="AR82" s="58"/>
      <c r="AS82" s="58"/>
      <c r="AT82" s="58"/>
      <c r="AU82" s="58" t="s">
        <v>128</v>
      </c>
      <c r="AV82" s="58"/>
      <c r="AW82" s="58"/>
      <c r="AX82" s="58"/>
      <c r="AY82" s="58"/>
      <c r="AZ82" s="58"/>
      <c r="BA82" s="57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 t="s">
        <v>128</v>
      </c>
      <c r="BM82" s="58"/>
      <c r="BN82" s="58"/>
      <c r="BO82" s="58"/>
      <c r="BP82" s="58"/>
      <c r="BQ82" s="58"/>
      <c r="BR82" s="58"/>
      <c r="BS82" s="58" t="s">
        <v>128</v>
      </c>
      <c r="BT82" s="58"/>
      <c r="BU82" s="58"/>
      <c r="BV82" s="58"/>
      <c r="BW82" s="58"/>
      <c r="BX82" s="58"/>
      <c r="BY82" s="58"/>
    </row>
    <row r="83" spans="2:77" s="329" customFormat="1" x14ac:dyDescent="0.25">
      <c r="B83" s="358" t="s">
        <v>88</v>
      </c>
      <c r="C83" s="359"/>
      <c r="D83" s="376">
        <v>1.1000000000000001</v>
      </c>
      <c r="E83" s="361">
        <v>1.1000000000000001</v>
      </c>
      <c r="F83" s="329">
        <v>1.1000000000000001</v>
      </c>
      <c r="G83" s="329">
        <v>1.1000000000000001</v>
      </c>
      <c r="H83" s="329">
        <v>1.1000000000000001</v>
      </c>
      <c r="I83" s="329">
        <v>1.1000000000000001</v>
      </c>
      <c r="J83" s="329">
        <v>1.1000000000000001</v>
      </c>
      <c r="K83" s="329">
        <v>1.1000000000000001</v>
      </c>
      <c r="L83" s="329">
        <v>1.1000000000000001</v>
      </c>
      <c r="M83" s="329">
        <v>1.1000000000000001</v>
      </c>
      <c r="N83" s="329">
        <v>1.1000000000000001</v>
      </c>
      <c r="O83" s="329">
        <v>1.1000000000000001</v>
      </c>
      <c r="P83" s="329">
        <v>1.1000000000000001</v>
      </c>
      <c r="Q83" s="329">
        <v>1.1000000000000001</v>
      </c>
      <c r="R83" s="329">
        <v>1.1000000000000001</v>
      </c>
      <c r="S83" s="329">
        <v>1.1000000000000001</v>
      </c>
      <c r="T83" s="329">
        <v>1.1000000000000001</v>
      </c>
      <c r="U83" s="329">
        <v>1.1000000000000001</v>
      </c>
      <c r="V83" s="329">
        <v>1.1000000000000001</v>
      </c>
      <c r="W83" s="329">
        <v>1.1000000000000001</v>
      </c>
      <c r="X83" s="329">
        <v>1.1000000000000001</v>
      </c>
      <c r="Y83" s="329">
        <v>1.1000000000000001</v>
      </c>
      <c r="Z83" s="329">
        <v>1.1000000000000001</v>
      </c>
      <c r="AA83" s="329">
        <v>1.1000000000000001</v>
      </c>
      <c r="AB83" s="329">
        <v>1.1000000000000001</v>
      </c>
      <c r="AC83" s="362">
        <v>1.1000000000000001</v>
      </c>
      <c r="AD83" s="329">
        <v>1.1000000000000001</v>
      </c>
      <c r="AE83" s="329">
        <v>1.1000000000000001</v>
      </c>
      <c r="AF83" s="329">
        <v>1.1000000000000001</v>
      </c>
      <c r="AG83" s="329">
        <v>1.1000000000000001</v>
      </c>
      <c r="AH83" s="329">
        <v>1.1000000000000001</v>
      </c>
      <c r="AI83" s="329">
        <v>1.3</v>
      </c>
      <c r="AJ83" s="329">
        <v>1.3</v>
      </c>
      <c r="AK83" s="329">
        <v>1.3</v>
      </c>
      <c r="AL83" s="329">
        <v>1.3</v>
      </c>
      <c r="AM83" s="329">
        <v>1.5</v>
      </c>
      <c r="AN83" s="329">
        <v>1.5</v>
      </c>
      <c r="AO83" s="329">
        <v>1.5</v>
      </c>
      <c r="AP83" s="329">
        <v>1.5</v>
      </c>
      <c r="AQ83" s="329">
        <v>1.5</v>
      </c>
      <c r="AR83" s="329">
        <v>1.5</v>
      </c>
      <c r="AS83" s="329">
        <v>1.5</v>
      </c>
      <c r="AT83" s="329">
        <v>1.5</v>
      </c>
      <c r="AU83" s="329">
        <v>1.1000000000000001</v>
      </c>
      <c r="AV83" s="329">
        <v>1.1000000000000001</v>
      </c>
      <c r="AW83" s="329">
        <v>1.1000000000000001</v>
      </c>
      <c r="AX83" s="329">
        <v>1.1000000000000001</v>
      </c>
      <c r="AY83" s="329">
        <v>1.1000000000000001</v>
      </c>
      <c r="AZ83" s="329">
        <v>1.1000000000000001</v>
      </c>
      <c r="BA83" s="362">
        <v>1.1000000000000001</v>
      </c>
      <c r="BB83" s="329">
        <v>1.1000000000000001</v>
      </c>
      <c r="BC83" s="329">
        <v>1.1000000000000001</v>
      </c>
      <c r="BD83" s="329">
        <v>1.1000000000000001</v>
      </c>
      <c r="BE83" s="329">
        <v>1.1000000000000001</v>
      </c>
      <c r="BF83" s="329">
        <v>1.1000000000000001</v>
      </c>
      <c r="BG83" s="329">
        <v>1.1000000000000001</v>
      </c>
      <c r="BH83" s="329">
        <v>1.1000000000000001</v>
      </c>
      <c r="BI83" s="329">
        <v>1.1000000000000001</v>
      </c>
      <c r="BJ83" s="329">
        <v>1.1000000000000001</v>
      </c>
      <c r="BK83" s="329">
        <v>1.1000000000000001</v>
      </c>
      <c r="BL83" s="329">
        <v>1.1000000000000001</v>
      </c>
      <c r="BM83" s="329">
        <v>1.1000000000000001</v>
      </c>
      <c r="BN83" s="329">
        <v>1.1000000000000001</v>
      </c>
      <c r="BO83" s="329">
        <v>1.1000000000000001</v>
      </c>
      <c r="BP83" s="329">
        <v>1.1000000000000001</v>
      </c>
      <c r="BQ83" s="329">
        <v>1.1000000000000001</v>
      </c>
      <c r="BR83" s="329">
        <v>1.1000000000000001</v>
      </c>
      <c r="BS83" s="329">
        <v>1.1000000000000001</v>
      </c>
      <c r="BT83" s="329">
        <v>1.1000000000000001</v>
      </c>
      <c r="BU83" s="329">
        <v>1.1000000000000001</v>
      </c>
      <c r="BV83" s="329">
        <v>1.1000000000000001</v>
      </c>
      <c r="BW83" s="329">
        <v>1.1000000000000001</v>
      </c>
      <c r="BX83" s="329">
        <v>1.1000000000000001</v>
      </c>
    </row>
    <row r="84" spans="2:77" ht="15.75" thickBot="1" x14ac:dyDescent="0.3">
      <c r="B84" s="54" t="s">
        <v>89</v>
      </c>
      <c r="D84" s="333">
        <v>1</v>
      </c>
      <c r="E84" s="66">
        <v>1.06</v>
      </c>
      <c r="F84" s="58">
        <v>1.06</v>
      </c>
      <c r="G84" s="58">
        <v>1.06</v>
      </c>
      <c r="H84" s="58">
        <v>1.06</v>
      </c>
      <c r="I84" s="58">
        <v>1.06</v>
      </c>
      <c r="J84" s="58">
        <v>1.06</v>
      </c>
      <c r="K84" s="58">
        <v>1.06</v>
      </c>
      <c r="L84" s="58">
        <v>1.06</v>
      </c>
      <c r="M84" s="58">
        <v>1.06</v>
      </c>
      <c r="N84" s="58">
        <v>1.06</v>
      </c>
      <c r="O84" s="58">
        <v>1.06</v>
      </c>
      <c r="P84" s="58">
        <v>1.06</v>
      </c>
      <c r="Q84" s="58">
        <v>1.06</v>
      </c>
      <c r="R84" s="58">
        <v>1.06</v>
      </c>
      <c r="S84" s="58">
        <v>1.06</v>
      </c>
      <c r="T84" s="58">
        <v>1.06</v>
      </c>
      <c r="U84" s="58">
        <v>1.06</v>
      </c>
      <c r="V84" s="58">
        <v>1.06</v>
      </c>
      <c r="W84" s="58">
        <v>1.06</v>
      </c>
      <c r="X84" s="58">
        <v>1.06</v>
      </c>
      <c r="Y84" s="58">
        <v>1.06</v>
      </c>
      <c r="Z84" s="58">
        <v>1.06</v>
      </c>
      <c r="AA84" s="58">
        <v>1.06</v>
      </c>
      <c r="AB84" s="58">
        <v>1.06</v>
      </c>
      <c r="AC84" s="57">
        <v>1.06</v>
      </c>
      <c r="AD84" s="58">
        <v>1.06</v>
      </c>
      <c r="AE84" s="58">
        <v>1.06</v>
      </c>
      <c r="AF84" s="58">
        <v>1.06</v>
      </c>
      <c r="AG84" s="58">
        <v>1.06</v>
      </c>
      <c r="AH84" s="58">
        <v>1.06</v>
      </c>
      <c r="AI84" s="58">
        <v>1.06</v>
      </c>
      <c r="AJ84" s="58">
        <v>1.06</v>
      </c>
      <c r="AK84" s="58">
        <v>1.06</v>
      </c>
      <c r="AL84" s="58">
        <v>1.06</v>
      </c>
      <c r="AM84" s="58">
        <v>1.06</v>
      </c>
      <c r="AN84" s="58">
        <v>1.06</v>
      </c>
      <c r="AO84" s="58">
        <v>1.06</v>
      </c>
      <c r="AP84" s="58">
        <v>1.06</v>
      </c>
      <c r="AQ84" s="58">
        <v>1.06</v>
      </c>
      <c r="AR84" s="58">
        <v>1.06</v>
      </c>
      <c r="AS84" s="58">
        <v>1.06</v>
      </c>
      <c r="AT84" s="58">
        <v>1.06</v>
      </c>
      <c r="AU84" s="58">
        <v>1.06</v>
      </c>
      <c r="AV84" s="58">
        <v>1.06</v>
      </c>
      <c r="AW84" s="58">
        <v>1.06</v>
      </c>
      <c r="AX84" s="58">
        <v>1.06</v>
      </c>
      <c r="AY84" s="58">
        <v>1.06</v>
      </c>
      <c r="AZ84" s="58">
        <v>1.06</v>
      </c>
      <c r="BA84" s="57">
        <v>1.06</v>
      </c>
      <c r="BB84" s="58">
        <v>1.06</v>
      </c>
      <c r="BC84" s="58">
        <v>1.06</v>
      </c>
      <c r="BD84" s="58">
        <v>1.06</v>
      </c>
      <c r="BE84" s="58">
        <v>1.06</v>
      </c>
      <c r="BF84" s="58">
        <v>1.06</v>
      </c>
      <c r="BG84" s="58">
        <v>1.06</v>
      </c>
      <c r="BH84" s="58">
        <v>1.06</v>
      </c>
      <c r="BI84" s="58">
        <v>1.06</v>
      </c>
      <c r="BJ84" s="58">
        <v>1.06</v>
      </c>
      <c r="BK84" s="58">
        <v>1.06</v>
      </c>
      <c r="BL84" s="58">
        <v>1.06</v>
      </c>
      <c r="BM84" s="58">
        <v>1.06</v>
      </c>
      <c r="BN84" s="58">
        <v>1.06</v>
      </c>
      <c r="BO84" s="58">
        <v>1.06</v>
      </c>
      <c r="BP84" s="58">
        <v>1.06</v>
      </c>
      <c r="BQ84" s="58">
        <v>1.06</v>
      </c>
      <c r="BR84" s="58">
        <v>1.06</v>
      </c>
      <c r="BS84" s="58">
        <v>1.06</v>
      </c>
      <c r="BT84" s="58">
        <v>1.06</v>
      </c>
      <c r="BU84" s="58">
        <v>1.06</v>
      </c>
      <c r="BV84" s="58">
        <v>1.06</v>
      </c>
      <c r="BW84" s="58">
        <v>1.06</v>
      </c>
      <c r="BX84" s="58">
        <v>1.06</v>
      </c>
      <c r="BY84" s="58"/>
    </row>
    <row r="85" spans="2:77" ht="15.75" thickBot="1" x14ac:dyDescent="0.3">
      <c r="B85" s="103" t="s">
        <v>160</v>
      </c>
      <c r="C85" s="119"/>
      <c r="D85" s="341">
        <f>D81/12</f>
        <v>0</v>
      </c>
      <c r="E85" s="106">
        <f t="shared" ref="E85:BH85" si="582">E81/12</f>
        <v>8.424298321759259E-2</v>
      </c>
      <c r="F85" s="106">
        <f t="shared" si="582"/>
        <v>0.16848596643518521</v>
      </c>
      <c r="G85" s="106">
        <f t="shared" si="582"/>
        <v>0.25272894965277781</v>
      </c>
      <c r="H85" s="106">
        <f t="shared" si="582"/>
        <v>0.33697193287037042</v>
      </c>
      <c r="I85" s="106">
        <f t="shared" si="582"/>
        <v>0.42121491608796302</v>
      </c>
      <c r="J85" s="107">
        <f t="shared" si="582"/>
        <v>0.50545789930555562</v>
      </c>
      <c r="K85" s="58">
        <f t="shared" si="582"/>
        <v>0.58970088252314812</v>
      </c>
      <c r="L85" s="58">
        <f t="shared" si="582"/>
        <v>1.6629564887152777</v>
      </c>
      <c r="M85" s="58">
        <f t="shared" si="582"/>
        <v>2.7362120949074069</v>
      </c>
      <c r="N85" s="58">
        <f t="shared" si="582"/>
        <v>3.8094677010995359</v>
      </c>
      <c r="O85" s="58">
        <f t="shared" si="582"/>
        <v>4.8827233072916654</v>
      </c>
      <c r="P85" s="58">
        <f t="shared" si="582"/>
        <v>5.5666139507780334</v>
      </c>
      <c r="Q85" s="58">
        <f t="shared" si="582"/>
        <v>6.2505045942644015</v>
      </c>
      <c r="R85" s="58">
        <f t="shared" si="582"/>
        <v>6.9343952377507705</v>
      </c>
      <c r="S85" s="58">
        <f t="shared" si="582"/>
        <v>7.6182858812371386</v>
      </c>
      <c r="T85" s="58">
        <f t="shared" si="582"/>
        <v>8.3021765247235084</v>
      </c>
      <c r="U85" s="58">
        <f t="shared" si="582"/>
        <v>8.9860671682098765</v>
      </c>
      <c r="V85" s="58">
        <f t="shared" si="582"/>
        <v>9.6699578116962446</v>
      </c>
      <c r="W85" s="58">
        <f t="shared" si="582"/>
        <v>11.10097011397248</v>
      </c>
      <c r="X85" s="58">
        <f t="shared" si="582"/>
        <v>12.531982416248717</v>
      </c>
      <c r="Y85" s="58">
        <f t="shared" si="582"/>
        <v>13.962994718524952</v>
      </c>
      <c r="Z85" s="58">
        <f t="shared" si="582"/>
        <v>15.394007020801185</v>
      </c>
      <c r="AA85" s="58">
        <f t="shared" si="582"/>
        <v>16.82501932307742</v>
      </c>
      <c r="AB85" s="58">
        <f t="shared" si="582"/>
        <v>18.200992690650725</v>
      </c>
      <c r="AC85" s="57">
        <f t="shared" si="582"/>
        <v>19.576966058224027</v>
      </c>
      <c r="AD85" s="58">
        <f t="shared" si="582"/>
        <v>20.952939425797329</v>
      </c>
      <c r="AE85" s="58">
        <f t="shared" si="582"/>
        <v>22.328912793370634</v>
      </c>
      <c r="AF85" s="58">
        <f t="shared" si="582"/>
        <v>23.704886160943939</v>
      </c>
      <c r="AG85" s="58">
        <f t="shared" si="582"/>
        <v>25.080859528517237</v>
      </c>
      <c r="AH85" s="58">
        <f t="shared" si="582"/>
        <v>26.456832896090535</v>
      </c>
      <c r="AI85" s="58">
        <f t="shared" si="582"/>
        <v>27.832806263663837</v>
      </c>
      <c r="AJ85" s="58">
        <f t="shared" si="582"/>
        <v>28.843750575488684</v>
      </c>
      <c r="AK85" s="58">
        <f t="shared" si="582"/>
        <v>29.895132659786523</v>
      </c>
      <c r="AL85" s="58">
        <f t="shared" si="582"/>
        <v>30.946514744084354</v>
      </c>
      <c r="AM85" s="58">
        <f t="shared" si="582"/>
        <v>31.997896828382192</v>
      </c>
      <c r="AN85" s="58">
        <f t="shared" si="582"/>
        <v>33.107690139531883</v>
      </c>
      <c r="AO85" s="58">
        <f t="shared" si="582"/>
        <v>2.692391251125255</v>
      </c>
      <c r="AP85" s="58">
        <f t="shared" si="582"/>
        <v>3.8021845622749457</v>
      </c>
      <c r="AQ85" s="58">
        <f t="shared" si="582"/>
        <v>4.9119778734246369</v>
      </c>
      <c r="AR85" s="58">
        <f t="shared" si="582"/>
        <v>6.0217711845743267</v>
      </c>
      <c r="AS85" s="58">
        <f t="shared" si="582"/>
        <v>7.7667369349601296</v>
      </c>
      <c r="AT85" s="58">
        <f t="shared" si="582"/>
        <v>9.5117026853459326</v>
      </c>
      <c r="AU85" s="58">
        <f t="shared" si="582"/>
        <v>11.256668435731733</v>
      </c>
      <c r="AV85" s="58">
        <f t="shared" si="582"/>
        <v>13.001634186117535</v>
      </c>
      <c r="AW85" s="58">
        <f t="shared" si="582"/>
        <v>14.746599936503337</v>
      </c>
      <c r="AX85" s="58">
        <f t="shared" si="582"/>
        <v>16.491565686889139</v>
      </c>
      <c r="AY85" s="58">
        <f t="shared" si="582"/>
        <v>18.236531437274941</v>
      </c>
      <c r="AZ85" s="58">
        <f t="shared" si="582"/>
        <v>19.914383120338211</v>
      </c>
      <c r="BA85" s="57">
        <f t="shared" si="582"/>
        <v>21.592234803401482</v>
      </c>
      <c r="BB85" s="58">
        <f t="shared" si="582"/>
        <v>23.270086486464749</v>
      </c>
      <c r="BC85" s="58">
        <f t="shared" si="582"/>
        <v>24.947938169528019</v>
      </c>
      <c r="BD85" s="58">
        <f t="shared" si="582"/>
        <v>26.625789852591293</v>
      </c>
      <c r="BE85" s="58">
        <f t="shared" si="582"/>
        <v>28.303641535654563</v>
      </c>
      <c r="BF85" s="58">
        <f t="shared" si="582"/>
        <v>29.981493218717841</v>
      </c>
      <c r="BG85" s="58">
        <f t="shared" si="582"/>
        <v>31.659344901781111</v>
      </c>
      <c r="BH85" s="58">
        <f t="shared" si="582"/>
        <v>33.530255244904176</v>
      </c>
      <c r="BI85" s="58">
        <f>BI81/12</f>
        <v>35.476002001752171</v>
      </c>
      <c r="BJ85" s="58">
        <f t="shared" ref="BJ85:BX85" si="583">BJ81/12</f>
        <v>1.6062748292020201</v>
      </c>
      <c r="BK85" s="58">
        <f t="shared" si="583"/>
        <v>3.5520215860500137</v>
      </c>
      <c r="BL85" s="58">
        <f t="shared" si="583"/>
        <v>5.088933890737513</v>
      </c>
      <c r="BM85" s="58">
        <f t="shared" si="583"/>
        <v>6.6258461954250123</v>
      </c>
      <c r="BN85" s="58">
        <f t="shared" si="583"/>
        <v>8.1627585001125116</v>
      </c>
      <c r="BO85" s="58">
        <f t="shared" si="583"/>
        <v>9.6996708048000091</v>
      </c>
      <c r="BP85" s="58">
        <f t="shared" si="583"/>
        <v>11.23658310948751</v>
      </c>
      <c r="BQ85" s="58">
        <f t="shared" si="583"/>
        <v>12.773495414175008</v>
      </c>
      <c r="BR85" s="58">
        <f t="shared" si="583"/>
        <v>14.310407718862507</v>
      </c>
      <c r="BS85" s="58">
        <f t="shared" si="583"/>
        <v>16.292048904481721</v>
      </c>
      <c r="BT85" s="58">
        <f t="shared" si="583"/>
        <v>18.273690090100931</v>
      </c>
      <c r="BU85" s="58">
        <f t="shared" si="583"/>
        <v>20.255331275720145</v>
      </c>
      <c r="BV85" s="58">
        <f t="shared" si="583"/>
        <v>22.236972461339359</v>
      </c>
      <c r="BW85" s="58">
        <f t="shared" si="583"/>
        <v>24.218613646958573</v>
      </c>
      <c r="BX85" s="58">
        <f t="shared" si="583"/>
        <v>26.124037863900128</v>
      </c>
      <c r="BY85" s="58"/>
    </row>
    <row r="86" spans="2:77" ht="15.75" thickBot="1" x14ac:dyDescent="0.3">
      <c r="B86" s="54" t="s">
        <v>144</v>
      </c>
      <c r="D86" s="391">
        <f t="shared" ref="D86" si="584">19.164</f>
        <v>19.164000000000001</v>
      </c>
      <c r="E86" s="58">
        <f t="shared" ref="E86:J86" si="585">(E85*0.7355)</f>
        <v>6.1960714156539351E-2</v>
      </c>
      <c r="F86" s="58">
        <f t="shared" si="585"/>
        <v>0.12392142831307873</v>
      </c>
      <c r="G86" s="58">
        <f t="shared" si="585"/>
        <v>0.18588214246961809</v>
      </c>
      <c r="H86" s="58">
        <f t="shared" si="585"/>
        <v>0.24784285662615746</v>
      </c>
      <c r="I86" s="58">
        <f t="shared" si="585"/>
        <v>0.30980357078269682</v>
      </c>
      <c r="J86" s="58">
        <f t="shared" si="585"/>
        <v>0.37176428493923619</v>
      </c>
      <c r="K86" s="58">
        <f t="shared" ref="K86" si="586">(K85*0.7355)</f>
        <v>0.43372499909577544</v>
      </c>
      <c r="L86" s="58">
        <f t="shared" ref="L86:BW86" si="587">(L85*0.7355)</f>
        <v>1.2231044974500869</v>
      </c>
      <c r="M86" s="58">
        <f t="shared" si="587"/>
        <v>2.0124839958043981</v>
      </c>
      <c r="N86" s="58">
        <f t="shared" si="587"/>
        <v>2.8018634941587086</v>
      </c>
      <c r="O86" s="58">
        <f t="shared" si="587"/>
        <v>3.59124299251302</v>
      </c>
      <c r="P86" s="58">
        <f t="shared" si="587"/>
        <v>4.094244560797244</v>
      </c>
      <c r="Q86" s="58">
        <f t="shared" si="587"/>
        <v>4.5972461290814675</v>
      </c>
      <c r="R86" s="58">
        <f t="shared" si="587"/>
        <v>5.1002476973656918</v>
      </c>
      <c r="S86" s="58">
        <f t="shared" si="587"/>
        <v>5.6032492656499153</v>
      </c>
      <c r="T86" s="58">
        <f t="shared" si="587"/>
        <v>6.1062508339341406</v>
      </c>
      <c r="U86" s="58">
        <f t="shared" si="587"/>
        <v>6.609252402218365</v>
      </c>
      <c r="V86" s="58">
        <f t="shared" si="587"/>
        <v>7.1122539705025885</v>
      </c>
      <c r="W86" s="58">
        <f t="shared" si="587"/>
        <v>8.16476351882676</v>
      </c>
      <c r="X86" s="58">
        <f t="shared" si="587"/>
        <v>9.2172730671509324</v>
      </c>
      <c r="Y86" s="58">
        <f t="shared" si="587"/>
        <v>10.269782615475103</v>
      </c>
      <c r="Z86" s="58">
        <f t="shared" si="587"/>
        <v>11.322292163799272</v>
      </c>
      <c r="AA86" s="58">
        <f t="shared" si="587"/>
        <v>12.374801712123443</v>
      </c>
      <c r="AB86" s="58">
        <f t="shared" si="587"/>
        <v>13.38683012397361</v>
      </c>
      <c r="AC86" s="57">
        <f t="shared" si="587"/>
        <v>14.398858535823774</v>
      </c>
      <c r="AD86" s="58">
        <f t="shared" si="587"/>
        <v>15.410886947673935</v>
      </c>
      <c r="AE86" s="58">
        <f t="shared" si="587"/>
        <v>16.422915359524101</v>
      </c>
      <c r="AF86" s="58">
        <f t="shared" si="587"/>
        <v>17.434943771374268</v>
      </c>
      <c r="AG86" s="58">
        <f t="shared" si="587"/>
        <v>18.446972183224428</v>
      </c>
      <c r="AH86" s="58">
        <f t="shared" si="587"/>
        <v>19.459000595074588</v>
      </c>
      <c r="AI86" s="58">
        <f t="shared" si="587"/>
        <v>20.471029006924752</v>
      </c>
      <c r="AJ86" s="58">
        <f t="shared" si="587"/>
        <v>21.214578548271927</v>
      </c>
      <c r="AK86" s="58">
        <f t="shared" si="587"/>
        <v>21.98787007127299</v>
      </c>
      <c r="AL86" s="58">
        <f t="shared" si="587"/>
        <v>22.761161594274043</v>
      </c>
      <c r="AM86" s="58">
        <f t="shared" si="587"/>
        <v>23.534453117275103</v>
      </c>
      <c r="AN86" s="58">
        <f t="shared" si="587"/>
        <v>24.3507060976257</v>
      </c>
      <c r="AO86" s="58">
        <f t="shared" si="587"/>
        <v>1.9802537652026251</v>
      </c>
      <c r="AP86" s="58">
        <f t="shared" si="587"/>
        <v>2.7965067455532227</v>
      </c>
      <c r="AQ86" s="58">
        <f t="shared" si="587"/>
        <v>3.6127597259038207</v>
      </c>
      <c r="AR86" s="58">
        <f t="shared" si="587"/>
        <v>4.4290127062544178</v>
      </c>
      <c r="AS86" s="58">
        <f t="shared" si="587"/>
        <v>5.7124350156631758</v>
      </c>
      <c r="AT86" s="58">
        <f t="shared" si="587"/>
        <v>6.9958573250719338</v>
      </c>
      <c r="AU86" s="58">
        <f t="shared" si="587"/>
        <v>8.2792796344806892</v>
      </c>
      <c r="AV86" s="58">
        <f t="shared" si="587"/>
        <v>9.5627019438894472</v>
      </c>
      <c r="AW86" s="58">
        <f t="shared" si="587"/>
        <v>10.846124253298205</v>
      </c>
      <c r="AX86" s="58">
        <f t="shared" si="587"/>
        <v>12.129546562706963</v>
      </c>
      <c r="AY86" s="58">
        <f t="shared" si="587"/>
        <v>13.412968872115719</v>
      </c>
      <c r="AZ86" s="58">
        <f t="shared" si="587"/>
        <v>14.647028785008755</v>
      </c>
      <c r="BA86" s="57">
        <f t="shared" si="587"/>
        <v>15.881088697901792</v>
      </c>
      <c r="BB86" s="58">
        <f t="shared" si="587"/>
        <v>17.115148610794822</v>
      </c>
      <c r="BC86" s="58">
        <f t="shared" si="587"/>
        <v>18.34920852368786</v>
      </c>
      <c r="BD86" s="58">
        <f t="shared" si="587"/>
        <v>19.583268436580898</v>
      </c>
      <c r="BE86" s="58">
        <f t="shared" si="587"/>
        <v>20.817328349473932</v>
      </c>
      <c r="BF86" s="58">
        <f t="shared" si="587"/>
        <v>22.051388262366974</v>
      </c>
      <c r="BG86" s="58">
        <f t="shared" si="587"/>
        <v>23.285448175260008</v>
      </c>
      <c r="BH86" s="58">
        <f t="shared" si="587"/>
        <v>24.661502732627021</v>
      </c>
      <c r="BI86" s="58">
        <f t="shared" si="587"/>
        <v>26.092599472288722</v>
      </c>
      <c r="BJ86" s="58">
        <f t="shared" si="587"/>
        <v>1.1814151368780859</v>
      </c>
      <c r="BK86" s="58">
        <f t="shared" si="587"/>
        <v>2.6125118765397852</v>
      </c>
      <c r="BL86" s="58">
        <f t="shared" si="587"/>
        <v>3.742910876637441</v>
      </c>
      <c r="BM86" s="58">
        <f t="shared" si="587"/>
        <v>4.8733098767350969</v>
      </c>
      <c r="BN86" s="58">
        <f t="shared" si="587"/>
        <v>6.0037088768327527</v>
      </c>
      <c r="BO86" s="58">
        <f t="shared" si="587"/>
        <v>7.1341078769304067</v>
      </c>
      <c r="BP86" s="58">
        <f t="shared" si="587"/>
        <v>8.2645068770280634</v>
      </c>
      <c r="BQ86" s="58">
        <f t="shared" si="587"/>
        <v>9.3949058771257192</v>
      </c>
      <c r="BR86" s="58">
        <f t="shared" si="587"/>
        <v>10.525304877223375</v>
      </c>
      <c r="BS86" s="58">
        <f t="shared" si="587"/>
        <v>11.982801969246307</v>
      </c>
      <c r="BT86" s="58">
        <f t="shared" si="587"/>
        <v>13.440299061269236</v>
      </c>
      <c r="BU86" s="58">
        <f t="shared" si="587"/>
        <v>14.897796153292168</v>
      </c>
      <c r="BV86" s="58">
        <f t="shared" si="587"/>
        <v>16.355293245315099</v>
      </c>
      <c r="BW86" s="58">
        <f t="shared" si="587"/>
        <v>17.812790337338033</v>
      </c>
      <c r="BX86" s="58">
        <f t="shared" ref="BX86" si="588">(BX85*0.7355)</f>
        <v>19.214229848898544</v>
      </c>
      <c r="BY86" s="58"/>
    </row>
    <row r="87" spans="2:77" ht="15.75" thickBot="1" x14ac:dyDescent="0.3">
      <c r="B87" s="103" t="s">
        <v>141</v>
      </c>
      <c r="C87" s="119"/>
      <c r="D87" s="341">
        <f>IF(B38="B",IF(C88="B",IF(C82="K",IF(((C87/8+C86+D83)*D84)&gt;=23.955,((C87/8+C86+D83)*D84)-27.539,((C87/8+C86+D83)*D84)-23.955),IF(((C87/8+C86+D83)*D84)&gt;=28.747,((C87/8+C86+D83)*D84)-31.143,((C87/8+C86+D83)*D84)-28.747)),((C87/12+C86+D83)*D84)),(C86)*D84)</f>
        <v>0</v>
      </c>
      <c r="E87" s="106">
        <f>IF(C38="B",IF(D88="B",IF(D82="K",IF(((D87/8+D86+E83)*E84)&gt;=23.955,((D87/8+D86+E83)*E84)-27.539,((D87/8+D86+E83)*E84)-23.955),IF(((D87/8+D86+E83)*E84)&gt;=28.747,((D87/8+D86+E83)*E84)-31.143,((D87/8+D86+E83)*E84)-28.747)),((D87/12+D86+E83)*E84)),(D86)*E84)</f>
        <v>20.313840000000003</v>
      </c>
      <c r="F87" s="106">
        <f t="shared" ref="F87:BP87" si="589">IF(D38="B",IF(E88="B",IF(E82="K",IF(((E87/8+E86+F83)*F84)&gt;=23.955,((E87/8+E86+F83)*F84)-27.539,((E87/8+E86+F83)*F84)-23.955),IF(((E87/8+E86+F83)*F84)&gt;=28.747,((E87/8+E86+F83)*F84)-31.143,((E87/8+E86+F83)*F84)-28.747)),((E87/12+E86+F83)*F84)),(E86)*F84)</f>
        <v>6.567835700593172E-2</v>
      </c>
      <c r="G87" s="106">
        <f t="shared" si="589"/>
        <v>0.13135671401186347</v>
      </c>
      <c r="H87" s="106">
        <f t="shared" si="589"/>
        <v>0.19703507101779519</v>
      </c>
      <c r="I87" s="106">
        <f t="shared" si="589"/>
        <v>0.26271342802372694</v>
      </c>
      <c r="J87" s="107">
        <f t="shared" si="589"/>
        <v>0.32839178502965866</v>
      </c>
      <c r="K87" s="58">
        <f t="shared" si="589"/>
        <v>0.39407014203559038</v>
      </c>
      <c r="L87" s="58">
        <f t="shared" si="589"/>
        <v>1.6605580282546659</v>
      </c>
      <c r="M87" s="58">
        <f t="shared" si="589"/>
        <v>2.6091733931262544</v>
      </c>
      <c r="N87" s="58">
        <f t="shared" si="589"/>
        <v>3.5297100186121479</v>
      </c>
      <c r="O87" s="58">
        <f t="shared" si="589"/>
        <v>4.4477663554523037</v>
      </c>
      <c r="P87" s="58">
        <f t="shared" si="589"/>
        <v>5.3656036001287548</v>
      </c>
      <c r="Q87" s="58">
        <f t="shared" si="589"/>
        <v>5.9798608857897859</v>
      </c>
      <c r="R87" s="58">
        <f t="shared" si="589"/>
        <v>6.5673019417377878</v>
      </c>
      <c r="S87" s="58">
        <f t="shared" si="589"/>
        <v>7.1523742307278049</v>
      </c>
      <c r="T87" s="58">
        <f t="shared" si="589"/>
        <v>7.7372372786365329</v>
      </c>
      <c r="U87" s="58">
        <f t="shared" si="589"/>
        <v>8.3220818435830815</v>
      </c>
      <c r="V87" s="58">
        <f t="shared" si="589"/>
        <v>8.9069247758679726</v>
      </c>
      <c r="W87" s="58">
        <f t="shared" si="589"/>
        <v>9.491767563934415</v>
      </c>
      <c r="X87" s="58">
        <f t="shared" si="589"/>
        <v>10.659088798103905</v>
      </c>
      <c r="Y87" s="58">
        <f t="shared" si="589"/>
        <v>11.8778622950125</v>
      </c>
      <c r="Z87" s="58">
        <f t="shared" si="589"/>
        <v>13.10118074179638</v>
      </c>
      <c r="AA87" s="58">
        <f t="shared" si="589"/>
        <v>14.324900659152574</v>
      </c>
      <c r="AB87" s="58">
        <f t="shared" si="589"/>
        <v>13.117289814850849</v>
      </c>
      <c r="AC87" s="58">
        <f t="shared" si="589"/>
        <v>14.190039931412027</v>
      </c>
      <c r="AD87" s="58">
        <f t="shared" si="589"/>
        <v>15.262790047973201</v>
      </c>
      <c r="AE87" s="58">
        <f t="shared" si="589"/>
        <v>16.335540164534372</v>
      </c>
      <c r="AF87" s="58">
        <f t="shared" si="589"/>
        <v>17.40829028109555</v>
      </c>
      <c r="AG87" s="58">
        <f t="shared" si="589"/>
        <v>18.481040397656724</v>
      </c>
      <c r="AH87" s="58">
        <f t="shared" si="589"/>
        <v>19.553790514217894</v>
      </c>
      <c r="AI87" s="58">
        <f t="shared" si="589"/>
        <v>20.626540630779065</v>
      </c>
      <c r="AJ87" s="58">
        <f t="shared" si="589"/>
        <v>21.699290747340239</v>
      </c>
      <c r="AK87" s="58">
        <f t="shared" si="589"/>
        <v>25.782223943849967</v>
      </c>
      <c r="AL87" s="58">
        <f t="shared" si="589"/>
        <v>26.962572057256121</v>
      </c>
      <c r="AM87" s="58">
        <f t="shared" si="589"/>
        <v>28.09852515498811</v>
      </c>
      <c r="AN87" s="58">
        <f t="shared" si="589"/>
        <v>29.018556693002228</v>
      </c>
      <c r="AO87" s="58">
        <f t="shared" si="589"/>
        <v>3.7077072253060379</v>
      </c>
      <c r="AP87" s="58">
        <f t="shared" si="589"/>
        <v>4.0165831293501491</v>
      </c>
      <c r="AQ87" s="58">
        <f t="shared" si="589"/>
        <v>4.9090953267123467</v>
      </c>
      <c r="AR87" s="58">
        <f t="shared" si="589"/>
        <v>5.8531620633176411</v>
      </c>
      <c r="AS87" s="58">
        <f t="shared" si="589"/>
        <v>6.8017827842227412</v>
      </c>
      <c r="AT87" s="58">
        <f t="shared" si="589"/>
        <v>8.2460052625426421</v>
      </c>
      <c r="AU87" s="58">
        <f t="shared" si="589"/>
        <v>9.3100058961008507</v>
      </c>
      <c r="AV87" s="58">
        <f t="shared" si="589"/>
        <v>10.764420266705105</v>
      </c>
      <c r="AW87" s="58">
        <f t="shared" si="589"/>
        <v>12.253321184081766</v>
      </c>
      <c r="AX87" s="58">
        <f t="shared" si="589"/>
        <v>13.745268413089986</v>
      </c>
      <c r="AY87" s="58">
        <f t="shared" si="589"/>
        <v>15.237484732958997</v>
      </c>
      <c r="AZ87" s="58">
        <f t="shared" si="589"/>
        <v>14.217747004442664</v>
      </c>
      <c r="BA87" s="58">
        <f t="shared" si="589"/>
        <v>15.525850512109281</v>
      </c>
      <c r="BB87" s="58">
        <f t="shared" si="589"/>
        <v>16.833954019775899</v>
      </c>
      <c r="BC87" s="58">
        <f t="shared" si="589"/>
        <v>18.142057527442514</v>
      </c>
      <c r="BD87" s="58">
        <f t="shared" si="589"/>
        <v>19.450161035109133</v>
      </c>
      <c r="BE87" s="58">
        <f t="shared" si="589"/>
        <v>20.758264542775752</v>
      </c>
      <c r="BF87" s="58">
        <f t="shared" si="589"/>
        <v>22.066368050442371</v>
      </c>
      <c r="BG87" s="58">
        <f t="shared" si="589"/>
        <v>23.374471558108993</v>
      </c>
      <c r="BH87" s="58">
        <f t="shared" si="589"/>
        <v>24.682575065775609</v>
      </c>
      <c r="BI87" s="58">
        <f t="shared" si="589"/>
        <v>29.487487027394824</v>
      </c>
      <c r="BJ87" s="58">
        <f t="shared" si="589"/>
        <v>1.5882474717558637</v>
      </c>
      <c r="BK87" s="58">
        <f t="shared" si="589"/>
        <v>2.5585952384292061</v>
      </c>
      <c r="BL87" s="58">
        <f t="shared" si="589"/>
        <v>4.1612718351934195</v>
      </c>
      <c r="BM87" s="58">
        <f t="shared" si="589"/>
        <v>5.5010645413444399</v>
      </c>
      <c r="BN87" s="58">
        <f t="shared" si="589"/>
        <v>6.8176358371579608</v>
      </c>
      <c r="BO87" s="58">
        <f t="shared" si="589"/>
        <v>8.1321559083916704</v>
      </c>
      <c r="BP87" s="58">
        <f t="shared" si="589"/>
        <v>9.4464947881208303</v>
      </c>
      <c r="BQ87" s="58">
        <f t="shared" ref="BQ87:BR87" si="590">IF(BO38="B",IF(BP88="B",IF(BP82="K",IF(((BP87/8+BP86+BQ83)*BQ84)&gt;=23.955,((BP87/8+BP86+BQ83)*BQ84)-27.539,((BP87/8+BP86+BQ83)*BQ84)-23.955),IF(((BP87/8+BP86+BQ83)*BQ84)&gt;=28.747,((BP87/8+BP86+BQ83)*BQ84)-31.143,((BP87/8+BP86+BQ83)*BQ84)-28.747)),((BP87/12+BP86+BQ83)*BQ84)),(BP86)*BQ84)</f>
        <v>10.76081766260042</v>
      </c>
      <c r="BR87" s="58">
        <f t="shared" si="590"/>
        <v>12.075139123282968</v>
      </c>
      <c r="BS87" s="58">
        <f>IF(BQ38="B",IF(BR88="B",IF(BR82="K",IF(((BR87/8+BR86+BS83)*BS84)&gt;=23.955,((BR87/8+BR86+BS83)*BS84)-27.539,((BR87/8+BR86+BS83)*BS84)-23.955),IF(((BR87/8+BR86+BS83)*BS84)&gt;=28.747,((BR87/8+BR86+BS83)*BS84)-31.143,((BR87/8+BR86+BS83)*BS84)-28.747)),((BR87/12+BR86+BS83)*BS84)),(BR86)*BS84)</f>
        <v>13.389460459080105</v>
      </c>
      <c r="BT87" s="58">
        <f t="shared" ref="BT87:BX87" si="591">IF(BR38="B",IF(BS88="B",IF(BS82="K",IF(((BS87/8+BS86+BT83)*BT84)&gt;=23.955,((BS87/8+BS86+BT83)*BT84)-27.539,((BS87/8+BS86+BT83)*BT84)-23.955),IF(((BS87/8+BS86+BT83)*BT84)&gt;=28.747,((BS87/8+BS86+BT83)*BT84)-31.143,((BS87/8+BS86+BT83)*BT84)-28.747)),((BS87/12+BS86+BT83)*BT84)),(BS86)*BT84)</f>
        <v>15.050505761286495</v>
      </c>
      <c r="BU87" s="58">
        <f t="shared" si="591"/>
        <v>16.742178347192365</v>
      </c>
      <c r="BV87" s="58">
        <f t="shared" si="591"/>
        <v>18.436556343158362</v>
      </c>
      <c r="BW87" s="58">
        <f t="shared" si="591"/>
        <v>20.131173317012998</v>
      </c>
      <c r="BX87" s="58">
        <f t="shared" si="591"/>
        <v>18.881557757578317</v>
      </c>
      <c r="BY87" s="58"/>
    </row>
    <row r="88" spans="2:77" x14ac:dyDescent="0.25">
      <c r="B88" s="54" t="s">
        <v>108</v>
      </c>
      <c r="D88" s="337" t="s">
        <v>97</v>
      </c>
      <c r="E88" s="58" t="str">
        <f t="shared" ref="E88:AJ88" si="592">IF(D38="B",IF(E82="K",IF(E87&gt;=23.955,"B","T"),IF(E87&gt;=28.747,"B","T")),"T")</f>
        <v>T</v>
      </c>
      <c r="F88" s="58" t="str">
        <f t="shared" si="592"/>
        <v>T</v>
      </c>
      <c r="G88" s="58" t="str">
        <f t="shared" si="592"/>
        <v>T</v>
      </c>
      <c r="H88" s="58" t="str">
        <f t="shared" si="592"/>
        <v>T</v>
      </c>
      <c r="I88" s="58" t="str">
        <f t="shared" si="592"/>
        <v>T</v>
      </c>
      <c r="J88" s="58" t="str">
        <f t="shared" si="592"/>
        <v>T</v>
      </c>
      <c r="K88" s="58" t="str">
        <f t="shared" si="592"/>
        <v>T</v>
      </c>
      <c r="L88" s="58" t="str">
        <f t="shared" si="592"/>
        <v>T</v>
      </c>
      <c r="M88" s="58" t="str">
        <f t="shared" si="592"/>
        <v>T</v>
      </c>
      <c r="N88" s="58" t="str">
        <f t="shared" si="592"/>
        <v>T</v>
      </c>
      <c r="O88" s="58" t="str">
        <f t="shared" si="592"/>
        <v>T</v>
      </c>
      <c r="P88" s="58" t="str">
        <f t="shared" si="592"/>
        <v>T</v>
      </c>
      <c r="Q88" s="58" t="str">
        <f t="shared" si="592"/>
        <v>T</v>
      </c>
      <c r="R88" s="58" t="str">
        <f t="shared" si="592"/>
        <v>T</v>
      </c>
      <c r="S88" s="58" t="str">
        <f t="shared" si="592"/>
        <v>T</v>
      </c>
      <c r="T88" s="58" t="str">
        <f t="shared" si="592"/>
        <v>T</v>
      </c>
      <c r="U88" s="58" t="str">
        <f t="shared" si="592"/>
        <v>T</v>
      </c>
      <c r="V88" s="58" t="str">
        <f t="shared" si="592"/>
        <v>T</v>
      </c>
      <c r="W88" s="58" t="str">
        <f t="shared" si="592"/>
        <v>T</v>
      </c>
      <c r="X88" s="58" t="str">
        <f t="shared" si="592"/>
        <v>T</v>
      </c>
      <c r="Y88" s="58" t="str">
        <f t="shared" si="592"/>
        <v>T</v>
      </c>
      <c r="Z88" s="58" t="str">
        <f t="shared" si="592"/>
        <v>T</v>
      </c>
      <c r="AA88" s="58" t="str">
        <f t="shared" si="592"/>
        <v>T</v>
      </c>
      <c r="AB88" s="58" t="str">
        <f t="shared" si="592"/>
        <v>T</v>
      </c>
      <c r="AC88" s="57" t="str">
        <f t="shared" si="592"/>
        <v>T</v>
      </c>
      <c r="AD88" s="58" t="str">
        <f t="shared" si="592"/>
        <v>T</v>
      </c>
      <c r="AE88" s="58" t="str">
        <f t="shared" si="592"/>
        <v>T</v>
      </c>
      <c r="AF88" s="58" t="str">
        <f t="shared" si="592"/>
        <v>T</v>
      </c>
      <c r="AG88" s="58" t="str">
        <f t="shared" si="592"/>
        <v>T</v>
      </c>
      <c r="AH88" s="58" t="str">
        <f t="shared" si="592"/>
        <v>T</v>
      </c>
      <c r="AI88" s="58" t="str">
        <f t="shared" si="592"/>
        <v>T</v>
      </c>
      <c r="AJ88" s="58" t="str">
        <f t="shared" si="592"/>
        <v>T</v>
      </c>
      <c r="AK88" s="58" t="str">
        <f t="shared" ref="AK88:BP88" si="593">IF(AJ38="B",IF(AK82="K",IF(AK87&gt;=23.955,"B","T"),IF(AK87&gt;=28.747,"B","T")),"T")</f>
        <v>T</v>
      </c>
      <c r="AL88" s="58" t="str">
        <f t="shared" si="593"/>
        <v>T</v>
      </c>
      <c r="AM88" s="58" t="str">
        <f t="shared" si="593"/>
        <v>T</v>
      </c>
      <c r="AN88" s="58" t="str">
        <f t="shared" si="593"/>
        <v>B</v>
      </c>
      <c r="AO88" s="58" t="str">
        <f t="shared" si="593"/>
        <v>T</v>
      </c>
      <c r="AP88" s="58" t="str">
        <f t="shared" si="593"/>
        <v>T</v>
      </c>
      <c r="AQ88" s="58" t="str">
        <f t="shared" si="593"/>
        <v>T</v>
      </c>
      <c r="AR88" s="58" t="str">
        <f t="shared" si="593"/>
        <v>T</v>
      </c>
      <c r="AS88" s="58" t="str">
        <f t="shared" si="593"/>
        <v>T</v>
      </c>
      <c r="AT88" s="58" t="str">
        <f t="shared" si="593"/>
        <v>T</v>
      </c>
      <c r="AU88" s="58" t="str">
        <f t="shared" si="593"/>
        <v>T</v>
      </c>
      <c r="AV88" s="58" t="str">
        <f t="shared" si="593"/>
        <v>T</v>
      </c>
      <c r="AW88" s="58" t="str">
        <f t="shared" si="593"/>
        <v>T</v>
      </c>
      <c r="AX88" s="58" t="str">
        <f t="shared" si="593"/>
        <v>T</v>
      </c>
      <c r="AY88" s="58" t="str">
        <f t="shared" si="593"/>
        <v>T</v>
      </c>
      <c r="AZ88" s="58" t="str">
        <f t="shared" si="593"/>
        <v>T</v>
      </c>
      <c r="BA88" s="57" t="str">
        <f t="shared" si="593"/>
        <v>T</v>
      </c>
      <c r="BB88" s="58" t="str">
        <f t="shared" si="593"/>
        <v>T</v>
      </c>
      <c r="BC88" s="58" t="str">
        <f t="shared" si="593"/>
        <v>T</v>
      </c>
      <c r="BD88" s="58" t="str">
        <f t="shared" si="593"/>
        <v>T</v>
      </c>
      <c r="BE88" s="58" t="str">
        <f t="shared" si="593"/>
        <v>T</v>
      </c>
      <c r="BF88" s="58" t="str">
        <f t="shared" si="593"/>
        <v>T</v>
      </c>
      <c r="BG88" s="58" t="str">
        <f t="shared" si="593"/>
        <v>T</v>
      </c>
      <c r="BH88" s="58" t="str">
        <f t="shared" si="593"/>
        <v>T</v>
      </c>
      <c r="BI88" s="58" t="str">
        <f t="shared" si="593"/>
        <v>B</v>
      </c>
      <c r="BJ88" s="58" t="str">
        <f t="shared" si="593"/>
        <v>T</v>
      </c>
      <c r="BK88" s="58" t="str">
        <f t="shared" si="593"/>
        <v>T</v>
      </c>
      <c r="BL88" s="58" t="str">
        <f t="shared" si="593"/>
        <v>T</v>
      </c>
      <c r="BM88" s="58" t="str">
        <f t="shared" si="593"/>
        <v>T</v>
      </c>
      <c r="BN88" s="58" t="str">
        <f t="shared" si="593"/>
        <v>T</v>
      </c>
      <c r="BO88" s="58" t="str">
        <f t="shared" si="593"/>
        <v>T</v>
      </c>
      <c r="BP88" s="58" t="str">
        <f t="shared" si="593"/>
        <v>T</v>
      </c>
      <c r="BQ88" s="58" t="str">
        <f t="shared" ref="BQ88:BX88" si="594">IF(BP38="B",IF(BQ82="K",IF(BQ87&gt;=23.955,"B","T"),IF(BQ87&gt;=28.747,"B","T")),"T")</f>
        <v>T</v>
      </c>
      <c r="BR88" s="58" t="str">
        <f t="shared" si="594"/>
        <v>T</v>
      </c>
      <c r="BS88" s="58" t="str">
        <f t="shared" si="594"/>
        <v>T</v>
      </c>
      <c r="BT88" s="58" t="str">
        <f t="shared" si="594"/>
        <v>T</v>
      </c>
      <c r="BU88" s="58" t="str">
        <f t="shared" si="594"/>
        <v>T</v>
      </c>
      <c r="BV88" s="58" t="str">
        <f t="shared" si="594"/>
        <v>T</v>
      </c>
      <c r="BW88" s="58" t="str">
        <f t="shared" si="594"/>
        <v>T</v>
      </c>
      <c r="BX88" s="58" t="str">
        <f t="shared" si="594"/>
        <v>T</v>
      </c>
      <c r="BY88" s="58"/>
    </row>
    <row r="89" spans="2:77" s="64" customFormat="1" ht="15.75" thickBot="1" x14ac:dyDescent="0.3">
      <c r="B89" s="62" t="s">
        <v>145</v>
      </c>
      <c r="C89" s="113"/>
      <c r="D89" s="332">
        <f t="shared" ref="D89:BP89" si="595">D87/28.747*10</f>
        <v>0</v>
      </c>
      <c r="E89" s="76">
        <f t="shared" si="595"/>
        <v>7.0664208439141483</v>
      </c>
      <c r="F89" s="76">
        <f t="shared" si="595"/>
        <v>2.2847029953014828E-2</v>
      </c>
      <c r="G89" s="76">
        <f t="shared" si="595"/>
        <v>4.5694059906029663E-2</v>
      </c>
      <c r="H89" s="76">
        <f t="shared" si="595"/>
        <v>6.8541089859044488E-2</v>
      </c>
      <c r="I89" s="76">
        <f t="shared" si="595"/>
        <v>9.1388119812059326E-2</v>
      </c>
      <c r="J89" s="76">
        <f t="shared" si="595"/>
        <v>0.11423514976507415</v>
      </c>
      <c r="K89" s="76">
        <f t="shared" si="595"/>
        <v>0.13708217971808898</v>
      </c>
      <c r="L89" s="76">
        <f t="shared" si="595"/>
        <v>0.57764567720272231</v>
      </c>
      <c r="M89" s="76">
        <f t="shared" si="595"/>
        <v>0.90763328108194052</v>
      </c>
      <c r="N89" s="76">
        <f t="shared" si="595"/>
        <v>1.2278533476926803</v>
      </c>
      <c r="O89" s="76">
        <f t="shared" si="595"/>
        <v>1.5472106151780374</v>
      </c>
      <c r="P89" s="76">
        <f t="shared" si="595"/>
        <v>1.866491668740653</v>
      </c>
      <c r="Q89" s="76">
        <f t="shared" si="595"/>
        <v>2.0801686735275977</v>
      </c>
      <c r="R89" s="76">
        <f t="shared" si="595"/>
        <v>2.2845173206726921</v>
      </c>
      <c r="S89" s="76">
        <f t="shared" si="595"/>
        <v>2.4880419628927557</v>
      </c>
      <c r="T89" s="76">
        <f t="shared" si="595"/>
        <v>2.6914938180111081</v>
      </c>
      <c r="U89" s="76">
        <f t="shared" si="595"/>
        <v>2.8949392436021433</v>
      </c>
      <c r="V89" s="76">
        <f t="shared" si="595"/>
        <v>3.0983841012515994</v>
      </c>
      <c r="W89" s="76">
        <f t="shared" si="595"/>
        <v>3.3018289087328818</v>
      </c>
      <c r="X89" s="76">
        <f t="shared" si="595"/>
        <v>3.7078960580595903</v>
      </c>
      <c r="Y89" s="76">
        <f t="shared" si="595"/>
        <v>4.1318615142493131</v>
      </c>
      <c r="Z89" s="76">
        <f t="shared" si="595"/>
        <v>4.5574079875452673</v>
      </c>
      <c r="AA89" s="76">
        <f t="shared" si="595"/>
        <v>4.9830941173522714</v>
      </c>
      <c r="AB89" s="76">
        <f t="shared" si="595"/>
        <v>4.5630117281284486</v>
      </c>
      <c r="AC89" s="75">
        <f t="shared" si="595"/>
        <v>4.9361811428712654</v>
      </c>
      <c r="AD89" s="76">
        <f t="shared" si="595"/>
        <v>5.3093505576140823</v>
      </c>
      <c r="AE89" s="76">
        <f t="shared" si="595"/>
        <v>5.6825199723568973</v>
      </c>
      <c r="AF89" s="76">
        <f t="shared" si="595"/>
        <v>6.0556893870997142</v>
      </c>
      <c r="AG89" s="76">
        <f t="shared" si="595"/>
        <v>6.428858801842531</v>
      </c>
      <c r="AH89" s="76">
        <f t="shared" si="595"/>
        <v>6.8020282165853461</v>
      </c>
      <c r="AI89" s="76">
        <f t="shared" si="595"/>
        <v>7.1751976313281602</v>
      </c>
      <c r="AJ89" s="76">
        <f t="shared" si="595"/>
        <v>7.5483670460709771</v>
      </c>
      <c r="AK89" s="76">
        <f t="shared" si="595"/>
        <v>8.9686659282185861</v>
      </c>
      <c r="AL89" s="76">
        <f t="shared" si="595"/>
        <v>9.3792646388340071</v>
      </c>
      <c r="AM89" s="76">
        <f t="shared" si="595"/>
        <v>9.7744199933864788</v>
      </c>
      <c r="AN89" s="76">
        <f t="shared" si="595"/>
        <v>10.094464359064331</v>
      </c>
      <c r="AO89" s="76">
        <f t="shared" si="595"/>
        <v>1.2897718806505161</v>
      </c>
      <c r="AP89" s="76">
        <f t="shared" si="595"/>
        <v>1.3972181894980864</v>
      </c>
      <c r="AQ89" s="76">
        <f t="shared" si="595"/>
        <v>1.707689611685514</v>
      </c>
      <c r="AR89" s="76">
        <f t="shared" si="595"/>
        <v>2.0360949188846282</v>
      </c>
      <c r="AS89" s="76">
        <f t="shared" si="595"/>
        <v>2.3660843859264413</v>
      </c>
      <c r="AT89" s="76">
        <f t="shared" si="595"/>
        <v>2.868475062630063</v>
      </c>
      <c r="AU89" s="76">
        <f t="shared" si="595"/>
        <v>3.2386008613423489</v>
      </c>
      <c r="AV89" s="76">
        <f t="shared" si="595"/>
        <v>3.7445369140101943</v>
      </c>
      <c r="AW89" s="76">
        <f t="shared" si="595"/>
        <v>4.2624695391107821</v>
      </c>
      <c r="AX89" s="76">
        <f t="shared" si="595"/>
        <v>4.7814618614429278</v>
      </c>
      <c r="AY89" s="76">
        <f t="shared" si="595"/>
        <v>5.3005477903638631</v>
      </c>
      <c r="AZ89" s="76">
        <f t="shared" si="595"/>
        <v>4.945819391394811</v>
      </c>
      <c r="BA89" s="75">
        <f t="shared" si="595"/>
        <v>5.4008593982360873</v>
      </c>
      <c r="BB89" s="76">
        <f t="shared" si="595"/>
        <v>5.8558994050773636</v>
      </c>
      <c r="BC89" s="76">
        <f t="shared" si="595"/>
        <v>6.3109394119186399</v>
      </c>
      <c r="BD89" s="76">
        <f t="shared" si="595"/>
        <v>6.7659794187599163</v>
      </c>
      <c r="BE89" s="76">
        <f t="shared" si="595"/>
        <v>7.2210194256011935</v>
      </c>
      <c r="BF89" s="76">
        <f t="shared" si="595"/>
        <v>7.6760594324424716</v>
      </c>
      <c r="BG89" s="76">
        <f t="shared" si="595"/>
        <v>8.1310994392837479</v>
      </c>
      <c r="BH89" s="76">
        <f t="shared" si="595"/>
        <v>8.5861394461250242</v>
      </c>
      <c r="BI89" s="76">
        <f t="shared" si="595"/>
        <v>10.257587583885215</v>
      </c>
      <c r="BJ89" s="76">
        <f t="shared" si="595"/>
        <v>0.55249155451207554</v>
      </c>
      <c r="BK89" s="76">
        <f t="shared" si="595"/>
        <v>0.8900390435277441</v>
      </c>
      <c r="BL89" s="76">
        <f t="shared" si="595"/>
        <v>1.4475499478879255</v>
      </c>
      <c r="BM89" s="76">
        <f t="shared" si="595"/>
        <v>1.9136134349130134</v>
      </c>
      <c r="BN89" s="76">
        <f t="shared" si="595"/>
        <v>2.3715990667401678</v>
      </c>
      <c r="BO89" s="76">
        <f t="shared" si="595"/>
        <v>2.8288711546915053</v>
      </c>
      <c r="BP89" s="76">
        <f t="shared" si="595"/>
        <v>3.2860802129338125</v>
      </c>
      <c r="BQ89" s="76">
        <f t="shared" ref="BQ89:BX89" si="596">BQ87/28.747*10</f>
        <v>3.7432837035518212</v>
      </c>
      <c r="BR89" s="76">
        <f t="shared" si="596"/>
        <v>4.2004867023630181</v>
      </c>
      <c r="BS89" s="76">
        <f t="shared" si="596"/>
        <v>4.6576896577312779</v>
      </c>
      <c r="BT89" s="76">
        <f t="shared" si="596"/>
        <v>5.2355048392133074</v>
      </c>
      <c r="BU89" s="76">
        <f t="shared" si="596"/>
        <v>5.8239741006687185</v>
      </c>
      <c r="BV89" s="76">
        <f t="shared" si="596"/>
        <v>6.4133844725217806</v>
      </c>
      <c r="BW89" s="76">
        <f t="shared" si="596"/>
        <v>7.0028779757932993</v>
      </c>
      <c r="BX89" s="76">
        <f t="shared" si="596"/>
        <v>6.5681837261551879</v>
      </c>
      <c r="BY89" s="79"/>
    </row>
    <row r="91" spans="2:77" x14ac:dyDescent="0.25">
      <c r="B91" s="70" t="s">
        <v>109</v>
      </c>
      <c r="C91" s="111"/>
      <c r="E91" s="90">
        <v>4.1666666666666664E-2</v>
      </c>
      <c r="F91" s="72">
        <v>8.3333333333333301E-2</v>
      </c>
      <c r="G91" s="72">
        <v>0.125</v>
      </c>
      <c r="H91" s="72">
        <v>0.16666666666666699</v>
      </c>
      <c r="I91" s="72">
        <v>0.20833333333333301</v>
      </c>
      <c r="J91" s="72">
        <v>0.25</v>
      </c>
      <c r="K91" s="72">
        <v>0.29166666666666702</v>
      </c>
      <c r="L91" s="72">
        <v>0.33333333333333298</v>
      </c>
      <c r="M91" s="72">
        <v>0.375</v>
      </c>
      <c r="N91" s="72">
        <v>0.41666666666666702</v>
      </c>
      <c r="O91" s="72">
        <v>0.45833333333333298</v>
      </c>
      <c r="P91" s="72">
        <v>0.5</v>
      </c>
      <c r="Q91" s="72">
        <v>0.54166666666666696</v>
      </c>
      <c r="R91" s="72">
        <v>0.58333333333333304</v>
      </c>
      <c r="S91" s="72">
        <v>0.625</v>
      </c>
      <c r="T91" s="72">
        <v>0.66666666666666696</v>
      </c>
      <c r="U91" s="72">
        <v>0.70833333333333304</v>
      </c>
      <c r="V91" s="72">
        <v>0.75</v>
      </c>
      <c r="W91" s="72">
        <v>0.79166666666666696</v>
      </c>
      <c r="X91" s="72">
        <v>0.83333333333333304</v>
      </c>
      <c r="Y91" s="72">
        <v>0.875</v>
      </c>
      <c r="Z91" s="72">
        <v>0.91666666666666696</v>
      </c>
      <c r="AA91" s="72">
        <v>0.95833333333333404</v>
      </c>
      <c r="AB91" s="72">
        <v>1</v>
      </c>
      <c r="AC91" s="71">
        <v>1.0416666666666701</v>
      </c>
      <c r="AD91" s="72">
        <v>1.0833333333333299</v>
      </c>
      <c r="AE91" s="72">
        <v>0.125</v>
      </c>
      <c r="AF91" s="72">
        <v>0.16666666666666699</v>
      </c>
      <c r="AG91" s="72">
        <v>0.20833333333333301</v>
      </c>
      <c r="AH91" s="72">
        <v>0.25</v>
      </c>
      <c r="AI91" s="72">
        <v>0.29166666666666702</v>
      </c>
      <c r="AJ91" s="72">
        <v>0.33333333333333298</v>
      </c>
      <c r="AK91" s="72">
        <v>0.375</v>
      </c>
      <c r="AL91" s="72">
        <v>0.41666666666666702</v>
      </c>
      <c r="AM91" s="72">
        <v>0.45833333333333298</v>
      </c>
      <c r="AN91" s="72">
        <v>0.5</v>
      </c>
      <c r="AO91" s="72">
        <v>0.54166666666666696</v>
      </c>
      <c r="AP91" s="72">
        <v>0.58333333333333304</v>
      </c>
      <c r="AQ91" s="72">
        <v>0.625</v>
      </c>
      <c r="AR91" s="72">
        <v>0.66666666666666696</v>
      </c>
      <c r="AS91" s="72">
        <v>0.70833333333333304</v>
      </c>
      <c r="AT91" s="72">
        <v>0.75</v>
      </c>
      <c r="AU91" s="72">
        <v>0.79166666666666696</v>
      </c>
      <c r="AV91" s="72">
        <v>0.83333333333333304</v>
      </c>
      <c r="AW91" s="72">
        <v>0.875</v>
      </c>
      <c r="AX91" s="72">
        <v>0.91666666666666696</v>
      </c>
      <c r="AY91" s="72">
        <v>0.95833333333333404</v>
      </c>
      <c r="AZ91" s="72">
        <v>1</v>
      </c>
      <c r="BA91" s="71">
        <v>1.0416666666666701</v>
      </c>
      <c r="BB91" s="72">
        <v>1.0833333333333299</v>
      </c>
      <c r="BC91" s="72">
        <v>0.125</v>
      </c>
      <c r="BD91" s="72">
        <v>0.16666666666666699</v>
      </c>
      <c r="BE91" s="72">
        <v>0.20833333333333301</v>
      </c>
      <c r="BF91" s="72">
        <v>0.25</v>
      </c>
      <c r="BG91" s="72">
        <v>0.29166666666666702</v>
      </c>
      <c r="BH91" s="72">
        <v>0.33333333333333298</v>
      </c>
      <c r="BI91" s="72">
        <v>0.375</v>
      </c>
      <c r="BJ91" s="72">
        <v>0.41666666666666702</v>
      </c>
      <c r="BK91" s="72">
        <v>0.45833333333333298</v>
      </c>
      <c r="BL91" s="72">
        <v>0.5</v>
      </c>
      <c r="BM91" s="72">
        <v>0.54166666666666696</v>
      </c>
      <c r="BN91" s="72">
        <v>0.58333333333333304</v>
      </c>
      <c r="BO91" s="72">
        <v>0.625</v>
      </c>
      <c r="BP91" s="72">
        <v>0.66666666666666696</v>
      </c>
      <c r="BQ91" s="72">
        <v>0.70833333333333304</v>
      </c>
      <c r="BR91" s="72">
        <v>0.75</v>
      </c>
      <c r="BS91" s="72">
        <v>0.79166666666666696</v>
      </c>
      <c r="BT91" s="72">
        <v>0.83333333333333304</v>
      </c>
      <c r="BU91" s="72">
        <v>0.875</v>
      </c>
      <c r="BV91" s="72">
        <v>0.91666666666666696</v>
      </c>
      <c r="BW91" s="72">
        <v>0.95833333333333404</v>
      </c>
      <c r="BX91" s="72">
        <v>1</v>
      </c>
      <c r="BY91" s="71"/>
    </row>
    <row r="92" spans="2:77" x14ac:dyDescent="0.25">
      <c r="B92" s="54" t="s">
        <v>110</v>
      </c>
      <c r="D92" s="382">
        <v>2</v>
      </c>
      <c r="E92" s="363">
        <f>D99</f>
        <v>2.9333333333333331</v>
      </c>
      <c r="F92" s="74">
        <f t="shared" ref="F92:BQ92" si="597">E99</f>
        <v>3.4624999999999999</v>
      </c>
      <c r="G92" s="74">
        <f t="shared" si="597"/>
        <v>3.9916666666666667</v>
      </c>
      <c r="H92" s="74">
        <f t="shared" si="597"/>
        <v>4.520833333333333</v>
      </c>
      <c r="I92" s="74">
        <f t="shared" si="597"/>
        <v>5.0499999999999989</v>
      </c>
      <c r="J92" s="74">
        <f t="shared" si="597"/>
        <v>5.5791666666666648</v>
      </c>
      <c r="K92" s="74">
        <f t="shared" si="597"/>
        <v>6.1083333333333307</v>
      </c>
      <c r="L92" s="74">
        <f t="shared" si="597"/>
        <v>7.2520833333333306</v>
      </c>
      <c r="M92" s="74">
        <f t="shared" si="597"/>
        <v>0.39583333333333037</v>
      </c>
      <c r="N92" s="74">
        <f t="shared" si="597"/>
        <v>1.5395833333333304</v>
      </c>
      <c r="O92" s="74">
        <f t="shared" si="597"/>
        <v>2.6833333333333305</v>
      </c>
      <c r="P92" s="74">
        <f t="shared" si="597"/>
        <v>3.8270833333333307</v>
      </c>
      <c r="Q92" s="74">
        <f t="shared" si="597"/>
        <v>4.9708333333333306</v>
      </c>
      <c r="R92" s="74">
        <f t="shared" si="597"/>
        <v>6.1145833333333304</v>
      </c>
      <c r="S92" s="74">
        <f t="shared" si="597"/>
        <v>7.2583333333333302</v>
      </c>
      <c r="T92" s="74">
        <f t="shared" si="597"/>
        <v>8.40208333333333</v>
      </c>
      <c r="U92" s="74">
        <f t="shared" si="597"/>
        <v>9.5458333333333307</v>
      </c>
      <c r="V92" s="74">
        <f t="shared" si="597"/>
        <v>0</v>
      </c>
      <c r="W92" s="74">
        <f t="shared" si="597"/>
        <v>1.14375</v>
      </c>
      <c r="X92" s="74">
        <f t="shared" si="597"/>
        <v>2.2875000000000001</v>
      </c>
      <c r="Y92" s="74">
        <f t="shared" si="597"/>
        <v>3.4312500000000004</v>
      </c>
      <c r="Z92" s="74">
        <f t="shared" si="597"/>
        <v>4.5750000000000002</v>
      </c>
      <c r="AA92" s="74">
        <f t="shared" si="597"/>
        <v>5.71875</v>
      </c>
      <c r="AB92" s="74">
        <f t="shared" si="597"/>
        <v>6.2479166666666659</v>
      </c>
      <c r="AC92" s="73">
        <f t="shared" si="597"/>
        <v>6.7770833333333318</v>
      </c>
      <c r="AD92" s="74">
        <f t="shared" si="597"/>
        <v>7.3062499999999977</v>
      </c>
      <c r="AE92" s="74">
        <f t="shared" si="597"/>
        <v>7.8354166666666636</v>
      </c>
      <c r="AF92" s="74">
        <f t="shared" si="597"/>
        <v>8.3645833333333304</v>
      </c>
      <c r="AG92" s="74">
        <f t="shared" si="597"/>
        <v>8.8937499999999972</v>
      </c>
      <c r="AH92" s="74">
        <f t="shared" si="597"/>
        <v>9.4229166666666639</v>
      </c>
      <c r="AI92" s="74">
        <f t="shared" si="597"/>
        <v>9.9520833333333307</v>
      </c>
      <c r="AJ92" s="74">
        <f t="shared" si="597"/>
        <v>10.481249999999998</v>
      </c>
      <c r="AK92" s="74">
        <f t="shared" si="597"/>
        <v>0</v>
      </c>
      <c r="AL92" s="74">
        <f t="shared" si="597"/>
        <v>1.14375</v>
      </c>
      <c r="AM92" s="74">
        <f t="shared" si="597"/>
        <v>2.2875000000000001</v>
      </c>
      <c r="AN92" s="74">
        <f t="shared" si="597"/>
        <v>3.4312500000000004</v>
      </c>
      <c r="AO92" s="74">
        <f t="shared" si="597"/>
        <v>4.5750000000000002</v>
      </c>
      <c r="AP92" s="74">
        <f t="shared" si="597"/>
        <v>5.71875</v>
      </c>
      <c r="AQ92" s="74">
        <f t="shared" si="597"/>
        <v>6.8624999999999998</v>
      </c>
      <c r="AR92" s="74">
        <f t="shared" si="597"/>
        <v>8.0062499999999996</v>
      </c>
      <c r="AS92" s="74">
        <f t="shared" si="597"/>
        <v>9.15</v>
      </c>
      <c r="AT92" s="74">
        <f t="shared" si="597"/>
        <v>2.2937500000000011</v>
      </c>
      <c r="AU92" s="74">
        <f t="shared" si="597"/>
        <v>3.4375000000000009</v>
      </c>
      <c r="AV92" s="74">
        <f t="shared" si="597"/>
        <v>4.5812500000000007</v>
      </c>
      <c r="AW92" s="74">
        <f t="shared" si="597"/>
        <v>5.7250000000000005</v>
      </c>
      <c r="AX92" s="74">
        <f t="shared" si="597"/>
        <v>6.8687500000000004</v>
      </c>
      <c r="AY92" s="74">
        <f t="shared" si="597"/>
        <v>8.0124999999999993</v>
      </c>
      <c r="AZ92" s="74">
        <f t="shared" si="597"/>
        <v>8.5416666666666661</v>
      </c>
      <c r="BA92" s="73">
        <f t="shared" si="597"/>
        <v>9.0708333333333329</v>
      </c>
      <c r="BB92" s="74">
        <f t="shared" si="597"/>
        <v>9.6</v>
      </c>
      <c r="BC92" s="74">
        <f t="shared" si="597"/>
        <v>10.129166666666666</v>
      </c>
      <c r="BD92" s="74">
        <f t="shared" si="597"/>
        <v>10.658333333333333</v>
      </c>
      <c r="BE92" s="74">
        <f t="shared" si="597"/>
        <v>11.1875</v>
      </c>
      <c r="BF92" s="74">
        <f t="shared" si="597"/>
        <v>11.716666666666667</v>
      </c>
      <c r="BG92" s="74">
        <f t="shared" si="597"/>
        <v>12.245833333333334</v>
      </c>
      <c r="BH92" s="74">
        <f t="shared" si="597"/>
        <v>12.775</v>
      </c>
      <c r="BI92" s="74">
        <f t="shared" si="597"/>
        <v>0</v>
      </c>
      <c r="BJ92" s="74">
        <f t="shared" si="597"/>
        <v>1.14375</v>
      </c>
      <c r="BK92" s="74">
        <f t="shared" si="597"/>
        <v>2.2875000000000001</v>
      </c>
      <c r="BL92" s="74">
        <f t="shared" si="597"/>
        <v>3.4312500000000004</v>
      </c>
      <c r="BM92" s="74">
        <f t="shared" si="597"/>
        <v>4.5750000000000002</v>
      </c>
      <c r="BN92" s="74">
        <f t="shared" si="597"/>
        <v>5.71875</v>
      </c>
      <c r="BO92" s="74">
        <f t="shared" si="597"/>
        <v>6.8624999999999998</v>
      </c>
      <c r="BP92" s="74">
        <f t="shared" si="597"/>
        <v>8.0062499999999996</v>
      </c>
      <c r="BQ92" s="74">
        <f t="shared" si="597"/>
        <v>9.15</v>
      </c>
      <c r="BR92" s="74">
        <f t="shared" ref="BR92:BX92" si="598">BQ99</f>
        <v>2.2937500000000011</v>
      </c>
      <c r="BS92" s="74">
        <f t="shared" si="598"/>
        <v>3.4375000000000009</v>
      </c>
      <c r="BT92" s="74">
        <f t="shared" si="598"/>
        <v>4.5812500000000007</v>
      </c>
      <c r="BU92" s="74">
        <f t="shared" si="598"/>
        <v>5.7250000000000005</v>
      </c>
      <c r="BV92" s="74">
        <f t="shared" si="598"/>
        <v>6.8687500000000004</v>
      </c>
      <c r="BW92" s="74">
        <f t="shared" si="598"/>
        <v>8.0124999999999993</v>
      </c>
      <c r="BX92" s="74">
        <f t="shared" si="598"/>
        <v>8.5416666666666661</v>
      </c>
      <c r="BY92" s="74"/>
    </row>
    <row r="93" spans="2:77" s="216" customFormat="1" x14ac:dyDescent="0.25">
      <c r="B93" s="365" t="s">
        <v>111</v>
      </c>
      <c r="C93" s="366"/>
      <c r="D93" s="367">
        <f>10/24</f>
        <v>0.41666666666666669</v>
      </c>
      <c r="E93" s="368">
        <f>IF(D38="T",$D$93*0.5,$D$93*0.75)</f>
        <v>0.20833333333333334</v>
      </c>
      <c r="F93" s="368">
        <f t="shared" ref="F93:BQ93" si="599">IF(E38="T",$D$93*0.5,$D$93*0.75)</f>
        <v>0.20833333333333334</v>
      </c>
      <c r="G93" s="368">
        <f t="shared" si="599"/>
        <v>0.20833333333333334</v>
      </c>
      <c r="H93" s="368">
        <f t="shared" si="599"/>
        <v>0.20833333333333334</v>
      </c>
      <c r="I93" s="368">
        <f t="shared" si="599"/>
        <v>0.20833333333333334</v>
      </c>
      <c r="J93" s="368">
        <f t="shared" si="599"/>
        <v>0.20833333333333334</v>
      </c>
      <c r="K93" s="368">
        <f t="shared" si="599"/>
        <v>0.3125</v>
      </c>
      <c r="L93" s="368">
        <f t="shared" si="599"/>
        <v>0.3125</v>
      </c>
      <c r="M93" s="368">
        <f t="shared" si="599"/>
        <v>0.3125</v>
      </c>
      <c r="N93" s="368">
        <f t="shared" si="599"/>
        <v>0.3125</v>
      </c>
      <c r="O93" s="368">
        <f t="shared" si="599"/>
        <v>0.3125</v>
      </c>
      <c r="P93" s="368">
        <f t="shared" si="599"/>
        <v>0.3125</v>
      </c>
      <c r="Q93" s="368">
        <f t="shared" si="599"/>
        <v>0.3125</v>
      </c>
      <c r="R93" s="368">
        <f t="shared" si="599"/>
        <v>0.3125</v>
      </c>
      <c r="S93" s="368">
        <f t="shared" si="599"/>
        <v>0.3125</v>
      </c>
      <c r="T93" s="368">
        <f t="shared" si="599"/>
        <v>0.3125</v>
      </c>
      <c r="U93" s="368">
        <f t="shared" si="599"/>
        <v>0.3125</v>
      </c>
      <c r="V93" s="368">
        <f t="shared" si="599"/>
        <v>0.3125</v>
      </c>
      <c r="W93" s="368">
        <f t="shared" si="599"/>
        <v>0.3125</v>
      </c>
      <c r="X93" s="368">
        <f t="shared" si="599"/>
        <v>0.3125</v>
      </c>
      <c r="Y93" s="368">
        <f t="shared" si="599"/>
        <v>0.3125</v>
      </c>
      <c r="Z93" s="368">
        <f t="shared" si="599"/>
        <v>0.3125</v>
      </c>
      <c r="AA93" s="368">
        <f t="shared" si="599"/>
        <v>0.20833333333333334</v>
      </c>
      <c r="AB93" s="368">
        <f t="shared" si="599"/>
        <v>0.20833333333333334</v>
      </c>
      <c r="AC93" s="369">
        <f t="shared" si="599"/>
        <v>0.20833333333333334</v>
      </c>
      <c r="AD93" s="370">
        <f t="shared" si="599"/>
        <v>0.20833333333333334</v>
      </c>
      <c r="AE93" s="370">
        <f t="shared" si="599"/>
        <v>0.20833333333333334</v>
      </c>
      <c r="AF93" s="370">
        <f t="shared" si="599"/>
        <v>0.20833333333333334</v>
      </c>
      <c r="AG93" s="370">
        <f t="shared" si="599"/>
        <v>0.20833333333333334</v>
      </c>
      <c r="AH93" s="370">
        <f t="shared" si="599"/>
        <v>0.20833333333333334</v>
      </c>
      <c r="AI93" s="370">
        <f t="shared" si="599"/>
        <v>0.20833333333333334</v>
      </c>
      <c r="AJ93" s="370">
        <f t="shared" si="599"/>
        <v>0.3125</v>
      </c>
      <c r="AK93" s="370">
        <f t="shared" si="599"/>
        <v>0.3125</v>
      </c>
      <c r="AL93" s="370">
        <f t="shared" si="599"/>
        <v>0.3125</v>
      </c>
      <c r="AM93" s="370">
        <f t="shared" si="599"/>
        <v>0.3125</v>
      </c>
      <c r="AN93" s="370">
        <f t="shared" si="599"/>
        <v>0.3125</v>
      </c>
      <c r="AO93" s="370">
        <f t="shared" si="599"/>
        <v>0.3125</v>
      </c>
      <c r="AP93" s="370">
        <f t="shared" si="599"/>
        <v>0.3125</v>
      </c>
      <c r="AQ93" s="370">
        <f t="shared" si="599"/>
        <v>0.3125</v>
      </c>
      <c r="AR93" s="370">
        <f t="shared" si="599"/>
        <v>0.3125</v>
      </c>
      <c r="AS93" s="370">
        <f t="shared" si="599"/>
        <v>0.3125</v>
      </c>
      <c r="AT93" s="370">
        <f t="shared" si="599"/>
        <v>0.3125</v>
      </c>
      <c r="AU93" s="370">
        <f t="shared" si="599"/>
        <v>0.3125</v>
      </c>
      <c r="AV93" s="370">
        <f t="shared" si="599"/>
        <v>0.3125</v>
      </c>
      <c r="AW93" s="370">
        <f t="shared" si="599"/>
        <v>0.3125</v>
      </c>
      <c r="AX93" s="370">
        <f t="shared" si="599"/>
        <v>0.3125</v>
      </c>
      <c r="AY93" s="370">
        <f t="shared" si="599"/>
        <v>0.20833333333333334</v>
      </c>
      <c r="AZ93" s="370">
        <f t="shared" si="599"/>
        <v>0.20833333333333334</v>
      </c>
      <c r="BA93" s="369">
        <f t="shared" si="599"/>
        <v>0.20833333333333334</v>
      </c>
      <c r="BB93" s="370">
        <f t="shared" si="599"/>
        <v>0.20833333333333334</v>
      </c>
      <c r="BC93" s="370">
        <f t="shared" si="599"/>
        <v>0.20833333333333334</v>
      </c>
      <c r="BD93" s="370">
        <f t="shared" si="599"/>
        <v>0.20833333333333334</v>
      </c>
      <c r="BE93" s="370">
        <f t="shared" si="599"/>
        <v>0.20833333333333334</v>
      </c>
      <c r="BF93" s="370">
        <f t="shared" si="599"/>
        <v>0.20833333333333334</v>
      </c>
      <c r="BG93" s="370">
        <f t="shared" si="599"/>
        <v>0.20833333333333334</v>
      </c>
      <c r="BH93" s="370">
        <f t="shared" si="599"/>
        <v>0.3125</v>
      </c>
      <c r="BI93" s="370">
        <f t="shared" si="599"/>
        <v>0.3125</v>
      </c>
      <c r="BJ93" s="370">
        <f t="shared" si="599"/>
        <v>0.3125</v>
      </c>
      <c r="BK93" s="370">
        <f t="shared" si="599"/>
        <v>0.3125</v>
      </c>
      <c r="BL93" s="370">
        <f t="shared" si="599"/>
        <v>0.3125</v>
      </c>
      <c r="BM93" s="370">
        <f t="shared" si="599"/>
        <v>0.3125</v>
      </c>
      <c r="BN93" s="370">
        <f t="shared" si="599"/>
        <v>0.3125</v>
      </c>
      <c r="BO93" s="370">
        <f t="shared" si="599"/>
        <v>0.3125</v>
      </c>
      <c r="BP93" s="370">
        <f t="shared" si="599"/>
        <v>0.3125</v>
      </c>
      <c r="BQ93" s="370">
        <f t="shared" si="599"/>
        <v>0.3125</v>
      </c>
      <c r="BR93" s="370">
        <f t="shared" ref="BR93:BX93" si="600">IF(BQ38="T",$D$93*0.5,$D$93*0.75)</f>
        <v>0.3125</v>
      </c>
      <c r="BS93" s="370">
        <f t="shared" si="600"/>
        <v>0.3125</v>
      </c>
      <c r="BT93" s="370">
        <f t="shared" si="600"/>
        <v>0.3125</v>
      </c>
      <c r="BU93" s="370">
        <f t="shared" si="600"/>
        <v>0.3125</v>
      </c>
      <c r="BV93" s="370">
        <f t="shared" si="600"/>
        <v>0.3125</v>
      </c>
      <c r="BW93" s="370">
        <f t="shared" si="600"/>
        <v>0.20833333333333334</v>
      </c>
      <c r="BX93" s="370">
        <f t="shared" si="600"/>
        <v>0.20833333333333334</v>
      </c>
      <c r="BY93" s="369"/>
    </row>
    <row r="94" spans="2:77" x14ac:dyDescent="0.25">
      <c r="B94" s="54" t="s">
        <v>112</v>
      </c>
      <c r="E94" s="91"/>
      <c r="F94" s="81"/>
      <c r="G94" s="81"/>
      <c r="H94" s="81"/>
      <c r="I94" s="81"/>
      <c r="J94" s="81"/>
      <c r="K94" s="81" t="s">
        <v>113</v>
      </c>
      <c r="L94" s="81" t="s">
        <v>113</v>
      </c>
      <c r="M94" s="81"/>
      <c r="N94" s="81"/>
      <c r="O94" s="81"/>
      <c r="P94" s="81"/>
      <c r="Q94" s="81"/>
      <c r="R94" s="81"/>
      <c r="S94" s="81"/>
      <c r="T94" s="81"/>
      <c r="U94" s="81" t="s">
        <v>113</v>
      </c>
      <c r="V94" s="81" t="s">
        <v>113</v>
      </c>
      <c r="W94" s="81"/>
      <c r="X94" s="81"/>
      <c r="Y94" s="81"/>
      <c r="Z94" s="81"/>
      <c r="AA94" s="81"/>
      <c r="AB94" s="81"/>
      <c r="AC94" s="91"/>
      <c r="AD94" s="81"/>
      <c r="AE94" s="81"/>
      <c r="AF94" s="81"/>
      <c r="AG94" s="81"/>
      <c r="AH94" s="81"/>
      <c r="AI94" s="81" t="s">
        <v>113</v>
      </c>
      <c r="AJ94" s="81" t="s">
        <v>113</v>
      </c>
      <c r="AK94" s="81"/>
      <c r="AL94" s="81"/>
      <c r="AM94" s="81"/>
      <c r="AN94" s="81"/>
      <c r="AO94" s="81"/>
      <c r="AP94" s="81"/>
      <c r="AQ94" s="81"/>
      <c r="AR94" s="81"/>
      <c r="AS94" s="81" t="s">
        <v>113</v>
      </c>
      <c r="AT94" s="81" t="s">
        <v>113</v>
      </c>
      <c r="AU94" s="81"/>
      <c r="AV94" s="81"/>
      <c r="AW94" s="81"/>
      <c r="AX94" s="81"/>
      <c r="AY94" s="81"/>
      <c r="AZ94" s="81"/>
      <c r="BA94" s="91"/>
      <c r="BB94" s="81"/>
      <c r="BC94" s="81"/>
      <c r="BD94" s="81"/>
      <c r="BE94" s="81"/>
      <c r="BF94" s="81"/>
      <c r="BG94" s="81" t="s">
        <v>113</v>
      </c>
      <c r="BH94" s="81" t="s">
        <v>113</v>
      </c>
      <c r="BI94" s="81"/>
      <c r="BJ94" s="81"/>
      <c r="BK94" s="81"/>
      <c r="BL94" s="81"/>
      <c r="BM94" s="81"/>
      <c r="BN94" s="81"/>
      <c r="BO94" s="81"/>
      <c r="BP94" s="81"/>
      <c r="BQ94" s="81" t="s">
        <v>113</v>
      </c>
      <c r="BR94" s="81" t="s">
        <v>113</v>
      </c>
      <c r="BS94" s="81"/>
      <c r="BT94" s="81"/>
      <c r="BU94" s="81"/>
      <c r="BV94" s="81"/>
      <c r="BW94" s="81"/>
      <c r="BX94" s="81"/>
      <c r="BY94" s="80"/>
    </row>
    <row r="95" spans="2:77" s="329" customFormat="1" x14ac:dyDescent="0.25">
      <c r="B95" s="358" t="s">
        <v>88</v>
      </c>
      <c r="C95" s="359"/>
      <c r="D95" s="371">
        <v>0.1</v>
      </c>
      <c r="E95" s="372">
        <v>0.1</v>
      </c>
      <c r="F95" s="373">
        <v>0.1</v>
      </c>
      <c r="G95" s="373">
        <v>0.1</v>
      </c>
      <c r="H95" s="373">
        <v>0.1</v>
      </c>
      <c r="I95" s="373">
        <v>0.1</v>
      </c>
      <c r="J95" s="373">
        <v>0.1</v>
      </c>
      <c r="K95" s="373">
        <v>0.5</v>
      </c>
      <c r="L95" s="373">
        <v>0.5</v>
      </c>
      <c r="M95" s="373">
        <v>0.5</v>
      </c>
      <c r="N95" s="373">
        <v>0.5</v>
      </c>
      <c r="O95" s="374">
        <v>0.5</v>
      </c>
      <c r="P95" s="374">
        <v>0.5</v>
      </c>
      <c r="Q95" s="374">
        <v>0.5</v>
      </c>
      <c r="R95" s="374">
        <v>0.5</v>
      </c>
      <c r="S95" s="374">
        <v>0.5</v>
      </c>
      <c r="T95" s="374">
        <v>0.5</v>
      </c>
      <c r="U95" s="374">
        <v>0.5</v>
      </c>
      <c r="V95" s="374">
        <v>0.5</v>
      </c>
      <c r="W95" s="374">
        <v>0.5</v>
      </c>
      <c r="X95" s="374">
        <v>0.5</v>
      </c>
      <c r="Y95" s="374">
        <v>0.5</v>
      </c>
      <c r="Z95" s="374">
        <v>0.5</v>
      </c>
      <c r="AA95" s="374">
        <v>0.1</v>
      </c>
      <c r="AB95" s="374">
        <v>0.1</v>
      </c>
      <c r="AC95" s="375">
        <v>0.1</v>
      </c>
      <c r="AD95" s="374">
        <v>0.1</v>
      </c>
      <c r="AE95" s="374">
        <v>0.1</v>
      </c>
      <c r="AF95" s="374">
        <v>0.1</v>
      </c>
      <c r="AG95" s="374">
        <v>0.1</v>
      </c>
      <c r="AH95" s="374">
        <v>0.1</v>
      </c>
      <c r="AI95" s="374">
        <v>0.1</v>
      </c>
      <c r="AJ95" s="374">
        <v>0.5</v>
      </c>
      <c r="AK95" s="374">
        <v>0.5</v>
      </c>
      <c r="AL95" s="374">
        <v>0.5</v>
      </c>
      <c r="AM95" s="374">
        <v>0.5</v>
      </c>
      <c r="AN95" s="374">
        <v>0.5</v>
      </c>
      <c r="AO95" s="374">
        <v>0.5</v>
      </c>
      <c r="AP95" s="374">
        <v>0.5</v>
      </c>
      <c r="AQ95" s="374">
        <v>0.5</v>
      </c>
      <c r="AR95" s="374">
        <v>0.5</v>
      </c>
      <c r="AS95" s="374">
        <v>0.5</v>
      </c>
      <c r="AT95" s="374">
        <v>0.5</v>
      </c>
      <c r="AU95" s="374">
        <v>0.5</v>
      </c>
      <c r="AV95" s="374">
        <v>0.5</v>
      </c>
      <c r="AW95" s="374">
        <v>0.5</v>
      </c>
      <c r="AX95" s="374">
        <v>0.5</v>
      </c>
      <c r="AY95" s="374">
        <v>0.1</v>
      </c>
      <c r="AZ95" s="374">
        <v>0.1</v>
      </c>
      <c r="BA95" s="375">
        <v>0.1</v>
      </c>
      <c r="BB95" s="374">
        <v>0.1</v>
      </c>
      <c r="BC95" s="374">
        <v>0.1</v>
      </c>
      <c r="BD95" s="374">
        <v>0.1</v>
      </c>
      <c r="BE95" s="374">
        <v>0.1</v>
      </c>
      <c r="BF95" s="374">
        <v>0.1</v>
      </c>
      <c r="BG95" s="374">
        <v>0.1</v>
      </c>
      <c r="BH95" s="374">
        <v>0.5</v>
      </c>
      <c r="BI95" s="374">
        <v>0.5</v>
      </c>
      <c r="BJ95" s="374">
        <v>0.5</v>
      </c>
      <c r="BK95" s="374">
        <v>0.5</v>
      </c>
      <c r="BL95" s="374">
        <v>0.5</v>
      </c>
      <c r="BM95" s="374">
        <v>0.5</v>
      </c>
      <c r="BN95" s="374">
        <v>0.5</v>
      </c>
      <c r="BO95" s="374">
        <v>0.5</v>
      </c>
      <c r="BP95" s="374">
        <v>0.5</v>
      </c>
      <c r="BQ95" s="374">
        <v>0.5</v>
      </c>
      <c r="BR95" s="374">
        <v>0.5</v>
      </c>
      <c r="BS95" s="374">
        <v>0.5</v>
      </c>
      <c r="BT95" s="374">
        <v>0.5</v>
      </c>
      <c r="BU95" s="374">
        <v>0.5</v>
      </c>
      <c r="BV95" s="374">
        <v>0.5</v>
      </c>
      <c r="BW95" s="374">
        <v>0.1</v>
      </c>
      <c r="BX95" s="374">
        <v>0.1</v>
      </c>
      <c r="BY95" s="364"/>
    </row>
    <row r="96" spans="2:77" x14ac:dyDescent="0.25">
      <c r="B96" s="54" t="s">
        <v>89</v>
      </c>
      <c r="D96" s="333">
        <v>1</v>
      </c>
      <c r="E96" s="66">
        <v>1.06</v>
      </c>
      <c r="F96" s="58">
        <v>1.06</v>
      </c>
      <c r="G96" s="58">
        <v>1.06</v>
      </c>
      <c r="H96" s="58">
        <v>1.06</v>
      </c>
      <c r="I96" s="58">
        <v>1.06</v>
      </c>
      <c r="J96" s="58">
        <v>1.06</v>
      </c>
      <c r="K96" s="58">
        <v>1.06</v>
      </c>
      <c r="L96" s="58">
        <v>1.06</v>
      </c>
      <c r="M96" s="58">
        <v>1.06</v>
      </c>
      <c r="N96" s="58">
        <v>1.06</v>
      </c>
      <c r="O96" s="58">
        <v>1.06</v>
      </c>
      <c r="P96" s="58">
        <v>1.06</v>
      </c>
      <c r="Q96" s="58">
        <v>1.06</v>
      </c>
      <c r="R96" s="58">
        <v>1.06</v>
      </c>
      <c r="S96" s="58">
        <v>1.06</v>
      </c>
      <c r="T96" s="58">
        <v>1.06</v>
      </c>
      <c r="U96" s="58">
        <v>1.06</v>
      </c>
      <c r="V96" s="58">
        <v>1.06</v>
      </c>
      <c r="W96" s="58">
        <v>1.06</v>
      </c>
      <c r="X96" s="58">
        <v>1.06</v>
      </c>
      <c r="Y96" s="58">
        <v>1.06</v>
      </c>
      <c r="Z96" s="58">
        <v>1.06</v>
      </c>
      <c r="AA96" s="58">
        <v>1.06</v>
      </c>
      <c r="AB96" s="58">
        <v>1.06</v>
      </c>
      <c r="AC96" s="57">
        <v>1.06</v>
      </c>
      <c r="AD96" s="58">
        <v>1.06</v>
      </c>
      <c r="AE96" s="58">
        <v>1.06</v>
      </c>
      <c r="AF96" s="58">
        <v>1.06</v>
      </c>
      <c r="AG96" s="58">
        <v>1.06</v>
      </c>
      <c r="AH96" s="58">
        <v>1.06</v>
      </c>
      <c r="AI96" s="58">
        <v>1.06</v>
      </c>
      <c r="AJ96" s="58">
        <v>1.06</v>
      </c>
      <c r="AK96" s="58">
        <v>1.06</v>
      </c>
      <c r="AL96" s="58">
        <v>1.06</v>
      </c>
      <c r="AM96" s="58">
        <v>1.06</v>
      </c>
      <c r="AN96" s="58">
        <v>1.06</v>
      </c>
      <c r="AO96" s="58">
        <v>1.06</v>
      </c>
      <c r="AP96" s="58">
        <v>1.06</v>
      </c>
      <c r="AQ96" s="58">
        <v>1.06</v>
      </c>
      <c r="AR96" s="58">
        <v>1.06</v>
      </c>
      <c r="AS96" s="58">
        <v>1.06</v>
      </c>
      <c r="AT96" s="58">
        <v>1.06</v>
      </c>
      <c r="AU96" s="58">
        <v>1.06</v>
      </c>
      <c r="AV96" s="58">
        <v>1.06</v>
      </c>
      <c r="AW96" s="58">
        <v>1.06</v>
      </c>
      <c r="AX96" s="58">
        <v>1.06</v>
      </c>
      <c r="AY96" s="58">
        <v>1.06</v>
      </c>
      <c r="AZ96" s="58">
        <v>1.06</v>
      </c>
      <c r="BA96" s="57">
        <v>1.06</v>
      </c>
      <c r="BB96" s="58">
        <v>1.06</v>
      </c>
      <c r="BC96" s="58">
        <v>1.06</v>
      </c>
      <c r="BD96" s="58">
        <v>1.06</v>
      </c>
      <c r="BE96" s="58">
        <v>1.06</v>
      </c>
      <c r="BF96" s="58">
        <v>1.06</v>
      </c>
      <c r="BG96" s="58">
        <v>1.06</v>
      </c>
      <c r="BH96" s="58">
        <v>1.06</v>
      </c>
      <c r="BI96" s="58">
        <v>1.06</v>
      </c>
      <c r="BJ96" s="58">
        <v>1.06</v>
      </c>
      <c r="BK96" s="58">
        <v>1.06</v>
      </c>
      <c r="BL96" s="58">
        <v>1.06</v>
      </c>
      <c r="BM96" s="58">
        <v>1.06</v>
      </c>
      <c r="BN96" s="58">
        <v>1.06</v>
      </c>
      <c r="BO96" s="58">
        <v>1.06</v>
      </c>
      <c r="BP96" s="58">
        <v>1.06</v>
      </c>
      <c r="BQ96" s="58">
        <v>1.06</v>
      </c>
      <c r="BR96" s="58">
        <v>1.06</v>
      </c>
      <c r="BS96" s="58">
        <v>1.06</v>
      </c>
      <c r="BT96" s="58">
        <v>1.06</v>
      </c>
      <c r="BU96" s="58">
        <v>1.06</v>
      </c>
      <c r="BV96" s="58">
        <v>1.06</v>
      </c>
      <c r="BW96" s="58">
        <v>1.06</v>
      </c>
      <c r="BX96" s="58">
        <v>1.06</v>
      </c>
      <c r="BY96" s="57"/>
    </row>
    <row r="97" spans="2:77" x14ac:dyDescent="0.25">
      <c r="B97" s="54" t="s">
        <v>114</v>
      </c>
      <c r="D97" s="335">
        <f>D92+(D93*D96)+D95</f>
        <v>2.5166666666666666</v>
      </c>
      <c r="E97" s="61">
        <f>E92+(E93*E96)+E95</f>
        <v>3.2541666666666664</v>
      </c>
      <c r="F97" s="61">
        <f t="shared" ref="F97:BQ97" si="601">F92+(F93*F96)+F95</f>
        <v>3.7833333333333332</v>
      </c>
      <c r="G97" s="61">
        <f t="shared" si="601"/>
        <v>4.3125</v>
      </c>
      <c r="H97" s="61">
        <f t="shared" si="601"/>
        <v>4.8416666666666659</v>
      </c>
      <c r="I97" s="61">
        <f t="shared" si="601"/>
        <v>5.3708333333333318</v>
      </c>
      <c r="J97" s="61">
        <f t="shared" si="601"/>
        <v>5.8999999999999977</v>
      </c>
      <c r="K97" s="61">
        <f t="shared" si="601"/>
        <v>6.9395833333333306</v>
      </c>
      <c r="L97" s="61">
        <f t="shared" si="601"/>
        <v>8.0833333333333304</v>
      </c>
      <c r="M97" s="61">
        <f t="shared" si="601"/>
        <v>1.2270833333333304</v>
      </c>
      <c r="N97" s="61">
        <f t="shared" si="601"/>
        <v>2.3708333333333305</v>
      </c>
      <c r="O97" s="61">
        <f t="shared" si="601"/>
        <v>3.5145833333333307</v>
      </c>
      <c r="P97" s="61">
        <f t="shared" si="601"/>
        <v>4.6583333333333306</v>
      </c>
      <c r="Q97" s="61">
        <f t="shared" si="601"/>
        <v>5.8020833333333304</v>
      </c>
      <c r="R97" s="61">
        <f t="shared" si="601"/>
        <v>6.9458333333333302</v>
      </c>
      <c r="S97" s="61">
        <f t="shared" si="601"/>
        <v>8.08958333333333</v>
      </c>
      <c r="T97" s="61">
        <f t="shared" si="601"/>
        <v>9.2333333333333307</v>
      </c>
      <c r="U97" s="61">
        <f t="shared" si="601"/>
        <v>10.377083333333331</v>
      </c>
      <c r="V97" s="61">
        <f t="shared" si="601"/>
        <v>0.83125000000000004</v>
      </c>
      <c r="W97" s="61">
        <f t="shared" si="601"/>
        <v>1.9750000000000001</v>
      </c>
      <c r="X97" s="61">
        <f t="shared" si="601"/>
        <v>3.1187500000000004</v>
      </c>
      <c r="Y97" s="61">
        <f t="shared" si="601"/>
        <v>4.2625000000000002</v>
      </c>
      <c r="Z97" s="61">
        <f t="shared" si="601"/>
        <v>5.40625</v>
      </c>
      <c r="AA97" s="61">
        <f t="shared" si="601"/>
        <v>6.0395833333333329</v>
      </c>
      <c r="AB97" s="61">
        <f t="shared" si="601"/>
        <v>6.5687499999999988</v>
      </c>
      <c r="AC97" s="61">
        <f t="shared" si="601"/>
        <v>7.0979166666666647</v>
      </c>
      <c r="AD97" s="61">
        <f t="shared" si="601"/>
        <v>7.6270833333333306</v>
      </c>
      <c r="AE97" s="61">
        <f t="shared" si="601"/>
        <v>8.1562499999999964</v>
      </c>
      <c r="AF97" s="61">
        <f t="shared" si="601"/>
        <v>8.6854166666666632</v>
      </c>
      <c r="AG97" s="61">
        <f t="shared" si="601"/>
        <v>9.21458333333333</v>
      </c>
      <c r="AH97" s="61">
        <f t="shared" si="601"/>
        <v>9.7437499999999968</v>
      </c>
      <c r="AI97" s="61">
        <f t="shared" si="601"/>
        <v>10.272916666666664</v>
      </c>
      <c r="AJ97" s="61">
        <f t="shared" si="601"/>
        <v>11.312499999999998</v>
      </c>
      <c r="AK97" s="61">
        <f t="shared" si="601"/>
        <v>0.83125000000000004</v>
      </c>
      <c r="AL97" s="61">
        <f t="shared" si="601"/>
        <v>1.9750000000000001</v>
      </c>
      <c r="AM97" s="61">
        <f t="shared" si="601"/>
        <v>3.1187500000000004</v>
      </c>
      <c r="AN97" s="61">
        <f t="shared" si="601"/>
        <v>4.2625000000000002</v>
      </c>
      <c r="AO97" s="61">
        <f t="shared" si="601"/>
        <v>5.40625</v>
      </c>
      <c r="AP97" s="61">
        <f t="shared" si="601"/>
        <v>6.55</v>
      </c>
      <c r="AQ97" s="61">
        <f t="shared" si="601"/>
        <v>7.6937499999999996</v>
      </c>
      <c r="AR97" s="61">
        <f t="shared" si="601"/>
        <v>8.8375000000000004</v>
      </c>
      <c r="AS97" s="61">
        <f t="shared" si="601"/>
        <v>9.9812500000000011</v>
      </c>
      <c r="AT97" s="61">
        <f t="shared" si="601"/>
        <v>3.1250000000000009</v>
      </c>
      <c r="AU97" s="61">
        <f t="shared" si="601"/>
        <v>4.2687500000000007</v>
      </c>
      <c r="AV97" s="61">
        <f t="shared" si="601"/>
        <v>5.4125000000000005</v>
      </c>
      <c r="AW97" s="61">
        <f t="shared" si="601"/>
        <v>6.5562500000000004</v>
      </c>
      <c r="AX97" s="61">
        <f t="shared" si="601"/>
        <v>7.7</v>
      </c>
      <c r="AY97" s="61">
        <f t="shared" si="601"/>
        <v>8.3333333333333321</v>
      </c>
      <c r="AZ97" s="61">
        <f t="shared" si="601"/>
        <v>8.8624999999999989</v>
      </c>
      <c r="BA97" s="61">
        <f t="shared" si="601"/>
        <v>9.3916666666666657</v>
      </c>
      <c r="BB97" s="61">
        <f t="shared" si="601"/>
        <v>9.9208333333333325</v>
      </c>
      <c r="BC97" s="61">
        <f t="shared" si="601"/>
        <v>10.45</v>
      </c>
      <c r="BD97" s="61">
        <f t="shared" si="601"/>
        <v>10.979166666666666</v>
      </c>
      <c r="BE97" s="61">
        <f t="shared" si="601"/>
        <v>11.508333333333333</v>
      </c>
      <c r="BF97" s="61">
        <f t="shared" si="601"/>
        <v>12.0375</v>
      </c>
      <c r="BG97" s="61">
        <f t="shared" si="601"/>
        <v>12.566666666666666</v>
      </c>
      <c r="BH97" s="61">
        <f t="shared" si="601"/>
        <v>13.606250000000001</v>
      </c>
      <c r="BI97" s="61">
        <f t="shared" si="601"/>
        <v>0.83125000000000004</v>
      </c>
      <c r="BJ97" s="61">
        <f t="shared" si="601"/>
        <v>1.9750000000000001</v>
      </c>
      <c r="BK97" s="61">
        <f t="shared" si="601"/>
        <v>3.1187500000000004</v>
      </c>
      <c r="BL97" s="61">
        <f t="shared" si="601"/>
        <v>4.2625000000000002</v>
      </c>
      <c r="BM97" s="61">
        <f t="shared" si="601"/>
        <v>5.40625</v>
      </c>
      <c r="BN97" s="61">
        <f t="shared" si="601"/>
        <v>6.55</v>
      </c>
      <c r="BO97" s="61">
        <f t="shared" si="601"/>
        <v>7.6937499999999996</v>
      </c>
      <c r="BP97" s="61">
        <f t="shared" si="601"/>
        <v>8.8375000000000004</v>
      </c>
      <c r="BQ97" s="61">
        <f t="shared" si="601"/>
        <v>9.9812500000000011</v>
      </c>
      <c r="BR97" s="61">
        <f t="shared" ref="BR97:BX97" si="602">BR92+(BR93*BR96)+BR95</f>
        <v>3.1250000000000009</v>
      </c>
      <c r="BS97" s="61">
        <f t="shared" si="602"/>
        <v>4.2687500000000007</v>
      </c>
      <c r="BT97" s="61">
        <f t="shared" si="602"/>
        <v>5.4125000000000005</v>
      </c>
      <c r="BU97" s="61">
        <f t="shared" si="602"/>
        <v>6.5562500000000004</v>
      </c>
      <c r="BV97" s="61">
        <f t="shared" si="602"/>
        <v>7.7</v>
      </c>
      <c r="BW97" s="61">
        <f t="shared" si="602"/>
        <v>8.3333333333333321</v>
      </c>
      <c r="BX97" s="61">
        <f t="shared" si="602"/>
        <v>8.8624999999999989</v>
      </c>
      <c r="BY97" s="73"/>
    </row>
    <row r="98" spans="2:77" s="64" customFormat="1" ht="15.75" thickBot="1" x14ac:dyDescent="0.3">
      <c r="B98" s="62" t="s">
        <v>115</v>
      </c>
      <c r="C98" s="113"/>
      <c r="D98" s="340">
        <f t="shared" ref="D98" si="603">IF(D97&gt;=10,-10,IF(D94="M",IF(D97&gt;=8,-8,0),0))</f>
        <v>0</v>
      </c>
      <c r="E98" s="64">
        <f t="shared" ref="E98:AJ98" si="604">IF(D38="B",IF(E97&gt;=10,-10,IF(E94="M",IF(E97&gt;=8,-8,0),0)),0)</f>
        <v>0</v>
      </c>
      <c r="F98" s="64">
        <f t="shared" si="604"/>
        <v>0</v>
      </c>
      <c r="G98" s="64">
        <f t="shared" si="604"/>
        <v>0</v>
      </c>
      <c r="H98" s="64">
        <f t="shared" si="604"/>
        <v>0</v>
      </c>
      <c r="I98" s="64">
        <f t="shared" si="604"/>
        <v>0</v>
      </c>
      <c r="J98" s="64">
        <f t="shared" si="604"/>
        <v>0</v>
      </c>
      <c r="K98" s="64">
        <f t="shared" si="604"/>
        <v>0</v>
      </c>
      <c r="L98" s="64">
        <f t="shared" si="604"/>
        <v>-8</v>
      </c>
      <c r="M98" s="64">
        <f t="shared" si="604"/>
        <v>0</v>
      </c>
      <c r="N98" s="64">
        <f t="shared" si="604"/>
        <v>0</v>
      </c>
      <c r="O98" s="64">
        <f t="shared" si="604"/>
        <v>0</v>
      </c>
      <c r="P98" s="64">
        <f t="shared" si="604"/>
        <v>0</v>
      </c>
      <c r="Q98" s="64">
        <f t="shared" si="604"/>
        <v>0</v>
      </c>
      <c r="R98" s="64">
        <f t="shared" si="604"/>
        <v>0</v>
      </c>
      <c r="S98" s="64">
        <f t="shared" si="604"/>
        <v>0</v>
      </c>
      <c r="T98" s="64">
        <f t="shared" si="604"/>
        <v>0</v>
      </c>
      <c r="U98" s="64">
        <f t="shared" si="604"/>
        <v>-10</v>
      </c>
      <c r="V98" s="64">
        <f t="shared" si="604"/>
        <v>0</v>
      </c>
      <c r="W98" s="64">
        <f t="shared" si="604"/>
        <v>0</v>
      </c>
      <c r="X98" s="64">
        <f t="shared" si="604"/>
        <v>0</v>
      </c>
      <c r="Y98" s="64">
        <f t="shared" si="604"/>
        <v>0</v>
      </c>
      <c r="Z98" s="64">
        <f t="shared" si="604"/>
        <v>0</v>
      </c>
      <c r="AA98" s="64">
        <f t="shared" si="604"/>
        <v>0</v>
      </c>
      <c r="AB98" s="64">
        <f t="shared" si="604"/>
        <v>0</v>
      </c>
      <c r="AC98" s="79">
        <f t="shared" si="604"/>
        <v>0</v>
      </c>
      <c r="AD98" s="64">
        <f t="shared" si="604"/>
        <v>0</v>
      </c>
      <c r="AE98" s="64">
        <f t="shared" si="604"/>
        <v>0</v>
      </c>
      <c r="AF98" s="64">
        <f t="shared" si="604"/>
        <v>0</v>
      </c>
      <c r="AG98" s="64">
        <f t="shared" si="604"/>
        <v>0</v>
      </c>
      <c r="AH98" s="64">
        <f t="shared" si="604"/>
        <v>0</v>
      </c>
      <c r="AI98" s="64">
        <f t="shared" si="604"/>
        <v>0</v>
      </c>
      <c r="AJ98" s="64">
        <f t="shared" si="604"/>
        <v>-10</v>
      </c>
      <c r="AK98" s="64">
        <f t="shared" ref="AK98:BP98" si="605">IF(AJ38="B",IF(AK97&gt;=10,-10,IF(AK94="M",IF(AK97&gt;=8,-8,0),0)),0)</f>
        <v>0</v>
      </c>
      <c r="AL98" s="64">
        <f t="shared" si="605"/>
        <v>0</v>
      </c>
      <c r="AM98" s="64">
        <f t="shared" si="605"/>
        <v>0</v>
      </c>
      <c r="AN98" s="64">
        <f t="shared" si="605"/>
        <v>0</v>
      </c>
      <c r="AO98" s="64">
        <f t="shared" si="605"/>
        <v>0</v>
      </c>
      <c r="AP98" s="64">
        <f t="shared" si="605"/>
        <v>0</v>
      </c>
      <c r="AQ98" s="64">
        <f t="shared" si="605"/>
        <v>0</v>
      </c>
      <c r="AR98" s="64">
        <f t="shared" si="605"/>
        <v>0</v>
      </c>
      <c r="AS98" s="64">
        <f t="shared" si="605"/>
        <v>-8</v>
      </c>
      <c r="AT98" s="64">
        <f t="shared" si="605"/>
        <v>0</v>
      </c>
      <c r="AU98" s="64">
        <f t="shared" si="605"/>
        <v>0</v>
      </c>
      <c r="AV98" s="64">
        <f t="shared" si="605"/>
        <v>0</v>
      </c>
      <c r="AW98" s="64">
        <f t="shared" si="605"/>
        <v>0</v>
      </c>
      <c r="AX98" s="64">
        <f t="shared" si="605"/>
        <v>0</v>
      </c>
      <c r="AY98" s="64">
        <f t="shared" si="605"/>
        <v>0</v>
      </c>
      <c r="AZ98" s="64">
        <f t="shared" si="605"/>
        <v>0</v>
      </c>
      <c r="BA98" s="79">
        <f t="shared" si="605"/>
        <v>0</v>
      </c>
      <c r="BB98" s="64">
        <f t="shared" si="605"/>
        <v>0</v>
      </c>
      <c r="BC98" s="64">
        <f t="shared" si="605"/>
        <v>0</v>
      </c>
      <c r="BD98" s="64">
        <f t="shared" si="605"/>
        <v>0</v>
      </c>
      <c r="BE98" s="64">
        <f t="shared" si="605"/>
        <v>0</v>
      </c>
      <c r="BF98" s="64">
        <f t="shared" si="605"/>
        <v>0</v>
      </c>
      <c r="BG98" s="64">
        <f t="shared" si="605"/>
        <v>0</v>
      </c>
      <c r="BH98" s="64">
        <f t="shared" si="605"/>
        <v>-10</v>
      </c>
      <c r="BI98" s="64">
        <f t="shared" si="605"/>
        <v>0</v>
      </c>
      <c r="BJ98" s="64">
        <f t="shared" si="605"/>
        <v>0</v>
      </c>
      <c r="BK98" s="64">
        <f t="shared" si="605"/>
        <v>0</v>
      </c>
      <c r="BL98" s="64">
        <f t="shared" si="605"/>
        <v>0</v>
      </c>
      <c r="BM98" s="64">
        <f t="shared" si="605"/>
        <v>0</v>
      </c>
      <c r="BN98" s="64">
        <f t="shared" si="605"/>
        <v>0</v>
      </c>
      <c r="BO98" s="64">
        <f t="shared" si="605"/>
        <v>0</v>
      </c>
      <c r="BP98" s="64">
        <f t="shared" si="605"/>
        <v>0</v>
      </c>
      <c r="BQ98" s="64">
        <f t="shared" ref="BQ98:BX98" si="606">IF(BP38="B",IF(BQ97&gt;=10,-10,IF(BQ94="M",IF(BQ97&gt;=8,-8,0),0)),0)</f>
        <v>-8</v>
      </c>
      <c r="BR98" s="64">
        <f t="shared" si="606"/>
        <v>0</v>
      </c>
      <c r="BS98" s="64">
        <f t="shared" si="606"/>
        <v>0</v>
      </c>
      <c r="BT98" s="64">
        <f t="shared" si="606"/>
        <v>0</v>
      </c>
      <c r="BU98" s="64">
        <f t="shared" si="606"/>
        <v>0</v>
      </c>
      <c r="BV98" s="64">
        <f t="shared" si="606"/>
        <v>0</v>
      </c>
      <c r="BW98" s="64">
        <f t="shared" si="606"/>
        <v>0</v>
      </c>
      <c r="BX98" s="64">
        <f t="shared" si="606"/>
        <v>0</v>
      </c>
    </row>
    <row r="99" spans="2:77" x14ac:dyDescent="0.25">
      <c r="B99" s="54" t="s">
        <v>132</v>
      </c>
      <c r="D99" s="352">
        <f>IF(C38="B",IF(D97&gt;=10,0,D97+D93+D98),D97+D93)</f>
        <v>2.9333333333333331</v>
      </c>
      <c r="E99" s="74">
        <f t="shared" ref="E99:M99" si="607">IF(D38="B",IF(E97&gt;=10,0,E97+E93+E98),E97+E93)</f>
        <v>3.4624999999999999</v>
      </c>
      <c r="F99" s="74">
        <f t="shared" si="607"/>
        <v>3.9916666666666667</v>
      </c>
      <c r="G99" s="74">
        <f t="shared" si="607"/>
        <v>4.520833333333333</v>
      </c>
      <c r="H99" s="74">
        <f t="shared" si="607"/>
        <v>5.0499999999999989</v>
      </c>
      <c r="I99" s="74">
        <f t="shared" si="607"/>
        <v>5.5791666666666648</v>
      </c>
      <c r="J99" s="74">
        <f t="shared" si="607"/>
        <v>6.1083333333333307</v>
      </c>
      <c r="K99" s="74">
        <f t="shared" si="607"/>
        <v>7.2520833333333306</v>
      </c>
      <c r="L99" s="74">
        <f t="shared" si="607"/>
        <v>0.39583333333333037</v>
      </c>
      <c r="M99" s="74">
        <f t="shared" si="607"/>
        <v>1.5395833333333304</v>
      </c>
      <c r="N99" s="74">
        <f>IF(M38="B",IF(N97&gt;=10,0,N97+N93+N98),N97+N93)</f>
        <v>2.6833333333333305</v>
      </c>
      <c r="O99" s="74">
        <f t="shared" ref="O99:BX99" si="608">IF(N38="B",IF(O97&gt;=10,0,O97+O93+O98),O97+O93)</f>
        <v>3.8270833333333307</v>
      </c>
      <c r="P99" s="74">
        <f t="shared" si="608"/>
        <v>4.9708333333333306</v>
      </c>
      <c r="Q99" s="74">
        <f t="shared" si="608"/>
        <v>6.1145833333333304</v>
      </c>
      <c r="R99" s="74">
        <f t="shared" si="608"/>
        <v>7.2583333333333302</v>
      </c>
      <c r="S99" s="74">
        <f t="shared" si="608"/>
        <v>8.40208333333333</v>
      </c>
      <c r="T99" s="74">
        <f t="shared" si="608"/>
        <v>9.5458333333333307</v>
      </c>
      <c r="U99" s="74">
        <f t="shared" si="608"/>
        <v>0</v>
      </c>
      <c r="V99" s="74">
        <f t="shared" si="608"/>
        <v>1.14375</v>
      </c>
      <c r="W99" s="74">
        <f t="shared" si="608"/>
        <v>2.2875000000000001</v>
      </c>
      <c r="X99" s="74">
        <f t="shared" si="608"/>
        <v>3.4312500000000004</v>
      </c>
      <c r="Y99" s="74">
        <f t="shared" si="608"/>
        <v>4.5750000000000002</v>
      </c>
      <c r="Z99" s="74">
        <f t="shared" si="608"/>
        <v>5.71875</v>
      </c>
      <c r="AA99" s="74">
        <f t="shared" si="608"/>
        <v>6.2479166666666659</v>
      </c>
      <c r="AB99" s="74">
        <f t="shared" si="608"/>
        <v>6.7770833333333318</v>
      </c>
      <c r="AC99" s="73">
        <f t="shared" si="608"/>
        <v>7.3062499999999977</v>
      </c>
      <c r="AD99" s="74">
        <f t="shared" si="608"/>
        <v>7.8354166666666636</v>
      </c>
      <c r="AE99" s="74">
        <f t="shared" si="608"/>
        <v>8.3645833333333304</v>
      </c>
      <c r="AF99" s="74">
        <f t="shared" si="608"/>
        <v>8.8937499999999972</v>
      </c>
      <c r="AG99" s="74">
        <f t="shared" si="608"/>
        <v>9.4229166666666639</v>
      </c>
      <c r="AH99" s="74">
        <f t="shared" si="608"/>
        <v>9.9520833333333307</v>
      </c>
      <c r="AI99" s="74">
        <f t="shared" si="608"/>
        <v>10.481249999999998</v>
      </c>
      <c r="AJ99" s="74">
        <f t="shared" si="608"/>
        <v>0</v>
      </c>
      <c r="AK99" s="74">
        <f t="shared" si="608"/>
        <v>1.14375</v>
      </c>
      <c r="AL99" s="74">
        <f t="shared" si="608"/>
        <v>2.2875000000000001</v>
      </c>
      <c r="AM99" s="74">
        <f t="shared" si="608"/>
        <v>3.4312500000000004</v>
      </c>
      <c r="AN99" s="74">
        <f t="shared" si="608"/>
        <v>4.5750000000000002</v>
      </c>
      <c r="AO99" s="74">
        <f t="shared" si="608"/>
        <v>5.71875</v>
      </c>
      <c r="AP99" s="74">
        <f t="shared" si="608"/>
        <v>6.8624999999999998</v>
      </c>
      <c r="AQ99" s="74">
        <f t="shared" si="608"/>
        <v>8.0062499999999996</v>
      </c>
      <c r="AR99" s="74">
        <f t="shared" si="608"/>
        <v>9.15</v>
      </c>
      <c r="AS99" s="74">
        <f t="shared" si="608"/>
        <v>2.2937500000000011</v>
      </c>
      <c r="AT99" s="74">
        <f t="shared" si="608"/>
        <v>3.4375000000000009</v>
      </c>
      <c r="AU99" s="74">
        <f t="shared" si="608"/>
        <v>4.5812500000000007</v>
      </c>
      <c r="AV99" s="74">
        <f t="shared" si="608"/>
        <v>5.7250000000000005</v>
      </c>
      <c r="AW99" s="74">
        <f t="shared" si="608"/>
        <v>6.8687500000000004</v>
      </c>
      <c r="AX99" s="74">
        <f t="shared" si="608"/>
        <v>8.0124999999999993</v>
      </c>
      <c r="AY99" s="74">
        <f t="shared" si="608"/>
        <v>8.5416666666666661</v>
      </c>
      <c r="AZ99" s="74">
        <f t="shared" si="608"/>
        <v>9.0708333333333329</v>
      </c>
      <c r="BA99" s="73">
        <f t="shared" si="608"/>
        <v>9.6</v>
      </c>
      <c r="BB99" s="74">
        <f t="shared" si="608"/>
        <v>10.129166666666666</v>
      </c>
      <c r="BC99" s="74">
        <f t="shared" si="608"/>
        <v>10.658333333333333</v>
      </c>
      <c r="BD99" s="74">
        <f t="shared" si="608"/>
        <v>11.1875</v>
      </c>
      <c r="BE99" s="74">
        <f t="shared" si="608"/>
        <v>11.716666666666667</v>
      </c>
      <c r="BF99" s="74">
        <f t="shared" si="608"/>
        <v>12.245833333333334</v>
      </c>
      <c r="BG99" s="74">
        <f t="shared" si="608"/>
        <v>12.775</v>
      </c>
      <c r="BH99" s="74">
        <f t="shared" si="608"/>
        <v>0</v>
      </c>
      <c r="BI99" s="74">
        <f t="shared" si="608"/>
        <v>1.14375</v>
      </c>
      <c r="BJ99" s="74">
        <f t="shared" si="608"/>
        <v>2.2875000000000001</v>
      </c>
      <c r="BK99" s="74">
        <f t="shared" si="608"/>
        <v>3.4312500000000004</v>
      </c>
      <c r="BL99" s="74">
        <f t="shared" si="608"/>
        <v>4.5750000000000002</v>
      </c>
      <c r="BM99" s="74">
        <f t="shared" si="608"/>
        <v>5.71875</v>
      </c>
      <c r="BN99" s="74">
        <f t="shared" si="608"/>
        <v>6.8624999999999998</v>
      </c>
      <c r="BO99" s="74">
        <f t="shared" si="608"/>
        <v>8.0062499999999996</v>
      </c>
      <c r="BP99" s="74">
        <f t="shared" si="608"/>
        <v>9.15</v>
      </c>
      <c r="BQ99" s="74">
        <f t="shared" si="608"/>
        <v>2.2937500000000011</v>
      </c>
      <c r="BR99" s="74">
        <f t="shared" si="608"/>
        <v>3.4375000000000009</v>
      </c>
      <c r="BS99" s="74">
        <f t="shared" si="608"/>
        <v>4.5812500000000007</v>
      </c>
      <c r="BT99" s="74">
        <f t="shared" si="608"/>
        <v>5.7250000000000005</v>
      </c>
      <c r="BU99" s="74">
        <f t="shared" si="608"/>
        <v>6.8687500000000004</v>
      </c>
      <c r="BV99" s="74">
        <f t="shared" si="608"/>
        <v>8.0124999999999993</v>
      </c>
      <c r="BW99" s="74">
        <f t="shared" si="608"/>
        <v>8.5416666666666661</v>
      </c>
      <c r="BX99" s="74">
        <f t="shared" si="608"/>
        <v>9.0708333333333329</v>
      </c>
      <c r="BY99" s="73"/>
    </row>
    <row r="100" spans="2:77" x14ac:dyDescent="0.25">
      <c r="E100" s="56"/>
    </row>
  </sheetData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Fisik</vt:lpstr>
      <vt:lpstr>Data Biologis</vt:lpstr>
      <vt:lpstr>Tingkat IC</vt:lpstr>
      <vt:lpstr>Daftar Efek</vt:lpstr>
      <vt:lpstr>KODE &amp; DATA IC</vt:lpstr>
      <vt:lpstr>Kal.B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2021-03-31T06:50:47Z</dcterms:created>
  <dcterms:modified xsi:type="dcterms:W3CDTF">2021-06-07T09:47:46Z</dcterms:modified>
</cp:coreProperties>
</file>