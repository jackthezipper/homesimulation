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Simulasi Proses Pilih\ANDRI\Kalkulasi\Kalkulasi Emosi\"/>
    </mc:Choice>
  </mc:AlternateContent>
  <xr:revisionPtr revIDLastSave="0" documentId="13_ncr:1_{E628099D-EA23-4AC1-8DC1-0D6CAE1D9BAB}" xr6:coauthVersionLast="47" xr6:coauthVersionMax="47" xr10:uidLastSave="{00000000-0000-0000-0000-000000000000}"/>
  <bookViews>
    <workbookView xWindow="-120" yWindow="360" windowWidth="20730" windowHeight="11280" activeTab="1" xr2:uid="{00000000-000D-0000-FFFF-FFFF00000000}"/>
  </bookViews>
  <sheets>
    <sheet name="Data Emosi" sheetId="4" r:id="rId1"/>
    <sheet name="Kal.E (2)" sheetId="8" r:id="rId2"/>
    <sheet name="Kal.E(side act)" sheetId="10" r:id="rId3"/>
  </sheets>
  <calcPr calcId="181029"/>
</workbook>
</file>

<file path=xl/calcChain.xml><?xml version="1.0" encoding="utf-8"?>
<calcChain xmlns="http://schemas.openxmlformats.org/spreadsheetml/2006/main">
  <c r="U6" i="8" l="1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P8" i="10" l="1"/>
  <c r="Q8" i="10" s="1"/>
  <c r="S8" i="10" s="1"/>
  <c r="T8" i="10" s="1"/>
  <c r="U8" i="10" l="1"/>
  <c r="P9" i="10"/>
  <c r="Q9" i="10" s="1"/>
  <c r="S9" i="10" s="1"/>
  <c r="T9" i="10" s="1"/>
  <c r="U9" i="10" l="1"/>
  <c r="P10" i="10"/>
  <c r="Q10" i="10" s="1"/>
  <c r="S10" i="10" s="1"/>
  <c r="T10" i="10" s="1"/>
  <c r="U10" i="10" l="1"/>
  <c r="P11" i="10"/>
  <c r="Q11" i="10" s="1"/>
  <c r="S11" i="10" s="1"/>
  <c r="T11" i="10" s="1"/>
  <c r="P12" i="10" l="1"/>
  <c r="Q12" i="10" s="1"/>
  <c r="S12" i="10" s="1"/>
  <c r="T12" i="10" s="1"/>
  <c r="U11" i="10"/>
  <c r="P13" i="10" l="1"/>
  <c r="Q13" i="10" s="1"/>
  <c r="S13" i="10" s="1"/>
  <c r="T13" i="10" s="1"/>
  <c r="U12" i="10"/>
  <c r="U13" i="10" l="1"/>
  <c r="P14" i="10"/>
  <c r="Q14" i="10" s="1"/>
  <c r="S14" i="10" s="1"/>
  <c r="T14" i="10" s="1"/>
  <c r="U14" i="10" l="1"/>
  <c r="P15" i="10"/>
  <c r="Q15" i="10" s="1"/>
  <c r="S15" i="10" s="1"/>
  <c r="T15" i="10" s="1"/>
  <c r="P16" i="10" l="1"/>
  <c r="Q16" i="10" s="1"/>
  <c r="S16" i="10" s="1"/>
  <c r="T16" i="10" s="1"/>
  <c r="U15" i="10"/>
  <c r="P17" i="10" l="1"/>
  <c r="Q17" i="10" s="1"/>
  <c r="S17" i="10" s="1"/>
  <c r="T17" i="10" s="1"/>
  <c r="U16" i="10"/>
  <c r="U17" i="10" l="1"/>
  <c r="P18" i="10"/>
  <c r="Q18" i="10" s="1"/>
  <c r="S18" i="10" s="1"/>
  <c r="T18" i="10" s="1"/>
  <c r="U18" i="10" l="1"/>
  <c r="P19" i="10"/>
  <c r="Q19" i="10" s="1"/>
  <c r="S19" i="10" s="1"/>
  <c r="T19" i="10" s="1"/>
  <c r="P20" i="10" l="1"/>
  <c r="Q20" i="10" s="1"/>
  <c r="S20" i="10" s="1"/>
  <c r="T20" i="10" s="1"/>
  <c r="U19" i="10"/>
  <c r="P21" i="10" l="1"/>
  <c r="Q21" i="10" s="1"/>
  <c r="S21" i="10" s="1"/>
  <c r="T21" i="10" s="1"/>
  <c r="U20" i="10"/>
  <c r="U21" i="10" l="1"/>
  <c r="P22" i="10"/>
  <c r="Q22" i="10" s="1"/>
  <c r="S22" i="10" s="1"/>
  <c r="T22" i="10" s="1"/>
  <c r="U22" i="10" l="1"/>
  <c r="P23" i="10"/>
  <c r="Q23" i="10" s="1"/>
  <c r="S23" i="10" s="1"/>
  <c r="T23" i="10" s="1"/>
  <c r="U23" i="10" l="1"/>
  <c r="P24" i="10"/>
  <c r="Q24" i="10" s="1"/>
  <c r="S24" i="10" s="1"/>
  <c r="T24" i="10" s="1"/>
  <c r="P25" i="10" l="1"/>
  <c r="Q25" i="10" s="1"/>
  <c r="S25" i="10" s="1"/>
  <c r="T25" i="10" s="1"/>
  <c r="U24" i="10"/>
  <c r="U25" i="10" l="1"/>
  <c r="P26" i="10"/>
  <c r="Q26" i="10" s="1"/>
  <c r="S26" i="10" s="1"/>
  <c r="T26" i="10" s="1"/>
  <c r="P27" i="10" l="1"/>
  <c r="Q27" i="10" s="1"/>
  <c r="S27" i="10" s="1"/>
  <c r="T27" i="10" s="1"/>
  <c r="U26" i="10"/>
  <c r="P28" i="10" l="1"/>
  <c r="Q28" i="10" s="1"/>
  <c r="S28" i="10" s="1"/>
  <c r="T28" i="10" s="1"/>
  <c r="U27" i="10"/>
  <c r="P29" i="10" l="1"/>
  <c r="Q29" i="10" s="1"/>
  <c r="S29" i="10" s="1"/>
  <c r="T29" i="10" s="1"/>
  <c r="U28" i="10"/>
  <c r="U29" i="10" l="1"/>
  <c r="P30" i="10"/>
  <c r="Q30" i="10" s="1"/>
  <c r="S30" i="10" s="1"/>
  <c r="T30" i="10" s="1"/>
  <c r="P31" i="10" l="1"/>
  <c r="Q31" i="10" s="1"/>
  <c r="S31" i="10" s="1"/>
  <c r="T31" i="10" s="1"/>
  <c r="U30" i="10"/>
  <c r="U31" i="10" l="1"/>
  <c r="P32" i="10"/>
  <c r="Q32" i="10" s="1"/>
  <c r="S32" i="10" s="1"/>
  <c r="T32" i="10" s="1"/>
  <c r="P33" i="10" l="1"/>
  <c r="Q33" i="10" s="1"/>
  <c r="S33" i="10" s="1"/>
  <c r="T33" i="10" s="1"/>
  <c r="U32" i="10"/>
  <c r="U33" i="10" l="1"/>
  <c r="P34" i="10"/>
  <c r="Q34" i="10" s="1"/>
  <c r="S34" i="10" s="1"/>
  <c r="T34" i="10" s="1"/>
  <c r="U34" i="10" l="1"/>
  <c r="P35" i="10"/>
  <c r="Q35" i="10" s="1"/>
  <c r="S35" i="10" s="1"/>
  <c r="T35" i="10" s="1"/>
  <c r="U35" i="10" l="1"/>
  <c r="P36" i="10"/>
  <c r="Q36" i="10" s="1"/>
  <c r="S36" i="10" s="1"/>
  <c r="T36" i="10" s="1"/>
  <c r="U36" i="10" s="1"/>
  <c r="P38" i="10" l="1"/>
  <c r="Q38" i="10" s="1"/>
  <c r="S38" i="10" s="1"/>
  <c r="T38" i="10" s="1"/>
  <c r="U38" i="10" s="1"/>
  <c r="P39" i="10" l="1"/>
  <c r="Q39" i="10" s="1"/>
  <c r="S39" i="10" s="1"/>
  <c r="T39" i="10" s="1"/>
  <c r="P40" i="10" l="1"/>
  <c r="Q40" i="10" s="1"/>
  <c r="S40" i="10" s="1"/>
  <c r="T40" i="10" s="1"/>
  <c r="U39" i="10"/>
  <c r="U40" i="10" l="1"/>
  <c r="P41" i="10"/>
  <c r="Q41" i="10" s="1"/>
  <c r="S41" i="10" s="1"/>
  <c r="T41" i="10" s="1"/>
  <c r="U41" i="10" l="1"/>
  <c r="P42" i="10"/>
  <c r="Q42" i="10" s="1"/>
  <c r="S42" i="10" s="1"/>
  <c r="T42" i="10" s="1"/>
  <c r="U42" i="10" l="1"/>
  <c r="P43" i="10"/>
  <c r="Q43" i="10" s="1"/>
  <c r="S43" i="10" s="1"/>
  <c r="T43" i="10" s="1"/>
  <c r="U43" i="10" l="1"/>
  <c r="P44" i="10"/>
  <c r="Q44" i="10" s="1"/>
  <c r="S44" i="10" s="1"/>
  <c r="T44" i="10" s="1"/>
  <c r="P45" i="10" l="1"/>
  <c r="Q45" i="10" s="1"/>
  <c r="S45" i="10" s="1"/>
  <c r="T45" i="10" s="1"/>
  <c r="U44" i="10"/>
  <c r="P46" i="10" l="1"/>
  <c r="Q46" i="10" s="1"/>
  <c r="S46" i="10" s="1"/>
  <c r="T46" i="10" s="1"/>
  <c r="U45" i="10"/>
  <c r="U46" i="10" l="1"/>
  <c r="P47" i="10"/>
  <c r="Q47" i="10" s="1"/>
  <c r="S47" i="10" s="1"/>
  <c r="T47" i="10" s="1"/>
  <c r="U47" i="10" l="1"/>
  <c r="P48" i="10"/>
  <c r="Q48" i="10" s="1"/>
  <c r="S48" i="10" s="1"/>
  <c r="T48" i="10" s="1"/>
  <c r="U48" i="10" l="1"/>
  <c r="P49" i="10"/>
  <c r="Q49" i="10" s="1"/>
  <c r="S49" i="10" s="1"/>
  <c r="T49" i="10" s="1"/>
  <c r="P50" i="10" l="1"/>
  <c r="Q50" i="10" s="1"/>
  <c r="S50" i="10" s="1"/>
  <c r="T50" i="10" s="1"/>
  <c r="U49" i="10"/>
  <c r="U50" i="10" l="1"/>
  <c r="P51" i="10"/>
  <c r="Q51" i="10" s="1"/>
  <c r="S51" i="10" s="1"/>
  <c r="T51" i="10" s="1"/>
  <c r="U51" i="10" l="1"/>
  <c r="P52" i="10"/>
  <c r="Q52" i="10" s="1"/>
  <c r="S52" i="10" s="1"/>
  <c r="T52" i="10" s="1"/>
  <c r="U52" i="10" l="1"/>
  <c r="P53" i="10"/>
  <c r="Q53" i="10" s="1"/>
  <c r="S53" i="10" s="1"/>
  <c r="T53" i="10" s="1"/>
  <c r="P54" i="10" l="1"/>
  <c r="Q54" i="10" s="1"/>
  <c r="S54" i="10" s="1"/>
  <c r="T54" i="10" s="1"/>
  <c r="U53" i="10"/>
  <c r="U54" i="10" l="1"/>
  <c r="P55" i="10"/>
  <c r="Q55" i="10" s="1"/>
  <c r="S55" i="10" s="1"/>
  <c r="T55" i="10" s="1"/>
  <c r="U55" i="10" l="1"/>
  <c r="P56" i="10"/>
  <c r="Q56" i="10" s="1"/>
  <c r="S56" i="10" s="1"/>
  <c r="T56" i="10" s="1"/>
  <c r="U56" i="10" l="1"/>
  <c r="P57" i="10"/>
  <c r="Q57" i="10" s="1"/>
  <c r="S57" i="10" s="1"/>
  <c r="T57" i="10" s="1"/>
  <c r="P58" i="10" l="1"/>
  <c r="Q58" i="10" s="1"/>
  <c r="S58" i="10" s="1"/>
  <c r="T58" i="10" s="1"/>
  <c r="U57" i="10"/>
  <c r="U58" i="10" l="1"/>
  <c r="P59" i="10"/>
  <c r="Q59" i="10" s="1"/>
  <c r="S59" i="10" s="1"/>
  <c r="T59" i="10" s="1"/>
  <c r="U59" i="10" l="1"/>
  <c r="P60" i="10"/>
  <c r="Q60" i="10" s="1"/>
  <c r="S60" i="10" s="1"/>
  <c r="T60" i="10" s="1"/>
  <c r="U60" i="10" l="1"/>
  <c r="P61" i="10"/>
  <c r="Q61" i="10" s="1"/>
  <c r="S61" i="10" s="1"/>
  <c r="T61" i="10" s="1"/>
  <c r="P62" i="10" l="1"/>
  <c r="Q62" i="10" s="1"/>
  <c r="S62" i="10" s="1"/>
  <c r="T62" i="10" s="1"/>
  <c r="U61" i="10"/>
  <c r="U62" i="10" l="1"/>
  <c r="P63" i="10"/>
  <c r="Q63" i="10" s="1"/>
  <c r="S63" i="10" s="1"/>
  <c r="T63" i="10" s="1"/>
  <c r="U63" i="10" l="1"/>
  <c r="P64" i="10"/>
  <c r="Q64" i="10" s="1"/>
  <c r="S64" i="10" s="1"/>
  <c r="T64" i="10" s="1"/>
  <c r="P65" i="10" l="1"/>
  <c r="Q65" i="10" s="1"/>
  <c r="S65" i="10" s="1"/>
  <c r="T65" i="10" s="1"/>
  <c r="U64" i="10"/>
  <c r="P66" i="10" l="1"/>
  <c r="Q66" i="10" s="1"/>
  <c r="S66" i="10" s="1"/>
  <c r="T66" i="10" s="1"/>
  <c r="U65" i="10"/>
  <c r="U66" i="10" l="1"/>
  <c r="P67" i="10"/>
  <c r="Q67" i="10" s="1"/>
  <c r="S67" i="10" s="1"/>
  <c r="T67" i="10" s="1"/>
  <c r="U67" i="10" l="1"/>
  <c r="P68" i="10"/>
  <c r="Q68" i="10" s="1"/>
  <c r="S68" i="10" s="1"/>
  <c r="T68" i="10" s="1"/>
  <c r="P69" i="10" l="1"/>
  <c r="Q69" i="10" s="1"/>
  <c r="S69" i="10" s="1"/>
  <c r="T69" i="10" s="1"/>
  <c r="U69" i="10" s="1"/>
  <c r="U68" i="10"/>
  <c r="G6" i="4" l="1"/>
  <c r="G7" i="4"/>
  <c r="G8" i="4"/>
  <c r="G9" i="4"/>
  <c r="P12" i="4" l="1"/>
  <c r="J6" i="8"/>
  <c r="L12" i="4"/>
  <c r="K6" i="8" l="1"/>
  <c r="G18" i="4"/>
  <c r="P7" i="8"/>
  <c r="Q7" i="8" s="1"/>
  <c r="S7" i="8" s="1"/>
  <c r="T7" i="8" s="1"/>
  <c r="L6" i="8"/>
  <c r="H18" i="4"/>
  <c r="P10" i="4"/>
  <c r="L10" i="4"/>
  <c r="P8" i="8" l="1"/>
  <c r="Q8" i="8" s="1"/>
  <c r="S8" i="8" s="1"/>
  <c r="T8" i="8" s="1"/>
  <c r="P9" i="8" l="1"/>
  <c r="Q9" i="8" s="1"/>
  <c r="S9" i="8" s="1"/>
  <c r="T9" i="8" s="1"/>
  <c r="P10" i="8" l="1"/>
  <c r="Q10" i="8" s="1"/>
  <c r="S10" i="8" s="1"/>
  <c r="T10" i="8" s="1"/>
  <c r="P11" i="8" l="1"/>
  <c r="Q11" i="8" s="1"/>
  <c r="S11" i="8" s="1"/>
  <c r="T11" i="8" l="1"/>
  <c r="P12" i="8" l="1"/>
  <c r="Q12" i="8" s="1"/>
  <c r="S12" i="8" s="1"/>
  <c r="T12" i="8" s="1"/>
  <c r="P13" i="8" l="1"/>
  <c r="Q13" i="8" s="1"/>
  <c r="S13" i="8" s="1"/>
  <c r="T13" i="8" l="1"/>
  <c r="P14" i="8" l="1"/>
  <c r="Q14" i="8" s="1"/>
  <c r="S14" i="8" s="1"/>
  <c r="T14" i="8" s="1"/>
  <c r="P15" i="8" l="1"/>
  <c r="Q15" i="8" s="1"/>
  <c r="S15" i="8" s="1"/>
  <c r="T15" i="8" s="1"/>
  <c r="P16" i="8" s="1"/>
  <c r="Q16" i="8" s="1"/>
  <c r="S16" i="8" l="1"/>
  <c r="T16" i="8" s="1"/>
  <c r="P17" i="8" s="1"/>
  <c r="Q17" i="8" s="1"/>
  <c r="S17" i="8" l="1"/>
  <c r="T17" i="8" s="1"/>
  <c r="P18" i="8" s="1"/>
  <c r="Q18" i="8" s="1"/>
  <c r="S18" i="8" l="1"/>
  <c r="T18" i="8" s="1"/>
  <c r="P19" i="8" s="1"/>
  <c r="Q19" i="8" s="1"/>
  <c r="S19" i="8" l="1"/>
  <c r="T19" i="8" s="1"/>
  <c r="P20" i="8" s="1"/>
  <c r="Q20" i="8" s="1"/>
  <c r="S20" i="8" l="1"/>
  <c r="T20" i="8" s="1"/>
  <c r="P21" i="8" s="1"/>
  <c r="Q21" i="8" s="1"/>
  <c r="S21" i="8" l="1"/>
  <c r="T21" i="8" s="1"/>
  <c r="P22" i="8" s="1"/>
  <c r="Q22" i="8" s="1"/>
  <c r="S22" i="8" l="1"/>
  <c r="T22" i="8" s="1"/>
  <c r="P23" i="8" s="1"/>
  <c r="Q23" i="8" s="1"/>
  <c r="S23" i="8" l="1"/>
  <c r="T23" i="8" s="1"/>
  <c r="P24" i="8" s="1"/>
  <c r="Q24" i="8" s="1"/>
  <c r="S24" i="8" l="1"/>
  <c r="T24" i="8" s="1"/>
  <c r="P25" i="8" s="1"/>
  <c r="Q25" i="8" s="1"/>
  <c r="S25" i="8" l="1"/>
  <c r="T25" i="8" s="1"/>
  <c r="P26" i="8" s="1"/>
  <c r="Q26" i="8" s="1"/>
  <c r="S26" i="8" l="1"/>
  <c r="T26" i="8" s="1"/>
  <c r="P27" i="8" s="1"/>
  <c r="Q27" i="8" s="1"/>
  <c r="S27" i="8" l="1"/>
  <c r="T27" i="8" s="1"/>
  <c r="P28" i="8" s="1"/>
  <c r="Q28" i="8" s="1"/>
  <c r="S28" i="8" l="1"/>
  <c r="T28" i="8" s="1"/>
  <c r="P29" i="8" s="1"/>
  <c r="Q29" i="8" s="1"/>
  <c r="S29" i="8" l="1"/>
  <c r="T29" i="8" s="1"/>
  <c r="P30" i="8" s="1"/>
  <c r="Q30" i="8" s="1"/>
  <c r="S30" i="8" l="1"/>
  <c r="T30" i="8" s="1"/>
  <c r="P31" i="8" s="1"/>
  <c r="Q31" i="8" s="1"/>
  <c r="S31" i="8" l="1"/>
  <c r="T31" i="8" s="1"/>
  <c r="P32" i="8" s="1"/>
  <c r="Q32" i="8" s="1"/>
  <c r="S32" i="8" l="1"/>
  <c r="T32" i="8" s="1"/>
  <c r="P33" i="8" s="1"/>
  <c r="Q33" i="8" s="1"/>
  <c r="S33" i="8" l="1"/>
  <c r="T33" i="8" s="1"/>
  <c r="P34" i="8" s="1"/>
  <c r="Q34" i="8" s="1"/>
  <c r="S34" i="8" l="1"/>
  <c r="T34" i="8" s="1"/>
  <c r="P35" i="8" s="1"/>
  <c r="Q35" i="8" s="1"/>
  <c r="S35" i="8" l="1"/>
  <c r="T35" i="8" s="1"/>
  <c r="P36" i="8" s="1"/>
  <c r="Q36" i="8" s="1"/>
  <c r="S36" i="8" l="1"/>
  <c r="T36" i="8" s="1"/>
  <c r="P37" i="8" s="1"/>
  <c r="Q37" i="8" s="1"/>
  <c r="S37" i="8" l="1"/>
  <c r="T37" i="8" s="1"/>
  <c r="P38" i="8" s="1"/>
  <c r="Q38" i="8" s="1"/>
  <c r="S38" i="8" l="1"/>
  <c r="T38" i="8" s="1"/>
  <c r="P39" i="8" s="1"/>
  <c r="Q39" i="8" s="1"/>
  <c r="S39" i="8" l="1"/>
  <c r="T39" i="8" s="1"/>
  <c r="P40" i="8" s="1"/>
  <c r="Q40" i="8" s="1"/>
  <c r="S40" i="8" l="1"/>
  <c r="T40" i="8" s="1"/>
  <c r="P41" i="8" s="1"/>
  <c r="Q41" i="8" s="1"/>
  <c r="S41" i="8" l="1"/>
  <c r="T41" i="8" s="1"/>
  <c r="P42" i="8" s="1"/>
  <c r="Q42" i="8" s="1"/>
  <c r="S42" i="8" l="1"/>
  <c r="T42" i="8" s="1"/>
  <c r="P43" i="8" s="1"/>
  <c r="Q43" i="8" s="1"/>
  <c r="S43" i="8" l="1"/>
  <c r="T43" i="8" s="1"/>
  <c r="P44" i="8" s="1"/>
  <c r="Q44" i="8" s="1"/>
  <c r="S44" i="8" l="1"/>
  <c r="T44" i="8" s="1"/>
  <c r="P45" i="8" s="1"/>
  <c r="Q45" i="8" s="1"/>
  <c r="S45" i="8" l="1"/>
  <c r="T45" i="8" s="1"/>
  <c r="P46" i="8" s="1"/>
  <c r="Q46" i="8" s="1"/>
  <c r="S46" i="8" l="1"/>
  <c r="T46" i="8" s="1"/>
  <c r="P47" i="8" s="1"/>
  <c r="Q47" i="8" s="1"/>
  <c r="S47" i="8" l="1"/>
  <c r="T47" i="8" s="1"/>
  <c r="P48" i="8" s="1"/>
  <c r="Q48" i="8" s="1"/>
  <c r="S48" i="8" l="1"/>
  <c r="T48" i="8" s="1"/>
  <c r="P49" i="8" s="1"/>
  <c r="Q49" i="8" s="1"/>
  <c r="S49" i="8" l="1"/>
  <c r="T49" i="8" s="1"/>
  <c r="P50" i="8" s="1"/>
  <c r="Q50" i="8" s="1"/>
  <c r="S50" i="8" l="1"/>
  <c r="T50" i="8" s="1"/>
  <c r="P51" i="8" s="1"/>
  <c r="Q51" i="8" s="1"/>
  <c r="S51" i="8" l="1"/>
  <c r="T51" i="8" s="1"/>
  <c r="P52" i="8" s="1"/>
  <c r="Q52" i="8" s="1"/>
  <c r="S52" i="8" l="1"/>
  <c r="T52" i="8" s="1"/>
  <c r="P53" i="8" s="1"/>
  <c r="Q53" i="8" s="1"/>
  <c r="S53" i="8" l="1"/>
  <c r="T53" i="8" s="1"/>
  <c r="P54" i="8" s="1"/>
  <c r="Q54" i="8" s="1"/>
  <c r="S54" i="8" l="1"/>
  <c r="T54" i="8" s="1"/>
  <c r="P55" i="8" s="1"/>
  <c r="Q55" i="8" s="1"/>
  <c r="S55" i="8" l="1"/>
  <c r="T55" i="8" s="1"/>
  <c r="P56" i="8" s="1"/>
  <c r="Q56" i="8" s="1"/>
  <c r="S56" i="8" l="1"/>
  <c r="T56" i="8" s="1"/>
  <c r="P57" i="8" s="1"/>
  <c r="Q57" i="8" s="1"/>
  <c r="S57" i="8" l="1"/>
  <c r="T57" i="8" s="1"/>
  <c r="P58" i="8" s="1"/>
  <c r="Q58" i="8" s="1"/>
  <c r="S58" i="8" l="1"/>
  <c r="T58" i="8" s="1"/>
  <c r="P59" i="8" s="1"/>
  <c r="Q59" i="8" s="1"/>
  <c r="S59" i="8" l="1"/>
  <c r="T59" i="8" s="1"/>
  <c r="P60" i="8" s="1"/>
  <c r="Q60" i="8" s="1"/>
  <c r="S60" i="8" l="1"/>
  <c r="T60" i="8" s="1"/>
  <c r="P61" i="8" s="1"/>
  <c r="Q61" i="8" s="1"/>
  <c r="S61" i="8" l="1"/>
  <c r="T61" i="8" s="1"/>
  <c r="P62" i="8" s="1"/>
  <c r="Q62" i="8" s="1"/>
  <c r="S62" i="8" s="1"/>
  <c r="T62" i="8" s="1"/>
  <c r="P63" i="8" l="1"/>
  <c r="Q63" i="8" s="1"/>
  <c r="S63" i="8" s="1"/>
  <c r="T63" i="8" s="1"/>
  <c r="P64" i="8" s="1"/>
  <c r="Q64" i="8" s="1"/>
  <c r="S64" i="8" l="1"/>
  <c r="T64" i="8" s="1"/>
  <c r="P65" i="8" s="1"/>
  <c r="Q65" i="8" s="1"/>
  <c r="S65" i="8" l="1"/>
  <c r="T65" i="8" s="1"/>
  <c r="P66" i="8" s="1"/>
  <c r="Q66" i="8" s="1"/>
  <c r="S66" i="8" l="1"/>
  <c r="T66" i="8" s="1"/>
  <c r="P67" i="8" s="1"/>
  <c r="Q67" i="8" s="1"/>
  <c r="S67" i="8" l="1"/>
  <c r="T67" i="8" s="1"/>
  <c r="P68" i="8" s="1"/>
  <c r="Q68" i="8" s="1"/>
  <c r="S68" i="8" l="1"/>
  <c r="T68" i="8" s="1"/>
  <c r="P69" i="8" s="1"/>
  <c r="Q69" i="8" s="1"/>
  <c r="S69" i="8" l="1"/>
  <c r="T69" i="8" s="1"/>
  <c r="P70" i="8" s="1"/>
  <c r="Q70" i="8" s="1"/>
  <c r="S70" i="8" l="1"/>
  <c r="T70" i="8" s="1"/>
  <c r="P71" i="8" s="1"/>
  <c r="Q71" i="8" s="1"/>
  <c r="S71" i="8" l="1"/>
  <c r="T71" i="8" s="1"/>
  <c r="P72" i="8" s="1"/>
  <c r="Q72" i="8" s="1"/>
  <c r="S72" i="8" l="1"/>
  <c r="T72" i="8" s="1"/>
  <c r="P73" i="8" s="1"/>
  <c r="Q73" i="8" s="1"/>
  <c r="S73" i="8" l="1"/>
  <c r="T73" i="8" s="1"/>
  <c r="P74" i="8" s="1"/>
  <c r="Q74" i="8" s="1"/>
  <c r="S74" i="8" l="1"/>
  <c r="T74" i="8" s="1"/>
  <c r="P75" i="8" s="1"/>
  <c r="Q75" i="8" s="1"/>
  <c r="S75" i="8" l="1"/>
  <c r="T75" i="8" s="1"/>
  <c r="P76" i="8" s="1"/>
  <c r="Q76" i="8" s="1"/>
  <c r="S76" i="8" l="1"/>
  <c r="T76" i="8" s="1"/>
  <c r="P77" i="8" s="1"/>
  <c r="Q77" i="8" s="1"/>
  <c r="S77" i="8" l="1"/>
  <c r="T77" i="8" s="1"/>
  <c r="P78" i="8" s="1"/>
  <c r="Q78" i="8" s="1"/>
  <c r="S78" i="8" l="1"/>
  <c r="T78" i="8" s="1"/>
  <c r="P79" i="8" s="1"/>
  <c r="Q79" i="8" s="1"/>
  <c r="S79" i="8" l="1"/>
  <c r="T79" i="8" s="1"/>
  <c r="P80" i="8" s="1"/>
  <c r="Q80" i="8" s="1"/>
  <c r="S80" i="8" l="1"/>
  <c r="T80" i="8" s="1"/>
  <c r="P81" i="8" s="1"/>
  <c r="Q81" i="8" s="1"/>
  <c r="S81" i="8" l="1"/>
  <c r="T81" i="8" s="1"/>
  <c r="P82" i="8" s="1"/>
  <c r="Q82" i="8" s="1"/>
  <c r="S82" i="8" l="1"/>
  <c r="T82" i="8" s="1"/>
  <c r="P83" i="8" s="1"/>
  <c r="Q83" i="8" s="1"/>
  <c r="S83" i="8" l="1"/>
  <c r="T83" i="8" s="1"/>
  <c r="P84" i="8" l="1"/>
  <c r="Q84" i="8" s="1"/>
  <c r="S84" i="8" s="1"/>
  <c r="T84" i="8" s="1"/>
  <c r="P85" i="8" l="1"/>
  <c r="Q85" i="8" s="1"/>
  <c r="S85" i="8" s="1"/>
  <c r="T85" i="8" s="1"/>
  <c r="P86" i="8" l="1"/>
  <c r="Q86" i="8" s="1"/>
  <c r="S86" i="8" s="1"/>
  <c r="T86" i="8" s="1"/>
  <c r="P87" i="8" l="1"/>
  <c r="Q87" i="8" s="1"/>
  <c r="S87" i="8" s="1"/>
  <c r="T87" i="8" s="1"/>
  <c r="P88" i="8" l="1"/>
  <c r="Q88" i="8" s="1"/>
  <c r="S88" i="8" s="1"/>
  <c r="T88" i="8" s="1"/>
  <c r="P89" i="8" s="1"/>
  <c r="Q89" i="8" s="1"/>
  <c r="S89" i="8" s="1"/>
  <c r="T89" i="8" s="1"/>
  <c r="P90" i="8" l="1"/>
  <c r="Q90" i="8" s="1"/>
  <c r="S90" i="8" s="1"/>
  <c r="T90" i="8" s="1"/>
  <c r="P91" i="8" l="1"/>
  <c r="Q91" i="8" s="1"/>
  <c r="S91" i="8" s="1"/>
  <c r="T91" i="8" s="1"/>
  <c r="P92" i="8" l="1"/>
  <c r="Q92" i="8" s="1"/>
  <c r="P94" i="8"/>
  <c r="Q94" i="8" s="1"/>
  <c r="S94" i="8" s="1"/>
  <c r="T94" i="8" s="1"/>
  <c r="S92" i="8" l="1"/>
  <c r="T92" i="8" s="1"/>
  <c r="P95" i="8" l="1"/>
  <c r="Q95" i="8" s="1"/>
  <c r="S95" i="8" s="1"/>
  <c r="T95" i="8" s="1"/>
  <c r="P93" i="8"/>
  <c r="Q93" i="8" s="1"/>
  <c r="S93" i="8" s="1"/>
  <c r="T93" i="8" s="1"/>
  <c r="P96" i="8" l="1"/>
  <c r="Q96" i="8" s="1"/>
  <c r="S96" i="8" s="1"/>
  <c r="T96" i="8" s="1"/>
  <c r="P97" i="8" l="1"/>
  <c r="Q97" i="8" s="1"/>
  <c r="S97" i="8" s="1"/>
  <c r="T97" i="8" s="1"/>
  <c r="P98" i="8" l="1"/>
  <c r="Q98" i="8" s="1"/>
  <c r="S98" i="8" s="1"/>
  <c r="T98" i="8" s="1"/>
  <c r="P99" i="8" l="1"/>
  <c r="Q99" i="8" s="1"/>
  <c r="S99" i="8" s="1"/>
  <c r="T99" i="8" s="1"/>
  <c r="P100" i="8" l="1"/>
  <c r="Q100" i="8" s="1"/>
  <c r="S100" i="8" s="1"/>
  <c r="T100" i="8" s="1"/>
  <c r="P101" i="8" l="1"/>
  <c r="Q101" i="8" s="1"/>
  <c r="S101" i="8" s="1"/>
  <c r="T101" i="8" s="1"/>
  <c r="P102" i="8" l="1"/>
  <c r="Q102" i="8" s="1"/>
  <c r="S102" i="8" s="1"/>
  <c r="T102" i="8" s="1"/>
  <c r="P103" i="8" l="1"/>
  <c r="Q103" i="8" s="1"/>
  <c r="S103" i="8" s="1"/>
  <c r="T103" i="8" s="1"/>
  <c r="P104" i="8" l="1"/>
  <c r="Q104" i="8" s="1"/>
  <c r="S104" i="8" s="1"/>
  <c r="T104" i="8" s="1"/>
  <c r="P105" i="8" l="1"/>
  <c r="Q105" i="8" s="1"/>
  <c r="S105" i="8" s="1"/>
  <c r="T105" i="8" s="1"/>
  <c r="P106" i="8" l="1"/>
  <c r="Q106" i="8" s="1"/>
  <c r="S106" i="8" s="1"/>
  <c r="T106" i="8" s="1"/>
  <c r="P107" i="8" l="1"/>
  <c r="Q107" i="8" s="1"/>
  <c r="S107" i="8" s="1"/>
  <c r="T107" i="8" s="1"/>
  <c r="P108" i="8" l="1"/>
  <c r="Q108" i="8" s="1"/>
  <c r="S108" i="8" s="1"/>
  <c r="T108" i="8" s="1"/>
  <c r="P109" i="8" l="1"/>
  <c r="Q109" i="8" s="1"/>
  <c r="S109" i="8" s="1"/>
  <c r="T109" i="8" s="1"/>
  <c r="P110" i="8" l="1"/>
  <c r="Q110" i="8" s="1"/>
  <c r="S110" i="8" s="1"/>
  <c r="T110" i="8" s="1"/>
  <c r="P111" i="8" l="1"/>
  <c r="Q111" i="8" s="1"/>
  <c r="S111" i="8" s="1"/>
  <c r="T111" i="8" s="1"/>
  <c r="P112" i="8" l="1"/>
  <c r="Q112" i="8" s="1"/>
  <c r="S112" i="8" s="1"/>
  <c r="T112" i="8" s="1"/>
  <c r="P113" i="8" l="1"/>
  <c r="Q113" i="8" s="1"/>
  <c r="S113" i="8" s="1"/>
  <c r="T113" i="8" s="1"/>
  <c r="P114" i="8" l="1"/>
  <c r="Q114" i="8" s="1"/>
  <c r="S114" i="8" s="1"/>
  <c r="T114" i="8" s="1"/>
  <c r="P115" i="8" l="1"/>
  <c r="Q115" i="8" s="1"/>
  <c r="S115" i="8" s="1"/>
  <c r="T115" i="8" s="1"/>
  <c r="P116" i="8" l="1"/>
  <c r="Q116" i="8" s="1"/>
  <c r="S116" i="8" s="1"/>
  <c r="T116" i="8" s="1"/>
  <c r="P117" i="8" l="1"/>
  <c r="Q117" i="8" s="1"/>
  <c r="S117" i="8" s="1"/>
  <c r="T117" i="8" s="1"/>
  <c r="P118" i="8" l="1"/>
  <c r="Q118" i="8" s="1"/>
  <c r="S118" i="8" s="1"/>
  <c r="T118" i="8" s="1"/>
  <c r="P119" i="8" l="1"/>
  <c r="Q119" i="8" s="1"/>
  <c r="S119" i="8" s="1"/>
  <c r="T119" i="8" s="1"/>
  <c r="P120" i="8" l="1"/>
  <c r="Q120" i="8" s="1"/>
  <c r="S120" i="8" s="1"/>
  <c r="T120" i="8" s="1"/>
  <c r="P121" i="8" l="1"/>
  <c r="Q121" i="8" s="1"/>
  <c r="S121" i="8" s="1"/>
  <c r="T121" i="8" s="1"/>
  <c r="P122" i="8" l="1"/>
  <c r="Q122" i="8" s="1"/>
  <c r="S122" i="8" s="1"/>
  <c r="T122" i="8" s="1"/>
  <c r="P123" i="8" l="1"/>
  <c r="Q123" i="8" s="1"/>
  <c r="S123" i="8" s="1"/>
  <c r="T123" i="8" s="1"/>
  <c r="P124" i="8" l="1"/>
  <c r="Q124" i="8" s="1"/>
  <c r="S124" i="8" s="1"/>
  <c r="T124" i="8" s="1"/>
  <c r="P125" i="8" l="1"/>
  <c r="Q125" i="8" s="1"/>
  <c r="S125" i="8" s="1"/>
  <c r="T125" i="8" s="1"/>
  <c r="P126" i="8" l="1"/>
  <c r="Q126" i="8" s="1"/>
  <c r="S126" i="8" s="1"/>
  <c r="T126" i="8" s="1"/>
  <c r="P127" i="8" l="1"/>
  <c r="Q127" i="8" s="1"/>
  <c r="S127" i="8" s="1"/>
  <c r="T127" i="8" s="1"/>
  <c r="P128" i="8" l="1"/>
  <c r="Q128" i="8" s="1"/>
  <c r="S128" i="8" s="1"/>
  <c r="T128" i="8" s="1"/>
  <c r="P129" i="8" l="1"/>
  <c r="Q129" i="8" s="1"/>
  <c r="S129" i="8" s="1"/>
  <c r="T129" i="8" s="1"/>
  <c r="P130" i="8" l="1"/>
  <c r="Q130" i="8" s="1"/>
  <c r="S130" i="8" s="1"/>
  <c r="T130" i="8" s="1"/>
  <c r="P131" i="8" l="1"/>
  <c r="Q131" i="8" s="1"/>
  <c r="S131" i="8" s="1"/>
  <c r="T131" i="8" s="1"/>
  <c r="P132" i="8" l="1"/>
  <c r="Q132" i="8" s="1"/>
  <c r="S132" i="8" s="1"/>
  <c r="T132" i="8" s="1"/>
  <c r="P133" i="8" l="1"/>
  <c r="Q133" i="8" s="1"/>
  <c r="S133" i="8" s="1"/>
  <c r="T133" i="8" s="1"/>
  <c r="P134" i="8" l="1"/>
  <c r="Q134" i="8" s="1"/>
  <c r="S134" i="8" s="1"/>
  <c r="T134" i="8" s="1"/>
  <c r="P135" i="8" l="1"/>
  <c r="Q135" i="8" s="1"/>
  <c r="S135" i="8" s="1"/>
  <c r="T135" i="8" s="1"/>
  <c r="P136" i="8" l="1"/>
  <c r="Q136" i="8" s="1"/>
  <c r="S136" i="8" s="1"/>
  <c r="T136" i="8" s="1"/>
  <c r="P137" i="8" l="1"/>
  <c r="Q137" i="8" s="1"/>
  <c r="S137" i="8" s="1"/>
  <c r="T137" i="8" s="1"/>
  <c r="P138" i="8" l="1"/>
  <c r="Q138" i="8" s="1"/>
  <c r="S138" i="8" s="1"/>
  <c r="T138" i="8" s="1"/>
  <c r="P139" i="8" l="1"/>
  <c r="Q139" i="8" s="1"/>
  <c r="S139" i="8" s="1"/>
  <c r="T139" i="8" s="1"/>
  <c r="P140" i="8" l="1"/>
  <c r="Q140" i="8" s="1"/>
  <c r="S140" i="8" s="1"/>
  <c r="T140" i="8" s="1"/>
  <c r="P141" i="8" l="1"/>
  <c r="Q141" i="8" s="1"/>
  <c r="S141" i="8" s="1"/>
  <c r="T141" i="8" s="1"/>
  <c r="P142" i="8" l="1"/>
  <c r="Q142" i="8" s="1"/>
  <c r="S142" i="8" s="1"/>
  <c r="T142" i="8" s="1"/>
  <c r="P143" i="8" l="1"/>
  <c r="Q143" i="8" s="1"/>
  <c r="S143" i="8" s="1"/>
  <c r="T143" i="8" s="1"/>
  <c r="P144" i="8" l="1"/>
  <c r="Q144" i="8" s="1"/>
  <c r="S144" i="8" s="1"/>
  <c r="T144" i="8" s="1"/>
  <c r="P145" i="8" l="1"/>
  <c r="Q145" i="8" s="1"/>
  <c r="S145" i="8" s="1"/>
  <c r="T145" i="8" s="1"/>
  <c r="P146" i="8" l="1"/>
  <c r="Q146" i="8" s="1"/>
  <c r="S146" i="8" s="1"/>
  <c r="T146" i="8" s="1"/>
  <c r="P147" i="8" l="1"/>
  <c r="Q147" i="8" s="1"/>
  <c r="S147" i="8" s="1"/>
  <c r="T147" i="8" s="1"/>
  <c r="P148" i="8" l="1"/>
  <c r="Q148" i="8" s="1"/>
  <c r="S148" i="8" s="1"/>
  <c r="T148" i="8" s="1"/>
  <c r="P149" i="8" l="1"/>
  <c r="Q149" i="8" s="1"/>
  <c r="S149" i="8" s="1"/>
  <c r="T149" i="8" s="1"/>
  <c r="P150" i="8" l="1"/>
  <c r="Q150" i="8" s="1"/>
  <c r="S150" i="8" s="1"/>
  <c r="T150" i="8" s="1"/>
  <c r="P151" i="8" s="1"/>
  <c r="Q151" i="8" s="1"/>
  <c r="S151" i="8" l="1"/>
  <c r="T151" i="8" s="1"/>
  <c r="P152" i="8" l="1"/>
  <c r="Q152" i="8" s="1"/>
  <c r="S152" i="8" s="1"/>
  <c r="T152" i="8" s="1"/>
  <c r="P153" i="8" l="1"/>
  <c r="Q153" i="8" s="1"/>
  <c r="S153" i="8" s="1"/>
  <c r="T153" i="8" s="1"/>
  <c r="P154" i="8" l="1"/>
  <c r="Q154" i="8" s="1"/>
  <c r="S154" i="8" s="1"/>
  <c r="T154" i="8" s="1"/>
  <c r="P155" i="8" l="1"/>
  <c r="Q155" i="8" s="1"/>
  <c r="S155" i="8" s="1"/>
  <c r="T155" i="8" s="1"/>
  <c r="P156" i="8" l="1"/>
  <c r="Q156" i="8" s="1"/>
  <c r="S156" i="8" s="1"/>
  <c r="T156" i="8" s="1"/>
  <c r="P157" i="8" l="1"/>
  <c r="Q157" i="8" s="1"/>
  <c r="S157" i="8" s="1"/>
  <c r="T157" i="8" s="1"/>
  <c r="P158" i="8" l="1"/>
  <c r="Q158" i="8" s="1"/>
  <c r="S158" i="8" s="1"/>
  <c r="T158" i="8" s="1"/>
  <c r="P159" i="8" l="1"/>
  <c r="Q159" i="8" s="1"/>
  <c r="S159" i="8" s="1"/>
  <c r="T159" i="8" s="1"/>
  <c r="P160" i="8" l="1"/>
  <c r="Q160" i="8" s="1"/>
  <c r="S160" i="8" s="1"/>
  <c r="T160" i="8" s="1"/>
  <c r="P161" i="8" l="1"/>
  <c r="Q161" i="8" s="1"/>
  <c r="S161" i="8" s="1"/>
  <c r="T161" i="8" s="1"/>
  <c r="P162" i="8" l="1"/>
  <c r="Q162" i="8" s="1"/>
  <c r="S162" i="8" s="1"/>
  <c r="T162" i="8" s="1"/>
  <c r="P163" i="8" l="1"/>
  <c r="Q163" i="8" s="1"/>
  <c r="S163" i="8" s="1"/>
  <c r="T163" i="8" s="1"/>
  <c r="P164" i="8" l="1"/>
  <c r="Q164" i="8" s="1"/>
  <c r="S164" i="8" s="1"/>
  <c r="T164" i="8" s="1"/>
  <c r="P165" i="8" l="1"/>
  <c r="Q165" i="8" s="1"/>
  <c r="S165" i="8" s="1"/>
  <c r="T165" i="8" s="1"/>
  <c r="P166" i="8" l="1"/>
  <c r="Q166" i="8" s="1"/>
  <c r="S166" i="8" s="1"/>
  <c r="T166" i="8" s="1"/>
  <c r="P167" i="8" l="1"/>
  <c r="Q167" i="8" s="1"/>
  <c r="S167" i="8" s="1"/>
  <c r="T167" i="8" s="1"/>
  <c r="P168" i="8" l="1"/>
  <c r="Q168" i="8" s="1"/>
  <c r="S168" i="8" s="1"/>
  <c r="T168" i="8" s="1"/>
  <c r="P169" i="8" l="1"/>
  <c r="Q169" i="8" s="1"/>
  <c r="S169" i="8" s="1"/>
  <c r="T169" i="8" s="1"/>
  <c r="P170" i="8" l="1"/>
  <c r="Q170" i="8" s="1"/>
  <c r="S170" i="8" s="1"/>
  <c r="T170" i="8" s="1"/>
  <c r="P171" i="8" l="1"/>
  <c r="Q171" i="8" s="1"/>
  <c r="S171" i="8" s="1"/>
  <c r="T171" i="8" s="1"/>
  <c r="P172" i="8" l="1"/>
  <c r="Q172" i="8" s="1"/>
  <c r="S172" i="8" s="1"/>
  <c r="T172" i="8" s="1"/>
  <c r="P173" i="8" l="1"/>
  <c r="Q173" i="8" s="1"/>
  <c r="S173" i="8" s="1"/>
  <c r="T173" i="8" s="1"/>
  <c r="P174" i="8" l="1"/>
  <c r="Q174" i="8" s="1"/>
  <c r="S174" i="8" s="1"/>
  <c r="T174" i="8" s="1"/>
  <c r="P175" i="8" l="1"/>
  <c r="Q175" i="8" s="1"/>
  <c r="S175" i="8" s="1"/>
  <c r="T175" i="8" s="1"/>
  <c r="P176" i="8" l="1"/>
  <c r="Q176" i="8" s="1"/>
  <c r="S176" i="8" s="1"/>
  <c r="T176" i="8" s="1"/>
  <c r="P177" i="8" l="1"/>
  <c r="Q177" i="8" s="1"/>
  <c r="S177" i="8" s="1"/>
  <c r="T177" i="8" s="1"/>
  <c r="P178" i="8" l="1"/>
  <c r="Q178" i="8" s="1"/>
  <c r="S178" i="8" s="1"/>
  <c r="T178" i="8" s="1"/>
  <c r="P179" i="8" l="1"/>
  <c r="Q179" i="8" s="1"/>
  <c r="S179" i="8" s="1"/>
  <c r="T179" i="8" s="1"/>
  <c r="P180" i="8" l="1"/>
  <c r="Q180" i="8" s="1"/>
  <c r="S180" i="8" s="1"/>
  <c r="T180" i="8" s="1"/>
  <c r="P181" i="8" l="1"/>
  <c r="Q181" i="8" s="1"/>
  <c r="S181" i="8" s="1"/>
  <c r="T181" i="8" s="1"/>
  <c r="P182" i="8" l="1"/>
  <c r="Q182" i="8" s="1"/>
  <c r="S182" i="8" s="1"/>
  <c r="T182" i="8" s="1"/>
  <c r="P183" i="8" l="1"/>
  <c r="Q183" i="8" s="1"/>
  <c r="S183" i="8" s="1"/>
  <c r="T183" i="8" s="1"/>
  <c r="P184" i="8" l="1"/>
  <c r="Q184" i="8" s="1"/>
  <c r="S184" i="8" s="1"/>
  <c r="T184" i="8" s="1"/>
  <c r="P185" i="8" l="1"/>
  <c r="Q185" i="8" s="1"/>
  <c r="S185" i="8" s="1"/>
  <c r="T185" i="8" s="1"/>
  <c r="P186" i="8" l="1"/>
  <c r="Q186" i="8" s="1"/>
  <c r="S186" i="8" s="1"/>
  <c r="T186" i="8" s="1"/>
  <c r="P187" i="8" l="1"/>
  <c r="Q187" i="8" s="1"/>
  <c r="S187" i="8" s="1"/>
  <c r="T187" i="8" s="1"/>
  <c r="P188" i="8" l="1"/>
  <c r="Q188" i="8" s="1"/>
  <c r="S188" i="8" s="1"/>
  <c r="T188" i="8" s="1"/>
  <c r="P189" i="8" l="1"/>
  <c r="Q189" i="8" s="1"/>
  <c r="S189" i="8" s="1"/>
  <c r="T189" i="8" s="1"/>
  <c r="P190" i="8" l="1"/>
  <c r="Q190" i="8" s="1"/>
  <c r="S190" i="8" s="1"/>
  <c r="T190" i="8" s="1"/>
  <c r="P191" i="8" l="1"/>
  <c r="Q191" i="8" s="1"/>
  <c r="S191" i="8" s="1"/>
  <c r="T191" i="8" s="1"/>
  <c r="P192" i="8" l="1"/>
  <c r="Q192" i="8" s="1"/>
  <c r="S192" i="8" s="1"/>
  <c r="T192" i="8" s="1"/>
  <c r="P193" i="8" l="1"/>
  <c r="Q193" i="8" s="1"/>
  <c r="S193" i="8" s="1"/>
  <c r="T193" i="8" s="1"/>
  <c r="P194" i="8" l="1"/>
  <c r="Q194" i="8" s="1"/>
  <c r="S194" i="8" s="1"/>
  <c r="T194" i="8" s="1"/>
  <c r="P195" i="8" l="1"/>
  <c r="Q195" i="8" s="1"/>
  <c r="S195" i="8" s="1"/>
  <c r="T195" i="8" s="1"/>
  <c r="P196" i="8" l="1"/>
  <c r="Q196" i="8" s="1"/>
  <c r="S196" i="8" s="1"/>
  <c r="T196" i="8" s="1"/>
  <c r="P197" i="8" l="1"/>
  <c r="Q197" i="8" s="1"/>
  <c r="S197" i="8" s="1"/>
  <c r="T197" i="8" s="1"/>
  <c r="P198" i="8" l="1"/>
  <c r="Q198" i="8" s="1"/>
  <c r="S198" i="8" s="1"/>
  <c r="T198" i="8" s="1"/>
  <c r="P199" i="8" l="1"/>
  <c r="Q199" i="8" s="1"/>
  <c r="S199" i="8" s="1"/>
  <c r="T199" i="8" s="1"/>
  <c r="P200" i="8" l="1"/>
  <c r="Q200" i="8" s="1"/>
  <c r="S200" i="8" s="1"/>
  <c r="T200" i="8" s="1"/>
  <c r="P201" i="8" l="1"/>
  <c r="Q201" i="8" s="1"/>
  <c r="S201" i="8" s="1"/>
  <c r="T201" i="8" s="1"/>
  <c r="P202" i="8" l="1"/>
  <c r="Q202" i="8" s="1"/>
  <c r="S202" i="8" s="1"/>
  <c r="T202" i="8" s="1"/>
  <c r="P203" i="8" l="1"/>
  <c r="Q203" i="8" s="1"/>
  <c r="S203" i="8" s="1"/>
  <c r="T203" i="8" s="1"/>
  <c r="P204" i="8" l="1"/>
  <c r="Q204" i="8" s="1"/>
  <c r="S204" i="8" s="1"/>
  <c r="T204" i="8" s="1"/>
  <c r="P205" i="8" l="1"/>
  <c r="Q205" i="8" s="1"/>
  <c r="S205" i="8" s="1"/>
  <c r="T205" i="8" s="1"/>
  <c r="P206" i="8" l="1"/>
  <c r="Q206" i="8" s="1"/>
  <c r="S206" i="8" s="1"/>
  <c r="T206" i="8" s="1"/>
  <c r="P207" i="8" l="1"/>
  <c r="Q207" i="8" s="1"/>
  <c r="S207" i="8" s="1"/>
  <c r="T207" i="8" s="1"/>
  <c r="P208" i="8" l="1"/>
  <c r="Q208" i="8" s="1"/>
  <c r="S208" i="8" s="1"/>
  <c r="T208" i="8" s="1"/>
  <c r="P209" i="8" l="1"/>
  <c r="Q209" i="8" s="1"/>
  <c r="S209" i="8" s="1"/>
  <c r="T209" i="8" s="1"/>
  <c r="P210" i="8" l="1"/>
  <c r="Q210" i="8" s="1"/>
  <c r="S210" i="8" s="1"/>
  <c r="T210" i="8" s="1"/>
  <c r="P211" i="8" s="1"/>
  <c r="Q211" i="8" s="1"/>
  <c r="S211" i="8" s="1"/>
  <c r="T211" i="8" s="1"/>
  <c r="P212" i="8" l="1"/>
  <c r="Q212" i="8" s="1"/>
  <c r="S212" i="8" s="1"/>
  <c r="T212" i="8" s="1"/>
  <c r="P213" i="8" l="1"/>
  <c r="Q213" i="8" s="1"/>
  <c r="S213" i="8" s="1"/>
  <c r="T213" i="8" s="1"/>
  <c r="P214" i="8" l="1"/>
  <c r="Q214" i="8" s="1"/>
  <c r="S214" i="8" s="1"/>
  <c r="T214" i="8" s="1"/>
  <c r="P215" i="8" l="1"/>
  <c r="Q215" i="8" s="1"/>
  <c r="S215" i="8" s="1"/>
  <c r="T215" i="8" s="1"/>
  <c r="P216" i="8" l="1"/>
  <c r="Q216" i="8" s="1"/>
  <c r="S216" i="8" s="1"/>
  <c r="T216" i="8" s="1"/>
  <c r="P217" i="8" l="1"/>
  <c r="Q217" i="8" s="1"/>
  <c r="S217" i="8" s="1"/>
  <c r="T217" i="8" s="1"/>
  <c r="P218" i="8" l="1"/>
  <c r="Q218" i="8" s="1"/>
  <c r="S218" i="8" s="1"/>
  <c r="T218" i="8" s="1"/>
  <c r="P219" i="8" s="1"/>
  <c r="Q219" i="8" s="1"/>
  <c r="S219" i="8" s="1"/>
  <c r="T219" i="8" s="1"/>
  <c r="P220" i="8" l="1"/>
  <c r="Q220" i="8" s="1"/>
  <c r="S220" i="8" s="1"/>
  <c r="T220" i="8" s="1"/>
  <c r="P221" i="8" l="1"/>
  <c r="Q221" i="8" s="1"/>
  <c r="S221" i="8" s="1"/>
  <c r="T221" i="8" s="1"/>
  <c r="P222" i="8" l="1"/>
  <c r="Q222" i="8" s="1"/>
  <c r="S222" i="8" s="1"/>
  <c r="T222" i="8" s="1"/>
  <c r="P223" i="8" l="1"/>
  <c r="Q223" i="8" s="1"/>
  <c r="S223" i="8" s="1"/>
  <c r="T223" i="8" s="1"/>
  <c r="P224" i="8" l="1"/>
  <c r="Q224" i="8" s="1"/>
  <c r="S224" i="8" s="1"/>
  <c r="T224" i="8" s="1"/>
  <c r="P225" i="8" l="1"/>
  <c r="Q225" i="8" s="1"/>
  <c r="S225" i="8" s="1"/>
  <c r="T225" i="8" s="1"/>
  <c r="P226" i="8" l="1"/>
  <c r="Q226" i="8" s="1"/>
  <c r="S226" i="8" s="1"/>
  <c r="T226" i="8" s="1"/>
  <c r="P227" i="8" l="1"/>
  <c r="Q227" i="8" s="1"/>
  <c r="S227" i="8" s="1"/>
  <c r="T227" i="8" s="1"/>
  <c r="P228" i="8" l="1"/>
  <c r="Q228" i="8" s="1"/>
  <c r="S228" i="8" s="1"/>
  <c r="T228" i="8" s="1"/>
  <c r="P229" i="8" l="1"/>
  <c r="Q229" i="8" s="1"/>
  <c r="S229" i="8" s="1"/>
  <c r="T229" i="8" s="1"/>
  <c r="P230" i="8" l="1"/>
  <c r="Q230" i="8" s="1"/>
  <c r="S230" i="8" s="1"/>
  <c r="T230" i="8" s="1"/>
  <c r="P231" i="8" l="1"/>
  <c r="Q231" i="8" s="1"/>
  <c r="S231" i="8" s="1"/>
  <c r="T231" i="8" s="1"/>
  <c r="P232" i="8" l="1"/>
  <c r="Q232" i="8" s="1"/>
  <c r="S232" i="8" s="1"/>
  <c r="T232" i="8" s="1"/>
  <c r="P233" i="8" l="1"/>
  <c r="Q233" i="8" s="1"/>
  <c r="S233" i="8" s="1"/>
  <c r="T233" i="8" s="1"/>
  <c r="P234" i="8" l="1"/>
  <c r="Q234" i="8" s="1"/>
  <c r="S234" i="8" s="1"/>
  <c r="T234" i="8" s="1"/>
  <c r="P235" i="8" l="1"/>
  <c r="Q235" i="8" s="1"/>
  <c r="S235" i="8" s="1"/>
  <c r="T235" i="8" s="1"/>
  <c r="P236" i="8" l="1"/>
  <c r="Q236" i="8" s="1"/>
  <c r="S236" i="8" s="1"/>
  <c r="T236" i="8" s="1"/>
  <c r="P237" i="8" l="1"/>
  <c r="Q237" i="8" s="1"/>
  <c r="S237" i="8" s="1"/>
  <c r="T237" i="8" s="1"/>
  <c r="P238" i="8" l="1"/>
  <c r="Q238" i="8" s="1"/>
  <c r="S238" i="8" s="1"/>
  <c r="T238" i="8" s="1"/>
  <c r="P239" i="8" l="1"/>
  <c r="Q239" i="8" s="1"/>
  <c r="S239" i="8" s="1"/>
  <c r="T239" i="8" s="1"/>
  <c r="P240" i="8" l="1"/>
  <c r="Q240" i="8" s="1"/>
  <c r="S240" i="8" s="1"/>
  <c r="T240" i="8" s="1"/>
  <c r="P241" i="8" l="1"/>
  <c r="Q241" i="8" s="1"/>
  <c r="S241" i="8" s="1"/>
  <c r="T241" i="8" s="1"/>
  <c r="P242" i="8" l="1"/>
  <c r="Q242" i="8" s="1"/>
  <c r="S242" i="8" s="1"/>
  <c r="T242" i="8" s="1"/>
  <c r="P243" i="8" l="1"/>
  <c r="Q243" i="8" s="1"/>
  <c r="S243" i="8" s="1"/>
  <c r="T243" i="8" s="1"/>
  <c r="P244" i="8" l="1"/>
  <c r="Q244" i="8" s="1"/>
  <c r="S244" i="8" s="1"/>
  <c r="T244" i="8" s="1"/>
  <c r="P245" i="8" l="1"/>
  <c r="Q245" i="8" s="1"/>
  <c r="S245" i="8" s="1"/>
  <c r="T245" i="8" s="1"/>
  <c r="P246" i="8" l="1"/>
  <c r="Q246" i="8" s="1"/>
  <c r="S246" i="8" s="1"/>
  <c r="T246" i="8" s="1"/>
  <c r="P247" i="8" l="1"/>
  <c r="Q247" i="8" s="1"/>
  <c r="S247" i="8" s="1"/>
  <c r="T247" i="8" s="1"/>
  <c r="P248" i="8" l="1"/>
  <c r="Q248" i="8" s="1"/>
  <c r="S248" i="8" s="1"/>
  <c r="T248" i="8" s="1"/>
  <c r="P249" i="8" l="1"/>
  <c r="Q249" i="8" s="1"/>
  <c r="S249" i="8" s="1"/>
  <c r="T249" i="8" s="1"/>
  <c r="P250" i="8" l="1"/>
  <c r="Q250" i="8" s="1"/>
  <c r="S250" i="8" s="1"/>
  <c r="T250" i="8" s="1"/>
  <c r="P251" i="8" l="1"/>
  <c r="Q251" i="8" s="1"/>
  <c r="S251" i="8" s="1"/>
  <c r="T251" i="8" s="1"/>
  <c r="P252" i="8" l="1"/>
  <c r="Q252" i="8" s="1"/>
  <c r="S252" i="8" s="1"/>
  <c r="T252" i="8" s="1"/>
  <c r="P253" i="8" l="1"/>
  <c r="Q253" i="8" s="1"/>
  <c r="S253" i="8" s="1"/>
  <c r="T253" i="8" s="1"/>
  <c r="P254" i="8" l="1"/>
  <c r="Q254" i="8" s="1"/>
  <c r="S254" i="8" s="1"/>
  <c r="T254" i="8" s="1"/>
  <c r="P255" i="8" l="1"/>
  <c r="Q255" i="8" s="1"/>
  <c r="S255" i="8" s="1"/>
  <c r="T255" i="8" s="1"/>
  <c r="P256" i="8" l="1"/>
  <c r="Q256" i="8" s="1"/>
  <c r="S256" i="8" s="1"/>
  <c r="T256" i="8" s="1"/>
  <c r="P257" i="8" l="1"/>
  <c r="Q257" i="8" s="1"/>
  <c r="S257" i="8" s="1"/>
  <c r="T257" i="8" s="1"/>
  <c r="P258" i="8" l="1"/>
  <c r="Q258" i="8" s="1"/>
  <c r="S258" i="8" s="1"/>
  <c r="T258" i="8" s="1"/>
  <c r="P259" i="8" l="1"/>
  <c r="Q259" i="8" s="1"/>
  <c r="S259" i="8" s="1"/>
  <c r="T259" i="8" s="1"/>
  <c r="P260" i="8" l="1"/>
  <c r="Q260" i="8" s="1"/>
  <c r="S260" i="8" s="1"/>
  <c r="T260" i="8" s="1"/>
  <c r="P261" i="8" l="1"/>
  <c r="Q261" i="8" s="1"/>
  <c r="S261" i="8" s="1"/>
  <c r="T261" i="8" s="1"/>
  <c r="P262" i="8" l="1"/>
  <c r="Q262" i="8" s="1"/>
  <c r="S262" i="8" s="1"/>
  <c r="T262" i="8" s="1"/>
  <c r="P263" i="8" l="1"/>
  <c r="Q263" i="8" s="1"/>
  <c r="S263" i="8" s="1"/>
  <c r="T263" i="8" s="1"/>
  <c r="P264" i="8" l="1"/>
  <c r="Q264" i="8" s="1"/>
  <c r="S264" i="8" s="1"/>
  <c r="T264" i="8" s="1"/>
  <c r="P265" i="8" l="1"/>
  <c r="Q265" i="8" s="1"/>
  <c r="S265" i="8" s="1"/>
  <c r="T265" i="8" s="1"/>
  <c r="P266" i="8" l="1"/>
  <c r="Q266" i="8" s="1"/>
  <c r="S266" i="8" s="1"/>
  <c r="T266" i="8" s="1"/>
  <c r="P267" i="8" l="1"/>
  <c r="Q267" i="8" s="1"/>
  <c r="S267" i="8" s="1"/>
  <c r="T267" i="8" s="1"/>
  <c r="P268" i="8" l="1"/>
  <c r="Q268" i="8" s="1"/>
  <c r="S268" i="8" s="1"/>
  <c r="T268" i="8" s="1"/>
  <c r="P269" i="8" l="1"/>
  <c r="Q269" i="8" s="1"/>
  <c r="S269" i="8" s="1"/>
  <c r="T269" i="8" s="1"/>
  <c r="P270" i="8" l="1"/>
  <c r="Q270" i="8" s="1"/>
  <c r="S270" i="8" s="1"/>
  <c r="T270" i="8" s="1"/>
  <c r="P271" i="8" l="1"/>
  <c r="Q271" i="8" s="1"/>
  <c r="S271" i="8" s="1"/>
  <c r="T271" i="8" s="1"/>
  <c r="P272" i="8" l="1"/>
  <c r="Q272" i="8" s="1"/>
  <c r="S272" i="8" s="1"/>
  <c r="T272" i="8" s="1"/>
  <c r="P273" i="8" l="1"/>
  <c r="Q273" i="8" s="1"/>
  <c r="S273" i="8" s="1"/>
  <c r="T273" i="8" s="1"/>
  <c r="P274" i="8" l="1"/>
  <c r="Q274" i="8" s="1"/>
  <c r="S274" i="8" s="1"/>
  <c r="T274" i="8" s="1"/>
  <c r="P275" i="8" l="1"/>
  <c r="Q275" i="8" s="1"/>
  <c r="S275" i="8" s="1"/>
  <c r="T275" i="8" s="1"/>
  <c r="P276" i="8" l="1"/>
  <c r="Q276" i="8" s="1"/>
  <c r="S276" i="8" s="1"/>
  <c r="T276" i="8" s="1"/>
  <c r="P277" i="8" l="1"/>
  <c r="Q277" i="8" s="1"/>
  <c r="S277" i="8" s="1"/>
  <c r="T277" i="8" s="1"/>
  <c r="P278" i="8" l="1"/>
  <c r="Q278" i="8" s="1"/>
  <c r="S278" i="8" s="1"/>
  <c r="T278" i="8" s="1"/>
  <c r="P279" i="8" l="1"/>
  <c r="Q279" i="8" s="1"/>
  <c r="S279" i="8" s="1"/>
  <c r="T279" i="8" s="1"/>
  <c r="P280" i="8" l="1"/>
  <c r="Q280" i="8" s="1"/>
  <c r="S280" i="8" s="1"/>
  <c r="T280" i="8" s="1"/>
  <c r="P281" i="8" l="1"/>
  <c r="Q281" i="8" s="1"/>
  <c r="S281" i="8" s="1"/>
  <c r="T281" i="8" s="1"/>
  <c r="P282" i="8" l="1"/>
  <c r="Q282" i="8" s="1"/>
  <c r="S282" i="8" s="1"/>
  <c r="T282" i="8" s="1"/>
  <c r="P283" i="8" l="1"/>
  <c r="Q283" i="8" s="1"/>
  <c r="S283" i="8" s="1"/>
  <c r="T283" i="8" s="1"/>
  <c r="P284" i="8" l="1"/>
  <c r="Q284" i="8" s="1"/>
  <c r="S284" i="8" s="1"/>
  <c r="T284" i="8" s="1"/>
  <c r="P285" i="8" l="1"/>
  <c r="Q285" i="8" s="1"/>
  <c r="S285" i="8" s="1"/>
  <c r="T285" i="8" s="1"/>
  <c r="P286" i="8" l="1"/>
  <c r="Q286" i="8" s="1"/>
  <c r="S286" i="8" s="1"/>
  <c r="T286" i="8" s="1"/>
  <c r="P287" i="8" l="1"/>
  <c r="Q287" i="8" s="1"/>
  <c r="S287" i="8" s="1"/>
  <c r="T287" i="8" s="1"/>
  <c r="P288" i="8" l="1"/>
  <c r="Q288" i="8" s="1"/>
  <c r="S288" i="8" s="1"/>
  <c r="T288" i="8" s="1"/>
  <c r="P289" i="8" l="1"/>
  <c r="Q289" i="8" s="1"/>
  <c r="S289" i="8" s="1"/>
  <c r="T289" i="8" s="1"/>
  <c r="P290" i="8" l="1"/>
  <c r="Q290" i="8" s="1"/>
  <c r="S290" i="8" s="1"/>
  <c r="T290" i="8" s="1"/>
  <c r="P291" i="8" l="1"/>
  <c r="Q291" i="8" s="1"/>
  <c r="S291" i="8" s="1"/>
  <c r="T291" i="8" s="1"/>
  <c r="P292" i="8" l="1"/>
  <c r="Q292" i="8" s="1"/>
  <c r="S292" i="8" s="1"/>
  <c r="T292" i="8" s="1"/>
  <c r="P293" i="8" l="1"/>
  <c r="Q293" i="8" s="1"/>
  <c r="S293" i="8" s="1"/>
  <c r="T293" i="8" s="1"/>
  <c r="P294" i="8" l="1"/>
  <c r="Q294" i="8" s="1"/>
  <c r="S294" i="8" s="1"/>
  <c r="T294" i="8" s="1"/>
  <c r="P295" i="8" l="1"/>
  <c r="Q295" i="8" s="1"/>
  <c r="S295" i="8" s="1"/>
  <c r="T295" i="8" s="1"/>
  <c r="P296" i="8" l="1"/>
  <c r="Q296" i="8" s="1"/>
  <c r="S296" i="8" s="1"/>
  <c r="T296" i="8" s="1"/>
  <c r="P297" i="8" l="1"/>
  <c r="Q297" i="8" s="1"/>
  <c r="S297" i="8" s="1"/>
  <c r="T297" i="8" s="1"/>
  <c r="P298" i="8" l="1"/>
  <c r="Q298" i="8" s="1"/>
  <c r="S298" i="8" s="1"/>
  <c r="T298" i="8" s="1"/>
  <c r="P299" i="8" l="1"/>
  <c r="Q299" i="8" s="1"/>
  <c r="S299" i="8" s="1"/>
  <c r="T299" i="8" s="1"/>
  <c r="P300" i="8" l="1"/>
  <c r="Q300" i="8" s="1"/>
  <c r="S300" i="8" s="1"/>
  <c r="T300" i="8" s="1"/>
  <c r="P301" i="8" l="1"/>
  <c r="Q301" i="8" s="1"/>
  <c r="S301" i="8" s="1"/>
  <c r="T301" i="8" s="1"/>
  <c r="P302" i="8" l="1"/>
  <c r="Q302" i="8" s="1"/>
  <c r="S302" i="8" s="1"/>
  <c r="T302" i="8" s="1"/>
  <c r="P303" i="8" l="1"/>
  <c r="Q303" i="8" s="1"/>
  <c r="S303" i="8" s="1"/>
  <c r="T303" i="8" s="1"/>
  <c r="P304" i="8" l="1"/>
  <c r="Q304" i="8" s="1"/>
  <c r="S304" i="8" s="1"/>
  <c r="T304" i="8" s="1"/>
  <c r="P305" i="8" l="1"/>
  <c r="Q305" i="8" s="1"/>
  <c r="S305" i="8" s="1"/>
  <c r="T305" i="8" s="1"/>
  <c r="P306" i="8" l="1"/>
  <c r="Q306" i="8" s="1"/>
  <c r="S306" i="8" s="1"/>
  <c r="T306" i="8" s="1"/>
  <c r="P307" i="8" l="1"/>
  <c r="Q307" i="8" s="1"/>
  <c r="S307" i="8" s="1"/>
  <c r="T307" i="8" s="1"/>
  <c r="P308" i="8" l="1"/>
  <c r="Q308" i="8" s="1"/>
  <c r="S308" i="8" s="1"/>
  <c r="T308" i="8" s="1"/>
  <c r="P309" i="8" l="1"/>
  <c r="Q309" i="8" s="1"/>
  <c r="S309" i="8" s="1"/>
  <c r="T309" i="8" s="1"/>
  <c r="P310" i="8" l="1"/>
  <c r="Q310" i="8" s="1"/>
  <c r="S310" i="8" s="1"/>
  <c r="T310" i="8" s="1"/>
  <c r="P311" i="8" l="1"/>
  <c r="Q311" i="8" s="1"/>
  <c r="S311" i="8" s="1"/>
  <c r="T311" i="8" s="1"/>
  <c r="P312" i="8" l="1"/>
  <c r="Q312" i="8" s="1"/>
  <c r="S312" i="8" s="1"/>
  <c r="T312" i="8" s="1"/>
  <c r="P313" i="8" l="1"/>
  <c r="Q313" i="8" s="1"/>
  <c r="S313" i="8" s="1"/>
  <c r="T313" i="8" s="1"/>
  <c r="P314" i="8" l="1"/>
  <c r="Q314" i="8" s="1"/>
  <c r="S314" i="8" s="1"/>
  <c r="T314" i="8" s="1"/>
  <c r="P315" i="8" l="1"/>
  <c r="Q315" i="8" s="1"/>
  <c r="S315" i="8" s="1"/>
  <c r="T315" i="8" s="1"/>
  <c r="P316" i="8" l="1"/>
  <c r="Q316" i="8" s="1"/>
  <c r="S316" i="8" s="1"/>
  <c r="T316" i="8" s="1"/>
  <c r="P317" i="8" l="1"/>
  <c r="Q317" i="8" s="1"/>
  <c r="S317" i="8" s="1"/>
  <c r="T317" i="8" s="1"/>
  <c r="P318" i="8" l="1"/>
  <c r="Q318" i="8" s="1"/>
  <c r="S318" i="8" s="1"/>
  <c r="T318" i="8" s="1"/>
  <c r="P319" i="8" l="1"/>
  <c r="Q319" i="8" s="1"/>
  <c r="S319" i="8" s="1"/>
  <c r="T319" i="8" s="1"/>
  <c r="P320" i="8" l="1"/>
  <c r="Q320" i="8" s="1"/>
  <c r="S320" i="8" s="1"/>
  <c r="T320" i="8" s="1"/>
  <c r="P321" i="8" l="1"/>
  <c r="Q321" i="8" s="1"/>
  <c r="S321" i="8" s="1"/>
  <c r="T321" i="8" s="1"/>
  <c r="P322" i="8" l="1"/>
  <c r="Q322" i="8" s="1"/>
  <c r="S322" i="8" s="1"/>
  <c r="T322" i="8" s="1"/>
  <c r="P323" i="8" l="1"/>
  <c r="Q323" i="8" s="1"/>
  <c r="S323" i="8" s="1"/>
  <c r="T323" i="8" s="1"/>
  <c r="P324" i="8" l="1"/>
  <c r="Q324" i="8" s="1"/>
  <c r="S324" i="8" s="1"/>
  <c r="T324" i="8" s="1"/>
  <c r="P325" i="8" l="1"/>
  <c r="Q325" i="8" s="1"/>
  <c r="S325" i="8" s="1"/>
  <c r="T325" i="8" s="1"/>
  <c r="P326" i="8" l="1"/>
  <c r="Q326" i="8" s="1"/>
  <c r="S326" i="8" s="1"/>
  <c r="T326" i="8" s="1"/>
  <c r="P327" i="8" l="1"/>
  <c r="Q327" i="8" s="1"/>
  <c r="S327" i="8" s="1"/>
  <c r="T327" i="8" s="1"/>
  <c r="P328" i="8" l="1"/>
  <c r="Q328" i="8" s="1"/>
  <c r="S328" i="8" s="1"/>
  <c r="T328" i="8" s="1"/>
  <c r="P329" i="8" l="1"/>
  <c r="Q329" i="8" s="1"/>
  <c r="S329" i="8" s="1"/>
  <c r="T329" i="8" s="1"/>
  <c r="P330" i="8" l="1"/>
  <c r="Q330" i="8" s="1"/>
  <c r="S330" i="8" s="1"/>
  <c r="T330" i="8" s="1"/>
  <c r="P331" i="8" l="1"/>
  <c r="Q331" i="8" s="1"/>
  <c r="S331" i="8" s="1"/>
  <c r="T331" i="8" s="1"/>
  <c r="P332" i="8" l="1"/>
  <c r="Q332" i="8" s="1"/>
  <c r="S332" i="8" s="1"/>
  <c r="T332" i="8" s="1"/>
  <c r="P333" i="8" l="1"/>
  <c r="Q333" i="8" s="1"/>
  <c r="S333" i="8" s="1"/>
  <c r="T333" i="8" s="1"/>
  <c r="P334" i="8" l="1"/>
  <c r="Q334" i="8" s="1"/>
  <c r="S334" i="8" s="1"/>
  <c r="T334" i="8" s="1"/>
  <c r="P335" i="8" l="1"/>
  <c r="Q335" i="8" s="1"/>
  <c r="S335" i="8" s="1"/>
  <c r="T335" i="8" s="1"/>
  <c r="P336" i="8" l="1"/>
  <c r="Q336" i="8" s="1"/>
  <c r="S336" i="8" s="1"/>
  <c r="T336" i="8" s="1"/>
  <c r="P337" i="8" l="1"/>
  <c r="Q337" i="8" s="1"/>
  <c r="S337" i="8" s="1"/>
  <c r="T337" i="8" s="1"/>
  <c r="P338" i="8" l="1"/>
  <c r="Q338" i="8" s="1"/>
  <c r="S338" i="8" s="1"/>
  <c r="T338" i="8" s="1"/>
  <c r="P339" i="8" l="1"/>
  <c r="Q339" i="8" s="1"/>
  <c r="S339" i="8" s="1"/>
  <c r="T339" i="8" s="1"/>
  <c r="P340" i="8" l="1"/>
  <c r="Q340" i="8" s="1"/>
  <c r="S340" i="8" s="1"/>
  <c r="T340" i="8" s="1"/>
  <c r="P341" i="8" l="1"/>
  <c r="Q341" i="8" s="1"/>
  <c r="S341" i="8" s="1"/>
  <c r="T341" i="8" s="1"/>
  <c r="P342" i="8" l="1"/>
  <c r="Q342" i="8" s="1"/>
  <c r="S342" i="8" s="1"/>
  <c r="T342" i="8" s="1"/>
  <c r="P343" i="8" l="1"/>
  <c r="Q343" i="8" s="1"/>
  <c r="S343" i="8" s="1"/>
  <c r="T343" i="8" s="1"/>
  <c r="P344" i="8" l="1"/>
  <c r="Q344" i="8" s="1"/>
  <c r="S344" i="8" s="1"/>
  <c r="T344" i="8" s="1"/>
  <c r="P345" i="8" l="1"/>
  <c r="Q345" i="8" s="1"/>
  <c r="S345" i="8" s="1"/>
  <c r="T345" i="8" s="1"/>
  <c r="P346" i="8" l="1"/>
  <c r="Q346" i="8" s="1"/>
  <c r="S346" i="8" s="1"/>
  <c r="T346" i="8" s="1"/>
  <c r="P347" i="8" l="1"/>
  <c r="Q347" i="8" s="1"/>
  <c r="S347" i="8" s="1"/>
  <c r="T347" i="8" s="1"/>
  <c r="P348" i="8" l="1"/>
  <c r="Q348" i="8" s="1"/>
  <c r="S348" i="8" s="1"/>
  <c r="T348" i="8" s="1"/>
  <c r="P349" i="8" l="1"/>
  <c r="Q349" i="8" s="1"/>
  <c r="S349" i="8" s="1"/>
  <c r="T349" i="8" s="1"/>
  <c r="P350" i="8" l="1"/>
  <c r="Q350" i="8" s="1"/>
  <c r="S350" i="8" s="1"/>
  <c r="T350" i="8" s="1"/>
  <c r="P351" i="8" l="1"/>
  <c r="Q351" i="8" s="1"/>
  <c r="S351" i="8" s="1"/>
  <c r="T351" i="8" s="1"/>
  <c r="P352" i="8" l="1"/>
  <c r="Q352" i="8" s="1"/>
  <c r="S352" i="8" s="1"/>
  <c r="T352" i="8" s="1"/>
  <c r="P353" i="8" l="1"/>
  <c r="Q353" i="8" s="1"/>
  <c r="S353" i="8" s="1"/>
  <c r="T353" i="8" s="1"/>
  <c r="P354" i="8" l="1"/>
  <c r="Q354" i="8" s="1"/>
  <c r="S354" i="8" s="1"/>
  <c r="T354" i="8" s="1"/>
  <c r="P355" i="8" l="1"/>
  <c r="Q355" i="8" s="1"/>
  <c r="S355" i="8" s="1"/>
  <c r="T355" i="8" s="1"/>
  <c r="P356" i="8" l="1"/>
  <c r="Q356" i="8" s="1"/>
  <c r="S356" i="8" s="1"/>
  <c r="T356" i="8" s="1"/>
  <c r="P357" i="8" l="1"/>
  <c r="Q357" i="8" s="1"/>
  <c r="S357" i="8" s="1"/>
  <c r="T357" i="8" s="1"/>
  <c r="P358" i="8" l="1"/>
  <c r="Q358" i="8" s="1"/>
  <c r="S358" i="8" s="1"/>
  <c r="T358" i="8" s="1"/>
  <c r="P359" i="8" l="1"/>
  <c r="Q359" i="8" s="1"/>
  <c r="S359" i="8" s="1"/>
  <c r="T359" i="8" s="1"/>
  <c r="P360" i="8" l="1"/>
  <c r="Q360" i="8" s="1"/>
  <c r="S360" i="8" s="1"/>
  <c r="T360" i="8" s="1"/>
  <c r="P361" i="8" l="1"/>
  <c r="Q361" i="8" s="1"/>
  <c r="S361" i="8" s="1"/>
  <c r="T361" i="8" s="1"/>
  <c r="P362" i="8" l="1"/>
  <c r="Q362" i="8" s="1"/>
  <c r="S362" i="8" s="1"/>
  <c r="T362" i="8" s="1"/>
  <c r="P363" i="8" l="1"/>
  <c r="Q363" i="8" s="1"/>
  <c r="S363" i="8" s="1"/>
  <c r="T363" i="8" s="1"/>
  <c r="P364" i="8" l="1"/>
  <c r="Q364" i="8" s="1"/>
  <c r="S364" i="8" s="1"/>
  <c r="T364" i="8" s="1"/>
  <c r="P365" i="8" l="1"/>
  <c r="Q365" i="8" s="1"/>
  <c r="S365" i="8" s="1"/>
  <c r="T365" i="8" s="1"/>
  <c r="P366" i="8" l="1"/>
  <c r="Q366" i="8" s="1"/>
  <c r="S366" i="8" s="1"/>
  <c r="T366" i="8" s="1"/>
  <c r="P367" i="8" l="1"/>
  <c r="Q367" i="8" s="1"/>
  <c r="S367" i="8" s="1"/>
  <c r="T367" i="8" s="1"/>
  <c r="P368" i="8" l="1"/>
  <c r="Q368" i="8" s="1"/>
  <c r="S368" i="8" s="1"/>
  <c r="T368" i="8" s="1"/>
  <c r="P369" i="8" l="1"/>
  <c r="Q369" i="8" s="1"/>
  <c r="S369" i="8" s="1"/>
  <c r="T369" i="8" s="1"/>
  <c r="P370" i="8" l="1"/>
  <c r="Q370" i="8" s="1"/>
  <c r="S370" i="8" s="1"/>
  <c r="T370" i="8" s="1"/>
  <c r="P371" i="8" l="1"/>
  <c r="Q371" i="8" s="1"/>
  <c r="S371" i="8" s="1"/>
  <c r="T371" i="8" s="1"/>
  <c r="P372" i="8" l="1"/>
  <c r="Q372" i="8" s="1"/>
  <c r="S372" i="8" s="1"/>
  <c r="T372" i="8" s="1"/>
  <c r="P373" i="8" l="1"/>
  <c r="Q373" i="8" s="1"/>
  <c r="S373" i="8" s="1"/>
  <c r="T373" i="8" s="1"/>
  <c r="P374" i="8" l="1"/>
  <c r="Q374" i="8" s="1"/>
  <c r="S374" i="8" s="1"/>
  <c r="T374" i="8" s="1"/>
  <c r="P375" i="8" l="1"/>
  <c r="Q375" i="8" s="1"/>
  <c r="S375" i="8" s="1"/>
  <c r="T375" i="8" s="1"/>
  <c r="P376" i="8" l="1"/>
  <c r="Q376" i="8" s="1"/>
  <c r="S376" i="8" s="1"/>
  <c r="T376" i="8" s="1"/>
  <c r="P377" i="8" l="1"/>
  <c r="Q377" i="8" s="1"/>
  <c r="S377" i="8" s="1"/>
  <c r="T377" i="8" s="1"/>
  <c r="P378" i="8" l="1"/>
  <c r="Q378" i="8" s="1"/>
  <c r="S378" i="8" s="1"/>
  <c r="T378" i="8" s="1"/>
  <c r="P379" i="8" l="1"/>
  <c r="Q379" i="8" s="1"/>
  <c r="S379" i="8" s="1"/>
  <c r="T379" i="8" s="1"/>
  <c r="P380" i="8" l="1"/>
  <c r="Q380" i="8" s="1"/>
  <c r="S380" i="8" s="1"/>
  <c r="T380" i="8" s="1"/>
  <c r="P381" i="8" l="1"/>
  <c r="Q381" i="8" s="1"/>
  <c r="S381" i="8" s="1"/>
  <c r="T381" i="8" s="1"/>
  <c r="P382" i="8" l="1"/>
  <c r="Q382" i="8" s="1"/>
  <c r="S382" i="8" s="1"/>
  <c r="T382" i="8" s="1"/>
  <c r="P383" i="8" l="1"/>
  <c r="Q383" i="8" s="1"/>
  <c r="S383" i="8" s="1"/>
  <c r="T383" i="8" s="1"/>
  <c r="P384" i="8" l="1"/>
  <c r="Q384" i="8" s="1"/>
  <c r="S384" i="8" s="1"/>
  <c r="T384" i="8" s="1"/>
  <c r="P385" i="8" l="1"/>
  <c r="Q385" i="8" s="1"/>
  <c r="S385" i="8" s="1"/>
  <c r="T385" i="8" s="1"/>
  <c r="P386" i="8" l="1"/>
  <c r="Q386" i="8" s="1"/>
  <c r="S386" i="8" s="1"/>
  <c r="T386" i="8" s="1"/>
  <c r="P387" i="8" l="1"/>
  <c r="Q387" i="8" s="1"/>
  <c r="S387" i="8" s="1"/>
  <c r="T387" i="8" s="1"/>
  <c r="P388" i="8" l="1"/>
  <c r="Q388" i="8" s="1"/>
  <c r="S388" i="8" s="1"/>
  <c r="T388" i="8" s="1"/>
  <c r="P389" i="8" l="1"/>
  <c r="Q389" i="8" s="1"/>
  <c r="S389" i="8" s="1"/>
  <c r="T389" i="8" s="1"/>
  <c r="P390" i="8" l="1"/>
  <c r="Q390" i="8" s="1"/>
  <c r="S390" i="8" s="1"/>
  <c r="T390" i="8" s="1"/>
  <c r="P391" i="8" l="1"/>
  <c r="Q391" i="8" s="1"/>
  <c r="S391" i="8" s="1"/>
  <c r="T391" i="8" s="1"/>
  <c r="P392" i="8" l="1"/>
  <c r="Q392" i="8" s="1"/>
  <c r="S392" i="8" s="1"/>
  <c r="T392" i="8" s="1"/>
  <c r="P393" i="8" l="1"/>
  <c r="Q393" i="8" s="1"/>
  <c r="S393" i="8" s="1"/>
  <c r="T393" i="8" s="1"/>
  <c r="P394" i="8" l="1"/>
  <c r="Q394" i="8" s="1"/>
  <c r="S394" i="8" s="1"/>
  <c r="T394" i="8" s="1"/>
  <c r="P395" i="8" l="1"/>
  <c r="Q395" i="8" s="1"/>
  <c r="S395" i="8" s="1"/>
  <c r="T395" i="8" s="1"/>
  <c r="P396" i="8" l="1"/>
  <c r="Q396" i="8" s="1"/>
  <c r="S396" i="8" s="1"/>
  <c r="T396" i="8" s="1"/>
  <c r="P397" i="8" l="1"/>
  <c r="Q397" i="8" s="1"/>
  <c r="S397" i="8" s="1"/>
  <c r="T397" i="8" s="1"/>
  <c r="P398" i="8" l="1"/>
  <c r="Q398" i="8" s="1"/>
  <c r="S398" i="8" s="1"/>
  <c r="T398" i="8" s="1"/>
  <c r="P399" i="8" l="1"/>
  <c r="Q399" i="8" s="1"/>
  <c r="S399" i="8" s="1"/>
  <c r="T399" i="8" s="1"/>
  <c r="P400" i="8" l="1"/>
  <c r="Q400" i="8" s="1"/>
  <c r="S400" i="8" s="1"/>
  <c r="T400" i="8" s="1"/>
  <c r="P401" i="8" l="1"/>
  <c r="Q401" i="8" s="1"/>
  <c r="S401" i="8" s="1"/>
  <c r="T401" i="8" s="1"/>
  <c r="P402" i="8" l="1"/>
  <c r="Q402" i="8" s="1"/>
  <c r="S402" i="8" s="1"/>
  <c r="T402" i="8" s="1"/>
  <c r="P403" i="8" l="1"/>
  <c r="Q403" i="8" s="1"/>
  <c r="S403" i="8" s="1"/>
  <c r="T403" i="8" s="1"/>
  <c r="P404" i="8" l="1"/>
  <c r="Q404" i="8" s="1"/>
  <c r="S404" i="8" s="1"/>
  <c r="T404" i="8" s="1"/>
  <c r="P405" i="8" l="1"/>
  <c r="Q405" i="8" s="1"/>
  <c r="S405" i="8" s="1"/>
  <c r="T405" i="8" s="1"/>
  <c r="P406" i="8" l="1"/>
  <c r="Q406" i="8" s="1"/>
  <c r="S406" i="8" s="1"/>
  <c r="T406" i="8" s="1"/>
  <c r="P407" i="8" l="1"/>
  <c r="Q407" i="8" s="1"/>
  <c r="S407" i="8" s="1"/>
  <c r="T407" i="8" s="1"/>
  <c r="P408" i="8" l="1"/>
  <c r="Q408" i="8" s="1"/>
  <c r="S408" i="8" s="1"/>
  <c r="T408" i="8" s="1"/>
  <c r="P409" i="8" l="1"/>
  <c r="Q409" i="8" s="1"/>
  <c r="S409" i="8" s="1"/>
  <c r="T409" i="8" s="1"/>
  <c r="P410" i="8" l="1"/>
  <c r="Q410" i="8" s="1"/>
  <c r="S410" i="8" s="1"/>
  <c r="T410" i="8" s="1"/>
  <c r="P411" i="8" l="1"/>
  <c r="Q411" i="8" s="1"/>
  <c r="S411" i="8" s="1"/>
  <c r="T411" i="8" s="1"/>
  <c r="P412" i="8" l="1"/>
  <c r="Q412" i="8" s="1"/>
  <c r="S412" i="8" s="1"/>
  <c r="T412" i="8" s="1"/>
  <c r="P413" i="8" l="1"/>
  <c r="Q413" i="8" s="1"/>
  <c r="S413" i="8" s="1"/>
  <c r="T413" i="8" s="1"/>
  <c r="P414" i="8" l="1"/>
  <c r="Q414" i="8" s="1"/>
  <c r="S414" i="8" s="1"/>
  <c r="T414" i="8" s="1"/>
  <c r="P415" i="8" l="1"/>
  <c r="Q415" i="8" s="1"/>
  <c r="S415" i="8" s="1"/>
  <c r="T415" i="8" s="1"/>
  <c r="P416" i="8" l="1"/>
  <c r="Q416" i="8" s="1"/>
  <c r="S416" i="8" s="1"/>
  <c r="T416" i="8" s="1"/>
  <c r="P417" i="8" l="1"/>
  <c r="Q417" i="8" s="1"/>
  <c r="S417" i="8" s="1"/>
  <c r="T417" i="8" s="1"/>
  <c r="P418" i="8" l="1"/>
  <c r="Q418" i="8" s="1"/>
  <c r="S418" i="8" s="1"/>
  <c r="T418" i="8" s="1"/>
  <c r="P419" i="8" l="1"/>
  <c r="Q419" i="8" s="1"/>
  <c r="S419" i="8" s="1"/>
  <c r="T419" i="8" s="1"/>
  <c r="P420" i="8" l="1"/>
  <c r="Q420" i="8" s="1"/>
  <c r="S420" i="8" s="1"/>
  <c r="T420" i="8" s="1"/>
  <c r="P421" i="8" l="1"/>
  <c r="Q421" i="8" s="1"/>
  <c r="S421" i="8" s="1"/>
  <c r="T421" i="8" s="1"/>
  <c r="P422" i="8" l="1"/>
  <c r="Q422" i="8" s="1"/>
  <c r="S422" i="8" s="1"/>
  <c r="T422" i="8" s="1"/>
  <c r="P423" i="8" l="1"/>
  <c r="Q423" i="8" s="1"/>
  <c r="S423" i="8" s="1"/>
  <c r="T423" i="8" s="1"/>
  <c r="P424" i="8" l="1"/>
  <c r="Q424" i="8" s="1"/>
  <c r="S424" i="8" s="1"/>
  <c r="T424" i="8" s="1"/>
  <c r="P425" i="8" l="1"/>
  <c r="Q425" i="8" s="1"/>
  <c r="S425" i="8" s="1"/>
  <c r="T425" i="8" s="1"/>
  <c r="P426" i="8" l="1"/>
  <c r="Q426" i="8" s="1"/>
  <c r="S426" i="8" s="1"/>
  <c r="T426" i="8" s="1"/>
  <c r="P427" i="8" l="1"/>
  <c r="Q427" i="8" s="1"/>
  <c r="S427" i="8" s="1"/>
  <c r="T427" i="8" s="1"/>
  <c r="P428" i="8" l="1"/>
  <c r="Q428" i="8" s="1"/>
  <c r="S428" i="8" s="1"/>
  <c r="T428" i="8" s="1"/>
  <c r="P429" i="8" l="1"/>
  <c r="Q429" i="8" s="1"/>
  <c r="S429" i="8" s="1"/>
  <c r="T429" i="8" s="1"/>
  <c r="P430" i="8" l="1"/>
  <c r="Q430" i="8" s="1"/>
  <c r="S430" i="8" s="1"/>
  <c r="T430" i="8" s="1"/>
  <c r="P431" i="8" l="1"/>
  <c r="Q431" i="8" s="1"/>
  <c r="S431" i="8" s="1"/>
  <c r="T431" i="8" s="1"/>
  <c r="P432" i="8" l="1"/>
  <c r="Q432" i="8" s="1"/>
  <c r="S432" i="8" s="1"/>
  <c r="T432" i="8" s="1"/>
  <c r="P433" i="8" l="1"/>
  <c r="Q433" i="8" s="1"/>
  <c r="S433" i="8" s="1"/>
  <c r="T433" i="8" s="1"/>
  <c r="P434" i="8" l="1"/>
  <c r="Q434" i="8" s="1"/>
  <c r="S434" i="8" s="1"/>
  <c r="T434" i="8" s="1"/>
  <c r="P435" i="8" l="1"/>
  <c r="Q435" i="8" s="1"/>
  <c r="S435" i="8" s="1"/>
  <c r="T435" i="8" s="1"/>
  <c r="P436" i="8" l="1"/>
  <c r="Q436" i="8" s="1"/>
  <c r="S436" i="8" s="1"/>
  <c r="T436" i="8" s="1"/>
  <c r="P437" i="8" l="1"/>
  <c r="Q437" i="8" s="1"/>
  <c r="S437" i="8" s="1"/>
  <c r="T437" i="8" s="1"/>
  <c r="P438" i="8" l="1"/>
  <c r="Q438" i="8" s="1"/>
  <c r="S438" i="8" s="1"/>
  <c r="T438" i="8" s="1"/>
  <c r="P439" i="8" l="1"/>
  <c r="Q439" i="8" s="1"/>
  <c r="S439" i="8" s="1"/>
  <c r="T439" i="8" s="1"/>
  <c r="P440" i="8" l="1"/>
  <c r="Q440" i="8" s="1"/>
  <c r="S440" i="8" s="1"/>
  <c r="T440" i="8" s="1"/>
  <c r="P441" i="8" l="1"/>
  <c r="Q441" i="8" s="1"/>
  <c r="S441" i="8" s="1"/>
  <c r="T441" i="8" s="1"/>
  <c r="P442" i="8" l="1"/>
  <c r="Q442" i="8" s="1"/>
  <c r="S442" i="8" s="1"/>
  <c r="T442" i="8" s="1"/>
  <c r="P443" i="8" l="1"/>
  <c r="Q443" i="8" s="1"/>
  <c r="S443" i="8" s="1"/>
  <c r="T443" i="8" s="1"/>
  <c r="P444" i="8" l="1"/>
  <c r="Q444" i="8" s="1"/>
  <c r="S444" i="8" s="1"/>
  <c r="T444" i="8" s="1"/>
  <c r="P445" i="8" l="1"/>
  <c r="Q445" i="8" s="1"/>
  <c r="S445" i="8" s="1"/>
  <c r="T445" i="8" s="1"/>
  <c r="P446" i="8" l="1"/>
  <c r="Q446" i="8" s="1"/>
  <c r="S446" i="8" s="1"/>
  <c r="T446" i="8" s="1"/>
  <c r="P447" i="8" l="1"/>
  <c r="Q447" i="8" s="1"/>
  <c r="S447" i="8" s="1"/>
  <c r="T447" i="8" s="1"/>
  <c r="P448" i="8" l="1"/>
  <c r="Q448" i="8" s="1"/>
  <c r="S448" i="8" s="1"/>
  <c r="T448" i="8" s="1"/>
  <c r="P449" i="8" l="1"/>
  <c r="Q449" i="8" s="1"/>
  <c r="S449" i="8" s="1"/>
  <c r="T449" i="8" s="1"/>
  <c r="P450" i="8" l="1"/>
  <c r="Q450" i="8" s="1"/>
  <c r="S450" i="8" s="1"/>
  <c r="T450" i="8" s="1"/>
  <c r="P451" i="8" l="1"/>
  <c r="Q451" i="8" s="1"/>
  <c r="S451" i="8" s="1"/>
  <c r="T451" i="8" s="1"/>
  <c r="P452" i="8" l="1"/>
  <c r="Q452" i="8" s="1"/>
  <c r="S452" i="8" s="1"/>
  <c r="T452" i="8" s="1"/>
  <c r="P453" i="8" l="1"/>
  <c r="Q453" i="8" s="1"/>
  <c r="S453" i="8" s="1"/>
  <c r="T453" i="8" s="1"/>
  <c r="P454" i="8" l="1"/>
  <c r="Q454" i="8" s="1"/>
  <c r="S454" i="8" s="1"/>
  <c r="T454" i="8" s="1"/>
  <c r="P455" i="8" l="1"/>
  <c r="Q455" i="8" s="1"/>
  <c r="S455" i="8" s="1"/>
  <c r="T455" i="8" s="1"/>
  <c r="P456" i="8" l="1"/>
  <c r="Q456" i="8" s="1"/>
  <c r="S456" i="8" s="1"/>
  <c r="T456" i="8" s="1"/>
  <c r="P457" i="8" l="1"/>
  <c r="Q457" i="8" s="1"/>
  <c r="S457" i="8" s="1"/>
  <c r="T457" i="8" s="1"/>
  <c r="P458" i="8" l="1"/>
  <c r="Q458" i="8" s="1"/>
  <c r="S458" i="8" s="1"/>
  <c r="T458" i="8" s="1"/>
  <c r="P459" i="8" l="1"/>
  <c r="Q459" i="8" s="1"/>
  <c r="S459" i="8" s="1"/>
  <c r="T459" i="8" s="1"/>
  <c r="P460" i="8" l="1"/>
  <c r="Q460" i="8" s="1"/>
  <c r="S460" i="8" s="1"/>
  <c r="T460" i="8" s="1"/>
  <c r="P461" i="8" l="1"/>
  <c r="Q461" i="8" s="1"/>
  <c r="S461" i="8" s="1"/>
  <c r="T461" i="8" s="1"/>
  <c r="P462" i="8" l="1"/>
  <c r="Q462" i="8" s="1"/>
  <c r="S462" i="8" s="1"/>
  <c r="T462" i="8" s="1"/>
  <c r="P463" i="8" l="1"/>
  <c r="Q463" i="8" s="1"/>
  <c r="S463" i="8" s="1"/>
  <c r="T463" i="8" s="1"/>
  <c r="P464" i="8" l="1"/>
  <c r="Q464" i="8" s="1"/>
  <c r="S464" i="8" s="1"/>
  <c r="T464" i="8" s="1"/>
  <c r="P465" i="8" l="1"/>
  <c r="Q465" i="8" s="1"/>
  <c r="S465" i="8" s="1"/>
  <c r="T465" i="8" s="1"/>
  <c r="P466" i="8" l="1"/>
  <c r="Q466" i="8" s="1"/>
  <c r="S466" i="8" s="1"/>
  <c r="T466" i="8" s="1"/>
  <c r="P467" i="8" l="1"/>
  <c r="Q467" i="8" s="1"/>
  <c r="S467" i="8" s="1"/>
  <c r="T467" i="8" s="1"/>
  <c r="P468" i="8" l="1"/>
  <c r="Q468" i="8" s="1"/>
  <c r="S468" i="8" s="1"/>
  <c r="T468" i="8" s="1"/>
  <c r="P469" i="8" l="1"/>
  <c r="Q469" i="8" s="1"/>
  <c r="S469" i="8" s="1"/>
  <c r="T469" i="8" s="1"/>
  <c r="P470" i="8" l="1"/>
  <c r="Q470" i="8" s="1"/>
  <c r="S470" i="8" s="1"/>
  <c r="T470" i="8" s="1"/>
  <c r="P471" i="8" l="1"/>
  <c r="Q471" i="8" s="1"/>
  <c r="S471" i="8" s="1"/>
  <c r="T471" i="8" s="1"/>
  <c r="P472" i="8" l="1"/>
  <c r="Q472" i="8" s="1"/>
  <c r="S472" i="8" s="1"/>
  <c r="T472" i="8" s="1"/>
  <c r="P473" i="8" l="1"/>
  <c r="Q473" i="8" s="1"/>
  <c r="S473" i="8" s="1"/>
  <c r="T473" i="8" s="1"/>
  <c r="P474" i="8" l="1"/>
  <c r="Q474" i="8" s="1"/>
  <c r="S474" i="8" s="1"/>
  <c r="T474" i="8" s="1"/>
  <c r="P475" i="8" l="1"/>
  <c r="Q475" i="8" s="1"/>
  <c r="S475" i="8" s="1"/>
  <c r="T475" i="8" s="1"/>
  <c r="P476" i="8" l="1"/>
  <c r="Q476" i="8" s="1"/>
  <c r="S476" i="8" s="1"/>
  <c r="T476" i="8" s="1"/>
  <c r="P477" i="8" l="1"/>
  <c r="Q477" i="8" s="1"/>
  <c r="S477" i="8" s="1"/>
  <c r="T477" i="8" s="1"/>
  <c r="P478" i="8" l="1"/>
  <c r="Q478" i="8" s="1"/>
  <c r="S478" i="8" s="1"/>
  <c r="T478" i="8" s="1"/>
  <c r="P479" i="8" l="1"/>
  <c r="Q479" i="8" s="1"/>
  <c r="S479" i="8" s="1"/>
  <c r="T479" i="8" s="1"/>
  <c r="P480" i="8" l="1"/>
  <c r="Q480" i="8" s="1"/>
  <c r="S480" i="8" s="1"/>
  <c r="T480" i="8" s="1"/>
  <c r="P481" i="8" l="1"/>
  <c r="Q481" i="8" s="1"/>
  <c r="S481" i="8" s="1"/>
  <c r="T481" i="8" s="1"/>
  <c r="P482" i="8" l="1"/>
  <c r="Q482" i="8" s="1"/>
  <c r="S482" i="8" s="1"/>
  <c r="T482" i="8" s="1"/>
  <c r="P483" i="8" l="1"/>
  <c r="Q483" i="8" s="1"/>
  <c r="S483" i="8" s="1"/>
  <c r="T483" i="8" s="1"/>
  <c r="P484" i="8" l="1"/>
  <c r="Q484" i="8" s="1"/>
  <c r="S484" i="8" s="1"/>
  <c r="T484" i="8" s="1"/>
  <c r="P485" i="8" l="1"/>
  <c r="Q485" i="8" s="1"/>
  <c r="S485" i="8" s="1"/>
  <c r="T485" i="8" s="1"/>
  <c r="P486" i="8" l="1"/>
  <c r="Q486" i="8" s="1"/>
  <c r="S486" i="8" s="1"/>
  <c r="T486" i="8" s="1"/>
  <c r="P487" i="8" l="1"/>
  <c r="Q487" i="8" s="1"/>
  <c r="S487" i="8" s="1"/>
  <c r="T487" i="8" s="1"/>
  <c r="P488" i="8" l="1"/>
  <c r="Q488" i="8" s="1"/>
  <c r="S488" i="8" s="1"/>
  <c r="T488" i="8" s="1"/>
  <c r="P489" i="8" l="1"/>
  <c r="Q489" i="8" s="1"/>
  <c r="S489" i="8" s="1"/>
  <c r="T489" i="8" s="1"/>
  <c r="P490" i="8" l="1"/>
  <c r="Q490" i="8" s="1"/>
  <c r="S490" i="8" s="1"/>
  <c r="T490" i="8" s="1"/>
  <c r="P491" i="8" l="1"/>
  <c r="Q491" i="8" s="1"/>
  <c r="S491" i="8" s="1"/>
  <c r="T491" i="8" s="1"/>
  <c r="P492" i="8" l="1"/>
  <c r="Q492" i="8" s="1"/>
  <c r="S492" i="8" s="1"/>
  <c r="T492" i="8" s="1"/>
  <c r="P493" i="8" l="1"/>
  <c r="Q493" i="8" s="1"/>
  <c r="S493" i="8" s="1"/>
  <c r="T493" i="8" s="1"/>
  <c r="P494" i="8" l="1"/>
  <c r="Q494" i="8" s="1"/>
  <c r="S494" i="8" s="1"/>
  <c r="T494" i="8" s="1"/>
  <c r="P495" i="8" l="1"/>
  <c r="Q495" i="8" s="1"/>
  <c r="S495" i="8" s="1"/>
  <c r="T495" i="8" s="1"/>
  <c r="P496" i="8" l="1"/>
  <c r="Q496" i="8" s="1"/>
  <c r="S496" i="8" s="1"/>
  <c r="T496" i="8" s="1"/>
  <c r="P497" i="8" l="1"/>
  <c r="Q497" i="8" s="1"/>
  <c r="S497" i="8" s="1"/>
  <c r="T497" i="8" s="1"/>
  <c r="P498" i="8" l="1"/>
  <c r="Q498" i="8" s="1"/>
  <c r="S498" i="8" s="1"/>
  <c r="T498" i="8" s="1"/>
  <c r="P499" i="8" l="1"/>
  <c r="Q499" i="8" s="1"/>
  <c r="S499" i="8" s="1"/>
  <c r="T499" i="8" s="1"/>
  <c r="P500" i="8" l="1"/>
  <c r="Q500" i="8" s="1"/>
  <c r="S500" i="8" s="1"/>
  <c r="T500" i="8" s="1"/>
  <c r="P501" i="8" l="1"/>
  <c r="Q501" i="8" s="1"/>
  <c r="S501" i="8" s="1"/>
  <c r="T501" i="8" s="1"/>
  <c r="P502" i="8" l="1"/>
  <c r="Q502" i="8" s="1"/>
  <c r="S502" i="8" s="1"/>
  <c r="T502" i="8" s="1"/>
  <c r="P503" i="8" l="1"/>
  <c r="Q503" i="8" s="1"/>
  <c r="S503" i="8" s="1"/>
  <c r="T503" i="8" s="1"/>
  <c r="P504" i="8" l="1"/>
  <c r="Q504" i="8" s="1"/>
  <c r="S504" i="8" s="1"/>
  <c r="T504" i="8" s="1"/>
  <c r="P505" i="8" l="1"/>
  <c r="Q505" i="8" s="1"/>
  <c r="S505" i="8" s="1"/>
  <c r="T505" i="8" s="1"/>
  <c r="P506" i="8" l="1"/>
  <c r="Q506" i="8" s="1"/>
  <c r="S506" i="8" s="1"/>
  <c r="T506" i="8" s="1"/>
  <c r="P507" i="8" l="1"/>
  <c r="Q507" i="8" s="1"/>
  <c r="S507" i="8" s="1"/>
  <c r="T507" i="8" s="1"/>
  <c r="P508" i="8" l="1"/>
  <c r="Q508" i="8" s="1"/>
  <c r="S508" i="8" s="1"/>
  <c r="T508" i="8" s="1"/>
  <c r="P509" i="8" l="1"/>
  <c r="Q509" i="8" s="1"/>
  <c r="S509" i="8" s="1"/>
  <c r="T509" i="8" s="1"/>
  <c r="P510" i="8" l="1"/>
  <c r="Q510" i="8" s="1"/>
  <c r="S510" i="8" s="1"/>
  <c r="T510" i="8" s="1"/>
  <c r="P511" i="8" l="1"/>
  <c r="Q511" i="8" s="1"/>
  <c r="S511" i="8" s="1"/>
  <c r="T511" i="8" s="1"/>
  <c r="P512" i="8" l="1"/>
  <c r="Q512" i="8" s="1"/>
  <c r="S512" i="8" s="1"/>
  <c r="T512" i="8" s="1"/>
  <c r="P513" i="8" l="1"/>
  <c r="Q513" i="8" s="1"/>
  <c r="S513" i="8" s="1"/>
  <c r="T513" i="8" s="1"/>
  <c r="P514" i="8" l="1"/>
  <c r="Q514" i="8" s="1"/>
  <c r="S514" i="8" s="1"/>
  <c r="T514" i="8" s="1"/>
  <c r="P515" i="8" l="1"/>
  <c r="Q515" i="8" s="1"/>
  <c r="S515" i="8" s="1"/>
  <c r="T515" i="8" s="1"/>
  <c r="P516" i="8" l="1"/>
  <c r="Q516" i="8" s="1"/>
  <c r="S516" i="8" s="1"/>
  <c r="T516" i="8" s="1"/>
  <c r="P517" i="8" l="1"/>
  <c r="Q517" i="8" s="1"/>
  <c r="S517" i="8" s="1"/>
  <c r="T517" i="8" s="1"/>
  <c r="P518" i="8" l="1"/>
  <c r="Q518" i="8" s="1"/>
  <c r="S518" i="8" s="1"/>
  <c r="T518" i="8" s="1"/>
  <c r="P519" i="8" l="1"/>
  <c r="Q519" i="8" s="1"/>
  <c r="S519" i="8" s="1"/>
  <c r="T519" i="8" s="1"/>
  <c r="P520" i="8" l="1"/>
  <c r="Q520" i="8" s="1"/>
  <c r="S520" i="8" s="1"/>
  <c r="T520" i="8" s="1"/>
  <c r="P521" i="8" l="1"/>
  <c r="Q521" i="8" s="1"/>
  <c r="S521" i="8" s="1"/>
  <c r="T521" i="8" s="1"/>
  <c r="P522" i="8" l="1"/>
  <c r="Q522" i="8" s="1"/>
  <c r="S522" i="8" s="1"/>
  <c r="T522" i="8" s="1"/>
  <c r="P523" i="8" l="1"/>
  <c r="Q523" i="8" s="1"/>
  <c r="S523" i="8" s="1"/>
  <c r="T523" i="8" s="1"/>
  <c r="P524" i="8" l="1"/>
  <c r="Q524" i="8" s="1"/>
  <c r="S524" i="8" s="1"/>
  <c r="T524" i="8" s="1"/>
  <c r="P525" i="8" l="1"/>
  <c r="Q525" i="8" s="1"/>
  <c r="S525" i="8" s="1"/>
  <c r="T525" i="8" s="1"/>
  <c r="P526" i="8" l="1"/>
  <c r="Q526" i="8" s="1"/>
  <c r="S526" i="8" s="1"/>
  <c r="T526" i="8" s="1"/>
  <c r="P527" i="8" l="1"/>
  <c r="Q527" i="8" s="1"/>
  <c r="S527" i="8" s="1"/>
  <c r="T527" i="8" s="1"/>
  <c r="P528" i="8" l="1"/>
  <c r="Q528" i="8" s="1"/>
  <c r="S528" i="8" s="1"/>
  <c r="T528" i="8" s="1"/>
  <c r="P529" i="8" l="1"/>
  <c r="Q529" i="8" s="1"/>
  <c r="S529" i="8" s="1"/>
  <c r="T529" i="8" s="1"/>
  <c r="P530" i="8" l="1"/>
  <c r="Q530" i="8" s="1"/>
  <c r="S530" i="8" s="1"/>
  <c r="T530" i="8" s="1"/>
  <c r="P531" i="8" l="1"/>
  <c r="Q531" i="8" s="1"/>
  <c r="S531" i="8" s="1"/>
  <c r="T531" i="8" s="1"/>
  <c r="P532" i="8" l="1"/>
  <c r="Q532" i="8" s="1"/>
  <c r="S532" i="8" s="1"/>
  <c r="T532" i="8" s="1"/>
  <c r="P533" i="8" l="1"/>
  <c r="Q533" i="8" s="1"/>
  <c r="S533" i="8" s="1"/>
  <c r="T533" i="8" s="1"/>
  <c r="P534" i="8" l="1"/>
  <c r="Q534" i="8" s="1"/>
  <c r="S534" i="8" s="1"/>
  <c r="T534" i="8" s="1"/>
  <c r="P535" i="8" l="1"/>
  <c r="Q535" i="8" s="1"/>
  <c r="S535" i="8" s="1"/>
  <c r="T535" i="8" s="1"/>
  <c r="P536" i="8" l="1"/>
  <c r="Q536" i="8" s="1"/>
  <c r="S536" i="8" s="1"/>
  <c r="T536" i="8" s="1"/>
  <c r="P537" i="8" l="1"/>
  <c r="Q537" i="8" s="1"/>
  <c r="S537" i="8" s="1"/>
  <c r="T537" i="8" s="1"/>
  <c r="P538" i="8" l="1"/>
  <c r="Q538" i="8" s="1"/>
  <c r="S538" i="8" s="1"/>
  <c r="T538" i="8" s="1"/>
  <c r="P539" i="8" l="1"/>
  <c r="Q539" i="8" s="1"/>
  <c r="S539" i="8" s="1"/>
  <c r="T539" i="8" s="1"/>
  <c r="P540" i="8" l="1"/>
  <c r="Q540" i="8" s="1"/>
  <c r="S540" i="8" s="1"/>
  <c r="T540" i="8" s="1"/>
  <c r="P541" i="8" l="1"/>
  <c r="Q541" i="8" s="1"/>
  <c r="S541" i="8" s="1"/>
  <c r="T541" i="8" s="1"/>
  <c r="P542" i="8" l="1"/>
  <c r="Q542" i="8" s="1"/>
  <c r="S542" i="8" s="1"/>
  <c r="T542" i="8" s="1"/>
  <c r="P543" i="8" l="1"/>
  <c r="Q543" i="8" s="1"/>
  <c r="S543" i="8" s="1"/>
  <c r="T543" i="8" s="1"/>
  <c r="P544" i="8" l="1"/>
  <c r="Q544" i="8" s="1"/>
  <c r="S544" i="8" s="1"/>
  <c r="T544" i="8" s="1"/>
  <c r="P545" i="8" l="1"/>
  <c r="Q545" i="8" s="1"/>
  <c r="S545" i="8" s="1"/>
  <c r="T545" i="8" s="1"/>
  <c r="P546" i="8" l="1"/>
  <c r="Q546" i="8" s="1"/>
  <c r="S546" i="8" s="1"/>
  <c r="T546" i="8" s="1"/>
  <c r="P547" i="8" l="1"/>
  <c r="Q547" i="8" s="1"/>
  <c r="S547" i="8" s="1"/>
  <c r="T547" i="8" s="1"/>
  <c r="P548" i="8" l="1"/>
  <c r="Q548" i="8" s="1"/>
  <c r="S548" i="8" s="1"/>
  <c r="T548" i="8" s="1"/>
  <c r="P549" i="8" l="1"/>
  <c r="Q549" i="8" s="1"/>
  <c r="S549" i="8" s="1"/>
  <c r="T549" i="8" s="1"/>
  <c r="P550" i="8" l="1"/>
  <c r="Q550" i="8" s="1"/>
  <c r="S550" i="8" s="1"/>
  <c r="T550" i="8" s="1"/>
  <c r="P551" i="8" l="1"/>
  <c r="Q551" i="8" s="1"/>
  <c r="S551" i="8" s="1"/>
  <c r="T551" i="8" s="1"/>
  <c r="P552" i="8" l="1"/>
  <c r="Q552" i="8" s="1"/>
  <c r="S552" i="8" s="1"/>
  <c r="T552" i="8" s="1"/>
  <c r="P553" i="8" l="1"/>
  <c r="Q553" i="8" s="1"/>
  <c r="S553" i="8" s="1"/>
  <c r="T553" i="8" s="1"/>
  <c r="P554" i="8" l="1"/>
  <c r="Q554" i="8" s="1"/>
  <c r="S554" i="8" s="1"/>
  <c r="T554" i="8" s="1"/>
  <c r="P555" i="8" l="1"/>
  <c r="Q555" i="8" s="1"/>
  <c r="S555" i="8" s="1"/>
  <c r="T555" i="8" s="1"/>
  <c r="P556" i="8" l="1"/>
  <c r="Q556" i="8" s="1"/>
  <c r="S556" i="8" s="1"/>
  <c r="T556" i="8" s="1"/>
  <c r="P557" i="8" l="1"/>
  <c r="Q557" i="8" s="1"/>
  <c r="S557" i="8" s="1"/>
  <c r="T557" i="8" s="1"/>
  <c r="P558" i="8" l="1"/>
  <c r="Q558" i="8" s="1"/>
  <c r="S558" i="8" s="1"/>
  <c r="T558" i="8" s="1"/>
  <c r="P559" i="8" l="1"/>
  <c r="Q559" i="8" s="1"/>
  <c r="S559" i="8" s="1"/>
  <c r="T559" i="8" s="1"/>
  <c r="P560" i="8" l="1"/>
  <c r="Q560" i="8" s="1"/>
  <c r="S560" i="8" s="1"/>
  <c r="T560" i="8" s="1"/>
  <c r="P561" i="8" l="1"/>
  <c r="Q561" i="8" s="1"/>
  <c r="S561" i="8" s="1"/>
  <c r="T561" i="8" s="1"/>
  <c r="P562" i="8" l="1"/>
  <c r="Q562" i="8" s="1"/>
  <c r="S562" i="8" s="1"/>
  <c r="T562" i="8" s="1"/>
  <c r="P563" i="8" l="1"/>
  <c r="Q563" i="8" s="1"/>
  <c r="S563" i="8" s="1"/>
  <c r="T563" i="8" s="1"/>
  <c r="P564" i="8" l="1"/>
  <c r="Q564" i="8" s="1"/>
  <c r="S564" i="8" s="1"/>
  <c r="T564" i="8" s="1"/>
  <c r="P565" i="8" l="1"/>
  <c r="Q565" i="8" s="1"/>
  <c r="S565" i="8" s="1"/>
  <c r="T565" i="8" s="1"/>
  <c r="P566" i="8" l="1"/>
  <c r="Q566" i="8" s="1"/>
  <c r="S566" i="8" s="1"/>
  <c r="T566" i="8" s="1"/>
  <c r="P567" i="8" l="1"/>
  <c r="Q567" i="8" s="1"/>
  <c r="S567" i="8" s="1"/>
  <c r="T567" i="8" s="1"/>
  <c r="P568" i="8" l="1"/>
  <c r="Q568" i="8" s="1"/>
  <c r="S568" i="8" s="1"/>
  <c r="T568" i="8" s="1"/>
  <c r="P569" i="8" l="1"/>
  <c r="Q569" i="8" s="1"/>
  <c r="S569" i="8" s="1"/>
  <c r="T569" i="8" s="1"/>
  <c r="P570" i="8" l="1"/>
  <c r="Q570" i="8" s="1"/>
  <c r="S570" i="8" s="1"/>
  <c r="T570" i="8" s="1"/>
  <c r="P571" i="8" l="1"/>
  <c r="Q571" i="8" s="1"/>
  <c r="S571" i="8" s="1"/>
  <c r="T571" i="8" s="1"/>
  <c r="P572" i="8" l="1"/>
  <c r="Q572" i="8" s="1"/>
  <c r="S572" i="8" s="1"/>
  <c r="T572" i="8" s="1"/>
  <c r="P573" i="8" l="1"/>
  <c r="Q573" i="8" s="1"/>
  <c r="S573" i="8" s="1"/>
  <c r="T573" i="8" s="1"/>
  <c r="P574" i="8" l="1"/>
  <c r="Q574" i="8" s="1"/>
  <c r="S574" i="8" s="1"/>
  <c r="T574" i="8" s="1"/>
  <c r="P575" i="8" l="1"/>
  <c r="Q575" i="8" s="1"/>
  <c r="S575" i="8" s="1"/>
  <c r="T575" i="8" s="1"/>
  <c r="P576" i="8" l="1"/>
  <c r="Q576" i="8" s="1"/>
  <c r="S576" i="8" s="1"/>
  <c r="T576" i="8" s="1"/>
  <c r="P577" i="8" l="1"/>
  <c r="Q577" i="8" s="1"/>
  <c r="S577" i="8" s="1"/>
  <c r="T577" i="8" s="1"/>
  <c r="P578" i="8" l="1"/>
  <c r="Q578" i="8" s="1"/>
  <c r="S578" i="8" s="1"/>
  <c r="T578" i="8" s="1"/>
</calcChain>
</file>

<file path=xl/sharedStrings.xml><?xml version="1.0" encoding="utf-8"?>
<sst xmlns="http://schemas.openxmlformats.org/spreadsheetml/2006/main" count="1892" uniqueCount="194">
  <si>
    <t>TABEL PERHITUNGAN EMOSI</t>
  </si>
  <si>
    <t>No</t>
  </si>
  <si>
    <t>Identitas</t>
  </si>
  <si>
    <t>Kode</t>
  </si>
  <si>
    <t>Kondisi Psikologi</t>
  </si>
  <si>
    <t>Laju/menit</t>
  </si>
  <si>
    <t>EF AKT</t>
  </si>
  <si>
    <t>Good</t>
  </si>
  <si>
    <t>Bad</t>
  </si>
  <si>
    <t>Jalan/ Tunda</t>
  </si>
  <si>
    <t>Ibu</t>
  </si>
  <si>
    <t>IB21</t>
  </si>
  <si>
    <t>SAMPLE/IC</t>
  </si>
  <si>
    <t>Bangun Tidur</t>
  </si>
  <si>
    <t>Jalan</t>
  </si>
  <si>
    <t>daftar aktivitas yang terpilih selama simulasi</t>
  </si>
  <si>
    <t>waktu aktivitas ketika dipilih (begitu mulai siklus baru/ begitu aktivitas sebelumnya selesai)</t>
  </si>
  <si>
    <t>T1/T2/T…</t>
  </si>
  <si>
    <t>menurun ke bawah (saya simulasi manual)</t>
  </si>
  <si>
    <t>yang tampak pada program Mas Andri (selalu mereplace nilai dari simulasi baru)</t>
  </si>
  <si>
    <t>Menyapu Gudang</t>
  </si>
  <si>
    <t>Membaca</t>
  </si>
  <si>
    <t>BAK</t>
  </si>
  <si>
    <t>Mandi</t>
  </si>
  <si>
    <t>Nilai</t>
  </si>
  <si>
    <t>TABEL DATA EMOSI</t>
  </si>
  <si>
    <t>POSISI NORMAL</t>
  </si>
  <si>
    <t>LAJU KE NORMAL</t>
  </si>
  <si>
    <t>Tes Web Karakter Tempramen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</si>
  <si>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</si>
  <si>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</si>
  <si>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</si>
  <si>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</si>
  <si>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</si>
  <si>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</si>
  <si>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</si>
  <si>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</si>
  <si>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</si>
  <si>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</si>
  <si>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</si>
  <si>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</si>
  <si>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</si>
  <si>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Sanguine</t>
  </si>
  <si>
    <t>-0.5</t>
  </si>
  <si>
    <t>S</t>
  </si>
  <si>
    <t>Percaya Diri</t>
  </si>
  <si>
    <t>Phlegmatic</t>
  </si>
  <si>
    <t>-1</t>
  </si>
  <si>
    <t>M</t>
  </si>
  <si>
    <t>Gembira/Bahagia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</si>
  <si>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</si>
  <si>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</si>
  <si>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</si>
  <si>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</si>
  <si>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</si>
  <si>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</si>
  <si>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</si>
  <si>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</si>
  <si>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</si>
  <si>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</si>
  <si>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</si>
  <si>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AY21</t>
  </si>
  <si>
    <t>NK21</t>
  </si>
  <si>
    <t>AN21</t>
  </si>
  <si>
    <t>AN22</t>
  </si>
  <si>
    <t>TM21</t>
  </si>
  <si>
    <t>Jijik</t>
  </si>
  <si>
    <t>Marah</t>
  </si>
  <si>
    <t>Kesepian</t>
  </si>
  <si>
    <t>Efek Waktu</t>
  </si>
  <si>
    <t>Tunda</t>
  </si>
  <si>
    <t>Mood setelah Ef. Waktu</t>
  </si>
  <si>
    <t>Baseline</t>
  </si>
  <si>
    <t>Efek Aktivitas</t>
  </si>
  <si>
    <t>Mulai</t>
  </si>
  <si>
    <t>Selesai</t>
  </si>
  <si>
    <t>Terpilih</t>
  </si>
  <si>
    <t>Makan</t>
  </si>
  <si>
    <t>menit dimulai koef. Akt =1</t>
  </si>
  <si>
    <t>Koef. Ef. AkT</t>
  </si>
  <si>
    <t>Koef. Akt</t>
  </si>
  <si>
    <t>input di menit terakhir/ menit aktivitas selesai; data dari daftar efek jalan/tunda</t>
  </si>
  <si>
    <t>Waktu berjalan/waktu siklus</t>
  </si>
  <si>
    <r>
      <rPr>
        <b/>
        <sz val="11"/>
        <color rgb="FFFF0000"/>
        <rFont val="Calibri"/>
        <family val="2"/>
        <scheme val="minor"/>
      </rPr>
      <t>Countdown</t>
    </r>
    <r>
      <rPr>
        <sz val="11"/>
        <color rgb="FFFF0000"/>
        <rFont val="Calibri"/>
        <family val="2"/>
        <scheme val="minor"/>
      </rPr>
      <t xml:space="preserve"> durasi akt (mnt)***</t>
    </r>
  </si>
  <si>
    <t>Tidur</t>
  </si>
  <si>
    <t>Tidur Malam</t>
  </si>
  <si>
    <r>
      <t>CCE</t>
    </r>
    <r>
      <rPr>
        <b/>
        <sz val="11"/>
        <color rgb="FFFF0000"/>
        <rFont val="Calibri"/>
        <family val="2"/>
        <scheme val="minor"/>
      </rPr>
      <t>**</t>
    </r>
  </si>
  <si>
    <t>Menonton TV</t>
  </si>
  <si>
    <t>berjalan jika perlu pindah ruang (1 menit)</t>
  </si>
  <si>
    <t>Memasak makan siang</t>
  </si>
  <si>
    <t>Berjalan: KT ke KM</t>
  </si>
  <si>
    <t>Berjalan: KM ke RMKN</t>
  </si>
  <si>
    <t>Berjalan: RMKN ke KM</t>
  </si>
  <si>
    <t>Berjalan: KM ke KT</t>
  </si>
  <si>
    <t>Berjalan: KT ke RMKN</t>
  </si>
  <si>
    <t>Berjalan: RMKN ke RKG</t>
  </si>
  <si>
    <t>Berjalan: RKG ke DPR</t>
  </si>
  <si>
    <t>Mencuci dengan mesin</t>
  </si>
  <si>
    <t>Berjalan: DPR ke RCC</t>
  </si>
  <si>
    <t>Total</t>
  </si>
  <si>
    <t>Menyapu RCC</t>
  </si>
  <si>
    <t>Menyapu RMKN</t>
  </si>
  <si>
    <t>Menyapu DPR</t>
  </si>
  <si>
    <t>Menyapu KRDR</t>
  </si>
  <si>
    <t>:01</t>
  </si>
  <si>
    <t>:00</t>
  </si>
  <si>
    <t>:02</t>
  </si>
  <si>
    <t>:03</t>
  </si>
  <si>
    <t>:04</t>
  </si>
  <si>
    <t>:05</t>
  </si>
  <si>
    <t>:06</t>
  </si>
  <si>
    <t>:07</t>
  </si>
  <si>
    <t>:08</t>
  </si>
  <si>
    <t>:09</t>
  </si>
  <si>
    <t>:10</t>
  </si>
  <si>
    <t>:11</t>
  </si>
  <si>
    <t>:12</t>
  </si>
  <si>
    <t>:13</t>
  </si>
  <si>
    <t>:14</t>
  </si>
  <si>
    <t>:15</t>
  </si>
  <si>
    <t>:16</t>
  </si>
  <si>
    <t>:17</t>
  </si>
  <si>
    <t>:18</t>
  </si>
  <si>
    <t>:19</t>
  </si>
  <si>
    <t>:20</t>
  </si>
  <si>
    <t>:21</t>
  </si>
  <si>
    <t>:22</t>
  </si>
  <si>
    <t>:23</t>
  </si>
  <si>
    <t>:24</t>
  </si>
  <si>
    <t>:25</t>
  </si>
  <si>
    <t>:26</t>
  </si>
  <si>
    <t>:27</t>
  </si>
  <si>
    <t>:28</t>
  </si>
  <si>
    <t>:29</t>
  </si>
  <si>
    <t>:30</t>
  </si>
  <si>
    <t>:31</t>
  </si>
  <si>
    <t>:32</t>
  </si>
  <si>
    <t>:33</t>
  </si>
  <si>
    <t>:34</t>
  </si>
  <si>
    <t>:35</t>
  </si>
  <si>
    <t>:36</t>
  </si>
  <si>
    <t>:37</t>
  </si>
  <si>
    <t>:38</t>
  </si>
  <si>
    <t>:39</t>
  </si>
  <si>
    <t>:40</t>
  </si>
  <si>
    <t>:41</t>
  </si>
  <si>
    <t>:42</t>
  </si>
  <si>
    <t>:43</t>
  </si>
  <si>
    <t>:44</t>
  </si>
  <si>
    <t>:45</t>
  </si>
  <si>
    <t>:46</t>
  </si>
  <si>
    <t>:47</t>
  </si>
  <si>
    <t>:48</t>
  </si>
  <si>
    <t>:49</t>
  </si>
  <si>
    <t>:50</t>
  </si>
  <si>
    <t>:51</t>
  </si>
  <si>
    <t>:52</t>
  </si>
  <si>
    <t>:53</t>
  </si>
  <si>
    <t>:54</t>
  </si>
  <si>
    <t>:55</t>
  </si>
  <si>
    <t>:56</t>
  </si>
  <si>
    <t>:57</t>
  </si>
  <si>
    <t>:58</t>
  </si>
  <si>
    <t>:59</t>
  </si>
  <si>
    <r>
      <rPr>
        <b/>
        <sz val="9"/>
        <color rgb="FFFF0000"/>
        <rFont val="Calibri"/>
        <family val="2"/>
        <scheme val="minor"/>
      </rPr>
      <t>**</t>
    </r>
    <r>
      <rPr>
        <sz val="9"/>
        <color rgb="FFFF0000"/>
        <rFont val="Calibri"/>
        <family val="2"/>
        <scheme val="minor"/>
      </rPr>
      <t>masuk ke pengaruh emosi KAL.B</t>
    </r>
  </si>
  <si>
    <r>
      <rPr>
        <b/>
        <sz val="9"/>
        <color rgb="FFFF0000"/>
        <rFont val="Calibri"/>
        <family val="2"/>
        <scheme val="minor"/>
      </rPr>
      <t>***</t>
    </r>
    <r>
      <rPr>
        <sz val="9"/>
        <color rgb="FFFF0000"/>
        <rFont val="Calibri"/>
        <family val="2"/>
        <scheme val="minor"/>
      </rPr>
      <t>durasi dari jadwal terencana</t>
    </r>
  </si>
  <si>
    <t>Menyapu RKG</t>
  </si>
  <si>
    <t>Akt. jalan, bisa ditinggal utk melakukan akt. lain (perhitungan di Kal.E(side act))</t>
  </si>
  <si>
    <t>Menyapu RTM</t>
  </si>
  <si>
    <t>Menyapu TRS</t>
  </si>
  <si>
    <t>Akt. rencana kategori Kebutuhan, tingkat kebutuhan tinggi/rendah menurut tabel kal.Pilih (DD_P) kolom Urgensi Lingkungan</t>
  </si>
  <si>
    <t>Menghidupkan Pompa</t>
  </si>
  <si>
    <t>Membuang sampah dapur</t>
  </si>
  <si>
    <t>Berjalan: TRS ke DPR</t>
  </si>
  <si>
    <t>Mengepel RTM</t>
  </si>
  <si>
    <t>Mengepel RKG</t>
  </si>
  <si>
    <t>Berjalan: TRS ke KM</t>
  </si>
  <si>
    <t>Berjalan: RKG ke KM</t>
  </si>
  <si>
    <t>Berjalan: KM ke RKG</t>
  </si>
  <si>
    <t>Mengepel KRDR</t>
  </si>
  <si>
    <t>Berjalan: KM ke KRDR</t>
  </si>
  <si>
    <t>Mengepel RMKN</t>
  </si>
  <si>
    <t>Berjalan: KRDR ke KM</t>
  </si>
  <si>
    <r>
      <t xml:space="preserve">Total/ acuan EF. Waktu </t>
    </r>
    <r>
      <rPr>
        <b/>
        <sz val="11"/>
        <color rgb="FFFF0000"/>
        <rFont val="Calibri"/>
        <family val="2"/>
        <scheme val="minor"/>
      </rPr>
      <t>(IC)</t>
    </r>
  </si>
  <si>
    <t>Poin Ef. AkT</t>
  </si>
  <si>
    <t>menit dimulai koef. Akt =0 (belum ada poin hasil aktivitas)</t>
  </si>
  <si>
    <t>:60</t>
  </si>
  <si>
    <t>Interupsi</t>
  </si>
  <si>
    <t>Mematikan Pompa</t>
  </si>
  <si>
    <t>terpilih kembali</t>
  </si>
  <si>
    <t>Berjalan: DPR ke KT</t>
  </si>
  <si>
    <t>Berjalan: DPR ke KM</t>
  </si>
  <si>
    <t>belum mulai</t>
  </si>
  <si>
    <t>belum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</si>
</sst>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10" fillId="2" borderId="1" applyNumberFormat="0" applyAlignment="0" applyProtection="0"/>
  </cellStyleXfs>
  <cellXfs count="246">
    <xf numFmtId="0" fontId="0" fillId="0" borderId="0" xfId="0"/>
    <xf numFmtId="0" fontId="2" fillId="0" borderId="0" xfId="0" applyFont="1" applyAlignment="1"/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0" borderId="0" xfId="0" applyFont="1"/>
    <xf numFmtId="0" fontId="0" fillId="0" borderId="6" xfId="0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0" fillId="7" borderId="0" xfId="0" applyFill="1"/>
    <xf numFmtId="0" fontId="0" fillId="0" borderId="7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9" fillId="9" borderId="0" xfId="0" applyFont="1" applyFill="1"/>
    <xf numFmtId="0" fontId="0" fillId="0" borderId="8" xfId="0" applyBorder="1"/>
    <xf numFmtId="0" fontId="0" fillId="0" borderId="0" xfId="0" applyFill="1"/>
    <xf numFmtId="0" fontId="0" fillId="0" borderId="4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/>
    </xf>
    <xf numFmtId="0" fontId="0" fillId="0" borderId="45" xfId="0" applyFill="1" applyBorder="1"/>
    <xf numFmtId="0" fontId="0" fillId="0" borderId="0" xfId="0" applyFill="1" applyBorder="1"/>
    <xf numFmtId="0" fontId="0" fillId="0" borderId="16" xfId="0" applyFill="1" applyBorder="1"/>
    <xf numFmtId="0" fontId="0" fillId="0" borderId="15" xfId="0" applyFill="1" applyBorder="1"/>
    <xf numFmtId="0" fontId="0" fillId="0" borderId="8" xfId="0" applyFill="1" applyBorder="1"/>
    <xf numFmtId="164" fontId="0" fillId="3" borderId="8" xfId="0" applyNumberFormat="1" applyFill="1" applyBorder="1"/>
    <xf numFmtId="0" fontId="0" fillId="0" borderId="0" xfId="0" quotePrefix="1" applyFill="1" applyBorder="1" applyAlignment="1">
      <alignment horizontal="right"/>
    </xf>
    <xf numFmtId="0" fontId="0" fillId="0" borderId="46" xfId="0" applyFill="1" applyBorder="1" applyAlignment="1">
      <alignment horizontal="center" vertical="center"/>
    </xf>
    <xf numFmtId="2" fontId="0" fillId="0" borderId="0" xfId="0" applyNumberFormat="1" applyFill="1" applyBorder="1"/>
    <xf numFmtId="0" fontId="0" fillId="0" borderId="28" xfId="0" applyFill="1" applyBorder="1"/>
    <xf numFmtId="0" fontId="0" fillId="0" borderId="27" xfId="0" applyFill="1" applyBorder="1"/>
    <xf numFmtId="165" fontId="0" fillId="3" borderId="8" xfId="0" applyNumberFormat="1" applyFill="1" applyBorder="1"/>
    <xf numFmtId="0" fontId="0" fillId="0" borderId="19" xfId="0" applyFill="1" applyBorder="1"/>
    <xf numFmtId="0" fontId="0" fillId="0" borderId="9" xfId="0" applyFill="1" applyBorder="1"/>
    <xf numFmtId="0" fontId="0" fillId="0" borderId="21" xfId="0" applyFill="1" applyBorder="1"/>
    <xf numFmtId="0" fontId="11" fillId="3" borderId="29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center" vertical="center"/>
    </xf>
    <xf numFmtId="164" fontId="8" fillId="0" borderId="37" xfId="0" quotePrefix="1" applyNumberFormat="1" applyFont="1" applyFill="1" applyBorder="1" applyAlignment="1">
      <alignment horizontal="right" vertical="center"/>
    </xf>
    <xf numFmtId="165" fontId="8" fillId="0" borderId="20" xfId="0" quotePrefix="1" applyNumberFormat="1" applyFont="1" applyFill="1" applyBorder="1" applyAlignment="1">
      <alignment horizontal="right" vertical="center"/>
    </xf>
    <xf numFmtId="165" fontId="8" fillId="0" borderId="22" xfId="0" quotePrefix="1" applyNumberFormat="1" applyFont="1" applyFill="1" applyBorder="1" applyAlignment="1">
      <alignment horizontal="right" vertical="center"/>
    </xf>
    <xf numFmtId="164" fontId="8" fillId="0" borderId="20" xfId="0" quotePrefix="1" applyNumberFormat="1" applyFont="1" applyFill="1" applyBorder="1" applyAlignment="1">
      <alignment horizontal="right" vertical="center"/>
    </xf>
    <xf numFmtId="164" fontId="8" fillId="0" borderId="20" xfId="0" applyNumberFormat="1" applyFont="1" applyFill="1" applyBorder="1" applyAlignment="1">
      <alignment horizontal="right" vertical="center"/>
    </xf>
    <xf numFmtId="164" fontId="8" fillId="0" borderId="22" xfId="0" applyNumberFormat="1" applyFont="1" applyFill="1" applyBorder="1" applyAlignment="1">
      <alignment horizontal="right" vertical="center"/>
    </xf>
    <xf numFmtId="164" fontId="0" fillId="0" borderId="6" xfId="0" applyNumberFormat="1" applyBorder="1" applyAlignment="1">
      <alignment horizontal="center" vertical="center"/>
    </xf>
    <xf numFmtId="20" fontId="6" fillId="8" borderId="6" xfId="0" applyNumberFormat="1" applyFont="1" applyFill="1" applyBorder="1" applyAlignment="1"/>
    <xf numFmtId="0" fontId="0" fillId="0" borderId="0" xfId="0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6" xfId="0" quotePrefix="1" applyNumberFormat="1" applyFill="1" applyBorder="1" applyAlignment="1">
      <alignment horizontal="center" vertical="center"/>
    </xf>
    <xf numFmtId="164" fontId="0" fillId="0" borderId="7" xfId="0" quotePrefix="1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2" xfId="0" quotePrefix="1" applyNumberFormat="1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20" fontId="6" fillId="10" borderId="6" xfId="0" applyNumberFormat="1" applyFont="1" applyFill="1" applyBorder="1" applyAlignment="1"/>
    <xf numFmtId="20" fontId="6" fillId="0" borderId="6" xfId="0" applyNumberFormat="1" applyFont="1" applyFill="1" applyBorder="1" applyAlignment="1"/>
    <xf numFmtId="0" fontId="7" fillId="0" borderId="0" xfId="0" applyFont="1" applyFill="1"/>
    <xf numFmtId="0" fontId="9" fillId="0" borderId="0" xfId="0" applyFont="1" applyFill="1"/>
    <xf numFmtId="0" fontId="0" fillId="10" borderId="8" xfId="0" applyFill="1" applyBorder="1"/>
    <xf numFmtId="1" fontId="0" fillId="10" borderId="7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4" fillId="0" borderId="2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20" fontId="6" fillId="11" borderId="6" xfId="0" applyNumberFormat="1" applyFont="1" applyFill="1" applyBorder="1" applyAlignment="1"/>
    <xf numFmtId="20" fontId="12" fillId="8" borderId="6" xfId="0" applyNumberFormat="1" applyFont="1" applyFill="1" applyBorder="1" applyAlignment="1"/>
    <xf numFmtId="0" fontId="3" fillId="0" borderId="0" xfId="1" applyBorder="1"/>
    <xf numFmtId="0" fontId="4" fillId="0" borderId="7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/>
    <xf numFmtId="0" fontId="0" fillId="0" borderId="35" xfId="0" applyBorder="1" applyAlignment="1">
      <alignment horizontal="center"/>
    </xf>
    <xf numFmtId="0" fontId="3" fillId="0" borderId="29" xfId="1" applyBorder="1"/>
    <xf numFmtId="0" fontId="3" fillId="0" borderId="32" xfId="1" applyBorder="1"/>
    <xf numFmtId="166" fontId="0" fillId="0" borderId="32" xfId="0" applyNumberFormat="1" applyFill="1" applyBorder="1" applyAlignment="1">
      <alignment horizontal="center" vertical="center"/>
    </xf>
    <xf numFmtId="165" fontId="0" fillId="0" borderId="32" xfId="0" applyNumberFormat="1" applyFill="1" applyBorder="1" applyAlignment="1">
      <alignment horizontal="center" vertical="center"/>
    </xf>
    <xf numFmtId="164" fontId="0" fillId="0" borderId="31" xfId="0" applyNumberFormat="1" applyFill="1" applyBorder="1" applyAlignment="1">
      <alignment horizontal="center" vertical="center" wrapText="1"/>
    </xf>
    <xf numFmtId="20" fontId="12" fillId="8" borderId="4" xfId="0" applyNumberFormat="1" applyFont="1" applyFill="1" applyBorder="1" applyAlignment="1"/>
    <xf numFmtId="1" fontId="0" fillId="8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20" fontId="6" fillId="11" borderId="20" xfId="0" applyNumberFormat="1" applyFont="1" applyFill="1" applyBorder="1" applyAlignment="1"/>
    <xf numFmtId="164" fontId="4" fillId="4" borderId="32" xfId="0" applyNumberFormat="1" applyFont="1" applyFill="1" applyBorder="1" applyAlignment="1">
      <alignment horizontal="center" vertical="center" wrapText="1"/>
    </xf>
    <xf numFmtId="0" fontId="0" fillId="0" borderId="34" xfId="0" applyFill="1" applyBorder="1"/>
    <xf numFmtId="164" fontId="0" fillId="0" borderId="4" xfId="0" quotePrefix="1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20" fontId="6" fillId="11" borderId="36" xfId="0" applyNumberFormat="1" applyFont="1" applyFill="1" applyBorder="1" applyAlignment="1"/>
    <xf numFmtId="1" fontId="0" fillId="8" borderId="2" xfId="0" applyNumberFormat="1" applyFill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Fill="1" applyBorder="1"/>
    <xf numFmtId="0" fontId="14" fillId="0" borderId="0" xfId="0" applyFont="1"/>
    <xf numFmtId="0" fontId="6" fillId="3" borderId="0" xfId="0" applyFont="1" applyFill="1" applyBorder="1" applyAlignment="1"/>
    <xf numFmtId="0" fontId="6" fillId="5" borderId="0" xfId="0" applyFont="1" applyFill="1" applyBorder="1" applyAlignment="1"/>
    <xf numFmtId="0" fontId="3" fillId="0" borderId="0" xfId="1" applyFill="1" applyBorder="1"/>
    <xf numFmtId="20" fontId="12" fillId="0" borderId="6" xfId="0" applyNumberFormat="1" applyFont="1" applyFill="1" applyBorder="1" applyAlignment="1"/>
    <xf numFmtId="20" fontId="14" fillId="0" borderId="6" xfId="0" applyNumberFormat="1" applyFont="1" applyFill="1" applyBorder="1" applyAlignment="1"/>
    <xf numFmtId="20" fontId="6" fillId="11" borderId="49" xfId="0" applyNumberFormat="1" applyFont="1" applyFill="1" applyBorder="1" applyAlignment="1"/>
    <xf numFmtId="20" fontId="12" fillId="8" borderId="20" xfId="0" applyNumberFormat="1" applyFont="1" applyFill="1" applyBorder="1" applyAlignment="1"/>
    <xf numFmtId="20" fontId="12" fillId="0" borderId="2" xfId="0" applyNumberFormat="1" applyFont="1" applyFill="1" applyBorder="1" applyAlignment="1"/>
    <xf numFmtId="164" fontId="0" fillId="0" borderId="32" xfId="0" applyNumberForma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164" fontId="0" fillId="11" borderId="7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35" xfId="0" applyFill="1" applyBorder="1" applyAlignment="1">
      <alignment horizont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10" borderId="7" xfId="0" applyNumberFormat="1" applyFont="1" applyFill="1" applyBorder="1" applyAlignment="1">
      <alignment horizontal="center" vertical="center"/>
    </xf>
    <xf numFmtId="1" fontId="9" fillId="8" borderId="7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1" applyFont="1" applyBorder="1"/>
    <xf numFmtId="20" fontId="13" fillId="10" borderId="6" xfId="0" applyNumberFormat="1" applyFont="1" applyFill="1" applyBorder="1" applyAlignment="1"/>
    <xf numFmtId="1" fontId="1" fillId="1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2" xfId="0" quotePrefix="1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/>
    </xf>
    <xf numFmtId="0" fontId="9" fillId="0" borderId="0" xfId="1" applyFont="1" applyBorder="1"/>
    <xf numFmtId="20" fontId="14" fillId="10" borderId="6" xfId="0" applyNumberFormat="1" applyFont="1" applyFill="1" applyBorder="1" applyAlignment="1"/>
    <xf numFmtId="0" fontId="9" fillId="0" borderId="7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2" xfId="0" quotePrefix="1" applyNumberFormat="1" applyFont="1" applyFill="1" applyBorder="1" applyAlignment="1">
      <alignment horizontal="center" vertical="center"/>
    </xf>
    <xf numFmtId="164" fontId="9" fillId="4" borderId="7" xfId="0" applyNumberFormat="1" applyFont="1" applyFill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/>
    </xf>
    <xf numFmtId="0" fontId="1" fillId="0" borderId="0" xfId="0" applyFont="1" applyFill="1"/>
    <xf numFmtId="0" fontId="0" fillId="12" borderId="0" xfId="0" applyFill="1"/>
    <xf numFmtId="0" fontId="3" fillId="12" borderId="0" xfId="1" applyFill="1" applyBorder="1"/>
    <xf numFmtId="20" fontId="14" fillId="12" borderId="6" xfId="0" applyNumberFormat="1" applyFont="1" applyFill="1" applyBorder="1" applyAlignment="1"/>
    <xf numFmtId="0" fontId="9" fillId="8" borderId="2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/>
    </xf>
    <xf numFmtId="0" fontId="6" fillId="8" borderId="38" xfId="0" applyFont="1" applyFill="1" applyBorder="1" applyAlignment="1">
      <alignment horizontal="center"/>
    </xf>
    <xf numFmtId="0" fontId="6" fillId="8" borderId="39" xfId="0" applyFont="1" applyFill="1" applyBorder="1" applyAlignment="1">
      <alignment horizontal="center"/>
    </xf>
    <xf numFmtId="0" fontId="6" fillId="0" borderId="36" xfId="0" applyFont="1" applyFill="1" applyBorder="1" applyAlignment="1">
      <alignment horizontal="center"/>
    </xf>
    <xf numFmtId="0" fontId="6" fillId="0" borderId="48" xfId="0" applyFont="1" applyFill="1" applyBorder="1" applyAlignment="1">
      <alignment horizontal="center"/>
    </xf>
    <xf numFmtId="0" fontId="6" fillId="10" borderId="36" xfId="0" applyFont="1" applyFill="1" applyBorder="1" applyAlignment="1">
      <alignment horizontal="center"/>
    </xf>
    <xf numFmtId="0" fontId="6" fillId="10" borderId="4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6" fillId="10" borderId="41" xfId="0" applyFont="1" applyFill="1" applyBorder="1" applyAlignment="1">
      <alignment horizontal="center"/>
    </xf>
    <xf numFmtId="0" fontId="6" fillId="10" borderId="30" xfId="0" applyFont="1" applyFill="1" applyBorder="1" applyAlignment="1">
      <alignment horizontal="center"/>
    </xf>
    <xf numFmtId="0" fontId="6" fillId="10" borderId="49" xfId="0" applyFont="1" applyFill="1" applyBorder="1" applyAlignment="1">
      <alignment horizontal="center"/>
    </xf>
    <xf numFmtId="0" fontId="6" fillId="10" borderId="50" xfId="0" applyFont="1" applyFill="1" applyBorder="1" applyAlignment="1">
      <alignment horizontal="center"/>
    </xf>
    <xf numFmtId="0" fontId="6" fillId="10" borderId="26" xfId="0" applyFont="1" applyFill="1" applyBorder="1" applyAlignment="1">
      <alignment horizontal="center"/>
    </xf>
    <xf numFmtId="0" fontId="6" fillId="10" borderId="24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10" borderId="44" xfId="0" applyFont="1" applyFill="1" applyBorder="1" applyAlignment="1">
      <alignment horizontal="center"/>
    </xf>
    <xf numFmtId="0" fontId="6" fillId="10" borderId="42" xfId="0" applyFont="1" applyFill="1" applyBorder="1" applyAlignment="1">
      <alignment horizontal="center"/>
    </xf>
    <xf numFmtId="0" fontId="6" fillId="8" borderId="44" xfId="0" applyFont="1" applyFill="1" applyBorder="1" applyAlignment="1">
      <alignment horizontal="center"/>
    </xf>
    <xf numFmtId="0" fontId="6" fillId="8" borderId="4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38" xfId="0" applyFont="1" applyFill="1" applyBorder="1" applyAlignment="1">
      <alignment horizontal="center"/>
    </xf>
    <xf numFmtId="0" fontId="6" fillId="10" borderId="3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3" fillId="10" borderId="36" xfId="0" applyFont="1" applyFill="1" applyBorder="1" applyAlignment="1">
      <alignment horizontal="center"/>
    </xf>
    <xf numFmtId="0" fontId="13" fillId="10" borderId="48" xfId="0" applyFont="1" applyFill="1" applyBorder="1" applyAlignment="1">
      <alignment horizontal="center"/>
    </xf>
    <xf numFmtId="0" fontId="14" fillId="10" borderId="36" xfId="0" applyFont="1" applyFill="1" applyBorder="1" applyAlignment="1">
      <alignment horizontal="center"/>
    </xf>
    <xf numFmtId="0" fontId="14" fillId="10" borderId="48" xfId="0" applyFont="1" applyFill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0" fontId="12" fillId="12" borderId="36" xfId="0" applyFont="1" applyFill="1" applyBorder="1" applyAlignment="1">
      <alignment horizontal="center"/>
    </xf>
    <xf numFmtId="0" fontId="12" fillId="12" borderId="48" xfId="0" applyFont="1" applyFill="1" applyBorder="1" applyAlignment="1">
      <alignment horizontal="center"/>
    </xf>
    <xf numFmtId="0" fontId="6" fillId="8" borderId="49" xfId="0" applyFont="1" applyFill="1" applyBorder="1" applyAlignment="1">
      <alignment horizontal="center"/>
    </xf>
    <xf numFmtId="0" fontId="6" fillId="8" borderId="50" xfId="0" applyFont="1" applyFill="1" applyBorder="1" applyAlignment="1">
      <alignment horizontal="center"/>
    </xf>
    <xf numFmtId="0" fontId="6" fillId="8" borderId="36" xfId="0" applyFont="1" applyFill="1" applyBorder="1" applyAlignment="1">
      <alignment horizontal="center"/>
    </xf>
    <xf numFmtId="0" fontId="6" fillId="8" borderId="48" xfId="0" applyFont="1" applyFill="1" applyBorder="1" applyAlignment="1">
      <alignment horizontal="center"/>
    </xf>
    <xf numFmtId="0" fontId="6" fillId="8" borderId="46" xfId="0" applyFont="1" applyFill="1" applyBorder="1" applyAlignment="1">
      <alignment horizontal="center"/>
    </xf>
    <xf numFmtId="0" fontId="6" fillId="8" borderId="51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3" fillId="0" borderId="40" xfId="1" applyBorder="1" applyAlignment="1">
      <alignment horizontal="center" vertical="center"/>
    </xf>
    <xf numFmtId="0" fontId="3" fillId="0" borderId="23" xfId="1" applyBorder="1" applyAlignment="1">
      <alignment horizontal="center" vertical="center"/>
    </xf>
    <xf numFmtId="0" fontId="3" fillId="0" borderId="43" xfId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0" fontId="6" fillId="3" borderId="50" xfId="0" applyFont="1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Outpu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Q18"/>
  <sheetViews>
    <sheetView zoomScale="115" zoomScaleNormal="115" workbookViewId="0">
      <selection activeCell="D16" sqref="D16:D17"/>
    </sheetView>
  </sheetViews>
  <sheetFormatPr defaultRowHeight="15" x14ac:dyDescent="0.25"/>
  <cols>
    <col min="1" max="2" width="9.140625" style="16"/>
    <col min="3" max="3" width="11.7109375" style="16" bestFit="1" customWidth="1"/>
    <col min="4" max="4" width="7.85546875" style="16" bestFit="1" customWidth="1"/>
    <col min="5" max="16384" width="9.140625" style="16"/>
  </cols>
  <sheetData>
    <row r="1" spans="2:17" ht="15.75" thickBot="1" x14ac:dyDescent="0.3">
      <c r="B1" s="153" t="s">
        <v>25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</row>
    <row r="2" spans="2:17" x14ac:dyDescent="0.25">
      <c r="B2" s="154" t="s">
        <v>26</v>
      </c>
      <c r="C2" s="155"/>
      <c r="D2" s="155"/>
      <c r="E2" s="155"/>
      <c r="F2" s="155"/>
      <c r="G2" s="155"/>
      <c r="H2" s="155"/>
      <c r="I2" s="155"/>
      <c r="J2" s="156"/>
      <c r="K2" s="154" t="s">
        <v>27</v>
      </c>
      <c r="L2" s="155"/>
      <c r="M2" s="155"/>
      <c r="N2" s="155"/>
      <c r="O2" s="155"/>
      <c r="P2" s="155"/>
      <c r="Q2" s="156"/>
    </row>
    <row r="3" spans="2:17" ht="15.75" thickBot="1" x14ac:dyDescent="0.3">
      <c r="B3" s="157"/>
      <c r="C3" s="158"/>
      <c r="D3" s="158"/>
      <c r="E3" s="158"/>
      <c r="F3" s="158"/>
      <c r="G3" s="158"/>
      <c r="H3" s="158"/>
      <c r="I3" s="158"/>
      <c r="J3" s="159"/>
      <c r="K3" s="160"/>
      <c r="L3" s="161"/>
      <c r="M3" s="161"/>
      <c r="N3" s="161"/>
      <c r="O3" s="161"/>
      <c r="P3" s="161"/>
      <c r="Q3" s="162"/>
    </row>
    <row r="4" spans="2:17" ht="45" x14ac:dyDescent="0.25">
      <c r="B4" s="17"/>
      <c r="C4" s="18" t="s">
        <v>28</v>
      </c>
      <c r="D4" s="19" t="s">
        <v>24</v>
      </c>
      <c r="E4" s="19"/>
      <c r="F4" s="19"/>
      <c r="G4" s="163" t="s">
        <v>29</v>
      </c>
      <c r="H4" s="163"/>
      <c r="I4" s="163"/>
      <c r="J4" s="20"/>
      <c r="K4" s="21" t="s">
        <v>30</v>
      </c>
      <c r="L4" s="19" t="s">
        <v>24</v>
      </c>
      <c r="M4" s="18"/>
      <c r="N4" s="18"/>
      <c r="O4" s="18" t="s">
        <v>31</v>
      </c>
      <c r="P4" s="19" t="s">
        <v>24</v>
      </c>
      <c r="Q4" s="22"/>
    </row>
    <row r="5" spans="2:17" ht="15.75" thickBot="1" x14ac:dyDescent="0.3">
      <c r="B5" s="23"/>
      <c r="C5" s="24"/>
      <c r="D5" s="24"/>
      <c r="E5" s="24"/>
      <c r="F5" s="24"/>
      <c r="G5" s="24"/>
      <c r="H5" s="24"/>
      <c r="I5" s="24"/>
      <c r="J5" s="25"/>
      <c r="K5" s="26"/>
      <c r="L5" s="24"/>
      <c r="M5" s="24"/>
      <c r="N5" s="24"/>
      <c r="O5" s="24"/>
      <c r="P5" s="24"/>
      <c r="Q5" s="25"/>
    </row>
    <row r="6" spans="2:17" ht="15.75" thickBot="1" x14ac:dyDescent="0.3">
      <c r="B6" s="164" t="s">
        <v>10</v>
      </c>
      <c r="C6" s="24" t="s">
        <v>32</v>
      </c>
      <c r="D6" s="27">
        <v>10</v>
      </c>
      <c r="E6" s="24" t="s">
        <v>33</v>
      </c>
      <c r="F6" s="24"/>
      <c r="G6" s="28">
        <f>(D6/24)*H6</f>
        <v>0.41666666666666669</v>
      </c>
      <c r="H6" s="29" t="s">
        <v>34</v>
      </c>
      <c r="I6" s="30" t="s">
        <v>35</v>
      </c>
      <c r="J6" s="25"/>
      <c r="K6" s="26" t="s">
        <v>36</v>
      </c>
      <c r="L6" s="24">
        <v>0.5</v>
      </c>
      <c r="M6" s="24"/>
      <c r="N6" s="24"/>
      <c r="O6" s="24" t="s">
        <v>37</v>
      </c>
      <c r="P6" s="24">
        <v>1</v>
      </c>
      <c r="Q6" s="25"/>
    </row>
    <row r="7" spans="2:17" x14ac:dyDescent="0.25">
      <c r="B7" s="164"/>
      <c r="C7" s="24" t="s">
        <v>38</v>
      </c>
      <c r="D7" s="24">
        <v>2</v>
      </c>
      <c r="E7" s="24"/>
      <c r="F7" s="24"/>
      <c r="G7" s="31">
        <f>(D9/24)*H7</f>
        <v>0.10416666666666667</v>
      </c>
      <c r="H7" s="29" t="s">
        <v>39</v>
      </c>
      <c r="I7" s="30" t="s">
        <v>40</v>
      </c>
      <c r="J7" s="25"/>
      <c r="K7" s="26" t="s">
        <v>41</v>
      </c>
      <c r="L7" s="24">
        <v>1</v>
      </c>
      <c r="M7" s="24"/>
      <c r="N7" s="24"/>
      <c r="O7" s="24" t="s">
        <v>66</v>
      </c>
      <c r="P7" s="24">
        <v>0.2</v>
      </c>
      <c r="Q7" s="25"/>
    </row>
    <row r="8" spans="2:17" x14ac:dyDescent="0.25">
      <c r="B8" s="164"/>
      <c r="C8" s="24" t="s">
        <v>42</v>
      </c>
      <c r="D8" s="24">
        <v>4</v>
      </c>
      <c r="E8" s="24"/>
      <c r="F8" s="24"/>
      <c r="G8" s="31">
        <f>(D8/24)*H8</f>
        <v>-8.3333333333333329E-2</v>
      </c>
      <c r="H8" s="29" t="s">
        <v>43</v>
      </c>
      <c r="I8" s="30" t="s">
        <v>44</v>
      </c>
      <c r="J8" s="25"/>
      <c r="K8" s="26" t="s">
        <v>45</v>
      </c>
      <c r="L8" s="24">
        <v>0.9</v>
      </c>
      <c r="M8" s="24"/>
      <c r="N8" s="24"/>
      <c r="O8" s="24" t="s">
        <v>67</v>
      </c>
      <c r="P8" s="24">
        <v>0.7</v>
      </c>
      <c r="Q8" s="25"/>
    </row>
    <row r="9" spans="2:17" x14ac:dyDescent="0.25">
      <c r="B9" s="164"/>
      <c r="C9" s="24" t="s">
        <v>46</v>
      </c>
      <c r="D9" s="24">
        <v>5</v>
      </c>
      <c r="E9" s="24"/>
      <c r="F9" s="24"/>
      <c r="G9" s="31">
        <f>(D7/24)*H9</f>
        <v>-8.3333333333333329E-2</v>
      </c>
      <c r="H9" s="29" t="s">
        <v>47</v>
      </c>
      <c r="I9" s="30" t="s">
        <v>48</v>
      </c>
      <c r="J9" s="25"/>
      <c r="K9" s="26" t="s">
        <v>49</v>
      </c>
      <c r="L9" s="24">
        <v>1</v>
      </c>
      <c r="M9" s="24"/>
      <c r="N9" s="24"/>
      <c r="O9" s="24" t="s">
        <v>68</v>
      </c>
      <c r="P9" s="24">
        <v>1</v>
      </c>
      <c r="Q9" s="25"/>
    </row>
    <row r="10" spans="2:17" x14ac:dyDescent="0.25">
      <c r="B10" s="26"/>
      <c r="C10" s="24"/>
      <c r="D10" s="24"/>
      <c r="E10" s="24"/>
      <c r="F10" s="24"/>
      <c r="G10" s="24"/>
      <c r="H10" s="24"/>
      <c r="I10" s="24"/>
      <c r="J10" s="25"/>
      <c r="K10" s="32" t="s">
        <v>50</v>
      </c>
      <c r="L10" s="33">
        <f>SUM(L6:L9)/4</f>
        <v>0.85</v>
      </c>
      <c r="M10" s="24" t="s">
        <v>51</v>
      </c>
      <c r="N10" s="24"/>
      <c r="O10" s="33" t="s">
        <v>52</v>
      </c>
      <c r="P10" s="33">
        <f>SUM(P6:P9)/4</f>
        <v>0.72499999999999998</v>
      </c>
      <c r="Q10" s="25" t="s">
        <v>51</v>
      </c>
    </row>
    <row r="11" spans="2:17" ht="15.75" thickBot="1" x14ac:dyDescent="0.3">
      <c r="B11" s="26"/>
      <c r="C11" s="24"/>
      <c r="D11" s="24"/>
      <c r="E11" s="24"/>
      <c r="F11" s="24"/>
      <c r="G11" s="24"/>
      <c r="H11" s="24"/>
      <c r="I11" s="24"/>
      <c r="J11" s="25"/>
      <c r="K11" s="26" t="s">
        <v>53</v>
      </c>
      <c r="L11" s="24">
        <v>3</v>
      </c>
      <c r="M11" s="24"/>
      <c r="N11" s="24"/>
      <c r="O11" s="24" t="s">
        <v>53</v>
      </c>
      <c r="P11" s="24">
        <v>6</v>
      </c>
      <c r="Q11" s="25"/>
    </row>
    <row r="12" spans="2:17" ht="15.75" thickBot="1" x14ac:dyDescent="0.3">
      <c r="B12" s="26"/>
      <c r="C12" s="24"/>
      <c r="D12" s="24"/>
      <c r="E12" s="24"/>
      <c r="F12" s="24"/>
      <c r="G12" s="24"/>
      <c r="H12" s="24"/>
      <c r="I12" s="24"/>
      <c r="J12" s="25"/>
      <c r="K12" s="26" t="s">
        <v>54</v>
      </c>
      <c r="L12" s="34">
        <f>(1-$G$6)/L11/60</f>
        <v>3.2407407407407402E-3</v>
      </c>
      <c r="M12" s="24" t="s">
        <v>55</v>
      </c>
      <c r="N12" s="24"/>
      <c r="O12" s="24" t="s">
        <v>54</v>
      </c>
      <c r="P12" s="34">
        <f>(1-$G$6)/P11/60</f>
        <v>1.6203703703703701E-3</v>
      </c>
      <c r="Q12" s="25" t="s">
        <v>55</v>
      </c>
    </row>
    <row r="13" spans="2:17" ht="15.75" thickBot="1" x14ac:dyDescent="0.3">
      <c r="B13" s="35"/>
      <c r="C13" s="36"/>
      <c r="D13" s="36"/>
      <c r="E13" s="36"/>
      <c r="F13" s="36"/>
      <c r="G13" s="36"/>
      <c r="H13" s="36"/>
      <c r="I13" s="36"/>
      <c r="J13" s="37"/>
      <c r="K13" s="35"/>
      <c r="L13" s="36"/>
      <c r="M13" s="36"/>
      <c r="N13" s="36"/>
      <c r="O13" s="36"/>
      <c r="P13" s="36"/>
      <c r="Q13" s="37"/>
    </row>
    <row r="15" spans="2:17" ht="15.75" thickBot="1" x14ac:dyDescent="0.3"/>
    <row r="16" spans="2:17" ht="15.75" customHeight="1" x14ac:dyDescent="0.25">
      <c r="D16" s="146" t="s">
        <v>2</v>
      </c>
      <c r="E16" s="148" t="s">
        <v>3</v>
      </c>
      <c r="F16" s="150" t="s">
        <v>56</v>
      </c>
      <c r="G16" s="151"/>
      <c r="H16" s="152"/>
      <c r="I16" s="150" t="s">
        <v>57</v>
      </c>
      <c r="J16" s="151"/>
      <c r="K16" s="151"/>
      <c r="L16" s="151"/>
      <c r="M16" s="152"/>
    </row>
    <row r="17" spans="4:13" ht="15.75" thickBot="1" x14ac:dyDescent="0.3">
      <c r="D17" s="147"/>
      <c r="E17" s="149"/>
      <c r="F17" s="38" t="s">
        <v>58</v>
      </c>
      <c r="G17" s="39" t="s">
        <v>59</v>
      </c>
      <c r="H17" s="40" t="s">
        <v>60</v>
      </c>
      <c r="I17" s="41" t="s">
        <v>61</v>
      </c>
      <c r="J17" s="42" t="s">
        <v>62</v>
      </c>
      <c r="K17" s="42" t="s">
        <v>63</v>
      </c>
      <c r="L17" s="42" t="s">
        <v>64</v>
      </c>
      <c r="M17" s="43" t="s">
        <v>65</v>
      </c>
    </row>
    <row r="18" spans="4:13" ht="15.75" thickBot="1" x14ac:dyDescent="0.3">
      <c r="D18" s="44" t="s">
        <v>10</v>
      </c>
      <c r="E18" s="45" t="s">
        <v>11</v>
      </c>
      <c r="F18" s="46">
        <v>0.41699999999999998</v>
      </c>
      <c r="G18" s="47">
        <f>L12</f>
        <v>3.2407407407407402E-3</v>
      </c>
      <c r="H18" s="48">
        <f>P12</f>
        <v>1.6203703703703701E-3</v>
      </c>
      <c r="I18" s="46">
        <v>3</v>
      </c>
      <c r="J18" s="49">
        <v>1.5</v>
      </c>
      <c r="K18" s="50">
        <v>1</v>
      </c>
      <c r="L18" s="49">
        <v>1</v>
      </c>
      <c r="M18" s="51">
        <v>3</v>
      </c>
    </row>
  </sheetData>
  <mergeCells count="9">
    <mergeCell ref="D16:D17"/>
    <mergeCell ref="E16:E17"/>
    <mergeCell ref="F16:H16"/>
    <mergeCell ref="I16:M16"/>
    <mergeCell ref="B1:Q1"/>
    <mergeCell ref="B2:J3"/>
    <mergeCell ref="K2:Q3"/>
    <mergeCell ref="G4:I4"/>
    <mergeCell ref="B6:B9"/>
  </mergeCells>
  <pageMargins left="0.7" right="0.7" top="0.75" bottom="0.75" header="0.3" footer="0.3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79998168889431442"/>
    <pageSetUpPr fitToPage="1"/>
  </sheetPr>
  <dimension ref="B1:AC578"/>
  <sheetViews>
    <sheetView tabSelected="1" topLeftCell="H1" zoomScale="140" zoomScaleNormal="140" workbookViewId="0">
      <selection activeCell="M12" sqref="M12"/>
    </sheetView>
  </sheetViews>
  <sheetFormatPr defaultRowHeight="15" x14ac:dyDescent="0.25"/>
  <cols>
    <col min="1" max="1" width="2.7109375" customWidth="1"/>
    <col min="2" max="2" width="10.5703125" bestFit="1" customWidth="1"/>
    <col min="3" max="3" width="10.5703125" customWidth="1"/>
    <col min="4" max="6" width="10.5703125" style="16" customWidth="1"/>
    <col min="8" max="8" width="11.7109375" bestFit="1" customWidth="1"/>
    <col min="9" max="9" width="5.140625" bestFit="1" customWidth="1"/>
    <col min="14" max="14" width="11.140625" customWidth="1"/>
    <col min="15" max="15" width="9.140625" style="16"/>
    <col min="19" max="19" width="9.140625" style="16"/>
    <col min="20" max="20" width="9.140625" customWidth="1"/>
    <col min="21" max="21" width="9.140625" style="54"/>
  </cols>
  <sheetData>
    <row r="1" spans="2:29" x14ac:dyDescent="0.25">
      <c r="B1" s="168" t="s">
        <v>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"/>
      <c r="W1" s="1"/>
      <c r="X1" s="1"/>
      <c r="Y1" s="1"/>
      <c r="Z1" s="1"/>
      <c r="AA1" s="1"/>
      <c r="AB1" s="1"/>
      <c r="AC1" s="1"/>
    </row>
    <row r="2" spans="2:29" ht="15.75" thickBot="1" x14ac:dyDescent="0.3"/>
    <row r="3" spans="2:29" x14ac:dyDescent="0.25">
      <c r="G3" s="218" t="s">
        <v>1</v>
      </c>
      <c r="H3" s="220" t="s">
        <v>2</v>
      </c>
      <c r="I3" s="220" t="s">
        <v>3</v>
      </c>
      <c r="J3" s="221" t="s">
        <v>4</v>
      </c>
      <c r="K3" s="221"/>
      <c r="L3" s="221"/>
      <c r="M3" s="221"/>
      <c r="N3" s="221"/>
      <c r="O3" s="221"/>
      <c r="P3" s="78"/>
      <c r="Q3" s="78"/>
      <c r="R3" s="79"/>
      <c r="S3" s="93"/>
      <c r="T3" s="79"/>
      <c r="U3" s="80"/>
    </row>
    <row r="4" spans="2:29" ht="15" customHeight="1" x14ac:dyDescent="0.25">
      <c r="G4" s="219"/>
      <c r="H4" s="169"/>
      <c r="I4" s="169"/>
      <c r="J4" s="170" t="s">
        <v>72</v>
      </c>
      <c r="K4" s="170" t="s">
        <v>5</v>
      </c>
      <c r="L4" s="170"/>
      <c r="M4" s="222" t="s">
        <v>82</v>
      </c>
      <c r="N4" s="226" t="s">
        <v>83</v>
      </c>
      <c r="O4" s="58" t="s">
        <v>6</v>
      </c>
      <c r="P4" s="172" t="s">
        <v>69</v>
      </c>
      <c r="Q4" s="172" t="s">
        <v>71</v>
      </c>
      <c r="R4" s="172" t="s">
        <v>184</v>
      </c>
      <c r="S4" s="222" t="s">
        <v>73</v>
      </c>
      <c r="T4" s="165" t="s">
        <v>183</v>
      </c>
      <c r="U4" s="217" t="s">
        <v>86</v>
      </c>
    </row>
    <row r="5" spans="2:29" ht="30" customHeight="1" x14ac:dyDescent="0.25">
      <c r="G5" s="219"/>
      <c r="H5" s="169"/>
      <c r="I5" s="169"/>
      <c r="J5" s="170"/>
      <c r="K5" s="2" t="s">
        <v>7</v>
      </c>
      <c r="L5" s="3" t="s">
        <v>8</v>
      </c>
      <c r="M5" s="223"/>
      <c r="N5" s="227"/>
      <c r="O5" s="167" t="s">
        <v>9</v>
      </c>
      <c r="P5" s="173"/>
      <c r="Q5" s="173"/>
      <c r="R5" s="173"/>
      <c r="S5" s="223"/>
      <c r="T5" s="166"/>
      <c r="U5" s="217"/>
    </row>
    <row r="6" spans="2:29" ht="15.75" thickBot="1" x14ac:dyDescent="0.3">
      <c r="G6" s="81"/>
      <c r="H6" s="82" t="s">
        <v>10</v>
      </c>
      <c r="I6" s="82" t="s">
        <v>11</v>
      </c>
      <c r="J6" s="110">
        <f>'Data Emosi'!G6</f>
        <v>0.41666666666666669</v>
      </c>
      <c r="K6" s="110">
        <f>'Data Emosi'!L12</f>
        <v>3.2407407407407402E-3</v>
      </c>
      <c r="L6" s="110">
        <f>'Data Emosi'!P12</f>
        <v>1.6203703703703701E-3</v>
      </c>
      <c r="M6" s="224"/>
      <c r="N6" s="228"/>
      <c r="O6" s="216"/>
      <c r="P6" s="225"/>
      <c r="Q6" s="225"/>
      <c r="R6" s="225"/>
      <c r="S6" s="224"/>
      <c r="T6" s="92">
        <v>0.41670000000000001</v>
      </c>
      <c r="U6" s="85">
        <f>1+(T6/$J$6)/100</f>
        <v>1.0100008</v>
      </c>
    </row>
    <row r="7" spans="2:29" ht="15.75" thickBot="1" x14ac:dyDescent="0.3">
      <c r="G7" s="4" t="s">
        <v>12</v>
      </c>
      <c r="H7" s="76">
        <v>6</v>
      </c>
      <c r="I7" s="76" t="s">
        <v>105</v>
      </c>
      <c r="J7" s="214" t="s">
        <v>85</v>
      </c>
      <c r="K7" s="215"/>
      <c r="L7" s="86" t="s">
        <v>75</v>
      </c>
      <c r="M7" s="87">
        <v>1</v>
      </c>
      <c r="N7" s="87">
        <v>1</v>
      </c>
      <c r="O7" s="88" t="s">
        <v>14</v>
      </c>
      <c r="P7" s="89">
        <f t="shared" ref="P7" si="0">IF(O7="Jalan",IF(T6&gt;=$J$6,IF(T6+(-$K$6*M7)&lt;$J$6,$J$6,-$K$6*M7),IF(T6&lt;=$J$6,IF(T6+(+$L$6*M7)&lt;$J$6,+$L$6*M7,$J$6))),IF(T6&gt;0,+$L$6*M7,-$L$6*M7))</f>
        <v>0.41666666666666669</v>
      </c>
      <c r="Q7" s="89">
        <f>IF(P7=$J$6,$J$6,T6+P7)</f>
        <v>0.41666666666666669</v>
      </c>
      <c r="R7" s="111">
        <v>0.1</v>
      </c>
      <c r="S7" s="94">
        <f>Q7+R7</f>
        <v>0.51666666666666672</v>
      </c>
      <c r="T7" s="90">
        <f>S7</f>
        <v>0.51666666666666672</v>
      </c>
      <c r="U7" s="85">
        <f t="shared" ref="U7:U71" si="1">1+(T7/$J$6)/100</f>
        <v>1.0124</v>
      </c>
    </row>
    <row r="8" spans="2:29" ht="15" customHeight="1" thickBot="1" x14ac:dyDescent="0.3">
      <c r="G8" s="4"/>
      <c r="H8" s="76">
        <v>6</v>
      </c>
      <c r="I8" s="76" t="s">
        <v>104</v>
      </c>
      <c r="J8" s="229" t="s">
        <v>13</v>
      </c>
      <c r="K8" s="178"/>
      <c r="L8" s="64" t="s">
        <v>76</v>
      </c>
      <c r="M8" s="61">
        <v>1</v>
      </c>
      <c r="N8" s="61">
        <v>1</v>
      </c>
      <c r="O8" s="5" t="s">
        <v>14</v>
      </c>
      <c r="P8" s="52">
        <f t="shared" ref="P8:P72" si="2">IF(O8="Jalan",IF(T7&gt;=$J$6,IF(T7+(-$K$6*M8)&lt;$J$6,$J$6,-$K$6*M8),IF(T7&lt;=$J$6,IF(T7+(+$L$6*M8)&lt;$J$6,+$L$6*M8,$J$6))),IF(T7&gt;0,+$L$6*M8,-$L$6*M8))</f>
        <v>-3.2407407407407402E-3</v>
      </c>
      <c r="Q8" s="52">
        <f t="shared" ref="Q8:Q72" si="3">IF(P8=$J$6,$J$6,T7+P8)</f>
        <v>0.51342592592592595</v>
      </c>
      <c r="R8" s="112">
        <v>0</v>
      </c>
      <c r="S8" s="56">
        <f t="shared" ref="S8:S72" si="4">Q8+R8</f>
        <v>0.51342592592592595</v>
      </c>
      <c r="T8" s="6">
        <f t="shared" ref="T8:T72" si="5">S8</f>
        <v>0.51342592592592595</v>
      </c>
      <c r="U8" s="85">
        <f t="shared" si="1"/>
        <v>1.0123222222222221</v>
      </c>
    </row>
    <row r="9" spans="2:29" ht="15" customHeight="1" thickBot="1" x14ac:dyDescent="0.3">
      <c r="H9" s="76">
        <v>6</v>
      </c>
      <c r="I9" s="76" t="s">
        <v>106</v>
      </c>
      <c r="J9" s="214" t="s">
        <v>13</v>
      </c>
      <c r="K9" s="215"/>
      <c r="L9" s="91" t="s">
        <v>192</v>
      </c>
      <c r="M9" s="60">
        <v>1</v>
      </c>
      <c r="N9" s="60">
        <v>5</v>
      </c>
      <c r="O9" s="8" t="s">
        <v>14</v>
      </c>
      <c r="P9" s="9">
        <f t="shared" si="2"/>
        <v>-3.2407407407407402E-3</v>
      </c>
      <c r="Q9" s="9">
        <f t="shared" si="3"/>
        <v>0.51018518518518519</v>
      </c>
      <c r="R9" s="113">
        <v>0</v>
      </c>
      <c r="S9" s="57">
        <f t="shared" si="4"/>
        <v>0.51018518518518519</v>
      </c>
      <c r="T9" s="10">
        <f t="shared" si="5"/>
        <v>0.51018518518518519</v>
      </c>
      <c r="U9" s="55">
        <f t="shared" si="1"/>
        <v>1.0122444444444445</v>
      </c>
    </row>
    <row r="10" spans="2:29" ht="15.75" thickBot="1" x14ac:dyDescent="0.3">
      <c r="H10" s="76">
        <v>6</v>
      </c>
      <c r="I10" s="76" t="s">
        <v>107</v>
      </c>
      <c r="J10" s="174" t="s">
        <v>13</v>
      </c>
      <c r="K10" s="174"/>
      <c r="L10" s="91" t="s">
        <v>193</v>
      </c>
      <c r="M10" s="62">
        <v>1</v>
      </c>
      <c r="N10" s="60">
        <v>4</v>
      </c>
      <c r="O10" s="8" t="s">
        <v>14</v>
      </c>
      <c r="P10" s="9">
        <f t="shared" si="2"/>
        <v>-3.2407407407407402E-3</v>
      </c>
      <c r="Q10" s="9">
        <f t="shared" si="3"/>
        <v>0.50694444444444442</v>
      </c>
      <c r="R10" s="114">
        <v>0</v>
      </c>
      <c r="S10" s="59">
        <f t="shared" si="4"/>
        <v>0.50694444444444442</v>
      </c>
      <c r="T10" s="10">
        <f t="shared" si="5"/>
        <v>0.50694444444444442</v>
      </c>
      <c r="U10" s="55">
        <f t="shared" si="1"/>
        <v>1.0121666666666667</v>
      </c>
    </row>
    <row r="11" spans="2:29" ht="15.75" thickBot="1" x14ac:dyDescent="0.3">
      <c r="B11" s="11"/>
      <c r="C11" s="11"/>
      <c r="D11" s="65"/>
      <c r="E11" s="65"/>
      <c r="F11" s="65"/>
      <c r="H11" s="76">
        <v>6</v>
      </c>
      <c r="I11" s="76" t="s">
        <v>108</v>
      </c>
      <c r="J11" s="174" t="s">
        <v>13</v>
      </c>
      <c r="K11" s="174"/>
      <c r="L11" s="91" t="s">
        <v>193</v>
      </c>
      <c r="M11" s="62">
        <v>1</v>
      </c>
      <c r="N11" s="60">
        <v>3</v>
      </c>
      <c r="O11" s="8" t="s">
        <v>14</v>
      </c>
      <c r="P11" s="9">
        <f t="shared" si="2"/>
        <v>-3.2407407407407402E-3</v>
      </c>
      <c r="Q11" s="9">
        <f t="shared" si="3"/>
        <v>0.50370370370370365</v>
      </c>
      <c r="R11" s="114">
        <v>0</v>
      </c>
      <c r="S11" s="59">
        <f t="shared" si="4"/>
        <v>0.50370370370370365</v>
      </c>
      <c r="T11" s="10">
        <f t="shared" si="5"/>
        <v>0.50370370370370365</v>
      </c>
      <c r="U11" s="55">
        <f t="shared" si="1"/>
        <v>1.0120888888888888</v>
      </c>
    </row>
    <row r="12" spans="2:29" ht="15.75" thickBot="1" x14ac:dyDescent="0.3">
      <c r="B12" s="98" t="s">
        <v>164</v>
      </c>
      <c r="C12" s="11"/>
      <c r="D12" s="65"/>
      <c r="E12" s="65"/>
      <c r="F12" s="65"/>
      <c r="H12" s="76">
        <v>6</v>
      </c>
      <c r="I12" s="76" t="s">
        <v>109</v>
      </c>
      <c r="J12" s="174" t="s">
        <v>13</v>
      </c>
      <c r="K12" s="174"/>
      <c r="L12" s="91" t="s">
        <v>193</v>
      </c>
      <c r="M12" s="62">
        <v>1</v>
      </c>
      <c r="N12" s="60">
        <v>2</v>
      </c>
      <c r="O12" s="8" t="s">
        <v>14</v>
      </c>
      <c r="P12" s="9">
        <f t="shared" si="2"/>
        <v>-3.2407407407407402E-3</v>
      </c>
      <c r="Q12" s="9">
        <f t="shared" si="3"/>
        <v>0.50046296296296289</v>
      </c>
      <c r="R12" s="114">
        <v>0</v>
      </c>
      <c r="S12" s="59">
        <f t="shared" si="4"/>
        <v>0.50046296296296289</v>
      </c>
      <c r="T12" s="10">
        <f t="shared" si="5"/>
        <v>0.50046296296296289</v>
      </c>
      <c r="U12" s="55">
        <f t="shared" si="1"/>
        <v>1.0120111111111112</v>
      </c>
    </row>
    <row r="13" spans="2:29" ht="15.75" thickBot="1" x14ac:dyDescent="0.3">
      <c r="B13" s="98" t="s">
        <v>165</v>
      </c>
      <c r="C13" s="11"/>
      <c r="D13" s="65"/>
      <c r="E13" s="65"/>
      <c r="F13" s="65"/>
      <c r="H13" s="76">
        <v>6</v>
      </c>
      <c r="I13" s="76" t="s">
        <v>110</v>
      </c>
      <c r="J13" s="175" t="s">
        <v>13</v>
      </c>
      <c r="K13" s="176"/>
      <c r="L13" s="75" t="s">
        <v>75</v>
      </c>
      <c r="M13" s="60">
        <v>1</v>
      </c>
      <c r="N13" s="60">
        <v>1</v>
      </c>
      <c r="O13" s="8" t="s">
        <v>14</v>
      </c>
      <c r="P13" s="9">
        <f t="shared" si="2"/>
        <v>-3.2407407407407402E-3</v>
      </c>
      <c r="Q13" s="9">
        <f t="shared" si="3"/>
        <v>0.49722222222222212</v>
      </c>
      <c r="R13" s="115">
        <v>0.3</v>
      </c>
      <c r="S13" s="59">
        <f t="shared" si="4"/>
        <v>0.79722222222222205</v>
      </c>
      <c r="T13" s="10">
        <f t="shared" si="5"/>
        <v>0.79722222222222205</v>
      </c>
      <c r="U13" s="55">
        <f t="shared" si="1"/>
        <v>1.0191333333333332</v>
      </c>
    </row>
    <row r="14" spans="2:29" ht="15.75" thickBot="1" x14ac:dyDescent="0.3">
      <c r="B14" s="7"/>
      <c r="C14" s="99" t="s">
        <v>15</v>
      </c>
      <c r="G14" s="12"/>
      <c r="H14" s="76">
        <v>6</v>
      </c>
      <c r="I14" s="76" t="s">
        <v>111</v>
      </c>
      <c r="J14" s="177" t="s">
        <v>22</v>
      </c>
      <c r="K14" s="178"/>
      <c r="L14" s="64" t="s">
        <v>76</v>
      </c>
      <c r="M14" s="62">
        <v>1</v>
      </c>
      <c r="N14" s="62">
        <v>1</v>
      </c>
      <c r="O14" s="8" t="s">
        <v>14</v>
      </c>
      <c r="P14" s="9">
        <f t="shared" si="2"/>
        <v>-3.2407407407407402E-3</v>
      </c>
      <c r="Q14" s="9">
        <f t="shared" si="3"/>
        <v>0.79398148148148129</v>
      </c>
      <c r="R14" s="114">
        <v>0</v>
      </c>
      <c r="S14" s="59">
        <f t="shared" si="4"/>
        <v>0.79398148148148129</v>
      </c>
      <c r="T14" s="10">
        <f t="shared" si="5"/>
        <v>0.79398148148148129</v>
      </c>
      <c r="U14" s="55">
        <f t="shared" si="1"/>
        <v>1.0190555555555556</v>
      </c>
    </row>
    <row r="15" spans="2:29" ht="15.75" thickBot="1" x14ac:dyDescent="0.3">
      <c r="B15" s="13"/>
      <c r="C15" s="99" t="s">
        <v>16</v>
      </c>
      <c r="G15" s="12"/>
      <c r="H15" s="76">
        <v>6</v>
      </c>
      <c r="I15" s="76" t="s">
        <v>112</v>
      </c>
      <c r="J15" s="179" t="s">
        <v>90</v>
      </c>
      <c r="K15" s="180"/>
      <c r="L15" s="63" t="s">
        <v>74</v>
      </c>
      <c r="M15" s="68">
        <v>1</v>
      </c>
      <c r="N15" s="68">
        <v>1</v>
      </c>
      <c r="O15" s="8" t="s">
        <v>14</v>
      </c>
      <c r="P15" s="9">
        <f t="shared" si="2"/>
        <v>-3.2407407407407402E-3</v>
      </c>
      <c r="Q15" s="9">
        <f t="shared" si="3"/>
        <v>0.79074074074074052</v>
      </c>
      <c r="R15" s="114">
        <v>0</v>
      </c>
      <c r="S15" s="59">
        <f t="shared" si="4"/>
        <v>0.79074074074074052</v>
      </c>
      <c r="T15" s="10">
        <f t="shared" si="5"/>
        <v>0.79074074074074052</v>
      </c>
      <c r="U15" s="55">
        <f t="shared" si="1"/>
        <v>1.0189777777777778</v>
      </c>
    </row>
    <row r="16" spans="2:29" ht="15.75" thickBot="1" x14ac:dyDescent="0.3">
      <c r="B16" s="14" t="s">
        <v>17</v>
      </c>
      <c r="C16" s="99" t="s">
        <v>18</v>
      </c>
      <c r="D16" s="66"/>
      <c r="E16" s="66"/>
      <c r="F16" s="66"/>
      <c r="H16" s="76">
        <v>6</v>
      </c>
      <c r="I16" s="76" t="s">
        <v>113</v>
      </c>
      <c r="J16" s="179" t="s">
        <v>90</v>
      </c>
      <c r="K16" s="180"/>
      <c r="L16" s="63" t="s">
        <v>75</v>
      </c>
      <c r="M16" s="68">
        <v>1</v>
      </c>
      <c r="N16" s="68">
        <v>0</v>
      </c>
      <c r="O16" s="8" t="s">
        <v>14</v>
      </c>
      <c r="P16" s="9">
        <f t="shared" si="2"/>
        <v>-3.2407407407407402E-3</v>
      </c>
      <c r="Q16" s="9">
        <f t="shared" si="3"/>
        <v>0.78749999999999976</v>
      </c>
      <c r="R16" s="114">
        <v>0</v>
      </c>
      <c r="S16" s="59">
        <f t="shared" si="4"/>
        <v>0.78749999999999976</v>
      </c>
      <c r="T16" s="10">
        <f t="shared" si="5"/>
        <v>0.78749999999999976</v>
      </c>
      <c r="U16" s="55">
        <f t="shared" si="1"/>
        <v>1.0188999999999999</v>
      </c>
    </row>
    <row r="17" spans="2:21" ht="15.75" thickBot="1" x14ac:dyDescent="0.3">
      <c r="B17" s="15"/>
      <c r="C17" s="99" t="s">
        <v>19</v>
      </c>
      <c r="D17" s="24"/>
      <c r="E17" s="24"/>
      <c r="F17" s="24"/>
      <c r="G17" s="12"/>
      <c r="H17" s="76">
        <v>6</v>
      </c>
      <c r="I17" s="76" t="s">
        <v>114</v>
      </c>
      <c r="J17" s="210" t="s">
        <v>22</v>
      </c>
      <c r="K17" s="211"/>
      <c r="L17" s="74" t="s">
        <v>74</v>
      </c>
      <c r="M17" s="60">
        <v>1</v>
      </c>
      <c r="N17" s="60">
        <v>5</v>
      </c>
      <c r="O17" s="8" t="s">
        <v>14</v>
      </c>
      <c r="P17" s="9">
        <f t="shared" si="2"/>
        <v>-3.2407407407407402E-3</v>
      </c>
      <c r="Q17" s="9">
        <f t="shared" si="3"/>
        <v>0.78425925925925899</v>
      </c>
      <c r="R17" s="116">
        <v>0</v>
      </c>
      <c r="S17" s="59">
        <f t="shared" si="4"/>
        <v>0.78425925925925899</v>
      </c>
      <c r="T17" s="10">
        <f t="shared" si="5"/>
        <v>0.78425925925925899</v>
      </c>
      <c r="U17" s="55">
        <f t="shared" si="1"/>
        <v>1.0188222222222223</v>
      </c>
    </row>
    <row r="18" spans="2:21" ht="15.75" thickBot="1" x14ac:dyDescent="0.3">
      <c r="B18" s="67"/>
      <c r="C18" s="100" t="s">
        <v>88</v>
      </c>
      <c r="H18" s="76">
        <v>6</v>
      </c>
      <c r="I18" s="76" t="s">
        <v>115</v>
      </c>
      <c r="J18" s="174" t="s">
        <v>22</v>
      </c>
      <c r="K18" s="174"/>
      <c r="M18" s="62">
        <v>1</v>
      </c>
      <c r="N18" s="60">
        <v>4</v>
      </c>
      <c r="O18" s="8" t="s">
        <v>14</v>
      </c>
      <c r="P18" s="9">
        <f t="shared" si="2"/>
        <v>-3.2407407407407402E-3</v>
      </c>
      <c r="Q18" s="9">
        <f t="shared" si="3"/>
        <v>0.78101851851851822</v>
      </c>
      <c r="R18" s="114">
        <v>0</v>
      </c>
      <c r="S18" s="59">
        <f t="shared" si="4"/>
        <v>0.78101851851851822</v>
      </c>
      <c r="T18" s="10">
        <f t="shared" si="5"/>
        <v>0.78101851851851822</v>
      </c>
      <c r="U18" s="55">
        <f t="shared" si="1"/>
        <v>1.0187444444444445</v>
      </c>
    </row>
    <row r="19" spans="2:21" x14ac:dyDescent="0.25">
      <c r="B19" s="73">
        <v>1</v>
      </c>
      <c r="C19" s="100" t="s">
        <v>78</v>
      </c>
      <c r="H19" s="76">
        <v>6</v>
      </c>
      <c r="I19" s="76" t="s">
        <v>116</v>
      </c>
      <c r="J19" s="174" t="s">
        <v>22</v>
      </c>
      <c r="K19" s="174"/>
      <c r="M19" s="62">
        <v>1</v>
      </c>
      <c r="N19" s="60">
        <v>3</v>
      </c>
      <c r="O19" s="8" t="s">
        <v>14</v>
      </c>
      <c r="P19" s="9">
        <f t="shared" si="2"/>
        <v>-3.2407407407407402E-3</v>
      </c>
      <c r="Q19" s="9">
        <f t="shared" si="3"/>
        <v>0.77777777777777746</v>
      </c>
      <c r="R19" s="114">
        <v>0</v>
      </c>
      <c r="S19" s="59">
        <f t="shared" si="4"/>
        <v>0.77777777777777746</v>
      </c>
      <c r="T19" s="10">
        <f t="shared" si="5"/>
        <v>0.77777777777777746</v>
      </c>
      <c r="U19" s="55">
        <f t="shared" si="1"/>
        <v>1.0186666666666666</v>
      </c>
    </row>
    <row r="20" spans="2:21" ht="15.75" thickBot="1" x14ac:dyDescent="0.3">
      <c r="B20" s="70" t="s">
        <v>80</v>
      </c>
      <c r="C20" s="101" t="s">
        <v>81</v>
      </c>
      <c r="H20" s="76">
        <v>6</v>
      </c>
      <c r="I20" s="76" t="s">
        <v>117</v>
      </c>
      <c r="J20" s="174" t="s">
        <v>22</v>
      </c>
      <c r="K20" s="174"/>
      <c r="M20" s="62">
        <v>1</v>
      </c>
      <c r="N20" s="60">
        <v>2</v>
      </c>
      <c r="O20" s="8" t="s">
        <v>14</v>
      </c>
      <c r="P20" s="9">
        <f t="shared" si="2"/>
        <v>-3.2407407407407402E-3</v>
      </c>
      <c r="Q20" s="9">
        <f t="shared" si="3"/>
        <v>0.77453703703703669</v>
      </c>
      <c r="R20" s="114">
        <v>0</v>
      </c>
      <c r="S20" s="59">
        <f t="shared" si="4"/>
        <v>0.77453703703703669</v>
      </c>
      <c r="T20" s="10">
        <f t="shared" si="5"/>
        <v>0.77453703703703669</v>
      </c>
      <c r="U20" s="55">
        <f t="shared" si="1"/>
        <v>1.018588888888889</v>
      </c>
    </row>
    <row r="21" spans="2:21" ht="15.75" thickBot="1" x14ac:dyDescent="0.3">
      <c r="B21" s="102"/>
      <c r="C21" s="101" t="s">
        <v>167</v>
      </c>
      <c r="H21" s="76">
        <v>6</v>
      </c>
      <c r="I21" s="76" t="s">
        <v>118</v>
      </c>
      <c r="J21" s="175" t="s">
        <v>22</v>
      </c>
      <c r="K21" s="176"/>
      <c r="L21" s="75" t="s">
        <v>75</v>
      </c>
      <c r="M21" s="60">
        <v>1</v>
      </c>
      <c r="N21" s="60">
        <v>1</v>
      </c>
      <c r="O21" s="8" t="s">
        <v>14</v>
      </c>
      <c r="P21" s="9">
        <f t="shared" si="2"/>
        <v>-3.2407407407407402E-3</v>
      </c>
      <c r="Q21" s="9">
        <f t="shared" si="3"/>
        <v>0.77129629629629592</v>
      </c>
      <c r="R21" s="115">
        <v>0.1</v>
      </c>
      <c r="S21" s="59">
        <f t="shared" si="4"/>
        <v>0.8712962962962959</v>
      </c>
      <c r="T21" s="10">
        <f t="shared" si="5"/>
        <v>0.8712962962962959</v>
      </c>
      <c r="U21" s="55">
        <f t="shared" si="1"/>
        <v>1.0209111111111111</v>
      </c>
    </row>
    <row r="22" spans="2:21" ht="15.75" thickBot="1" x14ac:dyDescent="0.3">
      <c r="B22" s="103"/>
      <c r="C22" s="101" t="s">
        <v>170</v>
      </c>
      <c r="H22" s="76">
        <v>6</v>
      </c>
      <c r="I22" s="76" t="s">
        <v>119</v>
      </c>
      <c r="J22" s="177" t="s">
        <v>77</v>
      </c>
      <c r="K22" s="178"/>
      <c r="L22" s="64" t="s">
        <v>76</v>
      </c>
      <c r="M22" s="62">
        <v>1</v>
      </c>
      <c r="N22" s="62">
        <v>1</v>
      </c>
      <c r="O22" s="8" t="s">
        <v>14</v>
      </c>
      <c r="P22" s="9">
        <f t="shared" si="2"/>
        <v>-3.2407407407407402E-3</v>
      </c>
      <c r="Q22" s="9">
        <f t="shared" si="3"/>
        <v>0.86805555555555514</v>
      </c>
      <c r="R22" s="114">
        <v>0</v>
      </c>
      <c r="S22" s="59">
        <f t="shared" si="4"/>
        <v>0.86805555555555514</v>
      </c>
      <c r="T22" s="10">
        <f t="shared" si="5"/>
        <v>0.86805555555555514</v>
      </c>
      <c r="U22" s="55">
        <f t="shared" si="1"/>
        <v>1.0208333333333333</v>
      </c>
    </row>
    <row r="23" spans="2:21" ht="15.75" thickBot="1" x14ac:dyDescent="0.3">
      <c r="H23" s="76">
        <v>6</v>
      </c>
      <c r="I23" s="76" t="s">
        <v>120</v>
      </c>
      <c r="J23" s="179" t="s">
        <v>91</v>
      </c>
      <c r="K23" s="180"/>
      <c r="L23" s="63" t="s">
        <v>74</v>
      </c>
      <c r="M23" s="68">
        <v>1</v>
      </c>
      <c r="N23" s="68">
        <v>1</v>
      </c>
      <c r="O23" s="8" t="s">
        <v>14</v>
      </c>
      <c r="P23" s="9">
        <f t="shared" si="2"/>
        <v>-3.2407407407407402E-3</v>
      </c>
      <c r="Q23" s="9">
        <f t="shared" si="3"/>
        <v>0.86481481481481437</v>
      </c>
      <c r="R23" s="114">
        <v>0</v>
      </c>
      <c r="S23" s="59">
        <f t="shared" si="4"/>
        <v>0.86481481481481437</v>
      </c>
      <c r="T23" s="10">
        <f t="shared" si="5"/>
        <v>0.86481481481481437</v>
      </c>
      <c r="U23" s="55">
        <f t="shared" si="1"/>
        <v>1.0207555555555556</v>
      </c>
    </row>
    <row r="24" spans="2:21" ht="15.75" thickBot="1" x14ac:dyDescent="0.3">
      <c r="H24" s="76">
        <v>6</v>
      </c>
      <c r="I24" s="76" t="s">
        <v>121</v>
      </c>
      <c r="J24" s="179" t="s">
        <v>91</v>
      </c>
      <c r="K24" s="180"/>
      <c r="L24" s="63" t="s">
        <v>75</v>
      </c>
      <c r="M24" s="68">
        <v>1</v>
      </c>
      <c r="N24" s="68">
        <v>0</v>
      </c>
      <c r="O24" s="8" t="s">
        <v>14</v>
      </c>
      <c r="P24" s="9">
        <f t="shared" si="2"/>
        <v>-3.2407407407407402E-3</v>
      </c>
      <c r="Q24" s="9">
        <f t="shared" si="3"/>
        <v>0.8615740740740736</v>
      </c>
      <c r="R24" s="114">
        <v>0</v>
      </c>
      <c r="S24" s="59">
        <f t="shared" si="4"/>
        <v>0.8615740740740736</v>
      </c>
      <c r="T24" s="10">
        <f t="shared" si="5"/>
        <v>0.8615740740740736</v>
      </c>
      <c r="U24" s="55">
        <f t="shared" si="1"/>
        <v>1.0206777777777778</v>
      </c>
    </row>
    <row r="25" spans="2:21" ht="15.75" thickBot="1" x14ac:dyDescent="0.3">
      <c r="H25" s="76">
        <v>6</v>
      </c>
      <c r="I25" s="76" t="s">
        <v>122</v>
      </c>
      <c r="J25" s="210" t="s">
        <v>77</v>
      </c>
      <c r="K25" s="211"/>
      <c r="L25" s="74" t="s">
        <v>74</v>
      </c>
      <c r="M25" s="60">
        <v>1</v>
      </c>
      <c r="N25" s="60">
        <v>10</v>
      </c>
      <c r="O25" s="8" t="s">
        <v>14</v>
      </c>
      <c r="P25" s="9">
        <f t="shared" si="2"/>
        <v>-3.2407407407407402E-3</v>
      </c>
      <c r="Q25" s="9">
        <f t="shared" si="3"/>
        <v>0.85833333333333284</v>
      </c>
      <c r="R25" s="116">
        <v>0</v>
      </c>
      <c r="S25" s="59">
        <f t="shared" si="4"/>
        <v>0.85833333333333284</v>
      </c>
      <c r="T25" s="10">
        <f t="shared" si="5"/>
        <v>0.85833333333333284</v>
      </c>
      <c r="U25" s="55">
        <f t="shared" si="1"/>
        <v>1.0206</v>
      </c>
    </row>
    <row r="26" spans="2:21" x14ac:dyDescent="0.25">
      <c r="H26" s="76">
        <v>6</v>
      </c>
      <c r="I26" s="76" t="s">
        <v>123</v>
      </c>
      <c r="J26" s="174" t="s">
        <v>77</v>
      </c>
      <c r="K26" s="174"/>
      <c r="M26" s="62">
        <v>1</v>
      </c>
      <c r="N26" s="60">
        <v>9</v>
      </c>
      <c r="O26" s="8" t="s">
        <v>14</v>
      </c>
      <c r="P26" s="9">
        <f t="shared" si="2"/>
        <v>-3.2407407407407402E-3</v>
      </c>
      <c r="Q26" s="9">
        <f t="shared" si="3"/>
        <v>0.85509259259259207</v>
      </c>
      <c r="R26" s="114">
        <v>0</v>
      </c>
      <c r="S26" s="59">
        <f t="shared" si="4"/>
        <v>0.85509259259259207</v>
      </c>
      <c r="T26" s="10">
        <f t="shared" si="5"/>
        <v>0.85509259259259207</v>
      </c>
      <c r="U26" s="55">
        <f t="shared" si="1"/>
        <v>1.0205222222222221</v>
      </c>
    </row>
    <row r="27" spans="2:21" x14ac:dyDescent="0.25">
      <c r="H27" s="76">
        <v>6</v>
      </c>
      <c r="I27" s="76" t="s">
        <v>124</v>
      </c>
      <c r="J27" s="174" t="s">
        <v>77</v>
      </c>
      <c r="K27" s="174"/>
      <c r="M27" s="62">
        <v>1</v>
      </c>
      <c r="N27" s="60">
        <v>8</v>
      </c>
      <c r="O27" s="8" t="s">
        <v>14</v>
      </c>
      <c r="P27" s="9">
        <f t="shared" si="2"/>
        <v>-3.2407407407407402E-3</v>
      </c>
      <c r="Q27" s="9">
        <f t="shared" si="3"/>
        <v>0.8518518518518513</v>
      </c>
      <c r="R27" s="114">
        <v>0</v>
      </c>
      <c r="S27" s="59">
        <f t="shared" si="4"/>
        <v>0.8518518518518513</v>
      </c>
      <c r="T27" s="10">
        <f t="shared" si="5"/>
        <v>0.8518518518518513</v>
      </c>
      <c r="U27" s="55">
        <f t="shared" si="1"/>
        <v>1.0204444444444445</v>
      </c>
    </row>
    <row r="28" spans="2:21" x14ac:dyDescent="0.25">
      <c r="H28" s="76">
        <v>6</v>
      </c>
      <c r="I28" s="76" t="s">
        <v>125</v>
      </c>
      <c r="J28" s="174" t="s">
        <v>77</v>
      </c>
      <c r="K28" s="174"/>
      <c r="M28" s="62">
        <v>1</v>
      </c>
      <c r="N28" s="60">
        <v>7</v>
      </c>
      <c r="O28" s="8" t="s">
        <v>14</v>
      </c>
      <c r="P28" s="9">
        <f t="shared" si="2"/>
        <v>-3.2407407407407402E-3</v>
      </c>
      <c r="Q28" s="9">
        <f t="shared" si="3"/>
        <v>0.84861111111111054</v>
      </c>
      <c r="R28" s="114">
        <v>0</v>
      </c>
      <c r="S28" s="59">
        <f t="shared" si="4"/>
        <v>0.84861111111111054</v>
      </c>
      <c r="T28" s="10">
        <f t="shared" si="5"/>
        <v>0.84861111111111054</v>
      </c>
      <c r="U28" s="55">
        <f t="shared" si="1"/>
        <v>1.0203666666666666</v>
      </c>
    </row>
    <row r="29" spans="2:21" x14ac:dyDescent="0.25">
      <c r="H29" s="76">
        <v>6</v>
      </c>
      <c r="I29" s="76" t="s">
        <v>126</v>
      </c>
      <c r="J29" s="174" t="s">
        <v>77</v>
      </c>
      <c r="K29" s="174"/>
      <c r="M29" s="62">
        <v>1</v>
      </c>
      <c r="N29" s="60">
        <v>6</v>
      </c>
      <c r="O29" s="8" t="s">
        <v>14</v>
      </c>
      <c r="P29" s="9">
        <f t="shared" si="2"/>
        <v>-3.2407407407407402E-3</v>
      </c>
      <c r="Q29" s="9">
        <f t="shared" si="3"/>
        <v>0.84537037037036977</v>
      </c>
      <c r="R29" s="114">
        <v>0</v>
      </c>
      <c r="S29" s="59">
        <f t="shared" si="4"/>
        <v>0.84537037037036977</v>
      </c>
      <c r="T29" s="10">
        <f t="shared" si="5"/>
        <v>0.84537037037036977</v>
      </c>
      <c r="U29" s="55">
        <f t="shared" si="1"/>
        <v>1.0202888888888888</v>
      </c>
    </row>
    <row r="30" spans="2:21" x14ac:dyDescent="0.25">
      <c r="H30" s="76">
        <v>6</v>
      </c>
      <c r="I30" s="76" t="s">
        <v>127</v>
      </c>
      <c r="J30" s="174" t="s">
        <v>77</v>
      </c>
      <c r="K30" s="174"/>
      <c r="M30" s="62">
        <v>1</v>
      </c>
      <c r="N30" s="60">
        <v>5</v>
      </c>
      <c r="O30" s="8" t="s">
        <v>14</v>
      </c>
      <c r="P30" s="9">
        <f t="shared" si="2"/>
        <v>-3.2407407407407402E-3</v>
      </c>
      <c r="Q30" s="9">
        <f t="shared" si="3"/>
        <v>0.84212962962962901</v>
      </c>
      <c r="R30" s="114">
        <v>0</v>
      </c>
      <c r="S30" s="59">
        <f t="shared" si="4"/>
        <v>0.84212962962962901</v>
      </c>
      <c r="T30" s="10">
        <f t="shared" si="5"/>
        <v>0.84212962962962901</v>
      </c>
      <c r="U30" s="55">
        <f t="shared" si="1"/>
        <v>1.0202111111111112</v>
      </c>
    </row>
    <row r="31" spans="2:21" x14ac:dyDescent="0.25">
      <c r="H31" s="76">
        <v>6</v>
      </c>
      <c r="I31" s="76" t="s">
        <v>128</v>
      </c>
      <c r="J31" s="174" t="s">
        <v>77</v>
      </c>
      <c r="K31" s="174"/>
      <c r="M31" s="62">
        <v>1</v>
      </c>
      <c r="N31" s="60">
        <v>4</v>
      </c>
      <c r="O31" s="8" t="s">
        <v>14</v>
      </c>
      <c r="P31" s="9">
        <f t="shared" si="2"/>
        <v>-3.2407407407407402E-3</v>
      </c>
      <c r="Q31" s="9">
        <f t="shared" si="3"/>
        <v>0.83888888888888824</v>
      </c>
      <c r="R31" s="114">
        <v>0</v>
      </c>
      <c r="S31" s="59">
        <f t="shared" si="4"/>
        <v>0.83888888888888824</v>
      </c>
      <c r="T31" s="10">
        <f t="shared" si="5"/>
        <v>0.83888888888888824</v>
      </c>
      <c r="U31" s="55">
        <f t="shared" si="1"/>
        <v>1.0201333333333333</v>
      </c>
    </row>
    <row r="32" spans="2:21" x14ac:dyDescent="0.25">
      <c r="H32" s="76">
        <v>6</v>
      </c>
      <c r="I32" s="76" t="s">
        <v>129</v>
      </c>
      <c r="J32" s="174" t="s">
        <v>77</v>
      </c>
      <c r="K32" s="174"/>
      <c r="M32" s="62">
        <v>1</v>
      </c>
      <c r="N32" s="60">
        <v>3</v>
      </c>
      <c r="O32" s="8" t="s">
        <v>14</v>
      </c>
      <c r="P32" s="9">
        <f t="shared" si="2"/>
        <v>-3.2407407407407402E-3</v>
      </c>
      <c r="Q32" s="9">
        <f t="shared" si="3"/>
        <v>0.83564814814814747</v>
      </c>
      <c r="R32" s="114">
        <v>0</v>
      </c>
      <c r="S32" s="59">
        <f t="shared" si="4"/>
        <v>0.83564814814814747</v>
      </c>
      <c r="T32" s="10">
        <f t="shared" si="5"/>
        <v>0.83564814814814747</v>
      </c>
      <c r="U32" s="55">
        <f t="shared" si="1"/>
        <v>1.0200555555555555</v>
      </c>
    </row>
    <row r="33" spans="8:21" ht="15.75" thickBot="1" x14ac:dyDescent="0.3">
      <c r="H33" s="76">
        <v>6</v>
      </c>
      <c r="I33" s="76" t="s">
        <v>130</v>
      </c>
      <c r="J33" s="174" t="s">
        <v>77</v>
      </c>
      <c r="K33" s="174"/>
      <c r="M33" s="62">
        <v>1</v>
      </c>
      <c r="N33" s="60">
        <v>2</v>
      </c>
      <c r="O33" s="8" t="s">
        <v>14</v>
      </c>
      <c r="P33" s="9">
        <f t="shared" si="2"/>
        <v>-3.2407407407407402E-3</v>
      </c>
      <c r="Q33" s="9">
        <f t="shared" si="3"/>
        <v>0.83240740740740671</v>
      </c>
      <c r="R33" s="114">
        <v>0</v>
      </c>
      <c r="S33" s="59">
        <f t="shared" si="4"/>
        <v>0.83240740740740671</v>
      </c>
      <c r="T33" s="10">
        <f t="shared" si="5"/>
        <v>0.83240740740740671</v>
      </c>
      <c r="U33" s="55">
        <f t="shared" si="1"/>
        <v>1.0199777777777776</v>
      </c>
    </row>
    <row r="34" spans="8:21" ht="15.75" thickBot="1" x14ac:dyDescent="0.3">
      <c r="H34" s="76">
        <v>6</v>
      </c>
      <c r="I34" s="76" t="s">
        <v>131</v>
      </c>
      <c r="J34" s="175" t="s">
        <v>77</v>
      </c>
      <c r="K34" s="176"/>
      <c r="L34" s="75" t="s">
        <v>75</v>
      </c>
      <c r="M34" s="60">
        <v>1</v>
      </c>
      <c r="N34" s="60">
        <v>1</v>
      </c>
      <c r="O34" s="8" t="s">
        <v>14</v>
      </c>
      <c r="P34" s="9">
        <f t="shared" si="2"/>
        <v>-3.2407407407407402E-3</v>
      </c>
      <c r="Q34" s="9">
        <f t="shared" si="3"/>
        <v>0.82916666666666594</v>
      </c>
      <c r="R34" s="115">
        <v>0.2</v>
      </c>
      <c r="S34" s="59">
        <f t="shared" si="4"/>
        <v>1.0291666666666659</v>
      </c>
      <c r="T34" s="10">
        <f t="shared" si="5"/>
        <v>1.0291666666666659</v>
      </c>
      <c r="U34" s="55">
        <f t="shared" si="1"/>
        <v>1.0246999999999999</v>
      </c>
    </row>
    <row r="35" spans="8:21" ht="15.75" thickBot="1" x14ac:dyDescent="0.3">
      <c r="H35" s="76">
        <v>6</v>
      </c>
      <c r="I35" s="76" t="s">
        <v>132</v>
      </c>
      <c r="J35" s="177" t="s">
        <v>23</v>
      </c>
      <c r="K35" s="178"/>
      <c r="L35" s="64" t="s">
        <v>76</v>
      </c>
      <c r="M35" s="62">
        <v>1</v>
      </c>
      <c r="N35" s="62">
        <v>1</v>
      </c>
      <c r="O35" s="8" t="s">
        <v>14</v>
      </c>
      <c r="P35" s="9">
        <f t="shared" si="2"/>
        <v>-3.2407407407407402E-3</v>
      </c>
      <c r="Q35" s="9">
        <f t="shared" si="3"/>
        <v>1.0259259259259252</v>
      </c>
      <c r="R35" s="114">
        <v>0</v>
      </c>
      <c r="S35" s="59">
        <f t="shared" si="4"/>
        <v>1.0259259259259252</v>
      </c>
      <c r="T35" s="10">
        <f t="shared" si="5"/>
        <v>1.0259259259259252</v>
      </c>
      <c r="U35" s="55">
        <f t="shared" si="1"/>
        <v>1.0246222222222221</v>
      </c>
    </row>
    <row r="36" spans="8:21" ht="15.75" thickBot="1" x14ac:dyDescent="0.3">
      <c r="H36" s="76">
        <v>6</v>
      </c>
      <c r="I36" s="76" t="s">
        <v>133</v>
      </c>
      <c r="J36" s="179" t="s">
        <v>92</v>
      </c>
      <c r="K36" s="180"/>
      <c r="L36" s="63" t="s">
        <v>74</v>
      </c>
      <c r="M36" s="68">
        <v>1</v>
      </c>
      <c r="N36" s="68">
        <v>1</v>
      </c>
      <c r="O36" s="8" t="s">
        <v>14</v>
      </c>
      <c r="P36" s="9">
        <f t="shared" si="2"/>
        <v>-3.2407407407407402E-3</v>
      </c>
      <c r="Q36" s="9">
        <f t="shared" si="3"/>
        <v>1.0226851851851846</v>
      </c>
      <c r="R36" s="114">
        <v>0</v>
      </c>
      <c r="S36" s="59">
        <f t="shared" si="4"/>
        <v>1.0226851851851846</v>
      </c>
      <c r="T36" s="10">
        <f t="shared" si="5"/>
        <v>1.0226851851851846</v>
      </c>
      <c r="U36" s="55">
        <f t="shared" si="1"/>
        <v>1.0245444444444445</v>
      </c>
    </row>
    <row r="37" spans="8:21" ht="15.75" thickBot="1" x14ac:dyDescent="0.3">
      <c r="H37" s="76">
        <v>6</v>
      </c>
      <c r="I37" s="76" t="s">
        <v>134</v>
      </c>
      <c r="J37" s="179" t="s">
        <v>92</v>
      </c>
      <c r="K37" s="180"/>
      <c r="L37" s="63" t="s">
        <v>75</v>
      </c>
      <c r="M37" s="68">
        <v>1</v>
      </c>
      <c r="N37" s="68">
        <v>0</v>
      </c>
      <c r="O37" s="8" t="s">
        <v>14</v>
      </c>
      <c r="P37" s="9">
        <f t="shared" si="2"/>
        <v>-3.2407407407407402E-3</v>
      </c>
      <c r="Q37" s="9">
        <f t="shared" si="3"/>
        <v>1.0194444444444439</v>
      </c>
      <c r="R37" s="114">
        <v>0</v>
      </c>
      <c r="S37" s="59">
        <f t="shared" si="4"/>
        <v>1.0194444444444439</v>
      </c>
      <c r="T37" s="10">
        <f t="shared" si="5"/>
        <v>1.0194444444444439</v>
      </c>
      <c r="U37" s="55">
        <f t="shared" si="1"/>
        <v>1.0244666666666666</v>
      </c>
    </row>
    <row r="38" spans="8:21" ht="15.75" thickBot="1" x14ac:dyDescent="0.3">
      <c r="H38" s="76">
        <v>6</v>
      </c>
      <c r="I38" s="76" t="s">
        <v>135</v>
      </c>
      <c r="J38" s="210" t="s">
        <v>23</v>
      </c>
      <c r="K38" s="211"/>
      <c r="L38" s="74" t="s">
        <v>74</v>
      </c>
      <c r="M38" s="60">
        <v>1</v>
      </c>
      <c r="N38" s="60">
        <v>10</v>
      </c>
      <c r="O38" s="8" t="s">
        <v>14</v>
      </c>
      <c r="P38" s="9">
        <f t="shared" si="2"/>
        <v>-3.2407407407407402E-3</v>
      </c>
      <c r="Q38" s="9">
        <f t="shared" si="3"/>
        <v>1.0162037037037033</v>
      </c>
      <c r="R38" s="116">
        <v>0</v>
      </c>
      <c r="S38" s="59">
        <f t="shared" si="4"/>
        <v>1.0162037037037033</v>
      </c>
      <c r="T38" s="10">
        <f t="shared" si="5"/>
        <v>1.0162037037037033</v>
      </c>
      <c r="U38" s="55">
        <f t="shared" si="1"/>
        <v>1.0243888888888888</v>
      </c>
    </row>
    <row r="39" spans="8:21" x14ac:dyDescent="0.25">
      <c r="H39" s="76">
        <v>6</v>
      </c>
      <c r="I39" s="76" t="s">
        <v>136</v>
      </c>
      <c r="J39" s="174" t="s">
        <v>23</v>
      </c>
      <c r="K39" s="174"/>
      <c r="M39" s="62">
        <v>1</v>
      </c>
      <c r="N39" s="60">
        <v>9</v>
      </c>
      <c r="O39" s="8" t="s">
        <v>14</v>
      </c>
      <c r="P39" s="9">
        <f t="shared" si="2"/>
        <v>-3.2407407407407402E-3</v>
      </c>
      <c r="Q39" s="9">
        <f t="shared" si="3"/>
        <v>1.0129629629629626</v>
      </c>
      <c r="R39" s="114">
        <v>0</v>
      </c>
      <c r="S39" s="59">
        <f t="shared" si="4"/>
        <v>1.0129629629629626</v>
      </c>
      <c r="T39" s="10">
        <f t="shared" si="5"/>
        <v>1.0129629629629626</v>
      </c>
      <c r="U39" s="55">
        <f t="shared" si="1"/>
        <v>1.0243111111111112</v>
      </c>
    </row>
    <row r="40" spans="8:21" x14ac:dyDescent="0.25">
      <c r="H40" s="76">
        <v>6</v>
      </c>
      <c r="I40" s="76" t="s">
        <v>137</v>
      </c>
      <c r="J40" s="174" t="s">
        <v>23</v>
      </c>
      <c r="K40" s="174"/>
      <c r="M40" s="62">
        <v>1</v>
      </c>
      <c r="N40" s="60">
        <v>8</v>
      </c>
      <c r="O40" s="8" t="s">
        <v>14</v>
      </c>
      <c r="P40" s="9">
        <f t="shared" si="2"/>
        <v>-3.2407407407407402E-3</v>
      </c>
      <c r="Q40" s="9">
        <f t="shared" si="3"/>
        <v>1.009722222222222</v>
      </c>
      <c r="R40" s="114">
        <v>0</v>
      </c>
      <c r="S40" s="59">
        <f t="shared" si="4"/>
        <v>1.009722222222222</v>
      </c>
      <c r="T40" s="10">
        <f t="shared" si="5"/>
        <v>1.009722222222222</v>
      </c>
      <c r="U40" s="55">
        <f t="shared" si="1"/>
        <v>1.0242333333333333</v>
      </c>
    </row>
    <row r="41" spans="8:21" x14ac:dyDescent="0.25">
      <c r="H41" s="76">
        <v>6</v>
      </c>
      <c r="I41" s="76" t="s">
        <v>138</v>
      </c>
      <c r="J41" s="174" t="s">
        <v>23</v>
      </c>
      <c r="K41" s="174"/>
      <c r="M41" s="62">
        <v>1</v>
      </c>
      <c r="N41" s="60">
        <v>7</v>
      </c>
      <c r="O41" s="8" t="s">
        <v>14</v>
      </c>
      <c r="P41" s="9">
        <f t="shared" si="2"/>
        <v>-3.2407407407407402E-3</v>
      </c>
      <c r="Q41" s="9">
        <f t="shared" si="3"/>
        <v>1.0064814814814813</v>
      </c>
      <c r="R41" s="114">
        <v>0</v>
      </c>
      <c r="S41" s="59">
        <f t="shared" si="4"/>
        <v>1.0064814814814813</v>
      </c>
      <c r="T41" s="10">
        <f t="shared" si="5"/>
        <v>1.0064814814814813</v>
      </c>
      <c r="U41" s="55">
        <f t="shared" si="1"/>
        <v>1.0241555555555555</v>
      </c>
    </row>
    <row r="42" spans="8:21" x14ac:dyDescent="0.25">
      <c r="H42" s="76">
        <v>6</v>
      </c>
      <c r="I42" s="76" t="s">
        <v>139</v>
      </c>
      <c r="J42" s="174" t="s">
        <v>23</v>
      </c>
      <c r="K42" s="174"/>
      <c r="M42" s="62">
        <v>1</v>
      </c>
      <c r="N42" s="60">
        <v>6</v>
      </c>
      <c r="O42" s="8" t="s">
        <v>14</v>
      </c>
      <c r="P42" s="9">
        <f t="shared" si="2"/>
        <v>-3.2407407407407402E-3</v>
      </c>
      <c r="Q42" s="9">
        <f t="shared" si="3"/>
        <v>1.0032407407407407</v>
      </c>
      <c r="R42" s="114">
        <v>0</v>
      </c>
      <c r="S42" s="59">
        <f t="shared" si="4"/>
        <v>1.0032407407407407</v>
      </c>
      <c r="T42" s="10">
        <f t="shared" si="5"/>
        <v>1.0032407407407407</v>
      </c>
      <c r="U42" s="55">
        <f t="shared" si="1"/>
        <v>1.0240777777777779</v>
      </c>
    </row>
    <row r="43" spans="8:21" x14ac:dyDescent="0.25">
      <c r="H43" s="76">
        <v>6</v>
      </c>
      <c r="I43" s="76" t="s">
        <v>140</v>
      </c>
      <c r="J43" s="174" t="s">
        <v>23</v>
      </c>
      <c r="K43" s="174"/>
      <c r="M43" s="62">
        <v>1</v>
      </c>
      <c r="N43" s="60">
        <v>5</v>
      </c>
      <c r="O43" s="8" t="s">
        <v>14</v>
      </c>
      <c r="P43" s="9">
        <f t="shared" si="2"/>
        <v>-3.2407407407407402E-3</v>
      </c>
      <c r="Q43" s="9">
        <f t="shared" si="3"/>
        <v>0.99999999999999989</v>
      </c>
      <c r="R43" s="114">
        <v>0</v>
      </c>
      <c r="S43" s="59">
        <f t="shared" si="4"/>
        <v>0.99999999999999989</v>
      </c>
      <c r="T43" s="10">
        <f t="shared" si="5"/>
        <v>0.99999999999999989</v>
      </c>
      <c r="U43" s="55">
        <f t="shared" si="1"/>
        <v>1.024</v>
      </c>
    </row>
    <row r="44" spans="8:21" x14ac:dyDescent="0.25">
      <c r="H44" s="76">
        <v>6</v>
      </c>
      <c r="I44" s="76" t="s">
        <v>141</v>
      </c>
      <c r="J44" s="174" t="s">
        <v>23</v>
      </c>
      <c r="K44" s="174"/>
      <c r="M44" s="62">
        <v>1</v>
      </c>
      <c r="N44" s="60">
        <v>4</v>
      </c>
      <c r="O44" s="8" t="s">
        <v>14</v>
      </c>
      <c r="P44" s="9">
        <f t="shared" si="2"/>
        <v>-3.2407407407407402E-3</v>
      </c>
      <c r="Q44" s="9">
        <f t="shared" si="3"/>
        <v>0.99675925925925912</v>
      </c>
      <c r="R44" s="114">
        <v>0</v>
      </c>
      <c r="S44" s="59">
        <f t="shared" si="4"/>
        <v>0.99675925925925912</v>
      </c>
      <c r="T44" s="10">
        <f t="shared" si="5"/>
        <v>0.99675925925925912</v>
      </c>
      <c r="U44" s="55">
        <f t="shared" si="1"/>
        <v>1.0239222222222222</v>
      </c>
    </row>
    <row r="45" spans="8:21" x14ac:dyDescent="0.25">
      <c r="H45" s="76">
        <v>6</v>
      </c>
      <c r="I45" s="76" t="s">
        <v>142</v>
      </c>
      <c r="J45" s="174" t="s">
        <v>23</v>
      </c>
      <c r="K45" s="174"/>
      <c r="M45" s="62">
        <v>1</v>
      </c>
      <c r="N45" s="60">
        <v>3</v>
      </c>
      <c r="O45" s="8" t="s">
        <v>14</v>
      </c>
      <c r="P45" s="9">
        <f t="shared" si="2"/>
        <v>-3.2407407407407402E-3</v>
      </c>
      <c r="Q45" s="9">
        <f t="shared" si="3"/>
        <v>0.99351851851851836</v>
      </c>
      <c r="R45" s="114">
        <v>0</v>
      </c>
      <c r="S45" s="59">
        <f t="shared" si="4"/>
        <v>0.99351851851851836</v>
      </c>
      <c r="T45" s="10">
        <f t="shared" si="5"/>
        <v>0.99351851851851836</v>
      </c>
      <c r="U45" s="55">
        <f t="shared" si="1"/>
        <v>1.0238444444444443</v>
      </c>
    </row>
    <row r="46" spans="8:21" ht="15.75" thickBot="1" x14ac:dyDescent="0.3">
      <c r="H46" s="76">
        <v>6</v>
      </c>
      <c r="I46" s="76" t="s">
        <v>143</v>
      </c>
      <c r="J46" s="174" t="s">
        <v>23</v>
      </c>
      <c r="K46" s="174"/>
      <c r="M46" s="62">
        <v>1</v>
      </c>
      <c r="N46" s="60">
        <v>2</v>
      </c>
      <c r="O46" s="8" t="s">
        <v>14</v>
      </c>
      <c r="P46" s="9">
        <f t="shared" si="2"/>
        <v>-3.2407407407407402E-3</v>
      </c>
      <c r="Q46" s="9">
        <f t="shared" si="3"/>
        <v>0.99027777777777759</v>
      </c>
      <c r="R46" s="114">
        <v>0</v>
      </c>
      <c r="S46" s="59">
        <f t="shared" si="4"/>
        <v>0.99027777777777759</v>
      </c>
      <c r="T46" s="10">
        <f t="shared" si="5"/>
        <v>0.99027777777777759</v>
      </c>
      <c r="U46" s="55">
        <f t="shared" si="1"/>
        <v>1.0237666666666667</v>
      </c>
    </row>
    <row r="47" spans="8:21" ht="15.75" thickBot="1" x14ac:dyDescent="0.3">
      <c r="H47" s="76">
        <v>6</v>
      </c>
      <c r="I47" s="76" t="s">
        <v>144</v>
      </c>
      <c r="J47" s="175" t="s">
        <v>23</v>
      </c>
      <c r="K47" s="176"/>
      <c r="L47" s="75" t="s">
        <v>75</v>
      </c>
      <c r="M47" s="60">
        <v>1</v>
      </c>
      <c r="N47" s="60">
        <v>1</v>
      </c>
      <c r="O47" s="8" t="s">
        <v>14</v>
      </c>
      <c r="P47" s="9">
        <f t="shared" si="2"/>
        <v>-3.2407407407407402E-3</v>
      </c>
      <c r="Q47" s="9">
        <f t="shared" si="3"/>
        <v>0.98703703703703682</v>
      </c>
      <c r="R47" s="115">
        <v>0.2</v>
      </c>
      <c r="S47" s="59">
        <f t="shared" si="4"/>
        <v>1.1870370370370369</v>
      </c>
      <c r="T47" s="10">
        <f t="shared" si="5"/>
        <v>1.1870370370370369</v>
      </c>
      <c r="U47" s="55">
        <f t="shared" si="1"/>
        <v>1.0284888888888888</v>
      </c>
    </row>
    <row r="48" spans="8:21" ht="15.75" thickBot="1" x14ac:dyDescent="0.3">
      <c r="H48" s="76">
        <v>6</v>
      </c>
      <c r="I48" s="76" t="s">
        <v>145</v>
      </c>
      <c r="J48" s="177" t="s">
        <v>100</v>
      </c>
      <c r="K48" s="178"/>
      <c r="L48" s="64" t="s">
        <v>76</v>
      </c>
      <c r="M48" s="62">
        <v>1</v>
      </c>
      <c r="N48" s="62">
        <v>1</v>
      </c>
      <c r="O48" s="8" t="s">
        <v>14</v>
      </c>
      <c r="P48" s="9">
        <f t="shared" si="2"/>
        <v>-3.2407407407407402E-3</v>
      </c>
      <c r="Q48" s="9">
        <f t="shared" si="3"/>
        <v>1.1837962962962962</v>
      </c>
      <c r="R48" s="114">
        <v>0</v>
      </c>
      <c r="S48" s="59">
        <f t="shared" si="4"/>
        <v>1.1837962962962962</v>
      </c>
      <c r="T48" s="10">
        <f t="shared" si="5"/>
        <v>1.1837962962962962</v>
      </c>
      <c r="U48" s="55">
        <f t="shared" si="1"/>
        <v>1.0284111111111112</v>
      </c>
    </row>
    <row r="49" spans="8:21" ht="15.75" thickBot="1" x14ac:dyDescent="0.3">
      <c r="H49" s="76">
        <v>6</v>
      </c>
      <c r="I49" s="76" t="s">
        <v>146</v>
      </c>
      <c r="J49" s="197" t="s">
        <v>100</v>
      </c>
      <c r="K49" s="197"/>
      <c r="L49" s="96" t="s">
        <v>74</v>
      </c>
      <c r="M49" s="97">
        <v>1</v>
      </c>
      <c r="N49" s="60">
        <v>3</v>
      </c>
      <c r="O49" s="8" t="s">
        <v>14</v>
      </c>
      <c r="P49" s="9">
        <f t="shared" si="2"/>
        <v>-3.2407407407407402E-3</v>
      </c>
      <c r="Q49" s="9">
        <f t="shared" si="3"/>
        <v>1.1805555555555556</v>
      </c>
      <c r="R49" s="116">
        <v>0</v>
      </c>
      <c r="S49" s="59">
        <f t="shared" si="4"/>
        <v>1.1805555555555556</v>
      </c>
      <c r="T49" s="10">
        <f t="shared" si="5"/>
        <v>1.1805555555555556</v>
      </c>
      <c r="U49" s="55">
        <f t="shared" si="1"/>
        <v>1.0283333333333333</v>
      </c>
    </row>
    <row r="50" spans="8:21" ht="15.75" thickBot="1" x14ac:dyDescent="0.3">
      <c r="H50" s="76">
        <v>6</v>
      </c>
      <c r="I50" s="76" t="s">
        <v>147</v>
      </c>
      <c r="J50" s="197" t="s">
        <v>100</v>
      </c>
      <c r="K50" s="197"/>
      <c r="M50" s="62">
        <v>1</v>
      </c>
      <c r="N50" s="60">
        <v>2</v>
      </c>
      <c r="O50" s="8" t="s">
        <v>14</v>
      </c>
      <c r="P50" s="9">
        <f t="shared" si="2"/>
        <v>-3.2407407407407402E-3</v>
      </c>
      <c r="Q50" s="9">
        <f t="shared" si="3"/>
        <v>1.1773148148148149</v>
      </c>
      <c r="R50" s="114">
        <v>0</v>
      </c>
      <c r="S50" s="59">
        <f t="shared" si="4"/>
        <v>1.1773148148148149</v>
      </c>
      <c r="T50" s="10">
        <f t="shared" si="5"/>
        <v>1.1773148148148149</v>
      </c>
      <c r="U50" s="55">
        <f t="shared" si="1"/>
        <v>1.0282555555555555</v>
      </c>
    </row>
    <row r="51" spans="8:21" ht="15.75" thickBot="1" x14ac:dyDescent="0.3">
      <c r="H51" s="76">
        <v>6</v>
      </c>
      <c r="I51" s="76" t="s">
        <v>148</v>
      </c>
      <c r="J51" s="197" t="s">
        <v>100</v>
      </c>
      <c r="K51" s="197"/>
      <c r="L51" s="75" t="s">
        <v>75</v>
      </c>
      <c r="M51" s="60">
        <v>1</v>
      </c>
      <c r="N51" s="60">
        <v>1</v>
      </c>
      <c r="O51" s="8" t="s">
        <v>14</v>
      </c>
      <c r="P51" s="9">
        <f t="shared" si="2"/>
        <v>-3.2407407407407402E-3</v>
      </c>
      <c r="Q51" s="9">
        <f t="shared" si="3"/>
        <v>1.1740740740740743</v>
      </c>
      <c r="R51" s="115">
        <v>0.05</v>
      </c>
      <c r="S51" s="59">
        <f t="shared" si="4"/>
        <v>1.2240740740740743</v>
      </c>
      <c r="T51" s="10">
        <f t="shared" si="5"/>
        <v>1.2240740740740743</v>
      </c>
      <c r="U51" s="55">
        <f t="shared" si="1"/>
        <v>1.0293777777777777</v>
      </c>
    </row>
    <row r="52" spans="8:21" ht="15.75" thickBot="1" x14ac:dyDescent="0.3">
      <c r="H52" s="76">
        <v>6</v>
      </c>
      <c r="I52" s="76" t="s">
        <v>149</v>
      </c>
      <c r="J52" s="177" t="s">
        <v>101</v>
      </c>
      <c r="K52" s="178"/>
      <c r="L52" s="64" t="s">
        <v>76</v>
      </c>
      <c r="M52" s="62">
        <v>1</v>
      </c>
      <c r="N52" s="62">
        <v>1</v>
      </c>
      <c r="O52" s="8" t="s">
        <v>14</v>
      </c>
      <c r="P52" s="9">
        <f t="shared" si="2"/>
        <v>-3.2407407407407402E-3</v>
      </c>
      <c r="Q52" s="9">
        <f t="shared" si="3"/>
        <v>1.2208333333333337</v>
      </c>
      <c r="R52" s="114">
        <v>0</v>
      </c>
      <c r="S52" s="59">
        <f t="shared" si="4"/>
        <v>1.2208333333333337</v>
      </c>
      <c r="T52" s="10">
        <f t="shared" si="5"/>
        <v>1.2208333333333337</v>
      </c>
      <c r="U52" s="55">
        <f t="shared" si="1"/>
        <v>1.0293000000000001</v>
      </c>
    </row>
    <row r="53" spans="8:21" ht="15.75" thickBot="1" x14ac:dyDescent="0.3">
      <c r="H53" s="76">
        <v>6</v>
      </c>
      <c r="I53" s="76" t="s">
        <v>150</v>
      </c>
      <c r="J53" s="197" t="s">
        <v>101</v>
      </c>
      <c r="K53" s="197"/>
      <c r="L53" s="96" t="s">
        <v>74</v>
      </c>
      <c r="M53" s="97">
        <v>1</v>
      </c>
      <c r="N53" s="60">
        <v>3</v>
      </c>
      <c r="O53" s="8" t="s">
        <v>14</v>
      </c>
      <c r="P53" s="9">
        <f t="shared" si="2"/>
        <v>-3.2407407407407402E-3</v>
      </c>
      <c r="Q53" s="9">
        <f t="shared" si="3"/>
        <v>1.217592592592593</v>
      </c>
      <c r="R53" s="116">
        <v>0</v>
      </c>
      <c r="S53" s="59">
        <f t="shared" si="4"/>
        <v>1.217592592592593</v>
      </c>
      <c r="T53" s="10">
        <f t="shared" si="5"/>
        <v>1.217592592592593</v>
      </c>
      <c r="U53" s="55">
        <f t="shared" si="1"/>
        <v>1.0292222222222223</v>
      </c>
    </row>
    <row r="54" spans="8:21" ht="15.75" thickBot="1" x14ac:dyDescent="0.3">
      <c r="H54" s="76">
        <v>6</v>
      </c>
      <c r="I54" s="76" t="s">
        <v>151</v>
      </c>
      <c r="J54" s="187" t="s">
        <v>101</v>
      </c>
      <c r="K54" s="188"/>
      <c r="M54" s="62">
        <v>1</v>
      </c>
      <c r="N54" s="60">
        <v>2</v>
      </c>
      <c r="O54" s="8" t="s">
        <v>14</v>
      </c>
      <c r="P54" s="9">
        <f t="shared" si="2"/>
        <v>-3.2407407407407402E-3</v>
      </c>
      <c r="Q54" s="9">
        <f t="shared" si="3"/>
        <v>1.2143518518518523</v>
      </c>
      <c r="R54" s="114">
        <v>0</v>
      </c>
      <c r="S54" s="59">
        <f t="shared" si="4"/>
        <v>1.2143518518518523</v>
      </c>
      <c r="T54" s="10">
        <f t="shared" si="5"/>
        <v>1.2143518518518523</v>
      </c>
      <c r="U54" s="55">
        <f t="shared" si="1"/>
        <v>1.0291444444444444</v>
      </c>
    </row>
    <row r="55" spans="8:21" ht="15.75" thickBot="1" x14ac:dyDescent="0.3">
      <c r="H55" s="76">
        <v>6</v>
      </c>
      <c r="I55" s="76" t="s">
        <v>152</v>
      </c>
      <c r="J55" s="187" t="s">
        <v>101</v>
      </c>
      <c r="K55" s="188"/>
      <c r="L55" s="75" t="s">
        <v>75</v>
      </c>
      <c r="M55" s="60">
        <v>1</v>
      </c>
      <c r="N55" s="60">
        <v>1</v>
      </c>
      <c r="O55" s="8" t="s">
        <v>14</v>
      </c>
      <c r="P55" s="9">
        <f t="shared" si="2"/>
        <v>-3.2407407407407402E-3</v>
      </c>
      <c r="Q55" s="9">
        <f t="shared" si="3"/>
        <v>1.2111111111111117</v>
      </c>
      <c r="R55" s="115">
        <v>0.05</v>
      </c>
      <c r="S55" s="59">
        <f t="shared" si="4"/>
        <v>1.2611111111111117</v>
      </c>
      <c r="T55" s="10">
        <f t="shared" si="5"/>
        <v>1.2611111111111117</v>
      </c>
      <c r="U55" s="55">
        <f t="shared" si="1"/>
        <v>1.0302666666666667</v>
      </c>
    </row>
    <row r="56" spans="8:21" ht="15.75" thickBot="1" x14ac:dyDescent="0.3">
      <c r="H56" s="76">
        <v>6</v>
      </c>
      <c r="I56" s="76" t="s">
        <v>153</v>
      </c>
      <c r="J56" s="177" t="s">
        <v>102</v>
      </c>
      <c r="K56" s="178"/>
      <c r="L56" s="64" t="s">
        <v>76</v>
      </c>
      <c r="M56" s="62">
        <v>1</v>
      </c>
      <c r="N56" s="62">
        <v>1</v>
      </c>
      <c r="O56" s="8" t="s">
        <v>14</v>
      </c>
      <c r="P56" s="9">
        <f t="shared" si="2"/>
        <v>-3.2407407407407402E-3</v>
      </c>
      <c r="Q56" s="9">
        <f t="shared" si="3"/>
        <v>1.2578703703703711</v>
      </c>
      <c r="R56" s="114">
        <v>0</v>
      </c>
      <c r="S56" s="59">
        <f t="shared" si="4"/>
        <v>1.2578703703703711</v>
      </c>
      <c r="T56" s="10">
        <f t="shared" si="5"/>
        <v>1.2578703703703711</v>
      </c>
      <c r="U56" s="55">
        <f t="shared" si="1"/>
        <v>1.0301888888888888</v>
      </c>
    </row>
    <row r="57" spans="8:21" ht="15.75" thickBot="1" x14ac:dyDescent="0.3">
      <c r="H57" s="76">
        <v>6</v>
      </c>
      <c r="I57" s="76" t="s">
        <v>154</v>
      </c>
      <c r="J57" s="193" t="s">
        <v>102</v>
      </c>
      <c r="K57" s="194"/>
      <c r="L57" s="96" t="s">
        <v>74</v>
      </c>
      <c r="M57" s="97">
        <v>1</v>
      </c>
      <c r="N57" s="60">
        <v>3</v>
      </c>
      <c r="O57" s="8" t="s">
        <v>14</v>
      </c>
      <c r="P57" s="9">
        <f t="shared" si="2"/>
        <v>-3.2407407407407402E-3</v>
      </c>
      <c r="Q57" s="9">
        <f t="shared" si="3"/>
        <v>1.2546296296296304</v>
      </c>
      <c r="R57" s="116">
        <v>0</v>
      </c>
      <c r="S57" s="59">
        <f t="shared" si="4"/>
        <v>1.2546296296296304</v>
      </c>
      <c r="T57" s="10">
        <f t="shared" si="5"/>
        <v>1.2546296296296304</v>
      </c>
      <c r="U57" s="55">
        <f t="shared" si="1"/>
        <v>1.0301111111111112</v>
      </c>
    </row>
    <row r="58" spans="8:21" ht="15.75" thickBot="1" x14ac:dyDescent="0.3">
      <c r="H58" s="76">
        <v>6</v>
      </c>
      <c r="I58" s="76" t="s">
        <v>155</v>
      </c>
      <c r="J58" s="187" t="s">
        <v>102</v>
      </c>
      <c r="K58" s="188"/>
      <c r="M58" s="62">
        <v>1</v>
      </c>
      <c r="N58" s="60">
        <v>2</v>
      </c>
      <c r="O58" s="8" t="s">
        <v>14</v>
      </c>
      <c r="P58" s="9">
        <f t="shared" si="2"/>
        <v>-3.2407407407407402E-3</v>
      </c>
      <c r="Q58" s="9">
        <f t="shared" si="3"/>
        <v>1.2513888888888898</v>
      </c>
      <c r="R58" s="114">
        <v>0</v>
      </c>
      <c r="S58" s="59">
        <f t="shared" si="4"/>
        <v>1.2513888888888898</v>
      </c>
      <c r="T58" s="10">
        <f t="shared" si="5"/>
        <v>1.2513888888888898</v>
      </c>
      <c r="U58" s="55">
        <f t="shared" si="1"/>
        <v>1.0300333333333334</v>
      </c>
    </row>
    <row r="59" spans="8:21" ht="15.75" thickBot="1" x14ac:dyDescent="0.3">
      <c r="H59" s="76">
        <v>6</v>
      </c>
      <c r="I59" s="76" t="s">
        <v>156</v>
      </c>
      <c r="J59" s="187" t="s">
        <v>102</v>
      </c>
      <c r="K59" s="188"/>
      <c r="L59" s="75" t="s">
        <v>75</v>
      </c>
      <c r="M59" s="60">
        <v>1</v>
      </c>
      <c r="N59" s="60">
        <v>1</v>
      </c>
      <c r="O59" s="8" t="s">
        <v>14</v>
      </c>
      <c r="P59" s="9">
        <f t="shared" si="2"/>
        <v>-3.2407407407407402E-3</v>
      </c>
      <c r="Q59" s="9">
        <f t="shared" si="3"/>
        <v>1.2481481481481491</v>
      </c>
      <c r="R59" s="115">
        <v>0.05</v>
      </c>
      <c r="S59" s="59">
        <f t="shared" si="4"/>
        <v>1.2981481481481492</v>
      </c>
      <c r="T59" s="10">
        <f t="shared" si="5"/>
        <v>1.2981481481481492</v>
      </c>
      <c r="U59" s="55">
        <f t="shared" si="1"/>
        <v>1.0311555555555556</v>
      </c>
    </row>
    <row r="60" spans="8:21" ht="15.75" thickBot="1" x14ac:dyDescent="0.3">
      <c r="H60" s="76">
        <v>6</v>
      </c>
      <c r="I60" s="76" t="s">
        <v>157</v>
      </c>
      <c r="J60" s="189" t="s">
        <v>171</v>
      </c>
      <c r="K60" s="190"/>
      <c r="L60" s="106" t="s">
        <v>76</v>
      </c>
      <c r="M60" s="62">
        <v>1</v>
      </c>
      <c r="N60" s="62">
        <v>1</v>
      </c>
      <c r="O60" s="8" t="s">
        <v>14</v>
      </c>
      <c r="P60" s="9">
        <f t="shared" si="2"/>
        <v>-3.2407407407407402E-3</v>
      </c>
      <c r="Q60" s="9">
        <f t="shared" si="3"/>
        <v>1.2949074074074085</v>
      </c>
      <c r="R60" s="117">
        <v>0</v>
      </c>
      <c r="S60" s="59">
        <f t="shared" si="4"/>
        <v>1.2949074074074085</v>
      </c>
      <c r="T60" s="10">
        <f t="shared" si="5"/>
        <v>1.2949074074074085</v>
      </c>
      <c r="U60" s="55">
        <f t="shared" si="1"/>
        <v>1.0310777777777778</v>
      </c>
    </row>
    <row r="61" spans="8:21" ht="15.75" thickBot="1" x14ac:dyDescent="0.3">
      <c r="H61" s="76">
        <v>6</v>
      </c>
      <c r="I61" s="76" t="s">
        <v>158</v>
      </c>
      <c r="J61" s="191" t="s">
        <v>171</v>
      </c>
      <c r="K61" s="192"/>
      <c r="L61" s="96" t="s">
        <v>74</v>
      </c>
      <c r="M61" s="60">
        <v>1</v>
      </c>
      <c r="N61" s="60">
        <v>2</v>
      </c>
      <c r="O61" s="8" t="s">
        <v>14</v>
      </c>
      <c r="P61" s="9">
        <f t="shared" si="2"/>
        <v>-3.2407407407407402E-3</v>
      </c>
      <c r="Q61" s="9">
        <f t="shared" si="3"/>
        <v>1.2916666666666679</v>
      </c>
      <c r="R61" s="118">
        <v>0</v>
      </c>
      <c r="S61" s="59">
        <f t="shared" si="4"/>
        <v>1.2916666666666679</v>
      </c>
      <c r="T61" s="10">
        <f t="shared" si="5"/>
        <v>1.2916666666666679</v>
      </c>
      <c r="U61" s="55">
        <f t="shared" si="1"/>
        <v>1.0310000000000001</v>
      </c>
    </row>
    <row r="62" spans="8:21" ht="15.75" thickBot="1" x14ac:dyDescent="0.3">
      <c r="H62" s="76">
        <v>6</v>
      </c>
      <c r="I62" s="76" t="s">
        <v>159</v>
      </c>
      <c r="J62" s="191" t="s">
        <v>171</v>
      </c>
      <c r="K62" s="192"/>
      <c r="L62" s="75" t="s">
        <v>75</v>
      </c>
      <c r="M62" s="60">
        <v>1</v>
      </c>
      <c r="N62" s="60">
        <v>1</v>
      </c>
      <c r="O62" s="8" t="s">
        <v>14</v>
      </c>
      <c r="P62" s="9">
        <f t="shared" ref="P62" si="6">IF(O62="Jalan",IF(T61&gt;=$J$6,IF(T61+(-$K$6*M62)&lt;$J$6,$J$6,-$K$6*M62),IF(T61&lt;=$J$6,IF(T61+(+$L$6*M62)&lt;$J$6,+$L$6*M62,$J$6))),IF(T61&gt;0,+$L$6*M62,-$L$6*M62))</f>
        <v>-3.2407407407407402E-3</v>
      </c>
      <c r="Q62" s="9">
        <f t="shared" ref="Q62" si="7">IF(P62=$J$6,$J$6,T61+P62)</f>
        <v>1.2884259259259272</v>
      </c>
      <c r="R62" s="118">
        <v>0</v>
      </c>
      <c r="S62" s="59">
        <f t="shared" ref="S62" si="8">Q62+R62</f>
        <v>1.2884259259259272</v>
      </c>
      <c r="T62" s="10">
        <f t="shared" ref="T62" si="9">S62</f>
        <v>1.2884259259259272</v>
      </c>
      <c r="U62" s="55">
        <f t="shared" ref="U62" si="10">1+(T62/$J$6)/100</f>
        <v>1.0309222222222223</v>
      </c>
    </row>
    <row r="63" spans="8:21" ht="15.75" thickBot="1" x14ac:dyDescent="0.3">
      <c r="H63" s="76">
        <v>6</v>
      </c>
      <c r="I63" s="76" t="s">
        <v>160</v>
      </c>
      <c r="J63" s="177" t="s">
        <v>20</v>
      </c>
      <c r="K63" s="178"/>
      <c r="L63" s="64" t="s">
        <v>76</v>
      </c>
      <c r="M63" s="62">
        <v>1</v>
      </c>
      <c r="N63" s="62">
        <v>1</v>
      </c>
      <c r="O63" s="8" t="s">
        <v>14</v>
      </c>
      <c r="P63" s="9">
        <f t="shared" ref="P63" si="11">IF(O63="Jalan",IF(T62&gt;=$J$6,IF(T62+(-$K$6*M63)&lt;$J$6,$J$6,-$K$6*M63),IF(T62&lt;=$J$6,IF(T62+(+$L$6*M63)&lt;$J$6,+$L$6*M63,$J$6))),IF(T62&gt;0,+$L$6*M63,-$L$6*M63))</f>
        <v>-3.2407407407407402E-3</v>
      </c>
      <c r="Q63" s="9">
        <f t="shared" ref="Q63" si="12">IF(P63=$J$6,$J$6,T62+P63)</f>
        <v>1.2851851851851865</v>
      </c>
      <c r="R63" s="117">
        <v>0</v>
      </c>
      <c r="S63" s="59">
        <f t="shared" si="4"/>
        <v>1.2851851851851865</v>
      </c>
      <c r="T63" s="10">
        <f t="shared" si="5"/>
        <v>1.2851851851851865</v>
      </c>
      <c r="U63" s="55">
        <f t="shared" si="1"/>
        <v>1.0308444444444445</v>
      </c>
    </row>
    <row r="64" spans="8:21" ht="15.75" thickBot="1" x14ac:dyDescent="0.3">
      <c r="H64" s="76">
        <v>6</v>
      </c>
      <c r="I64" s="76" t="s">
        <v>161</v>
      </c>
      <c r="J64" s="193" t="s">
        <v>20</v>
      </c>
      <c r="K64" s="194"/>
      <c r="L64" s="96" t="s">
        <v>74</v>
      </c>
      <c r="M64" s="97">
        <v>1</v>
      </c>
      <c r="N64" s="60">
        <v>3</v>
      </c>
      <c r="O64" s="8" t="s">
        <v>14</v>
      </c>
      <c r="P64" s="9">
        <f t="shared" si="2"/>
        <v>-3.2407407407407402E-3</v>
      </c>
      <c r="Q64" s="9">
        <f t="shared" si="3"/>
        <v>1.2819444444444459</v>
      </c>
      <c r="R64" s="116">
        <v>0</v>
      </c>
      <c r="S64" s="59">
        <f t="shared" si="4"/>
        <v>1.2819444444444459</v>
      </c>
      <c r="T64" s="10">
        <f t="shared" si="5"/>
        <v>1.2819444444444459</v>
      </c>
      <c r="U64" s="55">
        <f t="shared" si="1"/>
        <v>1.0307666666666666</v>
      </c>
    </row>
    <row r="65" spans="8:21" ht="15.75" thickBot="1" x14ac:dyDescent="0.3">
      <c r="H65" s="76">
        <v>6</v>
      </c>
      <c r="I65" s="76" t="s">
        <v>162</v>
      </c>
      <c r="J65" s="187" t="s">
        <v>20</v>
      </c>
      <c r="K65" s="188"/>
      <c r="M65" s="62">
        <v>1</v>
      </c>
      <c r="N65" s="60">
        <v>2</v>
      </c>
      <c r="O65" s="8" t="s">
        <v>14</v>
      </c>
      <c r="P65" s="9">
        <f t="shared" si="2"/>
        <v>-3.2407407407407402E-3</v>
      </c>
      <c r="Q65" s="9">
        <f t="shared" si="3"/>
        <v>1.2787037037037052</v>
      </c>
      <c r="R65" s="114">
        <v>0</v>
      </c>
      <c r="S65" s="59">
        <f t="shared" si="4"/>
        <v>1.2787037037037052</v>
      </c>
      <c r="T65" s="10">
        <f t="shared" si="5"/>
        <v>1.2787037037037052</v>
      </c>
      <c r="U65" s="55">
        <f t="shared" si="1"/>
        <v>1.030688888888889</v>
      </c>
    </row>
    <row r="66" spans="8:21" ht="15.75" thickBot="1" x14ac:dyDescent="0.3">
      <c r="H66" s="76">
        <v>6</v>
      </c>
      <c r="I66" s="76" t="s">
        <v>163</v>
      </c>
      <c r="J66" s="187" t="s">
        <v>20</v>
      </c>
      <c r="K66" s="188"/>
      <c r="L66" s="75" t="s">
        <v>75</v>
      </c>
      <c r="M66" s="60">
        <v>1</v>
      </c>
      <c r="N66" s="60">
        <v>1</v>
      </c>
      <c r="O66" s="8" t="s">
        <v>14</v>
      </c>
      <c r="P66" s="9">
        <f t="shared" si="2"/>
        <v>-3.2407407407407402E-3</v>
      </c>
      <c r="Q66" s="9">
        <f t="shared" si="3"/>
        <v>1.2754629629629646</v>
      </c>
      <c r="R66" s="115">
        <v>0.05</v>
      </c>
      <c r="S66" s="59">
        <f t="shared" si="4"/>
        <v>1.3254629629629646</v>
      </c>
      <c r="T66" s="10">
        <f t="shared" si="5"/>
        <v>1.3254629629629646</v>
      </c>
      <c r="U66" s="55">
        <f t="shared" si="1"/>
        <v>1.0318111111111112</v>
      </c>
    </row>
    <row r="67" spans="8:21" ht="15.75" thickBot="1" x14ac:dyDescent="0.3">
      <c r="H67">
        <v>7</v>
      </c>
      <c r="I67" s="76" t="s">
        <v>105</v>
      </c>
      <c r="J67" s="177" t="s">
        <v>103</v>
      </c>
      <c r="K67" s="178"/>
      <c r="L67" s="64" t="s">
        <v>76</v>
      </c>
      <c r="M67" s="62">
        <v>1</v>
      </c>
      <c r="N67" s="62">
        <v>1</v>
      </c>
      <c r="O67" s="8" t="s">
        <v>14</v>
      </c>
      <c r="P67" s="9">
        <f t="shared" si="2"/>
        <v>-3.2407407407407402E-3</v>
      </c>
      <c r="Q67" s="9">
        <f t="shared" si="3"/>
        <v>1.322222222222224</v>
      </c>
      <c r="R67" s="114">
        <v>0</v>
      </c>
      <c r="S67" s="59">
        <f t="shared" si="4"/>
        <v>1.322222222222224</v>
      </c>
      <c r="T67" s="10">
        <f t="shared" si="5"/>
        <v>1.322222222222224</v>
      </c>
      <c r="U67" s="55">
        <f t="shared" si="1"/>
        <v>1.0317333333333334</v>
      </c>
    </row>
    <row r="68" spans="8:21" ht="15.75" thickBot="1" x14ac:dyDescent="0.3">
      <c r="H68">
        <v>7</v>
      </c>
      <c r="I68" s="76" t="s">
        <v>104</v>
      </c>
      <c r="J68" s="193" t="s">
        <v>103</v>
      </c>
      <c r="K68" s="194"/>
      <c r="L68" s="96" t="s">
        <v>74</v>
      </c>
      <c r="M68" s="97">
        <v>1</v>
      </c>
      <c r="N68" s="60">
        <v>3</v>
      </c>
      <c r="O68" s="8" t="s">
        <v>14</v>
      </c>
      <c r="P68" s="9">
        <f t="shared" si="2"/>
        <v>-3.2407407407407402E-3</v>
      </c>
      <c r="Q68" s="9">
        <f t="shared" si="3"/>
        <v>1.3189814814814833</v>
      </c>
      <c r="R68" s="116">
        <v>0</v>
      </c>
      <c r="S68" s="59">
        <f t="shared" si="4"/>
        <v>1.3189814814814833</v>
      </c>
      <c r="T68" s="10">
        <f t="shared" si="5"/>
        <v>1.3189814814814833</v>
      </c>
      <c r="U68" s="55">
        <f t="shared" si="1"/>
        <v>1.0316555555555555</v>
      </c>
    </row>
    <row r="69" spans="8:21" ht="15.75" thickBot="1" x14ac:dyDescent="0.3">
      <c r="H69">
        <v>7</v>
      </c>
      <c r="I69" s="76" t="s">
        <v>106</v>
      </c>
      <c r="J69" s="187" t="s">
        <v>103</v>
      </c>
      <c r="K69" s="188"/>
      <c r="M69" s="62">
        <v>1</v>
      </c>
      <c r="N69" s="60">
        <v>2</v>
      </c>
      <c r="O69" s="8" t="s">
        <v>14</v>
      </c>
      <c r="P69" s="9">
        <f t="shared" si="2"/>
        <v>-3.2407407407407402E-3</v>
      </c>
      <c r="Q69" s="9">
        <f t="shared" si="3"/>
        <v>1.3157407407407427</v>
      </c>
      <c r="R69" s="114">
        <v>0</v>
      </c>
      <c r="S69" s="59">
        <f t="shared" si="4"/>
        <v>1.3157407407407427</v>
      </c>
      <c r="T69" s="10">
        <f t="shared" si="5"/>
        <v>1.3157407407407427</v>
      </c>
      <c r="U69" s="55">
        <f t="shared" si="1"/>
        <v>1.0315777777777779</v>
      </c>
    </row>
    <row r="70" spans="8:21" ht="15.75" thickBot="1" x14ac:dyDescent="0.3">
      <c r="H70">
        <v>7</v>
      </c>
      <c r="I70" s="76" t="s">
        <v>107</v>
      </c>
      <c r="J70" s="187" t="s">
        <v>103</v>
      </c>
      <c r="K70" s="188"/>
      <c r="L70" s="75" t="s">
        <v>75</v>
      </c>
      <c r="M70" s="60">
        <v>1</v>
      </c>
      <c r="N70" s="60">
        <v>1</v>
      </c>
      <c r="O70" s="8" t="s">
        <v>14</v>
      </c>
      <c r="P70" s="9">
        <f t="shared" si="2"/>
        <v>-3.2407407407407402E-3</v>
      </c>
      <c r="Q70" s="9">
        <f t="shared" si="3"/>
        <v>1.312500000000002</v>
      </c>
      <c r="R70" s="115">
        <v>0.05</v>
      </c>
      <c r="S70" s="59">
        <f t="shared" si="4"/>
        <v>1.362500000000002</v>
      </c>
      <c r="T70" s="10">
        <f t="shared" si="5"/>
        <v>1.362500000000002</v>
      </c>
      <c r="U70" s="55">
        <f t="shared" si="1"/>
        <v>1.0327</v>
      </c>
    </row>
    <row r="71" spans="8:21" ht="15.75" thickBot="1" x14ac:dyDescent="0.3">
      <c r="H71">
        <v>7</v>
      </c>
      <c r="I71" s="76" t="s">
        <v>108</v>
      </c>
      <c r="J71" s="177" t="s">
        <v>166</v>
      </c>
      <c r="K71" s="178"/>
      <c r="L71" s="64" t="s">
        <v>76</v>
      </c>
      <c r="M71" s="62">
        <v>1</v>
      </c>
      <c r="N71" s="62">
        <v>1</v>
      </c>
      <c r="O71" s="8" t="s">
        <v>14</v>
      </c>
      <c r="P71" s="9">
        <f t="shared" si="2"/>
        <v>-3.2407407407407402E-3</v>
      </c>
      <c r="Q71" s="9">
        <f t="shared" si="3"/>
        <v>1.3592592592592614</v>
      </c>
      <c r="R71" s="114">
        <v>0</v>
      </c>
      <c r="S71" s="59">
        <f t="shared" si="4"/>
        <v>1.3592592592592614</v>
      </c>
      <c r="T71" s="10">
        <f t="shared" si="5"/>
        <v>1.3592592592592614</v>
      </c>
      <c r="U71" s="55">
        <f t="shared" si="1"/>
        <v>1.0326222222222223</v>
      </c>
    </row>
    <row r="72" spans="8:21" ht="15.75" thickBot="1" x14ac:dyDescent="0.3">
      <c r="H72">
        <v>7</v>
      </c>
      <c r="I72" s="76" t="s">
        <v>109</v>
      </c>
      <c r="J72" s="193" t="s">
        <v>166</v>
      </c>
      <c r="K72" s="194"/>
      <c r="L72" s="96" t="s">
        <v>74</v>
      </c>
      <c r="M72" s="97">
        <v>1</v>
      </c>
      <c r="N72" s="60">
        <v>3</v>
      </c>
      <c r="O72" s="8" t="s">
        <v>14</v>
      </c>
      <c r="P72" s="9">
        <f t="shared" si="2"/>
        <v>-3.2407407407407402E-3</v>
      </c>
      <c r="Q72" s="9">
        <f t="shared" si="3"/>
        <v>1.3560185185185207</v>
      </c>
      <c r="R72" s="116">
        <v>0</v>
      </c>
      <c r="S72" s="59">
        <f t="shared" si="4"/>
        <v>1.3560185185185207</v>
      </c>
      <c r="T72" s="10">
        <f t="shared" si="5"/>
        <v>1.3560185185185207</v>
      </c>
      <c r="U72" s="55">
        <f t="shared" ref="U72:U135" si="13">1+(T72/$J$6)/100</f>
        <v>1.0325444444444445</v>
      </c>
    </row>
    <row r="73" spans="8:21" ht="15.75" thickBot="1" x14ac:dyDescent="0.3">
      <c r="H73">
        <v>7</v>
      </c>
      <c r="I73" s="76" t="s">
        <v>110</v>
      </c>
      <c r="J73" s="187" t="s">
        <v>166</v>
      </c>
      <c r="K73" s="188"/>
      <c r="M73" s="62">
        <v>1</v>
      </c>
      <c r="N73" s="60">
        <v>2</v>
      </c>
      <c r="O73" s="8" t="s">
        <v>14</v>
      </c>
      <c r="P73" s="9">
        <f t="shared" ref="P73:P141" si="14">IF(O73="Jalan",IF(T72&gt;=$J$6,IF(T72+(-$K$6*M73)&lt;$J$6,$J$6,-$K$6*M73),IF(T72&lt;=$J$6,IF(T72+(+$L$6*M73)&lt;$J$6,+$L$6*M73,$J$6))),IF(T72&gt;0,+$L$6*M73,-$L$6*M73))</f>
        <v>-3.2407407407407402E-3</v>
      </c>
      <c r="Q73" s="9">
        <f t="shared" ref="Q73:Q141" si="15">IF(P73=$J$6,$J$6,T72+P73)</f>
        <v>1.3527777777777801</v>
      </c>
      <c r="R73" s="114">
        <v>0</v>
      </c>
      <c r="S73" s="59">
        <f t="shared" ref="S73:S141" si="16">Q73+R73</f>
        <v>1.3527777777777801</v>
      </c>
      <c r="T73" s="10">
        <f t="shared" ref="T73:T141" si="17">S73</f>
        <v>1.3527777777777801</v>
      </c>
      <c r="U73" s="55">
        <f t="shared" si="13"/>
        <v>1.0324666666666666</v>
      </c>
    </row>
    <row r="74" spans="8:21" ht="15.75" thickBot="1" x14ac:dyDescent="0.3">
      <c r="H74">
        <v>7</v>
      </c>
      <c r="I74" s="76" t="s">
        <v>111</v>
      </c>
      <c r="J74" s="187" t="s">
        <v>166</v>
      </c>
      <c r="K74" s="188"/>
      <c r="L74" s="75" t="s">
        <v>75</v>
      </c>
      <c r="M74" s="60">
        <v>1</v>
      </c>
      <c r="N74" s="60">
        <v>1</v>
      </c>
      <c r="O74" s="8" t="s">
        <v>14</v>
      </c>
      <c r="P74" s="9">
        <f t="shared" si="14"/>
        <v>-3.2407407407407402E-3</v>
      </c>
      <c r="Q74" s="9">
        <f t="shared" si="15"/>
        <v>1.3495370370370394</v>
      </c>
      <c r="R74" s="115">
        <v>0.05</v>
      </c>
      <c r="S74" s="59">
        <f t="shared" si="16"/>
        <v>1.3995370370370395</v>
      </c>
      <c r="T74" s="10">
        <f t="shared" si="17"/>
        <v>1.3995370370370395</v>
      </c>
      <c r="U74" s="55">
        <f t="shared" si="13"/>
        <v>1.0335888888888889</v>
      </c>
    </row>
    <row r="75" spans="8:21" ht="15.75" thickBot="1" x14ac:dyDescent="0.3">
      <c r="H75">
        <v>7</v>
      </c>
      <c r="I75" s="76" t="s">
        <v>112</v>
      </c>
      <c r="J75" s="177" t="s">
        <v>168</v>
      </c>
      <c r="K75" s="178"/>
      <c r="L75" s="64" t="s">
        <v>76</v>
      </c>
      <c r="M75" s="62">
        <v>1</v>
      </c>
      <c r="N75" s="62">
        <v>1</v>
      </c>
      <c r="O75" s="8" t="s">
        <v>14</v>
      </c>
      <c r="P75" s="9">
        <f t="shared" si="14"/>
        <v>-3.2407407407407402E-3</v>
      </c>
      <c r="Q75" s="9">
        <f t="shared" si="15"/>
        <v>1.3962962962962988</v>
      </c>
      <c r="R75" s="114">
        <v>0</v>
      </c>
      <c r="S75" s="59">
        <f t="shared" si="16"/>
        <v>1.3962962962962988</v>
      </c>
      <c r="T75" s="10">
        <f t="shared" si="17"/>
        <v>1.3962962962962988</v>
      </c>
      <c r="U75" s="55">
        <f t="shared" si="13"/>
        <v>1.0335111111111113</v>
      </c>
    </row>
    <row r="76" spans="8:21" ht="15.75" thickBot="1" x14ac:dyDescent="0.3">
      <c r="H76">
        <v>7</v>
      </c>
      <c r="I76" s="76" t="s">
        <v>113</v>
      </c>
      <c r="J76" s="193" t="s">
        <v>168</v>
      </c>
      <c r="K76" s="194"/>
      <c r="L76" s="96" t="s">
        <v>74</v>
      </c>
      <c r="M76" s="97">
        <v>1</v>
      </c>
      <c r="N76" s="60">
        <v>3</v>
      </c>
      <c r="O76" s="8" t="s">
        <v>14</v>
      </c>
      <c r="P76" s="9">
        <f t="shared" si="14"/>
        <v>-3.2407407407407402E-3</v>
      </c>
      <c r="Q76" s="9">
        <f t="shared" si="15"/>
        <v>1.3930555555555582</v>
      </c>
      <c r="R76" s="116">
        <v>0</v>
      </c>
      <c r="S76" s="59">
        <f t="shared" si="16"/>
        <v>1.3930555555555582</v>
      </c>
      <c r="T76" s="10">
        <f t="shared" si="17"/>
        <v>1.3930555555555582</v>
      </c>
      <c r="U76" s="55">
        <f t="shared" si="13"/>
        <v>1.0334333333333334</v>
      </c>
    </row>
    <row r="77" spans="8:21" ht="15.75" thickBot="1" x14ac:dyDescent="0.3">
      <c r="H77">
        <v>7</v>
      </c>
      <c r="I77" s="76" t="s">
        <v>114</v>
      </c>
      <c r="J77" s="187" t="s">
        <v>168</v>
      </c>
      <c r="K77" s="188"/>
      <c r="M77" s="62">
        <v>1</v>
      </c>
      <c r="N77" s="60">
        <v>2</v>
      </c>
      <c r="O77" s="8" t="s">
        <v>14</v>
      </c>
      <c r="P77" s="9">
        <f t="shared" si="14"/>
        <v>-3.2407407407407402E-3</v>
      </c>
      <c r="Q77" s="9">
        <f t="shared" si="15"/>
        <v>1.3898148148148175</v>
      </c>
      <c r="R77" s="114">
        <v>0</v>
      </c>
      <c r="S77" s="59">
        <f t="shared" si="16"/>
        <v>1.3898148148148175</v>
      </c>
      <c r="T77" s="10">
        <f t="shared" si="17"/>
        <v>1.3898148148148175</v>
      </c>
      <c r="U77" s="55">
        <f t="shared" si="13"/>
        <v>1.0333555555555556</v>
      </c>
    </row>
    <row r="78" spans="8:21" ht="15.75" thickBot="1" x14ac:dyDescent="0.3">
      <c r="H78">
        <v>7</v>
      </c>
      <c r="I78" s="76" t="s">
        <v>115</v>
      </c>
      <c r="J78" s="187" t="s">
        <v>168</v>
      </c>
      <c r="K78" s="188"/>
      <c r="L78" s="75" t="s">
        <v>75</v>
      </c>
      <c r="M78" s="60">
        <v>1</v>
      </c>
      <c r="N78" s="60">
        <v>1</v>
      </c>
      <c r="O78" s="8" t="s">
        <v>14</v>
      </c>
      <c r="P78" s="9">
        <f t="shared" si="14"/>
        <v>-3.2407407407407402E-3</v>
      </c>
      <c r="Q78" s="9">
        <f t="shared" si="15"/>
        <v>1.3865740740740768</v>
      </c>
      <c r="R78" s="115">
        <v>0.05</v>
      </c>
      <c r="S78" s="59">
        <f t="shared" si="16"/>
        <v>1.4365740740740769</v>
      </c>
      <c r="T78" s="10">
        <f t="shared" si="17"/>
        <v>1.4365740740740769</v>
      </c>
      <c r="U78" s="55">
        <f t="shared" si="13"/>
        <v>1.0344777777777778</v>
      </c>
    </row>
    <row r="79" spans="8:21" ht="15.75" thickBot="1" x14ac:dyDescent="0.3">
      <c r="H79">
        <v>7</v>
      </c>
      <c r="I79" s="76" t="s">
        <v>116</v>
      </c>
      <c r="J79" s="177" t="s">
        <v>169</v>
      </c>
      <c r="K79" s="178"/>
      <c r="L79" s="64" t="s">
        <v>76</v>
      </c>
      <c r="M79" s="62">
        <v>1</v>
      </c>
      <c r="N79" s="62">
        <v>1</v>
      </c>
      <c r="O79" s="8" t="s">
        <v>14</v>
      </c>
      <c r="P79" s="9">
        <f t="shared" si="14"/>
        <v>-3.2407407407407402E-3</v>
      </c>
      <c r="Q79" s="9">
        <f t="shared" si="15"/>
        <v>1.4333333333333362</v>
      </c>
      <c r="R79" s="114">
        <v>0</v>
      </c>
      <c r="S79" s="59">
        <f t="shared" si="16"/>
        <v>1.4333333333333362</v>
      </c>
      <c r="T79" s="10">
        <f t="shared" si="17"/>
        <v>1.4333333333333362</v>
      </c>
      <c r="U79" s="55">
        <f t="shared" si="13"/>
        <v>1.0344</v>
      </c>
    </row>
    <row r="80" spans="8:21" ht="15.75" thickBot="1" x14ac:dyDescent="0.3">
      <c r="H80">
        <v>7</v>
      </c>
      <c r="I80" s="76" t="s">
        <v>117</v>
      </c>
      <c r="J80" s="193" t="s">
        <v>169</v>
      </c>
      <c r="K80" s="194"/>
      <c r="L80" s="96" t="s">
        <v>74</v>
      </c>
      <c r="M80" s="97">
        <v>1</v>
      </c>
      <c r="N80" s="60">
        <v>3</v>
      </c>
      <c r="O80" s="8" t="s">
        <v>14</v>
      </c>
      <c r="P80" s="9">
        <f t="shared" si="14"/>
        <v>-3.2407407407407402E-3</v>
      </c>
      <c r="Q80" s="9">
        <f t="shared" si="15"/>
        <v>1.4300925925925956</v>
      </c>
      <c r="R80" s="116">
        <v>0</v>
      </c>
      <c r="S80" s="59">
        <f t="shared" si="16"/>
        <v>1.4300925925925956</v>
      </c>
      <c r="T80" s="10">
        <f t="shared" si="17"/>
        <v>1.4300925925925956</v>
      </c>
      <c r="U80" s="55">
        <f t="shared" si="13"/>
        <v>1.0343222222222224</v>
      </c>
    </row>
    <row r="81" spans="4:22" ht="15.75" thickBot="1" x14ac:dyDescent="0.3">
      <c r="H81">
        <v>7</v>
      </c>
      <c r="I81" s="76" t="s">
        <v>118</v>
      </c>
      <c r="J81" s="187" t="s">
        <v>169</v>
      </c>
      <c r="K81" s="188"/>
      <c r="M81" s="62">
        <v>1</v>
      </c>
      <c r="N81" s="60">
        <v>2</v>
      </c>
      <c r="O81" s="8" t="s">
        <v>14</v>
      </c>
      <c r="P81" s="9">
        <f t="shared" si="14"/>
        <v>-3.2407407407407402E-3</v>
      </c>
      <c r="Q81" s="9">
        <f t="shared" si="15"/>
        <v>1.4268518518518549</v>
      </c>
      <c r="R81" s="114">
        <v>0</v>
      </c>
      <c r="S81" s="59">
        <f t="shared" si="16"/>
        <v>1.4268518518518549</v>
      </c>
      <c r="T81" s="10">
        <f t="shared" si="17"/>
        <v>1.4268518518518549</v>
      </c>
      <c r="U81" s="55">
        <f t="shared" si="13"/>
        <v>1.0342444444444445</v>
      </c>
    </row>
    <row r="82" spans="4:22" ht="15.75" thickBot="1" x14ac:dyDescent="0.3">
      <c r="H82">
        <v>7</v>
      </c>
      <c r="I82" s="76" t="s">
        <v>119</v>
      </c>
      <c r="J82" s="187" t="s">
        <v>169</v>
      </c>
      <c r="K82" s="188"/>
      <c r="L82" s="75" t="s">
        <v>75</v>
      </c>
      <c r="M82" s="60">
        <v>1</v>
      </c>
      <c r="N82" s="60">
        <v>1</v>
      </c>
      <c r="O82" s="8" t="s">
        <v>14</v>
      </c>
      <c r="P82" s="9">
        <f t="shared" si="14"/>
        <v>-3.2407407407407402E-3</v>
      </c>
      <c r="Q82" s="9">
        <f t="shared" si="15"/>
        <v>1.4236111111111143</v>
      </c>
      <c r="R82" s="115">
        <v>0.05</v>
      </c>
      <c r="S82" s="59">
        <f t="shared" si="16"/>
        <v>1.4736111111111143</v>
      </c>
      <c r="T82" s="10">
        <f t="shared" si="17"/>
        <v>1.4736111111111143</v>
      </c>
      <c r="U82" s="55">
        <f t="shared" si="13"/>
        <v>1.0353666666666668</v>
      </c>
    </row>
    <row r="83" spans="4:22" ht="15.75" thickBot="1" x14ac:dyDescent="0.3">
      <c r="H83">
        <v>7</v>
      </c>
      <c r="I83" s="76" t="s">
        <v>120</v>
      </c>
      <c r="J83" s="177" t="s">
        <v>172</v>
      </c>
      <c r="K83" s="178"/>
      <c r="L83" s="64" t="s">
        <v>76</v>
      </c>
      <c r="M83" s="62">
        <v>1</v>
      </c>
      <c r="N83" s="62">
        <v>1</v>
      </c>
      <c r="O83" s="8" t="s">
        <v>14</v>
      </c>
      <c r="P83" s="9">
        <f t="shared" si="14"/>
        <v>-3.2407407407407402E-3</v>
      </c>
      <c r="Q83" s="9">
        <f t="shared" si="15"/>
        <v>1.4703703703703737</v>
      </c>
      <c r="R83" s="114">
        <v>0</v>
      </c>
      <c r="S83" s="59">
        <f t="shared" si="16"/>
        <v>1.4703703703703737</v>
      </c>
      <c r="T83" s="10">
        <f t="shared" si="17"/>
        <v>1.4703703703703737</v>
      </c>
      <c r="U83" s="55">
        <f t="shared" si="13"/>
        <v>1.0352888888888889</v>
      </c>
    </row>
    <row r="84" spans="4:22" ht="15.75" thickBot="1" x14ac:dyDescent="0.3">
      <c r="H84">
        <v>7</v>
      </c>
      <c r="I84" s="76" t="s">
        <v>121</v>
      </c>
      <c r="J84" s="179" t="s">
        <v>173</v>
      </c>
      <c r="K84" s="180"/>
      <c r="L84" s="63" t="s">
        <v>74</v>
      </c>
      <c r="M84" s="68">
        <v>1</v>
      </c>
      <c r="N84" s="68">
        <v>1</v>
      </c>
      <c r="O84" s="8" t="s">
        <v>14</v>
      </c>
      <c r="P84" s="9">
        <f t="shared" si="14"/>
        <v>-3.2407407407407402E-3</v>
      </c>
      <c r="Q84" s="9">
        <f t="shared" si="15"/>
        <v>1.467129629629633</v>
      </c>
      <c r="R84" s="114">
        <v>0</v>
      </c>
      <c r="S84" s="59">
        <f t="shared" si="16"/>
        <v>1.467129629629633</v>
      </c>
      <c r="T84" s="10">
        <f t="shared" si="17"/>
        <v>1.467129629629633</v>
      </c>
      <c r="U84" s="55">
        <f t="shared" si="13"/>
        <v>1.0352111111111111</v>
      </c>
    </row>
    <row r="85" spans="4:22" ht="15.75" thickBot="1" x14ac:dyDescent="0.3">
      <c r="H85">
        <v>7</v>
      </c>
      <c r="I85" s="76" t="s">
        <v>122</v>
      </c>
      <c r="J85" s="179" t="s">
        <v>173</v>
      </c>
      <c r="K85" s="180"/>
      <c r="L85" s="63" t="s">
        <v>75</v>
      </c>
      <c r="M85" s="68">
        <v>1</v>
      </c>
      <c r="N85" s="68">
        <v>0</v>
      </c>
      <c r="O85" s="8" t="s">
        <v>14</v>
      </c>
      <c r="P85" s="9">
        <f t="shared" si="14"/>
        <v>-3.2407407407407402E-3</v>
      </c>
      <c r="Q85" s="9">
        <f t="shared" si="15"/>
        <v>1.4638888888888923</v>
      </c>
      <c r="R85" s="114">
        <v>0</v>
      </c>
      <c r="S85" s="59">
        <f t="shared" si="16"/>
        <v>1.4638888888888923</v>
      </c>
      <c r="T85" s="10">
        <f t="shared" si="17"/>
        <v>1.4638888888888923</v>
      </c>
      <c r="U85" s="55">
        <f t="shared" si="13"/>
        <v>1.0351333333333335</v>
      </c>
    </row>
    <row r="86" spans="4:22" ht="15.75" thickBot="1" x14ac:dyDescent="0.3">
      <c r="H86">
        <v>7</v>
      </c>
      <c r="I86" s="76" t="s">
        <v>123</v>
      </c>
      <c r="J86" s="185" t="s">
        <v>172</v>
      </c>
      <c r="K86" s="186"/>
      <c r="L86" s="96" t="s">
        <v>74</v>
      </c>
      <c r="M86" s="97">
        <v>1</v>
      </c>
      <c r="N86" s="60">
        <v>3</v>
      </c>
      <c r="O86" s="8" t="s">
        <v>14</v>
      </c>
      <c r="P86" s="9">
        <f t="shared" si="14"/>
        <v>-3.2407407407407402E-3</v>
      </c>
      <c r="Q86" s="9">
        <f t="shared" si="15"/>
        <v>1.4606481481481517</v>
      </c>
      <c r="R86" s="116">
        <v>0</v>
      </c>
      <c r="S86" s="59">
        <f t="shared" si="16"/>
        <v>1.4606481481481517</v>
      </c>
      <c r="T86" s="10">
        <f t="shared" si="17"/>
        <v>1.4606481481481517</v>
      </c>
      <c r="U86" s="55">
        <f t="shared" si="13"/>
        <v>1.0350555555555556</v>
      </c>
    </row>
    <row r="87" spans="4:22" ht="15.75" thickBot="1" x14ac:dyDescent="0.3">
      <c r="H87">
        <v>7</v>
      </c>
      <c r="I87" s="76" t="s">
        <v>124</v>
      </c>
      <c r="J87" s="197" t="s">
        <v>172</v>
      </c>
      <c r="K87" s="197"/>
      <c r="L87" s="105"/>
      <c r="M87" s="97">
        <v>1</v>
      </c>
      <c r="N87" s="60">
        <v>2</v>
      </c>
      <c r="O87" s="8" t="s">
        <v>14</v>
      </c>
      <c r="P87" s="9">
        <f t="shared" si="14"/>
        <v>-3.2407407407407402E-3</v>
      </c>
      <c r="Q87" s="9">
        <f t="shared" si="15"/>
        <v>1.457407407407411</v>
      </c>
      <c r="R87" s="117">
        <v>0</v>
      </c>
      <c r="S87" s="59">
        <f t="shared" si="16"/>
        <v>1.457407407407411</v>
      </c>
      <c r="T87" s="10">
        <f t="shared" si="17"/>
        <v>1.457407407407411</v>
      </c>
      <c r="U87" s="55">
        <f t="shared" si="13"/>
        <v>1.0349777777777778</v>
      </c>
    </row>
    <row r="88" spans="4:22" ht="15.75" thickBot="1" x14ac:dyDescent="0.3">
      <c r="H88">
        <v>7</v>
      </c>
      <c r="I88" s="76" t="s">
        <v>125</v>
      </c>
      <c r="J88" s="198" t="s">
        <v>172</v>
      </c>
      <c r="K88" s="199"/>
      <c r="L88" s="75" t="s">
        <v>75</v>
      </c>
      <c r="M88" s="97">
        <v>1</v>
      </c>
      <c r="N88" s="97">
        <v>1</v>
      </c>
      <c r="O88" s="8" t="s">
        <v>14</v>
      </c>
      <c r="P88" s="9">
        <f t="shared" si="14"/>
        <v>-3.2407407407407402E-3</v>
      </c>
      <c r="Q88" s="9">
        <f t="shared" si="15"/>
        <v>1.4541666666666704</v>
      </c>
      <c r="R88" s="115">
        <v>0.05</v>
      </c>
      <c r="S88" s="59">
        <f t="shared" si="16"/>
        <v>1.5041666666666704</v>
      </c>
      <c r="T88" s="10">
        <f t="shared" si="17"/>
        <v>1.5041666666666704</v>
      </c>
      <c r="U88" s="55">
        <f t="shared" si="13"/>
        <v>1.0361</v>
      </c>
    </row>
    <row r="89" spans="4:22" s="125" customFormat="1" ht="15.75" thickBot="1" x14ac:dyDescent="0.3">
      <c r="D89" s="141"/>
      <c r="E89" s="141"/>
      <c r="F89" s="141"/>
      <c r="G89" s="125" t="s">
        <v>187</v>
      </c>
      <c r="H89" s="125">
        <v>7</v>
      </c>
      <c r="I89" s="126" t="s">
        <v>126</v>
      </c>
      <c r="J89" s="200" t="s">
        <v>174</v>
      </c>
      <c r="K89" s="201"/>
      <c r="L89" s="64" t="s">
        <v>76</v>
      </c>
      <c r="M89" s="62">
        <v>1</v>
      </c>
      <c r="N89" s="62">
        <v>1</v>
      </c>
      <c r="O89" s="8" t="s">
        <v>14</v>
      </c>
      <c r="P89" s="9">
        <f t="shared" si="14"/>
        <v>-3.2407407407407402E-3</v>
      </c>
      <c r="Q89" s="9">
        <f t="shared" si="15"/>
        <v>1.5009259259259298</v>
      </c>
      <c r="R89" s="114">
        <v>0</v>
      </c>
      <c r="S89" s="59">
        <f t="shared" si="16"/>
        <v>1.5009259259259298</v>
      </c>
      <c r="T89" s="10">
        <f t="shared" si="17"/>
        <v>1.5009259259259298</v>
      </c>
      <c r="U89" s="55">
        <f t="shared" si="13"/>
        <v>1.0360222222222224</v>
      </c>
    </row>
    <row r="90" spans="4:22" ht="15.75" thickBot="1" x14ac:dyDescent="0.3">
      <c r="G90" s="125" t="s">
        <v>187</v>
      </c>
      <c r="H90" s="125">
        <v>7</v>
      </c>
      <c r="I90" s="126" t="s">
        <v>127</v>
      </c>
      <c r="J90" s="202" t="s">
        <v>176</v>
      </c>
      <c r="K90" s="203"/>
      <c r="L90" s="127" t="s">
        <v>74</v>
      </c>
      <c r="M90" s="128">
        <v>1</v>
      </c>
      <c r="N90" s="128">
        <v>1</v>
      </c>
      <c r="O90" s="129" t="s">
        <v>14</v>
      </c>
      <c r="P90" s="130">
        <f t="shared" si="14"/>
        <v>-3.2407407407407402E-3</v>
      </c>
      <c r="Q90" s="130">
        <f t="shared" si="15"/>
        <v>1.4976851851851891</v>
      </c>
      <c r="R90" s="124">
        <v>0</v>
      </c>
      <c r="S90" s="131">
        <f t="shared" si="16"/>
        <v>1.4976851851851891</v>
      </c>
      <c r="T90" s="132">
        <f t="shared" si="17"/>
        <v>1.4976851851851891</v>
      </c>
      <c r="U90" s="133">
        <f t="shared" si="13"/>
        <v>1.0359444444444446</v>
      </c>
      <c r="V90" s="125"/>
    </row>
    <row r="91" spans="4:22" ht="15.75" thickBot="1" x14ac:dyDescent="0.3">
      <c r="G91" s="125"/>
      <c r="H91">
        <v>7</v>
      </c>
      <c r="I91" s="134" t="s">
        <v>128</v>
      </c>
      <c r="J91" s="189" t="s">
        <v>188</v>
      </c>
      <c r="K91" s="190"/>
      <c r="L91" s="106" t="s">
        <v>76</v>
      </c>
      <c r="M91" s="62">
        <v>1</v>
      </c>
      <c r="N91" s="62">
        <v>1</v>
      </c>
      <c r="O91" s="8" t="s">
        <v>14</v>
      </c>
      <c r="P91" s="9">
        <f>IF(O91="Jalan",IF(T90&gt;=$J$6,IF(T90+(-$K$6*M91)&lt;$J$6,$J$6,-$K$6*M91),IF(T90&lt;=$J$6,IF(T90+(+$L$6*M91)&lt;$J$6,+$L$6*M91,$J$6))),IF(T90&gt;0,+$L$6*M91,-$L$6*M91))</f>
        <v>-3.2407407407407402E-3</v>
      </c>
      <c r="Q91" s="9">
        <f>IF(P91=$J$6,$J$6,T90+P91)</f>
        <v>1.4944444444444485</v>
      </c>
      <c r="R91" s="117">
        <v>0</v>
      </c>
      <c r="S91" s="59">
        <f t="shared" si="16"/>
        <v>1.4944444444444485</v>
      </c>
      <c r="T91" s="10">
        <f t="shared" si="17"/>
        <v>1.4944444444444485</v>
      </c>
      <c r="U91" s="55">
        <f t="shared" si="13"/>
        <v>1.0358666666666667</v>
      </c>
      <c r="V91" s="125"/>
    </row>
    <row r="92" spans="4:22" ht="15.75" thickBot="1" x14ac:dyDescent="0.3">
      <c r="G92" s="125"/>
      <c r="H92">
        <v>7</v>
      </c>
      <c r="I92" s="134" t="s">
        <v>129</v>
      </c>
      <c r="J92" s="204" t="s">
        <v>173</v>
      </c>
      <c r="K92" s="205"/>
      <c r="L92" s="135" t="s">
        <v>74</v>
      </c>
      <c r="M92" s="122">
        <v>1</v>
      </c>
      <c r="N92" s="122">
        <v>1</v>
      </c>
      <c r="O92" s="136" t="s">
        <v>14</v>
      </c>
      <c r="P92" s="9">
        <f t="shared" si="14"/>
        <v>-3.2407407407407402E-3</v>
      </c>
      <c r="Q92" s="9">
        <f t="shared" si="15"/>
        <v>1.4912037037037078</v>
      </c>
      <c r="R92" s="117">
        <v>0</v>
      </c>
      <c r="S92" s="138">
        <f t="shared" ref="S92" si="18">Q92+R92</f>
        <v>1.4912037037037078</v>
      </c>
      <c r="T92" s="139">
        <f t="shared" ref="T92" si="19">S92</f>
        <v>1.4912037037037078</v>
      </c>
      <c r="U92" s="140">
        <f t="shared" si="13"/>
        <v>1.0357888888888891</v>
      </c>
      <c r="V92" s="125"/>
    </row>
    <row r="93" spans="4:22" ht="15.75" thickBot="1" x14ac:dyDescent="0.3">
      <c r="G93" s="125"/>
      <c r="H93">
        <v>7</v>
      </c>
      <c r="I93" s="134" t="s">
        <v>130</v>
      </c>
      <c r="J93" s="204" t="s">
        <v>173</v>
      </c>
      <c r="K93" s="205"/>
      <c r="L93" s="135" t="s">
        <v>75</v>
      </c>
      <c r="M93" s="122">
        <v>1</v>
      </c>
      <c r="N93" s="122">
        <v>1</v>
      </c>
      <c r="O93" s="136" t="s">
        <v>14</v>
      </c>
      <c r="P93" s="137">
        <f t="shared" ref="P93" si="20">IF(O93="Jalan",IF(T92&gt;=$J$6,IF(T92+(-$K$6*M93)&lt;$J$6,$J$6,-$K$6*M93),IF(T92&lt;=$J$6,IF(T92+(+$L$6*M93)&lt;$J$6,+$L$6*M93,$J$6))),IF(T92&gt;0,+$L$6*M93,-$L$6*M93))</f>
        <v>-3.2407407407407402E-3</v>
      </c>
      <c r="Q93" s="137">
        <f t="shared" ref="Q93" si="21">IF(P93=$J$6,$J$6,T92+P93)</f>
        <v>1.4879629629629672</v>
      </c>
      <c r="R93" s="117">
        <v>1</v>
      </c>
      <c r="S93" s="138">
        <f t="shared" ref="S93" si="22">Q93+R93</f>
        <v>2.4879629629629672</v>
      </c>
      <c r="T93" s="139">
        <f t="shared" ref="T93" si="23">S93</f>
        <v>2.4879629629629672</v>
      </c>
      <c r="U93" s="140">
        <f t="shared" si="13"/>
        <v>1.0597111111111113</v>
      </c>
      <c r="V93" s="125"/>
    </row>
    <row r="94" spans="4:22" ht="15.75" thickBot="1" x14ac:dyDescent="0.3">
      <c r="H94">
        <v>7</v>
      </c>
      <c r="I94" s="134" t="s">
        <v>131</v>
      </c>
      <c r="J94" s="206" t="s">
        <v>188</v>
      </c>
      <c r="K94" s="207"/>
      <c r="L94" s="96" t="s">
        <v>74</v>
      </c>
      <c r="M94" s="60">
        <v>1</v>
      </c>
      <c r="N94" s="60">
        <v>2</v>
      </c>
      <c r="O94" s="8" t="s">
        <v>14</v>
      </c>
      <c r="P94" s="9">
        <f>IF(O94="Jalan",IF(T91&gt;=$J$6,IF(T91+(-$K$6*M94)&lt;$J$6,$J$6,-$K$6*M94),IF(T91&lt;=$J$6,IF(T91+(+$L$6*M94)&lt;$J$6,+$L$6*M94,$J$6))),IF(T91&gt;0,+$L$6*M94,-$L$6*M94))</f>
        <v>-3.2407407407407402E-3</v>
      </c>
      <c r="Q94" s="9">
        <f>IF(P94=$J$6,$J$6,T91+P94)</f>
        <v>1.4912037037037078</v>
      </c>
      <c r="R94" s="118">
        <v>0</v>
      </c>
      <c r="S94" s="59">
        <f>Q94+R94</f>
        <v>1.4912037037037078</v>
      </c>
      <c r="T94" s="10">
        <f>S94</f>
        <v>1.4912037037037078</v>
      </c>
      <c r="U94" s="55">
        <f t="shared" si="13"/>
        <v>1.0357888888888891</v>
      </c>
    </row>
    <row r="95" spans="4:22" ht="15.75" thickBot="1" x14ac:dyDescent="0.3">
      <c r="H95">
        <v>7</v>
      </c>
      <c r="I95" s="134" t="s">
        <v>132</v>
      </c>
      <c r="J95" s="206" t="s">
        <v>188</v>
      </c>
      <c r="K95" s="207"/>
      <c r="L95" s="75" t="s">
        <v>75</v>
      </c>
      <c r="M95" s="60">
        <v>1</v>
      </c>
      <c r="N95" s="60">
        <v>1</v>
      </c>
      <c r="O95" s="8" t="s">
        <v>14</v>
      </c>
      <c r="P95" s="9">
        <f>IF(O95="Jalan",IF(T92&gt;=$J$6,IF(T92+(-$K$6*M95)&lt;$J$6,$J$6,-$K$6*M95),IF(T92&lt;=$J$6,IF(T92+(+$L$6*M95)&lt;$J$6,+$L$6*M95,$J$6))),IF(T92&gt;0,+$L$6*M95,-$L$6*M95))</f>
        <v>-3.2407407407407402E-3</v>
      </c>
      <c r="Q95" s="9">
        <f>IF(P95=$J$6,$J$6,T92+P95)</f>
        <v>1.4879629629629672</v>
      </c>
      <c r="R95" s="115">
        <v>0.05</v>
      </c>
      <c r="S95" s="59">
        <f>Q95+R95</f>
        <v>1.5379629629629672</v>
      </c>
      <c r="T95" s="10">
        <f>S95</f>
        <v>1.5379629629629672</v>
      </c>
      <c r="U95" s="55">
        <f t="shared" si="13"/>
        <v>1.0369111111111111</v>
      </c>
    </row>
    <row r="96" spans="4:22" ht="15.75" thickBot="1" x14ac:dyDescent="0.3">
      <c r="G96" s="142" t="s">
        <v>189</v>
      </c>
      <c r="H96" s="142">
        <v>7</v>
      </c>
      <c r="I96" s="143" t="s">
        <v>133</v>
      </c>
      <c r="J96" s="208" t="s">
        <v>174</v>
      </c>
      <c r="K96" s="209"/>
      <c r="L96" s="144" t="s">
        <v>76</v>
      </c>
      <c r="M96" s="121">
        <v>1</v>
      </c>
      <c r="N96" s="121">
        <v>1</v>
      </c>
      <c r="O96" s="136" t="s">
        <v>14</v>
      </c>
      <c r="P96" s="137">
        <f t="shared" ref="P96:P97" si="24">IF(O96="Jalan",IF(T95&gt;=$J$6,IF(T95+(-$K$6*M96)&lt;$J$6,$J$6,-$K$6*M96),IF(T95&lt;=$J$6,IF(T95+(+$L$6*M96)&lt;$J$6,+$L$6*M96,$J$6))),IF(T95&gt;0,+$L$6*M96,-$L$6*M96))</f>
        <v>-3.2407407407407402E-3</v>
      </c>
      <c r="Q96" s="137">
        <f t="shared" ref="Q96:Q97" si="25">IF(P96=$J$6,$J$6,T95+P96)</f>
        <v>1.5347222222222265</v>
      </c>
      <c r="R96" s="117">
        <v>0</v>
      </c>
      <c r="S96" s="138">
        <f t="shared" ref="S96:S97" si="26">Q96+R96</f>
        <v>1.5347222222222265</v>
      </c>
      <c r="T96" s="139">
        <f t="shared" ref="T96:T97" si="27">S96</f>
        <v>1.5347222222222265</v>
      </c>
      <c r="U96" s="55">
        <f t="shared" si="13"/>
        <v>1.0368333333333335</v>
      </c>
    </row>
    <row r="97" spans="8:21" ht="15.75" thickBot="1" x14ac:dyDescent="0.3">
      <c r="H97">
        <v>7</v>
      </c>
      <c r="I97" s="76" t="s">
        <v>134</v>
      </c>
      <c r="J97" s="204" t="s">
        <v>191</v>
      </c>
      <c r="K97" s="205"/>
      <c r="L97" s="135" t="s">
        <v>74</v>
      </c>
      <c r="M97" s="122">
        <v>1</v>
      </c>
      <c r="N97" s="122">
        <v>1</v>
      </c>
      <c r="O97" s="136" t="s">
        <v>14</v>
      </c>
      <c r="P97" s="137">
        <f t="shared" si="24"/>
        <v>-3.2407407407407402E-3</v>
      </c>
      <c r="Q97" s="137">
        <f t="shared" si="25"/>
        <v>1.5314814814814859</v>
      </c>
      <c r="R97" s="117">
        <v>0</v>
      </c>
      <c r="S97" s="138">
        <f t="shared" si="26"/>
        <v>1.5314814814814859</v>
      </c>
      <c r="T97" s="139">
        <f t="shared" si="27"/>
        <v>1.5314814814814859</v>
      </c>
      <c r="U97" s="55">
        <f t="shared" si="13"/>
        <v>1.0367555555555557</v>
      </c>
    </row>
    <row r="98" spans="8:21" ht="15.75" thickBot="1" x14ac:dyDescent="0.3">
      <c r="H98">
        <v>7</v>
      </c>
      <c r="I98" s="76" t="s">
        <v>135</v>
      </c>
      <c r="J98" s="204" t="s">
        <v>191</v>
      </c>
      <c r="K98" s="205"/>
      <c r="L98" s="135" t="s">
        <v>74</v>
      </c>
      <c r="M98" s="122">
        <v>1</v>
      </c>
      <c r="N98" s="122">
        <v>1</v>
      </c>
      <c r="O98" s="136" t="s">
        <v>14</v>
      </c>
      <c r="P98" s="137">
        <f t="shared" ref="P98" si="28">IF(O98="Jalan",IF(T97&gt;=$J$6,IF(T97+(-$K$6*M98)&lt;$J$6,$J$6,-$K$6*M98),IF(T97&lt;=$J$6,IF(T97+(+$L$6*M98)&lt;$J$6,+$L$6*M98,$J$6))),IF(T97&gt;0,+$L$6*M98,-$L$6*M98))</f>
        <v>-3.2407407407407402E-3</v>
      </c>
      <c r="Q98" s="137">
        <f t="shared" ref="Q98" si="29">IF(P98=$J$6,$J$6,T97+P98)</f>
        <v>1.5282407407407452</v>
      </c>
      <c r="R98" s="117">
        <v>1</v>
      </c>
      <c r="S98" s="138">
        <f t="shared" ref="S98" si="30">Q98+R98</f>
        <v>2.5282407407407455</v>
      </c>
      <c r="T98" s="139">
        <f t="shared" ref="T98" si="31">S98</f>
        <v>2.5282407407407455</v>
      </c>
      <c r="U98" s="55">
        <f t="shared" si="13"/>
        <v>1.0606777777777778</v>
      </c>
    </row>
    <row r="99" spans="8:21" x14ac:dyDescent="0.25">
      <c r="H99">
        <v>7</v>
      </c>
      <c r="I99" s="76" t="s">
        <v>136</v>
      </c>
      <c r="J99" s="185" t="s">
        <v>174</v>
      </c>
      <c r="K99" s="186"/>
      <c r="L99" s="107" t="s">
        <v>74</v>
      </c>
      <c r="M99" s="97">
        <v>1</v>
      </c>
      <c r="N99" s="60">
        <v>5</v>
      </c>
      <c r="O99" s="8" t="s">
        <v>14</v>
      </c>
      <c r="P99" s="137">
        <f t="shared" ref="P99" si="32">IF(O99="Jalan",IF(T98&gt;=$J$6,IF(T98+(-$K$6*M99)&lt;$J$6,$J$6,-$K$6*M99),IF(T98&lt;=$J$6,IF(T98+(+$L$6*M99)&lt;$J$6,+$L$6*M99,$J$6))),IF(T98&gt;0,+$L$6*M99,-$L$6*M99))</f>
        <v>-3.2407407407407402E-3</v>
      </c>
      <c r="Q99" s="137">
        <f t="shared" ref="Q99" si="33">IF(P99=$J$6,$J$6,T98+P99)</f>
        <v>2.5250000000000048</v>
      </c>
      <c r="R99" s="116">
        <v>0</v>
      </c>
      <c r="S99" s="59">
        <f t="shared" si="16"/>
        <v>2.5250000000000048</v>
      </c>
      <c r="T99" s="10">
        <f t="shared" si="17"/>
        <v>2.5250000000000048</v>
      </c>
      <c r="U99" s="55">
        <f t="shared" si="13"/>
        <v>1.0606000000000002</v>
      </c>
    </row>
    <row r="100" spans="8:21" x14ac:dyDescent="0.25">
      <c r="H100">
        <v>7</v>
      </c>
      <c r="I100" s="76" t="s">
        <v>137</v>
      </c>
      <c r="J100" s="187" t="s">
        <v>174</v>
      </c>
      <c r="K100" s="188"/>
      <c r="L100" s="109"/>
      <c r="M100" s="97">
        <v>1</v>
      </c>
      <c r="N100" s="60">
        <v>4</v>
      </c>
      <c r="O100" s="8" t="s">
        <v>14</v>
      </c>
      <c r="P100" s="9">
        <f t="shared" si="14"/>
        <v>-3.2407407407407402E-3</v>
      </c>
      <c r="Q100" s="9">
        <f t="shared" si="15"/>
        <v>2.5217592592592641</v>
      </c>
      <c r="R100" s="117">
        <v>0</v>
      </c>
      <c r="S100" s="59">
        <f t="shared" si="16"/>
        <v>2.5217592592592641</v>
      </c>
      <c r="T100" s="10">
        <f t="shared" si="17"/>
        <v>2.5217592592592641</v>
      </c>
      <c r="U100" s="55">
        <f t="shared" si="13"/>
        <v>1.0605222222222224</v>
      </c>
    </row>
    <row r="101" spans="8:21" x14ac:dyDescent="0.25">
      <c r="H101">
        <v>7</v>
      </c>
      <c r="I101" s="76" t="s">
        <v>138</v>
      </c>
      <c r="J101" s="187" t="s">
        <v>174</v>
      </c>
      <c r="K101" s="188"/>
      <c r="L101" s="109"/>
      <c r="M101" s="97">
        <v>1</v>
      </c>
      <c r="N101" s="60">
        <v>3</v>
      </c>
      <c r="O101" s="8" t="s">
        <v>14</v>
      </c>
      <c r="P101" s="9">
        <f t="shared" si="14"/>
        <v>-3.2407407407407402E-3</v>
      </c>
      <c r="Q101" s="9">
        <f t="shared" si="15"/>
        <v>2.5185185185185235</v>
      </c>
      <c r="R101" s="117">
        <v>0</v>
      </c>
      <c r="S101" s="59">
        <f t="shared" si="16"/>
        <v>2.5185185185185235</v>
      </c>
      <c r="T101" s="10">
        <f t="shared" si="17"/>
        <v>2.5185185185185235</v>
      </c>
      <c r="U101" s="55">
        <f t="shared" si="13"/>
        <v>1.0604444444444445</v>
      </c>
    </row>
    <row r="102" spans="8:21" x14ac:dyDescent="0.25">
      <c r="H102">
        <v>7</v>
      </c>
      <c r="I102" s="76" t="s">
        <v>139</v>
      </c>
      <c r="J102" s="187" t="s">
        <v>174</v>
      </c>
      <c r="K102" s="188"/>
      <c r="L102" s="109"/>
      <c r="M102" s="97">
        <v>1</v>
      </c>
      <c r="N102" s="60">
        <v>2</v>
      </c>
      <c r="O102" s="8" t="s">
        <v>14</v>
      </c>
      <c r="P102" s="9">
        <f t="shared" si="14"/>
        <v>-3.2407407407407402E-3</v>
      </c>
      <c r="Q102" s="9">
        <f t="shared" si="15"/>
        <v>2.5152777777777828</v>
      </c>
      <c r="R102" s="117">
        <v>0</v>
      </c>
      <c r="S102" s="59">
        <f t="shared" si="16"/>
        <v>2.5152777777777828</v>
      </c>
      <c r="T102" s="10">
        <f t="shared" si="17"/>
        <v>2.5152777777777828</v>
      </c>
      <c r="U102" s="55">
        <f t="shared" si="13"/>
        <v>1.0603666666666667</v>
      </c>
    </row>
    <row r="103" spans="8:21" ht="15.75" thickBot="1" x14ac:dyDescent="0.3">
      <c r="H103">
        <v>7</v>
      </c>
      <c r="I103" s="76" t="s">
        <v>140</v>
      </c>
      <c r="J103" s="183" t="s">
        <v>174</v>
      </c>
      <c r="K103" s="184"/>
      <c r="L103" s="108" t="s">
        <v>75</v>
      </c>
      <c r="M103" s="97">
        <v>1</v>
      </c>
      <c r="N103" s="97">
        <v>1</v>
      </c>
      <c r="O103" s="8" t="s">
        <v>14</v>
      </c>
      <c r="P103" s="9">
        <f t="shared" si="14"/>
        <v>-3.2407407407407402E-3</v>
      </c>
      <c r="Q103" s="9">
        <f t="shared" si="15"/>
        <v>2.5120370370370422</v>
      </c>
      <c r="R103" s="115">
        <v>0.05</v>
      </c>
      <c r="S103" s="59">
        <f t="shared" si="16"/>
        <v>2.562037037037042</v>
      </c>
      <c r="T103" s="10">
        <f t="shared" si="17"/>
        <v>2.562037037037042</v>
      </c>
      <c r="U103" s="55">
        <f t="shared" si="13"/>
        <v>1.0614888888888889</v>
      </c>
    </row>
    <row r="104" spans="8:21" ht="15.75" thickBot="1" x14ac:dyDescent="0.3">
      <c r="H104">
        <v>7</v>
      </c>
      <c r="I104" s="76" t="s">
        <v>141</v>
      </c>
      <c r="J104" s="177" t="s">
        <v>175</v>
      </c>
      <c r="K104" s="178"/>
      <c r="L104" s="64" t="s">
        <v>76</v>
      </c>
      <c r="M104" s="62">
        <v>1</v>
      </c>
      <c r="N104" s="62">
        <v>1</v>
      </c>
      <c r="O104" s="8" t="s">
        <v>14</v>
      </c>
      <c r="P104" s="9">
        <f t="shared" si="14"/>
        <v>-3.2407407407407402E-3</v>
      </c>
      <c r="Q104" s="9">
        <f t="shared" si="15"/>
        <v>2.5587962962963013</v>
      </c>
      <c r="R104" s="114">
        <v>0</v>
      </c>
      <c r="S104" s="59">
        <f t="shared" si="16"/>
        <v>2.5587962962963013</v>
      </c>
      <c r="T104" s="10">
        <f t="shared" si="17"/>
        <v>2.5587962962963013</v>
      </c>
      <c r="U104" s="55">
        <f t="shared" si="13"/>
        <v>1.0614111111111113</v>
      </c>
    </row>
    <row r="105" spans="8:21" ht="15.75" thickBot="1" x14ac:dyDescent="0.3">
      <c r="H105">
        <v>7</v>
      </c>
      <c r="I105" s="76" t="s">
        <v>142</v>
      </c>
      <c r="J105" s="179" t="s">
        <v>177</v>
      </c>
      <c r="K105" s="180"/>
      <c r="L105" s="63" t="s">
        <v>74</v>
      </c>
      <c r="M105" s="68">
        <v>1</v>
      </c>
      <c r="N105" s="68">
        <v>1</v>
      </c>
      <c r="O105" s="8" t="s">
        <v>14</v>
      </c>
      <c r="P105" s="9">
        <f t="shared" si="14"/>
        <v>-3.2407407407407402E-3</v>
      </c>
      <c r="Q105" s="9">
        <f t="shared" si="15"/>
        <v>2.5555555555555607</v>
      </c>
      <c r="R105" s="114">
        <v>0</v>
      </c>
      <c r="S105" s="59">
        <f t="shared" si="16"/>
        <v>2.5555555555555607</v>
      </c>
      <c r="T105" s="10">
        <f t="shared" si="17"/>
        <v>2.5555555555555607</v>
      </c>
      <c r="U105" s="55">
        <f t="shared" si="13"/>
        <v>1.0613333333333335</v>
      </c>
    </row>
    <row r="106" spans="8:21" ht="15.75" thickBot="1" x14ac:dyDescent="0.3">
      <c r="H106">
        <v>7</v>
      </c>
      <c r="I106" s="76" t="s">
        <v>143</v>
      </c>
      <c r="J106" s="179" t="s">
        <v>177</v>
      </c>
      <c r="K106" s="180"/>
      <c r="L106" s="63" t="s">
        <v>75</v>
      </c>
      <c r="M106" s="68">
        <v>1</v>
      </c>
      <c r="N106" s="68">
        <v>0</v>
      </c>
      <c r="O106" s="8" t="s">
        <v>14</v>
      </c>
      <c r="P106" s="9">
        <f t="shared" si="14"/>
        <v>-3.2407407407407402E-3</v>
      </c>
      <c r="Q106" s="9">
        <f t="shared" si="15"/>
        <v>2.55231481481482</v>
      </c>
      <c r="R106" s="114">
        <v>0</v>
      </c>
      <c r="S106" s="59">
        <f t="shared" si="16"/>
        <v>2.55231481481482</v>
      </c>
      <c r="T106" s="10">
        <f t="shared" si="17"/>
        <v>2.55231481481482</v>
      </c>
      <c r="U106" s="55">
        <f t="shared" si="13"/>
        <v>1.0612555555555556</v>
      </c>
    </row>
    <row r="107" spans="8:21" ht="15.75" thickBot="1" x14ac:dyDescent="0.3">
      <c r="H107">
        <v>7</v>
      </c>
      <c r="I107" s="76" t="s">
        <v>144</v>
      </c>
      <c r="J107" s="179" t="s">
        <v>178</v>
      </c>
      <c r="K107" s="180"/>
      <c r="L107" s="63" t="s">
        <v>74</v>
      </c>
      <c r="M107" s="68">
        <v>1</v>
      </c>
      <c r="N107" s="68">
        <v>1</v>
      </c>
      <c r="O107" s="8" t="s">
        <v>14</v>
      </c>
      <c r="P107" s="9">
        <f t="shared" si="14"/>
        <v>-3.2407407407407402E-3</v>
      </c>
      <c r="Q107" s="9">
        <f t="shared" si="15"/>
        <v>2.5490740740740794</v>
      </c>
      <c r="R107" s="114">
        <v>0</v>
      </c>
      <c r="S107" s="59">
        <f t="shared" si="16"/>
        <v>2.5490740740740794</v>
      </c>
      <c r="T107" s="10">
        <f t="shared" si="17"/>
        <v>2.5490740740740794</v>
      </c>
      <c r="U107" s="55">
        <f t="shared" si="13"/>
        <v>1.061177777777778</v>
      </c>
    </row>
    <row r="108" spans="8:21" ht="15.75" thickBot="1" x14ac:dyDescent="0.3">
      <c r="H108">
        <v>7</v>
      </c>
      <c r="I108" s="76" t="s">
        <v>145</v>
      </c>
      <c r="J108" s="179" t="s">
        <v>178</v>
      </c>
      <c r="K108" s="180"/>
      <c r="L108" s="63" t="s">
        <v>75</v>
      </c>
      <c r="M108" s="68">
        <v>1</v>
      </c>
      <c r="N108" s="68">
        <v>0</v>
      </c>
      <c r="O108" s="8" t="s">
        <v>14</v>
      </c>
      <c r="P108" s="9">
        <f t="shared" si="14"/>
        <v>-3.2407407407407402E-3</v>
      </c>
      <c r="Q108" s="9">
        <f t="shared" si="15"/>
        <v>2.5458333333333387</v>
      </c>
      <c r="R108" s="114">
        <v>0</v>
      </c>
      <c r="S108" s="59">
        <f t="shared" si="16"/>
        <v>2.5458333333333387</v>
      </c>
      <c r="T108" s="10">
        <f t="shared" si="17"/>
        <v>2.5458333333333387</v>
      </c>
      <c r="U108" s="55">
        <f t="shared" si="13"/>
        <v>1.0611000000000002</v>
      </c>
    </row>
    <row r="109" spans="8:21" x14ac:dyDescent="0.25">
      <c r="H109">
        <v>7</v>
      </c>
      <c r="I109" s="76" t="s">
        <v>146</v>
      </c>
      <c r="J109" s="185" t="s">
        <v>175</v>
      </c>
      <c r="K109" s="186"/>
      <c r="L109" s="107" t="s">
        <v>74</v>
      </c>
      <c r="M109" s="97">
        <v>1</v>
      </c>
      <c r="N109" s="60">
        <v>5</v>
      </c>
      <c r="O109" s="8" t="s">
        <v>14</v>
      </c>
      <c r="P109" s="9">
        <f t="shared" si="14"/>
        <v>-3.2407407407407402E-3</v>
      </c>
      <c r="Q109" s="9">
        <f t="shared" si="15"/>
        <v>2.5425925925925981</v>
      </c>
      <c r="R109" s="116">
        <v>0</v>
      </c>
      <c r="S109" s="59">
        <f t="shared" si="16"/>
        <v>2.5425925925925981</v>
      </c>
      <c r="T109" s="10">
        <f t="shared" si="17"/>
        <v>2.5425925925925981</v>
      </c>
      <c r="U109" s="55">
        <f t="shared" si="13"/>
        <v>1.0610222222222223</v>
      </c>
    </row>
    <row r="110" spans="8:21" x14ac:dyDescent="0.25">
      <c r="H110">
        <v>7</v>
      </c>
      <c r="I110" s="76" t="s">
        <v>147</v>
      </c>
      <c r="J110" s="187" t="s">
        <v>175</v>
      </c>
      <c r="K110" s="188"/>
      <c r="L110" s="109"/>
      <c r="M110" s="97">
        <v>1</v>
      </c>
      <c r="N110" s="60">
        <v>4</v>
      </c>
      <c r="O110" s="8" t="s">
        <v>14</v>
      </c>
      <c r="P110" s="9">
        <f t="shared" si="14"/>
        <v>-3.2407407407407402E-3</v>
      </c>
      <c r="Q110" s="9">
        <f t="shared" si="15"/>
        <v>2.5393518518518574</v>
      </c>
      <c r="R110" s="117">
        <v>0</v>
      </c>
      <c r="S110" s="59">
        <f t="shared" si="16"/>
        <v>2.5393518518518574</v>
      </c>
      <c r="T110" s="10">
        <f t="shared" si="17"/>
        <v>2.5393518518518574</v>
      </c>
      <c r="U110" s="55">
        <f t="shared" si="13"/>
        <v>1.0609444444444445</v>
      </c>
    </row>
    <row r="111" spans="8:21" x14ac:dyDescent="0.25">
      <c r="H111">
        <v>7</v>
      </c>
      <c r="I111" s="76" t="s">
        <v>148</v>
      </c>
      <c r="J111" s="187" t="s">
        <v>175</v>
      </c>
      <c r="K111" s="188"/>
      <c r="L111" s="109"/>
      <c r="M111" s="97">
        <v>1</v>
      </c>
      <c r="N111" s="60">
        <v>3</v>
      </c>
      <c r="O111" s="8" t="s">
        <v>14</v>
      </c>
      <c r="P111" s="9">
        <f t="shared" si="14"/>
        <v>-3.2407407407407402E-3</v>
      </c>
      <c r="Q111" s="9">
        <f t="shared" si="15"/>
        <v>2.5361111111111168</v>
      </c>
      <c r="R111" s="117">
        <v>0</v>
      </c>
      <c r="S111" s="59">
        <f t="shared" si="16"/>
        <v>2.5361111111111168</v>
      </c>
      <c r="T111" s="10">
        <f t="shared" si="17"/>
        <v>2.5361111111111168</v>
      </c>
      <c r="U111" s="55">
        <f t="shared" si="13"/>
        <v>1.0608666666666668</v>
      </c>
    </row>
    <row r="112" spans="8:21" x14ac:dyDescent="0.25">
      <c r="H112">
        <v>7</v>
      </c>
      <c r="I112" s="76" t="s">
        <v>149</v>
      </c>
      <c r="J112" s="187" t="s">
        <v>175</v>
      </c>
      <c r="K112" s="188"/>
      <c r="L112" s="109"/>
      <c r="M112" s="97">
        <v>1</v>
      </c>
      <c r="N112" s="60">
        <v>2</v>
      </c>
      <c r="O112" s="8" t="s">
        <v>14</v>
      </c>
      <c r="P112" s="9">
        <f t="shared" si="14"/>
        <v>-3.2407407407407402E-3</v>
      </c>
      <c r="Q112" s="9">
        <f t="shared" si="15"/>
        <v>2.5328703703703761</v>
      </c>
      <c r="R112" s="117">
        <v>0</v>
      </c>
      <c r="S112" s="59">
        <f t="shared" si="16"/>
        <v>2.5328703703703761</v>
      </c>
      <c r="T112" s="10">
        <f t="shared" si="17"/>
        <v>2.5328703703703761</v>
      </c>
      <c r="U112" s="55">
        <f t="shared" si="13"/>
        <v>1.060788888888889</v>
      </c>
    </row>
    <row r="113" spans="8:21" ht="15.75" thickBot="1" x14ac:dyDescent="0.3">
      <c r="H113">
        <v>7</v>
      </c>
      <c r="I113" s="76" t="s">
        <v>150</v>
      </c>
      <c r="J113" s="183" t="s">
        <v>175</v>
      </c>
      <c r="K113" s="184"/>
      <c r="L113" s="108" t="s">
        <v>75</v>
      </c>
      <c r="M113" s="97">
        <v>1</v>
      </c>
      <c r="N113" s="97">
        <v>1</v>
      </c>
      <c r="O113" s="8" t="s">
        <v>14</v>
      </c>
      <c r="P113" s="9">
        <f t="shared" si="14"/>
        <v>-3.2407407407407402E-3</v>
      </c>
      <c r="Q113" s="9">
        <f t="shared" si="15"/>
        <v>2.5296296296296354</v>
      </c>
      <c r="R113" s="115">
        <v>0.05</v>
      </c>
      <c r="S113" s="59">
        <f t="shared" si="16"/>
        <v>2.5796296296296353</v>
      </c>
      <c r="T113" s="10">
        <f t="shared" si="17"/>
        <v>2.5796296296296353</v>
      </c>
      <c r="U113" s="55">
        <f t="shared" si="13"/>
        <v>1.0619111111111112</v>
      </c>
    </row>
    <row r="114" spans="8:21" ht="15.75" thickBot="1" x14ac:dyDescent="0.3">
      <c r="H114">
        <v>7</v>
      </c>
      <c r="I114" s="76" t="s">
        <v>151</v>
      </c>
      <c r="J114" s="177" t="s">
        <v>179</v>
      </c>
      <c r="K114" s="178"/>
      <c r="L114" s="64" t="s">
        <v>76</v>
      </c>
      <c r="M114" s="62">
        <v>1</v>
      </c>
      <c r="N114" s="62">
        <v>1</v>
      </c>
      <c r="O114" s="8" t="s">
        <v>14</v>
      </c>
      <c r="P114" s="9">
        <f t="shared" si="14"/>
        <v>-3.2407407407407402E-3</v>
      </c>
      <c r="Q114" s="9">
        <f t="shared" si="15"/>
        <v>2.5763888888888946</v>
      </c>
      <c r="R114" s="114">
        <v>0</v>
      </c>
      <c r="S114" s="59">
        <f t="shared" si="16"/>
        <v>2.5763888888888946</v>
      </c>
      <c r="T114" s="10">
        <f t="shared" si="17"/>
        <v>2.5763888888888946</v>
      </c>
      <c r="U114" s="55">
        <f t="shared" si="13"/>
        <v>1.0618333333333334</v>
      </c>
    </row>
    <row r="115" spans="8:21" ht="15.75" thickBot="1" x14ac:dyDescent="0.3">
      <c r="H115">
        <v>7</v>
      </c>
      <c r="I115" s="76" t="s">
        <v>152</v>
      </c>
      <c r="J115" s="179" t="s">
        <v>177</v>
      </c>
      <c r="K115" s="180"/>
      <c r="L115" s="63" t="s">
        <v>74</v>
      </c>
      <c r="M115" s="68">
        <v>1</v>
      </c>
      <c r="N115" s="68">
        <v>1</v>
      </c>
      <c r="O115" s="8" t="s">
        <v>14</v>
      </c>
      <c r="P115" s="9">
        <f t="shared" si="14"/>
        <v>-3.2407407407407402E-3</v>
      </c>
      <c r="Q115" s="9">
        <f t="shared" si="15"/>
        <v>2.573148148148154</v>
      </c>
      <c r="R115" s="114">
        <v>0</v>
      </c>
      <c r="S115" s="59">
        <f t="shared" si="16"/>
        <v>2.573148148148154</v>
      </c>
      <c r="T115" s="10">
        <f t="shared" si="17"/>
        <v>2.573148148148154</v>
      </c>
      <c r="U115" s="55">
        <f t="shared" si="13"/>
        <v>1.0617555555555558</v>
      </c>
    </row>
    <row r="116" spans="8:21" ht="15.75" thickBot="1" x14ac:dyDescent="0.3">
      <c r="H116">
        <v>7</v>
      </c>
      <c r="I116" s="76" t="s">
        <v>153</v>
      </c>
      <c r="J116" s="179" t="s">
        <v>177</v>
      </c>
      <c r="K116" s="180"/>
      <c r="L116" s="63" t="s">
        <v>75</v>
      </c>
      <c r="M116" s="68">
        <v>1</v>
      </c>
      <c r="N116" s="68">
        <v>0</v>
      </c>
      <c r="O116" s="8" t="s">
        <v>14</v>
      </c>
      <c r="P116" s="9">
        <f t="shared" si="14"/>
        <v>-3.2407407407407402E-3</v>
      </c>
      <c r="Q116" s="9">
        <f t="shared" si="15"/>
        <v>2.5699074074074133</v>
      </c>
      <c r="R116" s="114">
        <v>0</v>
      </c>
      <c r="S116" s="59">
        <f t="shared" si="16"/>
        <v>2.5699074074074133</v>
      </c>
      <c r="T116" s="10">
        <f t="shared" si="17"/>
        <v>2.5699074074074133</v>
      </c>
      <c r="U116" s="55">
        <f t="shared" si="13"/>
        <v>1.0616777777777779</v>
      </c>
    </row>
    <row r="117" spans="8:21" ht="15.75" thickBot="1" x14ac:dyDescent="0.3">
      <c r="H117">
        <v>7</v>
      </c>
      <c r="I117" s="76" t="s">
        <v>154</v>
      </c>
      <c r="J117" s="179" t="s">
        <v>180</v>
      </c>
      <c r="K117" s="180"/>
      <c r="L117" s="63" t="s">
        <v>74</v>
      </c>
      <c r="M117" s="68">
        <v>1</v>
      </c>
      <c r="N117" s="68">
        <v>1</v>
      </c>
      <c r="O117" s="8" t="s">
        <v>14</v>
      </c>
      <c r="P117" s="9">
        <f t="shared" si="14"/>
        <v>-3.2407407407407402E-3</v>
      </c>
      <c r="Q117" s="9">
        <f t="shared" si="15"/>
        <v>2.5666666666666726</v>
      </c>
      <c r="R117" s="114">
        <v>0</v>
      </c>
      <c r="S117" s="59">
        <f t="shared" si="16"/>
        <v>2.5666666666666726</v>
      </c>
      <c r="T117" s="10">
        <f t="shared" si="17"/>
        <v>2.5666666666666726</v>
      </c>
      <c r="U117" s="55">
        <f t="shared" si="13"/>
        <v>1.0616000000000001</v>
      </c>
    </row>
    <row r="118" spans="8:21" ht="15.75" thickBot="1" x14ac:dyDescent="0.3">
      <c r="H118">
        <v>7</v>
      </c>
      <c r="I118" s="76" t="s">
        <v>155</v>
      </c>
      <c r="J118" s="179" t="s">
        <v>180</v>
      </c>
      <c r="K118" s="180"/>
      <c r="L118" s="63" t="s">
        <v>75</v>
      </c>
      <c r="M118" s="68">
        <v>1</v>
      </c>
      <c r="N118" s="68">
        <v>0</v>
      </c>
      <c r="O118" s="8" t="s">
        <v>14</v>
      </c>
      <c r="P118" s="9">
        <f t="shared" si="14"/>
        <v>-3.2407407407407402E-3</v>
      </c>
      <c r="Q118" s="9">
        <f t="shared" si="15"/>
        <v>2.563425925925932</v>
      </c>
      <c r="R118" s="114">
        <v>0</v>
      </c>
      <c r="S118" s="59">
        <f t="shared" si="16"/>
        <v>2.563425925925932</v>
      </c>
      <c r="T118" s="10">
        <f t="shared" si="17"/>
        <v>2.563425925925932</v>
      </c>
      <c r="U118" s="55">
        <f t="shared" si="13"/>
        <v>1.0615222222222223</v>
      </c>
    </row>
    <row r="119" spans="8:21" x14ac:dyDescent="0.25">
      <c r="H119">
        <v>7</v>
      </c>
      <c r="I119" s="76" t="s">
        <v>156</v>
      </c>
      <c r="J119" s="185" t="s">
        <v>179</v>
      </c>
      <c r="K119" s="186"/>
      <c r="L119" s="107" t="s">
        <v>74</v>
      </c>
      <c r="M119" s="97">
        <v>1</v>
      </c>
      <c r="N119" s="60">
        <v>5</v>
      </c>
      <c r="O119" s="8" t="s">
        <v>14</v>
      </c>
      <c r="P119" s="9">
        <f t="shared" si="14"/>
        <v>-3.2407407407407402E-3</v>
      </c>
      <c r="Q119" s="9">
        <f t="shared" si="15"/>
        <v>2.5601851851851913</v>
      </c>
      <c r="R119" s="116">
        <v>0</v>
      </c>
      <c r="S119" s="59">
        <f t="shared" si="16"/>
        <v>2.5601851851851913</v>
      </c>
      <c r="T119" s="10">
        <f t="shared" si="17"/>
        <v>2.5601851851851913</v>
      </c>
      <c r="U119" s="55">
        <f t="shared" si="13"/>
        <v>1.0614444444444446</v>
      </c>
    </row>
    <row r="120" spans="8:21" x14ac:dyDescent="0.25">
      <c r="H120">
        <v>7</v>
      </c>
      <c r="I120" s="76" t="s">
        <v>157</v>
      </c>
      <c r="J120" s="187" t="s">
        <v>179</v>
      </c>
      <c r="K120" s="188"/>
      <c r="L120" s="109"/>
      <c r="M120" s="97">
        <v>1</v>
      </c>
      <c r="N120" s="60">
        <v>4</v>
      </c>
      <c r="O120" s="8" t="s">
        <v>14</v>
      </c>
      <c r="P120" s="9">
        <f t="shared" si="14"/>
        <v>-3.2407407407407402E-3</v>
      </c>
      <c r="Q120" s="9">
        <f t="shared" si="15"/>
        <v>2.5569444444444507</v>
      </c>
      <c r="R120" s="117">
        <v>0</v>
      </c>
      <c r="S120" s="59">
        <f t="shared" si="16"/>
        <v>2.5569444444444507</v>
      </c>
      <c r="T120" s="10">
        <f t="shared" si="17"/>
        <v>2.5569444444444507</v>
      </c>
      <c r="U120" s="55">
        <f t="shared" si="13"/>
        <v>1.0613666666666668</v>
      </c>
    </row>
    <row r="121" spans="8:21" x14ac:dyDescent="0.25">
      <c r="H121">
        <v>7</v>
      </c>
      <c r="I121" s="76" t="s">
        <v>158</v>
      </c>
      <c r="J121" s="187" t="s">
        <v>179</v>
      </c>
      <c r="K121" s="188"/>
      <c r="L121" s="109"/>
      <c r="M121" s="97">
        <v>1</v>
      </c>
      <c r="N121" s="60">
        <v>3</v>
      </c>
      <c r="O121" s="8" t="s">
        <v>14</v>
      </c>
      <c r="P121" s="9">
        <f t="shared" si="14"/>
        <v>-3.2407407407407402E-3</v>
      </c>
      <c r="Q121" s="9">
        <f t="shared" si="15"/>
        <v>2.55370370370371</v>
      </c>
      <c r="R121" s="117">
        <v>0</v>
      </c>
      <c r="S121" s="59">
        <f t="shared" si="16"/>
        <v>2.55370370370371</v>
      </c>
      <c r="T121" s="10">
        <f t="shared" si="17"/>
        <v>2.55370370370371</v>
      </c>
      <c r="U121" s="55">
        <f t="shared" si="13"/>
        <v>1.0612888888888889</v>
      </c>
    </row>
    <row r="122" spans="8:21" x14ac:dyDescent="0.25">
      <c r="H122">
        <v>7</v>
      </c>
      <c r="I122" s="76" t="s">
        <v>159</v>
      </c>
      <c r="J122" s="187" t="s">
        <v>179</v>
      </c>
      <c r="K122" s="188"/>
      <c r="L122" s="109"/>
      <c r="M122" s="97">
        <v>1</v>
      </c>
      <c r="N122" s="60">
        <v>2</v>
      </c>
      <c r="O122" s="8" t="s">
        <v>14</v>
      </c>
      <c r="P122" s="9">
        <f t="shared" si="14"/>
        <v>-3.2407407407407402E-3</v>
      </c>
      <c r="Q122" s="9">
        <f t="shared" si="15"/>
        <v>2.5504629629629694</v>
      </c>
      <c r="R122" s="117">
        <v>0</v>
      </c>
      <c r="S122" s="59">
        <f t="shared" si="16"/>
        <v>2.5504629629629694</v>
      </c>
      <c r="T122" s="10">
        <f t="shared" si="17"/>
        <v>2.5504629629629694</v>
      </c>
      <c r="U122" s="55">
        <f t="shared" si="13"/>
        <v>1.0612111111111113</v>
      </c>
    </row>
    <row r="123" spans="8:21" ht="15.75" thickBot="1" x14ac:dyDescent="0.3">
      <c r="H123">
        <v>7</v>
      </c>
      <c r="I123" s="76" t="s">
        <v>160</v>
      </c>
      <c r="J123" s="183" t="s">
        <v>179</v>
      </c>
      <c r="K123" s="184"/>
      <c r="L123" s="108" t="s">
        <v>75</v>
      </c>
      <c r="M123" s="97">
        <v>1</v>
      </c>
      <c r="N123" s="97">
        <v>1</v>
      </c>
      <c r="O123" s="8" t="s">
        <v>14</v>
      </c>
      <c r="P123" s="9">
        <f t="shared" si="14"/>
        <v>-3.2407407407407402E-3</v>
      </c>
      <c r="Q123" s="9">
        <f t="shared" si="15"/>
        <v>2.5472222222222287</v>
      </c>
      <c r="R123" s="115">
        <v>0.05</v>
      </c>
      <c r="S123" s="59">
        <f t="shared" si="16"/>
        <v>2.5972222222222285</v>
      </c>
      <c r="T123" s="10">
        <f t="shared" si="17"/>
        <v>2.5972222222222285</v>
      </c>
      <c r="U123" s="55">
        <f t="shared" si="13"/>
        <v>1.0623333333333336</v>
      </c>
    </row>
    <row r="124" spans="8:21" ht="15.75" thickBot="1" x14ac:dyDescent="0.3">
      <c r="H124">
        <v>7</v>
      </c>
      <c r="I124" s="76" t="s">
        <v>161</v>
      </c>
      <c r="J124" s="177" t="s">
        <v>181</v>
      </c>
      <c r="K124" s="178"/>
      <c r="L124" s="64" t="s">
        <v>76</v>
      </c>
      <c r="M124" s="62">
        <v>1</v>
      </c>
      <c r="N124" s="62">
        <v>1</v>
      </c>
      <c r="O124" s="8" t="s">
        <v>14</v>
      </c>
      <c r="P124" s="9">
        <f t="shared" si="14"/>
        <v>-3.2407407407407402E-3</v>
      </c>
      <c r="Q124" s="9">
        <f t="shared" si="15"/>
        <v>2.5939814814814879</v>
      </c>
      <c r="R124" s="114">
        <v>0</v>
      </c>
      <c r="S124" s="59">
        <f t="shared" si="16"/>
        <v>2.5939814814814879</v>
      </c>
      <c r="T124" s="10">
        <f t="shared" si="17"/>
        <v>2.5939814814814879</v>
      </c>
      <c r="U124" s="55">
        <f t="shared" si="13"/>
        <v>1.0622555555555557</v>
      </c>
    </row>
    <row r="125" spans="8:21" ht="15.75" thickBot="1" x14ac:dyDescent="0.3">
      <c r="H125">
        <v>7</v>
      </c>
      <c r="I125" s="76" t="s">
        <v>162</v>
      </c>
      <c r="J125" s="179" t="s">
        <v>182</v>
      </c>
      <c r="K125" s="180"/>
      <c r="L125" s="63" t="s">
        <v>74</v>
      </c>
      <c r="M125" s="68">
        <v>1</v>
      </c>
      <c r="N125" s="68">
        <v>1</v>
      </c>
      <c r="O125" s="8" t="s">
        <v>14</v>
      </c>
      <c r="P125" s="9">
        <f t="shared" si="14"/>
        <v>-3.2407407407407402E-3</v>
      </c>
      <c r="Q125" s="9">
        <f t="shared" si="15"/>
        <v>2.5907407407407472</v>
      </c>
      <c r="R125" s="114">
        <v>0</v>
      </c>
      <c r="S125" s="59">
        <f t="shared" si="16"/>
        <v>2.5907407407407472</v>
      </c>
      <c r="T125" s="10">
        <f t="shared" si="17"/>
        <v>2.5907407407407472</v>
      </c>
      <c r="U125" s="55">
        <f t="shared" si="13"/>
        <v>1.0621777777777779</v>
      </c>
    </row>
    <row r="126" spans="8:21" ht="15.75" thickBot="1" x14ac:dyDescent="0.3">
      <c r="H126">
        <v>7</v>
      </c>
      <c r="I126" s="76" t="s">
        <v>163</v>
      </c>
      <c r="J126" s="179" t="s">
        <v>182</v>
      </c>
      <c r="K126" s="180"/>
      <c r="L126" s="63" t="s">
        <v>75</v>
      </c>
      <c r="M126" s="68">
        <v>1</v>
      </c>
      <c r="N126" s="68">
        <v>0</v>
      </c>
      <c r="O126" s="8" t="s">
        <v>14</v>
      </c>
      <c r="P126" s="9">
        <f t="shared" si="14"/>
        <v>-3.2407407407407402E-3</v>
      </c>
      <c r="Q126" s="9">
        <f t="shared" si="15"/>
        <v>2.5875000000000066</v>
      </c>
      <c r="R126" s="114">
        <v>0</v>
      </c>
      <c r="S126" s="59">
        <f t="shared" si="16"/>
        <v>2.5875000000000066</v>
      </c>
      <c r="T126" s="10">
        <f t="shared" si="17"/>
        <v>2.5875000000000066</v>
      </c>
      <c r="U126" s="55">
        <f t="shared" si="13"/>
        <v>1.0621</v>
      </c>
    </row>
    <row r="127" spans="8:21" ht="15.75" thickBot="1" x14ac:dyDescent="0.3">
      <c r="H127">
        <v>8</v>
      </c>
      <c r="I127" s="76" t="s">
        <v>105</v>
      </c>
      <c r="J127" s="179" t="s">
        <v>91</v>
      </c>
      <c r="K127" s="180"/>
      <c r="L127" s="63" t="s">
        <v>74</v>
      </c>
      <c r="M127" s="68">
        <v>1</v>
      </c>
      <c r="N127" s="68">
        <v>1</v>
      </c>
      <c r="O127" s="8" t="s">
        <v>14</v>
      </c>
      <c r="P127" s="9">
        <f t="shared" si="14"/>
        <v>-3.2407407407407402E-3</v>
      </c>
      <c r="Q127" s="9">
        <f t="shared" si="15"/>
        <v>2.5842592592592659</v>
      </c>
      <c r="R127" s="114">
        <v>0</v>
      </c>
      <c r="S127" s="59">
        <f t="shared" si="16"/>
        <v>2.5842592592592659</v>
      </c>
      <c r="T127" s="10">
        <f t="shared" si="17"/>
        <v>2.5842592592592659</v>
      </c>
      <c r="U127" s="55">
        <f t="shared" si="13"/>
        <v>1.0620222222222224</v>
      </c>
    </row>
    <row r="128" spans="8:21" ht="15.75" thickBot="1" x14ac:dyDescent="0.3">
      <c r="H128">
        <v>8</v>
      </c>
      <c r="I128" s="76" t="s">
        <v>104</v>
      </c>
      <c r="J128" s="179" t="s">
        <v>91</v>
      </c>
      <c r="K128" s="180"/>
      <c r="L128" s="63" t="s">
        <v>75</v>
      </c>
      <c r="M128" s="68">
        <v>1</v>
      </c>
      <c r="N128" s="68">
        <v>0</v>
      </c>
      <c r="O128" s="8" t="s">
        <v>14</v>
      </c>
      <c r="P128" s="9">
        <f t="shared" si="14"/>
        <v>-3.2407407407407402E-3</v>
      </c>
      <c r="Q128" s="9">
        <f t="shared" si="15"/>
        <v>2.5810185185185253</v>
      </c>
      <c r="R128" s="114">
        <v>0</v>
      </c>
      <c r="S128" s="59">
        <f t="shared" si="16"/>
        <v>2.5810185185185253</v>
      </c>
      <c r="T128" s="10">
        <f t="shared" si="17"/>
        <v>2.5810185185185253</v>
      </c>
      <c r="U128" s="55">
        <f t="shared" si="13"/>
        <v>1.0619444444444446</v>
      </c>
    </row>
    <row r="129" spans="8:21" x14ac:dyDescent="0.25">
      <c r="H129">
        <v>8</v>
      </c>
      <c r="I129" s="76" t="s">
        <v>106</v>
      </c>
      <c r="J129" s="185" t="s">
        <v>181</v>
      </c>
      <c r="K129" s="186"/>
      <c r="L129" s="107" t="s">
        <v>74</v>
      </c>
      <c r="M129" s="97">
        <v>1</v>
      </c>
      <c r="N129" s="60">
        <v>5</v>
      </c>
      <c r="O129" s="8" t="s">
        <v>14</v>
      </c>
      <c r="P129" s="9">
        <f t="shared" si="14"/>
        <v>-3.2407407407407402E-3</v>
      </c>
      <c r="Q129" s="9">
        <f t="shared" si="15"/>
        <v>2.5777777777777846</v>
      </c>
      <c r="R129" s="116">
        <v>0</v>
      </c>
      <c r="S129" s="59">
        <f t="shared" si="16"/>
        <v>2.5777777777777846</v>
      </c>
      <c r="T129" s="10">
        <f t="shared" si="17"/>
        <v>2.5777777777777846</v>
      </c>
      <c r="U129" s="55">
        <f t="shared" si="13"/>
        <v>1.0618666666666667</v>
      </c>
    </row>
    <row r="130" spans="8:21" x14ac:dyDescent="0.25">
      <c r="H130">
        <v>8</v>
      </c>
      <c r="I130" s="76" t="s">
        <v>107</v>
      </c>
      <c r="J130" s="187" t="s">
        <v>181</v>
      </c>
      <c r="K130" s="188"/>
      <c r="L130" s="109"/>
      <c r="M130" s="97">
        <v>1</v>
      </c>
      <c r="N130" s="60">
        <v>4</v>
      </c>
      <c r="O130" s="8" t="s">
        <v>14</v>
      </c>
      <c r="P130" s="9">
        <f t="shared" si="14"/>
        <v>-3.2407407407407402E-3</v>
      </c>
      <c r="Q130" s="9">
        <f t="shared" si="15"/>
        <v>2.574537037037044</v>
      </c>
      <c r="R130" s="117">
        <v>0</v>
      </c>
      <c r="S130" s="59">
        <f t="shared" si="16"/>
        <v>2.574537037037044</v>
      </c>
      <c r="T130" s="10">
        <f t="shared" si="17"/>
        <v>2.574537037037044</v>
      </c>
      <c r="U130" s="55">
        <f t="shared" si="13"/>
        <v>1.0617888888888891</v>
      </c>
    </row>
    <row r="131" spans="8:21" x14ac:dyDescent="0.25">
      <c r="H131">
        <v>8</v>
      </c>
      <c r="I131" s="76" t="s">
        <v>108</v>
      </c>
      <c r="J131" s="187" t="s">
        <v>181</v>
      </c>
      <c r="K131" s="188"/>
      <c r="L131" s="109"/>
      <c r="M131" s="97">
        <v>1</v>
      </c>
      <c r="N131" s="60">
        <v>3</v>
      </c>
      <c r="O131" s="8" t="s">
        <v>14</v>
      </c>
      <c r="P131" s="9">
        <f t="shared" si="14"/>
        <v>-3.2407407407407402E-3</v>
      </c>
      <c r="Q131" s="9">
        <f t="shared" si="15"/>
        <v>2.5712962962963033</v>
      </c>
      <c r="R131" s="117">
        <v>0</v>
      </c>
      <c r="S131" s="59">
        <f t="shared" si="16"/>
        <v>2.5712962962963033</v>
      </c>
      <c r="T131" s="10">
        <f t="shared" si="17"/>
        <v>2.5712962962963033</v>
      </c>
      <c r="U131" s="55">
        <f t="shared" si="13"/>
        <v>1.0617111111111113</v>
      </c>
    </row>
    <row r="132" spans="8:21" x14ac:dyDescent="0.25">
      <c r="H132">
        <v>8</v>
      </c>
      <c r="I132" s="76" t="s">
        <v>109</v>
      </c>
      <c r="J132" s="187" t="s">
        <v>181</v>
      </c>
      <c r="K132" s="188"/>
      <c r="L132" s="109"/>
      <c r="M132" s="97">
        <v>1</v>
      </c>
      <c r="N132" s="60">
        <v>2</v>
      </c>
      <c r="O132" s="8" t="s">
        <v>14</v>
      </c>
      <c r="P132" s="9">
        <f t="shared" si="14"/>
        <v>-3.2407407407407402E-3</v>
      </c>
      <c r="Q132" s="9">
        <f t="shared" si="15"/>
        <v>2.5680555555555626</v>
      </c>
      <c r="R132" s="117">
        <v>0</v>
      </c>
      <c r="S132" s="59">
        <f t="shared" si="16"/>
        <v>2.5680555555555626</v>
      </c>
      <c r="T132" s="10">
        <f t="shared" si="17"/>
        <v>2.5680555555555626</v>
      </c>
      <c r="U132" s="55">
        <f t="shared" si="13"/>
        <v>1.0616333333333334</v>
      </c>
    </row>
    <row r="133" spans="8:21" ht="15.75" thickBot="1" x14ac:dyDescent="0.3">
      <c r="H133">
        <v>8</v>
      </c>
      <c r="I133" s="76" t="s">
        <v>110</v>
      </c>
      <c r="J133" s="183" t="s">
        <v>181</v>
      </c>
      <c r="K133" s="184"/>
      <c r="L133" s="108" t="s">
        <v>75</v>
      </c>
      <c r="M133" s="97">
        <v>1</v>
      </c>
      <c r="N133" s="97">
        <v>1</v>
      </c>
      <c r="O133" s="8" t="s">
        <v>14</v>
      </c>
      <c r="P133" s="9">
        <f t="shared" si="14"/>
        <v>-3.2407407407407402E-3</v>
      </c>
      <c r="Q133" s="9">
        <f t="shared" si="15"/>
        <v>2.564814814814822</v>
      </c>
      <c r="R133" s="115">
        <v>0.05</v>
      </c>
      <c r="S133" s="59">
        <f t="shared" si="16"/>
        <v>2.6148148148148218</v>
      </c>
      <c r="T133" s="10">
        <f t="shared" si="17"/>
        <v>2.6148148148148218</v>
      </c>
      <c r="U133" s="55">
        <f t="shared" si="13"/>
        <v>1.0627555555555557</v>
      </c>
    </row>
    <row r="134" spans="8:21" ht="15.75" thickBot="1" x14ac:dyDescent="0.3">
      <c r="H134">
        <v>8</v>
      </c>
      <c r="I134" s="76" t="s">
        <v>111</v>
      </c>
      <c r="J134" s="177" t="s">
        <v>181</v>
      </c>
      <c r="K134" s="178"/>
      <c r="L134" s="64" t="s">
        <v>76</v>
      </c>
      <c r="M134" s="62">
        <v>1</v>
      </c>
      <c r="N134" s="62">
        <v>1</v>
      </c>
      <c r="O134" s="8" t="s">
        <v>14</v>
      </c>
      <c r="P134" s="9">
        <f t="shared" si="14"/>
        <v>-3.2407407407407402E-3</v>
      </c>
      <c r="Q134" s="9">
        <f t="shared" si="15"/>
        <v>2.6115740740740812</v>
      </c>
      <c r="R134" s="114">
        <v>0</v>
      </c>
      <c r="S134" s="59">
        <f t="shared" si="16"/>
        <v>2.6115740740740812</v>
      </c>
      <c r="T134" s="10">
        <f t="shared" si="17"/>
        <v>2.6115740740740812</v>
      </c>
      <c r="U134" s="55">
        <f t="shared" si="13"/>
        <v>1.0626777777777781</v>
      </c>
    </row>
    <row r="135" spans="8:21" ht="15.75" thickBot="1" x14ac:dyDescent="0.3">
      <c r="H135">
        <v>8</v>
      </c>
      <c r="I135" s="76" t="s">
        <v>112</v>
      </c>
      <c r="J135" s="179" t="s">
        <v>182</v>
      </c>
      <c r="K135" s="180"/>
      <c r="L135" s="63" t="s">
        <v>74</v>
      </c>
      <c r="M135" s="68">
        <v>1</v>
      </c>
      <c r="N135" s="68">
        <v>1</v>
      </c>
      <c r="O135" s="8" t="s">
        <v>14</v>
      </c>
      <c r="P135" s="9">
        <f t="shared" si="14"/>
        <v>-3.2407407407407402E-3</v>
      </c>
      <c r="Q135" s="9">
        <f t="shared" si="15"/>
        <v>2.6083333333333405</v>
      </c>
      <c r="R135" s="114">
        <v>0</v>
      </c>
      <c r="S135" s="59">
        <f t="shared" si="16"/>
        <v>2.6083333333333405</v>
      </c>
      <c r="T135" s="10">
        <f t="shared" si="17"/>
        <v>2.6083333333333405</v>
      </c>
      <c r="U135" s="55">
        <f t="shared" si="13"/>
        <v>1.0626000000000002</v>
      </c>
    </row>
    <row r="136" spans="8:21" ht="15.75" thickBot="1" x14ac:dyDescent="0.3">
      <c r="H136">
        <v>8</v>
      </c>
      <c r="I136" s="76" t="s">
        <v>113</v>
      </c>
      <c r="J136" s="179" t="s">
        <v>182</v>
      </c>
      <c r="K136" s="180"/>
      <c r="L136" s="63" t="s">
        <v>75</v>
      </c>
      <c r="M136" s="68">
        <v>1</v>
      </c>
      <c r="N136" s="68">
        <v>0</v>
      </c>
      <c r="O136" s="8" t="s">
        <v>14</v>
      </c>
      <c r="P136" s="9">
        <f t="shared" si="14"/>
        <v>-3.2407407407407402E-3</v>
      </c>
      <c r="Q136" s="9">
        <f t="shared" si="15"/>
        <v>2.6050925925925998</v>
      </c>
      <c r="R136" s="114">
        <v>0</v>
      </c>
      <c r="S136" s="59">
        <f t="shared" si="16"/>
        <v>2.6050925925925998</v>
      </c>
      <c r="T136" s="10">
        <f t="shared" si="17"/>
        <v>2.6050925925925998</v>
      </c>
      <c r="U136" s="55">
        <f t="shared" ref="U136:U197" si="34">1+(T136/$J$6)/100</f>
        <v>1.0625222222222224</v>
      </c>
    </row>
    <row r="137" spans="8:21" ht="15.75" thickBot="1" x14ac:dyDescent="0.3">
      <c r="H137">
        <v>8</v>
      </c>
      <c r="I137" s="76" t="s">
        <v>114</v>
      </c>
      <c r="J137" s="179" t="s">
        <v>91</v>
      </c>
      <c r="K137" s="180"/>
      <c r="L137" s="63" t="s">
        <v>74</v>
      </c>
      <c r="M137" s="68">
        <v>1</v>
      </c>
      <c r="N137" s="68">
        <v>1</v>
      </c>
      <c r="O137" s="8" t="s">
        <v>14</v>
      </c>
      <c r="P137" s="9">
        <f t="shared" si="14"/>
        <v>-3.2407407407407402E-3</v>
      </c>
      <c r="Q137" s="9">
        <f t="shared" si="15"/>
        <v>2.6018518518518592</v>
      </c>
      <c r="R137" s="114">
        <v>0</v>
      </c>
      <c r="S137" s="59">
        <f t="shared" si="16"/>
        <v>2.6018518518518592</v>
      </c>
      <c r="T137" s="10">
        <f t="shared" si="17"/>
        <v>2.6018518518518592</v>
      </c>
      <c r="U137" s="55">
        <f t="shared" si="34"/>
        <v>1.0624444444444445</v>
      </c>
    </row>
    <row r="138" spans="8:21" ht="15.75" thickBot="1" x14ac:dyDescent="0.3">
      <c r="H138">
        <v>8</v>
      </c>
      <c r="I138" s="76" t="s">
        <v>115</v>
      </c>
      <c r="J138" s="179" t="s">
        <v>91</v>
      </c>
      <c r="K138" s="180"/>
      <c r="L138" s="63" t="s">
        <v>75</v>
      </c>
      <c r="M138" s="68">
        <v>1</v>
      </c>
      <c r="N138" s="68">
        <v>0</v>
      </c>
      <c r="O138" s="8" t="s">
        <v>14</v>
      </c>
      <c r="P138" s="9">
        <f t="shared" si="14"/>
        <v>-3.2407407407407402E-3</v>
      </c>
      <c r="Q138" s="9">
        <f t="shared" si="15"/>
        <v>2.5986111111111185</v>
      </c>
      <c r="R138" s="114">
        <v>0</v>
      </c>
      <c r="S138" s="59">
        <f t="shared" si="16"/>
        <v>2.5986111111111185</v>
      </c>
      <c r="T138" s="10">
        <f t="shared" si="17"/>
        <v>2.5986111111111185</v>
      </c>
      <c r="U138" s="55">
        <f t="shared" si="34"/>
        <v>1.0623666666666669</v>
      </c>
    </row>
    <row r="139" spans="8:21" x14ac:dyDescent="0.25">
      <c r="H139">
        <v>8</v>
      </c>
      <c r="I139" s="76" t="s">
        <v>116</v>
      </c>
      <c r="J139" s="185" t="s">
        <v>181</v>
      </c>
      <c r="K139" s="186"/>
      <c r="L139" s="107" t="s">
        <v>74</v>
      </c>
      <c r="M139" s="97">
        <v>1</v>
      </c>
      <c r="N139" s="60">
        <v>5</v>
      </c>
      <c r="O139" s="8" t="s">
        <v>14</v>
      </c>
      <c r="P139" s="9">
        <f t="shared" si="14"/>
        <v>-3.2407407407407402E-3</v>
      </c>
      <c r="Q139" s="9">
        <f t="shared" si="15"/>
        <v>2.5953703703703779</v>
      </c>
      <c r="R139" s="116">
        <v>0</v>
      </c>
      <c r="S139" s="59">
        <f t="shared" si="16"/>
        <v>2.5953703703703779</v>
      </c>
      <c r="T139" s="10">
        <f t="shared" si="17"/>
        <v>2.5953703703703779</v>
      </c>
      <c r="U139" s="55">
        <f t="shared" si="34"/>
        <v>1.0622888888888891</v>
      </c>
    </row>
    <row r="140" spans="8:21" x14ac:dyDescent="0.25">
      <c r="H140">
        <v>8</v>
      </c>
      <c r="I140" s="76" t="s">
        <v>117</v>
      </c>
      <c r="J140" s="187" t="s">
        <v>181</v>
      </c>
      <c r="K140" s="188"/>
      <c r="L140" s="109"/>
      <c r="M140" s="97">
        <v>1</v>
      </c>
      <c r="N140" s="60">
        <v>4</v>
      </c>
      <c r="O140" s="8" t="s">
        <v>14</v>
      </c>
      <c r="P140" s="9">
        <f t="shared" si="14"/>
        <v>-3.2407407407407402E-3</v>
      </c>
      <c r="Q140" s="9">
        <f t="shared" si="15"/>
        <v>2.5921296296296372</v>
      </c>
      <c r="R140" s="117">
        <v>0</v>
      </c>
      <c r="S140" s="59">
        <f t="shared" si="16"/>
        <v>2.5921296296296372</v>
      </c>
      <c r="T140" s="10">
        <f t="shared" si="17"/>
        <v>2.5921296296296372</v>
      </c>
      <c r="U140" s="55">
        <f t="shared" si="34"/>
        <v>1.0622111111111112</v>
      </c>
    </row>
    <row r="141" spans="8:21" x14ac:dyDescent="0.25">
      <c r="H141">
        <v>8</v>
      </c>
      <c r="I141" s="76" t="s">
        <v>118</v>
      </c>
      <c r="J141" s="187" t="s">
        <v>181</v>
      </c>
      <c r="K141" s="188"/>
      <c r="L141" s="109"/>
      <c r="M141" s="97">
        <v>1</v>
      </c>
      <c r="N141" s="60">
        <v>3</v>
      </c>
      <c r="O141" s="8" t="s">
        <v>14</v>
      </c>
      <c r="P141" s="9">
        <f t="shared" si="14"/>
        <v>-3.2407407407407402E-3</v>
      </c>
      <c r="Q141" s="9">
        <f t="shared" si="15"/>
        <v>2.5888888888888966</v>
      </c>
      <c r="R141" s="117">
        <v>0</v>
      </c>
      <c r="S141" s="59">
        <f t="shared" si="16"/>
        <v>2.5888888888888966</v>
      </c>
      <c r="T141" s="10">
        <f t="shared" si="17"/>
        <v>2.5888888888888966</v>
      </c>
      <c r="U141" s="55">
        <f t="shared" si="34"/>
        <v>1.0621333333333336</v>
      </c>
    </row>
    <row r="142" spans="8:21" x14ac:dyDescent="0.25">
      <c r="H142">
        <v>8</v>
      </c>
      <c r="I142" s="76" t="s">
        <v>119</v>
      </c>
      <c r="J142" s="187" t="s">
        <v>181</v>
      </c>
      <c r="K142" s="188"/>
      <c r="L142" s="109"/>
      <c r="M142" s="97">
        <v>1</v>
      </c>
      <c r="N142" s="60">
        <v>2</v>
      </c>
      <c r="O142" s="8" t="s">
        <v>14</v>
      </c>
      <c r="P142" s="9">
        <f t="shared" ref="P142:P203" si="35">IF(O142="Jalan",IF(T141&gt;=$J$6,IF(T141+(-$K$6*M142)&lt;$J$6,$J$6,-$K$6*M142),IF(T141&lt;=$J$6,IF(T141+(+$L$6*M142)&lt;$J$6,+$L$6*M142,$J$6))),IF(T141&gt;0,+$L$6*M142,-$L$6*M142))</f>
        <v>-3.2407407407407402E-3</v>
      </c>
      <c r="Q142" s="9">
        <f t="shared" ref="Q142:Q203" si="36">IF(P142=$J$6,$J$6,T141+P142)</f>
        <v>2.5856481481481559</v>
      </c>
      <c r="R142" s="117">
        <v>0</v>
      </c>
      <c r="S142" s="59">
        <f t="shared" ref="S142:S203" si="37">Q142+R142</f>
        <v>2.5856481481481559</v>
      </c>
      <c r="T142" s="10">
        <f t="shared" ref="T142:T203" si="38">S142</f>
        <v>2.5856481481481559</v>
      </c>
      <c r="U142" s="55">
        <f t="shared" si="34"/>
        <v>1.0620555555555558</v>
      </c>
    </row>
    <row r="143" spans="8:21" ht="15.75" thickBot="1" x14ac:dyDescent="0.3">
      <c r="H143">
        <v>8</v>
      </c>
      <c r="I143" s="76" t="s">
        <v>120</v>
      </c>
      <c r="J143" s="183" t="s">
        <v>181</v>
      </c>
      <c r="K143" s="184"/>
      <c r="L143" s="108" t="s">
        <v>75</v>
      </c>
      <c r="M143" s="97">
        <v>1</v>
      </c>
      <c r="N143" s="97">
        <v>1</v>
      </c>
      <c r="O143" s="8" t="s">
        <v>14</v>
      </c>
      <c r="P143" s="9">
        <f t="shared" si="35"/>
        <v>-3.2407407407407402E-3</v>
      </c>
      <c r="Q143" s="9">
        <f t="shared" si="36"/>
        <v>2.5824074074074153</v>
      </c>
      <c r="R143" s="115">
        <v>0.05</v>
      </c>
      <c r="S143" s="59">
        <f t="shared" si="37"/>
        <v>2.6324074074074151</v>
      </c>
      <c r="T143" s="10">
        <f t="shared" si="38"/>
        <v>2.6324074074074151</v>
      </c>
      <c r="U143" s="55">
        <f t="shared" si="34"/>
        <v>1.063177777777778</v>
      </c>
    </row>
    <row r="144" spans="8:21" ht="15.75" thickBot="1" x14ac:dyDescent="0.3">
      <c r="H144">
        <v>8</v>
      </c>
      <c r="I144" s="76" t="s">
        <v>121</v>
      </c>
      <c r="J144" s="179" t="s">
        <v>178</v>
      </c>
      <c r="K144" s="180"/>
      <c r="L144" s="63" t="s">
        <v>74</v>
      </c>
      <c r="M144" s="68">
        <v>1</v>
      </c>
      <c r="N144" s="68">
        <v>0</v>
      </c>
      <c r="O144" s="8" t="s">
        <v>14</v>
      </c>
      <c r="P144" s="9">
        <f t="shared" si="35"/>
        <v>-3.2407407407407402E-3</v>
      </c>
      <c r="Q144" s="9">
        <f t="shared" si="36"/>
        <v>2.6291666666666744</v>
      </c>
      <c r="R144" s="114">
        <v>0</v>
      </c>
      <c r="S144" s="59">
        <f t="shared" si="37"/>
        <v>2.6291666666666744</v>
      </c>
      <c r="T144" s="10">
        <f t="shared" si="38"/>
        <v>2.6291666666666744</v>
      </c>
      <c r="U144" s="55">
        <f t="shared" si="34"/>
        <v>1.0631000000000002</v>
      </c>
    </row>
    <row r="145" spans="8:21" ht="15.75" thickBot="1" x14ac:dyDescent="0.3">
      <c r="H145">
        <v>8</v>
      </c>
      <c r="I145" s="76" t="s">
        <v>122</v>
      </c>
      <c r="J145" s="179" t="s">
        <v>178</v>
      </c>
      <c r="K145" s="180"/>
      <c r="L145" s="63" t="s">
        <v>75</v>
      </c>
      <c r="M145" s="68">
        <v>1</v>
      </c>
      <c r="N145" s="68">
        <v>0</v>
      </c>
      <c r="O145" s="8" t="s">
        <v>14</v>
      </c>
      <c r="P145" s="9">
        <f t="shared" si="35"/>
        <v>-3.2407407407407402E-3</v>
      </c>
      <c r="Q145" s="9">
        <f t="shared" si="36"/>
        <v>2.6259259259259338</v>
      </c>
      <c r="R145" s="114">
        <v>0</v>
      </c>
      <c r="S145" s="59">
        <f t="shared" si="37"/>
        <v>2.6259259259259338</v>
      </c>
      <c r="T145" s="10">
        <f t="shared" si="38"/>
        <v>2.6259259259259338</v>
      </c>
      <c r="U145" s="55">
        <f t="shared" si="34"/>
        <v>1.0630222222222223</v>
      </c>
    </row>
    <row r="146" spans="8:21" x14ac:dyDescent="0.25">
      <c r="H146">
        <v>8</v>
      </c>
      <c r="I146" s="76" t="s">
        <v>123</v>
      </c>
      <c r="J146" s="185" t="s">
        <v>175</v>
      </c>
      <c r="K146" s="186"/>
      <c r="L146" s="107" t="s">
        <v>74</v>
      </c>
      <c r="M146" s="97">
        <v>1</v>
      </c>
      <c r="N146" s="60">
        <v>5</v>
      </c>
      <c r="O146" s="8" t="s">
        <v>14</v>
      </c>
      <c r="P146" s="9">
        <f t="shared" si="35"/>
        <v>-3.2407407407407402E-3</v>
      </c>
      <c r="Q146" s="9">
        <f t="shared" si="36"/>
        <v>2.6226851851851931</v>
      </c>
      <c r="R146" s="116">
        <v>0</v>
      </c>
      <c r="S146" s="59">
        <f t="shared" si="37"/>
        <v>2.6226851851851931</v>
      </c>
      <c r="T146" s="10">
        <f t="shared" si="38"/>
        <v>2.6226851851851931</v>
      </c>
      <c r="U146" s="55">
        <f t="shared" si="34"/>
        <v>1.0629444444444447</v>
      </c>
    </row>
    <row r="147" spans="8:21" x14ac:dyDescent="0.25">
      <c r="H147">
        <v>8</v>
      </c>
      <c r="I147" s="76" t="s">
        <v>124</v>
      </c>
      <c r="J147" s="187" t="s">
        <v>175</v>
      </c>
      <c r="K147" s="188"/>
      <c r="L147" s="109"/>
      <c r="M147" s="97">
        <v>1</v>
      </c>
      <c r="N147" s="60">
        <v>4</v>
      </c>
      <c r="O147" s="8" t="s">
        <v>14</v>
      </c>
      <c r="P147" s="9">
        <f t="shared" si="35"/>
        <v>-3.2407407407407402E-3</v>
      </c>
      <c r="Q147" s="9">
        <f t="shared" si="36"/>
        <v>2.6194444444444525</v>
      </c>
      <c r="R147" s="117">
        <v>0</v>
      </c>
      <c r="S147" s="59">
        <f t="shared" si="37"/>
        <v>2.6194444444444525</v>
      </c>
      <c r="T147" s="10">
        <f t="shared" si="38"/>
        <v>2.6194444444444525</v>
      </c>
      <c r="U147" s="55">
        <f t="shared" si="34"/>
        <v>1.0628666666666668</v>
      </c>
    </row>
    <row r="148" spans="8:21" x14ac:dyDescent="0.25">
      <c r="H148">
        <v>8</v>
      </c>
      <c r="I148" s="76" t="s">
        <v>125</v>
      </c>
      <c r="J148" s="187" t="s">
        <v>175</v>
      </c>
      <c r="K148" s="188"/>
      <c r="L148" s="109"/>
      <c r="M148" s="97">
        <v>1</v>
      </c>
      <c r="N148" s="60">
        <v>3</v>
      </c>
      <c r="O148" s="8" t="s">
        <v>14</v>
      </c>
      <c r="P148" s="9">
        <f t="shared" si="35"/>
        <v>-3.2407407407407402E-3</v>
      </c>
      <c r="Q148" s="9">
        <f t="shared" si="36"/>
        <v>2.6162037037037118</v>
      </c>
      <c r="R148" s="117">
        <v>0</v>
      </c>
      <c r="S148" s="59">
        <f t="shared" si="37"/>
        <v>2.6162037037037118</v>
      </c>
      <c r="T148" s="10">
        <f t="shared" si="38"/>
        <v>2.6162037037037118</v>
      </c>
      <c r="U148" s="55">
        <f t="shared" si="34"/>
        <v>1.062788888888889</v>
      </c>
    </row>
    <row r="149" spans="8:21" x14ac:dyDescent="0.25">
      <c r="H149">
        <v>8</v>
      </c>
      <c r="I149" s="76" t="s">
        <v>126</v>
      </c>
      <c r="J149" s="187" t="s">
        <v>175</v>
      </c>
      <c r="K149" s="188"/>
      <c r="L149" s="109"/>
      <c r="M149" s="97">
        <v>1</v>
      </c>
      <c r="N149" s="60">
        <v>2</v>
      </c>
      <c r="O149" s="8" t="s">
        <v>14</v>
      </c>
      <c r="P149" s="9">
        <f t="shared" si="35"/>
        <v>-3.2407407407407402E-3</v>
      </c>
      <c r="Q149" s="9">
        <f t="shared" si="36"/>
        <v>2.6129629629629711</v>
      </c>
      <c r="R149" s="117">
        <v>0</v>
      </c>
      <c r="S149" s="59">
        <f t="shared" si="37"/>
        <v>2.6129629629629711</v>
      </c>
      <c r="T149" s="10">
        <f t="shared" si="38"/>
        <v>2.6129629629629711</v>
      </c>
      <c r="U149" s="55">
        <f t="shared" si="34"/>
        <v>1.0627111111111114</v>
      </c>
    </row>
    <row r="150" spans="8:21" ht="15.75" thickBot="1" x14ac:dyDescent="0.3">
      <c r="H150">
        <v>8</v>
      </c>
      <c r="I150" s="76" t="s">
        <v>127</v>
      </c>
      <c r="J150" s="183" t="s">
        <v>175</v>
      </c>
      <c r="K150" s="184"/>
      <c r="L150" s="108" t="s">
        <v>75</v>
      </c>
      <c r="M150" s="97">
        <v>1</v>
      </c>
      <c r="N150" s="97">
        <v>1</v>
      </c>
      <c r="O150" s="8" t="s">
        <v>14</v>
      </c>
      <c r="P150" s="9">
        <f t="shared" si="35"/>
        <v>-3.2407407407407402E-3</v>
      </c>
      <c r="Q150" s="9">
        <f t="shared" si="36"/>
        <v>2.6097222222222305</v>
      </c>
      <c r="R150" s="115">
        <v>0.05</v>
      </c>
      <c r="S150" s="59">
        <f t="shared" si="37"/>
        <v>2.6597222222222303</v>
      </c>
      <c r="T150" s="10">
        <f t="shared" si="38"/>
        <v>2.6597222222222303</v>
      </c>
      <c r="U150" s="55">
        <f t="shared" si="34"/>
        <v>1.0638333333333336</v>
      </c>
    </row>
    <row r="151" spans="8:21" ht="15.75" thickBot="1" x14ac:dyDescent="0.3">
      <c r="H151">
        <v>8</v>
      </c>
      <c r="I151" s="76" t="s">
        <v>128</v>
      </c>
      <c r="J151" s="177" t="s">
        <v>77</v>
      </c>
      <c r="K151" s="178"/>
      <c r="L151" s="64" t="s">
        <v>76</v>
      </c>
      <c r="M151" s="62">
        <v>1</v>
      </c>
      <c r="N151" s="62">
        <v>1</v>
      </c>
      <c r="O151" s="8" t="s">
        <v>14</v>
      </c>
      <c r="P151" s="9">
        <f t="shared" ref="P151" si="39">IF(O151="Jalan",IF(T150&gt;=$J$6,IF(T150+(-$K$6*M151)&lt;$J$6,$J$6,-$K$6*M151),IF(T150&lt;=$J$6,IF(T150+(+$L$6*M151)&lt;$J$6,+$L$6*M151,$J$6))),IF(T150&gt;0,+$L$6*M151,-$L$6*M151))</f>
        <v>-3.2407407407407402E-3</v>
      </c>
      <c r="Q151" s="9">
        <f t="shared" ref="Q151" si="40">IF(P151=$J$6,$J$6,T150+P151)</f>
        <v>2.6564814814814897</v>
      </c>
      <c r="R151" s="114">
        <v>0</v>
      </c>
      <c r="S151" s="59">
        <f t="shared" si="37"/>
        <v>2.6564814814814897</v>
      </c>
      <c r="T151" s="10">
        <f t="shared" si="38"/>
        <v>2.6564814814814897</v>
      </c>
      <c r="U151" s="55">
        <f t="shared" si="34"/>
        <v>1.0637555555555558</v>
      </c>
    </row>
    <row r="152" spans="8:21" ht="15.75" thickBot="1" x14ac:dyDescent="0.3">
      <c r="H152">
        <v>8</v>
      </c>
      <c r="I152" s="76" t="s">
        <v>129</v>
      </c>
      <c r="J152" s="179" t="s">
        <v>94</v>
      </c>
      <c r="K152" s="180"/>
      <c r="L152" s="63" t="s">
        <v>74</v>
      </c>
      <c r="M152" s="68">
        <v>1</v>
      </c>
      <c r="N152" s="68">
        <v>1</v>
      </c>
      <c r="O152" s="8" t="s">
        <v>14</v>
      </c>
      <c r="P152" s="9">
        <f t="shared" si="35"/>
        <v>-3.2407407407407402E-3</v>
      </c>
      <c r="Q152" s="9">
        <f t="shared" si="36"/>
        <v>2.653240740740749</v>
      </c>
      <c r="R152" s="114">
        <v>0</v>
      </c>
      <c r="S152" s="59">
        <f t="shared" si="37"/>
        <v>2.653240740740749</v>
      </c>
      <c r="T152" s="10">
        <f t="shared" si="38"/>
        <v>2.653240740740749</v>
      </c>
      <c r="U152" s="55">
        <f t="shared" si="34"/>
        <v>1.0636777777777779</v>
      </c>
    </row>
    <row r="153" spans="8:21" ht="15.75" thickBot="1" x14ac:dyDescent="0.3">
      <c r="H153">
        <v>8</v>
      </c>
      <c r="I153" s="76" t="s">
        <v>130</v>
      </c>
      <c r="J153" s="179" t="s">
        <v>94</v>
      </c>
      <c r="K153" s="180"/>
      <c r="L153" s="63" t="s">
        <v>75</v>
      </c>
      <c r="M153" s="68">
        <v>1</v>
      </c>
      <c r="N153" s="68">
        <v>0</v>
      </c>
      <c r="O153" s="8" t="s">
        <v>14</v>
      </c>
      <c r="P153" s="9">
        <f t="shared" si="35"/>
        <v>-3.2407407407407402E-3</v>
      </c>
      <c r="Q153" s="9">
        <f t="shared" si="36"/>
        <v>2.6500000000000083</v>
      </c>
      <c r="R153" s="114">
        <v>0</v>
      </c>
      <c r="S153" s="59">
        <f t="shared" si="37"/>
        <v>2.6500000000000083</v>
      </c>
      <c r="T153" s="10">
        <f t="shared" si="38"/>
        <v>2.6500000000000083</v>
      </c>
      <c r="U153" s="55">
        <f t="shared" si="34"/>
        <v>1.0636000000000001</v>
      </c>
    </row>
    <row r="154" spans="8:21" ht="15.75" thickBot="1" x14ac:dyDescent="0.3">
      <c r="H154">
        <v>8</v>
      </c>
      <c r="I154" s="76" t="s">
        <v>131</v>
      </c>
      <c r="J154" s="212" t="s">
        <v>77</v>
      </c>
      <c r="K154" s="213"/>
      <c r="L154" s="74" t="s">
        <v>74</v>
      </c>
      <c r="M154" s="60">
        <v>1</v>
      </c>
      <c r="N154" s="60">
        <v>1</v>
      </c>
      <c r="O154" s="77" t="s">
        <v>70</v>
      </c>
      <c r="P154" s="9">
        <f t="shared" si="35"/>
        <v>1.6203703703703701E-3</v>
      </c>
      <c r="Q154" s="9">
        <f t="shared" si="36"/>
        <v>2.6516203703703787</v>
      </c>
      <c r="R154" s="115">
        <v>-0.5</v>
      </c>
      <c r="S154" s="59">
        <f t="shared" si="37"/>
        <v>2.1516203703703787</v>
      </c>
      <c r="T154" s="10">
        <f t="shared" si="38"/>
        <v>2.1516203703703787</v>
      </c>
      <c r="U154" s="55">
        <f t="shared" si="34"/>
        <v>1.051638888888889</v>
      </c>
    </row>
    <row r="155" spans="8:21" ht="15.75" thickBot="1" x14ac:dyDescent="0.3">
      <c r="H155">
        <v>8</v>
      </c>
      <c r="I155" s="76" t="s">
        <v>132</v>
      </c>
      <c r="J155" s="177" t="s">
        <v>87</v>
      </c>
      <c r="K155" s="178"/>
      <c r="L155" s="64" t="s">
        <v>76</v>
      </c>
      <c r="M155" s="62">
        <v>1</v>
      </c>
      <c r="N155" s="62">
        <v>1</v>
      </c>
      <c r="O155" s="8" t="s">
        <v>14</v>
      </c>
      <c r="P155" s="9">
        <f t="shared" si="35"/>
        <v>-3.2407407407407402E-3</v>
      </c>
      <c r="Q155" s="9">
        <f t="shared" si="36"/>
        <v>2.148379629629638</v>
      </c>
      <c r="R155" s="114">
        <v>0</v>
      </c>
      <c r="S155" s="59">
        <f t="shared" si="37"/>
        <v>2.148379629629638</v>
      </c>
      <c r="T155" s="10">
        <f t="shared" si="38"/>
        <v>2.148379629629638</v>
      </c>
      <c r="U155" s="55">
        <f t="shared" si="34"/>
        <v>1.0515611111111114</v>
      </c>
    </row>
    <row r="156" spans="8:21" ht="15.75" thickBot="1" x14ac:dyDescent="0.3">
      <c r="H156">
        <v>8</v>
      </c>
      <c r="I156" s="76" t="s">
        <v>133</v>
      </c>
      <c r="J156" s="179" t="s">
        <v>95</v>
      </c>
      <c r="K156" s="180"/>
      <c r="L156" s="63" t="s">
        <v>74</v>
      </c>
      <c r="M156" s="68">
        <v>1</v>
      </c>
      <c r="N156" s="68">
        <v>1</v>
      </c>
      <c r="O156" s="8" t="s">
        <v>14</v>
      </c>
      <c r="P156" s="9">
        <f t="shared" si="35"/>
        <v>-3.2407407407407402E-3</v>
      </c>
      <c r="Q156" s="9">
        <f t="shared" si="36"/>
        <v>2.1451388888888974</v>
      </c>
      <c r="R156" s="114">
        <v>0</v>
      </c>
      <c r="S156" s="59">
        <f t="shared" si="37"/>
        <v>2.1451388888888974</v>
      </c>
      <c r="T156" s="10">
        <f t="shared" si="38"/>
        <v>2.1451388888888974</v>
      </c>
      <c r="U156" s="55">
        <f t="shared" si="34"/>
        <v>1.0514833333333335</v>
      </c>
    </row>
    <row r="157" spans="8:21" ht="15.75" thickBot="1" x14ac:dyDescent="0.3">
      <c r="H157">
        <v>8</v>
      </c>
      <c r="I157" s="76" t="s">
        <v>134</v>
      </c>
      <c r="J157" s="179" t="s">
        <v>95</v>
      </c>
      <c r="K157" s="180"/>
      <c r="L157" s="63" t="s">
        <v>75</v>
      </c>
      <c r="M157" s="68">
        <v>1</v>
      </c>
      <c r="N157" s="68">
        <v>0</v>
      </c>
      <c r="O157" s="8" t="s">
        <v>14</v>
      </c>
      <c r="P157" s="9">
        <f t="shared" si="35"/>
        <v>-3.2407407407407402E-3</v>
      </c>
      <c r="Q157" s="9">
        <f t="shared" si="36"/>
        <v>2.1418981481481567</v>
      </c>
      <c r="R157" s="114">
        <v>0</v>
      </c>
      <c r="S157" s="59">
        <f t="shared" si="37"/>
        <v>2.1418981481481567</v>
      </c>
      <c r="T157" s="10">
        <f t="shared" si="38"/>
        <v>2.1418981481481567</v>
      </c>
      <c r="U157" s="55">
        <f t="shared" si="34"/>
        <v>1.0514055555555557</v>
      </c>
    </row>
    <row r="158" spans="8:21" ht="15.75" thickBot="1" x14ac:dyDescent="0.3">
      <c r="H158">
        <v>8</v>
      </c>
      <c r="I158" s="76" t="s">
        <v>135</v>
      </c>
      <c r="J158" s="212" t="s">
        <v>87</v>
      </c>
      <c r="K158" s="213"/>
      <c r="L158" s="74" t="s">
        <v>74</v>
      </c>
      <c r="M158" s="60">
        <v>1</v>
      </c>
      <c r="N158" s="60">
        <v>1</v>
      </c>
      <c r="O158" s="77" t="s">
        <v>70</v>
      </c>
      <c r="P158" s="9">
        <f t="shared" si="35"/>
        <v>1.6203703703703701E-3</v>
      </c>
      <c r="Q158" s="9">
        <f t="shared" si="36"/>
        <v>2.143518518518527</v>
      </c>
      <c r="R158" s="115">
        <v>-0.5</v>
      </c>
      <c r="S158" s="59">
        <f t="shared" si="37"/>
        <v>1.643518518518527</v>
      </c>
      <c r="T158" s="10">
        <f t="shared" si="38"/>
        <v>1.643518518518527</v>
      </c>
      <c r="U158" s="55">
        <f t="shared" si="34"/>
        <v>1.0394444444444446</v>
      </c>
    </row>
    <row r="159" spans="8:21" ht="15.75" thickBot="1" x14ac:dyDescent="0.3">
      <c r="H159">
        <v>8</v>
      </c>
      <c r="I159" s="76" t="s">
        <v>136</v>
      </c>
      <c r="J159" s="177" t="s">
        <v>89</v>
      </c>
      <c r="K159" s="178"/>
      <c r="L159" s="64" t="s">
        <v>76</v>
      </c>
      <c r="M159" s="62">
        <v>1</v>
      </c>
      <c r="N159" s="62">
        <v>1</v>
      </c>
      <c r="O159" s="8" t="s">
        <v>14</v>
      </c>
      <c r="P159" s="9">
        <f t="shared" si="35"/>
        <v>-3.2407407407407402E-3</v>
      </c>
      <c r="Q159" s="9">
        <f t="shared" si="36"/>
        <v>1.6402777777777864</v>
      </c>
      <c r="R159" s="114">
        <v>0</v>
      </c>
      <c r="S159" s="59">
        <f t="shared" si="37"/>
        <v>1.6402777777777864</v>
      </c>
      <c r="T159" s="10">
        <f t="shared" si="38"/>
        <v>1.6402777777777864</v>
      </c>
      <c r="U159" s="55">
        <f t="shared" si="34"/>
        <v>1.0393666666666668</v>
      </c>
    </row>
    <row r="160" spans="8:21" ht="15.75" thickBot="1" x14ac:dyDescent="0.3">
      <c r="H160">
        <v>8</v>
      </c>
      <c r="I160" s="76" t="s">
        <v>137</v>
      </c>
      <c r="J160" s="179" t="s">
        <v>96</v>
      </c>
      <c r="K160" s="180"/>
      <c r="L160" s="63" t="s">
        <v>74</v>
      </c>
      <c r="M160" s="68">
        <v>1</v>
      </c>
      <c r="N160" s="68">
        <v>1</v>
      </c>
      <c r="O160" s="8" t="s">
        <v>14</v>
      </c>
      <c r="P160" s="9">
        <f t="shared" si="35"/>
        <v>-3.2407407407407402E-3</v>
      </c>
      <c r="Q160" s="9">
        <f t="shared" si="36"/>
        <v>1.6370370370370457</v>
      </c>
      <c r="R160" s="114">
        <v>0</v>
      </c>
      <c r="S160" s="59">
        <f t="shared" si="37"/>
        <v>1.6370370370370457</v>
      </c>
      <c r="T160" s="10">
        <f t="shared" si="38"/>
        <v>1.6370370370370457</v>
      </c>
      <c r="U160" s="55">
        <f t="shared" si="34"/>
        <v>1.0392888888888892</v>
      </c>
    </row>
    <row r="161" spans="8:21" ht="15.75" thickBot="1" x14ac:dyDescent="0.3">
      <c r="H161">
        <v>8</v>
      </c>
      <c r="I161" s="76" t="s">
        <v>138</v>
      </c>
      <c r="J161" s="179" t="s">
        <v>96</v>
      </c>
      <c r="K161" s="180"/>
      <c r="L161" s="63" t="s">
        <v>75</v>
      </c>
      <c r="M161" s="68">
        <v>1</v>
      </c>
      <c r="N161" s="68">
        <v>0</v>
      </c>
      <c r="O161" s="8" t="s">
        <v>14</v>
      </c>
      <c r="P161" s="9">
        <f t="shared" si="35"/>
        <v>-3.2407407407407402E-3</v>
      </c>
      <c r="Q161" s="9">
        <f t="shared" si="36"/>
        <v>1.6337962962963051</v>
      </c>
      <c r="R161" s="114">
        <v>0</v>
      </c>
      <c r="S161" s="59">
        <f t="shared" si="37"/>
        <v>1.6337962962963051</v>
      </c>
      <c r="T161" s="10">
        <f t="shared" si="38"/>
        <v>1.6337962962963051</v>
      </c>
      <c r="U161" s="55">
        <f t="shared" si="34"/>
        <v>1.0392111111111113</v>
      </c>
    </row>
    <row r="162" spans="8:21" ht="15.75" thickBot="1" x14ac:dyDescent="0.3">
      <c r="H162">
        <v>8</v>
      </c>
      <c r="I162" s="76" t="s">
        <v>139</v>
      </c>
      <c r="J162" s="210" t="s">
        <v>89</v>
      </c>
      <c r="K162" s="211"/>
      <c r="L162" s="74" t="s">
        <v>74</v>
      </c>
      <c r="M162" s="60">
        <v>1</v>
      </c>
      <c r="N162" s="60">
        <v>45</v>
      </c>
      <c r="O162" s="8" t="s">
        <v>14</v>
      </c>
      <c r="P162" s="9">
        <f t="shared" si="35"/>
        <v>-3.2407407407407402E-3</v>
      </c>
      <c r="Q162" s="9">
        <f t="shared" si="36"/>
        <v>1.6305555555555644</v>
      </c>
      <c r="R162" s="116">
        <v>0</v>
      </c>
      <c r="S162" s="59">
        <f t="shared" si="37"/>
        <v>1.6305555555555644</v>
      </c>
      <c r="T162" s="10">
        <f t="shared" si="38"/>
        <v>1.6305555555555644</v>
      </c>
      <c r="U162" s="55">
        <f t="shared" si="34"/>
        <v>1.0391333333333335</v>
      </c>
    </row>
    <row r="163" spans="8:21" x14ac:dyDescent="0.25">
      <c r="H163">
        <v>8</v>
      </c>
      <c r="I163" s="76" t="s">
        <v>140</v>
      </c>
      <c r="J163" s="174" t="s">
        <v>89</v>
      </c>
      <c r="K163" s="174"/>
      <c r="M163" s="62">
        <v>1</v>
      </c>
      <c r="N163" s="60">
        <v>44</v>
      </c>
      <c r="O163" s="8" t="s">
        <v>14</v>
      </c>
      <c r="P163" s="9">
        <f t="shared" si="35"/>
        <v>-3.2407407407407402E-3</v>
      </c>
      <c r="Q163" s="9">
        <f t="shared" si="36"/>
        <v>1.6273148148148238</v>
      </c>
      <c r="R163" s="114">
        <v>0</v>
      </c>
      <c r="S163" s="59">
        <f t="shared" si="37"/>
        <v>1.6273148148148238</v>
      </c>
      <c r="T163" s="10">
        <f t="shared" si="38"/>
        <v>1.6273148148148238</v>
      </c>
      <c r="U163" s="55">
        <f t="shared" si="34"/>
        <v>1.0390555555555558</v>
      </c>
    </row>
    <row r="164" spans="8:21" x14ac:dyDescent="0.25">
      <c r="H164">
        <v>8</v>
      </c>
      <c r="I164" s="76" t="s">
        <v>141</v>
      </c>
      <c r="J164" s="174" t="s">
        <v>89</v>
      </c>
      <c r="K164" s="174"/>
      <c r="M164" s="62">
        <v>1</v>
      </c>
      <c r="N164" s="60">
        <v>43</v>
      </c>
      <c r="O164" s="8" t="s">
        <v>14</v>
      </c>
      <c r="P164" s="9">
        <f t="shared" si="35"/>
        <v>-3.2407407407407402E-3</v>
      </c>
      <c r="Q164" s="9">
        <f t="shared" si="36"/>
        <v>1.6240740740740831</v>
      </c>
      <c r="R164" s="114">
        <v>0</v>
      </c>
      <c r="S164" s="59">
        <f t="shared" si="37"/>
        <v>1.6240740740740831</v>
      </c>
      <c r="T164" s="10">
        <f t="shared" si="38"/>
        <v>1.6240740740740831</v>
      </c>
      <c r="U164" s="55">
        <f t="shared" si="34"/>
        <v>1.038977777777778</v>
      </c>
    </row>
    <row r="165" spans="8:21" x14ac:dyDescent="0.25">
      <c r="H165">
        <v>8</v>
      </c>
      <c r="I165" s="76" t="s">
        <v>142</v>
      </c>
      <c r="J165" s="174" t="s">
        <v>89</v>
      </c>
      <c r="K165" s="174"/>
      <c r="M165" s="62">
        <v>1</v>
      </c>
      <c r="N165" s="60">
        <v>42</v>
      </c>
      <c r="O165" s="8" t="s">
        <v>14</v>
      </c>
      <c r="P165" s="9">
        <f t="shared" si="35"/>
        <v>-3.2407407407407402E-3</v>
      </c>
      <c r="Q165" s="9">
        <f t="shared" si="36"/>
        <v>1.6208333333333425</v>
      </c>
      <c r="R165" s="114">
        <v>0</v>
      </c>
      <c r="S165" s="59">
        <f t="shared" si="37"/>
        <v>1.6208333333333425</v>
      </c>
      <c r="T165" s="10">
        <f t="shared" si="38"/>
        <v>1.6208333333333425</v>
      </c>
      <c r="U165" s="55">
        <f t="shared" si="34"/>
        <v>1.0389000000000002</v>
      </c>
    </row>
    <row r="166" spans="8:21" x14ac:dyDescent="0.25">
      <c r="H166">
        <v>8</v>
      </c>
      <c r="I166" s="76" t="s">
        <v>143</v>
      </c>
      <c r="J166" s="174" t="s">
        <v>89</v>
      </c>
      <c r="K166" s="174"/>
      <c r="M166" s="62">
        <v>1</v>
      </c>
      <c r="N166" s="60">
        <v>41</v>
      </c>
      <c r="O166" s="8" t="s">
        <v>14</v>
      </c>
      <c r="P166" s="9">
        <f t="shared" si="35"/>
        <v>-3.2407407407407402E-3</v>
      </c>
      <c r="Q166" s="9">
        <f t="shared" si="36"/>
        <v>1.6175925925926018</v>
      </c>
      <c r="R166" s="114">
        <v>0</v>
      </c>
      <c r="S166" s="59">
        <f t="shared" si="37"/>
        <v>1.6175925925926018</v>
      </c>
      <c r="T166" s="10">
        <f t="shared" si="38"/>
        <v>1.6175925925926018</v>
      </c>
      <c r="U166" s="55">
        <f t="shared" si="34"/>
        <v>1.0388222222222225</v>
      </c>
    </row>
    <row r="167" spans="8:21" x14ac:dyDescent="0.25">
      <c r="H167">
        <v>8</v>
      </c>
      <c r="I167" s="76" t="s">
        <v>144</v>
      </c>
      <c r="J167" s="174" t="s">
        <v>89</v>
      </c>
      <c r="K167" s="174"/>
      <c r="M167" s="62">
        <v>1</v>
      </c>
      <c r="N167" s="60">
        <v>40</v>
      </c>
      <c r="O167" s="8" t="s">
        <v>14</v>
      </c>
      <c r="P167" s="9">
        <f t="shared" si="35"/>
        <v>-3.2407407407407402E-3</v>
      </c>
      <c r="Q167" s="9">
        <f t="shared" si="36"/>
        <v>1.6143518518518611</v>
      </c>
      <c r="R167" s="114">
        <v>0</v>
      </c>
      <c r="S167" s="59">
        <f t="shared" si="37"/>
        <v>1.6143518518518611</v>
      </c>
      <c r="T167" s="10">
        <f t="shared" si="38"/>
        <v>1.6143518518518611</v>
      </c>
      <c r="U167" s="55">
        <f t="shared" si="34"/>
        <v>1.0387444444444447</v>
      </c>
    </row>
    <row r="168" spans="8:21" x14ac:dyDescent="0.25">
      <c r="H168">
        <v>8</v>
      </c>
      <c r="I168" s="76" t="s">
        <v>145</v>
      </c>
      <c r="J168" s="174" t="s">
        <v>89</v>
      </c>
      <c r="K168" s="174"/>
      <c r="M168" s="62">
        <v>1</v>
      </c>
      <c r="N168" s="60">
        <v>39</v>
      </c>
      <c r="O168" s="8" t="s">
        <v>14</v>
      </c>
      <c r="P168" s="9">
        <f t="shared" si="35"/>
        <v>-3.2407407407407402E-3</v>
      </c>
      <c r="Q168" s="9">
        <f t="shared" si="36"/>
        <v>1.6111111111111205</v>
      </c>
      <c r="R168" s="114">
        <v>0</v>
      </c>
      <c r="S168" s="59">
        <f t="shared" si="37"/>
        <v>1.6111111111111205</v>
      </c>
      <c r="T168" s="10">
        <f t="shared" si="38"/>
        <v>1.6111111111111205</v>
      </c>
      <c r="U168" s="55">
        <f t="shared" si="34"/>
        <v>1.0386666666666668</v>
      </c>
    </row>
    <row r="169" spans="8:21" x14ac:dyDescent="0.25">
      <c r="H169">
        <v>8</v>
      </c>
      <c r="I169" s="76" t="s">
        <v>146</v>
      </c>
      <c r="J169" s="174" t="s">
        <v>89</v>
      </c>
      <c r="K169" s="174"/>
      <c r="M169" s="62">
        <v>1</v>
      </c>
      <c r="N169" s="60">
        <v>38</v>
      </c>
      <c r="O169" s="8" t="s">
        <v>14</v>
      </c>
      <c r="P169" s="9">
        <f t="shared" si="35"/>
        <v>-3.2407407407407402E-3</v>
      </c>
      <c r="Q169" s="9">
        <f t="shared" si="36"/>
        <v>1.6078703703703798</v>
      </c>
      <c r="R169" s="114">
        <v>0</v>
      </c>
      <c r="S169" s="59">
        <f t="shared" si="37"/>
        <v>1.6078703703703798</v>
      </c>
      <c r="T169" s="10">
        <f t="shared" si="38"/>
        <v>1.6078703703703798</v>
      </c>
      <c r="U169" s="55">
        <f t="shared" si="34"/>
        <v>1.038588888888889</v>
      </c>
    </row>
    <row r="170" spans="8:21" x14ac:dyDescent="0.25">
      <c r="H170">
        <v>8</v>
      </c>
      <c r="I170" s="76" t="s">
        <v>147</v>
      </c>
      <c r="J170" s="174" t="s">
        <v>89</v>
      </c>
      <c r="K170" s="174"/>
      <c r="M170" s="62">
        <v>1</v>
      </c>
      <c r="N170" s="60">
        <v>37</v>
      </c>
      <c r="O170" s="8" t="s">
        <v>14</v>
      </c>
      <c r="P170" s="9">
        <f t="shared" si="35"/>
        <v>-3.2407407407407402E-3</v>
      </c>
      <c r="Q170" s="9">
        <f t="shared" si="36"/>
        <v>1.6046296296296392</v>
      </c>
      <c r="R170" s="114">
        <v>0</v>
      </c>
      <c r="S170" s="59">
        <f t="shared" si="37"/>
        <v>1.6046296296296392</v>
      </c>
      <c r="T170" s="10">
        <f t="shared" si="38"/>
        <v>1.6046296296296392</v>
      </c>
      <c r="U170" s="55">
        <f t="shared" si="34"/>
        <v>1.0385111111111114</v>
      </c>
    </row>
    <row r="171" spans="8:21" x14ac:dyDescent="0.25">
      <c r="H171">
        <v>8</v>
      </c>
      <c r="I171" s="76" t="s">
        <v>148</v>
      </c>
      <c r="J171" s="174" t="s">
        <v>89</v>
      </c>
      <c r="K171" s="174"/>
      <c r="M171" s="62">
        <v>1</v>
      </c>
      <c r="N171" s="60">
        <v>36</v>
      </c>
      <c r="O171" s="8" t="s">
        <v>14</v>
      </c>
      <c r="P171" s="9">
        <f t="shared" si="35"/>
        <v>-3.2407407407407402E-3</v>
      </c>
      <c r="Q171" s="9">
        <f t="shared" si="36"/>
        <v>1.6013888888888985</v>
      </c>
      <c r="R171" s="114">
        <v>0</v>
      </c>
      <c r="S171" s="59">
        <f t="shared" si="37"/>
        <v>1.6013888888888985</v>
      </c>
      <c r="T171" s="10">
        <f t="shared" si="38"/>
        <v>1.6013888888888985</v>
      </c>
      <c r="U171" s="55">
        <f t="shared" si="34"/>
        <v>1.0384333333333335</v>
      </c>
    </row>
    <row r="172" spans="8:21" x14ac:dyDescent="0.25">
      <c r="H172">
        <v>8</v>
      </c>
      <c r="I172" s="76" t="s">
        <v>149</v>
      </c>
      <c r="J172" s="174" t="s">
        <v>89</v>
      </c>
      <c r="K172" s="174"/>
      <c r="M172" s="62">
        <v>1</v>
      </c>
      <c r="N172" s="60">
        <v>35</v>
      </c>
      <c r="O172" s="8" t="s">
        <v>14</v>
      </c>
      <c r="P172" s="9">
        <f t="shared" si="35"/>
        <v>-3.2407407407407402E-3</v>
      </c>
      <c r="Q172" s="9">
        <f t="shared" si="36"/>
        <v>1.5981481481481579</v>
      </c>
      <c r="R172" s="114">
        <v>0</v>
      </c>
      <c r="S172" s="59">
        <f t="shared" si="37"/>
        <v>1.5981481481481579</v>
      </c>
      <c r="T172" s="10">
        <f t="shared" si="38"/>
        <v>1.5981481481481579</v>
      </c>
      <c r="U172" s="55">
        <f t="shared" si="34"/>
        <v>1.0383555555555557</v>
      </c>
    </row>
    <row r="173" spans="8:21" x14ac:dyDescent="0.25">
      <c r="H173">
        <v>8</v>
      </c>
      <c r="I173" s="76" t="s">
        <v>150</v>
      </c>
      <c r="J173" s="174" t="s">
        <v>89</v>
      </c>
      <c r="K173" s="174"/>
      <c r="M173" s="62">
        <v>1</v>
      </c>
      <c r="N173" s="60">
        <v>34</v>
      </c>
      <c r="O173" s="8" t="s">
        <v>14</v>
      </c>
      <c r="P173" s="9">
        <f t="shared" si="35"/>
        <v>-3.2407407407407402E-3</v>
      </c>
      <c r="Q173" s="9">
        <f t="shared" si="36"/>
        <v>1.5949074074074172</v>
      </c>
      <c r="R173" s="114">
        <v>0</v>
      </c>
      <c r="S173" s="59">
        <f t="shared" si="37"/>
        <v>1.5949074074074172</v>
      </c>
      <c r="T173" s="10">
        <f t="shared" si="38"/>
        <v>1.5949074074074172</v>
      </c>
      <c r="U173" s="55">
        <f t="shared" si="34"/>
        <v>1.0382777777777781</v>
      </c>
    </row>
    <row r="174" spans="8:21" x14ac:dyDescent="0.25">
      <c r="H174">
        <v>8</v>
      </c>
      <c r="I174" s="76" t="s">
        <v>151</v>
      </c>
      <c r="J174" s="174" t="s">
        <v>89</v>
      </c>
      <c r="K174" s="174"/>
      <c r="M174" s="62">
        <v>1</v>
      </c>
      <c r="N174" s="60">
        <v>33</v>
      </c>
      <c r="O174" s="8" t="s">
        <v>14</v>
      </c>
      <c r="P174" s="9">
        <f t="shared" si="35"/>
        <v>-3.2407407407407402E-3</v>
      </c>
      <c r="Q174" s="9">
        <f t="shared" si="36"/>
        <v>1.5916666666666766</v>
      </c>
      <c r="R174" s="114">
        <v>0</v>
      </c>
      <c r="S174" s="59">
        <f t="shared" si="37"/>
        <v>1.5916666666666766</v>
      </c>
      <c r="T174" s="10">
        <f t="shared" si="38"/>
        <v>1.5916666666666766</v>
      </c>
      <c r="U174" s="55">
        <f t="shared" si="34"/>
        <v>1.0382000000000002</v>
      </c>
    </row>
    <row r="175" spans="8:21" x14ac:dyDescent="0.25">
      <c r="H175">
        <v>8</v>
      </c>
      <c r="I175" s="76" t="s">
        <v>152</v>
      </c>
      <c r="J175" s="174" t="s">
        <v>89</v>
      </c>
      <c r="K175" s="174"/>
      <c r="M175" s="62">
        <v>1</v>
      </c>
      <c r="N175" s="60">
        <v>32</v>
      </c>
      <c r="O175" s="8" t="s">
        <v>14</v>
      </c>
      <c r="P175" s="9">
        <f t="shared" si="35"/>
        <v>-3.2407407407407402E-3</v>
      </c>
      <c r="Q175" s="9">
        <f t="shared" si="36"/>
        <v>1.5884259259259359</v>
      </c>
      <c r="R175" s="114">
        <v>0</v>
      </c>
      <c r="S175" s="59">
        <f t="shared" si="37"/>
        <v>1.5884259259259359</v>
      </c>
      <c r="T175" s="10">
        <f t="shared" si="38"/>
        <v>1.5884259259259359</v>
      </c>
      <c r="U175" s="55">
        <f t="shared" si="34"/>
        <v>1.0381222222222224</v>
      </c>
    </row>
    <row r="176" spans="8:21" x14ac:dyDescent="0.25">
      <c r="H176">
        <v>8</v>
      </c>
      <c r="I176" s="76" t="s">
        <v>153</v>
      </c>
      <c r="J176" s="174" t="s">
        <v>89</v>
      </c>
      <c r="K176" s="174"/>
      <c r="M176" s="62">
        <v>1</v>
      </c>
      <c r="N176" s="60">
        <v>31</v>
      </c>
      <c r="O176" s="8" t="s">
        <v>14</v>
      </c>
      <c r="P176" s="9">
        <f t="shared" si="35"/>
        <v>-3.2407407407407402E-3</v>
      </c>
      <c r="Q176" s="9">
        <f t="shared" si="36"/>
        <v>1.5851851851851952</v>
      </c>
      <c r="R176" s="114">
        <v>0</v>
      </c>
      <c r="S176" s="59">
        <f t="shared" si="37"/>
        <v>1.5851851851851952</v>
      </c>
      <c r="T176" s="10">
        <f t="shared" si="38"/>
        <v>1.5851851851851952</v>
      </c>
      <c r="U176" s="55">
        <f t="shared" si="34"/>
        <v>1.0380444444444448</v>
      </c>
    </row>
    <row r="177" spans="8:21" x14ac:dyDescent="0.25">
      <c r="H177">
        <v>8</v>
      </c>
      <c r="I177" s="76" t="s">
        <v>154</v>
      </c>
      <c r="J177" s="174" t="s">
        <v>89</v>
      </c>
      <c r="K177" s="174"/>
      <c r="M177" s="62">
        <v>1</v>
      </c>
      <c r="N177" s="60">
        <v>30</v>
      </c>
      <c r="O177" s="8" t="s">
        <v>14</v>
      </c>
      <c r="P177" s="9">
        <f t="shared" si="35"/>
        <v>-3.2407407407407402E-3</v>
      </c>
      <c r="Q177" s="9">
        <f t="shared" si="36"/>
        <v>1.5819444444444546</v>
      </c>
      <c r="R177" s="114">
        <v>0</v>
      </c>
      <c r="S177" s="59">
        <f t="shared" si="37"/>
        <v>1.5819444444444546</v>
      </c>
      <c r="T177" s="10">
        <f t="shared" si="38"/>
        <v>1.5819444444444546</v>
      </c>
      <c r="U177" s="55">
        <f t="shared" si="34"/>
        <v>1.0379666666666669</v>
      </c>
    </row>
    <row r="178" spans="8:21" x14ac:dyDescent="0.25">
      <c r="H178">
        <v>8</v>
      </c>
      <c r="I178" s="76" t="s">
        <v>155</v>
      </c>
      <c r="J178" s="174" t="s">
        <v>89</v>
      </c>
      <c r="K178" s="174"/>
      <c r="M178" s="62">
        <v>1</v>
      </c>
      <c r="N178" s="60">
        <v>29</v>
      </c>
      <c r="O178" s="8" t="s">
        <v>14</v>
      </c>
      <c r="P178" s="9">
        <f t="shared" si="35"/>
        <v>-3.2407407407407402E-3</v>
      </c>
      <c r="Q178" s="9">
        <f t="shared" si="36"/>
        <v>1.5787037037037139</v>
      </c>
      <c r="R178" s="114">
        <v>0</v>
      </c>
      <c r="S178" s="59">
        <f t="shared" si="37"/>
        <v>1.5787037037037139</v>
      </c>
      <c r="T178" s="10">
        <f t="shared" si="38"/>
        <v>1.5787037037037139</v>
      </c>
      <c r="U178" s="55">
        <f t="shared" si="34"/>
        <v>1.0378888888888891</v>
      </c>
    </row>
    <row r="179" spans="8:21" x14ac:dyDescent="0.25">
      <c r="H179">
        <v>8</v>
      </c>
      <c r="I179" s="76" t="s">
        <v>156</v>
      </c>
      <c r="J179" s="174" t="s">
        <v>89</v>
      </c>
      <c r="K179" s="174"/>
      <c r="M179" s="62">
        <v>1</v>
      </c>
      <c r="N179" s="60">
        <v>28</v>
      </c>
      <c r="O179" s="8" t="s">
        <v>14</v>
      </c>
      <c r="P179" s="9">
        <f t="shared" si="35"/>
        <v>-3.2407407407407402E-3</v>
      </c>
      <c r="Q179" s="9">
        <f t="shared" si="36"/>
        <v>1.5754629629629733</v>
      </c>
      <c r="R179" s="114">
        <v>0</v>
      </c>
      <c r="S179" s="59">
        <f t="shared" si="37"/>
        <v>1.5754629629629733</v>
      </c>
      <c r="T179" s="10">
        <f t="shared" si="38"/>
        <v>1.5754629629629733</v>
      </c>
      <c r="U179" s="55">
        <f t="shared" si="34"/>
        <v>1.0378111111111115</v>
      </c>
    </row>
    <row r="180" spans="8:21" x14ac:dyDescent="0.25">
      <c r="H180">
        <v>8</v>
      </c>
      <c r="I180" s="76" t="s">
        <v>157</v>
      </c>
      <c r="J180" s="174" t="s">
        <v>89</v>
      </c>
      <c r="K180" s="174"/>
      <c r="M180" s="62">
        <v>1</v>
      </c>
      <c r="N180" s="60">
        <v>27</v>
      </c>
      <c r="O180" s="8" t="s">
        <v>14</v>
      </c>
      <c r="P180" s="9">
        <f t="shared" si="35"/>
        <v>-3.2407407407407402E-3</v>
      </c>
      <c r="Q180" s="9">
        <f t="shared" si="36"/>
        <v>1.5722222222222326</v>
      </c>
      <c r="R180" s="114">
        <v>0</v>
      </c>
      <c r="S180" s="59">
        <f t="shared" si="37"/>
        <v>1.5722222222222326</v>
      </c>
      <c r="T180" s="10">
        <f t="shared" si="38"/>
        <v>1.5722222222222326</v>
      </c>
      <c r="U180" s="55">
        <f t="shared" si="34"/>
        <v>1.0377333333333336</v>
      </c>
    </row>
    <row r="181" spans="8:21" x14ac:dyDescent="0.25">
      <c r="H181">
        <v>8</v>
      </c>
      <c r="I181" s="76" t="s">
        <v>158</v>
      </c>
      <c r="J181" s="174" t="s">
        <v>89</v>
      </c>
      <c r="K181" s="174"/>
      <c r="M181" s="62">
        <v>1</v>
      </c>
      <c r="N181" s="60">
        <v>26</v>
      </c>
      <c r="O181" s="8" t="s">
        <v>14</v>
      </c>
      <c r="P181" s="9">
        <f t="shared" si="35"/>
        <v>-3.2407407407407402E-3</v>
      </c>
      <c r="Q181" s="9">
        <f t="shared" si="36"/>
        <v>1.568981481481492</v>
      </c>
      <c r="R181" s="114">
        <v>0</v>
      </c>
      <c r="S181" s="59">
        <f t="shared" si="37"/>
        <v>1.568981481481492</v>
      </c>
      <c r="T181" s="10">
        <f t="shared" si="38"/>
        <v>1.568981481481492</v>
      </c>
      <c r="U181" s="55">
        <f t="shared" si="34"/>
        <v>1.0376555555555558</v>
      </c>
    </row>
    <row r="182" spans="8:21" x14ac:dyDescent="0.25">
      <c r="H182">
        <v>8</v>
      </c>
      <c r="I182" s="76" t="s">
        <v>159</v>
      </c>
      <c r="J182" s="174" t="s">
        <v>89</v>
      </c>
      <c r="K182" s="174"/>
      <c r="M182" s="62">
        <v>1</v>
      </c>
      <c r="N182" s="60">
        <v>25</v>
      </c>
      <c r="O182" s="8" t="s">
        <v>14</v>
      </c>
      <c r="P182" s="9">
        <f t="shared" si="35"/>
        <v>-3.2407407407407402E-3</v>
      </c>
      <c r="Q182" s="9">
        <f t="shared" si="36"/>
        <v>1.5657407407407513</v>
      </c>
      <c r="R182" s="114">
        <v>0</v>
      </c>
      <c r="S182" s="59">
        <f t="shared" si="37"/>
        <v>1.5657407407407513</v>
      </c>
      <c r="T182" s="10">
        <f t="shared" si="38"/>
        <v>1.5657407407407513</v>
      </c>
      <c r="U182" s="55">
        <f t="shared" si="34"/>
        <v>1.0375777777777779</v>
      </c>
    </row>
    <row r="183" spans="8:21" x14ac:dyDescent="0.25">
      <c r="H183">
        <v>8</v>
      </c>
      <c r="I183" s="76" t="s">
        <v>160</v>
      </c>
      <c r="J183" s="174" t="s">
        <v>89</v>
      </c>
      <c r="K183" s="174"/>
      <c r="M183" s="62">
        <v>1</v>
      </c>
      <c r="N183" s="60">
        <v>24</v>
      </c>
      <c r="O183" s="8" t="s">
        <v>14</v>
      </c>
      <c r="P183" s="9">
        <f t="shared" si="35"/>
        <v>-3.2407407407407402E-3</v>
      </c>
      <c r="Q183" s="9">
        <f t="shared" si="36"/>
        <v>1.5625000000000107</v>
      </c>
      <c r="R183" s="114">
        <v>0</v>
      </c>
      <c r="S183" s="59">
        <f t="shared" si="37"/>
        <v>1.5625000000000107</v>
      </c>
      <c r="T183" s="10">
        <f t="shared" si="38"/>
        <v>1.5625000000000107</v>
      </c>
      <c r="U183" s="55">
        <f t="shared" si="34"/>
        <v>1.0375000000000003</v>
      </c>
    </row>
    <row r="184" spans="8:21" x14ac:dyDescent="0.25">
      <c r="H184">
        <v>8</v>
      </c>
      <c r="I184" s="76" t="s">
        <v>161</v>
      </c>
      <c r="J184" s="174" t="s">
        <v>89</v>
      </c>
      <c r="K184" s="174"/>
      <c r="M184" s="62">
        <v>1</v>
      </c>
      <c r="N184" s="60">
        <v>23</v>
      </c>
      <c r="O184" s="8" t="s">
        <v>14</v>
      </c>
      <c r="P184" s="9">
        <f t="shared" si="35"/>
        <v>-3.2407407407407402E-3</v>
      </c>
      <c r="Q184" s="9">
        <f t="shared" si="36"/>
        <v>1.55925925925927</v>
      </c>
      <c r="R184" s="114">
        <v>0</v>
      </c>
      <c r="S184" s="59">
        <f t="shared" si="37"/>
        <v>1.55925925925927</v>
      </c>
      <c r="T184" s="10">
        <f t="shared" si="38"/>
        <v>1.55925925925927</v>
      </c>
      <c r="U184" s="55">
        <f t="shared" si="34"/>
        <v>1.0374222222222225</v>
      </c>
    </row>
    <row r="185" spans="8:21" x14ac:dyDescent="0.25">
      <c r="H185">
        <v>8</v>
      </c>
      <c r="I185" s="76" t="s">
        <v>162</v>
      </c>
      <c r="J185" s="174" t="s">
        <v>89</v>
      </c>
      <c r="K185" s="174"/>
      <c r="M185" s="62">
        <v>1</v>
      </c>
      <c r="N185" s="60">
        <v>22</v>
      </c>
      <c r="O185" s="8" t="s">
        <v>14</v>
      </c>
      <c r="P185" s="9">
        <f t="shared" si="35"/>
        <v>-3.2407407407407402E-3</v>
      </c>
      <c r="Q185" s="9">
        <f t="shared" si="36"/>
        <v>1.5560185185185293</v>
      </c>
      <c r="R185" s="114">
        <v>0</v>
      </c>
      <c r="S185" s="59">
        <f t="shared" si="37"/>
        <v>1.5560185185185293</v>
      </c>
      <c r="T185" s="10">
        <f t="shared" si="38"/>
        <v>1.5560185185185293</v>
      </c>
      <c r="U185" s="55">
        <f t="shared" si="34"/>
        <v>1.0373444444444446</v>
      </c>
    </row>
    <row r="186" spans="8:21" x14ac:dyDescent="0.25">
      <c r="H186">
        <v>8</v>
      </c>
      <c r="I186" s="76" t="s">
        <v>163</v>
      </c>
      <c r="J186" s="174" t="s">
        <v>89</v>
      </c>
      <c r="K186" s="174"/>
      <c r="M186" s="62">
        <v>1</v>
      </c>
      <c r="N186" s="60">
        <v>21</v>
      </c>
      <c r="O186" s="8" t="s">
        <v>14</v>
      </c>
      <c r="P186" s="9">
        <f t="shared" si="35"/>
        <v>-3.2407407407407402E-3</v>
      </c>
      <c r="Q186" s="9">
        <f t="shared" si="36"/>
        <v>1.5527777777777887</v>
      </c>
      <c r="R186" s="114">
        <v>0</v>
      </c>
      <c r="S186" s="59">
        <f t="shared" si="37"/>
        <v>1.5527777777777887</v>
      </c>
      <c r="T186" s="10">
        <f t="shared" si="38"/>
        <v>1.5527777777777887</v>
      </c>
      <c r="U186" s="55">
        <f t="shared" si="34"/>
        <v>1.037266666666667</v>
      </c>
    </row>
    <row r="187" spans="8:21" x14ac:dyDescent="0.25">
      <c r="H187">
        <v>9</v>
      </c>
      <c r="I187" s="76" t="s">
        <v>105</v>
      </c>
      <c r="J187" s="174" t="s">
        <v>89</v>
      </c>
      <c r="K187" s="174"/>
      <c r="M187" s="62">
        <v>1</v>
      </c>
      <c r="N187" s="60">
        <v>20</v>
      </c>
      <c r="O187" s="8" t="s">
        <v>14</v>
      </c>
      <c r="P187" s="9">
        <f t="shared" si="35"/>
        <v>-3.2407407407407402E-3</v>
      </c>
      <c r="Q187" s="9">
        <f t="shared" si="36"/>
        <v>1.549537037037048</v>
      </c>
      <c r="R187" s="114">
        <v>0</v>
      </c>
      <c r="S187" s="59">
        <f t="shared" si="37"/>
        <v>1.549537037037048</v>
      </c>
      <c r="T187" s="10">
        <f t="shared" si="38"/>
        <v>1.549537037037048</v>
      </c>
      <c r="U187" s="55">
        <f t="shared" si="34"/>
        <v>1.0371888888888892</v>
      </c>
    </row>
    <row r="188" spans="8:21" x14ac:dyDescent="0.25">
      <c r="H188">
        <v>11</v>
      </c>
      <c r="I188" s="76" t="s">
        <v>104</v>
      </c>
      <c r="J188" s="174" t="s">
        <v>89</v>
      </c>
      <c r="K188" s="174"/>
      <c r="M188" s="62">
        <v>1</v>
      </c>
      <c r="N188" s="60">
        <v>19</v>
      </c>
      <c r="O188" s="8" t="s">
        <v>14</v>
      </c>
      <c r="P188" s="9">
        <f t="shared" si="35"/>
        <v>-3.2407407407407402E-3</v>
      </c>
      <c r="Q188" s="9">
        <f t="shared" si="36"/>
        <v>1.5462962962963074</v>
      </c>
      <c r="R188" s="114">
        <v>0</v>
      </c>
      <c r="S188" s="59">
        <f t="shared" si="37"/>
        <v>1.5462962962963074</v>
      </c>
      <c r="T188" s="10">
        <f t="shared" si="38"/>
        <v>1.5462962962963074</v>
      </c>
      <c r="U188" s="55">
        <f t="shared" si="34"/>
        <v>1.0371111111111113</v>
      </c>
    </row>
    <row r="189" spans="8:21" x14ac:dyDescent="0.25">
      <c r="H189">
        <v>11</v>
      </c>
      <c r="I189" s="76" t="s">
        <v>106</v>
      </c>
      <c r="J189" s="174" t="s">
        <v>89</v>
      </c>
      <c r="K189" s="174"/>
      <c r="M189" s="62">
        <v>1</v>
      </c>
      <c r="N189" s="60">
        <v>18</v>
      </c>
      <c r="O189" s="8" t="s">
        <v>14</v>
      </c>
      <c r="P189" s="9">
        <f t="shared" si="35"/>
        <v>-3.2407407407407402E-3</v>
      </c>
      <c r="Q189" s="9">
        <f t="shared" si="36"/>
        <v>1.5430555555555667</v>
      </c>
      <c r="R189" s="114">
        <v>0</v>
      </c>
      <c r="S189" s="59">
        <f t="shared" si="37"/>
        <v>1.5430555555555667</v>
      </c>
      <c r="T189" s="10">
        <f t="shared" si="38"/>
        <v>1.5430555555555667</v>
      </c>
      <c r="U189" s="55">
        <f t="shared" si="34"/>
        <v>1.0370333333333337</v>
      </c>
    </row>
    <row r="190" spans="8:21" x14ac:dyDescent="0.25">
      <c r="H190">
        <v>11</v>
      </c>
      <c r="I190" s="76" t="s">
        <v>107</v>
      </c>
      <c r="J190" s="174" t="s">
        <v>89</v>
      </c>
      <c r="K190" s="174"/>
      <c r="M190" s="62">
        <v>1</v>
      </c>
      <c r="N190" s="60">
        <v>17</v>
      </c>
      <c r="O190" s="8" t="s">
        <v>14</v>
      </c>
      <c r="P190" s="9">
        <f t="shared" si="35"/>
        <v>-3.2407407407407402E-3</v>
      </c>
      <c r="Q190" s="9">
        <f t="shared" si="36"/>
        <v>1.5398148148148261</v>
      </c>
      <c r="R190" s="114">
        <v>0</v>
      </c>
      <c r="S190" s="59">
        <f t="shared" si="37"/>
        <v>1.5398148148148261</v>
      </c>
      <c r="T190" s="10">
        <f t="shared" si="38"/>
        <v>1.5398148148148261</v>
      </c>
      <c r="U190" s="55">
        <f t="shared" si="34"/>
        <v>1.0369555555555559</v>
      </c>
    </row>
    <row r="191" spans="8:21" x14ac:dyDescent="0.25">
      <c r="H191">
        <v>11</v>
      </c>
      <c r="I191" s="76" t="s">
        <v>108</v>
      </c>
      <c r="J191" s="174" t="s">
        <v>89</v>
      </c>
      <c r="K191" s="174"/>
      <c r="M191" s="62">
        <v>1</v>
      </c>
      <c r="N191" s="60">
        <v>16</v>
      </c>
      <c r="O191" s="8" t="s">
        <v>14</v>
      </c>
      <c r="P191" s="9">
        <f t="shared" si="35"/>
        <v>-3.2407407407407402E-3</v>
      </c>
      <c r="Q191" s="9">
        <f t="shared" si="36"/>
        <v>1.5365740740740854</v>
      </c>
      <c r="R191" s="114">
        <v>0</v>
      </c>
      <c r="S191" s="59">
        <f t="shared" si="37"/>
        <v>1.5365740740740854</v>
      </c>
      <c r="T191" s="10">
        <f t="shared" si="38"/>
        <v>1.5365740740740854</v>
      </c>
      <c r="U191" s="55">
        <f t="shared" si="34"/>
        <v>1.036877777777778</v>
      </c>
    </row>
    <row r="192" spans="8:21" x14ac:dyDescent="0.25">
      <c r="H192">
        <v>11</v>
      </c>
      <c r="I192" s="76" t="s">
        <v>109</v>
      </c>
      <c r="J192" s="174" t="s">
        <v>89</v>
      </c>
      <c r="K192" s="174"/>
      <c r="M192" s="62">
        <v>1</v>
      </c>
      <c r="N192" s="60">
        <v>15</v>
      </c>
      <c r="O192" s="8" t="s">
        <v>14</v>
      </c>
      <c r="P192" s="9">
        <f t="shared" si="35"/>
        <v>-3.2407407407407402E-3</v>
      </c>
      <c r="Q192" s="9">
        <f t="shared" si="36"/>
        <v>1.5333333333333448</v>
      </c>
      <c r="R192" s="114">
        <v>0</v>
      </c>
      <c r="S192" s="59">
        <f t="shared" si="37"/>
        <v>1.5333333333333448</v>
      </c>
      <c r="T192" s="10">
        <f t="shared" si="38"/>
        <v>1.5333333333333448</v>
      </c>
      <c r="U192" s="55">
        <f t="shared" si="34"/>
        <v>1.0368000000000002</v>
      </c>
    </row>
    <row r="193" spans="8:21" x14ac:dyDescent="0.25">
      <c r="H193">
        <v>11</v>
      </c>
      <c r="I193" s="76" t="s">
        <v>110</v>
      </c>
      <c r="J193" s="174" t="s">
        <v>89</v>
      </c>
      <c r="K193" s="174"/>
      <c r="M193" s="62">
        <v>1</v>
      </c>
      <c r="N193" s="60">
        <v>14</v>
      </c>
      <c r="O193" s="8" t="s">
        <v>14</v>
      </c>
      <c r="P193" s="9">
        <f t="shared" si="35"/>
        <v>-3.2407407407407402E-3</v>
      </c>
      <c r="Q193" s="9">
        <f t="shared" si="36"/>
        <v>1.5300925925926041</v>
      </c>
      <c r="R193" s="114">
        <v>0</v>
      </c>
      <c r="S193" s="59">
        <f t="shared" si="37"/>
        <v>1.5300925925926041</v>
      </c>
      <c r="T193" s="10">
        <f t="shared" si="38"/>
        <v>1.5300925925926041</v>
      </c>
      <c r="U193" s="55">
        <f t="shared" si="34"/>
        <v>1.0367222222222225</v>
      </c>
    </row>
    <row r="194" spans="8:21" x14ac:dyDescent="0.25">
      <c r="H194">
        <v>11</v>
      </c>
      <c r="I194" s="76" t="s">
        <v>111</v>
      </c>
      <c r="J194" s="174" t="s">
        <v>89</v>
      </c>
      <c r="K194" s="174"/>
      <c r="M194" s="62">
        <v>1</v>
      </c>
      <c r="N194" s="60">
        <v>13</v>
      </c>
      <c r="O194" s="8" t="s">
        <v>14</v>
      </c>
      <c r="P194" s="9">
        <f t="shared" si="35"/>
        <v>-3.2407407407407402E-3</v>
      </c>
      <c r="Q194" s="9">
        <f t="shared" si="36"/>
        <v>1.5268518518518635</v>
      </c>
      <c r="R194" s="114">
        <v>0</v>
      </c>
      <c r="S194" s="59">
        <f t="shared" si="37"/>
        <v>1.5268518518518635</v>
      </c>
      <c r="T194" s="10">
        <f t="shared" si="38"/>
        <v>1.5268518518518635</v>
      </c>
      <c r="U194" s="55">
        <f t="shared" si="34"/>
        <v>1.0366444444444447</v>
      </c>
    </row>
    <row r="195" spans="8:21" x14ac:dyDescent="0.25">
      <c r="H195">
        <v>11</v>
      </c>
      <c r="I195" s="76" t="s">
        <v>112</v>
      </c>
      <c r="J195" s="174" t="s">
        <v>89</v>
      </c>
      <c r="K195" s="174"/>
      <c r="M195" s="62">
        <v>1</v>
      </c>
      <c r="N195" s="60">
        <v>12</v>
      </c>
      <c r="O195" s="8" t="s">
        <v>14</v>
      </c>
      <c r="P195" s="9">
        <f t="shared" si="35"/>
        <v>-3.2407407407407402E-3</v>
      </c>
      <c r="Q195" s="9">
        <f t="shared" si="36"/>
        <v>1.5236111111111228</v>
      </c>
      <c r="R195" s="114">
        <v>0</v>
      </c>
      <c r="S195" s="59">
        <f t="shared" si="37"/>
        <v>1.5236111111111228</v>
      </c>
      <c r="T195" s="10">
        <f t="shared" si="38"/>
        <v>1.5236111111111228</v>
      </c>
      <c r="U195" s="55">
        <f t="shared" si="34"/>
        <v>1.0365666666666669</v>
      </c>
    </row>
    <row r="196" spans="8:21" x14ac:dyDescent="0.25">
      <c r="H196">
        <v>11</v>
      </c>
      <c r="I196" s="76" t="s">
        <v>113</v>
      </c>
      <c r="J196" s="174" t="s">
        <v>89</v>
      </c>
      <c r="K196" s="174"/>
      <c r="M196" s="62">
        <v>1</v>
      </c>
      <c r="N196" s="60">
        <v>11</v>
      </c>
      <c r="O196" s="8" t="s">
        <v>14</v>
      </c>
      <c r="P196" s="9">
        <f t="shared" si="35"/>
        <v>-3.2407407407407402E-3</v>
      </c>
      <c r="Q196" s="9">
        <f t="shared" si="36"/>
        <v>1.5203703703703821</v>
      </c>
      <c r="R196" s="114">
        <v>0</v>
      </c>
      <c r="S196" s="59">
        <f t="shared" si="37"/>
        <v>1.5203703703703821</v>
      </c>
      <c r="T196" s="10">
        <f t="shared" si="38"/>
        <v>1.5203703703703821</v>
      </c>
      <c r="U196" s="55">
        <f t="shared" si="34"/>
        <v>1.0364888888888892</v>
      </c>
    </row>
    <row r="197" spans="8:21" x14ac:dyDescent="0.25">
      <c r="H197">
        <v>11</v>
      </c>
      <c r="I197" s="76" t="s">
        <v>114</v>
      </c>
      <c r="J197" s="174" t="s">
        <v>89</v>
      </c>
      <c r="K197" s="174"/>
      <c r="M197" s="62">
        <v>1</v>
      </c>
      <c r="N197" s="60">
        <v>10</v>
      </c>
      <c r="O197" s="8" t="s">
        <v>14</v>
      </c>
      <c r="P197" s="9">
        <f t="shared" si="35"/>
        <v>-3.2407407407407402E-3</v>
      </c>
      <c r="Q197" s="9">
        <f t="shared" si="36"/>
        <v>1.5171296296296415</v>
      </c>
      <c r="R197" s="114">
        <v>0</v>
      </c>
      <c r="S197" s="59">
        <f t="shared" si="37"/>
        <v>1.5171296296296415</v>
      </c>
      <c r="T197" s="10">
        <f t="shared" si="38"/>
        <v>1.5171296296296415</v>
      </c>
      <c r="U197" s="55">
        <f t="shared" si="34"/>
        <v>1.0364111111111114</v>
      </c>
    </row>
    <row r="198" spans="8:21" x14ac:dyDescent="0.25">
      <c r="H198">
        <v>11</v>
      </c>
      <c r="I198" s="76" t="s">
        <v>115</v>
      </c>
      <c r="J198" s="174" t="s">
        <v>89</v>
      </c>
      <c r="K198" s="174"/>
      <c r="M198" s="62">
        <v>1</v>
      </c>
      <c r="N198" s="60">
        <v>9</v>
      </c>
      <c r="O198" s="8" t="s">
        <v>14</v>
      </c>
      <c r="P198" s="9">
        <f t="shared" si="35"/>
        <v>-3.2407407407407402E-3</v>
      </c>
      <c r="Q198" s="9">
        <f t="shared" si="36"/>
        <v>1.5138888888889008</v>
      </c>
      <c r="R198" s="114">
        <v>0</v>
      </c>
      <c r="S198" s="59">
        <f t="shared" si="37"/>
        <v>1.5138888888889008</v>
      </c>
      <c r="T198" s="10">
        <f t="shared" si="38"/>
        <v>1.5138888888889008</v>
      </c>
      <c r="U198" s="55">
        <f t="shared" ref="U198:U265" si="41">1+(T198/$J$6)/100</f>
        <v>1.0363333333333336</v>
      </c>
    </row>
    <row r="199" spans="8:21" x14ac:dyDescent="0.25">
      <c r="H199">
        <v>11</v>
      </c>
      <c r="I199" s="76" t="s">
        <v>116</v>
      </c>
      <c r="J199" s="174" t="s">
        <v>89</v>
      </c>
      <c r="K199" s="174"/>
      <c r="M199" s="62">
        <v>1</v>
      </c>
      <c r="N199" s="60">
        <v>8</v>
      </c>
      <c r="O199" s="8" t="s">
        <v>14</v>
      </c>
      <c r="P199" s="9">
        <f t="shared" si="35"/>
        <v>-3.2407407407407402E-3</v>
      </c>
      <c r="Q199" s="9">
        <f t="shared" si="36"/>
        <v>1.5106481481481602</v>
      </c>
      <c r="R199" s="114">
        <v>0</v>
      </c>
      <c r="S199" s="59">
        <f t="shared" si="37"/>
        <v>1.5106481481481602</v>
      </c>
      <c r="T199" s="10">
        <f t="shared" si="38"/>
        <v>1.5106481481481602</v>
      </c>
      <c r="U199" s="55">
        <f t="shared" si="41"/>
        <v>1.0362555555555559</v>
      </c>
    </row>
    <row r="200" spans="8:21" x14ac:dyDescent="0.25">
      <c r="H200">
        <v>11</v>
      </c>
      <c r="I200" s="76" t="s">
        <v>117</v>
      </c>
      <c r="J200" s="174" t="s">
        <v>89</v>
      </c>
      <c r="K200" s="174"/>
      <c r="M200" s="62">
        <v>1</v>
      </c>
      <c r="N200" s="60">
        <v>7</v>
      </c>
      <c r="O200" s="8" t="s">
        <v>14</v>
      </c>
      <c r="P200" s="9">
        <f t="shared" si="35"/>
        <v>-3.2407407407407402E-3</v>
      </c>
      <c r="Q200" s="9">
        <f t="shared" si="36"/>
        <v>1.5074074074074195</v>
      </c>
      <c r="R200" s="114">
        <v>0</v>
      </c>
      <c r="S200" s="59">
        <f t="shared" si="37"/>
        <v>1.5074074074074195</v>
      </c>
      <c r="T200" s="10">
        <f t="shared" si="38"/>
        <v>1.5074074074074195</v>
      </c>
      <c r="U200" s="55">
        <f t="shared" si="41"/>
        <v>1.0361777777777781</v>
      </c>
    </row>
    <row r="201" spans="8:21" x14ac:dyDescent="0.25">
      <c r="H201">
        <v>11</v>
      </c>
      <c r="I201" s="76" t="s">
        <v>118</v>
      </c>
      <c r="J201" s="174" t="s">
        <v>89</v>
      </c>
      <c r="K201" s="174"/>
      <c r="M201" s="62">
        <v>1</v>
      </c>
      <c r="N201" s="60">
        <v>6</v>
      </c>
      <c r="O201" s="8" t="s">
        <v>14</v>
      </c>
      <c r="P201" s="9">
        <f t="shared" si="35"/>
        <v>-3.2407407407407402E-3</v>
      </c>
      <c r="Q201" s="9">
        <f t="shared" si="36"/>
        <v>1.5041666666666789</v>
      </c>
      <c r="R201" s="114">
        <v>0</v>
      </c>
      <c r="S201" s="59">
        <f t="shared" si="37"/>
        <v>1.5041666666666789</v>
      </c>
      <c r="T201" s="10">
        <f t="shared" si="38"/>
        <v>1.5041666666666789</v>
      </c>
      <c r="U201" s="55">
        <f t="shared" si="41"/>
        <v>1.0361000000000002</v>
      </c>
    </row>
    <row r="202" spans="8:21" x14ac:dyDescent="0.25">
      <c r="H202">
        <v>11</v>
      </c>
      <c r="I202" s="76" t="s">
        <v>119</v>
      </c>
      <c r="J202" s="174" t="s">
        <v>89</v>
      </c>
      <c r="K202" s="174"/>
      <c r="M202" s="62">
        <v>1</v>
      </c>
      <c r="N202" s="60">
        <v>5</v>
      </c>
      <c r="O202" s="8" t="s">
        <v>14</v>
      </c>
      <c r="P202" s="9">
        <f t="shared" si="35"/>
        <v>-3.2407407407407402E-3</v>
      </c>
      <c r="Q202" s="9">
        <f t="shared" si="36"/>
        <v>1.5009259259259382</v>
      </c>
      <c r="R202" s="114">
        <v>0</v>
      </c>
      <c r="S202" s="59">
        <f t="shared" si="37"/>
        <v>1.5009259259259382</v>
      </c>
      <c r="T202" s="10">
        <f t="shared" si="38"/>
        <v>1.5009259259259382</v>
      </c>
      <c r="U202" s="55">
        <f t="shared" si="41"/>
        <v>1.0360222222222226</v>
      </c>
    </row>
    <row r="203" spans="8:21" x14ac:dyDescent="0.25">
      <c r="H203">
        <v>11</v>
      </c>
      <c r="I203" s="76" t="s">
        <v>120</v>
      </c>
      <c r="J203" s="174" t="s">
        <v>89</v>
      </c>
      <c r="K203" s="174"/>
      <c r="M203" s="62">
        <v>1</v>
      </c>
      <c r="N203" s="60">
        <v>4</v>
      </c>
      <c r="O203" s="8" t="s">
        <v>14</v>
      </c>
      <c r="P203" s="9">
        <f t="shared" si="35"/>
        <v>-3.2407407407407402E-3</v>
      </c>
      <c r="Q203" s="9">
        <f t="shared" si="36"/>
        <v>1.4976851851851976</v>
      </c>
      <c r="R203" s="114">
        <v>0</v>
      </c>
      <c r="S203" s="59">
        <f t="shared" si="37"/>
        <v>1.4976851851851976</v>
      </c>
      <c r="T203" s="10">
        <f t="shared" si="38"/>
        <v>1.4976851851851976</v>
      </c>
      <c r="U203" s="55">
        <f t="shared" si="41"/>
        <v>1.0359444444444448</v>
      </c>
    </row>
    <row r="204" spans="8:21" x14ac:dyDescent="0.25">
      <c r="H204">
        <v>11</v>
      </c>
      <c r="I204" s="76" t="s">
        <v>121</v>
      </c>
      <c r="J204" s="174" t="s">
        <v>89</v>
      </c>
      <c r="K204" s="174"/>
      <c r="M204" s="62">
        <v>1</v>
      </c>
      <c r="N204" s="60">
        <v>3</v>
      </c>
      <c r="O204" s="8" t="s">
        <v>14</v>
      </c>
      <c r="P204" s="9">
        <f t="shared" ref="P204:P271" si="42">IF(O204="Jalan",IF(T203&gt;=$J$6,IF(T203+(-$K$6*M204)&lt;$J$6,$J$6,-$K$6*M204),IF(T203&lt;=$J$6,IF(T203+(+$L$6*M204)&lt;$J$6,+$L$6*M204,$J$6))),IF(T203&gt;0,+$L$6*M204,-$L$6*M204))</f>
        <v>-3.2407407407407402E-3</v>
      </c>
      <c r="Q204" s="9">
        <f t="shared" ref="Q204:Q271" si="43">IF(P204=$J$6,$J$6,T203+P204)</f>
        <v>1.4944444444444569</v>
      </c>
      <c r="R204" s="114">
        <v>0</v>
      </c>
      <c r="S204" s="59">
        <f t="shared" ref="S204:S271" si="44">Q204+R204</f>
        <v>1.4944444444444569</v>
      </c>
      <c r="T204" s="10">
        <f t="shared" ref="T204:T271" si="45">S204</f>
        <v>1.4944444444444569</v>
      </c>
      <c r="U204" s="55">
        <f t="shared" si="41"/>
        <v>1.0358666666666669</v>
      </c>
    </row>
    <row r="205" spans="8:21" ht="15.75" thickBot="1" x14ac:dyDescent="0.3">
      <c r="H205">
        <v>11</v>
      </c>
      <c r="I205" s="76" t="s">
        <v>122</v>
      </c>
      <c r="J205" s="174" t="s">
        <v>89</v>
      </c>
      <c r="K205" s="174"/>
      <c r="M205" s="62">
        <v>1</v>
      </c>
      <c r="N205" s="60">
        <v>2</v>
      </c>
      <c r="O205" s="8" t="s">
        <v>14</v>
      </c>
      <c r="P205" s="9">
        <f t="shared" si="42"/>
        <v>-3.2407407407407402E-3</v>
      </c>
      <c r="Q205" s="9">
        <f t="shared" si="43"/>
        <v>1.4912037037037162</v>
      </c>
      <c r="R205" s="114">
        <v>0</v>
      </c>
      <c r="S205" s="59">
        <f t="shared" si="44"/>
        <v>1.4912037037037162</v>
      </c>
      <c r="T205" s="10">
        <f t="shared" si="45"/>
        <v>1.4912037037037162</v>
      </c>
      <c r="U205" s="55">
        <f t="shared" si="41"/>
        <v>1.0357888888888891</v>
      </c>
    </row>
    <row r="206" spans="8:21" ht="15.75" thickBot="1" x14ac:dyDescent="0.3">
      <c r="H206">
        <v>11</v>
      </c>
      <c r="I206" s="76" t="s">
        <v>123</v>
      </c>
      <c r="J206" s="175" t="s">
        <v>89</v>
      </c>
      <c r="K206" s="176"/>
      <c r="L206" s="75" t="s">
        <v>75</v>
      </c>
      <c r="M206" s="60">
        <v>1</v>
      </c>
      <c r="N206" s="60">
        <v>1</v>
      </c>
      <c r="O206" s="8" t="s">
        <v>14</v>
      </c>
      <c r="P206" s="9">
        <f t="shared" si="42"/>
        <v>-3.2407407407407402E-3</v>
      </c>
      <c r="Q206" s="9">
        <f t="shared" si="43"/>
        <v>1.4879629629629756</v>
      </c>
      <c r="R206" s="115">
        <v>0.3</v>
      </c>
      <c r="S206" s="59">
        <f t="shared" si="44"/>
        <v>1.7879629629629756</v>
      </c>
      <c r="T206" s="10">
        <f t="shared" si="45"/>
        <v>1.7879629629629756</v>
      </c>
      <c r="U206" s="55">
        <f t="shared" si="41"/>
        <v>1.0429111111111113</v>
      </c>
    </row>
    <row r="207" spans="8:21" ht="15.75" thickBot="1" x14ac:dyDescent="0.3">
      <c r="H207">
        <v>11</v>
      </c>
      <c r="I207" s="76" t="s">
        <v>124</v>
      </c>
      <c r="J207" s="177" t="s">
        <v>97</v>
      </c>
      <c r="K207" s="178"/>
      <c r="L207" s="64" t="s">
        <v>76</v>
      </c>
      <c r="M207" s="62">
        <v>1</v>
      </c>
      <c r="N207" s="62">
        <v>1</v>
      </c>
      <c r="O207" s="8" t="s">
        <v>14</v>
      </c>
      <c r="P207" s="9">
        <f t="shared" si="42"/>
        <v>-3.2407407407407402E-3</v>
      </c>
      <c r="Q207" s="9">
        <f t="shared" si="43"/>
        <v>1.784722222222235</v>
      </c>
      <c r="R207" s="114">
        <v>0</v>
      </c>
      <c r="S207" s="59">
        <f t="shared" si="44"/>
        <v>1.784722222222235</v>
      </c>
      <c r="T207" s="10">
        <f t="shared" si="45"/>
        <v>1.784722222222235</v>
      </c>
      <c r="U207" s="55">
        <f t="shared" si="41"/>
        <v>1.0428333333333337</v>
      </c>
    </row>
    <row r="208" spans="8:21" ht="15.75" thickBot="1" x14ac:dyDescent="0.3">
      <c r="H208">
        <v>11</v>
      </c>
      <c r="I208" s="76" t="s">
        <v>125</v>
      </c>
      <c r="J208" s="179" t="s">
        <v>98</v>
      </c>
      <c r="K208" s="180"/>
      <c r="L208" s="63" t="s">
        <v>74</v>
      </c>
      <c r="M208" s="68">
        <v>1</v>
      </c>
      <c r="N208" s="68">
        <v>1</v>
      </c>
      <c r="O208" s="8" t="s">
        <v>14</v>
      </c>
      <c r="P208" s="9">
        <f t="shared" si="42"/>
        <v>-3.2407407407407402E-3</v>
      </c>
      <c r="Q208" s="9">
        <f t="shared" si="43"/>
        <v>1.7814814814814943</v>
      </c>
      <c r="R208" s="114">
        <v>0</v>
      </c>
      <c r="S208" s="59">
        <f t="shared" si="44"/>
        <v>1.7814814814814943</v>
      </c>
      <c r="T208" s="10">
        <f t="shared" si="45"/>
        <v>1.7814814814814943</v>
      </c>
      <c r="U208" s="55">
        <f t="shared" si="41"/>
        <v>1.0427555555555559</v>
      </c>
    </row>
    <row r="209" spans="8:21" ht="15.75" thickBot="1" x14ac:dyDescent="0.3">
      <c r="H209">
        <v>11</v>
      </c>
      <c r="I209" s="76" t="s">
        <v>126</v>
      </c>
      <c r="J209" s="179" t="s">
        <v>98</v>
      </c>
      <c r="K209" s="180"/>
      <c r="L209" s="63" t="s">
        <v>75</v>
      </c>
      <c r="M209" s="68">
        <v>1</v>
      </c>
      <c r="N209" s="68">
        <v>0</v>
      </c>
      <c r="O209" s="8" t="s">
        <v>14</v>
      </c>
      <c r="P209" s="9">
        <f t="shared" si="42"/>
        <v>-3.2407407407407402E-3</v>
      </c>
      <c r="Q209" s="9">
        <f t="shared" si="43"/>
        <v>1.7782407407407537</v>
      </c>
      <c r="R209" s="114">
        <v>0</v>
      </c>
      <c r="S209" s="59">
        <f t="shared" si="44"/>
        <v>1.7782407407407537</v>
      </c>
      <c r="T209" s="10">
        <f t="shared" si="45"/>
        <v>1.7782407407407537</v>
      </c>
      <c r="U209" s="55">
        <f t="shared" si="41"/>
        <v>1.042677777777778</v>
      </c>
    </row>
    <row r="210" spans="8:21" ht="15.75" thickBot="1" x14ac:dyDescent="0.3">
      <c r="H210">
        <v>11</v>
      </c>
      <c r="I210" s="76" t="s">
        <v>127</v>
      </c>
      <c r="J210" s="181" t="s">
        <v>97</v>
      </c>
      <c r="K210" s="182"/>
      <c r="L210" s="96" t="s">
        <v>74</v>
      </c>
      <c r="M210" s="97">
        <v>1</v>
      </c>
      <c r="N210" s="60">
        <v>30</v>
      </c>
      <c r="O210" s="8" t="s">
        <v>14</v>
      </c>
      <c r="P210" s="9">
        <f t="shared" si="42"/>
        <v>-3.2407407407407402E-3</v>
      </c>
      <c r="Q210" s="9">
        <f t="shared" si="43"/>
        <v>1.775000000000013</v>
      </c>
      <c r="R210" s="116">
        <v>0</v>
      </c>
      <c r="S210" s="59">
        <f t="shared" si="44"/>
        <v>1.775000000000013</v>
      </c>
      <c r="T210" s="10">
        <f t="shared" si="45"/>
        <v>1.775000000000013</v>
      </c>
      <c r="U210" s="55">
        <f t="shared" si="41"/>
        <v>1.0426000000000004</v>
      </c>
    </row>
    <row r="211" spans="8:21" ht="15.75" thickBot="1" x14ac:dyDescent="0.3">
      <c r="H211">
        <v>11</v>
      </c>
      <c r="I211" s="76" t="s">
        <v>128</v>
      </c>
      <c r="J211" s="177" t="s">
        <v>21</v>
      </c>
      <c r="K211" s="178"/>
      <c r="L211" s="64" t="s">
        <v>76</v>
      </c>
      <c r="M211" s="62">
        <v>1</v>
      </c>
      <c r="N211" s="62">
        <v>1</v>
      </c>
      <c r="O211" s="8" t="s">
        <v>14</v>
      </c>
      <c r="P211" s="9">
        <f t="shared" ref="P211:P213" si="46">IF(O211="Jalan",IF(T210&gt;=$J$6,IF(T210+(-$K$6*M211)&lt;$J$6,$J$6,-$K$6*M211),IF(T210&lt;=$J$6,IF(T210+(+$L$6*M211)&lt;$J$6,+$L$6*M211,$J$6))),IF(T210&gt;0,+$L$6*M211,-$L$6*M211))</f>
        <v>-3.2407407407407402E-3</v>
      </c>
      <c r="Q211" s="9">
        <f t="shared" ref="Q211:Q213" si="47">IF(P211=$J$6,$J$6,T210+P211)</f>
        <v>1.7717592592592724</v>
      </c>
      <c r="R211" s="114">
        <v>0</v>
      </c>
      <c r="S211" s="59">
        <f t="shared" ref="S211:S213" si="48">Q211+R211</f>
        <v>1.7717592592592724</v>
      </c>
      <c r="T211" s="10">
        <f t="shared" si="45"/>
        <v>1.7717592592592724</v>
      </c>
      <c r="U211" s="55">
        <f t="shared" si="41"/>
        <v>1.0425222222222226</v>
      </c>
    </row>
    <row r="212" spans="8:21" s="16" customFormat="1" ht="15.75" thickBot="1" x14ac:dyDescent="0.3">
      <c r="H212" s="16">
        <v>11</v>
      </c>
      <c r="I212" s="104" t="s">
        <v>129</v>
      </c>
      <c r="J212" s="179" t="s">
        <v>190</v>
      </c>
      <c r="K212" s="180"/>
      <c r="L212" s="63" t="s">
        <v>74</v>
      </c>
      <c r="M212" s="68">
        <v>1</v>
      </c>
      <c r="N212" s="68">
        <v>1</v>
      </c>
      <c r="O212" s="8" t="s">
        <v>14</v>
      </c>
      <c r="P212" s="9">
        <f t="shared" si="46"/>
        <v>-3.2407407407407402E-3</v>
      </c>
      <c r="Q212" s="9">
        <f t="shared" si="47"/>
        <v>1.7685185185185317</v>
      </c>
      <c r="R212" s="114">
        <v>0</v>
      </c>
      <c r="S212" s="59">
        <f t="shared" si="48"/>
        <v>1.7685185185185317</v>
      </c>
      <c r="T212" s="10">
        <f t="shared" si="45"/>
        <v>1.7685185185185317</v>
      </c>
      <c r="U212" s="55">
        <f t="shared" si="41"/>
        <v>1.0424444444444447</v>
      </c>
    </row>
    <row r="213" spans="8:21" ht="15.75" thickBot="1" x14ac:dyDescent="0.3">
      <c r="H213">
        <v>11</v>
      </c>
      <c r="I213" s="76" t="s">
        <v>130</v>
      </c>
      <c r="J213" s="179" t="s">
        <v>190</v>
      </c>
      <c r="K213" s="180"/>
      <c r="L213" s="63" t="s">
        <v>75</v>
      </c>
      <c r="M213" s="68">
        <v>1</v>
      </c>
      <c r="N213" s="68">
        <v>0</v>
      </c>
      <c r="O213" s="8" t="s">
        <v>14</v>
      </c>
      <c r="P213" s="9">
        <f t="shared" si="46"/>
        <v>-3.2407407407407402E-3</v>
      </c>
      <c r="Q213" s="9">
        <f t="shared" si="47"/>
        <v>1.765277777777791</v>
      </c>
      <c r="R213" s="114">
        <v>0</v>
      </c>
      <c r="S213" s="59">
        <f t="shared" si="48"/>
        <v>1.765277777777791</v>
      </c>
      <c r="T213" s="10">
        <f t="shared" si="45"/>
        <v>1.765277777777791</v>
      </c>
      <c r="U213" s="55">
        <f t="shared" si="41"/>
        <v>1.0423666666666669</v>
      </c>
    </row>
    <row r="214" spans="8:21" ht="15.75" thickBot="1" x14ac:dyDescent="0.3">
      <c r="H214">
        <v>11</v>
      </c>
      <c r="I214" s="76" t="s">
        <v>131</v>
      </c>
      <c r="J214" s="212" t="s">
        <v>21</v>
      </c>
      <c r="K214" s="213"/>
      <c r="L214" s="53" t="s">
        <v>74</v>
      </c>
      <c r="M214" s="60">
        <v>1</v>
      </c>
      <c r="N214" s="60">
        <v>1</v>
      </c>
      <c r="O214" s="77" t="s">
        <v>70</v>
      </c>
      <c r="P214" s="9">
        <f t="shared" ref="P214" si="49">IF(O214="Jalan",IF(T213&gt;=$J$6,IF(T213+(-$K$6*M214)&lt;$J$6,$J$6,-$K$6*M214),IF(T213&lt;=$J$6,IF(T213+(+$L$6*M214)&lt;$J$6,+$L$6*M214,$J$6))),IF(T213&gt;0,+$L$6*M214,-$L$6*M214))</f>
        <v>1.6203703703703701E-3</v>
      </c>
      <c r="Q214" s="9">
        <f t="shared" ref="Q214" si="50">IF(P214=$J$6,$J$6,T213+P214)</f>
        <v>1.7668981481481614</v>
      </c>
      <c r="R214" s="115">
        <v>-1</v>
      </c>
      <c r="S214" s="59">
        <f t="shared" ref="S214" si="51">Q214+R214</f>
        <v>0.76689814814816137</v>
      </c>
      <c r="T214" s="10">
        <f t="shared" si="45"/>
        <v>0.76689814814816137</v>
      </c>
      <c r="U214" s="55">
        <f t="shared" si="41"/>
        <v>1.0184055555555558</v>
      </c>
    </row>
    <row r="215" spans="8:21" ht="15.75" thickBot="1" x14ac:dyDescent="0.3">
      <c r="H215">
        <v>11</v>
      </c>
      <c r="I215" s="76" t="s">
        <v>132</v>
      </c>
      <c r="J215" s="177" t="s">
        <v>84</v>
      </c>
      <c r="K215" s="178"/>
      <c r="L215" s="64" t="s">
        <v>76</v>
      </c>
      <c r="M215" s="62">
        <v>1</v>
      </c>
      <c r="N215" s="62">
        <v>1</v>
      </c>
      <c r="O215" s="8" t="s">
        <v>14</v>
      </c>
      <c r="P215" s="9">
        <f t="shared" ref="P215" si="52">IF(O215="Jalan",IF(T214&gt;=$J$6,IF(T214+(-$K$6*M215)&lt;$J$6,$J$6,-$K$6*M215),IF(T214&lt;=$J$6,IF(T214+(+$L$6*M215)&lt;$J$6,+$L$6*M215,$J$6))),IF(T214&gt;0,+$L$6*M215,-$L$6*M215))</f>
        <v>-3.2407407407407402E-3</v>
      </c>
      <c r="Q215" s="9">
        <f t="shared" ref="Q215" si="53">IF(P215=$J$6,$J$6,T214+P215)</f>
        <v>0.76365740740742061</v>
      </c>
      <c r="R215" s="114">
        <v>0</v>
      </c>
      <c r="S215" s="59">
        <f t="shared" si="44"/>
        <v>0.76365740740742061</v>
      </c>
      <c r="T215" s="10">
        <f t="shared" si="45"/>
        <v>0.76365740740742061</v>
      </c>
      <c r="U215" s="55">
        <f t="shared" si="41"/>
        <v>1.0183277777777782</v>
      </c>
    </row>
    <row r="216" spans="8:21" ht="15.75" thickBot="1" x14ac:dyDescent="0.3">
      <c r="H216">
        <v>11</v>
      </c>
      <c r="I216" s="76" t="s">
        <v>133</v>
      </c>
      <c r="J216" s="179" t="s">
        <v>93</v>
      </c>
      <c r="K216" s="180"/>
      <c r="L216" s="63" t="s">
        <v>74</v>
      </c>
      <c r="M216" s="68">
        <v>1</v>
      </c>
      <c r="N216" s="68">
        <v>1</v>
      </c>
      <c r="O216" s="8" t="s">
        <v>14</v>
      </c>
      <c r="P216" s="9">
        <f t="shared" si="42"/>
        <v>-3.2407407407407402E-3</v>
      </c>
      <c r="Q216" s="9">
        <f t="shared" si="43"/>
        <v>0.76041666666667984</v>
      </c>
      <c r="R216" s="114">
        <v>0</v>
      </c>
      <c r="S216" s="59">
        <f t="shared" si="44"/>
        <v>0.76041666666667984</v>
      </c>
      <c r="T216" s="10">
        <f t="shared" si="45"/>
        <v>0.76041666666667984</v>
      </c>
      <c r="U216" s="55">
        <f t="shared" si="41"/>
        <v>1.0182500000000003</v>
      </c>
    </row>
    <row r="217" spans="8:21" ht="15.75" thickBot="1" x14ac:dyDescent="0.3">
      <c r="H217">
        <v>11</v>
      </c>
      <c r="I217" s="76" t="s">
        <v>134</v>
      </c>
      <c r="J217" s="179" t="s">
        <v>93</v>
      </c>
      <c r="K217" s="180"/>
      <c r="L217" s="63" t="s">
        <v>75</v>
      </c>
      <c r="M217" s="68">
        <v>1</v>
      </c>
      <c r="N217" s="68">
        <v>0</v>
      </c>
      <c r="O217" s="8" t="s">
        <v>14</v>
      </c>
      <c r="P217" s="9">
        <f t="shared" si="42"/>
        <v>-3.2407407407407402E-3</v>
      </c>
      <c r="Q217" s="9">
        <f t="shared" si="43"/>
        <v>0.75717592592593908</v>
      </c>
      <c r="R217" s="114">
        <v>0</v>
      </c>
      <c r="S217" s="59">
        <f t="shared" si="44"/>
        <v>0.75717592592593908</v>
      </c>
      <c r="T217" s="10">
        <f t="shared" si="45"/>
        <v>0.75717592592593908</v>
      </c>
      <c r="U217" s="55">
        <f t="shared" si="41"/>
        <v>1.0181722222222225</v>
      </c>
    </row>
    <row r="218" spans="8:21" ht="15.75" thickBot="1" x14ac:dyDescent="0.3">
      <c r="H218">
        <v>11</v>
      </c>
      <c r="I218" s="76" t="s">
        <v>135</v>
      </c>
      <c r="J218" s="195" t="s">
        <v>84</v>
      </c>
      <c r="K218" s="196"/>
      <c r="L218" s="74" t="s">
        <v>74</v>
      </c>
      <c r="M218" s="60">
        <v>1</v>
      </c>
      <c r="N218" s="60">
        <v>360</v>
      </c>
      <c r="O218" s="8" t="s">
        <v>14</v>
      </c>
      <c r="P218" s="9">
        <f t="shared" si="42"/>
        <v>-3.2407407407407402E-3</v>
      </c>
      <c r="Q218" s="9">
        <f t="shared" si="43"/>
        <v>0.75393518518519831</v>
      </c>
      <c r="R218" s="116">
        <v>0</v>
      </c>
      <c r="S218" s="59">
        <f t="shared" si="44"/>
        <v>0.75393518518519831</v>
      </c>
      <c r="T218" s="10">
        <f t="shared" si="45"/>
        <v>0.75393518518519831</v>
      </c>
      <c r="U218" s="55">
        <f t="shared" si="41"/>
        <v>1.0180944444444449</v>
      </c>
    </row>
    <row r="219" spans="8:21" x14ac:dyDescent="0.25">
      <c r="H219">
        <v>11</v>
      </c>
      <c r="I219" s="76" t="s">
        <v>136</v>
      </c>
      <c r="J219" s="174" t="s">
        <v>84</v>
      </c>
      <c r="K219" s="174"/>
      <c r="M219" s="62">
        <v>1</v>
      </c>
      <c r="N219" s="60">
        <v>359</v>
      </c>
      <c r="O219" s="8" t="s">
        <v>14</v>
      </c>
      <c r="P219" s="9">
        <f t="shared" si="42"/>
        <v>-3.2407407407407402E-3</v>
      </c>
      <c r="Q219" s="9">
        <f t="shared" si="43"/>
        <v>0.75069444444445754</v>
      </c>
      <c r="R219" s="114">
        <v>0</v>
      </c>
      <c r="S219" s="59">
        <f t="shared" si="44"/>
        <v>0.75069444444445754</v>
      </c>
      <c r="T219" s="10">
        <f t="shared" si="45"/>
        <v>0.75069444444445754</v>
      </c>
      <c r="U219" s="55">
        <f t="shared" si="41"/>
        <v>1.018016666666667</v>
      </c>
    </row>
    <row r="220" spans="8:21" x14ac:dyDescent="0.25">
      <c r="H220">
        <v>11</v>
      </c>
      <c r="I220" s="76" t="s">
        <v>137</v>
      </c>
      <c r="J220" s="174" t="s">
        <v>84</v>
      </c>
      <c r="K220" s="174"/>
      <c r="M220" s="62">
        <v>1</v>
      </c>
      <c r="N220" s="60">
        <v>358</v>
      </c>
      <c r="O220" s="8" t="s">
        <v>14</v>
      </c>
      <c r="P220" s="9">
        <f t="shared" si="42"/>
        <v>-3.2407407407407402E-3</v>
      </c>
      <c r="Q220" s="9">
        <f t="shared" si="43"/>
        <v>0.74745370370371678</v>
      </c>
      <c r="R220" s="114">
        <v>0</v>
      </c>
      <c r="S220" s="59">
        <f t="shared" si="44"/>
        <v>0.74745370370371678</v>
      </c>
      <c r="T220" s="10">
        <f t="shared" si="45"/>
        <v>0.74745370370371678</v>
      </c>
      <c r="U220" s="55">
        <f t="shared" si="41"/>
        <v>1.0179388888888892</v>
      </c>
    </row>
    <row r="221" spans="8:21" x14ac:dyDescent="0.25">
      <c r="H221">
        <v>11</v>
      </c>
      <c r="I221" s="76" t="s">
        <v>138</v>
      </c>
      <c r="J221" s="174" t="s">
        <v>84</v>
      </c>
      <c r="K221" s="174"/>
      <c r="M221" s="62">
        <v>1</v>
      </c>
      <c r="N221" s="60">
        <v>357</v>
      </c>
      <c r="O221" s="8" t="s">
        <v>14</v>
      </c>
      <c r="P221" s="9">
        <f t="shared" si="42"/>
        <v>-3.2407407407407402E-3</v>
      </c>
      <c r="Q221" s="9">
        <f t="shared" si="43"/>
        <v>0.74421296296297601</v>
      </c>
      <c r="R221" s="114">
        <v>0</v>
      </c>
      <c r="S221" s="59">
        <f t="shared" si="44"/>
        <v>0.74421296296297601</v>
      </c>
      <c r="T221" s="10">
        <f t="shared" si="45"/>
        <v>0.74421296296297601</v>
      </c>
      <c r="U221" s="55">
        <f t="shared" si="41"/>
        <v>1.0178611111111113</v>
      </c>
    </row>
    <row r="222" spans="8:21" x14ac:dyDescent="0.25">
      <c r="H222">
        <v>11</v>
      </c>
      <c r="I222" s="76" t="s">
        <v>139</v>
      </c>
      <c r="J222" s="174" t="s">
        <v>84</v>
      </c>
      <c r="K222" s="174"/>
      <c r="M222" s="62">
        <v>1</v>
      </c>
      <c r="N222" s="60">
        <v>356</v>
      </c>
      <c r="O222" s="8" t="s">
        <v>14</v>
      </c>
      <c r="P222" s="9">
        <f t="shared" si="42"/>
        <v>-3.2407407407407402E-3</v>
      </c>
      <c r="Q222" s="9">
        <f t="shared" si="43"/>
        <v>0.74097222222223524</v>
      </c>
      <c r="R222" s="114">
        <v>0</v>
      </c>
      <c r="S222" s="59">
        <f t="shared" si="44"/>
        <v>0.74097222222223524</v>
      </c>
      <c r="T222" s="10">
        <f t="shared" si="45"/>
        <v>0.74097222222223524</v>
      </c>
      <c r="U222" s="55">
        <f t="shared" si="41"/>
        <v>1.0177833333333337</v>
      </c>
    </row>
    <row r="223" spans="8:21" x14ac:dyDescent="0.25">
      <c r="H223">
        <v>11</v>
      </c>
      <c r="I223" s="76" t="s">
        <v>140</v>
      </c>
      <c r="J223" s="174" t="s">
        <v>84</v>
      </c>
      <c r="K223" s="174"/>
      <c r="M223" s="62">
        <v>1</v>
      </c>
      <c r="N223" s="60">
        <v>355</v>
      </c>
      <c r="O223" s="8" t="s">
        <v>14</v>
      </c>
      <c r="P223" s="9">
        <f t="shared" si="42"/>
        <v>-3.2407407407407402E-3</v>
      </c>
      <c r="Q223" s="9">
        <f t="shared" si="43"/>
        <v>0.73773148148149448</v>
      </c>
      <c r="R223" s="114">
        <v>0</v>
      </c>
      <c r="S223" s="59">
        <f t="shared" si="44"/>
        <v>0.73773148148149448</v>
      </c>
      <c r="T223" s="10">
        <f t="shared" si="45"/>
        <v>0.73773148148149448</v>
      </c>
      <c r="U223" s="55">
        <f t="shared" si="41"/>
        <v>1.0177055555555559</v>
      </c>
    </row>
    <row r="224" spans="8:21" x14ac:dyDescent="0.25">
      <c r="H224">
        <v>11</v>
      </c>
      <c r="I224" s="76" t="s">
        <v>141</v>
      </c>
      <c r="J224" s="174" t="s">
        <v>84</v>
      </c>
      <c r="K224" s="174"/>
      <c r="M224" s="62">
        <v>1</v>
      </c>
      <c r="N224" s="60">
        <v>354</v>
      </c>
      <c r="O224" s="8" t="s">
        <v>14</v>
      </c>
      <c r="P224" s="9">
        <f t="shared" si="42"/>
        <v>-3.2407407407407402E-3</v>
      </c>
      <c r="Q224" s="9">
        <f t="shared" si="43"/>
        <v>0.73449074074075371</v>
      </c>
      <c r="R224" s="114">
        <v>0</v>
      </c>
      <c r="S224" s="59">
        <f t="shared" si="44"/>
        <v>0.73449074074075371</v>
      </c>
      <c r="T224" s="10">
        <f t="shared" si="45"/>
        <v>0.73449074074075371</v>
      </c>
      <c r="U224" s="55">
        <f t="shared" si="41"/>
        <v>1.017627777777778</v>
      </c>
    </row>
    <row r="225" spans="8:21" x14ac:dyDescent="0.25">
      <c r="H225">
        <v>11</v>
      </c>
      <c r="I225" s="76" t="s">
        <v>142</v>
      </c>
      <c r="J225" s="174" t="s">
        <v>84</v>
      </c>
      <c r="K225" s="174"/>
      <c r="M225" s="62">
        <v>1</v>
      </c>
      <c r="N225" s="60">
        <v>353</v>
      </c>
      <c r="O225" s="8" t="s">
        <v>14</v>
      </c>
      <c r="P225" s="9">
        <f t="shared" si="42"/>
        <v>-3.2407407407407402E-3</v>
      </c>
      <c r="Q225" s="9">
        <f t="shared" si="43"/>
        <v>0.73125000000001295</v>
      </c>
      <c r="R225" s="114">
        <v>0</v>
      </c>
      <c r="S225" s="59">
        <f t="shared" si="44"/>
        <v>0.73125000000001295</v>
      </c>
      <c r="T225" s="10">
        <f t="shared" si="45"/>
        <v>0.73125000000001295</v>
      </c>
      <c r="U225" s="55">
        <f t="shared" si="41"/>
        <v>1.0175500000000004</v>
      </c>
    </row>
    <row r="226" spans="8:21" x14ac:dyDescent="0.25">
      <c r="H226">
        <v>11</v>
      </c>
      <c r="I226" s="76" t="s">
        <v>143</v>
      </c>
      <c r="J226" s="174" t="s">
        <v>84</v>
      </c>
      <c r="K226" s="174"/>
      <c r="M226" s="62">
        <v>1</v>
      </c>
      <c r="N226" s="60">
        <v>352</v>
      </c>
      <c r="O226" s="8" t="s">
        <v>14</v>
      </c>
      <c r="P226" s="9">
        <f t="shared" si="42"/>
        <v>-3.2407407407407402E-3</v>
      </c>
      <c r="Q226" s="9">
        <f t="shared" si="43"/>
        <v>0.72800925925927218</v>
      </c>
      <c r="R226" s="114">
        <v>0</v>
      </c>
      <c r="S226" s="59">
        <f t="shared" si="44"/>
        <v>0.72800925925927218</v>
      </c>
      <c r="T226" s="10">
        <f t="shared" si="45"/>
        <v>0.72800925925927218</v>
      </c>
      <c r="U226" s="55">
        <f t="shared" si="41"/>
        <v>1.0174722222222226</v>
      </c>
    </row>
    <row r="227" spans="8:21" x14ac:dyDescent="0.25">
      <c r="H227">
        <v>11</v>
      </c>
      <c r="I227" s="76" t="s">
        <v>144</v>
      </c>
      <c r="J227" s="174" t="s">
        <v>84</v>
      </c>
      <c r="K227" s="174"/>
      <c r="M227" s="62">
        <v>1</v>
      </c>
      <c r="N227" s="60">
        <v>351</v>
      </c>
      <c r="O227" s="8" t="s">
        <v>14</v>
      </c>
      <c r="P227" s="9">
        <f t="shared" si="42"/>
        <v>-3.2407407407407402E-3</v>
      </c>
      <c r="Q227" s="9">
        <f t="shared" si="43"/>
        <v>0.72476851851853141</v>
      </c>
      <c r="R227" s="114">
        <v>0</v>
      </c>
      <c r="S227" s="59">
        <f t="shared" si="44"/>
        <v>0.72476851851853141</v>
      </c>
      <c r="T227" s="10">
        <f t="shared" si="45"/>
        <v>0.72476851851853141</v>
      </c>
      <c r="U227" s="55">
        <f t="shared" si="41"/>
        <v>1.0173944444444447</v>
      </c>
    </row>
    <row r="228" spans="8:21" x14ac:dyDescent="0.25">
      <c r="H228">
        <v>11</v>
      </c>
      <c r="I228" s="76" t="s">
        <v>145</v>
      </c>
      <c r="J228" s="174" t="s">
        <v>84</v>
      </c>
      <c r="K228" s="174"/>
      <c r="M228" s="62">
        <v>1</v>
      </c>
      <c r="N228" s="60">
        <v>350</v>
      </c>
      <c r="O228" s="8" t="s">
        <v>14</v>
      </c>
      <c r="P228" s="9">
        <f t="shared" si="42"/>
        <v>-3.2407407407407402E-3</v>
      </c>
      <c r="Q228" s="9">
        <f t="shared" si="43"/>
        <v>0.72152777777779065</v>
      </c>
      <c r="R228" s="114">
        <v>0</v>
      </c>
      <c r="S228" s="59">
        <f t="shared" si="44"/>
        <v>0.72152777777779065</v>
      </c>
      <c r="T228" s="10">
        <f t="shared" si="45"/>
        <v>0.72152777777779065</v>
      </c>
      <c r="U228" s="55">
        <f t="shared" si="41"/>
        <v>1.0173166666666669</v>
      </c>
    </row>
    <row r="229" spans="8:21" x14ac:dyDescent="0.25">
      <c r="H229">
        <v>11</v>
      </c>
      <c r="I229" s="76" t="s">
        <v>146</v>
      </c>
      <c r="J229" s="174" t="s">
        <v>84</v>
      </c>
      <c r="K229" s="174"/>
      <c r="M229" s="62">
        <v>1</v>
      </c>
      <c r="N229" s="60">
        <v>349</v>
      </c>
      <c r="O229" s="8" t="s">
        <v>14</v>
      </c>
      <c r="P229" s="9">
        <f t="shared" si="42"/>
        <v>-3.2407407407407402E-3</v>
      </c>
      <c r="Q229" s="9">
        <f t="shared" si="43"/>
        <v>0.71828703703704988</v>
      </c>
      <c r="R229" s="114">
        <v>0</v>
      </c>
      <c r="S229" s="59">
        <f t="shared" si="44"/>
        <v>0.71828703703704988</v>
      </c>
      <c r="T229" s="10">
        <f t="shared" si="45"/>
        <v>0.71828703703704988</v>
      </c>
      <c r="U229" s="55">
        <f t="shared" si="41"/>
        <v>1.0172388888888892</v>
      </c>
    </row>
    <row r="230" spans="8:21" x14ac:dyDescent="0.25">
      <c r="H230">
        <v>11</v>
      </c>
      <c r="I230" s="76" t="s">
        <v>147</v>
      </c>
      <c r="J230" s="174" t="s">
        <v>84</v>
      </c>
      <c r="K230" s="174"/>
      <c r="M230" s="62">
        <v>1</v>
      </c>
      <c r="N230" s="60">
        <v>348</v>
      </c>
      <c r="O230" s="8" t="s">
        <v>14</v>
      </c>
      <c r="P230" s="9">
        <f t="shared" si="42"/>
        <v>-3.2407407407407402E-3</v>
      </c>
      <c r="Q230" s="9">
        <f t="shared" si="43"/>
        <v>0.71504629629630911</v>
      </c>
      <c r="R230" s="114">
        <v>0</v>
      </c>
      <c r="S230" s="59">
        <f t="shared" si="44"/>
        <v>0.71504629629630911</v>
      </c>
      <c r="T230" s="10">
        <f t="shared" si="45"/>
        <v>0.71504629629630911</v>
      </c>
      <c r="U230" s="55">
        <f t="shared" si="41"/>
        <v>1.0171611111111114</v>
      </c>
    </row>
    <row r="231" spans="8:21" x14ac:dyDescent="0.25">
      <c r="H231">
        <v>11</v>
      </c>
      <c r="I231" s="76" t="s">
        <v>148</v>
      </c>
      <c r="J231" s="174" t="s">
        <v>84</v>
      </c>
      <c r="K231" s="174"/>
      <c r="M231" s="62">
        <v>1</v>
      </c>
      <c r="N231" s="60">
        <v>347</v>
      </c>
      <c r="O231" s="8" t="s">
        <v>14</v>
      </c>
      <c r="P231" s="9">
        <f t="shared" si="42"/>
        <v>-3.2407407407407402E-3</v>
      </c>
      <c r="Q231" s="9">
        <f t="shared" si="43"/>
        <v>0.71180555555556835</v>
      </c>
      <c r="R231" s="114">
        <v>0</v>
      </c>
      <c r="S231" s="59">
        <f t="shared" si="44"/>
        <v>0.71180555555556835</v>
      </c>
      <c r="T231" s="10">
        <f t="shared" si="45"/>
        <v>0.71180555555556835</v>
      </c>
      <c r="U231" s="55">
        <f t="shared" si="41"/>
        <v>1.0170833333333336</v>
      </c>
    </row>
    <row r="232" spans="8:21" x14ac:dyDescent="0.25">
      <c r="H232">
        <v>11</v>
      </c>
      <c r="I232" s="76" t="s">
        <v>149</v>
      </c>
      <c r="J232" s="174" t="s">
        <v>84</v>
      </c>
      <c r="K232" s="174"/>
      <c r="M232" s="62">
        <v>1</v>
      </c>
      <c r="N232" s="60">
        <v>346</v>
      </c>
      <c r="O232" s="8" t="s">
        <v>14</v>
      </c>
      <c r="P232" s="9">
        <f t="shared" si="42"/>
        <v>-3.2407407407407402E-3</v>
      </c>
      <c r="Q232" s="9">
        <f t="shared" si="43"/>
        <v>0.70856481481482758</v>
      </c>
      <c r="R232" s="114">
        <v>0</v>
      </c>
      <c r="S232" s="59">
        <f t="shared" si="44"/>
        <v>0.70856481481482758</v>
      </c>
      <c r="T232" s="10">
        <f t="shared" si="45"/>
        <v>0.70856481481482758</v>
      </c>
      <c r="U232" s="55">
        <f t="shared" si="41"/>
        <v>1.0170055555555559</v>
      </c>
    </row>
    <row r="233" spans="8:21" x14ac:dyDescent="0.25">
      <c r="H233">
        <v>11</v>
      </c>
      <c r="I233" s="76" t="s">
        <v>150</v>
      </c>
      <c r="J233" s="174" t="s">
        <v>84</v>
      </c>
      <c r="K233" s="174"/>
      <c r="M233" s="62">
        <v>1</v>
      </c>
      <c r="N233" s="60">
        <v>345</v>
      </c>
      <c r="O233" s="8" t="s">
        <v>14</v>
      </c>
      <c r="P233" s="9">
        <f t="shared" si="42"/>
        <v>-3.2407407407407402E-3</v>
      </c>
      <c r="Q233" s="9">
        <f t="shared" si="43"/>
        <v>0.70532407407408682</v>
      </c>
      <c r="R233" s="114">
        <v>0</v>
      </c>
      <c r="S233" s="59">
        <f t="shared" si="44"/>
        <v>0.70532407407408682</v>
      </c>
      <c r="T233" s="10">
        <f t="shared" si="45"/>
        <v>0.70532407407408682</v>
      </c>
      <c r="U233" s="55">
        <f t="shared" si="41"/>
        <v>1.0169277777777781</v>
      </c>
    </row>
    <row r="234" spans="8:21" x14ac:dyDescent="0.25">
      <c r="H234">
        <v>11</v>
      </c>
      <c r="I234" s="76" t="s">
        <v>151</v>
      </c>
      <c r="J234" s="174" t="s">
        <v>84</v>
      </c>
      <c r="K234" s="174"/>
      <c r="M234" s="62">
        <v>1</v>
      </c>
      <c r="N234" s="60">
        <v>344</v>
      </c>
      <c r="O234" s="8" t="s">
        <v>14</v>
      </c>
      <c r="P234" s="9">
        <f t="shared" si="42"/>
        <v>-3.2407407407407402E-3</v>
      </c>
      <c r="Q234" s="9">
        <f t="shared" si="43"/>
        <v>0.70208333333334605</v>
      </c>
      <c r="R234" s="114">
        <v>0</v>
      </c>
      <c r="S234" s="59">
        <f t="shared" si="44"/>
        <v>0.70208333333334605</v>
      </c>
      <c r="T234" s="10">
        <f t="shared" si="45"/>
        <v>0.70208333333334605</v>
      </c>
      <c r="U234" s="55">
        <f t="shared" si="41"/>
        <v>1.0168500000000003</v>
      </c>
    </row>
    <row r="235" spans="8:21" x14ac:dyDescent="0.25">
      <c r="H235">
        <v>11</v>
      </c>
      <c r="I235" s="76" t="s">
        <v>152</v>
      </c>
      <c r="J235" s="174" t="s">
        <v>84</v>
      </c>
      <c r="K235" s="174"/>
      <c r="M235" s="62">
        <v>1</v>
      </c>
      <c r="N235" s="60">
        <v>343</v>
      </c>
      <c r="O235" s="8" t="s">
        <v>14</v>
      </c>
      <c r="P235" s="9">
        <f t="shared" si="42"/>
        <v>-3.2407407407407402E-3</v>
      </c>
      <c r="Q235" s="9">
        <f t="shared" si="43"/>
        <v>0.69884259259260528</v>
      </c>
      <c r="R235" s="114">
        <v>0</v>
      </c>
      <c r="S235" s="59">
        <f t="shared" si="44"/>
        <v>0.69884259259260528</v>
      </c>
      <c r="T235" s="10">
        <f t="shared" si="45"/>
        <v>0.69884259259260528</v>
      </c>
      <c r="U235" s="55">
        <f t="shared" si="41"/>
        <v>1.0167722222222226</v>
      </c>
    </row>
    <row r="236" spans="8:21" x14ac:dyDescent="0.25">
      <c r="H236">
        <v>11</v>
      </c>
      <c r="I236" s="76" t="s">
        <v>153</v>
      </c>
      <c r="J236" s="174" t="s">
        <v>84</v>
      </c>
      <c r="K236" s="174"/>
      <c r="M236" s="62">
        <v>1</v>
      </c>
      <c r="N236" s="60">
        <v>342</v>
      </c>
      <c r="O236" s="8" t="s">
        <v>14</v>
      </c>
      <c r="P236" s="9">
        <f t="shared" si="42"/>
        <v>-3.2407407407407402E-3</v>
      </c>
      <c r="Q236" s="9">
        <f t="shared" si="43"/>
        <v>0.69560185185186452</v>
      </c>
      <c r="R236" s="114">
        <v>0</v>
      </c>
      <c r="S236" s="59">
        <f t="shared" si="44"/>
        <v>0.69560185185186452</v>
      </c>
      <c r="T236" s="10">
        <f t="shared" si="45"/>
        <v>0.69560185185186452</v>
      </c>
      <c r="U236" s="55">
        <f t="shared" si="41"/>
        <v>1.0166944444444448</v>
      </c>
    </row>
    <row r="237" spans="8:21" x14ac:dyDescent="0.25">
      <c r="H237">
        <v>11</v>
      </c>
      <c r="I237" s="76" t="s">
        <v>154</v>
      </c>
      <c r="J237" s="174" t="s">
        <v>84</v>
      </c>
      <c r="K237" s="174"/>
      <c r="M237" s="62">
        <v>1</v>
      </c>
      <c r="N237" s="60">
        <v>341</v>
      </c>
      <c r="O237" s="8" t="s">
        <v>14</v>
      </c>
      <c r="P237" s="9">
        <f t="shared" si="42"/>
        <v>-3.2407407407407402E-3</v>
      </c>
      <c r="Q237" s="9">
        <f t="shared" si="43"/>
        <v>0.69236111111112375</v>
      </c>
      <c r="R237" s="114">
        <v>0</v>
      </c>
      <c r="S237" s="59">
        <f t="shared" si="44"/>
        <v>0.69236111111112375</v>
      </c>
      <c r="T237" s="10">
        <f t="shared" si="45"/>
        <v>0.69236111111112375</v>
      </c>
      <c r="U237" s="55">
        <f t="shared" si="41"/>
        <v>1.0166166666666669</v>
      </c>
    </row>
    <row r="238" spans="8:21" x14ac:dyDescent="0.25">
      <c r="H238">
        <v>11</v>
      </c>
      <c r="I238" s="76" t="s">
        <v>155</v>
      </c>
      <c r="J238" s="174" t="s">
        <v>84</v>
      </c>
      <c r="K238" s="174"/>
      <c r="M238" s="62">
        <v>1</v>
      </c>
      <c r="N238" s="60">
        <v>340</v>
      </c>
      <c r="O238" s="8" t="s">
        <v>14</v>
      </c>
      <c r="P238" s="9">
        <f t="shared" si="42"/>
        <v>-3.2407407407407402E-3</v>
      </c>
      <c r="Q238" s="9">
        <f t="shared" si="43"/>
        <v>0.68912037037038298</v>
      </c>
      <c r="R238" s="114">
        <v>0</v>
      </c>
      <c r="S238" s="59">
        <f t="shared" si="44"/>
        <v>0.68912037037038298</v>
      </c>
      <c r="T238" s="10">
        <f t="shared" si="45"/>
        <v>0.68912037037038298</v>
      </c>
      <c r="U238" s="55">
        <f t="shared" si="41"/>
        <v>1.0165388888888891</v>
      </c>
    </row>
    <row r="239" spans="8:21" x14ac:dyDescent="0.25">
      <c r="H239">
        <v>11</v>
      </c>
      <c r="I239" s="76" t="s">
        <v>156</v>
      </c>
      <c r="J239" s="174" t="s">
        <v>84</v>
      </c>
      <c r="K239" s="174"/>
      <c r="M239" s="62">
        <v>1</v>
      </c>
      <c r="N239" s="60">
        <v>339</v>
      </c>
      <c r="O239" s="8" t="s">
        <v>14</v>
      </c>
      <c r="P239" s="9">
        <f t="shared" si="42"/>
        <v>-3.2407407407407402E-3</v>
      </c>
      <c r="Q239" s="9">
        <f t="shared" si="43"/>
        <v>0.68587962962964222</v>
      </c>
      <c r="R239" s="114">
        <v>0</v>
      </c>
      <c r="S239" s="59">
        <f t="shared" si="44"/>
        <v>0.68587962962964222</v>
      </c>
      <c r="T239" s="10">
        <f t="shared" si="45"/>
        <v>0.68587962962964222</v>
      </c>
      <c r="U239" s="55">
        <f t="shared" si="41"/>
        <v>1.0164611111111115</v>
      </c>
    </row>
    <row r="240" spans="8:21" x14ac:dyDescent="0.25">
      <c r="H240">
        <v>11</v>
      </c>
      <c r="I240" s="76" t="s">
        <v>157</v>
      </c>
      <c r="J240" s="174" t="s">
        <v>84</v>
      </c>
      <c r="K240" s="174"/>
      <c r="M240" s="62">
        <v>1</v>
      </c>
      <c r="N240" s="60">
        <v>338</v>
      </c>
      <c r="O240" s="8" t="s">
        <v>14</v>
      </c>
      <c r="P240" s="9">
        <f t="shared" si="42"/>
        <v>-3.2407407407407402E-3</v>
      </c>
      <c r="Q240" s="9">
        <f t="shared" si="43"/>
        <v>0.68263888888890145</v>
      </c>
      <c r="R240" s="114">
        <v>0</v>
      </c>
      <c r="S240" s="59">
        <f t="shared" si="44"/>
        <v>0.68263888888890145</v>
      </c>
      <c r="T240" s="10">
        <f t="shared" si="45"/>
        <v>0.68263888888890145</v>
      </c>
      <c r="U240" s="55">
        <f t="shared" si="41"/>
        <v>1.0163833333333336</v>
      </c>
    </row>
    <row r="241" spans="8:21" x14ac:dyDescent="0.25">
      <c r="H241">
        <v>11</v>
      </c>
      <c r="I241" s="76" t="s">
        <v>158</v>
      </c>
      <c r="J241" s="174" t="s">
        <v>84</v>
      </c>
      <c r="K241" s="174"/>
      <c r="M241" s="62">
        <v>1</v>
      </c>
      <c r="N241" s="60">
        <v>337</v>
      </c>
      <c r="O241" s="8" t="s">
        <v>14</v>
      </c>
      <c r="P241" s="9">
        <f t="shared" si="42"/>
        <v>-3.2407407407407402E-3</v>
      </c>
      <c r="Q241" s="9">
        <f t="shared" si="43"/>
        <v>0.67939814814816069</v>
      </c>
      <c r="R241" s="114">
        <v>0</v>
      </c>
      <c r="S241" s="59">
        <f t="shared" si="44"/>
        <v>0.67939814814816069</v>
      </c>
      <c r="T241" s="10">
        <f t="shared" si="45"/>
        <v>0.67939814814816069</v>
      </c>
      <c r="U241" s="55">
        <f t="shared" si="41"/>
        <v>1.0163055555555558</v>
      </c>
    </row>
    <row r="242" spans="8:21" x14ac:dyDescent="0.25">
      <c r="H242">
        <v>11</v>
      </c>
      <c r="I242" s="76" t="s">
        <v>159</v>
      </c>
      <c r="J242" s="174" t="s">
        <v>84</v>
      </c>
      <c r="K242" s="174"/>
      <c r="M242" s="62">
        <v>1</v>
      </c>
      <c r="N242" s="60">
        <v>336</v>
      </c>
      <c r="O242" s="8" t="s">
        <v>14</v>
      </c>
      <c r="P242" s="9">
        <f t="shared" si="42"/>
        <v>-3.2407407407407402E-3</v>
      </c>
      <c r="Q242" s="9">
        <f t="shared" si="43"/>
        <v>0.67615740740741992</v>
      </c>
      <c r="R242" s="114">
        <v>0</v>
      </c>
      <c r="S242" s="59">
        <f t="shared" si="44"/>
        <v>0.67615740740741992</v>
      </c>
      <c r="T242" s="10">
        <f t="shared" si="45"/>
        <v>0.67615740740741992</v>
      </c>
      <c r="U242" s="55">
        <f t="shared" si="41"/>
        <v>1.0162277777777782</v>
      </c>
    </row>
    <row r="243" spans="8:21" x14ac:dyDescent="0.25">
      <c r="H243">
        <v>11</v>
      </c>
      <c r="I243" s="76" t="s">
        <v>160</v>
      </c>
      <c r="J243" s="174" t="s">
        <v>84</v>
      </c>
      <c r="K243" s="174"/>
      <c r="M243" s="62">
        <v>1</v>
      </c>
      <c r="N243" s="60">
        <v>335</v>
      </c>
      <c r="O243" s="8" t="s">
        <v>14</v>
      </c>
      <c r="P243" s="9">
        <f t="shared" si="42"/>
        <v>-3.2407407407407402E-3</v>
      </c>
      <c r="Q243" s="9">
        <f t="shared" si="43"/>
        <v>0.67291666666667915</v>
      </c>
      <c r="R243" s="114">
        <v>0</v>
      </c>
      <c r="S243" s="59">
        <f t="shared" si="44"/>
        <v>0.67291666666667915</v>
      </c>
      <c r="T243" s="10">
        <f t="shared" si="45"/>
        <v>0.67291666666667915</v>
      </c>
      <c r="U243" s="55">
        <f t="shared" si="41"/>
        <v>1.0161500000000003</v>
      </c>
    </row>
    <row r="244" spans="8:21" x14ac:dyDescent="0.25">
      <c r="H244">
        <v>11</v>
      </c>
      <c r="I244" s="76" t="s">
        <v>161</v>
      </c>
      <c r="J244" s="174" t="s">
        <v>84</v>
      </c>
      <c r="K244" s="174"/>
      <c r="M244" s="62">
        <v>1</v>
      </c>
      <c r="N244" s="60">
        <v>334</v>
      </c>
      <c r="O244" s="8" t="s">
        <v>14</v>
      </c>
      <c r="P244" s="9">
        <f t="shared" si="42"/>
        <v>-3.2407407407407402E-3</v>
      </c>
      <c r="Q244" s="9">
        <f t="shared" si="43"/>
        <v>0.66967592592593839</v>
      </c>
      <c r="R244" s="114">
        <v>0</v>
      </c>
      <c r="S244" s="59">
        <f t="shared" si="44"/>
        <v>0.66967592592593839</v>
      </c>
      <c r="T244" s="10">
        <f t="shared" si="45"/>
        <v>0.66967592592593839</v>
      </c>
      <c r="U244" s="55">
        <f t="shared" si="41"/>
        <v>1.0160722222222225</v>
      </c>
    </row>
    <row r="245" spans="8:21" x14ac:dyDescent="0.25">
      <c r="H245">
        <v>11</v>
      </c>
      <c r="I245" s="76" t="s">
        <v>162</v>
      </c>
      <c r="J245" s="174" t="s">
        <v>84</v>
      </c>
      <c r="K245" s="174"/>
      <c r="M245" s="62">
        <v>1</v>
      </c>
      <c r="N245" s="60">
        <v>333</v>
      </c>
      <c r="O245" s="8" t="s">
        <v>14</v>
      </c>
      <c r="P245" s="9">
        <f t="shared" si="42"/>
        <v>-3.2407407407407402E-3</v>
      </c>
      <c r="Q245" s="9">
        <f t="shared" si="43"/>
        <v>0.66643518518519762</v>
      </c>
      <c r="R245" s="114">
        <v>0</v>
      </c>
      <c r="S245" s="59">
        <f t="shared" si="44"/>
        <v>0.66643518518519762</v>
      </c>
      <c r="T245" s="10">
        <f t="shared" si="45"/>
        <v>0.66643518518519762</v>
      </c>
      <c r="U245" s="55">
        <f t="shared" si="41"/>
        <v>1.0159944444444446</v>
      </c>
    </row>
    <row r="246" spans="8:21" x14ac:dyDescent="0.25">
      <c r="H246">
        <v>11</v>
      </c>
      <c r="I246" s="76" t="s">
        <v>163</v>
      </c>
      <c r="J246" s="174" t="s">
        <v>84</v>
      </c>
      <c r="K246" s="174"/>
      <c r="M246" s="62">
        <v>1</v>
      </c>
      <c r="N246" s="60">
        <v>332</v>
      </c>
      <c r="O246" s="8" t="s">
        <v>14</v>
      </c>
      <c r="P246" s="9">
        <f t="shared" si="42"/>
        <v>-3.2407407407407402E-3</v>
      </c>
      <c r="Q246" s="9">
        <f t="shared" si="43"/>
        <v>0.66319444444445685</v>
      </c>
      <c r="R246" s="114">
        <v>0</v>
      </c>
      <c r="S246" s="59">
        <f t="shared" si="44"/>
        <v>0.66319444444445685</v>
      </c>
      <c r="T246" s="10">
        <f t="shared" si="45"/>
        <v>0.66319444444445685</v>
      </c>
      <c r="U246" s="55">
        <f t="shared" si="41"/>
        <v>1.015916666666667</v>
      </c>
    </row>
    <row r="247" spans="8:21" x14ac:dyDescent="0.25">
      <c r="H247">
        <v>12</v>
      </c>
      <c r="I247" s="104" t="s">
        <v>104</v>
      </c>
      <c r="J247" s="174" t="s">
        <v>84</v>
      </c>
      <c r="K247" s="174"/>
      <c r="M247" s="62">
        <v>1</v>
      </c>
      <c r="N247" s="60">
        <v>331</v>
      </c>
      <c r="O247" s="8" t="s">
        <v>14</v>
      </c>
      <c r="P247" s="9">
        <f t="shared" si="42"/>
        <v>-3.2407407407407402E-3</v>
      </c>
      <c r="Q247" s="9">
        <f t="shared" si="43"/>
        <v>0.65995370370371609</v>
      </c>
      <c r="R247" s="114">
        <v>0</v>
      </c>
      <c r="S247" s="59">
        <f t="shared" si="44"/>
        <v>0.65995370370371609</v>
      </c>
      <c r="T247" s="10">
        <f t="shared" si="45"/>
        <v>0.65995370370371609</v>
      </c>
      <c r="U247" s="55">
        <f t="shared" si="41"/>
        <v>1.0158388888888892</v>
      </c>
    </row>
    <row r="248" spans="8:21" x14ac:dyDescent="0.25">
      <c r="H248">
        <v>12</v>
      </c>
      <c r="I248" s="104" t="s">
        <v>106</v>
      </c>
      <c r="J248" s="174" t="s">
        <v>84</v>
      </c>
      <c r="K248" s="174"/>
      <c r="M248" s="62">
        <v>1</v>
      </c>
      <c r="N248" s="60">
        <v>330</v>
      </c>
      <c r="O248" s="8" t="s">
        <v>14</v>
      </c>
      <c r="P248" s="9">
        <f t="shared" si="42"/>
        <v>-3.2407407407407402E-3</v>
      </c>
      <c r="Q248" s="9">
        <f t="shared" si="43"/>
        <v>0.65671296296297532</v>
      </c>
      <c r="R248" s="114">
        <v>0</v>
      </c>
      <c r="S248" s="59">
        <f t="shared" si="44"/>
        <v>0.65671296296297532</v>
      </c>
      <c r="T248" s="10">
        <f t="shared" si="45"/>
        <v>0.65671296296297532</v>
      </c>
      <c r="U248" s="55">
        <f t="shared" si="41"/>
        <v>1.0157611111111113</v>
      </c>
    </row>
    <row r="249" spans="8:21" x14ac:dyDescent="0.25">
      <c r="H249">
        <v>12</v>
      </c>
      <c r="I249" s="104" t="s">
        <v>107</v>
      </c>
      <c r="J249" s="174" t="s">
        <v>84</v>
      </c>
      <c r="K249" s="174"/>
      <c r="M249" s="62">
        <v>1</v>
      </c>
      <c r="N249" s="60">
        <v>329</v>
      </c>
      <c r="O249" s="8" t="s">
        <v>14</v>
      </c>
      <c r="P249" s="9">
        <f t="shared" si="42"/>
        <v>-3.2407407407407402E-3</v>
      </c>
      <c r="Q249" s="9">
        <f t="shared" si="43"/>
        <v>0.65347222222223456</v>
      </c>
      <c r="R249" s="114">
        <v>0</v>
      </c>
      <c r="S249" s="59">
        <f t="shared" si="44"/>
        <v>0.65347222222223456</v>
      </c>
      <c r="T249" s="10">
        <f t="shared" si="45"/>
        <v>0.65347222222223456</v>
      </c>
      <c r="U249" s="55">
        <f t="shared" si="41"/>
        <v>1.0156833333333337</v>
      </c>
    </row>
    <row r="250" spans="8:21" x14ac:dyDescent="0.25">
      <c r="H250">
        <v>12</v>
      </c>
      <c r="I250" s="104" t="s">
        <v>108</v>
      </c>
      <c r="J250" s="174" t="s">
        <v>84</v>
      </c>
      <c r="K250" s="174"/>
      <c r="M250" s="62">
        <v>1</v>
      </c>
      <c r="N250" s="60">
        <v>328</v>
      </c>
      <c r="O250" s="8" t="s">
        <v>14</v>
      </c>
      <c r="P250" s="9">
        <f t="shared" si="42"/>
        <v>-3.2407407407407402E-3</v>
      </c>
      <c r="Q250" s="9">
        <f t="shared" si="43"/>
        <v>0.65023148148149379</v>
      </c>
      <c r="R250" s="114">
        <v>0</v>
      </c>
      <c r="S250" s="59">
        <f t="shared" si="44"/>
        <v>0.65023148148149379</v>
      </c>
      <c r="T250" s="10">
        <f t="shared" si="45"/>
        <v>0.65023148148149379</v>
      </c>
      <c r="U250" s="55">
        <f t="shared" si="41"/>
        <v>1.0156055555555559</v>
      </c>
    </row>
    <row r="251" spans="8:21" x14ac:dyDescent="0.25">
      <c r="H251">
        <v>12</v>
      </c>
      <c r="I251" s="104" t="s">
        <v>109</v>
      </c>
      <c r="J251" s="174" t="s">
        <v>84</v>
      </c>
      <c r="K251" s="174"/>
      <c r="M251" s="62">
        <v>1</v>
      </c>
      <c r="N251" s="60">
        <v>327</v>
      </c>
      <c r="O251" s="8" t="s">
        <v>14</v>
      </c>
      <c r="P251" s="9">
        <f t="shared" si="42"/>
        <v>-3.2407407407407402E-3</v>
      </c>
      <c r="Q251" s="9">
        <f t="shared" si="43"/>
        <v>0.64699074074075302</v>
      </c>
      <c r="R251" s="114">
        <v>0</v>
      </c>
      <c r="S251" s="59">
        <f t="shared" si="44"/>
        <v>0.64699074074075302</v>
      </c>
      <c r="T251" s="10">
        <f t="shared" si="45"/>
        <v>0.64699074074075302</v>
      </c>
      <c r="U251" s="55">
        <f t="shared" si="41"/>
        <v>1.015527777777778</v>
      </c>
    </row>
    <row r="252" spans="8:21" x14ac:dyDescent="0.25">
      <c r="H252">
        <v>12</v>
      </c>
      <c r="I252" s="104" t="s">
        <v>110</v>
      </c>
      <c r="J252" s="174" t="s">
        <v>84</v>
      </c>
      <c r="K252" s="174"/>
      <c r="M252" s="62">
        <v>1</v>
      </c>
      <c r="N252" s="60">
        <v>326</v>
      </c>
      <c r="O252" s="8" t="s">
        <v>14</v>
      </c>
      <c r="P252" s="9">
        <f t="shared" si="42"/>
        <v>-3.2407407407407402E-3</v>
      </c>
      <c r="Q252" s="9">
        <f t="shared" si="43"/>
        <v>0.64375000000001226</v>
      </c>
      <c r="R252" s="114">
        <v>0</v>
      </c>
      <c r="S252" s="59">
        <f t="shared" si="44"/>
        <v>0.64375000000001226</v>
      </c>
      <c r="T252" s="10">
        <f t="shared" si="45"/>
        <v>0.64375000000001226</v>
      </c>
      <c r="U252" s="55">
        <f t="shared" si="41"/>
        <v>1.0154500000000002</v>
      </c>
    </row>
    <row r="253" spans="8:21" x14ac:dyDescent="0.25">
      <c r="H253">
        <v>12</v>
      </c>
      <c r="I253" s="104" t="s">
        <v>111</v>
      </c>
      <c r="J253" s="174" t="s">
        <v>84</v>
      </c>
      <c r="K253" s="174"/>
      <c r="M253" s="62">
        <v>1</v>
      </c>
      <c r="N253" s="60">
        <v>325</v>
      </c>
      <c r="O253" s="8" t="s">
        <v>14</v>
      </c>
      <c r="P253" s="9">
        <f t="shared" si="42"/>
        <v>-3.2407407407407402E-3</v>
      </c>
      <c r="Q253" s="9">
        <f t="shared" si="43"/>
        <v>0.64050925925927149</v>
      </c>
      <c r="R253" s="114">
        <v>0</v>
      </c>
      <c r="S253" s="59">
        <f t="shared" si="44"/>
        <v>0.64050925925927149</v>
      </c>
      <c r="T253" s="10">
        <f t="shared" si="45"/>
        <v>0.64050925925927149</v>
      </c>
      <c r="U253" s="55">
        <f t="shared" si="41"/>
        <v>1.0153722222222226</v>
      </c>
    </row>
    <row r="254" spans="8:21" x14ac:dyDescent="0.25">
      <c r="H254">
        <v>12</v>
      </c>
      <c r="I254" s="104" t="s">
        <v>112</v>
      </c>
      <c r="J254" s="174" t="s">
        <v>84</v>
      </c>
      <c r="K254" s="174"/>
      <c r="M254" s="62">
        <v>1</v>
      </c>
      <c r="N254" s="60">
        <v>324</v>
      </c>
      <c r="O254" s="8" t="s">
        <v>14</v>
      </c>
      <c r="P254" s="9">
        <f t="shared" si="42"/>
        <v>-3.2407407407407402E-3</v>
      </c>
      <c r="Q254" s="9">
        <f t="shared" si="43"/>
        <v>0.63726851851853072</v>
      </c>
      <c r="R254" s="114">
        <v>0</v>
      </c>
      <c r="S254" s="59">
        <f t="shared" si="44"/>
        <v>0.63726851851853072</v>
      </c>
      <c r="T254" s="10">
        <f t="shared" si="45"/>
        <v>0.63726851851853072</v>
      </c>
      <c r="U254" s="55">
        <f t="shared" si="41"/>
        <v>1.0152944444444447</v>
      </c>
    </row>
    <row r="255" spans="8:21" x14ac:dyDescent="0.25">
      <c r="H255">
        <v>12</v>
      </c>
      <c r="I255" s="104" t="s">
        <v>113</v>
      </c>
      <c r="J255" s="174" t="s">
        <v>84</v>
      </c>
      <c r="K255" s="174"/>
      <c r="M255" s="62">
        <v>1</v>
      </c>
      <c r="N255" s="60">
        <v>323</v>
      </c>
      <c r="O255" s="8" t="s">
        <v>14</v>
      </c>
      <c r="P255" s="9">
        <f t="shared" si="42"/>
        <v>-3.2407407407407402E-3</v>
      </c>
      <c r="Q255" s="9">
        <f t="shared" si="43"/>
        <v>0.63402777777778996</v>
      </c>
      <c r="R255" s="114">
        <v>0</v>
      </c>
      <c r="S255" s="59">
        <f t="shared" si="44"/>
        <v>0.63402777777778996</v>
      </c>
      <c r="T255" s="10">
        <f t="shared" si="45"/>
        <v>0.63402777777778996</v>
      </c>
      <c r="U255" s="55">
        <f t="shared" si="41"/>
        <v>1.0152166666666669</v>
      </c>
    </row>
    <row r="256" spans="8:21" x14ac:dyDescent="0.25">
      <c r="H256">
        <v>12</v>
      </c>
      <c r="I256" s="104" t="s">
        <v>114</v>
      </c>
      <c r="J256" s="174" t="s">
        <v>84</v>
      </c>
      <c r="K256" s="174"/>
      <c r="M256" s="62">
        <v>1</v>
      </c>
      <c r="N256" s="60">
        <v>322</v>
      </c>
      <c r="O256" s="8" t="s">
        <v>14</v>
      </c>
      <c r="P256" s="9">
        <f t="shared" si="42"/>
        <v>-3.2407407407407402E-3</v>
      </c>
      <c r="Q256" s="9">
        <f t="shared" si="43"/>
        <v>0.63078703703704919</v>
      </c>
      <c r="R256" s="114">
        <v>0</v>
      </c>
      <c r="S256" s="59">
        <f t="shared" si="44"/>
        <v>0.63078703703704919</v>
      </c>
      <c r="T256" s="10">
        <f t="shared" si="45"/>
        <v>0.63078703703704919</v>
      </c>
      <c r="U256" s="55">
        <f t="shared" si="41"/>
        <v>1.0151388888888893</v>
      </c>
    </row>
    <row r="257" spans="8:21" x14ac:dyDescent="0.25">
      <c r="H257">
        <v>12</v>
      </c>
      <c r="I257" s="104" t="s">
        <v>115</v>
      </c>
      <c r="J257" s="174" t="s">
        <v>84</v>
      </c>
      <c r="K257" s="174"/>
      <c r="M257" s="62">
        <v>1</v>
      </c>
      <c r="N257" s="60">
        <v>321</v>
      </c>
      <c r="O257" s="8" t="s">
        <v>14</v>
      </c>
      <c r="P257" s="9">
        <f t="shared" si="42"/>
        <v>-3.2407407407407402E-3</v>
      </c>
      <c r="Q257" s="9">
        <f t="shared" si="43"/>
        <v>0.62754629629630843</v>
      </c>
      <c r="R257" s="114">
        <v>0</v>
      </c>
      <c r="S257" s="59">
        <f t="shared" si="44"/>
        <v>0.62754629629630843</v>
      </c>
      <c r="T257" s="10">
        <f t="shared" si="45"/>
        <v>0.62754629629630843</v>
      </c>
      <c r="U257" s="55">
        <f t="shared" si="41"/>
        <v>1.0150611111111114</v>
      </c>
    </row>
    <row r="258" spans="8:21" x14ac:dyDescent="0.25">
      <c r="H258">
        <v>12</v>
      </c>
      <c r="I258" s="104" t="s">
        <v>116</v>
      </c>
      <c r="J258" s="174" t="s">
        <v>84</v>
      </c>
      <c r="K258" s="174"/>
      <c r="M258" s="62">
        <v>1</v>
      </c>
      <c r="N258" s="60">
        <v>320</v>
      </c>
      <c r="O258" s="8" t="s">
        <v>14</v>
      </c>
      <c r="P258" s="9">
        <f t="shared" si="42"/>
        <v>-3.2407407407407402E-3</v>
      </c>
      <c r="Q258" s="9">
        <f t="shared" si="43"/>
        <v>0.62430555555556766</v>
      </c>
      <c r="R258" s="114">
        <v>0</v>
      </c>
      <c r="S258" s="59">
        <f t="shared" si="44"/>
        <v>0.62430555555556766</v>
      </c>
      <c r="T258" s="10">
        <f t="shared" si="45"/>
        <v>0.62430555555556766</v>
      </c>
      <c r="U258" s="55">
        <f t="shared" si="41"/>
        <v>1.0149833333333336</v>
      </c>
    </row>
    <row r="259" spans="8:21" x14ac:dyDescent="0.25">
      <c r="H259">
        <v>12</v>
      </c>
      <c r="I259" s="104" t="s">
        <v>117</v>
      </c>
      <c r="J259" s="174" t="s">
        <v>84</v>
      </c>
      <c r="K259" s="174"/>
      <c r="M259" s="62">
        <v>1</v>
      </c>
      <c r="N259" s="60">
        <v>319</v>
      </c>
      <c r="O259" s="8" t="s">
        <v>14</v>
      </c>
      <c r="P259" s="9">
        <f t="shared" si="42"/>
        <v>-3.2407407407407402E-3</v>
      </c>
      <c r="Q259" s="9">
        <f t="shared" si="43"/>
        <v>0.62106481481482689</v>
      </c>
      <c r="R259" s="114">
        <v>0</v>
      </c>
      <c r="S259" s="59">
        <f t="shared" si="44"/>
        <v>0.62106481481482689</v>
      </c>
      <c r="T259" s="10">
        <f t="shared" si="45"/>
        <v>0.62106481481482689</v>
      </c>
      <c r="U259" s="55">
        <f t="shared" si="41"/>
        <v>1.0149055555555559</v>
      </c>
    </row>
    <row r="260" spans="8:21" x14ac:dyDescent="0.25">
      <c r="H260">
        <v>12</v>
      </c>
      <c r="I260" s="104" t="s">
        <v>118</v>
      </c>
      <c r="J260" s="174" t="s">
        <v>84</v>
      </c>
      <c r="K260" s="174"/>
      <c r="M260" s="62">
        <v>1</v>
      </c>
      <c r="N260" s="60">
        <v>318</v>
      </c>
      <c r="O260" s="8" t="s">
        <v>14</v>
      </c>
      <c r="P260" s="9">
        <f t="shared" si="42"/>
        <v>-3.2407407407407402E-3</v>
      </c>
      <c r="Q260" s="9">
        <f t="shared" si="43"/>
        <v>0.61782407407408613</v>
      </c>
      <c r="R260" s="114">
        <v>0</v>
      </c>
      <c r="S260" s="59">
        <f t="shared" si="44"/>
        <v>0.61782407407408613</v>
      </c>
      <c r="T260" s="10">
        <f t="shared" si="45"/>
        <v>0.61782407407408613</v>
      </c>
      <c r="U260" s="55">
        <f t="shared" si="41"/>
        <v>1.0148277777777781</v>
      </c>
    </row>
    <row r="261" spans="8:21" x14ac:dyDescent="0.25">
      <c r="H261">
        <v>12</v>
      </c>
      <c r="I261" s="104" t="s">
        <v>119</v>
      </c>
      <c r="J261" s="174" t="s">
        <v>84</v>
      </c>
      <c r="K261" s="174"/>
      <c r="M261" s="62">
        <v>1</v>
      </c>
      <c r="N261" s="60">
        <v>317</v>
      </c>
      <c r="O261" s="8" t="s">
        <v>14</v>
      </c>
      <c r="P261" s="9">
        <f t="shared" si="42"/>
        <v>-3.2407407407407402E-3</v>
      </c>
      <c r="Q261" s="9">
        <f t="shared" si="43"/>
        <v>0.61458333333334536</v>
      </c>
      <c r="R261" s="114">
        <v>0</v>
      </c>
      <c r="S261" s="59">
        <f t="shared" si="44"/>
        <v>0.61458333333334536</v>
      </c>
      <c r="T261" s="10">
        <f t="shared" si="45"/>
        <v>0.61458333333334536</v>
      </c>
      <c r="U261" s="55">
        <f t="shared" si="41"/>
        <v>1.0147500000000003</v>
      </c>
    </row>
    <row r="262" spans="8:21" x14ac:dyDescent="0.25">
      <c r="H262">
        <v>12</v>
      </c>
      <c r="I262" s="104" t="s">
        <v>120</v>
      </c>
      <c r="J262" s="174" t="s">
        <v>84</v>
      </c>
      <c r="K262" s="174"/>
      <c r="M262" s="62">
        <v>1</v>
      </c>
      <c r="N262" s="60">
        <v>316</v>
      </c>
      <c r="O262" s="8" t="s">
        <v>14</v>
      </c>
      <c r="P262" s="9">
        <f t="shared" si="42"/>
        <v>-3.2407407407407402E-3</v>
      </c>
      <c r="Q262" s="9">
        <f t="shared" si="43"/>
        <v>0.61134259259260459</v>
      </c>
      <c r="R262" s="114">
        <v>0</v>
      </c>
      <c r="S262" s="59">
        <f t="shared" si="44"/>
        <v>0.61134259259260459</v>
      </c>
      <c r="T262" s="10">
        <f t="shared" si="45"/>
        <v>0.61134259259260459</v>
      </c>
      <c r="U262" s="55">
        <f t="shared" si="41"/>
        <v>1.0146722222222224</v>
      </c>
    </row>
    <row r="263" spans="8:21" x14ac:dyDescent="0.25">
      <c r="H263">
        <v>12</v>
      </c>
      <c r="I263" s="104" t="s">
        <v>121</v>
      </c>
      <c r="J263" s="174" t="s">
        <v>84</v>
      </c>
      <c r="K263" s="174"/>
      <c r="M263" s="62">
        <v>1</v>
      </c>
      <c r="N263" s="60">
        <v>315</v>
      </c>
      <c r="O263" s="8" t="s">
        <v>14</v>
      </c>
      <c r="P263" s="9">
        <f t="shared" si="42"/>
        <v>-3.2407407407407402E-3</v>
      </c>
      <c r="Q263" s="9">
        <f t="shared" si="43"/>
        <v>0.60810185185186383</v>
      </c>
      <c r="R263" s="114">
        <v>0</v>
      </c>
      <c r="S263" s="59">
        <f t="shared" si="44"/>
        <v>0.60810185185186383</v>
      </c>
      <c r="T263" s="10">
        <f t="shared" si="45"/>
        <v>0.60810185185186383</v>
      </c>
      <c r="U263" s="55">
        <f t="shared" si="41"/>
        <v>1.0145944444444448</v>
      </c>
    </row>
    <row r="264" spans="8:21" x14ac:dyDescent="0.25">
      <c r="H264">
        <v>12</v>
      </c>
      <c r="I264" s="104" t="s">
        <v>122</v>
      </c>
      <c r="J264" s="174" t="s">
        <v>84</v>
      </c>
      <c r="K264" s="174"/>
      <c r="M264" s="62">
        <v>1</v>
      </c>
      <c r="N264" s="60">
        <v>314</v>
      </c>
      <c r="O264" s="8" t="s">
        <v>14</v>
      </c>
      <c r="P264" s="9">
        <f t="shared" si="42"/>
        <v>-3.2407407407407402E-3</v>
      </c>
      <c r="Q264" s="9">
        <f t="shared" si="43"/>
        <v>0.60486111111112306</v>
      </c>
      <c r="R264" s="114">
        <v>0</v>
      </c>
      <c r="S264" s="59">
        <f t="shared" si="44"/>
        <v>0.60486111111112306</v>
      </c>
      <c r="T264" s="10">
        <f t="shared" si="45"/>
        <v>0.60486111111112306</v>
      </c>
      <c r="U264" s="55">
        <f t="shared" si="41"/>
        <v>1.014516666666667</v>
      </c>
    </row>
    <row r="265" spans="8:21" x14ac:dyDescent="0.25">
      <c r="H265">
        <v>12</v>
      </c>
      <c r="I265" s="104" t="s">
        <v>123</v>
      </c>
      <c r="J265" s="174" t="s">
        <v>84</v>
      </c>
      <c r="K265" s="174"/>
      <c r="M265" s="62">
        <v>1</v>
      </c>
      <c r="N265" s="60">
        <v>313</v>
      </c>
      <c r="O265" s="8" t="s">
        <v>14</v>
      </c>
      <c r="P265" s="9">
        <f t="shared" si="42"/>
        <v>-3.2407407407407402E-3</v>
      </c>
      <c r="Q265" s="9">
        <f t="shared" si="43"/>
        <v>0.6016203703703823</v>
      </c>
      <c r="R265" s="114">
        <v>0</v>
      </c>
      <c r="S265" s="59">
        <f t="shared" si="44"/>
        <v>0.6016203703703823</v>
      </c>
      <c r="T265" s="10">
        <f t="shared" si="45"/>
        <v>0.6016203703703823</v>
      </c>
      <c r="U265" s="55">
        <f t="shared" si="41"/>
        <v>1.0144388888888891</v>
      </c>
    </row>
    <row r="266" spans="8:21" x14ac:dyDescent="0.25">
      <c r="H266">
        <v>12</v>
      </c>
      <c r="I266" s="104" t="s">
        <v>124</v>
      </c>
      <c r="J266" s="174" t="s">
        <v>84</v>
      </c>
      <c r="K266" s="174"/>
      <c r="M266" s="62">
        <v>1</v>
      </c>
      <c r="N266" s="60">
        <v>312</v>
      </c>
      <c r="O266" s="8" t="s">
        <v>14</v>
      </c>
      <c r="P266" s="9">
        <f t="shared" si="42"/>
        <v>-3.2407407407407402E-3</v>
      </c>
      <c r="Q266" s="9">
        <f t="shared" si="43"/>
        <v>0.59837962962964153</v>
      </c>
      <c r="R266" s="114">
        <v>0</v>
      </c>
      <c r="S266" s="59">
        <f t="shared" si="44"/>
        <v>0.59837962962964153</v>
      </c>
      <c r="T266" s="10">
        <f t="shared" si="45"/>
        <v>0.59837962962964153</v>
      </c>
      <c r="U266" s="55">
        <f t="shared" ref="U266:U329" si="54">1+(T266/$J$6)/100</f>
        <v>1.0143611111111115</v>
      </c>
    </row>
    <row r="267" spans="8:21" x14ac:dyDescent="0.25">
      <c r="H267">
        <v>12</v>
      </c>
      <c r="I267" s="104" t="s">
        <v>125</v>
      </c>
      <c r="J267" s="174" t="s">
        <v>84</v>
      </c>
      <c r="K267" s="174"/>
      <c r="M267" s="62">
        <v>1</v>
      </c>
      <c r="N267" s="60">
        <v>311</v>
      </c>
      <c r="O267" s="8" t="s">
        <v>14</v>
      </c>
      <c r="P267" s="9">
        <f t="shared" si="42"/>
        <v>-3.2407407407407402E-3</v>
      </c>
      <c r="Q267" s="9">
        <f t="shared" si="43"/>
        <v>0.59513888888890076</v>
      </c>
      <c r="R267" s="114">
        <v>0</v>
      </c>
      <c r="S267" s="59">
        <f t="shared" si="44"/>
        <v>0.59513888888890076</v>
      </c>
      <c r="T267" s="10">
        <f t="shared" si="45"/>
        <v>0.59513888888890076</v>
      </c>
      <c r="U267" s="55">
        <f t="shared" si="54"/>
        <v>1.0142833333333336</v>
      </c>
    </row>
    <row r="268" spans="8:21" x14ac:dyDescent="0.25">
      <c r="H268">
        <v>12</v>
      </c>
      <c r="I268" s="104" t="s">
        <v>126</v>
      </c>
      <c r="J268" s="174" t="s">
        <v>84</v>
      </c>
      <c r="K268" s="174"/>
      <c r="M268" s="62">
        <v>1</v>
      </c>
      <c r="N268" s="60">
        <v>310</v>
      </c>
      <c r="O268" s="8" t="s">
        <v>14</v>
      </c>
      <c r="P268" s="9">
        <f t="shared" si="42"/>
        <v>-3.2407407407407402E-3</v>
      </c>
      <c r="Q268" s="9">
        <f t="shared" si="43"/>
        <v>0.59189814814816</v>
      </c>
      <c r="R268" s="114">
        <v>0</v>
      </c>
      <c r="S268" s="59">
        <f t="shared" si="44"/>
        <v>0.59189814814816</v>
      </c>
      <c r="T268" s="10">
        <f t="shared" si="45"/>
        <v>0.59189814814816</v>
      </c>
      <c r="U268" s="55">
        <f t="shared" si="54"/>
        <v>1.0142055555555558</v>
      </c>
    </row>
    <row r="269" spans="8:21" x14ac:dyDescent="0.25">
      <c r="H269">
        <v>12</v>
      </c>
      <c r="I269" s="104" t="s">
        <v>127</v>
      </c>
      <c r="J269" s="174" t="s">
        <v>84</v>
      </c>
      <c r="K269" s="174"/>
      <c r="M269" s="62">
        <v>1</v>
      </c>
      <c r="N269" s="60">
        <v>309</v>
      </c>
      <c r="O269" s="8" t="s">
        <v>14</v>
      </c>
      <c r="P269" s="9">
        <f t="shared" si="42"/>
        <v>-3.2407407407407402E-3</v>
      </c>
      <c r="Q269" s="9">
        <f t="shared" si="43"/>
        <v>0.58865740740741923</v>
      </c>
      <c r="R269" s="114">
        <v>0</v>
      </c>
      <c r="S269" s="59">
        <f t="shared" si="44"/>
        <v>0.58865740740741923</v>
      </c>
      <c r="T269" s="10">
        <f t="shared" si="45"/>
        <v>0.58865740740741923</v>
      </c>
      <c r="U269" s="55">
        <f t="shared" si="54"/>
        <v>1.014127777777778</v>
      </c>
    </row>
    <row r="270" spans="8:21" x14ac:dyDescent="0.25">
      <c r="H270">
        <v>12</v>
      </c>
      <c r="I270" s="104" t="s">
        <v>128</v>
      </c>
      <c r="J270" s="174" t="s">
        <v>84</v>
      </c>
      <c r="K270" s="174"/>
      <c r="M270" s="62">
        <v>1</v>
      </c>
      <c r="N270" s="60">
        <v>308</v>
      </c>
      <c r="O270" s="8" t="s">
        <v>14</v>
      </c>
      <c r="P270" s="9">
        <f t="shared" si="42"/>
        <v>-3.2407407407407402E-3</v>
      </c>
      <c r="Q270" s="9">
        <f t="shared" si="43"/>
        <v>0.58541666666667846</v>
      </c>
      <c r="R270" s="114">
        <v>0</v>
      </c>
      <c r="S270" s="59">
        <f t="shared" si="44"/>
        <v>0.58541666666667846</v>
      </c>
      <c r="T270" s="10">
        <f t="shared" si="45"/>
        <v>0.58541666666667846</v>
      </c>
      <c r="U270" s="55">
        <f t="shared" si="54"/>
        <v>1.0140500000000003</v>
      </c>
    </row>
    <row r="271" spans="8:21" x14ac:dyDescent="0.25">
      <c r="H271">
        <v>12</v>
      </c>
      <c r="I271" s="104" t="s">
        <v>129</v>
      </c>
      <c r="J271" s="174" t="s">
        <v>84</v>
      </c>
      <c r="K271" s="174"/>
      <c r="M271" s="62">
        <v>1</v>
      </c>
      <c r="N271" s="60">
        <v>307</v>
      </c>
      <c r="O271" s="8" t="s">
        <v>14</v>
      </c>
      <c r="P271" s="9">
        <f t="shared" si="42"/>
        <v>-3.2407407407407402E-3</v>
      </c>
      <c r="Q271" s="9">
        <f t="shared" si="43"/>
        <v>0.5821759259259377</v>
      </c>
      <c r="R271" s="114">
        <v>0</v>
      </c>
      <c r="S271" s="59">
        <f t="shared" si="44"/>
        <v>0.5821759259259377</v>
      </c>
      <c r="T271" s="10">
        <f t="shared" si="45"/>
        <v>0.5821759259259377</v>
      </c>
      <c r="U271" s="55">
        <f t="shared" si="54"/>
        <v>1.0139722222222225</v>
      </c>
    </row>
    <row r="272" spans="8:21" x14ac:dyDescent="0.25">
      <c r="H272">
        <v>12</v>
      </c>
      <c r="I272" s="104" t="s">
        <v>130</v>
      </c>
      <c r="J272" s="174" t="s">
        <v>84</v>
      </c>
      <c r="K272" s="174"/>
      <c r="M272" s="62">
        <v>1</v>
      </c>
      <c r="N272" s="60">
        <v>306</v>
      </c>
      <c r="O272" s="8" t="s">
        <v>14</v>
      </c>
      <c r="P272" s="9">
        <f t="shared" ref="P272:P335" si="55">IF(O272="Jalan",IF(T271&gt;=$J$6,IF(T271+(-$K$6*M272)&lt;$J$6,$J$6,-$K$6*M272),IF(T271&lt;=$J$6,IF(T271+(+$L$6*M272)&lt;$J$6,+$L$6*M272,$J$6))),IF(T271&gt;0,+$L$6*M272,-$L$6*M272))</f>
        <v>-3.2407407407407402E-3</v>
      </c>
      <c r="Q272" s="9">
        <f t="shared" ref="Q272:Q335" si="56">IF(P272=$J$6,$J$6,T271+P272)</f>
        <v>0.57893518518519693</v>
      </c>
      <c r="R272" s="114">
        <v>0</v>
      </c>
      <c r="S272" s="59">
        <f t="shared" ref="S272:S335" si="57">Q272+R272</f>
        <v>0.57893518518519693</v>
      </c>
      <c r="T272" s="10">
        <f t="shared" ref="T272:T335" si="58">S272</f>
        <v>0.57893518518519693</v>
      </c>
      <c r="U272" s="55">
        <f t="shared" si="54"/>
        <v>1.0138944444444447</v>
      </c>
    </row>
    <row r="273" spans="8:21" x14ac:dyDescent="0.25">
      <c r="H273">
        <v>12</v>
      </c>
      <c r="I273" s="104" t="s">
        <v>131</v>
      </c>
      <c r="J273" s="174" t="s">
        <v>84</v>
      </c>
      <c r="K273" s="174"/>
      <c r="M273" s="62">
        <v>1</v>
      </c>
      <c r="N273" s="60">
        <v>305</v>
      </c>
      <c r="O273" s="8" t="s">
        <v>14</v>
      </c>
      <c r="P273" s="9">
        <f t="shared" si="55"/>
        <v>-3.2407407407407402E-3</v>
      </c>
      <c r="Q273" s="9">
        <f t="shared" si="56"/>
        <v>0.57569444444445617</v>
      </c>
      <c r="R273" s="114">
        <v>0</v>
      </c>
      <c r="S273" s="59">
        <f t="shared" si="57"/>
        <v>0.57569444444445617</v>
      </c>
      <c r="T273" s="10">
        <f t="shared" si="58"/>
        <v>0.57569444444445617</v>
      </c>
      <c r="U273" s="55">
        <f t="shared" si="54"/>
        <v>1.013816666666667</v>
      </c>
    </row>
    <row r="274" spans="8:21" x14ac:dyDescent="0.25">
      <c r="H274">
        <v>12</v>
      </c>
      <c r="I274" s="104" t="s">
        <v>132</v>
      </c>
      <c r="J274" s="174" t="s">
        <v>84</v>
      </c>
      <c r="K274" s="174"/>
      <c r="M274" s="62">
        <v>1</v>
      </c>
      <c r="N274" s="60">
        <v>304</v>
      </c>
      <c r="O274" s="8" t="s">
        <v>14</v>
      </c>
      <c r="P274" s="9">
        <f t="shared" si="55"/>
        <v>-3.2407407407407402E-3</v>
      </c>
      <c r="Q274" s="9">
        <f t="shared" si="56"/>
        <v>0.5724537037037154</v>
      </c>
      <c r="R274" s="114">
        <v>0</v>
      </c>
      <c r="S274" s="59">
        <f t="shared" si="57"/>
        <v>0.5724537037037154</v>
      </c>
      <c r="T274" s="10">
        <f t="shared" si="58"/>
        <v>0.5724537037037154</v>
      </c>
      <c r="U274" s="55">
        <f t="shared" si="54"/>
        <v>1.0137388888888892</v>
      </c>
    </row>
    <row r="275" spans="8:21" x14ac:dyDescent="0.25">
      <c r="H275">
        <v>12</v>
      </c>
      <c r="I275" s="104" t="s">
        <v>133</v>
      </c>
      <c r="J275" s="174" t="s">
        <v>84</v>
      </c>
      <c r="K275" s="174"/>
      <c r="M275" s="62">
        <v>1</v>
      </c>
      <c r="N275" s="60">
        <v>303</v>
      </c>
      <c r="O275" s="8" t="s">
        <v>14</v>
      </c>
      <c r="P275" s="9">
        <f t="shared" si="55"/>
        <v>-3.2407407407407402E-3</v>
      </c>
      <c r="Q275" s="9">
        <f t="shared" si="56"/>
        <v>0.56921296296297463</v>
      </c>
      <c r="R275" s="114">
        <v>0</v>
      </c>
      <c r="S275" s="59">
        <f t="shared" si="57"/>
        <v>0.56921296296297463</v>
      </c>
      <c r="T275" s="10">
        <f t="shared" si="58"/>
        <v>0.56921296296297463</v>
      </c>
      <c r="U275" s="55">
        <f t="shared" si="54"/>
        <v>1.0136611111111113</v>
      </c>
    </row>
    <row r="276" spans="8:21" x14ac:dyDescent="0.25">
      <c r="H276">
        <v>12</v>
      </c>
      <c r="I276" s="104" t="s">
        <v>134</v>
      </c>
      <c r="J276" s="174" t="s">
        <v>84</v>
      </c>
      <c r="K276" s="174"/>
      <c r="M276" s="62">
        <v>1</v>
      </c>
      <c r="N276" s="60">
        <v>302</v>
      </c>
      <c r="O276" s="8" t="s">
        <v>14</v>
      </c>
      <c r="P276" s="9">
        <f t="shared" si="55"/>
        <v>-3.2407407407407402E-3</v>
      </c>
      <c r="Q276" s="9">
        <f t="shared" si="56"/>
        <v>0.56597222222223387</v>
      </c>
      <c r="R276" s="114">
        <v>0</v>
      </c>
      <c r="S276" s="59">
        <f t="shared" si="57"/>
        <v>0.56597222222223387</v>
      </c>
      <c r="T276" s="10">
        <f t="shared" si="58"/>
        <v>0.56597222222223387</v>
      </c>
      <c r="U276" s="55">
        <f t="shared" si="54"/>
        <v>1.0135833333333335</v>
      </c>
    </row>
    <row r="277" spans="8:21" x14ac:dyDescent="0.25">
      <c r="H277">
        <v>12</v>
      </c>
      <c r="I277" s="104" t="s">
        <v>135</v>
      </c>
      <c r="J277" s="174" t="s">
        <v>84</v>
      </c>
      <c r="K277" s="174"/>
      <c r="M277" s="62">
        <v>1</v>
      </c>
      <c r="N277" s="60">
        <v>301</v>
      </c>
      <c r="O277" s="8" t="s">
        <v>14</v>
      </c>
      <c r="P277" s="9">
        <f t="shared" si="55"/>
        <v>-3.2407407407407402E-3</v>
      </c>
      <c r="Q277" s="9">
        <f t="shared" si="56"/>
        <v>0.5627314814814931</v>
      </c>
      <c r="R277" s="114">
        <v>0</v>
      </c>
      <c r="S277" s="59">
        <f t="shared" si="57"/>
        <v>0.5627314814814931</v>
      </c>
      <c r="T277" s="10">
        <f t="shared" si="58"/>
        <v>0.5627314814814931</v>
      </c>
      <c r="U277" s="55">
        <f t="shared" si="54"/>
        <v>1.0135055555555559</v>
      </c>
    </row>
    <row r="278" spans="8:21" x14ac:dyDescent="0.25">
      <c r="H278">
        <v>12</v>
      </c>
      <c r="I278" s="104" t="s">
        <v>136</v>
      </c>
      <c r="J278" s="174" t="s">
        <v>84</v>
      </c>
      <c r="K278" s="174"/>
      <c r="M278" s="62">
        <v>1</v>
      </c>
      <c r="N278" s="60">
        <v>300</v>
      </c>
      <c r="O278" s="8" t="s">
        <v>14</v>
      </c>
      <c r="P278" s="9">
        <f t="shared" si="55"/>
        <v>-3.2407407407407402E-3</v>
      </c>
      <c r="Q278" s="9">
        <f t="shared" si="56"/>
        <v>0.55949074074075233</v>
      </c>
      <c r="R278" s="114">
        <v>0</v>
      </c>
      <c r="S278" s="59">
        <f t="shared" si="57"/>
        <v>0.55949074074075233</v>
      </c>
      <c r="T278" s="10">
        <f t="shared" si="58"/>
        <v>0.55949074074075233</v>
      </c>
      <c r="U278" s="55">
        <f t="shared" si="54"/>
        <v>1.013427777777778</v>
      </c>
    </row>
    <row r="279" spans="8:21" x14ac:dyDescent="0.25">
      <c r="H279">
        <v>12</v>
      </c>
      <c r="I279" s="104" t="s">
        <v>137</v>
      </c>
      <c r="J279" s="174" t="s">
        <v>84</v>
      </c>
      <c r="K279" s="174"/>
      <c r="M279" s="62">
        <v>1</v>
      </c>
      <c r="N279" s="60">
        <v>299</v>
      </c>
      <c r="O279" s="8" t="s">
        <v>14</v>
      </c>
      <c r="P279" s="9">
        <f t="shared" si="55"/>
        <v>-3.2407407407407402E-3</v>
      </c>
      <c r="Q279" s="9">
        <f t="shared" si="56"/>
        <v>0.55625000000001157</v>
      </c>
      <c r="R279" s="114">
        <v>0</v>
      </c>
      <c r="S279" s="59">
        <f t="shared" si="57"/>
        <v>0.55625000000001157</v>
      </c>
      <c r="T279" s="10">
        <f t="shared" si="58"/>
        <v>0.55625000000001157</v>
      </c>
      <c r="U279" s="55">
        <f t="shared" si="54"/>
        <v>1.0133500000000002</v>
      </c>
    </row>
    <row r="280" spans="8:21" x14ac:dyDescent="0.25">
      <c r="H280">
        <v>12</v>
      </c>
      <c r="I280" s="104" t="s">
        <v>138</v>
      </c>
      <c r="J280" s="174" t="s">
        <v>84</v>
      </c>
      <c r="K280" s="174"/>
      <c r="M280" s="62">
        <v>1</v>
      </c>
      <c r="N280" s="60">
        <v>298</v>
      </c>
      <c r="O280" s="8" t="s">
        <v>14</v>
      </c>
      <c r="P280" s="9">
        <f t="shared" si="55"/>
        <v>-3.2407407407407402E-3</v>
      </c>
      <c r="Q280" s="9">
        <f t="shared" si="56"/>
        <v>0.5530092592592708</v>
      </c>
      <c r="R280" s="114">
        <v>0</v>
      </c>
      <c r="S280" s="59">
        <f t="shared" si="57"/>
        <v>0.5530092592592708</v>
      </c>
      <c r="T280" s="10">
        <f t="shared" si="58"/>
        <v>0.5530092592592708</v>
      </c>
      <c r="U280" s="55">
        <f t="shared" si="54"/>
        <v>1.0132722222222226</v>
      </c>
    </row>
    <row r="281" spans="8:21" x14ac:dyDescent="0.25">
      <c r="H281">
        <v>12</v>
      </c>
      <c r="I281" s="104" t="s">
        <v>139</v>
      </c>
      <c r="J281" s="174" t="s">
        <v>84</v>
      </c>
      <c r="K281" s="174"/>
      <c r="M281" s="62">
        <v>1</v>
      </c>
      <c r="N281" s="60">
        <v>297</v>
      </c>
      <c r="O281" s="8" t="s">
        <v>14</v>
      </c>
      <c r="P281" s="9">
        <f t="shared" si="55"/>
        <v>-3.2407407407407402E-3</v>
      </c>
      <c r="Q281" s="9">
        <f t="shared" si="56"/>
        <v>0.54976851851853004</v>
      </c>
      <c r="R281" s="114">
        <v>0</v>
      </c>
      <c r="S281" s="59">
        <f t="shared" si="57"/>
        <v>0.54976851851853004</v>
      </c>
      <c r="T281" s="10">
        <f t="shared" si="58"/>
        <v>0.54976851851853004</v>
      </c>
      <c r="U281" s="55">
        <f t="shared" si="54"/>
        <v>1.0131944444444447</v>
      </c>
    </row>
    <row r="282" spans="8:21" x14ac:dyDescent="0.25">
      <c r="H282">
        <v>12</v>
      </c>
      <c r="I282" s="104" t="s">
        <v>140</v>
      </c>
      <c r="J282" s="174" t="s">
        <v>84</v>
      </c>
      <c r="K282" s="174"/>
      <c r="M282" s="62">
        <v>1</v>
      </c>
      <c r="N282" s="60">
        <v>296</v>
      </c>
      <c r="O282" s="8" t="s">
        <v>14</v>
      </c>
      <c r="P282" s="9">
        <f t="shared" si="55"/>
        <v>-3.2407407407407402E-3</v>
      </c>
      <c r="Q282" s="9">
        <f t="shared" si="56"/>
        <v>0.54652777777778927</v>
      </c>
      <c r="R282" s="114">
        <v>0</v>
      </c>
      <c r="S282" s="59">
        <f t="shared" si="57"/>
        <v>0.54652777777778927</v>
      </c>
      <c r="T282" s="10">
        <f t="shared" si="58"/>
        <v>0.54652777777778927</v>
      </c>
      <c r="U282" s="55">
        <f t="shared" si="54"/>
        <v>1.0131166666666669</v>
      </c>
    </row>
    <row r="283" spans="8:21" x14ac:dyDescent="0.25">
      <c r="H283">
        <v>12</v>
      </c>
      <c r="I283" s="104" t="s">
        <v>141</v>
      </c>
      <c r="J283" s="174" t="s">
        <v>84</v>
      </c>
      <c r="K283" s="174"/>
      <c r="M283" s="62">
        <v>1</v>
      </c>
      <c r="N283" s="60">
        <v>295</v>
      </c>
      <c r="O283" s="8" t="s">
        <v>14</v>
      </c>
      <c r="P283" s="9">
        <f t="shared" si="55"/>
        <v>-3.2407407407407402E-3</v>
      </c>
      <c r="Q283" s="9">
        <f t="shared" si="56"/>
        <v>0.5432870370370485</v>
      </c>
      <c r="R283" s="114">
        <v>0</v>
      </c>
      <c r="S283" s="59">
        <f t="shared" si="57"/>
        <v>0.5432870370370485</v>
      </c>
      <c r="T283" s="10">
        <f t="shared" si="58"/>
        <v>0.5432870370370485</v>
      </c>
      <c r="U283" s="55">
        <f t="shared" si="54"/>
        <v>1.0130388888888893</v>
      </c>
    </row>
    <row r="284" spans="8:21" x14ac:dyDescent="0.25">
      <c r="H284">
        <v>12</v>
      </c>
      <c r="I284" s="104" t="s">
        <v>142</v>
      </c>
      <c r="J284" s="174" t="s">
        <v>84</v>
      </c>
      <c r="K284" s="174"/>
      <c r="M284" s="62">
        <v>1</v>
      </c>
      <c r="N284" s="60">
        <v>294</v>
      </c>
      <c r="O284" s="8" t="s">
        <v>14</v>
      </c>
      <c r="P284" s="9">
        <f t="shared" si="55"/>
        <v>-3.2407407407407402E-3</v>
      </c>
      <c r="Q284" s="9">
        <f t="shared" si="56"/>
        <v>0.54004629629630774</v>
      </c>
      <c r="R284" s="114">
        <v>0</v>
      </c>
      <c r="S284" s="59">
        <f t="shared" si="57"/>
        <v>0.54004629629630774</v>
      </c>
      <c r="T284" s="10">
        <f t="shared" si="58"/>
        <v>0.54004629629630774</v>
      </c>
      <c r="U284" s="55">
        <f t="shared" si="54"/>
        <v>1.0129611111111114</v>
      </c>
    </row>
    <row r="285" spans="8:21" x14ac:dyDescent="0.25">
      <c r="H285">
        <v>12</v>
      </c>
      <c r="I285" s="104" t="s">
        <v>143</v>
      </c>
      <c r="J285" s="174" t="s">
        <v>84</v>
      </c>
      <c r="K285" s="174"/>
      <c r="M285" s="62">
        <v>1</v>
      </c>
      <c r="N285" s="60">
        <v>293</v>
      </c>
      <c r="O285" s="8" t="s">
        <v>14</v>
      </c>
      <c r="P285" s="9">
        <f t="shared" si="55"/>
        <v>-3.2407407407407402E-3</v>
      </c>
      <c r="Q285" s="9">
        <f t="shared" si="56"/>
        <v>0.53680555555556697</v>
      </c>
      <c r="R285" s="114">
        <v>0</v>
      </c>
      <c r="S285" s="59">
        <f t="shared" si="57"/>
        <v>0.53680555555556697</v>
      </c>
      <c r="T285" s="10">
        <f t="shared" si="58"/>
        <v>0.53680555555556697</v>
      </c>
      <c r="U285" s="55">
        <f t="shared" si="54"/>
        <v>1.0128833333333336</v>
      </c>
    </row>
    <row r="286" spans="8:21" x14ac:dyDescent="0.25">
      <c r="H286">
        <v>12</v>
      </c>
      <c r="I286" s="104" t="s">
        <v>144</v>
      </c>
      <c r="J286" s="174" t="s">
        <v>84</v>
      </c>
      <c r="K286" s="174"/>
      <c r="M286" s="62">
        <v>1</v>
      </c>
      <c r="N286" s="60">
        <v>292</v>
      </c>
      <c r="O286" s="8" t="s">
        <v>14</v>
      </c>
      <c r="P286" s="9">
        <f t="shared" si="55"/>
        <v>-3.2407407407407402E-3</v>
      </c>
      <c r="Q286" s="9">
        <f t="shared" si="56"/>
        <v>0.5335648148148262</v>
      </c>
      <c r="R286" s="114">
        <v>0</v>
      </c>
      <c r="S286" s="59">
        <f t="shared" si="57"/>
        <v>0.5335648148148262</v>
      </c>
      <c r="T286" s="10">
        <f t="shared" si="58"/>
        <v>0.5335648148148262</v>
      </c>
      <c r="U286" s="55">
        <f t="shared" si="54"/>
        <v>1.0128055555555557</v>
      </c>
    </row>
    <row r="287" spans="8:21" x14ac:dyDescent="0.25">
      <c r="H287">
        <v>12</v>
      </c>
      <c r="I287" s="104" t="s">
        <v>145</v>
      </c>
      <c r="J287" s="174" t="s">
        <v>84</v>
      </c>
      <c r="K287" s="174"/>
      <c r="M287" s="62">
        <v>1</v>
      </c>
      <c r="N287" s="60">
        <v>291</v>
      </c>
      <c r="O287" s="8" t="s">
        <v>14</v>
      </c>
      <c r="P287" s="9">
        <f t="shared" si="55"/>
        <v>-3.2407407407407402E-3</v>
      </c>
      <c r="Q287" s="9">
        <f t="shared" si="56"/>
        <v>0.53032407407408544</v>
      </c>
      <c r="R287" s="114">
        <v>0</v>
      </c>
      <c r="S287" s="59">
        <f t="shared" si="57"/>
        <v>0.53032407407408544</v>
      </c>
      <c r="T287" s="10">
        <f t="shared" si="58"/>
        <v>0.53032407407408544</v>
      </c>
      <c r="U287" s="55">
        <f t="shared" si="54"/>
        <v>1.0127277777777781</v>
      </c>
    </row>
    <row r="288" spans="8:21" x14ac:dyDescent="0.25">
      <c r="H288">
        <v>12</v>
      </c>
      <c r="I288" s="104" t="s">
        <v>146</v>
      </c>
      <c r="J288" s="174" t="s">
        <v>84</v>
      </c>
      <c r="K288" s="174"/>
      <c r="M288" s="62">
        <v>1</v>
      </c>
      <c r="N288" s="60">
        <v>290</v>
      </c>
      <c r="O288" s="8" t="s">
        <v>14</v>
      </c>
      <c r="P288" s="9">
        <f t="shared" si="55"/>
        <v>-3.2407407407407402E-3</v>
      </c>
      <c r="Q288" s="9">
        <f t="shared" si="56"/>
        <v>0.52708333333334467</v>
      </c>
      <c r="R288" s="114">
        <v>0</v>
      </c>
      <c r="S288" s="59">
        <f t="shared" si="57"/>
        <v>0.52708333333334467</v>
      </c>
      <c r="T288" s="10">
        <f t="shared" si="58"/>
        <v>0.52708333333334467</v>
      </c>
      <c r="U288" s="55">
        <f t="shared" si="54"/>
        <v>1.0126500000000003</v>
      </c>
    </row>
    <row r="289" spans="8:21" x14ac:dyDescent="0.25">
      <c r="H289">
        <v>12</v>
      </c>
      <c r="I289" s="104" t="s">
        <v>147</v>
      </c>
      <c r="J289" s="174" t="s">
        <v>84</v>
      </c>
      <c r="K289" s="174"/>
      <c r="M289" s="62">
        <v>1</v>
      </c>
      <c r="N289" s="60">
        <v>289</v>
      </c>
      <c r="O289" s="8" t="s">
        <v>14</v>
      </c>
      <c r="P289" s="9">
        <f t="shared" si="55"/>
        <v>-3.2407407407407402E-3</v>
      </c>
      <c r="Q289" s="9">
        <f t="shared" si="56"/>
        <v>0.52384259259260391</v>
      </c>
      <c r="R289" s="114">
        <v>0</v>
      </c>
      <c r="S289" s="59">
        <f t="shared" si="57"/>
        <v>0.52384259259260391</v>
      </c>
      <c r="T289" s="10">
        <f t="shared" si="58"/>
        <v>0.52384259259260391</v>
      </c>
      <c r="U289" s="55">
        <f t="shared" si="54"/>
        <v>1.0125722222222224</v>
      </c>
    </row>
    <row r="290" spans="8:21" x14ac:dyDescent="0.25">
      <c r="H290">
        <v>12</v>
      </c>
      <c r="I290" s="104" t="s">
        <v>148</v>
      </c>
      <c r="J290" s="174" t="s">
        <v>84</v>
      </c>
      <c r="K290" s="174"/>
      <c r="M290" s="62">
        <v>1</v>
      </c>
      <c r="N290" s="60">
        <v>288</v>
      </c>
      <c r="O290" s="8" t="s">
        <v>14</v>
      </c>
      <c r="P290" s="9">
        <f t="shared" si="55"/>
        <v>-3.2407407407407402E-3</v>
      </c>
      <c r="Q290" s="9">
        <f t="shared" si="56"/>
        <v>0.52060185185186314</v>
      </c>
      <c r="R290" s="114">
        <v>0</v>
      </c>
      <c r="S290" s="59">
        <f t="shared" si="57"/>
        <v>0.52060185185186314</v>
      </c>
      <c r="T290" s="10">
        <f t="shared" si="58"/>
        <v>0.52060185185186314</v>
      </c>
      <c r="U290" s="55">
        <f t="shared" si="54"/>
        <v>1.0124944444444448</v>
      </c>
    </row>
    <row r="291" spans="8:21" x14ac:dyDescent="0.25">
      <c r="H291">
        <v>12</v>
      </c>
      <c r="I291" s="104" t="s">
        <v>149</v>
      </c>
      <c r="J291" s="174" t="s">
        <v>84</v>
      </c>
      <c r="K291" s="174"/>
      <c r="M291" s="62">
        <v>1</v>
      </c>
      <c r="N291" s="60">
        <v>287</v>
      </c>
      <c r="O291" s="8" t="s">
        <v>14</v>
      </c>
      <c r="P291" s="9">
        <f t="shared" si="55"/>
        <v>-3.2407407407407402E-3</v>
      </c>
      <c r="Q291" s="9">
        <f t="shared" si="56"/>
        <v>0.51736111111112237</v>
      </c>
      <c r="R291" s="114">
        <v>0</v>
      </c>
      <c r="S291" s="59">
        <f t="shared" si="57"/>
        <v>0.51736111111112237</v>
      </c>
      <c r="T291" s="10">
        <f t="shared" si="58"/>
        <v>0.51736111111112237</v>
      </c>
      <c r="U291" s="55">
        <f t="shared" si="54"/>
        <v>1.012416666666667</v>
      </c>
    </row>
    <row r="292" spans="8:21" x14ac:dyDescent="0.25">
      <c r="H292">
        <v>12</v>
      </c>
      <c r="I292" s="104" t="s">
        <v>150</v>
      </c>
      <c r="J292" s="174" t="s">
        <v>84</v>
      </c>
      <c r="K292" s="174"/>
      <c r="M292" s="62">
        <v>1</v>
      </c>
      <c r="N292" s="60">
        <v>286</v>
      </c>
      <c r="O292" s="8" t="s">
        <v>14</v>
      </c>
      <c r="P292" s="9">
        <f t="shared" si="55"/>
        <v>-3.2407407407407402E-3</v>
      </c>
      <c r="Q292" s="9">
        <f t="shared" si="56"/>
        <v>0.51412037037038161</v>
      </c>
      <c r="R292" s="114">
        <v>0</v>
      </c>
      <c r="S292" s="59">
        <f t="shared" si="57"/>
        <v>0.51412037037038161</v>
      </c>
      <c r="T292" s="10">
        <f t="shared" si="58"/>
        <v>0.51412037037038161</v>
      </c>
      <c r="U292" s="55">
        <f t="shared" si="54"/>
        <v>1.0123388888888891</v>
      </c>
    </row>
    <row r="293" spans="8:21" x14ac:dyDescent="0.25">
      <c r="H293">
        <v>12</v>
      </c>
      <c r="I293" s="104" t="s">
        <v>151</v>
      </c>
      <c r="J293" s="174" t="s">
        <v>84</v>
      </c>
      <c r="K293" s="174"/>
      <c r="M293" s="62">
        <v>1</v>
      </c>
      <c r="N293" s="60">
        <v>285</v>
      </c>
      <c r="O293" s="8" t="s">
        <v>14</v>
      </c>
      <c r="P293" s="9">
        <f t="shared" si="55"/>
        <v>-3.2407407407407402E-3</v>
      </c>
      <c r="Q293" s="9">
        <f t="shared" si="56"/>
        <v>0.51087962962964084</v>
      </c>
      <c r="R293" s="114">
        <v>0</v>
      </c>
      <c r="S293" s="59">
        <f t="shared" si="57"/>
        <v>0.51087962962964084</v>
      </c>
      <c r="T293" s="10">
        <f t="shared" si="58"/>
        <v>0.51087962962964084</v>
      </c>
      <c r="U293" s="55">
        <f t="shared" si="54"/>
        <v>1.0122611111111113</v>
      </c>
    </row>
    <row r="294" spans="8:21" x14ac:dyDescent="0.25">
      <c r="H294">
        <v>12</v>
      </c>
      <c r="I294" s="104" t="s">
        <v>152</v>
      </c>
      <c r="J294" s="174" t="s">
        <v>84</v>
      </c>
      <c r="K294" s="174"/>
      <c r="M294" s="62">
        <v>1</v>
      </c>
      <c r="N294" s="60">
        <v>284</v>
      </c>
      <c r="O294" s="8" t="s">
        <v>14</v>
      </c>
      <c r="P294" s="9">
        <f t="shared" si="55"/>
        <v>-3.2407407407407402E-3</v>
      </c>
      <c r="Q294" s="9">
        <f t="shared" si="56"/>
        <v>0.50763888888890008</v>
      </c>
      <c r="R294" s="114">
        <v>0</v>
      </c>
      <c r="S294" s="59">
        <f t="shared" si="57"/>
        <v>0.50763888888890008</v>
      </c>
      <c r="T294" s="10">
        <f t="shared" si="58"/>
        <v>0.50763888888890008</v>
      </c>
      <c r="U294" s="55">
        <f t="shared" si="54"/>
        <v>1.0121833333333337</v>
      </c>
    </row>
    <row r="295" spans="8:21" x14ac:dyDescent="0.25">
      <c r="H295">
        <v>12</v>
      </c>
      <c r="I295" s="104" t="s">
        <v>153</v>
      </c>
      <c r="J295" s="174" t="s">
        <v>84</v>
      </c>
      <c r="K295" s="174"/>
      <c r="M295" s="62">
        <v>1</v>
      </c>
      <c r="N295" s="60">
        <v>283</v>
      </c>
      <c r="O295" s="8" t="s">
        <v>14</v>
      </c>
      <c r="P295" s="9">
        <f t="shared" si="55"/>
        <v>-3.2407407407407402E-3</v>
      </c>
      <c r="Q295" s="9">
        <f t="shared" si="56"/>
        <v>0.50439814814815931</v>
      </c>
      <c r="R295" s="114">
        <v>0</v>
      </c>
      <c r="S295" s="59">
        <f t="shared" si="57"/>
        <v>0.50439814814815931</v>
      </c>
      <c r="T295" s="10">
        <f t="shared" si="58"/>
        <v>0.50439814814815931</v>
      </c>
      <c r="U295" s="55">
        <f t="shared" si="54"/>
        <v>1.0121055555555558</v>
      </c>
    </row>
    <row r="296" spans="8:21" x14ac:dyDescent="0.25">
      <c r="H296">
        <v>12</v>
      </c>
      <c r="I296" s="104" t="s">
        <v>154</v>
      </c>
      <c r="J296" s="174" t="s">
        <v>84</v>
      </c>
      <c r="K296" s="174"/>
      <c r="M296" s="62">
        <v>1</v>
      </c>
      <c r="N296" s="60">
        <v>282</v>
      </c>
      <c r="O296" s="8" t="s">
        <v>14</v>
      </c>
      <c r="P296" s="9">
        <f t="shared" si="55"/>
        <v>-3.2407407407407402E-3</v>
      </c>
      <c r="Q296" s="9">
        <f t="shared" si="56"/>
        <v>0.50115740740741854</v>
      </c>
      <c r="R296" s="114">
        <v>0</v>
      </c>
      <c r="S296" s="59">
        <f t="shared" si="57"/>
        <v>0.50115740740741854</v>
      </c>
      <c r="T296" s="10">
        <f t="shared" si="58"/>
        <v>0.50115740740741854</v>
      </c>
      <c r="U296" s="55">
        <f t="shared" si="54"/>
        <v>1.012027777777778</v>
      </c>
    </row>
    <row r="297" spans="8:21" x14ac:dyDescent="0.25">
      <c r="H297">
        <v>12</v>
      </c>
      <c r="I297" s="104" t="s">
        <v>155</v>
      </c>
      <c r="J297" s="174" t="s">
        <v>84</v>
      </c>
      <c r="K297" s="174"/>
      <c r="M297" s="62">
        <v>1</v>
      </c>
      <c r="N297" s="60">
        <v>281</v>
      </c>
      <c r="O297" s="8" t="s">
        <v>14</v>
      </c>
      <c r="P297" s="9">
        <f t="shared" si="55"/>
        <v>-3.2407407407407402E-3</v>
      </c>
      <c r="Q297" s="9">
        <f t="shared" si="56"/>
        <v>0.49791666666667778</v>
      </c>
      <c r="R297" s="114">
        <v>0</v>
      </c>
      <c r="S297" s="59">
        <f t="shared" si="57"/>
        <v>0.49791666666667778</v>
      </c>
      <c r="T297" s="10">
        <f t="shared" si="58"/>
        <v>0.49791666666667778</v>
      </c>
      <c r="U297" s="55">
        <f t="shared" si="54"/>
        <v>1.0119500000000003</v>
      </c>
    </row>
    <row r="298" spans="8:21" x14ac:dyDescent="0.25">
      <c r="H298">
        <v>12</v>
      </c>
      <c r="I298" s="104" t="s">
        <v>156</v>
      </c>
      <c r="J298" s="174" t="s">
        <v>84</v>
      </c>
      <c r="K298" s="174"/>
      <c r="M298" s="62">
        <v>1</v>
      </c>
      <c r="N298" s="60">
        <v>280</v>
      </c>
      <c r="O298" s="8" t="s">
        <v>14</v>
      </c>
      <c r="P298" s="9">
        <f t="shared" si="55"/>
        <v>-3.2407407407407402E-3</v>
      </c>
      <c r="Q298" s="9">
        <f t="shared" si="56"/>
        <v>0.49467592592593701</v>
      </c>
      <c r="R298" s="114">
        <v>0</v>
      </c>
      <c r="S298" s="59">
        <f t="shared" si="57"/>
        <v>0.49467592592593701</v>
      </c>
      <c r="T298" s="10">
        <f t="shared" si="58"/>
        <v>0.49467592592593701</v>
      </c>
      <c r="U298" s="55">
        <f t="shared" si="54"/>
        <v>1.0118722222222225</v>
      </c>
    </row>
    <row r="299" spans="8:21" x14ac:dyDescent="0.25">
      <c r="H299">
        <v>12</v>
      </c>
      <c r="I299" s="104" t="s">
        <v>157</v>
      </c>
      <c r="J299" s="174" t="s">
        <v>84</v>
      </c>
      <c r="K299" s="174"/>
      <c r="M299" s="62">
        <v>1</v>
      </c>
      <c r="N299" s="60">
        <v>279</v>
      </c>
      <c r="O299" s="8" t="s">
        <v>14</v>
      </c>
      <c r="P299" s="9">
        <f t="shared" si="55"/>
        <v>-3.2407407407407402E-3</v>
      </c>
      <c r="Q299" s="9">
        <f t="shared" si="56"/>
        <v>0.49143518518519624</v>
      </c>
      <c r="R299" s="114">
        <v>0</v>
      </c>
      <c r="S299" s="59">
        <f t="shared" si="57"/>
        <v>0.49143518518519624</v>
      </c>
      <c r="T299" s="10">
        <f t="shared" si="58"/>
        <v>0.49143518518519624</v>
      </c>
      <c r="U299" s="55">
        <f t="shared" si="54"/>
        <v>1.0117944444444447</v>
      </c>
    </row>
    <row r="300" spans="8:21" x14ac:dyDescent="0.25">
      <c r="H300">
        <v>12</v>
      </c>
      <c r="I300" s="104" t="s">
        <v>158</v>
      </c>
      <c r="J300" s="174" t="s">
        <v>84</v>
      </c>
      <c r="K300" s="174"/>
      <c r="M300" s="62">
        <v>1</v>
      </c>
      <c r="N300" s="60">
        <v>278</v>
      </c>
      <c r="O300" s="8" t="s">
        <v>14</v>
      </c>
      <c r="P300" s="9">
        <f t="shared" si="55"/>
        <v>-3.2407407407407402E-3</v>
      </c>
      <c r="Q300" s="9">
        <f t="shared" si="56"/>
        <v>0.48819444444445548</v>
      </c>
      <c r="R300" s="114">
        <v>0</v>
      </c>
      <c r="S300" s="59">
        <f t="shared" si="57"/>
        <v>0.48819444444445548</v>
      </c>
      <c r="T300" s="10">
        <f t="shared" si="58"/>
        <v>0.48819444444445548</v>
      </c>
      <c r="U300" s="55">
        <f t="shared" si="54"/>
        <v>1.011716666666667</v>
      </c>
    </row>
    <row r="301" spans="8:21" x14ac:dyDescent="0.25">
      <c r="H301">
        <v>12</v>
      </c>
      <c r="I301" s="104" t="s">
        <v>159</v>
      </c>
      <c r="J301" s="174" t="s">
        <v>84</v>
      </c>
      <c r="K301" s="174"/>
      <c r="M301" s="62">
        <v>1</v>
      </c>
      <c r="N301" s="60">
        <v>277</v>
      </c>
      <c r="O301" s="8" t="s">
        <v>14</v>
      </c>
      <c r="P301" s="9">
        <f t="shared" si="55"/>
        <v>-3.2407407407407402E-3</v>
      </c>
      <c r="Q301" s="9">
        <f t="shared" si="56"/>
        <v>0.48495370370371471</v>
      </c>
      <c r="R301" s="114">
        <v>0</v>
      </c>
      <c r="S301" s="59">
        <f t="shared" si="57"/>
        <v>0.48495370370371471</v>
      </c>
      <c r="T301" s="10">
        <f t="shared" si="58"/>
        <v>0.48495370370371471</v>
      </c>
      <c r="U301" s="55">
        <f t="shared" si="54"/>
        <v>1.0116388888888892</v>
      </c>
    </row>
    <row r="302" spans="8:21" x14ac:dyDescent="0.25">
      <c r="H302">
        <v>12</v>
      </c>
      <c r="I302" s="104" t="s">
        <v>160</v>
      </c>
      <c r="J302" s="174" t="s">
        <v>84</v>
      </c>
      <c r="K302" s="174"/>
      <c r="M302" s="62">
        <v>1</v>
      </c>
      <c r="N302" s="60">
        <v>276</v>
      </c>
      <c r="O302" s="8" t="s">
        <v>14</v>
      </c>
      <c r="P302" s="9">
        <f t="shared" si="55"/>
        <v>-3.2407407407407402E-3</v>
      </c>
      <c r="Q302" s="9">
        <f t="shared" si="56"/>
        <v>0.48171296296297395</v>
      </c>
      <c r="R302" s="114">
        <v>0</v>
      </c>
      <c r="S302" s="59">
        <f t="shared" si="57"/>
        <v>0.48171296296297395</v>
      </c>
      <c r="T302" s="10">
        <f t="shared" si="58"/>
        <v>0.48171296296297395</v>
      </c>
      <c r="U302" s="55">
        <f t="shared" si="54"/>
        <v>1.0115611111111114</v>
      </c>
    </row>
    <row r="303" spans="8:21" x14ac:dyDescent="0.25">
      <c r="H303">
        <v>12</v>
      </c>
      <c r="I303" s="104" t="s">
        <v>161</v>
      </c>
      <c r="J303" s="174" t="s">
        <v>84</v>
      </c>
      <c r="K303" s="174"/>
      <c r="M303" s="62">
        <v>1</v>
      </c>
      <c r="N303" s="60">
        <v>275</v>
      </c>
      <c r="O303" s="8" t="s">
        <v>14</v>
      </c>
      <c r="P303" s="9">
        <f t="shared" si="55"/>
        <v>-3.2407407407407402E-3</v>
      </c>
      <c r="Q303" s="9">
        <f t="shared" si="56"/>
        <v>0.47847222222223318</v>
      </c>
      <c r="R303" s="114">
        <v>0</v>
      </c>
      <c r="S303" s="59">
        <f t="shared" si="57"/>
        <v>0.47847222222223318</v>
      </c>
      <c r="T303" s="10">
        <f t="shared" si="58"/>
        <v>0.47847222222223318</v>
      </c>
      <c r="U303" s="55">
        <f t="shared" si="54"/>
        <v>1.0114833333333335</v>
      </c>
    </row>
    <row r="304" spans="8:21" x14ac:dyDescent="0.25">
      <c r="H304">
        <v>12</v>
      </c>
      <c r="I304" s="104" t="s">
        <v>162</v>
      </c>
      <c r="J304" s="174" t="s">
        <v>84</v>
      </c>
      <c r="K304" s="174"/>
      <c r="M304" s="62">
        <v>1</v>
      </c>
      <c r="N304" s="60">
        <v>274</v>
      </c>
      <c r="O304" s="8" t="s">
        <v>14</v>
      </c>
      <c r="P304" s="9">
        <f t="shared" si="55"/>
        <v>-3.2407407407407402E-3</v>
      </c>
      <c r="Q304" s="9">
        <f t="shared" si="56"/>
        <v>0.47523148148149241</v>
      </c>
      <c r="R304" s="114">
        <v>0</v>
      </c>
      <c r="S304" s="59">
        <f t="shared" si="57"/>
        <v>0.47523148148149241</v>
      </c>
      <c r="T304" s="10">
        <f t="shared" si="58"/>
        <v>0.47523148148149241</v>
      </c>
      <c r="U304" s="55">
        <f t="shared" si="54"/>
        <v>1.0114055555555559</v>
      </c>
    </row>
    <row r="305" spans="8:21" x14ac:dyDescent="0.25">
      <c r="H305">
        <v>12</v>
      </c>
      <c r="I305" s="104" t="s">
        <v>163</v>
      </c>
      <c r="J305" s="174" t="s">
        <v>84</v>
      </c>
      <c r="K305" s="174"/>
      <c r="M305" s="62">
        <v>1</v>
      </c>
      <c r="N305" s="60">
        <v>273</v>
      </c>
      <c r="O305" s="8" t="s">
        <v>14</v>
      </c>
      <c r="P305" s="9">
        <f t="shared" si="55"/>
        <v>-3.2407407407407402E-3</v>
      </c>
      <c r="Q305" s="9">
        <f t="shared" si="56"/>
        <v>0.47199074074075165</v>
      </c>
      <c r="R305" s="114">
        <v>0</v>
      </c>
      <c r="S305" s="59">
        <f t="shared" si="57"/>
        <v>0.47199074074075165</v>
      </c>
      <c r="T305" s="10">
        <f t="shared" si="58"/>
        <v>0.47199074074075165</v>
      </c>
      <c r="U305" s="55">
        <f t="shared" si="54"/>
        <v>1.011327777777778</v>
      </c>
    </row>
    <row r="306" spans="8:21" x14ac:dyDescent="0.25">
      <c r="I306" s="104"/>
      <c r="J306" s="174" t="s">
        <v>84</v>
      </c>
      <c r="K306" s="174"/>
      <c r="M306" s="62">
        <v>1</v>
      </c>
      <c r="N306" s="60">
        <v>272</v>
      </c>
      <c r="O306" s="8" t="s">
        <v>14</v>
      </c>
      <c r="P306" s="9">
        <f t="shared" si="55"/>
        <v>-3.2407407407407402E-3</v>
      </c>
      <c r="Q306" s="9">
        <f t="shared" si="56"/>
        <v>0.46875000000001088</v>
      </c>
      <c r="R306" s="114">
        <v>0</v>
      </c>
      <c r="S306" s="59">
        <f t="shared" si="57"/>
        <v>0.46875000000001088</v>
      </c>
      <c r="T306" s="10">
        <f t="shared" si="58"/>
        <v>0.46875000000001088</v>
      </c>
      <c r="U306" s="55">
        <f t="shared" si="54"/>
        <v>1.0112500000000002</v>
      </c>
    </row>
    <row r="307" spans="8:21" x14ac:dyDescent="0.25">
      <c r="I307" s="104"/>
      <c r="J307" s="174" t="s">
        <v>84</v>
      </c>
      <c r="K307" s="174"/>
      <c r="M307" s="62">
        <v>1</v>
      </c>
      <c r="N307" s="60">
        <v>271</v>
      </c>
      <c r="O307" s="8" t="s">
        <v>14</v>
      </c>
      <c r="P307" s="9">
        <f t="shared" si="55"/>
        <v>-3.2407407407407402E-3</v>
      </c>
      <c r="Q307" s="9">
        <f t="shared" si="56"/>
        <v>0.46550925925927011</v>
      </c>
      <c r="R307" s="114">
        <v>0</v>
      </c>
      <c r="S307" s="59">
        <f t="shared" si="57"/>
        <v>0.46550925925927011</v>
      </c>
      <c r="T307" s="10">
        <f t="shared" si="58"/>
        <v>0.46550925925927011</v>
      </c>
      <c r="U307" s="55">
        <f t="shared" si="54"/>
        <v>1.0111722222222226</v>
      </c>
    </row>
    <row r="308" spans="8:21" x14ac:dyDescent="0.25">
      <c r="I308" s="104"/>
      <c r="J308" s="174" t="s">
        <v>84</v>
      </c>
      <c r="K308" s="174"/>
      <c r="M308" s="62">
        <v>1</v>
      </c>
      <c r="N308" s="60">
        <v>270</v>
      </c>
      <c r="O308" s="8" t="s">
        <v>14</v>
      </c>
      <c r="P308" s="9">
        <f t="shared" si="55"/>
        <v>-3.2407407407407402E-3</v>
      </c>
      <c r="Q308" s="9">
        <f t="shared" si="56"/>
        <v>0.46226851851852935</v>
      </c>
      <c r="R308" s="114">
        <v>0</v>
      </c>
      <c r="S308" s="59">
        <f t="shared" si="57"/>
        <v>0.46226851851852935</v>
      </c>
      <c r="T308" s="10">
        <f t="shared" si="58"/>
        <v>0.46226851851852935</v>
      </c>
      <c r="U308" s="55">
        <f t="shared" si="54"/>
        <v>1.0110944444444447</v>
      </c>
    </row>
    <row r="309" spans="8:21" x14ac:dyDescent="0.25">
      <c r="I309" s="104"/>
      <c r="J309" s="174" t="s">
        <v>84</v>
      </c>
      <c r="K309" s="174"/>
      <c r="M309" s="62">
        <v>1</v>
      </c>
      <c r="N309" s="60">
        <v>269</v>
      </c>
      <c r="O309" s="8" t="s">
        <v>14</v>
      </c>
      <c r="P309" s="9">
        <f t="shared" si="55"/>
        <v>-3.2407407407407402E-3</v>
      </c>
      <c r="Q309" s="9">
        <f t="shared" si="56"/>
        <v>0.45902777777778858</v>
      </c>
      <c r="R309" s="114">
        <v>0</v>
      </c>
      <c r="S309" s="59">
        <f t="shared" si="57"/>
        <v>0.45902777777778858</v>
      </c>
      <c r="T309" s="10">
        <f t="shared" si="58"/>
        <v>0.45902777777778858</v>
      </c>
      <c r="U309" s="55">
        <f t="shared" si="54"/>
        <v>1.0110166666666669</v>
      </c>
    </row>
    <row r="310" spans="8:21" x14ac:dyDescent="0.25">
      <c r="I310" s="104"/>
      <c r="J310" s="174" t="s">
        <v>84</v>
      </c>
      <c r="K310" s="174"/>
      <c r="M310" s="62">
        <v>1</v>
      </c>
      <c r="N310" s="60">
        <v>268</v>
      </c>
      <c r="O310" s="8" t="s">
        <v>14</v>
      </c>
      <c r="P310" s="9">
        <f t="shared" si="55"/>
        <v>-3.2407407407407402E-3</v>
      </c>
      <c r="Q310" s="9">
        <f t="shared" si="56"/>
        <v>0.45578703703704782</v>
      </c>
      <c r="R310" s="114">
        <v>0</v>
      </c>
      <c r="S310" s="59">
        <f t="shared" si="57"/>
        <v>0.45578703703704782</v>
      </c>
      <c r="T310" s="10">
        <f t="shared" si="58"/>
        <v>0.45578703703704782</v>
      </c>
      <c r="U310" s="55">
        <f t="shared" si="54"/>
        <v>1.0109388888888891</v>
      </c>
    </row>
    <row r="311" spans="8:21" x14ac:dyDescent="0.25">
      <c r="I311" s="104"/>
      <c r="J311" s="174" t="s">
        <v>84</v>
      </c>
      <c r="K311" s="174"/>
      <c r="M311" s="62">
        <v>1</v>
      </c>
      <c r="N311" s="60">
        <v>267</v>
      </c>
      <c r="O311" s="8" t="s">
        <v>14</v>
      </c>
      <c r="P311" s="9">
        <f t="shared" si="55"/>
        <v>-3.2407407407407402E-3</v>
      </c>
      <c r="Q311" s="9">
        <f t="shared" si="56"/>
        <v>0.45254629629630705</v>
      </c>
      <c r="R311" s="114">
        <v>0</v>
      </c>
      <c r="S311" s="59">
        <f t="shared" si="57"/>
        <v>0.45254629629630705</v>
      </c>
      <c r="T311" s="10">
        <f t="shared" si="58"/>
        <v>0.45254629629630705</v>
      </c>
      <c r="U311" s="55">
        <f t="shared" si="54"/>
        <v>1.0108611111111114</v>
      </c>
    </row>
    <row r="312" spans="8:21" x14ac:dyDescent="0.25">
      <c r="I312" s="104"/>
      <c r="J312" s="174" t="s">
        <v>84</v>
      </c>
      <c r="K312" s="174"/>
      <c r="M312" s="62">
        <v>1</v>
      </c>
      <c r="N312" s="60">
        <v>266</v>
      </c>
      <c r="O312" s="8" t="s">
        <v>14</v>
      </c>
      <c r="P312" s="9">
        <f t="shared" si="55"/>
        <v>-3.2407407407407402E-3</v>
      </c>
      <c r="Q312" s="9">
        <f t="shared" si="56"/>
        <v>0.44930555555556628</v>
      </c>
      <c r="R312" s="114">
        <v>0</v>
      </c>
      <c r="S312" s="59">
        <f t="shared" si="57"/>
        <v>0.44930555555556628</v>
      </c>
      <c r="T312" s="10">
        <f t="shared" si="58"/>
        <v>0.44930555555556628</v>
      </c>
      <c r="U312" s="55">
        <f t="shared" si="54"/>
        <v>1.0107833333333336</v>
      </c>
    </row>
    <row r="313" spans="8:21" x14ac:dyDescent="0.25">
      <c r="I313" s="104"/>
      <c r="J313" s="174" t="s">
        <v>84</v>
      </c>
      <c r="K313" s="174"/>
      <c r="M313" s="62">
        <v>1</v>
      </c>
      <c r="N313" s="60">
        <v>265</v>
      </c>
      <c r="O313" s="8" t="s">
        <v>14</v>
      </c>
      <c r="P313" s="9">
        <f t="shared" si="55"/>
        <v>-3.2407407407407402E-3</v>
      </c>
      <c r="Q313" s="9">
        <f t="shared" si="56"/>
        <v>0.44606481481482552</v>
      </c>
      <c r="R313" s="114">
        <v>0</v>
      </c>
      <c r="S313" s="59">
        <f t="shared" si="57"/>
        <v>0.44606481481482552</v>
      </c>
      <c r="T313" s="10">
        <f t="shared" si="58"/>
        <v>0.44606481481482552</v>
      </c>
      <c r="U313" s="55">
        <f t="shared" si="54"/>
        <v>1.0107055555555557</v>
      </c>
    </row>
    <row r="314" spans="8:21" x14ac:dyDescent="0.25">
      <c r="I314" s="104"/>
      <c r="J314" s="174" t="s">
        <v>84</v>
      </c>
      <c r="K314" s="174"/>
      <c r="M314" s="62">
        <v>1</v>
      </c>
      <c r="N314" s="60">
        <v>264</v>
      </c>
      <c r="O314" s="8" t="s">
        <v>14</v>
      </c>
      <c r="P314" s="9">
        <f t="shared" si="55"/>
        <v>-3.2407407407407402E-3</v>
      </c>
      <c r="Q314" s="9">
        <f t="shared" si="56"/>
        <v>0.44282407407408475</v>
      </c>
      <c r="R314" s="114">
        <v>0</v>
      </c>
      <c r="S314" s="59">
        <f t="shared" si="57"/>
        <v>0.44282407407408475</v>
      </c>
      <c r="T314" s="10">
        <f t="shared" si="58"/>
        <v>0.44282407407408475</v>
      </c>
      <c r="U314" s="55">
        <f t="shared" si="54"/>
        <v>1.0106277777777781</v>
      </c>
    </row>
    <row r="315" spans="8:21" x14ac:dyDescent="0.25">
      <c r="I315" s="104"/>
      <c r="J315" s="174" t="s">
        <v>84</v>
      </c>
      <c r="K315" s="174"/>
      <c r="M315" s="62">
        <v>1</v>
      </c>
      <c r="N315" s="60">
        <v>263</v>
      </c>
      <c r="O315" s="8" t="s">
        <v>14</v>
      </c>
      <c r="P315" s="9">
        <f t="shared" si="55"/>
        <v>-3.2407407407407402E-3</v>
      </c>
      <c r="Q315" s="9">
        <f t="shared" si="56"/>
        <v>0.43958333333334398</v>
      </c>
      <c r="R315" s="114">
        <v>0</v>
      </c>
      <c r="S315" s="59">
        <f t="shared" si="57"/>
        <v>0.43958333333334398</v>
      </c>
      <c r="T315" s="10">
        <f t="shared" si="58"/>
        <v>0.43958333333334398</v>
      </c>
      <c r="U315" s="55">
        <f t="shared" si="54"/>
        <v>1.0105500000000003</v>
      </c>
    </row>
    <row r="316" spans="8:21" x14ac:dyDescent="0.25">
      <c r="I316" s="104"/>
      <c r="J316" s="174" t="s">
        <v>84</v>
      </c>
      <c r="K316" s="174"/>
      <c r="M316" s="62">
        <v>1</v>
      </c>
      <c r="N316" s="60">
        <v>262</v>
      </c>
      <c r="O316" s="8" t="s">
        <v>14</v>
      </c>
      <c r="P316" s="9">
        <f t="shared" si="55"/>
        <v>-3.2407407407407402E-3</v>
      </c>
      <c r="Q316" s="9">
        <f t="shared" si="56"/>
        <v>0.43634259259260322</v>
      </c>
      <c r="R316" s="114">
        <v>0</v>
      </c>
      <c r="S316" s="59">
        <f t="shared" si="57"/>
        <v>0.43634259259260322</v>
      </c>
      <c r="T316" s="10">
        <f t="shared" si="58"/>
        <v>0.43634259259260322</v>
      </c>
      <c r="U316" s="55">
        <f t="shared" si="54"/>
        <v>1.0104722222222224</v>
      </c>
    </row>
    <row r="317" spans="8:21" x14ac:dyDescent="0.25">
      <c r="I317" s="104"/>
      <c r="J317" s="174" t="s">
        <v>84</v>
      </c>
      <c r="K317" s="174"/>
      <c r="M317" s="62">
        <v>1</v>
      </c>
      <c r="N317" s="60">
        <v>261</v>
      </c>
      <c r="O317" s="8" t="s">
        <v>14</v>
      </c>
      <c r="P317" s="9">
        <f t="shared" si="55"/>
        <v>-3.2407407407407402E-3</v>
      </c>
      <c r="Q317" s="9">
        <f t="shared" si="56"/>
        <v>0.43310185185186245</v>
      </c>
      <c r="R317" s="114">
        <v>0</v>
      </c>
      <c r="S317" s="59">
        <f t="shared" si="57"/>
        <v>0.43310185185186245</v>
      </c>
      <c r="T317" s="10">
        <f t="shared" si="58"/>
        <v>0.43310185185186245</v>
      </c>
      <c r="U317" s="55">
        <f t="shared" si="54"/>
        <v>1.0103944444444446</v>
      </c>
    </row>
    <row r="318" spans="8:21" x14ac:dyDescent="0.25">
      <c r="I318" s="104"/>
      <c r="J318" s="174" t="s">
        <v>84</v>
      </c>
      <c r="K318" s="174"/>
      <c r="M318" s="62">
        <v>1</v>
      </c>
      <c r="N318" s="60">
        <v>260</v>
      </c>
      <c r="O318" s="8" t="s">
        <v>14</v>
      </c>
      <c r="P318" s="9">
        <f t="shared" si="55"/>
        <v>-3.2407407407407402E-3</v>
      </c>
      <c r="Q318" s="9">
        <f t="shared" si="56"/>
        <v>0.42986111111112169</v>
      </c>
      <c r="R318" s="114">
        <v>0</v>
      </c>
      <c r="S318" s="59">
        <f t="shared" si="57"/>
        <v>0.42986111111112169</v>
      </c>
      <c r="T318" s="10">
        <f t="shared" si="58"/>
        <v>0.42986111111112169</v>
      </c>
      <c r="U318" s="55">
        <f t="shared" si="54"/>
        <v>1.010316666666667</v>
      </c>
    </row>
    <row r="319" spans="8:21" x14ac:dyDescent="0.25">
      <c r="I319" s="104"/>
      <c r="J319" s="174" t="s">
        <v>84</v>
      </c>
      <c r="K319" s="174"/>
      <c r="M319" s="62">
        <v>1</v>
      </c>
      <c r="N319" s="60">
        <v>259</v>
      </c>
      <c r="O319" s="8" t="s">
        <v>14</v>
      </c>
      <c r="P319" s="9">
        <f t="shared" si="55"/>
        <v>-3.2407407407407402E-3</v>
      </c>
      <c r="Q319" s="9">
        <f t="shared" si="56"/>
        <v>0.42662037037038092</v>
      </c>
      <c r="R319" s="114">
        <v>0</v>
      </c>
      <c r="S319" s="59">
        <f t="shared" si="57"/>
        <v>0.42662037037038092</v>
      </c>
      <c r="T319" s="10">
        <f t="shared" si="58"/>
        <v>0.42662037037038092</v>
      </c>
      <c r="U319" s="55">
        <f t="shared" si="54"/>
        <v>1.0102388888888891</v>
      </c>
    </row>
    <row r="320" spans="8:21" x14ac:dyDescent="0.25">
      <c r="I320" s="104"/>
      <c r="J320" s="174" t="s">
        <v>84</v>
      </c>
      <c r="K320" s="174"/>
      <c r="M320" s="62">
        <v>1</v>
      </c>
      <c r="N320" s="60">
        <v>258</v>
      </c>
      <c r="O320" s="8" t="s">
        <v>14</v>
      </c>
      <c r="P320" s="9">
        <f t="shared" si="55"/>
        <v>-3.2407407407407402E-3</v>
      </c>
      <c r="Q320" s="9">
        <f t="shared" si="56"/>
        <v>0.42337962962964015</v>
      </c>
      <c r="R320" s="114">
        <v>0</v>
      </c>
      <c r="S320" s="59">
        <f t="shared" si="57"/>
        <v>0.42337962962964015</v>
      </c>
      <c r="T320" s="10">
        <f t="shared" si="58"/>
        <v>0.42337962962964015</v>
      </c>
      <c r="U320" s="55">
        <f t="shared" si="54"/>
        <v>1.0101611111111113</v>
      </c>
    </row>
    <row r="321" spans="9:21" x14ac:dyDescent="0.25">
      <c r="I321" s="104"/>
      <c r="J321" s="174" t="s">
        <v>84</v>
      </c>
      <c r="K321" s="174"/>
      <c r="M321" s="62">
        <v>1</v>
      </c>
      <c r="N321" s="60">
        <v>257</v>
      </c>
      <c r="O321" s="8" t="s">
        <v>14</v>
      </c>
      <c r="P321" s="9">
        <f t="shared" si="55"/>
        <v>-3.2407407407407402E-3</v>
      </c>
      <c r="Q321" s="9">
        <f t="shared" si="56"/>
        <v>0.42013888888889939</v>
      </c>
      <c r="R321" s="114">
        <v>0</v>
      </c>
      <c r="S321" s="59">
        <f t="shared" si="57"/>
        <v>0.42013888888889939</v>
      </c>
      <c r="T321" s="10">
        <f t="shared" si="58"/>
        <v>0.42013888888889939</v>
      </c>
      <c r="U321" s="55">
        <f t="shared" si="54"/>
        <v>1.0100833333333337</v>
      </c>
    </row>
    <row r="322" spans="9:21" x14ac:dyDescent="0.25">
      <c r="I322" s="104"/>
      <c r="J322" s="174" t="s">
        <v>84</v>
      </c>
      <c r="K322" s="174"/>
      <c r="M322" s="62">
        <v>1</v>
      </c>
      <c r="N322" s="60">
        <v>256</v>
      </c>
      <c r="O322" s="8" t="s">
        <v>14</v>
      </c>
      <c r="P322" s="9">
        <f t="shared" si="55"/>
        <v>-3.2407407407407402E-3</v>
      </c>
      <c r="Q322" s="9">
        <f t="shared" si="56"/>
        <v>0.41689814814815862</v>
      </c>
      <c r="R322" s="114">
        <v>0</v>
      </c>
      <c r="S322" s="59">
        <f t="shared" si="57"/>
        <v>0.41689814814815862</v>
      </c>
      <c r="T322" s="10">
        <f t="shared" si="58"/>
        <v>0.41689814814815862</v>
      </c>
      <c r="U322" s="55">
        <f t="shared" si="54"/>
        <v>1.0100055555555558</v>
      </c>
    </row>
    <row r="323" spans="9:21" x14ac:dyDescent="0.25">
      <c r="I323" s="104"/>
      <c r="J323" s="174" t="s">
        <v>84</v>
      </c>
      <c r="K323" s="174"/>
      <c r="M323" s="62">
        <v>1</v>
      </c>
      <c r="N323" s="60">
        <v>255</v>
      </c>
      <c r="O323" s="8" t="s">
        <v>14</v>
      </c>
      <c r="P323" s="9">
        <f t="shared" si="55"/>
        <v>0.41666666666666669</v>
      </c>
      <c r="Q323" s="9">
        <f t="shared" si="56"/>
        <v>0.41666666666666669</v>
      </c>
      <c r="R323" s="114">
        <v>0</v>
      </c>
      <c r="S323" s="59">
        <f t="shared" si="57"/>
        <v>0.41666666666666669</v>
      </c>
      <c r="T323" s="10">
        <f t="shared" si="58"/>
        <v>0.41666666666666669</v>
      </c>
      <c r="U323" s="55">
        <f t="shared" si="54"/>
        <v>1.01</v>
      </c>
    </row>
    <row r="324" spans="9:21" x14ac:dyDescent="0.25">
      <c r="I324" s="104"/>
      <c r="J324" s="174" t="s">
        <v>84</v>
      </c>
      <c r="K324" s="174"/>
      <c r="M324" s="62">
        <v>1</v>
      </c>
      <c r="N324" s="60">
        <v>254</v>
      </c>
      <c r="O324" s="8" t="s">
        <v>14</v>
      </c>
      <c r="P324" s="9">
        <f t="shared" si="55"/>
        <v>0.41666666666666669</v>
      </c>
      <c r="Q324" s="9">
        <f t="shared" si="56"/>
        <v>0.41666666666666669</v>
      </c>
      <c r="R324" s="114">
        <v>0</v>
      </c>
      <c r="S324" s="59">
        <f t="shared" si="57"/>
        <v>0.41666666666666669</v>
      </c>
      <c r="T324" s="10">
        <f t="shared" si="58"/>
        <v>0.41666666666666669</v>
      </c>
      <c r="U324" s="55">
        <f t="shared" si="54"/>
        <v>1.01</v>
      </c>
    </row>
    <row r="325" spans="9:21" x14ac:dyDescent="0.25">
      <c r="I325" s="104"/>
      <c r="J325" s="174" t="s">
        <v>84</v>
      </c>
      <c r="K325" s="174"/>
      <c r="M325" s="62">
        <v>1</v>
      </c>
      <c r="N325" s="60">
        <v>253</v>
      </c>
      <c r="O325" s="8" t="s">
        <v>14</v>
      </c>
      <c r="P325" s="9">
        <f t="shared" si="55"/>
        <v>0.41666666666666669</v>
      </c>
      <c r="Q325" s="9">
        <f t="shared" si="56"/>
        <v>0.41666666666666669</v>
      </c>
      <c r="R325" s="114">
        <v>0</v>
      </c>
      <c r="S325" s="59">
        <f t="shared" si="57"/>
        <v>0.41666666666666669</v>
      </c>
      <c r="T325" s="10">
        <f t="shared" si="58"/>
        <v>0.41666666666666669</v>
      </c>
      <c r="U325" s="55">
        <f t="shared" si="54"/>
        <v>1.01</v>
      </c>
    </row>
    <row r="326" spans="9:21" x14ac:dyDescent="0.25">
      <c r="I326" s="104"/>
      <c r="J326" s="174" t="s">
        <v>84</v>
      </c>
      <c r="K326" s="174"/>
      <c r="M326" s="62">
        <v>1</v>
      </c>
      <c r="N326" s="60">
        <v>252</v>
      </c>
      <c r="O326" s="8" t="s">
        <v>14</v>
      </c>
      <c r="P326" s="9">
        <f t="shared" si="55"/>
        <v>0.41666666666666669</v>
      </c>
      <c r="Q326" s="9">
        <f t="shared" si="56"/>
        <v>0.41666666666666669</v>
      </c>
      <c r="R326" s="114">
        <v>0</v>
      </c>
      <c r="S326" s="59">
        <f t="shared" si="57"/>
        <v>0.41666666666666669</v>
      </c>
      <c r="T326" s="10">
        <f t="shared" si="58"/>
        <v>0.41666666666666669</v>
      </c>
      <c r="U326" s="55">
        <f t="shared" si="54"/>
        <v>1.01</v>
      </c>
    </row>
    <row r="327" spans="9:21" x14ac:dyDescent="0.25">
      <c r="I327" s="104"/>
      <c r="J327" s="174" t="s">
        <v>84</v>
      </c>
      <c r="K327" s="174"/>
      <c r="M327" s="62">
        <v>1</v>
      </c>
      <c r="N327" s="60">
        <v>251</v>
      </c>
      <c r="O327" s="8" t="s">
        <v>14</v>
      </c>
      <c r="P327" s="9">
        <f t="shared" si="55"/>
        <v>0.41666666666666669</v>
      </c>
      <c r="Q327" s="9">
        <f t="shared" si="56"/>
        <v>0.41666666666666669</v>
      </c>
      <c r="R327" s="114">
        <v>0</v>
      </c>
      <c r="S327" s="59">
        <f t="shared" si="57"/>
        <v>0.41666666666666669</v>
      </c>
      <c r="T327" s="10">
        <f t="shared" si="58"/>
        <v>0.41666666666666669</v>
      </c>
      <c r="U327" s="55">
        <f t="shared" si="54"/>
        <v>1.01</v>
      </c>
    </row>
    <row r="328" spans="9:21" x14ac:dyDescent="0.25">
      <c r="J328" s="174" t="s">
        <v>84</v>
      </c>
      <c r="K328" s="174"/>
      <c r="M328" s="62">
        <v>1</v>
      </c>
      <c r="N328" s="60">
        <v>250</v>
      </c>
      <c r="O328" s="8" t="s">
        <v>14</v>
      </c>
      <c r="P328" s="9">
        <f t="shared" si="55"/>
        <v>0.41666666666666669</v>
      </c>
      <c r="Q328" s="9">
        <f t="shared" si="56"/>
        <v>0.41666666666666669</v>
      </c>
      <c r="R328" s="114">
        <v>0</v>
      </c>
      <c r="S328" s="59">
        <f t="shared" si="57"/>
        <v>0.41666666666666669</v>
      </c>
      <c r="T328" s="10">
        <f t="shared" si="58"/>
        <v>0.41666666666666669</v>
      </c>
      <c r="U328" s="55">
        <f t="shared" si="54"/>
        <v>1.01</v>
      </c>
    </row>
    <row r="329" spans="9:21" x14ac:dyDescent="0.25">
      <c r="J329" s="174" t="s">
        <v>84</v>
      </c>
      <c r="K329" s="174"/>
      <c r="M329" s="62">
        <v>1</v>
      </c>
      <c r="N329" s="60">
        <v>249</v>
      </c>
      <c r="O329" s="8" t="s">
        <v>14</v>
      </c>
      <c r="P329" s="9">
        <f t="shared" si="55"/>
        <v>0.41666666666666669</v>
      </c>
      <c r="Q329" s="9">
        <f t="shared" si="56"/>
        <v>0.41666666666666669</v>
      </c>
      <c r="R329" s="114">
        <v>0</v>
      </c>
      <c r="S329" s="59">
        <f t="shared" si="57"/>
        <v>0.41666666666666669</v>
      </c>
      <c r="T329" s="10">
        <f t="shared" si="58"/>
        <v>0.41666666666666669</v>
      </c>
      <c r="U329" s="55">
        <f t="shared" si="54"/>
        <v>1.01</v>
      </c>
    </row>
    <row r="330" spans="9:21" x14ac:dyDescent="0.25">
      <c r="J330" s="174" t="s">
        <v>84</v>
      </c>
      <c r="K330" s="174"/>
      <c r="M330" s="62">
        <v>1</v>
      </c>
      <c r="N330" s="60">
        <v>248</v>
      </c>
      <c r="O330" s="8" t="s">
        <v>14</v>
      </c>
      <c r="P330" s="9">
        <f t="shared" si="55"/>
        <v>0.41666666666666669</v>
      </c>
      <c r="Q330" s="9">
        <f t="shared" si="56"/>
        <v>0.41666666666666669</v>
      </c>
      <c r="R330" s="114">
        <v>0</v>
      </c>
      <c r="S330" s="59">
        <f t="shared" si="57"/>
        <v>0.41666666666666669</v>
      </c>
      <c r="T330" s="10">
        <f t="shared" si="58"/>
        <v>0.41666666666666669</v>
      </c>
      <c r="U330" s="55">
        <f t="shared" ref="U330:U393" si="59">1+(T330/$J$6)/100</f>
        <v>1.01</v>
      </c>
    </row>
    <row r="331" spans="9:21" x14ac:dyDescent="0.25">
      <c r="J331" s="174" t="s">
        <v>84</v>
      </c>
      <c r="K331" s="174"/>
      <c r="M331" s="62">
        <v>1</v>
      </c>
      <c r="N331" s="60">
        <v>247</v>
      </c>
      <c r="O331" s="8" t="s">
        <v>14</v>
      </c>
      <c r="P331" s="9">
        <f t="shared" si="55"/>
        <v>0.41666666666666669</v>
      </c>
      <c r="Q331" s="9">
        <f t="shared" si="56"/>
        <v>0.41666666666666669</v>
      </c>
      <c r="R331" s="114">
        <v>0</v>
      </c>
      <c r="S331" s="59">
        <f t="shared" si="57"/>
        <v>0.41666666666666669</v>
      </c>
      <c r="T331" s="10">
        <f t="shared" si="58"/>
        <v>0.41666666666666669</v>
      </c>
      <c r="U331" s="55">
        <f t="shared" si="59"/>
        <v>1.01</v>
      </c>
    </row>
    <row r="332" spans="9:21" x14ac:dyDescent="0.25">
      <c r="J332" s="174" t="s">
        <v>84</v>
      </c>
      <c r="K332" s="174"/>
      <c r="M332" s="62">
        <v>1</v>
      </c>
      <c r="N332" s="60">
        <v>246</v>
      </c>
      <c r="O332" s="8" t="s">
        <v>14</v>
      </c>
      <c r="P332" s="9">
        <f t="shared" si="55"/>
        <v>0.41666666666666669</v>
      </c>
      <c r="Q332" s="9">
        <f t="shared" si="56"/>
        <v>0.41666666666666669</v>
      </c>
      <c r="R332" s="114">
        <v>0</v>
      </c>
      <c r="S332" s="59">
        <f t="shared" si="57"/>
        <v>0.41666666666666669</v>
      </c>
      <c r="T332" s="10">
        <f t="shared" si="58"/>
        <v>0.41666666666666669</v>
      </c>
      <c r="U332" s="55">
        <f t="shared" si="59"/>
        <v>1.01</v>
      </c>
    </row>
    <row r="333" spans="9:21" x14ac:dyDescent="0.25">
      <c r="J333" s="174" t="s">
        <v>84</v>
      </c>
      <c r="K333" s="174"/>
      <c r="M333" s="62">
        <v>1</v>
      </c>
      <c r="N333" s="60">
        <v>245</v>
      </c>
      <c r="O333" s="8" t="s">
        <v>14</v>
      </c>
      <c r="P333" s="9">
        <f t="shared" si="55"/>
        <v>0.41666666666666669</v>
      </c>
      <c r="Q333" s="9">
        <f t="shared" si="56"/>
        <v>0.41666666666666669</v>
      </c>
      <c r="R333" s="114">
        <v>0</v>
      </c>
      <c r="S333" s="59">
        <f t="shared" si="57"/>
        <v>0.41666666666666669</v>
      </c>
      <c r="T333" s="10">
        <f t="shared" si="58"/>
        <v>0.41666666666666669</v>
      </c>
      <c r="U333" s="55">
        <f t="shared" si="59"/>
        <v>1.01</v>
      </c>
    </row>
    <row r="334" spans="9:21" x14ac:dyDescent="0.25">
      <c r="J334" s="174" t="s">
        <v>84</v>
      </c>
      <c r="K334" s="174"/>
      <c r="M334" s="62">
        <v>1</v>
      </c>
      <c r="N334" s="60">
        <v>244</v>
      </c>
      <c r="O334" s="8" t="s">
        <v>14</v>
      </c>
      <c r="P334" s="9">
        <f t="shared" si="55"/>
        <v>0.41666666666666669</v>
      </c>
      <c r="Q334" s="9">
        <f t="shared" si="56"/>
        <v>0.41666666666666669</v>
      </c>
      <c r="R334" s="114">
        <v>0</v>
      </c>
      <c r="S334" s="59">
        <f t="shared" si="57"/>
        <v>0.41666666666666669</v>
      </c>
      <c r="T334" s="10">
        <f t="shared" si="58"/>
        <v>0.41666666666666669</v>
      </c>
      <c r="U334" s="55">
        <f t="shared" si="59"/>
        <v>1.01</v>
      </c>
    </row>
    <row r="335" spans="9:21" x14ac:dyDescent="0.25">
      <c r="J335" s="174" t="s">
        <v>84</v>
      </c>
      <c r="K335" s="174"/>
      <c r="M335" s="62">
        <v>1</v>
      </c>
      <c r="N335" s="60">
        <v>243</v>
      </c>
      <c r="O335" s="8" t="s">
        <v>14</v>
      </c>
      <c r="P335" s="9">
        <f t="shared" si="55"/>
        <v>0.41666666666666669</v>
      </c>
      <c r="Q335" s="9">
        <f t="shared" si="56"/>
        <v>0.41666666666666669</v>
      </c>
      <c r="R335" s="114">
        <v>0</v>
      </c>
      <c r="S335" s="59">
        <f t="shared" si="57"/>
        <v>0.41666666666666669</v>
      </c>
      <c r="T335" s="10">
        <f t="shared" si="58"/>
        <v>0.41666666666666669</v>
      </c>
      <c r="U335" s="55">
        <f t="shared" si="59"/>
        <v>1.01</v>
      </c>
    </row>
    <row r="336" spans="9:21" x14ac:dyDescent="0.25">
      <c r="J336" s="174" t="s">
        <v>84</v>
      </c>
      <c r="K336" s="174"/>
      <c r="M336" s="62">
        <v>1</v>
      </c>
      <c r="N336" s="60">
        <v>242</v>
      </c>
      <c r="O336" s="8" t="s">
        <v>14</v>
      </c>
      <c r="P336" s="9">
        <f t="shared" ref="P336:P399" si="60">IF(O336="Jalan",IF(T335&gt;=$J$6,IF(T335+(-$K$6*M336)&lt;$J$6,$J$6,-$K$6*M336),IF(T335&lt;=$J$6,IF(T335+(+$L$6*M336)&lt;$J$6,+$L$6*M336,$J$6))),IF(T335&gt;0,+$L$6*M336,-$L$6*M336))</f>
        <v>0.41666666666666669</v>
      </c>
      <c r="Q336" s="9">
        <f t="shared" ref="Q336:Q399" si="61">IF(P336=$J$6,$J$6,T335+P336)</f>
        <v>0.41666666666666669</v>
      </c>
      <c r="R336" s="114">
        <v>0</v>
      </c>
      <c r="S336" s="59">
        <f t="shared" ref="S336:S399" si="62">Q336+R336</f>
        <v>0.41666666666666669</v>
      </c>
      <c r="T336" s="10">
        <f t="shared" ref="T336:T399" si="63">S336</f>
        <v>0.41666666666666669</v>
      </c>
      <c r="U336" s="55">
        <f t="shared" si="59"/>
        <v>1.01</v>
      </c>
    </row>
    <row r="337" spans="10:21" x14ac:dyDescent="0.25">
      <c r="J337" s="174" t="s">
        <v>84</v>
      </c>
      <c r="K337" s="174"/>
      <c r="M337" s="62">
        <v>1</v>
      </c>
      <c r="N337" s="60">
        <v>241</v>
      </c>
      <c r="O337" s="8" t="s">
        <v>14</v>
      </c>
      <c r="P337" s="9">
        <f t="shared" si="60"/>
        <v>0.41666666666666669</v>
      </c>
      <c r="Q337" s="9">
        <f t="shared" si="61"/>
        <v>0.41666666666666669</v>
      </c>
      <c r="R337" s="114">
        <v>0</v>
      </c>
      <c r="S337" s="59">
        <f t="shared" si="62"/>
        <v>0.41666666666666669</v>
      </c>
      <c r="T337" s="10">
        <f t="shared" si="63"/>
        <v>0.41666666666666669</v>
      </c>
      <c r="U337" s="55">
        <f t="shared" si="59"/>
        <v>1.01</v>
      </c>
    </row>
    <row r="338" spans="10:21" x14ac:dyDescent="0.25">
      <c r="J338" s="174" t="s">
        <v>84</v>
      </c>
      <c r="K338" s="174"/>
      <c r="M338" s="62">
        <v>1</v>
      </c>
      <c r="N338" s="60">
        <v>240</v>
      </c>
      <c r="O338" s="8" t="s">
        <v>14</v>
      </c>
      <c r="P338" s="9">
        <f t="shared" si="60"/>
        <v>0.41666666666666669</v>
      </c>
      <c r="Q338" s="9">
        <f t="shared" si="61"/>
        <v>0.41666666666666669</v>
      </c>
      <c r="R338" s="114">
        <v>0</v>
      </c>
      <c r="S338" s="59">
        <f t="shared" si="62"/>
        <v>0.41666666666666669</v>
      </c>
      <c r="T338" s="10">
        <f t="shared" si="63"/>
        <v>0.41666666666666669</v>
      </c>
      <c r="U338" s="55">
        <f t="shared" si="59"/>
        <v>1.01</v>
      </c>
    </row>
    <row r="339" spans="10:21" x14ac:dyDescent="0.25">
      <c r="J339" s="174" t="s">
        <v>84</v>
      </c>
      <c r="K339" s="174"/>
      <c r="M339" s="62">
        <v>1</v>
      </c>
      <c r="N339" s="60">
        <v>239</v>
      </c>
      <c r="O339" s="8" t="s">
        <v>14</v>
      </c>
      <c r="P339" s="9">
        <f t="shared" si="60"/>
        <v>0.41666666666666669</v>
      </c>
      <c r="Q339" s="9">
        <f t="shared" si="61"/>
        <v>0.41666666666666669</v>
      </c>
      <c r="R339" s="114">
        <v>0</v>
      </c>
      <c r="S339" s="59">
        <f t="shared" si="62"/>
        <v>0.41666666666666669</v>
      </c>
      <c r="T339" s="10">
        <f t="shared" si="63"/>
        <v>0.41666666666666669</v>
      </c>
      <c r="U339" s="55">
        <f t="shared" si="59"/>
        <v>1.01</v>
      </c>
    </row>
    <row r="340" spans="10:21" x14ac:dyDescent="0.25">
      <c r="J340" s="174" t="s">
        <v>84</v>
      </c>
      <c r="K340" s="174"/>
      <c r="M340" s="62">
        <v>1</v>
      </c>
      <c r="N340" s="60">
        <v>238</v>
      </c>
      <c r="O340" s="8" t="s">
        <v>14</v>
      </c>
      <c r="P340" s="9">
        <f t="shared" si="60"/>
        <v>0.41666666666666669</v>
      </c>
      <c r="Q340" s="9">
        <f t="shared" si="61"/>
        <v>0.41666666666666669</v>
      </c>
      <c r="R340" s="114">
        <v>0</v>
      </c>
      <c r="S340" s="59">
        <f t="shared" si="62"/>
        <v>0.41666666666666669</v>
      </c>
      <c r="T340" s="10">
        <f t="shared" si="63"/>
        <v>0.41666666666666669</v>
      </c>
      <c r="U340" s="55">
        <f t="shared" si="59"/>
        <v>1.01</v>
      </c>
    </row>
    <row r="341" spans="10:21" x14ac:dyDescent="0.25">
      <c r="J341" s="174" t="s">
        <v>84</v>
      </c>
      <c r="K341" s="174"/>
      <c r="M341" s="62">
        <v>1</v>
      </c>
      <c r="N341" s="60">
        <v>237</v>
      </c>
      <c r="O341" s="8" t="s">
        <v>14</v>
      </c>
      <c r="P341" s="9">
        <f t="shared" si="60"/>
        <v>0.41666666666666669</v>
      </c>
      <c r="Q341" s="9">
        <f t="shared" si="61"/>
        <v>0.41666666666666669</v>
      </c>
      <c r="R341" s="114">
        <v>0</v>
      </c>
      <c r="S341" s="59">
        <f t="shared" si="62"/>
        <v>0.41666666666666669</v>
      </c>
      <c r="T341" s="10">
        <f t="shared" si="63"/>
        <v>0.41666666666666669</v>
      </c>
      <c r="U341" s="55">
        <f t="shared" si="59"/>
        <v>1.01</v>
      </c>
    </row>
    <row r="342" spans="10:21" x14ac:dyDescent="0.25">
      <c r="J342" s="174" t="s">
        <v>84</v>
      </c>
      <c r="K342" s="174"/>
      <c r="M342" s="62">
        <v>1</v>
      </c>
      <c r="N342" s="60">
        <v>236</v>
      </c>
      <c r="O342" s="8" t="s">
        <v>14</v>
      </c>
      <c r="P342" s="9">
        <f t="shared" si="60"/>
        <v>0.41666666666666669</v>
      </c>
      <c r="Q342" s="9">
        <f t="shared" si="61"/>
        <v>0.41666666666666669</v>
      </c>
      <c r="R342" s="114">
        <v>0</v>
      </c>
      <c r="S342" s="59">
        <f t="shared" si="62"/>
        <v>0.41666666666666669</v>
      </c>
      <c r="T342" s="10">
        <f t="shared" si="63"/>
        <v>0.41666666666666669</v>
      </c>
      <c r="U342" s="55">
        <f t="shared" si="59"/>
        <v>1.01</v>
      </c>
    </row>
    <row r="343" spans="10:21" x14ac:dyDescent="0.25">
      <c r="J343" s="174" t="s">
        <v>84</v>
      </c>
      <c r="K343" s="174"/>
      <c r="M343" s="62">
        <v>1</v>
      </c>
      <c r="N343" s="60">
        <v>235</v>
      </c>
      <c r="O343" s="8" t="s">
        <v>14</v>
      </c>
      <c r="P343" s="9">
        <f t="shared" si="60"/>
        <v>0.41666666666666669</v>
      </c>
      <c r="Q343" s="9">
        <f t="shared" si="61"/>
        <v>0.41666666666666669</v>
      </c>
      <c r="R343" s="114">
        <v>0</v>
      </c>
      <c r="S343" s="59">
        <f t="shared" si="62"/>
        <v>0.41666666666666669</v>
      </c>
      <c r="T343" s="10">
        <f t="shared" si="63"/>
        <v>0.41666666666666669</v>
      </c>
      <c r="U343" s="55">
        <f t="shared" si="59"/>
        <v>1.01</v>
      </c>
    </row>
    <row r="344" spans="10:21" x14ac:dyDescent="0.25">
      <c r="J344" s="174" t="s">
        <v>84</v>
      </c>
      <c r="K344" s="174"/>
      <c r="M344" s="62">
        <v>1</v>
      </c>
      <c r="N344" s="60">
        <v>234</v>
      </c>
      <c r="O344" s="8" t="s">
        <v>14</v>
      </c>
      <c r="P344" s="9">
        <f t="shared" si="60"/>
        <v>0.41666666666666669</v>
      </c>
      <c r="Q344" s="9">
        <f t="shared" si="61"/>
        <v>0.41666666666666669</v>
      </c>
      <c r="R344" s="114">
        <v>0</v>
      </c>
      <c r="S344" s="59">
        <f t="shared" si="62"/>
        <v>0.41666666666666669</v>
      </c>
      <c r="T344" s="10">
        <f t="shared" si="63"/>
        <v>0.41666666666666669</v>
      </c>
      <c r="U344" s="55">
        <f t="shared" si="59"/>
        <v>1.01</v>
      </c>
    </row>
    <row r="345" spans="10:21" x14ac:dyDescent="0.25">
      <c r="J345" s="174" t="s">
        <v>84</v>
      </c>
      <c r="K345" s="174"/>
      <c r="M345" s="62">
        <v>1</v>
      </c>
      <c r="N345" s="60">
        <v>233</v>
      </c>
      <c r="O345" s="8" t="s">
        <v>14</v>
      </c>
      <c r="P345" s="9">
        <f t="shared" si="60"/>
        <v>0.41666666666666669</v>
      </c>
      <c r="Q345" s="9">
        <f t="shared" si="61"/>
        <v>0.41666666666666669</v>
      </c>
      <c r="R345" s="114">
        <v>0</v>
      </c>
      <c r="S345" s="59">
        <f t="shared" si="62"/>
        <v>0.41666666666666669</v>
      </c>
      <c r="T345" s="10">
        <f t="shared" si="63"/>
        <v>0.41666666666666669</v>
      </c>
      <c r="U345" s="55">
        <f t="shared" si="59"/>
        <v>1.01</v>
      </c>
    </row>
    <row r="346" spans="10:21" x14ac:dyDescent="0.25">
      <c r="J346" s="174" t="s">
        <v>84</v>
      </c>
      <c r="K346" s="174"/>
      <c r="M346" s="62">
        <v>1</v>
      </c>
      <c r="N346" s="60">
        <v>232</v>
      </c>
      <c r="O346" s="8" t="s">
        <v>14</v>
      </c>
      <c r="P346" s="9">
        <f t="shared" si="60"/>
        <v>0.41666666666666669</v>
      </c>
      <c r="Q346" s="9">
        <f t="shared" si="61"/>
        <v>0.41666666666666669</v>
      </c>
      <c r="R346" s="114">
        <v>0</v>
      </c>
      <c r="S346" s="59">
        <f t="shared" si="62"/>
        <v>0.41666666666666669</v>
      </c>
      <c r="T346" s="10">
        <f t="shared" si="63"/>
        <v>0.41666666666666669</v>
      </c>
      <c r="U346" s="55">
        <f t="shared" si="59"/>
        <v>1.01</v>
      </c>
    </row>
    <row r="347" spans="10:21" x14ac:dyDescent="0.25">
      <c r="J347" s="174" t="s">
        <v>84</v>
      </c>
      <c r="K347" s="174"/>
      <c r="M347" s="62">
        <v>1</v>
      </c>
      <c r="N347" s="60">
        <v>231</v>
      </c>
      <c r="O347" s="8" t="s">
        <v>14</v>
      </c>
      <c r="P347" s="9">
        <f t="shared" si="60"/>
        <v>0.41666666666666669</v>
      </c>
      <c r="Q347" s="9">
        <f t="shared" si="61"/>
        <v>0.41666666666666669</v>
      </c>
      <c r="R347" s="114">
        <v>0</v>
      </c>
      <c r="S347" s="59">
        <f t="shared" si="62"/>
        <v>0.41666666666666669</v>
      </c>
      <c r="T347" s="10">
        <f t="shared" si="63"/>
        <v>0.41666666666666669</v>
      </c>
      <c r="U347" s="55">
        <f t="shared" si="59"/>
        <v>1.01</v>
      </c>
    </row>
    <row r="348" spans="10:21" x14ac:dyDescent="0.25">
      <c r="J348" s="174" t="s">
        <v>84</v>
      </c>
      <c r="K348" s="174"/>
      <c r="M348" s="62">
        <v>1</v>
      </c>
      <c r="N348" s="60">
        <v>230</v>
      </c>
      <c r="O348" s="8" t="s">
        <v>14</v>
      </c>
      <c r="P348" s="9">
        <f t="shared" si="60"/>
        <v>0.41666666666666669</v>
      </c>
      <c r="Q348" s="9">
        <f t="shared" si="61"/>
        <v>0.41666666666666669</v>
      </c>
      <c r="R348" s="114">
        <v>0</v>
      </c>
      <c r="S348" s="59">
        <f t="shared" si="62"/>
        <v>0.41666666666666669</v>
      </c>
      <c r="T348" s="10">
        <f t="shared" si="63"/>
        <v>0.41666666666666669</v>
      </c>
      <c r="U348" s="55">
        <f t="shared" si="59"/>
        <v>1.01</v>
      </c>
    </row>
    <row r="349" spans="10:21" x14ac:dyDescent="0.25">
      <c r="J349" s="174" t="s">
        <v>84</v>
      </c>
      <c r="K349" s="174"/>
      <c r="M349" s="62">
        <v>1</v>
      </c>
      <c r="N349" s="60">
        <v>229</v>
      </c>
      <c r="O349" s="8" t="s">
        <v>14</v>
      </c>
      <c r="P349" s="9">
        <f t="shared" si="60"/>
        <v>0.41666666666666669</v>
      </c>
      <c r="Q349" s="9">
        <f t="shared" si="61"/>
        <v>0.41666666666666669</v>
      </c>
      <c r="R349" s="114">
        <v>0</v>
      </c>
      <c r="S349" s="59">
        <f t="shared" si="62"/>
        <v>0.41666666666666669</v>
      </c>
      <c r="T349" s="10">
        <f t="shared" si="63"/>
        <v>0.41666666666666669</v>
      </c>
      <c r="U349" s="55">
        <f t="shared" si="59"/>
        <v>1.01</v>
      </c>
    </row>
    <row r="350" spans="10:21" x14ac:dyDescent="0.25">
      <c r="J350" s="174" t="s">
        <v>84</v>
      </c>
      <c r="K350" s="174"/>
      <c r="M350" s="62">
        <v>1</v>
      </c>
      <c r="N350" s="60">
        <v>228</v>
      </c>
      <c r="O350" s="8" t="s">
        <v>14</v>
      </c>
      <c r="P350" s="9">
        <f t="shared" si="60"/>
        <v>0.41666666666666669</v>
      </c>
      <c r="Q350" s="9">
        <f t="shared" si="61"/>
        <v>0.41666666666666669</v>
      </c>
      <c r="R350" s="114">
        <v>0</v>
      </c>
      <c r="S350" s="59">
        <f t="shared" si="62"/>
        <v>0.41666666666666669</v>
      </c>
      <c r="T350" s="10">
        <f t="shared" si="63"/>
        <v>0.41666666666666669</v>
      </c>
      <c r="U350" s="55">
        <f t="shared" si="59"/>
        <v>1.01</v>
      </c>
    </row>
    <row r="351" spans="10:21" x14ac:dyDescent="0.25">
      <c r="J351" s="174" t="s">
        <v>84</v>
      </c>
      <c r="K351" s="174"/>
      <c r="M351" s="62">
        <v>1</v>
      </c>
      <c r="N351" s="60">
        <v>227</v>
      </c>
      <c r="O351" s="8" t="s">
        <v>14</v>
      </c>
      <c r="P351" s="9">
        <f t="shared" si="60"/>
        <v>0.41666666666666669</v>
      </c>
      <c r="Q351" s="9">
        <f t="shared" si="61"/>
        <v>0.41666666666666669</v>
      </c>
      <c r="R351" s="114">
        <v>0</v>
      </c>
      <c r="S351" s="59">
        <f t="shared" si="62"/>
        <v>0.41666666666666669</v>
      </c>
      <c r="T351" s="10">
        <f t="shared" si="63"/>
        <v>0.41666666666666669</v>
      </c>
      <c r="U351" s="55">
        <f t="shared" si="59"/>
        <v>1.01</v>
      </c>
    </row>
    <row r="352" spans="10:21" x14ac:dyDescent="0.25">
      <c r="J352" s="174" t="s">
        <v>84</v>
      </c>
      <c r="K352" s="174"/>
      <c r="M352" s="62">
        <v>1</v>
      </c>
      <c r="N352" s="60">
        <v>226</v>
      </c>
      <c r="O352" s="8" t="s">
        <v>14</v>
      </c>
      <c r="P352" s="9">
        <f t="shared" si="60"/>
        <v>0.41666666666666669</v>
      </c>
      <c r="Q352" s="9">
        <f t="shared" si="61"/>
        <v>0.41666666666666669</v>
      </c>
      <c r="R352" s="114">
        <v>0</v>
      </c>
      <c r="S352" s="59">
        <f t="shared" si="62"/>
        <v>0.41666666666666669</v>
      </c>
      <c r="T352" s="10">
        <f t="shared" si="63"/>
        <v>0.41666666666666669</v>
      </c>
      <c r="U352" s="55">
        <f t="shared" si="59"/>
        <v>1.01</v>
      </c>
    </row>
    <row r="353" spans="10:21" x14ac:dyDescent="0.25">
      <c r="J353" s="174" t="s">
        <v>84</v>
      </c>
      <c r="K353" s="174"/>
      <c r="M353" s="62">
        <v>1</v>
      </c>
      <c r="N353" s="60">
        <v>225</v>
      </c>
      <c r="O353" s="8" t="s">
        <v>14</v>
      </c>
      <c r="P353" s="9">
        <f t="shared" si="60"/>
        <v>0.41666666666666669</v>
      </c>
      <c r="Q353" s="9">
        <f t="shared" si="61"/>
        <v>0.41666666666666669</v>
      </c>
      <c r="R353" s="114">
        <v>0</v>
      </c>
      <c r="S353" s="59">
        <f t="shared" si="62"/>
        <v>0.41666666666666669</v>
      </c>
      <c r="T353" s="10">
        <f t="shared" si="63"/>
        <v>0.41666666666666669</v>
      </c>
      <c r="U353" s="55">
        <f t="shared" si="59"/>
        <v>1.01</v>
      </c>
    </row>
    <row r="354" spans="10:21" x14ac:dyDescent="0.25">
      <c r="J354" s="174" t="s">
        <v>84</v>
      </c>
      <c r="K354" s="174"/>
      <c r="M354" s="62">
        <v>1</v>
      </c>
      <c r="N354" s="60">
        <v>224</v>
      </c>
      <c r="O354" s="8" t="s">
        <v>14</v>
      </c>
      <c r="P354" s="9">
        <f t="shared" si="60"/>
        <v>0.41666666666666669</v>
      </c>
      <c r="Q354" s="9">
        <f t="shared" si="61"/>
        <v>0.41666666666666669</v>
      </c>
      <c r="R354" s="114">
        <v>0</v>
      </c>
      <c r="S354" s="59">
        <f t="shared" si="62"/>
        <v>0.41666666666666669</v>
      </c>
      <c r="T354" s="10">
        <f t="shared" si="63"/>
        <v>0.41666666666666669</v>
      </c>
      <c r="U354" s="55">
        <f t="shared" si="59"/>
        <v>1.01</v>
      </c>
    </row>
    <row r="355" spans="10:21" x14ac:dyDescent="0.25">
      <c r="J355" s="174" t="s">
        <v>84</v>
      </c>
      <c r="K355" s="174"/>
      <c r="M355" s="62">
        <v>1</v>
      </c>
      <c r="N355" s="60">
        <v>223</v>
      </c>
      <c r="O355" s="8" t="s">
        <v>14</v>
      </c>
      <c r="P355" s="9">
        <f t="shared" si="60"/>
        <v>0.41666666666666669</v>
      </c>
      <c r="Q355" s="9">
        <f t="shared" si="61"/>
        <v>0.41666666666666669</v>
      </c>
      <c r="R355" s="114">
        <v>0</v>
      </c>
      <c r="S355" s="59">
        <f t="shared" si="62"/>
        <v>0.41666666666666669</v>
      </c>
      <c r="T355" s="10">
        <f t="shared" si="63"/>
        <v>0.41666666666666669</v>
      </c>
      <c r="U355" s="55">
        <f t="shared" si="59"/>
        <v>1.01</v>
      </c>
    </row>
    <row r="356" spans="10:21" x14ac:dyDescent="0.25">
      <c r="J356" s="174" t="s">
        <v>84</v>
      </c>
      <c r="K356" s="174"/>
      <c r="M356" s="62">
        <v>1</v>
      </c>
      <c r="N356" s="60">
        <v>222</v>
      </c>
      <c r="O356" s="8" t="s">
        <v>14</v>
      </c>
      <c r="P356" s="9">
        <f t="shared" si="60"/>
        <v>0.41666666666666669</v>
      </c>
      <c r="Q356" s="9">
        <f t="shared" si="61"/>
        <v>0.41666666666666669</v>
      </c>
      <c r="R356" s="114">
        <v>0</v>
      </c>
      <c r="S356" s="59">
        <f t="shared" si="62"/>
        <v>0.41666666666666669</v>
      </c>
      <c r="T356" s="10">
        <f t="shared" si="63"/>
        <v>0.41666666666666669</v>
      </c>
      <c r="U356" s="55">
        <f t="shared" si="59"/>
        <v>1.01</v>
      </c>
    </row>
    <row r="357" spans="10:21" x14ac:dyDescent="0.25">
      <c r="J357" s="174" t="s">
        <v>84</v>
      </c>
      <c r="K357" s="174"/>
      <c r="M357" s="62">
        <v>1</v>
      </c>
      <c r="N357" s="60">
        <v>221</v>
      </c>
      <c r="O357" s="8" t="s">
        <v>14</v>
      </c>
      <c r="P357" s="9">
        <f t="shared" si="60"/>
        <v>0.41666666666666669</v>
      </c>
      <c r="Q357" s="9">
        <f t="shared" si="61"/>
        <v>0.41666666666666669</v>
      </c>
      <c r="R357" s="114">
        <v>0</v>
      </c>
      <c r="S357" s="59">
        <f t="shared" si="62"/>
        <v>0.41666666666666669</v>
      </c>
      <c r="T357" s="10">
        <f t="shared" si="63"/>
        <v>0.41666666666666669</v>
      </c>
      <c r="U357" s="55">
        <f t="shared" si="59"/>
        <v>1.01</v>
      </c>
    </row>
    <row r="358" spans="10:21" x14ac:dyDescent="0.25">
      <c r="J358" s="174" t="s">
        <v>84</v>
      </c>
      <c r="K358" s="174"/>
      <c r="M358" s="62">
        <v>1</v>
      </c>
      <c r="N358" s="60">
        <v>220</v>
      </c>
      <c r="O358" s="8" t="s">
        <v>14</v>
      </c>
      <c r="P358" s="9">
        <f t="shared" si="60"/>
        <v>0.41666666666666669</v>
      </c>
      <c r="Q358" s="9">
        <f t="shared" si="61"/>
        <v>0.41666666666666669</v>
      </c>
      <c r="R358" s="114">
        <v>0</v>
      </c>
      <c r="S358" s="59">
        <f t="shared" si="62"/>
        <v>0.41666666666666669</v>
      </c>
      <c r="T358" s="10">
        <f t="shared" si="63"/>
        <v>0.41666666666666669</v>
      </c>
      <c r="U358" s="55">
        <f t="shared" si="59"/>
        <v>1.01</v>
      </c>
    </row>
    <row r="359" spans="10:21" x14ac:dyDescent="0.25">
      <c r="J359" s="174" t="s">
        <v>84</v>
      </c>
      <c r="K359" s="174"/>
      <c r="M359" s="62">
        <v>1</v>
      </c>
      <c r="N359" s="60">
        <v>219</v>
      </c>
      <c r="O359" s="8" t="s">
        <v>14</v>
      </c>
      <c r="P359" s="9">
        <f t="shared" si="60"/>
        <v>0.41666666666666669</v>
      </c>
      <c r="Q359" s="9">
        <f t="shared" si="61"/>
        <v>0.41666666666666669</v>
      </c>
      <c r="R359" s="114">
        <v>0</v>
      </c>
      <c r="S359" s="59">
        <f t="shared" si="62"/>
        <v>0.41666666666666669</v>
      </c>
      <c r="T359" s="10">
        <f t="shared" si="63"/>
        <v>0.41666666666666669</v>
      </c>
      <c r="U359" s="55">
        <f t="shared" si="59"/>
        <v>1.01</v>
      </c>
    </row>
    <row r="360" spans="10:21" x14ac:dyDescent="0.25">
      <c r="J360" s="174" t="s">
        <v>84</v>
      </c>
      <c r="K360" s="174"/>
      <c r="M360" s="62">
        <v>1</v>
      </c>
      <c r="N360" s="60">
        <v>218</v>
      </c>
      <c r="O360" s="8" t="s">
        <v>14</v>
      </c>
      <c r="P360" s="9">
        <f t="shared" si="60"/>
        <v>0.41666666666666669</v>
      </c>
      <c r="Q360" s="9">
        <f t="shared" si="61"/>
        <v>0.41666666666666669</v>
      </c>
      <c r="R360" s="114">
        <v>0</v>
      </c>
      <c r="S360" s="59">
        <f t="shared" si="62"/>
        <v>0.41666666666666669</v>
      </c>
      <c r="T360" s="10">
        <f t="shared" si="63"/>
        <v>0.41666666666666669</v>
      </c>
      <c r="U360" s="55">
        <f t="shared" si="59"/>
        <v>1.01</v>
      </c>
    </row>
    <row r="361" spans="10:21" x14ac:dyDescent="0.25">
      <c r="J361" s="174" t="s">
        <v>84</v>
      </c>
      <c r="K361" s="174"/>
      <c r="M361" s="62">
        <v>1</v>
      </c>
      <c r="N361" s="60">
        <v>217</v>
      </c>
      <c r="O361" s="8" t="s">
        <v>14</v>
      </c>
      <c r="P361" s="9">
        <f t="shared" si="60"/>
        <v>0.41666666666666669</v>
      </c>
      <c r="Q361" s="9">
        <f t="shared" si="61"/>
        <v>0.41666666666666669</v>
      </c>
      <c r="R361" s="114">
        <v>0</v>
      </c>
      <c r="S361" s="59">
        <f t="shared" si="62"/>
        <v>0.41666666666666669</v>
      </c>
      <c r="T361" s="10">
        <f t="shared" si="63"/>
        <v>0.41666666666666669</v>
      </c>
      <c r="U361" s="55">
        <f t="shared" si="59"/>
        <v>1.01</v>
      </c>
    </row>
    <row r="362" spans="10:21" x14ac:dyDescent="0.25">
      <c r="J362" s="174" t="s">
        <v>84</v>
      </c>
      <c r="K362" s="174"/>
      <c r="M362" s="62">
        <v>1</v>
      </c>
      <c r="N362" s="60">
        <v>216</v>
      </c>
      <c r="O362" s="8" t="s">
        <v>14</v>
      </c>
      <c r="P362" s="9">
        <f t="shared" si="60"/>
        <v>0.41666666666666669</v>
      </c>
      <c r="Q362" s="9">
        <f t="shared" si="61"/>
        <v>0.41666666666666669</v>
      </c>
      <c r="R362" s="114">
        <v>0</v>
      </c>
      <c r="S362" s="59">
        <f t="shared" si="62"/>
        <v>0.41666666666666669</v>
      </c>
      <c r="T362" s="10">
        <f t="shared" si="63"/>
        <v>0.41666666666666669</v>
      </c>
      <c r="U362" s="55">
        <f t="shared" si="59"/>
        <v>1.01</v>
      </c>
    </row>
    <row r="363" spans="10:21" x14ac:dyDescent="0.25">
      <c r="J363" s="174" t="s">
        <v>84</v>
      </c>
      <c r="K363" s="174"/>
      <c r="M363" s="62">
        <v>1</v>
      </c>
      <c r="N363" s="60">
        <v>215</v>
      </c>
      <c r="O363" s="8" t="s">
        <v>14</v>
      </c>
      <c r="P363" s="9">
        <f t="shared" si="60"/>
        <v>0.41666666666666669</v>
      </c>
      <c r="Q363" s="9">
        <f t="shared" si="61"/>
        <v>0.41666666666666669</v>
      </c>
      <c r="R363" s="114">
        <v>0</v>
      </c>
      <c r="S363" s="59">
        <f t="shared" si="62"/>
        <v>0.41666666666666669</v>
      </c>
      <c r="T363" s="10">
        <f t="shared" si="63"/>
        <v>0.41666666666666669</v>
      </c>
      <c r="U363" s="55">
        <f t="shared" si="59"/>
        <v>1.01</v>
      </c>
    </row>
    <row r="364" spans="10:21" x14ac:dyDescent="0.25">
      <c r="J364" s="174" t="s">
        <v>84</v>
      </c>
      <c r="K364" s="174"/>
      <c r="M364" s="62">
        <v>1</v>
      </c>
      <c r="N364" s="60">
        <v>214</v>
      </c>
      <c r="O364" s="8" t="s">
        <v>14</v>
      </c>
      <c r="P364" s="9">
        <f t="shared" si="60"/>
        <v>0.41666666666666669</v>
      </c>
      <c r="Q364" s="9">
        <f t="shared" si="61"/>
        <v>0.41666666666666669</v>
      </c>
      <c r="R364" s="114">
        <v>0</v>
      </c>
      <c r="S364" s="59">
        <f t="shared" si="62"/>
        <v>0.41666666666666669</v>
      </c>
      <c r="T364" s="10">
        <f t="shared" si="63"/>
        <v>0.41666666666666669</v>
      </c>
      <c r="U364" s="55">
        <f t="shared" si="59"/>
        <v>1.01</v>
      </c>
    </row>
    <row r="365" spans="10:21" x14ac:dyDescent="0.25">
      <c r="J365" s="174" t="s">
        <v>84</v>
      </c>
      <c r="K365" s="174"/>
      <c r="M365" s="62">
        <v>1</v>
      </c>
      <c r="N365" s="60">
        <v>213</v>
      </c>
      <c r="O365" s="8" t="s">
        <v>14</v>
      </c>
      <c r="P365" s="9">
        <f t="shared" si="60"/>
        <v>0.41666666666666669</v>
      </c>
      <c r="Q365" s="9">
        <f t="shared" si="61"/>
        <v>0.41666666666666669</v>
      </c>
      <c r="R365" s="114">
        <v>0</v>
      </c>
      <c r="S365" s="59">
        <f t="shared" si="62"/>
        <v>0.41666666666666669</v>
      </c>
      <c r="T365" s="10">
        <f t="shared" si="63"/>
        <v>0.41666666666666669</v>
      </c>
      <c r="U365" s="55">
        <f t="shared" si="59"/>
        <v>1.01</v>
      </c>
    </row>
    <row r="366" spans="10:21" x14ac:dyDescent="0.25">
      <c r="J366" s="174" t="s">
        <v>84</v>
      </c>
      <c r="K366" s="174"/>
      <c r="M366" s="62">
        <v>1</v>
      </c>
      <c r="N366" s="60">
        <v>212</v>
      </c>
      <c r="O366" s="8" t="s">
        <v>14</v>
      </c>
      <c r="P366" s="9">
        <f t="shared" si="60"/>
        <v>0.41666666666666669</v>
      </c>
      <c r="Q366" s="9">
        <f t="shared" si="61"/>
        <v>0.41666666666666669</v>
      </c>
      <c r="R366" s="114">
        <v>0</v>
      </c>
      <c r="S366" s="59">
        <f t="shared" si="62"/>
        <v>0.41666666666666669</v>
      </c>
      <c r="T366" s="10">
        <f t="shared" si="63"/>
        <v>0.41666666666666669</v>
      </c>
      <c r="U366" s="55">
        <f t="shared" si="59"/>
        <v>1.01</v>
      </c>
    </row>
    <row r="367" spans="10:21" x14ac:dyDescent="0.25">
      <c r="J367" s="174" t="s">
        <v>84</v>
      </c>
      <c r="K367" s="174"/>
      <c r="M367" s="62">
        <v>1</v>
      </c>
      <c r="N367" s="60">
        <v>211</v>
      </c>
      <c r="O367" s="8" t="s">
        <v>14</v>
      </c>
      <c r="P367" s="9">
        <f t="shared" si="60"/>
        <v>0.41666666666666669</v>
      </c>
      <c r="Q367" s="9">
        <f t="shared" si="61"/>
        <v>0.41666666666666669</v>
      </c>
      <c r="R367" s="114">
        <v>0</v>
      </c>
      <c r="S367" s="59">
        <f t="shared" si="62"/>
        <v>0.41666666666666669</v>
      </c>
      <c r="T367" s="10">
        <f t="shared" si="63"/>
        <v>0.41666666666666669</v>
      </c>
      <c r="U367" s="55">
        <f t="shared" si="59"/>
        <v>1.01</v>
      </c>
    </row>
    <row r="368" spans="10:21" x14ac:dyDescent="0.25">
      <c r="J368" s="174" t="s">
        <v>84</v>
      </c>
      <c r="K368" s="174"/>
      <c r="M368" s="62">
        <v>1</v>
      </c>
      <c r="N368" s="60">
        <v>210</v>
      </c>
      <c r="O368" s="8" t="s">
        <v>14</v>
      </c>
      <c r="P368" s="9">
        <f t="shared" si="60"/>
        <v>0.41666666666666669</v>
      </c>
      <c r="Q368" s="9">
        <f t="shared" si="61"/>
        <v>0.41666666666666669</v>
      </c>
      <c r="R368" s="114">
        <v>0</v>
      </c>
      <c r="S368" s="59">
        <f t="shared" si="62"/>
        <v>0.41666666666666669</v>
      </c>
      <c r="T368" s="10">
        <f t="shared" si="63"/>
        <v>0.41666666666666669</v>
      </c>
      <c r="U368" s="55">
        <f t="shared" si="59"/>
        <v>1.01</v>
      </c>
    </row>
    <row r="369" spans="10:21" x14ac:dyDescent="0.25">
      <c r="J369" s="174" t="s">
        <v>84</v>
      </c>
      <c r="K369" s="174"/>
      <c r="M369" s="62">
        <v>1</v>
      </c>
      <c r="N369" s="60">
        <v>209</v>
      </c>
      <c r="O369" s="8" t="s">
        <v>14</v>
      </c>
      <c r="P369" s="9">
        <f t="shared" si="60"/>
        <v>0.41666666666666669</v>
      </c>
      <c r="Q369" s="9">
        <f t="shared" si="61"/>
        <v>0.41666666666666669</v>
      </c>
      <c r="R369" s="114">
        <v>0</v>
      </c>
      <c r="S369" s="59">
        <f t="shared" si="62"/>
        <v>0.41666666666666669</v>
      </c>
      <c r="T369" s="10">
        <f t="shared" si="63"/>
        <v>0.41666666666666669</v>
      </c>
      <c r="U369" s="55">
        <f t="shared" si="59"/>
        <v>1.01</v>
      </c>
    </row>
    <row r="370" spans="10:21" x14ac:dyDescent="0.25">
      <c r="J370" s="174" t="s">
        <v>84</v>
      </c>
      <c r="K370" s="174"/>
      <c r="M370" s="62">
        <v>1</v>
      </c>
      <c r="N370" s="60">
        <v>208</v>
      </c>
      <c r="O370" s="8" t="s">
        <v>14</v>
      </c>
      <c r="P370" s="9">
        <f t="shared" si="60"/>
        <v>0.41666666666666669</v>
      </c>
      <c r="Q370" s="9">
        <f t="shared" si="61"/>
        <v>0.41666666666666669</v>
      </c>
      <c r="R370" s="114">
        <v>0</v>
      </c>
      <c r="S370" s="59">
        <f t="shared" si="62"/>
        <v>0.41666666666666669</v>
      </c>
      <c r="T370" s="10">
        <f t="shared" si="63"/>
        <v>0.41666666666666669</v>
      </c>
      <c r="U370" s="55">
        <f t="shared" si="59"/>
        <v>1.01</v>
      </c>
    </row>
    <row r="371" spans="10:21" x14ac:dyDescent="0.25">
      <c r="J371" s="174" t="s">
        <v>84</v>
      </c>
      <c r="K371" s="174"/>
      <c r="M371" s="62">
        <v>1</v>
      </c>
      <c r="N371" s="60">
        <v>207</v>
      </c>
      <c r="O371" s="8" t="s">
        <v>14</v>
      </c>
      <c r="P371" s="9">
        <f t="shared" si="60"/>
        <v>0.41666666666666669</v>
      </c>
      <c r="Q371" s="9">
        <f t="shared" si="61"/>
        <v>0.41666666666666669</v>
      </c>
      <c r="R371" s="114">
        <v>0</v>
      </c>
      <c r="S371" s="59">
        <f t="shared" si="62"/>
        <v>0.41666666666666669</v>
      </c>
      <c r="T371" s="10">
        <f t="shared" si="63"/>
        <v>0.41666666666666669</v>
      </c>
      <c r="U371" s="55">
        <f t="shared" si="59"/>
        <v>1.01</v>
      </c>
    </row>
    <row r="372" spans="10:21" x14ac:dyDescent="0.25">
      <c r="J372" s="174" t="s">
        <v>84</v>
      </c>
      <c r="K372" s="174"/>
      <c r="M372" s="62">
        <v>1</v>
      </c>
      <c r="N372" s="60">
        <v>206</v>
      </c>
      <c r="O372" s="8" t="s">
        <v>14</v>
      </c>
      <c r="P372" s="9">
        <f t="shared" si="60"/>
        <v>0.41666666666666669</v>
      </c>
      <c r="Q372" s="9">
        <f t="shared" si="61"/>
        <v>0.41666666666666669</v>
      </c>
      <c r="R372" s="114">
        <v>0</v>
      </c>
      <c r="S372" s="59">
        <f t="shared" si="62"/>
        <v>0.41666666666666669</v>
      </c>
      <c r="T372" s="10">
        <f t="shared" si="63"/>
        <v>0.41666666666666669</v>
      </c>
      <c r="U372" s="55">
        <f t="shared" si="59"/>
        <v>1.01</v>
      </c>
    </row>
    <row r="373" spans="10:21" x14ac:dyDescent="0.25">
      <c r="J373" s="174" t="s">
        <v>84</v>
      </c>
      <c r="K373" s="174"/>
      <c r="M373" s="62">
        <v>1</v>
      </c>
      <c r="N373" s="60">
        <v>205</v>
      </c>
      <c r="O373" s="8" t="s">
        <v>14</v>
      </c>
      <c r="P373" s="9">
        <f t="shared" si="60"/>
        <v>0.41666666666666669</v>
      </c>
      <c r="Q373" s="9">
        <f t="shared" si="61"/>
        <v>0.41666666666666669</v>
      </c>
      <c r="R373" s="114">
        <v>0</v>
      </c>
      <c r="S373" s="59">
        <f t="shared" si="62"/>
        <v>0.41666666666666669</v>
      </c>
      <c r="T373" s="10">
        <f t="shared" si="63"/>
        <v>0.41666666666666669</v>
      </c>
      <c r="U373" s="55">
        <f t="shared" si="59"/>
        <v>1.01</v>
      </c>
    </row>
    <row r="374" spans="10:21" x14ac:dyDescent="0.25">
      <c r="J374" s="174" t="s">
        <v>84</v>
      </c>
      <c r="K374" s="174"/>
      <c r="M374" s="62">
        <v>1</v>
      </c>
      <c r="N374" s="60">
        <v>204</v>
      </c>
      <c r="O374" s="8" t="s">
        <v>14</v>
      </c>
      <c r="P374" s="9">
        <f t="shared" si="60"/>
        <v>0.41666666666666669</v>
      </c>
      <c r="Q374" s="9">
        <f t="shared" si="61"/>
        <v>0.41666666666666669</v>
      </c>
      <c r="R374" s="114">
        <v>0</v>
      </c>
      <c r="S374" s="59">
        <f t="shared" si="62"/>
        <v>0.41666666666666669</v>
      </c>
      <c r="T374" s="10">
        <f t="shared" si="63"/>
        <v>0.41666666666666669</v>
      </c>
      <c r="U374" s="55">
        <f t="shared" si="59"/>
        <v>1.01</v>
      </c>
    </row>
    <row r="375" spans="10:21" x14ac:dyDescent="0.25">
      <c r="J375" s="174" t="s">
        <v>84</v>
      </c>
      <c r="K375" s="174"/>
      <c r="M375" s="62">
        <v>1</v>
      </c>
      <c r="N375" s="60">
        <v>203</v>
      </c>
      <c r="O375" s="8" t="s">
        <v>14</v>
      </c>
      <c r="P375" s="9">
        <f t="shared" si="60"/>
        <v>0.41666666666666669</v>
      </c>
      <c r="Q375" s="9">
        <f t="shared" si="61"/>
        <v>0.41666666666666669</v>
      </c>
      <c r="R375" s="114">
        <v>0</v>
      </c>
      <c r="S375" s="59">
        <f t="shared" si="62"/>
        <v>0.41666666666666669</v>
      </c>
      <c r="T375" s="10">
        <f t="shared" si="63"/>
        <v>0.41666666666666669</v>
      </c>
      <c r="U375" s="55">
        <f t="shared" si="59"/>
        <v>1.01</v>
      </c>
    </row>
    <row r="376" spans="10:21" x14ac:dyDescent="0.25">
      <c r="J376" s="174" t="s">
        <v>84</v>
      </c>
      <c r="K376" s="174"/>
      <c r="M376" s="62">
        <v>1</v>
      </c>
      <c r="N376" s="60">
        <v>202</v>
      </c>
      <c r="O376" s="8" t="s">
        <v>14</v>
      </c>
      <c r="P376" s="9">
        <f t="shared" si="60"/>
        <v>0.41666666666666669</v>
      </c>
      <c r="Q376" s="9">
        <f t="shared" si="61"/>
        <v>0.41666666666666669</v>
      </c>
      <c r="R376" s="114">
        <v>0</v>
      </c>
      <c r="S376" s="59">
        <f t="shared" si="62"/>
        <v>0.41666666666666669</v>
      </c>
      <c r="T376" s="10">
        <f t="shared" si="63"/>
        <v>0.41666666666666669</v>
      </c>
      <c r="U376" s="55">
        <f t="shared" si="59"/>
        <v>1.01</v>
      </c>
    </row>
    <row r="377" spans="10:21" x14ac:dyDescent="0.25">
      <c r="J377" s="174" t="s">
        <v>84</v>
      </c>
      <c r="K377" s="174"/>
      <c r="M377" s="62">
        <v>1</v>
      </c>
      <c r="N377" s="60">
        <v>201</v>
      </c>
      <c r="O377" s="8" t="s">
        <v>14</v>
      </c>
      <c r="P377" s="9">
        <f t="shared" si="60"/>
        <v>0.41666666666666669</v>
      </c>
      <c r="Q377" s="9">
        <f t="shared" si="61"/>
        <v>0.41666666666666669</v>
      </c>
      <c r="R377" s="114">
        <v>0</v>
      </c>
      <c r="S377" s="59">
        <f t="shared" si="62"/>
        <v>0.41666666666666669</v>
      </c>
      <c r="T377" s="10">
        <f t="shared" si="63"/>
        <v>0.41666666666666669</v>
      </c>
      <c r="U377" s="55">
        <f t="shared" si="59"/>
        <v>1.01</v>
      </c>
    </row>
    <row r="378" spans="10:21" x14ac:dyDescent="0.25">
      <c r="J378" s="174" t="s">
        <v>84</v>
      </c>
      <c r="K378" s="174"/>
      <c r="M378" s="62">
        <v>1</v>
      </c>
      <c r="N378" s="60">
        <v>200</v>
      </c>
      <c r="O378" s="8" t="s">
        <v>14</v>
      </c>
      <c r="P378" s="9">
        <f t="shared" si="60"/>
        <v>0.41666666666666669</v>
      </c>
      <c r="Q378" s="9">
        <f t="shared" si="61"/>
        <v>0.41666666666666669</v>
      </c>
      <c r="R378" s="114">
        <v>0</v>
      </c>
      <c r="S378" s="59">
        <f t="shared" si="62"/>
        <v>0.41666666666666669</v>
      </c>
      <c r="T378" s="10">
        <f t="shared" si="63"/>
        <v>0.41666666666666669</v>
      </c>
      <c r="U378" s="55">
        <f t="shared" si="59"/>
        <v>1.01</v>
      </c>
    </row>
    <row r="379" spans="10:21" x14ac:dyDescent="0.25">
      <c r="J379" s="174" t="s">
        <v>84</v>
      </c>
      <c r="K379" s="174"/>
      <c r="M379" s="62">
        <v>1</v>
      </c>
      <c r="N379" s="60">
        <v>199</v>
      </c>
      <c r="O379" s="8" t="s">
        <v>14</v>
      </c>
      <c r="P379" s="9">
        <f t="shared" si="60"/>
        <v>0.41666666666666669</v>
      </c>
      <c r="Q379" s="9">
        <f t="shared" si="61"/>
        <v>0.41666666666666669</v>
      </c>
      <c r="R379" s="114">
        <v>0</v>
      </c>
      <c r="S379" s="59">
        <f t="shared" si="62"/>
        <v>0.41666666666666669</v>
      </c>
      <c r="T379" s="10">
        <f t="shared" si="63"/>
        <v>0.41666666666666669</v>
      </c>
      <c r="U379" s="55">
        <f t="shared" si="59"/>
        <v>1.01</v>
      </c>
    </row>
    <row r="380" spans="10:21" x14ac:dyDescent="0.25">
      <c r="J380" s="174" t="s">
        <v>84</v>
      </c>
      <c r="K380" s="174"/>
      <c r="M380" s="62">
        <v>1</v>
      </c>
      <c r="N380" s="60">
        <v>198</v>
      </c>
      <c r="O380" s="8" t="s">
        <v>14</v>
      </c>
      <c r="P380" s="9">
        <f t="shared" si="60"/>
        <v>0.41666666666666669</v>
      </c>
      <c r="Q380" s="9">
        <f t="shared" si="61"/>
        <v>0.41666666666666669</v>
      </c>
      <c r="R380" s="114">
        <v>0</v>
      </c>
      <c r="S380" s="59">
        <f t="shared" si="62"/>
        <v>0.41666666666666669</v>
      </c>
      <c r="T380" s="10">
        <f t="shared" si="63"/>
        <v>0.41666666666666669</v>
      </c>
      <c r="U380" s="55">
        <f t="shared" si="59"/>
        <v>1.01</v>
      </c>
    </row>
    <row r="381" spans="10:21" x14ac:dyDescent="0.25">
      <c r="J381" s="174" t="s">
        <v>84</v>
      </c>
      <c r="K381" s="174"/>
      <c r="M381" s="62">
        <v>1</v>
      </c>
      <c r="N381" s="60">
        <v>197</v>
      </c>
      <c r="O381" s="8" t="s">
        <v>14</v>
      </c>
      <c r="P381" s="9">
        <f t="shared" si="60"/>
        <v>0.41666666666666669</v>
      </c>
      <c r="Q381" s="9">
        <f t="shared" si="61"/>
        <v>0.41666666666666669</v>
      </c>
      <c r="R381" s="114">
        <v>0</v>
      </c>
      <c r="S381" s="59">
        <f t="shared" si="62"/>
        <v>0.41666666666666669</v>
      </c>
      <c r="T381" s="10">
        <f t="shared" si="63"/>
        <v>0.41666666666666669</v>
      </c>
      <c r="U381" s="55">
        <f t="shared" si="59"/>
        <v>1.01</v>
      </c>
    </row>
    <row r="382" spans="10:21" x14ac:dyDescent="0.25">
      <c r="J382" s="174" t="s">
        <v>84</v>
      </c>
      <c r="K382" s="174"/>
      <c r="M382" s="62">
        <v>1</v>
      </c>
      <c r="N382" s="60">
        <v>196</v>
      </c>
      <c r="O382" s="8" t="s">
        <v>14</v>
      </c>
      <c r="P382" s="9">
        <f t="shared" si="60"/>
        <v>0.41666666666666669</v>
      </c>
      <c r="Q382" s="9">
        <f t="shared" si="61"/>
        <v>0.41666666666666669</v>
      </c>
      <c r="R382" s="114">
        <v>0</v>
      </c>
      <c r="S382" s="59">
        <f t="shared" si="62"/>
        <v>0.41666666666666669</v>
      </c>
      <c r="T382" s="10">
        <f t="shared" si="63"/>
        <v>0.41666666666666669</v>
      </c>
      <c r="U382" s="55">
        <f t="shared" si="59"/>
        <v>1.01</v>
      </c>
    </row>
    <row r="383" spans="10:21" x14ac:dyDescent="0.25">
      <c r="J383" s="174" t="s">
        <v>84</v>
      </c>
      <c r="K383" s="174"/>
      <c r="M383" s="62">
        <v>1</v>
      </c>
      <c r="N383" s="60">
        <v>195</v>
      </c>
      <c r="O383" s="8" t="s">
        <v>14</v>
      </c>
      <c r="P383" s="9">
        <f t="shared" si="60"/>
        <v>0.41666666666666669</v>
      </c>
      <c r="Q383" s="9">
        <f t="shared" si="61"/>
        <v>0.41666666666666669</v>
      </c>
      <c r="R383" s="114">
        <v>0</v>
      </c>
      <c r="S383" s="59">
        <f t="shared" si="62"/>
        <v>0.41666666666666669</v>
      </c>
      <c r="T383" s="10">
        <f t="shared" si="63"/>
        <v>0.41666666666666669</v>
      </c>
      <c r="U383" s="55">
        <f t="shared" si="59"/>
        <v>1.01</v>
      </c>
    </row>
    <row r="384" spans="10:21" x14ac:dyDescent="0.25">
      <c r="J384" s="174" t="s">
        <v>84</v>
      </c>
      <c r="K384" s="174"/>
      <c r="M384" s="62">
        <v>1</v>
      </c>
      <c r="N384" s="60">
        <v>194</v>
      </c>
      <c r="O384" s="8" t="s">
        <v>14</v>
      </c>
      <c r="P384" s="9">
        <f t="shared" si="60"/>
        <v>0.41666666666666669</v>
      </c>
      <c r="Q384" s="9">
        <f t="shared" si="61"/>
        <v>0.41666666666666669</v>
      </c>
      <c r="R384" s="114">
        <v>0</v>
      </c>
      <c r="S384" s="59">
        <f t="shared" si="62"/>
        <v>0.41666666666666669</v>
      </c>
      <c r="T384" s="10">
        <f t="shared" si="63"/>
        <v>0.41666666666666669</v>
      </c>
      <c r="U384" s="55">
        <f t="shared" si="59"/>
        <v>1.01</v>
      </c>
    </row>
    <row r="385" spans="10:21" x14ac:dyDescent="0.25">
      <c r="J385" s="174" t="s">
        <v>84</v>
      </c>
      <c r="K385" s="174"/>
      <c r="M385" s="62">
        <v>1</v>
      </c>
      <c r="N385" s="60">
        <v>193</v>
      </c>
      <c r="O385" s="8" t="s">
        <v>14</v>
      </c>
      <c r="P385" s="9">
        <f t="shared" si="60"/>
        <v>0.41666666666666669</v>
      </c>
      <c r="Q385" s="9">
        <f t="shared" si="61"/>
        <v>0.41666666666666669</v>
      </c>
      <c r="R385" s="114">
        <v>0</v>
      </c>
      <c r="S385" s="59">
        <f t="shared" si="62"/>
        <v>0.41666666666666669</v>
      </c>
      <c r="T385" s="10">
        <f t="shared" si="63"/>
        <v>0.41666666666666669</v>
      </c>
      <c r="U385" s="55">
        <f t="shared" si="59"/>
        <v>1.01</v>
      </c>
    </row>
    <row r="386" spans="10:21" x14ac:dyDescent="0.25">
      <c r="J386" s="174" t="s">
        <v>84</v>
      </c>
      <c r="K386" s="174"/>
      <c r="M386" s="62">
        <v>1</v>
      </c>
      <c r="N386" s="60">
        <v>192</v>
      </c>
      <c r="O386" s="8" t="s">
        <v>14</v>
      </c>
      <c r="P386" s="9">
        <f t="shared" si="60"/>
        <v>0.41666666666666669</v>
      </c>
      <c r="Q386" s="9">
        <f t="shared" si="61"/>
        <v>0.41666666666666669</v>
      </c>
      <c r="R386" s="114">
        <v>0</v>
      </c>
      <c r="S386" s="59">
        <f t="shared" si="62"/>
        <v>0.41666666666666669</v>
      </c>
      <c r="T386" s="10">
        <f t="shared" si="63"/>
        <v>0.41666666666666669</v>
      </c>
      <c r="U386" s="55">
        <f t="shared" si="59"/>
        <v>1.01</v>
      </c>
    </row>
    <row r="387" spans="10:21" x14ac:dyDescent="0.25">
      <c r="J387" s="174" t="s">
        <v>84</v>
      </c>
      <c r="K387" s="174"/>
      <c r="M387" s="62">
        <v>1</v>
      </c>
      <c r="N387" s="60">
        <v>191</v>
      </c>
      <c r="O387" s="8" t="s">
        <v>14</v>
      </c>
      <c r="P387" s="9">
        <f t="shared" si="60"/>
        <v>0.41666666666666669</v>
      </c>
      <c r="Q387" s="9">
        <f t="shared" si="61"/>
        <v>0.41666666666666669</v>
      </c>
      <c r="R387" s="114">
        <v>0</v>
      </c>
      <c r="S387" s="59">
        <f t="shared" si="62"/>
        <v>0.41666666666666669</v>
      </c>
      <c r="T387" s="10">
        <f t="shared" si="63"/>
        <v>0.41666666666666669</v>
      </c>
      <c r="U387" s="55">
        <f t="shared" si="59"/>
        <v>1.01</v>
      </c>
    </row>
    <row r="388" spans="10:21" x14ac:dyDescent="0.25">
      <c r="J388" s="174" t="s">
        <v>84</v>
      </c>
      <c r="K388" s="174"/>
      <c r="M388" s="62">
        <v>1</v>
      </c>
      <c r="N388" s="60">
        <v>190</v>
      </c>
      <c r="O388" s="8" t="s">
        <v>14</v>
      </c>
      <c r="P388" s="9">
        <f t="shared" si="60"/>
        <v>0.41666666666666669</v>
      </c>
      <c r="Q388" s="9">
        <f t="shared" si="61"/>
        <v>0.41666666666666669</v>
      </c>
      <c r="R388" s="114">
        <v>0</v>
      </c>
      <c r="S388" s="59">
        <f t="shared" si="62"/>
        <v>0.41666666666666669</v>
      </c>
      <c r="T388" s="10">
        <f t="shared" si="63"/>
        <v>0.41666666666666669</v>
      </c>
      <c r="U388" s="55">
        <f t="shared" si="59"/>
        <v>1.01</v>
      </c>
    </row>
    <row r="389" spans="10:21" x14ac:dyDescent="0.25">
      <c r="J389" s="174" t="s">
        <v>84</v>
      </c>
      <c r="K389" s="174"/>
      <c r="M389" s="62">
        <v>1</v>
      </c>
      <c r="N389" s="60">
        <v>189</v>
      </c>
      <c r="O389" s="8" t="s">
        <v>14</v>
      </c>
      <c r="P389" s="9">
        <f t="shared" si="60"/>
        <v>0.41666666666666669</v>
      </c>
      <c r="Q389" s="9">
        <f t="shared" si="61"/>
        <v>0.41666666666666669</v>
      </c>
      <c r="R389" s="114">
        <v>0</v>
      </c>
      <c r="S389" s="59">
        <f t="shared" si="62"/>
        <v>0.41666666666666669</v>
      </c>
      <c r="T389" s="10">
        <f t="shared" si="63"/>
        <v>0.41666666666666669</v>
      </c>
      <c r="U389" s="55">
        <f t="shared" si="59"/>
        <v>1.01</v>
      </c>
    </row>
    <row r="390" spans="10:21" x14ac:dyDescent="0.25">
      <c r="J390" s="174" t="s">
        <v>84</v>
      </c>
      <c r="K390" s="174"/>
      <c r="M390" s="62">
        <v>1</v>
      </c>
      <c r="N390" s="60">
        <v>188</v>
      </c>
      <c r="O390" s="8" t="s">
        <v>14</v>
      </c>
      <c r="P390" s="9">
        <f t="shared" si="60"/>
        <v>0.41666666666666669</v>
      </c>
      <c r="Q390" s="9">
        <f t="shared" si="61"/>
        <v>0.41666666666666669</v>
      </c>
      <c r="R390" s="114">
        <v>0</v>
      </c>
      <c r="S390" s="59">
        <f t="shared" si="62"/>
        <v>0.41666666666666669</v>
      </c>
      <c r="T390" s="10">
        <f t="shared" si="63"/>
        <v>0.41666666666666669</v>
      </c>
      <c r="U390" s="55">
        <f t="shared" si="59"/>
        <v>1.01</v>
      </c>
    </row>
    <row r="391" spans="10:21" x14ac:dyDescent="0.25">
      <c r="J391" s="174" t="s">
        <v>84</v>
      </c>
      <c r="K391" s="174"/>
      <c r="M391" s="62">
        <v>1</v>
      </c>
      <c r="N391" s="60">
        <v>187</v>
      </c>
      <c r="O391" s="8" t="s">
        <v>14</v>
      </c>
      <c r="P391" s="9">
        <f t="shared" si="60"/>
        <v>0.41666666666666669</v>
      </c>
      <c r="Q391" s="9">
        <f t="shared" si="61"/>
        <v>0.41666666666666669</v>
      </c>
      <c r="R391" s="114">
        <v>0</v>
      </c>
      <c r="S391" s="59">
        <f t="shared" si="62"/>
        <v>0.41666666666666669</v>
      </c>
      <c r="T391" s="10">
        <f t="shared" si="63"/>
        <v>0.41666666666666669</v>
      </c>
      <c r="U391" s="55">
        <f t="shared" si="59"/>
        <v>1.01</v>
      </c>
    </row>
    <row r="392" spans="10:21" x14ac:dyDescent="0.25">
      <c r="J392" s="174" t="s">
        <v>84</v>
      </c>
      <c r="K392" s="174"/>
      <c r="M392" s="62">
        <v>1</v>
      </c>
      <c r="N392" s="60">
        <v>186</v>
      </c>
      <c r="O392" s="8" t="s">
        <v>14</v>
      </c>
      <c r="P392" s="9">
        <f t="shared" si="60"/>
        <v>0.41666666666666669</v>
      </c>
      <c r="Q392" s="9">
        <f t="shared" si="61"/>
        <v>0.41666666666666669</v>
      </c>
      <c r="R392" s="114">
        <v>0</v>
      </c>
      <c r="S392" s="59">
        <f t="shared" si="62"/>
        <v>0.41666666666666669</v>
      </c>
      <c r="T392" s="10">
        <f t="shared" si="63"/>
        <v>0.41666666666666669</v>
      </c>
      <c r="U392" s="55">
        <f t="shared" si="59"/>
        <v>1.01</v>
      </c>
    </row>
    <row r="393" spans="10:21" x14ac:dyDescent="0.25">
      <c r="J393" s="174" t="s">
        <v>84</v>
      </c>
      <c r="K393" s="174"/>
      <c r="M393" s="62">
        <v>1</v>
      </c>
      <c r="N393" s="60">
        <v>185</v>
      </c>
      <c r="O393" s="8" t="s">
        <v>14</v>
      </c>
      <c r="P393" s="9">
        <f t="shared" si="60"/>
        <v>0.41666666666666669</v>
      </c>
      <c r="Q393" s="9">
        <f t="shared" si="61"/>
        <v>0.41666666666666669</v>
      </c>
      <c r="R393" s="114">
        <v>0</v>
      </c>
      <c r="S393" s="59">
        <f t="shared" si="62"/>
        <v>0.41666666666666669</v>
      </c>
      <c r="T393" s="10">
        <f t="shared" si="63"/>
        <v>0.41666666666666669</v>
      </c>
      <c r="U393" s="55">
        <f t="shared" si="59"/>
        <v>1.01</v>
      </c>
    </row>
    <row r="394" spans="10:21" x14ac:dyDescent="0.25">
      <c r="J394" s="174" t="s">
        <v>84</v>
      </c>
      <c r="K394" s="174"/>
      <c r="M394" s="62">
        <v>1</v>
      </c>
      <c r="N394" s="60">
        <v>184</v>
      </c>
      <c r="O394" s="8" t="s">
        <v>14</v>
      </c>
      <c r="P394" s="9">
        <f t="shared" si="60"/>
        <v>0.41666666666666669</v>
      </c>
      <c r="Q394" s="9">
        <f t="shared" si="61"/>
        <v>0.41666666666666669</v>
      </c>
      <c r="R394" s="114">
        <v>0</v>
      </c>
      <c r="S394" s="59">
        <f t="shared" si="62"/>
        <v>0.41666666666666669</v>
      </c>
      <c r="T394" s="10">
        <f t="shared" si="63"/>
        <v>0.41666666666666669</v>
      </c>
      <c r="U394" s="55">
        <f t="shared" ref="U394:U457" si="64">1+(T394/$J$6)/100</f>
        <v>1.01</v>
      </c>
    </row>
    <row r="395" spans="10:21" x14ac:dyDescent="0.25">
      <c r="J395" s="174" t="s">
        <v>84</v>
      </c>
      <c r="K395" s="174"/>
      <c r="M395" s="62">
        <v>1</v>
      </c>
      <c r="N395" s="60">
        <v>183</v>
      </c>
      <c r="O395" s="8" t="s">
        <v>14</v>
      </c>
      <c r="P395" s="9">
        <f t="shared" si="60"/>
        <v>0.41666666666666669</v>
      </c>
      <c r="Q395" s="9">
        <f t="shared" si="61"/>
        <v>0.41666666666666669</v>
      </c>
      <c r="R395" s="114">
        <v>0</v>
      </c>
      <c r="S395" s="59">
        <f t="shared" si="62"/>
        <v>0.41666666666666669</v>
      </c>
      <c r="T395" s="10">
        <f t="shared" si="63"/>
        <v>0.41666666666666669</v>
      </c>
      <c r="U395" s="55">
        <f t="shared" si="64"/>
        <v>1.01</v>
      </c>
    </row>
    <row r="396" spans="10:21" x14ac:dyDescent="0.25">
      <c r="J396" s="174" t="s">
        <v>84</v>
      </c>
      <c r="K396" s="174"/>
      <c r="M396" s="62">
        <v>1</v>
      </c>
      <c r="N396" s="60">
        <v>182</v>
      </c>
      <c r="O396" s="8" t="s">
        <v>14</v>
      </c>
      <c r="P396" s="9">
        <f t="shared" si="60"/>
        <v>0.41666666666666669</v>
      </c>
      <c r="Q396" s="9">
        <f t="shared" si="61"/>
        <v>0.41666666666666669</v>
      </c>
      <c r="R396" s="114">
        <v>0</v>
      </c>
      <c r="S396" s="59">
        <f t="shared" si="62"/>
        <v>0.41666666666666669</v>
      </c>
      <c r="T396" s="10">
        <f t="shared" si="63"/>
        <v>0.41666666666666669</v>
      </c>
      <c r="U396" s="55">
        <f t="shared" si="64"/>
        <v>1.01</v>
      </c>
    </row>
    <row r="397" spans="10:21" x14ac:dyDescent="0.25">
      <c r="J397" s="174" t="s">
        <v>84</v>
      </c>
      <c r="K397" s="174"/>
      <c r="M397" s="62">
        <v>1</v>
      </c>
      <c r="N397" s="60">
        <v>181</v>
      </c>
      <c r="O397" s="8" t="s">
        <v>14</v>
      </c>
      <c r="P397" s="9">
        <f t="shared" si="60"/>
        <v>0.41666666666666669</v>
      </c>
      <c r="Q397" s="9">
        <f t="shared" si="61"/>
        <v>0.41666666666666669</v>
      </c>
      <c r="R397" s="114">
        <v>0</v>
      </c>
      <c r="S397" s="59">
        <f t="shared" si="62"/>
        <v>0.41666666666666669</v>
      </c>
      <c r="T397" s="10">
        <f t="shared" si="63"/>
        <v>0.41666666666666669</v>
      </c>
      <c r="U397" s="55">
        <f t="shared" si="64"/>
        <v>1.01</v>
      </c>
    </row>
    <row r="398" spans="10:21" x14ac:dyDescent="0.25">
      <c r="J398" s="174" t="s">
        <v>84</v>
      </c>
      <c r="K398" s="174"/>
      <c r="M398" s="62">
        <v>1</v>
      </c>
      <c r="N398" s="60">
        <v>180</v>
      </c>
      <c r="O398" s="8" t="s">
        <v>14</v>
      </c>
      <c r="P398" s="9">
        <f t="shared" si="60"/>
        <v>0.41666666666666669</v>
      </c>
      <c r="Q398" s="9">
        <f t="shared" si="61"/>
        <v>0.41666666666666669</v>
      </c>
      <c r="R398" s="114">
        <v>0</v>
      </c>
      <c r="S398" s="59">
        <f t="shared" si="62"/>
        <v>0.41666666666666669</v>
      </c>
      <c r="T398" s="10">
        <f t="shared" si="63"/>
        <v>0.41666666666666669</v>
      </c>
      <c r="U398" s="55">
        <f t="shared" si="64"/>
        <v>1.01</v>
      </c>
    </row>
    <row r="399" spans="10:21" x14ac:dyDescent="0.25">
      <c r="J399" s="174" t="s">
        <v>84</v>
      </c>
      <c r="K399" s="174"/>
      <c r="M399" s="62">
        <v>1</v>
      </c>
      <c r="N399" s="60">
        <v>179</v>
      </c>
      <c r="O399" s="8" t="s">
        <v>14</v>
      </c>
      <c r="P399" s="9">
        <f t="shared" si="60"/>
        <v>0.41666666666666669</v>
      </c>
      <c r="Q399" s="9">
        <f t="shared" si="61"/>
        <v>0.41666666666666669</v>
      </c>
      <c r="R399" s="114">
        <v>0</v>
      </c>
      <c r="S399" s="59">
        <f t="shared" si="62"/>
        <v>0.41666666666666669</v>
      </c>
      <c r="T399" s="10">
        <f t="shared" si="63"/>
        <v>0.41666666666666669</v>
      </c>
      <c r="U399" s="55">
        <f t="shared" si="64"/>
        <v>1.01</v>
      </c>
    </row>
    <row r="400" spans="10:21" x14ac:dyDescent="0.25">
      <c r="J400" s="174" t="s">
        <v>84</v>
      </c>
      <c r="K400" s="174"/>
      <c r="M400" s="62">
        <v>1</v>
      </c>
      <c r="N400" s="60">
        <v>178</v>
      </c>
      <c r="O400" s="8" t="s">
        <v>14</v>
      </c>
      <c r="P400" s="9">
        <f t="shared" ref="P400:P463" si="65">IF(O400="Jalan",IF(T399&gt;=$J$6,IF(T399+(-$K$6*M400)&lt;$J$6,$J$6,-$K$6*M400),IF(T399&lt;=$J$6,IF(T399+(+$L$6*M400)&lt;$J$6,+$L$6*M400,$J$6))),IF(T399&gt;0,+$L$6*M400,-$L$6*M400))</f>
        <v>0.41666666666666669</v>
      </c>
      <c r="Q400" s="9">
        <f t="shared" ref="Q400:Q463" si="66">IF(P400=$J$6,$J$6,T399+P400)</f>
        <v>0.41666666666666669</v>
      </c>
      <c r="R400" s="114">
        <v>0</v>
      </c>
      <c r="S400" s="59">
        <f t="shared" ref="S400:S463" si="67">Q400+R400</f>
        <v>0.41666666666666669</v>
      </c>
      <c r="T400" s="10">
        <f t="shared" ref="T400:T463" si="68">S400</f>
        <v>0.41666666666666669</v>
      </c>
      <c r="U400" s="55">
        <f t="shared" si="64"/>
        <v>1.01</v>
      </c>
    </row>
    <row r="401" spans="10:21" x14ac:dyDescent="0.25">
      <c r="J401" s="174" t="s">
        <v>84</v>
      </c>
      <c r="K401" s="174"/>
      <c r="M401" s="62">
        <v>1</v>
      </c>
      <c r="N401" s="60">
        <v>177</v>
      </c>
      <c r="O401" s="8" t="s">
        <v>14</v>
      </c>
      <c r="P401" s="9">
        <f t="shared" si="65"/>
        <v>0.41666666666666669</v>
      </c>
      <c r="Q401" s="9">
        <f t="shared" si="66"/>
        <v>0.41666666666666669</v>
      </c>
      <c r="R401" s="114">
        <v>0</v>
      </c>
      <c r="S401" s="59">
        <f t="shared" si="67"/>
        <v>0.41666666666666669</v>
      </c>
      <c r="T401" s="10">
        <f t="shared" si="68"/>
        <v>0.41666666666666669</v>
      </c>
      <c r="U401" s="55">
        <f t="shared" si="64"/>
        <v>1.01</v>
      </c>
    </row>
    <row r="402" spans="10:21" x14ac:dyDescent="0.25">
      <c r="J402" s="174" t="s">
        <v>84</v>
      </c>
      <c r="K402" s="174"/>
      <c r="M402" s="62">
        <v>1</v>
      </c>
      <c r="N402" s="60">
        <v>176</v>
      </c>
      <c r="O402" s="8" t="s">
        <v>14</v>
      </c>
      <c r="P402" s="9">
        <f t="shared" si="65"/>
        <v>0.41666666666666669</v>
      </c>
      <c r="Q402" s="9">
        <f t="shared" si="66"/>
        <v>0.41666666666666669</v>
      </c>
      <c r="R402" s="114">
        <v>0</v>
      </c>
      <c r="S402" s="59">
        <f t="shared" si="67"/>
        <v>0.41666666666666669</v>
      </c>
      <c r="T402" s="10">
        <f t="shared" si="68"/>
        <v>0.41666666666666669</v>
      </c>
      <c r="U402" s="55">
        <f t="shared" si="64"/>
        <v>1.01</v>
      </c>
    </row>
    <row r="403" spans="10:21" x14ac:dyDescent="0.25">
      <c r="J403" s="174" t="s">
        <v>84</v>
      </c>
      <c r="K403" s="174"/>
      <c r="M403" s="62">
        <v>1</v>
      </c>
      <c r="N403" s="60">
        <v>175</v>
      </c>
      <c r="O403" s="8" t="s">
        <v>14</v>
      </c>
      <c r="P403" s="9">
        <f t="shared" si="65"/>
        <v>0.41666666666666669</v>
      </c>
      <c r="Q403" s="9">
        <f t="shared" si="66"/>
        <v>0.41666666666666669</v>
      </c>
      <c r="R403" s="114">
        <v>0</v>
      </c>
      <c r="S403" s="59">
        <f t="shared" si="67"/>
        <v>0.41666666666666669</v>
      </c>
      <c r="T403" s="10">
        <f t="shared" si="68"/>
        <v>0.41666666666666669</v>
      </c>
      <c r="U403" s="55">
        <f t="shared" si="64"/>
        <v>1.01</v>
      </c>
    </row>
    <row r="404" spans="10:21" x14ac:dyDescent="0.25">
      <c r="J404" s="174" t="s">
        <v>84</v>
      </c>
      <c r="K404" s="174"/>
      <c r="M404" s="62">
        <v>1</v>
      </c>
      <c r="N404" s="60">
        <v>174</v>
      </c>
      <c r="O404" s="8" t="s">
        <v>14</v>
      </c>
      <c r="P404" s="9">
        <f t="shared" si="65"/>
        <v>0.41666666666666669</v>
      </c>
      <c r="Q404" s="9">
        <f t="shared" si="66"/>
        <v>0.41666666666666669</v>
      </c>
      <c r="R404" s="114">
        <v>0</v>
      </c>
      <c r="S404" s="59">
        <f t="shared" si="67"/>
        <v>0.41666666666666669</v>
      </c>
      <c r="T404" s="10">
        <f t="shared" si="68"/>
        <v>0.41666666666666669</v>
      </c>
      <c r="U404" s="55">
        <f t="shared" si="64"/>
        <v>1.01</v>
      </c>
    </row>
    <row r="405" spans="10:21" x14ac:dyDescent="0.25">
      <c r="J405" s="174" t="s">
        <v>84</v>
      </c>
      <c r="K405" s="174"/>
      <c r="M405" s="62">
        <v>1</v>
      </c>
      <c r="N405" s="60">
        <v>173</v>
      </c>
      <c r="O405" s="8" t="s">
        <v>14</v>
      </c>
      <c r="P405" s="9">
        <f t="shared" si="65"/>
        <v>0.41666666666666669</v>
      </c>
      <c r="Q405" s="9">
        <f t="shared" si="66"/>
        <v>0.41666666666666669</v>
      </c>
      <c r="R405" s="114">
        <v>0</v>
      </c>
      <c r="S405" s="59">
        <f t="shared" si="67"/>
        <v>0.41666666666666669</v>
      </c>
      <c r="T405" s="10">
        <f t="shared" si="68"/>
        <v>0.41666666666666669</v>
      </c>
      <c r="U405" s="55">
        <f t="shared" si="64"/>
        <v>1.01</v>
      </c>
    </row>
    <row r="406" spans="10:21" x14ac:dyDescent="0.25">
      <c r="J406" s="174" t="s">
        <v>84</v>
      </c>
      <c r="K406" s="174"/>
      <c r="M406" s="62">
        <v>1</v>
      </c>
      <c r="N406" s="60">
        <v>172</v>
      </c>
      <c r="O406" s="8" t="s">
        <v>14</v>
      </c>
      <c r="P406" s="9">
        <f t="shared" si="65"/>
        <v>0.41666666666666669</v>
      </c>
      <c r="Q406" s="9">
        <f t="shared" si="66"/>
        <v>0.41666666666666669</v>
      </c>
      <c r="R406" s="114">
        <v>0</v>
      </c>
      <c r="S406" s="59">
        <f t="shared" si="67"/>
        <v>0.41666666666666669</v>
      </c>
      <c r="T406" s="10">
        <f t="shared" si="68"/>
        <v>0.41666666666666669</v>
      </c>
      <c r="U406" s="55">
        <f t="shared" si="64"/>
        <v>1.01</v>
      </c>
    </row>
    <row r="407" spans="10:21" x14ac:dyDescent="0.25">
      <c r="J407" s="174" t="s">
        <v>84</v>
      </c>
      <c r="K407" s="174"/>
      <c r="M407" s="62">
        <v>1</v>
      </c>
      <c r="N407" s="60">
        <v>171</v>
      </c>
      <c r="O407" s="8" t="s">
        <v>14</v>
      </c>
      <c r="P407" s="9">
        <f t="shared" si="65"/>
        <v>0.41666666666666669</v>
      </c>
      <c r="Q407" s="9">
        <f t="shared" si="66"/>
        <v>0.41666666666666669</v>
      </c>
      <c r="R407" s="114">
        <v>0</v>
      </c>
      <c r="S407" s="59">
        <f t="shared" si="67"/>
        <v>0.41666666666666669</v>
      </c>
      <c r="T407" s="10">
        <f t="shared" si="68"/>
        <v>0.41666666666666669</v>
      </c>
      <c r="U407" s="55">
        <f t="shared" si="64"/>
        <v>1.01</v>
      </c>
    </row>
    <row r="408" spans="10:21" x14ac:dyDescent="0.25">
      <c r="J408" s="174" t="s">
        <v>84</v>
      </c>
      <c r="K408" s="174"/>
      <c r="M408" s="62">
        <v>1</v>
      </c>
      <c r="N408" s="60">
        <v>170</v>
      </c>
      <c r="O408" s="8" t="s">
        <v>14</v>
      </c>
      <c r="P408" s="9">
        <f t="shared" si="65"/>
        <v>0.41666666666666669</v>
      </c>
      <c r="Q408" s="9">
        <f t="shared" si="66"/>
        <v>0.41666666666666669</v>
      </c>
      <c r="R408" s="114">
        <v>0</v>
      </c>
      <c r="S408" s="59">
        <f t="shared" si="67"/>
        <v>0.41666666666666669</v>
      </c>
      <c r="T408" s="10">
        <f t="shared" si="68"/>
        <v>0.41666666666666669</v>
      </c>
      <c r="U408" s="55">
        <f t="shared" si="64"/>
        <v>1.01</v>
      </c>
    </row>
    <row r="409" spans="10:21" x14ac:dyDescent="0.25">
      <c r="J409" s="174" t="s">
        <v>84</v>
      </c>
      <c r="K409" s="174"/>
      <c r="M409" s="62">
        <v>1</v>
      </c>
      <c r="N409" s="60">
        <v>169</v>
      </c>
      <c r="O409" s="8" t="s">
        <v>14</v>
      </c>
      <c r="P409" s="9">
        <f t="shared" si="65"/>
        <v>0.41666666666666669</v>
      </c>
      <c r="Q409" s="9">
        <f t="shared" si="66"/>
        <v>0.41666666666666669</v>
      </c>
      <c r="R409" s="114">
        <v>0</v>
      </c>
      <c r="S409" s="59">
        <f t="shared" si="67"/>
        <v>0.41666666666666669</v>
      </c>
      <c r="T409" s="10">
        <f t="shared" si="68"/>
        <v>0.41666666666666669</v>
      </c>
      <c r="U409" s="55">
        <f t="shared" si="64"/>
        <v>1.01</v>
      </c>
    </row>
    <row r="410" spans="10:21" x14ac:dyDescent="0.25">
      <c r="J410" s="174" t="s">
        <v>84</v>
      </c>
      <c r="K410" s="174"/>
      <c r="M410" s="62">
        <v>1</v>
      </c>
      <c r="N410" s="60">
        <v>168</v>
      </c>
      <c r="O410" s="8" t="s">
        <v>14</v>
      </c>
      <c r="P410" s="9">
        <f t="shared" si="65"/>
        <v>0.41666666666666669</v>
      </c>
      <c r="Q410" s="9">
        <f t="shared" si="66"/>
        <v>0.41666666666666669</v>
      </c>
      <c r="R410" s="114">
        <v>0</v>
      </c>
      <c r="S410" s="59">
        <f t="shared" si="67"/>
        <v>0.41666666666666669</v>
      </c>
      <c r="T410" s="10">
        <f t="shared" si="68"/>
        <v>0.41666666666666669</v>
      </c>
      <c r="U410" s="55">
        <f t="shared" si="64"/>
        <v>1.01</v>
      </c>
    </row>
    <row r="411" spans="10:21" x14ac:dyDescent="0.25">
      <c r="J411" s="174" t="s">
        <v>84</v>
      </c>
      <c r="K411" s="174"/>
      <c r="M411" s="62">
        <v>1</v>
      </c>
      <c r="N411" s="60">
        <v>167</v>
      </c>
      <c r="O411" s="8" t="s">
        <v>14</v>
      </c>
      <c r="P411" s="9">
        <f t="shared" si="65"/>
        <v>0.41666666666666669</v>
      </c>
      <c r="Q411" s="9">
        <f t="shared" si="66"/>
        <v>0.41666666666666669</v>
      </c>
      <c r="R411" s="114">
        <v>0</v>
      </c>
      <c r="S411" s="59">
        <f t="shared" si="67"/>
        <v>0.41666666666666669</v>
      </c>
      <c r="T411" s="10">
        <f t="shared" si="68"/>
        <v>0.41666666666666669</v>
      </c>
      <c r="U411" s="55">
        <f t="shared" si="64"/>
        <v>1.01</v>
      </c>
    </row>
    <row r="412" spans="10:21" x14ac:dyDescent="0.25">
      <c r="J412" s="174" t="s">
        <v>84</v>
      </c>
      <c r="K412" s="174"/>
      <c r="M412" s="62">
        <v>1</v>
      </c>
      <c r="N412" s="60">
        <v>166</v>
      </c>
      <c r="O412" s="8" t="s">
        <v>14</v>
      </c>
      <c r="P412" s="9">
        <f t="shared" si="65"/>
        <v>0.41666666666666669</v>
      </c>
      <c r="Q412" s="9">
        <f t="shared" si="66"/>
        <v>0.41666666666666669</v>
      </c>
      <c r="R412" s="114">
        <v>0</v>
      </c>
      <c r="S412" s="59">
        <f t="shared" si="67"/>
        <v>0.41666666666666669</v>
      </c>
      <c r="T412" s="10">
        <f t="shared" si="68"/>
        <v>0.41666666666666669</v>
      </c>
      <c r="U412" s="55">
        <f t="shared" si="64"/>
        <v>1.01</v>
      </c>
    </row>
    <row r="413" spans="10:21" x14ac:dyDescent="0.25">
      <c r="J413" s="174" t="s">
        <v>84</v>
      </c>
      <c r="K413" s="174"/>
      <c r="M413" s="62">
        <v>1</v>
      </c>
      <c r="N413" s="60">
        <v>165</v>
      </c>
      <c r="O413" s="8" t="s">
        <v>14</v>
      </c>
      <c r="P413" s="9">
        <f t="shared" si="65"/>
        <v>0.41666666666666669</v>
      </c>
      <c r="Q413" s="9">
        <f t="shared" si="66"/>
        <v>0.41666666666666669</v>
      </c>
      <c r="R413" s="114">
        <v>0</v>
      </c>
      <c r="S413" s="59">
        <f t="shared" si="67"/>
        <v>0.41666666666666669</v>
      </c>
      <c r="T413" s="10">
        <f t="shared" si="68"/>
        <v>0.41666666666666669</v>
      </c>
      <c r="U413" s="55">
        <f t="shared" si="64"/>
        <v>1.01</v>
      </c>
    </row>
    <row r="414" spans="10:21" x14ac:dyDescent="0.25">
      <c r="J414" s="174" t="s">
        <v>84</v>
      </c>
      <c r="K414" s="174"/>
      <c r="M414" s="62">
        <v>1</v>
      </c>
      <c r="N414" s="60">
        <v>164</v>
      </c>
      <c r="O414" s="8" t="s">
        <v>14</v>
      </c>
      <c r="P414" s="9">
        <f t="shared" si="65"/>
        <v>0.41666666666666669</v>
      </c>
      <c r="Q414" s="9">
        <f t="shared" si="66"/>
        <v>0.41666666666666669</v>
      </c>
      <c r="R414" s="114">
        <v>0</v>
      </c>
      <c r="S414" s="59">
        <f t="shared" si="67"/>
        <v>0.41666666666666669</v>
      </c>
      <c r="T414" s="10">
        <f t="shared" si="68"/>
        <v>0.41666666666666669</v>
      </c>
      <c r="U414" s="55">
        <f t="shared" si="64"/>
        <v>1.01</v>
      </c>
    </row>
    <row r="415" spans="10:21" x14ac:dyDescent="0.25">
      <c r="J415" s="174" t="s">
        <v>84</v>
      </c>
      <c r="K415" s="174"/>
      <c r="M415" s="62">
        <v>1</v>
      </c>
      <c r="N415" s="60">
        <v>163</v>
      </c>
      <c r="O415" s="8" t="s">
        <v>14</v>
      </c>
      <c r="P415" s="9">
        <f t="shared" si="65"/>
        <v>0.41666666666666669</v>
      </c>
      <c r="Q415" s="9">
        <f t="shared" si="66"/>
        <v>0.41666666666666669</v>
      </c>
      <c r="R415" s="114">
        <v>0</v>
      </c>
      <c r="S415" s="59">
        <f t="shared" si="67"/>
        <v>0.41666666666666669</v>
      </c>
      <c r="T415" s="10">
        <f t="shared" si="68"/>
        <v>0.41666666666666669</v>
      </c>
      <c r="U415" s="55">
        <f t="shared" si="64"/>
        <v>1.01</v>
      </c>
    </row>
    <row r="416" spans="10:21" x14ac:dyDescent="0.25">
      <c r="J416" s="174" t="s">
        <v>84</v>
      </c>
      <c r="K416" s="174"/>
      <c r="M416" s="62">
        <v>1</v>
      </c>
      <c r="N416" s="60">
        <v>162</v>
      </c>
      <c r="O416" s="8" t="s">
        <v>14</v>
      </c>
      <c r="P416" s="9">
        <f t="shared" si="65"/>
        <v>0.41666666666666669</v>
      </c>
      <c r="Q416" s="9">
        <f t="shared" si="66"/>
        <v>0.41666666666666669</v>
      </c>
      <c r="R416" s="114">
        <v>0</v>
      </c>
      <c r="S416" s="59">
        <f t="shared" si="67"/>
        <v>0.41666666666666669</v>
      </c>
      <c r="T416" s="10">
        <f t="shared" si="68"/>
        <v>0.41666666666666669</v>
      </c>
      <c r="U416" s="55">
        <f t="shared" si="64"/>
        <v>1.01</v>
      </c>
    </row>
    <row r="417" spans="10:21" x14ac:dyDescent="0.25">
      <c r="J417" s="174" t="s">
        <v>84</v>
      </c>
      <c r="K417" s="174"/>
      <c r="M417" s="62">
        <v>1</v>
      </c>
      <c r="N417" s="60">
        <v>161</v>
      </c>
      <c r="O417" s="8" t="s">
        <v>14</v>
      </c>
      <c r="P417" s="9">
        <f t="shared" si="65"/>
        <v>0.41666666666666669</v>
      </c>
      <c r="Q417" s="9">
        <f t="shared" si="66"/>
        <v>0.41666666666666669</v>
      </c>
      <c r="R417" s="114">
        <v>0</v>
      </c>
      <c r="S417" s="59">
        <f t="shared" si="67"/>
        <v>0.41666666666666669</v>
      </c>
      <c r="T417" s="10">
        <f t="shared" si="68"/>
        <v>0.41666666666666669</v>
      </c>
      <c r="U417" s="55">
        <f t="shared" si="64"/>
        <v>1.01</v>
      </c>
    </row>
    <row r="418" spans="10:21" x14ac:dyDescent="0.25">
      <c r="J418" s="174" t="s">
        <v>84</v>
      </c>
      <c r="K418" s="174"/>
      <c r="M418" s="62">
        <v>1</v>
      </c>
      <c r="N418" s="60">
        <v>160</v>
      </c>
      <c r="O418" s="8" t="s">
        <v>14</v>
      </c>
      <c r="P418" s="9">
        <f t="shared" si="65"/>
        <v>0.41666666666666669</v>
      </c>
      <c r="Q418" s="9">
        <f t="shared" si="66"/>
        <v>0.41666666666666669</v>
      </c>
      <c r="R418" s="114">
        <v>0</v>
      </c>
      <c r="S418" s="59">
        <f t="shared" si="67"/>
        <v>0.41666666666666669</v>
      </c>
      <c r="T418" s="10">
        <f t="shared" si="68"/>
        <v>0.41666666666666669</v>
      </c>
      <c r="U418" s="55">
        <f t="shared" si="64"/>
        <v>1.01</v>
      </c>
    </row>
    <row r="419" spans="10:21" x14ac:dyDescent="0.25">
      <c r="J419" s="174" t="s">
        <v>84</v>
      </c>
      <c r="K419" s="174"/>
      <c r="M419" s="62">
        <v>1</v>
      </c>
      <c r="N419" s="60">
        <v>159</v>
      </c>
      <c r="O419" s="8" t="s">
        <v>14</v>
      </c>
      <c r="P419" s="9">
        <f t="shared" si="65"/>
        <v>0.41666666666666669</v>
      </c>
      <c r="Q419" s="9">
        <f t="shared" si="66"/>
        <v>0.41666666666666669</v>
      </c>
      <c r="R419" s="114">
        <v>0</v>
      </c>
      <c r="S419" s="59">
        <f t="shared" si="67"/>
        <v>0.41666666666666669</v>
      </c>
      <c r="T419" s="10">
        <f t="shared" si="68"/>
        <v>0.41666666666666669</v>
      </c>
      <c r="U419" s="55">
        <f t="shared" si="64"/>
        <v>1.01</v>
      </c>
    </row>
    <row r="420" spans="10:21" x14ac:dyDescent="0.25">
      <c r="J420" s="174" t="s">
        <v>84</v>
      </c>
      <c r="K420" s="174"/>
      <c r="M420" s="62">
        <v>1</v>
      </c>
      <c r="N420" s="60">
        <v>158</v>
      </c>
      <c r="O420" s="8" t="s">
        <v>14</v>
      </c>
      <c r="P420" s="9">
        <f t="shared" si="65"/>
        <v>0.41666666666666669</v>
      </c>
      <c r="Q420" s="9">
        <f t="shared" si="66"/>
        <v>0.41666666666666669</v>
      </c>
      <c r="R420" s="114">
        <v>0</v>
      </c>
      <c r="S420" s="59">
        <f t="shared" si="67"/>
        <v>0.41666666666666669</v>
      </c>
      <c r="T420" s="10">
        <f t="shared" si="68"/>
        <v>0.41666666666666669</v>
      </c>
      <c r="U420" s="55">
        <f t="shared" si="64"/>
        <v>1.01</v>
      </c>
    </row>
    <row r="421" spans="10:21" x14ac:dyDescent="0.25">
      <c r="J421" s="174" t="s">
        <v>84</v>
      </c>
      <c r="K421" s="174"/>
      <c r="M421" s="62">
        <v>1</v>
      </c>
      <c r="N421" s="60">
        <v>157</v>
      </c>
      <c r="O421" s="8" t="s">
        <v>14</v>
      </c>
      <c r="P421" s="9">
        <f t="shared" si="65"/>
        <v>0.41666666666666669</v>
      </c>
      <c r="Q421" s="9">
        <f t="shared" si="66"/>
        <v>0.41666666666666669</v>
      </c>
      <c r="R421" s="114">
        <v>0</v>
      </c>
      <c r="S421" s="59">
        <f t="shared" si="67"/>
        <v>0.41666666666666669</v>
      </c>
      <c r="T421" s="10">
        <f t="shared" si="68"/>
        <v>0.41666666666666669</v>
      </c>
      <c r="U421" s="55">
        <f t="shared" si="64"/>
        <v>1.01</v>
      </c>
    </row>
    <row r="422" spans="10:21" x14ac:dyDescent="0.25">
      <c r="J422" s="174" t="s">
        <v>84</v>
      </c>
      <c r="K422" s="174"/>
      <c r="M422" s="62">
        <v>1</v>
      </c>
      <c r="N422" s="60">
        <v>156</v>
      </c>
      <c r="O422" s="8" t="s">
        <v>14</v>
      </c>
      <c r="P422" s="9">
        <f t="shared" si="65"/>
        <v>0.41666666666666669</v>
      </c>
      <c r="Q422" s="9">
        <f t="shared" si="66"/>
        <v>0.41666666666666669</v>
      </c>
      <c r="R422" s="114">
        <v>0</v>
      </c>
      <c r="S422" s="59">
        <f t="shared" si="67"/>
        <v>0.41666666666666669</v>
      </c>
      <c r="T422" s="10">
        <f t="shared" si="68"/>
        <v>0.41666666666666669</v>
      </c>
      <c r="U422" s="55">
        <f t="shared" si="64"/>
        <v>1.01</v>
      </c>
    </row>
    <row r="423" spans="10:21" x14ac:dyDescent="0.25">
      <c r="J423" s="174" t="s">
        <v>84</v>
      </c>
      <c r="K423" s="174"/>
      <c r="M423" s="62">
        <v>1</v>
      </c>
      <c r="N423" s="60">
        <v>155</v>
      </c>
      <c r="O423" s="8" t="s">
        <v>14</v>
      </c>
      <c r="P423" s="9">
        <f t="shared" si="65"/>
        <v>0.41666666666666669</v>
      </c>
      <c r="Q423" s="9">
        <f t="shared" si="66"/>
        <v>0.41666666666666669</v>
      </c>
      <c r="R423" s="114">
        <v>0</v>
      </c>
      <c r="S423" s="59">
        <f t="shared" si="67"/>
        <v>0.41666666666666669</v>
      </c>
      <c r="T423" s="10">
        <f t="shared" si="68"/>
        <v>0.41666666666666669</v>
      </c>
      <c r="U423" s="55">
        <f t="shared" si="64"/>
        <v>1.01</v>
      </c>
    </row>
    <row r="424" spans="10:21" x14ac:dyDescent="0.25">
      <c r="J424" s="174" t="s">
        <v>84</v>
      </c>
      <c r="K424" s="174"/>
      <c r="M424" s="62">
        <v>1</v>
      </c>
      <c r="N424" s="60">
        <v>154</v>
      </c>
      <c r="O424" s="8" t="s">
        <v>14</v>
      </c>
      <c r="P424" s="9">
        <f t="shared" si="65"/>
        <v>0.41666666666666669</v>
      </c>
      <c r="Q424" s="9">
        <f t="shared" si="66"/>
        <v>0.41666666666666669</v>
      </c>
      <c r="R424" s="114">
        <v>0</v>
      </c>
      <c r="S424" s="59">
        <f t="shared" si="67"/>
        <v>0.41666666666666669</v>
      </c>
      <c r="T424" s="10">
        <f t="shared" si="68"/>
        <v>0.41666666666666669</v>
      </c>
      <c r="U424" s="55">
        <f t="shared" si="64"/>
        <v>1.01</v>
      </c>
    </row>
    <row r="425" spans="10:21" x14ac:dyDescent="0.25">
      <c r="J425" s="174" t="s">
        <v>84</v>
      </c>
      <c r="K425" s="174"/>
      <c r="M425" s="62">
        <v>1</v>
      </c>
      <c r="N425" s="60">
        <v>153</v>
      </c>
      <c r="O425" s="8" t="s">
        <v>14</v>
      </c>
      <c r="P425" s="9">
        <f t="shared" si="65"/>
        <v>0.41666666666666669</v>
      </c>
      <c r="Q425" s="9">
        <f t="shared" si="66"/>
        <v>0.41666666666666669</v>
      </c>
      <c r="R425" s="114">
        <v>0</v>
      </c>
      <c r="S425" s="59">
        <f t="shared" si="67"/>
        <v>0.41666666666666669</v>
      </c>
      <c r="T425" s="10">
        <f t="shared" si="68"/>
        <v>0.41666666666666669</v>
      </c>
      <c r="U425" s="55">
        <f t="shared" si="64"/>
        <v>1.01</v>
      </c>
    </row>
    <row r="426" spans="10:21" x14ac:dyDescent="0.25">
      <c r="J426" s="174" t="s">
        <v>84</v>
      </c>
      <c r="K426" s="174"/>
      <c r="M426" s="62">
        <v>1</v>
      </c>
      <c r="N426" s="60">
        <v>152</v>
      </c>
      <c r="O426" s="8" t="s">
        <v>14</v>
      </c>
      <c r="P426" s="9">
        <f t="shared" si="65"/>
        <v>0.41666666666666669</v>
      </c>
      <c r="Q426" s="9">
        <f t="shared" si="66"/>
        <v>0.41666666666666669</v>
      </c>
      <c r="R426" s="114">
        <v>0</v>
      </c>
      <c r="S426" s="59">
        <f t="shared" si="67"/>
        <v>0.41666666666666669</v>
      </c>
      <c r="T426" s="10">
        <f t="shared" si="68"/>
        <v>0.41666666666666669</v>
      </c>
      <c r="U426" s="55">
        <f t="shared" si="64"/>
        <v>1.01</v>
      </c>
    </row>
    <row r="427" spans="10:21" x14ac:dyDescent="0.25">
      <c r="J427" s="174" t="s">
        <v>84</v>
      </c>
      <c r="K427" s="174"/>
      <c r="M427" s="62">
        <v>1</v>
      </c>
      <c r="N427" s="60">
        <v>151</v>
      </c>
      <c r="O427" s="8" t="s">
        <v>14</v>
      </c>
      <c r="P427" s="9">
        <f t="shared" si="65"/>
        <v>0.41666666666666669</v>
      </c>
      <c r="Q427" s="9">
        <f t="shared" si="66"/>
        <v>0.41666666666666669</v>
      </c>
      <c r="R427" s="114">
        <v>0</v>
      </c>
      <c r="S427" s="59">
        <f t="shared" si="67"/>
        <v>0.41666666666666669</v>
      </c>
      <c r="T427" s="10">
        <f t="shared" si="68"/>
        <v>0.41666666666666669</v>
      </c>
      <c r="U427" s="55">
        <f t="shared" si="64"/>
        <v>1.01</v>
      </c>
    </row>
    <row r="428" spans="10:21" x14ac:dyDescent="0.25">
      <c r="J428" s="174" t="s">
        <v>84</v>
      </c>
      <c r="K428" s="174"/>
      <c r="M428" s="62">
        <v>1</v>
      </c>
      <c r="N428" s="60">
        <v>150</v>
      </c>
      <c r="O428" s="8" t="s">
        <v>14</v>
      </c>
      <c r="P428" s="9">
        <f t="shared" si="65"/>
        <v>0.41666666666666669</v>
      </c>
      <c r="Q428" s="9">
        <f t="shared" si="66"/>
        <v>0.41666666666666669</v>
      </c>
      <c r="R428" s="114">
        <v>0</v>
      </c>
      <c r="S428" s="59">
        <f t="shared" si="67"/>
        <v>0.41666666666666669</v>
      </c>
      <c r="T428" s="10">
        <f t="shared" si="68"/>
        <v>0.41666666666666669</v>
      </c>
      <c r="U428" s="55">
        <f t="shared" si="64"/>
        <v>1.01</v>
      </c>
    </row>
    <row r="429" spans="10:21" x14ac:dyDescent="0.25">
      <c r="J429" s="174" t="s">
        <v>84</v>
      </c>
      <c r="K429" s="174"/>
      <c r="M429" s="62">
        <v>1</v>
      </c>
      <c r="N429" s="60">
        <v>149</v>
      </c>
      <c r="O429" s="8" t="s">
        <v>14</v>
      </c>
      <c r="P429" s="9">
        <f t="shared" si="65"/>
        <v>0.41666666666666669</v>
      </c>
      <c r="Q429" s="9">
        <f t="shared" si="66"/>
        <v>0.41666666666666669</v>
      </c>
      <c r="R429" s="114">
        <v>0</v>
      </c>
      <c r="S429" s="59">
        <f t="shared" si="67"/>
        <v>0.41666666666666669</v>
      </c>
      <c r="T429" s="10">
        <f t="shared" si="68"/>
        <v>0.41666666666666669</v>
      </c>
      <c r="U429" s="55">
        <f t="shared" si="64"/>
        <v>1.01</v>
      </c>
    </row>
    <row r="430" spans="10:21" x14ac:dyDescent="0.25">
      <c r="J430" s="174" t="s">
        <v>84</v>
      </c>
      <c r="K430" s="174"/>
      <c r="M430" s="62">
        <v>1</v>
      </c>
      <c r="N430" s="60">
        <v>148</v>
      </c>
      <c r="O430" s="8" t="s">
        <v>14</v>
      </c>
      <c r="P430" s="9">
        <f t="shared" si="65"/>
        <v>0.41666666666666669</v>
      </c>
      <c r="Q430" s="9">
        <f t="shared" si="66"/>
        <v>0.41666666666666669</v>
      </c>
      <c r="R430" s="114">
        <v>0</v>
      </c>
      <c r="S430" s="59">
        <f t="shared" si="67"/>
        <v>0.41666666666666669</v>
      </c>
      <c r="T430" s="10">
        <f t="shared" si="68"/>
        <v>0.41666666666666669</v>
      </c>
      <c r="U430" s="55">
        <f t="shared" si="64"/>
        <v>1.01</v>
      </c>
    </row>
    <row r="431" spans="10:21" x14ac:dyDescent="0.25">
      <c r="J431" s="174" t="s">
        <v>84</v>
      </c>
      <c r="K431" s="174"/>
      <c r="M431" s="62">
        <v>1</v>
      </c>
      <c r="N431" s="60">
        <v>147</v>
      </c>
      <c r="O431" s="8" t="s">
        <v>14</v>
      </c>
      <c r="P431" s="9">
        <f t="shared" si="65"/>
        <v>0.41666666666666669</v>
      </c>
      <c r="Q431" s="9">
        <f t="shared" si="66"/>
        <v>0.41666666666666669</v>
      </c>
      <c r="R431" s="114">
        <v>0</v>
      </c>
      <c r="S431" s="59">
        <f t="shared" si="67"/>
        <v>0.41666666666666669</v>
      </c>
      <c r="T431" s="10">
        <f t="shared" si="68"/>
        <v>0.41666666666666669</v>
      </c>
      <c r="U431" s="55">
        <f t="shared" si="64"/>
        <v>1.01</v>
      </c>
    </row>
    <row r="432" spans="10:21" x14ac:dyDescent="0.25">
      <c r="J432" s="174" t="s">
        <v>84</v>
      </c>
      <c r="K432" s="174"/>
      <c r="M432" s="62">
        <v>1</v>
      </c>
      <c r="N432" s="60">
        <v>146</v>
      </c>
      <c r="O432" s="8" t="s">
        <v>14</v>
      </c>
      <c r="P432" s="9">
        <f t="shared" si="65"/>
        <v>0.41666666666666669</v>
      </c>
      <c r="Q432" s="9">
        <f t="shared" si="66"/>
        <v>0.41666666666666669</v>
      </c>
      <c r="R432" s="114">
        <v>0</v>
      </c>
      <c r="S432" s="59">
        <f t="shared" si="67"/>
        <v>0.41666666666666669</v>
      </c>
      <c r="T432" s="10">
        <f t="shared" si="68"/>
        <v>0.41666666666666669</v>
      </c>
      <c r="U432" s="55">
        <f t="shared" si="64"/>
        <v>1.01</v>
      </c>
    </row>
    <row r="433" spans="10:21" x14ac:dyDescent="0.25">
      <c r="J433" s="174" t="s">
        <v>84</v>
      </c>
      <c r="K433" s="174"/>
      <c r="M433" s="62">
        <v>1</v>
      </c>
      <c r="N433" s="60">
        <v>145</v>
      </c>
      <c r="O433" s="8" t="s">
        <v>14</v>
      </c>
      <c r="P433" s="9">
        <f t="shared" si="65"/>
        <v>0.41666666666666669</v>
      </c>
      <c r="Q433" s="9">
        <f t="shared" si="66"/>
        <v>0.41666666666666669</v>
      </c>
      <c r="R433" s="114">
        <v>0</v>
      </c>
      <c r="S433" s="59">
        <f t="shared" si="67"/>
        <v>0.41666666666666669</v>
      </c>
      <c r="T433" s="10">
        <f t="shared" si="68"/>
        <v>0.41666666666666669</v>
      </c>
      <c r="U433" s="55">
        <f t="shared" si="64"/>
        <v>1.01</v>
      </c>
    </row>
    <row r="434" spans="10:21" x14ac:dyDescent="0.25">
      <c r="J434" s="174" t="s">
        <v>84</v>
      </c>
      <c r="K434" s="174"/>
      <c r="M434" s="62">
        <v>1</v>
      </c>
      <c r="N434" s="60">
        <v>144</v>
      </c>
      <c r="O434" s="8" t="s">
        <v>14</v>
      </c>
      <c r="P434" s="9">
        <f t="shared" si="65"/>
        <v>0.41666666666666669</v>
      </c>
      <c r="Q434" s="9">
        <f t="shared" si="66"/>
        <v>0.41666666666666669</v>
      </c>
      <c r="R434" s="114">
        <v>0</v>
      </c>
      <c r="S434" s="59">
        <f t="shared" si="67"/>
        <v>0.41666666666666669</v>
      </c>
      <c r="T434" s="10">
        <f t="shared" si="68"/>
        <v>0.41666666666666669</v>
      </c>
      <c r="U434" s="55">
        <f t="shared" si="64"/>
        <v>1.01</v>
      </c>
    </row>
    <row r="435" spans="10:21" x14ac:dyDescent="0.25">
      <c r="J435" s="174" t="s">
        <v>84</v>
      </c>
      <c r="K435" s="174"/>
      <c r="M435" s="62">
        <v>1</v>
      </c>
      <c r="N435" s="60">
        <v>143</v>
      </c>
      <c r="O435" s="8" t="s">
        <v>14</v>
      </c>
      <c r="P435" s="9">
        <f t="shared" si="65"/>
        <v>0.41666666666666669</v>
      </c>
      <c r="Q435" s="9">
        <f t="shared" si="66"/>
        <v>0.41666666666666669</v>
      </c>
      <c r="R435" s="114">
        <v>0</v>
      </c>
      <c r="S435" s="59">
        <f t="shared" si="67"/>
        <v>0.41666666666666669</v>
      </c>
      <c r="T435" s="10">
        <f t="shared" si="68"/>
        <v>0.41666666666666669</v>
      </c>
      <c r="U435" s="55">
        <f t="shared" si="64"/>
        <v>1.01</v>
      </c>
    </row>
    <row r="436" spans="10:21" x14ac:dyDescent="0.25">
      <c r="J436" s="174" t="s">
        <v>84</v>
      </c>
      <c r="K436" s="174"/>
      <c r="M436" s="62">
        <v>1</v>
      </c>
      <c r="N436" s="60">
        <v>142</v>
      </c>
      <c r="O436" s="8" t="s">
        <v>14</v>
      </c>
      <c r="P436" s="9">
        <f t="shared" si="65"/>
        <v>0.41666666666666669</v>
      </c>
      <c r="Q436" s="9">
        <f t="shared" si="66"/>
        <v>0.41666666666666669</v>
      </c>
      <c r="R436" s="114">
        <v>0</v>
      </c>
      <c r="S436" s="59">
        <f t="shared" si="67"/>
        <v>0.41666666666666669</v>
      </c>
      <c r="T436" s="10">
        <f t="shared" si="68"/>
        <v>0.41666666666666669</v>
      </c>
      <c r="U436" s="55">
        <f t="shared" si="64"/>
        <v>1.01</v>
      </c>
    </row>
    <row r="437" spans="10:21" x14ac:dyDescent="0.25">
      <c r="J437" s="174" t="s">
        <v>84</v>
      </c>
      <c r="K437" s="174"/>
      <c r="M437" s="62">
        <v>1</v>
      </c>
      <c r="N437" s="60">
        <v>141</v>
      </c>
      <c r="O437" s="8" t="s">
        <v>14</v>
      </c>
      <c r="P437" s="9">
        <f t="shared" si="65"/>
        <v>0.41666666666666669</v>
      </c>
      <c r="Q437" s="9">
        <f t="shared" si="66"/>
        <v>0.41666666666666669</v>
      </c>
      <c r="R437" s="114">
        <v>0</v>
      </c>
      <c r="S437" s="59">
        <f t="shared" si="67"/>
        <v>0.41666666666666669</v>
      </c>
      <c r="T437" s="10">
        <f t="shared" si="68"/>
        <v>0.41666666666666669</v>
      </c>
      <c r="U437" s="55">
        <f t="shared" si="64"/>
        <v>1.01</v>
      </c>
    </row>
    <row r="438" spans="10:21" x14ac:dyDescent="0.25">
      <c r="J438" s="174" t="s">
        <v>84</v>
      </c>
      <c r="K438" s="174"/>
      <c r="M438" s="62">
        <v>1</v>
      </c>
      <c r="N438" s="60">
        <v>140</v>
      </c>
      <c r="O438" s="8" t="s">
        <v>14</v>
      </c>
      <c r="P438" s="9">
        <f t="shared" si="65"/>
        <v>0.41666666666666669</v>
      </c>
      <c r="Q438" s="9">
        <f t="shared" si="66"/>
        <v>0.41666666666666669</v>
      </c>
      <c r="R438" s="114">
        <v>0</v>
      </c>
      <c r="S438" s="59">
        <f t="shared" si="67"/>
        <v>0.41666666666666669</v>
      </c>
      <c r="T438" s="10">
        <f t="shared" si="68"/>
        <v>0.41666666666666669</v>
      </c>
      <c r="U438" s="55">
        <f t="shared" si="64"/>
        <v>1.01</v>
      </c>
    </row>
    <row r="439" spans="10:21" x14ac:dyDescent="0.25">
      <c r="J439" s="174" t="s">
        <v>84</v>
      </c>
      <c r="K439" s="174"/>
      <c r="M439" s="62">
        <v>1</v>
      </c>
      <c r="N439" s="60">
        <v>139</v>
      </c>
      <c r="O439" s="8" t="s">
        <v>14</v>
      </c>
      <c r="P439" s="9">
        <f t="shared" si="65"/>
        <v>0.41666666666666669</v>
      </c>
      <c r="Q439" s="9">
        <f t="shared" si="66"/>
        <v>0.41666666666666669</v>
      </c>
      <c r="R439" s="114">
        <v>0</v>
      </c>
      <c r="S439" s="59">
        <f t="shared" si="67"/>
        <v>0.41666666666666669</v>
      </c>
      <c r="T439" s="10">
        <f t="shared" si="68"/>
        <v>0.41666666666666669</v>
      </c>
      <c r="U439" s="55">
        <f t="shared" si="64"/>
        <v>1.01</v>
      </c>
    </row>
    <row r="440" spans="10:21" x14ac:dyDescent="0.25">
      <c r="J440" s="174" t="s">
        <v>84</v>
      </c>
      <c r="K440" s="174"/>
      <c r="M440" s="62">
        <v>1</v>
      </c>
      <c r="N440" s="60">
        <v>138</v>
      </c>
      <c r="O440" s="8" t="s">
        <v>14</v>
      </c>
      <c r="P440" s="9">
        <f t="shared" si="65"/>
        <v>0.41666666666666669</v>
      </c>
      <c r="Q440" s="9">
        <f t="shared" si="66"/>
        <v>0.41666666666666669</v>
      </c>
      <c r="R440" s="114">
        <v>0</v>
      </c>
      <c r="S440" s="59">
        <f t="shared" si="67"/>
        <v>0.41666666666666669</v>
      </c>
      <c r="T440" s="10">
        <f t="shared" si="68"/>
        <v>0.41666666666666669</v>
      </c>
      <c r="U440" s="55">
        <f t="shared" si="64"/>
        <v>1.01</v>
      </c>
    </row>
    <row r="441" spans="10:21" x14ac:dyDescent="0.25">
      <c r="J441" s="174" t="s">
        <v>84</v>
      </c>
      <c r="K441" s="174"/>
      <c r="M441" s="62">
        <v>1</v>
      </c>
      <c r="N441" s="60">
        <v>137</v>
      </c>
      <c r="O441" s="8" t="s">
        <v>14</v>
      </c>
      <c r="P441" s="9">
        <f t="shared" si="65"/>
        <v>0.41666666666666669</v>
      </c>
      <c r="Q441" s="9">
        <f t="shared" si="66"/>
        <v>0.41666666666666669</v>
      </c>
      <c r="R441" s="114">
        <v>0</v>
      </c>
      <c r="S441" s="59">
        <f t="shared" si="67"/>
        <v>0.41666666666666669</v>
      </c>
      <c r="T441" s="10">
        <f t="shared" si="68"/>
        <v>0.41666666666666669</v>
      </c>
      <c r="U441" s="55">
        <f t="shared" si="64"/>
        <v>1.01</v>
      </c>
    </row>
    <row r="442" spans="10:21" x14ac:dyDescent="0.25">
      <c r="J442" s="174" t="s">
        <v>84</v>
      </c>
      <c r="K442" s="174"/>
      <c r="M442" s="62">
        <v>1</v>
      </c>
      <c r="N442" s="60">
        <v>136</v>
      </c>
      <c r="O442" s="8" t="s">
        <v>14</v>
      </c>
      <c r="P442" s="9">
        <f t="shared" si="65"/>
        <v>0.41666666666666669</v>
      </c>
      <c r="Q442" s="9">
        <f t="shared" si="66"/>
        <v>0.41666666666666669</v>
      </c>
      <c r="R442" s="114">
        <v>0</v>
      </c>
      <c r="S442" s="59">
        <f t="shared" si="67"/>
        <v>0.41666666666666669</v>
      </c>
      <c r="T442" s="10">
        <f t="shared" si="68"/>
        <v>0.41666666666666669</v>
      </c>
      <c r="U442" s="55">
        <f t="shared" si="64"/>
        <v>1.01</v>
      </c>
    </row>
    <row r="443" spans="10:21" x14ac:dyDescent="0.25">
      <c r="J443" s="174" t="s">
        <v>84</v>
      </c>
      <c r="K443" s="174"/>
      <c r="M443" s="62">
        <v>1</v>
      </c>
      <c r="N443" s="60">
        <v>135</v>
      </c>
      <c r="O443" s="8" t="s">
        <v>14</v>
      </c>
      <c r="P443" s="9">
        <f t="shared" si="65"/>
        <v>0.41666666666666669</v>
      </c>
      <c r="Q443" s="9">
        <f t="shared" si="66"/>
        <v>0.41666666666666669</v>
      </c>
      <c r="R443" s="114">
        <v>0</v>
      </c>
      <c r="S443" s="59">
        <f t="shared" si="67"/>
        <v>0.41666666666666669</v>
      </c>
      <c r="T443" s="10">
        <f t="shared" si="68"/>
        <v>0.41666666666666669</v>
      </c>
      <c r="U443" s="55">
        <f t="shared" si="64"/>
        <v>1.01</v>
      </c>
    </row>
    <row r="444" spans="10:21" x14ac:dyDescent="0.25">
      <c r="J444" s="174" t="s">
        <v>84</v>
      </c>
      <c r="K444" s="174"/>
      <c r="M444" s="62">
        <v>1</v>
      </c>
      <c r="N444" s="60">
        <v>134</v>
      </c>
      <c r="O444" s="8" t="s">
        <v>14</v>
      </c>
      <c r="P444" s="9">
        <f t="shared" si="65"/>
        <v>0.41666666666666669</v>
      </c>
      <c r="Q444" s="9">
        <f t="shared" si="66"/>
        <v>0.41666666666666669</v>
      </c>
      <c r="R444" s="114">
        <v>0</v>
      </c>
      <c r="S444" s="59">
        <f t="shared" si="67"/>
        <v>0.41666666666666669</v>
      </c>
      <c r="T444" s="10">
        <f t="shared" si="68"/>
        <v>0.41666666666666669</v>
      </c>
      <c r="U444" s="55">
        <f t="shared" si="64"/>
        <v>1.01</v>
      </c>
    </row>
    <row r="445" spans="10:21" x14ac:dyDescent="0.25">
      <c r="J445" s="174" t="s">
        <v>84</v>
      </c>
      <c r="K445" s="174"/>
      <c r="M445" s="62">
        <v>1</v>
      </c>
      <c r="N445" s="60">
        <v>133</v>
      </c>
      <c r="O445" s="8" t="s">
        <v>14</v>
      </c>
      <c r="P445" s="9">
        <f t="shared" si="65"/>
        <v>0.41666666666666669</v>
      </c>
      <c r="Q445" s="9">
        <f t="shared" si="66"/>
        <v>0.41666666666666669</v>
      </c>
      <c r="R445" s="114">
        <v>0</v>
      </c>
      <c r="S445" s="59">
        <f t="shared" si="67"/>
        <v>0.41666666666666669</v>
      </c>
      <c r="T445" s="10">
        <f t="shared" si="68"/>
        <v>0.41666666666666669</v>
      </c>
      <c r="U445" s="55">
        <f t="shared" si="64"/>
        <v>1.01</v>
      </c>
    </row>
    <row r="446" spans="10:21" x14ac:dyDescent="0.25">
      <c r="J446" s="174" t="s">
        <v>84</v>
      </c>
      <c r="K446" s="174"/>
      <c r="M446" s="62">
        <v>1</v>
      </c>
      <c r="N446" s="60">
        <v>132</v>
      </c>
      <c r="O446" s="8" t="s">
        <v>14</v>
      </c>
      <c r="P446" s="9">
        <f t="shared" si="65"/>
        <v>0.41666666666666669</v>
      </c>
      <c r="Q446" s="9">
        <f t="shared" si="66"/>
        <v>0.41666666666666669</v>
      </c>
      <c r="R446" s="114">
        <v>0</v>
      </c>
      <c r="S446" s="59">
        <f t="shared" si="67"/>
        <v>0.41666666666666669</v>
      </c>
      <c r="T446" s="10">
        <f t="shared" si="68"/>
        <v>0.41666666666666669</v>
      </c>
      <c r="U446" s="55">
        <f t="shared" si="64"/>
        <v>1.01</v>
      </c>
    </row>
    <row r="447" spans="10:21" x14ac:dyDescent="0.25">
      <c r="J447" s="174" t="s">
        <v>84</v>
      </c>
      <c r="K447" s="174"/>
      <c r="M447" s="62">
        <v>1</v>
      </c>
      <c r="N447" s="60">
        <v>131</v>
      </c>
      <c r="O447" s="8" t="s">
        <v>14</v>
      </c>
      <c r="P447" s="9">
        <f t="shared" si="65"/>
        <v>0.41666666666666669</v>
      </c>
      <c r="Q447" s="9">
        <f t="shared" si="66"/>
        <v>0.41666666666666669</v>
      </c>
      <c r="R447" s="114">
        <v>0</v>
      </c>
      <c r="S447" s="59">
        <f t="shared" si="67"/>
        <v>0.41666666666666669</v>
      </c>
      <c r="T447" s="10">
        <f t="shared" si="68"/>
        <v>0.41666666666666669</v>
      </c>
      <c r="U447" s="55">
        <f t="shared" si="64"/>
        <v>1.01</v>
      </c>
    </row>
    <row r="448" spans="10:21" x14ac:dyDescent="0.25">
      <c r="J448" s="174" t="s">
        <v>84</v>
      </c>
      <c r="K448" s="174"/>
      <c r="M448" s="62">
        <v>1</v>
      </c>
      <c r="N448" s="60">
        <v>130</v>
      </c>
      <c r="O448" s="8" t="s">
        <v>14</v>
      </c>
      <c r="P448" s="9">
        <f t="shared" si="65"/>
        <v>0.41666666666666669</v>
      </c>
      <c r="Q448" s="9">
        <f t="shared" si="66"/>
        <v>0.41666666666666669</v>
      </c>
      <c r="R448" s="114">
        <v>0</v>
      </c>
      <c r="S448" s="59">
        <f t="shared" si="67"/>
        <v>0.41666666666666669</v>
      </c>
      <c r="T448" s="10">
        <f t="shared" si="68"/>
        <v>0.41666666666666669</v>
      </c>
      <c r="U448" s="55">
        <f t="shared" si="64"/>
        <v>1.01</v>
      </c>
    </row>
    <row r="449" spans="10:21" x14ac:dyDescent="0.25">
      <c r="J449" s="174" t="s">
        <v>84</v>
      </c>
      <c r="K449" s="174"/>
      <c r="M449" s="62">
        <v>1</v>
      </c>
      <c r="N449" s="60">
        <v>129</v>
      </c>
      <c r="O449" s="8" t="s">
        <v>14</v>
      </c>
      <c r="P449" s="9">
        <f t="shared" si="65"/>
        <v>0.41666666666666669</v>
      </c>
      <c r="Q449" s="9">
        <f t="shared" si="66"/>
        <v>0.41666666666666669</v>
      </c>
      <c r="R449" s="114">
        <v>0</v>
      </c>
      <c r="S449" s="59">
        <f t="shared" si="67"/>
        <v>0.41666666666666669</v>
      </c>
      <c r="T449" s="10">
        <f t="shared" si="68"/>
        <v>0.41666666666666669</v>
      </c>
      <c r="U449" s="55">
        <f t="shared" si="64"/>
        <v>1.01</v>
      </c>
    </row>
    <row r="450" spans="10:21" x14ac:dyDescent="0.25">
      <c r="J450" s="174" t="s">
        <v>84</v>
      </c>
      <c r="K450" s="174"/>
      <c r="M450" s="62">
        <v>1</v>
      </c>
      <c r="N450" s="60">
        <v>128</v>
      </c>
      <c r="O450" s="8" t="s">
        <v>14</v>
      </c>
      <c r="P450" s="9">
        <f t="shared" si="65"/>
        <v>0.41666666666666669</v>
      </c>
      <c r="Q450" s="9">
        <f t="shared" si="66"/>
        <v>0.41666666666666669</v>
      </c>
      <c r="R450" s="114">
        <v>0</v>
      </c>
      <c r="S450" s="59">
        <f t="shared" si="67"/>
        <v>0.41666666666666669</v>
      </c>
      <c r="T450" s="10">
        <f t="shared" si="68"/>
        <v>0.41666666666666669</v>
      </c>
      <c r="U450" s="55">
        <f t="shared" si="64"/>
        <v>1.01</v>
      </c>
    </row>
    <row r="451" spans="10:21" x14ac:dyDescent="0.25">
      <c r="J451" s="174" t="s">
        <v>84</v>
      </c>
      <c r="K451" s="174"/>
      <c r="M451" s="62">
        <v>1</v>
      </c>
      <c r="N451" s="60">
        <v>127</v>
      </c>
      <c r="O451" s="8" t="s">
        <v>14</v>
      </c>
      <c r="P451" s="9">
        <f t="shared" si="65"/>
        <v>0.41666666666666669</v>
      </c>
      <c r="Q451" s="9">
        <f t="shared" si="66"/>
        <v>0.41666666666666669</v>
      </c>
      <c r="R451" s="114">
        <v>0</v>
      </c>
      <c r="S451" s="59">
        <f t="shared" si="67"/>
        <v>0.41666666666666669</v>
      </c>
      <c r="T451" s="10">
        <f t="shared" si="68"/>
        <v>0.41666666666666669</v>
      </c>
      <c r="U451" s="55">
        <f t="shared" si="64"/>
        <v>1.01</v>
      </c>
    </row>
    <row r="452" spans="10:21" x14ac:dyDescent="0.25">
      <c r="J452" s="174" t="s">
        <v>84</v>
      </c>
      <c r="K452" s="174"/>
      <c r="M452" s="62">
        <v>1</v>
      </c>
      <c r="N452" s="60">
        <v>126</v>
      </c>
      <c r="O452" s="8" t="s">
        <v>14</v>
      </c>
      <c r="P452" s="9">
        <f t="shared" si="65"/>
        <v>0.41666666666666669</v>
      </c>
      <c r="Q452" s="9">
        <f t="shared" si="66"/>
        <v>0.41666666666666669</v>
      </c>
      <c r="R452" s="114">
        <v>0</v>
      </c>
      <c r="S452" s="59">
        <f t="shared" si="67"/>
        <v>0.41666666666666669</v>
      </c>
      <c r="T452" s="10">
        <f t="shared" si="68"/>
        <v>0.41666666666666669</v>
      </c>
      <c r="U452" s="55">
        <f t="shared" si="64"/>
        <v>1.01</v>
      </c>
    </row>
    <row r="453" spans="10:21" x14ac:dyDescent="0.25">
      <c r="J453" s="174" t="s">
        <v>84</v>
      </c>
      <c r="K453" s="174"/>
      <c r="M453" s="62">
        <v>1</v>
      </c>
      <c r="N453" s="60">
        <v>125</v>
      </c>
      <c r="O453" s="8" t="s">
        <v>14</v>
      </c>
      <c r="P453" s="9">
        <f t="shared" si="65"/>
        <v>0.41666666666666669</v>
      </c>
      <c r="Q453" s="9">
        <f t="shared" si="66"/>
        <v>0.41666666666666669</v>
      </c>
      <c r="R453" s="114">
        <v>0</v>
      </c>
      <c r="S453" s="59">
        <f t="shared" si="67"/>
        <v>0.41666666666666669</v>
      </c>
      <c r="T453" s="10">
        <f t="shared" si="68"/>
        <v>0.41666666666666669</v>
      </c>
      <c r="U453" s="55">
        <f t="shared" si="64"/>
        <v>1.01</v>
      </c>
    </row>
    <row r="454" spans="10:21" x14ac:dyDescent="0.25">
      <c r="J454" s="174" t="s">
        <v>84</v>
      </c>
      <c r="K454" s="174"/>
      <c r="M454" s="62">
        <v>1</v>
      </c>
      <c r="N454" s="60">
        <v>124</v>
      </c>
      <c r="O454" s="8" t="s">
        <v>14</v>
      </c>
      <c r="P454" s="9">
        <f t="shared" si="65"/>
        <v>0.41666666666666669</v>
      </c>
      <c r="Q454" s="9">
        <f t="shared" si="66"/>
        <v>0.41666666666666669</v>
      </c>
      <c r="R454" s="114">
        <v>0</v>
      </c>
      <c r="S454" s="59">
        <f t="shared" si="67"/>
        <v>0.41666666666666669</v>
      </c>
      <c r="T454" s="10">
        <f t="shared" si="68"/>
        <v>0.41666666666666669</v>
      </c>
      <c r="U454" s="55">
        <f t="shared" si="64"/>
        <v>1.01</v>
      </c>
    </row>
    <row r="455" spans="10:21" x14ac:dyDescent="0.25">
      <c r="J455" s="174" t="s">
        <v>84</v>
      </c>
      <c r="K455" s="174"/>
      <c r="M455" s="62">
        <v>1</v>
      </c>
      <c r="N455" s="60">
        <v>123</v>
      </c>
      <c r="O455" s="8" t="s">
        <v>14</v>
      </c>
      <c r="P455" s="9">
        <f t="shared" si="65"/>
        <v>0.41666666666666669</v>
      </c>
      <c r="Q455" s="9">
        <f t="shared" si="66"/>
        <v>0.41666666666666669</v>
      </c>
      <c r="R455" s="114">
        <v>0</v>
      </c>
      <c r="S455" s="59">
        <f t="shared" si="67"/>
        <v>0.41666666666666669</v>
      </c>
      <c r="T455" s="10">
        <f t="shared" si="68"/>
        <v>0.41666666666666669</v>
      </c>
      <c r="U455" s="55">
        <f t="shared" si="64"/>
        <v>1.01</v>
      </c>
    </row>
    <row r="456" spans="10:21" x14ac:dyDescent="0.25">
      <c r="J456" s="174" t="s">
        <v>84</v>
      </c>
      <c r="K456" s="174"/>
      <c r="M456" s="62">
        <v>1</v>
      </c>
      <c r="N456" s="60">
        <v>122</v>
      </c>
      <c r="O456" s="8" t="s">
        <v>14</v>
      </c>
      <c r="P456" s="9">
        <f t="shared" si="65"/>
        <v>0.41666666666666669</v>
      </c>
      <c r="Q456" s="9">
        <f t="shared" si="66"/>
        <v>0.41666666666666669</v>
      </c>
      <c r="R456" s="114">
        <v>0</v>
      </c>
      <c r="S456" s="59">
        <f t="shared" si="67"/>
        <v>0.41666666666666669</v>
      </c>
      <c r="T456" s="10">
        <f t="shared" si="68"/>
        <v>0.41666666666666669</v>
      </c>
      <c r="U456" s="55">
        <f t="shared" si="64"/>
        <v>1.01</v>
      </c>
    </row>
    <row r="457" spans="10:21" x14ac:dyDescent="0.25">
      <c r="J457" s="174" t="s">
        <v>84</v>
      </c>
      <c r="K457" s="174"/>
      <c r="M457" s="62">
        <v>1</v>
      </c>
      <c r="N457" s="60">
        <v>121</v>
      </c>
      <c r="O457" s="8" t="s">
        <v>14</v>
      </c>
      <c r="P457" s="9">
        <f t="shared" si="65"/>
        <v>0.41666666666666669</v>
      </c>
      <c r="Q457" s="9">
        <f t="shared" si="66"/>
        <v>0.41666666666666669</v>
      </c>
      <c r="R457" s="114">
        <v>0</v>
      </c>
      <c r="S457" s="59">
        <f t="shared" si="67"/>
        <v>0.41666666666666669</v>
      </c>
      <c r="T457" s="10">
        <f t="shared" si="68"/>
        <v>0.41666666666666669</v>
      </c>
      <c r="U457" s="55">
        <f t="shared" si="64"/>
        <v>1.01</v>
      </c>
    </row>
    <row r="458" spans="10:21" x14ac:dyDescent="0.25">
      <c r="J458" s="174" t="s">
        <v>84</v>
      </c>
      <c r="K458" s="174"/>
      <c r="M458" s="62">
        <v>1</v>
      </c>
      <c r="N458" s="60">
        <v>120</v>
      </c>
      <c r="O458" s="8" t="s">
        <v>14</v>
      </c>
      <c r="P458" s="9">
        <f t="shared" si="65"/>
        <v>0.41666666666666669</v>
      </c>
      <c r="Q458" s="9">
        <f t="shared" si="66"/>
        <v>0.41666666666666669</v>
      </c>
      <c r="R458" s="114">
        <v>0</v>
      </c>
      <c r="S458" s="59">
        <f t="shared" si="67"/>
        <v>0.41666666666666669</v>
      </c>
      <c r="T458" s="10">
        <f t="shared" si="68"/>
        <v>0.41666666666666669</v>
      </c>
      <c r="U458" s="55">
        <f t="shared" ref="U458:U521" si="69">1+(T458/$J$6)/100</f>
        <v>1.01</v>
      </c>
    </row>
    <row r="459" spans="10:21" x14ac:dyDescent="0.25">
      <c r="J459" s="174" t="s">
        <v>84</v>
      </c>
      <c r="K459" s="174"/>
      <c r="M459" s="62">
        <v>1</v>
      </c>
      <c r="N459" s="60">
        <v>119</v>
      </c>
      <c r="O459" s="8" t="s">
        <v>14</v>
      </c>
      <c r="P459" s="9">
        <f t="shared" si="65"/>
        <v>0.41666666666666669</v>
      </c>
      <c r="Q459" s="9">
        <f t="shared" si="66"/>
        <v>0.41666666666666669</v>
      </c>
      <c r="R459" s="114">
        <v>0</v>
      </c>
      <c r="S459" s="59">
        <f t="shared" si="67"/>
        <v>0.41666666666666669</v>
      </c>
      <c r="T459" s="10">
        <f t="shared" si="68"/>
        <v>0.41666666666666669</v>
      </c>
      <c r="U459" s="55">
        <f t="shared" si="69"/>
        <v>1.01</v>
      </c>
    </row>
    <row r="460" spans="10:21" x14ac:dyDescent="0.25">
      <c r="J460" s="174" t="s">
        <v>84</v>
      </c>
      <c r="K460" s="174"/>
      <c r="M460" s="62">
        <v>1</v>
      </c>
      <c r="N460" s="60">
        <v>118</v>
      </c>
      <c r="O460" s="8" t="s">
        <v>14</v>
      </c>
      <c r="P460" s="9">
        <f t="shared" si="65"/>
        <v>0.41666666666666669</v>
      </c>
      <c r="Q460" s="9">
        <f t="shared" si="66"/>
        <v>0.41666666666666669</v>
      </c>
      <c r="R460" s="114">
        <v>0</v>
      </c>
      <c r="S460" s="59">
        <f t="shared" si="67"/>
        <v>0.41666666666666669</v>
      </c>
      <c r="T460" s="10">
        <f t="shared" si="68"/>
        <v>0.41666666666666669</v>
      </c>
      <c r="U460" s="55">
        <f t="shared" si="69"/>
        <v>1.01</v>
      </c>
    </row>
    <row r="461" spans="10:21" x14ac:dyDescent="0.25">
      <c r="J461" s="174" t="s">
        <v>84</v>
      </c>
      <c r="K461" s="174"/>
      <c r="M461" s="62">
        <v>1</v>
      </c>
      <c r="N461" s="60">
        <v>117</v>
      </c>
      <c r="O461" s="8" t="s">
        <v>14</v>
      </c>
      <c r="P461" s="9">
        <f t="shared" si="65"/>
        <v>0.41666666666666669</v>
      </c>
      <c r="Q461" s="9">
        <f t="shared" si="66"/>
        <v>0.41666666666666669</v>
      </c>
      <c r="R461" s="114">
        <v>0</v>
      </c>
      <c r="S461" s="59">
        <f t="shared" si="67"/>
        <v>0.41666666666666669</v>
      </c>
      <c r="T461" s="10">
        <f t="shared" si="68"/>
        <v>0.41666666666666669</v>
      </c>
      <c r="U461" s="55">
        <f t="shared" si="69"/>
        <v>1.01</v>
      </c>
    </row>
    <row r="462" spans="10:21" x14ac:dyDescent="0.25">
      <c r="J462" s="174" t="s">
        <v>84</v>
      </c>
      <c r="K462" s="174"/>
      <c r="M462" s="62">
        <v>1</v>
      </c>
      <c r="N462" s="60">
        <v>116</v>
      </c>
      <c r="O462" s="8" t="s">
        <v>14</v>
      </c>
      <c r="P462" s="9">
        <f t="shared" si="65"/>
        <v>0.41666666666666669</v>
      </c>
      <c r="Q462" s="9">
        <f t="shared" si="66"/>
        <v>0.41666666666666669</v>
      </c>
      <c r="R462" s="114">
        <v>0</v>
      </c>
      <c r="S462" s="59">
        <f t="shared" si="67"/>
        <v>0.41666666666666669</v>
      </c>
      <c r="T462" s="10">
        <f t="shared" si="68"/>
        <v>0.41666666666666669</v>
      </c>
      <c r="U462" s="55">
        <f t="shared" si="69"/>
        <v>1.01</v>
      </c>
    </row>
    <row r="463" spans="10:21" x14ac:dyDescent="0.25">
      <c r="J463" s="174" t="s">
        <v>84</v>
      </c>
      <c r="K463" s="174"/>
      <c r="M463" s="62">
        <v>1</v>
      </c>
      <c r="N463" s="60">
        <v>115</v>
      </c>
      <c r="O463" s="8" t="s">
        <v>14</v>
      </c>
      <c r="P463" s="9">
        <f t="shared" si="65"/>
        <v>0.41666666666666669</v>
      </c>
      <c r="Q463" s="9">
        <f t="shared" si="66"/>
        <v>0.41666666666666669</v>
      </c>
      <c r="R463" s="114">
        <v>0</v>
      </c>
      <c r="S463" s="59">
        <f t="shared" si="67"/>
        <v>0.41666666666666669</v>
      </c>
      <c r="T463" s="10">
        <f t="shared" si="68"/>
        <v>0.41666666666666669</v>
      </c>
      <c r="U463" s="55">
        <f t="shared" si="69"/>
        <v>1.01</v>
      </c>
    </row>
    <row r="464" spans="10:21" x14ac:dyDescent="0.25">
      <c r="J464" s="174" t="s">
        <v>84</v>
      </c>
      <c r="K464" s="174"/>
      <c r="M464" s="62">
        <v>1</v>
      </c>
      <c r="N464" s="60">
        <v>114</v>
      </c>
      <c r="O464" s="8" t="s">
        <v>14</v>
      </c>
      <c r="P464" s="9">
        <f t="shared" ref="P464:P527" si="70">IF(O464="Jalan",IF(T463&gt;=$J$6,IF(T463+(-$K$6*M464)&lt;$J$6,$J$6,-$K$6*M464),IF(T463&lt;=$J$6,IF(T463+(+$L$6*M464)&lt;$J$6,+$L$6*M464,$J$6))),IF(T463&gt;0,+$L$6*M464,-$L$6*M464))</f>
        <v>0.41666666666666669</v>
      </c>
      <c r="Q464" s="9">
        <f t="shared" ref="Q464:Q527" si="71">IF(P464=$J$6,$J$6,T463+P464)</f>
        <v>0.41666666666666669</v>
      </c>
      <c r="R464" s="114">
        <v>0</v>
      </c>
      <c r="S464" s="59">
        <f t="shared" ref="S464:S527" si="72">Q464+R464</f>
        <v>0.41666666666666669</v>
      </c>
      <c r="T464" s="10">
        <f t="shared" ref="T464:T527" si="73">S464</f>
        <v>0.41666666666666669</v>
      </c>
      <c r="U464" s="55">
        <f t="shared" si="69"/>
        <v>1.01</v>
      </c>
    </row>
    <row r="465" spans="10:21" x14ac:dyDescent="0.25">
      <c r="J465" s="174" t="s">
        <v>84</v>
      </c>
      <c r="K465" s="174"/>
      <c r="M465" s="62">
        <v>1</v>
      </c>
      <c r="N465" s="60">
        <v>113</v>
      </c>
      <c r="O465" s="8" t="s">
        <v>14</v>
      </c>
      <c r="P465" s="9">
        <f t="shared" si="70"/>
        <v>0.41666666666666669</v>
      </c>
      <c r="Q465" s="9">
        <f t="shared" si="71"/>
        <v>0.41666666666666669</v>
      </c>
      <c r="R465" s="114">
        <v>0</v>
      </c>
      <c r="S465" s="59">
        <f t="shared" si="72"/>
        <v>0.41666666666666669</v>
      </c>
      <c r="T465" s="10">
        <f t="shared" si="73"/>
        <v>0.41666666666666669</v>
      </c>
      <c r="U465" s="55">
        <f t="shared" si="69"/>
        <v>1.01</v>
      </c>
    </row>
    <row r="466" spans="10:21" x14ac:dyDescent="0.25">
      <c r="J466" s="174" t="s">
        <v>84</v>
      </c>
      <c r="K466" s="174"/>
      <c r="M466" s="62">
        <v>1</v>
      </c>
      <c r="N466" s="60">
        <v>112</v>
      </c>
      <c r="O466" s="8" t="s">
        <v>14</v>
      </c>
      <c r="P466" s="9">
        <f t="shared" si="70"/>
        <v>0.41666666666666669</v>
      </c>
      <c r="Q466" s="9">
        <f t="shared" si="71"/>
        <v>0.41666666666666669</v>
      </c>
      <c r="R466" s="114">
        <v>0</v>
      </c>
      <c r="S466" s="59">
        <f t="shared" si="72"/>
        <v>0.41666666666666669</v>
      </c>
      <c r="T466" s="10">
        <f t="shared" si="73"/>
        <v>0.41666666666666669</v>
      </c>
      <c r="U466" s="55">
        <f t="shared" si="69"/>
        <v>1.01</v>
      </c>
    </row>
    <row r="467" spans="10:21" x14ac:dyDescent="0.25">
      <c r="J467" s="174" t="s">
        <v>84</v>
      </c>
      <c r="K467" s="174"/>
      <c r="M467" s="62">
        <v>1</v>
      </c>
      <c r="N467" s="60">
        <v>111</v>
      </c>
      <c r="O467" s="8" t="s">
        <v>14</v>
      </c>
      <c r="P467" s="9">
        <f t="shared" si="70"/>
        <v>0.41666666666666669</v>
      </c>
      <c r="Q467" s="9">
        <f t="shared" si="71"/>
        <v>0.41666666666666669</v>
      </c>
      <c r="R467" s="114">
        <v>0</v>
      </c>
      <c r="S467" s="59">
        <f t="shared" si="72"/>
        <v>0.41666666666666669</v>
      </c>
      <c r="T467" s="10">
        <f t="shared" si="73"/>
        <v>0.41666666666666669</v>
      </c>
      <c r="U467" s="55">
        <f t="shared" si="69"/>
        <v>1.01</v>
      </c>
    </row>
    <row r="468" spans="10:21" x14ac:dyDescent="0.25">
      <c r="J468" s="174" t="s">
        <v>84</v>
      </c>
      <c r="K468" s="174"/>
      <c r="M468" s="62">
        <v>1</v>
      </c>
      <c r="N468" s="60">
        <v>110</v>
      </c>
      <c r="O468" s="8" t="s">
        <v>14</v>
      </c>
      <c r="P468" s="9">
        <f t="shared" si="70"/>
        <v>0.41666666666666669</v>
      </c>
      <c r="Q468" s="9">
        <f t="shared" si="71"/>
        <v>0.41666666666666669</v>
      </c>
      <c r="R468" s="114">
        <v>0</v>
      </c>
      <c r="S468" s="59">
        <f t="shared" si="72"/>
        <v>0.41666666666666669</v>
      </c>
      <c r="T468" s="10">
        <f t="shared" si="73"/>
        <v>0.41666666666666669</v>
      </c>
      <c r="U468" s="55">
        <f t="shared" si="69"/>
        <v>1.01</v>
      </c>
    </row>
    <row r="469" spans="10:21" x14ac:dyDescent="0.25">
      <c r="J469" s="174" t="s">
        <v>84</v>
      </c>
      <c r="K469" s="174"/>
      <c r="M469" s="62">
        <v>1</v>
      </c>
      <c r="N469" s="60">
        <v>109</v>
      </c>
      <c r="O469" s="8" t="s">
        <v>14</v>
      </c>
      <c r="P469" s="9">
        <f t="shared" si="70"/>
        <v>0.41666666666666669</v>
      </c>
      <c r="Q469" s="9">
        <f t="shared" si="71"/>
        <v>0.41666666666666669</v>
      </c>
      <c r="R469" s="114">
        <v>0</v>
      </c>
      <c r="S469" s="59">
        <f t="shared" si="72"/>
        <v>0.41666666666666669</v>
      </c>
      <c r="T469" s="10">
        <f t="shared" si="73"/>
        <v>0.41666666666666669</v>
      </c>
      <c r="U469" s="55">
        <f t="shared" si="69"/>
        <v>1.01</v>
      </c>
    </row>
    <row r="470" spans="10:21" x14ac:dyDescent="0.25">
      <c r="J470" s="174" t="s">
        <v>84</v>
      </c>
      <c r="K470" s="174"/>
      <c r="M470" s="62">
        <v>1</v>
      </c>
      <c r="N470" s="60">
        <v>108</v>
      </c>
      <c r="O470" s="8" t="s">
        <v>14</v>
      </c>
      <c r="P470" s="9">
        <f t="shared" si="70"/>
        <v>0.41666666666666669</v>
      </c>
      <c r="Q470" s="9">
        <f t="shared" si="71"/>
        <v>0.41666666666666669</v>
      </c>
      <c r="R470" s="114">
        <v>0</v>
      </c>
      <c r="S470" s="59">
        <f t="shared" si="72"/>
        <v>0.41666666666666669</v>
      </c>
      <c r="T470" s="10">
        <f t="shared" si="73"/>
        <v>0.41666666666666669</v>
      </c>
      <c r="U470" s="55">
        <f t="shared" si="69"/>
        <v>1.01</v>
      </c>
    </row>
    <row r="471" spans="10:21" x14ac:dyDescent="0.25">
      <c r="J471" s="174" t="s">
        <v>84</v>
      </c>
      <c r="K471" s="174"/>
      <c r="M471" s="62">
        <v>1</v>
      </c>
      <c r="N471" s="60">
        <v>107</v>
      </c>
      <c r="O471" s="8" t="s">
        <v>14</v>
      </c>
      <c r="P471" s="9">
        <f t="shared" si="70"/>
        <v>0.41666666666666669</v>
      </c>
      <c r="Q471" s="9">
        <f t="shared" si="71"/>
        <v>0.41666666666666669</v>
      </c>
      <c r="R471" s="114">
        <v>0</v>
      </c>
      <c r="S471" s="59">
        <f t="shared" si="72"/>
        <v>0.41666666666666669</v>
      </c>
      <c r="T471" s="10">
        <f t="shared" si="73"/>
        <v>0.41666666666666669</v>
      </c>
      <c r="U471" s="55">
        <f t="shared" si="69"/>
        <v>1.01</v>
      </c>
    </row>
    <row r="472" spans="10:21" x14ac:dyDescent="0.25">
      <c r="J472" s="174" t="s">
        <v>84</v>
      </c>
      <c r="K472" s="174"/>
      <c r="M472" s="62">
        <v>1</v>
      </c>
      <c r="N472" s="60">
        <v>106</v>
      </c>
      <c r="O472" s="8" t="s">
        <v>14</v>
      </c>
      <c r="P472" s="9">
        <f t="shared" si="70"/>
        <v>0.41666666666666669</v>
      </c>
      <c r="Q472" s="9">
        <f t="shared" si="71"/>
        <v>0.41666666666666669</v>
      </c>
      <c r="R472" s="114">
        <v>0</v>
      </c>
      <c r="S472" s="59">
        <f t="shared" si="72"/>
        <v>0.41666666666666669</v>
      </c>
      <c r="T472" s="10">
        <f t="shared" si="73"/>
        <v>0.41666666666666669</v>
      </c>
      <c r="U472" s="55">
        <f t="shared" si="69"/>
        <v>1.01</v>
      </c>
    </row>
    <row r="473" spans="10:21" x14ac:dyDescent="0.25">
      <c r="J473" s="174" t="s">
        <v>84</v>
      </c>
      <c r="K473" s="174"/>
      <c r="M473" s="62">
        <v>1</v>
      </c>
      <c r="N473" s="60">
        <v>105</v>
      </c>
      <c r="O473" s="8" t="s">
        <v>14</v>
      </c>
      <c r="P473" s="9">
        <f t="shared" si="70"/>
        <v>0.41666666666666669</v>
      </c>
      <c r="Q473" s="9">
        <f t="shared" si="71"/>
        <v>0.41666666666666669</v>
      </c>
      <c r="R473" s="114">
        <v>0</v>
      </c>
      <c r="S473" s="59">
        <f t="shared" si="72"/>
        <v>0.41666666666666669</v>
      </c>
      <c r="T473" s="10">
        <f t="shared" si="73"/>
        <v>0.41666666666666669</v>
      </c>
      <c r="U473" s="55">
        <f t="shared" si="69"/>
        <v>1.01</v>
      </c>
    </row>
    <row r="474" spans="10:21" x14ac:dyDescent="0.25">
      <c r="J474" s="174" t="s">
        <v>84</v>
      </c>
      <c r="K474" s="174"/>
      <c r="M474" s="62">
        <v>1</v>
      </c>
      <c r="N474" s="60">
        <v>104</v>
      </c>
      <c r="O474" s="8" t="s">
        <v>14</v>
      </c>
      <c r="P474" s="9">
        <f t="shared" si="70"/>
        <v>0.41666666666666669</v>
      </c>
      <c r="Q474" s="9">
        <f t="shared" si="71"/>
        <v>0.41666666666666669</v>
      </c>
      <c r="R474" s="114">
        <v>0</v>
      </c>
      <c r="S474" s="59">
        <f t="shared" si="72"/>
        <v>0.41666666666666669</v>
      </c>
      <c r="T474" s="10">
        <f t="shared" si="73"/>
        <v>0.41666666666666669</v>
      </c>
      <c r="U474" s="55">
        <f t="shared" si="69"/>
        <v>1.01</v>
      </c>
    </row>
    <row r="475" spans="10:21" x14ac:dyDescent="0.25">
      <c r="J475" s="174" t="s">
        <v>84</v>
      </c>
      <c r="K475" s="174"/>
      <c r="M475" s="62">
        <v>1</v>
      </c>
      <c r="N475" s="60">
        <v>103</v>
      </c>
      <c r="O475" s="8" t="s">
        <v>14</v>
      </c>
      <c r="P475" s="9">
        <f t="shared" si="70"/>
        <v>0.41666666666666669</v>
      </c>
      <c r="Q475" s="9">
        <f t="shared" si="71"/>
        <v>0.41666666666666669</v>
      </c>
      <c r="R475" s="114">
        <v>0</v>
      </c>
      <c r="S475" s="59">
        <f t="shared" si="72"/>
        <v>0.41666666666666669</v>
      </c>
      <c r="T475" s="10">
        <f t="shared" si="73"/>
        <v>0.41666666666666669</v>
      </c>
      <c r="U475" s="55">
        <f t="shared" si="69"/>
        <v>1.01</v>
      </c>
    </row>
    <row r="476" spans="10:21" x14ac:dyDescent="0.25">
      <c r="J476" s="174" t="s">
        <v>84</v>
      </c>
      <c r="K476" s="174"/>
      <c r="M476" s="62">
        <v>1</v>
      </c>
      <c r="N476" s="60">
        <v>102</v>
      </c>
      <c r="O476" s="8" t="s">
        <v>14</v>
      </c>
      <c r="P476" s="9">
        <f t="shared" si="70"/>
        <v>0.41666666666666669</v>
      </c>
      <c r="Q476" s="9">
        <f t="shared" si="71"/>
        <v>0.41666666666666669</v>
      </c>
      <c r="R476" s="114">
        <v>0</v>
      </c>
      <c r="S476" s="59">
        <f t="shared" si="72"/>
        <v>0.41666666666666669</v>
      </c>
      <c r="T476" s="10">
        <f t="shared" si="73"/>
        <v>0.41666666666666669</v>
      </c>
      <c r="U476" s="55">
        <f t="shared" si="69"/>
        <v>1.01</v>
      </c>
    </row>
    <row r="477" spans="10:21" x14ac:dyDescent="0.25">
      <c r="J477" s="174" t="s">
        <v>84</v>
      </c>
      <c r="K477" s="174"/>
      <c r="M477" s="62">
        <v>1</v>
      </c>
      <c r="N477" s="60">
        <v>101</v>
      </c>
      <c r="O477" s="8" t="s">
        <v>14</v>
      </c>
      <c r="P477" s="9">
        <f t="shared" si="70"/>
        <v>0.41666666666666669</v>
      </c>
      <c r="Q477" s="9">
        <f t="shared" si="71"/>
        <v>0.41666666666666669</v>
      </c>
      <c r="R477" s="114">
        <v>0</v>
      </c>
      <c r="S477" s="59">
        <f t="shared" si="72"/>
        <v>0.41666666666666669</v>
      </c>
      <c r="T477" s="10">
        <f t="shared" si="73"/>
        <v>0.41666666666666669</v>
      </c>
      <c r="U477" s="55">
        <f t="shared" si="69"/>
        <v>1.01</v>
      </c>
    </row>
    <row r="478" spans="10:21" x14ac:dyDescent="0.25">
      <c r="J478" s="174" t="s">
        <v>84</v>
      </c>
      <c r="K478" s="174"/>
      <c r="M478" s="62">
        <v>1</v>
      </c>
      <c r="N478" s="60">
        <v>100</v>
      </c>
      <c r="O478" s="8" t="s">
        <v>14</v>
      </c>
      <c r="P478" s="9">
        <f t="shared" si="70"/>
        <v>0.41666666666666669</v>
      </c>
      <c r="Q478" s="9">
        <f t="shared" si="71"/>
        <v>0.41666666666666669</v>
      </c>
      <c r="R478" s="114">
        <v>0</v>
      </c>
      <c r="S478" s="59">
        <f t="shared" si="72"/>
        <v>0.41666666666666669</v>
      </c>
      <c r="T478" s="10">
        <f t="shared" si="73"/>
        <v>0.41666666666666669</v>
      </c>
      <c r="U478" s="55">
        <f t="shared" si="69"/>
        <v>1.01</v>
      </c>
    </row>
    <row r="479" spans="10:21" x14ac:dyDescent="0.25">
      <c r="J479" s="174" t="s">
        <v>84</v>
      </c>
      <c r="K479" s="174"/>
      <c r="M479" s="62">
        <v>1</v>
      </c>
      <c r="N479" s="60">
        <v>99</v>
      </c>
      <c r="O479" s="8" t="s">
        <v>14</v>
      </c>
      <c r="P479" s="9">
        <f t="shared" si="70"/>
        <v>0.41666666666666669</v>
      </c>
      <c r="Q479" s="9">
        <f t="shared" si="71"/>
        <v>0.41666666666666669</v>
      </c>
      <c r="R479" s="114">
        <v>0</v>
      </c>
      <c r="S479" s="59">
        <f t="shared" si="72"/>
        <v>0.41666666666666669</v>
      </c>
      <c r="T479" s="10">
        <f t="shared" si="73"/>
        <v>0.41666666666666669</v>
      </c>
      <c r="U479" s="55">
        <f t="shared" si="69"/>
        <v>1.01</v>
      </c>
    </row>
    <row r="480" spans="10:21" x14ac:dyDescent="0.25">
      <c r="J480" s="174" t="s">
        <v>84</v>
      </c>
      <c r="K480" s="174"/>
      <c r="M480" s="62">
        <v>1</v>
      </c>
      <c r="N480" s="60">
        <v>98</v>
      </c>
      <c r="O480" s="8" t="s">
        <v>14</v>
      </c>
      <c r="P480" s="9">
        <f t="shared" si="70"/>
        <v>0.41666666666666669</v>
      </c>
      <c r="Q480" s="9">
        <f t="shared" si="71"/>
        <v>0.41666666666666669</v>
      </c>
      <c r="R480" s="114">
        <v>0</v>
      </c>
      <c r="S480" s="59">
        <f t="shared" si="72"/>
        <v>0.41666666666666669</v>
      </c>
      <c r="T480" s="10">
        <f t="shared" si="73"/>
        <v>0.41666666666666669</v>
      </c>
      <c r="U480" s="55">
        <f t="shared" si="69"/>
        <v>1.01</v>
      </c>
    </row>
    <row r="481" spans="10:21" x14ac:dyDescent="0.25">
      <c r="J481" s="174" t="s">
        <v>84</v>
      </c>
      <c r="K481" s="174"/>
      <c r="M481" s="62">
        <v>1</v>
      </c>
      <c r="N481" s="60">
        <v>97</v>
      </c>
      <c r="O481" s="8" t="s">
        <v>14</v>
      </c>
      <c r="P481" s="9">
        <f t="shared" si="70"/>
        <v>0.41666666666666669</v>
      </c>
      <c r="Q481" s="9">
        <f t="shared" si="71"/>
        <v>0.41666666666666669</v>
      </c>
      <c r="R481" s="114">
        <v>0</v>
      </c>
      <c r="S481" s="59">
        <f t="shared" si="72"/>
        <v>0.41666666666666669</v>
      </c>
      <c r="T481" s="10">
        <f t="shared" si="73"/>
        <v>0.41666666666666669</v>
      </c>
      <c r="U481" s="55">
        <f t="shared" si="69"/>
        <v>1.01</v>
      </c>
    </row>
    <row r="482" spans="10:21" x14ac:dyDescent="0.25">
      <c r="J482" s="174" t="s">
        <v>84</v>
      </c>
      <c r="K482" s="174"/>
      <c r="M482" s="62">
        <v>1</v>
      </c>
      <c r="N482" s="60">
        <v>96</v>
      </c>
      <c r="O482" s="8" t="s">
        <v>14</v>
      </c>
      <c r="P482" s="9">
        <f t="shared" si="70"/>
        <v>0.41666666666666669</v>
      </c>
      <c r="Q482" s="9">
        <f t="shared" si="71"/>
        <v>0.41666666666666669</v>
      </c>
      <c r="R482" s="114">
        <v>0</v>
      </c>
      <c r="S482" s="59">
        <f t="shared" si="72"/>
        <v>0.41666666666666669</v>
      </c>
      <c r="T482" s="10">
        <f t="shared" si="73"/>
        <v>0.41666666666666669</v>
      </c>
      <c r="U482" s="55">
        <f t="shared" si="69"/>
        <v>1.01</v>
      </c>
    </row>
    <row r="483" spans="10:21" x14ac:dyDescent="0.25">
      <c r="J483" s="174" t="s">
        <v>84</v>
      </c>
      <c r="K483" s="174"/>
      <c r="M483" s="62">
        <v>1</v>
      </c>
      <c r="N483" s="60">
        <v>95</v>
      </c>
      <c r="O483" s="8" t="s">
        <v>14</v>
      </c>
      <c r="P483" s="9">
        <f t="shared" si="70"/>
        <v>0.41666666666666669</v>
      </c>
      <c r="Q483" s="9">
        <f t="shared" si="71"/>
        <v>0.41666666666666669</v>
      </c>
      <c r="R483" s="114">
        <v>0</v>
      </c>
      <c r="S483" s="59">
        <f t="shared" si="72"/>
        <v>0.41666666666666669</v>
      </c>
      <c r="T483" s="10">
        <f t="shared" si="73"/>
        <v>0.41666666666666669</v>
      </c>
      <c r="U483" s="55">
        <f t="shared" si="69"/>
        <v>1.01</v>
      </c>
    </row>
    <row r="484" spans="10:21" x14ac:dyDescent="0.25">
      <c r="J484" s="174" t="s">
        <v>84</v>
      </c>
      <c r="K484" s="174"/>
      <c r="M484" s="62">
        <v>1</v>
      </c>
      <c r="N484" s="60">
        <v>94</v>
      </c>
      <c r="O484" s="8" t="s">
        <v>14</v>
      </c>
      <c r="P484" s="9">
        <f t="shared" si="70"/>
        <v>0.41666666666666669</v>
      </c>
      <c r="Q484" s="9">
        <f t="shared" si="71"/>
        <v>0.41666666666666669</v>
      </c>
      <c r="R484" s="114">
        <v>0</v>
      </c>
      <c r="S484" s="59">
        <f t="shared" si="72"/>
        <v>0.41666666666666669</v>
      </c>
      <c r="T484" s="10">
        <f t="shared" si="73"/>
        <v>0.41666666666666669</v>
      </c>
      <c r="U484" s="55">
        <f t="shared" si="69"/>
        <v>1.01</v>
      </c>
    </row>
    <row r="485" spans="10:21" x14ac:dyDescent="0.25">
      <c r="J485" s="174" t="s">
        <v>84</v>
      </c>
      <c r="K485" s="174"/>
      <c r="M485" s="62">
        <v>1</v>
      </c>
      <c r="N485" s="60">
        <v>93</v>
      </c>
      <c r="O485" s="8" t="s">
        <v>14</v>
      </c>
      <c r="P485" s="9">
        <f t="shared" si="70"/>
        <v>0.41666666666666669</v>
      </c>
      <c r="Q485" s="9">
        <f t="shared" si="71"/>
        <v>0.41666666666666669</v>
      </c>
      <c r="R485" s="114">
        <v>0</v>
      </c>
      <c r="S485" s="59">
        <f t="shared" si="72"/>
        <v>0.41666666666666669</v>
      </c>
      <c r="T485" s="10">
        <f t="shared" si="73"/>
        <v>0.41666666666666669</v>
      </c>
      <c r="U485" s="55">
        <f t="shared" si="69"/>
        <v>1.01</v>
      </c>
    </row>
    <row r="486" spans="10:21" x14ac:dyDescent="0.25">
      <c r="J486" s="174" t="s">
        <v>84</v>
      </c>
      <c r="K486" s="174"/>
      <c r="M486" s="62">
        <v>1</v>
      </c>
      <c r="N486" s="60">
        <v>92</v>
      </c>
      <c r="O486" s="8" t="s">
        <v>14</v>
      </c>
      <c r="P486" s="9">
        <f t="shared" si="70"/>
        <v>0.41666666666666669</v>
      </c>
      <c r="Q486" s="9">
        <f t="shared" si="71"/>
        <v>0.41666666666666669</v>
      </c>
      <c r="R486" s="114">
        <v>0</v>
      </c>
      <c r="S486" s="59">
        <f t="shared" si="72"/>
        <v>0.41666666666666669</v>
      </c>
      <c r="T486" s="10">
        <f t="shared" si="73"/>
        <v>0.41666666666666669</v>
      </c>
      <c r="U486" s="55">
        <f t="shared" si="69"/>
        <v>1.01</v>
      </c>
    </row>
    <row r="487" spans="10:21" x14ac:dyDescent="0.25">
      <c r="J487" s="174" t="s">
        <v>84</v>
      </c>
      <c r="K487" s="174"/>
      <c r="M487" s="62">
        <v>1</v>
      </c>
      <c r="N487" s="60">
        <v>91</v>
      </c>
      <c r="O487" s="8" t="s">
        <v>14</v>
      </c>
      <c r="P487" s="9">
        <f t="shared" si="70"/>
        <v>0.41666666666666669</v>
      </c>
      <c r="Q487" s="9">
        <f t="shared" si="71"/>
        <v>0.41666666666666669</v>
      </c>
      <c r="R487" s="114">
        <v>0</v>
      </c>
      <c r="S487" s="59">
        <f t="shared" si="72"/>
        <v>0.41666666666666669</v>
      </c>
      <c r="T487" s="10">
        <f t="shared" si="73"/>
        <v>0.41666666666666669</v>
      </c>
      <c r="U487" s="55">
        <f t="shared" si="69"/>
        <v>1.01</v>
      </c>
    </row>
    <row r="488" spans="10:21" x14ac:dyDescent="0.25">
      <c r="J488" s="174" t="s">
        <v>84</v>
      </c>
      <c r="K488" s="174"/>
      <c r="M488" s="62">
        <v>1</v>
      </c>
      <c r="N488" s="60">
        <v>90</v>
      </c>
      <c r="O488" s="8" t="s">
        <v>14</v>
      </c>
      <c r="P488" s="9">
        <f t="shared" si="70"/>
        <v>0.41666666666666669</v>
      </c>
      <c r="Q488" s="9">
        <f t="shared" si="71"/>
        <v>0.41666666666666669</v>
      </c>
      <c r="R488" s="114">
        <v>0</v>
      </c>
      <c r="S488" s="59">
        <f t="shared" si="72"/>
        <v>0.41666666666666669</v>
      </c>
      <c r="T488" s="10">
        <f t="shared" si="73"/>
        <v>0.41666666666666669</v>
      </c>
      <c r="U488" s="55">
        <f t="shared" si="69"/>
        <v>1.01</v>
      </c>
    </row>
    <row r="489" spans="10:21" x14ac:dyDescent="0.25">
      <c r="J489" s="174" t="s">
        <v>84</v>
      </c>
      <c r="K489" s="174"/>
      <c r="M489" s="62">
        <v>1</v>
      </c>
      <c r="N489" s="60">
        <v>89</v>
      </c>
      <c r="O489" s="8" t="s">
        <v>14</v>
      </c>
      <c r="P489" s="9">
        <f t="shared" si="70"/>
        <v>0.41666666666666669</v>
      </c>
      <c r="Q489" s="9">
        <f t="shared" si="71"/>
        <v>0.41666666666666669</v>
      </c>
      <c r="R489" s="114">
        <v>0</v>
      </c>
      <c r="S489" s="59">
        <f t="shared" si="72"/>
        <v>0.41666666666666669</v>
      </c>
      <c r="T489" s="10">
        <f t="shared" si="73"/>
        <v>0.41666666666666669</v>
      </c>
      <c r="U489" s="55">
        <f t="shared" si="69"/>
        <v>1.01</v>
      </c>
    </row>
    <row r="490" spans="10:21" x14ac:dyDescent="0.25">
      <c r="J490" s="174" t="s">
        <v>84</v>
      </c>
      <c r="K490" s="174"/>
      <c r="M490" s="62">
        <v>1</v>
      </c>
      <c r="N490" s="60">
        <v>88</v>
      </c>
      <c r="O490" s="8" t="s">
        <v>14</v>
      </c>
      <c r="P490" s="9">
        <f t="shared" si="70"/>
        <v>0.41666666666666669</v>
      </c>
      <c r="Q490" s="9">
        <f t="shared" si="71"/>
        <v>0.41666666666666669</v>
      </c>
      <c r="R490" s="114">
        <v>0</v>
      </c>
      <c r="S490" s="59">
        <f t="shared" si="72"/>
        <v>0.41666666666666669</v>
      </c>
      <c r="T490" s="10">
        <f t="shared" si="73"/>
        <v>0.41666666666666669</v>
      </c>
      <c r="U490" s="55">
        <f t="shared" si="69"/>
        <v>1.01</v>
      </c>
    </row>
    <row r="491" spans="10:21" x14ac:dyDescent="0.25">
      <c r="J491" s="174" t="s">
        <v>84</v>
      </c>
      <c r="K491" s="174"/>
      <c r="M491" s="62">
        <v>1</v>
      </c>
      <c r="N491" s="60">
        <v>87</v>
      </c>
      <c r="O491" s="8" t="s">
        <v>14</v>
      </c>
      <c r="P491" s="9">
        <f t="shared" si="70"/>
        <v>0.41666666666666669</v>
      </c>
      <c r="Q491" s="9">
        <f t="shared" si="71"/>
        <v>0.41666666666666669</v>
      </c>
      <c r="R491" s="114">
        <v>0</v>
      </c>
      <c r="S491" s="59">
        <f t="shared" si="72"/>
        <v>0.41666666666666669</v>
      </c>
      <c r="T491" s="10">
        <f t="shared" si="73"/>
        <v>0.41666666666666669</v>
      </c>
      <c r="U491" s="55">
        <f t="shared" si="69"/>
        <v>1.01</v>
      </c>
    </row>
    <row r="492" spans="10:21" x14ac:dyDescent="0.25">
      <c r="J492" s="174" t="s">
        <v>84</v>
      </c>
      <c r="K492" s="174"/>
      <c r="M492" s="62">
        <v>1</v>
      </c>
      <c r="N492" s="60">
        <v>86</v>
      </c>
      <c r="O492" s="8" t="s">
        <v>14</v>
      </c>
      <c r="P492" s="9">
        <f t="shared" si="70"/>
        <v>0.41666666666666669</v>
      </c>
      <c r="Q492" s="9">
        <f t="shared" si="71"/>
        <v>0.41666666666666669</v>
      </c>
      <c r="R492" s="114">
        <v>0</v>
      </c>
      <c r="S492" s="59">
        <f t="shared" si="72"/>
        <v>0.41666666666666669</v>
      </c>
      <c r="T492" s="10">
        <f t="shared" si="73"/>
        <v>0.41666666666666669</v>
      </c>
      <c r="U492" s="55">
        <f t="shared" si="69"/>
        <v>1.01</v>
      </c>
    </row>
    <row r="493" spans="10:21" x14ac:dyDescent="0.25">
      <c r="J493" s="174" t="s">
        <v>84</v>
      </c>
      <c r="K493" s="174"/>
      <c r="M493" s="62">
        <v>1</v>
      </c>
      <c r="N493" s="60">
        <v>85</v>
      </c>
      <c r="O493" s="8" t="s">
        <v>14</v>
      </c>
      <c r="P493" s="9">
        <f t="shared" si="70"/>
        <v>0.41666666666666669</v>
      </c>
      <c r="Q493" s="9">
        <f t="shared" si="71"/>
        <v>0.41666666666666669</v>
      </c>
      <c r="R493" s="114">
        <v>0</v>
      </c>
      <c r="S493" s="59">
        <f t="shared" si="72"/>
        <v>0.41666666666666669</v>
      </c>
      <c r="T493" s="10">
        <f t="shared" si="73"/>
        <v>0.41666666666666669</v>
      </c>
      <c r="U493" s="55">
        <f t="shared" si="69"/>
        <v>1.01</v>
      </c>
    </row>
    <row r="494" spans="10:21" x14ac:dyDescent="0.25">
      <c r="J494" s="174" t="s">
        <v>84</v>
      </c>
      <c r="K494" s="174"/>
      <c r="M494" s="62">
        <v>1</v>
      </c>
      <c r="N494" s="60">
        <v>84</v>
      </c>
      <c r="O494" s="8" t="s">
        <v>14</v>
      </c>
      <c r="P494" s="9">
        <f t="shared" si="70"/>
        <v>0.41666666666666669</v>
      </c>
      <c r="Q494" s="9">
        <f t="shared" si="71"/>
        <v>0.41666666666666669</v>
      </c>
      <c r="R494" s="114">
        <v>0</v>
      </c>
      <c r="S494" s="59">
        <f t="shared" si="72"/>
        <v>0.41666666666666669</v>
      </c>
      <c r="T494" s="10">
        <f t="shared" si="73"/>
        <v>0.41666666666666669</v>
      </c>
      <c r="U494" s="55">
        <f t="shared" si="69"/>
        <v>1.01</v>
      </c>
    </row>
    <row r="495" spans="10:21" x14ac:dyDescent="0.25">
      <c r="J495" s="174" t="s">
        <v>84</v>
      </c>
      <c r="K495" s="174"/>
      <c r="M495" s="62">
        <v>1</v>
      </c>
      <c r="N495" s="60">
        <v>83</v>
      </c>
      <c r="O495" s="8" t="s">
        <v>14</v>
      </c>
      <c r="P495" s="9">
        <f t="shared" si="70"/>
        <v>0.41666666666666669</v>
      </c>
      <c r="Q495" s="9">
        <f t="shared" si="71"/>
        <v>0.41666666666666669</v>
      </c>
      <c r="R495" s="114">
        <v>0</v>
      </c>
      <c r="S495" s="59">
        <f t="shared" si="72"/>
        <v>0.41666666666666669</v>
      </c>
      <c r="T495" s="10">
        <f t="shared" si="73"/>
        <v>0.41666666666666669</v>
      </c>
      <c r="U495" s="55">
        <f t="shared" si="69"/>
        <v>1.01</v>
      </c>
    </row>
    <row r="496" spans="10:21" x14ac:dyDescent="0.25">
      <c r="J496" s="174" t="s">
        <v>84</v>
      </c>
      <c r="K496" s="174"/>
      <c r="M496" s="62">
        <v>1</v>
      </c>
      <c r="N496" s="60">
        <v>82</v>
      </c>
      <c r="O496" s="8" t="s">
        <v>14</v>
      </c>
      <c r="P496" s="9">
        <f t="shared" si="70"/>
        <v>0.41666666666666669</v>
      </c>
      <c r="Q496" s="9">
        <f t="shared" si="71"/>
        <v>0.41666666666666669</v>
      </c>
      <c r="R496" s="114">
        <v>0</v>
      </c>
      <c r="S496" s="59">
        <f t="shared" si="72"/>
        <v>0.41666666666666669</v>
      </c>
      <c r="T496" s="10">
        <f t="shared" si="73"/>
        <v>0.41666666666666669</v>
      </c>
      <c r="U496" s="55">
        <f t="shared" si="69"/>
        <v>1.01</v>
      </c>
    </row>
    <row r="497" spans="10:21" x14ac:dyDescent="0.25">
      <c r="J497" s="174" t="s">
        <v>84</v>
      </c>
      <c r="K497" s="174"/>
      <c r="M497" s="62">
        <v>1</v>
      </c>
      <c r="N497" s="60">
        <v>81</v>
      </c>
      <c r="O497" s="8" t="s">
        <v>14</v>
      </c>
      <c r="P497" s="9">
        <f t="shared" si="70"/>
        <v>0.41666666666666669</v>
      </c>
      <c r="Q497" s="9">
        <f t="shared" si="71"/>
        <v>0.41666666666666669</v>
      </c>
      <c r="R497" s="114">
        <v>0</v>
      </c>
      <c r="S497" s="59">
        <f t="shared" si="72"/>
        <v>0.41666666666666669</v>
      </c>
      <c r="T497" s="10">
        <f t="shared" si="73"/>
        <v>0.41666666666666669</v>
      </c>
      <c r="U497" s="55">
        <f t="shared" si="69"/>
        <v>1.01</v>
      </c>
    </row>
    <row r="498" spans="10:21" x14ac:dyDescent="0.25">
      <c r="J498" s="174" t="s">
        <v>84</v>
      </c>
      <c r="K498" s="174"/>
      <c r="M498" s="62">
        <v>1</v>
      </c>
      <c r="N498" s="60">
        <v>80</v>
      </c>
      <c r="O498" s="8" t="s">
        <v>14</v>
      </c>
      <c r="P498" s="9">
        <f t="shared" si="70"/>
        <v>0.41666666666666669</v>
      </c>
      <c r="Q498" s="9">
        <f t="shared" si="71"/>
        <v>0.41666666666666669</v>
      </c>
      <c r="R498" s="114">
        <v>0</v>
      </c>
      <c r="S498" s="59">
        <f t="shared" si="72"/>
        <v>0.41666666666666669</v>
      </c>
      <c r="T498" s="10">
        <f t="shared" si="73"/>
        <v>0.41666666666666669</v>
      </c>
      <c r="U498" s="55">
        <f t="shared" si="69"/>
        <v>1.01</v>
      </c>
    </row>
    <row r="499" spans="10:21" x14ac:dyDescent="0.25">
      <c r="J499" s="174" t="s">
        <v>84</v>
      </c>
      <c r="K499" s="174"/>
      <c r="M499" s="62">
        <v>1</v>
      </c>
      <c r="N499" s="60">
        <v>79</v>
      </c>
      <c r="O499" s="8" t="s">
        <v>14</v>
      </c>
      <c r="P499" s="9">
        <f t="shared" si="70"/>
        <v>0.41666666666666669</v>
      </c>
      <c r="Q499" s="9">
        <f t="shared" si="71"/>
        <v>0.41666666666666669</v>
      </c>
      <c r="R499" s="114">
        <v>0</v>
      </c>
      <c r="S499" s="59">
        <f t="shared" si="72"/>
        <v>0.41666666666666669</v>
      </c>
      <c r="T499" s="10">
        <f t="shared" si="73"/>
        <v>0.41666666666666669</v>
      </c>
      <c r="U499" s="55">
        <f t="shared" si="69"/>
        <v>1.01</v>
      </c>
    </row>
    <row r="500" spans="10:21" x14ac:dyDescent="0.25">
      <c r="J500" s="174" t="s">
        <v>84</v>
      </c>
      <c r="K500" s="174"/>
      <c r="M500" s="62">
        <v>1</v>
      </c>
      <c r="N500" s="60">
        <v>78</v>
      </c>
      <c r="O500" s="8" t="s">
        <v>14</v>
      </c>
      <c r="P500" s="9">
        <f t="shared" si="70"/>
        <v>0.41666666666666669</v>
      </c>
      <c r="Q500" s="9">
        <f t="shared" si="71"/>
        <v>0.41666666666666669</v>
      </c>
      <c r="R500" s="114">
        <v>0</v>
      </c>
      <c r="S500" s="59">
        <f t="shared" si="72"/>
        <v>0.41666666666666669</v>
      </c>
      <c r="T500" s="10">
        <f t="shared" si="73"/>
        <v>0.41666666666666669</v>
      </c>
      <c r="U500" s="55">
        <f t="shared" si="69"/>
        <v>1.01</v>
      </c>
    </row>
    <row r="501" spans="10:21" x14ac:dyDescent="0.25">
      <c r="J501" s="174" t="s">
        <v>84</v>
      </c>
      <c r="K501" s="174"/>
      <c r="M501" s="62">
        <v>1</v>
      </c>
      <c r="N501" s="60">
        <v>77</v>
      </c>
      <c r="O501" s="8" t="s">
        <v>14</v>
      </c>
      <c r="P501" s="9">
        <f t="shared" si="70"/>
        <v>0.41666666666666669</v>
      </c>
      <c r="Q501" s="9">
        <f t="shared" si="71"/>
        <v>0.41666666666666669</v>
      </c>
      <c r="R501" s="114">
        <v>0</v>
      </c>
      <c r="S501" s="59">
        <f t="shared" si="72"/>
        <v>0.41666666666666669</v>
      </c>
      <c r="T501" s="10">
        <f t="shared" si="73"/>
        <v>0.41666666666666669</v>
      </c>
      <c r="U501" s="55">
        <f t="shared" si="69"/>
        <v>1.01</v>
      </c>
    </row>
    <row r="502" spans="10:21" x14ac:dyDescent="0.25">
      <c r="J502" s="174" t="s">
        <v>84</v>
      </c>
      <c r="K502" s="174"/>
      <c r="M502" s="62">
        <v>1</v>
      </c>
      <c r="N502" s="60">
        <v>76</v>
      </c>
      <c r="O502" s="8" t="s">
        <v>14</v>
      </c>
      <c r="P502" s="9">
        <f t="shared" si="70"/>
        <v>0.41666666666666669</v>
      </c>
      <c r="Q502" s="9">
        <f t="shared" si="71"/>
        <v>0.41666666666666669</v>
      </c>
      <c r="R502" s="114">
        <v>0</v>
      </c>
      <c r="S502" s="59">
        <f t="shared" si="72"/>
        <v>0.41666666666666669</v>
      </c>
      <c r="T502" s="10">
        <f t="shared" si="73"/>
        <v>0.41666666666666669</v>
      </c>
      <c r="U502" s="55">
        <f t="shared" si="69"/>
        <v>1.01</v>
      </c>
    </row>
    <row r="503" spans="10:21" x14ac:dyDescent="0.25">
      <c r="J503" s="174" t="s">
        <v>84</v>
      </c>
      <c r="K503" s="174"/>
      <c r="M503" s="62">
        <v>1</v>
      </c>
      <c r="N503" s="60">
        <v>75</v>
      </c>
      <c r="O503" s="8" t="s">
        <v>14</v>
      </c>
      <c r="P503" s="9">
        <f t="shared" si="70"/>
        <v>0.41666666666666669</v>
      </c>
      <c r="Q503" s="9">
        <f t="shared" si="71"/>
        <v>0.41666666666666669</v>
      </c>
      <c r="R503" s="114">
        <v>0</v>
      </c>
      <c r="S503" s="59">
        <f t="shared" si="72"/>
        <v>0.41666666666666669</v>
      </c>
      <c r="T503" s="10">
        <f t="shared" si="73"/>
        <v>0.41666666666666669</v>
      </c>
      <c r="U503" s="55">
        <f t="shared" si="69"/>
        <v>1.01</v>
      </c>
    </row>
    <row r="504" spans="10:21" x14ac:dyDescent="0.25">
      <c r="J504" s="174" t="s">
        <v>84</v>
      </c>
      <c r="K504" s="174"/>
      <c r="M504" s="62">
        <v>1</v>
      </c>
      <c r="N504" s="60">
        <v>74</v>
      </c>
      <c r="O504" s="8" t="s">
        <v>14</v>
      </c>
      <c r="P504" s="9">
        <f t="shared" si="70"/>
        <v>0.41666666666666669</v>
      </c>
      <c r="Q504" s="9">
        <f t="shared" si="71"/>
        <v>0.41666666666666669</v>
      </c>
      <c r="R504" s="114">
        <v>0</v>
      </c>
      <c r="S504" s="59">
        <f t="shared" si="72"/>
        <v>0.41666666666666669</v>
      </c>
      <c r="T504" s="10">
        <f t="shared" si="73"/>
        <v>0.41666666666666669</v>
      </c>
      <c r="U504" s="55">
        <f t="shared" si="69"/>
        <v>1.01</v>
      </c>
    </row>
    <row r="505" spans="10:21" x14ac:dyDescent="0.25">
      <c r="J505" s="174" t="s">
        <v>84</v>
      </c>
      <c r="K505" s="174"/>
      <c r="M505" s="62">
        <v>1</v>
      </c>
      <c r="N505" s="60">
        <v>73</v>
      </c>
      <c r="O505" s="8" t="s">
        <v>14</v>
      </c>
      <c r="P505" s="9">
        <f t="shared" si="70"/>
        <v>0.41666666666666669</v>
      </c>
      <c r="Q505" s="9">
        <f t="shared" si="71"/>
        <v>0.41666666666666669</v>
      </c>
      <c r="R505" s="114">
        <v>0</v>
      </c>
      <c r="S505" s="59">
        <f t="shared" si="72"/>
        <v>0.41666666666666669</v>
      </c>
      <c r="T505" s="10">
        <f t="shared" si="73"/>
        <v>0.41666666666666669</v>
      </c>
      <c r="U505" s="55">
        <f t="shared" si="69"/>
        <v>1.01</v>
      </c>
    </row>
    <row r="506" spans="10:21" x14ac:dyDescent="0.25">
      <c r="J506" s="174" t="s">
        <v>84</v>
      </c>
      <c r="K506" s="174"/>
      <c r="M506" s="62">
        <v>1</v>
      </c>
      <c r="N506" s="60">
        <v>72</v>
      </c>
      <c r="O506" s="8" t="s">
        <v>14</v>
      </c>
      <c r="P506" s="9">
        <f t="shared" si="70"/>
        <v>0.41666666666666669</v>
      </c>
      <c r="Q506" s="9">
        <f t="shared" si="71"/>
        <v>0.41666666666666669</v>
      </c>
      <c r="R506" s="114">
        <v>0</v>
      </c>
      <c r="S506" s="59">
        <f t="shared" si="72"/>
        <v>0.41666666666666669</v>
      </c>
      <c r="T506" s="10">
        <f t="shared" si="73"/>
        <v>0.41666666666666669</v>
      </c>
      <c r="U506" s="55">
        <f t="shared" si="69"/>
        <v>1.01</v>
      </c>
    </row>
    <row r="507" spans="10:21" x14ac:dyDescent="0.25">
      <c r="J507" s="174" t="s">
        <v>84</v>
      </c>
      <c r="K507" s="174"/>
      <c r="M507" s="62">
        <v>1</v>
      </c>
      <c r="N507" s="60">
        <v>71</v>
      </c>
      <c r="O507" s="8" t="s">
        <v>14</v>
      </c>
      <c r="P507" s="9">
        <f t="shared" si="70"/>
        <v>0.41666666666666669</v>
      </c>
      <c r="Q507" s="9">
        <f t="shared" si="71"/>
        <v>0.41666666666666669</v>
      </c>
      <c r="R507" s="114">
        <v>0</v>
      </c>
      <c r="S507" s="59">
        <f t="shared" si="72"/>
        <v>0.41666666666666669</v>
      </c>
      <c r="T507" s="10">
        <f t="shared" si="73"/>
        <v>0.41666666666666669</v>
      </c>
      <c r="U507" s="55">
        <f t="shared" si="69"/>
        <v>1.01</v>
      </c>
    </row>
    <row r="508" spans="10:21" x14ac:dyDescent="0.25">
      <c r="J508" s="174" t="s">
        <v>84</v>
      </c>
      <c r="K508" s="174"/>
      <c r="M508" s="62">
        <v>1</v>
      </c>
      <c r="N508" s="60">
        <v>70</v>
      </c>
      <c r="O508" s="8" t="s">
        <v>14</v>
      </c>
      <c r="P508" s="9">
        <f t="shared" si="70"/>
        <v>0.41666666666666669</v>
      </c>
      <c r="Q508" s="9">
        <f t="shared" si="71"/>
        <v>0.41666666666666669</v>
      </c>
      <c r="R508" s="114">
        <v>0</v>
      </c>
      <c r="S508" s="59">
        <f t="shared" si="72"/>
        <v>0.41666666666666669</v>
      </c>
      <c r="T508" s="10">
        <f t="shared" si="73"/>
        <v>0.41666666666666669</v>
      </c>
      <c r="U508" s="55">
        <f t="shared" si="69"/>
        <v>1.01</v>
      </c>
    </row>
    <row r="509" spans="10:21" x14ac:dyDescent="0.25">
      <c r="J509" s="174" t="s">
        <v>84</v>
      </c>
      <c r="K509" s="174"/>
      <c r="M509" s="62">
        <v>1</v>
      </c>
      <c r="N509" s="60">
        <v>69</v>
      </c>
      <c r="O509" s="8" t="s">
        <v>14</v>
      </c>
      <c r="P509" s="9">
        <f t="shared" si="70"/>
        <v>0.41666666666666669</v>
      </c>
      <c r="Q509" s="9">
        <f t="shared" si="71"/>
        <v>0.41666666666666669</v>
      </c>
      <c r="R509" s="114">
        <v>0</v>
      </c>
      <c r="S509" s="59">
        <f t="shared" si="72"/>
        <v>0.41666666666666669</v>
      </c>
      <c r="T509" s="10">
        <f t="shared" si="73"/>
        <v>0.41666666666666669</v>
      </c>
      <c r="U509" s="55">
        <f t="shared" si="69"/>
        <v>1.01</v>
      </c>
    </row>
    <row r="510" spans="10:21" x14ac:dyDescent="0.25">
      <c r="J510" s="174" t="s">
        <v>84</v>
      </c>
      <c r="K510" s="174"/>
      <c r="M510" s="62">
        <v>1</v>
      </c>
      <c r="N510" s="60">
        <v>68</v>
      </c>
      <c r="O510" s="8" t="s">
        <v>14</v>
      </c>
      <c r="P510" s="9">
        <f t="shared" si="70"/>
        <v>0.41666666666666669</v>
      </c>
      <c r="Q510" s="9">
        <f t="shared" si="71"/>
        <v>0.41666666666666669</v>
      </c>
      <c r="R510" s="114">
        <v>0</v>
      </c>
      <c r="S510" s="59">
        <f t="shared" si="72"/>
        <v>0.41666666666666669</v>
      </c>
      <c r="T510" s="10">
        <f t="shared" si="73"/>
        <v>0.41666666666666669</v>
      </c>
      <c r="U510" s="55">
        <f t="shared" si="69"/>
        <v>1.01</v>
      </c>
    </row>
    <row r="511" spans="10:21" x14ac:dyDescent="0.25">
      <c r="J511" s="174" t="s">
        <v>84</v>
      </c>
      <c r="K511" s="174"/>
      <c r="M511" s="62">
        <v>1</v>
      </c>
      <c r="N511" s="60">
        <v>67</v>
      </c>
      <c r="O511" s="8" t="s">
        <v>14</v>
      </c>
      <c r="P511" s="9">
        <f t="shared" si="70"/>
        <v>0.41666666666666669</v>
      </c>
      <c r="Q511" s="9">
        <f t="shared" si="71"/>
        <v>0.41666666666666669</v>
      </c>
      <c r="R511" s="114">
        <v>0</v>
      </c>
      <c r="S511" s="59">
        <f t="shared" si="72"/>
        <v>0.41666666666666669</v>
      </c>
      <c r="T511" s="10">
        <f t="shared" si="73"/>
        <v>0.41666666666666669</v>
      </c>
      <c r="U511" s="55">
        <f t="shared" si="69"/>
        <v>1.01</v>
      </c>
    </row>
    <row r="512" spans="10:21" x14ac:dyDescent="0.25">
      <c r="J512" s="174" t="s">
        <v>84</v>
      </c>
      <c r="K512" s="174"/>
      <c r="M512" s="62">
        <v>1</v>
      </c>
      <c r="N512" s="60">
        <v>66</v>
      </c>
      <c r="O512" s="8" t="s">
        <v>14</v>
      </c>
      <c r="P512" s="9">
        <f t="shared" si="70"/>
        <v>0.41666666666666669</v>
      </c>
      <c r="Q512" s="9">
        <f t="shared" si="71"/>
        <v>0.41666666666666669</v>
      </c>
      <c r="R512" s="114">
        <v>0</v>
      </c>
      <c r="S512" s="59">
        <f t="shared" si="72"/>
        <v>0.41666666666666669</v>
      </c>
      <c r="T512" s="10">
        <f t="shared" si="73"/>
        <v>0.41666666666666669</v>
      </c>
      <c r="U512" s="55">
        <f t="shared" si="69"/>
        <v>1.01</v>
      </c>
    </row>
    <row r="513" spans="10:21" x14ac:dyDescent="0.25">
      <c r="J513" s="174" t="s">
        <v>84</v>
      </c>
      <c r="K513" s="174"/>
      <c r="M513" s="62">
        <v>1</v>
      </c>
      <c r="N513" s="60">
        <v>65</v>
      </c>
      <c r="O513" s="8" t="s">
        <v>14</v>
      </c>
      <c r="P513" s="9">
        <f t="shared" si="70"/>
        <v>0.41666666666666669</v>
      </c>
      <c r="Q513" s="9">
        <f t="shared" si="71"/>
        <v>0.41666666666666669</v>
      </c>
      <c r="R513" s="114">
        <v>0</v>
      </c>
      <c r="S513" s="59">
        <f t="shared" si="72"/>
        <v>0.41666666666666669</v>
      </c>
      <c r="T513" s="10">
        <f t="shared" si="73"/>
        <v>0.41666666666666669</v>
      </c>
      <c r="U513" s="55">
        <f t="shared" si="69"/>
        <v>1.01</v>
      </c>
    </row>
    <row r="514" spans="10:21" x14ac:dyDescent="0.25">
      <c r="J514" s="174" t="s">
        <v>84</v>
      </c>
      <c r="K514" s="174"/>
      <c r="M514" s="62">
        <v>1</v>
      </c>
      <c r="N514" s="60">
        <v>64</v>
      </c>
      <c r="O514" s="8" t="s">
        <v>14</v>
      </c>
      <c r="P514" s="9">
        <f t="shared" si="70"/>
        <v>0.41666666666666669</v>
      </c>
      <c r="Q514" s="9">
        <f t="shared" si="71"/>
        <v>0.41666666666666669</v>
      </c>
      <c r="R514" s="114">
        <v>0</v>
      </c>
      <c r="S514" s="59">
        <f t="shared" si="72"/>
        <v>0.41666666666666669</v>
      </c>
      <c r="T514" s="10">
        <f t="shared" si="73"/>
        <v>0.41666666666666669</v>
      </c>
      <c r="U514" s="55">
        <f t="shared" si="69"/>
        <v>1.01</v>
      </c>
    </row>
    <row r="515" spans="10:21" x14ac:dyDescent="0.25">
      <c r="J515" s="174" t="s">
        <v>84</v>
      </c>
      <c r="K515" s="174"/>
      <c r="M515" s="62">
        <v>1</v>
      </c>
      <c r="N515" s="60">
        <v>63</v>
      </c>
      <c r="O515" s="8" t="s">
        <v>14</v>
      </c>
      <c r="P515" s="9">
        <f t="shared" si="70"/>
        <v>0.41666666666666669</v>
      </c>
      <c r="Q515" s="9">
        <f t="shared" si="71"/>
        <v>0.41666666666666669</v>
      </c>
      <c r="R515" s="114">
        <v>0</v>
      </c>
      <c r="S515" s="59">
        <f t="shared" si="72"/>
        <v>0.41666666666666669</v>
      </c>
      <c r="T515" s="10">
        <f t="shared" si="73"/>
        <v>0.41666666666666669</v>
      </c>
      <c r="U515" s="55">
        <f t="shared" si="69"/>
        <v>1.01</v>
      </c>
    </row>
    <row r="516" spans="10:21" x14ac:dyDescent="0.25">
      <c r="J516" s="174" t="s">
        <v>84</v>
      </c>
      <c r="K516" s="174"/>
      <c r="M516" s="62">
        <v>1</v>
      </c>
      <c r="N516" s="60">
        <v>62</v>
      </c>
      <c r="O516" s="8" t="s">
        <v>14</v>
      </c>
      <c r="P516" s="9">
        <f t="shared" si="70"/>
        <v>0.41666666666666669</v>
      </c>
      <c r="Q516" s="9">
        <f t="shared" si="71"/>
        <v>0.41666666666666669</v>
      </c>
      <c r="R516" s="114">
        <v>0</v>
      </c>
      <c r="S516" s="59">
        <f t="shared" si="72"/>
        <v>0.41666666666666669</v>
      </c>
      <c r="T516" s="10">
        <f t="shared" si="73"/>
        <v>0.41666666666666669</v>
      </c>
      <c r="U516" s="55">
        <f t="shared" si="69"/>
        <v>1.01</v>
      </c>
    </row>
    <row r="517" spans="10:21" x14ac:dyDescent="0.25">
      <c r="J517" s="174" t="s">
        <v>84</v>
      </c>
      <c r="K517" s="174"/>
      <c r="M517" s="62">
        <v>1</v>
      </c>
      <c r="N517" s="60">
        <v>61</v>
      </c>
      <c r="O517" s="8" t="s">
        <v>14</v>
      </c>
      <c r="P517" s="9">
        <f t="shared" si="70"/>
        <v>0.41666666666666669</v>
      </c>
      <c r="Q517" s="9">
        <f t="shared" si="71"/>
        <v>0.41666666666666669</v>
      </c>
      <c r="R517" s="114">
        <v>0</v>
      </c>
      <c r="S517" s="59">
        <f t="shared" si="72"/>
        <v>0.41666666666666669</v>
      </c>
      <c r="T517" s="10">
        <f t="shared" si="73"/>
        <v>0.41666666666666669</v>
      </c>
      <c r="U517" s="55">
        <f t="shared" si="69"/>
        <v>1.01</v>
      </c>
    </row>
    <row r="518" spans="10:21" x14ac:dyDescent="0.25">
      <c r="J518" s="174" t="s">
        <v>84</v>
      </c>
      <c r="K518" s="174"/>
      <c r="M518" s="62">
        <v>1</v>
      </c>
      <c r="N518" s="60">
        <v>60</v>
      </c>
      <c r="O518" s="8" t="s">
        <v>14</v>
      </c>
      <c r="P518" s="9">
        <f t="shared" si="70"/>
        <v>0.41666666666666669</v>
      </c>
      <c r="Q518" s="9">
        <f t="shared" si="71"/>
        <v>0.41666666666666669</v>
      </c>
      <c r="R518" s="114">
        <v>0</v>
      </c>
      <c r="S518" s="59">
        <f t="shared" si="72"/>
        <v>0.41666666666666669</v>
      </c>
      <c r="T518" s="10">
        <f t="shared" si="73"/>
        <v>0.41666666666666669</v>
      </c>
      <c r="U518" s="55">
        <f t="shared" si="69"/>
        <v>1.01</v>
      </c>
    </row>
    <row r="519" spans="10:21" x14ac:dyDescent="0.25">
      <c r="J519" s="174" t="s">
        <v>84</v>
      </c>
      <c r="K519" s="174"/>
      <c r="M519" s="62">
        <v>1</v>
      </c>
      <c r="N519" s="60">
        <v>59</v>
      </c>
      <c r="O519" s="8" t="s">
        <v>14</v>
      </c>
      <c r="P519" s="9">
        <f t="shared" si="70"/>
        <v>0.41666666666666669</v>
      </c>
      <c r="Q519" s="9">
        <f t="shared" si="71"/>
        <v>0.41666666666666669</v>
      </c>
      <c r="R519" s="114">
        <v>0</v>
      </c>
      <c r="S519" s="59">
        <f t="shared" si="72"/>
        <v>0.41666666666666669</v>
      </c>
      <c r="T519" s="10">
        <f t="shared" si="73"/>
        <v>0.41666666666666669</v>
      </c>
      <c r="U519" s="55">
        <f t="shared" si="69"/>
        <v>1.01</v>
      </c>
    </row>
    <row r="520" spans="10:21" x14ac:dyDescent="0.25">
      <c r="J520" s="174" t="s">
        <v>84</v>
      </c>
      <c r="K520" s="174"/>
      <c r="M520" s="62">
        <v>1</v>
      </c>
      <c r="N520" s="60">
        <v>58</v>
      </c>
      <c r="O520" s="8" t="s">
        <v>14</v>
      </c>
      <c r="P520" s="9">
        <f t="shared" si="70"/>
        <v>0.41666666666666669</v>
      </c>
      <c r="Q520" s="9">
        <f t="shared" si="71"/>
        <v>0.41666666666666669</v>
      </c>
      <c r="R520" s="114">
        <v>0</v>
      </c>
      <c r="S520" s="59">
        <f t="shared" si="72"/>
        <v>0.41666666666666669</v>
      </c>
      <c r="T520" s="10">
        <f t="shared" si="73"/>
        <v>0.41666666666666669</v>
      </c>
      <c r="U520" s="55">
        <f t="shared" si="69"/>
        <v>1.01</v>
      </c>
    </row>
    <row r="521" spans="10:21" x14ac:dyDescent="0.25">
      <c r="J521" s="174" t="s">
        <v>84</v>
      </c>
      <c r="K521" s="174"/>
      <c r="M521" s="62">
        <v>1</v>
      </c>
      <c r="N521" s="60">
        <v>57</v>
      </c>
      <c r="O521" s="8" t="s">
        <v>14</v>
      </c>
      <c r="P521" s="9">
        <f t="shared" si="70"/>
        <v>0.41666666666666669</v>
      </c>
      <c r="Q521" s="9">
        <f t="shared" si="71"/>
        <v>0.41666666666666669</v>
      </c>
      <c r="R521" s="114">
        <v>0</v>
      </c>
      <c r="S521" s="59">
        <f t="shared" si="72"/>
        <v>0.41666666666666669</v>
      </c>
      <c r="T521" s="10">
        <f t="shared" si="73"/>
        <v>0.41666666666666669</v>
      </c>
      <c r="U521" s="55">
        <f t="shared" si="69"/>
        <v>1.01</v>
      </c>
    </row>
    <row r="522" spans="10:21" x14ac:dyDescent="0.25">
      <c r="J522" s="174" t="s">
        <v>84</v>
      </c>
      <c r="K522" s="174"/>
      <c r="M522" s="62">
        <v>1</v>
      </c>
      <c r="N522" s="60">
        <v>56</v>
      </c>
      <c r="O522" s="8" t="s">
        <v>14</v>
      </c>
      <c r="P522" s="9">
        <f t="shared" si="70"/>
        <v>0.41666666666666669</v>
      </c>
      <c r="Q522" s="9">
        <f t="shared" si="71"/>
        <v>0.41666666666666669</v>
      </c>
      <c r="R522" s="114">
        <v>0</v>
      </c>
      <c r="S522" s="59">
        <f t="shared" si="72"/>
        <v>0.41666666666666669</v>
      </c>
      <c r="T522" s="10">
        <f t="shared" si="73"/>
        <v>0.41666666666666669</v>
      </c>
      <c r="U522" s="55">
        <f t="shared" ref="U522:U578" si="74">1+(T522/$J$6)/100</f>
        <v>1.01</v>
      </c>
    </row>
    <row r="523" spans="10:21" x14ac:dyDescent="0.25">
      <c r="J523" s="174" t="s">
        <v>84</v>
      </c>
      <c r="K523" s="174"/>
      <c r="M523" s="62">
        <v>1</v>
      </c>
      <c r="N523" s="60">
        <v>55</v>
      </c>
      <c r="O523" s="8" t="s">
        <v>14</v>
      </c>
      <c r="P523" s="9">
        <f t="shared" si="70"/>
        <v>0.41666666666666669</v>
      </c>
      <c r="Q523" s="9">
        <f t="shared" si="71"/>
        <v>0.41666666666666669</v>
      </c>
      <c r="R523" s="114">
        <v>0</v>
      </c>
      <c r="S523" s="59">
        <f t="shared" si="72"/>
        <v>0.41666666666666669</v>
      </c>
      <c r="T523" s="10">
        <f t="shared" si="73"/>
        <v>0.41666666666666669</v>
      </c>
      <c r="U523" s="55">
        <f t="shared" si="74"/>
        <v>1.01</v>
      </c>
    </row>
    <row r="524" spans="10:21" x14ac:dyDescent="0.25">
      <c r="J524" s="174" t="s">
        <v>84</v>
      </c>
      <c r="K524" s="174"/>
      <c r="M524" s="62">
        <v>1</v>
      </c>
      <c r="N524" s="60">
        <v>54</v>
      </c>
      <c r="O524" s="8" t="s">
        <v>14</v>
      </c>
      <c r="P524" s="9">
        <f t="shared" si="70"/>
        <v>0.41666666666666669</v>
      </c>
      <c r="Q524" s="9">
        <f t="shared" si="71"/>
        <v>0.41666666666666669</v>
      </c>
      <c r="R524" s="114">
        <v>0</v>
      </c>
      <c r="S524" s="59">
        <f t="shared" si="72"/>
        <v>0.41666666666666669</v>
      </c>
      <c r="T524" s="10">
        <f t="shared" si="73"/>
        <v>0.41666666666666669</v>
      </c>
      <c r="U524" s="55">
        <f t="shared" si="74"/>
        <v>1.01</v>
      </c>
    </row>
    <row r="525" spans="10:21" x14ac:dyDescent="0.25">
      <c r="J525" s="174" t="s">
        <v>84</v>
      </c>
      <c r="K525" s="174"/>
      <c r="M525" s="62">
        <v>1</v>
      </c>
      <c r="N525" s="60">
        <v>53</v>
      </c>
      <c r="O525" s="8" t="s">
        <v>14</v>
      </c>
      <c r="P525" s="9">
        <f t="shared" si="70"/>
        <v>0.41666666666666669</v>
      </c>
      <c r="Q525" s="9">
        <f t="shared" si="71"/>
        <v>0.41666666666666669</v>
      </c>
      <c r="R525" s="114">
        <v>0</v>
      </c>
      <c r="S525" s="59">
        <f t="shared" si="72"/>
        <v>0.41666666666666669</v>
      </c>
      <c r="T525" s="10">
        <f t="shared" si="73"/>
        <v>0.41666666666666669</v>
      </c>
      <c r="U525" s="55">
        <f t="shared" si="74"/>
        <v>1.01</v>
      </c>
    </row>
    <row r="526" spans="10:21" x14ac:dyDescent="0.25">
      <c r="J526" s="174" t="s">
        <v>84</v>
      </c>
      <c r="K526" s="174"/>
      <c r="M526" s="62">
        <v>1</v>
      </c>
      <c r="N526" s="60">
        <v>52</v>
      </c>
      <c r="O526" s="8" t="s">
        <v>14</v>
      </c>
      <c r="P526" s="9">
        <f t="shared" si="70"/>
        <v>0.41666666666666669</v>
      </c>
      <c r="Q526" s="9">
        <f t="shared" si="71"/>
        <v>0.41666666666666669</v>
      </c>
      <c r="R526" s="114">
        <v>0</v>
      </c>
      <c r="S526" s="59">
        <f t="shared" si="72"/>
        <v>0.41666666666666669</v>
      </c>
      <c r="T526" s="10">
        <f t="shared" si="73"/>
        <v>0.41666666666666669</v>
      </c>
      <c r="U526" s="55">
        <f t="shared" si="74"/>
        <v>1.01</v>
      </c>
    </row>
    <row r="527" spans="10:21" x14ac:dyDescent="0.25">
      <c r="J527" s="174" t="s">
        <v>84</v>
      </c>
      <c r="K527" s="174"/>
      <c r="M527" s="62">
        <v>1</v>
      </c>
      <c r="N527" s="60">
        <v>51</v>
      </c>
      <c r="O527" s="8" t="s">
        <v>14</v>
      </c>
      <c r="P527" s="9">
        <f t="shared" si="70"/>
        <v>0.41666666666666669</v>
      </c>
      <c r="Q527" s="9">
        <f t="shared" si="71"/>
        <v>0.41666666666666669</v>
      </c>
      <c r="R527" s="114">
        <v>0</v>
      </c>
      <c r="S527" s="59">
        <f t="shared" si="72"/>
        <v>0.41666666666666669</v>
      </c>
      <c r="T527" s="10">
        <f t="shared" si="73"/>
        <v>0.41666666666666669</v>
      </c>
      <c r="U527" s="55">
        <f t="shared" si="74"/>
        <v>1.01</v>
      </c>
    </row>
    <row r="528" spans="10:21" x14ac:dyDescent="0.25">
      <c r="J528" s="174" t="s">
        <v>84</v>
      </c>
      <c r="K528" s="174"/>
      <c r="M528" s="62">
        <v>1</v>
      </c>
      <c r="N528" s="60">
        <v>50</v>
      </c>
      <c r="O528" s="8" t="s">
        <v>14</v>
      </c>
      <c r="P528" s="9">
        <f t="shared" ref="P528:P578" si="75">IF(O528="Jalan",IF(T527&gt;=$J$6,IF(T527+(-$K$6*M528)&lt;$J$6,$J$6,-$K$6*M528),IF(T527&lt;=$J$6,IF(T527+(+$L$6*M528)&lt;$J$6,+$L$6*M528,$J$6))),IF(T527&gt;0,+$L$6*M528,-$L$6*M528))</f>
        <v>0.41666666666666669</v>
      </c>
      <c r="Q528" s="9">
        <f t="shared" ref="Q528:Q578" si="76">IF(P528=$J$6,$J$6,T527+P528)</f>
        <v>0.41666666666666669</v>
      </c>
      <c r="R528" s="114">
        <v>0</v>
      </c>
      <c r="S528" s="59">
        <f t="shared" ref="S528:S578" si="77">Q528+R528</f>
        <v>0.41666666666666669</v>
      </c>
      <c r="T528" s="10">
        <f t="shared" ref="T528:T578" si="78">S528</f>
        <v>0.41666666666666669</v>
      </c>
      <c r="U528" s="55">
        <f t="shared" si="74"/>
        <v>1.01</v>
      </c>
    </row>
    <row r="529" spans="10:21" x14ac:dyDescent="0.25">
      <c r="J529" s="174" t="s">
        <v>84</v>
      </c>
      <c r="K529" s="174"/>
      <c r="M529" s="62">
        <v>1</v>
      </c>
      <c r="N529" s="60">
        <v>49</v>
      </c>
      <c r="O529" s="8" t="s">
        <v>14</v>
      </c>
      <c r="P529" s="9">
        <f t="shared" si="75"/>
        <v>0.41666666666666669</v>
      </c>
      <c r="Q529" s="9">
        <f t="shared" si="76"/>
        <v>0.41666666666666669</v>
      </c>
      <c r="R529" s="114">
        <v>0</v>
      </c>
      <c r="S529" s="59">
        <f t="shared" si="77"/>
        <v>0.41666666666666669</v>
      </c>
      <c r="T529" s="10">
        <f t="shared" si="78"/>
        <v>0.41666666666666669</v>
      </c>
      <c r="U529" s="55">
        <f t="shared" si="74"/>
        <v>1.01</v>
      </c>
    </row>
    <row r="530" spans="10:21" x14ac:dyDescent="0.25">
      <c r="J530" s="174" t="s">
        <v>84</v>
      </c>
      <c r="K530" s="174"/>
      <c r="M530" s="62">
        <v>1</v>
      </c>
      <c r="N530" s="60">
        <v>48</v>
      </c>
      <c r="O530" s="8" t="s">
        <v>14</v>
      </c>
      <c r="P530" s="9">
        <f t="shared" si="75"/>
        <v>0.41666666666666669</v>
      </c>
      <c r="Q530" s="9">
        <f t="shared" si="76"/>
        <v>0.41666666666666669</v>
      </c>
      <c r="R530" s="114">
        <v>0</v>
      </c>
      <c r="S530" s="59">
        <f t="shared" si="77"/>
        <v>0.41666666666666669</v>
      </c>
      <c r="T530" s="10">
        <f t="shared" si="78"/>
        <v>0.41666666666666669</v>
      </c>
      <c r="U530" s="55">
        <f t="shared" si="74"/>
        <v>1.01</v>
      </c>
    </row>
    <row r="531" spans="10:21" x14ac:dyDescent="0.25">
      <c r="J531" s="174" t="s">
        <v>84</v>
      </c>
      <c r="K531" s="174"/>
      <c r="M531" s="62">
        <v>1</v>
      </c>
      <c r="N531" s="60">
        <v>47</v>
      </c>
      <c r="O531" s="8" t="s">
        <v>14</v>
      </c>
      <c r="P531" s="9">
        <f t="shared" si="75"/>
        <v>0.41666666666666669</v>
      </c>
      <c r="Q531" s="9">
        <f t="shared" si="76"/>
        <v>0.41666666666666669</v>
      </c>
      <c r="R531" s="114">
        <v>0</v>
      </c>
      <c r="S531" s="59">
        <f t="shared" si="77"/>
        <v>0.41666666666666669</v>
      </c>
      <c r="T531" s="10">
        <f t="shared" si="78"/>
        <v>0.41666666666666669</v>
      </c>
      <c r="U531" s="55">
        <f t="shared" si="74"/>
        <v>1.01</v>
      </c>
    </row>
    <row r="532" spans="10:21" x14ac:dyDescent="0.25">
      <c r="J532" s="174" t="s">
        <v>84</v>
      </c>
      <c r="K532" s="174"/>
      <c r="M532" s="62">
        <v>1</v>
      </c>
      <c r="N532" s="60">
        <v>46</v>
      </c>
      <c r="O532" s="8" t="s">
        <v>14</v>
      </c>
      <c r="P532" s="9">
        <f t="shared" si="75"/>
        <v>0.41666666666666669</v>
      </c>
      <c r="Q532" s="9">
        <f t="shared" si="76"/>
        <v>0.41666666666666669</v>
      </c>
      <c r="R532" s="114">
        <v>0</v>
      </c>
      <c r="S532" s="59">
        <f t="shared" si="77"/>
        <v>0.41666666666666669</v>
      </c>
      <c r="T532" s="10">
        <f t="shared" si="78"/>
        <v>0.41666666666666669</v>
      </c>
      <c r="U532" s="55">
        <f t="shared" si="74"/>
        <v>1.01</v>
      </c>
    </row>
    <row r="533" spans="10:21" x14ac:dyDescent="0.25">
      <c r="J533" s="174" t="s">
        <v>84</v>
      </c>
      <c r="K533" s="174"/>
      <c r="M533" s="62">
        <v>1</v>
      </c>
      <c r="N533" s="60">
        <v>45</v>
      </c>
      <c r="O533" s="8" t="s">
        <v>14</v>
      </c>
      <c r="P533" s="9">
        <f t="shared" si="75"/>
        <v>0.41666666666666669</v>
      </c>
      <c r="Q533" s="9">
        <f t="shared" si="76"/>
        <v>0.41666666666666669</v>
      </c>
      <c r="R533" s="114">
        <v>0</v>
      </c>
      <c r="S533" s="59">
        <f t="shared" si="77"/>
        <v>0.41666666666666669</v>
      </c>
      <c r="T533" s="10">
        <f t="shared" si="78"/>
        <v>0.41666666666666669</v>
      </c>
      <c r="U533" s="55">
        <f t="shared" si="74"/>
        <v>1.01</v>
      </c>
    </row>
    <row r="534" spans="10:21" x14ac:dyDescent="0.25">
      <c r="J534" s="174" t="s">
        <v>84</v>
      </c>
      <c r="K534" s="174"/>
      <c r="M534" s="62">
        <v>1</v>
      </c>
      <c r="N534" s="60">
        <v>44</v>
      </c>
      <c r="O534" s="8" t="s">
        <v>14</v>
      </c>
      <c r="P534" s="9">
        <f t="shared" si="75"/>
        <v>0.41666666666666669</v>
      </c>
      <c r="Q534" s="9">
        <f t="shared" si="76"/>
        <v>0.41666666666666669</v>
      </c>
      <c r="R534" s="114">
        <v>0</v>
      </c>
      <c r="S534" s="59">
        <f t="shared" si="77"/>
        <v>0.41666666666666669</v>
      </c>
      <c r="T534" s="10">
        <f t="shared" si="78"/>
        <v>0.41666666666666669</v>
      </c>
      <c r="U534" s="55">
        <f t="shared" si="74"/>
        <v>1.01</v>
      </c>
    </row>
    <row r="535" spans="10:21" x14ac:dyDescent="0.25">
      <c r="J535" s="174" t="s">
        <v>84</v>
      </c>
      <c r="K535" s="174"/>
      <c r="M535" s="62">
        <v>1</v>
      </c>
      <c r="N535" s="60">
        <v>43</v>
      </c>
      <c r="O535" s="8" t="s">
        <v>14</v>
      </c>
      <c r="P535" s="9">
        <f t="shared" si="75"/>
        <v>0.41666666666666669</v>
      </c>
      <c r="Q535" s="9">
        <f t="shared" si="76"/>
        <v>0.41666666666666669</v>
      </c>
      <c r="R535" s="114">
        <v>0</v>
      </c>
      <c r="S535" s="59">
        <f t="shared" si="77"/>
        <v>0.41666666666666669</v>
      </c>
      <c r="T535" s="10">
        <f t="shared" si="78"/>
        <v>0.41666666666666669</v>
      </c>
      <c r="U535" s="55">
        <f t="shared" si="74"/>
        <v>1.01</v>
      </c>
    </row>
    <row r="536" spans="10:21" x14ac:dyDescent="0.25">
      <c r="J536" s="174" t="s">
        <v>84</v>
      </c>
      <c r="K536" s="174"/>
      <c r="M536" s="62">
        <v>1</v>
      </c>
      <c r="N536" s="60">
        <v>42</v>
      </c>
      <c r="O536" s="8" t="s">
        <v>14</v>
      </c>
      <c r="P536" s="9">
        <f t="shared" si="75"/>
        <v>0.41666666666666669</v>
      </c>
      <c r="Q536" s="9">
        <f t="shared" si="76"/>
        <v>0.41666666666666669</v>
      </c>
      <c r="R536" s="114">
        <v>0</v>
      </c>
      <c r="S536" s="59">
        <f t="shared" si="77"/>
        <v>0.41666666666666669</v>
      </c>
      <c r="T536" s="10">
        <f t="shared" si="78"/>
        <v>0.41666666666666669</v>
      </c>
      <c r="U536" s="55">
        <f t="shared" si="74"/>
        <v>1.01</v>
      </c>
    </row>
    <row r="537" spans="10:21" x14ac:dyDescent="0.25">
      <c r="J537" s="174" t="s">
        <v>84</v>
      </c>
      <c r="K537" s="174"/>
      <c r="M537" s="62">
        <v>1</v>
      </c>
      <c r="N537" s="60">
        <v>41</v>
      </c>
      <c r="O537" s="8" t="s">
        <v>14</v>
      </c>
      <c r="P537" s="9">
        <f t="shared" si="75"/>
        <v>0.41666666666666669</v>
      </c>
      <c r="Q537" s="9">
        <f t="shared" si="76"/>
        <v>0.41666666666666669</v>
      </c>
      <c r="R537" s="114">
        <v>0</v>
      </c>
      <c r="S537" s="59">
        <f t="shared" si="77"/>
        <v>0.41666666666666669</v>
      </c>
      <c r="T537" s="10">
        <f t="shared" si="78"/>
        <v>0.41666666666666669</v>
      </c>
      <c r="U537" s="55">
        <f t="shared" si="74"/>
        <v>1.01</v>
      </c>
    </row>
    <row r="538" spans="10:21" x14ac:dyDescent="0.25">
      <c r="J538" s="174" t="s">
        <v>84</v>
      </c>
      <c r="K538" s="174"/>
      <c r="M538" s="62">
        <v>1</v>
      </c>
      <c r="N538" s="60">
        <v>40</v>
      </c>
      <c r="O538" s="8" t="s">
        <v>14</v>
      </c>
      <c r="P538" s="9">
        <f t="shared" si="75"/>
        <v>0.41666666666666669</v>
      </c>
      <c r="Q538" s="9">
        <f t="shared" si="76"/>
        <v>0.41666666666666669</v>
      </c>
      <c r="R538" s="114">
        <v>0</v>
      </c>
      <c r="S538" s="59">
        <f t="shared" si="77"/>
        <v>0.41666666666666669</v>
      </c>
      <c r="T538" s="10">
        <f t="shared" si="78"/>
        <v>0.41666666666666669</v>
      </c>
      <c r="U538" s="55">
        <f t="shared" si="74"/>
        <v>1.01</v>
      </c>
    </row>
    <row r="539" spans="10:21" x14ac:dyDescent="0.25">
      <c r="J539" s="174" t="s">
        <v>84</v>
      </c>
      <c r="K539" s="174"/>
      <c r="M539" s="62">
        <v>1</v>
      </c>
      <c r="N539" s="60">
        <v>39</v>
      </c>
      <c r="O539" s="8" t="s">
        <v>14</v>
      </c>
      <c r="P539" s="9">
        <f t="shared" si="75"/>
        <v>0.41666666666666669</v>
      </c>
      <c r="Q539" s="9">
        <f t="shared" si="76"/>
        <v>0.41666666666666669</v>
      </c>
      <c r="R539" s="114">
        <v>0</v>
      </c>
      <c r="S539" s="59">
        <f t="shared" si="77"/>
        <v>0.41666666666666669</v>
      </c>
      <c r="T539" s="10">
        <f t="shared" si="78"/>
        <v>0.41666666666666669</v>
      </c>
      <c r="U539" s="55">
        <f t="shared" si="74"/>
        <v>1.01</v>
      </c>
    </row>
    <row r="540" spans="10:21" x14ac:dyDescent="0.25">
      <c r="J540" s="174" t="s">
        <v>84</v>
      </c>
      <c r="K540" s="174"/>
      <c r="M540" s="62">
        <v>1</v>
      </c>
      <c r="N540" s="60">
        <v>38</v>
      </c>
      <c r="O540" s="8" t="s">
        <v>14</v>
      </c>
      <c r="P540" s="9">
        <f t="shared" si="75"/>
        <v>0.41666666666666669</v>
      </c>
      <c r="Q540" s="9">
        <f t="shared" si="76"/>
        <v>0.41666666666666669</v>
      </c>
      <c r="R540" s="114">
        <v>0</v>
      </c>
      <c r="S540" s="59">
        <f t="shared" si="77"/>
        <v>0.41666666666666669</v>
      </c>
      <c r="T540" s="10">
        <f t="shared" si="78"/>
        <v>0.41666666666666669</v>
      </c>
      <c r="U540" s="55">
        <f t="shared" si="74"/>
        <v>1.01</v>
      </c>
    </row>
    <row r="541" spans="10:21" x14ac:dyDescent="0.25">
      <c r="J541" s="174" t="s">
        <v>84</v>
      </c>
      <c r="K541" s="174"/>
      <c r="M541" s="62">
        <v>1</v>
      </c>
      <c r="N541" s="60">
        <v>37</v>
      </c>
      <c r="O541" s="8" t="s">
        <v>14</v>
      </c>
      <c r="P541" s="9">
        <f t="shared" si="75"/>
        <v>0.41666666666666669</v>
      </c>
      <c r="Q541" s="9">
        <f t="shared" si="76"/>
        <v>0.41666666666666669</v>
      </c>
      <c r="R541" s="114">
        <v>0</v>
      </c>
      <c r="S541" s="59">
        <f t="shared" si="77"/>
        <v>0.41666666666666669</v>
      </c>
      <c r="T541" s="10">
        <f t="shared" si="78"/>
        <v>0.41666666666666669</v>
      </c>
      <c r="U541" s="55">
        <f t="shared" si="74"/>
        <v>1.01</v>
      </c>
    </row>
    <row r="542" spans="10:21" x14ac:dyDescent="0.25">
      <c r="J542" s="174" t="s">
        <v>84</v>
      </c>
      <c r="K542" s="174"/>
      <c r="M542" s="62">
        <v>1</v>
      </c>
      <c r="N542" s="60">
        <v>36</v>
      </c>
      <c r="O542" s="8" t="s">
        <v>14</v>
      </c>
      <c r="P542" s="9">
        <f t="shared" si="75"/>
        <v>0.41666666666666669</v>
      </c>
      <c r="Q542" s="9">
        <f t="shared" si="76"/>
        <v>0.41666666666666669</v>
      </c>
      <c r="R542" s="114">
        <v>0</v>
      </c>
      <c r="S542" s="59">
        <f t="shared" si="77"/>
        <v>0.41666666666666669</v>
      </c>
      <c r="T542" s="10">
        <f t="shared" si="78"/>
        <v>0.41666666666666669</v>
      </c>
      <c r="U542" s="55">
        <f t="shared" si="74"/>
        <v>1.01</v>
      </c>
    </row>
    <row r="543" spans="10:21" x14ac:dyDescent="0.25">
      <c r="J543" s="174" t="s">
        <v>84</v>
      </c>
      <c r="K543" s="174"/>
      <c r="M543" s="62">
        <v>1</v>
      </c>
      <c r="N543" s="60">
        <v>35</v>
      </c>
      <c r="O543" s="8" t="s">
        <v>14</v>
      </c>
      <c r="P543" s="9">
        <f t="shared" si="75"/>
        <v>0.41666666666666669</v>
      </c>
      <c r="Q543" s="9">
        <f t="shared" si="76"/>
        <v>0.41666666666666669</v>
      </c>
      <c r="R543" s="114">
        <v>0</v>
      </c>
      <c r="S543" s="59">
        <f t="shared" si="77"/>
        <v>0.41666666666666669</v>
      </c>
      <c r="T543" s="10">
        <f t="shared" si="78"/>
        <v>0.41666666666666669</v>
      </c>
      <c r="U543" s="55">
        <f t="shared" si="74"/>
        <v>1.01</v>
      </c>
    </row>
    <row r="544" spans="10:21" x14ac:dyDescent="0.25">
      <c r="J544" s="174" t="s">
        <v>84</v>
      </c>
      <c r="K544" s="174"/>
      <c r="M544" s="62">
        <v>1</v>
      </c>
      <c r="N544" s="60">
        <v>34</v>
      </c>
      <c r="O544" s="8" t="s">
        <v>14</v>
      </c>
      <c r="P544" s="9">
        <f t="shared" si="75"/>
        <v>0.41666666666666669</v>
      </c>
      <c r="Q544" s="9">
        <f t="shared" si="76"/>
        <v>0.41666666666666669</v>
      </c>
      <c r="R544" s="114">
        <v>0</v>
      </c>
      <c r="S544" s="59">
        <f t="shared" si="77"/>
        <v>0.41666666666666669</v>
      </c>
      <c r="T544" s="10">
        <f t="shared" si="78"/>
        <v>0.41666666666666669</v>
      </c>
      <c r="U544" s="55">
        <f t="shared" si="74"/>
        <v>1.01</v>
      </c>
    </row>
    <row r="545" spans="10:21" x14ac:dyDescent="0.25">
      <c r="J545" s="174" t="s">
        <v>84</v>
      </c>
      <c r="K545" s="174"/>
      <c r="M545" s="62">
        <v>1</v>
      </c>
      <c r="N545" s="60">
        <v>33</v>
      </c>
      <c r="O545" s="8" t="s">
        <v>14</v>
      </c>
      <c r="P545" s="9">
        <f t="shared" si="75"/>
        <v>0.41666666666666669</v>
      </c>
      <c r="Q545" s="9">
        <f t="shared" si="76"/>
        <v>0.41666666666666669</v>
      </c>
      <c r="R545" s="114">
        <v>0</v>
      </c>
      <c r="S545" s="59">
        <f t="shared" si="77"/>
        <v>0.41666666666666669</v>
      </c>
      <c r="T545" s="10">
        <f t="shared" si="78"/>
        <v>0.41666666666666669</v>
      </c>
      <c r="U545" s="55">
        <f t="shared" si="74"/>
        <v>1.01</v>
      </c>
    </row>
    <row r="546" spans="10:21" x14ac:dyDescent="0.25">
      <c r="J546" s="174" t="s">
        <v>84</v>
      </c>
      <c r="K546" s="174"/>
      <c r="M546" s="62">
        <v>1</v>
      </c>
      <c r="N546" s="60">
        <v>32</v>
      </c>
      <c r="O546" s="8" t="s">
        <v>14</v>
      </c>
      <c r="P546" s="9">
        <f t="shared" si="75"/>
        <v>0.41666666666666669</v>
      </c>
      <c r="Q546" s="9">
        <f t="shared" si="76"/>
        <v>0.41666666666666669</v>
      </c>
      <c r="R546" s="114">
        <v>0</v>
      </c>
      <c r="S546" s="59">
        <f t="shared" si="77"/>
        <v>0.41666666666666669</v>
      </c>
      <c r="T546" s="10">
        <f t="shared" si="78"/>
        <v>0.41666666666666669</v>
      </c>
      <c r="U546" s="55">
        <f t="shared" si="74"/>
        <v>1.01</v>
      </c>
    </row>
    <row r="547" spans="10:21" x14ac:dyDescent="0.25">
      <c r="J547" s="174" t="s">
        <v>84</v>
      </c>
      <c r="K547" s="174"/>
      <c r="M547" s="62">
        <v>1</v>
      </c>
      <c r="N547" s="60">
        <v>31</v>
      </c>
      <c r="O547" s="8" t="s">
        <v>14</v>
      </c>
      <c r="P547" s="9">
        <f t="shared" si="75"/>
        <v>0.41666666666666669</v>
      </c>
      <c r="Q547" s="9">
        <f t="shared" si="76"/>
        <v>0.41666666666666669</v>
      </c>
      <c r="R547" s="114">
        <v>0</v>
      </c>
      <c r="S547" s="59">
        <f t="shared" si="77"/>
        <v>0.41666666666666669</v>
      </c>
      <c r="T547" s="10">
        <f t="shared" si="78"/>
        <v>0.41666666666666669</v>
      </c>
      <c r="U547" s="55">
        <f t="shared" si="74"/>
        <v>1.01</v>
      </c>
    </row>
    <row r="548" spans="10:21" x14ac:dyDescent="0.25">
      <c r="J548" s="174" t="s">
        <v>84</v>
      </c>
      <c r="K548" s="174"/>
      <c r="M548" s="62">
        <v>1</v>
      </c>
      <c r="N548" s="60">
        <v>30</v>
      </c>
      <c r="O548" s="8" t="s">
        <v>14</v>
      </c>
      <c r="P548" s="9">
        <f t="shared" si="75"/>
        <v>0.41666666666666669</v>
      </c>
      <c r="Q548" s="9">
        <f t="shared" si="76"/>
        <v>0.41666666666666669</v>
      </c>
      <c r="R548" s="114">
        <v>0</v>
      </c>
      <c r="S548" s="59">
        <f t="shared" si="77"/>
        <v>0.41666666666666669</v>
      </c>
      <c r="T548" s="10">
        <f t="shared" si="78"/>
        <v>0.41666666666666669</v>
      </c>
      <c r="U548" s="55">
        <f t="shared" si="74"/>
        <v>1.01</v>
      </c>
    </row>
    <row r="549" spans="10:21" x14ac:dyDescent="0.25">
      <c r="J549" s="174" t="s">
        <v>84</v>
      </c>
      <c r="K549" s="174"/>
      <c r="M549" s="62">
        <v>1</v>
      </c>
      <c r="N549" s="60">
        <v>29</v>
      </c>
      <c r="O549" s="8" t="s">
        <v>14</v>
      </c>
      <c r="P549" s="9">
        <f t="shared" si="75"/>
        <v>0.41666666666666669</v>
      </c>
      <c r="Q549" s="9">
        <f t="shared" si="76"/>
        <v>0.41666666666666669</v>
      </c>
      <c r="R549" s="114">
        <v>0</v>
      </c>
      <c r="S549" s="59">
        <f t="shared" si="77"/>
        <v>0.41666666666666669</v>
      </c>
      <c r="T549" s="10">
        <f t="shared" si="78"/>
        <v>0.41666666666666669</v>
      </c>
      <c r="U549" s="55">
        <f t="shared" si="74"/>
        <v>1.01</v>
      </c>
    </row>
    <row r="550" spans="10:21" x14ac:dyDescent="0.25">
      <c r="J550" s="174" t="s">
        <v>84</v>
      </c>
      <c r="K550" s="174"/>
      <c r="M550" s="62">
        <v>1</v>
      </c>
      <c r="N550" s="60">
        <v>28</v>
      </c>
      <c r="O550" s="8" t="s">
        <v>14</v>
      </c>
      <c r="P550" s="9">
        <f t="shared" si="75"/>
        <v>0.41666666666666669</v>
      </c>
      <c r="Q550" s="9">
        <f t="shared" si="76"/>
        <v>0.41666666666666669</v>
      </c>
      <c r="R550" s="114">
        <v>0</v>
      </c>
      <c r="S550" s="59">
        <f t="shared" si="77"/>
        <v>0.41666666666666669</v>
      </c>
      <c r="T550" s="10">
        <f t="shared" si="78"/>
        <v>0.41666666666666669</v>
      </c>
      <c r="U550" s="55">
        <f t="shared" si="74"/>
        <v>1.01</v>
      </c>
    </row>
    <row r="551" spans="10:21" x14ac:dyDescent="0.25">
      <c r="J551" s="174" t="s">
        <v>84</v>
      </c>
      <c r="K551" s="174"/>
      <c r="M551" s="62">
        <v>1</v>
      </c>
      <c r="N551" s="60">
        <v>27</v>
      </c>
      <c r="O551" s="8" t="s">
        <v>14</v>
      </c>
      <c r="P551" s="9">
        <f t="shared" si="75"/>
        <v>0.41666666666666669</v>
      </c>
      <c r="Q551" s="9">
        <f t="shared" si="76"/>
        <v>0.41666666666666669</v>
      </c>
      <c r="R551" s="114">
        <v>0</v>
      </c>
      <c r="S551" s="59">
        <f t="shared" si="77"/>
        <v>0.41666666666666669</v>
      </c>
      <c r="T551" s="10">
        <f t="shared" si="78"/>
        <v>0.41666666666666669</v>
      </c>
      <c r="U551" s="55">
        <f t="shared" si="74"/>
        <v>1.01</v>
      </c>
    </row>
    <row r="552" spans="10:21" x14ac:dyDescent="0.25">
      <c r="J552" s="174" t="s">
        <v>84</v>
      </c>
      <c r="K552" s="174"/>
      <c r="M552" s="62">
        <v>1</v>
      </c>
      <c r="N552" s="60">
        <v>26</v>
      </c>
      <c r="O552" s="8" t="s">
        <v>14</v>
      </c>
      <c r="P552" s="9">
        <f t="shared" si="75"/>
        <v>0.41666666666666669</v>
      </c>
      <c r="Q552" s="9">
        <f t="shared" si="76"/>
        <v>0.41666666666666669</v>
      </c>
      <c r="R552" s="114">
        <v>0</v>
      </c>
      <c r="S552" s="59">
        <f t="shared" si="77"/>
        <v>0.41666666666666669</v>
      </c>
      <c r="T552" s="10">
        <f t="shared" si="78"/>
        <v>0.41666666666666669</v>
      </c>
      <c r="U552" s="55">
        <f t="shared" si="74"/>
        <v>1.01</v>
      </c>
    </row>
    <row r="553" spans="10:21" x14ac:dyDescent="0.25">
      <c r="J553" s="174" t="s">
        <v>84</v>
      </c>
      <c r="K553" s="174"/>
      <c r="M553" s="62">
        <v>1</v>
      </c>
      <c r="N553" s="60">
        <v>25</v>
      </c>
      <c r="O553" s="8" t="s">
        <v>14</v>
      </c>
      <c r="P553" s="9">
        <f t="shared" si="75"/>
        <v>0.41666666666666669</v>
      </c>
      <c r="Q553" s="9">
        <f t="shared" si="76"/>
        <v>0.41666666666666669</v>
      </c>
      <c r="R553" s="114">
        <v>0</v>
      </c>
      <c r="S553" s="59">
        <f t="shared" si="77"/>
        <v>0.41666666666666669</v>
      </c>
      <c r="T553" s="10">
        <f t="shared" si="78"/>
        <v>0.41666666666666669</v>
      </c>
      <c r="U553" s="55">
        <f t="shared" si="74"/>
        <v>1.01</v>
      </c>
    </row>
    <row r="554" spans="10:21" x14ac:dyDescent="0.25">
      <c r="J554" s="174" t="s">
        <v>84</v>
      </c>
      <c r="K554" s="174"/>
      <c r="M554" s="62">
        <v>1</v>
      </c>
      <c r="N554" s="60">
        <v>24</v>
      </c>
      <c r="O554" s="8" t="s">
        <v>14</v>
      </c>
      <c r="P554" s="9">
        <f t="shared" si="75"/>
        <v>0.41666666666666669</v>
      </c>
      <c r="Q554" s="9">
        <f t="shared" si="76"/>
        <v>0.41666666666666669</v>
      </c>
      <c r="R554" s="114">
        <v>0</v>
      </c>
      <c r="S554" s="59">
        <f t="shared" si="77"/>
        <v>0.41666666666666669</v>
      </c>
      <c r="T554" s="10">
        <f t="shared" si="78"/>
        <v>0.41666666666666669</v>
      </c>
      <c r="U554" s="55">
        <f t="shared" si="74"/>
        <v>1.01</v>
      </c>
    </row>
    <row r="555" spans="10:21" x14ac:dyDescent="0.25">
      <c r="J555" s="174" t="s">
        <v>84</v>
      </c>
      <c r="K555" s="174"/>
      <c r="M555" s="62">
        <v>1</v>
      </c>
      <c r="N555" s="60">
        <v>23</v>
      </c>
      <c r="O555" s="8" t="s">
        <v>14</v>
      </c>
      <c r="P555" s="9">
        <f t="shared" si="75"/>
        <v>0.41666666666666669</v>
      </c>
      <c r="Q555" s="9">
        <f t="shared" si="76"/>
        <v>0.41666666666666669</v>
      </c>
      <c r="R555" s="114">
        <v>0</v>
      </c>
      <c r="S555" s="59">
        <f t="shared" si="77"/>
        <v>0.41666666666666669</v>
      </c>
      <c r="T555" s="10">
        <f t="shared" si="78"/>
        <v>0.41666666666666669</v>
      </c>
      <c r="U555" s="55">
        <f t="shared" si="74"/>
        <v>1.01</v>
      </c>
    </row>
    <row r="556" spans="10:21" x14ac:dyDescent="0.25">
      <c r="J556" s="174" t="s">
        <v>84</v>
      </c>
      <c r="K556" s="174"/>
      <c r="M556" s="62">
        <v>1</v>
      </c>
      <c r="N556" s="60">
        <v>22</v>
      </c>
      <c r="O556" s="8" t="s">
        <v>14</v>
      </c>
      <c r="P556" s="9">
        <f t="shared" si="75"/>
        <v>0.41666666666666669</v>
      </c>
      <c r="Q556" s="9">
        <f t="shared" si="76"/>
        <v>0.41666666666666669</v>
      </c>
      <c r="R556" s="114">
        <v>0</v>
      </c>
      <c r="S556" s="59">
        <f t="shared" si="77"/>
        <v>0.41666666666666669</v>
      </c>
      <c r="T556" s="10">
        <f t="shared" si="78"/>
        <v>0.41666666666666669</v>
      </c>
      <c r="U556" s="55">
        <f t="shared" si="74"/>
        <v>1.01</v>
      </c>
    </row>
    <row r="557" spans="10:21" x14ac:dyDescent="0.25">
      <c r="J557" s="174" t="s">
        <v>84</v>
      </c>
      <c r="K557" s="174"/>
      <c r="M557" s="62">
        <v>1</v>
      </c>
      <c r="N557" s="60">
        <v>21</v>
      </c>
      <c r="O557" s="8" t="s">
        <v>14</v>
      </c>
      <c r="P557" s="9">
        <f t="shared" si="75"/>
        <v>0.41666666666666669</v>
      </c>
      <c r="Q557" s="9">
        <f t="shared" si="76"/>
        <v>0.41666666666666669</v>
      </c>
      <c r="R557" s="114">
        <v>0</v>
      </c>
      <c r="S557" s="59">
        <f t="shared" si="77"/>
        <v>0.41666666666666669</v>
      </c>
      <c r="T557" s="10">
        <f t="shared" si="78"/>
        <v>0.41666666666666669</v>
      </c>
      <c r="U557" s="55">
        <f t="shared" si="74"/>
        <v>1.01</v>
      </c>
    </row>
    <row r="558" spans="10:21" x14ac:dyDescent="0.25">
      <c r="J558" s="174" t="s">
        <v>84</v>
      </c>
      <c r="K558" s="174"/>
      <c r="M558" s="62">
        <v>1</v>
      </c>
      <c r="N558" s="60">
        <v>20</v>
      </c>
      <c r="O558" s="8" t="s">
        <v>14</v>
      </c>
      <c r="P558" s="9">
        <f t="shared" si="75"/>
        <v>0.41666666666666669</v>
      </c>
      <c r="Q558" s="9">
        <f t="shared" si="76"/>
        <v>0.41666666666666669</v>
      </c>
      <c r="R558" s="114">
        <v>0</v>
      </c>
      <c r="S558" s="59">
        <f t="shared" si="77"/>
        <v>0.41666666666666669</v>
      </c>
      <c r="T558" s="10">
        <f t="shared" si="78"/>
        <v>0.41666666666666669</v>
      </c>
      <c r="U558" s="55">
        <f t="shared" si="74"/>
        <v>1.01</v>
      </c>
    </row>
    <row r="559" spans="10:21" x14ac:dyDescent="0.25">
      <c r="J559" s="174" t="s">
        <v>84</v>
      </c>
      <c r="K559" s="174"/>
      <c r="M559" s="62">
        <v>1</v>
      </c>
      <c r="N559" s="60">
        <v>19</v>
      </c>
      <c r="O559" s="8" t="s">
        <v>14</v>
      </c>
      <c r="P559" s="9">
        <f t="shared" si="75"/>
        <v>0.41666666666666669</v>
      </c>
      <c r="Q559" s="9">
        <f t="shared" si="76"/>
        <v>0.41666666666666669</v>
      </c>
      <c r="R559" s="114">
        <v>0</v>
      </c>
      <c r="S559" s="59">
        <f t="shared" si="77"/>
        <v>0.41666666666666669</v>
      </c>
      <c r="T559" s="10">
        <f t="shared" si="78"/>
        <v>0.41666666666666669</v>
      </c>
      <c r="U559" s="55">
        <f t="shared" si="74"/>
        <v>1.01</v>
      </c>
    </row>
    <row r="560" spans="10:21" x14ac:dyDescent="0.25">
      <c r="J560" s="174" t="s">
        <v>84</v>
      </c>
      <c r="K560" s="174"/>
      <c r="M560" s="62">
        <v>1</v>
      </c>
      <c r="N560" s="60">
        <v>18</v>
      </c>
      <c r="O560" s="8" t="s">
        <v>14</v>
      </c>
      <c r="P560" s="9">
        <f t="shared" si="75"/>
        <v>0.41666666666666669</v>
      </c>
      <c r="Q560" s="9">
        <f t="shared" si="76"/>
        <v>0.41666666666666669</v>
      </c>
      <c r="R560" s="114">
        <v>0</v>
      </c>
      <c r="S560" s="59">
        <f t="shared" si="77"/>
        <v>0.41666666666666669</v>
      </c>
      <c r="T560" s="10">
        <f t="shared" si="78"/>
        <v>0.41666666666666669</v>
      </c>
      <c r="U560" s="55">
        <f t="shared" si="74"/>
        <v>1.01</v>
      </c>
    </row>
    <row r="561" spans="10:21" x14ac:dyDescent="0.25">
      <c r="J561" s="174" t="s">
        <v>84</v>
      </c>
      <c r="K561" s="174"/>
      <c r="M561" s="62">
        <v>1</v>
      </c>
      <c r="N561" s="60">
        <v>17</v>
      </c>
      <c r="O561" s="8" t="s">
        <v>14</v>
      </c>
      <c r="P561" s="9">
        <f t="shared" si="75"/>
        <v>0.41666666666666669</v>
      </c>
      <c r="Q561" s="9">
        <f t="shared" si="76"/>
        <v>0.41666666666666669</v>
      </c>
      <c r="R561" s="114">
        <v>0</v>
      </c>
      <c r="S561" s="59">
        <f t="shared" si="77"/>
        <v>0.41666666666666669</v>
      </c>
      <c r="T561" s="10">
        <f t="shared" si="78"/>
        <v>0.41666666666666669</v>
      </c>
      <c r="U561" s="55">
        <f t="shared" si="74"/>
        <v>1.01</v>
      </c>
    </row>
    <row r="562" spans="10:21" x14ac:dyDescent="0.25">
      <c r="J562" s="174" t="s">
        <v>84</v>
      </c>
      <c r="K562" s="174"/>
      <c r="M562" s="62">
        <v>1</v>
      </c>
      <c r="N562" s="60">
        <v>16</v>
      </c>
      <c r="O562" s="8" t="s">
        <v>14</v>
      </c>
      <c r="P562" s="9">
        <f t="shared" si="75"/>
        <v>0.41666666666666669</v>
      </c>
      <c r="Q562" s="9">
        <f t="shared" si="76"/>
        <v>0.41666666666666669</v>
      </c>
      <c r="R562" s="114">
        <v>0</v>
      </c>
      <c r="S562" s="59">
        <f t="shared" si="77"/>
        <v>0.41666666666666669</v>
      </c>
      <c r="T562" s="10">
        <f t="shared" si="78"/>
        <v>0.41666666666666669</v>
      </c>
      <c r="U562" s="55">
        <f t="shared" si="74"/>
        <v>1.01</v>
      </c>
    </row>
    <row r="563" spans="10:21" x14ac:dyDescent="0.25">
      <c r="J563" s="174" t="s">
        <v>84</v>
      </c>
      <c r="K563" s="174"/>
      <c r="M563" s="62">
        <v>1</v>
      </c>
      <c r="N563" s="60">
        <v>15</v>
      </c>
      <c r="O563" s="8" t="s">
        <v>14</v>
      </c>
      <c r="P563" s="9">
        <f t="shared" si="75"/>
        <v>0.41666666666666669</v>
      </c>
      <c r="Q563" s="9">
        <f t="shared" si="76"/>
        <v>0.41666666666666669</v>
      </c>
      <c r="R563" s="114">
        <v>0</v>
      </c>
      <c r="S563" s="59">
        <f t="shared" si="77"/>
        <v>0.41666666666666669</v>
      </c>
      <c r="T563" s="10">
        <f t="shared" si="78"/>
        <v>0.41666666666666669</v>
      </c>
      <c r="U563" s="55">
        <f t="shared" si="74"/>
        <v>1.01</v>
      </c>
    </row>
    <row r="564" spans="10:21" x14ac:dyDescent="0.25">
      <c r="J564" s="174" t="s">
        <v>84</v>
      </c>
      <c r="K564" s="174"/>
      <c r="M564" s="62">
        <v>1</v>
      </c>
      <c r="N564" s="60">
        <v>14</v>
      </c>
      <c r="O564" s="8" t="s">
        <v>14</v>
      </c>
      <c r="P564" s="9">
        <f t="shared" si="75"/>
        <v>0.41666666666666669</v>
      </c>
      <c r="Q564" s="9">
        <f t="shared" si="76"/>
        <v>0.41666666666666669</v>
      </c>
      <c r="R564" s="114">
        <v>0</v>
      </c>
      <c r="S564" s="59">
        <f t="shared" si="77"/>
        <v>0.41666666666666669</v>
      </c>
      <c r="T564" s="10">
        <f t="shared" si="78"/>
        <v>0.41666666666666669</v>
      </c>
      <c r="U564" s="55">
        <f t="shared" si="74"/>
        <v>1.01</v>
      </c>
    </row>
    <row r="565" spans="10:21" x14ac:dyDescent="0.25">
      <c r="J565" s="174" t="s">
        <v>84</v>
      </c>
      <c r="K565" s="174"/>
      <c r="M565" s="62">
        <v>1</v>
      </c>
      <c r="N565" s="60">
        <v>13</v>
      </c>
      <c r="O565" s="8" t="s">
        <v>14</v>
      </c>
      <c r="P565" s="9">
        <f t="shared" si="75"/>
        <v>0.41666666666666669</v>
      </c>
      <c r="Q565" s="9">
        <f t="shared" si="76"/>
        <v>0.41666666666666669</v>
      </c>
      <c r="R565" s="114">
        <v>0</v>
      </c>
      <c r="S565" s="59">
        <f t="shared" si="77"/>
        <v>0.41666666666666669</v>
      </c>
      <c r="T565" s="10">
        <f t="shared" si="78"/>
        <v>0.41666666666666669</v>
      </c>
      <c r="U565" s="55">
        <f t="shared" si="74"/>
        <v>1.01</v>
      </c>
    </row>
    <row r="566" spans="10:21" x14ac:dyDescent="0.25">
      <c r="J566" s="174" t="s">
        <v>84</v>
      </c>
      <c r="K566" s="174"/>
      <c r="M566" s="62">
        <v>1</v>
      </c>
      <c r="N566" s="60">
        <v>12</v>
      </c>
      <c r="O566" s="8" t="s">
        <v>14</v>
      </c>
      <c r="P566" s="9">
        <f t="shared" si="75"/>
        <v>0.41666666666666669</v>
      </c>
      <c r="Q566" s="9">
        <f t="shared" si="76"/>
        <v>0.41666666666666669</v>
      </c>
      <c r="R566" s="114">
        <v>0</v>
      </c>
      <c r="S566" s="59">
        <f t="shared" si="77"/>
        <v>0.41666666666666669</v>
      </c>
      <c r="T566" s="10">
        <f t="shared" si="78"/>
        <v>0.41666666666666669</v>
      </c>
      <c r="U566" s="55">
        <f t="shared" si="74"/>
        <v>1.01</v>
      </c>
    </row>
    <row r="567" spans="10:21" x14ac:dyDescent="0.25">
      <c r="J567" s="174" t="s">
        <v>84</v>
      </c>
      <c r="K567" s="174"/>
      <c r="M567" s="62">
        <v>1</v>
      </c>
      <c r="N567" s="60">
        <v>11</v>
      </c>
      <c r="O567" s="8" t="s">
        <v>14</v>
      </c>
      <c r="P567" s="9">
        <f t="shared" si="75"/>
        <v>0.41666666666666669</v>
      </c>
      <c r="Q567" s="9">
        <f t="shared" si="76"/>
        <v>0.41666666666666669</v>
      </c>
      <c r="R567" s="114">
        <v>0</v>
      </c>
      <c r="S567" s="59">
        <f t="shared" si="77"/>
        <v>0.41666666666666669</v>
      </c>
      <c r="T567" s="10">
        <f t="shared" si="78"/>
        <v>0.41666666666666669</v>
      </c>
      <c r="U567" s="55">
        <f t="shared" si="74"/>
        <v>1.01</v>
      </c>
    </row>
    <row r="568" spans="10:21" x14ac:dyDescent="0.25">
      <c r="J568" s="174" t="s">
        <v>84</v>
      </c>
      <c r="K568" s="174"/>
      <c r="M568" s="62">
        <v>1</v>
      </c>
      <c r="N568" s="60">
        <v>10</v>
      </c>
      <c r="O568" s="8" t="s">
        <v>14</v>
      </c>
      <c r="P568" s="9">
        <f t="shared" si="75"/>
        <v>0.41666666666666669</v>
      </c>
      <c r="Q568" s="9">
        <f t="shared" si="76"/>
        <v>0.41666666666666669</v>
      </c>
      <c r="R568" s="114">
        <v>0</v>
      </c>
      <c r="S568" s="59">
        <f t="shared" si="77"/>
        <v>0.41666666666666669</v>
      </c>
      <c r="T568" s="10">
        <f t="shared" si="78"/>
        <v>0.41666666666666669</v>
      </c>
      <c r="U568" s="55">
        <f t="shared" si="74"/>
        <v>1.01</v>
      </c>
    </row>
    <row r="569" spans="10:21" x14ac:dyDescent="0.25">
      <c r="J569" s="174" t="s">
        <v>84</v>
      </c>
      <c r="K569" s="174"/>
      <c r="M569" s="62">
        <v>1</v>
      </c>
      <c r="N569" s="60">
        <v>9</v>
      </c>
      <c r="O569" s="8" t="s">
        <v>14</v>
      </c>
      <c r="P569" s="9">
        <f t="shared" si="75"/>
        <v>0.41666666666666669</v>
      </c>
      <c r="Q569" s="9">
        <f t="shared" si="76"/>
        <v>0.41666666666666669</v>
      </c>
      <c r="R569" s="114">
        <v>0</v>
      </c>
      <c r="S569" s="59">
        <f t="shared" si="77"/>
        <v>0.41666666666666669</v>
      </c>
      <c r="T569" s="10">
        <f t="shared" si="78"/>
        <v>0.41666666666666669</v>
      </c>
      <c r="U569" s="55">
        <f t="shared" si="74"/>
        <v>1.01</v>
      </c>
    </row>
    <row r="570" spans="10:21" x14ac:dyDescent="0.25">
      <c r="J570" s="174" t="s">
        <v>84</v>
      </c>
      <c r="K570" s="174"/>
      <c r="M570" s="62">
        <v>1</v>
      </c>
      <c r="N570" s="60">
        <v>8</v>
      </c>
      <c r="O570" s="8" t="s">
        <v>14</v>
      </c>
      <c r="P570" s="9">
        <f t="shared" si="75"/>
        <v>0.41666666666666669</v>
      </c>
      <c r="Q570" s="9">
        <f t="shared" si="76"/>
        <v>0.41666666666666669</v>
      </c>
      <c r="R570" s="114">
        <v>0</v>
      </c>
      <c r="S570" s="59">
        <f t="shared" si="77"/>
        <v>0.41666666666666669</v>
      </c>
      <c r="T570" s="10">
        <f t="shared" si="78"/>
        <v>0.41666666666666669</v>
      </c>
      <c r="U570" s="55">
        <f t="shared" si="74"/>
        <v>1.01</v>
      </c>
    </row>
    <row r="571" spans="10:21" x14ac:dyDescent="0.25">
      <c r="J571" s="174" t="s">
        <v>84</v>
      </c>
      <c r="K571" s="174"/>
      <c r="M571" s="62">
        <v>1</v>
      </c>
      <c r="N571" s="60">
        <v>7</v>
      </c>
      <c r="O571" s="8" t="s">
        <v>14</v>
      </c>
      <c r="P571" s="9">
        <f t="shared" si="75"/>
        <v>0.41666666666666669</v>
      </c>
      <c r="Q571" s="9">
        <f t="shared" si="76"/>
        <v>0.41666666666666669</v>
      </c>
      <c r="R571" s="114">
        <v>0</v>
      </c>
      <c r="S571" s="59">
        <f t="shared" si="77"/>
        <v>0.41666666666666669</v>
      </c>
      <c r="T571" s="10">
        <f t="shared" si="78"/>
        <v>0.41666666666666669</v>
      </c>
      <c r="U571" s="55">
        <f t="shared" si="74"/>
        <v>1.01</v>
      </c>
    </row>
    <row r="572" spans="10:21" x14ac:dyDescent="0.25">
      <c r="J572" s="174" t="s">
        <v>84</v>
      </c>
      <c r="K572" s="174"/>
      <c r="M572" s="62">
        <v>1</v>
      </c>
      <c r="N572" s="60">
        <v>6</v>
      </c>
      <c r="O572" s="8" t="s">
        <v>14</v>
      </c>
      <c r="P572" s="9">
        <f t="shared" si="75"/>
        <v>0.41666666666666669</v>
      </c>
      <c r="Q572" s="9">
        <f t="shared" si="76"/>
        <v>0.41666666666666669</v>
      </c>
      <c r="R572" s="114">
        <v>0</v>
      </c>
      <c r="S572" s="59">
        <f t="shared" si="77"/>
        <v>0.41666666666666669</v>
      </c>
      <c r="T572" s="10">
        <f t="shared" si="78"/>
        <v>0.41666666666666669</v>
      </c>
      <c r="U572" s="55">
        <f t="shared" si="74"/>
        <v>1.01</v>
      </c>
    </row>
    <row r="573" spans="10:21" x14ac:dyDescent="0.25">
      <c r="J573" s="174" t="s">
        <v>84</v>
      </c>
      <c r="K573" s="174"/>
      <c r="M573" s="62">
        <v>1</v>
      </c>
      <c r="N573" s="60">
        <v>5</v>
      </c>
      <c r="O573" s="8" t="s">
        <v>14</v>
      </c>
      <c r="P573" s="9">
        <f t="shared" si="75"/>
        <v>0.41666666666666669</v>
      </c>
      <c r="Q573" s="9">
        <f t="shared" si="76"/>
        <v>0.41666666666666669</v>
      </c>
      <c r="R573" s="114">
        <v>0</v>
      </c>
      <c r="S573" s="59">
        <f t="shared" si="77"/>
        <v>0.41666666666666669</v>
      </c>
      <c r="T573" s="10">
        <f t="shared" si="78"/>
        <v>0.41666666666666669</v>
      </c>
      <c r="U573" s="55">
        <f t="shared" si="74"/>
        <v>1.01</v>
      </c>
    </row>
    <row r="574" spans="10:21" x14ac:dyDescent="0.25">
      <c r="J574" s="174" t="s">
        <v>84</v>
      </c>
      <c r="K574" s="174"/>
      <c r="M574" s="62">
        <v>1</v>
      </c>
      <c r="N574" s="60">
        <v>4</v>
      </c>
      <c r="O574" s="8" t="s">
        <v>14</v>
      </c>
      <c r="P574" s="9">
        <f t="shared" si="75"/>
        <v>0.41666666666666669</v>
      </c>
      <c r="Q574" s="9">
        <f t="shared" si="76"/>
        <v>0.41666666666666669</v>
      </c>
      <c r="R574" s="114">
        <v>0</v>
      </c>
      <c r="S574" s="59">
        <f t="shared" si="77"/>
        <v>0.41666666666666669</v>
      </c>
      <c r="T574" s="10">
        <f t="shared" si="78"/>
        <v>0.41666666666666669</v>
      </c>
      <c r="U574" s="55">
        <f t="shared" si="74"/>
        <v>1.01</v>
      </c>
    </row>
    <row r="575" spans="10:21" x14ac:dyDescent="0.25">
      <c r="J575" s="174" t="s">
        <v>84</v>
      </c>
      <c r="K575" s="174"/>
      <c r="M575" s="62">
        <v>1</v>
      </c>
      <c r="N575" s="60">
        <v>3</v>
      </c>
      <c r="O575" s="8" t="s">
        <v>14</v>
      </c>
      <c r="P575" s="9">
        <f t="shared" si="75"/>
        <v>0.41666666666666669</v>
      </c>
      <c r="Q575" s="9">
        <f t="shared" si="76"/>
        <v>0.41666666666666669</v>
      </c>
      <c r="R575" s="114">
        <v>0</v>
      </c>
      <c r="S575" s="59">
        <f t="shared" si="77"/>
        <v>0.41666666666666669</v>
      </c>
      <c r="T575" s="10">
        <f t="shared" si="78"/>
        <v>0.41666666666666669</v>
      </c>
      <c r="U575" s="55">
        <f t="shared" si="74"/>
        <v>1.01</v>
      </c>
    </row>
    <row r="576" spans="10:21" x14ac:dyDescent="0.25">
      <c r="J576" s="174" t="s">
        <v>84</v>
      </c>
      <c r="K576" s="174"/>
      <c r="M576" s="62">
        <v>1</v>
      </c>
      <c r="N576" s="60">
        <v>2</v>
      </c>
      <c r="O576" s="8" t="s">
        <v>14</v>
      </c>
      <c r="P576" s="9">
        <f t="shared" si="75"/>
        <v>0.41666666666666669</v>
      </c>
      <c r="Q576" s="9">
        <f t="shared" si="76"/>
        <v>0.41666666666666669</v>
      </c>
      <c r="R576" s="114">
        <v>0</v>
      </c>
      <c r="S576" s="59">
        <f t="shared" si="77"/>
        <v>0.41666666666666669</v>
      </c>
      <c r="T576" s="10">
        <f t="shared" si="78"/>
        <v>0.41666666666666669</v>
      </c>
      <c r="U576" s="55">
        <f t="shared" si="74"/>
        <v>1.01</v>
      </c>
    </row>
    <row r="577" spans="10:21" ht="15.75" thickBot="1" x14ac:dyDescent="0.3">
      <c r="J577" s="174" t="s">
        <v>84</v>
      </c>
      <c r="K577" s="174"/>
      <c r="M577" s="62">
        <v>1</v>
      </c>
      <c r="N577" s="60">
        <v>1</v>
      </c>
      <c r="O577" s="8" t="s">
        <v>14</v>
      </c>
      <c r="P577" s="9">
        <f t="shared" si="75"/>
        <v>0.41666666666666669</v>
      </c>
      <c r="Q577" s="9">
        <f t="shared" si="76"/>
        <v>0.41666666666666669</v>
      </c>
      <c r="R577" s="114">
        <v>0</v>
      </c>
      <c r="S577" s="59">
        <f t="shared" si="77"/>
        <v>0.41666666666666669</v>
      </c>
      <c r="T577" s="10">
        <f t="shared" si="78"/>
        <v>0.41666666666666669</v>
      </c>
      <c r="U577" s="55">
        <f t="shared" si="74"/>
        <v>1.01</v>
      </c>
    </row>
    <row r="578" spans="10:21" ht="15.75" thickBot="1" x14ac:dyDescent="0.3">
      <c r="J578" s="175" t="s">
        <v>84</v>
      </c>
      <c r="K578" s="176"/>
      <c r="L578" s="75" t="s">
        <v>75</v>
      </c>
      <c r="M578" s="60">
        <v>1</v>
      </c>
      <c r="N578" s="60">
        <v>1</v>
      </c>
      <c r="O578" s="8" t="s">
        <v>14</v>
      </c>
      <c r="P578" s="9">
        <f t="shared" si="75"/>
        <v>0.41666666666666669</v>
      </c>
      <c r="Q578" s="9">
        <f t="shared" si="76"/>
        <v>0.41666666666666669</v>
      </c>
      <c r="R578" s="115">
        <v>0.1</v>
      </c>
      <c r="S578" s="59">
        <f t="shared" si="77"/>
        <v>0.51666666666666672</v>
      </c>
      <c r="T578" s="10">
        <f t="shared" si="78"/>
        <v>0.51666666666666672</v>
      </c>
      <c r="U578" s="55">
        <f t="shared" si="74"/>
        <v>1.0124</v>
      </c>
    </row>
  </sheetData>
  <mergeCells count="588">
    <mergeCell ref="J211:K211"/>
    <mergeCell ref="J214:K214"/>
    <mergeCell ref="J212:K212"/>
    <mergeCell ref="J213:K213"/>
    <mergeCell ref="J62:K62"/>
    <mergeCell ref="T4:T5"/>
    <mergeCell ref="U4:U5"/>
    <mergeCell ref="B1:U1"/>
    <mergeCell ref="G3:G5"/>
    <mergeCell ref="H3:H5"/>
    <mergeCell ref="I3:I5"/>
    <mergeCell ref="J3:O3"/>
    <mergeCell ref="J4:J5"/>
    <mergeCell ref="K4:L4"/>
    <mergeCell ref="M4:M6"/>
    <mergeCell ref="S4:S6"/>
    <mergeCell ref="P4:P6"/>
    <mergeCell ref="R4:R6"/>
    <mergeCell ref="Q4:Q6"/>
    <mergeCell ref="N4:N6"/>
    <mergeCell ref="J20:K20"/>
    <mergeCell ref="J8:K8"/>
    <mergeCell ref="J13:K13"/>
    <mergeCell ref="J14:K14"/>
    <mergeCell ref="J9:K9"/>
    <mergeCell ref="J10:K10"/>
    <mergeCell ref="J11:K11"/>
    <mergeCell ref="J12:K12"/>
    <mergeCell ref="O5:O6"/>
    <mergeCell ref="J35:K35"/>
    <mergeCell ref="J36:K36"/>
    <mergeCell ref="J37:K37"/>
    <mergeCell ref="J38:K38"/>
    <mergeCell ref="J7:K7"/>
    <mergeCell ref="J23:K23"/>
    <mergeCell ref="J24:K24"/>
    <mergeCell ref="J25:K25"/>
    <mergeCell ref="J34:K34"/>
    <mergeCell ref="J26:K26"/>
    <mergeCell ref="J27:K27"/>
    <mergeCell ref="J28:K28"/>
    <mergeCell ref="J29:K29"/>
    <mergeCell ref="J30:K30"/>
    <mergeCell ref="J31:K31"/>
    <mergeCell ref="J32:K32"/>
    <mergeCell ref="J33:K33"/>
    <mergeCell ref="J15:K15"/>
    <mergeCell ref="J17:K17"/>
    <mergeCell ref="J155:K155"/>
    <mergeCell ref="J154:K154"/>
    <mergeCell ref="J156:K156"/>
    <mergeCell ref="J151:K151"/>
    <mergeCell ref="J159:K159"/>
    <mergeCell ref="J16:K16"/>
    <mergeCell ref="J21:K21"/>
    <mergeCell ref="J22:K22"/>
    <mergeCell ref="J18:K18"/>
    <mergeCell ref="J19:K19"/>
    <mergeCell ref="J39:K39"/>
    <mergeCell ref="J40:K40"/>
    <mergeCell ref="J47:K47"/>
    <mergeCell ref="J41:K41"/>
    <mergeCell ref="J42:K42"/>
    <mergeCell ref="J43:K43"/>
    <mergeCell ref="J44:K44"/>
    <mergeCell ref="J45:K45"/>
    <mergeCell ref="J46:K46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95:K195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69:K169"/>
    <mergeCell ref="J170:K170"/>
    <mergeCell ref="J171:K171"/>
    <mergeCell ref="J172:K172"/>
    <mergeCell ref="J173:K173"/>
    <mergeCell ref="J174:K174"/>
    <mergeCell ref="J175:K175"/>
    <mergeCell ref="J125:K125"/>
    <mergeCell ref="J126:K126"/>
    <mergeCell ref="J127:K127"/>
    <mergeCell ref="J128:K128"/>
    <mergeCell ref="J129:K129"/>
    <mergeCell ref="J130:K130"/>
    <mergeCell ref="J123:K123"/>
    <mergeCell ref="J56:K56"/>
    <mergeCell ref="J57:K57"/>
    <mergeCell ref="J58:K58"/>
    <mergeCell ref="J59:K59"/>
    <mergeCell ref="J67:K67"/>
    <mergeCell ref="J68:K68"/>
    <mergeCell ref="J91:K91"/>
    <mergeCell ref="J94:K94"/>
    <mergeCell ref="J95:K95"/>
    <mergeCell ref="J96:K96"/>
    <mergeCell ref="J97:K97"/>
    <mergeCell ref="J98:K98"/>
    <mergeCell ref="J114:K114"/>
    <mergeCell ref="J115:K115"/>
    <mergeCell ref="J116:K116"/>
    <mergeCell ref="J48:K48"/>
    <mergeCell ref="J49:K49"/>
    <mergeCell ref="J50:K50"/>
    <mergeCell ref="J51:K51"/>
    <mergeCell ref="J52:K52"/>
    <mergeCell ref="J53:K53"/>
    <mergeCell ref="J54:K54"/>
    <mergeCell ref="J55:K55"/>
    <mergeCell ref="J86:K86"/>
    <mergeCell ref="J87:K87"/>
    <mergeCell ref="J117:K117"/>
    <mergeCell ref="J118:K118"/>
    <mergeCell ref="J119:K119"/>
    <mergeCell ref="J120:K120"/>
    <mergeCell ref="J121:K121"/>
    <mergeCell ref="J122:K122"/>
    <mergeCell ref="J107:K107"/>
    <mergeCell ref="J108:K108"/>
    <mergeCell ref="J109:K109"/>
    <mergeCell ref="J110:K110"/>
    <mergeCell ref="J111:K111"/>
    <mergeCell ref="J112:K112"/>
    <mergeCell ref="J113:K113"/>
    <mergeCell ref="J88:K88"/>
    <mergeCell ref="J89:K89"/>
    <mergeCell ref="J90:K90"/>
    <mergeCell ref="J99:K99"/>
    <mergeCell ref="J100:K100"/>
    <mergeCell ref="J101:K101"/>
    <mergeCell ref="J102:K102"/>
    <mergeCell ref="J92:K92"/>
    <mergeCell ref="J93:K93"/>
    <mergeCell ref="J243:K243"/>
    <mergeCell ref="J244:K244"/>
    <mergeCell ref="J245:K245"/>
    <mergeCell ref="J246:K246"/>
    <mergeCell ref="J247:K247"/>
    <mergeCell ref="J248:K248"/>
    <mergeCell ref="J249:K249"/>
    <mergeCell ref="J103:K103"/>
    <mergeCell ref="J104:K104"/>
    <mergeCell ref="J105:K105"/>
    <mergeCell ref="J106:K106"/>
    <mergeCell ref="J139:K139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140:K140"/>
    <mergeCell ref="J141:K141"/>
    <mergeCell ref="J142:K142"/>
    <mergeCell ref="J124:K124"/>
    <mergeCell ref="J60:K60"/>
    <mergeCell ref="J61:K61"/>
    <mergeCell ref="J63:K63"/>
    <mergeCell ref="J64:K64"/>
    <mergeCell ref="J65:K65"/>
    <mergeCell ref="J66:K66"/>
    <mergeCell ref="J83:K83"/>
    <mergeCell ref="J84:K84"/>
    <mergeCell ref="J85:K85"/>
    <mergeCell ref="J81:K81"/>
    <mergeCell ref="J82:K82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143:K143"/>
    <mergeCell ref="J144:K144"/>
    <mergeCell ref="J146:K146"/>
    <mergeCell ref="J147:K147"/>
    <mergeCell ref="J148:K148"/>
    <mergeCell ref="J149:K149"/>
    <mergeCell ref="J150:K150"/>
    <mergeCell ref="J204:K204"/>
    <mergeCell ref="J205:K205"/>
    <mergeCell ref="J198:K198"/>
    <mergeCell ref="J199:K199"/>
    <mergeCell ref="J201:K201"/>
    <mergeCell ref="J202:K202"/>
    <mergeCell ref="J203:K203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200:K200"/>
    <mergeCell ref="J206:K206"/>
    <mergeCell ref="J207:K207"/>
    <mergeCell ref="J208:K208"/>
    <mergeCell ref="J145:K145"/>
    <mergeCell ref="J209:K209"/>
    <mergeCell ref="J210:K210"/>
    <mergeCell ref="J196:K196"/>
    <mergeCell ref="J197:K197"/>
    <mergeCell ref="J223:K223"/>
    <mergeCell ref="J176:K176"/>
    <mergeCell ref="J177:K177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2:K152"/>
    <mergeCell ref="J153:K15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66:K266"/>
    <mergeCell ref="J267:K267"/>
    <mergeCell ref="J268:K268"/>
    <mergeCell ref="J269:K269"/>
    <mergeCell ref="J270:K270"/>
    <mergeCell ref="J271:K271"/>
    <mergeCell ref="J272:K272"/>
    <mergeCell ref="J259:K259"/>
    <mergeCell ref="J260:K260"/>
    <mergeCell ref="J261:K261"/>
    <mergeCell ref="J262:K262"/>
    <mergeCell ref="J263:K263"/>
    <mergeCell ref="J264:K264"/>
    <mergeCell ref="J265:K265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0:K250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578:K578"/>
    <mergeCell ref="J307:K307"/>
    <mergeCell ref="J308:K308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83:K383"/>
    <mergeCell ref="J384:K384"/>
    <mergeCell ref="J385:K385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95:K395"/>
    <mergeCell ref="J396:K396"/>
    <mergeCell ref="J397:K397"/>
    <mergeCell ref="J398:K398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77:K377"/>
    <mergeCell ref="J378:K378"/>
    <mergeCell ref="J379:K379"/>
    <mergeCell ref="J380:K380"/>
    <mergeCell ref="J381:K381"/>
    <mergeCell ref="J382:K382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58:K558"/>
    <mergeCell ref="J559:K559"/>
    <mergeCell ref="J560:K560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</mergeCells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8" tint="0.59999389629810485"/>
    <pageSetUpPr fitToPage="1"/>
  </sheetPr>
  <dimension ref="B1:AC111"/>
  <sheetViews>
    <sheetView topLeftCell="E1" zoomScaleNormal="100" workbookViewId="0">
      <selection activeCell="W8" sqref="W8"/>
    </sheetView>
  </sheetViews>
  <sheetFormatPr defaultRowHeight="15" x14ac:dyDescent="0.25"/>
  <cols>
    <col min="1" max="1" width="2.7109375" customWidth="1"/>
    <col min="2" max="2" width="10.5703125" bestFit="1" customWidth="1"/>
    <col min="3" max="3" width="10.5703125" customWidth="1"/>
    <col min="4" max="6" width="10.5703125" style="16" customWidth="1"/>
    <col min="8" max="8" width="11.7109375" bestFit="1" customWidth="1"/>
    <col min="9" max="9" width="5.140625" bestFit="1" customWidth="1"/>
    <col min="14" max="14" width="11.140625" style="71" customWidth="1"/>
    <col min="15" max="15" width="9.140625" style="16"/>
    <col min="19" max="19" width="9.140625" style="16"/>
    <col min="21" max="21" width="9.140625" style="119"/>
  </cols>
  <sheetData>
    <row r="1" spans="2:29" x14ac:dyDescent="0.25">
      <c r="B1" s="168" t="s">
        <v>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"/>
      <c r="W1" s="1"/>
      <c r="X1" s="1"/>
      <c r="Y1" s="1"/>
      <c r="Z1" s="1"/>
      <c r="AA1" s="1"/>
      <c r="AB1" s="1"/>
      <c r="AC1" s="1"/>
    </row>
    <row r="2" spans="2:29" ht="15.75" thickBot="1" x14ac:dyDescent="0.3"/>
    <row r="3" spans="2:29" x14ac:dyDescent="0.25">
      <c r="G3" s="218" t="s">
        <v>1</v>
      </c>
      <c r="H3" s="220" t="s">
        <v>2</v>
      </c>
      <c r="I3" s="220" t="s">
        <v>3</v>
      </c>
      <c r="J3" s="233" t="s">
        <v>4</v>
      </c>
      <c r="K3" s="234"/>
      <c r="L3" s="234"/>
      <c r="M3" s="234"/>
      <c r="N3" s="234"/>
      <c r="O3" s="235"/>
      <c r="P3" s="78"/>
      <c r="Q3" s="78"/>
      <c r="R3" s="79"/>
      <c r="S3" s="93"/>
      <c r="T3" s="79"/>
      <c r="U3" s="120"/>
    </row>
    <row r="4" spans="2:29" ht="15" customHeight="1" x14ac:dyDescent="0.25">
      <c r="G4" s="219"/>
      <c r="H4" s="169"/>
      <c r="I4" s="169"/>
      <c r="J4" s="171" t="s">
        <v>72</v>
      </c>
      <c r="K4" s="237" t="s">
        <v>5</v>
      </c>
      <c r="L4" s="238"/>
      <c r="M4" s="222" t="s">
        <v>82</v>
      </c>
      <c r="N4" s="239" t="s">
        <v>83</v>
      </c>
      <c r="O4" s="58" t="s">
        <v>6</v>
      </c>
      <c r="P4" s="172" t="s">
        <v>69</v>
      </c>
      <c r="Q4" s="172" t="s">
        <v>71</v>
      </c>
      <c r="R4" s="172" t="s">
        <v>79</v>
      </c>
      <c r="S4" s="222" t="s">
        <v>73</v>
      </c>
      <c r="T4" s="165" t="s">
        <v>99</v>
      </c>
      <c r="U4" s="242" t="s">
        <v>86</v>
      </c>
    </row>
    <row r="5" spans="2:29" ht="30" customHeight="1" x14ac:dyDescent="0.25">
      <c r="G5" s="219"/>
      <c r="H5" s="169"/>
      <c r="I5" s="169"/>
      <c r="J5" s="236"/>
      <c r="K5" s="2" t="s">
        <v>7</v>
      </c>
      <c r="L5" s="3" t="s">
        <v>8</v>
      </c>
      <c r="M5" s="223"/>
      <c r="N5" s="240"/>
      <c r="O5" s="167" t="s">
        <v>9</v>
      </c>
      <c r="P5" s="173"/>
      <c r="Q5" s="173"/>
      <c r="R5" s="173"/>
      <c r="S5" s="223"/>
      <c r="T5" s="166"/>
      <c r="U5" s="243"/>
    </row>
    <row r="6" spans="2:29" ht="15.75" thickBot="1" x14ac:dyDescent="0.3">
      <c r="G6" s="81"/>
      <c r="H6" s="82" t="s">
        <v>10</v>
      </c>
      <c r="I6" s="82" t="s">
        <v>11</v>
      </c>
      <c r="J6" s="83">
        <v>0.41699999999999998</v>
      </c>
      <c r="K6" s="84">
        <v>0.02</v>
      </c>
      <c r="L6" s="84">
        <v>0.01</v>
      </c>
      <c r="M6" s="224"/>
      <c r="N6" s="241"/>
      <c r="O6" s="216"/>
      <c r="P6" s="225"/>
      <c r="Q6" s="225"/>
      <c r="R6" s="225"/>
      <c r="S6" s="224"/>
      <c r="T6" s="245"/>
      <c r="U6" s="244"/>
    </row>
    <row r="7" spans="2:29" ht="15.75" thickBot="1" x14ac:dyDescent="0.3">
      <c r="B7" s="98" t="s">
        <v>164</v>
      </c>
      <c r="C7" s="11"/>
      <c r="D7" s="65"/>
      <c r="E7" s="65"/>
      <c r="F7" s="65"/>
      <c r="H7" s="76">
        <v>6</v>
      </c>
      <c r="I7" s="76" t="s">
        <v>157</v>
      </c>
      <c r="J7" s="189" t="s">
        <v>171</v>
      </c>
      <c r="K7" s="190"/>
      <c r="L7" s="106" t="s">
        <v>76</v>
      </c>
      <c r="M7" s="62">
        <v>1</v>
      </c>
      <c r="N7" s="121">
        <v>30</v>
      </c>
      <c r="O7" s="8" t="s">
        <v>14</v>
      </c>
      <c r="P7" s="9">
        <v>-3.2407407407407402E-3</v>
      </c>
      <c r="Q7" s="9">
        <v>1.2949074074074085</v>
      </c>
      <c r="R7" s="117">
        <v>0</v>
      </c>
      <c r="S7" s="59">
        <v>1.2949074074074085</v>
      </c>
      <c r="T7" s="10">
        <v>1.2949074074074085</v>
      </c>
      <c r="U7" s="55">
        <v>1.0310777777777778</v>
      </c>
    </row>
    <row r="8" spans="2:29" ht="15" customHeight="1" thickBot="1" x14ac:dyDescent="0.3">
      <c r="B8" s="98" t="s">
        <v>165</v>
      </c>
      <c r="C8" s="11"/>
      <c r="D8" s="65"/>
      <c r="E8" s="65"/>
      <c r="F8" s="65"/>
      <c r="H8" s="76">
        <v>6</v>
      </c>
      <c r="I8" s="76" t="s">
        <v>158</v>
      </c>
      <c r="J8" s="191" t="s">
        <v>171</v>
      </c>
      <c r="K8" s="192"/>
      <c r="L8" s="96" t="s">
        <v>74</v>
      </c>
      <c r="M8" s="60">
        <v>1</v>
      </c>
      <c r="N8" s="145">
        <v>29</v>
      </c>
      <c r="O8" s="8" t="s">
        <v>14</v>
      </c>
      <c r="P8" s="9">
        <f t="shared" ref="P8" si="0">IF(O8="Jalan",IF(T7&gt;=$J$6,IF(T7+(-$K$6*M8)&lt;$J$6,$J$6,-$K$6*M8),IF(T7&lt;=$J$6,IF(T7+(+$L$6*M8)&lt;$J$6,+$L$6*M8,$J$6))),IF(T7&gt;0,+$L$6*M8,-$L$6*M8))</f>
        <v>-0.02</v>
      </c>
      <c r="Q8" s="9">
        <f t="shared" ref="Q8" si="1">IF(P8=$J$6,$J$6,T7+P8)</f>
        <v>1.2749074074074085</v>
      </c>
      <c r="R8" s="118">
        <v>0</v>
      </c>
      <c r="S8" s="59">
        <f t="shared" ref="S8" si="2">Q8+R8</f>
        <v>1.2749074074074085</v>
      </c>
      <c r="T8" s="10">
        <f t="shared" ref="T8" si="3">S8</f>
        <v>1.2749074074074085</v>
      </c>
      <c r="U8" s="55">
        <f t="shared" ref="U8" si="4">1+(T8/$J$6)/100</f>
        <v>1.0305733191224797</v>
      </c>
    </row>
    <row r="9" spans="2:29" ht="15" customHeight="1" x14ac:dyDescent="0.25">
      <c r="B9" s="7"/>
      <c r="C9" s="99" t="s">
        <v>15</v>
      </c>
      <c r="G9" s="12"/>
      <c r="H9" s="76">
        <v>6</v>
      </c>
      <c r="I9" s="76" t="s">
        <v>159</v>
      </c>
      <c r="J9" s="191" t="s">
        <v>171</v>
      </c>
      <c r="K9" s="192"/>
      <c r="L9" s="95"/>
      <c r="M9" s="60">
        <v>1</v>
      </c>
      <c r="N9" s="145">
        <v>28</v>
      </c>
      <c r="O9" s="8" t="s">
        <v>14</v>
      </c>
      <c r="P9" s="9">
        <f t="shared" ref="P9:P36" si="5">IF(O9="Jalan",IF(T8&gt;=$J$6,IF(T8+(-$K$6*M9)&lt;$J$6,$J$6,-$K$6*M9),IF(T8&lt;=$J$6,IF(T8+(+$L$6*M9)&lt;$J$6,+$L$6*M9,$J$6))),IF(T8&gt;0,+$L$6*M9,-$L$6*M9))</f>
        <v>-0.02</v>
      </c>
      <c r="Q9" s="9">
        <f t="shared" ref="Q9:Q36" si="6">IF(P9=$J$6,$J$6,T8+P9)</f>
        <v>1.2549074074074085</v>
      </c>
      <c r="R9" s="117">
        <v>0</v>
      </c>
      <c r="S9" s="59">
        <f t="shared" ref="S9:S36" si="7">Q9+R9</f>
        <v>1.2549074074074085</v>
      </c>
      <c r="T9" s="10">
        <f t="shared" ref="T9:T36" si="8">S9</f>
        <v>1.2549074074074085</v>
      </c>
      <c r="U9" s="55">
        <f t="shared" ref="U9:U36" si="9">1+(T9/$J$6)/100</f>
        <v>1.0300937028155255</v>
      </c>
    </row>
    <row r="10" spans="2:29" x14ac:dyDescent="0.25">
      <c r="B10" s="13"/>
      <c r="C10" s="99" t="s">
        <v>16</v>
      </c>
      <c r="G10" s="12"/>
      <c r="H10" s="76">
        <v>6</v>
      </c>
      <c r="I10" s="76" t="s">
        <v>160</v>
      </c>
      <c r="J10" s="191" t="s">
        <v>171</v>
      </c>
      <c r="K10" s="192"/>
      <c r="L10" s="95"/>
      <c r="M10" s="60">
        <v>1</v>
      </c>
      <c r="N10" s="145">
        <v>27</v>
      </c>
      <c r="O10" s="8" t="s">
        <v>14</v>
      </c>
      <c r="P10" s="9">
        <f t="shared" si="5"/>
        <v>-0.02</v>
      </c>
      <c r="Q10" s="9">
        <f t="shared" si="6"/>
        <v>1.2349074074074085</v>
      </c>
      <c r="R10" s="117">
        <v>0</v>
      </c>
      <c r="S10" s="59">
        <f t="shared" si="7"/>
        <v>1.2349074074074085</v>
      </c>
      <c r="T10" s="10">
        <f t="shared" si="8"/>
        <v>1.2349074074074085</v>
      </c>
      <c r="U10" s="55">
        <f t="shared" si="9"/>
        <v>1.029614086508571</v>
      </c>
    </row>
    <row r="11" spans="2:29" ht="15.75" thickBot="1" x14ac:dyDescent="0.3">
      <c r="B11" s="14" t="s">
        <v>17</v>
      </c>
      <c r="C11" s="99" t="s">
        <v>18</v>
      </c>
      <c r="D11" s="66"/>
      <c r="E11" s="66"/>
      <c r="F11" s="66"/>
      <c r="H11" s="76">
        <v>6</v>
      </c>
      <c r="I11" s="76" t="s">
        <v>161</v>
      </c>
      <c r="J11" s="191" t="s">
        <v>171</v>
      </c>
      <c r="K11" s="192"/>
      <c r="L11" s="95"/>
      <c r="M11" s="60">
        <v>1</v>
      </c>
      <c r="N11" s="145">
        <v>26</v>
      </c>
      <c r="O11" s="8" t="s">
        <v>14</v>
      </c>
      <c r="P11" s="9">
        <f t="shared" si="5"/>
        <v>-0.02</v>
      </c>
      <c r="Q11" s="9">
        <f t="shared" si="6"/>
        <v>1.2149074074074084</v>
      </c>
      <c r="R11" s="117">
        <v>0</v>
      </c>
      <c r="S11" s="59">
        <f t="shared" si="7"/>
        <v>1.2149074074074084</v>
      </c>
      <c r="T11" s="10">
        <f t="shared" si="8"/>
        <v>1.2149074074074084</v>
      </c>
      <c r="U11" s="55">
        <f t="shared" si="9"/>
        <v>1.0291344702016165</v>
      </c>
    </row>
    <row r="12" spans="2:29" ht="15.75" thickBot="1" x14ac:dyDescent="0.3">
      <c r="B12" s="15"/>
      <c r="C12" s="99" t="s">
        <v>19</v>
      </c>
      <c r="D12" s="24"/>
      <c r="E12" s="24"/>
      <c r="F12" s="24"/>
      <c r="G12" s="12"/>
      <c r="H12" s="76">
        <v>6</v>
      </c>
      <c r="I12" s="76" t="s">
        <v>162</v>
      </c>
      <c r="J12" s="191" t="s">
        <v>171</v>
      </c>
      <c r="K12" s="192"/>
      <c r="L12" s="95"/>
      <c r="M12" s="60">
        <v>1</v>
      </c>
      <c r="N12" s="145">
        <v>25</v>
      </c>
      <c r="O12" s="8" t="s">
        <v>14</v>
      </c>
      <c r="P12" s="9">
        <f t="shared" si="5"/>
        <v>-0.02</v>
      </c>
      <c r="Q12" s="9">
        <f t="shared" si="6"/>
        <v>1.1949074074074084</v>
      </c>
      <c r="R12" s="117">
        <v>0</v>
      </c>
      <c r="S12" s="59">
        <f t="shared" si="7"/>
        <v>1.1949074074074084</v>
      </c>
      <c r="T12" s="10">
        <f t="shared" si="8"/>
        <v>1.1949074074074084</v>
      </c>
      <c r="U12" s="55">
        <f t="shared" si="9"/>
        <v>1.028654853894662</v>
      </c>
    </row>
    <row r="13" spans="2:29" ht="15.75" thickBot="1" x14ac:dyDescent="0.3">
      <c r="B13" s="67"/>
      <c r="C13" s="100" t="s">
        <v>88</v>
      </c>
      <c r="H13" s="76">
        <v>6</v>
      </c>
      <c r="I13" s="76" t="s">
        <v>163</v>
      </c>
      <c r="J13" s="191" t="s">
        <v>171</v>
      </c>
      <c r="K13" s="192"/>
      <c r="L13" s="95"/>
      <c r="M13" s="60">
        <v>1</v>
      </c>
      <c r="N13" s="145">
        <v>24</v>
      </c>
      <c r="O13" s="8" t="s">
        <v>14</v>
      </c>
      <c r="P13" s="9">
        <f t="shared" si="5"/>
        <v>-0.02</v>
      </c>
      <c r="Q13" s="9">
        <f t="shared" si="6"/>
        <v>1.1749074074074084</v>
      </c>
      <c r="R13" s="117">
        <v>0</v>
      </c>
      <c r="S13" s="59">
        <f t="shared" si="7"/>
        <v>1.1749074074074084</v>
      </c>
      <c r="T13" s="10">
        <f t="shared" si="8"/>
        <v>1.1749074074074084</v>
      </c>
      <c r="U13" s="55">
        <f t="shared" si="9"/>
        <v>1.0281752375877076</v>
      </c>
    </row>
    <row r="14" spans="2:29" x14ac:dyDescent="0.25">
      <c r="B14" s="73">
        <v>0</v>
      </c>
      <c r="C14" s="100" t="s">
        <v>185</v>
      </c>
      <c r="H14" s="76">
        <v>6</v>
      </c>
      <c r="I14" s="76" t="s">
        <v>186</v>
      </c>
      <c r="J14" s="191" t="s">
        <v>171</v>
      </c>
      <c r="K14" s="192"/>
      <c r="L14" s="95"/>
      <c r="M14" s="60">
        <v>1</v>
      </c>
      <c r="N14" s="145">
        <v>23</v>
      </c>
      <c r="O14" s="8" t="s">
        <v>14</v>
      </c>
      <c r="P14" s="9">
        <f t="shared" si="5"/>
        <v>-0.02</v>
      </c>
      <c r="Q14" s="9">
        <f t="shared" si="6"/>
        <v>1.1549074074074084</v>
      </c>
      <c r="R14" s="117">
        <v>0</v>
      </c>
      <c r="S14" s="59">
        <f t="shared" si="7"/>
        <v>1.1549074074074084</v>
      </c>
      <c r="T14" s="10">
        <f t="shared" si="8"/>
        <v>1.1549074074074084</v>
      </c>
      <c r="U14" s="55">
        <f t="shared" si="9"/>
        <v>1.0276956212807531</v>
      </c>
    </row>
    <row r="15" spans="2:29" x14ac:dyDescent="0.25">
      <c r="B15" s="70" t="s">
        <v>80</v>
      </c>
      <c r="C15" s="101" t="s">
        <v>81</v>
      </c>
      <c r="H15" s="76">
        <v>7</v>
      </c>
      <c r="I15" s="76" t="s">
        <v>104</v>
      </c>
      <c r="J15" s="191" t="s">
        <v>171</v>
      </c>
      <c r="K15" s="192"/>
      <c r="L15" s="95"/>
      <c r="M15" s="60">
        <v>1</v>
      </c>
      <c r="N15" s="145">
        <v>22</v>
      </c>
      <c r="O15" s="8" t="s">
        <v>14</v>
      </c>
      <c r="P15" s="9">
        <f t="shared" si="5"/>
        <v>-0.02</v>
      </c>
      <c r="Q15" s="9">
        <f t="shared" si="6"/>
        <v>1.1349074074074084</v>
      </c>
      <c r="R15" s="117">
        <v>0</v>
      </c>
      <c r="S15" s="59">
        <f t="shared" si="7"/>
        <v>1.1349074074074084</v>
      </c>
      <c r="T15" s="10">
        <f t="shared" si="8"/>
        <v>1.1349074074074084</v>
      </c>
      <c r="U15" s="55">
        <f t="shared" si="9"/>
        <v>1.0272160049737988</v>
      </c>
    </row>
    <row r="16" spans="2:29" x14ac:dyDescent="0.25">
      <c r="B16" s="102"/>
      <c r="C16" s="101" t="s">
        <v>167</v>
      </c>
      <c r="H16" s="76">
        <v>7</v>
      </c>
      <c r="I16" s="76" t="s">
        <v>106</v>
      </c>
      <c r="J16" s="191" t="s">
        <v>171</v>
      </c>
      <c r="K16" s="192"/>
      <c r="L16" s="95"/>
      <c r="M16" s="60">
        <v>1</v>
      </c>
      <c r="N16" s="145">
        <v>21</v>
      </c>
      <c r="O16" s="8" t="s">
        <v>14</v>
      </c>
      <c r="P16" s="9">
        <f t="shared" si="5"/>
        <v>-0.02</v>
      </c>
      <c r="Q16" s="9">
        <f t="shared" si="6"/>
        <v>1.1149074074074083</v>
      </c>
      <c r="R16" s="117">
        <v>0</v>
      </c>
      <c r="S16" s="59">
        <f t="shared" si="7"/>
        <v>1.1149074074074083</v>
      </c>
      <c r="T16" s="10">
        <f t="shared" si="8"/>
        <v>1.1149074074074083</v>
      </c>
      <c r="U16" s="55">
        <f t="shared" si="9"/>
        <v>1.0267363886668444</v>
      </c>
    </row>
    <row r="17" spans="2:21" x14ac:dyDescent="0.25">
      <c r="B17" s="103"/>
      <c r="C17" s="101" t="s">
        <v>170</v>
      </c>
      <c r="H17" s="76">
        <v>7</v>
      </c>
      <c r="I17" s="76" t="s">
        <v>107</v>
      </c>
      <c r="J17" s="191" t="s">
        <v>171</v>
      </c>
      <c r="K17" s="192"/>
      <c r="L17" s="95"/>
      <c r="M17" s="60">
        <v>1</v>
      </c>
      <c r="N17" s="145">
        <v>20</v>
      </c>
      <c r="O17" s="8" t="s">
        <v>14</v>
      </c>
      <c r="P17" s="9">
        <f t="shared" si="5"/>
        <v>-0.02</v>
      </c>
      <c r="Q17" s="9">
        <f t="shared" si="6"/>
        <v>1.0949074074074083</v>
      </c>
      <c r="R17" s="117">
        <v>0</v>
      </c>
      <c r="S17" s="59">
        <f t="shared" si="7"/>
        <v>1.0949074074074083</v>
      </c>
      <c r="T17" s="10">
        <f t="shared" si="8"/>
        <v>1.0949074074074083</v>
      </c>
      <c r="U17" s="55">
        <f t="shared" si="9"/>
        <v>1.0262567723598899</v>
      </c>
    </row>
    <row r="18" spans="2:21" x14ac:dyDescent="0.25">
      <c r="H18" s="76">
        <v>7</v>
      </c>
      <c r="I18" s="76" t="s">
        <v>108</v>
      </c>
      <c r="J18" s="191" t="s">
        <v>171</v>
      </c>
      <c r="K18" s="192"/>
      <c r="L18" s="95"/>
      <c r="M18" s="60">
        <v>1</v>
      </c>
      <c r="N18" s="145">
        <v>19</v>
      </c>
      <c r="O18" s="8" t="s">
        <v>14</v>
      </c>
      <c r="P18" s="9">
        <f t="shared" si="5"/>
        <v>-0.02</v>
      </c>
      <c r="Q18" s="9">
        <f t="shared" si="6"/>
        <v>1.0749074074074083</v>
      </c>
      <c r="R18" s="117">
        <v>0</v>
      </c>
      <c r="S18" s="59">
        <f t="shared" si="7"/>
        <v>1.0749074074074083</v>
      </c>
      <c r="T18" s="10">
        <f t="shared" si="8"/>
        <v>1.0749074074074083</v>
      </c>
      <c r="U18" s="55">
        <f t="shared" si="9"/>
        <v>1.0257771560529354</v>
      </c>
    </row>
    <row r="19" spans="2:21" x14ac:dyDescent="0.25">
      <c r="H19" s="76">
        <v>7</v>
      </c>
      <c r="I19" s="76" t="s">
        <v>109</v>
      </c>
      <c r="J19" s="191" t="s">
        <v>171</v>
      </c>
      <c r="K19" s="192"/>
      <c r="L19" s="95"/>
      <c r="M19" s="60">
        <v>1</v>
      </c>
      <c r="N19" s="145">
        <v>18</v>
      </c>
      <c r="O19" s="8" t="s">
        <v>14</v>
      </c>
      <c r="P19" s="9">
        <f t="shared" si="5"/>
        <v>-0.02</v>
      </c>
      <c r="Q19" s="9">
        <f t="shared" si="6"/>
        <v>1.0549074074074083</v>
      </c>
      <c r="R19" s="117">
        <v>0</v>
      </c>
      <c r="S19" s="59">
        <f t="shared" si="7"/>
        <v>1.0549074074074083</v>
      </c>
      <c r="T19" s="10">
        <f t="shared" si="8"/>
        <v>1.0549074074074083</v>
      </c>
      <c r="U19" s="55">
        <f t="shared" si="9"/>
        <v>1.0252975397459809</v>
      </c>
    </row>
    <row r="20" spans="2:21" x14ac:dyDescent="0.25">
      <c r="H20" s="76">
        <v>7</v>
      </c>
      <c r="I20" s="76" t="s">
        <v>110</v>
      </c>
      <c r="J20" s="191" t="s">
        <v>171</v>
      </c>
      <c r="K20" s="192"/>
      <c r="L20" s="95"/>
      <c r="M20" s="60">
        <v>1</v>
      </c>
      <c r="N20" s="145">
        <v>17</v>
      </c>
      <c r="O20" s="8" t="s">
        <v>14</v>
      </c>
      <c r="P20" s="9">
        <f t="shared" si="5"/>
        <v>-0.02</v>
      </c>
      <c r="Q20" s="9">
        <f t="shared" si="6"/>
        <v>1.0349074074074083</v>
      </c>
      <c r="R20" s="117">
        <v>0</v>
      </c>
      <c r="S20" s="59">
        <f t="shared" si="7"/>
        <v>1.0349074074074083</v>
      </c>
      <c r="T20" s="10">
        <f t="shared" si="8"/>
        <v>1.0349074074074083</v>
      </c>
      <c r="U20" s="55">
        <f t="shared" si="9"/>
        <v>1.0248179234390267</v>
      </c>
    </row>
    <row r="21" spans="2:21" x14ac:dyDescent="0.25">
      <c r="H21" s="76">
        <v>7</v>
      </c>
      <c r="I21" s="76" t="s">
        <v>111</v>
      </c>
      <c r="J21" s="191" t="s">
        <v>171</v>
      </c>
      <c r="K21" s="192"/>
      <c r="L21" s="95"/>
      <c r="M21" s="60">
        <v>1</v>
      </c>
      <c r="N21" s="145">
        <v>16</v>
      </c>
      <c r="O21" s="8" t="s">
        <v>14</v>
      </c>
      <c r="P21" s="9">
        <f t="shared" si="5"/>
        <v>-0.02</v>
      </c>
      <c r="Q21" s="9">
        <f t="shared" si="6"/>
        <v>1.0149074074074083</v>
      </c>
      <c r="R21" s="117">
        <v>0</v>
      </c>
      <c r="S21" s="59">
        <f t="shared" si="7"/>
        <v>1.0149074074074083</v>
      </c>
      <c r="T21" s="10">
        <f t="shared" si="8"/>
        <v>1.0149074074074083</v>
      </c>
      <c r="U21" s="55">
        <f t="shared" si="9"/>
        <v>1.0243383071320722</v>
      </c>
    </row>
    <row r="22" spans="2:21" x14ac:dyDescent="0.25">
      <c r="H22" s="76">
        <v>7</v>
      </c>
      <c r="I22" s="76" t="s">
        <v>112</v>
      </c>
      <c r="J22" s="191" t="s">
        <v>171</v>
      </c>
      <c r="K22" s="192"/>
      <c r="L22" s="95"/>
      <c r="M22" s="60">
        <v>1</v>
      </c>
      <c r="N22" s="145">
        <v>15</v>
      </c>
      <c r="O22" s="8" t="s">
        <v>14</v>
      </c>
      <c r="P22" s="9">
        <f t="shared" si="5"/>
        <v>-0.02</v>
      </c>
      <c r="Q22" s="9">
        <f t="shared" si="6"/>
        <v>0.99490740740740824</v>
      </c>
      <c r="R22" s="117">
        <v>0</v>
      </c>
      <c r="S22" s="59">
        <f t="shared" si="7"/>
        <v>0.99490740740740824</v>
      </c>
      <c r="T22" s="10">
        <f t="shared" si="8"/>
        <v>0.99490740740740824</v>
      </c>
      <c r="U22" s="55">
        <f t="shared" si="9"/>
        <v>1.0238586908251177</v>
      </c>
    </row>
    <row r="23" spans="2:21" x14ac:dyDescent="0.25">
      <c r="H23" s="76">
        <v>7</v>
      </c>
      <c r="I23" s="76" t="s">
        <v>113</v>
      </c>
      <c r="J23" s="191" t="s">
        <v>171</v>
      </c>
      <c r="K23" s="192"/>
      <c r="L23" s="95"/>
      <c r="M23" s="60">
        <v>1</v>
      </c>
      <c r="N23" s="145">
        <v>14</v>
      </c>
      <c r="O23" s="8" t="s">
        <v>14</v>
      </c>
      <c r="P23" s="9">
        <f t="shared" si="5"/>
        <v>-0.02</v>
      </c>
      <c r="Q23" s="9">
        <f t="shared" si="6"/>
        <v>0.97490740740740822</v>
      </c>
      <c r="R23" s="117">
        <v>0</v>
      </c>
      <c r="S23" s="59">
        <f t="shared" si="7"/>
        <v>0.97490740740740822</v>
      </c>
      <c r="T23" s="10">
        <f t="shared" si="8"/>
        <v>0.97490740740740822</v>
      </c>
      <c r="U23" s="55">
        <f t="shared" si="9"/>
        <v>1.0233790745181632</v>
      </c>
    </row>
    <row r="24" spans="2:21" x14ac:dyDescent="0.25">
      <c r="H24" s="76">
        <v>7</v>
      </c>
      <c r="I24" s="76" t="s">
        <v>114</v>
      </c>
      <c r="J24" s="191" t="s">
        <v>171</v>
      </c>
      <c r="K24" s="192"/>
      <c r="L24" s="95"/>
      <c r="M24" s="60">
        <v>1</v>
      </c>
      <c r="N24" s="145">
        <v>13</v>
      </c>
      <c r="O24" s="8" t="s">
        <v>14</v>
      </c>
      <c r="P24" s="9">
        <f t="shared" si="5"/>
        <v>-0.02</v>
      </c>
      <c r="Q24" s="9">
        <f t="shared" si="6"/>
        <v>0.9549074074074082</v>
      </c>
      <c r="R24" s="117">
        <v>0</v>
      </c>
      <c r="S24" s="59">
        <f t="shared" si="7"/>
        <v>0.9549074074074082</v>
      </c>
      <c r="T24" s="10">
        <f t="shared" si="8"/>
        <v>0.9549074074074082</v>
      </c>
      <c r="U24" s="55">
        <f t="shared" si="9"/>
        <v>1.0228994582112088</v>
      </c>
    </row>
    <row r="25" spans="2:21" x14ac:dyDescent="0.25">
      <c r="H25" s="76">
        <v>7</v>
      </c>
      <c r="I25" s="76" t="s">
        <v>115</v>
      </c>
      <c r="J25" s="191" t="s">
        <v>171</v>
      </c>
      <c r="K25" s="192"/>
      <c r="L25" s="95"/>
      <c r="M25" s="60">
        <v>1</v>
      </c>
      <c r="N25" s="145">
        <v>12</v>
      </c>
      <c r="O25" s="8" t="s">
        <v>14</v>
      </c>
      <c r="P25" s="9">
        <f t="shared" si="5"/>
        <v>-0.02</v>
      </c>
      <c r="Q25" s="9">
        <f t="shared" si="6"/>
        <v>0.93490740740740819</v>
      </c>
      <c r="R25" s="117">
        <v>0</v>
      </c>
      <c r="S25" s="59">
        <f t="shared" si="7"/>
        <v>0.93490740740740819</v>
      </c>
      <c r="T25" s="10">
        <f t="shared" si="8"/>
        <v>0.93490740740740819</v>
      </c>
      <c r="U25" s="55">
        <f t="shared" si="9"/>
        <v>1.0224198419042545</v>
      </c>
    </row>
    <row r="26" spans="2:21" x14ac:dyDescent="0.25">
      <c r="H26" s="76">
        <v>7</v>
      </c>
      <c r="I26" s="76" t="s">
        <v>116</v>
      </c>
      <c r="J26" s="191" t="s">
        <v>171</v>
      </c>
      <c r="K26" s="192"/>
      <c r="L26" s="95"/>
      <c r="M26" s="60">
        <v>1</v>
      </c>
      <c r="N26" s="145">
        <v>11</v>
      </c>
      <c r="O26" s="8" t="s">
        <v>14</v>
      </c>
      <c r="P26" s="9">
        <f t="shared" si="5"/>
        <v>-0.02</v>
      </c>
      <c r="Q26" s="9">
        <f t="shared" si="6"/>
        <v>0.91490740740740817</v>
      </c>
      <c r="R26" s="117">
        <v>0</v>
      </c>
      <c r="S26" s="59">
        <f t="shared" si="7"/>
        <v>0.91490740740740817</v>
      </c>
      <c r="T26" s="10">
        <f t="shared" si="8"/>
        <v>0.91490740740740817</v>
      </c>
      <c r="U26" s="55">
        <f t="shared" si="9"/>
        <v>1.0219402255973</v>
      </c>
    </row>
    <row r="27" spans="2:21" x14ac:dyDescent="0.25">
      <c r="H27" s="76">
        <v>7</v>
      </c>
      <c r="I27" s="76" t="s">
        <v>117</v>
      </c>
      <c r="J27" s="191" t="s">
        <v>171</v>
      </c>
      <c r="K27" s="192"/>
      <c r="L27" s="95"/>
      <c r="M27" s="60">
        <v>1</v>
      </c>
      <c r="N27" s="145">
        <v>10</v>
      </c>
      <c r="O27" s="8" t="s">
        <v>14</v>
      </c>
      <c r="P27" s="9">
        <f t="shared" si="5"/>
        <v>-0.02</v>
      </c>
      <c r="Q27" s="9">
        <f t="shared" si="6"/>
        <v>0.89490740740740815</v>
      </c>
      <c r="R27" s="117">
        <v>0</v>
      </c>
      <c r="S27" s="59">
        <f t="shared" si="7"/>
        <v>0.89490740740740815</v>
      </c>
      <c r="T27" s="10">
        <f t="shared" si="8"/>
        <v>0.89490740740740815</v>
      </c>
      <c r="U27" s="55">
        <f t="shared" si="9"/>
        <v>1.0214606092903455</v>
      </c>
    </row>
    <row r="28" spans="2:21" x14ac:dyDescent="0.25">
      <c r="H28" s="76">
        <v>7</v>
      </c>
      <c r="I28" s="76" t="s">
        <v>118</v>
      </c>
      <c r="J28" s="191" t="s">
        <v>171</v>
      </c>
      <c r="K28" s="192"/>
      <c r="L28" s="95"/>
      <c r="M28" s="60">
        <v>1</v>
      </c>
      <c r="N28" s="145">
        <v>9</v>
      </c>
      <c r="O28" s="8" t="s">
        <v>14</v>
      </c>
      <c r="P28" s="9">
        <f t="shared" si="5"/>
        <v>-0.02</v>
      </c>
      <c r="Q28" s="9">
        <f t="shared" si="6"/>
        <v>0.87490740740740813</v>
      </c>
      <c r="R28" s="117">
        <v>0</v>
      </c>
      <c r="S28" s="59">
        <f t="shared" si="7"/>
        <v>0.87490740740740813</v>
      </c>
      <c r="T28" s="10">
        <f t="shared" si="8"/>
        <v>0.87490740740740813</v>
      </c>
      <c r="U28" s="55">
        <f t="shared" si="9"/>
        <v>1.0209809929833911</v>
      </c>
    </row>
    <row r="29" spans="2:21" x14ac:dyDescent="0.25">
      <c r="H29" s="76">
        <v>7</v>
      </c>
      <c r="I29" s="76" t="s">
        <v>119</v>
      </c>
      <c r="J29" s="191" t="s">
        <v>171</v>
      </c>
      <c r="K29" s="192"/>
      <c r="L29" s="95"/>
      <c r="M29" s="60">
        <v>1</v>
      </c>
      <c r="N29" s="145">
        <v>8</v>
      </c>
      <c r="O29" s="8" t="s">
        <v>14</v>
      </c>
      <c r="P29" s="9">
        <f t="shared" si="5"/>
        <v>-0.02</v>
      </c>
      <c r="Q29" s="9">
        <f t="shared" si="6"/>
        <v>0.85490740740740812</v>
      </c>
      <c r="R29" s="117">
        <v>0</v>
      </c>
      <c r="S29" s="59">
        <f t="shared" si="7"/>
        <v>0.85490740740740812</v>
      </c>
      <c r="T29" s="10">
        <f t="shared" si="8"/>
        <v>0.85490740740740812</v>
      </c>
      <c r="U29" s="55">
        <f t="shared" si="9"/>
        <v>1.0205013766764366</v>
      </c>
    </row>
    <row r="30" spans="2:21" x14ac:dyDescent="0.25">
      <c r="H30" s="76">
        <v>7</v>
      </c>
      <c r="I30" s="76" t="s">
        <v>120</v>
      </c>
      <c r="J30" s="191" t="s">
        <v>171</v>
      </c>
      <c r="K30" s="192"/>
      <c r="L30" s="95"/>
      <c r="M30" s="60">
        <v>1</v>
      </c>
      <c r="N30" s="145">
        <v>7</v>
      </c>
      <c r="O30" s="8" t="s">
        <v>14</v>
      </c>
      <c r="P30" s="9">
        <f t="shared" si="5"/>
        <v>-0.02</v>
      </c>
      <c r="Q30" s="9">
        <f t="shared" si="6"/>
        <v>0.8349074074074081</v>
      </c>
      <c r="R30" s="117">
        <v>0</v>
      </c>
      <c r="S30" s="59">
        <f t="shared" si="7"/>
        <v>0.8349074074074081</v>
      </c>
      <c r="T30" s="10">
        <f t="shared" si="8"/>
        <v>0.8349074074074081</v>
      </c>
      <c r="U30" s="55">
        <f t="shared" si="9"/>
        <v>1.0200217603694821</v>
      </c>
    </row>
    <row r="31" spans="2:21" x14ac:dyDescent="0.25">
      <c r="H31" s="76">
        <v>7</v>
      </c>
      <c r="I31" s="76" t="s">
        <v>121</v>
      </c>
      <c r="J31" s="191" t="s">
        <v>171</v>
      </c>
      <c r="K31" s="192"/>
      <c r="L31" s="95"/>
      <c r="M31" s="60">
        <v>1</v>
      </c>
      <c r="N31" s="145">
        <v>6</v>
      </c>
      <c r="O31" s="8" t="s">
        <v>14</v>
      </c>
      <c r="P31" s="9">
        <f t="shared" si="5"/>
        <v>-0.02</v>
      </c>
      <c r="Q31" s="9">
        <f t="shared" si="6"/>
        <v>0.81490740740740808</v>
      </c>
      <c r="R31" s="117">
        <v>0</v>
      </c>
      <c r="S31" s="59">
        <f t="shared" si="7"/>
        <v>0.81490740740740808</v>
      </c>
      <c r="T31" s="10">
        <f t="shared" si="8"/>
        <v>0.81490740740740808</v>
      </c>
      <c r="U31" s="55">
        <f t="shared" si="9"/>
        <v>1.0195421440625279</v>
      </c>
    </row>
    <row r="32" spans="2:21" x14ac:dyDescent="0.25">
      <c r="H32" s="76">
        <v>7</v>
      </c>
      <c r="I32" s="76" t="s">
        <v>122</v>
      </c>
      <c r="J32" s="191" t="s">
        <v>171</v>
      </c>
      <c r="K32" s="192"/>
      <c r="L32" s="95"/>
      <c r="M32" s="60">
        <v>1</v>
      </c>
      <c r="N32" s="145">
        <v>5</v>
      </c>
      <c r="O32" s="8" t="s">
        <v>14</v>
      </c>
      <c r="P32" s="9">
        <f t="shared" si="5"/>
        <v>-0.02</v>
      </c>
      <c r="Q32" s="9">
        <f t="shared" si="6"/>
        <v>0.79490740740740806</v>
      </c>
      <c r="R32" s="117">
        <v>0</v>
      </c>
      <c r="S32" s="59">
        <f t="shared" si="7"/>
        <v>0.79490740740740806</v>
      </c>
      <c r="T32" s="10">
        <f t="shared" si="8"/>
        <v>0.79490740740740806</v>
      </c>
      <c r="U32" s="55">
        <f t="shared" si="9"/>
        <v>1.0190625277555734</v>
      </c>
    </row>
    <row r="33" spans="8:21" x14ac:dyDescent="0.25">
      <c r="H33" s="76">
        <v>7</v>
      </c>
      <c r="I33" s="76" t="s">
        <v>123</v>
      </c>
      <c r="J33" s="191" t="s">
        <v>171</v>
      </c>
      <c r="K33" s="192"/>
      <c r="L33" s="95"/>
      <c r="M33" s="60">
        <v>1</v>
      </c>
      <c r="N33" s="145">
        <v>4</v>
      </c>
      <c r="O33" s="8" t="s">
        <v>14</v>
      </c>
      <c r="P33" s="9">
        <f t="shared" si="5"/>
        <v>-0.02</v>
      </c>
      <c r="Q33" s="9">
        <f t="shared" si="6"/>
        <v>0.77490740740740804</v>
      </c>
      <c r="R33" s="117">
        <v>0</v>
      </c>
      <c r="S33" s="59">
        <f t="shared" si="7"/>
        <v>0.77490740740740804</v>
      </c>
      <c r="T33" s="10">
        <f t="shared" si="8"/>
        <v>0.77490740740740804</v>
      </c>
      <c r="U33" s="55">
        <f t="shared" si="9"/>
        <v>1.0185829114486189</v>
      </c>
    </row>
    <row r="34" spans="8:21" x14ac:dyDescent="0.25">
      <c r="H34" s="76">
        <v>7</v>
      </c>
      <c r="I34" s="76" t="s">
        <v>124</v>
      </c>
      <c r="J34" s="191" t="s">
        <v>171</v>
      </c>
      <c r="K34" s="192"/>
      <c r="L34" s="95"/>
      <c r="M34" s="60">
        <v>1</v>
      </c>
      <c r="N34" s="145">
        <v>3</v>
      </c>
      <c r="O34" s="8" t="s">
        <v>14</v>
      </c>
      <c r="P34" s="9">
        <f t="shared" si="5"/>
        <v>-0.02</v>
      </c>
      <c r="Q34" s="9">
        <f t="shared" si="6"/>
        <v>0.75490740740740803</v>
      </c>
      <c r="R34" s="117">
        <v>0</v>
      </c>
      <c r="S34" s="59">
        <f t="shared" si="7"/>
        <v>0.75490740740740803</v>
      </c>
      <c r="T34" s="10">
        <f t="shared" si="8"/>
        <v>0.75490740740740803</v>
      </c>
      <c r="U34" s="55">
        <f t="shared" si="9"/>
        <v>1.0181032951416644</v>
      </c>
    </row>
    <row r="35" spans="8:21" ht="15.75" thickBot="1" x14ac:dyDescent="0.3">
      <c r="H35" s="76">
        <v>7</v>
      </c>
      <c r="I35" s="76" t="s">
        <v>125</v>
      </c>
      <c r="J35" s="191" t="s">
        <v>171</v>
      </c>
      <c r="K35" s="192"/>
      <c r="L35" s="95"/>
      <c r="M35" s="60">
        <v>1</v>
      </c>
      <c r="N35" s="145">
        <v>2</v>
      </c>
      <c r="O35" s="8" t="s">
        <v>14</v>
      </c>
      <c r="P35" s="9">
        <f t="shared" si="5"/>
        <v>-0.02</v>
      </c>
      <c r="Q35" s="9">
        <f t="shared" si="6"/>
        <v>0.73490740740740801</v>
      </c>
      <c r="R35" s="117">
        <v>0</v>
      </c>
      <c r="S35" s="59">
        <f t="shared" si="7"/>
        <v>0.73490740740740801</v>
      </c>
      <c r="T35" s="10">
        <f t="shared" si="8"/>
        <v>0.73490740740740801</v>
      </c>
      <c r="U35" s="55">
        <f t="shared" si="9"/>
        <v>1.0176236788347099</v>
      </c>
    </row>
    <row r="36" spans="8:21" ht="15.75" thickBot="1" x14ac:dyDescent="0.3">
      <c r="H36" s="76">
        <v>7</v>
      </c>
      <c r="I36" s="76" t="s">
        <v>126</v>
      </c>
      <c r="J36" s="191" t="s">
        <v>171</v>
      </c>
      <c r="K36" s="192"/>
      <c r="L36" s="96" t="s">
        <v>75</v>
      </c>
      <c r="M36" s="60">
        <v>1</v>
      </c>
      <c r="N36" s="145">
        <v>1</v>
      </c>
      <c r="O36" s="8" t="s">
        <v>14</v>
      </c>
      <c r="P36" s="9">
        <f t="shared" si="5"/>
        <v>-0.02</v>
      </c>
      <c r="Q36" s="9">
        <f t="shared" si="6"/>
        <v>0.71490740740740799</v>
      </c>
      <c r="R36" s="115">
        <v>0.1</v>
      </c>
      <c r="S36" s="59">
        <f t="shared" si="7"/>
        <v>0.81490740740740797</v>
      </c>
      <c r="T36" s="10">
        <f t="shared" si="8"/>
        <v>0.81490740740740797</v>
      </c>
      <c r="U36" s="55">
        <f t="shared" si="9"/>
        <v>1.0195421440625279</v>
      </c>
    </row>
    <row r="37" spans="8:21" ht="15.75" thickBot="1" x14ac:dyDescent="0.3">
      <c r="H37">
        <v>11</v>
      </c>
      <c r="I37" s="76" t="s">
        <v>123</v>
      </c>
      <c r="J37" s="177" t="s">
        <v>97</v>
      </c>
      <c r="K37" s="178"/>
      <c r="L37" s="64" t="s">
        <v>76</v>
      </c>
      <c r="M37" s="62">
        <v>1</v>
      </c>
      <c r="N37" s="121">
        <v>1</v>
      </c>
      <c r="O37" s="8" t="s">
        <v>14</v>
      </c>
      <c r="P37" s="9">
        <v>-0.02</v>
      </c>
      <c r="Q37" s="9">
        <v>6.5800000000000765</v>
      </c>
      <c r="R37" s="58">
        <v>0</v>
      </c>
      <c r="S37" s="59">
        <v>6.5800000000000765</v>
      </c>
      <c r="T37" s="10">
        <v>6.5800000000000765</v>
      </c>
      <c r="U37" s="55">
        <v>1.0658000000000007</v>
      </c>
    </row>
    <row r="38" spans="8:21" ht="15.75" thickBot="1" x14ac:dyDescent="0.3">
      <c r="H38">
        <v>11</v>
      </c>
      <c r="I38" s="76" t="s">
        <v>124</v>
      </c>
      <c r="J38" s="179" t="s">
        <v>98</v>
      </c>
      <c r="K38" s="180"/>
      <c r="L38" s="63" t="s">
        <v>74</v>
      </c>
      <c r="M38" s="68">
        <v>1</v>
      </c>
      <c r="N38" s="122">
        <v>1</v>
      </c>
      <c r="O38" s="8" t="s">
        <v>14</v>
      </c>
      <c r="P38" s="9">
        <f t="shared" ref="P38" si="10">IF(O38="Jalan",IF(T37&gt;=$J$6,IF(T37+(-$K$6*M38)&lt;$J$6,$J$6,-$K$6*M38),IF(T37&lt;=$J$6,IF(T37+(+$L$6*M38)&lt;$J$6,+$L$6*M38,$J$6))),IF(T37&gt;0,+$L$6*M38,-$L$6*M38))</f>
        <v>-0.02</v>
      </c>
      <c r="Q38" s="9">
        <f t="shared" ref="Q38" si="11">IF(P38=$J$6,$J$6,T37+P38)</f>
        <v>6.5600000000000769</v>
      </c>
      <c r="R38" s="58">
        <v>0</v>
      </c>
      <c r="S38" s="59">
        <f t="shared" ref="S38:S39" si="12">Q38+R38</f>
        <v>6.5600000000000769</v>
      </c>
      <c r="T38" s="10">
        <f t="shared" ref="T38:T40" si="13">S38</f>
        <v>6.5600000000000769</v>
      </c>
      <c r="U38" s="55">
        <f t="shared" ref="U38" si="14">1+T38/100</f>
        <v>1.0656000000000008</v>
      </c>
    </row>
    <row r="39" spans="8:21" ht="15.75" thickBot="1" x14ac:dyDescent="0.3">
      <c r="H39">
        <v>11</v>
      </c>
      <c r="I39" s="76" t="s">
        <v>125</v>
      </c>
      <c r="J39" s="179" t="s">
        <v>98</v>
      </c>
      <c r="K39" s="180"/>
      <c r="L39" s="63" t="s">
        <v>75</v>
      </c>
      <c r="M39" s="68">
        <v>1</v>
      </c>
      <c r="N39" s="122">
        <v>0</v>
      </c>
      <c r="O39" s="8" t="s">
        <v>14</v>
      </c>
      <c r="P39" s="9">
        <f>IF(O39="Jalan",IF(T38&gt;=$J$6,IF(T38+(-$K$6*M39)&lt;$J$6,$J$6,-$K$6*M39),IF(T38&lt;=$J$6,IF(T38+(+$L$6*M39)&lt;$J$6,+$L$6*M39,$J$6))),IF(T38&gt;0,+$L$6*M39,-$L$6*M39))</f>
        <v>-0.02</v>
      </c>
      <c r="Q39" s="9">
        <f>IF(P39=$J$6,$J$6,T38+P39)</f>
        <v>6.5400000000000773</v>
      </c>
      <c r="R39" s="58">
        <v>0</v>
      </c>
      <c r="S39" s="59">
        <f t="shared" si="12"/>
        <v>6.5400000000000773</v>
      </c>
      <c r="T39" s="10">
        <f t="shared" si="13"/>
        <v>6.5400000000000773</v>
      </c>
      <c r="U39" s="55">
        <f>1+T39/100</f>
        <v>1.0654000000000008</v>
      </c>
    </row>
    <row r="40" spans="8:21" ht="15.75" thickBot="1" x14ac:dyDescent="0.3">
      <c r="H40">
        <v>11</v>
      </c>
      <c r="I40" s="76" t="s">
        <v>126</v>
      </c>
      <c r="J40" s="231" t="s">
        <v>97</v>
      </c>
      <c r="K40" s="232"/>
      <c r="L40" s="74" t="s">
        <v>74</v>
      </c>
      <c r="M40" s="60">
        <v>1</v>
      </c>
      <c r="N40" s="123">
        <v>30</v>
      </c>
      <c r="O40" s="8" t="s">
        <v>14</v>
      </c>
      <c r="P40" s="9">
        <f>IF(O40="Jalan",IF(T39&gt;=$J$6,IF(T39+(-$K$6*M40)&lt;$J$6,$J$6,-$K$6*M40),IF(T39&lt;=$J$6,IF(T39+(+$L$6*M40)&lt;$J$6,+$L$6*M40,$J$6))),IF(T39&gt;0,+$L$6*M40,-$L$6*M40))</f>
        <v>-0.02</v>
      </c>
      <c r="Q40" s="9">
        <f>IF(P40=$J$6,$J$6,T39+P40)</f>
        <v>6.5200000000000777</v>
      </c>
      <c r="R40" s="69">
        <v>1</v>
      </c>
      <c r="S40" s="59">
        <f t="shared" ref="S40" si="15">Q40+R40</f>
        <v>7.5200000000000777</v>
      </c>
      <c r="T40" s="10">
        <f t="shared" si="13"/>
        <v>7.5200000000000777</v>
      </c>
      <c r="U40" s="55">
        <f>1+T40/100</f>
        <v>1.0752000000000008</v>
      </c>
    </row>
    <row r="41" spans="8:21" x14ac:dyDescent="0.25">
      <c r="H41">
        <v>11</v>
      </c>
      <c r="I41" s="76" t="s">
        <v>127</v>
      </c>
      <c r="J41" s="230" t="s">
        <v>97</v>
      </c>
      <c r="K41" s="230"/>
      <c r="M41" s="62">
        <v>1</v>
      </c>
      <c r="N41" s="123">
        <v>29</v>
      </c>
      <c r="O41" s="8" t="s">
        <v>14</v>
      </c>
      <c r="P41" s="9">
        <f t="shared" ref="P41:P69" si="16">IF(O41="Jalan",IF(T40&gt;=$J$6,IF(T40+(-$K$6*M41)&lt;$J$6,$J$6,-$K$6*M41),IF(T40&lt;=$J$6,IF(T40+(+$L$6*M41)&lt;$J$6,+$L$6*M41,$J$6))),IF(T40&gt;0,+$L$6*M41,-$L$6*M41))</f>
        <v>-0.02</v>
      </c>
      <c r="Q41" s="9">
        <f t="shared" ref="Q41:Q69" si="17">IF(P41=$J$6,$J$6,T40+P41)</f>
        <v>7.5000000000000782</v>
      </c>
      <c r="R41" s="58">
        <v>0</v>
      </c>
      <c r="S41" s="59">
        <f t="shared" ref="S41:S69" si="18">Q41+R41</f>
        <v>7.5000000000000782</v>
      </c>
      <c r="T41" s="10">
        <f t="shared" ref="T41:T69" si="19">S41</f>
        <v>7.5000000000000782</v>
      </c>
      <c r="U41" s="55">
        <f t="shared" ref="U41:U69" si="20">1+T41/100</f>
        <v>1.0750000000000008</v>
      </c>
    </row>
    <row r="42" spans="8:21" x14ac:dyDescent="0.25">
      <c r="H42">
        <v>11</v>
      </c>
      <c r="I42" s="76" t="s">
        <v>128</v>
      </c>
      <c r="J42" s="230" t="s">
        <v>97</v>
      </c>
      <c r="K42" s="230"/>
      <c r="M42" s="62">
        <v>1</v>
      </c>
      <c r="N42" s="123">
        <v>28</v>
      </c>
      <c r="O42" s="8" t="s">
        <v>14</v>
      </c>
      <c r="P42" s="9">
        <f t="shared" si="16"/>
        <v>-0.02</v>
      </c>
      <c r="Q42" s="9">
        <f t="shared" si="17"/>
        <v>7.4800000000000786</v>
      </c>
      <c r="R42" s="58">
        <v>0</v>
      </c>
      <c r="S42" s="59">
        <f t="shared" si="18"/>
        <v>7.4800000000000786</v>
      </c>
      <c r="T42" s="10">
        <f t="shared" si="19"/>
        <v>7.4800000000000786</v>
      </c>
      <c r="U42" s="55">
        <f t="shared" si="20"/>
        <v>1.0748000000000009</v>
      </c>
    </row>
    <row r="43" spans="8:21" x14ac:dyDescent="0.25">
      <c r="H43">
        <v>11</v>
      </c>
      <c r="I43" s="76" t="s">
        <v>129</v>
      </c>
      <c r="J43" s="230" t="s">
        <v>97</v>
      </c>
      <c r="K43" s="230"/>
      <c r="M43" s="62">
        <v>1</v>
      </c>
      <c r="N43" s="123">
        <v>27</v>
      </c>
      <c r="O43" s="8" t="s">
        <v>14</v>
      </c>
      <c r="P43" s="9">
        <f t="shared" si="16"/>
        <v>-0.02</v>
      </c>
      <c r="Q43" s="9">
        <f t="shared" si="17"/>
        <v>7.460000000000079</v>
      </c>
      <c r="R43" s="58">
        <v>0</v>
      </c>
      <c r="S43" s="59">
        <f t="shared" si="18"/>
        <v>7.460000000000079</v>
      </c>
      <c r="T43" s="10">
        <f t="shared" si="19"/>
        <v>7.460000000000079</v>
      </c>
      <c r="U43" s="55">
        <f t="shared" si="20"/>
        <v>1.0746000000000009</v>
      </c>
    </row>
    <row r="44" spans="8:21" x14ac:dyDescent="0.25">
      <c r="H44">
        <v>11</v>
      </c>
      <c r="I44" s="76" t="s">
        <v>130</v>
      </c>
      <c r="J44" s="230" t="s">
        <v>97</v>
      </c>
      <c r="K44" s="230"/>
      <c r="M44" s="62">
        <v>1</v>
      </c>
      <c r="N44" s="123">
        <v>26</v>
      </c>
      <c r="O44" s="8" t="s">
        <v>14</v>
      </c>
      <c r="P44" s="9">
        <f t="shared" si="16"/>
        <v>-0.02</v>
      </c>
      <c r="Q44" s="9">
        <f t="shared" si="17"/>
        <v>7.4400000000000794</v>
      </c>
      <c r="R44" s="58">
        <v>0</v>
      </c>
      <c r="S44" s="59">
        <f t="shared" si="18"/>
        <v>7.4400000000000794</v>
      </c>
      <c r="T44" s="10">
        <f t="shared" si="19"/>
        <v>7.4400000000000794</v>
      </c>
      <c r="U44" s="55">
        <f t="shared" si="20"/>
        <v>1.0744000000000007</v>
      </c>
    </row>
    <row r="45" spans="8:21" x14ac:dyDescent="0.25">
      <c r="H45">
        <v>11</v>
      </c>
      <c r="I45" s="76" t="s">
        <v>131</v>
      </c>
      <c r="J45" s="230" t="s">
        <v>97</v>
      </c>
      <c r="K45" s="230"/>
      <c r="M45" s="62">
        <v>1</v>
      </c>
      <c r="N45" s="123">
        <v>25</v>
      </c>
      <c r="O45" s="8" t="s">
        <v>14</v>
      </c>
      <c r="P45" s="9">
        <f t="shared" si="16"/>
        <v>-0.02</v>
      </c>
      <c r="Q45" s="9">
        <f t="shared" si="17"/>
        <v>7.4200000000000799</v>
      </c>
      <c r="R45" s="58">
        <v>0</v>
      </c>
      <c r="S45" s="59">
        <f t="shared" si="18"/>
        <v>7.4200000000000799</v>
      </c>
      <c r="T45" s="10">
        <f t="shared" si="19"/>
        <v>7.4200000000000799</v>
      </c>
      <c r="U45" s="55">
        <f t="shared" si="20"/>
        <v>1.0742000000000007</v>
      </c>
    </row>
    <row r="46" spans="8:21" x14ac:dyDescent="0.25">
      <c r="H46">
        <v>11</v>
      </c>
      <c r="I46" s="76" t="s">
        <v>132</v>
      </c>
      <c r="J46" s="230" t="s">
        <v>97</v>
      </c>
      <c r="K46" s="230"/>
      <c r="M46" s="62">
        <v>1</v>
      </c>
      <c r="N46" s="123">
        <v>24</v>
      </c>
      <c r="O46" s="8" t="s">
        <v>14</v>
      </c>
      <c r="P46" s="9">
        <f t="shared" si="16"/>
        <v>-0.02</v>
      </c>
      <c r="Q46" s="9">
        <f t="shared" si="17"/>
        <v>7.4000000000000803</v>
      </c>
      <c r="R46" s="58">
        <v>0</v>
      </c>
      <c r="S46" s="59">
        <f t="shared" si="18"/>
        <v>7.4000000000000803</v>
      </c>
      <c r="T46" s="10">
        <f t="shared" si="19"/>
        <v>7.4000000000000803</v>
      </c>
      <c r="U46" s="55">
        <f t="shared" si="20"/>
        <v>1.0740000000000007</v>
      </c>
    </row>
    <row r="47" spans="8:21" x14ac:dyDescent="0.25">
      <c r="H47">
        <v>11</v>
      </c>
      <c r="I47" s="76" t="s">
        <v>133</v>
      </c>
      <c r="J47" s="230" t="s">
        <v>97</v>
      </c>
      <c r="K47" s="230"/>
      <c r="M47" s="62">
        <v>1</v>
      </c>
      <c r="N47" s="123">
        <v>23</v>
      </c>
      <c r="O47" s="8" t="s">
        <v>14</v>
      </c>
      <c r="P47" s="9">
        <f t="shared" si="16"/>
        <v>-0.02</v>
      </c>
      <c r="Q47" s="9">
        <f t="shared" si="17"/>
        <v>7.3800000000000807</v>
      </c>
      <c r="R47" s="58">
        <v>0</v>
      </c>
      <c r="S47" s="59">
        <f t="shared" si="18"/>
        <v>7.3800000000000807</v>
      </c>
      <c r="T47" s="10">
        <f t="shared" si="19"/>
        <v>7.3800000000000807</v>
      </c>
      <c r="U47" s="55">
        <f t="shared" si="20"/>
        <v>1.0738000000000008</v>
      </c>
    </row>
    <row r="48" spans="8:21" x14ac:dyDescent="0.25">
      <c r="H48">
        <v>11</v>
      </c>
      <c r="I48" s="76" t="s">
        <v>134</v>
      </c>
      <c r="J48" s="230" t="s">
        <v>97</v>
      </c>
      <c r="K48" s="230"/>
      <c r="M48" s="62">
        <v>1</v>
      </c>
      <c r="N48" s="123">
        <v>22</v>
      </c>
      <c r="O48" s="8" t="s">
        <v>14</v>
      </c>
      <c r="P48" s="9">
        <f t="shared" si="16"/>
        <v>-0.02</v>
      </c>
      <c r="Q48" s="9">
        <f t="shared" si="17"/>
        <v>7.3600000000000811</v>
      </c>
      <c r="R48" s="58">
        <v>0</v>
      </c>
      <c r="S48" s="59">
        <f t="shared" si="18"/>
        <v>7.3600000000000811</v>
      </c>
      <c r="T48" s="10">
        <f t="shared" si="19"/>
        <v>7.3600000000000811</v>
      </c>
      <c r="U48" s="55">
        <f t="shared" si="20"/>
        <v>1.0736000000000008</v>
      </c>
    </row>
    <row r="49" spans="8:21" x14ac:dyDescent="0.25">
      <c r="H49">
        <v>11</v>
      </c>
      <c r="I49" s="76" t="s">
        <v>135</v>
      </c>
      <c r="J49" s="230" t="s">
        <v>97</v>
      </c>
      <c r="K49" s="230"/>
      <c r="M49" s="62">
        <v>1</v>
      </c>
      <c r="N49" s="123">
        <v>21</v>
      </c>
      <c r="O49" s="8" t="s">
        <v>14</v>
      </c>
      <c r="P49" s="9">
        <f t="shared" si="16"/>
        <v>-0.02</v>
      </c>
      <c r="Q49" s="9">
        <f t="shared" si="17"/>
        <v>7.3400000000000816</v>
      </c>
      <c r="R49" s="58">
        <v>0</v>
      </c>
      <c r="S49" s="59">
        <f t="shared" si="18"/>
        <v>7.3400000000000816</v>
      </c>
      <c r="T49" s="10">
        <f t="shared" si="19"/>
        <v>7.3400000000000816</v>
      </c>
      <c r="U49" s="55">
        <f t="shared" si="20"/>
        <v>1.0734000000000008</v>
      </c>
    </row>
    <row r="50" spans="8:21" x14ac:dyDescent="0.25">
      <c r="H50">
        <v>11</v>
      </c>
      <c r="I50" s="76" t="s">
        <v>136</v>
      </c>
      <c r="J50" s="230" t="s">
        <v>97</v>
      </c>
      <c r="K50" s="230"/>
      <c r="M50" s="62">
        <v>1</v>
      </c>
      <c r="N50" s="123">
        <v>20</v>
      </c>
      <c r="O50" s="8" t="s">
        <v>14</v>
      </c>
      <c r="P50" s="9">
        <f t="shared" si="16"/>
        <v>-0.02</v>
      </c>
      <c r="Q50" s="9">
        <f t="shared" si="17"/>
        <v>7.320000000000082</v>
      </c>
      <c r="R50" s="58">
        <v>0</v>
      </c>
      <c r="S50" s="59">
        <f t="shared" si="18"/>
        <v>7.320000000000082</v>
      </c>
      <c r="T50" s="10">
        <f t="shared" si="19"/>
        <v>7.320000000000082</v>
      </c>
      <c r="U50" s="55">
        <f t="shared" si="20"/>
        <v>1.0732000000000008</v>
      </c>
    </row>
    <row r="51" spans="8:21" x14ac:dyDescent="0.25">
      <c r="H51">
        <v>11</v>
      </c>
      <c r="I51" s="76" t="s">
        <v>137</v>
      </c>
      <c r="J51" s="230" t="s">
        <v>97</v>
      </c>
      <c r="K51" s="230"/>
      <c r="M51" s="62">
        <v>1</v>
      </c>
      <c r="N51" s="123">
        <v>19</v>
      </c>
      <c r="O51" s="8" t="s">
        <v>14</v>
      </c>
      <c r="P51" s="9">
        <f t="shared" si="16"/>
        <v>-0.02</v>
      </c>
      <c r="Q51" s="9">
        <f t="shared" si="17"/>
        <v>7.3000000000000824</v>
      </c>
      <c r="R51" s="58">
        <v>0</v>
      </c>
      <c r="S51" s="59">
        <f t="shared" si="18"/>
        <v>7.3000000000000824</v>
      </c>
      <c r="T51" s="10">
        <f t="shared" si="19"/>
        <v>7.3000000000000824</v>
      </c>
      <c r="U51" s="55">
        <f t="shared" si="20"/>
        <v>1.0730000000000008</v>
      </c>
    </row>
    <row r="52" spans="8:21" x14ac:dyDescent="0.25">
      <c r="H52">
        <v>11</v>
      </c>
      <c r="I52" s="76" t="s">
        <v>138</v>
      </c>
      <c r="J52" s="230" t="s">
        <v>97</v>
      </c>
      <c r="K52" s="230"/>
      <c r="M52" s="62">
        <v>1</v>
      </c>
      <c r="N52" s="123">
        <v>18</v>
      </c>
      <c r="O52" s="8" t="s">
        <v>14</v>
      </c>
      <c r="P52" s="9">
        <f t="shared" si="16"/>
        <v>-0.02</v>
      </c>
      <c r="Q52" s="9">
        <f t="shared" si="17"/>
        <v>7.2800000000000828</v>
      </c>
      <c r="R52" s="58">
        <v>0</v>
      </c>
      <c r="S52" s="59">
        <f t="shared" si="18"/>
        <v>7.2800000000000828</v>
      </c>
      <c r="T52" s="10">
        <f t="shared" si="19"/>
        <v>7.2800000000000828</v>
      </c>
      <c r="U52" s="55">
        <f t="shared" si="20"/>
        <v>1.0728000000000009</v>
      </c>
    </row>
    <row r="53" spans="8:21" x14ac:dyDescent="0.25">
      <c r="H53">
        <v>11</v>
      </c>
      <c r="I53" s="76" t="s">
        <v>139</v>
      </c>
      <c r="J53" s="230" t="s">
        <v>97</v>
      </c>
      <c r="K53" s="230"/>
      <c r="M53" s="62">
        <v>1</v>
      </c>
      <c r="N53" s="123">
        <v>17</v>
      </c>
      <c r="O53" s="8" t="s">
        <v>14</v>
      </c>
      <c r="P53" s="9">
        <f t="shared" si="16"/>
        <v>-0.02</v>
      </c>
      <c r="Q53" s="9">
        <f t="shared" si="17"/>
        <v>7.2600000000000833</v>
      </c>
      <c r="R53" s="58">
        <v>0</v>
      </c>
      <c r="S53" s="59">
        <f t="shared" si="18"/>
        <v>7.2600000000000833</v>
      </c>
      <c r="T53" s="10">
        <f t="shared" si="19"/>
        <v>7.2600000000000833</v>
      </c>
      <c r="U53" s="55">
        <f t="shared" si="20"/>
        <v>1.0726000000000009</v>
      </c>
    </row>
    <row r="54" spans="8:21" x14ac:dyDescent="0.25">
      <c r="H54">
        <v>11</v>
      </c>
      <c r="I54" s="76" t="s">
        <v>140</v>
      </c>
      <c r="J54" s="230" t="s">
        <v>97</v>
      </c>
      <c r="K54" s="230"/>
      <c r="M54" s="62">
        <v>1</v>
      </c>
      <c r="N54" s="123">
        <v>16</v>
      </c>
      <c r="O54" s="8" t="s">
        <v>14</v>
      </c>
      <c r="P54" s="9">
        <f t="shared" si="16"/>
        <v>-0.02</v>
      </c>
      <c r="Q54" s="9">
        <f t="shared" si="17"/>
        <v>7.2400000000000837</v>
      </c>
      <c r="R54" s="58">
        <v>0</v>
      </c>
      <c r="S54" s="59">
        <f t="shared" si="18"/>
        <v>7.2400000000000837</v>
      </c>
      <c r="T54" s="10">
        <f t="shared" si="19"/>
        <v>7.2400000000000837</v>
      </c>
      <c r="U54" s="55">
        <f t="shared" si="20"/>
        <v>1.0724000000000009</v>
      </c>
    </row>
    <row r="55" spans="8:21" x14ac:dyDescent="0.25">
      <c r="H55">
        <v>11</v>
      </c>
      <c r="I55" s="76" t="s">
        <v>141</v>
      </c>
      <c r="J55" s="230" t="s">
        <v>97</v>
      </c>
      <c r="K55" s="230"/>
      <c r="M55" s="62">
        <v>1</v>
      </c>
      <c r="N55" s="123">
        <v>15</v>
      </c>
      <c r="O55" s="8" t="s">
        <v>14</v>
      </c>
      <c r="P55" s="9">
        <f t="shared" si="16"/>
        <v>-0.02</v>
      </c>
      <c r="Q55" s="9">
        <f t="shared" si="17"/>
        <v>7.2200000000000841</v>
      </c>
      <c r="R55" s="58">
        <v>0</v>
      </c>
      <c r="S55" s="59">
        <f t="shared" si="18"/>
        <v>7.2200000000000841</v>
      </c>
      <c r="T55" s="10">
        <f t="shared" si="19"/>
        <v>7.2200000000000841</v>
      </c>
      <c r="U55" s="55">
        <f t="shared" si="20"/>
        <v>1.0722000000000009</v>
      </c>
    </row>
    <row r="56" spans="8:21" x14ac:dyDescent="0.25">
      <c r="H56">
        <v>11</v>
      </c>
      <c r="I56" s="76" t="s">
        <v>142</v>
      </c>
      <c r="J56" s="230" t="s">
        <v>97</v>
      </c>
      <c r="K56" s="230"/>
      <c r="M56" s="62">
        <v>1</v>
      </c>
      <c r="N56" s="123">
        <v>14</v>
      </c>
      <c r="O56" s="8" t="s">
        <v>14</v>
      </c>
      <c r="P56" s="9">
        <f t="shared" si="16"/>
        <v>-0.02</v>
      </c>
      <c r="Q56" s="9">
        <f t="shared" si="17"/>
        <v>7.2000000000000846</v>
      </c>
      <c r="R56" s="58">
        <v>0</v>
      </c>
      <c r="S56" s="59">
        <f t="shared" si="18"/>
        <v>7.2000000000000846</v>
      </c>
      <c r="T56" s="10">
        <f t="shared" si="19"/>
        <v>7.2000000000000846</v>
      </c>
      <c r="U56" s="55">
        <f t="shared" si="20"/>
        <v>1.072000000000001</v>
      </c>
    </row>
    <row r="57" spans="8:21" x14ac:dyDescent="0.25">
      <c r="H57">
        <v>11</v>
      </c>
      <c r="I57" s="76" t="s">
        <v>143</v>
      </c>
      <c r="J57" s="230" t="s">
        <v>97</v>
      </c>
      <c r="K57" s="230"/>
      <c r="M57" s="62">
        <v>1</v>
      </c>
      <c r="N57" s="123">
        <v>13</v>
      </c>
      <c r="O57" s="8" t="s">
        <v>14</v>
      </c>
      <c r="P57" s="9">
        <f t="shared" si="16"/>
        <v>-0.02</v>
      </c>
      <c r="Q57" s="9">
        <f t="shared" si="17"/>
        <v>7.180000000000085</v>
      </c>
      <c r="R57" s="58">
        <v>0</v>
      </c>
      <c r="S57" s="59">
        <f t="shared" si="18"/>
        <v>7.180000000000085</v>
      </c>
      <c r="T57" s="10">
        <f t="shared" si="19"/>
        <v>7.180000000000085</v>
      </c>
      <c r="U57" s="55">
        <f t="shared" si="20"/>
        <v>1.0718000000000008</v>
      </c>
    </row>
    <row r="58" spans="8:21" x14ac:dyDescent="0.25">
      <c r="H58">
        <v>11</v>
      </c>
      <c r="I58" s="76" t="s">
        <v>144</v>
      </c>
      <c r="J58" s="230" t="s">
        <v>97</v>
      </c>
      <c r="K58" s="230"/>
      <c r="M58" s="62">
        <v>1</v>
      </c>
      <c r="N58" s="123">
        <v>12</v>
      </c>
      <c r="O58" s="8" t="s">
        <v>14</v>
      </c>
      <c r="P58" s="9">
        <f t="shared" si="16"/>
        <v>-0.02</v>
      </c>
      <c r="Q58" s="9">
        <f t="shared" si="17"/>
        <v>7.1600000000000854</v>
      </c>
      <c r="R58" s="58">
        <v>0</v>
      </c>
      <c r="S58" s="59">
        <f t="shared" si="18"/>
        <v>7.1600000000000854</v>
      </c>
      <c r="T58" s="10">
        <f t="shared" si="19"/>
        <v>7.1600000000000854</v>
      </c>
      <c r="U58" s="55">
        <f t="shared" si="20"/>
        <v>1.0716000000000008</v>
      </c>
    </row>
    <row r="59" spans="8:21" x14ac:dyDescent="0.25">
      <c r="H59">
        <v>11</v>
      </c>
      <c r="I59" s="76" t="s">
        <v>145</v>
      </c>
      <c r="J59" s="230" t="s">
        <v>97</v>
      </c>
      <c r="K59" s="230"/>
      <c r="M59" s="62">
        <v>1</v>
      </c>
      <c r="N59" s="123">
        <v>11</v>
      </c>
      <c r="O59" s="8" t="s">
        <v>14</v>
      </c>
      <c r="P59" s="9">
        <f t="shared" si="16"/>
        <v>-0.02</v>
      </c>
      <c r="Q59" s="9">
        <f t="shared" si="17"/>
        <v>7.1400000000000858</v>
      </c>
      <c r="R59" s="58">
        <v>0</v>
      </c>
      <c r="S59" s="59">
        <f t="shared" si="18"/>
        <v>7.1400000000000858</v>
      </c>
      <c r="T59" s="10">
        <f t="shared" si="19"/>
        <v>7.1400000000000858</v>
      </c>
      <c r="U59" s="55">
        <f t="shared" si="20"/>
        <v>1.0714000000000008</v>
      </c>
    </row>
    <row r="60" spans="8:21" x14ac:dyDescent="0.25">
      <c r="H60">
        <v>11</v>
      </c>
      <c r="I60" s="76" t="s">
        <v>146</v>
      </c>
      <c r="J60" s="230" t="s">
        <v>97</v>
      </c>
      <c r="K60" s="230"/>
      <c r="M60" s="62">
        <v>1</v>
      </c>
      <c r="N60" s="123">
        <v>10</v>
      </c>
      <c r="O60" s="8" t="s">
        <v>14</v>
      </c>
      <c r="P60" s="9">
        <f t="shared" si="16"/>
        <v>-0.02</v>
      </c>
      <c r="Q60" s="9">
        <f t="shared" si="17"/>
        <v>7.1200000000000863</v>
      </c>
      <c r="R60" s="58">
        <v>0</v>
      </c>
      <c r="S60" s="59">
        <f t="shared" si="18"/>
        <v>7.1200000000000863</v>
      </c>
      <c r="T60" s="10">
        <f t="shared" si="19"/>
        <v>7.1200000000000863</v>
      </c>
      <c r="U60" s="55">
        <f t="shared" si="20"/>
        <v>1.0712000000000008</v>
      </c>
    </row>
    <row r="61" spans="8:21" x14ac:dyDescent="0.25">
      <c r="H61">
        <v>11</v>
      </c>
      <c r="I61" s="76" t="s">
        <v>147</v>
      </c>
      <c r="J61" s="230" t="s">
        <v>97</v>
      </c>
      <c r="K61" s="230"/>
      <c r="M61" s="62">
        <v>1</v>
      </c>
      <c r="N61" s="123">
        <v>9</v>
      </c>
      <c r="O61" s="8" t="s">
        <v>14</v>
      </c>
      <c r="P61" s="9">
        <f t="shared" si="16"/>
        <v>-0.02</v>
      </c>
      <c r="Q61" s="9">
        <f t="shared" si="17"/>
        <v>7.1000000000000867</v>
      </c>
      <c r="R61" s="58">
        <v>0</v>
      </c>
      <c r="S61" s="59">
        <f t="shared" si="18"/>
        <v>7.1000000000000867</v>
      </c>
      <c r="T61" s="10">
        <f t="shared" si="19"/>
        <v>7.1000000000000867</v>
      </c>
      <c r="U61" s="55">
        <f t="shared" si="20"/>
        <v>1.0710000000000008</v>
      </c>
    </row>
    <row r="62" spans="8:21" x14ac:dyDescent="0.25">
      <c r="H62">
        <v>11</v>
      </c>
      <c r="I62" s="76" t="s">
        <v>148</v>
      </c>
      <c r="J62" s="230" t="s">
        <v>97</v>
      </c>
      <c r="K62" s="230"/>
      <c r="M62" s="62">
        <v>1</v>
      </c>
      <c r="N62" s="123">
        <v>8</v>
      </c>
      <c r="O62" s="8" t="s">
        <v>14</v>
      </c>
      <c r="P62" s="9">
        <f t="shared" si="16"/>
        <v>-0.02</v>
      </c>
      <c r="Q62" s="9">
        <f t="shared" si="17"/>
        <v>7.0800000000000871</v>
      </c>
      <c r="R62" s="58">
        <v>0</v>
      </c>
      <c r="S62" s="59">
        <f t="shared" si="18"/>
        <v>7.0800000000000871</v>
      </c>
      <c r="T62" s="10">
        <f t="shared" si="19"/>
        <v>7.0800000000000871</v>
      </c>
      <c r="U62" s="55">
        <f t="shared" si="20"/>
        <v>1.0708000000000009</v>
      </c>
    </row>
    <row r="63" spans="8:21" x14ac:dyDescent="0.25">
      <c r="H63">
        <v>11</v>
      </c>
      <c r="I63" s="76" t="s">
        <v>149</v>
      </c>
      <c r="J63" s="230" t="s">
        <v>97</v>
      </c>
      <c r="K63" s="230"/>
      <c r="M63" s="62">
        <v>1</v>
      </c>
      <c r="N63" s="123">
        <v>7</v>
      </c>
      <c r="O63" s="8" t="s">
        <v>14</v>
      </c>
      <c r="P63" s="9">
        <f t="shared" si="16"/>
        <v>-0.02</v>
      </c>
      <c r="Q63" s="9">
        <f t="shared" si="17"/>
        <v>7.0600000000000875</v>
      </c>
      <c r="R63" s="58">
        <v>0</v>
      </c>
      <c r="S63" s="59">
        <f t="shared" si="18"/>
        <v>7.0600000000000875</v>
      </c>
      <c r="T63" s="10">
        <f t="shared" si="19"/>
        <v>7.0600000000000875</v>
      </c>
      <c r="U63" s="55">
        <f t="shared" si="20"/>
        <v>1.0706000000000009</v>
      </c>
    </row>
    <row r="64" spans="8:21" x14ac:dyDescent="0.25">
      <c r="H64">
        <v>11</v>
      </c>
      <c r="I64" s="76" t="s">
        <v>150</v>
      </c>
      <c r="J64" s="230" t="s">
        <v>97</v>
      </c>
      <c r="K64" s="230"/>
      <c r="M64" s="62">
        <v>1</v>
      </c>
      <c r="N64" s="123">
        <v>6</v>
      </c>
      <c r="O64" s="8" t="s">
        <v>14</v>
      </c>
      <c r="P64" s="9">
        <f t="shared" si="16"/>
        <v>-0.02</v>
      </c>
      <c r="Q64" s="9">
        <f t="shared" si="17"/>
        <v>7.040000000000088</v>
      </c>
      <c r="R64" s="58">
        <v>0</v>
      </c>
      <c r="S64" s="59">
        <f t="shared" si="18"/>
        <v>7.040000000000088</v>
      </c>
      <c r="T64" s="10">
        <f t="shared" si="19"/>
        <v>7.040000000000088</v>
      </c>
      <c r="U64" s="55">
        <f t="shared" si="20"/>
        <v>1.0704000000000009</v>
      </c>
    </row>
    <row r="65" spans="8:21" x14ac:dyDescent="0.25">
      <c r="H65">
        <v>11</v>
      </c>
      <c r="I65" s="76" t="s">
        <v>151</v>
      </c>
      <c r="J65" s="230" t="s">
        <v>97</v>
      </c>
      <c r="K65" s="230"/>
      <c r="M65" s="62">
        <v>1</v>
      </c>
      <c r="N65" s="123">
        <v>5</v>
      </c>
      <c r="O65" s="8" t="s">
        <v>14</v>
      </c>
      <c r="P65" s="9">
        <f t="shared" si="16"/>
        <v>-0.02</v>
      </c>
      <c r="Q65" s="9">
        <f t="shared" si="17"/>
        <v>7.0200000000000884</v>
      </c>
      <c r="R65" s="58">
        <v>0</v>
      </c>
      <c r="S65" s="59">
        <f t="shared" si="18"/>
        <v>7.0200000000000884</v>
      </c>
      <c r="T65" s="10">
        <f t="shared" si="19"/>
        <v>7.0200000000000884</v>
      </c>
      <c r="U65" s="55">
        <f t="shared" si="20"/>
        <v>1.0702000000000009</v>
      </c>
    </row>
    <row r="66" spans="8:21" x14ac:dyDescent="0.25">
      <c r="H66">
        <v>11</v>
      </c>
      <c r="I66" s="76" t="s">
        <v>152</v>
      </c>
      <c r="J66" s="230" t="s">
        <v>97</v>
      </c>
      <c r="K66" s="230"/>
      <c r="M66" s="62">
        <v>1</v>
      </c>
      <c r="N66" s="123">
        <v>4</v>
      </c>
      <c r="O66" s="8" t="s">
        <v>14</v>
      </c>
      <c r="P66" s="9">
        <f t="shared" si="16"/>
        <v>-0.02</v>
      </c>
      <c r="Q66" s="9">
        <f t="shared" si="17"/>
        <v>7.0000000000000888</v>
      </c>
      <c r="R66" s="58">
        <v>0</v>
      </c>
      <c r="S66" s="59">
        <f t="shared" si="18"/>
        <v>7.0000000000000888</v>
      </c>
      <c r="T66" s="10">
        <f t="shared" si="19"/>
        <v>7.0000000000000888</v>
      </c>
      <c r="U66" s="55">
        <f t="shared" si="20"/>
        <v>1.070000000000001</v>
      </c>
    </row>
    <row r="67" spans="8:21" x14ac:dyDescent="0.25">
      <c r="H67">
        <v>11</v>
      </c>
      <c r="I67" s="76" t="s">
        <v>153</v>
      </c>
      <c r="J67" s="230" t="s">
        <v>97</v>
      </c>
      <c r="K67" s="230"/>
      <c r="M67" s="62">
        <v>1</v>
      </c>
      <c r="N67" s="123">
        <v>3</v>
      </c>
      <c r="O67" s="8" t="s">
        <v>14</v>
      </c>
      <c r="P67" s="9">
        <f t="shared" si="16"/>
        <v>-0.02</v>
      </c>
      <c r="Q67" s="9">
        <f t="shared" si="17"/>
        <v>6.9800000000000892</v>
      </c>
      <c r="R67" s="58">
        <v>0</v>
      </c>
      <c r="S67" s="59">
        <f t="shared" si="18"/>
        <v>6.9800000000000892</v>
      </c>
      <c r="T67" s="10">
        <f t="shared" si="19"/>
        <v>6.9800000000000892</v>
      </c>
      <c r="U67" s="55">
        <f t="shared" si="20"/>
        <v>1.069800000000001</v>
      </c>
    </row>
    <row r="68" spans="8:21" ht="15.75" thickBot="1" x14ac:dyDescent="0.3">
      <c r="H68">
        <v>11</v>
      </c>
      <c r="I68" s="76" t="s">
        <v>154</v>
      </c>
      <c r="J68" s="230" t="s">
        <v>97</v>
      </c>
      <c r="K68" s="230"/>
      <c r="M68" s="62">
        <v>1</v>
      </c>
      <c r="N68" s="123">
        <v>2</v>
      </c>
      <c r="O68" s="8" t="s">
        <v>14</v>
      </c>
      <c r="P68" s="9">
        <f t="shared" si="16"/>
        <v>-0.02</v>
      </c>
      <c r="Q68" s="9">
        <f t="shared" si="17"/>
        <v>6.9600000000000897</v>
      </c>
      <c r="R68" s="58">
        <v>0</v>
      </c>
      <c r="S68" s="59">
        <f t="shared" si="18"/>
        <v>6.9600000000000897</v>
      </c>
      <c r="T68" s="10">
        <f t="shared" si="19"/>
        <v>6.9600000000000897</v>
      </c>
      <c r="U68" s="55">
        <f t="shared" si="20"/>
        <v>1.069600000000001</v>
      </c>
    </row>
    <row r="69" spans="8:21" ht="15.75" thickBot="1" x14ac:dyDescent="0.3">
      <c r="H69">
        <v>11</v>
      </c>
      <c r="I69" s="76" t="s">
        <v>155</v>
      </c>
      <c r="J69" s="181" t="s">
        <v>97</v>
      </c>
      <c r="K69" s="182"/>
      <c r="L69" s="96" t="s">
        <v>75</v>
      </c>
      <c r="M69" s="97">
        <v>1</v>
      </c>
      <c r="N69" s="123">
        <v>1</v>
      </c>
      <c r="O69" s="8" t="s">
        <v>14</v>
      </c>
      <c r="P69" s="9">
        <f t="shared" si="16"/>
        <v>-0.02</v>
      </c>
      <c r="Q69" s="9">
        <f t="shared" si="17"/>
        <v>6.9400000000000901</v>
      </c>
      <c r="R69" s="72">
        <v>1.01</v>
      </c>
      <c r="S69" s="59">
        <f t="shared" si="18"/>
        <v>7.9500000000000899</v>
      </c>
      <c r="T69" s="10">
        <f t="shared" si="19"/>
        <v>7.9500000000000899</v>
      </c>
      <c r="U69" s="55">
        <f t="shared" si="20"/>
        <v>1.0795000000000008</v>
      </c>
    </row>
    <row r="70" spans="8:21" x14ac:dyDescent="0.25">
      <c r="O70"/>
      <c r="P70" s="16"/>
      <c r="R70" s="54"/>
      <c r="S70"/>
      <c r="U70" s="16"/>
    </row>
    <row r="71" spans="8:21" x14ac:dyDescent="0.25">
      <c r="O71"/>
      <c r="P71" s="16"/>
      <c r="R71" s="54"/>
      <c r="S71"/>
      <c r="U71" s="16"/>
    </row>
    <row r="72" spans="8:21" x14ac:dyDescent="0.25">
      <c r="N72" s="66"/>
      <c r="O72"/>
      <c r="R72" s="16"/>
      <c r="S72"/>
      <c r="T72" s="54"/>
      <c r="U72" s="16"/>
    </row>
    <row r="73" spans="8:21" x14ac:dyDescent="0.25">
      <c r="N73" s="66"/>
      <c r="O73"/>
      <c r="R73" s="16"/>
      <c r="S73"/>
      <c r="T73" s="54"/>
      <c r="U73" s="16"/>
    </row>
    <row r="74" spans="8:21" x14ac:dyDescent="0.25">
      <c r="N74" s="66"/>
      <c r="O74"/>
      <c r="R74" s="16"/>
      <c r="S74"/>
      <c r="T74" s="54"/>
      <c r="U74" s="16"/>
    </row>
    <row r="75" spans="8:21" x14ac:dyDescent="0.25">
      <c r="N75" s="66"/>
      <c r="O75"/>
      <c r="R75" s="16"/>
      <c r="S75"/>
      <c r="T75" s="54"/>
      <c r="U75" s="16"/>
    </row>
    <row r="76" spans="8:21" x14ac:dyDescent="0.25">
      <c r="N76" s="66"/>
      <c r="O76"/>
      <c r="R76" s="16"/>
      <c r="S76"/>
      <c r="T76" s="54"/>
      <c r="U76" s="16"/>
    </row>
    <row r="77" spans="8:21" x14ac:dyDescent="0.25">
      <c r="N77" s="66"/>
      <c r="O77"/>
      <c r="R77" s="16"/>
      <c r="S77"/>
      <c r="T77" s="54"/>
      <c r="U77" s="16"/>
    </row>
    <row r="78" spans="8:21" x14ac:dyDescent="0.25">
      <c r="N78" s="66"/>
      <c r="O78"/>
      <c r="R78" s="16"/>
      <c r="S78"/>
      <c r="T78" s="54"/>
      <c r="U78" s="16"/>
    </row>
    <row r="79" spans="8:21" x14ac:dyDescent="0.25">
      <c r="N79" s="66"/>
      <c r="O79"/>
      <c r="R79" s="16"/>
      <c r="S79"/>
      <c r="T79" s="54"/>
      <c r="U79" s="16"/>
    </row>
    <row r="80" spans="8:21" x14ac:dyDescent="0.25">
      <c r="N80" s="66"/>
      <c r="O80"/>
      <c r="R80" s="16"/>
      <c r="S80"/>
      <c r="T80" s="54"/>
      <c r="U80" s="16"/>
    </row>
    <row r="81" spans="14:21" x14ac:dyDescent="0.25">
      <c r="N81" s="66"/>
      <c r="O81"/>
      <c r="R81" s="16"/>
      <c r="S81"/>
      <c r="T81" s="54"/>
      <c r="U81" s="16"/>
    </row>
    <row r="82" spans="14:21" x14ac:dyDescent="0.25">
      <c r="N82" s="66"/>
      <c r="O82"/>
      <c r="R82" s="16"/>
      <c r="S82"/>
      <c r="T82" s="54"/>
      <c r="U82" s="16"/>
    </row>
    <row r="83" spans="14:21" x14ac:dyDescent="0.25">
      <c r="N83" s="66"/>
      <c r="O83"/>
      <c r="R83" s="16"/>
      <c r="S83"/>
      <c r="T83" s="54"/>
      <c r="U83" s="16"/>
    </row>
    <row r="84" spans="14:21" x14ac:dyDescent="0.25">
      <c r="N84" s="66"/>
      <c r="O84"/>
      <c r="R84" s="16"/>
      <c r="S84"/>
      <c r="T84" s="54"/>
      <c r="U84" s="16"/>
    </row>
    <row r="85" spans="14:21" x14ac:dyDescent="0.25">
      <c r="N85" s="66"/>
      <c r="O85"/>
      <c r="R85" s="16"/>
      <c r="S85"/>
      <c r="T85" s="54"/>
      <c r="U85" s="16"/>
    </row>
    <row r="86" spans="14:21" x14ac:dyDescent="0.25">
      <c r="N86" s="66"/>
      <c r="O86"/>
      <c r="R86" s="16"/>
      <c r="S86"/>
      <c r="T86" s="54"/>
      <c r="U86" s="16"/>
    </row>
    <row r="87" spans="14:21" x14ac:dyDescent="0.25">
      <c r="N87" s="66"/>
      <c r="O87"/>
      <c r="R87" s="16"/>
      <c r="S87"/>
      <c r="T87" s="54"/>
      <c r="U87" s="16"/>
    </row>
    <row r="88" spans="14:21" x14ac:dyDescent="0.25">
      <c r="N88" s="66"/>
      <c r="O88"/>
      <c r="R88" s="16"/>
      <c r="S88"/>
      <c r="T88" s="54"/>
      <c r="U88" s="16"/>
    </row>
    <row r="89" spans="14:21" x14ac:dyDescent="0.25">
      <c r="N89" s="66"/>
      <c r="O89"/>
      <c r="R89" s="16"/>
      <c r="S89"/>
      <c r="T89" s="54"/>
      <c r="U89" s="16"/>
    </row>
    <row r="90" spans="14:21" x14ac:dyDescent="0.25">
      <c r="N90" s="66"/>
      <c r="O90"/>
      <c r="R90" s="16"/>
      <c r="S90"/>
      <c r="T90" s="54"/>
      <c r="U90" s="16"/>
    </row>
    <row r="91" spans="14:21" x14ac:dyDescent="0.25">
      <c r="N91" s="66"/>
      <c r="O91"/>
      <c r="R91" s="16"/>
      <c r="S91"/>
      <c r="T91" s="54"/>
      <c r="U91" s="16"/>
    </row>
    <row r="92" spans="14:21" x14ac:dyDescent="0.25">
      <c r="N92" s="66"/>
      <c r="O92"/>
      <c r="R92" s="16"/>
      <c r="S92"/>
      <c r="T92" s="54"/>
      <c r="U92" s="16"/>
    </row>
    <row r="93" spans="14:21" x14ac:dyDescent="0.25">
      <c r="N93" s="66"/>
      <c r="O93"/>
      <c r="R93" s="16"/>
      <c r="S93"/>
      <c r="T93" s="54"/>
      <c r="U93" s="16"/>
    </row>
    <row r="94" spans="14:21" x14ac:dyDescent="0.25">
      <c r="N94" s="66"/>
      <c r="O94"/>
      <c r="R94" s="16"/>
      <c r="S94"/>
      <c r="T94" s="54"/>
      <c r="U94" s="16"/>
    </row>
    <row r="95" spans="14:21" x14ac:dyDescent="0.25">
      <c r="N95" s="66"/>
      <c r="O95"/>
      <c r="R95" s="16"/>
      <c r="S95"/>
      <c r="T95" s="54"/>
      <c r="U95" s="16"/>
    </row>
    <row r="96" spans="14:21" x14ac:dyDescent="0.25">
      <c r="N96" s="66"/>
      <c r="O96"/>
      <c r="R96" s="16"/>
      <c r="S96"/>
      <c r="T96" s="54"/>
      <c r="U96" s="16"/>
    </row>
    <row r="97" spans="14:21" x14ac:dyDescent="0.25">
      <c r="N97" s="66"/>
      <c r="O97"/>
      <c r="R97" s="16"/>
      <c r="S97"/>
      <c r="T97" s="54"/>
      <c r="U97" s="16"/>
    </row>
    <row r="98" spans="14:21" x14ac:dyDescent="0.25">
      <c r="N98" s="66"/>
      <c r="O98"/>
      <c r="R98" s="16"/>
      <c r="S98"/>
      <c r="T98" s="54"/>
      <c r="U98" s="16"/>
    </row>
    <row r="99" spans="14:21" x14ac:dyDescent="0.25">
      <c r="N99" s="66"/>
      <c r="O99"/>
      <c r="R99" s="16"/>
      <c r="S99"/>
      <c r="T99" s="54"/>
      <c r="U99" s="16"/>
    </row>
    <row r="100" spans="14:21" x14ac:dyDescent="0.25">
      <c r="N100" s="66"/>
      <c r="O100"/>
      <c r="R100" s="16"/>
      <c r="S100"/>
      <c r="T100" s="54"/>
      <c r="U100" s="16"/>
    </row>
    <row r="101" spans="14:21" x14ac:dyDescent="0.25">
      <c r="N101" s="66"/>
      <c r="O101"/>
      <c r="R101" s="16"/>
      <c r="S101"/>
      <c r="T101" s="54"/>
      <c r="U101" s="16"/>
    </row>
    <row r="102" spans="14:21" x14ac:dyDescent="0.25">
      <c r="N102" s="66"/>
      <c r="O102"/>
      <c r="R102" s="16"/>
      <c r="S102"/>
      <c r="T102" s="54"/>
      <c r="U102" s="16"/>
    </row>
    <row r="103" spans="14:21" x14ac:dyDescent="0.25">
      <c r="N103" s="66"/>
      <c r="O103"/>
      <c r="R103" s="16"/>
      <c r="S103"/>
      <c r="T103" s="54"/>
      <c r="U103" s="16"/>
    </row>
    <row r="104" spans="14:21" x14ac:dyDescent="0.25">
      <c r="N104" s="66"/>
      <c r="O104"/>
      <c r="R104" s="16"/>
      <c r="S104"/>
      <c r="T104" s="54"/>
      <c r="U104" s="16"/>
    </row>
    <row r="105" spans="14:21" x14ac:dyDescent="0.25">
      <c r="N105" s="66"/>
      <c r="O105"/>
      <c r="R105" s="16"/>
      <c r="S105"/>
      <c r="T105" s="54"/>
      <c r="U105" s="16"/>
    </row>
    <row r="106" spans="14:21" x14ac:dyDescent="0.25">
      <c r="N106" s="66"/>
      <c r="O106"/>
      <c r="R106" s="16"/>
      <c r="S106"/>
      <c r="T106" s="54"/>
      <c r="U106" s="16"/>
    </row>
    <row r="107" spans="14:21" x14ac:dyDescent="0.25">
      <c r="N107" s="66"/>
      <c r="O107"/>
      <c r="R107" s="16"/>
      <c r="S107"/>
      <c r="T107" s="54"/>
      <c r="U107" s="16"/>
    </row>
    <row r="108" spans="14:21" x14ac:dyDescent="0.25">
      <c r="N108" s="66"/>
      <c r="O108"/>
      <c r="R108" s="16"/>
      <c r="S108"/>
      <c r="T108" s="54"/>
      <c r="U108" s="16"/>
    </row>
    <row r="109" spans="14:21" x14ac:dyDescent="0.25">
      <c r="N109" s="66"/>
      <c r="O109"/>
      <c r="R109" s="16"/>
      <c r="S109"/>
      <c r="T109" s="54"/>
      <c r="U109" s="16"/>
    </row>
    <row r="110" spans="14:21" x14ac:dyDescent="0.25">
      <c r="N110" s="66"/>
      <c r="O110"/>
      <c r="R110" s="16"/>
      <c r="S110"/>
      <c r="T110" s="54"/>
      <c r="U110" s="16"/>
    </row>
    <row r="111" spans="14:21" x14ac:dyDescent="0.25">
      <c r="N111" s="66"/>
      <c r="O111"/>
      <c r="R111" s="16"/>
      <c r="S111"/>
      <c r="T111" s="54"/>
      <c r="U111" s="16"/>
    </row>
  </sheetData>
  <mergeCells count="79">
    <mergeCell ref="J28:K28"/>
    <mergeCell ref="J29:K29"/>
    <mergeCell ref="J30:K30"/>
    <mergeCell ref="J31:K31"/>
    <mergeCell ref="J32:K32"/>
    <mergeCell ref="B1:U1"/>
    <mergeCell ref="G3:G5"/>
    <mergeCell ref="H3:H5"/>
    <mergeCell ref="I3:I5"/>
    <mergeCell ref="J3:O3"/>
    <mergeCell ref="J4:J5"/>
    <mergeCell ref="K4:L4"/>
    <mergeCell ref="M4:M6"/>
    <mergeCell ref="N4:N6"/>
    <mergeCell ref="P4:P6"/>
    <mergeCell ref="U4:U6"/>
    <mergeCell ref="T4:T6"/>
    <mergeCell ref="S4:S6"/>
    <mergeCell ref="O5:O6"/>
    <mergeCell ref="Q4:Q6"/>
    <mergeCell ref="R4:R6"/>
    <mergeCell ref="J7:K7"/>
    <mergeCell ref="J8:K8"/>
    <mergeCell ref="J9:K9"/>
    <mergeCell ref="J53:K53"/>
    <mergeCell ref="J41:K41"/>
    <mergeCell ref="J42:K42"/>
    <mergeCell ref="J10:K10"/>
    <mergeCell ref="J11:K11"/>
    <mergeCell ref="J12:K12"/>
    <mergeCell ref="J13:K13"/>
    <mergeCell ref="J14:K14"/>
    <mergeCell ref="J15:K15"/>
    <mergeCell ref="J16:K16"/>
    <mergeCell ref="J33:K33"/>
    <mergeCell ref="J34:K34"/>
    <mergeCell ref="J35:K35"/>
    <mergeCell ref="J36:K36"/>
    <mergeCell ref="J48:K48"/>
    <mergeCell ref="J49:K49"/>
    <mergeCell ref="J50:K50"/>
    <mergeCell ref="J51:K51"/>
    <mergeCell ref="J37:K37"/>
    <mergeCell ref="J38:K38"/>
    <mergeCell ref="J39:K39"/>
    <mergeCell ref="J40:K40"/>
    <mergeCell ref="J60:K60"/>
    <mergeCell ref="J55:K55"/>
    <mergeCell ref="J56:K56"/>
    <mergeCell ref="J57:K57"/>
    <mergeCell ref="J58:K58"/>
    <mergeCell ref="J59:K59"/>
    <mergeCell ref="J67:K67"/>
    <mergeCell ref="J68:K68"/>
    <mergeCell ref="J69:K69"/>
    <mergeCell ref="J61:K61"/>
    <mergeCell ref="J62:K62"/>
    <mergeCell ref="J63:K63"/>
    <mergeCell ref="J64:K64"/>
    <mergeCell ref="J65:K65"/>
    <mergeCell ref="J66:K66"/>
    <mergeCell ref="J54:K54"/>
    <mergeCell ref="J43:K43"/>
    <mergeCell ref="J44:K44"/>
    <mergeCell ref="J45:K45"/>
    <mergeCell ref="J46:K46"/>
    <mergeCell ref="J47:K47"/>
    <mergeCell ref="J52:K52"/>
    <mergeCell ref="J17:K17"/>
    <mergeCell ref="J18:K18"/>
    <mergeCell ref="J19:K19"/>
    <mergeCell ref="J20:K20"/>
    <mergeCell ref="J21:K21"/>
    <mergeCell ref="J27:K27"/>
    <mergeCell ref="J22:K22"/>
    <mergeCell ref="J23:K23"/>
    <mergeCell ref="J24:K24"/>
    <mergeCell ref="J25:K25"/>
    <mergeCell ref="J26:K26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Emosi</vt:lpstr>
      <vt:lpstr>Kal.E (2)</vt:lpstr>
      <vt:lpstr>Kal.E(side act)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2021-03-31T07:02:03Z</dcterms:created>
  <dcterms:modified xsi:type="dcterms:W3CDTF">2021-06-07T10:05:12Z</dcterms:modified>
</cp:coreProperties>
</file>