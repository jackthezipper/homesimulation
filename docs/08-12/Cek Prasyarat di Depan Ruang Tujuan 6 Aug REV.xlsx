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Prasyarat 3-Agen di depan ruang" sheetId="1" r:id="rId1"/>
  </sheets>
  <calcPr calcId="145621"/>
</workbook>
</file>

<file path=xl/calcChain.xml><?xml version="1.0" encoding="utf-8"?>
<calcChain xmlns="http://schemas.openxmlformats.org/spreadsheetml/2006/main">
  <c r="I108" i="1" l="1"/>
  <c r="I109" i="1"/>
  <c r="I110" i="1"/>
  <c r="I111" i="1"/>
  <c r="I112" i="1"/>
  <c r="I107" i="1"/>
  <c r="I18" i="1"/>
  <c r="I17" i="1"/>
  <c r="I20" i="1"/>
  <c r="I21" i="1"/>
  <c r="I22" i="1"/>
  <c r="I23" i="1"/>
  <c r="I24" i="1"/>
  <c r="I19" i="1"/>
  <c r="I40" i="1"/>
  <c r="I39" i="1"/>
  <c r="I375" i="1" l="1"/>
  <c r="J375" i="1"/>
  <c r="I376" i="1"/>
  <c r="J376" i="1"/>
  <c r="I377" i="1"/>
  <c r="J377" i="1"/>
  <c r="I378" i="1"/>
  <c r="J378" i="1"/>
  <c r="I379" i="1"/>
  <c r="J379" i="1"/>
  <c r="I380" i="1"/>
  <c r="J380" i="1"/>
  <c r="I371" i="1"/>
  <c r="I372" i="1"/>
  <c r="I370" i="1" l="1"/>
  <c r="I369" i="1"/>
  <c r="I368" i="1"/>
  <c r="I367" i="1"/>
  <c r="J368" i="1"/>
  <c r="J367" i="1"/>
  <c r="I365" i="1"/>
  <c r="J365" i="1"/>
  <c r="I366" i="1"/>
  <c r="J366" i="1"/>
  <c r="J370" i="1"/>
  <c r="J369" i="1"/>
  <c r="I358" i="1"/>
  <c r="I357" i="1"/>
  <c r="J359" i="1"/>
  <c r="J357" i="1"/>
  <c r="J358" i="1"/>
  <c r="I359" i="1"/>
  <c r="I356" i="1"/>
  <c r="I355" i="1"/>
  <c r="I352" i="1"/>
  <c r="I351" i="1"/>
  <c r="J360" i="1"/>
  <c r="I360" i="1"/>
  <c r="J356" i="1"/>
  <c r="J355" i="1"/>
  <c r="I328" i="1"/>
  <c r="I327" i="1"/>
  <c r="J330" i="1"/>
  <c r="I330" i="1"/>
  <c r="J329" i="1"/>
  <c r="I329" i="1"/>
  <c r="J328" i="1"/>
  <c r="J327" i="1"/>
  <c r="J326" i="1"/>
  <c r="I326" i="1"/>
  <c r="J325" i="1"/>
  <c r="I325" i="1"/>
  <c r="J324" i="1"/>
  <c r="I324" i="1"/>
  <c r="J323" i="1"/>
  <c r="I323" i="1"/>
  <c r="I312" i="1"/>
  <c r="I311" i="1"/>
  <c r="I314" i="1"/>
  <c r="I313" i="1"/>
  <c r="I251" i="1"/>
  <c r="J244" i="1"/>
  <c r="I244" i="1"/>
  <c r="J243" i="1"/>
  <c r="I243" i="1"/>
  <c r="J240" i="1"/>
  <c r="I240" i="1"/>
  <c r="J239" i="1"/>
  <c r="I239" i="1"/>
  <c r="J238" i="1"/>
  <c r="I238" i="1"/>
  <c r="J237" i="1"/>
  <c r="I237" i="1"/>
  <c r="I230" i="1"/>
  <c r="J236" i="1"/>
  <c r="I236" i="1"/>
  <c r="J235" i="1"/>
  <c r="I235" i="1"/>
  <c r="I228" i="1"/>
  <c r="I227" i="1"/>
  <c r="J232" i="1"/>
  <c r="I232" i="1"/>
  <c r="J231" i="1"/>
  <c r="I231" i="1"/>
  <c r="J230" i="1"/>
  <c r="J229" i="1"/>
  <c r="I226" i="1"/>
  <c r="I225" i="1"/>
  <c r="I229" i="1"/>
  <c r="J228" i="1"/>
  <c r="J227" i="1"/>
  <c r="I196" i="1"/>
  <c r="I195" i="1"/>
  <c r="I188" i="1"/>
  <c r="I187" i="1"/>
  <c r="I184" i="1"/>
  <c r="I183" i="1"/>
  <c r="I169" i="1"/>
  <c r="I170" i="1"/>
  <c r="I138" i="1"/>
  <c r="I137" i="1"/>
  <c r="I134" i="1"/>
  <c r="I133" i="1"/>
  <c r="I132" i="1"/>
  <c r="I131" i="1"/>
  <c r="J126" i="1"/>
  <c r="I126" i="1"/>
  <c r="J125" i="1"/>
  <c r="I125" i="1"/>
  <c r="I106" i="1"/>
  <c r="I105" i="1"/>
  <c r="J116" i="1"/>
  <c r="I116" i="1"/>
  <c r="J115" i="1"/>
  <c r="I115" i="1"/>
  <c r="I104" i="1"/>
  <c r="I103" i="1"/>
  <c r="I81" i="1"/>
  <c r="I82" i="1"/>
  <c r="I73" i="1"/>
  <c r="I74" i="1"/>
  <c r="I65" i="1"/>
  <c r="I66" i="1"/>
  <c r="J60" i="1"/>
  <c r="J59" i="1"/>
  <c r="I60" i="1"/>
  <c r="I59" i="1"/>
  <c r="I38" i="1"/>
  <c r="I37" i="1"/>
  <c r="J38" i="1"/>
  <c r="J37" i="1"/>
  <c r="I30" i="1"/>
  <c r="I29" i="1"/>
  <c r="J28" i="1"/>
  <c r="J27" i="1"/>
  <c r="I28" i="1"/>
  <c r="I27" i="1"/>
  <c r="I16" i="1"/>
  <c r="I15" i="1"/>
  <c r="I424" i="1"/>
  <c r="I423" i="1"/>
  <c r="I422" i="1"/>
  <c r="I421" i="1"/>
  <c r="I420" i="1"/>
  <c r="I419" i="1"/>
  <c r="J422" i="1"/>
  <c r="J421" i="1"/>
  <c r="J424" i="1"/>
  <c r="J423" i="1"/>
  <c r="J416" i="1"/>
  <c r="J415" i="1"/>
  <c r="I416" i="1"/>
  <c r="I415" i="1"/>
  <c r="J414" i="1"/>
  <c r="I414" i="1"/>
  <c r="J413" i="1"/>
  <c r="I413" i="1"/>
  <c r="I412" i="1"/>
  <c r="I411" i="1"/>
  <c r="I408" i="1"/>
  <c r="I407" i="1"/>
  <c r="I410" i="1"/>
  <c r="I409" i="1"/>
  <c r="J408" i="1"/>
  <c r="J407" i="1"/>
  <c r="J412" i="1"/>
  <c r="J411" i="1"/>
  <c r="J404" i="1"/>
  <c r="J403" i="1"/>
  <c r="I404" i="1"/>
  <c r="I403" i="1"/>
  <c r="I405" i="1"/>
  <c r="J405" i="1"/>
  <c r="I406" i="1"/>
  <c r="J406" i="1"/>
  <c r="I398" i="1"/>
  <c r="I397" i="1"/>
  <c r="J400" i="1"/>
  <c r="I400" i="1"/>
  <c r="J399" i="1"/>
  <c r="I399" i="1"/>
  <c r="J390" i="1"/>
  <c r="J389" i="1"/>
  <c r="J388" i="1"/>
  <c r="J387" i="1"/>
  <c r="J396" i="1"/>
  <c r="J395" i="1"/>
  <c r="I396" i="1"/>
  <c r="I395" i="1"/>
  <c r="J394" i="1"/>
  <c r="J393" i="1"/>
  <c r="I386" i="1"/>
  <c r="I385" i="1"/>
  <c r="I394" i="1"/>
  <c r="I393" i="1"/>
  <c r="I388" i="1"/>
  <c r="I387" i="1"/>
  <c r="I384" i="1"/>
  <c r="I383" i="1"/>
  <c r="J384" i="1"/>
  <c r="J383" i="1"/>
  <c r="J374" i="1"/>
  <c r="J373" i="1"/>
  <c r="I374" i="1"/>
  <c r="I373" i="1"/>
  <c r="I364" i="1"/>
  <c r="I363" i="1"/>
  <c r="I350" i="1"/>
  <c r="I349" i="1"/>
  <c r="J352" i="1"/>
  <c r="J351" i="1"/>
  <c r="I346" i="1"/>
  <c r="I345" i="1"/>
  <c r="J346" i="1"/>
  <c r="J345" i="1"/>
  <c r="I344" i="1"/>
  <c r="I343" i="1"/>
  <c r="J344" i="1"/>
  <c r="J343" i="1"/>
  <c r="I342" i="1"/>
  <c r="I341" i="1"/>
  <c r="J338" i="1"/>
  <c r="I338" i="1"/>
  <c r="J337" i="1"/>
  <c r="I337" i="1"/>
  <c r="I332" i="1"/>
  <c r="I331" i="1"/>
  <c r="J334" i="1"/>
  <c r="I334" i="1"/>
  <c r="J333" i="1"/>
  <c r="I333" i="1"/>
  <c r="I322" i="1"/>
  <c r="I321" i="1"/>
  <c r="I320" i="1"/>
  <c r="I319" i="1"/>
  <c r="J322" i="1"/>
  <c r="J321" i="1"/>
  <c r="J314" i="1"/>
  <c r="J313" i="1"/>
  <c r="J311" i="1"/>
  <c r="J312" i="1"/>
  <c r="I318" i="1"/>
  <c r="I317" i="1"/>
  <c r="J318" i="1"/>
  <c r="J317" i="1"/>
  <c r="I316" i="1"/>
  <c r="I315" i="1"/>
  <c r="I310" i="1"/>
  <c r="I309" i="1"/>
  <c r="I308" i="1"/>
  <c r="I307" i="1"/>
  <c r="J310" i="1"/>
  <c r="J309" i="1"/>
  <c r="I304" i="1"/>
  <c r="I303" i="1"/>
  <c r="I302" i="1"/>
  <c r="I301" i="1"/>
  <c r="J302" i="1"/>
  <c r="J301" i="1"/>
  <c r="I300" i="1"/>
  <c r="I299" i="1"/>
  <c r="J304" i="1"/>
  <c r="J303" i="1"/>
  <c r="J296" i="1"/>
  <c r="J295" i="1"/>
  <c r="I296" i="1"/>
  <c r="I295" i="1"/>
  <c r="J288" i="1"/>
  <c r="J287" i="1"/>
  <c r="I288" i="1"/>
  <c r="I287" i="1"/>
  <c r="I294" i="1"/>
  <c r="I293" i="1"/>
  <c r="I292" i="1"/>
  <c r="I291" i="1"/>
  <c r="J294" i="1"/>
  <c r="J293" i="1"/>
  <c r="J286" i="1"/>
  <c r="J285" i="1"/>
  <c r="I286" i="1"/>
  <c r="I285" i="1"/>
  <c r="I284" i="1"/>
  <c r="I283" i="1"/>
  <c r="I282" i="1"/>
  <c r="I281" i="1"/>
  <c r="J284" i="1" l="1"/>
  <c r="J283" i="1"/>
  <c r="J280" i="1"/>
  <c r="J279" i="1"/>
  <c r="I280" i="1"/>
  <c r="I279" i="1"/>
  <c r="I276" i="1"/>
  <c r="I275" i="1"/>
  <c r="I274" i="1"/>
  <c r="I273" i="1"/>
  <c r="I272" i="1"/>
  <c r="I271" i="1"/>
  <c r="J276" i="1"/>
  <c r="J275" i="1"/>
  <c r="J274" i="1"/>
  <c r="J273" i="1"/>
  <c r="J256" i="1"/>
  <c r="I256" i="1"/>
  <c r="J255" i="1"/>
  <c r="I255" i="1"/>
  <c r="I264" i="1"/>
  <c r="J264" i="1"/>
  <c r="J263" i="1"/>
  <c r="I263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I260" i="1"/>
  <c r="I259" i="1"/>
  <c r="I258" i="1"/>
  <c r="I257" i="1"/>
  <c r="J258" i="1"/>
  <c r="J257" i="1"/>
  <c r="J260" i="1"/>
  <c r="J259" i="1"/>
  <c r="I248" i="1"/>
  <c r="I247" i="1"/>
  <c r="J250" i="1"/>
  <c r="I250" i="1"/>
  <c r="J249" i="1"/>
  <c r="I249" i="1"/>
  <c r="I224" i="1"/>
  <c r="I223" i="1"/>
  <c r="I222" i="1"/>
  <c r="I221" i="1"/>
  <c r="I220" i="1"/>
  <c r="I219" i="1"/>
  <c r="J222" i="1"/>
  <c r="J221" i="1"/>
  <c r="J224" i="1"/>
  <c r="J223" i="1"/>
  <c r="I218" i="1"/>
  <c r="I217" i="1"/>
  <c r="I216" i="1"/>
  <c r="I215" i="1"/>
  <c r="J218" i="1"/>
  <c r="J217" i="1"/>
  <c r="I214" i="1"/>
  <c r="I213" i="1"/>
  <c r="I212" i="1"/>
  <c r="I211" i="1"/>
  <c r="J214" i="1"/>
  <c r="J213" i="1"/>
  <c r="I210" i="1"/>
  <c r="I209" i="1"/>
  <c r="J210" i="1"/>
  <c r="J209" i="1"/>
  <c r="I206" i="1"/>
  <c r="I205" i="1"/>
  <c r="J206" i="1"/>
  <c r="J205" i="1"/>
  <c r="I202" i="1"/>
  <c r="I201" i="1"/>
  <c r="J202" i="1"/>
  <c r="J201" i="1"/>
  <c r="I198" i="1"/>
  <c r="I197" i="1"/>
  <c r="J198" i="1"/>
  <c r="J197" i="1"/>
  <c r="J194" i="1"/>
  <c r="I194" i="1"/>
  <c r="J193" i="1"/>
  <c r="I193" i="1"/>
  <c r="J190" i="1"/>
  <c r="I190" i="1"/>
  <c r="J189" i="1"/>
  <c r="I189" i="1"/>
  <c r="J186" i="1"/>
  <c r="I186" i="1"/>
  <c r="J185" i="1"/>
  <c r="I185" i="1"/>
  <c r="I182" i="1"/>
  <c r="I181" i="1"/>
  <c r="I180" i="1"/>
  <c r="I179" i="1"/>
  <c r="I178" i="1"/>
  <c r="I177" i="1"/>
  <c r="J180" i="1"/>
  <c r="J179" i="1"/>
  <c r="J182" i="1"/>
  <c r="J181" i="1"/>
  <c r="I174" i="1"/>
  <c r="I173" i="1"/>
  <c r="I176" i="1"/>
  <c r="I175" i="1"/>
  <c r="J176" i="1"/>
  <c r="J175" i="1"/>
  <c r="I172" i="1"/>
  <c r="I171" i="1"/>
  <c r="J172" i="1"/>
  <c r="J171" i="1"/>
  <c r="I168" i="1"/>
  <c r="I167" i="1"/>
  <c r="I166" i="1"/>
  <c r="I165" i="1"/>
  <c r="J168" i="1"/>
  <c r="J167" i="1"/>
  <c r="I162" i="1"/>
  <c r="I161" i="1"/>
  <c r="I160" i="1"/>
  <c r="I159" i="1"/>
  <c r="J162" i="1"/>
  <c r="J161" i="1"/>
  <c r="J159" i="1"/>
  <c r="J160" i="1"/>
  <c r="I148" i="1"/>
  <c r="I147" i="1"/>
  <c r="I130" i="1"/>
  <c r="I129" i="1"/>
  <c r="I144" i="1"/>
  <c r="I143" i="1"/>
  <c r="I154" i="1"/>
  <c r="I153" i="1"/>
  <c r="I156" i="1"/>
  <c r="I155" i="1"/>
  <c r="J156" i="1"/>
  <c r="J155" i="1"/>
  <c r="I150" i="1"/>
  <c r="I149" i="1"/>
  <c r="J150" i="1"/>
  <c r="J149" i="1"/>
  <c r="I146" i="1"/>
  <c r="I145" i="1"/>
  <c r="J146" i="1"/>
  <c r="J145" i="1"/>
  <c r="I140" i="1"/>
  <c r="I139" i="1"/>
  <c r="J140" i="1"/>
  <c r="J139" i="1"/>
  <c r="I136" i="1"/>
  <c r="I135" i="1"/>
  <c r="J136" i="1"/>
  <c r="J135" i="1"/>
  <c r="J132" i="1"/>
  <c r="J131" i="1"/>
  <c r="J24" i="1"/>
  <c r="J23" i="1"/>
  <c r="J22" i="1"/>
  <c r="J21" i="1"/>
  <c r="J20" i="1"/>
  <c r="J19" i="1"/>
  <c r="J111" i="1"/>
  <c r="J110" i="1"/>
  <c r="J112" i="1"/>
  <c r="J109" i="1"/>
  <c r="J108" i="1"/>
  <c r="J107" i="1"/>
  <c r="I90" i="1"/>
  <c r="I89" i="1"/>
  <c r="I92" i="1"/>
  <c r="I91" i="1"/>
  <c r="I42" i="1"/>
  <c r="I41" i="1"/>
  <c r="I43" i="1"/>
  <c r="J43" i="1"/>
  <c r="I44" i="1"/>
  <c r="J44" i="1"/>
  <c r="I31" i="1"/>
  <c r="J120" i="1"/>
  <c r="I120" i="1"/>
  <c r="J119" i="1"/>
  <c r="I119" i="1"/>
  <c r="J106" i="1"/>
  <c r="J105" i="1"/>
  <c r="J98" i="1"/>
  <c r="I98" i="1"/>
  <c r="J97" i="1"/>
  <c r="I97" i="1"/>
  <c r="I87" i="1"/>
  <c r="I88" i="1"/>
  <c r="J90" i="1"/>
  <c r="J89" i="1"/>
  <c r="I94" i="1"/>
  <c r="I93" i="1"/>
  <c r="J94" i="1"/>
  <c r="J93" i="1"/>
  <c r="J92" i="1"/>
  <c r="J91" i="1"/>
  <c r="J82" i="1"/>
  <c r="J81" i="1"/>
  <c r="J74" i="1"/>
  <c r="J73" i="1"/>
  <c r="I69" i="1"/>
  <c r="J69" i="1"/>
  <c r="J66" i="1"/>
  <c r="J65" i="1"/>
  <c r="I58" i="1"/>
  <c r="I57" i="1"/>
  <c r="I52" i="1"/>
  <c r="I51" i="1"/>
  <c r="J58" i="1"/>
  <c r="J57" i="1"/>
  <c r="J52" i="1"/>
  <c r="J51" i="1"/>
  <c r="J42" i="1"/>
  <c r="J41" i="1"/>
  <c r="I33" i="1"/>
  <c r="I32" i="1"/>
  <c r="J32" i="1" l="1"/>
  <c r="J31" i="1"/>
  <c r="J18" i="1"/>
  <c r="J17" i="1"/>
  <c r="J88" i="1"/>
  <c r="J87" i="1"/>
  <c r="J420" i="1"/>
  <c r="J419" i="1"/>
  <c r="I418" i="1"/>
  <c r="I417" i="1"/>
  <c r="J418" i="1"/>
  <c r="J417" i="1"/>
  <c r="J402" i="1"/>
  <c r="J401" i="1"/>
  <c r="J410" i="1"/>
  <c r="J409" i="1"/>
  <c r="I402" i="1"/>
  <c r="I401" i="1"/>
  <c r="J398" i="1"/>
  <c r="J397" i="1"/>
  <c r="J392" i="1"/>
  <c r="I392" i="1"/>
  <c r="J391" i="1"/>
  <c r="I391" i="1"/>
  <c r="I390" i="1"/>
  <c r="I389" i="1"/>
  <c r="J386" i="1"/>
  <c r="J385" i="1"/>
  <c r="J372" i="1"/>
  <c r="J371" i="1"/>
  <c r="J364" i="1"/>
  <c r="J363" i="1"/>
  <c r="I362" i="1"/>
  <c r="I340" i="1"/>
  <c r="I339" i="1"/>
  <c r="I361" i="1"/>
  <c r="J362" i="1"/>
  <c r="J361" i="1"/>
  <c r="J354" i="1"/>
  <c r="J353" i="1"/>
  <c r="I354" i="1"/>
  <c r="I353" i="1"/>
  <c r="J350" i="1"/>
  <c r="J349" i="1"/>
  <c r="I348" i="1"/>
  <c r="I347" i="1"/>
  <c r="J342" i="1"/>
  <c r="J341" i="1"/>
  <c r="J348" i="1"/>
  <c r="J347" i="1"/>
  <c r="J340" i="1"/>
  <c r="J339" i="1"/>
  <c r="J336" i="1"/>
  <c r="I336" i="1"/>
  <c r="J335" i="1"/>
  <c r="I335" i="1"/>
  <c r="J332" i="1"/>
  <c r="J331" i="1"/>
  <c r="J319" i="1"/>
  <c r="J320" i="1"/>
  <c r="J316" i="1"/>
  <c r="J315" i="1"/>
  <c r="J308" i="1"/>
  <c r="J307" i="1"/>
  <c r="J124" i="1"/>
  <c r="I124" i="1"/>
  <c r="J123" i="1"/>
  <c r="I123" i="1"/>
  <c r="J122" i="1"/>
  <c r="I122" i="1"/>
  <c r="J121" i="1"/>
  <c r="I121" i="1"/>
  <c r="J118" i="1"/>
  <c r="I118" i="1"/>
  <c r="J117" i="1"/>
  <c r="I117" i="1"/>
  <c r="J114" i="1"/>
  <c r="I114" i="1"/>
  <c r="J113" i="1"/>
  <c r="I113" i="1"/>
  <c r="J104" i="1"/>
  <c r="J103" i="1"/>
  <c r="J102" i="1"/>
  <c r="I102" i="1"/>
  <c r="J101" i="1"/>
  <c r="I101" i="1"/>
  <c r="J100" i="1"/>
  <c r="I100" i="1"/>
  <c r="J99" i="1"/>
  <c r="I99" i="1"/>
  <c r="J96" i="1"/>
  <c r="I96" i="1"/>
  <c r="J95" i="1"/>
  <c r="I95" i="1"/>
  <c r="J300" i="1"/>
  <c r="J299" i="1"/>
  <c r="I298" i="1"/>
  <c r="I297" i="1"/>
  <c r="J298" i="1"/>
  <c r="J297" i="1"/>
  <c r="J292" i="1"/>
  <c r="J291" i="1"/>
  <c r="J290" i="1"/>
  <c r="J289" i="1"/>
  <c r="I290" i="1"/>
  <c r="I289" i="1"/>
  <c r="J282" i="1"/>
  <c r="J281" i="1"/>
  <c r="J278" i="1"/>
  <c r="J277" i="1"/>
  <c r="I278" i="1"/>
  <c r="I277" i="1"/>
  <c r="J272" i="1"/>
  <c r="J271" i="1"/>
  <c r="I262" i="1"/>
  <c r="I261" i="1"/>
  <c r="J262" i="1"/>
  <c r="J261" i="1"/>
  <c r="I254" i="1"/>
  <c r="I253" i="1"/>
  <c r="J254" i="1"/>
  <c r="J253" i="1"/>
  <c r="J252" i="1"/>
  <c r="I252" i="1"/>
  <c r="J251" i="1"/>
  <c r="J248" i="1"/>
  <c r="J247" i="1"/>
  <c r="I246" i="1"/>
  <c r="I245" i="1"/>
  <c r="J246" i="1"/>
  <c r="J245" i="1"/>
  <c r="I242" i="1"/>
  <c r="I241" i="1"/>
  <c r="J242" i="1"/>
  <c r="J241" i="1"/>
  <c r="J234" i="1"/>
  <c r="I234" i="1"/>
  <c r="J233" i="1"/>
  <c r="I233" i="1"/>
  <c r="J226" i="1"/>
  <c r="J225" i="1"/>
  <c r="J220" i="1"/>
  <c r="J219" i="1"/>
  <c r="J216" i="1"/>
  <c r="J215" i="1"/>
  <c r="J212" i="1"/>
  <c r="J211" i="1"/>
  <c r="J208" i="1"/>
  <c r="J207" i="1"/>
  <c r="J204" i="1"/>
  <c r="J203" i="1"/>
  <c r="J200" i="1"/>
  <c r="J199" i="1"/>
  <c r="J196" i="1"/>
  <c r="J195" i="1"/>
  <c r="J192" i="1"/>
  <c r="J191" i="1"/>
  <c r="J188" i="1"/>
  <c r="J187" i="1"/>
  <c r="J184" i="1"/>
  <c r="J183" i="1"/>
  <c r="J178" i="1"/>
  <c r="J177" i="1"/>
  <c r="J174" i="1"/>
  <c r="J173" i="1"/>
  <c r="J170" i="1"/>
  <c r="J169" i="1"/>
  <c r="J164" i="1"/>
  <c r="J163" i="1"/>
  <c r="J158" i="1"/>
  <c r="J157" i="1"/>
  <c r="J152" i="1"/>
  <c r="J151" i="1"/>
  <c r="J148" i="1"/>
  <c r="J147" i="1"/>
  <c r="J142" i="1"/>
  <c r="J141" i="1"/>
  <c r="J138" i="1"/>
  <c r="J137" i="1"/>
  <c r="J134" i="1"/>
  <c r="J133" i="1"/>
  <c r="J128" i="1"/>
  <c r="J127" i="1"/>
  <c r="J80" i="1"/>
  <c r="J79" i="1"/>
  <c r="J72" i="1"/>
  <c r="J71" i="1"/>
  <c r="J64" i="1"/>
  <c r="J63" i="1"/>
  <c r="J56" i="1"/>
  <c r="J55" i="1"/>
  <c r="J50" i="1"/>
  <c r="J49" i="1"/>
  <c r="J40" i="1"/>
  <c r="J39" i="1"/>
  <c r="J30" i="1"/>
  <c r="J29" i="1"/>
  <c r="J16" i="1"/>
  <c r="J15" i="1"/>
  <c r="I208" i="1"/>
  <c r="I207" i="1"/>
  <c r="I204" i="1"/>
  <c r="I203" i="1"/>
  <c r="I200" i="1"/>
  <c r="I199" i="1"/>
  <c r="J166" i="1"/>
  <c r="J165" i="1"/>
  <c r="I164" i="1"/>
  <c r="I163" i="1"/>
  <c r="I158" i="1"/>
  <c r="I157" i="1"/>
  <c r="J154" i="1"/>
  <c r="J153" i="1"/>
  <c r="I152" i="1"/>
  <c r="I151" i="1"/>
  <c r="I192" i="1"/>
  <c r="I191" i="1"/>
  <c r="J144" i="1"/>
  <c r="J143" i="1"/>
  <c r="I142" i="1"/>
  <c r="I141" i="1"/>
  <c r="J130" i="1"/>
  <c r="J129" i="1"/>
  <c r="I128" i="1"/>
  <c r="I127" i="1"/>
  <c r="I86" i="1"/>
  <c r="I85" i="1"/>
  <c r="J86" i="1"/>
  <c r="J85" i="1"/>
  <c r="J84" i="1"/>
  <c r="I84" i="1"/>
  <c r="J83" i="1"/>
  <c r="I83" i="1"/>
  <c r="I80" i="1"/>
  <c r="I79" i="1"/>
  <c r="J78" i="1"/>
  <c r="I78" i="1"/>
  <c r="J77" i="1"/>
  <c r="I77" i="1"/>
  <c r="J76" i="1"/>
  <c r="I76" i="1"/>
  <c r="J75" i="1"/>
  <c r="I75" i="1"/>
  <c r="I72" i="1"/>
  <c r="I71" i="1"/>
  <c r="J70" i="1"/>
  <c r="I70" i="1"/>
  <c r="I68" i="1"/>
  <c r="I67" i="1"/>
  <c r="I64" i="1"/>
  <c r="I63" i="1"/>
  <c r="J68" i="1"/>
  <c r="J67" i="1"/>
  <c r="I49" i="1"/>
  <c r="I50" i="1"/>
  <c r="I56" i="1"/>
  <c r="I55" i="1"/>
  <c r="I62" i="1"/>
  <c r="J62" i="1"/>
  <c r="J61" i="1"/>
  <c r="I61" i="1"/>
  <c r="J47" i="1"/>
  <c r="J48" i="1"/>
  <c r="I48" i="1"/>
  <c r="I47" i="1"/>
  <c r="I46" i="1"/>
  <c r="I45" i="1"/>
  <c r="I54" i="1"/>
  <c r="I53" i="1"/>
  <c r="J54" i="1"/>
  <c r="J53" i="1"/>
  <c r="J46" i="1"/>
  <c r="J45" i="1"/>
  <c r="I35" i="1" l="1"/>
  <c r="I36" i="1"/>
  <c r="J36" i="1"/>
  <c r="J35" i="1"/>
  <c r="J34" i="1"/>
  <c r="J33" i="1"/>
  <c r="J26" i="1"/>
  <c r="J25" i="1"/>
  <c r="I34" i="1"/>
  <c r="I26" i="1"/>
  <c r="I25" i="1"/>
  <c r="AD11" i="1"/>
  <c r="U11" i="1"/>
  <c r="X11" i="1" s="1"/>
  <c r="AA11" i="1" s="1"/>
  <c r="J11" i="1"/>
  <c r="Q11" i="1" s="1"/>
  <c r="D11" i="1"/>
  <c r="H11" i="1" s="1"/>
  <c r="AD5" i="1"/>
  <c r="U5" i="1"/>
  <c r="V5" i="1" s="1"/>
  <c r="J5" i="1"/>
  <c r="Q5" i="1" s="1"/>
  <c r="D5" i="1"/>
  <c r="E5" i="1" l="1"/>
  <c r="F5" i="1" s="1"/>
  <c r="G5" i="1" s="1"/>
  <c r="H5" i="1"/>
  <c r="AE5" i="1"/>
  <c r="V11" i="1"/>
  <c r="L11" i="1"/>
  <c r="M11" i="1" s="1"/>
  <c r="N11" i="1" s="1"/>
  <c r="O11" i="1" s="1"/>
  <c r="P11" i="1" s="1"/>
  <c r="L5" i="1"/>
  <c r="M5" i="1" s="1"/>
  <c r="N5" i="1" s="1"/>
  <c r="O5" i="1" s="1"/>
  <c r="P5" i="1" s="1"/>
  <c r="AA5" i="1"/>
  <c r="Y11" i="1"/>
  <c r="AE11" i="1"/>
  <c r="E11" i="1" l="1"/>
  <c r="F11" i="1" s="1"/>
  <c r="G11" i="1" s="1"/>
</calcChain>
</file>

<file path=xl/sharedStrings.xml><?xml version="1.0" encoding="utf-8"?>
<sst xmlns="http://schemas.openxmlformats.org/spreadsheetml/2006/main" count="1218" uniqueCount="154">
  <si>
    <t xml:space="preserve">F1 Cahaya </t>
  </si>
  <si>
    <t>D1</t>
  </si>
  <si>
    <t>Jika ada orang lain</t>
  </si>
  <si>
    <t>Aktivitas Berjalan</t>
  </si>
  <si>
    <t>Kondisi Terkini</t>
  </si>
  <si>
    <t>Batas</t>
  </si>
  <si>
    <t>APSB</t>
  </si>
  <si>
    <t>APST</t>
  </si>
  <si>
    <t>Objek</t>
  </si>
  <si>
    <t>Komponen</t>
  </si>
  <si>
    <t>Ya/Tidak</t>
  </si>
  <si>
    <t>Kode</t>
  </si>
  <si>
    <t>Peluang APSB</t>
  </si>
  <si>
    <t>Peluang APST</t>
  </si>
  <si>
    <t>Batas Sosial</t>
  </si>
  <si>
    <t>Pintu</t>
  </si>
  <si>
    <t>Terbuka</t>
  </si>
  <si>
    <t>G10</t>
  </si>
  <si>
    <t>Contoh untuk aktivitas makan di Ruang Makan di titik Kursi 01</t>
  </si>
  <si>
    <t>Kursi</t>
  </si>
  <si>
    <t>Kosong</t>
  </si>
  <si>
    <t>Terisi</t>
  </si>
  <si>
    <t>*tempat duduk kosong random</t>
  </si>
  <si>
    <t>No</t>
  </si>
  <si>
    <t>Aktivitas Utama</t>
  </si>
  <si>
    <t>Nama Ruang</t>
  </si>
  <si>
    <t>Prasyarat</t>
  </si>
  <si>
    <t>Keterangan</t>
  </si>
  <si>
    <t>RMK01</t>
  </si>
  <si>
    <t>Cek cahaya</t>
  </si>
  <si>
    <t>Ada</t>
  </si>
  <si>
    <t>Tidak Ada</t>
  </si>
  <si>
    <t>RDP01</t>
  </si>
  <si>
    <t>RHD01</t>
  </si>
  <si>
    <t>RCC01</t>
  </si>
  <si>
    <t>RBG01</t>
  </si>
  <si>
    <t>Mati</t>
  </si>
  <si>
    <t>Menyapu Ruang Cuci</t>
  </si>
  <si>
    <t>Cek sumber daya</t>
  </si>
  <si>
    <t>Lampu</t>
  </si>
  <si>
    <t xml:space="preserve">Tujuan IF terpenuhi </t>
  </si>
  <si>
    <t xml:space="preserve">Tujuan IF tidak terpenuhi </t>
  </si>
  <si>
    <t>RKG01</t>
  </si>
  <si>
    <t>jika ada makanan, semua kursi terisi pindah ke ruang RKG01</t>
  </si>
  <si>
    <t>Sofa</t>
  </si>
  <si>
    <t>Karpet</t>
  </si>
  <si>
    <t>Tujuan Aktivitas Selesai</t>
  </si>
  <si>
    <t>cek aktivitas urut 2</t>
  </si>
  <si>
    <t>Makan</t>
  </si>
  <si>
    <r>
      <t>Bak cuci piring</t>
    </r>
    <r>
      <rPr>
        <b/>
        <sz val="11"/>
        <color rgb="FFFF0000"/>
        <rFont val="Calibri"/>
        <family val="2"/>
        <scheme val="minor"/>
      </rPr>
      <t>*</t>
    </r>
  </si>
  <si>
    <t>*jika agen memiliki kebiasaan meletakan piring atau jika random, tidak selalu meletakan piring di bak cuci</t>
  </si>
  <si>
    <t>Minum</t>
  </si>
  <si>
    <t>Dispenser</t>
  </si>
  <si>
    <t>Cek device</t>
  </si>
  <si>
    <t>Kulkas 2 di RMK01, kulkas 1 di RDP01</t>
  </si>
  <si>
    <t>Kulkas 1 di RDP01</t>
  </si>
  <si>
    <t>Tidur</t>
  </si>
  <si>
    <t>RTU01</t>
  </si>
  <si>
    <t>Tempat tidur</t>
  </si>
  <si>
    <t>BAK</t>
  </si>
  <si>
    <t>RKM01</t>
  </si>
  <si>
    <t>Terkunci</t>
  </si>
  <si>
    <t>jika air tidak cukup, maka menghidupkan kran dan menunggu di ruang, atau melakukan aktivitas terpilih lainnya</t>
  </si>
  <si>
    <t>BAB</t>
  </si>
  <si>
    <t>Mandi</t>
  </si>
  <si>
    <t>Menyapu Ruang Makan</t>
  </si>
  <si>
    <t>Menyapu Dapur</t>
  </si>
  <si>
    <t>Menyapu Gudang</t>
  </si>
  <si>
    <t>RGD01</t>
  </si>
  <si>
    <t xml:space="preserve">Cek device </t>
  </si>
  <si>
    <t>Menyapu Koridor</t>
  </si>
  <si>
    <t>Menyapu Ruang Keluarga</t>
  </si>
  <si>
    <t>RKD01</t>
  </si>
  <si>
    <t>Menyapu Ruang Tamu</t>
  </si>
  <si>
    <t>RTM01</t>
  </si>
  <si>
    <t>Menyapu Teras</t>
  </si>
  <si>
    <t>RTS01</t>
  </si>
  <si>
    <t>Mengepel Ruang Makan</t>
  </si>
  <si>
    <t>Mengepel Dapur</t>
  </si>
  <si>
    <t>Mengepel Gudang</t>
  </si>
  <si>
    <t>Mengepel Koridor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</si>
  <si>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</si>
  <si>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</si>
  <si>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</si>
  <si>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</si>
  <si>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</si>
  <si>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</si>
  <si>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Menyapu Ruang Tidur Anak 1</t>
  </si>
  <si>
    <t>RTA01</t>
  </si>
  <si>
    <t>Mengepel Ruang Tidur Utama 1</t>
  </si>
  <si>
    <t>Mengepel Ruang Tidur Utama 2</t>
  </si>
  <si>
    <t>Mengepel Ruang Tidur Anak 1</t>
  </si>
  <si>
    <t>Menghidupkan Pompa</t>
  </si>
  <si>
    <t>Hidup</t>
  </si>
  <si>
    <t>Mematikan Pompa</t>
  </si>
  <si>
    <t>Membuang Sampah Dapur</t>
  </si>
  <si>
    <t>Membersihkan Kamar Mandi</t>
  </si>
  <si>
    <t>Tidak ada</t>
  </si>
  <si>
    <t>Menyiram tanaman pagi hari</t>
  </si>
  <si>
    <t>Kran air</t>
  </si>
  <si>
    <t>Menyiram tanaman sore hari</t>
  </si>
  <si>
    <t>Gas</t>
  </si>
  <si>
    <t>Memasak makan dengan kompor gas</t>
  </si>
  <si>
    <t>Meja makan</t>
  </si>
  <si>
    <t>Memasak makan dengan peralatan listrik</t>
  </si>
  <si>
    <t>Listrik</t>
  </si>
  <si>
    <t>Membuat minuman dengan blender</t>
  </si>
  <si>
    <t>Belanja</t>
  </si>
  <si>
    <t>Daylight</t>
  </si>
  <si>
    <t>Memandikan anak 2</t>
  </si>
  <si>
    <t>Menyuapi anak 2 makan</t>
  </si>
  <si>
    <t>Mencuci piring dan alat masak</t>
  </si>
  <si>
    <t>Mesin cuci</t>
  </si>
  <si>
    <t>Mengangkat pakaian kering</t>
  </si>
  <si>
    <t>Menjemur pakaian basah</t>
  </si>
  <si>
    <t>Menyetrika pakaian</t>
  </si>
  <si>
    <t>Setrika</t>
  </si>
  <si>
    <t>Mengawasi anak 2 bermain</t>
  </si>
  <si>
    <t>Menonton TV</t>
  </si>
  <si>
    <t>Membaca</t>
  </si>
  <si>
    <t>Mengganti galon</t>
  </si>
  <si>
    <t>Bersantai</t>
  </si>
  <si>
    <t>Berdandan</t>
  </si>
  <si>
    <t xml:space="preserve">Cek batas sosial </t>
  </si>
  <si>
    <t>Agen lain</t>
  </si>
  <si>
    <t>Cek agen</t>
  </si>
  <si>
    <t>Makanan</t>
  </si>
  <si>
    <t>Air minum</t>
  </si>
  <si>
    <t>Jumlah &amp; status</t>
  </si>
  <si>
    <t>Berubah sesuai dengan kondisi di ruang</t>
  </si>
  <si>
    <t>Air</t>
  </si>
  <si>
    <t>Lemari</t>
  </si>
  <si>
    <t>ada</t>
  </si>
  <si>
    <t xml:space="preserve">Ada </t>
  </si>
  <si>
    <t>Kompor</t>
  </si>
  <si>
    <t>Bagus</t>
  </si>
  <si>
    <t>Tidak bagus</t>
  </si>
  <si>
    <t>Gas cadangan</t>
  </si>
  <si>
    <t>Rice cooker 1</t>
  </si>
  <si>
    <t>Rice cooker 2</t>
  </si>
  <si>
    <t>Blender</t>
  </si>
  <si>
    <t xml:space="preserve">Tidak ada </t>
  </si>
  <si>
    <t>Mencuci pakaian dengan mesin</t>
  </si>
  <si>
    <t>TV</t>
  </si>
  <si>
    <t>Kipas Angin</t>
  </si>
  <si>
    <t>Cek Suhu</t>
  </si>
  <si>
    <t>Iklim Ruang</t>
  </si>
  <si>
    <t>AC</t>
  </si>
  <si>
    <t>Cek suhu</t>
  </si>
  <si>
    <t>Asumsi alat kebersihan selalu tersedia</t>
  </si>
  <si>
    <t>Pompa air 2</t>
  </si>
  <si>
    <t>Pompa air 1</t>
  </si>
  <si>
    <t>Mencuci pakaian dengan tangan</t>
  </si>
  <si>
    <t>Permanen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</si>
</sst>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7">
    <xf numFmtId="0" fontId="0" fillId="0" borderId="0" xfId="0"/>
    <xf numFmtId="0" fontId="2" fillId="2" borderId="11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 wrapText="1"/>
    </xf>
    <xf numFmtId="0" fontId="1" fillId="6" borderId="18" xfId="1" applyFont="1" applyFill="1" applyBorder="1" applyAlignment="1">
      <alignment horizontal="center" vertical="center"/>
    </xf>
    <xf numFmtId="0" fontId="1" fillId="0" borderId="19" xfId="1" applyFont="1" applyFill="1" applyBorder="1" applyAlignment="1">
      <alignment horizontal="center" vertical="center"/>
    </xf>
    <xf numFmtId="0" fontId="5" fillId="6" borderId="19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0" fillId="6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/>
    </xf>
    <xf numFmtId="0" fontId="1" fillId="0" borderId="19" xfId="1" applyFont="1" applyFill="1" applyBorder="1" applyAlignment="1">
      <alignment horizontal="center" vertical="center" wrapText="1"/>
    </xf>
    <xf numFmtId="0" fontId="1" fillId="6" borderId="18" xfId="1" applyFont="1" applyFill="1" applyBorder="1" applyAlignment="1">
      <alignment horizontal="center" vertical="center" wrapText="1"/>
    </xf>
    <xf numFmtId="0" fontId="1" fillId="0" borderId="21" xfId="1" applyFont="1" applyFill="1" applyBorder="1" applyAlignment="1">
      <alignment horizontal="center" vertical="center" wrapText="1"/>
    </xf>
    <xf numFmtId="0" fontId="0" fillId="0" borderId="22" xfId="1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 wrapText="1"/>
    </xf>
    <xf numFmtId="0" fontId="0" fillId="0" borderId="18" xfId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11" xfId="0" applyBorder="1" applyAlignment="1">
      <alignment horizontal="left" wrapText="1"/>
    </xf>
    <xf numFmtId="0" fontId="6" fillId="0" borderId="0" xfId="0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0" fontId="2" fillId="2" borderId="9" xfId="1" applyFont="1" applyFill="1" applyBorder="1" applyAlignment="1">
      <alignment horizontal="center" vertical="center"/>
    </xf>
    <xf numFmtId="0" fontId="0" fillId="0" borderId="8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0" xfId="0" applyAlignment="1">
      <alignment wrapText="1"/>
    </xf>
    <xf numFmtId="0" fontId="0" fillId="3" borderId="11" xfId="0" applyFill="1" applyBorder="1" applyAlignment="1">
      <alignment horizontal="left" wrapText="1"/>
    </xf>
    <xf numFmtId="0" fontId="0" fillId="7" borderId="11" xfId="0" applyFill="1" applyBorder="1" applyAlignment="1">
      <alignment horizontal="left" wrapText="1"/>
    </xf>
    <xf numFmtId="0" fontId="0" fillId="0" borderId="8" xfId="0" applyBorder="1"/>
    <xf numFmtId="0" fontId="0" fillId="0" borderId="32" xfId="0" applyBorder="1"/>
    <xf numFmtId="0" fontId="0" fillId="0" borderId="8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left" wrapText="1"/>
    </xf>
    <xf numFmtId="0" fontId="0" fillId="0" borderId="39" xfId="0" applyBorder="1"/>
    <xf numFmtId="0" fontId="0" fillId="0" borderId="25" xfId="0" applyBorder="1"/>
    <xf numFmtId="0" fontId="2" fillId="0" borderId="28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7" borderId="44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left"/>
    </xf>
    <xf numFmtId="0" fontId="0" fillId="3" borderId="50" xfId="0" applyFill="1" applyBorder="1" applyAlignment="1">
      <alignment horizontal="left"/>
    </xf>
    <xf numFmtId="0" fontId="0" fillId="0" borderId="50" xfId="0" applyBorder="1"/>
    <xf numFmtId="0" fontId="0" fillId="7" borderId="32" xfId="0" applyFill="1" applyBorder="1" applyAlignment="1">
      <alignment horizontal="left" wrapText="1"/>
    </xf>
    <xf numFmtId="0" fontId="0" fillId="7" borderId="20" xfId="0" applyFill="1" applyBorder="1" applyAlignment="1">
      <alignment horizontal="left" wrapText="1"/>
    </xf>
    <xf numFmtId="0" fontId="0" fillId="0" borderId="50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37" xfId="0" applyBorder="1"/>
    <xf numFmtId="0" fontId="10" fillId="0" borderId="39" xfId="0" applyFont="1" applyBorder="1" applyAlignment="1">
      <alignment wrapText="1"/>
    </xf>
    <xf numFmtId="0" fontId="7" fillId="0" borderId="39" xfId="0" applyFont="1" applyFill="1" applyBorder="1" applyAlignment="1">
      <alignment wrapText="1"/>
    </xf>
    <xf numFmtId="0" fontId="0" fillId="0" borderId="41" xfId="0" applyBorder="1"/>
    <xf numFmtId="0" fontId="7" fillId="0" borderId="39" xfId="0" applyFont="1" applyBorder="1"/>
    <xf numFmtId="0" fontId="10" fillId="0" borderId="39" xfId="0" applyFont="1" applyBorder="1"/>
    <xf numFmtId="0" fontId="0" fillId="0" borderId="22" xfId="0" applyBorder="1"/>
    <xf numFmtId="0" fontId="0" fillId="7" borderId="8" xfId="0" applyFill="1" applyBorder="1" applyAlignment="1">
      <alignment horizontal="left" wrapText="1"/>
    </xf>
    <xf numFmtId="0" fontId="10" fillId="0" borderId="41" xfId="0" applyFont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13" xfId="0" applyBorder="1"/>
    <xf numFmtId="0" fontId="1" fillId="6" borderId="29" xfId="1" applyFont="1" applyFill="1" applyBorder="1" applyAlignment="1">
      <alignment horizontal="center" vertical="center" wrapText="1"/>
    </xf>
    <xf numFmtId="0" fontId="0" fillId="3" borderId="50" xfId="0" applyFill="1" applyBorder="1" applyAlignment="1">
      <alignment horizontal="left" wrapText="1"/>
    </xf>
    <xf numFmtId="0" fontId="0" fillId="7" borderId="50" xfId="0" applyFill="1" applyBorder="1" applyAlignment="1">
      <alignment horizontal="left" wrapText="1"/>
    </xf>
    <xf numFmtId="0" fontId="0" fillId="0" borderId="37" xfId="0" applyBorder="1" applyAlignment="1">
      <alignment wrapText="1"/>
    </xf>
    <xf numFmtId="0" fontId="0" fillId="0" borderId="39" xfId="0" applyBorder="1" applyAlignment="1">
      <alignment wrapText="1"/>
    </xf>
    <xf numFmtId="0" fontId="0" fillId="3" borderId="32" xfId="0" applyFill="1" applyBorder="1" applyAlignment="1">
      <alignment horizontal="left" wrapText="1"/>
    </xf>
    <xf numFmtId="0" fontId="0" fillId="0" borderId="41" xfId="0" applyBorder="1" applyAlignment="1">
      <alignment wrapText="1"/>
    </xf>
    <xf numFmtId="0" fontId="7" fillId="0" borderId="39" xfId="0" applyFont="1" applyBorder="1" applyAlignment="1">
      <alignment wrapText="1"/>
    </xf>
    <xf numFmtId="0" fontId="0" fillId="3" borderId="8" xfId="0" applyFill="1" applyBorder="1" applyAlignment="1">
      <alignment horizontal="left"/>
    </xf>
    <xf numFmtId="0" fontId="0" fillId="0" borderId="48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1" xfId="0" applyBorder="1" applyAlignment="1">
      <alignment horizontal="left" wrapText="1"/>
    </xf>
    <xf numFmtId="0" fontId="0" fillId="0" borderId="31" xfId="0" applyBorder="1" applyAlignment="1">
      <alignment horizontal="left"/>
    </xf>
    <xf numFmtId="0" fontId="0" fillId="0" borderId="46" xfId="0" applyBorder="1"/>
    <xf numFmtId="0" fontId="0" fillId="0" borderId="13" xfId="0" applyBorder="1" applyAlignment="1">
      <alignment wrapText="1"/>
    </xf>
    <xf numFmtId="0" fontId="0" fillId="0" borderId="19" xfId="0" applyBorder="1" applyAlignment="1">
      <alignment horizontal="left" wrapText="1"/>
    </xf>
    <xf numFmtId="0" fontId="0" fillId="0" borderId="0" xfId="0" applyAlignment="1"/>
    <xf numFmtId="0" fontId="9" fillId="0" borderId="46" xfId="0" applyFont="1" applyFill="1" applyBorder="1" applyAlignment="1">
      <alignment wrapText="1"/>
    </xf>
    <xf numFmtId="0" fontId="9" fillId="0" borderId="39" xfId="0" applyFont="1" applyFill="1" applyBorder="1" applyAlignment="1">
      <alignment wrapText="1"/>
    </xf>
    <xf numFmtId="0" fontId="0" fillId="0" borderId="11" xfId="0" applyBorder="1" applyAlignment="1">
      <alignment vertical="center" wrapText="1"/>
    </xf>
    <xf numFmtId="0" fontId="9" fillId="0" borderId="13" xfId="0" applyFont="1" applyFill="1" applyBorder="1" applyAlignment="1">
      <alignment wrapText="1"/>
    </xf>
    <xf numFmtId="0" fontId="9" fillId="0" borderId="22" xfId="0" applyFont="1" applyFill="1" applyBorder="1" applyAlignment="1">
      <alignment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1" xfId="0" applyBorder="1" applyAlignment="1">
      <alignment horizontal="left" vertical="center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10" fillId="0" borderId="13" xfId="0" applyFont="1" applyBorder="1" applyAlignment="1">
      <alignment horizontal="left" wrapText="1"/>
    </xf>
    <xf numFmtId="0" fontId="10" fillId="0" borderId="22" xfId="0" applyFont="1" applyBorder="1" applyAlignment="1">
      <alignment horizontal="left" wrapText="1"/>
    </xf>
    <xf numFmtId="0" fontId="0" fillId="0" borderId="31" xfId="0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8" xfId="1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14" xfId="1" applyFont="1" applyFill="1" applyBorder="1" applyAlignment="1">
      <alignment horizontal="center" vertical="center" wrapText="1"/>
    </xf>
    <xf numFmtId="0" fontId="2" fillId="4" borderId="15" xfId="1" applyFont="1" applyFill="1" applyBorder="1" applyAlignment="1">
      <alignment horizontal="center" vertical="center" wrapText="1"/>
    </xf>
    <xf numFmtId="0" fontId="2" fillId="4" borderId="16" xfId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2" fillId="6" borderId="7" xfId="1" applyFont="1" applyFill="1" applyBorder="1" applyAlignment="1">
      <alignment horizontal="center" vertical="center" wrapText="1"/>
    </xf>
    <xf numFmtId="0" fontId="2" fillId="6" borderId="1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49" xfId="0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424"/>
  <sheetViews>
    <sheetView tabSelected="1" topLeftCell="A13" zoomScale="115" zoomScaleNormal="115" workbookViewId="0">
      <pane xSplit="3" ySplit="2" topLeftCell="D15" activePane="bottomRight" state="frozen"/>
      <selection activeCell="A13" sqref="A13"/>
      <selection pane="topRight" activeCell="D13" sqref="D13"/>
      <selection pane="bottomLeft" activeCell="A15" sqref="A15"/>
      <selection pane="bottomRight" activeCell="J109" sqref="J109"/>
    </sheetView>
  </sheetViews>
  <sheetFormatPr defaultRowHeight="15" x14ac:dyDescent="0.25"/>
  <cols>
    <col min="2" max="2" width="3.5703125" customWidth="1"/>
    <col min="3" max="3" width="15.7109375" customWidth="1"/>
    <col min="4" max="4" width="10.7109375" customWidth="1"/>
    <col min="5" max="5" width="15.7109375" customWidth="1"/>
    <col min="6" max="6" width="10.7109375" style="31" customWidth="1"/>
    <col min="7" max="7" width="10.7109375" customWidth="1"/>
    <col min="8" max="10" width="10.7109375" style="31" customWidth="1"/>
    <col min="11" max="11" width="10.7109375" customWidth="1"/>
    <col min="12" max="12" width="30.7109375" customWidth="1"/>
    <col min="13" max="16" width="9.140625" customWidth="1"/>
    <col min="17" max="17" width="6.28515625" customWidth="1"/>
    <col min="18" max="18" width="10.140625" customWidth="1"/>
    <col min="19" max="20" width="8.5703125" customWidth="1"/>
    <col min="21" max="21" width="7.5703125" customWidth="1"/>
    <col min="22" max="22" width="5.5703125" customWidth="1"/>
    <col min="23" max="23" width="9.140625" customWidth="1"/>
    <col min="24" max="24" width="6.140625" customWidth="1"/>
    <col min="25" max="25" width="5.5703125" customWidth="1"/>
    <col min="26" max="26" width="9.140625" customWidth="1"/>
    <col min="27" max="27" width="9.7109375" customWidth="1"/>
    <col min="28" max="29" width="7.28515625" customWidth="1"/>
    <col min="30" max="30" width="6.7109375" customWidth="1"/>
  </cols>
  <sheetData>
    <row r="1" spans="2:31" ht="15.75" thickBot="1" x14ac:dyDescent="0.3"/>
    <row r="2" spans="2:31" x14ac:dyDescent="0.25">
      <c r="B2" s="158" t="s">
        <v>0</v>
      </c>
      <c r="C2" s="159"/>
      <c r="D2" s="159"/>
      <c r="E2" s="159"/>
      <c r="F2" s="159"/>
      <c r="G2" s="159"/>
      <c r="H2" s="159"/>
      <c r="I2" s="160"/>
      <c r="J2" s="160"/>
      <c r="K2" s="160"/>
      <c r="L2" s="160"/>
      <c r="M2" s="160"/>
      <c r="N2" s="160"/>
      <c r="O2" s="160"/>
      <c r="P2" s="160"/>
      <c r="Q2" s="161"/>
      <c r="R2" s="162" t="s">
        <v>1</v>
      </c>
      <c r="S2" s="163"/>
      <c r="T2" s="163"/>
      <c r="U2" s="163"/>
      <c r="V2" s="163"/>
      <c r="W2" s="163"/>
      <c r="X2" s="163"/>
      <c r="Y2" s="163"/>
      <c r="Z2" s="163"/>
      <c r="AA2" s="163"/>
      <c r="AB2" s="164" t="s">
        <v>2</v>
      </c>
      <c r="AC2" s="165"/>
      <c r="AD2" s="166"/>
      <c r="AE2" s="170" t="s">
        <v>3</v>
      </c>
    </row>
    <row r="3" spans="2:31" x14ac:dyDescent="0.25">
      <c r="B3" s="173" t="s">
        <v>4</v>
      </c>
      <c r="C3" s="147" t="s">
        <v>5</v>
      </c>
      <c r="D3" s="28" t="s">
        <v>6</v>
      </c>
      <c r="E3" s="175" t="s">
        <v>7</v>
      </c>
      <c r="F3" s="176"/>
      <c r="G3" s="1"/>
      <c r="H3" s="147" t="s">
        <v>8</v>
      </c>
      <c r="I3" s="145" t="s">
        <v>4</v>
      </c>
      <c r="J3" s="153" t="s">
        <v>6</v>
      </c>
      <c r="K3" s="154"/>
      <c r="L3" s="155"/>
      <c r="M3" s="2"/>
      <c r="N3" s="153" t="s">
        <v>7</v>
      </c>
      <c r="O3" s="155"/>
      <c r="P3" s="3"/>
      <c r="Q3" s="156" t="s">
        <v>8</v>
      </c>
      <c r="R3" s="143" t="s">
        <v>9</v>
      </c>
      <c r="S3" s="145" t="s">
        <v>4</v>
      </c>
      <c r="T3" s="147" t="s">
        <v>5</v>
      </c>
      <c r="U3" s="149" t="s">
        <v>6</v>
      </c>
      <c r="V3" s="150"/>
      <c r="W3" s="4"/>
      <c r="X3" s="149" t="s">
        <v>7</v>
      </c>
      <c r="Y3" s="150"/>
      <c r="Z3" s="4"/>
      <c r="AA3" s="151" t="s">
        <v>8</v>
      </c>
      <c r="AB3" s="167"/>
      <c r="AC3" s="168"/>
      <c r="AD3" s="169"/>
      <c r="AE3" s="171"/>
    </row>
    <row r="4" spans="2:31" ht="45.75" thickBot="1" x14ac:dyDescent="0.3">
      <c r="B4" s="174"/>
      <c r="C4" s="148"/>
      <c r="D4" s="5" t="s">
        <v>10</v>
      </c>
      <c r="E4" s="5" t="s">
        <v>10</v>
      </c>
      <c r="F4" s="5" t="s">
        <v>11</v>
      </c>
      <c r="G4" s="5" t="s">
        <v>13</v>
      </c>
      <c r="H4" s="148"/>
      <c r="I4" s="146"/>
      <c r="J4" s="5" t="s">
        <v>10</v>
      </c>
      <c r="K4" s="5"/>
      <c r="L4" s="5" t="s">
        <v>11</v>
      </c>
      <c r="M4" s="5" t="s">
        <v>12</v>
      </c>
      <c r="N4" s="5" t="s">
        <v>10</v>
      </c>
      <c r="O4" s="5" t="s">
        <v>11</v>
      </c>
      <c r="P4" s="5" t="s">
        <v>13</v>
      </c>
      <c r="Q4" s="157"/>
      <c r="R4" s="144"/>
      <c r="S4" s="146"/>
      <c r="T4" s="148"/>
      <c r="U4" s="5" t="s">
        <v>10</v>
      </c>
      <c r="V4" s="5" t="s">
        <v>11</v>
      </c>
      <c r="W4" s="5" t="s">
        <v>12</v>
      </c>
      <c r="X4" s="5" t="s">
        <v>10</v>
      </c>
      <c r="Y4" s="5" t="s">
        <v>11</v>
      </c>
      <c r="Z4" s="5" t="s">
        <v>13</v>
      </c>
      <c r="AA4" s="152"/>
      <c r="AB4" s="6" t="s">
        <v>4</v>
      </c>
      <c r="AC4" s="7" t="s">
        <v>14</v>
      </c>
      <c r="AD4" s="8" t="s">
        <v>10</v>
      </c>
      <c r="AE4" s="172"/>
    </row>
    <row r="5" spans="2:31" ht="30.75" thickBot="1" x14ac:dyDescent="0.3">
      <c r="B5" s="9">
        <v>30</v>
      </c>
      <c r="C5" s="10">
        <v>150</v>
      </c>
      <c r="D5" s="10" t="str">
        <f>IF(C5&lt;=B5,"Tidak","Ya")</f>
        <v>Ya</v>
      </c>
      <c r="E5" s="10" t="e">
        <f>IF(#REF!="Ya","L2",0)</f>
        <v>#REF!</v>
      </c>
      <c r="F5" s="16" t="e">
        <f t="shared" ref="F5:G5" si="0">IF(E5="Ya","L2",0)</f>
        <v>#REF!</v>
      </c>
      <c r="G5" s="10" t="e">
        <f t="shared" si="0"/>
        <v>#REF!</v>
      </c>
      <c r="H5" s="16" t="str">
        <f>IF(D5="Ya","LA10",0)</f>
        <v>LA10</v>
      </c>
      <c r="I5" s="11">
        <v>60</v>
      </c>
      <c r="J5" s="16" t="e">
        <f>IF(I5&lt;=#REF!,"Ya","Tidak")</f>
        <v>#REF!</v>
      </c>
      <c r="K5" s="10"/>
      <c r="L5" s="10" t="e">
        <f>IF(J5="Ya","O1",0)</f>
        <v>#REF!</v>
      </c>
      <c r="M5" s="10" t="e">
        <f t="shared" ref="M5:P5" si="1">IF(L5="Ya","L2",0)</f>
        <v>#REF!</v>
      </c>
      <c r="N5" s="10" t="e">
        <f t="shared" si="1"/>
        <v>#REF!</v>
      </c>
      <c r="O5" s="10" t="e">
        <f t="shared" si="1"/>
        <v>#REF!</v>
      </c>
      <c r="P5" s="10" t="e">
        <f t="shared" si="1"/>
        <v>#REF!</v>
      </c>
      <c r="Q5" s="10" t="e">
        <f>IF(J5="Ya","WT03",0)</f>
        <v>#REF!</v>
      </c>
      <c r="R5" s="12" t="s">
        <v>15</v>
      </c>
      <c r="S5" s="13" t="s">
        <v>16</v>
      </c>
      <c r="T5" s="14" t="s">
        <v>16</v>
      </c>
      <c r="U5" s="15" t="str">
        <f>IF(S5=T5,"Tidak","Ya")</f>
        <v>Tidak</v>
      </c>
      <c r="V5" s="14" t="str">
        <f>IF(U5="Ya","G2","0")</f>
        <v>0</v>
      </c>
      <c r="W5" s="16">
        <v>1</v>
      </c>
      <c r="X5" s="16">
        <v>0</v>
      </c>
      <c r="Y5" s="16" t="s">
        <v>17</v>
      </c>
      <c r="Z5" s="16">
        <v>1</v>
      </c>
      <c r="AA5" s="10" t="str">
        <f>IF(U5="Ya","PT08","0")</f>
        <v>0</v>
      </c>
      <c r="AB5" s="17">
        <v>0</v>
      </c>
      <c r="AC5" s="18">
        <v>0.2</v>
      </c>
      <c r="AD5" s="19" t="str">
        <f>IF(AC5&lt;=AB5,"Tidak","Ya")</f>
        <v>Ya</v>
      </c>
      <c r="AE5" s="20" t="str">
        <f>IF(D5="Tidak",IF(J5="Tidak",IF(U5="Ya",IF(AD5="Ya","Jalan","Tidak Jalan"),"Tidak Jalan"),"Tidak Jalan"),"Tidak Jalan")</f>
        <v>Tidak Jalan</v>
      </c>
    </row>
    <row r="7" spans="2:31" ht="15.75" thickBot="1" x14ac:dyDescent="0.3">
      <c r="B7" t="s">
        <v>18</v>
      </c>
    </row>
    <row r="8" spans="2:31" x14ac:dyDescent="0.25">
      <c r="B8" s="158" t="s">
        <v>0</v>
      </c>
      <c r="C8" s="159"/>
      <c r="D8" s="159"/>
      <c r="E8" s="159"/>
      <c r="F8" s="159"/>
      <c r="G8" s="159"/>
      <c r="H8" s="159"/>
      <c r="I8" s="160"/>
      <c r="J8" s="160"/>
      <c r="K8" s="160"/>
      <c r="L8" s="160"/>
      <c r="M8" s="160"/>
      <c r="N8" s="160"/>
      <c r="O8" s="160"/>
      <c r="P8" s="160"/>
      <c r="Q8" s="161"/>
      <c r="R8" s="162" t="s">
        <v>1</v>
      </c>
      <c r="S8" s="163"/>
      <c r="T8" s="163"/>
      <c r="U8" s="163"/>
      <c r="V8" s="163"/>
      <c r="W8" s="163"/>
      <c r="X8" s="163"/>
      <c r="Y8" s="163"/>
      <c r="Z8" s="163"/>
      <c r="AA8" s="163"/>
      <c r="AB8" s="164" t="s">
        <v>2</v>
      </c>
      <c r="AC8" s="165"/>
      <c r="AD8" s="166"/>
      <c r="AE8" s="170" t="s">
        <v>3</v>
      </c>
    </row>
    <row r="9" spans="2:31" x14ac:dyDescent="0.25">
      <c r="B9" s="173" t="s">
        <v>4</v>
      </c>
      <c r="C9" s="147" t="s">
        <v>5</v>
      </c>
      <c r="D9" s="28" t="s">
        <v>6</v>
      </c>
      <c r="E9" s="175" t="s">
        <v>7</v>
      </c>
      <c r="F9" s="176"/>
      <c r="G9" s="1"/>
      <c r="H9" s="147" t="s">
        <v>8</v>
      </c>
      <c r="I9" s="145" t="s">
        <v>4</v>
      </c>
      <c r="J9" s="153" t="s">
        <v>6</v>
      </c>
      <c r="K9" s="154"/>
      <c r="L9" s="155"/>
      <c r="M9" s="2"/>
      <c r="N9" s="153" t="s">
        <v>7</v>
      </c>
      <c r="O9" s="155"/>
      <c r="P9" s="3"/>
      <c r="Q9" s="156" t="s">
        <v>8</v>
      </c>
      <c r="R9" s="143" t="s">
        <v>9</v>
      </c>
      <c r="S9" s="145" t="s">
        <v>4</v>
      </c>
      <c r="T9" s="147" t="s">
        <v>5</v>
      </c>
      <c r="U9" s="149" t="s">
        <v>6</v>
      </c>
      <c r="V9" s="150"/>
      <c r="W9" s="4"/>
      <c r="X9" s="149" t="s">
        <v>7</v>
      </c>
      <c r="Y9" s="150"/>
      <c r="Z9" s="4"/>
      <c r="AA9" s="151" t="s">
        <v>8</v>
      </c>
      <c r="AB9" s="167"/>
      <c r="AC9" s="168"/>
      <c r="AD9" s="169"/>
      <c r="AE9" s="171"/>
    </row>
    <row r="10" spans="2:31" ht="45.75" thickBot="1" x14ac:dyDescent="0.3">
      <c r="B10" s="174"/>
      <c r="C10" s="148"/>
      <c r="D10" s="5" t="s">
        <v>10</v>
      </c>
      <c r="E10" s="5" t="s">
        <v>10</v>
      </c>
      <c r="F10" s="5" t="s">
        <v>11</v>
      </c>
      <c r="G10" s="5" t="s">
        <v>13</v>
      </c>
      <c r="H10" s="148"/>
      <c r="I10" s="146"/>
      <c r="J10" s="5" t="s">
        <v>10</v>
      </c>
      <c r="K10" s="5"/>
      <c r="L10" s="5" t="s">
        <v>11</v>
      </c>
      <c r="M10" s="5" t="s">
        <v>12</v>
      </c>
      <c r="N10" s="5" t="s">
        <v>10</v>
      </c>
      <c r="O10" s="5" t="s">
        <v>11</v>
      </c>
      <c r="P10" s="5" t="s">
        <v>13</v>
      </c>
      <c r="Q10" s="157"/>
      <c r="R10" s="144"/>
      <c r="S10" s="146"/>
      <c r="T10" s="148"/>
      <c r="U10" s="5" t="s">
        <v>10</v>
      </c>
      <c r="V10" s="5" t="s">
        <v>11</v>
      </c>
      <c r="W10" s="5" t="s">
        <v>12</v>
      </c>
      <c r="X10" s="5" t="s">
        <v>10</v>
      </c>
      <c r="Y10" s="5" t="s">
        <v>11</v>
      </c>
      <c r="Z10" s="5" t="s">
        <v>13</v>
      </c>
      <c r="AA10" s="152"/>
      <c r="AB10" s="6" t="s">
        <v>4</v>
      </c>
      <c r="AC10" s="7" t="s">
        <v>14</v>
      </c>
      <c r="AD10" s="8" t="s">
        <v>10</v>
      </c>
      <c r="AE10" s="172"/>
    </row>
    <row r="11" spans="2:31" ht="15.75" thickBot="1" x14ac:dyDescent="0.3">
      <c r="B11" s="9">
        <v>150</v>
      </c>
      <c r="C11" s="10">
        <v>150</v>
      </c>
      <c r="D11" s="10" t="str">
        <f>IF(C11&lt;=B11,"Tidak","Ya")</f>
        <v>Tidak</v>
      </c>
      <c r="E11" s="10" t="e">
        <f>IF(#REF!="Ya","L2",0)</f>
        <v>#REF!</v>
      </c>
      <c r="F11" s="16" t="e">
        <f t="shared" ref="F11:G11" si="2">IF(E11="Ya","L2",0)</f>
        <v>#REF!</v>
      </c>
      <c r="G11" s="10" t="e">
        <f t="shared" si="2"/>
        <v>#REF!</v>
      </c>
      <c r="H11" s="16">
        <f>IF(D11="Ya","LA11",0)</f>
        <v>0</v>
      </c>
      <c r="I11" s="68">
        <v>0</v>
      </c>
      <c r="J11" s="16" t="e">
        <f>IF(I11&lt;=#REF!,"Ya","Tidak")</f>
        <v>#REF!</v>
      </c>
      <c r="K11" s="10"/>
      <c r="L11" s="10" t="e">
        <f>IF(J11="Ya","KK1",0)</f>
        <v>#REF!</v>
      </c>
      <c r="M11" s="10" t="e">
        <f t="shared" ref="M11:P11" si="3">IF(L11="Ya","L2",0)</f>
        <v>#REF!</v>
      </c>
      <c r="N11" s="10" t="e">
        <f t="shared" si="3"/>
        <v>#REF!</v>
      </c>
      <c r="O11" s="10" t="e">
        <f t="shared" si="3"/>
        <v>#REF!</v>
      </c>
      <c r="P11" s="10" t="e">
        <f t="shared" si="3"/>
        <v>#REF!</v>
      </c>
      <c r="Q11" s="10" t="e">
        <f>IF(J11="Ya","RE02",0)</f>
        <v>#REF!</v>
      </c>
      <c r="R11" s="21" t="s">
        <v>19</v>
      </c>
      <c r="S11" s="13" t="s">
        <v>20</v>
      </c>
      <c r="T11" s="14" t="s">
        <v>21</v>
      </c>
      <c r="U11" s="15" t="str">
        <f>IF(S11=T11,"Pindah","Ya")</f>
        <v>Ya</v>
      </c>
      <c r="V11" s="14" t="str">
        <f>IF(U11="Ya","KU1","KU3")</f>
        <v>KU1</v>
      </c>
      <c r="W11" s="16">
        <v>1</v>
      </c>
      <c r="X11" s="15" t="str">
        <f>IF(U11="Ya","Tidak","Ya")</f>
        <v>Tidak</v>
      </c>
      <c r="Y11" s="14" t="str">
        <f>IF(X11="Tidak","0","KU1")</f>
        <v>0</v>
      </c>
      <c r="Z11" s="16">
        <v>1</v>
      </c>
      <c r="AA11" s="10" t="str">
        <f>IF(X11="Tidak","KU01","KU02")</f>
        <v>KU01</v>
      </c>
      <c r="AB11" s="17">
        <v>0.2</v>
      </c>
      <c r="AC11" s="18">
        <v>0.6</v>
      </c>
      <c r="AD11" s="19" t="str">
        <f>IF(AC11&lt;=AB11,"Tidak","Ya")</f>
        <v>Ya</v>
      </c>
      <c r="AE11" s="20" t="e">
        <f>IF(D11="Tidak",IF(J11="Tidak",IF(AA11="Ya",IF(AD11="Ya","Jalan","Tidak Jalan"),"Tidak Jalan"),"Tidak Jalan"),"Tidak Jalan")</f>
        <v>#REF!</v>
      </c>
    </row>
    <row r="12" spans="2:31" x14ac:dyDescent="0.25">
      <c r="AA12" t="s">
        <v>22</v>
      </c>
    </row>
    <row r="13" spans="2:31" ht="15.75" thickBot="1" x14ac:dyDescent="0.3">
      <c r="G13" t="s">
        <v>153</v>
      </c>
      <c r="H13" s="84" t="s">
        <v>129</v>
      </c>
    </row>
    <row r="14" spans="2:31" ht="45.75" thickBot="1" x14ac:dyDescent="0.3">
      <c r="B14" s="45" t="s">
        <v>23</v>
      </c>
      <c r="C14" s="66" t="s">
        <v>24</v>
      </c>
      <c r="D14" s="46" t="s">
        <v>25</v>
      </c>
      <c r="E14" s="47" t="s">
        <v>26</v>
      </c>
      <c r="F14" s="47" t="s">
        <v>8</v>
      </c>
      <c r="G14" s="47" t="s">
        <v>5</v>
      </c>
      <c r="H14" s="48" t="s">
        <v>4</v>
      </c>
      <c r="I14" s="47" t="s">
        <v>40</v>
      </c>
      <c r="J14" s="47" t="s">
        <v>41</v>
      </c>
      <c r="K14" s="47" t="s">
        <v>46</v>
      </c>
      <c r="L14" s="49" t="s">
        <v>27</v>
      </c>
    </row>
    <row r="15" spans="2:31" ht="30" x14ac:dyDescent="0.25">
      <c r="B15" s="90">
        <v>1</v>
      </c>
      <c r="C15" s="179" t="s">
        <v>48</v>
      </c>
      <c r="D15" s="90" t="s">
        <v>28</v>
      </c>
      <c r="E15" s="129" t="s">
        <v>29</v>
      </c>
      <c r="F15" s="55" t="s">
        <v>39</v>
      </c>
      <c r="G15" s="51">
        <v>150</v>
      </c>
      <c r="H15" s="70">
        <v>100</v>
      </c>
      <c r="I15" s="55">
        <f>IF(H15&gt;=G15,"RMK01",0)</f>
        <v>0</v>
      </c>
      <c r="J15" s="55" t="str">
        <f>IF(H15&lt;G15,"Saklar Lampu",0)</f>
        <v>Saklar Lampu</v>
      </c>
      <c r="K15" s="50"/>
      <c r="L15" s="57"/>
    </row>
    <row r="16" spans="2:31" x14ac:dyDescent="0.25">
      <c r="B16" s="91"/>
      <c r="C16" s="180"/>
      <c r="D16" s="91"/>
      <c r="E16" s="94"/>
      <c r="F16" s="25" t="s">
        <v>39</v>
      </c>
      <c r="G16" s="24">
        <v>150</v>
      </c>
      <c r="H16" s="33">
        <v>150</v>
      </c>
      <c r="I16" s="30" t="str">
        <f>IF(H16&gt;=G16,"RMK01",0)</f>
        <v>RMK01</v>
      </c>
      <c r="J16" s="25">
        <f>IF(H16&lt;G16,"Saklar Lampu",0)</f>
        <v>0</v>
      </c>
      <c r="K16" s="23"/>
      <c r="L16" s="43"/>
    </row>
    <row r="17" spans="2:13" x14ac:dyDescent="0.25">
      <c r="B17" s="91"/>
      <c r="C17" s="180"/>
      <c r="D17" s="91"/>
      <c r="E17" s="95" t="s">
        <v>125</v>
      </c>
      <c r="F17" s="25" t="s">
        <v>124</v>
      </c>
      <c r="G17" s="24">
        <v>1</v>
      </c>
      <c r="H17" s="33">
        <v>1</v>
      </c>
      <c r="I17" s="30">
        <f>IF(H17&lt;G17,"Meja makan",0)</f>
        <v>0</v>
      </c>
      <c r="J17" s="30" t="str">
        <f>IF(H17&gt;=G17,"Batal",0)</f>
        <v>Batal</v>
      </c>
      <c r="K17" s="23"/>
      <c r="L17" s="43"/>
    </row>
    <row r="18" spans="2:13" x14ac:dyDescent="0.25">
      <c r="B18" s="91"/>
      <c r="C18" s="180"/>
      <c r="D18" s="91"/>
      <c r="E18" s="94"/>
      <c r="F18" s="25" t="s">
        <v>124</v>
      </c>
      <c r="G18" s="24">
        <v>1</v>
      </c>
      <c r="H18" s="33">
        <v>0.6</v>
      </c>
      <c r="I18" s="30" t="str">
        <f>IF(H18&lt;G18,"Meja makan",0)</f>
        <v>Meja makan</v>
      </c>
      <c r="J18" s="30">
        <f>IF(H18&gt;=G18,"Batal",0)</f>
        <v>0</v>
      </c>
      <c r="K18" s="23"/>
      <c r="L18" s="43"/>
    </row>
    <row r="19" spans="2:13" ht="30" x14ac:dyDescent="0.25">
      <c r="B19" s="91"/>
      <c r="C19" s="180"/>
      <c r="D19" s="91"/>
      <c r="E19" s="123" t="s">
        <v>38</v>
      </c>
      <c r="F19" s="25" t="s">
        <v>126</v>
      </c>
      <c r="G19" s="25" t="s">
        <v>30</v>
      </c>
      <c r="H19" s="33" t="s">
        <v>31</v>
      </c>
      <c r="I19" s="25">
        <f>IF(H19=G19,"Meja makan",0)</f>
        <v>0</v>
      </c>
      <c r="J19" s="25" t="str">
        <f>IF(H19=G19,0,"Rice cooker 2")</f>
        <v>Rice cooker 2</v>
      </c>
      <c r="K19" s="25"/>
      <c r="L19" s="43"/>
    </row>
    <row r="20" spans="2:13" x14ac:dyDescent="0.25">
      <c r="B20" s="91"/>
      <c r="C20" s="180"/>
      <c r="D20" s="91"/>
      <c r="E20" s="124"/>
      <c r="F20" s="25" t="s">
        <v>126</v>
      </c>
      <c r="G20" s="25" t="s">
        <v>30</v>
      </c>
      <c r="H20" s="33" t="s">
        <v>132</v>
      </c>
      <c r="I20" s="25" t="str">
        <f t="shared" ref="I20:I24" si="4">IF(H20=G20,"Meja makan",0)</f>
        <v>Meja makan</v>
      </c>
      <c r="J20" s="25">
        <f>IF(H20=G20,0,"Rice cooker 1")</f>
        <v>0</v>
      </c>
      <c r="K20" s="25"/>
      <c r="L20" s="43"/>
    </row>
    <row r="21" spans="2:13" ht="30" x14ac:dyDescent="0.25">
      <c r="B21" s="91"/>
      <c r="C21" s="180"/>
      <c r="D21" s="91"/>
      <c r="E21" s="124"/>
      <c r="F21" s="25" t="s">
        <v>126</v>
      </c>
      <c r="G21" s="25" t="s">
        <v>30</v>
      </c>
      <c r="H21" s="33" t="s">
        <v>31</v>
      </c>
      <c r="I21" s="25">
        <f t="shared" si="4"/>
        <v>0</v>
      </c>
      <c r="J21" s="25" t="str">
        <f>IF(H21=G21,0,"Rice cooker 1")</f>
        <v>Rice cooker 1</v>
      </c>
      <c r="K21" s="25"/>
      <c r="L21" s="43"/>
    </row>
    <row r="22" spans="2:13" x14ac:dyDescent="0.25">
      <c r="B22" s="91"/>
      <c r="C22" s="180"/>
      <c r="D22" s="91"/>
      <c r="E22" s="124"/>
      <c r="F22" s="25" t="s">
        <v>126</v>
      </c>
      <c r="G22" s="25" t="s">
        <v>30</v>
      </c>
      <c r="H22" s="33" t="s">
        <v>132</v>
      </c>
      <c r="I22" s="25" t="str">
        <f t="shared" si="4"/>
        <v>Meja makan</v>
      </c>
      <c r="J22" s="25">
        <f>IF(H22=G22,0,"Batal")</f>
        <v>0</v>
      </c>
      <c r="K22" s="25"/>
      <c r="L22" s="43"/>
    </row>
    <row r="23" spans="2:13" x14ac:dyDescent="0.25">
      <c r="B23" s="91"/>
      <c r="C23" s="180"/>
      <c r="D23" s="91"/>
      <c r="E23" s="124"/>
      <c r="F23" s="25" t="s">
        <v>126</v>
      </c>
      <c r="G23" s="25" t="s">
        <v>30</v>
      </c>
      <c r="H23" s="33" t="s">
        <v>31</v>
      </c>
      <c r="I23" s="25">
        <f t="shared" si="4"/>
        <v>0</v>
      </c>
      <c r="J23" s="25" t="str">
        <f>IF(H23=G23,0,"Batal")</f>
        <v>Batal</v>
      </c>
      <c r="K23" s="25"/>
      <c r="L23" s="43"/>
    </row>
    <row r="24" spans="2:13" x14ac:dyDescent="0.25">
      <c r="B24" s="91"/>
      <c r="C24" s="180"/>
      <c r="D24" s="91"/>
      <c r="E24" s="177"/>
      <c r="F24" s="25" t="s">
        <v>126</v>
      </c>
      <c r="G24" s="25" t="s">
        <v>30</v>
      </c>
      <c r="H24" s="33" t="s">
        <v>132</v>
      </c>
      <c r="I24" s="25" t="str">
        <f t="shared" si="4"/>
        <v>Meja makan</v>
      </c>
      <c r="J24" s="25">
        <f>IF(H24=G24,0,"Batal")</f>
        <v>0</v>
      </c>
      <c r="K24" s="25"/>
      <c r="L24" s="43"/>
    </row>
    <row r="25" spans="2:13" ht="26.25" x14ac:dyDescent="0.25">
      <c r="B25" s="91"/>
      <c r="C25" s="180"/>
      <c r="D25" s="91"/>
      <c r="E25" s="95" t="s">
        <v>53</v>
      </c>
      <c r="F25" s="25" t="s">
        <v>19</v>
      </c>
      <c r="G25" s="23" t="s">
        <v>20</v>
      </c>
      <c r="H25" s="33" t="s">
        <v>21</v>
      </c>
      <c r="I25" s="25">
        <f t="shared" ref="I19:I26" si="5">IF(H25=G25,"Kursi",0)</f>
        <v>0</v>
      </c>
      <c r="J25" s="25" t="str">
        <f>IF(H25=G25,0,"RKG01")</f>
        <v>RKG01</v>
      </c>
      <c r="K25" s="25"/>
      <c r="L25" s="59" t="s">
        <v>43</v>
      </c>
      <c r="M25" s="26"/>
    </row>
    <row r="26" spans="2:13" x14ac:dyDescent="0.25">
      <c r="B26" s="91"/>
      <c r="C26" s="180"/>
      <c r="D26" s="91"/>
      <c r="E26" s="94"/>
      <c r="F26" s="25" t="s">
        <v>19</v>
      </c>
      <c r="G26" s="23" t="s">
        <v>20</v>
      </c>
      <c r="H26" s="33" t="s">
        <v>20</v>
      </c>
      <c r="I26" s="25" t="str">
        <f t="shared" si="5"/>
        <v>Kursi</v>
      </c>
      <c r="J26" s="25">
        <f>IF(H26=G26,0,"RKG01")</f>
        <v>0</v>
      </c>
      <c r="K26" s="25"/>
      <c r="L26" s="86"/>
      <c r="M26" s="26"/>
    </row>
    <row r="27" spans="2:13" ht="30" x14ac:dyDescent="0.25">
      <c r="B27" s="91"/>
      <c r="C27" s="180"/>
      <c r="D27" s="91"/>
      <c r="E27" s="95" t="s">
        <v>148</v>
      </c>
      <c r="F27" s="29" t="s">
        <v>146</v>
      </c>
      <c r="G27" s="56">
        <v>27</v>
      </c>
      <c r="H27" s="64">
        <v>28</v>
      </c>
      <c r="I27" s="29">
        <f>IF(H27&lt;G27,"Kursi",0)</f>
        <v>0</v>
      </c>
      <c r="J27" s="79" t="str">
        <f>IF(H27&gt;G27,"RKG01",0)</f>
        <v>RKG01</v>
      </c>
      <c r="K27" s="79"/>
      <c r="L27" s="85"/>
      <c r="M27" s="26"/>
    </row>
    <row r="28" spans="2:13" ht="30.75" thickBot="1" x14ac:dyDescent="0.3">
      <c r="B28" s="91"/>
      <c r="C28" s="180"/>
      <c r="D28" s="105"/>
      <c r="E28" s="136"/>
      <c r="F28" s="42" t="s">
        <v>146</v>
      </c>
      <c r="G28" s="41">
        <v>27</v>
      </c>
      <c r="H28" s="54">
        <v>24</v>
      </c>
      <c r="I28" s="42" t="str">
        <f>IF(H28&lt;G28,"Kursi",0)</f>
        <v>Kursi</v>
      </c>
      <c r="J28" s="42">
        <f>IF(H28&gt;G28,"RKG01",0)</f>
        <v>0</v>
      </c>
      <c r="K28" s="42" t="s">
        <v>49</v>
      </c>
      <c r="L28" s="85"/>
      <c r="M28" s="26"/>
    </row>
    <row r="29" spans="2:13" ht="30" x14ac:dyDescent="0.25">
      <c r="B29" s="91"/>
      <c r="C29" s="180"/>
      <c r="D29" s="90" t="s">
        <v>42</v>
      </c>
      <c r="E29" s="103" t="s">
        <v>29</v>
      </c>
      <c r="F29" s="30" t="s">
        <v>39</v>
      </c>
      <c r="G29" s="39">
        <v>150</v>
      </c>
      <c r="H29" s="53">
        <v>100</v>
      </c>
      <c r="I29" s="30">
        <f>IF(H29&gt;=G29,"RKG01",0)</f>
        <v>0</v>
      </c>
      <c r="J29" s="30" t="str">
        <f>IF(H29&lt;G29,"Saklar Lampu",0)</f>
        <v>Saklar Lampu</v>
      </c>
      <c r="K29" s="38"/>
      <c r="L29" s="60"/>
    </row>
    <row r="30" spans="2:13" x14ac:dyDescent="0.25">
      <c r="B30" s="91"/>
      <c r="C30" s="180"/>
      <c r="D30" s="91"/>
      <c r="E30" s="94"/>
      <c r="F30" s="25" t="s">
        <v>39</v>
      </c>
      <c r="G30" s="24">
        <v>150</v>
      </c>
      <c r="H30" s="33">
        <v>150</v>
      </c>
      <c r="I30" s="25" t="str">
        <f>IF(H30&gt;=G30,"RKG01",0)</f>
        <v>RKG01</v>
      </c>
      <c r="J30" s="30">
        <f>IF(H30&lt;G30,"Saklar Lampu",0)</f>
        <v>0</v>
      </c>
      <c r="K30" s="36"/>
      <c r="L30" s="43"/>
    </row>
    <row r="31" spans="2:13" x14ac:dyDescent="0.25">
      <c r="B31" s="91"/>
      <c r="C31" s="180"/>
      <c r="D31" s="91"/>
      <c r="E31" s="95" t="s">
        <v>123</v>
      </c>
      <c r="F31" s="25" t="s">
        <v>124</v>
      </c>
      <c r="G31" s="24">
        <v>1</v>
      </c>
      <c r="H31" s="33">
        <v>1</v>
      </c>
      <c r="I31" s="30">
        <f>IF(H31&lt;G31,"Sofa",0)</f>
        <v>0</v>
      </c>
      <c r="J31" s="30" t="str">
        <f>IF(H31&gt;=G31,"Batal",0)</f>
        <v>Batal</v>
      </c>
      <c r="K31" s="23"/>
      <c r="L31" s="43"/>
    </row>
    <row r="32" spans="2:13" x14ac:dyDescent="0.25">
      <c r="B32" s="91"/>
      <c r="C32" s="180"/>
      <c r="D32" s="91"/>
      <c r="E32" s="94"/>
      <c r="F32" s="25" t="s">
        <v>124</v>
      </c>
      <c r="G32" s="24">
        <v>1</v>
      </c>
      <c r="H32" s="33">
        <v>0.6</v>
      </c>
      <c r="I32" s="30" t="str">
        <f>IF(H32&lt;G32,"Sofa",0)</f>
        <v>Sofa</v>
      </c>
      <c r="J32" s="30">
        <f>IF(H32&gt;=G32,"Batal",0)</f>
        <v>0</v>
      </c>
      <c r="K32" s="23"/>
      <c r="L32" s="43"/>
    </row>
    <row r="33" spans="2:13" ht="30" x14ac:dyDescent="0.25">
      <c r="B33" s="91"/>
      <c r="C33" s="180"/>
      <c r="D33" s="91"/>
      <c r="E33" s="95" t="s">
        <v>53</v>
      </c>
      <c r="F33" s="25" t="s">
        <v>44</v>
      </c>
      <c r="G33" s="23" t="s">
        <v>20</v>
      </c>
      <c r="H33" s="33" t="s">
        <v>21</v>
      </c>
      <c r="I33" s="30">
        <f>IF(H33&lt;G33,"Sofa",0)</f>
        <v>0</v>
      </c>
      <c r="J33" s="25" t="str">
        <f>IF(H33=G33,0,"Karpet")</f>
        <v>Karpet</v>
      </c>
      <c r="K33" s="36" t="s">
        <v>49</v>
      </c>
      <c r="L33" s="141" t="s">
        <v>50</v>
      </c>
    </row>
    <row r="34" spans="2:13" ht="30" x14ac:dyDescent="0.25">
      <c r="B34" s="91"/>
      <c r="C34" s="180"/>
      <c r="D34" s="91"/>
      <c r="E34" s="103"/>
      <c r="F34" s="25" t="s">
        <v>44</v>
      </c>
      <c r="G34" s="23" t="s">
        <v>20</v>
      </c>
      <c r="H34" s="33" t="s">
        <v>20</v>
      </c>
      <c r="I34" s="25" t="str">
        <f>IF(H34=G34,"Sofa",0)</f>
        <v>Sofa</v>
      </c>
      <c r="J34" s="25">
        <f t="shared" ref="J34" si="6">IF(H34=G34,0,"Karpet")</f>
        <v>0</v>
      </c>
      <c r="K34" s="36" t="s">
        <v>49</v>
      </c>
      <c r="L34" s="142"/>
      <c r="M34" s="27"/>
    </row>
    <row r="35" spans="2:13" x14ac:dyDescent="0.25">
      <c r="B35" s="91"/>
      <c r="C35" s="180"/>
      <c r="D35" s="91"/>
      <c r="E35" s="103"/>
      <c r="F35" s="25" t="s">
        <v>45</v>
      </c>
      <c r="G35" s="23" t="s">
        <v>20</v>
      </c>
      <c r="H35" s="33" t="s">
        <v>21</v>
      </c>
      <c r="I35" s="25">
        <f>IF(H35=G35,"Karpet",0)</f>
        <v>0</v>
      </c>
      <c r="J35" s="25" t="str">
        <f>IF(H35=G35,0,"Batal")</f>
        <v>Batal</v>
      </c>
      <c r="K35" s="36"/>
      <c r="L35" s="61" t="s">
        <v>47</v>
      </c>
      <c r="M35" s="27"/>
    </row>
    <row r="36" spans="2:13" x14ac:dyDescent="0.25">
      <c r="B36" s="91"/>
      <c r="C36" s="180"/>
      <c r="D36" s="91"/>
      <c r="E36" s="94"/>
      <c r="F36" s="25" t="s">
        <v>45</v>
      </c>
      <c r="G36" s="23" t="s">
        <v>20</v>
      </c>
      <c r="H36" s="33" t="s">
        <v>20</v>
      </c>
      <c r="I36" s="25" t="str">
        <f>IF(H36=G36,"Karpet",0)</f>
        <v>Karpet</v>
      </c>
      <c r="J36" s="25">
        <f>IF(H36=G36,0,"Batal")</f>
        <v>0</v>
      </c>
      <c r="K36" s="87"/>
      <c r="L36" s="86"/>
      <c r="M36" s="27"/>
    </row>
    <row r="37" spans="2:13" ht="30" x14ac:dyDescent="0.25">
      <c r="B37" s="91"/>
      <c r="C37" s="180"/>
      <c r="D37" s="91"/>
      <c r="E37" s="95" t="s">
        <v>148</v>
      </c>
      <c r="F37" s="29" t="s">
        <v>146</v>
      </c>
      <c r="G37" s="56">
        <v>25</v>
      </c>
      <c r="H37" s="64">
        <v>28</v>
      </c>
      <c r="I37" s="29">
        <f>IF(H37&lt;G37,"Sofa",0)</f>
        <v>0</v>
      </c>
      <c r="J37" s="79" t="str">
        <f>IF(H37&gt;G37,"Kipas angin",0)</f>
        <v>Kipas angin</v>
      </c>
      <c r="K37" s="79"/>
      <c r="L37" s="85"/>
      <c r="M37" s="27"/>
    </row>
    <row r="38" spans="2:13" ht="30.75" thickBot="1" x14ac:dyDescent="0.3">
      <c r="B38" s="105"/>
      <c r="C38" s="181"/>
      <c r="D38" s="105"/>
      <c r="E38" s="136"/>
      <c r="F38" s="42" t="s">
        <v>146</v>
      </c>
      <c r="G38" s="41">
        <v>25</v>
      </c>
      <c r="H38" s="54">
        <v>24</v>
      </c>
      <c r="I38" s="42" t="str">
        <f>IF(H38&lt;G38,"Sofa",0)</f>
        <v>Sofa</v>
      </c>
      <c r="J38" s="42">
        <f>IF(H38&gt;G38,"Kipas angin",0)</f>
        <v>0</v>
      </c>
      <c r="K38" s="42" t="s">
        <v>49</v>
      </c>
      <c r="L38" s="85"/>
      <c r="M38" s="27"/>
    </row>
    <row r="39" spans="2:13" ht="30" x14ac:dyDescent="0.25">
      <c r="B39" s="90">
        <v>2</v>
      </c>
      <c r="C39" s="133" t="s">
        <v>51</v>
      </c>
      <c r="D39" s="98" t="s">
        <v>28</v>
      </c>
      <c r="E39" s="129" t="s">
        <v>29</v>
      </c>
      <c r="F39" s="55" t="s">
        <v>39</v>
      </c>
      <c r="G39" s="51">
        <v>150</v>
      </c>
      <c r="H39" s="70">
        <v>100</v>
      </c>
      <c r="I39" s="55">
        <f>IF(H39&gt;=G39,"RMK01",0)</f>
        <v>0</v>
      </c>
      <c r="J39" s="55" t="str">
        <f>IF(H39&lt;G39,"Saklar Lampu",0)</f>
        <v>Saklar Lampu</v>
      </c>
      <c r="K39" s="50"/>
      <c r="L39" s="57"/>
      <c r="M39" s="27"/>
    </row>
    <row r="40" spans="2:13" x14ac:dyDescent="0.25">
      <c r="B40" s="91"/>
      <c r="C40" s="134"/>
      <c r="D40" s="99"/>
      <c r="E40" s="94"/>
      <c r="F40" s="25" t="s">
        <v>39</v>
      </c>
      <c r="G40" s="24">
        <v>150</v>
      </c>
      <c r="H40" s="33">
        <v>150</v>
      </c>
      <c r="I40" s="25" t="str">
        <f>IF(H40&gt;=G40,"RMK01",0)</f>
        <v>RMK01</v>
      </c>
      <c r="J40" s="25">
        <f>IF(H40&lt;G40,"Saklar Lampu",0)</f>
        <v>0</v>
      </c>
      <c r="K40" s="23"/>
      <c r="L40" s="43"/>
      <c r="M40" s="27"/>
    </row>
    <row r="41" spans="2:13" x14ac:dyDescent="0.25">
      <c r="B41" s="91"/>
      <c r="C41" s="134"/>
      <c r="D41" s="99"/>
      <c r="E41" s="95" t="s">
        <v>125</v>
      </c>
      <c r="F41" s="25" t="s">
        <v>124</v>
      </c>
      <c r="G41" s="24">
        <v>1.5</v>
      </c>
      <c r="H41" s="33">
        <v>1</v>
      </c>
      <c r="I41" s="30" t="str">
        <f>IF(H41&lt;G41,"Dispenser",0)</f>
        <v>Dispenser</v>
      </c>
      <c r="J41" s="30">
        <f>IF(H41&gt;=G41,"Batal",0)</f>
        <v>0</v>
      </c>
      <c r="K41" s="23"/>
      <c r="L41" s="43"/>
      <c r="M41" s="27"/>
    </row>
    <row r="42" spans="2:13" x14ac:dyDescent="0.25">
      <c r="B42" s="91"/>
      <c r="C42" s="134"/>
      <c r="D42" s="99"/>
      <c r="E42" s="94"/>
      <c r="F42" s="25" t="s">
        <v>124</v>
      </c>
      <c r="G42" s="24">
        <v>1.5</v>
      </c>
      <c r="H42" s="33">
        <v>0.6</v>
      </c>
      <c r="I42" s="30" t="str">
        <f>IF(H42&lt;G42,"Dispenser",0)</f>
        <v>Dispenser</v>
      </c>
      <c r="J42" s="30">
        <f>IF(H42&gt;=G42,"Batal",0)</f>
        <v>0</v>
      </c>
      <c r="K42" s="23"/>
      <c r="L42" s="43"/>
      <c r="M42" s="27"/>
    </row>
    <row r="43" spans="2:13" x14ac:dyDescent="0.25">
      <c r="B43" s="91"/>
      <c r="C43" s="134"/>
      <c r="D43" s="99"/>
      <c r="E43" s="106" t="s">
        <v>38</v>
      </c>
      <c r="F43" s="25" t="s">
        <v>127</v>
      </c>
      <c r="G43" s="25" t="s">
        <v>30</v>
      </c>
      <c r="H43" s="33" t="s">
        <v>31</v>
      </c>
      <c r="I43" s="25">
        <f t="shared" ref="I43:I48" si="7">IF(H43=G43,"Kursi",0)</f>
        <v>0</v>
      </c>
      <c r="J43" s="25" t="str">
        <f>IF(H43=G43,0,"Kulkas 2")</f>
        <v>Kulkas 2</v>
      </c>
      <c r="K43" s="25"/>
      <c r="L43" s="62" t="s">
        <v>54</v>
      </c>
      <c r="M43" s="27"/>
    </row>
    <row r="44" spans="2:13" x14ac:dyDescent="0.25">
      <c r="B44" s="91"/>
      <c r="C44" s="134"/>
      <c r="D44" s="99"/>
      <c r="E44" s="140"/>
      <c r="F44" s="25" t="s">
        <v>127</v>
      </c>
      <c r="G44" s="25" t="s">
        <v>30</v>
      </c>
      <c r="H44" s="33" t="s">
        <v>30</v>
      </c>
      <c r="I44" s="25" t="str">
        <f t="shared" si="7"/>
        <v>Kursi</v>
      </c>
      <c r="J44" s="25">
        <f>IF(H44=G44,0,"Kulkas 2")</f>
        <v>0</v>
      </c>
      <c r="K44" s="36"/>
      <c r="L44" s="62"/>
      <c r="M44" s="27"/>
    </row>
    <row r="45" spans="2:13" x14ac:dyDescent="0.25">
      <c r="B45" s="91"/>
      <c r="C45" s="134"/>
      <c r="D45" s="99"/>
      <c r="E45" s="140"/>
      <c r="F45" s="25" t="s">
        <v>127</v>
      </c>
      <c r="G45" s="25" t="s">
        <v>30</v>
      </c>
      <c r="H45" s="33" t="s">
        <v>31</v>
      </c>
      <c r="I45" s="25">
        <f t="shared" si="7"/>
        <v>0</v>
      </c>
      <c r="J45" s="25" t="str">
        <f>IF(H45=G45,0,"Kulkas 1")</f>
        <v>Kulkas 1</v>
      </c>
      <c r="K45" s="36"/>
      <c r="L45" s="62" t="s">
        <v>55</v>
      </c>
      <c r="M45" s="27"/>
    </row>
    <row r="46" spans="2:13" x14ac:dyDescent="0.25">
      <c r="B46" s="91"/>
      <c r="C46" s="134"/>
      <c r="D46" s="99"/>
      <c r="E46" s="107"/>
      <c r="F46" s="25" t="s">
        <v>127</v>
      </c>
      <c r="G46" s="25" t="s">
        <v>30</v>
      </c>
      <c r="H46" s="33" t="s">
        <v>30</v>
      </c>
      <c r="I46" s="25" t="str">
        <f t="shared" si="7"/>
        <v>Kursi</v>
      </c>
      <c r="J46" s="25">
        <f>IF(H46=G46,0,"Kulkas 1")</f>
        <v>0</v>
      </c>
      <c r="K46" s="36"/>
      <c r="L46" s="60"/>
      <c r="M46" s="27"/>
    </row>
    <row r="47" spans="2:13" x14ac:dyDescent="0.25">
      <c r="B47" s="91"/>
      <c r="C47" s="134"/>
      <c r="D47" s="99"/>
      <c r="E47" s="95" t="s">
        <v>53</v>
      </c>
      <c r="F47" s="25" t="s">
        <v>19</v>
      </c>
      <c r="G47" s="23" t="s">
        <v>20</v>
      </c>
      <c r="H47" s="33" t="s">
        <v>21</v>
      </c>
      <c r="I47" s="25">
        <f t="shared" si="7"/>
        <v>0</v>
      </c>
      <c r="J47" s="25" t="str">
        <f>IF(H47=G47,0,"RKG01")</f>
        <v>RKG01</v>
      </c>
      <c r="K47" s="25"/>
      <c r="L47" s="60"/>
      <c r="M47" s="27"/>
    </row>
    <row r="48" spans="2:13" ht="30.75" thickBot="1" x14ac:dyDescent="0.3">
      <c r="B48" s="91"/>
      <c r="C48" s="134"/>
      <c r="D48" s="100"/>
      <c r="E48" s="136"/>
      <c r="F48" s="42" t="s">
        <v>19</v>
      </c>
      <c r="G48" s="41" t="s">
        <v>20</v>
      </c>
      <c r="H48" s="54" t="s">
        <v>20</v>
      </c>
      <c r="I48" s="42" t="str">
        <f t="shared" si="7"/>
        <v>Kursi</v>
      </c>
      <c r="J48" s="42">
        <f>IF(H48=G48,0,"RKG01")</f>
        <v>0</v>
      </c>
      <c r="K48" s="42" t="s">
        <v>49</v>
      </c>
      <c r="L48" s="63"/>
      <c r="M48" s="27"/>
    </row>
    <row r="49" spans="2:13" ht="30" x14ac:dyDescent="0.25">
      <c r="B49" s="91"/>
      <c r="C49" s="134"/>
      <c r="D49" s="98" t="s">
        <v>32</v>
      </c>
      <c r="E49" s="103" t="s">
        <v>29</v>
      </c>
      <c r="F49" s="30" t="s">
        <v>39</v>
      </c>
      <c r="G49" s="39">
        <v>150</v>
      </c>
      <c r="H49" s="53">
        <v>100</v>
      </c>
      <c r="I49" s="30">
        <f>IF(H49&gt;=G49,"Kulkas 1",0)</f>
        <v>0</v>
      </c>
      <c r="J49" s="30" t="str">
        <f>IF(H49&lt;G49,"Saklar Lampu",0)</f>
        <v>Saklar Lampu</v>
      </c>
      <c r="K49" s="38"/>
      <c r="L49" s="60"/>
      <c r="M49" s="27"/>
    </row>
    <row r="50" spans="2:13" x14ac:dyDescent="0.25">
      <c r="B50" s="91"/>
      <c r="C50" s="134"/>
      <c r="D50" s="99"/>
      <c r="E50" s="94"/>
      <c r="F50" s="25" t="s">
        <v>39</v>
      </c>
      <c r="G50" s="24">
        <v>150</v>
      </c>
      <c r="H50" s="33">
        <v>150</v>
      </c>
      <c r="I50" s="30" t="str">
        <f>IF(H50&gt;=G50,"Kulkas 1",0)</f>
        <v>Kulkas 1</v>
      </c>
      <c r="J50" s="30">
        <f>IF(H50&lt;G50,"Saklar Lampu",0)</f>
        <v>0</v>
      </c>
      <c r="K50" s="25"/>
      <c r="L50" s="60"/>
      <c r="M50" s="27"/>
    </row>
    <row r="51" spans="2:13" ht="30" x14ac:dyDescent="0.25">
      <c r="B51" s="91"/>
      <c r="C51" s="134"/>
      <c r="D51" s="99"/>
      <c r="E51" s="95" t="s">
        <v>125</v>
      </c>
      <c r="F51" s="25" t="s">
        <v>128</v>
      </c>
      <c r="G51" s="24">
        <v>1.5</v>
      </c>
      <c r="H51" s="33">
        <v>1.7</v>
      </c>
      <c r="I51" s="30">
        <f>IF(H51&lt;G51,"Kulkas 1",0)</f>
        <v>0</v>
      </c>
      <c r="J51" s="30" t="str">
        <f>IF(H51&gt;=G51,"Batal",0)</f>
        <v>Batal</v>
      </c>
      <c r="K51" s="23"/>
      <c r="L51" s="60"/>
      <c r="M51" s="27"/>
    </row>
    <row r="52" spans="2:13" ht="30" x14ac:dyDescent="0.25">
      <c r="B52" s="91"/>
      <c r="C52" s="134"/>
      <c r="D52" s="99"/>
      <c r="E52" s="94"/>
      <c r="F52" s="25" t="s">
        <v>128</v>
      </c>
      <c r="G52" s="24">
        <v>1.5</v>
      </c>
      <c r="H52" s="33">
        <v>0.6</v>
      </c>
      <c r="I52" s="30" t="str">
        <f>IF(H52&lt;G52,"Kulkas 1",0)</f>
        <v>Kulkas 1</v>
      </c>
      <c r="J52" s="30">
        <f>IF(H52&gt;=G52,"Batal",0)</f>
        <v>0</v>
      </c>
      <c r="K52" s="23"/>
      <c r="L52" s="60"/>
      <c r="M52" s="27"/>
    </row>
    <row r="53" spans="2:13" x14ac:dyDescent="0.25">
      <c r="B53" s="91"/>
      <c r="C53" s="134"/>
      <c r="D53" s="99"/>
      <c r="E53" s="123" t="s">
        <v>38</v>
      </c>
      <c r="F53" s="25" t="s">
        <v>127</v>
      </c>
      <c r="G53" s="25" t="s">
        <v>30</v>
      </c>
      <c r="H53" s="33" t="s">
        <v>31</v>
      </c>
      <c r="I53" s="25">
        <f>IF(H53=G53,"Kulkas 1",0)</f>
        <v>0</v>
      </c>
      <c r="J53" s="25" t="str">
        <f>IF(H53=G53,0,"Batal")</f>
        <v>Batal</v>
      </c>
      <c r="K53" s="37"/>
      <c r="L53" s="60"/>
      <c r="M53" s="27"/>
    </row>
    <row r="54" spans="2:13" ht="30.75" thickBot="1" x14ac:dyDescent="0.3">
      <c r="B54" s="105"/>
      <c r="C54" s="135"/>
      <c r="D54" s="100"/>
      <c r="E54" s="125"/>
      <c r="F54" s="25" t="s">
        <v>127</v>
      </c>
      <c r="G54" s="25" t="s">
        <v>30</v>
      </c>
      <c r="H54" s="33" t="s">
        <v>30</v>
      </c>
      <c r="I54" s="42" t="str">
        <f>IF(H54=G54,"Kulkas 1",0)</f>
        <v>Kulkas 1</v>
      </c>
      <c r="J54" s="42">
        <f>IF(H54=G54,0,"Batal")</f>
        <v>0</v>
      </c>
      <c r="K54" s="42" t="s">
        <v>49</v>
      </c>
      <c r="L54" s="63"/>
      <c r="M54" s="27"/>
    </row>
    <row r="55" spans="2:13" ht="30" x14ac:dyDescent="0.25">
      <c r="B55" s="90">
        <v>3</v>
      </c>
      <c r="C55" s="133" t="s">
        <v>56</v>
      </c>
      <c r="D55" s="98" t="s">
        <v>57</v>
      </c>
      <c r="E55" s="129" t="s">
        <v>29</v>
      </c>
      <c r="F55" s="55" t="s">
        <v>39</v>
      </c>
      <c r="G55" s="51">
        <v>50</v>
      </c>
      <c r="H55" s="70">
        <v>150</v>
      </c>
      <c r="I55" s="55">
        <f>IF(H55&lt;=G55,"Tempat tidur",0)</f>
        <v>0</v>
      </c>
      <c r="J55" s="55" t="str">
        <f>IF(H55&gt;G55,"Saklar Lampu",0)</f>
        <v>Saklar Lampu</v>
      </c>
      <c r="K55" s="50"/>
      <c r="L55" s="57"/>
      <c r="M55" s="27"/>
    </row>
    <row r="56" spans="2:13" ht="30" x14ac:dyDescent="0.25">
      <c r="B56" s="91"/>
      <c r="C56" s="134"/>
      <c r="D56" s="99"/>
      <c r="E56" s="94"/>
      <c r="F56" s="25" t="s">
        <v>39</v>
      </c>
      <c r="G56" s="24">
        <v>50</v>
      </c>
      <c r="H56" s="33">
        <v>40</v>
      </c>
      <c r="I56" s="25" t="str">
        <f>IF(H56&lt;=G56,"Tempat tidur",0)</f>
        <v>Tempat tidur</v>
      </c>
      <c r="J56" s="25">
        <f>IF(H56&gt;G56,"Saklar Lampu",0)</f>
        <v>0</v>
      </c>
      <c r="K56" s="23"/>
      <c r="L56" s="43"/>
    </row>
    <row r="57" spans="2:13" ht="30" x14ac:dyDescent="0.25">
      <c r="B57" s="91"/>
      <c r="C57" s="134"/>
      <c r="D57" s="99"/>
      <c r="E57" s="95" t="s">
        <v>125</v>
      </c>
      <c r="F57" s="25" t="s">
        <v>128</v>
      </c>
      <c r="G57" s="24">
        <v>0.5</v>
      </c>
      <c r="H57" s="33">
        <v>1</v>
      </c>
      <c r="I57" s="30">
        <f>IF(H57&lt;G57,"Tempat tidur",0)</f>
        <v>0</v>
      </c>
      <c r="J57" s="30" t="str">
        <f>IF(H57&gt;=G57,"Batal",0)</f>
        <v>Batal</v>
      </c>
      <c r="K57" s="23"/>
      <c r="L57" s="60"/>
    </row>
    <row r="58" spans="2:13" ht="30" x14ac:dyDescent="0.25">
      <c r="B58" s="91"/>
      <c r="C58" s="134"/>
      <c r="D58" s="99"/>
      <c r="E58" s="94"/>
      <c r="F58" s="25" t="s">
        <v>128</v>
      </c>
      <c r="G58" s="24">
        <v>0.5</v>
      </c>
      <c r="H58" s="33">
        <v>0.3</v>
      </c>
      <c r="I58" s="30" t="str">
        <f>IF(H58&lt;G58,"Tempat tidur",0)</f>
        <v>Tempat tidur</v>
      </c>
      <c r="J58" s="30">
        <f>IF(H58&gt;=G58,"Batal",0)</f>
        <v>0</v>
      </c>
      <c r="K58" s="23"/>
      <c r="L58" s="60"/>
    </row>
    <row r="59" spans="2:13" ht="30" x14ac:dyDescent="0.25">
      <c r="B59" s="91"/>
      <c r="C59" s="134"/>
      <c r="D59" s="99"/>
      <c r="E59" s="95" t="s">
        <v>148</v>
      </c>
      <c r="F59" s="29" t="s">
        <v>146</v>
      </c>
      <c r="G59" s="56">
        <v>25</v>
      </c>
      <c r="H59" s="64">
        <v>28</v>
      </c>
      <c r="I59" s="29">
        <f>IF(H59&lt;G59,"Tempat tidur",0)</f>
        <v>0</v>
      </c>
      <c r="J59" s="29" t="str">
        <f>IF(H59&gt;G59,"AC",0)</f>
        <v>AC</v>
      </c>
      <c r="K59" s="29"/>
      <c r="L59" s="60"/>
    </row>
    <row r="60" spans="2:13" ht="30" x14ac:dyDescent="0.25">
      <c r="B60" s="91"/>
      <c r="C60" s="134"/>
      <c r="D60" s="99"/>
      <c r="E60" s="94"/>
      <c r="F60" s="25" t="s">
        <v>146</v>
      </c>
      <c r="G60" s="23">
        <v>25</v>
      </c>
      <c r="H60" s="33">
        <v>24</v>
      </c>
      <c r="I60" s="25" t="str">
        <f>IF(H60&lt;G60,"Tempat tidur",0)</f>
        <v>Tempat tidur</v>
      </c>
      <c r="J60" s="25">
        <f>IF(H60&gt;G60,"AC",0)</f>
        <v>0</v>
      </c>
      <c r="K60" s="25"/>
      <c r="L60" s="60"/>
    </row>
    <row r="61" spans="2:13" ht="30" x14ac:dyDescent="0.25">
      <c r="B61" s="91"/>
      <c r="C61" s="134"/>
      <c r="D61" s="99"/>
      <c r="E61" s="103" t="s">
        <v>53</v>
      </c>
      <c r="F61" s="30" t="s">
        <v>58</v>
      </c>
      <c r="G61" s="38" t="s">
        <v>20</v>
      </c>
      <c r="H61" s="53" t="s">
        <v>21</v>
      </c>
      <c r="I61" s="30">
        <f>IF(H61=G61,"Tempat tidur",0)</f>
        <v>0</v>
      </c>
      <c r="J61" s="30" t="str">
        <f>IF(H61=G61,0,"Batal")</f>
        <v>Batal</v>
      </c>
      <c r="K61" s="30"/>
      <c r="L61" s="60"/>
    </row>
    <row r="62" spans="2:13" ht="30.75" thickBot="1" x14ac:dyDescent="0.3">
      <c r="B62" s="105"/>
      <c r="C62" s="135"/>
      <c r="D62" s="100"/>
      <c r="E62" s="136"/>
      <c r="F62" s="42" t="s">
        <v>58</v>
      </c>
      <c r="G62" s="41" t="s">
        <v>20</v>
      </c>
      <c r="H62" s="54" t="s">
        <v>20</v>
      </c>
      <c r="I62" s="42" t="str">
        <f>IF(H62=G62,"Tempat tidur",0)</f>
        <v>Tempat tidur</v>
      </c>
      <c r="J62" s="42">
        <f>IF(H62=G62,0,"Batal")</f>
        <v>0</v>
      </c>
      <c r="K62" s="42" t="s">
        <v>58</v>
      </c>
      <c r="L62" s="63"/>
    </row>
    <row r="63" spans="2:13" ht="30" x14ac:dyDescent="0.25">
      <c r="B63" s="90">
        <v>4</v>
      </c>
      <c r="C63" s="133" t="s">
        <v>59</v>
      </c>
      <c r="D63" s="98" t="s">
        <v>60</v>
      </c>
      <c r="E63" s="96" t="s">
        <v>29</v>
      </c>
      <c r="F63" s="55" t="s">
        <v>39</v>
      </c>
      <c r="G63" s="51">
        <v>150</v>
      </c>
      <c r="H63" s="70">
        <v>100</v>
      </c>
      <c r="I63" s="55">
        <f>IF(H63&gt;=G63,"Pintu",0)</f>
        <v>0</v>
      </c>
      <c r="J63" s="55" t="str">
        <f>IF(H63&lt;G63,"Saklar Lampu",0)</f>
        <v>Saklar Lampu</v>
      </c>
      <c r="K63" s="50"/>
      <c r="L63" s="57"/>
    </row>
    <row r="64" spans="2:13" x14ac:dyDescent="0.25">
      <c r="B64" s="91"/>
      <c r="C64" s="134"/>
      <c r="D64" s="99"/>
      <c r="E64" s="97"/>
      <c r="F64" s="25" t="s">
        <v>39</v>
      </c>
      <c r="G64" s="24">
        <v>150</v>
      </c>
      <c r="H64" s="33">
        <v>150</v>
      </c>
      <c r="I64" s="25" t="str">
        <f>IF(H64&gt;=G64,"Pintu",0)</f>
        <v>Pintu</v>
      </c>
      <c r="J64" s="25">
        <f>IF(H64&lt;G64,"Saklar Lampu",0)</f>
        <v>0</v>
      </c>
      <c r="K64" s="23"/>
      <c r="L64" s="43"/>
    </row>
    <row r="65" spans="2:12" ht="30" x14ac:dyDescent="0.25">
      <c r="B65" s="91"/>
      <c r="C65" s="134"/>
      <c r="D65" s="99"/>
      <c r="E65" s="95" t="s">
        <v>125</v>
      </c>
      <c r="F65" s="25" t="s">
        <v>128</v>
      </c>
      <c r="G65" s="24">
        <v>0.2</v>
      </c>
      <c r="H65" s="33">
        <v>0.2</v>
      </c>
      <c r="I65" s="30">
        <f>IF(H65&lt;G65,"Pintu",0)</f>
        <v>0</v>
      </c>
      <c r="J65" s="30" t="str">
        <f>IF(H65&gt;=G65,"Batal",0)</f>
        <v>Batal</v>
      </c>
      <c r="K65" s="23"/>
      <c r="L65" s="43"/>
    </row>
    <row r="66" spans="2:12" ht="30" x14ac:dyDescent="0.25">
      <c r="B66" s="91"/>
      <c r="C66" s="134"/>
      <c r="D66" s="99"/>
      <c r="E66" s="94"/>
      <c r="F66" s="25" t="s">
        <v>128</v>
      </c>
      <c r="G66" s="24">
        <v>0.2</v>
      </c>
      <c r="H66" s="33">
        <v>0</v>
      </c>
      <c r="I66" s="30" t="str">
        <f>IF(H66&lt;G66,"Pintu",0)</f>
        <v>Pintu</v>
      </c>
      <c r="J66" s="30">
        <f>IF(H66&gt;=G66,"Batal",0)</f>
        <v>0</v>
      </c>
      <c r="K66" s="23"/>
      <c r="L66" s="43"/>
    </row>
    <row r="67" spans="2:12" x14ac:dyDescent="0.25">
      <c r="B67" s="91"/>
      <c r="C67" s="134"/>
      <c r="D67" s="99"/>
      <c r="E67" s="97" t="s">
        <v>53</v>
      </c>
      <c r="F67" s="25" t="s">
        <v>15</v>
      </c>
      <c r="G67" s="23" t="s">
        <v>16</v>
      </c>
      <c r="H67" s="33" t="s">
        <v>61</v>
      </c>
      <c r="I67" s="25">
        <f>IF(H67=G67,"Bak mandi",0)</f>
        <v>0</v>
      </c>
      <c r="J67" s="25" t="str">
        <f>IF(H67=G67,0,"Batal")</f>
        <v>Batal</v>
      </c>
      <c r="K67" s="23"/>
      <c r="L67" s="43"/>
    </row>
    <row r="68" spans="2:12" x14ac:dyDescent="0.25">
      <c r="B68" s="91"/>
      <c r="C68" s="134"/>
      <c r="D68" s="99"/>
      <c r="E68" s="97"/>
      <c r="F68" s="25" t="s">
        <v>15</v>
      </c>
      <c r="G68" s="23" t="s">
        <v>16</v>
      </c>
      <c r="H68" s="33" t="s">
        <v>16</v>
      </c>
      <c r="I68" s="25" t="str">
        <f>IF(H68=G68,"Bak mandi",0)</f>
        <v>Bak mandi</v>
      </c>
      <c r="J68" s="25">
        <f>IF(H68=G68,0,"Batal")</f>
        <v>0</v>
      </c>
      <c r="K68" s="23"/>
      <c r="L68" s="43"/>
    </row>
    <row r="69" spans="2:12" x14ac:dyDescent="0.25">
      <c r="B69" s="91"/>
      <c r="C69" s="134"/>
      <c r="D69" s="99"/>
      <c r="E69" s="106" t="s">
        <v>38</v>
      </c>
      <c r="F69" s="25" t="s">
        <v>130</v>
      </c>
      <c r="G69" s="25">
        <v>15</v>
      </c>
      <c r="H69" s="33">
        <v>5</v>
      </c>
      <c r="I69" s="25">
        <f>IF(H69&gt;=G69,"Kloset",0)</f>
        <v>0</v>
      </c>
      <c r="J69" s="25" t="str">
        <f>IF(H69&gt;=G69,0,"Kran air")</f>
        <v>Kran air</v>
      </c>
      <c r="K69" s="23"/>
      <c r="L69" s="138" t="s">
        <v>62</v>
      </c>
    </row>
    <row r="70" spans="2:12" ht="15.75" thickBot="1" x14ac:dyDescent="0.3">
      <c r="B70" s="105"/>
      <c r="C70" s="135"/>
      <c r="D70" s="100"/>
      <c r="E70" s="137"/>
      <c r="F70" s="42" t="s">
        <v>130</v>
      </c>
      <c r="G70" s="42">
        <v>15</v>
      </c>
      <c r="H70" s="54">
        <v>80</v>
      </c>
      <c r="I70" s="42" t="str">
        <f>IF(H70&gt;=G70,"Kloset",0)</f>
        <v>Kloset</v>
      </c>
      <c r="J70" s="42">
        <f>IF(H70&gt;=G70,0,"Kran air")</f>
        <v>0</v>
      </c>
      <c r="K70" s="42" t="s">
        <v>15</v>
      </c>
      <c r="L70" s="139"/>
    </row>
    <row r="71" spans="2:12" ht="30" x14ac:dyDescent="0.25">
      <c r="B71" s="90">
        <v>6</v>
      </c>
      <c r="C71" s="133" t="s">
        <v>63</v>
      </c>
      <c r="D71" s="98" t="s">
        <v>60</v>
      </c>
      <c r="E71" s="96" t="s">
        <v>29</v>
      </c>
      <c r="F71" s="55" t="s">
        <v>39</v>
      </c>
      <c r="G71" s="51">
        <v>150</v>
      </c>
      <c r="H71" s="70">
        <v>100</v>
      </c>
      <c r="I71" s="55">
        <f>IF(H71&gt;=G71,"Pintu",0)</f>
        <v>0</v>
      </c>
      <c r="J71" s="55" t="str">
        <f>IF(H71&lt;G71,"Saklar Lampu",0)</f>
        <v>Saklar Lampu</v>
      </c>
      <c r="K71" s="50"/>
      <c r="L71" s="57"/>
    </row>
    <row r="72" spans="2:12" x14ac:dyDescent="0.25">
      <c r="B72" s="91"/>
      <c r="C72" s="134"/>
      <c r="D72" s="99"/>
      <c r="E72" s="97"/>
      <c r="F72" s="25" t="s">
        <v>39</v>
      </c>
      <c r="G72" s="24">
        <v>150</v>
      </c>
      <c r="H72" s="33">
        <v>150</v>
      </c>
      <c r="I72" s="25" t="str">
        <f>IF(H72&gt;=G72,"Pintu",0)</f>
        <v>Pintu</v>
      </c>
      <c r="J72" s="25">
        <f>IF(H72&lt;G72,"Saklar Lampu",0)</f>
        <v>0</v>
      </c>
      <c r="K72" s="23"/>
      <c r="L72" s="43"/>
    </row>
    <row r="73" spans="2:12" ht="30" x14ac:dyDescent="0.25">
      <c r="B73" s="91"/>
      <c r="C73" s="134"/>
      <c r="D73" s="99"/>
      <c r="E73" s="95" t="s">
        <v>125</v>
      </c>
      <c r="F73" s="25" t="s">
        <v>128</v>
      </c>
      <c r="G73" s="24">
        <v>0.2</v>
      </c>
      <c r="H73" s="33">
        <v>0.2</v>
      </c>
      <c r="I73" s="30">
        <f>IF(H73&lt;G73,"Pintu",0)</f>
        <v>0</v>
      </c>
      <c r="J73" s="30" t="str">
        <f>IF(H73&gt;=G73,"Batal",0)</f>
        <v>Batal</v>
      </c>
      <c r="K73" s="23"/>
      <c r="L73" s="43"/>
    </row>
    <row r="74" spans="2:12" ht="30" x14ac:dyDescent="0.25">
      <c r="B74" s="91"/>
      <c r="C74" s="134"/>
      <c r="D74" s="99"/>
      <c r="E74" s="94"/>
      <c r="F74" s="25" t="s">
        <v>128</v>
      </c>
      <c r="G74" s="24">
        <v>0.2</v>
      </c>
      <c r="H74" s="33">
        <v>0</v>
      </c>
      <c r="I74" s="30" t="str">
        <f>IF(H74&lt;G74,"Pintu",0)</f>
        <v>Pintu</v>
      </c>
      <c r="J74" s="30">
        <f>IF(H74&gt;=G74,"Batal",0)</f>
        <v>0</v>
      </c>
      <c r="K74" s="23"/>
      <c r="L74" s="43"/>
    </row>
    <row r="75" spans="2:12" x14ac:dyDescent="0.25">
      <c r="B75" s="91"/>
      <c r="C75" s="134"/>
      <c r="D75" s="99"/>
      <c r="E75" s="97" t="s">
        <v>53</v>
      </c>
      <c r="F75" s="25" t="s">
        <v>15</v>
      </c>
      <c r="G75" s="23" t="s">
        <v>16</v>
      </c>
      <c r="H75" s="33" t="s">
        <v>61</v>
      </c>
      <c r="I75" s="25">
        <f>IF(H75=G75,"Bak mandi",0)</f>
        <v>0</v>
      </c>
      <c r="J75" s="25" t="str">
        <f>IF(H75=G75,0,"Batal")</f>
        <v>Batal</v>
      </c>
      <c r="K75" s="23"/>
      <c r="L75" s="43"/>
    </row>
    <row r="76" spans="2:12" x14ac:dyDescent="0.25">
      <c r="B76" s="91"/>
      <c r="C76" s="134"/>
      <c r="D76" s="99"/>
      <c r="E76" s="97"/>
      <c r="F76" s="25" t="s">
        <v>15</v>
      </c>
      <c r="G76" s="23" t="s">
        <v>16</v>
      </c>
      <c r="H76" s="33" t="s">
        <v>16</v>
      </c>
      <c r="I76" s="25" t="str">
        <f>IF(H76=G76,"Bak mandi",0)</f>
        <v>Bak mandi</v>
      </c>
      <c r="J76" s="25">
        <f>IF(H76=G76,0,"Batal")</f>
        <v>0</v>
      </c>
      <c r="K76" s="23"/>
      <c r="L76" s="43"/>
    </row>
    <row r="77" spans="2:12" x14ac:dyDescent="0.25">
      <c r="B77" s="91"/>
      <c r="C77" s="134"/>
      <c r="D77" s="99"/>
      <c r="E77" s="111" t="s">
        <v>38</v>
      </c>
      <c r="F77" s="25" t="s">
        <v>130</v>
      </c>
      <c r="G77" s="25">
        <v>30</v>
      </c>
      <c r="H77" s="33">
        <v>5</v>
      </c>
      <c r="I77" s="25">
        <f>IF(H77&gt;=G77,"Kloset",0)</f>
        <v>0</v>
      </c>
      <c r="J77" s="25" t="str">
        <f>IF(H77&gt;=G77,0,"Kran air")</f>
        <v>Kran air</v>
      </c>
      <c r="K77" s="23"/>
      <c r="L77" s="138" t="s">
        <v>62</v>
      </c>
    </row>
    <row r="78" spans="2:12" ht="15.75" thickBot="1" x14ac:dyDescent="0.3">
      <c r="B78" s="105"/>
      <c r="C78" s="135"/>
      <c r="D78" s="100"/>
      <c r="E78" s="112"/>
      <c r="F78" s="42" t="s">
        <v>130</v>
      </c>
      <c r="G78" s="42">
        <v>30</v>
      </c>
      <c r="H78" s="54">
        <v>80</v>
      </c>
      <c r="I78" s="42" t="str">
        <f>IF(H78&gt;=G78,"Kloset",0)</f>
        <v>Kloset</v>
      </c>
      <c r="J78" s="42">
        <f>IF(H78&gt;=G78,0,"Kran air")</f>
        <v>0</v>
      </c>
      <c r="K78" s="42" t="s">
        <v>15</v>
      </c>
      <c r="L78" s="139"/>
    </row>
    <row r="79" spans="2:12" ht="30" x14ac:dyDescent="0.25">
      <c r="B79" s="90">
        <v>7</v>
      </c>
      <c r="C79" s="133" t="s">
        <v>64</v>
      </c>
      <c r="D79" s="98" t="s">
        <v>60</v>
      </c>
      <c r="E79" s="96" t="s">
        <v>29</v>
      </c>
      <c r="F79" s="55" t="s">
        <v>39</v>
      </c>
      <c r="G79" s="51">
        <v>150</v>
      </c>
      <c r="H79" s="70">
        <v>100</v>
      </c>
      <c r="I79" s="55">
        <f>IF(H79&gt;=G79,"Pintu",0)</f>
        <v>0</v>
      </c>
      <c r="J79" s="55" t="str">
        <f>IF(H79&lt;G79,"Saklar Lampu",0)</f>
        <v>Saklar Lampu</v>
      </c>
      <c r="K79" s="50"/>
      <c r="L79" s="57"/>
    </row>
    <row r="80" spans="2:12" x14ac:dyDescent="0.25">
      <c r="B80" s="91"/>
      <c r="C80" s="134"/>
      <c r="D80" s="99"/>
      <c r="E80" s="97"/>
      <c r="F80" s="25" t="s">
        <v>39</v>
      </c>
      <c r="G80" s="24">
        <v>150</v>
      </c>
      <c r="H80" s="33">
        <v>150</v>
      </c>
      <c r="I80" s="25" t="str">
        <f>IF(H80&gt;=G80,"Pintu",0)</f>
        <v>Pintu</v>
      </c>
      <c r="J80" s="25">
        <f>IF(H80&lt;G80,"Saklar Lampu",0)</f>
        <v>0</v>
      </c>
      <c r="K80" s="23"/>
      <c r="L80" s="43"/>
    </row>
    <row r="81" spans="2:12" ht="30" x14ac:dyDescent="0.25">
      <c r="B81" s="91"/>
      <c r="C81" s="134"/>
      <c r="D81" s="99"/>
      <c r="E81" s="95" t="s">
        <v>125</v>
      </c>
      <c r="F81" s="25" t="s">
        <v>128</v>
      </c>
      <c r="G81" s="24">
        <v>0.2</v>
      </c>
      <c r="H81" s="33">
        <v>0.2</v>
      </c>
      <c r="I81" s="30">
        <f>IF(H81&lt;G81,"Pintu",0)</f>
        <v>0</v>
      </c>
      <c r="J81" s="30" t="str">
        <f>IF(H81&gt;=G81,"Batal",0)</f>
        <v>Batal</v>
      </c>
      <c r="K81" s="23"/>
      <c r="L81" s="43"/>
    </row>
    <row r="82" spans="2:12" ht="30" x14ac:dyDescent="0.25">
      <c r="B82" s="91"/>
      <c r="C82" s="134"/>
      <c r="D82" s="99"/>
      <c r="E82" s="94"/>
      <c r="F82" s="25" t="s">
        <v>128</v>
      </c>
      <c r="G82" s="24">
        <v>0.2</v>
      </c>
      <c r="H82" s="33">
        <v>0</v>
      </c>
      <c r="I82" s="30" t="str">
        <f>IF(H82&lt;G82,"Pintu",0)</f>
        <v>Pintu</v>
      </c>
      <c r="J82" s="30">
        <f>IF(H82&gt;=G82,"Batal",0)</f>
        <v>0</v>
      </c>
      <c r="K82" s="23"/>
      <c r="L82" s="43"/>
    </row>
    <row r="83" spans="2:12" x14ac:dyDescent="0.25">
      <c r="B83" s="91"/>
      <c r="C83" s="134"/>
      <c r="D83" s="99"/>
      <c r="E83" s="97" t="s">
        <v>53</v>
      </c>
      <c r="F83" s="25" t="s">
        <v>15</v>
      </c>
      <c r="G83" s="23" t="s">
        <v>16</v>
      </c>
      <c r="H83" s="33" t="s">
        <v>61</v>
      </c>
      <c r="I83" s="25">
        <f>IF(H83=G83,"Bak mandi",0)</f>
        <v>0</v>
      </c>
      <c r="J83" s="25" t="str">
        <f>IF(H83=G83,0,"Batal")</f>
        <v>Batal</v>
      </c>
      <c r="K83" s="23"/>
      <c r="L83" s="43"/>
    </row>
    <row r="84" spans="2:12" x14ac:dyDescent="0.25">
      <c r="B84" s="91"/>
      <c r="C84" s="134"/>
      <c r="D84" s="99"/>
      <c r="E84" s="97"/>
      <c r="F84" s="25" t="s">
        <v>15</v>
      </c>
      <c r="G84" s="23" t="s">
        <v>16</v>
      </c>
      <c r="H84" s="33" t="s">
        <v>16</v>
      </c>
      <c r="I84" s="25" t="str">
        <f>IF(H84=G84,"Bak mandi",0)</f>
        <v>Bak mandi</v>
      </c>
      <c r="J84" s="25">
        <f>IF(H84=G84,0,"Batal")</f>
        <v>0</v>
      </c>
      <c r="K84" s="23"/>
      <c r="L84" s="43"/>
    </row>
    <row r="85" spans="2:12" x14ac:dyDescent="0.25">
      <c r="B85" s="91"/>
      <c r="C85" s="134"/>
      <c r="D85" s="99"/>
      <c r="E85" s="111" t="s">
        <v>38</v>
      </c>
      <c r="F85" s="25" t="s">
        <v>130</v>
      </c>
      <c r="G85" s="25">
        <v>120</v>
      </c>
      <c r="H85" s="33">
        <v>5</v>
      </c>
      <c r="I85" s="25">
        <f>IF(H85&gt;=G85,"Bak mandi",0)</f>
        <v>0</v>
      </c>
      <c r="J85" s="25" t="str">
        <f>IF(H85&gt;=G85,0,"Kran air")</f>
        <v>Kran air</v>
      </c>
      <c r="K85" s="23"/>
      <c r="L85" s="138" t="s">
        <v>62</v>
      </c>
    </row>
    <row r="86" spans="2:12" ht="15.75" thickBot="1" x14ac:dyDescent="0.3">
      <c r="B86" s="105"/>
      <c r="C86" s="135"/>
      <c r="D86" s="100"/>
      <c r="E86" s="112"/>
      <c r="F86" s="42" t="s">
        <v>130</v>
      </c>
      <c r="G86" s="42">
        <v>120</v>
      </c>
      <c r="H86" s="54">
        <v>150</v>
      </c>
      <c r="I86" s="42" t="str">
        <f>IF(H86&gt;=G86,"Bak mandi",0)</f>
        <v>Bak mandi</v>
      </c>
      <c r="J86" s="42">
        <f>IF(H86&gt;=G86,0,"Kran air")</f>
        <v>0</v>
      </c>
      <c r="K86" s="42" t="s">
        <v>15</v>
      </c>
      <c r="L86" s="139"/>
    </row>
    <row r="87" spans="2:12" ht="30" x14ac:dyDescent="0.25">
      <c r="B87" s="90">
        <v>51</v>
      </c>
      <c r="C87" s="92" t="s">
        <v>122</v>
      </c>
      <c r="D87" s="90" t="s">
        <v>57</v>
      </c>
      <c r="E87" s="129" t="s">
        <v>29</v>
      </c>
      <c r="F87" s="55" t="s">
        <v>39</v>
      </c>
      <c r="G87" s="51">
        <v>150</v>
      </c>
      <c r="H87" s="70">
        <v>100</v>
      </c>
      <c r="I87" s="55">
        <f>IF(H87&gt;=G87,"Pintu",0)</f>
        <v>0</v>
      </c>
      <c r="J87" s="55" t="str">
        <f>IF(H87&lt;G87,"Saklar Lampu",0)</f>
        <v>Saklar Lampu</v>
      </c>
      <c r="K87" s="50"/>
      <c r="L87" s="57"/>
    </row>
    <row r="88" spans="2:12" x14ac:dyDescent="0.25">
      <c r="B88" s="91"/>
      <c r="C88" s="93"/>
      <c r="D88" s="91"/>
      <c r="E88" s="94"/>
      <c r="F88" s="25" t="s">
        <v>39</v>
      </c>
      <c r="G88" s="24">
        <v>150</v>
      </c>
      <c r="H88" s="33">
        <v>150</v>
      </c>
      <c r="I88" s="25" t="str">
        <f>IF(H88&gt;=G88,"Pintu",0)</f>
        <v>Pintu</v>
      </c>
      <c r="J88" s="25">
        <f>IF(H88&lt;G88,"Saklar Lampu",0)</f>
        <v>0</v>
      </c>
      <c r="K88" s="23"/>
      <c r="L88" s="43"/>
    </row>
    <row r="89" spans="2:12" x14ac:dyDescent="0.25">
      <c r="B89" s="91"/>
      <c r="C89" s="93"/>
      <c r="D89" s="91"/>
      <c r="E89" s="97" t="s">
        <v>53</v>
      </c>
      <c r="F89" s="25" t="s">
        <v>15</v>
      </c>
      <c r="G89" s="23" t="s">
        <v>16</v>
      </c>
      <c r="H89" s="33" t="s">
        <v>61</v>
      </c>
      <c r="I89" s="25">
        <f>IF(H89=G89,"RTU01",0)</f>
        <v>0</v>
      </c>
      <c r="J89" s="25" t="str">
        <f>IF(H89=G89,0,"Batal")</f>
        <v>Batal</v>
      </c>
      <c r="K89" s="80"/>
      <c r="L89" s="81"/>
    </row>
    <row r="90" spans="2:12" x14ac:dyDescent="0.25">
      <c r="B90" s="91"/>
      <c r="C90" s="93"/>
      <c r="D90" s="91"/>
      <c r="E90" s="97"/>
      <c r="F90" s="25" t="s">
        <v>15</v>
      </c>
      <c r="G90" s="23" t="s">
        <v>16</v>
      </c>
      <c r="H90" s="33" t="s">
        <v>16</v>
      </c>
      <c r="I90" s="25" t="str">
        <f>IF(H90=G90,"RTU01",0)</f>
        <v>RTU01</v>
      </c>
      <c r="J90" s="25">
        <f>IF(H90=G90,0,"Batal")</f>
        <v>0</v>
      </c>
      <c r="K90" s="23"/>
      <c r="L90" s="81"/>
    </row>
    <row r="91" spans="2:12" ht="30" x14ac:dyDescent="0.25">
      <c r="B91" s="91"/>
      <c r="C91" s="93"/>
      <c r="D91" s="91"/>
      <c r="E91" s="103" t="s">
        <v>125</v>
      </c>
      <c r="F91" s="30" t="s">
        <v>128</v>
      </c>
      <c r="G91" s="39">
        <v>0.2</v>
      </c>
      <c r="H91" s="53">
        <v>0.2</v>
      </c>
      <c r="I91" s="30">
        <f>IF(H91&lt;G91,"Lemari",0)</f>
        <v>0</v>
      </c>
      <c r="J91" s="30" t="str">
        <f>IF(H91&gt;=G91,"Batal",0)</f>
        <v>Batal</v>
      </c>
      <c r="K91" s="23"/>
      <c r="L91" s="81"/>
    </row>
    <row r="92" spans="2:12" ht="30" x14ac:dyDescent="0.25">
      <c r="B92" s="91"/>
      <c r="C92" s="93"/>
      <c r="D92" s="91"/>
      <c r="E92" s="94"/>
      <c r="F92" s="25" t="s">
        <v>128</v>
      </c>
      <c r="G92" s="24">
        <v>0.2</v>
      </c>
      <c r="H92" s="33">
        <v>0</v>
      </c>
      <c r="I92" s="30" t="str">
        <f>IF(H92&lt;G92,"Lemari",0)</f>
        <v>Lemari</v>
      </c>
      <c r="J92" s="30">
        <f>IF(H92&gt;=G92,"Batal",0)</f>
        <v>0</v>
      </c>
      <c r="K92" s="23"/>
      <c r="L92" s="81"/>
    </row>
    <row r="93" spans="2:12" x14ac:dyDescent="0.25">
      <c r="B93" s="91"/>
      <c r="C93" s="93"/>
      <c r="D93" s="91"/>
      <c r="E93" s="97" t="s">
        <v>53</v>
      </c>
      <c r="F93" s="25" t="s">
        <v>131</v>
      </c>
      <c r="G93" s="23" t="s">
        <v>16</v>
      </c>
      <c r="H93" s="33" t="s">
        <v>61</v>
      </c>
      <c r="I93" s="25">
        <f>IF(H93=G93,"Lemari",0)</f>
        <v>0</v>
      </c>
      <c r="J93" s="25" t="str">
        <f>IF(H93=G93,0,"Batal")</f>
        <v>Batal</v>
      </c>
      <c r="K93" s="23"/>
      <c r="L93" s="81"/>
    </row>
    <row r="94" spans="2:12" ht="15.75" thickBot="1" x14ac:dyDescent="0.3">
      <c r="B94" s="105"/>
      <c r="C94" s="104"/>
      <c r="D94" s="105"/>
      <c r="E94" s="97"/>
      <c r="F94" s="25" t="s">
        <v>131</v>
      </c>
      <c r="G94" s="23" t="s">
        <v>16</v>
      </c>
      <c r="H94" s="33" t="s">
        <v>16</v>
      </c>
      <c r="I94" s="25" t="str">
        <f>IF(H94=G94,"Lemari",0)</f>
        <v>Lemari</v>
      </c>
      <c r="J94" s="25">
        <f>IF(H94=G94,0,"Batal")</f>
        <v>0</v>
      </c>
      <c r="K94" s="23" t="s">
        <v>57</v>
      </c>
      <c r="L94" s="81"/>
    </row>
    <row r="95" spans="2:12" ht="30" x14ac:dyDescent="0.25">
      <c r="B95" s="90">
        <v>8</v>
      </c>
      <c r="C95" s="92" t="s">
        <v>109</v>
      </c>
      <c r="D95" s="90" t="s">
        <v>60</v>
      </c>
      <c r="E95" s="96" t="s">
        <v>29</v>
      </c>
      <c r="F95" s="55" t="s">
        <v>39</v>
      </c>
      <c r="G95" s="51">
        <v>150</v>
      </c>
      <c r="H95" s="70">
        <v>100</v>
      </c>
      <c r="I95" s="55">
        <f>IF(H95&gt;=G95,"Pintu",0)</f>
        <v>0</v>
      </c>
      <c r="J95" s="55" t="str">
        <f>IF(H95&lt;G95,"Saklar Lampu",0)</f>
        <v>Saklar Lampu</v>
      </c>
      <c r="K95" s="50"/>
      <c r="L95" s="57"/>
    </row>
    <row r="96" spans="2:12" x14ac:dyDescent="0.25">
      <c r="B96" s="91"/>
      <c r="C96" s="93"/>
      <c r="D96" s="91"/>
      <c r="E96" s="97"/>
      <c r="F96" s="25" t="s">
        <v>39</v>
      </c>
      <c r="G96" s="24">
        <v>150</v>
      </c>
      <c r="H96" s="33">
        <v>150</v>
      </c>
      <c r="I96" s="25" t="str">
        <f>IF(H96&gt;=G96,"Pintu",0)</f>
        <v>Pintu</v>
      </c>
      <c r="J96" s="25">
        <f>IF(H96&lt;G96,"Saklar Lampu",0)</f>
        <v>0</v>
      </c>
      <c r="K96" s="23"/>
      <c r="L96" s="43"/>
    </row>
    <row r="97" spans="2:12" ht="30" x14ac:dyDescent="0.25">
      <c r="B97" s="91"/>
      <c r="C97" s="93"/>
      <c r="D97" s="91"/>
      <c r="E97" s="95" t="s">
        <v>125</v>
      </c>
      <c r="F97" s="25" t="s">
        <v>128</v>
      </c>
      <c r="G97" s="24">
        <v>0.2</v>
      </c>
      <c r="H97" s="33">
        <v>0.2</v>
      </c>
      <c r="I97" s="30">
        <f>IF(H97&lt;G97,"Pintu",0)</f>
        <v>0</v>
      </c>
      <c r="J97" s="30" t="str">
        <f>IF(H97&gt;=G97,"Batal",0)</f>
        <v>Batal</v>
      </c>
      <c r="K97" s="23"/>
      <c r="L97" s="43"/>
    </row>
    <row r="98" spans="2:12" ht="30" x14ac:dyDescent="0.25">
      <c r="B98" s="91"/>
      <c r="C98" s="93"/>
      <c r="D98" s="91"/>
      <c r="E98" s="94"/>
      <c r="F98" s="25" t="s">
        <v>128</v>
      </c>
      <c r="G98" s="24">
        <v>0.2</v>
      </c>
      <c r="H98" s="33">
        <v>0</v>
      </c>
      <c r="I98" s="30" t="str">
        <f>IF(H98&lt;G98,"Pintu",0)</f>
        <v>Pintu</v>
      </c>
      <c r="J98" s="30">
        <f>IF(H98&gt;=G98,"Batal",0)</f>
        <v>0</v>
      </c>
      <c r="K98" s="23"/>
      <c r="L98" s="43"/>
    </row>
    <row r="99" spans="2:12" x14ac:dyDescent="0.25">
      <c r="B99" s="91"/>
      <c r="C99" s="93"/>
      <c r="D99" s="91"/>
      <c r="E99" s="97" t="s">
        <v>53</v>
      </c>
      <c r="F99" s="25" t="s">
        <v>15</v>
      </c>
      <c r="G99" s="23" t="s">
        <v>16</v>
      </c>
      <c r="H99" s="33" t="s">
        <v>61</v>
      </c>
      <c r="I99" s="25">
        <f>IF(H99=G99,"Bak mandi",0)</f>
        <v>0</v>
      </c>
      <c r="J99" s="25" t="str">
        <f>IF(H99=G99,0,"Batal")</f>
        <v>Batal</v>
      </c>
      <c r="K99" s="23"/>
      <c r="L99" s="43"/>
    </row>
    <row r="100" spans="2:12" x14ac:dyDescent="0.25">
      <c r="B100" s="91"/>
      <c r="C100" s="93"/>
      <c r="D100" s="91"/>
      <c r="E100" s="97"/>
      <c r="F100" s="25" t="s">
        <v>15</v>
      </c>
      <c r="G100" s="23" t="s">
        <v>16</v>
      </c>
      <c r="H100" s="33" t="s">
        <v>16</v>
      </c>
      <c r="I100" s="25" t="str">
        <f>IF(H100=G100,"Bak mandi",0)</f>
        <v>Bak mandi</v>
      </c>
      <c r="J100" s="25">
        <f>IF(H100=G100,0,"Batal")</f>
        <v>0</v>
      </c>
      <c r="K100" s="23"/>
      <c r="L100" s="43"/>
    </row>
    <row r="101" spans="2:12" x14ac:dyDescent="0.25">
      <c r="B101" s="91"/>
      <c r="C101" s="93"/>
      <c r="D101" s="91"/>
      <c r="E101" s="111" t="s">
        <v>38</v>
      </c>
      <c r="F101" s="25" t="s">
        <v>130</v>
      </c>
      <c r="G101" s="25">
        <v>120</v>
      </c>
      <c r="H101" s="33">
        <v>5</v>
      </c>
      <c r="I101" s="25">
        <f>IF(H101&gt;=G101,"Bak mandi",0)</f>
        <v>0</v>
      </c>
      <c r="J101" s="25" t="str">
        <f>IF(H101&gt;=G101,0,"Kran air")</f>
        <v>Kran air</v>
      </c>
      <c r="K101" s="23"/>
      <c r="L101" s="138" t="s">
        <v>62</v>
      </c>
    </row>
    <row r="102" spans="2:12" ht="15.75" thickBot="1" x14ac:dyDescent="0.3">
      <c r="B102" s="105"/>
      <c r="C102" s="104"/>
      <c r="D102" s="105"/>
      <c r="E102" s="112"/>
      <c r="F102" s="42" t="s">
        <v>130</v>
      </c>
      <c r="G102" s="42">
        <v>120</v>
      </c>
      <c r="H102" s="54">
        <v>150</v>
      </c>
      <c r="I102" s="42" t="str">
        <f>IF(H102&gt;=G102,"Bak mandi",0)</f>
        <v>Bak mandi</v>
      </c>
      <c r="J102" s="42">
        <f>IF(H102&gt;=G102,0,"Kran air")</f>
        <v>0</v>
      </c>
      <c r="K102" s="42" t="s">
        <v>15</v>
      </c>
      <c r="L102" s="139"/>
    </row>
    <row r="103" spans="2:12" ht="30" x14ac:dyDescent="0.25">
      <c r="B103" s="90">
        <v>9</v>
      </c>
      <c r="C103" s="92" t="s">
        <v>110</v>
      </c>
      <c r="D103" s="183" t="s">
        <v>28</v>
      </c>
      <c r="E103" s="178" t="s">
        <v>29</v>
      </c>
      <c r="F103" s="55" t="s">
        <v>39</v>
      </c>
      <c r="G103" s="69">
        <v>150</v>
      </c>
      <c r="H103" s="70">
        <v>100</v>
      </c>
      <c r="I103" s="55">
        <f>IF(H103&gt;=G103,"RMK01",0)</f>
        <v>0</v>
      </c>
      <c r="J103" s="55" t="str">
        <f>IF(H103&lt;G103,"Saklar Lampu",0)</f>
        <v>Saklar Lampu</v>
      </c>
      <c r="K103" s="55"/>
      <c r="L103" s="71"/>
    </row>
    <row r="104" spans="2:12" x14ac:dyDescent="0.25">
      <c r="B104" s="91"/>
      <c r="C104" s="93"/>
      <c r="D104" s="184"/>
      <c r="E104" s="107"/>
      <c r="F104" s="25" t="s">
        <v>39</v>
      </c>
      <c r="G104" s="32">
        <v>150</v>
      </c>
      <c r="H104" s="33">
        <v>150</v>
      </c>
      <c r="I104" s="25" t="str">
        <f>IF(H104&gt;=G104,"RMK01",0)</f>
        <v>RMK01</v>
      </c>
      <c r="J104" s="25">
        <f>IF(H104&lt;G104,"Saklar Lampu",0)</f>
        <v>0</v>
      </c>
      <c r="K104" s="25"/>
      <c r="L104" s="72"/>
    </row>
    <row r="105" spans="2:12" ht="30" x14ac:dyDescent="0.25">
      <c r="B105" s="91"/>
      <c r="C105" s="93"/>
      <c r="D105" s="184"/>
      <c r="E105" s="95" t="s">
        <v>125</v>
      </c>
      <c r="F105" s="25" t="s">
        <v>128</v>
      </c>
      <c r="G105" s="24">
        <v>1</v>
      </c>
      <c r="H105" s="33">
        <v>1.7</v>
      </c>
      <c r="I105" s="30">
        <f>IF(H105&lt;G105,"Meja makan",0)</f>
        <v>0</v>
      </c>
      <c r="J105" s="30" t="str">
        <f>IF(H105&gt;=G105,"Batal",0)</f>
        <v>Batal</v>
      </c>
      <c r="K105" s="23"/>
      <c r="L105" s="72"/>
    </row>
    <row r="106" spans="2:12" ht="30" x14ac:dyDescent="0.25">
      <c r="B106" s="91"/>
      <c r="C106" s="93"/>
      <c r="D106" s="184"/>
      <c r="E106" s="94"/>
      <c r="F106" s="25" t="s">
        <v>128</v>
      </c>
      <c r="G106" s="24">
        <v>1</v>
      </c>
      <c r="H106" s="33">
        <v>0</v>
      </c>
      <c r="I106" s="30" t="str">
        <f>IF(H106&lt;G106,"Meja makan",0)</f>
        <v>Meja makan</v>
      </c>
      <c r="J106" s="30">
        <f>IF(H106&gt;=G106,"Batal",0)</f>
        <v>0</v>
      </c>
      <c r="K106" s="23"/>
      <c r="L106" s="72"/>
    </row>
    <row r="107" spans="2:12" ht="30" x14ac:dyDescent="0.25">
      <c r="B107" s="91"/>
      <c r="C107" s="93"/>
      <c r="D107" s="184"/>
      <c r="E107" s="123" t="s">
        <v>38</v>
      </c>
      <c r="F107" s="25" t="s">
        <v>126</v>
      </c>
      <c r="G107" s="25" t="s">
        <v>30</v>
      </c>
      <c r="H107" s="33" t="s">
        <v>31</v>
      </c>
      <c r="I107" s="25">
        <f>IF(H107=G107,"Meja makan",0)</f>
        <v>0</v>
      </c>
      <c r="J107" s="25" t="str">
        <f>IF(H107=G107,0,"Rice cooker 2")</f>
        <v>Rice cooker 2</v>
      </c>
      <c r="K107" s="25"/>
      <c r="L107" s="72"/>
    </row>
    <row r="108" spans="2:12" x14ac:dyDescent="0.25">
      <c r="B108" s="91"/>
      <c r="C108" s="93"/>
      <c r="D108" s="184"/>
      <c r="E108" s="124"/>
      <c r="F108" s="25" t="s">
        <v>126</v>
      </c>
      <c r="G108" s="25" t="s">
        <v>30</v>
      </c>
      <c r="H108" s="33" t="s">
        <v>132</v>
      </c>
      <c r="I108" s="25" t="str">
        <f t="shared" ref="I108:I112" si="8">IF(H108=G108,"Meja makan",0)</f>
        <v>Meja makan</v>
      </c>
      <c r="J108" s="25">
        <f>IF(H108=G108,0,"Rice cooker 1")</f>
        <v>0</v>
      </c>
      <c r="K108" s="25"/>
      <c r="L108" s="72"/>
    </row>
    <row r="109" spans="2:12" ht="30" x14ac:dyDescent="0.25">
      <c r="B109" s="91"/>
      <c r="C109" s="93"/>
      <c r="D109" s="184"/>
      <c r="E109" s="124"/>
      <c r="F109" s="25" t="s">
        <v>126</v>
      </c>
      <c r="G109" s="25" t="s">
        <v>30</v>
      </c>
      <c r="H109" s="33" t="s">
        <v>31</v>
      </c>
      <c r="I109" s="25">
        <f t="shared" si="8"/>
        <v>0</v>
      </c>
      <c r="J109" s="25" t="str">
        <f>IF(H109=G109,0,"Rice cooker 1")</f>
        <v>Rice cooker 1</v>
      </c>
      <c r="K109" s="25"/>
      <c r="L109" s="72"/>
    </row>
    <row r="110" spans="2:12" x14ac:dyDescent="0.25">
      <c r="B110" s="91"/>
      <c r="C110" s="93"/>
      <c r="D110" s="184"/>
      <c r="E110" s="124"/>
      <c r="F110" s="25" t="s">
        <v>126</v>
      </c>
      <c r="G110" s="25" t="s">
        <v>30</v>
      </c>
      <c r="H110" s="33" t="s">
        <v>132</v>
      </c>
      <c r="I110" s="25" t="str">
        <f t="shared" si="8"/>
        <v>Meja makan</v>
      </c>
      <c r="J110" s="25">
        <f>IF(H110=G110,0,"Batal")</f>
        <v>0</v>
      </c>
      <c r="K110" s="25"/>
      <c r="L110" s="72"/>
    </row>
    <row r="111" spans="2:12" x14ac:dyDescent="0.25">
      <c r="B111" s="91"/>
      <c r="C111" s="93"/>
      <c r="D111" s="184"/>
      <c r="E111" s="124"/>
      <c r="F111" s="25" t="s">
        <v>126</v>
      </c>
      <c r="G111" s="25" t="s">
        <v>30</v>
      </c>
      <c r="H111" s="33" t="s">
        <v>31</v>
      </c>
      <c r="I111" s="25">
        <f t="shared" si="8"/>
        <v>0</v>
      </c>
      <c r="J111" s="25" t="str">
        <f>IF(H111=G111,0,"Batal")</f>
        <v>Batal</v>
      </c>
      <c r="K111" s="25"/>
      <c r="L111" s="72"/>
    </row>
    <row r="112" spans="2:12" x14ac:dyDescent="0.25">
      <c r="B112" s="91"/>
      <c r="C112" s="93"/>
      <c r="D112" s="184"/>
      <c r="E112" s="177"/>
      <c r="F112" s="25" t="s">
        <v>126</v>
      </c>
      <c r="G112" s="25" t="s">
        <v>30</v>
      </c>
      <c r="H112" s="33" t="s">
        <v>132</v>
      </c>
      <c r="I112" s="25" t="str">
        <f t="shared" si="8"/>
        <v>Meja makan</v>
      </c>
      <c r="J112" s="25">
        <f>IF(H112=G112,0,"Batal")</f>
        <v>0</v>
      </c>
      <c r="K112" s="25"/>
      <c r="L112" s="72"/>
    </row>
    <row r="113" spans="2:12" ht="26.25" x14ac:dyDescent="0.25">
      <c r="B113" s="91"/>
      <c r="C113" s="93"/>
      <c r="D113" s="184"/>
      <c r="E113" s="106" t="s">
        <v>53</v>
      </c>
      <c r="F113" s="25" t="s">
        <v>19</v>
      </c>
      <c r="G113" s="25" t="s">
        <v>20</v>
      </c>
      <c r="H113" s="33" t="s">
        <v>21</v>
      </c>
      <c r="I113" s="25">
        <f t="shared" ref="I107:I114" si="9">IF(H113=G113,"Kursi",0)</f>
        <v>0</v>
      </c>
      <c r="J113" s="25" t="str">
        <f>IF(H113=G113,0,"RKG01")</f>
        <v>RKG01</v>
      </c>
      <c r="K113" s="25"/>
      <c r="L113" s="59" t="s">
        <v>43</v>
      </c>
    </row>
    <row r="114" spans="2:12" ht="30" x14ac:dyDescent="0.25">
      <c r="B114" s="91"/>
      <c r="C114" s="93"/>
      <c r="D114" s="184"/>
      <c r="E114" s="107"/>
      <c r="F114" s="25" t="s">
        <v>19</v>
      </c>
      <c r="G114" s="25" t="s">
        <v>20</v>
      </c>
      <c r="H114" s="33" t="s">
        <v>20</v>
      </c>
      <c r="I114" s="25" t="str">
        <f t="shared" si="9"/>
        <v>Kursi</v>
      </c>
      <c r="J114" s="25">
        <f>IF(H114=G114,0,"RKG01")</f>
        <v>0</v>
      </c>
      <c r="K114" s="25" t="s">
        <v>49</v>
      </c>
      <c r="L114" s="86"/>
    </row>
    <row r="115" spans="2:12" ht="30" x14ac:dyDescent="0.25">
      <c r="B115" s="91"/>
      <c r="C115" s="93"/>
      <c r="D115" s="184"/>
      <c r="E115" s="95" t="s">
        <v>148</v>
      </c>
      <c r="F115" s="29" t="s">
        <v>146</v>
      </c>
      <c r="G115" s="56">
        <v>27</v>
      </c>
      <c r="H115" s="64">
        <v>28</v>
      </c>
      <c r="I115" s="29">
        <f>IF(H115&lt;G115,"Kursi",0)</f>
        <v>0</v>
      </c>
      <c r="J115" s="29" t="str">
        <f>IF(H115&gt;G115,"RKG01",0)</f>
        <v>RKG01</v>
      </c>
      <c r="K115" s="29"/>
      <c r="L115" s="88"/>
    </row>
    <row r="116" spans="2:12" ht="30.75" thickBot="1" x14ac:dyDescent="0.3">
      <c r="B116" s="91"/>
      <c r="C116" s="93"/>
      <c r="D116" s="185"/>
      <c r="E116" s="136"/>
      <c r="F116" s="42" t="s">
        <v>146</v>
      </c>
      <c r="G116" s="41">
        <v>27</v>
      </c>
      <c r="H116" s="54">
        <v>24</v>
      </c>
      <c r="I116" s="42" t="str">
        <f>IF(H116&lt;G116,"Kursi",0)</f>
        <v>Kursi</v>
      </c>
      <c r="J116" s="42">
        <f>IF(H116&gt;G116,"RKG01",0)</f>
        <v>0</v>
      </c>
      <c r="K116" s="42" t="s">
        <v>49</v>
      </c>
      <c r="L116" s="89"/>
    </row>
    <row r="117" spans="2:12" ht="30" x14ac:dyDescent="0.25">
      <c r="B117" s="91"/>
      <c r="C117" s="93"/>
      <c r="D117" s="183" t="s">
        <v>42</v>
      </c>
      <c r="E117" s="140" t="s">
        <v>29</v>
      </c>
      <c r="F117" s="30" t="s">
        <v>39</v>
      </c>
      <c r="G117" s="73">
        <v>150</v>
      </c>
      <c r="H117" s="53">
        <v>100</v>
      </c>
      <c r="I117" s="30">
        <f>IF(H117&gt;=G117,"Sofa",0)</f>
        <v>0</v>
      </c>
      <c r="J117" s="30" t="str">
        <f>IF(H117&lt;G117,"Saklar Lampu",0)</f>
        <v>Saklar Lampu</v>
      </c>
      <c r="K117" s="30"/>
      <c r="L117" s="74"/>
    </row>
    <row r="118" spans="2:12" x14ac:dyDescent="0.25">
      <c r="B118" s="91"/>
      <c r="C118" s="93"/>
      <c r="D118" s="184"/>
      <c r="E118" s="107"/>
      <c r="F118" s="25" t="s">
        <v>39</v>
      </c>
      <c r="G118" s="32">
        <v>150</v>
      </c>
      <c r="H118" s="33">
        <v>150</v>
      </c>
      <c r="I118" s="25" t="str">
        <f>IF(H118&gt;=G118,"Sofa",0)</f>
        <v>Sofa</v>
      </c>
      <c r="J118" s="30">
        <f>IF(H118&lt;G118,"Saklar Lampu",0)</f>
        <v>0</v>
      </c>
      <c r="K118" s="36"/>
      <c r="L118" s="72"/>
    </row>
    <row r="119" spans="2:12" ht="30" x14ac:dyDescent="0.25">
      <c r="B119" s="91"/>
      <c r="C119" s="93"/>
      <c r="D119" s="184"/>
      <c r="E119" s="95" t="s">
        <v>125</v>
      </c>
      <c r="F119" s="25" t="s">
        <v>128</v>
      </c>
      <c r="G119" s="24">
        <v>1.5</v>
      </c>
      <c r="H119" s="33">
        <v>1.7</v>
      </c>
      <c r="I119" s="30">
        <f>IF(H119&lt;G119,"Pintu",0)</f>
        <v>0</v>
      </c>
      <c r="J119" s="30" t="str">
        <f>IF(H119&gt;=G119,"Batal",0)</f>
        <v>Batal</v>
      </c>
      <c r="K119" s="23"/>
      <c r="L119" s="82"/>
    </row>
    <row r="120" spans="2:12" ht="30" x14ac:dyDescent="0.25">
      <c r="B120" s="91"/>
      <c r="C120" s="93"/>
      <c r="D120" s="184"/>
      <c r="E120" s="94"/>
      <c r="F120" s="25" t="s">
        <v>128</v>
      </c>
      <c r="G120" s="24">
        <v>1.5</v>
      </c>
      <c r="H120" s="33">
        <v>0</v>
      </c>
      <c r="I120" s="30" t="str">
        <f>IF(H120&lt;G120,"Pintu",0)</f>
        <v>Pintu</v>
      </c>
      <c r="J120" s="30">
        <f>IF(H120&gt;=G120,"Batal",0)</f>
        <v>0</v>
      </c>
      <c r="K120" s="23"/>
      <c r="L120" s="82"/>
    </row>
    <row r="121" spans="2:12" ht="30" x14ac:dyDescent="0.25">
      <c r="B121" s="91"/>
      <c r="C121" s="93"/>
      <c r="D121" s="184"/>
      <c r="E121" s="106" t="s">
        <v>53</v>
      </c>
      <c r="F121" s="25" t="s">
        <v>44</v>
      </c>
      <c r="G121" s="25" t="s">
        <v>20</v>
      </c>
      <c r="H121" s="33" t="s">
        <v>21</v>
      </c>
      <c r="I121" s="25">
        <f>IF(H121=G121,"Sofa",0)</f>
        <v>0</v>
      </c>
      <c r="J121" s="25" t="str">
        <f>IF(H121=G121,0,"Karpet")</f>
        <v>Karpet</v>
      </c>
      <c r="K121" s="36" t="s">
        <v>49</v>
      </c>
      <c r="L121" s="141" t="s">
        <v>50</v>
      </c>
    </row>
    <row r="122" spans="2:12" ht="30" x14ac:dyDescent="0.25">
      <c r="B122" s="91"/>
      <c r="C122" s="93"/>
      <c r="D122" s="184"/>
      <c r="E122" s="140"/>
      <c r="F122" s="25" t="s">
        <v>44</v>
      </c>
      <c r="G122" s="25" t="s">
        <v>20</v>
      </c>
      <c r="H122" s="33" t="s">
        <v>20</v>
      </c>
      <c r="I122" s="25" t="str">
        <f>IF(H122=G122,"Sofa",0)</f>
        <v>Sofa</v>
      </c>
      <c r="J122" s="25">
        <f t="shared" ref="J122" si="10">IF(H122=G122,0,"Karpet")</f>
        <v>0</v>
      </c>
      <c r="K122" s="36" t="s">
        <v>49</v>
      </c>
      <c r="L122" s="142"/>
    </row>
    <row r="123" spans="2:12" x14ac:dyDescent="0.25">
      <c r="B123" s="91"/>
      <c r="C123" s="93"/>
      <c r="D123" s="184"/>
      <c r="E123" s="140"/>
      <c r="F123" s="25" t="s">
        <v>45</v>
      </c>
      <c r="G123" s="25" t="s">
        <v>20</v>
      </c>
      <c r="H123" s="33" t="s">
        <v>21</v>
      </c>
      <c r="I123" s="25">
        <f>IF(H123=G123,"Karpet",0)</f>
        <v>0</v>
      </c>
      <c r="J123" s="25" t="str">
        <f>IF(H123=G123,0,"Batal")</f>
        <v>Batal</v>
      </c>
      <c r="K123" s="36"/>
      <c r="L123" s="75" t="s">
        <v>47</v>
      </c>
    </row>
    <row r="124" spans="2:12" ht="30" x14ac:dyDescent="0.25">
      <c r="B124" s="91"/>
      <c r="C124" s="93"/>
      <c r="D124" s="184"/>
      <c r="E124" s="107"/>
      <c r="F124" s="25" t="s">
        <v>45</v>
      </c>
      <c r="G124" s="25" t="s">
        <v>20</v>
      </c>
      <c r="H124" s="33" t="s">
        <v>20</v>
      </c>
      <c r="I124" s="25" t="str">
        <f>IF(H124=G124,"Karpet",0)</f>
        <v>Karpet</v>
      </c>
      <c r="J124" s="25">
        <f>IF(H124=G124,0,"Batal")</f>
        <v>0</v>
      </c>
      <c r="K124" s="87" t="s">
        <v>49</v>
      </c>
      <c r="L124" s="86"/>
    </row>
    <row r="125" spans="2:12" ht="30" x14ac:dyDescent="0.25">
      <c r="B125" s="91"/>
      <c r="C125" s="93"/>
      <c r="D125" s="184"/>
      <c r="E125" s="95" t="s">
        <v>148</v>
      </c>
      <c r="F125" s="29" t="s">
        <v>146</v>
      </c>
      <c r="G125" s="56">
        <v>25</v>
      </c>
      <c r="H125" s="64">
        <v>28</v>
      </c>
      <c r="I125" s="29">
        <f>IF(H125&lt;G125,"Sofa",0)</f>
        <v>0</v>
      </c>
      <c r="J125" s="79" t="str">
        <f>IF(H125&gt;G125,"Kipas angin",0)</f>
        <v>Kipas angin</v>
      </c>
      <c r="K125" s="79"/>
      <c r="L125" s="85"/>
    </row>
    <row r="126" spans="2:12" ht="30.75" thickBot="1" x14ac:dyDescent="0.3">
      <c r="B126" s="105"/>
      <c r="C126" s="104"/>
      <c r="D126" s="185"/>
      <c r="E126" s="136"/>
      <c r="F126" s="42" t="s">
        <v>146</v>
      </c>
      <c r="G126" s="41">
        <v>25</v>
      </c>
      <c r="H126" s="54">
        <v>24</v>
      </c>
      <c r="I126" s="42" t="str">
        <f>IF(H126&lt;G126,"Sofa",0)</f>
        <v>Sofa</v>
      </c>
      <c r="J126" s="42">
        <f>IF(H126&gt;G126,"Kipas angin",0)</f>
        <v>0</v>
      </c>
      <c r="K126" s="42" t="s">
        <v>49</v>
      </c>
      <c r="L126" s="85"/>
    </row>
    <row r="127" spans="2:12" ht="30" x14ac:dyDescent="0.25">
      <c r="B127" s="90">
        <v>10</v>
      </c>
      <c r="C127" s="92" t="s">
        <v>37</v>
      </c>
      <c r="D127" s="98" t="s">
        <v>34</v>
      </c>
      <c r="E127" s="129" t="s">
        <v>29</v>
      </c>
      <c r="F127" s="55" t="s">
        <v>39</v>
      </c>
      <c r="G127" s="51">
        <v>150</v>
      </c>
      <c r="H127" s="70">
        <v>100</v>
      </c>
      <c r="I127" s="55">
        <f>IF(H127&gt;=G127,"Pintu",0)</f>
        <v>0</v>
      </c>
      <c r="J127" s="55" t="str">
        <f>IF(H127&lt;G127,"Saklar Lampu",0)</f>
        <v>Saklar Lampu</v>
      </c>
      <c r="K127" s="50"/>
      <c r="L127" s="57"/>
    </row>
    <row r="128" spans="2:12" x14ac:dyDescent="0.25">
      <c r="B128" s="91"/>
      <c r="C128" s="93"/>
      <c r="D128" s="99"/>
      <c r="E128" s="94"/>
      <c r="F128" s="25" t="s">
        <v>39</v>
      </c>
      <c r="G128" s="24">
        <v>150</v>
      </c>
      <c r="H128" s="33">
        <v>150</v>
      </c>
      <c r="I128" s="25" t="str">
        <f>IF(H128&gt;=G128,"Pintu",0)</f>
        <v>Pintu</v>
      </c>
      <c r="J128" s="25">
        <f>IF(H128&lt;G128,"Saklar Lampu",0)</f>
        <v>0</v>
      </c>
      <c r="K128" s="23"/>
      <c r="L128" s="43"/>
    </row>
    <row r="129" spans="2:12" x14ac:dyDescent="0.25">
      <c r="B129" s="91"/>
      <c r="C129" s="93"/>
      <c r="D129" s="99"/>
      <c r="E129" s="95" t="s">
        <v>53</v>
      </c>
      <c r="F129" s="25" t="s">
        <v>15</v>
      </c>
      <c r="G129" s="23" t="s">
        <v>16</v>
      </c>
      <c r="H129" s="33" t="s">
        <v>61</v>
      </c>
      <c r="I129" s="25">
        <f>IF(H129=G129,"RCC01",0)</f>
        <v>0</v>
      </c>
      <c r="J129" s="25" t="str">
        <f>IF(H129=G129,0,"Batal")</f>
        <v>Batal</v>
      </c>
      <c r="K129" s="23"/>
      <c r="L129" s="43"/>
    </row>
    <row r="130" spans="2:12" x14ac:dyDescent="0.25">
      <c r="B130" s="91"/>
      <c r="C130" s="93"/>
      <c r="D130" s="99"/>
      <c r="E130" s="94"/>
      <c r="F130" s="25" t="s">
        <v>15</v>
      </c>
      <c r="G130" s="23" t="s">
        <v>16</v>
      </c>
      <c r="H130" s="33" t="s">
        <v>16</v>
      </c>
      <c r="I130" s="25" t="str">
        <f>IF(H130=G130,"RCC01",0)</f>
        <v>RCC01</v>
      </c>
      <c r="J130" s="25">
        <f>IF(H130=G130,0,"Batal")</f>
        <v>0</v>
      </c>
      <c r="K130" s="23"/>
      <c r="L130" s="43"/>
    </row>
    <row r="131" spans="2:12" ht="30" x14ac:dyDescent="0.25">
      <c r="B131" s="91"/>
      <c r="C131" s="93"/>
      <c r="D131" s="99"/>
      <c r="E131" s="95" t="s">
        <v>125</v>
      </c>
      <c r="F131" s="25" t="s">
        <v>128</v>
      </c>
      <c r="G131" s="24">
        <v>0.5</v>
      </c>
      <c r="H131" s="33">
        <v>1</v>
      </c>
      <c r="I131" s="30">
        <f>IF(H131&lt;G131,"RCC01",0)</f>
        <v>0</v>
      </c>
      <c r="J131" s="30" t="str">
        <f>IF(H131&gt;=G131,"Batal",0)</f>
        <v>Batal</v>
      </c>
      <c r="K131" s="23"/>
      <c r="L131" s="43"/>
    </row>
    <row r="132" spans="2:12" ht="30.75" thickBot="1" x14ac:dyDescent="0.3">
      <c r="B132" s="91"/>
      <c r="C132" s="93"/>
      <c r="D132" s="99"/>
      <c r="E132" s="94"/>
      <c r="F132" s="25" t="s">
        <v>128</v>
      </c>
      <c r="G132" s="24">
        <v>0.5</v>
      </c>
      <c r="H132" s="33">
        <v>0</v>
      </c>
      <c r="I132" s="30" t="str">
        <f>IF(H132&lt;G132,"RCC01",0)</f>
        <v>RCC01</v>
      </c>
      <c r="J132" s="30">
        <f>IF(H132&gt;=G132,"Batal",0)</f>
        <v>0</v>
      </c>
      <c r="K132" s="23" t="s">
        <v>28</v>
      </c>
      <c r="L132" s="72" t="s">
        <v>149</v>
      </c>
    </row>
    <row r="133" spans="2:12" ht="30" x14ac:dyDescent="0.25">
      <c r="B133" s="90">
        <v>11</v>
      </c>
      <c r="C133" s="92" t="s">
        <v>65</v>
      </c>
      <c r="D133" s="98" t="s">
        <v>28</v>
      </c>
      <c r="E133" s="129" t="s">
        <v>29</v>
      </c>
      <c r="F133" s="55" t="s">
        <v>39</v>
      </c>
      <c r="G133" s="51">
        <v>150</v>
      </c>
      <c r="H133" s="70">
        <v>100</v>
      </c>
      <c r="I133" s="55">
        <f>IF(H133&gt;=G133,"RMK01",0)</f>
        <v>0</v>
      </c>
      <c r="J133" s="55" t="str">
        <f>IF(H133&lt;G133,"Saklar Lampu",0)</f>
        <v>Saklar Lampu</v>
      </c>
      <c r="K133" s="50"/>
      <c r="L133" s="57"/>
    </row>
    <row r="134" spans="2:12" x14ac:dyDescent="0.25">
      <c r="B134" s="91"/>
      <c r="C134" s="93"/>
      <c r="D134" s="99"/>
      <c r="E134" s="94"/>
      <c r="F134" s="25" t="s">
        <v>39</v>
      </c>
      <c r="G134" s="24">
        <v>150</v>
      </c>
      <c r="H134" s="33">
        <v>150</v>
      </c>
      <c r="I134" s="25" t="str">
        <f>IF(H134&gt;=G134,"RMK01",0)</f>
        <v>RMK01</v>
      </c>
      <c r="J134" s="25">
        <f>IF(H134&lt;G134,"Saklar Lampu",0)</f>
        <v>0</v>
      </c>
      <c r="K134" s="23"/>
      <c r="L134" s="43"/>
    </row>
    <row r="135" spans="2:12" ht="30" x14ac:dyDescent="0.25">
      <c r="B135" s="91"/>
      <c r="C135" s="93"/>
      <c r="D135" s="99"/>
      <c r="E135" s="95" t="s">
        <v>125</v>
      </c>
      <c r="F135" s="25" t="s">
        <v>128</v>
      </c>
      <c r="G135" s="24">
        <v>0.2</v>
      </c>
      <c r="H135" s="33">
        <v>1</v>
      </c>
      <c r="I135" s="30">
        <f>IF(H135&lt;G135,"RMK01",0)</f>
        <v>0</v>
      </c>
      <c r="J135" s="30" t="str">
        <f>IF(H135&gt;=G135,"Batal",0)</f>
        <v>Batal</v>
      </c>
      <c r="K135" s="23"/>
      <c r="L135" s="43"/>
    </row>
    <row r="136" spans="2:12" ht="30.75" thickBot="1" x14ac:dyDescent="0.3">
      <c r="B136" s="91"/>
      <c r="C136" s="93"/>
      <c r="D136" s="99"/>
      <c r="E136" s="94"/>
      <c r="F136" s="25" t="s">
        <v>128</v>
      </c>
      <c r="G136" s="24">
        <v>0.2</v>
      </c>
      <c r="H136" s="33">
        <v>0</v>
      </c>
      <c r="I136" s="30" t="str">
        <f>IF(H136&lt;G136,"RMK01",0)</f>
        <v>RMK01</v>
      </c>
      <c r="J136" s="30">
        <f>IF(H136&gt;=G136,"Batal",0)</f>
        <v>0</v>
      </c>
      <c r="K136" s="23" t="s">
        <v>72</v>
      </c>
      <c r="L136" s="72" t="s">
        <v>149</v>
      </c>
    </row>
    <row r="137" spans="2:12" ht="30" x14ac:dyDescent="0.25">
      <c r="B137" s="90">
        <v>12</v>
      </c>
      <c r="C137" s="92" t="s">
        <v>66</v>
      </c>
      <c r="D137" s="98" t="s">
        <v>32</v>
      </c>
      <c r="E137" s="129" t="s">
        <v>29</v>
      </c>
      <c r="F137" s="55" t="s">
        <v>39</v>
      </c>
      <c r="G137" s="51">
        <v>150</v>
      </c>
      <c r="H137" s="70">
        <v>100</v>
      </c>
      <c r="I137" s="55">
        <f>IF(H137&gt;=G137,"RDP01",0)</f>
        <v>0</v>
      </c>
      <c r="J137" s="55" t="str">
        <f>IF(H137&lt;G137,"Saklar Lampu",0)</f>
        <v>Saklar Lampu</v>
      </c>
      <c r="K137" s="50"/>
      <c r="L137" s="57"/>
    </row>
    <row r="138" spans="2:12" x14ac:dyDescent="0.25">
      <c r="B138" s="91"/>
      <c r="C138" s="93"/>
      <c r="D138" s="99"/>
      <c r="E138" s="94"/>
      <c r="F138" s="25" t="s">
        <v>39</v>
      </c>
      <c r="G138" s="24">
        <v>150</v>
      </c>
      <c r="H138" s="33">
        <v>150</v>
      </c>
      <c r="I138" s="25" t="str">
        <f>IF(H138&gt;=G138,"RDP01",0)</f>
        <v>RDP01</v>
      </c>
      <c r="J138" s="25">
        <f>IF(H138&lt;G138,"Saklar Lampu",0)</f>
        <v>0</v>
      </c>
      <c r="K138" s="23"/>
      <c r="L138" s="43"/>
    </row>
    <row r="139" spans="2:12" ht="30" x14ac:dyDescent="0.25">
      <c r="B139" s="91"/>
      <c r="C139" s="93"/>
      <c r="D139" s="99"/>
      <c r="E139" s="95" t="s">
        <v>125</v>
      </c>
      <c r="F139" s="25" t="s">
        <v>128</v>
      </c>
      <c r="G139" s="24">
        <v>0.2</v>
      </c>
      <c r="H139" s="33">
        <v>1</v>
      </c>
      <c r="I139" s="30">
        <f>IF(H139&lt;G139,"RDP01",0)</f>
        <v>0</v>
      </c>
      <c r="J139" s="30" t="str">
        <f>IF(H139&gt;=G139,"Batal",0)</f>
        <v>Batal</v>
      </c>
      <c r="K139" s="23"/>
      <c r="L139" s="43"/>
    </row>
    <row r="140" spans="2:12" ht="30.75" thickBot="1" x14ac:dyDescent="0.3">
      <c r="B140" s="91"/>
      <c r="C140" s="93"/>
      <c r="D140" s="99"/>
      <c r="E140" s="94"/>
      <c r="F140" s="25" t="s">
        <v>128</v>
      </c>
      <c r="G140" s="24">
        <v>0.2</v>
      </c>
      <c r="H140" s="33">
        <v>0</v>
      </c>
      <c r="I140" s="30" t="str">
        <f>IF(H140&lt;G140,"RDP01",0)</f>
        <v>RDP01</v>
      </c>
      <c r="J140" s="30">
        <f>IF(H140&gt;=G140,"Batal",0)</f>
        <v>0</v>
      </c>
      <c r="K140" s="23" t="s">
        <v>72</v>
      </c>
      <c r="L140" s="72" t="s">
        <v>149</v>
      </c>
    </row>
    <row r="141" spans="2:12" ht="30" x14ac:dyDescent="0.25">
      <c r="B141" s="90">
        <v>13</v>
      </c>
      <c r="C141" s="92" t="s">
        <v>67</v>
      </c>
      <c r="D141" s="98" t="s">
        <v>68</v>
      </c>
      <c r="E141" s="129" t="s">
        <v>29</v>
      </c>
      <c r="F141" s="55" t="s">
        <v>39</v>
      </c>
      <c r="G141" s="51">
        <v>150</v>
      </c>
      <c r="H141" s="70">
        <v>100</v>
      </c>
      <c r="I141" s="55">
        <f>IF(H141&gt;=G141,"Pintu",0)</f>
        <v>0</v>
      </c>
      <c r="J141" s="55" t="str">
        <f>IF(H141&lt;G141,"Saklar Lampu",0)</f>
        <v>Saklar Lampu</v>
      </c>
      <c r="K141" s="50"/>
      <c r="L141" s="57"/>
    </row>
    <row r="142" spans="2:12" x14ac:dyDescent="0.25">
      <c r="B142" s="91"/>
      <c r="C142" s="93"/>
      <c r="D142" s="99"/>
      <c r="E142" s="94"/>
      <c r="F142" s="25" t="s">
        <v>39</v>
      </c>
      <c r="G142" s="24">
        <v>150</v>
      </c>
      <c r="H142" s="33">
        <v>150</v>
      </c>
      <c r="I142" s="25" t="str">
        <f>IF(H142&gt;=G142,"Pintu",0)</f>
        <v>Pintu</v>
      </c>
      <c r="J142" s="25">
        <f>IF(H142&lt;G142,"Saklar Lampu",0)</f>
        <v>0</v>
      </c>
      <c r="K142" s="23"/>
      <c r="L142" s="43"/>
    </row>
    <row r="143" spans="2:12" x14ac:dyDescent="0.25">
      <c r="B143" s="91"/>
      <c r="C143" s="93"/>
      <c r="D143" s="99"/>
      <c r="E143" s="95" t="s">
        <v>53</v>
      </c>
      <c r="F143" s="25" t="s">
        <v>15</v>
      </c>
      <c r="G143" s="23" t="s">
        <v>16</v>
      </c>
      <c r="H143" s="33" t="s">
        <v>61</v>
      </c>
      <c r="I143" s="25">
        <f>IF(H143=G143,"RGD01",0)</f>
        <v>0</v>
      </c>
      <c r="J143" s="25" t="str">
        <f>IF(H143=G143,0,"Batal")</f>
        <v>Batal</v>
      </c>
      <c r="K143" s="23"/>
      <c r="L143" s="43"/>
    </row>
    <row r="144" spans="2:12" x14ac:dyDescent="0.25">
      <c r="B144" s="91"/>
      <c r="C144" s="93"/>
      <c r="D144" s="99"/>
      <c r="E144" s="94"/>
      <c r="F144" s="25" t="s">
        <v>15</v>
      </c>
      <c r="G144" s="23" t="s">
        <v>16</v>
      </c>
      <c r="H144" s="33" t="s">
        <v>16</v>
      </c>
      <c r="I144" s="25" t="str">
        <f>IF(H144=G144,"RGD01",0)</f>
        <v>RGD01</v>
      </c>
      <c r="J144" s="25">
        <f>IF(H144=G144,0,"Batal")</f>
        <v>0</v>
      </c>
      <c r="K144" s="23"/>
      <c r="L144" s="43"/>
    </row>
    <row r="145" spans="2:12" ht="30" x14ac:dyDescent="0.25">
      <c r="B145" s="91"/>
      <c r="C145" s="93"/>
      <c r="D145" s="99"/>
      <c r="E145" s="95" t="s">
        <v>125</v>
      </c>
      <c r="F145" s="25" t="s">
        <v>128</v>
      </c>
      <c r="G145" s="24">
        <v>0.2</v>
      </c>
      <c r="H145" s="33">
        <v>1</v>
      </c>
      <c r="I145" s="30">
        <f>IF(H145&lt;G145,"RGD01",0)</f>
        <v>0</v>
      </c>
      <c r="J145" s="30" t="str">
        <f>IF(H145&gt;=G145,"Batal",0)</f>
        <v>Batal</v>
      </c>
      <c r="K145" s="23"/>
      <c r="L145" s="43"/>
    </row>
    <row r="146" spans="2:12" ht="30.75" thickBot="1" x14ac:dyDescent="0.3">
      <c r="B146" s="91"/>
      <c r="C146" s="93"/>
      <c r="D146" s="99"/>
      <c r="E146" s="94"/>
      <c r="F146" s="25" t="s">
        <v>128</v>
      </c>
      <c r="G146" s="24">
        <v>0.2</v>
      </c>
      <c r="H146" s="33">
        <v>0</v>
      </c>
      <c r="I146" s="30" t="str">
        <f>IF(H146&lt;G146,"RGD01",0)</f>
        <v>RGD01</v>
      </c>
      <c r="J146" s="30">
        <f>IF(H146&gt;=G146,"Batal",0)</f>
        <v>0</v>
      </c>
      <c r="K146" s="23" t="s">
        <v>28</v>
      </c>
      <c r="L146" s="72" t="s">
        <v>149</v>
      </c>
    </row>
    <row r="147" spans="2:12" ht="30" x14ac:dyDescent="0.25">
      <c r="B147" s="90">
        <v>14</v>
      </c>
      <c r="C147" s="92" t="s">
        <v>70</v>
      </c>
      <c r="D147" s="98" t="s">
        <v>72</v>
      </c>
      <c r="E147" s="129" t="s">
        <v>29</v>
      </c>
      <c r="F147" s="55" t="s">
        <v>39</v>
      </c>
      <c r="G147" s="51">
        <v>150</v>
      </c>
      <c r="H147" s="70">
        <v>100</v>
      </c>
      <c r="I147" s="55">
        <f>IF(H147&gt;=G147,"RKD01",0)</f>
        <v>0</v>
      </c>
      <c r="J147" s="55" t="str">
        <f>IF(H147&lt;G147,"Saklar Lampu",0)</f>
        <v>Saklar Lampu</v>
      </c>
      <c r="K147" s="50"/>
      <c r="L147" s="57"/>
    </row>
    <row r="148" spans="2:12" x14ac:dyDescent="0.25">
      <c r="B148" s="91"/>
      <c r="C148" s="93"/>
      <c r="D148" s="99"/>
      <c r="E148" s="94"/>
      <c r="F148" s="25" t="s">
        <v>39</v>
      </c>
      <c r="G148" s="24">
        <v>150</v>
      </c>
      <c r="H148" s="33">
        <v>150</v>
      </c>
      <c r="I148" s="25" t="str">
        <f>IF(H148&gt;=G148,"RKD01",0)</f>
        <v>RKD01</v>
      </c>
      <c r="J148" s="25">
        <f>IF(H148&lt;G148,"Saklar Lampu",0)</f>
        <v>0</v>
      </c>
      <c r="K148" s="23"/>
      <c r="L148" s="43"/>
    </row>
    <row r="149" spans="2:12" ht="30" x14ac:dyDescent="0.25">
      <c r="B149" s="91"/>
      <c r="C149" s="93"/>
      <c r="D149" s="99"/>
      <c r="E149" s="95" t="s">
        <v>125</v>
      </c>
      <c r="F149" s="25" t="s">
        <v>128</v>
      </c>
      <c r="G149" s="24">
        <v>0.2</v>
      </c>
      <c r="H149" s="33">
        <v>1</v>
      </c>
      <c r="I149" s="30">
        <f>IF(H149&lt;G149,"RKD01",0)</f>
        <v>0</v>
      </c>
      <c r="J149" s="30" t="str">
        <f>IF(H149&gt;=G149,"Batal",0)</f>
        <v>Batal</v>
      </c>
      <c r="K149" s="23"/>
      <c r="L149" s="43"/>
    </row>
    <row r="150" spans="2:12" ht="30.75" thickBot="1" x14ac:dyDescent="0.3">
      <c r="B150" s="91"/>
      <c r="C150" s="93"/>
      <c r="D150" s="99"/>
      <c r="E150" s="94"/>
      <c r="F150" s="25" t="s">
        <v>128</v>
      </c>
      <c r="G150" s="24">
        <v>0.2</v>
      </c>
      <c r="H150" s="33">
        <v>0</v>
      </c>
      <c r="I150" s="30" t="str">
        <f>IF(H150&lt;G150,"RKD01",0)</f>
        <v>RKD01</v>
      </c>
      <c r="J150" s="30">
        <f>IF(H150&gt;=G150,"Batal",0)</f>
        <v>0</v>
      </c>
      <c r="K150" s="23" t="s">
        <v>72</v>
      </c>
      <c r="L150" s="72" t="s">
        <v>149</v>
      </c>
    </row>
    <row r="151" spans="2:12" ht="30" x14ac:dyDescent="0.25">
      <c r="B151" s="90">
        <v>15</v>
      </c>
      <c r="C151" s="92" t="s">
        <v>84</v>
      </c>
      <c r="D151" s="98" t="s">
        <v>57</v>
      </c>
      <c r="E151" s="129" t="s">
        <v>29</v>
      </c>
      <c r="F151" s="55" t="s">
        <v>39</v>
      </c>
      <c r="G151" s="51">
        <v>150</v>
      </c>
      <c r="H151" s="70">
        <v>100</v>
      </c>
      <c r="I151" s="55">
        <f>IF(H151&gt;=G151,"Pintu",0)</f>
        <v>0</v>
      </c>
      <c r="J151" s="55" t="str">
        <f>IF(H151&lt;G151,"Saklar Lampu",0)</f>
        <v>Saklar Lampu</v>
      </c>
      <c r="K151" s="50"/>
      <c r="L151" s="57"/>
    </row>
    <row r="152" spans="2:12" x14ac:dyDescent="0.25">
      <c r="B152" s="91"/>
      <c r="C152" s="93"/>
      <c r="D152" s="99"/>
      <c r="E152" s="94"/>
      <c r="F152" s="25" t="s">
        <v>39</v>
      </c>
      <c r="G152" s="24">
        <v>150</v>
      </c>
      <c r="H152" s="33">
        <v>150</v>
      </c>
      <c r="I152" s="25" t="str">
        <f>IF(H152&gt;=G152,"Pintu",0)</f>
        <v>Pintu</v>
      </c>
      <c r="J152" s="25">
        <f>IF(H152&lt;G152,"Saklar Lampu",0)</f>
        <v>0</v>
      </c>
      <c r="K152" s="23"/>
      <c r="L152" s="43"/>
    </row>
    <row r="153" spans="2:12" x14ac:dyDescent="0.25">
      <c r="B153" s="91"/>
      <c r="C153" s="93"/>
      <c r="D153" s="99"/>
      <c r="E153" s="95" t="s">
        <v>53</v>
      </c>
      <c r="F153" s="25" t="s">
        <v>15</v>
      </c>
      <c r="G153" s="23" t="s">
        <v>16</v>
      </c>
      <c r="H153" s="33" t="s">
        <v>61</v>
      </c>
      <c r="I153" s="25">
        <f>IF(H153=G153,"RTU01",0)</f>
        <v>0</v>
      </c>
      <c r="J153" s="25" t="str">
        <f>IF(H153=G153,0,"Batal")</f>
        <v>Batal</v>
      </c>
      <c r="K153" s="23"/>
      <c r="L153" s="43"/>
    </row>
    <row r="154" spans="2:12" x14ac:dyDescent="0.25">
      <c r="B154" s="91"/>
      <c r="C154" s="93"/>
      <c r="D154" s="99"/>
      <c r="E154" s="94"/>
      <c r="F154" s="25" t="s">
        <v>15</v>
      </c>
      <c r="G154" s="23" t="s">
        <v>16</v>
      </c>
      <c r="H154" s="33" t="s">
        <v>16</v>
      </c>
      <c r="I154" s="25" t="str">
        <f>IF(H154=G154,"RTU01",0)</f>
        <v>RTU01</v>
      </c>
      <c r="J154" s="25">
        <f>IF(H154=G154,0,"Batal")</f>
        <v>0</v>
      </c>
      <c r="K154" s="23"/>
      <c r="L154" s="43"/>
    </row>
    <row r="155" spans="2:12" ht="30" x14ac:dyDescent="0.25">
      <c r="B155" s="91"/>
      <c r="C155" s="93"/>
      <c r="D155" s="99"/>
      <c r="E155" s="95" t="s">
        <v>125</v>
      </c>
      <c r="F155" s="25" t="s">
        <v>128</v>
      </c>
      <c r="G155" s="24">
        <v>0.2</v>
      </c>
      <c r="H155" s="33">
        <v>1</v>
      </c>
      <c r="I155" s="30">
        <f>IF(H155&lt;G155,"RTU01",0)</f>
        <v>0</v>
      </c>
      <c r="J155" s="30" t="str">
        <f>IF(H155&gt;=G155,"Batal",0)</f>
        <v>Batal</v>
      </c>
      <c r="K155" s="23"/>
      <c r="L155" s="43"/>
    </row>
    <row r="156" spans="2:12" ht="30.75" thickBot="1" x14ac:dyDescent="0.3">
      <c r="B156" s="91"/>
      <c r="C156" s="93"/>
      <c r="D156" s="99"/>
      <c r="E156" s="94"/>
      <c r="F156" s="25" t="s">
        <v>128</v>
      </c>
      <c r="G156" s="24">
        <v>0.2</v>
      </c>
      <c r="H156" s="33">
        <v>0</v>
      </c>
      <c r="I156" s="30" t="str">
        <f>IF(H156&lt;G156,"RTU01",0)</f>
        <v>RTU01</v>
      </c>
      <c r="J156" s="30">
        <f>IF(H156&gt;=G156,"Batal",0)</f>
        <v>0</v>
      </c>
      <c r="K156" s="23" t="s">
        <v>72</v>
      </c>
      <c r="L156" s="72" t="s">
        <v>149</v>
      </c>
    </row>
    <row r="157" spans="2:12" ht="30" x14ac:dyDescent="0.25">
      <c r="B157" s="90">
        <v>16</v>
      </c>
      <c r="C157" s="92" t="s">
        <v>85</v>
      </c>
      <c r="D157" s="98" t="s">
        <v>86</v>
      </c>
      <c r="E157" s="129" t="s">
        <v>29</v>
      </c>
      <c r="F157" s="55" t="s">
        <v>39</v>
      </c>
      <c r="G157" s="51">
        <v>150</v>
      </c>
      <c r="H157" s="70">
        <v>100</v>
      </c>
      <c r="I157" s="55">
        <f>IF(H157&gt;=G157,"Pintu",0)</f>
        <v>0</v>
      </c>
      <c r="J157" s="55" t="str">
        <f>IF(H157&lt;G157,"Saklar Lampu",0)</f>
        <v>Saklar Lampu</v>
      </c>
      <c r="K157" s="50"/>
      <c r="L157" s="57"/>
    </row>
    <row r="158" spans="2:12" x14ac:dyDescent="0.25">
      <c r="B158" s="91"/>
      <c r="C158" s="93"/>
      <c r="D158" s="99"/>
      <c r="E158" s="94"/>
      <c r="F158" s="25" t="s">
        <v>39</v>
      </c>
      <c r="G158" s="24">
        <v>150</v>
      </c>
      <c r="H158" s="33">
        <v>150</v>
      </c>
      <c r="I158" s="25" t="str">
        <f>IF(H158&gt;=G158,"Pintu",0)</f>
        <v>Pintu</v>
      </c>
      <c r="J158" s="25">
        <f>IF(H158&lt;G158,"Saklar Lampu",0)</f>
        <v>0</v>
      </c>
      <c r="K158" s="23"/>
      <c r="L158" s="43"/>
    </row>
    <row r="159" spans="2:12" x14ac:dyDescent="0.25">
      <c r="B159" s="91"/>
      <c r="C159" s="93"/>
      <c r="D159" s="99"/>
      <c r="E159" s="95" t="s">
        <v>53</v>
      </c>
      <c r="F159" s="25" t="s">
        <v>15</v>
      </c>
      <c r="G159" s="23" t="s">
        <v>16</v>
      </c>
      <c r="H159" s="33" t="s">
        <v>61</v>
      </c>
      <c r="I159" s="25">
        <f>IF(H159=G159,"RTU02",0)</f>
        <v>0</v>
      </c>
      <c r="J159" s="25" t="str">
        <f>IF(H159=G159,0,"Batal")</f>
        <v>Batal</v>
      </c>
      <c r="K159" s="23"/>
      <c r="L159" s="43"/>
    </row>
    <row r="160" spans="2:12" x14ac:dyDescent="0.25">
      <c r="B160" s="91"/>
      <c r="C160" s="93"/>
      <c r="D160" s="99"/>
      <c r="E160" s="94"/>
      <c r="F160" s="25" t="s">
        <v>15</v>
      </c>
      <c r="G160" s="23" t="s">
        <v>16</v>
      </c>
      <c r="H160" s="33" t="s">
        <v>16</v>
      </c>
      <c r="I160" s="25" t="str">
        <f>IF(H160=G160,"RTU02",0)</f>
        <v>RTU02</v>
      </c>
      <c r="J160" s="25">
        <f>IF(H160=G160,0,"Batal")</f>
        <v>0</v>
      </c>
      <c r="K160" s="23"/>
      <c r="L160" s="43"/>
    </row>
    <row r="161" spans="2:12" ht="30" x14ac:dyDescent="0.25">
      <c r="B161" s="91"/>
      <c r="C161" s="93"/>
      <c r="D161" s="99"/>
      <c r="E161" s="95" t="s">
        <v>125</v>
      </c>
      <c r="F161" s="25" t="s">
        <v>128</v>
      </c>
      <c r="G161" s="24">
        <v>0.2</v>
      </c>
      <c r="H161" s="33">
        <v>1</v>
      </c>
      <c r="I161" s="30">
        <f>IF(H161&lt;G161,"RTU02",0)</f>
        <v>0</v>
      </c>
      <c r="J161" s="30" t="str">
        <f>IF(H161&gt;=G161,"Batal",0)</f>
        <v>Batal</v>
      </c>
      <c r="K161" s="23"/>
      <c r="L161" s="58"/>
    </row>
    <row r="162" spans="2:12" ht="30.75" thickBot="1" x14ac:dyDescent="0.3">
      <c r="B162" s="105"/>
      <c r="C162" s="104"/>
      <c r="D162" s="100"/>
      <c r="E162" s="94"/>
      <c r="F162" s="25" t="s">
        <v>128</v>
      </c>
      <c r="G162" s="24">
        <v>0.2</v>
      </c>
      <c r="H162" s="33">
        <v>0</v>
      </c>
      <c r="I162" s="30" t="str">
        <f>IF(H162&lt;G162,"RTU02",0)</f>
        <v>RTU02</v>
      </c>
      <c r="J162" s="30">
        <f>IF(H162&gt;=G162,"Batal",0)</f>
        <v>0</v>
      </c>
      <c r="K162" s="23" t="s">
        <v>86</v>
      </c>
      <c r="L162" s="72" t="s">
        <v>149</v>
      </c>
    </row>
    <row r="163" spans="2:12" ht="30" x14ac:dyDescent="0.25">
      <c r="B163" s="90">
        <v>17</v>
      </c>
      <c r="C163" s="92" t="s">
        <v>87</v>
      </c>
      <c r="D163" s="98" t="s">
        <v>88</v>
      </c>
      <c r="E163" s="129" t="s">
        <v>29</v>
      </c>
      <c r="F163" s="55" t="s">
        <v>39</v>
      </c>
      <c r="G163" s="51">
        <v>150</v>
      </c>
      <c r="H163" s="70">
        <v>100</v>
      </c>
      <c r="I163" s="55">
        <f>IF(H163&gt;=G163,"Pintu",0)</f>
        <v>0</v>
      </c>
      <c r="J163" s="55" t="str">
        <f>IF(H163&lt;G163,"Saklar Lampu",0)</f>
        <v>Saklar Lampu</v>
      </c>
      <c r="K163" s="50"/>
      <c r="L163" s="57"/>
    </row>
    <row r="164" spans="2:12" x14ac:dyDescent="0.25">
      <c r="B164" s="91"/>
      <c r="C164" s="93"/>
      <c r="D164" s="99"/>
      <c r="E164" s="94"/>
      <c r="F164" s="25" t="s">
        <v>39</v>
      </c>
      <c r="G164" s="24">
        <v>150</v>
      </c>
      <c r="H164" s="33">
        <v>150</v>
      </c>
      <c r="I164" s="25" t="str">
        <f>IF(H164&gt;=G164,"Pintu",0)</f>
        <v>Pintu</v>
      </c>
      <c r="J164" s="25">
        <f>IF(H164&lt;G164,"Saklar Lampu",0)</f>
        <v>0</v>
      </c>
      <c r="K164" s="23"/>
      <c r="L164" s="43"/>
    </row>
    <row r="165" spans="2:12" x14ac:dyDescent="0.25">
      <c r="B165" s="91"/>
      <c r="C165" s="93"/>
      <c r="D165" s="99"/>
      <c r="E165" s="95" t="s">
        <v>53</v>
      </c>
      <c r="F165" s="25" t="s">
        <v>15</v>
      </c>
      <c r="G165" s="23" t="s">
        <v>16</v>
      </c>
      <c r="H165" s="33" t="s">
        <v>61</v>
      </c>
      <c r="I165" s="25">
        <f>IF(H165=G165,"RTA01",0)</f>
        <v>0</v>
      </c>
      <c r="J165" s="25" t="str">
        <f>IF(H165=G165,0,"Batal")</f>
        <v>Batal</v>
      </c>
      <c r="K165" s="23"/>
      <c r="L165" s="43"/>
    </row>
    <row r="166" spans="2:12" x14ac:dyDescent="0.25">
      <c r="B166" s="91"/>
      <c r="C166" s="93"/>
      <c r="D166" s="99"/>
      <c r="E166" s="94"/>
      <c r="F166" s="25" t="s">
        <v>15</v>
      </c>
      <c r="G166" s="23" t="s">
        <v>16</v>
      </c>
      <c r="H166" s="33" t="s">
        <v>16</v>
      </c>
      <c r="I166" s="25" t="str">
        <f>IF(H166=G166,"RTA01",0)</f>
        <v>RTA01</v>
      </c>
      <c r="J166" s="25">
        <f>IF(H166=G166,0,"Batal")</f>
        <v>0</v>
      </c>
      <c r="K166" s="23"/>
      <c r="L166" s="43"/>
    </row>
    <row r="167" spans="2:12" ht="30" x14ac:dyDescent="0.25">
      <c r="B167" s="91"/>
      <c r="C167" s="93"/>
      <c r="D167" s="99"/>
      <c r="E167" s="95" t="s">
        <v>125</v>
      </c>
      <c r="F167" s="25" t="s">
        <v>128</v>
      </c>
      <c r="G167" s="24">
        <v>0.2</v>
      </c>
      <c r="H167" s="33">
        <v>1</v>
      </c>
      <c r="I167" s="30">
        <f>IF(H167&lt;G167,"RTA01",0)</f>
        <v>0</v>
      </c>
      <c r="J167" s="30" t="str">
        <f>IF(H167&gt;=G167,"Batal",0)</f>
        <v>Batal</v>
      </c>
      <c r="K167" s="23"/>
      <c r="L167" s="58"/>
    </row>
    <row r="168" spans="2:12" ht="30.75" thickBot="1" x14ac:dyDescent="0.3">
      <c r="B168" s="105"/>
      <c r="C168" s="104"/>
      <c r="D168" s="100"/>
      <c r="E168" s="94"/>
      <c r="F168" s="25" t="s">
        <v>128</v>
      </c>
      <c r="G168" s="24">
        <v>0.2</v>
      </c>
      <c r="H168" s="33">
        <v>0</v>
      </c>
      <c r="I168" s="30" t="str">
        <f>IF(H168&lt;G168,"RTA01",0)</f>
        <v>RTA01</v>
      </c>
      <c r="J168" s="30">
        <f>IF(H168&gt;=G168,"Batal",0)</f>
        <v>0</v>
      </c>
      <c r="K168" s="23" t="s">
        <v>88</v>
      </c>
      <c r="L168" s="72" t="s">
        <v>149</v>
      </c>
    </row>
    <row r="169" spans="2:12" ht="30" x14ac:dyDescent="0.25">
      <c r="B169" s="90">
        <v>18</v>
      </c>
      <c r="C169" s="92" t="s">
        <v>71</v>
      </c>
      <c r="D169" s="98" t="s">
        <v>42</v>
      </c>
      <c r="E169" s="129" t="s">
        <v>29</v>
      </c>
      <c r="F169" s="55" t="s">
        <v>39</v>
      </c>
      <c r="G169" s="51">
        <v>150</v>
      </c>
      <c r="H169" s="70">
        <v>100</v>
      </c>
      <c r="I169" s="55">
        <f>IF(H169&gt;=G169,"RKG01",0)</f>
        <v>0</v>
      </c>
      <c r="J169" s="55" t="str">
        <f>IF(H169&lt;G169,"Saklar Lampu",0)</f>
        <v>Saklar Lampu</v>
      </c>
      <c r="K169" s="50"/>
      <c r="L169" s="57"/>
    </row>
    <row r="170" spans="2:12" x14ac:dyDescent="0.25">
      <c r="B170" s="91"/>
      <c r="C170" s="93"/>
      <c r="D170" s="99"/>
      <c r="E170" s="94"/>
      <c r="F170" s="25" t="s">
        <v>39</v>
      </c>
      <c r="G170" s="24">
        <v>150</v>
      </c>
      <c r="H170" s="33">
        <v>150</v>
      </c>
      <c r="I170" s="25" t="str">
        <f>IF(H170&gt;=G170,"RKG01",0)</f>
        <v>RKG01</v>
      </c>
      <c r="J170" s="25">
        <f>IF(H170&lt;G170,"Saklar Lampu",0)</f>
        <v>0</v>
      </c>
      <c r="K170" s="23"/>
      <c r="L170" s="43"/>
    </row>
    <row r="171" spans="2:12" ht="30" x14ac:dyDescent="0.25">
      <c r="B171" s="91"/>
      <c r="C171" s="93"/>
      <c r="D171" s="99"/>
      <c r="E171" s="95" t="s">
        <v>125</v>
      </c>
      <c r="F171" s="25" t="s">
        <v>128</v>
      </c>
      <c r="G171" s="24">
        <v>0.5</v>
      </c>
      <c r="H171" s="33">
        <v>1</v>
      </c>
      <c r="I171" s="30">
        <f>IF(H171&lt;G171,"RKG01",0)</f>
        <v>0</v>
      </c>
      <c r="J171" s="30" t="str">
        <f>IF(H171&gt;=G171,"Batal",0)</f>
        <v>Batal</v>
      </c>
      <c r="K171" s="23"/>
      <c r="L171" s="58"/>
    </row>
    <row r="172" spans="2:12" ht="30.75" thickBot="1" x14ac:dyDescent="0.3">
      <c r="B172" s="105"/>
      <c r="C172" s="104"/>
      <c r="D172" s="100"/>
      <c r="E172" s="94"/>
      <c r="F172" s="25" t="s">
        <v>128</v>
      </c>
      <c r="G172" s="24">
        <v>0.5</v>
      </c>
      <c r="H172" s="33">
        <v>0</v>
      </c>
      <c r="I172" s="30" t="str">
        <f>IF(H172&lt;G172,"RKG01",0)</f>
        <v>RKG01</v>
      </c>
      <c r="J172" s="30">
        <f>IF(H172&gt;=G172,"Batal",0)</f>
        <v>0</v>
      </c>
      <c r="K172" s="23" t="s">
        <v>42</v>
      </c>
      <c r="L172" s="72" t="s">
        <v>149</v>
      </c>
    </row>
    <row r="173" spans="2:12" ht="30" x14ac:dyDescent="0.25">
      <c r="B173" s="90">
        <v>19</v>
      </c>
      <c r="C173" s="92" t="s">
        <v>73</v>
      </c>
      <c r="D173" s="98" t="s">
        <v>74</v>
      </c>
      <c r="E173" s="129" t="s">
        <v>29</v>
      </c>
      <c r="F173" s="55" t="s">
        <v>39</v>
      </c>
      <c r="G173" s="51">
        <v>150</v>
      </c>
      <c r="H173" s="70">
        <v>100</v>
      </c>
      <c r="I173" s="55">
        <f>IF(H173&gt;=G173,"RTM01",0)</f>
        <v>0</v>
      </c>
      <c r="J173" s="55" t="str">
        <f>IF(H173&lt;G173,"Saklar Lampu",0)</f>
        <v>Saklar Lampu</v>
      </c>
      <c r="K173" s="50"/>
      <c r="L173" s="57"/>
    </row>
    <row r="174" spans="2:12" x14ac:dyDescent="0.25">
      <c r="B174" s="91"/>
      <c r="C174" s="93"/>
      <c r="D174" s="99"/>
      <c r="E174" s="94"/>
      <c r="F174" s="25" t="s">
        <v>39</v>
      </c>
      <c r="G174" s="24">
        <v>150</v>
      </c>
      <c r="H174" s="33">
        <v>150</v>
      </c>
      <c r="I174" s="25" t="str">
        <f>IF(H174&gt;=G174,"RTM01",0)</f>
        <v>RTM01</v>
      </c>
      <c r="J174" s="25">
        <f>IF(H174&lt;G174,"Saklar Lampu",0)</f>
        <v>0</v>
      </c>
      <c r="K174" s="23"/>
      <c r="L174" s="43"/>
    </row>
    <row r="175" spans="2:12" ht="30" x14ac:dyDescent="0.25">
      <c r="B175" s="91"/>
      <c r="C175" s="93"/>
      <c r="D175" s="99"/>
      <c r="E175" s="95" t="s">
        <v>125</v>
      </c>
      <c r="F175" s="25" t="s">
        <v>128</v>
      </c>
      <c r="G175" s="24">
        <v>0.2</v>
      </c>
      <c r="H175" s="33">
        <v>1</v>
      </c>
      <c r="I175" s="30">
        <f>IF(H175&lt;G175,"RTM01",0)</f>
        <v>0</v>
      </c>
      <c r="J175" s="30" t="str">
        <f>IF(H175&gt;=G175,"Batal",0)</f>
        <v>Batal</v>
      </c>
      <c r="K175" s="23"/>
      <c r="L175" s="58"/>
    </row>
    <row r="176" spans="2:12" ht="30.75" thickBot="1" x14ac:dyDescent="0.3">
      <c r="B176" s="105"/>
      <c r="C176" s="104"/>
      <c r="D176" s="100"/>
      <c r="E176" s="94"/>
      <c r="F176" s="25" t="s">
        <v>128</v>
      </c>
      <c r="G176" s="24">
        <v>0.2</v>
      </c>
      <c r="H176" s="33">
        <v>0</v>
      </c>
      <c r="I176" s="30" t="str">
        <f>IF(H176&lt;G176,"RTM01",0)</f>
        <v>RTM01</v>
      </c>
      <c r="J176" s="30">
        <f>IF(H176&gt;=G176,"Batal",0)</f>
        <v>0</v>
      </c>
      <c r="K176" s="23" t="s">
        <v>74</v>
      </c>
      <c r="L176" s="72" t="s">
        <v>149</v>
      </c>
    </row>
    <row r="177" spans="2:12" ht="30" x14ac:dyDescent="0.25">
      <c r="B177" s="90">
        <v>20</v>
      </c>
      <c r="C177" s="92" t="s">
        <v>75</v>
      </c>
      <c r="D177" s="98" t="s">
        <v>76</v>
      </c>
      <c r="E177" s="129" t="s">
        <v>29</v>
      </c>
      <c r="F177" s="55" t="s">
        <v>39</v>
      </c>
      <c r="G177" s="51">
        <v>150</v>
      </c>
      <c r="H177" s="70">
        <v>100</v>
      </c>
      <c r="I177" s="55">
        <f>IF(H177&gt;=G177,"Pintu",0)</f>
        <v>0</v>
      </c>
      <c r="J177" s="55" t="str">
        <f>IF(H177&lt;G177,"Saklar Lampu",0)</f>
        <v>Saklar Lampu</v>
      </c>
      <c r="K177" s="50"/>
      <c r="L177" s="57"/>
    </row>
    <row r="178" spans="2:12" x14ac:dyDescent="0.25">
      <c r="B178" s="91"/>
      <c r="C178" s="93"/>
      <c r="D178" s="99"/>
      <c r="E178" s="94"/>
      <c r="F178" s="25" t="s">
        <v>39</v>
      </c>
      <c r="G178" s="24">
        <v>150</v>
      </c>
      <c r="H178" s="33">
        <v>150</v>
      </c>
      <c r="I178" s="25" t="str">
        <f>IF(H178&gt;=G178,"Pintu",0)</f>
        <v>Pintu</v>
      </c>
      <c r="J178" s="25">
        <f>IF(H178&lt;G178,"Saklar Lampu",0)</f>
        <v>0</v>
      </c>
      <c r="K178" s="23"/>
      <c r="L178" s="43"/>
    </row>
    <row r="179" spans="2:12" x14ac:dyDescent="0.25">
      <c r="B179" s="91"/>
      <c r="C179" s="93"/>
      <c r="D179" s="99"/>
      <c r="E179" s="95" t="s">
        <v>53</v>
      </c>
      <c r="F179" s="25" t="s">
        <v>15</v>
      </c>
      <c r="G179" s="23" t="s">
        <v>16</v>
      </c>
      <c r="H179" s="33" t="s">
        <v>61</v>
      </c>
      <c r="I179" s="25">
        <f>IF(H179=G179,"RTS01",0)</f>
        <v>0</v>
      </c>
      <c r="J179" s="25" t="str">
        <f>IF(H179=G179,0,"Batal")</f>
        <v>Batal</v>
      </c>
      <c r="K179" s="23"/>
      <c r="L179" s="43"/>
    </row>
    <row r="180" spans="2:12" x14ac:dyDescent="0.25">
      <c r="B180" s="91"/>
      <c r="C180" s="93"/>
      <c r="D180" s="99"/>
      <c r="E180" s="94"/>
      <c r="F180" s="25" t="s">
        <v>15</v>
      </c>
      <c r="G180" s="23" t="s">
        <v>16</v>
      </c>
      <c r="H180" s="33" t="s">
        <v>16</v>
      </c>
      <c r="I180" s="25" t="str">
        <f>IF(H180=G180,"RTS01",0)</f>
        <v>RTS01</v>
      </c>
      <c r="J180" s="25">
        <f>IF(H180=G180,0,"Batal")</f>
        <v>0</v>
      </c>
      <c r="K180" s="23"/>
      <c r="L180" s="43"/>
    </row>
    <row r="181" spans="2:12" ht="30" x14ac:dyDescent="0.25">
      <c r="B181" s="91"/>
      <c r="C181" s="93"/>
      <c r="D181" s="99"/>
      <c r="E181" s="95" t="s">
        <v>125</v>
      </c>
      <c r="F181" s="25" t="s">
        <v>128</v>
      </c>
      <c r="G181" s="24">
        <v>0.5</v>
      </c>
      <c r="H181" s="33">
        <v>1</v>
      </c>
      <c r="I181" s="30">
        <f>IF(H181&lt;G181,"RTS01",0)</f>
        <v>0</v>
      </c>
      <c r="J181" s="30" t="str">
        <f>IF(H181&gt;=G181,"Batal",0)</f>
        <v>Batal</v>
      </c>
      <c r="K181" s="23"/>
      <c r="L181" s="58"/>
    </row>
    <row r="182" spans="2:12" ht="30.75" thickBot="1" x14ac:dyDescent="0.3">
      <c r="B182" s="105"/>
      <c r="C182" s="104"/>
      <c r="D182" s="100"/>
      <c r="E182" s="94"/>
      <c r="F182" s="25" t="s">
        <v>128</v>
      </c>
      <c r="G182" s="24">
        <v>0.5</v>
      </c>
      <c r="H182" s="33">
        <v>0</v>
      </c>
      <c r="I182" s="30" t="str">
        <f>IF(H182&lt;G182,"RTS01",0)</f>
        <v>RTS01</v>
      </c>
      <c r="J182" s="30">
        <f>IF(H182&gt;=G182,"Batal",0)</f>
        <v>0</v>
      </c>
      <c r="K182" s="23" t="s">
        <v>76</v>
      </c>
      <c r="L182" s="72" t="s">
        <v>149</v>
      </c>
    </row>
    <row r="183" spans="2:12" ht="30" x14ac:dyDescent="0.25">
      <c r="B183" s="90">
        <v>21</v>
      </c>
      <c r="C183" s="101" t="s">
        <v>77</v>
      </c>
      <c r="D183" s="98" t="s">
        <v>28</v>
      </c>
      <c r="E183" s="129" t="s">
        <v>29</v>
      </c>
      <c r="F183" s="55" t="s">
        <v>39</v>
      </c>
      <c r="G183" s="51">
        <v>150</v>
      </c>
      <c r="H183" s="70">
        <v>100</v>
      </c>
      <c r="I183" s="55">
        <f>IF(H183&gt;=G183,"RMK01",0)</f>
        <v>0</v>
      </c>
      <c r="J183" s="55" t="str">
        <f>IF(H183&lt;G183,"Saklar Lampu",0)</f>
        <v>Saklar Lampu</v>
      </c>
      <c r="K183" s="50"/>
      <c r="L183" s="57"/>
    </row>
    <row r="184" spans="2:12" x14ac:dyDescent="0.25">
      <c r="B184" s="91"/>
      <c r="C184" s="102"/>
      <c r="D184" s="99"/>
      <c r="E184" s="94"/>
      <c r="F184" s="25" t="s">
        <v>39</v>
      </c>
      <c r="G184" s="24">
        <v>150</v>
      </c>
      <c r="H184" s="33">
        <v>150</v>
      </c>
      <c r="I184" s="25" t="str">
        <f>IF(H184&gt;=G184,"RMK01",0)</f>
        <v>RMK01</v>
      </c>
      <c r="J184" s="25">
        <f>IF(H184&lt;G184,"Saklar Lampu",0)</f>
        <v>0</v>
      </c>
      <c r="K184" s="23"/>
      <c r="L184" s="43"/>
    </row>
    <row r="185" spans="2:12" ht="30" x14ac:dyDescent="0.25">
      <c r="B185" s="91"/>
      <c r="C185" s="102"/>
      <c r="D185" s="99"/>
      <c r="E185" s="95" t="s">
        <v>125</v>
      </c>
      <c r="F185" s="25" t="s">
        <v>128</v>
      </c>
      <c r="G185" s="24">
        <v>0.2</v>
      </c>
      <c r="H185" s="33">
        <v>1</v>
      </c>
      <c r="I185" s="30">
        <f>IF(H185&lt;G185,"RMK01",0)</f>
        <v>0</v>
      </c>
      <c r="J185" s="30" t="str">
        <f>IF(H185&gt;=G185,"Batal",0)</f>
        <v>Batal</v>
      </c>
      <c r="K185" s="23"/>
      <c r="L185" s="43"/>
    </row>
    <row r="186" spans="2:12" ht="30.75" thickBot="1" x14ac:dyDescent="0.3">
      <c r="B186" s="91"/>
      <c r="C186" s="102"/>
      <c r="D186" s="99"/>
      <c r="E186" s="94"/>
      <c r="F186" s="25" t="s">
        <v>128</v>
      </c>
      <c r="G186" s="24">
        <v>0.2</v>
      </c>
      <c r="H186" s="33">
        <v>0</v>
      </c>
      <c r="I186" s="30" t="str">
        <f>IF(H186&lt;G186,"RMK01",0)</f>
        <v>RMK01</v>
      </c>
      <c r="J186" s="30">
        <f>IF(H186&gt;=G186,"Batal",0)</f>
        <v>0</v>
      </c>
      <c r="K186" s="23" t="s">
        <v>34</v>
      </c>
      <c r="L186" s="72" t="s">
        <v>149</v>
      </c>
    </row>
    <row r="187" spans="2:12" ht="30" x14ac:dyDescent="0.25">
      <c r="B187" s="90">
        <v>22</v>
      </c>
      <c r="C187" s="101" t="s">
        <v>78</v>
      </c>
      <c r="D187" s="98" t="s">
        <v>32</v>
      </c>
      <c r="E187" s="129" t="s">
        <v>29</v>
      </c>
      <c r="F187" s="55" t="s">
        <v>39</v>
      </c>
      <c r="G187" s="51">
        <v>150</v>
      </c>
      <c r="H187" s="70">
        <v>100</v>
      </c>
      <c r="I187" s="55">
        <f>IF(H187&gt;=G187,"RDP01",0)</f>
        <v>0</v>
      </c>
      <c r="J187" s="55" t="str">
        <f>IF(H187&lt;G187,"Saklar Lampu",0)</f>
        <v>Saklar Lampu</v>
      </c>
      <c r="K187" s="50"/>
      <c r="L187" s="57"/>
    </row>
    <row r="188" spans="2:12" x14ac:dyDescent="0.25">
      <c r="B188" s="91"/>
      <c r="C188" s="102"/>
      <c r="D188" s="99"/>
      <c r="E188" s="94"/>
      <c r="F188" s="25" t="s">
        <v>39</v>
      </c>
      <c r="G188" s="24">
        <v>150</v>
      </c>
      <c r="H188" s="33">
        <v>150</v>
      </c>
      <c r="I188" s="25" t="str">
        <f>IF(H188&gt;=G188,"RDP01",0)</f>
        <v>RDP01</v>
      </c>
      <c r="J188" s="25">
        <f>IF(H188&lt;G188,"Saklar Lampu",0)</f>
        <v>0</v>
      </c>
      <c r="K188" s="23"/>
      <c r="L188" s="43"/>
    </row>
    <row r="189" spans="2:12" ht="30" x14ac:dyDescent="0.25">
      <c r="B189" s="91"/>
      <c r="C189" s="102"/>
      <c r="D189" s="99"/>
      <c r="E189" s="95" t="s">
        <v>125</v>
      </c>
      <c r="F189" s="25" t="s">
        <v>128</v>
      </c>
      <c r="G189" s="24">
        <v>0.2</v>
      </c>
      <c r="H189" s="33">
        <v>1</v>
      </c>
      <c r="I189" s="30">
        <f>IF(H189&lt;G189,"RDP01",0)</f>
        <v>0</v>
      </c>
      <c r="J189" s="30" t="str">
        <f>IF(H189&gt;=G189,"Batal",0)</f>
        <v>Batal</v>
      </c>
      <c r="K189" s="23"/>
      <c r="L189" s="58"/>
    </row>
    <row r="190" spans="2:12" ht="30.75" thickBot="1" x14ac:dyDescent="0.3">
      <c r="B190" s="105"/>
      <c r="C190" s="132"/>
      <c r="D190" s="100"/>
      <c r="E190" s="94"/>
      <c r="F190" s="25" t="s">
        <v>128</v>
      </c>
      <c r="G190" s="24">
        <v>0.2</v>
      </c>
      <c r="H190" s="33">
        <v>0</v>
      </c>
      <c r="I190" s="30" t="str">
        <f>IF(H190&lt;G190,"RDP01",0)</f>
        <v>RDP01</v>
      </c>
      <c r="J190" s="30">
        <f>IF(H190&gt;=G190,"Batal",0)</f>
        <v>0</v>
      </c>
      <c r="K190" s="42" t="s">
        <v>72</v>
      </c>
      <c r="L190" s="72" t="s">
        <v>149</v>
      </c>
    </row>
    <row r="191" spans="2:12" ht="30" x14ac:dyDescent="0.25">
      <c r="B191" s="90">
        <v>23</v>
      </c>
      <c r="C191" s="101" t="s">
        <v>79</v>
      </c>
      <c r="D191" s="98" t="s">
        <v>68</v>
      </c>
      <c r="E191" s="129" t="s">
        <v>29</v>
      </c>
      <c r="F191" s="55" t="s">
        <v>39</v>
      </c>
      <c r="G191" s="51">
        <v>150</v>
      </c>
      <c r="H191" s="70">
        <v>100</v>
      </c>
      <c r="I191" s="55">
        <f>IF(H191&gt;=G191,"Pintu",0)</f>
        <v>0</v>
      </c>
      <c r="J191" s="55" t="str">
        <f>IF(H191&lt;G191,"Saklar Lampu",0)</f>
        <v>Saklar Lampu</v>
      </c>
      <c r="K191" s="50"/>
      <c r="L191" s="57"/>
    </row>
    <row r="192" spans="2:12" x14ac:dyDescent="0.25">
      <c r="B192" s="91"/>
      <c r="C192" s="102"/>
      <c r="D192" s="99"/>
      <c r="E192" s="94"/>
      <c r="F192" s="25" t="s">
        <v>39</v>
      </c>
      <c r="G192" s="24">
        <v>150</v>
      </c>
      <c r="H192" s="33">
        <v>150</v>
      </c>
      <c r="I192" s="25" t="str">
        <f>IF(H192&gt;=G192,"Pintu",0)</f>
        <v>Pintu</v>
      </c>
      <c r="J192" s="25">
        <f>IF(H192&lt;G192,"Saklar Lampu",0)</f>
        <v>0</v>
      </c>
      <c r="K192" s="23"/>
      <c r="L192" s="43"/>
    </row>
    <row r="193" spans="2:12" ht="30" x14ac:dyDescent="0.25">
      <c r="B193" s="91"/>
      <c r="C193" s="102"/>
      <c r="D193" s="99"/>
      <c r="E193" s="95" t="s">
        <v>125</v>
      </c>
      <c r="F193" s="25" t="s">
        <v>128</v>
      </c>
      <c r="G193" s="24">
        <v>0.2</v>
      </c>
      <c r="H193" s="33">
        <v>1</v>
      </c>
      <c r="I193" s="30">
        <f>IF(H193&lt;G193,"RGD01",0)</f>
        <v>0</v>
      </c>
      <c r="J193" s="30" t="str">
        <f>IF(H193&gt;=G193,"Batal",0)</f>
        <v>Batal</v>
      </c>
      <c r="K193" s="23"/>
      <c r="L193" s="43"/>
    </row>
    <row r="194" spans="2:12" ht="30.75" thickBot="1" x14ac:dyDescent="0.3">
      <c r="B194" s="91"/>
      <c r="C194" s="102"/>
      <c r="D194" s="99"/>
      <c r="E194" s="94"/>
      <c r="F194" s="25" t="s">
        <v>128</v>
      </c>
      <c r="G194" s="24">
        <v>0.2</v>
      </c>
      <c r="H194" s="33">
        <v>0</v>
      </c>
      <c r="I194" s="30" t="str">
        <f>IF(H194&lt;G194,"RGD01",0)</f>
        <v>RGD01</v>
      </c>
      <c r="J194" s="30">
        <f>IF(H194&gt;=G194,"Batal",0)</f>
        <v>0</v>
      </c>
      <c r="K194" s="23" t="s">
        <v>28</v>
      </c>
      <c r="L194" s="72" t="s">
        <v>149</v>
      </c>
    </row>
    <row r="195" spans="2:12" ht="30" x14ac:dyDescent="0.25">
      <c r="B195" s="90">
        <v>24</v>
      </c>
      <c r="C195" s="101" t="s">
        <v>80</v>
      </c>
      <c r="D195" s="98" t="s">
        <v>72</v>
      </c>
      <c r="E195" s="129" t="s">
        <v>29</v>
      </c>
      <c r="F195" s="55" t="s">
        <v>39</v>
      </c>
      <c r="G195" s="51">
        <v>150</v>
      </c>
      <c r="H195" s="70">
        <v>100</v>
      </c>
      <c r="I195" s="55">
        <f>IF(H195&gt;=G195,"RKD01",0)</f>
        <v>0</v>
      </c>
      <c r="J195" s="55" t="str">
        <f>IF(H195&lt;G195,"Saklar Lampu",0)</f>
        <v>Saklar Lampu</v>
      </c>
      <c r="K195" s="50"/>
      <c r="L195" s="57"/>
    </row>
    <row r="196" spans="2:12" x14ac:dyDescent="0.25">
      <c r="B196" s="91"/>
      <c r="C196" s="102"/>
      <c r="D196" s="99"/>
      <c r="E196" s="94"/>
      <c r="F196" s="25" t="s">
        <v>39</v>
      </c>
      <c r="G196" s="24">
        <v>150</v>
      </c>
      <c r="H196" s="33">
        <v>150</v>
      </c>
      <c r="I196" s="25" t="str">
        <f>IF(H196&gt;=G196,"RKD01",0)</f>
        <v>RKD01</v>
      </c>
      <c r="J196" s="25">
        <f>IF(H196&lt;G196,"Saklar Lampu",0)</f>
        <v>0</v>
      </c>
      <c r="K196" s="23"/>
      <c r="L196" s="43"/>
    </row>
    <row r="197" spans="2:12" ht="30" x14ac:dyDescent="0.25">
      <c r="B197" s="91"/>
      <c r="C197" s="102"/>
      <c r="D197" s="99"/>
      <c r="E197" s="95" t="s">
        <v>125</v>
      </c>
      <c r="F197" s="25" t="s">
        <v>128</v>
      </c>
      <c r="G197" s="24">
        <v>0.2</v>
      </c>
      <c r="H197" s="33">
        <v>1</v>
      </c>
      <c r="I197" s="30">
        <f>IF(H197&lt;G197,"RKD01",0)</f>
        <v>0</v>
      </c>
      <c r="J197" s="30" t="str">
        <f>IF(H197&gt;=G197,"Batal",0)</f>
        <v>Batal</v>
      </c>
      <c r="K197" s="23"/>
      <c r="L197" s="58"/>
    </row>
    <row r="198" spans="2:12" ht="30.75" thickBot="1" x14ac:dyDescent="0.3">
      <c r="B198" s="105"/>
      <c r="C198" s="132"/>
      <c r="D198" s="100"/>
      <c r="E198" s="94"/>
      <c r="F198" s="25" t="s">
        <v>128</v>
      </c>
      <c r="G198" s="24">
        <v>0.2</v>
      </c>
      <c r="H198" s="33">
        <v>0</v>
      </c>
      <c r="I198" s="30" t="str">
        <f>IF(H198&lt;G198,"RKD01",0)</f>
        <v>RKD01</v>
      </c>
      <c r="J198" s="30">
        <f>IF(H198&gt;=G198,"Batal",0)</f>
        <v>0</v>
      </c>
      <c r="K198" s="23"/>
      <c r="L198" s="72" t="s">
        <v>149</v>
      </c>
    </row>
    <row r="199" spans="2:12" ht="30" x14ac:dyDescent="0.25">
      <c r="B199" s="90">
        <v>25</v>
      </c>
      <c r="C199" s="101" t="s">
        <v>89</v>
      </c>
      <c r="D199" s="98" t="s">
        <v>57</v>
      </c>
      <c r="E199" s="129" t="s">
        <v>29</v>
      </c>
      <c r="F199" s="55" t="s">
        <v>39</v>
      </c>
      <c r="G199" s="51">
        <v>150</v>
      </c>
      <c r="H199" s="70">
        <v>100</v>
      </c>
      <c r="I199" s="55">
        <f>IF(H199&gt;=G199,"Pintu",0)</f>
        <v>0</v>
      </c>
      <c r="J199" s="55" t="str">
        <f>IF(H199&lt;G199,"Saklar Lampu",0)</f>
        <v>Saklar Lampu</v>
      </c>
      <c r="K199" s="50"/>
      <c r="L199" s="57"/>
    </row>
    <row r="200" spans="2:12" x14ac:dyDescent="0.25">
      <c r="B200" s="91"/>
      <c r="C200" s="102"/>
      <c r="D200" s="99"/>
      <c r="E200" s="94"/>
      <c r="F200" s="25" t="s">
        <v>39</v>
      </c>
      <c r="G200" s="24">
        <v>150</v>
      </c>
      <c r="H200" s="33">
        <v>150</v>
      </c>
      <c r="I200" s="25" t="str">
        <f>IF(H200&gt;=G200,"Pintu",0)</f>
        <v>Pintu</v>
      </c>
      <c r="J200" s="25">
        <f>IF(H200&lt;G200,"Saklar Lampu",0)</f>
        <v>0</v>
      </c>
      <c r="K200" s="23"/>
      <c r="L200" s="43"/>
    </row>
    <row r="201" spans="2:12" ht="30" x14ac:dyDescent="0.25">
      <c r="B201" s="91"/>
      <c r="C201" s="102"/>
      <c r="D201" s="99"/>
      <c r="E201" s="95" t="s">
        <v>125</v>
      </c>
      <c r="F201" s="25" t="s">
        <v>128</v>
      </c>
      <c r="G201" s="24">
        <v>0.2</v>
      </c>
      <c r="H201" s="33">
        <v>1</v>
      </c>
      <c r="I201" s="30">
        <f>IF(H201&lt;G201,"RTU01",0)</f>
        <v>0</v>
      </c>
      <c r="J201" s="30" t="str">
        <f>IF(H201&gt;=G201,"Batal",0)</f>
        <v>Batal</v>
      </c>
      <c r="K201" s="23"/>
      <c r="L201" s="43"/>
    </row>
    <row r="202" spans="2:12" ht="30.75" thickBot="1" x14ac:dyDescent="0.3">
      <c r="B202" s="91"/>
      <c r="C202" s="102"/>
      <c r="D202" s="99"/>
      <c r="E202" s="94"/>
      <c r="F202" s="25" t="s">
        <v>128</v>
      </c>
      <c r="G202" s="24">
        <v>0.2</v>
      </c>
      <c r="H202" s="33">
        <v>0</v>
      </c>
      <c r="I202" s="30" t="str">
        <f>IF(H202&lt;G202,"RTU01",0)</f>
        <v>RTU01</v>
      </c>
      <c r="J202" s="30">
        <f>IF(H202&gt;=G202,"Batal",0)</f>
        <v>0</v>
      </c>
      <c r="K202" s="23"/>
      <c r="L202" s="72" t="s">
        <v>149</v>
      </c>
    </row>
    <row r="203" spans="2:12" ht="30" x14ac:dyDescent="0.25">
      <c r="B203" s="90">
        <v>26</v>
      </c>
      <c r="C203" s="101" t="s">
        <v>90</v>
      </c>
      <c r="D203" s="98" t="s">
        <v>86</v>
      </c>
      <c r="E203" s="129" t="s">
        <v>29</v>
      </c>
      <c r="F203" s="55" t="s">
        <v>39</v>
      </c>
      <c r="G203" s="51">
        <v>150</v>
      </c>
      <c r="H203" s="70">
        <v>100</v>
      </c>
      <c r="I203" s="55">
        <f>IF(H203&gt;=G203,"Pintu",0)</f>
        <v>0</v>
      </c>
      <c r="J203" s="55" t="str">
        <f>IF(H203&lt;G203,"Saklar Lampu",0)</f>
        <v>Saklar Lampu</v>
      </c>
      <c r="K203" s="50"/>
      <c r="L203" s="57"/>
    </row>
    <row r="204" spans="2:12" x14ac:dyDescent="0.25">
      <c r="B204" s="91"/>
      <c r="C204" s="102"/>
      <c r="D204" s="99"/>
      <c r="E204" s="94"/>
      <c r="F204" s="25" t="s">
        <v>39</v>
      </c>
      <c r="G204" s="24">
        <v>150</v>
      </c>
      <c r="H204" s="33">
        <v>150</v>
      </c>
      <c r="I204" s="25" t="str">
        <f>IF(H204&gt;=G204,"Pintu",0)</f>
        <v>Pintu</v>
      </c>
      <c r="J204" s="25">
        <f>IF(H204&lt;G204,"Saklar Lampu",0)</f>
        <v>0</v>
      </c>
      <c r="K204" s="23"/>
      <c r="L204" s="43"/>
    </row>
    <row r="205" spans="2:12" ht="30" x14ac:dyDescent="0.25">
      <c r="B205" s="91"/>
      <c r="C205" s="102"/>
      <c r="D205" s="99"/>
      <c r="E205" s="95" t="s">
        <v>125</v>
      </c>
      <c r="F205" s="25" t="s">
        <v>128</v>
      </c>
      <c r="G205" s="24">
        <v>0.2</v>
      </c>
      <c r="H205" s="33">
        <v>1</v>
      </c>
      <c r="I205" s="30">
        <f>IF(H205&lt;G205,"RTU02",0)</f>
        <v>0</v>
      </c>
      <c r="J205" s="30" t="str">
        <f>IF(H205&gt;=G205,"Batal",0)</f>
        <v>Batal</v>
      </c>
      <c r="K205" s="23"/>
      <c r="L205" s="58"/>
    </row>
    <row r="206" spans="2:12" ht="30.75" thickBot="1" x14ac:dyDescent="0.3">
      <c r="B206" s="105"/>
      <c r="C206" s="132"/>
      <c r="D206" s="100"/>
      <c r="E206" s="94"/>
      <c r="F206" s="25" t="s">
        <v>128</v>
      </c>
      <c r="G206" s="24">
        <v>0.2</v>
      </c>
      <c r="H206" s="33">
        <v>0</v>
      </c>
      <c r="I206" s="30" t="str">
        <f>IF(H206&lt;G206,"RTU02",0)</f>
        <v>RTU02</v>
      </c>
      <c r="J206" s="30">
        <f>IF(H206&gt;=G206,"Batal",0)</f>
        <v>0</v>
      </c>
      <c r="K206" s="42" t="s">
        <v>72</v>
      </c>
      <c r="L206" s="72" t="s">
        <v>149</v>
      </c>
    </row>
    <row r="207" spans="2:12" ht="30" x14ac:dyDescent="0.25">
      <c r="B207" s="90">
        <v>27</v>
      </c>
      <c r="C207" s="101" t="s">
        <v>91</v>
      </c>
      <c r="D207" s="98" t="s">
        <v>88</v>
      </c>
      <c r="E207" s="129" t="s">
        <v>29</v>
      </c>
      <c r="F207" s="55" t="s">
        <v>39</v>
      </c>
      <c r="G207" s="51">
        <v>150</v>
      </c>
      <c r="H207" s="70">
        <v>100</v>
      </c>
      <c r="I207" s="55">
        <f>IF(H207&gt;=G207,"Pintu",0)</f>
        <v>0</v>
      </c>
      <c r="J207" s="55" t="str">
        <f>IF(H207&lt;G207,"Saklar Lampu",0)</f>
        <v>Saklar Lampu</v>
      </c>
      <c r="K207" s="50"/>
      <c r="L207" s="57"/>
    </row>
    <row r="208" spans="2:12" x14ac:dyDescent="0.25">
      <c r="B208" s="91"/>
      <c r="C208" s="102"/>
      <c r="D208" s="99"/>
      <c r="E208" s="94"/>
      <c r="F208" s="25" t="s">
        <v>39</v>
      </c>
      <c r="G208" s="24">
        <v>150</v>
      </c>
      <c r="H208" s="33">
        <v>150</v>
      </c>
      <c r="I208" s="25" t="str">
        <f>IF(H208&gt;=G208,"Pintu",0)</f>
        <v>Pintu</v>
      </c>
      <c r="J208" s="25">
        <f>IF(H208&lt;G208,"Saklar Lampu",0)</f>
        <v>0</v>
      </c>
      <c r="K208" s="23"/>
      <c r="L208" s="43"/>
    </row>
    <row r="209" spans="2:12" ht="30" x14ac:dyDescent="0.25">
      <c r="B209" s="91"/>
      <c r="C209" s="102"/>
      <c r="D209" s="99"/>
      <c r="E209" s="95" t="s">
        <v>125</v>
      </c>
      <c r="F209" s="25" t="s">
        <v>128</v>
      </c>
      <c r="G209" s="24">
        <v>0.2</v>
      </c>
      <c r="H209" s="33">
        <v>1</v>
      </c>
      <c r="I209" s="30">
        <f>IF(H209&lt;G209,"RTA01",0)</f>
        <v>0</v>
      </c>
      <c r="J209" s="30" t="str">
        <f>IF(H209&gt;=G209,"Batal",0)</f>
        <v>Batal</v>
      </c>
      <c r="K209" s="23"/>
      <c r="L209" s="58"/>
    </row>
    <row r="210" spans="2:12" ht="30.75" thickBot="1" x14ac:dyDescent="0.3">
      <c r="B210" s="105"/>
      <c r="C210" s="132"/>
      <c r="D210" s="100"/>
      <c r="E210" s="94"/>
      <c r="F210" s="25" t="s">
        <v>128</v>
      </c>
      <c r="G210" s="24">
        <v>0.2</v>
      </c>
      <c r="H210" s="33">
        <v>0</v>
      </c>
      <c r="I210" s="30" t="str">
        <f>IF(H210&lt;G210,"RTA01",0)</f>
        <v>RTA01</v>
      </c>
      <c r="J210" s="30">
        <f>IF(H210&gt;=G210,"Batal",0)</f>
        <v>0</v>
      </c>
      <c r="K210" s="42" t="s">
        <v>72</v>
      </c>
      <c r="L210" s="72" t="s">
        <v>149</v>
      </c>
    </row>
    <row r="211" spans="2:12" ht="30" x14ac:dyDescent="0.25">
      <c r="B211" s="90">
        <v>28</v>
      </c>
      <c r="C211" s="101" t="s">
        <v>81</v>
      </c>
      <c r="D211" s="98" t="s">
        <v>42</v>
      </c>
      <c r="E211" s="129" t="s">
        <v>29</v>
      </c>
      <c r="F211" s="55" t="s">
        <v>39</v>
      </c>
      <c r="G211" s="51">
        <v>150</v>
      </c>
      <c r="H211" s="70">
        <v>100</v>
      </c>
      <c r="I211" s="55">
        <f>IF(H211&gt;=G211,"RKG01",0)</f>
        <v>0</v>
      </c>
      <c r="J211" s="55" t="str">
        <f>IF(H211&lt;G211,"Saklar Lampu",0)</f>
        <v>Saklar Lampu</v>
      </c>
      <c r="K211" s="50"/>
      <c r="L211" s="57"/>
    </row>
    <row r="212" spans="2:12" x14ac:dyDescent="0.25">
      <c r="B212" s="91"/>
      <c r="C212" s="102"/>
      <c r="D212" s="99"/>
      <c r="E212" s="94"/>
      <c r="F212" s="25" t="s">
        <v>39</v>
      </c>
      <c r="G212" s="24">
        <v>150</v>
      </c>
      <c r="H212" s="33">
        <v>150</v>
      </c>
      <c r="I212" s="25" t="str">
        <f>IF(H212&gt;=G212,"RKG01",0)</f>
        <v>RKG01</v>
      </c>
      <c r="J212" s="25">
        <f>IF(H212&lt;G212,"Saklar Lampu",0)</f>
        <v>0</v>
      </c>
      <c r="K212" s="23"/>
      <c r="L212" s="43"/>
    </row>
    <row r="213" spans="2:12" ht="30" x14ac:dyDescent="0.25">
      <c r="B213" s="91"/>
      <c r="C213" s="102"/>
      <c r="D213" s="99"/>
      <c r="E213" s="95" t="s">
        <v>125</v>
      </c>
      <c r="F213" s="25" t="s">
        <v>128</v>
      </c>
      <c r="G213" s="24">
        <v>0.2</v>
      </c>
      <c r="H213" s="33">
        <v>1</v>
      </c>
      <c r="I213" s="30">
        <f>IF(H213&lt;G213,"RKG01",0)</f>
        <v>0</v>
      </c>
      <c r="J213" s="30" t="str">
        <f>IF(H213&gt;=G213,"Batal",0)</f>
        <v>Batal</v>
      </c>
      <c r="K213" s="23"/>
      <c r="L213" s="58"/>
    </row>
    <row r="214" spans="2:12" ht="30.75" thickBot="1" x14ac:dyDescent="0.3">
      <c r="B214" s="105"/>
      <c r="C214" s="132"/>
      <c r="D214" s="100"/>
      <c r="E214" s="94"/>
      <c r="F214" s="25" t="s">
        <v>128</v>
      </c>
      <c r="G214" s="24">
        <v>0.2</v>
      </c>
      <c r="H214" s="33">
        <v>0</v>
      </c>
      <c r="I214" s="30" t="str">
        <f>IF(H214&lt;G214,"RKG01",0)</f>
        <v>RKG01</v>
      </c>
      <c r="J214" s="30">
        <f>IF(H214&gt;=G214,"Batal",0)</f>
        <v>0</v>
      </c>
      <c r="K214" s="42" t="s">
        <v>72</v>
      </c>
      <c r="L214" s="72" t="s">
        <v>149</v>
      </c>
    </row>
    <row r="215" spans="2:12" ht="30" x14ac:dyDescent="0.25">
      <c r="B215" s="90">
        <v>29</v>
      </c>
      <c r="C215" s="101" t="s">
        <v>82</v>
      </c>
      <c r="D215" s="98" t="s">
        <v>74</v>
      </c>
      <c r="E215" s="129" t="s">
        <v>29</v>
      </c>
      <c r="F215" s="55" t="s">
        <v>39</v>
      </c>
      <c r="G215" s="51">
        <v>150</v>
      </c>
      <c r="H215" s="70">
        <v>100</v>
      </c>
      <c r="I215" s="55">
        <f>IF(H215&gt;=G215,"RTM01",0)</f>
        <v>0</v>
      </c>
      <c r="J215" s="55" t="str">
        <f>IF(H215&lt;G215,"Saklar Lampu",0)</f>
        <v>Saklar Lampu</v>
      </c>
      <c r="K215" s="50"/>
      <c r="L215" s="57"/>
    </row>
    <row r="216" spans="2:12" x14ac:dyDescent="0.25">
      <c r="B216" s="91"/>
      <c r="C216" s="102"/>
      <c r="D216" s="99"/>
      <c r="E216" s="94"/>
      <c r="F216" s="25" t="s">
        <v>39</v>
      </c>
      <c r="G216" s="24">
        <v>150</v>
      </c>
      <c r="H216" s="33">
        <v>150</v>
      </c>
      <c r="I216" s="25" t="str">
        <f>IF(H216&gt;=G216,"RTM01",0)</f>
        <v>RTM01</v>
      </c>
      <c r="J216" s="25">
        <f>IF(H216&lt;G216,"Saklar Lampu",0)</f>
        <v>0</v>
      </c>
      <c r="K216" s="23"/>
      <c r="L216" s="43"/>
    </row>
    <row r="217" spans="2:12" ht="30" x14ac:dyDescent="0.25">
      <c r="B217" s="91"/>
      <c r="C217" s="102"/>
      <c r="D217" s="99"/>
      <c r="E217" s="95" t="s">
        <v>125</v>
      </c>
      <c r="F217" s="25" t="s">
        <v>128</v>
      </c>
      <c r="G217" s="24">
        <v>0.2</v>
      </c>
      <c r="H217" s="33">
        <v>1</v>
      </c>
      <c r="I217" s="30">
        <f>IF(H217&lt;G217,"RTM01",0)</f>
        <v>0</v>
      </c>
      <c r="J217" s="30" t="str">
        <f>IF(H217&gt;=G217,"Batal",0)</f>
        <v>Batal</v>
      </c>
      <c r="K217" s="23"/>
      <c r="L217" s="58"/>
    </row>
    <row r="218" spans="2:12" ht="30.75" thickBot="1" x14ac:dyDescent="0.3">
      <c r="B218" s="105"/>
      <c r="C218" s="132"/>
      <c r="D218" s="100"/>
      <c r="E218" s="94"/>
      <c r="F218" s="25" t="s">
        <v>128</v>
      </c>
      <c r="G218" s="24">
        <v>0.2</v>
      </c>
      <c r="H218" s="33">
        <v>0</v>
      </c>
      <c r="I218" s="30" t="str">
        <f>IF(H218&lt;G218,"RTM01",0)</f>
        <v>RTM01</v>
      </c>
      <c r="J218" s="30">
        <f>IF(H218&gt;=G218,"Batal",0)</f>
        <v>0</v>
      </c>
      <c r="K218" s="42" t="s">
        <v>42</v>
      </c>
      <c r="L218" s="72" t="s">
        <v>149</v>
      </c>
    </row>
    <row r="219" spans="2:12" ht="30" x14ac:dyDescent="0.25">
      <c r="B219" s="90">
        <v>30</v>
      </c>
      <c r="C219" s="101" t="s">
        <v>83</v>
      </c>
      <c r="D219" s="98" t="s">
        <v>76</v>
      </c>
      <c r="E219" s="129" t="s">
        <v>29</v>
      </c>
      <c r="F219" s="55" t="s">
        <v>39</v>
      </c>
      <c r="G219" s="51">
        <v>150</v>
      </c>
      <c r="H219" s="70">
        <v>100</v>
      </c>
      <c r="I219" s="55">
        <f>IF(H219&gt;=G219,"Pintu",0)</f>
        <v>0</v>
      </c>
      <c r="J219" s="55" t="str">
        <f>IF(H219&lt;G219,"Saklar Lampu",0)</f>
        <v>Saklar Lampu</v>
      </c>
      <c r="K219" s="50"/>
      <c r="L219" s="57"/>
    </row>
    <row r="220" spans="2:12" x14ac:dyDescent="0.25">
      <c r="B220" s="91"/>
      <c r="C220" s="102"/>
      <c r="D220" s="99"/>
      <c r="E220" s="94"/>
      <c r="F220" s="25" t="s">
        <v>39</v>
      </c>
      <c r="G220" s="24">
        <v>150</v>
      </c>
      <c r="H220" s="33">
        <v>150</v>
      </c>
      <c r="I220" s="25" t="str">
        <f>IF(H220&gt;=G220,"Pintu",0)</f>
        <v>Pintu</v>
      </c>
      <c r="J220" s="25">
        <f>IF(H220&lt;G220,"Saklar Lampu",0)</f>
        <v>0</v>
      </c>
      <c r="K220" s="23"/>
      <c r="L220" s="43"/>
    </row>
    <row r="221" spans="2:12" x14ac:dyDescent="0.25">
      <c r="B221" s="91"/>
      <c r="C221" s="102"/>
      <c r="D221" s="99"/>
      <c r="E221" s="95" t="s">
        <v>53</v>
      </c>
      <c r="F221" s="25" t="s">
        <v>15</v>
      </c>
      <c r="G221" s="23" t="s">
        <v>16</v>
      </c>
      <c r="H221" s="33" t="s">
        <v>61</v>
      </c>
      <c r="I221" s="25">
        <f>IF(H221=G221,"RTS01",0)</f>
        <v>0</v>
      </c>
      <c r="J221" s="25" t="str">
        <f>IF(H221=G221,0,"Batal")</f>
        <v>Batal</v>
      </c>
      <c r="K221" s="23"/>
      <c r="L221" s="43"/>
    </row>
    <row r="222" spans="2:12" x14ac:dyDescent="0.25">
      <c r="B222" s="91"/>
      <c r="C222" s="102"/>
      <c r="D222" s="99"/>
      <c r="E222" s="94"/>
      <c r="F222" s="25" t="s">
        <v>15</v>
      </c>
      <c r="G222" s="23" t="s">
        <v>16</v>
      </c>
      <c r="H222" s="33" t="s">
        <v>16</v>
      </c>
      <c r="I222" s="25" t="str">
        <f>IF(H222=G222,"RTS01",0)</f>
        <v>RTS01</v>
      </c>
      <c r="J222" s="25">
        <f>IF(H222=G222,0,"Batal")</f>
        <v>0</v>
      </c>
      <c r="K222" s="23"/>
      <c r="L222" s="43"/>
    </row>
    <row r="223" spans="2:12" ht="30" x14ac:dyDescent="0.25">
      <c r="B223" s="91"/>
      <c r="C223" s="102"/>
      <c r="D223" s="99"/>
      <c r="E223" s="95" t="s">
        <v>125</v>
      </c>
      <c r="F223" s="25" t="s">
        <v>128</v>
      </c>
      <c r="G223" s="24">
        <v>0.2</v>
      </c>
      <c r="H223" s="33">
        <v>1</v>
      </c>
      <c r="I223" s="30">
        <f>IF(H223&lt;G223,"RTS01",0)</f>
        <v>0</v>
      </c>
      <c r="J223" s="30" t="str">
        <f>IF(H223&gt;=G223,"Batal",0)</f>
        <v>Batal</v>
      </c>
      <c r="K223" s="23"/>
      <c r="L223" s="58"/>
    </row>
    <row r="224" spans="2:12" ht="30.75" thickBot="1" x14ac:dyDescent="0.3">
      <c r="B224" s="105"/>
      <c r="C224" s="132"/>
      <c r="D224" s="100"/>
      <c r="E224" s="94"/>
      <c r="F224" s="25" t="s">
        <v>128</v>
      </c>
      <c r="G224" s="24">
        <v>0.2</v>
      </c>
      <c r="H224" s="33">
        <v>0</v>
      </c>
      <c r="I224" s="30" t="str">
        <f>IF(H224&lt;G224,"RTS01",0)</f>
        <v>RTS01</v>
      </c>
      <c r="J224" s="30">
        <f>IF(H224&gt;=G224,"Batal",0)</f>
        <v>0</v>
      </c>
      <c r="K224" s="42" t="s">
        <v>74</v>
      </c>
      <c r="L224" s="72" t="s">
        <v>149</v>
      </c>
    </row>
    <row r="225" spans="2:12" ht="30" x14ac:dyDescent="0.25">
      <c r="B225" s="90">
        <v>31</v>
      </c>
      <c r="C225" s="92" t="s">
        <v>92</v>
      </c>
      <c r="D225" s="90" t="s">
        <v>28</v>
      </c>
      <c r="E225" s="129" t="s">
        <v>29</v>
      </c>
      <c r="F225" s="55" t="s">
        <v>39</v>
      </c>
      <c r="G225" s="51">
        <v>150</v>
      </c>
      <c r="H225" s="70">
        <v>100</v>
      </c>
      <c r="I225" s="55">
        <f>IF(H225&gt;=G225,"RMK01",0)</f>
        <v>0</v>
      </c>
      <c r="J225" s="55" t="str">
        <f>IF(H225&lt;G225,"Saklar Lampu",0)</f>
        <v>Saklar Lampu</v>
      </c>
      <c r="K225" s="50"/>
      <c r="L225" s="57"/>
    </row>
    <row r="226" spans="2:12" x14ac:dyDescent="0.25">
      <c r="B226" s="91"/>
      <c r="C226" s="93"/>
      <c r="D226" s="91"/>
      <c r="E226" s="94"/>
      <c r="F226" s="25" t="s">
        <v>39</v>
      </c>
      <c r="G226" s="24">
        <v>150</v>
      </c>
      <c r="H226" s="33">
        <v>150</v>
      </c>
      <c r="I226" s="25" t="str">
        <f>IF(H226&gt;=G226,"RMK01",0)</f>
        <v>RMK01</v>
      </c>
      <c r="J226" s="25">
        <f>IF(H226&lt;G226,"Saklar Lampu",0)</f>
        <v>0</v>
      </c>
      <c r="K226" s="23"/>
      <c r="L226" s="43"/>
    </row>
    <row r="227" spans="2:12" x14ac:dyDescent="0.25">
      <c r="B227" s="91"/>
      <c r="C227" s="93"/>
      <c r="D227" s="91"/>
      <c r="E227" s="111" t="s">
        <v>38</v>
      </c>
      <c r="F227" s="25" t="s">
        <v>105</v>
      </c>
      <c r="G227" s="25" t="s">
        <v>93</v>
      </c>
      <c r="H227" s="33" t="s">
        <v>36</v>
      </c>
      <c r="I227" s="25" t="str">
        <f>IF(H227=G227,0,"Pompa air")</f>
        <v>Pompa air</v>
      </c>
      <c r="J227" s="25" t="str">
        <f>IF(H227=G227,0,"Batal")</f>
        <v>Batal</v>
      </c>
      <c r="K227" s="23"/>
      <c r="L227" s="58"/>
    </row>
    <row r="228" spans="2:12" x14ac:dyDescent="0.25">
      <c r="B228" s="91"/>
      <c r="C228" s="93"/>
      <c r="D228" s="91"/>
      <c r="E228" s="111"/>
      <c r="F228" s="25" t="s">
        <v>105</v>
      </c>
      <c r="G228" s="25" t="s">
        <v>93</v>
      </c>
      <c r="H228" s="33" t="s">
        <v>93</v>
      </c>
      <c r="I228" s="25">
        <f>IF(H228=G228,0,"Pompa air")</f>
        <v>0</v>
      </c>
      <c r="J228" s="30">
        <f>IF(H228=G228,0,"Batal")</f>
        <v>0</v>
      </c>
      <c r="K228" s="25"/>
      <c r="L228" s="43"/>
    </row>
    <row r="229" spans="2:12" ht="30" x14ac:dyDescent="0.25">
      <c r="B229" s="91"/>
      <c r="C229" s="93"/>
      <c r="D229" s="91"/>
      <c r="E229" s="126" t="s">
        <v>69</v>
      </c>
      <c r="F229" s="30" t="s">
        <v>150</v>
      </c>
      <c r="G229" s="30" t="s">
        <v>135</v>
      </c>
      <c r="H229" s="53" t="s">
        <v>136</v>
      </c>
      <c r="I229" s="30">
        <f>IF(H229=G229,"Saklar pompa",0)</f>
        <v>0</v>
      </c>
      <c r="J229" s="30" t="str">
        <f>IF(H229=G229,0,"Pompa air 1")</f>
        <v>Pompa air 1</v>
      </c>
      <c r="K229" s="38"/>
      <c r="L229" s="81"/>
    </row>
    <row r="230" spans="2:12" ht="30" x14ac:dyDescent="0.25">
      <c r="B230" s="91"/>
      <c r="C230" s="93"/>
      <c r="D230" s="91"/>
      <c r="E230" s="127"/>
      <c r="F230" s="25" t="s">
        <v>150</v>
      </c>
      <c r="G230" s="30" t="s">
        <v>135</v>
      </c>
      <c r="H230" s="33" t="s">
        <v>135</v>
      </c>
      <c r="I230" s="30" t="str">
        <f>IF(H230=G230,"Saklar pompa",0)</f>
        <v>Saklar pompa</v>
      </c>
      <c r="J230" s="25">
        <f>IF(H230=G230,0,"Pompa air 1")</f>
        <v>0</v>
      </c>
      <c r="K230" s="25" t="s">
        <v>28</v>
      </c>
      <c r="L230" s="81"/>
    </row>
    <row r="231" spans="2:12" ht="30" x14ac:dyDescent="0.25">
      <c r="B231" s="91"/>
      <c r="C231" s="93"/>
      <c r="D231" s="91"/>
      <c r="E231" s="127"/>
      <c r="F231" s="25" t="s">
        <v>151</v>
      </c>
      <c r="G231" s="30" t="s">
        <v>135</v>
      </c>
      <c r="H231" s="33" t="s">
        <v>136</v>
      </c>
      <c r="I231" s="25">
        <f>IF(H231=G231,"Saklar pompa",0)</f>
        <v>0</v>
      </c>
      <c r="J231" s="25" t="str">
        <f>IF(H231=G231,0,"Pompa air 1")</f>
        <v>Pompa air 1</v>
      </c>
      <c r="K231" s="30"/>
      <c r="L231" s="81"/>
    </row>
    <row r="232" spans="2:12" ht="30.75" thickBot="1" x14ac:dyDescent="0.3">
      <c r="B232" s="105"/>
      <c r="C232" s="104"/>
      <c r="D232" s="105"/>
      <c r="E232" s="186"/>
      <c r="F232" s="25" t="s">
        <v>151</v>
      </c>
      <c r="G232" s="25" t="s">
        <v>135</v>
      </c>
      <c r="H232" s="33" t="s">
        <v>135</v>
      </c>
      <c r="I232" s="25" t="str">
        <f>IF(H232=G232,"Saklar pompa",0)</f>
        <v>Saklar pompa</v>
      </c>
      <c r="J232" s="25">
        <f>IF(H232=G232,0,"Pompa air 1")</f>
        <v>0</v>
      </c>
      <c r="K232" s="30" t="s">
        <v>33</v>
      </c>
      <c r="L232" s="81"/>
    </row>
    <row r="233" spans="2:12" ht="30" x14ac:dyDescent="0.25">
      <c r="B233" s="90">
        <v>32</v>
      </c>
      <c r="C233" s="92" t="s">
        <v>94</v>
      </c>
      <c r="D233" s="90" t="s">
        <v>28</v>
      </c>
      <c r="E233" s="129" t="s">
        <v>29</v>
      </c>
      <c r="F233" s="55" t="s">
        <v>39</v>
      </c>
      <c r="G233" s="51">
        <v>150</v>
      </c>
      <c r="H233" s="70">
        <v>100</v>
      </c>
      <c r="I233" s="55">
        <f>IF(H233&gt;=G233,"Saklar pompa",0)</f>
        <v>0</v>
      </c>
      <c r="J233" s="55" t="str">
        <f>IF(H233&lt;G233,"Saklar Lampu",0)</f>
        <v>Saklar Lampu</v>
      </c>
      <c r="K233" s="50"/>
      <c r="L233" s="57"/>
    </row>
    <row r="234" spans="2:12" ht="30" x14ac:dyDescent="0.25">
      <c r="B234" s="91"/>
      <c r="C234" s="93"/>
      <c r="D234" s="91"/>
      <c r="E234" s="94"/>
      <c r="F234" s="25" t="s">
        <v>39</v>
      </c>
      <c r="G234" s="24">
        <v>150</v>
      </c>
      <c r="H234" s="33">
        <v>150</v>
      </c>
      <c r="I234" s="25" t="str">
        <f>IF(H234&gt;=G234,"Saklar pompa",0)</f>
        <v>Saklar pompa</v>
      </c>
      <c r="J234" s="25">
        <f>IF(H234&lt;G234,"Saklar Lampu",0)</f>
        <v>0</v>
      </c>
      <c r="K234" s="23"/>
      <c r="L234" s="43"/>
    </row>
    <row r="235" spans="2:12" x14ac:dyDescent="0.25">
      <c r="B235" s="91"/>
      <c r="C235" s="93"/>
      <c r="D235" s="91"/>
      <c r="E235" s="111" t="s">
        <v>38</v>
      </c>
      <c r="F235" s="25" t="s">
        <v>105</v>
      </c>
      <c r="G235" s="25" t="s">
        <v>93</v>
      </c>
      <c r="H235" s="33" t="s">
        <v>36</v>
      </c>
      <c r="I235" s="25" t="str">
        <f>IF(H235=G235,0,"Pompa air")</f>
        <v>Pompa air</v>
      </c>
      <c r="J235" s="25" t="str">
        <f>IF(H235=G235,0,"Batal")</f>
        <v>Batal</v>
      </c>
      <c r="K235" s="23"/>
      <c r="L235" s="43"/>
    </row>
    <row r="236" spans="2:12" x14ac:dyDescent="0.25">
      <c r="B236" s="91"/>
      <c r="C236" s="93"/>
      <c r="D236" s="91"/>
      <c r="E236" s="111"/>
      <c r="F236" s="25" t="s">
        <v>105</v>
      </c>
      <c r="G236" s="25" t="s">
        <v>93</v>
      </c>
      <c r="H236" s="33" t="s">
        <v>93</v>
      </c>
      <c r="I236" s="25">
        <f>IF(H236=G236,0,"Pompa air")</f>
        <v>0</v>
      </c>
      <c r="J236" s="30">
        <f>IF(H236=G236,0,"Batal")</f>
        <v>0</v>
      </c>
      <c r="K236" s="25"/>
      <c r="L236" s="43"/>
    </row>
    <row r="237" spans="2:12" ht="30" x14ac:dyDescent="0.25">
      <c r="B237" s="91"/>
      <c r="C237" s="93"/>
      <c r="D237" s="91"/>
      <c r="E237" s="126" t="s">
        <v>69</v>
      </c>
      <c r="F237" s="30" t="s">
        <v>150</v>
      </c>
      <c r="G237" s="30" t="s">
        <v>135</v>
      </c>
      <c r="H237" s="53" t="s">
        <v>136</v>
      </c>
      <c r="I237" s="30">
        <f>IF(H237=G237,"Saklar pompa",0)</f>
        <v>0</v>
      </c>
      <c r="J237" s="30" t="str">
        <f>IF(H237=G237,0,"Pompa air 1")</f>
        <v>Pompa air 1</v>
      </c>
      <c r="K237" s="38"/>
      <c r="L237" s="58"/>
    </row>
    <row r="238" spans="2:12" ht="30.75" thickBot="1" x14ac:dyDescent="0.3">
      <c r="B238" s="105"/>
      <c r="C238" s="93"/>
      <c r="D238" s="91"/>
      <c r="E238" s="127"/>
      <c r="F238" s="25" t="s">
        <v>150</v>
      </c>
      <c r="G238" s="30" t="s">
        <v>135</v>
      </c>
      <c r="H238" s="33" t="s">
        <v>135</v>
      </c>
      <c r="I238" s="30" t="str">
        <f>IF(H238=G238,"Saklar pompa",0)</f>
        <v>Saklar pompa</v>
      </c>
      <c r="J238" s="25">
        <f>IF(H238=G238,0,"Pompa air 1")</f>
        <v>0</v>
      </c>
      <c r="K238" s="25" t="s">
        <v>28</v>
      </c>
      <c r="L238" s="44"/>
    </row>
    <row r="239" spans="2:12" ht="30" x14ac:dyDescent="0.25">
      <c r="B239" s="77"/>
      <c r="C239" s="93"/>
      <c r="D239" s="91"/>
      <c r="E239" s="127"/>
      <c r="F239" s="25" t="s">
        <v>151</v>
      </c>
      <c r="G239" s="30" t="s">
        <v>135</v>
      </c>
      <c r="H239" s="33" t="s">
        <v>136</v>
      </c>
      <c r="I239" s="25">
        <f>IF(H239=G239,"Saklar pompa",0)</f>
        <v>0</v>
      </c>
      <c r="J239" s="25" t="str">
        <f>IF(H239=G239,0,"Pompa air 1")</f>
        <v>Pompa air 1</v>
      </c>
      <c r="K239" s="30"/>
      <c r="L239" s="81"/>
    </row>
    <row r="240" spans="2:12" ht="30.75" thickBot="1" x14ac:dyDescent="0.3">
      <c r="B240" s="77"/>
      <c r="C240" s="104"/>
      <c r="D240" s="105"/>
      <c r="E240" s="186"/>
      <c r="F240" s="25" t="s">
        <v>151</v>
      </c>
      <c r="G240" s="25" t="s">
        <v>135</v>
      </c>
      <c r="H240" s="33" t="s">
        <v>135</v>
      </c>
      <c r="I240" s="25" t="str">
        <f>IF(H240=G240,"Saklar pompa",0)</f>
        <v>Saklar pompa</v>
      </c>
      <c r="J240" s="25">
        <f>IF(H240=G240,0,"Pompa air 1")</f>
        <v>0</v>
      </c>
      <c r="K240" s="30" t="s">
        <v>33</v>
      </c>
      <c r="L240" s="81"/>
    </row>
    <row r="241" spans="2:12" ht="30" x14ac:dyDescent="0.25">
      <c r="B241" s="90">
        <v>33</v>
      </c>
      <c r="C241" s="101" t="s">
        <v>95</v>
      </c>
      <c r="D241" s="98" t="s">
        <v>32</v>
      </c>
      <c r="E241" s="129" t="s">
        <v>29</v>
      </c>
      <c r="F241" s="55" t="s">
        <v>39</v>
      </c>
      <c r="G241" s="51">
        <v>150</v>
      </c>
      <c r="H241" s="70">
        <v>100</v>
      </c>
      <c r="I241" s="55">
        <f>IF(H241&gt;=G241,"Tempat sampah",0)</f>
        <v>0</v>
      </c>
      <c r="J241" s="55" t="str">
        <f>IF(H241&lt;G241,"Saklar Lampu",0)</f>
        <v>Saklar Lampu</v>
      </c>
      <c r="K241" s="50"/>
      <c r="L241" s="57"/>
    </row>
    <row r="242" spans="2:12" ht="30" x14ac:dyDescent="0.25">
      <c r="B242" s="91"/>
      <c r="C242" s="102"/>
      <c r="D242" s="99"/>
      <c r="E242" s="94"/>
      <c r="F242" s="25" t="s">
        <v>39</v>
      </c>
      <c r="G242" s="24">
        <v>150</v>
      </c>
      <c r="H242" s="33">
        <v>150</v>
      </c>
      <c r="I242" s="25" t="str">
        <f>IF(H242&gt;=G242,"Tempat sampah",0)</f>
        <v>Tempat sampah</v>
      </c>
      <c r="J242" s="25">
        <f>IF(H242&lt;G242,"Saklar Lampu",0)</f>
        <v>0</v>
      </c>
      <c r="K242" s="23"/>
      <c r="L242" s="43"/>
    </row>
    <row r="243" spans="2:12" ht="30" x14ac:dyDescent="0.25">
      <c r="B243" s="91"/>
      <c r="C243" s="102"/>
      <c r="D243" s="99"/>
      <c r="E243" s="95" t="s">
        <v>125</v>
      </c>
      <c r="F243" s="25" t="s">
        <v>128</v>
      </c>
      <c r="G243" s="24">
        <v>0.4</v>
      </c>
      <c r="H243" s="33">
        <v>1</v>
      </c>
      <c r="I243" s="30">
        <f>IF(H243&lt;G243,"RTS01",0)</f>
        <v>0</v>
      </c>
      <c r="J243" s="30" t="str">
        <f>IF(H243&gt;=G243,"Batal",0)</f>
        <v>Batal</v>
      </c>
      <c r="K243" s="23"/>
      <c r="L243" s="60"/>
    </row>
    <row r="244" spans="2:12" ht="30" x14ac:dyDescent="0.25">
      <c r="B244" s="91"/>
      <c r="C244" s="102"/>
      <c r="D244" s="99"/>
      <c r="E244" s="94"/>
      <c r="F244" s="25" t="s">
        <v>128</v>
      </c>
      <c r="G244" s="24">
        <v>0.4</v>
      </c>
      <c r="H244" s="33">
        <v>0</v>
      </c>
      <c r="I244" s="30" t="str">
        <f>IF(H244&lt;G244,"RTS01",0)</f>
        <v>RTS01</v>
      </c>
      <c r="J244" s="30">
        <f>IF(H244&gt;=G244,"Batal",0)</f>
        <v>0</v>
      </c>
      <c r="K244" s="23" t="s">
        <v>76</v>
      </c>
      <c r="L244" s="60"/>
    </row>
    <row r="245" spans="2:12" x14ac:dyDescent="0.25">
      <c r="B245" s="91"/>
      <c r="C245" s="102"/>
      <c r="D245" s="99"/>
      <c r="E245" s="103" t="s">
        <v>53</v>
      </c>
      <c r="F245" s="30" t="s">
        <v>15</v>
      </c>
      <c r="G245" s="38" t="s">
        <v>16</v>
      </c>
      <c r="H245" s="53" t="s">
        <v>61</v>
      </c>
      <c r="I245" s="30">
        <f>IF(H245=G245,"Pintu",0)</f>
        <v>0</v>
      </c>
      <c r="J245" s="30" t="str">
        <f>IF(H245=G245,0,"Batal")</f>
        <v>Batal</v>
      </c>
      <c r="K245" s="38"/>
      <c r="L245" s="65"/>
    </row>
    <row r="246" spans="2:12" ht="15.75" thickBot="1" x14ac:dyDescent="0.3">
      <c r="B246" s="91"/>
      <c r="C246" s="102"/>
      <c r="D246" s="99"/>
      <c r="E246" s="103"/>
      <c r="F246" s="29" t="s">
        <v>15</v>
      </c>
      <c r="G246" s="56" t="s">
        <v>16</v>
      </c>
      <c r="H246" s="64" t="s">
        <v>16</v>
      </c>
      <c r="I246" s="29" t="str">
        <f>IF(H246=G246,"Pintu",0)</f>
        <v>Pintu</v>
      </c>
      <c r="J246" s="29">
        <f>IF(H246=G246,0,"Batal")</f>
        <v>0</v>
      </c>
      <c r="K246" s="29" t="s">
        <v>35</v>
      </c>
      <c r="L246" s="67"/>
    </row>
    <row r="247" spans="2:12" ht="30.75" thickBot="1" x14ac:dyDescent="0.3">
      <c r="B247" s="113">
        <v>34</v>
      </c>
      <c r="C247" s="116" t="s">
        <v>96</v>
      </c>
      <c r="D247" s="120" t="s">
        <v>60</v>
      </c>
      <c r="E247" s="96" t="s">
        <v>29</v>
      </c>
      <c r="F247" s="55" t="s">
        <v>39</v>
      </c>
      <c r="G247" s="51">
        <v>150</v>
      </c>
      <c r="H247" s="70">
        <v>100</v>
      </c>
      <c r="I247" s="55">
        <f>IF(H247&gt;=G247,"Pintu",0)</f>
        <v>0</v>
      </c>
      <c r="J247" s="55" t="str">
        <f>IF(H247&lt;G247,"Saklar Lampu",0)</f>
        <v>Saklar Lampu</v>
      </c>
      <c r="K247" s="50"/>
      <c r="L247" s="57"/>
    </row>
    <row r="248" spans="2:12" x14ac:dyDescent="0.25">
      <c r="B248" s="114"/>
      <c r="C248" s="117"/>
      <c r="D248" s="121"/>
      <c r="E248" s="97"/>
      <c r="F248" s="25" t="s">
        <v>39</v>
      </c>
      <c r="G248" s="24">
        <v>150</v>
      </c>
      <c r="H248" s="33">
        <v>150</v>
      </c>
      <c r="I248" s="25" t="str">
        <f>IF(H248&gt;=G248,"Pintu",0)</f>
        <v>Pintu</v>
      </c>
      <c r="J248" s="25">
        <f>IF(H248&lt;G248,"Saklar Lampu",0)</f>
        <v>0</v>
      </c>
      <c r="K248" s="23"/>
      <c r="L248" s="43"/>
    </row>
    <row r="249" spans="2:12" ht="30" x14ac:dyDescent="0.25">
      <c r="B249" s="114"/>
      <c r="C249" s="117"/>
      <c r="D249" s="121"/>
      <c r="E249" s="95" t="s">
        <v>125</v>
      </c>
      <c r="F249" s="25" t="s">
        <v>128</v>
      </c>
      <c r="G249" s="24">
        <v>0.2</v>
      </c>
      <c r="H249" s="33">
        <v>0.2</v>
      </c>
      <c r="I249" s="30">
        <f>IF(H249&lt;G249,"Pintu",0)</f>
        <v>0</v>
      </c>
      <c r="J249" s="30" t="str">
        <f>IF(H249&gt;=G249,"Batal",0)</f>
        <v>Batal</v>
      </c>
      <c r="K249" s="23"/>
      <c r="L249" s="43"/>
    </row>
    <row r="250" spans="2:12" ht="30" x14ac:dyDescent="0.25">
      <c r="B250" s="114"/>
      <c r="C250" s="117"/>
      <c r="D250" s="121"/>
      <c r="E250" s="94"/>
      <c r="F250" s="25" t="s">
        <v>128</v>
      </c>
      <c r="G250" s="24">
        <v>0.2</v>
      </c>
      <c r="H250" s="33">
        <v>0</v>
      </c>
      <c r="I250" s="30" t="str">
        <f>IF(H250&lt;G250,"Pintu",0)</f>
        <v>Pintu</v>
      </c>
      <c r="J250" s="30">
        <f>IF(H250&gt;=G250,"Batal",0)</f>
        <v>0</v>
      </c>
      <c r="K250" s="23"/>
      <c r="L250" s="43"/>
    </row>
    <row r="251" spans="2:12" x14ac:dyDescent="0.25">
      <c r="B251" s="109"/>
      <c r="C251" s="118"/>
      <c r="D251" s="121"/>
      <c r="E251" s="97" t="s">
        <v>53</v>
      </c>
      <c r="F251" s="25" t="s">
        <v>15</v>
      </c>
      <c r="G251" s="23" t="s">
        <v>16</v>
      </c>
      <c r="H251" s="33" t="s">
        <v>61</v>
      </c>
      <c r="I251" s="25">
        <f>IF(H251=G251,"Bak mandi",0)</f>
        <v>0</v>
      </c>
      <c r="J251" s="25" t="str">
        <f>IF(H251=G251,0,"Batal")</f>
        <v>Batal</v>
      </c>
      <c r="K251" s="23"/>
      <c r="L251" s="43"/>
    </row>
    <row r="252" spans="2:12" x14ac:dyDescent="0.25">
      <c r="B252" s="109"/>
      <c r="C252" s="118"/>
      <c r="D252" s="121"/>
      <c r="E252" s="97"/>
      <c r="F252" s="25" t="s">
        <v>15</v>
      </c>
      <c r="G252" s="23" t="s">
        <v>16</v>
      </c>
      <c r="H252" s="33" t="s">
        <v>16</v>
      </c>
      <c r="I252" s="25" t="str">
        <f>IF(H252=G252,"Bak mandi",0)</f>
        <v>Bak mandi</v>
      </c>
      <c r="J252" s="25">
        <f>IF(H252=G252,0,"Batal")</f>
        <v>0</v>
      </c>
      <c r="K252" s="23"/>
      <c r="L252" s="43"/>
    </row>
    <row r="253" spans="2:12" x14ac:dyDescent="0.25">
      <c r="B253" s="109"/>
      <c r="C253" s="118"/>
      <c r="D253" s="121"/>
      <c r="E253" s="111" t="s">
        <v>38</v>
      </c>
      <c r="F253" s="25" t="s">
        <v>130</v>
      </c>
      <c r="G253" s="25">
        <v>100</v>
      </c>
      <c r="H253" s="33">
        <v>50</v>
      </c>
      <c r="I253" s="25">
        <f>IF(H253&gt;=G253,"RKM01",0)</f>
        <v>0</v>
      </c>
      <c r="J253" s="25" t="str">
        <f>IF(H253&gt;=G253,0,"Kran air")</f>
        <v>Kran air</v>
      </c>
      <c r="K253" s="23"/>
      <c r="L253" s="58"/>
    </row>
    <row r="254" spans="2:12" ht="15.75" thickBot="1" x14ac:dyDescent="0.3">
      <c r="B254" s="110"/>
      <c r="C254" s="131"/>
      <c r="D254" s="130"/>
      <c r="E254" s="112"/>
      <c r="F254" s="42" t="s">
        <v>130</v>
      </c>
      <c r="G254" s="42">
        <v>100</v>
      </c>
      <c r="H254" s="54">
        <v>120</v>
      </c>
      <c r="I254" s="42" t="str">
        <f>IF(H254&gt;=G254,"RKM01",0)</f>
        <v>RKM01</v>
      </c>
      <c r="J254" s="42">
        <f>IF(H254&gt;=G254,0,"Kran air")</f>
        <v>0</v>
      </c>
      <c r="K254" s="42" t="s">
        <v>60</v>
      </c>
      <c r="L254" s="44"/>
    </row>
    <row r="255" spans="2:12" ht="15.75" thickBot="1" x14ac:dyDescent="0.3">
      <c r="B255" s="113">
        <v>35</v>
      </c>
      <c r="C255" s="116" t="s">
        <v>98</v>
      </c>
      <c r="D255" s="120" t="s">
        <v>33</v>
      </c>
      <c r="E255" s="96" t="s">
        <v>29</v>
      </c>
      <c r="F255" s="55" t="s">
        <v>108</v>
      </c>
      <c r="G255" s="51">
        <v>100</v>
      </c>
      <c r="H255" s="70">
        <v>80</v>
      </c>
      <c r="I255" s="55">
        <f>IF(H255&gt;G255,"Pintu",0)</f>
        <v>0</v>
      </c>
      <c r="J255" s="55" t="str">
        <f>IF(H255&lt;=G255,"Batal",0)</f>
        <v>Batal</v>
      </c>
      <c r="K255" s="50"/>
      <c r="L255" s="57"/>
    </row>
    <row r="256" spans="2:12" x14ac:dyDescent="0.25">
      <c r="B256" s="114"/>
      <c r="C256" s="117"/>
      <c r="D256" s="121"/>
      <c r="E256" s="97"/>
      <c r="F256" s="25" t="s">
        <v>108</v>
      </c>
      <c r="G256" s="24">
        <v>100</v>
      </c>
      <c r="H256" s="33">
        <v>120</v>
      </c>
      <c r="I256" s="25" t="str">
        <f>IF(H256&gt;G256,"Pintu",0)</f>
        <v>Pintu</v>
      </c>
      <c r="J256" s="25">
        <f>IF(H256&lt;=G256,"Batal",0)</f>
        <v>0</v>
      </c>
      <c r="K256" s="23"/>
      <c r="L256" s="43"/>
    </row>
    <row r="257" spans="2:12" x14ac:dyDescent="0.25">
      <c r="B257" s="114"/>
      <c r="C257" s="117"/>
      <c r="D257" s="121"/>
      <c r="E257" s="97" t="s">
        <v>53</v>
      </c>
      <c r="F257" s="25" t="s">
        <v>15</v>
      </c>
      <c r="G257" s="23" t="s">
        <v>16</v>
      </c>
      <c r="H257" s="33" t="s">
        <v>61</v>
      </c>
      <c r="I257" s="25">
        <f>IF(H257=G257,"RHD01",0)</f>
        <v>0</v>
      </c>
      <c r="J257" s="25" t="str">
        <f>IF(H257=G257,0,"Batal")</f>
        <v>Batal</v>
      </c>
      <c r="K257" s="23"/>
      <c r="L257" s="43"/>
    </row>
    <row r="258" spans="2:12" x14ac:dyDescent="0.25">
      <c r="B258" s="114"/>
      <c r="C258" s="117"/>
      <c r="D258" s="121"/>
      <c r="E258" s="97"/>
      <c r="F258" s="25" t="s">
        <v>15</v>
      </c>
      <c r="G258" s="23" t="s">
        <v>16</v>
      </c>
      <c r="H258" s="33" t="s">
        <v>16</v>
      </c>
      <c r="I258" s="25" t="str">
        <f>IF(H258=G258,"RHD01",0)</f>
        <v>RHD01</v>
      </c>
      <c r="J258" s="25">
        <f>IF(H258=G258,0,"Batal")</f>
        <v>0</v>
      </c>
      <c r="K258" s="23"/>
      <c r="L258" s="43"/>
    </row>
    <row r="259" spans="2:12" ht="30" x14ac:dyDescent="0.25">
      <c r="B259" s="114"/>
      <c r="C259" s="117"/>
      <c r="D259" s="121"/>
      <c r="E259" s="95" t="s">
        <v>125</v>
      </c>
      <c r="F259" s="25" t="s">
        <v>128</v>
      </c>
      <c r="G259" s="24">
        <v>0.2</v>
      </c>
      <c r="H259" s="33">
        <v>0.2</v>
      </c>
      <c r="I259" s="30">
        <f>IF(H259&lt;G259,"Kran air",0)</f>
        <v>0</v>
      </c>
      <c r="J259" s="30" t="str">
        <f>IF(H259&gt;=G259,"Batal",0)</f>
        <v>Batal</v>
      </c>
      <c r="K259" s="23"/>
      <c r="L259" s="43"/>
    </row>
    <row r="260" spans="2:12" ht="30" x14ac:dyDescent="0.25">
      <c r="B260" s="114"/>
      <c r="C260" s="117"/>
      <c r="D260" s="121"/>
      <c r="E260" s="94"/>
      <c r="F260" s="25" t="s">
        <v>128</v>
      </c>
      <c r="G260" s="24">
        <v>0.2</v>
      </c>
      <c r="H260" s="33">
        <v>0</v>
      </c>
      <c r="I260" s="30" t="str">
        <f>IF(H260&lt;G260,"Kran air",0)</f>
        <v>Kran air</v>
      </c>
      <c r="J260" s="30">
        <f>IF(H260&gt;=G260,"Batal",0)</f>
        <v>0</v>
      </c>
      <c r="K260" s="23"/>
      <c r="L260" s="43"/>
    </row>
    <row r="261" spans="2:12" x14ac:dyDescent="0.25">
      <c r="B261" s="109"/>
      <c r="C261" s="118"/>
      <c r="D261" s="121"/>
      <c r="E261" s="97" t="s">
        <v>38</v>
      </c>
      <c r="F261" s="25" t="s">
        <v>130</v>
      </c>
      <c r="G261" s="25" t="s">
        <v>133</v>
      </c>
      <c r="H261" s="33" t="s">
        <v>97</v>
      </c>
      <c r="I261" s="25">
        <f>IF(H261=G261,"Pot tanaman",0)</f>
        <v>0</v>
      </c>
      <c r="J261" s="25" t="str">
        <f>IF(H261=G261,0,"Batal")</f>
        <v>Batal</v>
      </c>
      <c r="K261" s="23"/>
      <c r="L261" s="43"/>
    </row>
    <row r="262" spans="2:12" ht="30.75" thickBot="1" x14ac:dyDescent="0.3">
      <c r="B262" s="109"/>
      <c r="C262" s="118"/>
      <c r="D262" s="121"/>
      <c r="E262" s="97"/>
      <c r="F262" s="25" t="s">
        <v>130</v>
      </c>
      <c r="G262" s="25" t="s">
        <v>133</v>
      </c>
      <c r="H262" s="33" t="s">
        <v>133</v>
      </c>
      <c r="I262" s="25" t="str">
        <f>IF(H262=G262,"Pot tanaman",0)</f>
        <v>Pot tanaman</v>
      </c>
      <c r="J262" s="25">
        <f>IF(H262=G262,0,"Batal")</f>
        <v>0</v>
      </c>
      <c r="K262" s="25" t="s">
        <v>99</v>
      </c>
      <c r="L262" s="43"/>
    </row>
    <row r="263" spans="2:12" ht="15.75" thickBot="1" x14ac:dyDescent="0.3">
      <c r="B263" s="113">
        <v>36</v>
      </c>
      <c r="C263" s="116" t="s">
        <v>100</v>
      </c>
      <c r="D263" s="120" t="s">
        <v>33</v>
      </c>
      <c r="E263" s="96" t="s">
        <v>29</v>
      </c>
      <c r="F263" s="55" t="s">
        <v>108</v>
      </c>
      <c r="G263" s="51">
        <v>80</v>
      </c>
      <c r="H263" s="70">
        <v>80</v>
      </c>
      <c r="I263" s="55">
        <f>IF(H263&gt;G263,"Pintu",0)</f>
        <v>0</v>
      </c>
      <c r="J263" s="55" t="str">
        <f>IF(H263&lt;=G263,"Batal",0)</f>
        <v>Batal</v>
      </c>
      <c r="K263" s="50"/>
      <c r="L263" s="57"/>
    </row>
    <row r="264" spans="2:12" x14ac:dyDescent="0.25">
      <c r="B264" s="114"/>
      <c r="C264" s="117"/>
      <c r="D264" s="121"/>
      <c r="E264" s="97"/>
      <c r="F264" s="25" t="s">
        <v>108</v>
      </c>
      <c r="G264" s="24">
        <v>80</v>
      </c>
      <c r="H264" s="33">
        <v>120</v>
      </c>
      <c r="I264" s="25" t="str">
        <f>IF(H264&gt;G264,"Pintu",0)</f>
        <v>Pintu</v>
      </c>
      <c r="J264" s="25">
        <f>IF(H264&lt;=G264,"Batal",0)</f>
        <v>0</v>
      </c>
      <c r="K264" s="23"/>
      <c r="L264" s="43"/>
    </row>
    <row r="265" spans="2:12" x14ac:dyDescent="0.25">
      <c r="B265" s="114"/>
      <c r="C265" s="117"/>
      <c r="D265" s="121"/>
      <c r="E265" s="97" t="s">
        <v>53</v>
      </c>
      <c r="F265" s="25" t="s">
        <v>15</v>
      </c>
      <c r="G265" s="23" t="s">
        <v>16</v>
      </c>
      <c r="H265" s="33" t="s">
        <v>61</v>
      </c>
      <c r="I265" s="25">
        <f>IF(H265=G265,"RHD01",0)</f>
        <v>0</v>
      </c>
      <c r="J265" s="25" t="str">
        <f>IF(H265=G265,0,"Batal")</f>
        <v>Batal</v>
      </c>
      <c r="K265" s="23"/>
      <c r="L265" s="43"/>
    </row>
    <row r="266" spans="2:12" x14ac:dyDescent="0.25">
      <c r="B266" s="114"/>
      <c r="C266" s="117"/>
      <c r="D266" s="121"/>
      <c r="E266" s="97"/>
      <c r="F266" s="25" t="s">
        <v>15</v>
      </c>
      <c r="G266" s="23" t="s">
        <v>16</v>
      </c>
      <c r="H266" s="33" t="s">
        <v>16</v>
      </c>
      <c r="I266" s="25" t="str">
        <f>IF(H266=G266,"RHD01",0)</f>
        <v>RHD01</v>
      </c>
      <c r="J266" s="25">
        <f>IF(H266=G266,0,"Batal")</f>
        <v>0</v>
      </c>
      <c r="K266" s="23"/>
      <c r="L266" s="43"/>
    </row>
    <row r="267" spans="2:12" ht="30" x14ac:dyDescent="0.25">
      <c r="B267" s="114"/>
      <c r="C267" s="117"/>
      <c r="D267" s="121"/>
      <c r="E267" s="95" t="s">
        <v>125</v>
      </c>
      <c r="F267" s="25" t="s">
        <v>128</v>
      </c>
      <c r="G267" s="24">
        <v>0.2</v>
      </c>
      <c r="H267" s="33">
        <v>0.2</v>
      </c>
      <c r="I267" s="30">
        <f>IF(H267&lt;G267,"Kran air",0)</f>
        <v>0</v>
      </c>
      <c r="J267" s="30" t="str">
        <f>IF(H267&gt;=G267,"Batal",0)</f>
        <v>Batal</v>
      </c>
      <c r="K267" s="23"/>
      <c r="L267" s="43"/>
    </row>
    <row r="268" spans="2:12" ht="30" x14ac:dyDescent="0.25">
      <c r="B268" s="114"/>
      <c r="C268" s="117"/>
      <c r="D268" s="121"/>
      <c r="E268" s="94"/>
      <c r="F268" s="25" t="s">
        <v>128</v>
      </c>
      <c r="G268" s="24">
        <v>0.2</v>
      </c>
      <c r="H268" s="33">
        <v>0</v>
      </c>
      <c r="I268" s="30" t="str">
        <f>IF(H268&lt;G268,"Kran air",0)</f>
        <v>Kran air</v>
      </c>
      <c r="J268" s="30">
        <f>IF(H268&gt;=G268,"Batal",0)</f>
        <v>0</v>
      </c>
      <c r="K268" s="23"/>
      <c r="L268" s="43"/>
    </row>
    <row r="269" spans="2:12" x14ac:dyDescent="0.25">
      <c r="B269" s="109"/>
      <c r="C269" s="118"/>
      <c r="D269" s="121"/>
      <c r="E269" s="97" t="s">
        <v>38</v>
      </c>
      <c r="F269" s="25" t="s">
        <v>130</v>
      </c>
      <c r="G269" s="25" t="s">
        <v>133</v>
      </c>
      <c r="H269" s="33" t="s">
        <v>97</v>
      </c>
      <c r="I269" s="25">
        <f>IF(H269=G269,"Pot tanaman",0)</f>
        <v>0</v>
      </c>
      <c r="J269" s="25" t="str">
        <f>IF(H269=G269,0,"Batal")</f>
        <v>Batal</v>
      </c>
      <c r="K269" s="23"/>
      <c r="L269" s="43"/>
    </row>
    <row r="270" spans="2:12" ht="30.75" thickBot="1" x14ac:dyDescent="0.3">
      <c r="B270" s="115"/>
      <c r="C270" s="119"/>
      <c r="D270" s="122"/>
      <c r="E270" s="97"/>
      <c r="F270" s="25" t="s">
        <v>130</v>
      </c>
      <c r="G270" s="25" t="s">
        <v>133</v>
      </c>
      <c r="H270" s="33" t="s">
        <v>133</v>
      </c>
      <c r="I270" s="25" t="str">
        <f>IF(H270=G270,"Pot tanaman",0)</f>
        <v>Pot tanaman</v>
      </c>
      <c r="J270" s="25">
        <f>IF(H270=G270,0,"Batal")</f>
        <v>0</v>
      </c>
      <c r="K270" s="25" t="s">
        <v>99</v>
      </c>
      <c r="L270" s="67"/>
    </row>
    <row r="271" spans="2:12" ht="30" customHeight="1" x14ac:dyDescent="0.25">
      <c r="B271" s="90">
        <v>37</v>
      </c>
      <c r="C271" s="92" t="s">
        <v>102</v>
      </c>
      <c r="D271" s="90" t="s">
        <v>32</v>
      </c>
      <c r="E271" s="96" t="s">
        <v>29</v>
      </c>
      <c r="F271" s="55" t="s">
        <v>39</v>
      </c>
      <c r="G271" s="51">
        <v>150</v>
      </c>
      <c r="H271" s="70">
        <v>100</v>
      </c>
      <c r="I271" s="55">
        <f>IF(H271&gt;=G271,"RDP01",0)</f>
        <v>0</v>
      </c>
      <c r="J271" s="55" t="str">
        <f>IF(H271&lt;G271,"Saklar Lampu",0)</f>
        <v>Saklar Lampu</v>
      </c>
      <c r="K271" s="50"/>
      <c r="L271" s="57"/>
    </row>
    <row r="272" spans="2:12" x14ac:dyDescent="0.25">
      <c r="B272" s="91"/>
      <c r="C272" s="93"/>
      <c r="D272" s="91"/>
      <c r="E272" s="97"/>
      <c r="F272" s="25" t="s">
        <v>39</v>
      </c>
      <c r="G272" s="24">
        <v>150</v>
      </c>
      <c r="H272" s="33">
        <v>150</v>
      </c>
      <c r="I272" s="25" t="str">
        <f>IF(H272&gt;=G272,"RDP01",0)</f>
        <v>RDP01</v>
      </c>
      <c r="J272" s="25">
        <f>IF(H272&lt;G272,"Saklar Lampu",0)</f>
        <v>0</v>
      </c>
      <c r="K272" s="23"/>
      <c r="L272" s="43"/>
    </row>
    <row r="273" spans="2:12" ht="30" x14ac:dyDescent="0.25">
      <c r="B273" s="91"/>
      <c r="C273" s="93"/>
      <c r="D273" s="91"/>
      <c r="E273" s="95" t="s">
        <v>125</v>
      </c>
      <c r="F273" s="25" t="s">
        <v>128</v>
      </c>
      <c r="G273" s="24">
        <v>2</v>
      </c>
      <c r="H273" s="33">
        <v>0.2</v>
      </c>
      <c r="I273" s="30" t="str">
        <f>IF(H273&lt;G273,"Kompor",0)</f>
        <v>Kompor</v>
      </c>
      <c r="J273" s="30">
        <f>IF(H273&gt;=G273,"Batal",0)</f>
        <v>0</v>
      </c>
      <c r="K273" s="23"/>
      <c r="L273" s="43"/>
    </row>
    <row r="274" spans="2:12" ht="30" x14ac:dyDescent="0.25">
      <c r="B274" s="91"/>
      <c r="C274" s="93"/>
      <c r="D274" s="91"/>
      <c r="E274" s="94"/>
      <c r="F274" s="25" t="s">
        <v>128</v>
      </c>
      <c r="G274" s="24">
        <v>2</v>
      </c>
      <c r="H274" s="33">
        <v>0</v>
      </c>
      <c r="I274" s="30" t="str">
        <f>IF(H274&lt;G274,"Kompor",0)</f>
        <v>Kompor</v>
      </c>
      <c r="J274" s="30">
        <f>IF(H274&gt;=G274,"Batal",0)</f>
        <v>0</v>
      </c>
      <c r="K274" s="23"/>
      <c r="L274" s="43"/>
    </row>
    <row r="275" spans="2:12" x14ac:dyDescent="0.25">
      <c r="B275" s="91"/>
      <c r="C275" s="93"/>
      <c r="D275" s="91"/>
      <c r="E275" s="97" t="s">
        <v>53</v>
      </c>
      <c r="F275" s="25" t="s">
        <v>134</v>
      </c>
      <c r="G275" s="23" t="s">
        <v>135</v>
      </c>
      <c r="H275" s="33" t="s">
        <v>135</v>
      </c>
      <c r="I275" s="25" t="str">
        <f>IF(H275=G275,"Gas",0)</f>
        <v>Gas</v>
      </c>
      <c r="J275" s="25">
        <f>IF(H275=G275,0,"Batal")</f>
        <v>0</v>
      </c>
      <c r="K275" s="23"/>
      <c r="L275" s="43"/>
    </row>
    <row r="276" spans="2:12" ht="30" x14ac:dyDescent="0.25">
      <c r="B276" s="91"/>
      <c r="C276" s="93"/>
      <c r="D276" s="91"/>
      <c r="E276" s="97"/>
      <c r="F276" s="25" t="s">
        <v>134</v>
      </c>
      <c r="G276" s="23" t="s">
        <v>135</v>
      </c>
      <c r="H276" s="33" t="s">
        <v>136</v>
      </c>
      <c r="I276" s="25">
        <f>IF(H276=G276,"Gas",0)</f>
        <v>0</v>
      </c>
      <c r="J276" s="25" t="str">
        <f>IF(H276=G276,0,"Batal")</f>
        <v>Batal</v>
      </c>
      <c r="K276" s="23"/>
      <c r="L276" s="43"/>
    </row>
    <row r="277" spans="2:12" ht="30" x14ac:dyDescent="0.25">
      <c r="B277" s="91"/>
      <c r="C277" s="93"/>
      <c r="D277" s="91"/>
      <c r="E277" s="123" t="s">
        <v>38</v>
      </c>
      <c r="F277" s="25" t="s">
        <v>101</v>
      </c>
      <c r="G277" s="25" t="s">
        <v>30</v>
      </c>
      <c r="H277" s="33" t="s">
        <v>97</v>
      </c>
      <c r="I277" s="25">
        <f>IF(H277=G277,"Kompor",0)</f>
        <v>0</v>
      </c>
      <c r="J277" s="25" t="str">
        <f>IF(H277=G277,0,"Gas cadangan")</f>
        <v>Gas cadangan</v>
      </c>
      <c r="K277" s="25"/>
      <c r="L277" s="43"/>
    </row>
    <row r="278" spans="2:12" ht="30" x14ac:dyDescent="0.25">
      <c r="B278" s="91"/>
      <c r="C278" s="93"/>
      <c r="D278" s="91"/>
      <c r="E278" s="124"/>
      <c r="F278" s="25" t="s">
        <v>101</v>
      </c>
      <c r="G278" s="25" t="s">
        <v>30</v>
      </c>
      <c r="H278" s="33" t="s">
        <v>30</v>
      </c>
      <c r="I278" s="25" t="str">
        <f>IF(H278=G278,"Kompor",0)</f>
        <v>Kompor</v>
      </c>
      <c r="J278" s="25">
        <f>IF(H278=G278,0,"Gas cadangan")</f>
        <v>0</v>
      </c>
      <c r="K278" s="25" t="s">
        <v>103</v>
      </c>
      <c r="L278" s="43"/>
    </row>
    <row r="279" spans="2:12" ht="30" x14ac:dyDescent="0.25">
      <c r="B279" s="91"/>
      <c r="C279" s="93"/>
      <c r="D279" s="91"/>
      <c r="E279" s="124"/>
      <c r="F279" s="25" t="s">
        <v>137</v>
      </c>
      <c r="G279" s="25" t="s">
        <v>21</v>
      </c>
      <c r="H279" s="33" t="s">
        <v>20</v>
      </c>
      <c r="I279" s="25">
        <f>IF(H279=G279,"Kompor",0)</f>
        <v>0</v>
      </c>
      <c r="J279" s="25" t="str">
        <f>IF(H279=G279,0,"Batal")</f>
        <v>Batal</v>
      </c>
      <c r="K279" s="25"/>
      <c r="L279" s="81"/>
    </row>
    <row r="280" spans="2:12" ht="30.75" thickBot="1" x14ac:dyDescent="0.3">
      <c r="B280" s="105"/>
      <c r="C280" s="104"/>
      <c r="D280" s="105"/>
      <c r="E280" s="125"/>
      <c r="F280" s="25" t="s">
        <v>137</v>
      </c>
      <c r="G280" s="25" t="s">
        <v>21</v>
      </c>
      <c r="H280" s="33" t="s">
        <v>21</v>
      </c>
      <c r="I280" s="25" t="str">
        <f>IF(H280=G280,"Kompor",0)</f>
        <v>Kompor</v>
      </c>
      <c r="J280" s="25">
        <f>IF(H280=G280,0,"Batal")</f>
        <v>0</v>
      </c>
      <c r="K280" s="25" t="s">
        <v>103</v>
      </c>
      <c r="L280" s="81"/>
    </row>
    <row r="281" spans="2:12" ht="30" x14ac:dyDescent="0.25">
      <c r="B281" s="90">
        <v>38</v>
      </c>
      <c r="C281" s="92" t="s">
        <v>104</v>
      </c>
      <c r="D281" s="108" t="s">
        <v>32</v>
      </c>
      <c r="E281" s="96" t="s">
        <v>29</v>
      </c>
      <c r="F281" s="55" t="s">
        <v>39</v>
      </c>
      <c r="G281" s="51">
        <v>150</v>
      </c>
      <c r="H281" s="70">
        <v>100</v>
      </c>
      <c r="I281" s="55">
        <f>IF(H281&gt;=G281,"RDP01",0)</f>
        <v>0</v>
      </c>
      <c r="J281" s="55" t="str">
        <f>IF(H281&lt;G281,"Saklar Lampu",0)</f>
        <v>Saklar Lampu</v>
      </c>
      <c r="K281" s="50"/>
      <c r="L281" s="57"/>
    </row>
    <row r="282" spans="2:12" x14ac:dyDescent="0.25">
      <c r="B282" s="91"/>
      <c r="C282" s="93"/>
      <c r="D282" s="109"/>
      <c r="E282" s="97"/>
      <c r="F282" s="25" t="s">
        <v>39</v>
      </c>
      <c r="G282" s="24">
        <v>150</v>
      </c>
      <c r="H282" s="33">
        <v>150</v>
      </c>
      <c r="I282" s="25" t="str">
        <f>IF(H282&gt;=G282,"RDP01",0)</f>
        <v>RDP01</v>
      </c>
      <c r="J282" s="25">
        <f>IF(H282&lt;G282,"Saklar Lampu",0)</f>
        <v>0</v>
      </c>
      <c r="K282" s="23"/>
      <c r="L282" s="43"/>
    </row>
    <row r="283" spans="2:12" ht="30" x14ac:dyDescent="0.25">
      <c r="B283" s="91"/>
      <c r="C283" s="93"/>
      <c r="D283" s="109"/>
      <c r="E283" s="95" t="s">
        <v>125</v>
      </c>
      <c r="F283" s="25" t="s">
        <v>128</v>
      </c>
      <c r="G283" s="24">
        <v>2</v>
      </c>
      <c r="H283" s="33">
        <v>2.1</v>
      </c>
      <c r="I283" s="30">
        <f>IF(H283&lt;G283,"Rice Cooker 1",0)</f>
        <v>0</v>
      </c>
      <c r="J283" s="30" t="str">
        <f>IF(H283&gt;=G283,"Batal",0)</f>
        <v>Batal</v>
      </c>
      <c r="K283" s="23"/>
      <c r="L283" s="43"/>
    </row>
    <row r="284" spans="2:12" ht="30" x14ac:dyDescent="0.25">
      <c r="B284" s="91"/>
      <c r="C284" s="93"/>
      <c r="D284" s="109"/>
      <c r="E284" s="94"/>
      <c r="F284" s="25" t="s">
        <v>128</v>
      </c>
      <c r="G284" s="24">
        <v>2</v>
      </c>
      <c r="H284" s="33">
        <v>0</v>
      </c>
      <c r="I284" s="30" t="str">
        <f>IF(H284&lt;G284,"Rice Cooker 1",0)</f>
        <v>Rice Cooker 1</v>
      </c>
      <c r="J284" s="30">
        <f>IF(H284&gt;=G284,"Batal",0)</f>
        <v>0</v>
      </c>
      <c r="K284" s="23"/>
      <c r="L284" s="43"/>
    </row>
    <row r="285" spans="2:12" ht="30" x14ac:dyDescent="0.25">
      <c r="B285" s="91"/>
      <c r="C285" s="93"/>
      <c r="D285" s="109"/>
      <c r="E285" s="126" t="s">
        <v>53</v>
      </c>
      <c r="F285" s="25" t="s">
        <v>138</v>
      </c>
      <c r="G285" s="23" t="s">
        <v>135</v>
      </c>
      <c r="H285" s="33" t="s">
        <v>135</v>
      </c>
      <c r="I285" s="25" t="str">
        <f>IF(H285=G285,"Rice cooker 1",0)</f>
        <v>Rice cooker 1</v>
      </c>
      <c r="J285" s="25">
        <f>IF(H285=G285,0,"Rice cooker 2")</f>
        <v>0</v>
      </c>
      <c r="K285" s="23"/>
      <c r="L285" s="43"/>
    </row>
    <row r="286" spans="2:12" ht="30" x14ac:dyDescent="0.25">
      <c r="B286" s="91"/>
      <c r="C286" s="93"/>
      <c r="D286" s="109"/>
      <c r="E286" s="127"/>
      <c r="F286" s="25" t="s">
        <v>138</v>
      </c>
      <c r="G286" s="23" t="s">
        <v>135</v>
      </c>
      <c r="H286" s="33" t="s">
        <v>136</v>
      </c>
      <c r="I286" s="25">
        <f>IF(H286=G286,"Rice cooker 1",0)</f>
        <v>0</v>
      </c>
      <c r="J286" s="25" t="str">
        <f>IF(H286=G286,0,"Rice cooker 2")</f>
        <v>Rice cooker 2</v>
      </c>
      <c r="K286" s="23"/>
      <c r="L286" s="43"/>
    </row>
    <row r="287" spans="2:12" ht="30" x14ac:dyDescent="0.25">
      <c r="B287" s="91"/>
      <c r="C287" s="93"/>
      <c r="D287" s="109"/>
      <c r="E287" s="127"/>
      <c r="F287" s="25" t="s">
        <v>139</v>
      </c>
      <c r="G287" s="23" t="s">
        <v>135</v>
      </c>
      <c r="H287" s="33" t="s">
        <v>135</v>
      </c>
      <c r="I287" s="25" t="str">
        <f>IF(H287=G287,"Rice cooker 2",0)</f>
        <v>Rice cooker 2</v>
      </c>
      <c r="J287" s="25">
        <f>IF(H287=G287,0,"Batal")</f>
        <v>0</v>
      </c>
      <c r="K287" s="23"/>
      <c r="L287" s="43"/>
    </row>
    <row r="288" spans="2:12" ht="30" x14ac:dyDescent="0.25">
      <c r="B288" s="91"/>
      <c r="C288" s="93"/>
      <c r="D288" s="109"/>
      <c r="E288" s="128"/>
      <c r="F288" s="25" t="s">
        <v>139</v>
      </c>
      <c r="G288" s="23" t="s">
        <v>135</v>
      </c>
      <c r="H288" s="33" t="s">
        <v>136</v>
      </c>
      <c r="I288" s="25">
        <f>IF(H288=G288,"Rice cooker 2",0)</f>
        <v>0</v>
      </c>
      <c r="J288" s="25" t="str">
        <f>IF(H288=G288,0,"Batal")</f>
        <v>Batal</v>
      </c>
      <c r="K288" s="23"/>
      <c r="L288" s="43"/>
    </row>
    <row r="289" spans="2:12" x14ac:dyDescent="0.25">
      <c r="B289" s="91"/>
      <c r="C289" s="93"/>
      <c r="D289" s="109"/>
      <c r="E289" s="111" t="s">
        <v>38</v>
      </c>
      <c r="F289" s="25" t="s">
        <v>105</v>
      </c>
      <c r="G289" s="25" t="s">
        <v>93</v>
      </c>
      <c r="H289" s="33" t="s">
        <v>36</v>
      </c>
      <c r="I289" s="25">
        <f>IF(H289=G289,"Rice cooker",0)</f>
        <v>0</v>
      </c>
      <c r="J289" s="25" t="str">
        <f>IF(H289=G289,0,"Batal")</f>
        <v>Batal</v>
      </c>
      <c r="K289" s="25"/>
      <c r="L289" s="43"/>
    </row>
    <row r="290" spans="2:12" ht="30.75" thickBot="1" x14ac:dyDescent="0.3">
      <c r="B290" s="105"/>
      <c r="C290" s="104"/>
      <c r="D290" s="110"/>
      <c r="E290" s="112"/>
      <c r="F290" s="42" t="s">
        <v>105</v>
      </c>
      <c r="G290" s="42" t="s">
        <v>93</v>
      </c>
      <c r="H290" s="54" t="s">
        <v>93</v>
      </c>
      <c r="I290" s="42" t="str">
        <f>IF(H290=G290,"Rice cooker",0)</f>
        <v>Rice cooker</v>
      </c>
      <c r="J290" s="42">
        <f>IF(H290=G290,0,"Batal")</f>
        <v>0</v>
      </c>
      <c r="K290" s="42" t="s">
        <v>103</v>
      </c>
      <c r="L290" s="44"/>
    </row>
    <row r="291" spans="2:12" ht="30" x14ac:dyDescent="0.25">
      <c r="B291" s="90">
        <v>39</v>
      </c>
      <c r="C291" s="92" t="s">
        <v>106</v>
      </c>
      <c r="D291" s="108" t="s">
        <v>32</v>
      </c>
      <c r="E291" s="96" t="s">
        <v>29</v>
      </c>
      <c r="F291" s="55" t="s">
        <v>39</v>
      </c>
      <c r="G291" s="51">
        <v>150</v>
      </c>
      <c r="H291" s="70">
        <v>100</v>
      </c>
      <c r="I291" s="55">
        <f>IF(H291&gt;=G291,"RDP01",0)</f>
        <v>0</v>
      </c>
      <c r="J291" s="55" t="str">
        <f>IF(H291&lt;G291,"Saklar Lampu",0)</f>
        <v>Saklar Lampu</v>
      </c>
      <c r="K291" s="50"/>
      <c r="L291" s="57"/>
    </row>
    <row r="292" spans="2:12" x14ac:dyDescent="0.25">
      <c r="B292" s="91"/>
      <c r="C292" s="93"/>
      <c r="D292" s="109"/>
      <c r="E292" s="97"/>
      <c r="F292" s="25" t="s">
        <v>39</v>
      </c>
      <c r="G292" s="24">
        <v>150</v>
      </c>
      <c r="H292" s="33">
        <v>150</v>
      </c>
      <c r="I292" s="25" t="str">
        <f>IF(H292&gt;=G292,"RDP01",0)</f>
        <v>RDP01</v>
      </c>
      <c r="J292" s="25">
        <f>IF(H292&lt;G292,"Saklar Lampu",0)</f>
        <v>0</v>
      </c>
      <c r="K292" s="23"/>
      <c r="L292" s="43"/>
    </row>
    <row r="293" spans="2:12" ht="30" x14ac:dyDescent="0.25">
      <c r="B293" s="91"/>
      <c r="C293" s="93"/>
      <c r="D293" s="109"/>
      <c r="E293" s="95" t="s">
        <v>125</v>
      </c>
      <c r="F293" s="25" t="s">
        <v>128</v>
      </c>
      <c r="G293" s="24">
        <v>2</v>
      </c>
      <c r="H293" s="33">
        <v>2.1</v>
      </c>
      <c r="I293" s="30">
        <f>IF(H293&lt;G293,"Blender",0)</f>
        <v>0</v>
      </c>
      <c r="J293" s="30" t="str">
        <f>IF(H293&gt;=G293,"Batal",0)</f>
        <v>Batal</v>
      </c>
      <c r="K293" s="23"/>
      <c r="L293" s="43"/>
    </row>
    <row r="294" spans="2:12" ht="30" x14ac:dyDescent="0.25">
      <c r="B294" s="91"/>
      <c r="C294" s="93"/>
      <c r="D294" s="109"/>
      <c r="E294" s="94"/>
      <c r="F294" s="25" t="s">
        <v>128</v>
      </c>
      <c r="G294" s="24">
        <v>2</v>
      </c>
      <c r="H294" s="33">
        <v>0</v>
      </c>
      <c r="I294" s="30" t="str">
        <f>IF(H294&lt;G294,"Blender",0)</f>
        <v>Blender</v>
      </c>
      <c r="J294" s="30">
        <f>IF(H294&gt;=G294,"Batal",0)</f>
        <v>0</v>
      </c>
      <c r="K294" s="23"/>
      <c r="L294" s="43"/>
    </row>
    <row r="295" spans="2:12" x14ac:dyDescent="0.25">
      <c r="B295" s="91"/>
      <c r="C295" s="93"/>
      <c r="D295" s="109"/>
      <c r="E295" s="95" t="s">
        <v>53</v>
      </c>
      <c r="F295" s="25" t="s">
        <v>140</v>
      </c>
      <c r="G295" s="23" t="s">
        <v>135</v>
      </c>
      <c r="H295" s="33" t="s">
        <v>135</v>
      </c>
      <c r="I295" s="25" t="str">
        <f>IF(H295=G295,"Blender",0)</f>
        <v>Blender</v>
      </c>
      <c r="J295" s="25">
        <f>IF(H295=G295,0,"Batal")</f>
        <v>0</v>
      </c>
      <c r="K295" s="23"/>
      <c r="L295" s="43"/>
    </row>
    <row r="296" spans="2:12" ht="30" x14ac:dyDescent="0.25">
      <c r="B296" s="91"/>
      <c r="C296" s="93"/>
      <c r="D296" s="109"/>
      <c r="E296" s="94"/>
      <c r="F296" s="25" t="s">
        <v>140</v>
      </c>
      <c r="G296" s="23" t="s">
        <v>135</v>
      </c>
      <c r="H296" s="33" t="s">
        <v>136</v>
      </c>
      <c r="I296" s="25">
        <f>IF(H296=G296,"Blender",0)</f>
        <v>0</v>
      </c>
      <c r="J296" s="25" t="str">
        <f>IF(H296=G296,0,"Batal")</f>
        <v>Batal</v>
      </c>
      <c r="K296" s="23"/>
      <c r="L296" s="43"/>
    </row>
    <row r="297" spans="2:12" x14ac:dyDescent="0.25">
      <c r="B297" s="91"/>
      <c r="C297" s="93"/>
      <c r="D297" s="109"/>
      <c r="E297" s="111" t="s">
        <v>38</v>
      </c>
      <c r="F297" s="25" t="s">
        <v>105</v>
      </c>
      <c r="G297" s="25" t="s">
        <v>93</v>
      </c>
      <c r="H297" s="33" t="s">
        <v>36</v>
      </c>
      <c r="I297" s="25">
        <f>IF(H297=G297,"Blender",0)</f>
        <v>0</v>
      </c>
      <c r="J297" s="25" t="str">
        <f>IF(H297=G297,0,"Batal")</f>
        <v>Batal</v>
      </c>
      <c r="K297" s="25"/>
      <c r="L297" s="43"/>
    </row>
    <row r="298" spans="2:12" ht="30.75" thickBot="1" x14ac:dyDescent="0.3">
      <c r="B298" s="105"/>
      <c r="C298" s="104"/>
      <c r="D298" s="110"/>
      <c r="E298" s="112"/>
      <c r="F298" s="42" t="s">
        <v>105</v>
      </c>
      <c r="G298" s="42" t="s">
        <v>93</v>
      </c>
      <c r="H298" s="54" t="s">
        <v>93</v>
      </c>
      <c r="I298" s="42" t="str">
        <f>IF(H298=G298,"Blender",0)</f>
        <v>Blender</v>
      </c>
      <c r="J298" s="42">
        <f>IF(H298=G298,0,"Batal")</f>
        <v>0</v>
      </c>
      <c r="K298" s="42" t="s">
        <v>103</v>
      </c>
      <c r="L298" s="44"/>
    </row>
    <row r="299" spans="2:12" x14ac:dyDescent="0.25">
      <c r="B299" s="90">
        <v>40</v>
      </c>
      <c r="C299" s="92" t="s">
        <v>107</v>
      </c>
      <c r="D299" s="108" t="s">
        <v>33</v>
      </c>
      <c r="E299" s="96" t="s">
        <v>29</v>
      </c>
      <c r="F299" s="55" t="s">
        <v>108</v>
      </c>
      <c r="G299" s="51">
        <v>80</v>
      </c>
      <c r="H299" s="70">
        <v>60</v>
      </c>
      <c r="I299" s="55">
        <f>IF(H299&gt;=G299,"Pintu",0)</f>
        <v>0</v>
      </c>
      <c r="J299" s="55" t="str">
        <f>IF(H299&lt;G299,"Batal",0)</f>
        <v>Batal</v>
      </c>
      <c r="K299" s="50"/>
      <c r="L299" s="57"/>
    </row>
    <row r="300" spans="2:12" x14ac:dyDescent="0.25">
      <c r="B300" s="91"/>
      <c r="C300" s="93"/>
      <c r="D300" s="109"/>
      <c r="E300" s="97"/>
      <c r="F300" s="25" t="s">
        <v>108</v>
      </c>
      <c r="G300" s="24">
        <v>80</v>
      </c>
      <c r="H300" s="33">
        <v>100</v>
      </c>
      <c r="I300" s="25" t="str">
        <f>IF(H300&gt;=G300,"Pintu",0)</f>
        <v>Pintu</v>
      </c>
      <c r="J300" s="25">
        <f>IF(H300&lt;G300,"Batal",0)</f>
        <v>0</v>
      </c>
      <c r="K300" s="23"/>
      <c r="L300" s="43"/>
    </row>
    <row r="301" spans="2:12" x14ac:dyDescent="0.25">
      <c r="B301" s="91"/>
      <c r="C301" s="93"/>
      <c r="D301" s="109"/>
      <c r="E301" s="95" t="s">
        <v>53</v>
      </c>
      <c r="F301" s="25" t="s">
        <v>15</v>
      </c>
      <c r="G301" s="23" t="s">
        <v>16</v>
      </c>
      <c r="H301" s="33" t="s">
        <v>61</v>
      </c>
      <c r="I301" s="25">
        <f>IF(H301=G301,"RHD01",0)</f>
        <v>0</v>
      </c>
      <c r="J301" s="25" t="str">
        <f>IF(H301=G301,0,"Batal")</f>
        <v>Batal</v>
      </c>
      <c r="K301" s="23"/>
      <c r="L301" s="43"/>
    </row>
    <row r="302" spans="2:12" x14ac:dyDescent="0.25">
      <c r="B302" s="91"/>
      <c r="C302" s="93"/>
      <c r="D302" s="109"/>
      <c r="E302" s="94"/>
      <c r="F302" s="25" t="s">
        <v>15</v>
      </c>
      <c r="G302" s="23" t="s">
        <v>16</v>
      </c>
      <c r="H302" s="33" t="s">
        <v>16</v>
      </c>
      <c r="I302" s="25" t="str">
        <f>IF(H302=G302,"RHD01",0)</f>
        <v>RHD01</v>
      </c>
      <c r="J302" s="25">
        <f>IF(H302=G302,0,"Batal")</f>
        <v>0</v>
      </c>
      <c r="K302" s="23"/>
      <c r="L302" s="43"/>
    </row>
    <row r="303" spans="2:12" ht="30" x14ac:dyDescent="0.25">
      <c r="B303" s="91"/>
      <c r="C303" s="93"/>
      <c r="D303" s="109"/>
      <c r="E303" s="95" t="s">
        <v>125</v>
      </c>
      <c r="F303" s="25" t="s">
        <v>128</v>
      </c>
      <c r="G303" s="24">
        <v>1</v>
      </c>
      <c r="H303" s="33">
        <v>2.1</v>
      </c>
      <c r="I303" s="30">
        <f>IF(H303&lt;G303,"RHD01",0)</f>
        <v>0</v>
      </c>
      <c r="J303" s="30" t="str">
        <f>IF(H303&gt;=G303,"Batal",0)</f>
        <v>Batal</v>
      </c>
      <c r="K303" s="23"/>
      <c r="L303" s="43"/>
    </row>
    <row r="304" spans="2:12" ht="30" x14ac:dyDescent="0.25">
      <c r="B304" s="91"/>
      <c r="C304" s="93"/>
      <c r="D304" s="109"/>
      <c r="E304" s="94"/>
      <c r="F304" s="25" t="s">
        <v>128</v>
      </c>
      <c r="G304" s="24">
        <v>1</v>
      </c>
      <c r="H304" s="33">
        <v>0</v>
      </c>
      <c r="I304" s="30" t="str">
        <f>IF(H304&lt;G304,"RHD01",0)</f>
        <v>RHD01</v>
      </c>
      <c r="J304" s="30">
        <f>IF(H304&gt;=G304,"Batal",0)</f>
        <v>0</v>
      </c>
      <c r="K304" s="23"/>
      <c r="L304" s="43"/>
    </row>
    <row r="305" spans="2:12" x14ac:dyDescent="0.25">
      <c r="B305" s="91"/>
      <c r="C305" s="93"/>
      <c r="D305" s="109"/>
      <c r="E305" s="111" t="s">
        <v>38</v>
      </c>
      <c r="F305" s="25"/>
      <c r="G305" s="25"/>
      <c r="H305" s="33"/>
      <c r="I305" s="25"/>
      <c r="J305" s="25"/>
      <c r="K305" s="25"/>
      <c r="L305" s="43"/>
    </row>
    <row r="306" spans="2:12" ht="15.75" thickBot="1" x14ac:dyDescent="0.3">
      <c r="B306" s="105"/>
      <c r="C306" s="104"/>
      <c r="D306" s="110"/>
      <c r="E306" s="112"/>
      <c r="F306" s="42"/>
      <c r="G306" s="42"/>
      <c r="H306" s="54"/>
      <c r="I306" s="42"/>
      <c r="J306" s="42"/>
      <c r="K306" s="42"/>
      <c r="L306" s="44"/>
    </row>
    <row r="307" spans="2:12" ht="30" x14ac:dyDescent="0.25">
      <c r="B307" s="90">
        <v>41</v>
      </c>
      <c r="C307" s="92" t="s">
        <v>111</v>
      </c>
      <c r="D307" s="108" t="s">
        <v>32</v>
      </c>
      <c r="E307" s="96" t="s">
        <v>29</v>
      </c>
      <c r="F307" s="55" t="s">
        <v>39</v>
      </c>
      <c r="G307" s="51">
        <v>150</v>
      </c>
      <c r="H307" s="70">
        <v>100</v>
      </c>
      <c r="I307" s="55">
        <f>IF(H307&gt;=G307,"RDP01",0)</f>
        <v>0</v>
      </c>
      <c r="J307" s="55" t="str">
        <f>IF(H307&lt;G307,"Saklar Lampu",0)</f>
        <v>Saklar Lampu</v>
      </c>
      <c r="K307" s="50"/>
      <c r="L307" s="57"/>
    </row>
    <row r="308" spans="2:12" x14ac:dyDescent="0.25">
      <c r="B308" s="91"/>
      <c r="C308" s="93"/>
      <c r="D308" s="109"/>
      <c r="E308" s="97"/>
      <c r="F308" s="25" t="s">
        <v>39</v>
      </c>
      <c r="G308" s="24">
        <v>150</v>
      </c>
      <c r="H308" s="33">
        <v>150</v>
      </c>
      <c r="I308" s="25" t="str">
        <f>IF(H308&gt;=G308,"RDP01",0)</f>
        <v>RDP01</v>
      </c>
      <c r="J308" s="25">
        <f>IF(H308&lt;G308,"Saklar Lampu",0)</f>
        <v>0</v>
      </c>
      <c r="K308" s="23"/>
      <c r="L308" s="43"/>
    </row>
    <row r="309" spans="2:12" ht="30" x14ac:dyDescent="0.25">
      <c r="B309" s="91"/>
      <c r="C309" s="93"/>
      <c r="D309" s="109"/>
      <c r="E309" s="95" t="s">
        <v>125</v>
      </c>
      <c r="F309" s="25" t="s">
        <v>128</v>
      </c>
      <c r="G309" s="24">
        <v>2</v>
      </c>
      <c r="H309" s="33">
        <v>2.1</v>
      </c>
      <c r="I309" s="30">
        <f>IF(H309&lt;G309,"Bak cuci piring",0)</f>
        <v>0</v>
      </c>
      <c r="J309" s="30" t="str">
        <f>IF(H309&gt;=G309,"Batal",0)</f>
        <v>Batal</v>
      </c>
      <c r="K309" s="23"/>
      <c r="L309" s="43"/>
    </row>
    <row r="310" spans="2:12" ht="30" x14ac:dyDescent="0.25">
      <c r="B310" s="91"/>
      <c r="C310" s="93"/>
      <c r="D310" s="109"/>
      <c r="E310" s="94"/>
      <c r="F310" s="25" t="s">
        <v>128</v>
      </c>
      <c r="G310" s="24">
        <v>2</v>
      </c>
      <c r="H310" s="33">
        <v>0</v>
      </c>
      <c r="I310" s="30" t="str">
        <f>IF(H310&lt;G310,"Bak cuci piring",0)</f>
        <v>Bak cuci piring</v>
      </c>
      <c r="J310" s="30">
        <f>IF(H310&gt;=G310,"Batal",0)</f>
        <v>0</v>
      </c>
      <c r="K310" s="23"/>
      <c r="L310" s="43"/>
    </row>
    <row r="311" spans="2:12" x14ac:dyDescent="0.25">
      <c r="B311" s="91"/>
      <c r="C311" s="93"/>
      <c r="D311" s="109"/>
      <c r="E311" s="106" t="s">
        <v>38</v>
      </c>
      <c r="F311" s="25" t="s">
        <v>130</v>
      </c>
      <c r="G311" s="25" t="s">
        <v>133</v>
      </c>
      <c r="H311" s="33" t="s">
        <v>141</v>
      </c>
      <c r="I311" s="25">
        <f>IF(H311=G311,"Kran air",0)</f>
        <v>0</v>
      </c>
      <c r="J311" s="25" t="str">
        <f>IF(H311=G311,0,"Batal")</f>
        <v>Batal</v>
      </c>
      <c r="K311" s="25"/>
      <c r="L311" s="43"/>
    </row>
    <row r="312" spans="2:12" x14ac:dyDescent="0.25">
      <c r="B312" s="91"/>
      <c r="C312" s="93"/>
      <c r="D312" s="109"/>
      <c r="E312" s="107"/>
      <c r="F312" s="25" t="s">
        <v>130</v>
      </c>
      <c r="G312" s="25" t="s">
        <v>133</v>
      </c>
      <c r="H312" s="33" t="s">
        <v>133</v>
      </c>
      <c r="I312" s="25" t="str">
        <f>IF(H312=G312,"Kran air",0)</f>
        <v>Kran air</v>
      </c>
      <c r="J312" s="25">
        <f>IF(H312=G312,0,"Batal")</f>
        <v>0</v>
      </c>
      <c r="K312" s="25"/>
      <c r="L312" s="43"/>
    </row>
    <row r="313" spans="2:12" ht="15" customHeight="1" x14ac:dyDescent="0.25">
      <c r="B313" s="91"/>
      <c r="C313" s="93"/>
      <c r="D313" s="109"/>
      <c r="E313" s="103" t="s">
        <v>53</v>
      </c>
      <c r="F313" s="30" t="s">
        <v>99</v>
      </c>
      <c r="G313" s="38" t="s">
        <v>135</v>
      </c>
      <c r="H313" s="53" t="s">
        <v>136</v>
      </c>
      <c r="I313" s="30">
        <f>IF(H313=G313,"Bak cuci piring",0)</f>
        <v>0</v>
      </c>
      <c r="J313" s="30" t="str">
        <f>IF(H313=G313,0,"Batal")</f>
        <v>Batal</v>
      </c>
      <c r="K313" s="38"/>
      <c r="L313" s="43"/>
    </row>
    <row r="314" spans="2:12" ht="30.75" thickBot="1" x14ac:dyDescent="0.3">
      <c r="B314" s="105"/>
      <c r="C314" s="104"/>
      <c r="D314" s="110"/>
      <c r="E314" s="94"/>
      <c r="F314" s="25" t="s">
        <v>99</v>
      </c>
      <c r="G314" s="23" t="s">
        <v>135</v>
      </c>
      <c r="H314" s="33" t="s">
        <v>135</v>
      </c>
      <c r="I314" s="25" t="str">
        <f>IF(H314=G314,"Bak cuci piring",0)</f>
        <v>Bak cuci piring</v>
      </c>
      <c r="J314" s="25">
        <f>IF(H314=G314,0,"Batal")</f>
        <v>0</v>
      </c>
      <c r="K314" s="23" t="s">
        <v>32</v>
      </c>
      <c r="L314" s="44"/>
    </row>
    <row r="315" spans="2:12" ht="30" x14ac:dyDescent="0.25">
      <c r="B315" s="90">
        <v>42</v>
      </c>
      <c r="C315" s="92" t="s">
        <v>142</v>
      </c>
      <c r="D315" s="90" t="s">
        <v>34</v>
      </c>
      <c r="E315" s="96" t="s">
        <v>29</v>
      </c>
      <c r="F315" s="55" t="s">
        <v>39</v>
      </c>
      <c r="G315" s="51">
        <v>150</v>
      </c>
      <c r="H315" s="70">
        <v>100</v>
      </c>
      <c r="I315" s="55">
        <f>IF(H315&gt;=G315,"Pintu",0)</f>
        <v>0</v>
      </c>
      <c r="J315" s="55" t="str">
        <f>IF(H315&lt;G315,"Saklar Lampu",0)</f>
        <v>Saklar Lampu</v>
      </c>
      <c r="K315" s="50"/>
      <c r="L315" s="57"/>
    </row>
    <row r="316" spans="2:12" x14ac:dyDescent="0.25">
      <c r="B316" s="91"/>
      <c r="C316" s="93"/>
      <c r="D316" s="91"/>
      <c r="E316" s="97"/>
      <c r="F316" s="25" t="s">
        <v>39</v>
      </c>
      <c r="G316" s="24">
        <v>150</v>
      </c>
      <c r="H316" s="33">
        <v>150</v>
      </c>
      <c r="I316" s="25" t="str">
        <f>IF(H316&gt;=G316,"Pintu",0)</f>
        <v>Pintu</v>
      </c>
      <c r="J316" s="25">
        <f>IF(H316&lt;G316,"Saklar Lampu",0)</f>
        <v>0</v>
      </c>
      <c r="K316" s="23"/>
      <c r="L316" s="43"/>
    </row>
    <row r="317" spans="2:12" ht="30" x14ac:dyDescent="0.25">
      <c r="B317" s="91"/>
      <c r="C317" s="93"/>
      <c r="D317" s="91"/>
      <c r="E317" s="95" t="s">
        <v>125</v>
      </c>
      <c r="F317" s="25" t="s">
        <v>128</v>
      </c>
      <c r="G317" s="24">
        <v>2</v>
      </c>
      <c r="H317" s="33">
        <v>2.1</v>
      </c>
      <c r="I317" s="30">
        <f>IF(H317&lt;G317,"RCC01",0)</f>
        <v>0</v>
      </c>
      <c r="J317" s="30" t="str">
        <f>IF(H317&gt;=G317,"Batal",0)</f>
        <v>Batal</v>
      </c>
      <c r="K317" s="23"/>
      <c r="L317" s="43"/>
    </row>
    <row r="318" spans="2:12" ht="30" x14ac:dyDescent="0.25">
      <c r="B318" s="91"/>
      <c r="C318" s="93"/>
      <c r="D318" s="91"/>
      <c r="E318" s="94"/>
      <c r="F318" s="25" t="s">
        <v>128</v>
      </c>
      <c r="G318" s="24">
        <v>2</v>
      </c>
      <c r="H318" s="33">
        <v>0</v>
      </c>
      <c r="I318" s="30" t="str">
        <f>IF(H318&lt;G318,"RCC01",0)</f>
        <v>RCC01</v>
      </c>
      <c r="J318" s="30">
        <f>IF(H318&gt;=G318,"Batal",0)</f>
        <v>0</v>
      </c>
      <c r="K318" s="23"/>
      <c r="L318" s="43"/>
    </row>
    <row r="319" spans="2:12" x14ac:dyDescent="0.25">
      <c r="B319" s="91"/>
      <c r="C319" s="93"/>
      <c r="D319" s="91"/>
      <c r="E319" s="106" t="s">
        <v>38</v>
      </c>
      <c r="F319" s="25" t="s">
        <v>105</v>
      </c>
      <c r="G319" s="25" t="s">
        <v>93</v>
      </c>
      <c r="H319" s="33" t="s">
        <v>36</v>
      </c>
      <c r="I319" s="25">
        <f>IF(H319=G319,"Mesin cuci",0)</f>
        <v>0</v>
      </c>
      <c r="J319" s="25" t="str">
        <f>IF(H319=G319,0,"Batal")</f>
        <v>Batal</v>
      </c>
      <c r="K319" s="25"/>
      <c r="L319" s="43"/>
    </row>
    <row r="320" spans="2:12" x14ac:dyDescent="0.25">
      <c r="B320" s="91"/>
      <c r="C320" s="93"/>
      <c r="D320" s="91"/>
      <c r="E320" s="107"/>
      <c r="F320" s="25" t="s">
        <v>105</v>
      </c>
      <c r="G320" s="25" t="s">
        <v>93</v>
      </c>
      <c r="H320" s="33" t="s">
        <v>93</v>
      </c>
      <c r="I320" s="25" t="str">
        <f>IF(H320=G320,"Mesin cuci",0)</f>
        <v>Mesin cuci</v>
      </c>
      <c r="J320" s="25">
        <f>IF(H320=G320,0,"Batal")</f>
        <v>0</v>
      </c>
      <c r="K320" s="25"/>
      <c r="L320" s="43"/>
    </row>
    <row r="321" spans="2:12" ht="30" x14ac:dyDescent="0.25">
      <c r="B321" s="91"/>
      <c r="C321" s="93"/>
      <c r="D321" s="91"/>
      <c r="E321" s="103" t="s">
        <v>53</v>
      </c>
      <c r="F321" s="30" t="s">
        <v>112</v>
      </c>
      <c r="G321" s="38" t="s">
        <v>135</v>
      </c>
      <c r="H321" s="53" t="s">
        <v>136</v>
      </c>
      <c r="I321" s="30">
        <f>IF(H321=G321,"RCC01",0)</f>
        <v>0</v>
      </c>
      <c r="J321" s="30" t="str">
        <f>IF(H321=G321,0,"Batal")</f>
        <v>Batal</v>
      </c>
      <c r="K321" s="38"/>
      <c r="L321" s="43"/>
    </row>
    <row r="322" spans="2:12" ht="15.75" thickBot="1" x14ac:dyDescent="0.3">
      <c r="B322" s="105"/>
      <c r="C322" s="104"/>
      <c r="D322" s="105"/>
      <c r="E322" s="94"/>
      <c r="F322" s="25" t="s">
        <v>112</v>
      </c>
      <c r="G322" s="23" t="s">
        <v>135</v>
      </c>
      <c r="H322" s="33" t="s">
        <v>135</v>
      </c>
      <c r="I322" s="25" t="str">
        <f>IF(H322=G322,"RCC01",0)</f>
        <v>RCC01</v>
      </c>
      <c r="J322" s="25">
        <f>IF(H322=G322,0,"Batal")</f>
        <v>0</v>
      </c>
      <c r="K322" s="23" t="s">
        <v>34</v>
      </c>
      <c r="L322" s="44"/>
    </row>
    <row r="323" spans="2:12" ht="30" x14ac:dyDescent="0.25">
      <c r="B323" s="90">
        <v>43</v>
      </c>
      <c r="C323" s="92" t="s">
        <v>152</v>
      </c>
      <c r="D323" s="90" t="s">
        <v>34</v>
      </c>
      <c r="E323" s="96" t="s">
        <v>29</v>
      </c>
      <c r="F323" s="55" t="s">
        <v>39</v>
      </c>
      <c r="G323" s="51">
        <v>150</v>
      </c>
      <c r="H323" s="70">
        <v>100</v>
      </c>
      <c r="I323" s="55">
        <f>IF(H323&gt;=G323,"Pintu",0)</f>
        <v>0</v>
      </c>
      <c r="J323" s="55" t="str">
        <f>IF(H323&lt;G323,"Saklar Lampu",0)</f>
        <v>Saklar Lampu</v>
      </c>
      <c r="K323" s="50"/>
      <c r="L323" s="57"/>
    </row>
    <row r="324" spans="2:12" x14ac:dyDescent="0.25">
      <c r="B324" s="91"/>
      <c r="C324" s="93"/>
      <c r="D324" s="91"/>
      <c r="E324" s="97"/>
      <c r="F324" s="25" t="s">
        <v>39</v>
      </c>
      <c r="G324" s="24">
        <v>150</v>
      </c>
      <c r="H324" s="33">
        <v>150</v>
      </c>
      <c r="I324" s="25" t="str">
        <f>IF(H324&gt;=G324,"Pintu",0)</f>
        <v>Pintu</v>
      </c>
      <c r="J324" s="25">
        <f>IF(H324&lt;G324,"Saklar Lampu",0)</f>
        <v>0</v>
      </c>
      <c r="K324" s="23"/>
      <c r="L324" s="43"/>
    </row>
    <row r="325" spans="2:12" ht="30" x14ac:dyDescent="0.25">
      <c r="B325" s="91"/>
      <c r="C325" s="93"/>
      <c r="D325" s="91"/>
      <c r="E325" s="95" t="s">
        <v>125</v>
      </c>
      <c r="F325" s="25" t="s">
        <v>128</v>
      </c>
      <c r="G325" s="24">
        <v>2</v>
      </c>
      <c r="H325" s="33">
        <v>2.1</v>
      </c>
      <c r="I325" s="30">
        <f>IF(H325&lt;G325,"RCC01",0)</f>
        <v>0</v>
      </c>
      <c r="J325" s="30" t="str">
        <f>IF(H325&gt;=G325,"Batal",0)</f>
        <v>Batal</v>
      </c>
      <c r="K325" s="23"/>
      <c r="L325" s="43"/>
    </row>
    <row r="326" spans="2:12" ht="30" x14ac:dyDescent="0.25">
      <c r="B326" s="91"/>
      <c r="C326" s="93"/>
      <c r="D326" s="91"/>
      <c r="E326" s="94"/>
      <c r="F326" s="25" t="s">
        <v>128</v>
      </c>
      <c r="G326" s="24">
        <v>2</v>
      </c>
      <c r="H326" s="33">
        <v>0</v>
      </c>
      <c r="I326" s="30" t="str">
        <f>IF(H326&lt;G326,"RCC01",0)</f>
        <v>RCC01</v>
      </c>
      <c r="J326" s="30">
        <f>IF(H326&gt;=G326,"Batal",0)</f>
        <v>0</v>
      </c>
      <c r="K326" s="23"/>
      <c r="L326" s="43"/>
    </row>
    <row r="327" spans="2:12" x14ac:dyDescent="0.25">
      <c r="B327" s="91"/>
      <c r="C327" s="93"/>
      <c r="D327" s="91"/>
      <c r="E327" s="106" t="s">
        <v>38</v>
      </c>
      <c r="F327" s="25" t="s">
        <v>130</v>
      </c>
      <c r="G327" s="25" t="s">
        <v>93</v>
      </c>
      <c r="H327" s="33" t="s">
        <v>36</v>
      </c>
      <c r="I327" s="25">
        <f>IF(H327=G327,"Kran air",0)</f>
        <v>0</v>
      </c>
      <c r="J327" s="25" t="str">
        <f>IF(H327=G327,0,"Batal")</f>
        <v>Batal</v>
      </c>
      <c r="K327" s="25"/>
      <c r="L327" s="43"/>
    </row>
    <row r="328" spans="2:12" x14ac:dyDescent="0.25">
      <c r="B328" s="91"/>
      <c r="C328" s="93"/>
      <c r="D328" s="91"/>
      <c r="E328" s="107"/>
      <c r="F328" s="25" t="s">
        <v>130</v>
      </c>
      <c r="G328" s="25" t="s">
        <v>93</v>
      </c>
      <c r="H328" s="33" t="s">
        <v>93</v>
      </c>
      <c r="I328" s="25" t="str">
        <f>IF(H328=G328,"Kran air",0)</f>
        <v>Kran air</v>
      </c>
      <c r="J328" s="25">
        <f>IF(H328=G328,0,"Batal")</f>
        <v>0</v>
      </c>
      <c r="K328" s="25"/>
      <c r="L328" s="43"/>
    </row>
    <row r="329" spans="2:12" ht="30" x14ac:dyDescent="0.25">
      <c r="B329" s="91"/>
      <c r="C329" s="93"/>
      <c r="D329" s="91"/>
      <c r="E329" s="103" t="s">
        <v>53</v>
      </c>
      <c r="F329" s="30" t="s">
        <v>99</v>
      </c>
      <c r="G329" s="38" t="s">
        <v>135</v>
      </c>
      <c r="H329" s="53" t="s">
        <v>136</v>
      </c>
      <c r="I329" s="30">
        <f>IF(H329=G329,"RCC01",0)</f>
        <v>0</v>
      </c>
      <c r="J329" s="30" t="str">
        <f>IF(H329=G329,0,"Batal")</f>
        <v>Batal</v>
      </c>
      <c r="K329" s="38"/>
      <c r="L329" s="43"/>
    </row>
    <row r="330" spans="2:12" ht="15.75" thickBot="1" x14ac:dyDescent="0.3">
      <c r="B330" s="105"/>
      <c r="C330" s="104"/>
      <c r="D330" s="105"/>
      <c r="E330" s="94"/>
      <c r="F330" s="25" t="s">
        <v>99</v>
      </c>
      <c r="G330" s="23" t="s">
        <v>135</v>
      </c>
      <c r="H330" s="33" t="s">
        <v>135</v>
      </c>
      <c r="I330" s="25" t="str">
        <f>IF(H330=G330,"RCC01",0)</f>
        <v>RCC01</v>
      </c>
      <c r="J330" s="25">
        <f>IF(H330=G330,0,"Batal")</f>
        <v>0</v>
      </c>
      <c r="K330" s="23" t="s">
        <v>34</v>
      </c>
      <c r="L330" s="44"/>
    </row>
    <row r="331" spans="2:12" ht="30" x14ac:dyDescent="0.25">
      <c r="B331" s="90">
        <v>44</v>
      </c>
      <c r="C331" s="92" t="s">
        <v>114</v>
      </c>
      <c r="D331" s="90" t="s">
        <v>34</v>
      </c>
      <c r="E331" s="96" t="s">
        <v>29</v>
      </c>
      <c r="F331" s="55" t="s">
        <v>39</v>
      </c>
      <c r="G331" s="51">
        <v>150</v>
      </c>
      <c r="H331" s="70">
        <v>100</v>
      </c>
      <c r="I331" s="55">
        <f>IF(H331&gt;=G331,"Pintu",0)</f>
        <v>0</v>
      </c>
      <c r="J331" s="55" t="str">
        <f t="shared" ref="J331:J340" si="11">IF(H331&lt;G331,"Saklar Lampu",0)</f>
        <v>Saklar Lampu</v>
      </c>
      <c r="K331" s="50"/>
      <c r="L331" s="57"/>
    </row>
    <row r="332" spans="2:12" x14ac:dyDescent="0.25">
      <c r="B332" s="91"/>
      <c r="C332" s="93"/>
      <c r="D332" s="91"/>
      <c r="E332" s="97"/>
      <c r="F332" s="25" t="s">
        <v>39</v>
      </c>
      <c r="G332" s="24">
        <v>150</v>
      </c>
      <c r="H332" s="33">
        <v>150</v>
      </c>
      <c r="I332" s="25" t="str">
        <f>IF(H332&gt;=G332,"Pintu",0)</f>
        <v>Pintu</v>
      </c>
      <c r="J332" s="25">
        <f t="shared" si="11"/>
        <v>0</v>
      </c>
      <c r="K332" s="23"/>
      <c r="L332" s="43"/>
    </row>
    <row r="333" spans="2:12" x14ac:dyDescent="0.25">
      <c r="B333" s="91"/>
      <c r="C333" s="93"/>
      <c r="D333" s="91"/>
      <c r="E333" s="95" t="s">
        <v>53</v>
      </c>
      <c r="F333" s="25" t="s">
        <v>15</v>
      </c>
      <c r="G333" s="23" t="s">
        <v>16</v>
      </c>
      <c r="H333" s="33" t="s">
        <v>61</v>
      </c>
      <c r="I333" s="25">
        <f>IF(H333=G333,"RCC01",0)</f>
        <v>0</v>
      </c>
      <c r="J333" s="25" t="str">
        <f>IF(H333=G333,0,"Batal")</f>
        <v>Batal</v>
      </c>
      <c r="K333" s="23"/>
      <c r="L333" s="67"/>
    </row>
    <row r="334" spans="2:12" ht="15.75" thickBot="1" x14ac:dyDescent="0.3">
      <c r="B334" s="105"/>
      <c r="C334" s="104"/>
      <c r="D334" s="105"/>
      <c r="E334" s="136"/>
      <c r="F334" s="83" t="s">
        <v>15</v>
      </c>
      <c r="G334" s="41" t="s">
        <v>16</v>
      </c>
      <c r="H334" s="54" t="s">
        <v>16</v>
      </c>
      <c r="I334" s="42" t="str">
        <f>IF(H334=G334,"RCC01",0)</f>
        <v>RCC01</v>
      </c>
      <c r="J334" s="42">
        <f>IF(H334=G334,0,"Batal")</f>
        <v>0</v>
      </c>
      <c r="K334" s="41" t="s">
        <v>34</v>
      </c>
      <c r="L334" s="63"/>
    </row>
    <row r="335" spans="2:12" ht="30" x14ac:dyDescent="0.25">
      <c r="B335" s="90">
        <v>45</v>
      </c>
      <c r="C335" s="92" t="s">
        <v>113</v>
      </c>
      <c r="D335" s="90" t="s">
        <v>34</v>
      </c>
      <c r="E335" s="94" t="s">
        <v>29</v>
      </c>
      <c r="F335" s="30" t="s">
        <v>39</v>
      </c>
      <c r="G335" s="39">
        <v>150</v>
      </c>
      <c r="H335" s="53">
        <v>100</v>
      </c>
      <c r="I335" s="30">
        <f>IF(H335&gt;=G335,"RCC01",0)</f>
        <v>0</v>
      </c>
      <c r="J335" s="30" t="str">
        <f t="shared" si="11"/>
        <v>Saklar Lampu</v>
      </c>
      <c r="K335" s="38"/>
      <c r="L335" s="60"/>
    </row>
    <row r="336" spans="2:12" x14ac:dyDescent="0.25">
      <c r="B336" s="91"/>
      <c r="C336" s="93"/>
      <c r="D336" s="91"/>
      <c r="E336" s="95"/>
      <c r="F336" s="29" t="s">
        <v>39</v>
      </c>
      <c r="G336" s="76">
        <v>150</v>
      </c>
      <c r="H336" s="64">
        <v>150</v>
      </c>
      <c r="I336" s="29" t="str">
        <f>IF(H336&gt;=G336,"RCC01",0)</f>
        <v>RCC01</v>
      </c>
      <c r="J336" s="29">
        <f t="shared" si="11"/>
        <v>0</v>
      </c>
      <c r="K336" s="56"/>
      <c r="L336" s="67"/>
    </row>
    <row r="337" spans="2:12" x14ac:dyDescent="0.25">
      <c r="B337" s="91"/>
      <c r="C337" s="93"/>
      <c r="D337" s="91"/>
      <c r="E337" s="95" t="s">
        <v>53</v>
      </c>
      <c r="F337" s="25" t="s">
        <v>15</v>
      </c>
      <c r="G337" s="23" t="s">
        <v>16</v>
      </c>
      <c r="H337" s="33" t="s">
        <v>61</v>
      </c>
      <c r="I337" s="25">
        <f>IF(H337=G337,"RCC01",0)</f>
        <v>0</v>
      </c>
      <c r="J337" s="25" t="str">
        <f>IF(H337=G337,0,"Batal")</f>
        <v>Batal</v>
      </c>
      <c r="K337" s="23"/>
      <c r="L337" s="81"/>
    </row>
    <row r="338" spans="2:12" ht="15.75" thickBot="1" x14ac:dyDescent="0.3">
      <c r="B338" s="105"/>
      <c r="C338" s="104"/>
      <c r="D338" s="105"/>
      <c r="E338" s="136"/>
      <c r="F338" s="83" t="s">
        <v>15</v>
      </c>
      <c r="G338" s="41" t="s">
        <v>16</v>
      </c>
      <c r="H338" s="54" t="s">
        <v>16</v>
      </c>
      <c r="I338" s="42" t="str">
        <f>IF(H338=G338,"RCC01",0)</f>
        <v>RCC01</v>
      </c>
      <c r="J338" s="42">
        <f>IF(H338=G338,0,"Batal")</f>
        <v>0</v>
      </c>
      <c r="K338" s="41" t="s">
        <v>34</v>
      </c>
      <c r="L338" s="81"/>
    </row>
    <row r="339" spans="2:12" ht="30" x14ac:dyDescent="0.25">
      <c r="B339" s="90">
        <v>46</v>
      </c>
      <c r="C339" s="92" t="s">
        <v>115</v>
      </c>
      <c r="D339" s="90" t="s">
        <v>68</v>
      </c>
      <c r="E339" s="96" t="s">
        <v>29</v>
      </c>
      <c r="F339" s="55" t="s">
        <v>39</v>
      </c>
      <c r="G339" s="51">
        <v>150</v>
      </c>
      <c r="H339" s="70">
        <v>100</v>
      </c>
      <c r="I339" s="55">
        <f>IF(H339&gt;=G339,"Pintu",0)</f>
        <v>0</v>
      </c>
      <c r="J339" s="55" t="str">
        <f t="shared" si="11"/>
        <v>Saklar Lampu</v>
      </c>
      <c r="K339" s="50"/>
      <c r="L339" s="57"/>
    </row>
    <row r="340" spans="2:12" x14ac:dyDescent="0.25">
      <c r="B340" s="91"/>
      <c r="C340" s="93"/>
      <c r="D340" s="91"/>
      <c r="E340" s="97"/>
      <c r="F340" s="25" t="s">
        <v>39</v>
      </c>
      <c r="G340" s="24">
        <v>150</v>
      </c>
      <c r="H340" s="33">
        <v>150</v>
      </c>
      <c r="I340" s="30" t="str">
        <f>IF(H340&gt;=G340,"Pintu",0)</f>
        <v>Pintu</v>
      </c>
      <c r="J340" s="25">
        <f t="shared" si="11"/>
        <v>0</v>
      </c>
      <c r="K340" s="23"/>
      <c r="L340" s="43"/>
    </row>
    <row r="341" spans="2:12" x14ac:dyDescent="0.25">
      <c r="B341" s="91"/>
      <c r="C341" s="93"/>
      <c r="D341" s="91"/>
      <c r="E341" s="97" t="s">
        <v>53</v>
      </c>
      <c r="F341" s="25" t="s">
        <v>15</v>
      </c>
      <c r="G341" s="23" t="s">
        <v>16</v>
      </c>
      <c r="H341" s="33" t="s">
        <v>61</v>
      </c>
      <c r="I341" s="25">
        <f>IF(H341=G341,"RGD01",0)</f>
        <v>0</v>
      </c>
      <c r="J341" s="25" t="str">
        <f>IF(H341=G341,0,"Batal")</f>
        <v>Batal</v>
      </c>
      <c r="K341" s="23"/>
      <c r="L341" s="43"/>
    </row>
    <row r="342" spans="2:12" x14ac:dyDescent="0.25">
      <c r="B342" s="91"/>
      <c r="C342" s="93"/>
      <c r="D342" s="91"/>
      <c r="E342" s="97"/>
      <c r="F342" s="25" t="s">
        <v>15</v>
      </c>
      <c r="G342" s="23" t="s">
        <v>16</v>
      </c>
      <c r="H342" s="33" t="s">
        <v>16</v>
      </c>
      <c r="I342" s="25" t="str">
        <f>IF(H342=G342,"RGD01",0)</f>
        <v>RGD01</v>
      </c>
      <c r="J342" s="25">
        <f>IF(H342=G342,0,"Batal")</f>
        <v>0</v>
      </c>
      <c r="K342" s="25"/>
      <c r="L342" s="43"/>
    </row>
    <row r="343" spans="2:12" ht="30" x14ac:dyDescent="0.25">
      <c r="B343" s="91"/>
      <c r="C343" s="93"/>
      <c r="D343" s="91"/>
      <c r="E343" s="95" t="s">
        <v>125</v>
      </c>
      <c r="F343" s="25" t="s">
        <v>128</v>
      </c>
      <c r="G343" s="24">
        <v>2</v>
      </c>
      <c r="H343" s="33">
        <v>2.1</v>
      </c>
      <c r="I343" s="30">
        <f>IF(H343&lt;G343,"Meja setrika",0)</f>
        <v>0</v>
      </c>
      <c r="J343" s="30" t="str">
        <f>IF(H343&gt;=G343,"Batal",0)</f>
        <v>Batal</v>
      </c>
      <c r="K343" s="25"/>
      <c r="L343" s="43"/>
    </row>
    <row r="344" spans="2:12" ht="30" x14ac:dyDescent="0.25">
      <c r="B344" s="91"/>
      <c r="C344" s="93"/>
      <c r="D344" s="91"/>
      <c r="E344" s="94"/>
      <c r="F344" s="25" t="s">
        <v>128</v>
      </c>
      <c r="G344" s="24">
        <v>2</v>
      </c>
      <c r="H344" s="33">
        <v>0</v>
      </c>
      <c r="I344" s="30" t="str">
        <f>IF(H344&lt;G344,"Meja setrika",0)</f>
        <v>Meja setrika</v>
      </c>
      <c r="J344" s="30">
        <f>IF(H344&gt;=G344,"Batal",0)</f>
        <v>0</v>
      </c>
      <c r="K344" s="25"/>
      <c r="L344" s="43"/>
    </row>
    <row r="345" spans="2:12" ht="30" x14ac:dyDescent="0.25">
      <c r="B345" s="91"/>
      <c r="C345" s="93"/>
      <c r="D345" s="91"/>
      <c r="E345" s="97" t="s">
        <v>53</v>
      </c>
      <c r="F345" s="25" t="s">
        <v>116</v>
      </c>
      <c r="G345" s="24" t="s">
        <v>135</v>
      </c>
      <c r="H345" s="33" t="s">
        <v>136</v>
      </c>
      <c r="I345" s="25">
        <f>IF(H345=G345,"Meja setrika",0)</f>
        <v>0</v>
      </c>
      <c r="J345" s="25" t="str">
        <f>IF(H345=G345,0,"Batal")</f>
        <v>Batal</v>
      </c>
      <c r="K345" s="25"/>
      <c r="L345" s="43"/>
    </row>
    <row r="346" spans="2:12" ht="30" x14ac:dyDescent="0.25">
      <c r="B346" s="91"/>
      <c r="C346" s="93"/>
      <c r="D346" s="91"/>
      <c r="E346" s="97"/>
      <c r="F346" s="25" t="s">
        <v>116</v>
      </c>
      <c r="G346" s="24" t="s">
        <v>135</v>
      </c>
      <c r="H346" s="33" t="s">
        <v>135</v>
      </c>
      <c r="I346" s="25" t="str">
        <f>IF(H346=G346,"Meja setrika",0)</f>
        <v>Meja setrika</v>
      </c>
      <c r="J346" s="25">
        <f>IF(H346=G346,0,"Batal")</f>
        <v>0</v>
      </c>
      <c r="K346" s="25"/>
      <c r="L346" s="43"/>
    </row>
    <row r="347" spans="2:12" x14ac:dyDescent="0.25">
      <c r="B347" s="91"/>
      <c r="C347" s="93"/>
      <c r="D347" s="91"/>
      <c r="E347" s="97" t="s">
        <v>38</v>
      </c>
      <c r="F347" s="25" t="s">
        <v>105</v>
      </c>
      <c r="G347" s="25" t="s">
        <v>93</v>
      </c>
      <c r="H347" s="33" t="s">
        <v>36</v>
      </c>
      <c r="I347" s="30">
        <f>IF(H347=G347,"Kursi",0)</f>
        <v>0</v>
      </c>
      <c r="J347" s="30" t="str">
        <f>IF(H347=G347,0,"Batal")</f>
        <v>Batal</v>
      </c>
      <c r="K347" s="23"/>
      <c r="L347" s="43"/>
    </row>
    <row r="348" spans="2:12" ht="15.75" thickBot="1" x14ac:dyDescent="0.3">
      <c r="B348" s="91"/>
      <c r="C348" s="93"/>
      <c r="D348" s="91"/>
      <c r="E348" s="95"/>
      <c r="F348" s="29" t="s">
        <v>105</v>
      </c>
      <c r="G348" s="29" t="s">
        <v>93</v>
      </c>
      <c r="H348" s="64" t="s">
        <v>93</v>
      </c>
      <c r="I348" s="29" t="str">
        <f>IF(H348=G348,"Kursi",0)</f>
        <v>Kursi</v>
      </c>
      <c r="J348" s="29">
        <f>IF(H348=G348,0,"Batal")</f>
        <v>0</v>
      </c>
      <c r="K348" s="29" t="s">
        <v>68</v>
      </c>
      <c r="L348" s="67"/>
    </row>
    <row r="349" spans="2:12" ht="30" x14ac:dyDescent="0.25">
      <c r="B349" s="90">
        <v>47</v>
      </c>
      <c r="C349" s="101" t="s">
        <v>117</v>
      </c>
      <c r="D349" s="90" t="s">
        <v>42</v>
      </c>
      <c r="E349" s="96" t="s">
        <v>29</v>
      </c>
      <c r="F349" s="55" t="s">
        <v>39</v>
      </c>
      <c r="G349" s="51">
        <v>150</v>
      </c>
      <c r="H349" s="70">
        <v>100</v>
      </c>
      <c r="I349" s="55">
        <f>IF(H349&gt;=G349,"RKG01",0)</f>
        <v>0</v>
      </c>
      <c r="J349" s="55" t="str">
        <f>IF(H349&lt;G349,"Saklar Lampu",0)</f>
        <v>Saklar Lampu</v>
      </c>
      <c r="K349" s="52"/>
      <c r="L349" s="57"/>
    </row>
    <row r="350" spans="2:12" x14ac:dyDescent="0.25">
      <c r="B350" s="91"/>
      <c r="C350" s="102"/>
      <c r="D350" s="91"/>
      <c r="E350" s="97"/>
      <c r="F350" s="25" t="s">
        <v>39</v>
      </c>
      <c r="G350" s="24">
        <v>150</v>
      </c>
      <c r="H350" s="33">
        <v>150</v>
      </c>
      <c r="I350" s="25" t="str">
        <f>IF(H350&gt;=G350,"RKG01",0)</f>
        <v>RKG01</v>
      </c>
      <c r="J350" s="25">
        <f>IF(H350&lt;G350,"Saklar Lampu",0)</f>
        <v>0</v>
      </c>
      <c r="K350" s="22"/>
      <c r="L350" s="43"/>
    </row>
    <row r="351" spans="2:12" ht="30" x14ac:dyDescent="0.25">
      <c r="B351" s="91"/>
      <c r="C351" s="102"/>
      <c r="D351" s="91"/>
      <c r="E351" s="95" t="s">
        <v>125</v>
      </c>
      <c r="F351" s="25" t="s">
        <v>128</v>
      </c>
      <c r="G351" s="24">
        <v>2</v>
      </c>
      <c r="H351" s="33">
        <v>2.1</v>
      </c>
      <c r="I351" s="30">
        <f>IF(H351&lt;G351,"Karpet",0)</f>
        <v>0</v>
      </c>
      <c r="J351" s="30" t="str">
        <f>IF(H351&gt;=G351,"Batal",0)</f>
        <v>Batal</v>
      </c>
      <c r="K351" s="25"/>
      <c r="L351" s="43"/>
    </row>
    <row r="352" spans="2:12" ht="30" x14ac:dyDescent="0.25">
      <c r="B352" s="91"/>
      <c r="C352" s="102"/>
      <c r="D352" s="91"/>
      <c r="E352" s="94"/>
      <c r="F352" s="25" t="s">
        <v>128</v>
      </c>
      <c r="G352" s="24">
        <v>2</v>
      </c>
      <c r="H352" s="33">
        <v>0</v>
      </c>
      <c r="I352" s="30" t="str">
        <f>IF(H352&lt;G352,"Karpet",0)</f>
        <v>Karpet</v>
      </c>
      <c r="J352" s="30">
        <f>IF(H352&gt;=G352,"Batal",0)</f>
        <v>0</v>
      </c>
      <c r="K352" s="25"/>
      <c r="L352" s="43"/>
    </row>
    <row r="353" spans="2:12" x14ac:dyDescent="0.25">
      <c r="B353" s="91"/>
      <c r="C353" s="102"/>
      <c r="D353" s="91"/>
      <c r="E353" s="95" t="s">
        <v>53</v>
      </c>
      <c r="F353" s="25" t="s">
        <v>45</v>
      </c>
      <c r="G353" s="23" t="s">
        <v>20</v>
      </c>
      <c r="H353" s="33" t="s">
        <v>21</v>
      </c>
      <c r="I353" s="25">
        <f>IF(H353=G353,"Karpet",0)</f>
        <v>0</v>
      </c>
      <c r="J353" s="25" t="str">
        <f>IF(H353=G353,0,"RTA01")</f>
        <v>RTA01</v>
      </c>
      <c r="K353" s="22"/>
      <c r="L353" s="43"/>
    </row>
    <row r="354" spans="2:12" x14ac:dyDescent="0.25">
      <c r="B354" s="91"/>
      <c r="C354" s="102"/>
      <c r="D354" s="91"/>
      <c r="E354" s="94"/>
      <c r="F354" s="25" t="s">
        <v>45</v>
      </c>
      <c r="G354" s="23" t="s">
        <v>20</v>
      </c>
      <c r="H354" s="33" t="s">
        <v>20</v>
      </c>
      <c r="I354" s="25" t="str">
        <f>IF(H354=G354,"Karpet",0)</f>
        <v>Karpet</v>
      </c>
      <c r="J354" s="25">
        <f>IF(H354=G354,0,"RTA01")</f>
        <v>0</v>
      </c>
      <c r="K354" s="22"/>
      <c r="L354" s="43"/>
    </row>
    <row r="355" spans="2:12" ht="30" x14ac:dyDescent="0.25">
      <c r="B355" s="91"/>
      <c r="C355" s="102"/>
      <c r="D355" s="91"/>
      <c r="E355" s="95" t="s">
        <v>145</v>
      </c>
      <c r="F355" s="25" t="s">
        <v>146</v>
      </c>
      <c r="G355" s="23">
        <v>25</v>
      </c>
      <c r="H355" s="33">
        <v>28</v>
      </c>
      <c r="I355" s="25">
        <f>IF(H355&gt;G355,0,"Karpet")</f>
        <v>0</v>
      </c>
      <c r="J355" s="25" t="str">
        <f>IF(H355&gt;G355,"Kipas angin",0)</f>
        <v>Kipas angin</v>
      </c>
      <c r="K355" s="22"/>
      <c r="L355" s="43"/>
    </row>
    <row r="356" spans="2:12" ht="30" x14ac:dyDescent="0.25">
      <c r="B356" s="91"/>
      <c r="C356" s="102"/>
      <c r="D356" s="91"/>
      <c r="E356" s="94"/>
      <c r="F356" s="30" t="s">
        <v>146</v>
      </c>
      <c r="G356" s="38">
        <v>25</v>
      </c>
      <c r="H356" s="53">
        <v>24</v>
      </c>
      <c r="I356" s="25" t="str">
        <f>IF(H356&gt;G356,0,"Karpet")</f>
        <v>Karpet</v>
      </c>
      <c r="J356" s="30">
        <f>IF(H356&gt;G356,"Kipas angin",0)</f>
        <v>0</v>
      </c>
      <c r="K356" s="35"/>
      <c r="L356" s="60"/>
    </row>
    <row r="357" spans="2:12" x14ac:dyDescent="0.25">
      <c r="B357" s="91"/>
      <c r="C357" s="102"/>
      <c r="D357" s="91"/>
      <c r="E357" s="95" t="s">
        <v>38</v>
      </c>
      <c r="F357" s="25" t="s">
        <v>105</v>
      </c>
      <c r="G357" s="25" t="s">
        <v>93</v>
      </c>
      <c r="H357" s="33" t="s">
        <v>36</v>
      </c>
      <c r="I357" s="25">
        <f>IF(H357=G357,"Karpet",0)</f>
        <v>0</v>
      </c>
      <c r="J357" s="25" t="str">
        <f>IF(H357=G357,0,"Batal")</f>
        <v>Batal</v>
      </c>
      <c r="K357" s="22"/>
      <c r="L357" s="67"/>
    </row>
    <row r="358" spans="2:12" x14ac:dyDescent="0.25">
      <c r="B358" s="91"/>
      <c r="C358" s="102"/>
      <c r="D358" s="91"/>
      <c r="E358" s="94"/>
      <c r="F358" s="25" t="s">
        <v>105</v>
      </c>
      <c r="G358" s="25" t="s">
        <v>93</v>
      </c>
      <c r="H358" s="33" t="s">
        <v>93</v>
      </c>
      <c r="I358" s="25" t="str">
        <f>IF(H358=G358,"Karpet",0)</f>
        <v>Karpet</v>
      </c>
      <c r="J358" s="25">
        <f>IF(H358=G358,0,"Batal")</f>
        <v>0</v>
      </c>
      <c r="K358" s="22" t="s">
        <v>42</v>
      </c>
      <c r="L358" s="81"/>
    </row>
    <row r="359" spans="2:12" ht="30" x14ac:dyDescent="0.25">
      <c r="B359" s="91"/>
      <c r="C359" s="102"/>
      <c r="D359" s="91"/>
      <c r="E359" s="94" t="s">
        <v>53</v>
      </c>
      <c r="F359" s="30" t="s">
        <v>144</v>
      </c>
      <c r="G359" s="38" t="s">
        <v>135</v>
      </c>
      <c r="H359" s="53" t="s">
        <v>136</v>
      </c>
      <c r="I359" s="30">
        <f>IF(H359=G359,"Karpet",0)</f>
        <v>0</v>
      </c>
      <c r="J359" s="30" t="str">
        <f>IF(H359=G359,0,"RTA01")</f>
        <v>RTA01</v>
      </c>
      <c r="K359" s="23"/>
      <c r="L359" s="81"/>
    </row>
    <row r="360" spans="2:12" ht="30.75" thickBot="1" x14ac:dyDescent="0.3">
      <c r="B360" s="91"/>
      <c r="C360" s="102"/>
      <c r="D360" s="105"/>
      <c r="E360" s="182"/>
      <c r="F360" s="42" t="s">
        <v>144</v>
      </c>
      <c r="G360" s="41" t="s">
        <v>135</v>
      </c>
      <c r="H360" s="54" t="s">
        <v>135</v>
      </c>
      <c r="I360" s="42" t="str">
        <f>IF(H360=G360,"Karpet",0)</f>
        <v>Karpet</v>
      </c>
      <c r="J360" s="42">
        <f>IF(H360=G360,0,"RTA01")</f>
        <v>0</v>
      </c>
      <c r="K360" s="42"/>
      <c r="L360" s="63"/>
    </row>
    <row r="361" spans="2:12" ht="30" x14ac:dyDescent="0.25">
      <c r="B361" s="91"/>
      <c r="C361" s="102"/>
      <c r="D361" s="99" t="s">
        <v>88</v>
      </c>
      <c r="E361" s="94" t="s">
        <v>29</v>
      </c>
      <c r="F361" s="30" t="s">
        <v>39</v>
      </c>
      <c r="G361" s="39">
        <v>150</v>
      </c>
      <c r="H361" s="53">
        <v>100</v>
      </c>
      <c r="I361" s="30">
        <f>IF(H361&gt;=G361,"Pintu",0)</f>
        <v>0</v>
      </c>
      <c r="J361" s="30" t="str">
        <f>IF(H361&lt;G361,"Saklar Lampu",0)</f>
        <v>Saklar Lampu</v>
      </c>
      <c r="K361" s="35"/>
      <c r="L361" s="60"/>
    </row>
    <row r="362" spans="2:12" x14ac:dyDescent="0.25">
      <c r="B362" s="91"/>
      <c r="C362" s="102"/>
      <c r="D362" s="99"/>
      <c r="E362" s="97"/>
      <c r="F362" s="25" t="s">
        <v>39</v>
      </c>
      <c r="G362" s="24">
        <v>150</v>
      </c>
      <c r="H362" s="33">
        <v>150</v>
      </c>
      <c r="I362" s="30" t="str">
        <f>IF(H362&gt;=G362,"Pintu",0)</f>
        <v>Pintu</v>
      </c>
      <c r="J362" s="25">
        <f>IF(H362&lt;G362,"Saklar Lampu",0)</f>
        <v>0</v>
      </c>
      <c r="K362" s="22"/>
      <c r="L362" s="43"/>
    </row>
    <row r="363" spans="2:12" x14ac:dyDescent="0.25">
      <c r="B363" s="91"/>
      <c r="C363" s="102"/>
      <c r="D363" s="99"/>
      <c r="E363" s="97" t="s">
        <v>53</v>
      </c>
      <c r="F363" s="25" t="s">
        <v>15</v>
      </c>
      <c r="G363" s="23" t="s">
        <v>16</v>
      </c>
      <c r="H363" s="33" t="s">
        <v>61</v>
      </c>
      <c r="I363" s="25">
        <f>IF(H363=G363,"RTA01",0)</f>
        <v>0</v>
      </c>
      <c r="J363" s="25" t="str">
        <f>IF(H363=G363,0,"Batal")</f>
        <v>Batal</v>
      </c>
      <c r="K363" s="25"/>
      <c r="L363" s="43"/>
    </row>
    <row r="364" spans="2:12" x14ac:dyDescent="0.25">
      <c r="B364" s="91"/>
      <c r="C364" s="102"/>
      <c r="D364" s="99"/>
      <c r="E364" s="97"/>
      <c r="F364" s="25" t="s">
        <v>15</v>
      </c>
      <c r="G364" s="23" t="s">
        <v>16</v>
      </c>
      <c r="H364" s="33" t="s">
        <v>16</v>
      </c>
      <c r="I364" s="25" t="str">
        <f>IF(H364=G364,"RTA01",0)</f>
        <v>RTA01</v>
      </c>
      <c r="J364" s="25">
        <f>IF(H364=G364,0,"Batal")</f>
        <v>0</v>
      </c>
      <c r="K364" s="25"/>
      <c r="L364" s="43"/>
    </row>
    <row r="365" spans="2:12" ht="30" x14ac:dyDescent="0.25">
      <c r="B365" s="91"/>
      <c r="C365" s="102"/>
      <c r="D365" s="99"/>
      <c r="E365" s="95" t="s">
        <v>125</v>
      </c>
      <c r="F365" s="25" t="s">
        <v>128</v>
      </c>
      <c r="G365" s="24">
        <v>2</v>
      </c>
      <c r="H365" s="33">
        <v>2.1</v>
      </c>
      <c r="I365" s="30">
        <f>IF(H365&lt;G365,"Tempat tidur",0)</f>
        <v>0</v>
      </c>
      <c r="J365" s="30" t="str">
        <f>IF(H365&gt;=G365,"Batal",0)</f>
        <v>Batal</v>
      </c>
      <c r="K365" s="25"/>
      <c r="L365" s="43"/>
    </row>
    <row r="366" spans="2:12" ht="30" x14ac:dyDescent="0.25">
      <c r="B366" s="91"/>
      <c r="C366" s="102"/>
      <c r="D366" s="99"/>
      <c r="E366" s="94"/>
      <c r="F366" s="25" t="s">
        <v>128</v>
      </c>
      <c r="G366" s="24">
        <v>2</v>
      </c>
      <c r="H366" s="33">
        <v>0</v>
      </c>
      <c r="I366" s="30" t="str">
        <f>IF(H366&lt;G366,"Tempat tidur",0)</f>
        <v>Tempat tidur</v>
      </c>
      <c r="J366" s="30">
        <f>IF(H366&gt;=G366,"Batal",0)</f>
        <v>0</v>
      </c>
      <c r="K366" s="25"/>
      <c r="L366" s="43"/>
    </row>
    <row r="367" spans="2:12" x14ac:dyDescent="0.25">
      <c r="B367" s="91"/>
      <c r="C367" s="102"/>
      <c r="D367" s="99"/>
      <c r="E367" s="95" t="s">
        <v>38</v>
      </c>
      <c r="F367" s="25" t="s">
        <v>105</v>
      </c>
      <c r="G367" s="25" t="s">
        <v>93</v>
      </c>
      <c r="H367" s="33" t="s">
        <v>36</v>
      </c>
      <c r="I367" s="25">
        <f>IF(H367=G367,"AC",0)</f>
        <v>0</v>
      </c>
      <c r="J367" s="25" t="str">
        <f>IF(H367=G367,0,"Batal")</f>
        <v>Batal</v>
      </c>
      <c r="K367" s="22"/>
      <c r="L367" s="43"/>
    </row>
    <row r="368" spans="2:12" x14ac:dyDescent="0.25">
      <c r="B368" s="91"/>
      <c r="C368" s="102"/>
      <c r="D368" s="99"/>
      <c r="E368" s="94"/>
      <c r="F368" s="25" t="s">
        <v>105</v>
      </c>
      <c r="G368" s="25" t="s">
        <v>93</v>
      </c>
      <c r="H368" s="33" t="s">
        <v>93</v>
      </c>
      <c r="I368" s="25" t="str">
        <f>IF(H368=G368,"AC",0)</f>
        <v>AC</v>
      </c>
      <c r="J368" s="25">
        <f>IF(H368=G368,0,"Batal")</f>
        <v>0</v>
      </c>
      <c r="K368" s="22" t="s">
        <v>42</v>
      </c>
      <c r="L368" s="43"/>
    </row>
    <row r="369" spans="2:12" ht="30" x14ac:dyDescent="0.25">
      <c r="B369" s="91"/>
      <c r="C369" s="102"/>
      <c r="D369" s="99"/>
      <c r="E369" s="97" t="s">
        <v>53</v>
      </c>
      <c r="F369" s="25" t="s">
        <v>147</v>
      </c>
      <c r="G369" s="23" t="s">
        <v>135</v>
      </c>
      <c r="H369" s="33" t="s">
        <v>136</v>
      </c>
      <c r="I369" s="25">
        <f>IF(H369=G369,"Tempat tidur",0)</f>
        <v>0</v>
      </c>
      <c r="J369" s="25" t="str">
        <f>IF(H369=G369,0,"Batal")</f>
        <v>Batal</v>
      </c>
      <c r="K369" s="25"/>
      <c r="L369" s="43"/>
    </row>
    <row r="370" spans="2:12" ht="30.75" thickBot="1" x14ac:dyDescent="0.3">
      <c r="B370" s="91"/>
      <c r="C370" s="102"/>
      <c r="D370" s="99"/>
      <c r="E370" s="97"/>
      <c r="F370" s="25" t="s">
        <v>147</v>
      </c>
      <c r="G370" s="23" t="s">
        <v>135</v>
      </c>
      <c r="H370" s="33" t="s">
        <v>135</v>
      </c>
      <c r="I370" s="25" t="str">
        <f>IF(H370=G370,"Tempat tidur",0)</f>
        <v>Tempat tidur</v>
      </c>
      <c r="J370" s="25">
        <f>IF(H370=G370,0,"Batal")</f>
        <v>0</v>
      </c>
      <c r="K370" s="25"/>
      <c r="L370" s="43"/>
    </row>
    <row r="371" spans="2:12" ht="30" x14ac:dyDescent="0.25">
      <c r="B371" s="90">
        <v>48</v>
      </c>
      <c r="C371" s="179" t="s">
        <v>118</v>
      </c>
      <c r="D371" s="90" t="s">
        <v>42</v>
      </c>
      <c r="E371" s="96" t="s">
        <v>29</v>
      </c>
      <c r="F371" s="55" t="s">
        <v>39</v>
      </c>
      <c r="G371" s="51">
        <v>150</v>
      </c>
      <c r="H371" s="70">
        <v>100</v>
      </c>
      <c r="I371" s="55">
        <f>IF(H371&gt;=G371,"RKG01",0)</f>
        <v>0</v>
      </c>
      <c r="J371" s="55" t="str">
        <f>IF(H371&lt;G371,"Saklar Lampu",0)</f>
        <v>Saklar Lampu</v>
      </c>
      <c r="K371" s="52"/>
      <c r="L371" s="57"/>
    </row>
    <row r="372" spans="2:12" x14ac:dyDescent="0.25">
      <c r="B372" s="91"/>
      <c r="C372" s="180"/>
      <c r="D372" s="91"/>
      <c r="E372" s="97"/>
      <c r="F372" s="25" t="s">
        <v>39</v>
      </c>
      <c r="G372" s="24">
        <v>150</v>
      </c>
      <c r="H372" s="33">
        <v>150</v>
      </c>
      <c r="I372" s="30" t="str">
        <f>IF(H372&gt;=G372,"RKG01",0)</f>
        <v>RKG01</v>
      </c>
      <c r="J372" s="25">
        <f>IF(H372&lt;G372,"Saklar Lampu",0)</f>
        <v>0</v>
      </c>
      <c r="K372" s="22"/>
      <c r="L372" s="43"/>
    </row>
    <row r="373" spans="2:12" ht="30" x14ac:dyDescent="0.25">
      <c r="B373" s="91"/>
      <c r="C373" s="180"/>
      <c r="D373" s="91"/>
      <c r="E373" s="95" t="s">
        <v>125</v>
      </c>
      <c r="F373" s="25" t="s">
        <v>128</v>
      </c>
      <c r="G373" s="24">
        <v>1</v>
      </c>
      <c r="H373" s="33">
        <v>1.2</v>
      </c>
      <c r="I373" s="30">
        <f>IF(H373&lt;G373,"Sofa",0)</f>
        <v>0</v>
      </c>
      <c r="J373" s="30" t="str">
        <f>IF(H373&gt;=G373,"Karpet",0)</f>
        <v>Karpet</v>
      </c>
      <c r="K373" s="25"/>
      <c r="L373" s="43"/>
    </row>
    <row r="374" spans="2:12" ht="30" x14ac:dyDescent="0.25">
      <c r="B374" s="91"/>
      <c r="C374" s="180"/>
      <c r="D374" s="91"/>
      <c r="E374" s="94"/>
      <c r="F374" s="25" t="s">
        <v>128</v>
      </c>
      <c r="G374" s="24">
        <v>1</v>
      </c>
      <c r="H374" s="33">
        <v>0.6</v>
      </c>
      <c r="I374" s="30" t="str">
        <f>IF(H374&lt;G374,"Sofa",0)</f>
        <v>Sofa</v>
      </c>
      <c r="J374" s="30">
        <f>IF(H374&gt;=G374,"Karpet",0)</f>
        <v>0</v>
      </c>
      <c r="K374" s="25"/>
      <c r="L374" s="43"/>
    </row>
    <row r="375" spans="2:12" x14ac:dyDescent="0.25">
      <c r="B375" s="91"/>
      <c r="C375" s="180"/>
      <c r="D375" s="91"/>
      <c r="E375" s="95" t="s">
        <v>53</v>
      </c>
      <c r="F375" s="25" t="s">
        <v>44</v>
      </c>
      <c r="G375" s="23" t="s">
        <v>20</v>
      </c>
      <c r="H375" s="33" t="s">
        <v>21</v>
      </c>
      <c r="I375" s="25">
        <f>IF(H375=G375,"TV",0)</f>
        <v>0</v>
      </c>
      <c r="J375" s="25" t="str">
        <f>IF(H375=G375,0,"Karpet")</f>
        <v>Karpet</v>
      </c>
      <c r="K375" s="22"/>
      <c r="L375" s="43"/>
    </row>
    <row r="376" spans="2:12" x14ac:dyDescent="0.25">
      <c r="B376" s="91"/>
      <c r="C376" s="180"/>
      <c r="D376" s="91"/>
      <c r="E376" s="103"/>
      <c r="F376" s="25" t="s">
        <v>44</v>
      </c>
      <c r="G376" s="23" t="s">
        <v>20</v>
      </c>
      <c r="H376" s="33" t="s">
        <v>20</v>
      </c>
      <c r="I376" s="25" t="str">
        <f>IF(H376=G376,"TV",0)</f>
        <v>TV</v>
      </c>
      <c r="J376" s="25">
        <f>IF(H376=G376,0,"Karpet")</f>
        <v>0</v>
      </c>
      <c r="K376" s="22"/>
      <c r="L376" s="43"/>
    </row>
    <row r="377" spans="2:12" x14ac:dyDescent="0.25">
      <c r="B377" s="91"/>
      <c r="C377" s="180"/>
      <c r="D377" s="91"/>
      <c r="E377" s="103"/>
      <c r="F377" s="25" t="s">
        <v>45</v>
      </c>
      <c r="G377" s="23" t="s">
        <v>20</v>
      </c>
      <c r="H377" s="33" t="s">
        <v>21</v>
      </c>
      <c r="I377" s="25">
        <f>IF(H377=G377,"TV",0)</f>
        <v>0</v>
      </c>
      <c r="J377" s="25" t="str">
        <f t="shared" ref="J377:J384" si="12">IF(H377=G377,0,"Batal")</f>
        <v>Batal</v>
      </c>
      <c r="K377" s="22"/>
      <c r="L377" s="43"/>
    </row>
    <row r="378" spans="2:12" x14ac:dyDescent="0.25">
      <c r="B378" s="91"/>
      <c r="C378" s="180"/>
      <c r="D378" s="91"/>
      <c r="E378" s="103"/>
      <c r="F378" s="25" t="s">
        <v>45</v>
      </c>
      <c r="G378" s="23" t="s">
        <v>20</v>
      </c>
      <c r="H378" s="33" t="s">
        <v>20</v>
      </c>
      <c r="I378" s="25" t="str">
        <f>IF(H378=G378,"TV",0)</f>
        <v>TV</v>
      </c>
      <c r="J378" s="25">
        <f t="shared" si="12"/>
        <v>0</v>
      </c>
      <c r="K378" s="22"/>
      <c r="L378" s="43"/>
    </row>
    <row r="379" spans="2:12" ht="30" x14ac:dyDescent="0.25">
      <c r="B379" s="91"/>
      <c r="C379" s="180"/>
      <c r="D379" s="91"/>
      <c r="E379" s="103"/>
      <c r="F379" s="25" t="s">
        <v>143</v>
      </c>
      <c r="G379" s="23" t="s">
        <v>135</v>
      </c>
      <c r="H379" s="33" t="s">
        <v>136</v>
      </c>
      <c r="I379" s="25">
        <f>IF(H379=G379,"Sofa/ Karpet",0)</f>
        <v>0</v>
      </c>
      <c r="J379" s="25" t="str">
        <f t="shared" si="12"/>
        <v>Batal</v>
      </c>
      <c r="K379" s="22"/>
      <c r="L379" s="81"/>
    </row>
    <row r="380" spans="2:12" ht="30" x14ac:dyDescent="0.25">
      <c r="B380" s="91"/>
      <c r="C380" s="180"/>
      <c r="D380" s="91"/>
      <c r="E380" s="94"/>
      <c r="F380" s="25" t="s">
        <v>143</v>
      </c>
      <c r="G380" s="23" t="s">
        <v>135</v>
      </c>
      <c r="H380" s="33" t="s">
        <v>135</v>
      </c>
      <c r="I380" s="25" t="str">
        <f>IF(H380=G380,"Sofa/ Karpet",0)</f>
        <v>Sofa/ Karpet</v>
      </c>
      <c r="J380" s="25">
        <f t="shared" si="12"/>
        <v>0</v>
      </c>
      <c r="K380" s="22"/>
      <c r="L380" s="81"/>
    </row>
    <row r="381" spans="2:12" x14ac:dyDescent="0.25">
      <c r="B381" s="91"/>
      <c r="C381" s="180"/>
      <c r="D381" s="91"/>
      <c r="E381" s="78"/>
      <c r="F381" s="25"/>
      <c r="G381" s="23"/>
      <c r="H381" s="33"/>
      <c r="I381" s="25"/>
      <c r="J381" s="30"/>
      <c r="K381" s="22"/>
      <c r="L381" s="81"/>
    </row>
    <row r="382" spans="2:12" x14ac:dyDescent="0.25">
      <c r="B382" s="91"/>
      <c r="C382" s="180"/>
      <c r="D382" s="91"/>
      <c r="E382" s="78"/>
      <c r="F382" s="25"/>
      <c r="G382" s="23"/>
      <c r="H382" s="33"/>
      <c r="I382" s="25"/>
      <c r="J382" s="30"/>
      <c r="K382" s="22"/>
      <c r="L382" s="81"/>
    </row>
    <row r="383" spans="2:12" x14ac:dyDescent="0.25">
      <c r="B383" s="91"/>
      <c r="C383" s="180"/>
      <c r="D383" s="91"/>
      <c r="E383" s="97" t="s">
        <v>38</v>
      </c>
      <c r="F383" s="25" t="s">
        <v>105</v>
      </c>
      <c r="G383" s="25" t="s">
        <v>93</v>
      </c>
      <c r="H383" s="33" t="s">
        <v>36</v>
      </c>
      <c r="I383" s="25">
        <f>IF(H383=G383,"Sofa/ Karpet",0)</f>
        <v>0</v>
      </c>
      <c r="J383" s="30" t="str">
        <f t="shared" si="12"/>
        <v>Batal</v>
      </c>
      <c r="K383" s="23"/>
      <c r="L383" s="81"/>
    </row>
    <row r="384" spans="2:12" ht="30.75" thickBot="1" x14ac:dyDescent="0.3">
      <c r="B384" s="105"/>
      <c r="C384" s="181"/>
      <c r="D384" s="105"/>
      <c r="E384" s="95"/>
      <c r="F384" s="29" t="s">
        <v>105</v>
      </c>
      <c r="G384" s="29" t="s">
        <v>93</v>
      </c>
      <c r="H384" s="64" t="s">
        <v>93</v>
      </c>
      <c r="I384" s="25" t="str">
        <f>IF(H384=G384,"Sofa/ Karpet",0)</f>
        <v>Sofa/ Karpet</v>
      </c>
      <c r="J384" s="29">
        <f t="shared" si="12"/>
        <v>0</v>
      </c>
      <c r="K384" s="29" t="s">
        <v>42</v>
      </c>
      <c r="L384" s="81"/>
    </row>
    <row r="385" spans="2:12" ht="30" x14ac:dyDescent="0.25">
      <c r="B385" s="90">
        <v>49</v>
      </c>
      <c r="C385" s="179" t="s">
        <v>119</v>
      </c>
      <c r="D385" s="98" t="s">
        <v>42</v>
      </c>
      <c r="E385" s="96" t="s">
        <v>29</v>
      </c>
      <c r="F385" s="55" t="s">
        <v>39</v>
      </c>
      <c r="G385" s="51">
        <v>150</v>
      </c>
      <c r="H385" s="70">
        <v>100</v>
      </c>
      <c r="I385" s="55">
        <f>IF(H385&gt;=G385,"RKG01",0)</f>
        <v>0</v>
      </c>
      <c r="J385" s="55" t="str">
        <f>IF(H385&lt;G385,"Saklar Lampu",0)</f>
        <v>Saklar Lampu</v>
      </c>
      <c r="K385" s="52"/>
      <c r="L385" s="57"/>
    </row>
    <row r="386" spans="2:12" x14ac:dyDescent="0.25">
      <c r="B386" s="91"/>
      <c r="C386" s="180"/>
      <c r="D386" s="99"/>
      <c r="E386" s="97"/>
      <c r="F386" s="25" t="s">
        <v>39</v>
      </c>
      <c r="G386" s="24">
        <v>150</v>
      </c>
      <c r="H386" s="33">
        <v>150</v>
      </c>
      <c r="I386" s="30" t="str">
        <f>IF(H386&gt;=G386,"RKG01",0)</f>
        <v>RKG01</v>
      </c>
      <c r="J386" s="25">
        <f>IF(H386&lt;G386,"Saklar Lampu",0)</f>
        <v>0</v>
      </c>
      <c r="K386" s="22"/>
      <c r="L386" s="43"/>
    </row>
    <row r="387" spans="2:12" ht="30" x14ac:dyDescent="0.25">
      <c r="B387" s="91"/>
      <c r="C387" s="180"/>
      <c r="D387" s="99"/>
      <c r="E387" s="95" t="s">
        <v>125</v>
      </c>
      <c r="F387" s="25" t="s">
        <v>128</v>
      </c>
      <c r="G387" s="24">
        <v>0.6</v>
      </c>
      <c r="H387" s="33">
        <v>1.2</v>
      </c>
      <c r="I387" s="30">
        <f>IF(H387&lt;G387,"Sofa",0)</f>
        <v>0</v>
      </c>
      <c r="J387" s="30" t="str">
        <f>IF(H387&gt;=G387,"Batal",0)</f>
        <v>Batal</v>
      </c>
      <c r="K387" s="25"/>
      <c r="L387" s="43"/>
    </row>
    <row r="388" spans="2:12" ht="30" x14ac:dyDescent="0.25">
      <c r="B388" s="91"/>
      <c r="C388" s="180"/>
      <c r="D388" s="99"/>
      <c r="E388" s="94"/>
      <c r="F388" s="25" t="s">
        <v>128</v>
      </c>
      <c r="G388" s="24">
        <v>0.6</v>
      </c>
      <c r="H388" s="33">
        <v>0.2</v>
      </c>
      <c r="I388" s="30" t="str">
        <f>IF(H388&lt;G388,"Sofa",0)</f>
        <v>Sofa</v>
      </c>
      <c r="J388" s="30">
        <f>IF(H388&gt;=G388,"Batal",0)</f>
        <v>0</v>
      </c>
      <c r="K388" s="25"/>
      <c r="L388" s="43"/>
    </row>
    <row r="389" spans="2:12" x14ac:dyDescent="0.25">
      <c r="B389" s="91"/>
      <c r="C389" s="180"/>
      <c r="D389" s="99"/>
      <c r="E389" s="97" t="s">
        <v>53</v>
      </c>
      <c r="F389" s="25" t="s">
        <v>44</v>
      </c>
      <c r="G389" s="23" t="s">
        <v>20</v>
      </c>
      <c r="H389" s="33" t="s">
        <v>21</v>
      </c>
      <c r="I389" s="25">
        <f>IF(H389=G389,"Sofa",0)</f>
        <v>0</v>
      </c>
      <c r="J389" s="25" t="str">
        <f>IF(H389=G389,0,"RTM01")</f>
        <v>RTM01</v>
      </c>
      <c r="K389" s="22"/>
      <c r="L389" s="43"/>
    </row>
    <row r="390" spans="2:12" ht="15.75" thickBot="1" x14ac:dyDescent="0.3">
      <c r="B390" s="91"/>
      <c r="C390" s="180"/>
      <c r="D390" s="100"/>
      <c r="E390" s="97"/>
      <c r="F390" s="25" t="s">
        <v>44</v>
      </c>
      <c r="G390" s="23" t="s">
        <v>20</v>
      </c>
      <c r="H390" s="33" t="s">
        <v>20</v>
      </c>
      <c r="I390" s="25" t="str">
        <f>IF(H390=G390,"Sofa",0)</f>
        <v>Sofa</v>
      </c>
      <c r="J390" s="25">
        <f>IF(H390=G390,0,"RTM01")</f>
        <v>0</v>
      </c>
      <c r="K390" s="22"/>
      <c r="L390" s="43"/>
    </row>
    <row r="391" spans="2:12" ht="30" x14ac:dyDescent="0.25">
      <c r="B391" s="91"/>
      <c r="C391" s="180"/>
      <c r="D391" s="90" t="s">
        <v>74</v>
      </c>
      <c r="E391" s="96" t="s">
        <v>29</v>
      </c>
      <c r="F391" s="55" t="s">
        <v>39</v>
      </c>
      <c r="G391" s="51">
        <v>150</v>
      </c>
      <c r="H391" s="70">
        <v>100</v>
      </c>
      <c r="I391" s="55">
        <f>IF(H391&gt;=G391,"Sofa",0)</f>
        <v>0</v>
      </c>
      <c r="J391" s="55" t="str">
        <f>IF(H391&lt;G391,"Saklar Lampu",0)</f>
        <v>Saklar Lampu</v>
      </c>
      <c r="K391" s="52"/>
      <c r="L391" s="57"/>
    </row>
    <row r="392" spans="2:12" x14ac:dyDescent="0.25">
      <c r="B392" s="91"/>
      <c r="C392" s="180"/>
      <c r="D392" s="91"/>
      <c r="E392" s="97"/>
      <c r="F392" s="25" t="s">
        <v>39</v>
      </c>
      <c r="G392" s="24">
        <v>150</v>
      </c>
      <c r="H392" s="33">
        <v>150</v>
      </c>
      <c r="I392" s="30" t="str">
        <f>IF(H392&gt;=G392,"Sofa",0)</f>
        <v>Sofa</v>
      </c>
      <c r="J392" s="25">
        <f>IF(H392&lt;G392,"Saklar Lampu",0)</f>
        <v>0</v>
      </c>
      <c r="K392" s="22"/>
      <c r="L392" s="43"/>
    </row>
    <row r="393" spans="2:12" ht="30" x14ac:dyDescent="0.25">
      <c r="B393" s="91"/>
      <c r="C393" s="180"/>
      <c r="D393" s="91"/>
      <c r="E393" s="95" t="s">
        <v>125</v>
      </c>
      <c r="F393" s="25" t="s">
        <v>128</v>
      </c>
      <c r="G393" s="24">
        <v>0.6</v>
      </c>
      <c r="H393" s="33">
        <v>1.2</v>
      </c>
      <c r="I393" s="30">
        <f>IF(H393&lt;G393,"Sofa",0)</f>
        <v>0</v>
      </c>
      <c r="J393" s="30" t="str">
        <f>IF(H393&gt;=G393,"Batal",0)</f>
        <v>Batal</v>
      </c>
      <c r="K393" s="25"/>
      <c r="L393" s="43"/>
    </row>
    <row r="394" spans="2:12" ht="30" x14ac:dyDescent="0.25">
      <c r="B394" s="91"/>
      <c r="C394" s="180"/>
      <c r="D394" s="91"/>
      <c r="E394" s="94"/>
      <c r="F394" s="25" t="s">
        <v>128</v>
      </c>
      <c r="G394" s="24">
        <v>0.6</v>
      </c>
      <c r="H394" s="33">
        <v>0.4</v>
      </c>
      <c r="I394" s="30" t="str">
        <f>IF(H394&lt;G394,"Sofa",0)</f>
        <v>Sofa</v>
      </c>
      <c r="J394" s="30">
        <f>IF(H394&gt;=G394,"Batal",0)</f>
        <v>0</v>
      </c>
      <c r="K394" s="25"/>
      <c r="L394" s="43"/>
    </row>
    <row r="395" spans="2:12" x14ac:dyDescent="0.25">
      <c r="B395" s="91"/>
      <c r="C395" s="180"/>
      <c r="D395" s="91"/>
      <c r="E395" s="97" t="s">
        <v>53</v>
      </c>
      <c r="F395" s="25" t="s">
        <v>44</v>
      </c>
      <c r="G395" s="23" t="s">
        <v>20</v>
      </c>
      <c r="H395" s="33" t="s">
        <v>21</v>
      </c>
      <c r="I395" s="25">
        <f>IF(H395=G395,"Sofa",0)</f>
        <v>0</v>
      </c>
      <c r="J395" s="25" t="str">
        <f>IF(H395=G395,0,"Batal")</f>
        <v>Batal</v>
      </c>
      <c r="K395" s="30"/>
      <c r="L395" s="60"/>
    </row>
    <row r="396" spans="2:12" ht="15.75" thickBot="1" x14ac:dyDescent="0.3">
      <c r="B396" s="105"/>
      <c r="C396" s="181"/>
      <c r="D396" s="105"/>
      <c r="E396" s="97"/>
      <c r="F396" s="25" t="s">
        <v>44</v>
      </c>
      <c r="G396" s="23" t="s">
        <v>20</v>
      </c>
      <c r="H396" s="33" t="s">
        <v>20</v>
      </c>
      <c r="I396" s="25" t="str">
        <f>IF(H396=G396,"Sofa",0)</f>
        <v>Sofa</v>
      </c>
      <c r="J396" s="25">
        <f>IF(H396=G396,0,"Batal")</f>
        <v>0</v>
      </c>
      <c r="K396" s="30"/>
      <c r="L396" s="60"/>
    </row>
    <row r="397" spans="2:12" ht="30" x14ac:dyDescent="0.25">
      <c r="B397" s="90">
        <v>50</v>
      </c>
      <c r="C397" s="133" t="s">
        <v>121</v>
      </c>
      <c r="D397" s="90" t="s">
        <v>42</v>
      </c>
      <c r="E397" s="96" t="s">
        <v>29</v>
      </c>
      <c r="F397" s="55" t="s">
        <v>39</v>
      </c>
      <c r="G397" s="51">
        <v>150</v>
      </c>
      <c r="H397" s="70">
        <v>100</v>
      </c>
      <c r="I397" s="55">
        <f>IF(H397&gt;=G397,"RKG01",0)</f>
        <v>0</v>
      </c>
      <c r="J397" s="55" t="str">
        <f>IF(H397&lt;G397,"Saklar Lampu",0)</f>
        <v>Saklar Lampu</v>
      </c>
      <c r="K397" s="52"/>
      <c r="L397" s="57"/>
    </row>
    <row r="398" spans="2:12" x14ac:dyDescent="0.25">
      <c r="B398" s="91"/>
      <c r="C398" s="134"/>
      <c r="D398" s="91"/>
      <c r="E398" s="97"/>
      <c r="F398" s="25" t="s">
        <v>39</v>
      </c>
      <c r="G398" s="24">
        <v>150</v>
      </c>
      <c r="H398" s="33">
        <v>150</v>
      </c>
      <c r="I398" s="25" t="str">
        <f>IF(H398&gt;=G398,"RKG01",0)</f>
        <v>RKG01</v>
      </c>
      <c r="J398" s="25">
        <f>IF(H398&lt;G398,"Saklar Lampu",0)</f>
        <v>0</v>
      </c>
      <c r="K398" s="22"/>
      <c r="L398" s="43"/>
    </row>
    <row r="399" spans="2:12" ht="30" x14ac:dyDescent="0.25">
      <c r="B399" s="91"/>
      <c r="C399" s="134"/>
      <c r="D399" s="91"/>
      <c r="E399" s="95" t="s">
        <v>125</v>
      </c>
      <c r="F399" s="25" t="s">
        <v>128</v>
      </c>
      <c r="G399" s="24">
        <v>0.4</v>
      </c>
      <c r="H399" s="33">
        <v>1</v>
      </c>
      <c r="I399" s="30">
        <f>IF(H399&lt;G399,"Sofa",0)</f>
        <v>0</v>
      </c>
      <c r="J399" s="30" t="str">
        <f>IF(H399&gt;=G399,"Batal",0)</f>
        <v>Batal</v>
      </c>
      <c r="K399" s="22"/>
      <c r="L399" s="43"/>
    </row>
    <row r="400" spans="2:12" ht="30" x14ac:dyDescent="0.25">
      <c r="B400" s="91"/>
      <c r="C400" s="134"/>
      <c r="D400" s="91"/>
      <c r="E400" s="94"/>
      <c r="F400" s="25" t="s">
        <v>128</v>
      </c>
      <c r="G400" s="24">
        <v>0.4</v>
      </c>
      <c r="H400" s="33">
        <v>0.2</v>
      </c>
      <c r="I400" s="25" t="str">
        <f>IF(H400&lt;G400,"Sofa",0)</f>
        <v>Sofa</v>
      </c>
      <c r="J400" s="25">
        <f>IF(H400&gt;=G400,"Batal",0)</f>
        <v>0</v>
      </c>
      <c r="K400" s="22"/>
      <c r="L400" s="43"/>
    </row>
    <row r="401" spans="2:12" x14ac:dyDescent="0.25">
      <c r="B401" s="91"/>
      <c r="C401" s="134"/>
      <c r="D401" s="91"/>
      <c r="E401" s="94" t="s">
        <v>53</v>
      </c>
      <c r="F401" s="25" t="s">
        <v>44</v>
      </c>
      <c r="G401" s="23" t="s">
        <v>20</v>
      </c>
      <c r="H401" s="33" t="s">
        <v>21</v>
      </c>
      <c r="I401" s="25">
        <f>IF(H401=G401,"Sofa",0)</f>
        <v>0</v>
      </c>
      <c r="J401" s="25" t="str">
        <f>IF(H401=G401,0,"RTU01")</f>
        <v>RTU01</v>
      </c>
      <c r="K401" s="22"/>
      <c r="L401" s="43"/>
    </row>
    <row r="402" spans="2:12" x14ac:dyDescent="0.25">
      <c r="B402" s="91"/>
      <c r="C402" s="134"/>
      <c r="D402" s="91"/>
      <c r="E402" s="97"/>
      <c r="F402" s="25" t="s">
        <v>44</v>
      </c>
      <c r="G402" s="23" t="s">
        <v>20</v>
      </c>
      <c r="H402" s="33" t="s">
        <v>20</v>
      </c>
      <c r="I402" s="25" t="str">
        <f>IF(H402=G402,"Sofa",0)</f>
        <v>Sofa</v>
      </c>
      <c r="J402" s="25">
        <f>IF(H402=G402,0,"RTU01")</f>
        <v>0</v>
      </c>
      <c r="K402" s="22"/>
      <c r="L402" s="43"/>
    </row>
    <row r="403" spans="2:12" ht="30" x14ac:dyDescent="0.25">
      <c r="B403" s="91"/>
      <c r="C403" s="134"/>
      <c r="D403" s="91"/>
      <c r="E403" s="95" t="s">
        <v>145</v>
      </c>
      <c r="F403" s="25" t="s">
        <v>146</v>
      </c>
      <c r="G403" s="23">
        <v>25</v>
      </c>
      <c r="H403" s="33">
        <v>28</v>
      </c>
      <c r="I403" s="25">
        <f>IF(H403&gt;G403,0,"Sofa")</f>
        <v>0</v>
      </c>
      <c r="J403" s="25" t="str">
        <f>IF(H403&gt;G403,"Kipas angin",0)</f>
        <v>Kipas angin</v>
      </c>
      <c r="K403" s="22"/>
      <c r="L403" s="81"/>
    </row>
    <row r="404" spans="2:12" ht="30" x14ac:dyDescent="0.25">
      <c r="B404" s="91"/>
      <c r="C404" s="134"/>
      <c r="D404" s="91"/>
      <c r="E404" s="94"/>
      <c r="F404" s="25" t="s">
        <v>146</v>
      </c>
      <c r="G404" s="23">
        <v>25</v>
      </c>
      <c r="H404" s="33">
        <v>24</v>
      </c>
      <c r="I404" s="25" t="str">
        <f>IF(H404&gt;G404,0,"Sofa")</f>
        <v>Sofa</v>
      </c>
      <c r="J404" s="25">
        <f>IF(H404&gt;G404,"Kipas angin",0)</f>
        <v>0</v>
      </c>
      <c r="K404" s="22"/>
      <c r="L404" s="81"/>
    </row>
    <row r="405" spans="2:12" ht="30" x14ac:dyDescent="0.25">
      <c r="B405" s="91"/>
      <c r="C405" s="134"/>
      <c r="D405" s="91"/>
      <c r="E405" s="94" t="s">
        <v>53</v>
      </c>
      <c r="F405" s="25" t="s">
        <v>144</v>
      </c>
      <c r="G405" s="23" t="s">
        <v>135</v>
      </c>
      <c r="H405" s="53" t="s">
        <v>136</v>
      </c>
      <c r="I405" s="30">
        <f>IF(H405=G405,"Sofa",0)</f>
        <v>0</v>
      </c>
      <c r="J405" s="25" t="str">
        <f>IF(H405=G405,0,"RTU01")</f>
        <v>RTU01</v>
      </c>
      <c r="K405" s="22"/>
      <c r="L405" s="81"/>
    </row>
    <row r="406" spans="2:12" ht="30.75" thickBot="1" x14ac:dyDescent="0.3">
      <c r="B406" s="91"/>
      <c r="C406" s="134"/>
      <c r="D406" s="105"/>
      <c r="E406" s="182"/>
      <c r="F406" s="83" t="s">
        <v>144</v>
      </c>
      <c r="G406" s="41" t="s">
        <v>135</v>
      </c>
      <c r="H406" s="54" t="s">
        <v>135</v>
      </c>
      <c r="I406" s="42" t="str">
        <f>IF(H406=G406,"Sofa",0)</f>
        <v>Sofa</v>
      </c>
      <c r="J406" s="42">
        <f>IF(H406=G406,0,"RTU01")</f>
        <v>0</v>
      </c>
      <c r="K406" s="40" t="s">
        <v>42</v>
      </c>
      <c r="L406" s="63"/>
    </row>
    <row r="407" spans="2:12" x14ac:dyDescent="0.25">
      <c r="B407" s="91"/>
      <c r="C407" s="134"/>
      <c r="D407" s="90" t="s">
        <v>57</v>
      </c>
      <c r="E407" s="97" t="s">
        <v>53</v>
      </c>
      <c r="F407" s="25" t="s">
        <v>15</v>
      </c>
      <c r="G407" s="23" t="s">
        <v>16</v>
      </c>
      <c r="H407" s="33" t="s">
        <v>61</v>
      </c>
      <c r="I407" s="25">
        <f>IF(H407=G407,"RTU01",0)</f>
        <v>0</v>
      </c>
      <c r="J407" s="25" t="str">
        <f>IF(H407=G407,0,"Batal")</f>
        <v>Batal</v>
      </c>
      <c r="K407" s="25"/>
      <c r="L407" s="43"/>
    </row>
    <row r="408" spans="2:12" x14ac:dyDescent="0.25">
      <c r="B408" s="91"/>
      <c r="C408" s="134"/>
      <c r="D408" s="91"/>
      <c r="E408" s="97"/>
      <c r="F408" s="25" t="s">
        <v>15</v>
      </c>
      <c r="G408" s="23" t="s">
        <v>16</v>
      </c>
      <c r="H408" s="33" t="s">
        <v>16</v>
      </c>
      <c r="I408" s="25" t="str">
        <f>IF(H408=G408,"RTU01",0)</f>
        <v>RTU01</v>
      </c>
      <c r="J408" s="25">
        <f>IF(H408=G408,0,"Batal")</f>
        <v>0</v>
      </c>
      <c r="K408" s="25"/>
      <c r="L408" s="43"/>
    </row>
    <row r="409" spans="2:12" ht="30" x14ac:dyDescent="0.25">
      <c r="B409" s="91"/>
      <c r="C409" s="134"/>
      <c r="D409" s="91"/>
      <c r="E409" s="94" t="s">
        <v>29</v>
      </c>
      <c r="F409" s="30" t="s">
        <v>39</v>
      </c>
      <c r="G409" s="39">
        <v>150</v>
      </c>
      <c r="H409" s="53">
        <v>100</v>
      </c>
      <c r="I409" s="30">
        <f>IF(H409&gt;=G409,"RTU01",0)</f>
        <v>0</v>
      </c>
      <c r="J409" s="30" t="str">
        <f>IF(H409&lt;G409,"Saklar Lampu",0)</f>
        <v>Saklar Lampu</v>
      </c>
      <c r="K409" s="35"/>
      <c r="L409" s="60"/>
    </row>
    <row r="410" spans="2:12" x14ac:dyDescent="0.25">
      <c r="B410" s="91"/>
      <c r="C410" s="134"/>
      <c r="D410" s="91"/>
      <c r="E410" s="97"/>
      <c r="F410" s="25" t="s">
        <v>39</v>
      </c>
      <c r="G410" s="24">
        <v>150</v>
      </c>
      <c r="H410" s="33">
        <v>150</v>
      </c>
      <c r="I410" s="30" t="str">
        <f>IF(H410&gt;=G410,"RTU01",0)</f>
        <v>RTU01</v>
      </c>
      <c r="J410" s="25">
        <f>IF(H410&lt;G410,"Saklar Lampu",0)</f>
        <v>0</v>
      </c>
      <c r="K410" s="22"/>
      <c r="L410" s="43"/>
    </row>
    <row r="411" spans="2:12" ht="30" x14ac:dyDescent="0.25">
      <c r="B411" s="91"/>
      <c r="C411" s="134"/>
      <c r="D411" s="91"/>
      <c r="E411" s="95" t="s">
        <v>125</v>
      </c>
      <c r="F411" s="25" t="s">
        <v>128</v>
      </c>
      <c r="G411" s="24">
        <v>0.4</v>
      </c>
      <c r="H411" s="33">
        <v>1</v>
      </c>
      <c r="I411" s="30">
        <f>IF(H411&lt;G411,"Tempat tidur",0)</f>
        <v>0</v>
      </c>
      <c r="J411" s="30" t="str">
        <f>IF(H411&gt;=G411,"Batal",0)</f>
        <v>Batal</v>
      </c>
      <c r="K411" s="22"/>
      <c r="L411" s="43"/>
    </row>
    <row r="412" spans="2:12" ht="30" x14ac:dyDescent="0.25">
      <c r="B412" s="91"/>
      <c r="C412" s="134"/>
      <c r="D412" s="91"/>
      <c r="E412" s="94"/>
      <c r="F412" s="25" t="s">
        <v>128</v>
      </c>
      <c r="G412" s="24">
        <v>0.4</v>
      </c>
      <c r="H412" s="33">
        <v>0.2</v>
      </c>
      <c r="I412" s="30" t="str">
        <f>IF(H412&lt;G412,"Tempat tidur",0)</f>
        <v>Tempat tidur</v>
      </c>
      <c r="J412" s="25">
        <f>IF(H412&gt;=G412,"Batal",0)</f>
        <v>0</v>
      </c>
      <c r="K412" s="22"/>
      <c r="L412" s="43"/>
    </row>
    <row r="413" spans="2:12" ht="30" x14ac:dyDescent="0.25">
      <c r="B413" s="91"/>
      <c r="C413" s="134"/>
      <c r="D413" s="91"/>
      <c r="E413" s="97" t="s">
        <v>53</v>
      </c>
      <c r="F413" s="25" t="s">
        <v>58</v>
      </c>
      <c r="G413" s="23" t="s">
        <v>20</v>
      </c>
      <c r="H413" s="33" t="s">
        <v>21</v>
      </c>
      <c r="I413" s="25">
        <f>IF(H413=G413,"Tempat tidur",0)</f>
        <v>0</v>
      </c>
      <c r="J413" s="25" t="str">
        <f>IF(H413=G413,0,"Batal")</f>
        <v>Batal</v>
      </c>
      <c r="K413" s="22"/>
      <c r="L413" s="43"/>
    </row>
    <row r="414" spans="2:12" ht="30" x14ac:dyDescent="0.25">
      <c r="B414" s="91"/>
      <c r="C414" s="134"/>
      <c r="D414" s="91"/>
      <c r="E414" s="97"/>
      <c r="F414" s="25" t="s">
        <v>58</v>
      </c>
      <c r="G414" s="23" t="s">
        <v>20</v>
      </c>
      <c r="H414" s="33" t="s">
        <v>20</v>
      </c>
      <c r="I414" s="25" t="str">
        <f>IF(H414=G414,"Tempat tidur",0)</f>
        <v>Tempat tidur</v>
      </c>
      <c r="J414" s="25">
        <f>IF(H414=G414,0,"Batal")</f>
        <v>0</v>
      </c>
      <c r="K414" s="22"/>
      <c r="L414" s="43"/>
    </row>
    <row r="415" spans="2:12" ht="30" x14ac:dyDescent="0.25">
      <c r="B415" s="91"/>
      <c r="C415" s="134"/>
      <c r="D415" s="91"/>
      <c r="E415" s="103" t="s">
        <v>145</v>
      </c>
      <c r="F415" s="30" t="s">
        <v>146</v>
      </c>
      <c r="G415" s="38">
        <v>25</v>
      </c>
      <c r="H415" s="53">
        <v>28</v>
      </c>
      <c r="I415" s="30">
        <f>IF(H415&gt;G415,0,"Tempat tidur")</f>
        <v>0</v>
      </c>
      <c r="J415" s="30" t="str">
        <f>IF(H415&gt;G415,"AC",0)</f>
        <v>AC</v>
      </c>
      <c r="K415" s="35"/>
      <c r="L415" s="43"/>
    </row>
    <row r="416" spans="2:12" ht="30" x14ac:dyDescent="0.25">
      <c r="B416" s="91"/>
      <c r="C416" s="134"/>
      <c r="D416" s="91"/>
      <c r="E416" s="94"/>
      <c r="F416" s="25" t="s">
        <v>146</v>
      </c>
      <c r="G416" s="23">
        <v>25</v>
      </c>
      <c r="H416" s="33">
        <v>24</v>
      </c>
      <c r="I416" s="25" t="str">
        <f>IF(H416&gt;G416,0,"Tempat tidur")</f>
        <v>Tempat tidur</v>
      </c>
      <c r="J416" s="30">
        <f>IF(H416&gt;G416,"AC",0)</f>
        <v>0</v>
      </c>
      <c r="K416" s="22"/>
      <c r="L416" s="43"/>
    </row>
    <row r="417" spans="2:12" ht="30" x14ac:dyDescent="0.25">
      <c r="B417" s="91"/>
      <c r="C417" s="134"/>
      <c r="D417" s="91"/>
      <c r="E417" s="97" t="s">
        <v>53</v>
      </c>
      <c r="F417" s="25" t="s">
        <v>147</v>
      </c>
      <c r="G417" s="23" t="s">
        <v>135</v>
      </c>
      <c r="H417" s="33" t="s">
        <v>136</v>
      </c>
      <c r="I417" s="25">
        <f>IF(H417=G417,"Tempat tidur",0)</f>
        <v>0</v>
      </c>
      <c r="J417" s="25" t="str">
        <f>IF(H417=G417,0,"Batal")</f>
        <v>Batal</v>
      </c>
      <c r="K417" s="22"/>
      <c r="L417" s="43"/>
    </row>
    <row r="418" spans="2:12" ht="30.75" thickBot="1" x14ac:dyDescent="0.3">
      <c r="B418" s="91"/>
      <c r="C418" s="134"/>
      <c r="D418" s="91"/>
      <c r="E418" s="95"/>
      <c r="F418" s="29" t="s">
        <v>147</v>
      </c>
      <c r="G418" s="56" t="s">
        <v>135</v>
      </c>
      <c r="H418" s="64" t="s">
        <v>135</v>
      </c>
      <c r="I418" s="29" t="str">
        <f>IF(H418=G418,"Tempat tidur",0)</f>
        <v>Tempat tidur</v>
      </c>
      <c r="J418" s="29">
        <f>IF(H418=G418,0,"Batal")</f>
        <v>0</v>
      </c>
      <c r="K418" s="34" t="s">
        <v>57</v>
      </c>
      <c r="L418" s="67"/>
    </row>
    <row r="419" spans="2:12" ht="30" x14ac:dyDescent="0.25">
      <c r="B419" s="90">
        <v>51</v>
      </c>
      <c r="C419" s="92" t="s">
        <v>120</v>
      </c>
      <c r="D419" s="90" t="s">
        <v>28</v>
      </c>
      <c r="E419" s="96" t="s">
        <v>29</v>
      </c>
      <c r="F419" s="55" t="s">
        <v>39</v>
      </c>
      <c r="G419" s="51">
        <v>150</v>
      </c>
      <c r="H419" s="70">
        <v>100</v>
      </c>
      <c r="I419" s="55">
        <f>IF(H419&gt;=G419,"RMK01",0)</f>
        <v>0</v>
      </c>
      <c r="J419" s="55" t="str">
        <f>IF(H419&lt;G419,"Saklar Lampu",0)</f>
        <v>Saklar Lampu</v>
      </c>
      <c r="K419" s="50"/>
      <c r="L419" s="57"/>
    </row>
    <row r="420" spans="2:12" x14ac:dyDescent="0.25">
      <c r="B420" s="91"/>
      <c r="C420" s="93"/>
      <c r="D420" s="91"/>
      <c r="E420" s="97"/>
      <c r="F420" s="25" t="s">
        <v>39</v>
      </c>
      <c r="G420" s="24">
        <v>150</v>
      </c>
      <c r="H420" s="33">
        <v>150</v>
      </c>
      <c r="I420" s="25" t="str">
        <f>IF(H420&gt;=G420,"RMK01",0)</f>
        <v>RMK01</v>
      </c>
      <c r="J420" s="25">
        <f>IF(H420&lt;G420,"Saklar Lampu",0)</f>
        <v>0</v>
      </c>
      <c r="K420" s="23"/>
      <c r="L420" s="43"/>
    </row>
    <row r="421" spans="2:12" ht="30" x14ac:dyDescent="0.25">
      <c r="B421" s="91"/>
      <c r="C421" s="93"/>
      <c r="D421" s="91"/>
      <c r="E421" s="97" t="s">
        <v>125</v>
      </c>
      <c r="F421" s="25" t="s">
        <v>128</v>
      </c>
      <c r="G421" s="24">
        <v>1</v>
      </c>
      <c r="H421" s="33">
        <v>1</v>
      </c>
      <c r="I421" s="25">
        <f>IF(H421&lt;G421,"Dispenser",0)</f>
        <v>0</v>
      </c>
      <c r="J421" s="25" t="str">
        <f>IF(H421&gt;=G421,"Batal",0)</f>
        <v>Batal</v>
      </c>
      <c r="K421" s="23"/>
      <c r="L421" s="43"/>
    </row>
    <row r="422" spans="2:12" ht="30" x14ac:dyDescent="0.25">
      <c r="B422" s="91"/>
      <c r="C422" s="93"/>
      <c r="D422" s="91"/>
      <c r="E422" s="97"/>
      <c r="F422" s="25" t="s">
        <v>128</v>
      </c>
      <c r="G422" s="24">
        <v>1</v>
      </c>
      <c r="H422" s="33">
        <v>0.2</v>
      </c>
      <c r="I422" s="25" t="str">
        <f>IF(H422&lt;G422,"Dispenser",0)</f>
        <v>Dispenser</v>
      </c>
      <c r="J422" s="25">
        <f>IF(H422&gt;=G422,"Batal",0)</f>
        <v>0</v>
      </c>
      <c r="K422" s="23"/>
      <c r="L422" s="43"/>
    </row>
    <row r="423" spans="2:12" ht="30" x14ac:dyDescent="0.25">
      <c r="B423" s="91"/>
      <c r="C423" s="93"/>
      <c r="D423" s="91"/>
      <c r="E423" s="97" t="s">
        <v>53</v>
      </c>
      <c r="F423" s="25" t="s">
        <v>52</v>
      </c>
      <c r="G423" s="23" t="s">
        <v>135</v>
      </c>
      <c r="H423" s="33" t="s">
        <v>136</v>
      </c>
      <c r="I423" s="25">
        <f>IF(H423=G423,"RMK01",0)</f>
        <v>0</v>
      </c>
      <c r="J423" s="25" t="str">
        <f>IF(H423=G423,0,"Batal")</f>
        <v>Batal</v>
      </c>
      <c r="K423" s="22"/>
      <c r="L423" s="43"/>
    </row>
    <row r="424" spans="2:12" ht="15.75" thickBot="1" x14ac:dyDescent="0.3">
      <c r="B424" s="105"/>
      <c r="C424" s="104"/>
      <c r="D424" s="105"/>
      <c r="E424" s="182"/>
      <c r="F424" s="42" t="s">
        <v>52</v>
      </c>
      <c r="G424" s="41" t="s">
        <v>135</v>
      </c>
      <c r="H424" s="54" t="s">
        <v>135</v>
      </c>
      <c r="I424" s="42" t="str">
        <f>IF(H424=G424,"RMK01",0)</f>
        <v>RMK01</v>
      </c>
      <c r="J424" s="42">
        <f>IF(H424=G424,0,"Batal")</f>
        <v>0</v>
      </c>
      <c r="K424" s="40" t="s">
        <v>28</v>
      </c>
      <c r="L424" s="44"/>
    </row>
  </sheetData>
  <mergeCells count="394">
    <mergeCell ref="E367:E368"/>
    <mergeCell ref="E365:E366"/>
    <mergeCell ref="E355:E356"/>
    <mergeCell ref="E359:E360"/>
    <mergeCell ref="E357:E358"/>
    <mergeCell ref="E353:E354"/>
    <mergeCell ref="D349:D360"/>
    <mergeCell ref="D233:D240"/>
    <mergeCell ref="C233:C240"/>
    <mergeCell ref="E243:E244"/>
    <mergeCell ref="C323:C330"/>
    <mergeCell ref="D323:D330"/>
    <mergeCell ref="E323:E324"/>
    <mergeCell ref="E325:E326"/>
    <mergeCell ref="E327:E328"/>
    <mergeCell ref="E329:E330"/>
    <mergeCell ref="E309:E310"/>
    <mergeCell ref="E311:E312"/>
    <mergeCell ref="E333:E334"/>
    <mergeCell ref="E337:E338"/>
    <mergeCell ref="E347:E348"/>
    <mergeCell ref="E341:E342"/>
    <mergeCell ref="D103:D116"/>
    <mergeCell ref="E125:E126"/>
    <mergeCell ref="D117:D126"/>
    <mergeCell ref="C103:C126"/>
    <mergeCell ref="B103:B126"/>
    <mergeCell ref="E227:E228"/>
    <mergeCell ref="D225:D232"/>
    <mergeCell ref="C225:C232"/>
    <mergeCell ref="B225:B232"/>
    <mergeCell ref="E229:E232"/>
    <mergeCell ref="E423:E424"/>
    <mergeCell ref="E421:E422"/>
    <mergeCell ref="E419:E420"/>
    <mergeCell ref="E405:E406"/>
    <mergeCell ref="E409:E410"/>
    <mergeCell ref="E417:E418"/>
    <mergeCell ref="C419:C424"/>
    <mergeCell ref="B419:B424"/>
    <mergeCell ref="D419:D424"/>
    <mergeCell ref="B371:B384"/>
    <mergeCell ref="E387:E388"/>
    <mergeCell ref="E393:E394"/>
    <mergeCell ref="D391:D396"/>
    <mergeCell ref="C385:C396"/>
    <mergeCell ref="B385:B396"/>
    <mergeCell ref="E399:E400"/>
    <mergeCell ref="E397:E398"/>
    <mergeCell ref="C397:C418"/>
    <mergeCell ref="B397:B418"/>
    <mergeCell ref="E395:E396"/>
    <mergeCell ref="E391:E392"/>
    <mergeCell ref="E403:E404"/>
    <mergeCell ref="D397:D406"/>
    <mergeCell ref="E411:E412"/>
    <mergeCell ref="E413:E414"/>
    <mergeCell ref="E415:E416"/>
    <mergeCell ref="E407:E408"/>
    <mergeCell ref="D407:D418"/>
    <mergeCell ref="E401:E402"/>
    <mergeCell ref="B331:B334"/>
    <mergeCell ref="C331:C334"/>
    <mergeCell ref="D331:D334"/>
    <mergeCell ref="B335:B338"/>
    <mergeCell ref="C335:C338"/>
    <mergeCell ref="D335:D338"/>
    <mergeCell ref="B323:B330"/>
    <mergeCell ref="E179:E180"/>
    <mergeCell ref="E221:E222"/>
    <mergeCell ref="E249:E250"/>
    <mergeCell ref="E259:E260"/>
    <mergeCell ref="E257:E258"/>
    <mergeCell ref="E265:E266"/>
    <mergeCell ref="E267:E268"/>
    <mergeCell ref="E273:E274"/>
    <mergeCell ref="E275:E276"/>
    <mergeCell ref="D207:D210"/>
    <mergeCell ref="E207:E208"/>
    <mergeCell ref="E209:E210"/>
    <mergeCell ref="B203:B206"/>
    <mergeCell ref="C203:C206"/>
    <mergeCell ref="D203:D206"/>
    <mergeCell ref="E203:E204"/>
    <mergeCell ref="B183:B186"/>
    <mergeCell ref="E139:E140"/>
    <mergeCell ref="E145:E146"/>
    <mergeCell ref="E149:E150"/>
    <mergeCell ref="E155:E156"/>
    <mergeCell ref="E119:E120"/>
    <mergeCell ref="L101:L102"/>
    <mergeCell ref="L85:L86"/>
    <mergeCell ref="L77:L78"/>
    <mergeCell ref="E107:E112"/>
    <mergeCell ref="L121:L122"/>
    <mergeCell ref="E103:E104"/>
    <mergeCell ref="E113:E114"/>
    <mergeCell ref="E117:E118"/>
    <mergeCell ref="E121:E124"/>
    <mergeCell ref="E95:E96"/>
    <mergeCell ref="E99:E100"/>
    <mergeCell ref="E101:E102"/>
    <mergeCell ref="E87:E88"/>
    <mergeCell ref="E115:E116"/>
    <mergeCell ref="E19:E24"/>
    <mergeCell ref="E131:E132"/>
    <mergeCell ref="E81:E82"/>
    <mergeCell ref="E91:E92"/>
    <mergeCell ref="E93:E94"/>
    <mergeCell ref="C87:C94"/>
    <mergeCell ref="D87:D94"/>
    <mergeCell ref="B87:B94"/>
    <mergeCell ref="E89:E90"/>
    <mergeCell ref="E97:E98"/>
    <mergeCell ref="E105:E106"/>
    <mergeCell ref="B127:B132"/>
    <mergeCell ref="C127:C132"/>
    <mergeCell ref="D127:D132"/>
    <mergeCell ref="E127:E128"/>
    <mergeCell ref="E129:E130"/>
    <mergeCell ref="B79:B86"/>
    <mergeCell ref="C79:C86"/>
    <mergeCell ref="D79:D86"/>
    <mergeCell ref="E79:E80"/>
    <mergeCell ref="E83:E84"/>
    <mergeCell ref="E85:E86"/>
    <mergeCell ref="B95:B102"/>
    <mergeCell ref="D95:D102"/>
    <mergeCell ref="B2:H2"/>
    <mergeCell ref="I2:Q2"/>
    <mergeCell ref="R2:AA2"/>
    <mergeCell ref="AB2:AD3"/>
    <mergeCell ref="AE2:AE4"/>
    <mergeCell ref="B3:B4"/>
    <mergeCell ref="C3:C4"/>
    <mergeCell ref="E3:F3"/>
    <mergeCell ref="H3:H4"/>
    <mergeCell ref="R3:R4"/>
    <mergeCell ref="S3:S4"/>
    <mergeCell ref="T3:T4"/>
    <mergeCell ref="U3:V3"/>
    <mergeCell ref="X3:Y3"/>
    <mergeCell ref="AA3:AA4"/>
    <mergeCell ref="I3:I4"/>
    <mergeCell ref="J3:L3"/>
    <mergeCell ref="N3:O3"/>
    <mergeCell ref="Q3:Q4"/>
    <mergeCell ref="B8:H8"/>
    <mergeCell ref="I8:Q8"/>
    <mergeCell ref="R8:AA8"/>
    <mergeCell ref="AB8:AD9"/>
    <mergeCell ref="AE8:AE10"/>
    <mergeCell ref="B9:B10"/>
    <mergeCell ref="C9:C10"/>
    <mergeCell ref="E9:F9"/>
    <mergeCell ref="H9:H10"/>
    <mergeCell ref="R9:R10"/>
    <mergeCell ref="S9:S10"/>
    <mergeCell ref="T9:T10"/>
    <mergeCell ref="U9:V9"/>
    <mergeCell ref="X9:Y9"/>
    <mergeCell ref="AA9:AA10"/>
    <mergeCell ref="I9:I10"/>
    <mergeCell ref="J9:L9"/>
    <mergeCell ref="N9:O9"/>
    <mergeCell ref="Q9:Q10"/>
    <mergeCell ref="L69:L70"/>
    <mergeCell ref="C39:C54"/>
    <mergeCell ref="B39:B54"/>
    <mergeCell ref="D39:D48"/>
    <mergeCell ref="D49:D54"/>
    <mergeCell ref="E53:E54"/>
    <mergeCell ref="E43:E46"/>
    <mergeCell ref="E49:E50"/>
    <mergeCell ref="E25:E26"/>
    <mergeCell ref="E47:E48"/>
    <mergeCell ref="E39:E40"/>
    <mergeCell ref="E33:E36"/>
    <mergeCell ref="E29:E30"/>
    <mergeCell ref="E31:E32"/>
    <mergeCell ref="L33:L34"/>
    <mergeCell ref="E27:E28"/>
    <mergeCell ref="D15:D28"/>
    <mergeCell ref="E37:E38"/>
    <mergeCell ref="D29:D38"/>
    <mergeCell ref="C15:C38"/>
    <mergeCell ref="B15:B38"/>
    <mergeCell ref="E59:E60"/>
    <mergeCell ref="E15:E16"/>
    <mergeCell ref="E41:E42"/>
    <mergeCell ref="E51:E52"/>
    <mergeCell ref="B63:B70"/>
    <mergeCell ref="C63:C70"/>
    <mergeCell ref="D63:D70"/>
    <mergeCell ref="B71:B78"/>
    <mergeCell ref="C71:C78"/>
    <mergeCell ref="D71:D78"/>
    <mergeCell ref="E71:E72"/>
    <mergeCell ref="D55:D62"/>
    <mergeCell ref="C55:C62"/>
    <mergeCell ref="B55:B62"/>
    <mergeCell ref="E55:E56"/>
    <mergeCell ref="E61:E62"/>
    <mergeCell ref="E63:E64"/>
    <mergeCell ref="E67:E68"/>
    <mergeCell ref="E69:E70"/>
    <mergeCell ref="E57:E58"/>
    <mergeCell ref="E65:E66"/>
    <mergeCell ref="E73:E74"/>
    <mergeCell ref="E75:E76"/>
    <mergeCell ref="E77:E78"/>
    <mergeCell ref="E17:E18"/>
    <mergeCell ref="B137:B140"/>
    <mergeCell ref="C137:C140"/>
    <mergeCell ref="D137:D140"/>
    <mergeCell ref="E137:E138"/>
    <mergeCell ref="B133:B136"/>
    <mergeCell ref="C133:C136"/>
    <mergeCell ref="D133:D136"/>
    <mergeCell ref="E133:E134"/>
    <mergeCell ref="E163:E164"/>
    <mergeCell ref="B147:B150"/>
    <mergeCell ref="C147:C150"/>
    <mergeCell ref="D147:D150"/>
    <mergeCell ref="E147:E148"/>
    <mergeCell ref="B141:B146"/>
    <mergeCell ref="C141:C146"/>
    <mergeCell ref="D141:D146"/>
    <mergeCell ref="E141:E142"/>
    <mergeCell ref="E143:E144"/>
    <mergeCell ref="C157:C162"/>
    <mergeCell ref="D157:D162"/>
    <mergeCell ref="E157:E158"/>
    <mergeCell ref="E159:E160"/>
    <mergeCell ref="E161:E162"/>
    <mergeCell ref="E135:E136"/>
    <mergeCell ref="E165:E166"/>
    <mergeCell ref="E167:E168"/>
    <mergeCell ref="B163:B168"/>
    <mergeCell ref="C163:C168"/>
    <mergeCell ref="D163:D168"/>
    <mergeCell ref="B169:B172"/>
    <mergeCell ref="C169:C172"/>
    <mergeCell ref="D169:D172"/>
    <mergeCell ref="E169:E170"/>
    <mergeCell ref="E171:E172"/>
    <mergeCell ref="C183:C186"/>
    <mergeCell ref="D183:D186"/>
    <mergeCell ref="E183:E184"/>
    <mergeCell ref="E185:E186"/>
    <mergeCell ref="B151:B156"/>
    <mergeCell ref="D151:D156"/>
    <mergeCell ref="E151:E152"/>
    <mergeCell ref="E153:E154"/>
    <mergeCell ref="B211:B214"/>
    <mergeCell ref="C211:C214"/>
    <mergeCell ref="D211:D214"/>
    <mergeCell ref="E211:E212"/>
    <mergeCell ref="E213:E214"/>
    <mergeCell ref="B195:B198"/>
    <mergeCell ref="C195:C198"/>
    <mergeCell ref="D195:D198"/>
    <mergeCell ref="E195:E196"/>
    <mergeCell ref="B199:B202"/>
    <mergeCell ref="C199:C202"/>
    <mergeCell ref="D199:D202"/>
    <mergeCell ref="E199:E200"/>
    <mergeCell ref="E201:E202"/>
    <mergeCell ref="C151:C156"/>
    <mergeCell ref="B157:B162"/>
    <mergeCell ref="E197:E198"/>
    <mergeCell ref="B187:B190"/>
    <mergeCell ref="C187:C190"/>
    <mergeCell ref="D187:D190"/>
    <mergeCell ref="E187:E188"/>
    <mergeCell ref="E189:E190"/>
    <mergeCell ref="B191:B194"/>
    <mergeCell ref="C191:C194"/>
    <mergeCell ref="D191:D194"/>
    <mergeCell ref="E191:E192"/>
    <mergeCell ref="E193:E194"/>
    <mergeCell ref="B173:B176"/>
    <mergeCell ref="C173:C176"/>
    <mergeCell ref="D173:D176"/>
    <mergeCell ref="E173:E174"/>
    <mergeCell ref="B177:B182"/>
    <mergeCell ref="C177:C182"/>
    <mergeCell ref="D177:D182"/>
    <mergeCell ref="E177:E178"/>
    <mergeCell ref="E181:E182"/>
    <mergeCell ref="E175:E176"/>
    <mergeCell ref="E205:E206"/>
    <mergeCell ref="E225:E226"/>
    <mergeCell ref="B233:B238"/>
    <mergeCell ref="E233:E234"/>
    <mergeCell ref="B219:B224"/>
    <mergeCell ref="C219:C224"/>
    <mergeCell ref="D219:D224"/>
    <mergeCell ref="E219:E220"/>
    <mergeCell ref="E223:E224"/>
    <mergeCell ref="B215:B218"/>
    <mergeCell ref="C215:C218"/>
    <mergeCell ref="D215:D218"/>
    <mergeCell ref="E215:E216"/>
    <mergeCell ref="E217:E218"/>
    <mergeCell ref="B207:B210"/>
    <mergeCell ref="C207:C210"/>
    <mergeCell ref="E235:E236"/>
    <mergeCell ref="E237:E240"/>
    <mergeCell ref="B255:B262"/>
    <mergeCell ref="C255:C262"/>
    <mergeCell ref="D255:D262"/>
    <mergeCell ref="E255:E256"/>
    <mergeCell ref="E261:E262"/>
    <mergeCell ref="E245:E246"/>
    <mergeCell ref="B241:B246"/>
    <mergeCell ref="C241:C246"/>
    <mergeCell ref="D241:D246"/>
    <mergeCell ref="E247:E248"/>
    <mergeCell ref="E253:E254"/>
    <mergeCell ref="E241:E242"/>
    <mergeCell ref="E251:E252"/>
    <mergeCell ref="D247:D254"/>
    <mergeCell ref="C247:C254"/>
    <mergeCell ref="B247:B254"/>
    <mergeCell ref="B299:B306"/>
    <mergeCell ref="C299:C306"/>
    <mergeCell ref="D299:D306"/>
    <mergeCell ref="E299:E300"/>
    <mergeCell ref="E305:E306"/>
    <mergeCell ref="E293:E294"/>
    <mergeCell ref="E295:E296"/>
    <mergeCell ref="E303:E304"/>
    <mergeCell ref="E301:E302"/>
    <mergeCell ref="E271:E272"/>
    <mergeCell ref="E277:E280"/>
    <mergeCell ref="D271:D280"/>
    <mergeCell ref="C271:C280"/>
    <mergeCell ref="B271:B280"/>
    <mergeCell ref="E283:E284"/>
    <mergeCell ref="E285:E288"/>
    <mergeCell ref="B291:B298"/>
    <mergeCell ref="C291:C298"/>
    <mergeCell ref="D291:D298"/>
    <mergeCell ref="E291:E292"/>
    <mergeCell ref="E297:E298"/>
    <mergeCell ref="C95:C102"/>
    <mergeCell ref="E331:E332"/>
    <mergeCell ref="B315:B322"/>
    <mergeCell ref="C315:C322"/>
    <mergeCell ref="D315:D322"/>
    <mergeCell ref="E315:E316"/>
    <mergeCell ref="E319:E320"/>
    <mergeCell ref="E321:E322"/>
    <mergeCell ref="E317:E318"/>
    <mergeCell ref="B307:B314"/>
    <mergeCell ref="C307:C314"/>
    <mergeCell ref="D307:D314"/>
    <mergeCell ref="E307:E308"/>
    <mergeCell ref="E313:E314"/>
    <mergeCell ref="B281:B290"/>
    <mergeCell ref="C281:C290"/>
    <mergeCell ref="D281:D290"/>
    <mergeCell ref="E281:E282"/>
    <mergeCell ref="E289:E290"/>
    <mergeCell ref="E263:E264"/>
    <mergeCell ref="B263:B270"/>
    <mergeCell ref="C263:C270"/>
    <mergeCell ref="D263:D270"/>
    <mergeCell ref="E269:E270"/>
    <mergeCell ref="B339:B348"/>
    <mergeCell ref="C339:C348"/>
    <mergeCell ref="D339:D348"/>
    <mergeCell ref="E335:E336"/>
    <mergeCell ref="E339:E340"/>
    <mergeCell ref="E343:E344"/>
    <mergeCell ref="E345:E346"/>
    <mergeCell ref="D385:D390"/>
    <mergeCell ref="E371:E372"/>
    <mergeCell ref="E363:E364"/>
    <mergeCell ref="B349:B370"/>
    <mergeCell ref="C349:C370"/>
    <mergeCell ref="D361:D370"/>
    <mergeCell ref="E349:E350"/>
    <mergeCell ref="E361:E362"/>
    <mergeCell ref="E351:E352"/>
    <mergeCell ref="E369:E370"/>
    <mergeCell ref="E373:E374"/>
    <mergeCell ref="E383:E384"/>
    <mergeCell ref="E375:E380"/>
    <mergeCell ref="E385:E386"/>
    <mergeCell ref="E389:E390"/>
    <mergeCell ref="D371:D384"/>
    <mergeCell ref="C371:C3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Prasyarat 3-Agen di depan ruang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2021-08-05T03:22:25Z</dcterms:created>
  <dcterms:modified xsi:type="dcterms:W3CDTF">2021-08-09T07:14:36Z</dcterms:modified>
</cp:coreProperties>
</file>