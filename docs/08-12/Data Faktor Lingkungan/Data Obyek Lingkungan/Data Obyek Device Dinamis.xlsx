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PMO" sheetId="1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E9" i="1" l="1"/>
  <c r="K9" i="1"/>
  <c r="Q9" i="1"/>
  <c r="W9" i="1"/>
  <c r="E12" i="1"/>
  <c r="E11" i="1" s="1"/>
  <c r="E15" i="1" s="1"/>
  <c r="K12" i="1"/>
  <c r="K11" i="1" s="1"/>
  <c r="K15" i="1" s="1"/>
  <c r="Q12" i="1"/>
  <c r="Q11" i="1" s="1"/>
  <c r="Q15" i="1" s="1"/>
  <c r="E14" i="1"/>
  <c r="K14" i="1"/>
  <c r="Q14" i="1"/>
  <c r="W14" i="1"/>
  <c r="E28" i="1"/>
  <c r="K28" i="1"/>
  <c r="Q28" i="1"/>
  <c r="W28" i="1"/>
  <c r="E31" i="1"/>
  <c r="E30" i="1" s="1"/>
  <c r="E34" i="1" s="1"/>
  <c r="K31" i="1"/>
  <c r="K30" i="1" s="1"/>
  <c r="K34" i="1" s="1"/>
  <c r="Q31" i="1"/>
  <c r="Q30" i="1" s="1"/>
  <c r="Q34" i="1" s="1"/>
  <c r="W31" i="1"/>
  <c r="W30" i="1" s="1"/>
  <c r="W34" i="1" s="1"/>
  <c r="E33" i="1"/>
  <c r="K33" i="1"/>
  <c r="Q33" i="1"/>
  <c r="W33" i="1"/>
  <c r="E47" i="1"/>
  <c r="K47" i="1"/>
  <c r="Q47" i="1"/>
  <c r="W47" i="1"/>
  <c r="E50" i="1"/>
  <c r="E49" i="1" s="1"/>
  <c r="E53" i="1" s="1"/>
  <c r="K50" i="1"/>
  <c r="K49" i="1" s="1"/>
  <c r="K53" i="1" s="1"/>
  <c r="Q50" i="1"/>
  <c r="Q49" i="1" s="1"/>
  <c r="Q53" i="1" s="1"/>
  <c r="W50" i="1"/>
  <c r="W49" i="1" s="1"/>
  <c r="W53" i="1" s="1"/>
  <c r="E52" i="1"/>
  <c r="K52" i="1"/>
  <c r="Q52" i="1"/>
  <c r="W52" i="1"/>
  <c r="E66" i="1"/>
  <c r="K66" i="1"/>
  <c r="Q66" i="1"/>
  <c r="W66" i="1"/>
  <c r="E69" i="1"/>
  <c r="E68" i="1" s="1"/>
  <c r="E72" i="1" s="1"/>
  <c r="K69" i="1"/>
  <c r="K68" i="1" s="1"/>
  <c r="K72" i="1" s="1"/>
  <c r="Q69" i="1"/>
  <c r="Q68" i="1" s="1"/>
  <c r="Q72" i="1" s="1"/>
  <c r="W69" i="1"/>
  <c r="W68" i="1" s="1"/>
  <c r="W72" i="1" s="1"/>
  <c r="E71" i="1"/>
  <c r="K71" i="1"/>
  <c r="Q71" i="1"/>
  <c r="W71" i="1"/>
  <c r="E85" i="1"/>
  <c r="K85" i="1"/>
  <c r="Q85" i="1"/>
  <c r="W85" i="1"/>
  <c r="W88" i="1" s="1"/>
  <c r="W87" i="1" s="1"/>
  <c r="W91" i="1" s="1"/>
  <c r="E88" i="1"/>
  <c r="E87" i="1" s="1"/>
  <c r="E91" i="1" s="1"/>
  <c r="K88" i="1"/>
  <c r="K87" i="1" s="1"/>
  <c r="K91" i="1" s="1"/>
  <c r="Q88" i="1"/>
  <c r="Q87" i="1" s="1"/>
  <c r="Q91" i="1" s="1"/>
  <c r="AC88" i="1"/>
  <c r="AC87" i="1" s="1"/>
  <c r="AC91" i="1" s="1"/>
  <c r="E90" i="1"/>
  <c r="K90" i="1"/>
  <c r="Q90" i="1"/>
  <c r="W90" i="1"/>
  <c r="AC90" i="1"/>
  <c r="E104" i="1"/>
  <c r="K104" i="1"/>
  <c r="Q104" i="1"/>
  <c r="W104" i="1"/>
  <c r="E106" i="1"/>
  <c r="K106" i="1"/>
  <c r="Q106" i="1"/>
  <c r="W106" i="1"/>
  <c r="E115" i="1"/>
  <c r="K115" i="1"/>
  <c r="Q115" i="1"/>
  <c r="W115" i="1"/>
  <c r="E117" i="1"/>
  <c r="K117" i="1"/>
  <c r="Q117" i="1"/>
  <c r="W117" i="1"/>
  <c r="E126" i="1"/>
  <c r="K126" i="1"/>
  <c r="Q126" i="1"/>
  <c r="W126" i="1"/>
  <c r="E128" i="1"/>
  <c r="K128" i="1"/>
  <c r="Q128" i="1"/>
  <c r="W128" i="1"/>
  <c r="E137" i="1"/>
  <c r="E139" i="1"/>
  <c r="K139" i="1"/>
  <c r="W12" i="1" l="1"/>
  <c r="W11" i="1" s="1"/>
  <c r="W15" i="1" s="1"/>
</calcChain>
</file>

<file path=xl/sharedStrings.xml><?xml version="1.0" encoding="utf-8"?>
<sst xmlns="http://schemas.openxmlformats.org/spreadsheetml/2006/main" count="1118" uniqueCount="108">
  <si>
    <t>ON/OFF</t>
  </si>
  <si>
    <t xml:space="preserve">Status </t>
  </si>
  <si>
    <t>Lighting control</t>
  </si>
  <si>
    <t>Function</t>
  </si>
  <si>
    <t>Mechanic</t>
  </si>
  <si>
    <t>rusak, kurang bagus, bagus, sangat bagus</t>
  </si>
  <si>
    <t>Condition</t>
  </si>
  <si>
    <t>SK14</t>
  </si>
  <si>
    <t>Code</t>
  </si>
  <si>
    <t>SK013</t>
  </si>
  <si>
    <t>Saklar 14</t>
  </si>
  <si>
    <t>Name</t>
  </si>
  <si>
    <t>Saklar 13</t>
  </si>
  <si>
    <t>A. Architectural Element Attribute</t>
  </si>
  <si>
    <t>Note</t>
  </si>
  <si>
    <t xml:space="preserve">Parameter </t>
  </si>
  <si>
    <t>Variable ii</t>
  </si>
  <si>
    <t>Variable i</t>
  </si>
  <si>
    <t>No</t>
  </si>
  <si>
    <t>PASSIVE MECHANIC OBJECT</t>
  </si>
  <si>
    <t>COMPONENTS</t>
  </si>
  <si>
    <t>ABM</t>
  </si>
  <si>
    <t>SK012</t>
  </si>
  <si>
    <t>SK011</t>
  </si>
  <si>
    <t>SK10</t>
  </si>
  <si>
    <t>SK09</t>
  </si>
  <si>
    <t>Saklar 12</t>
  </si>
  <si>
    <t>Saklar 11</t>
  </si>
  <si>
    <t>Saklar 10</t>
  </si>
  <si>
    <t>Saklar 09</t>
  </si>
  <si>
    <t>SK08</t>
  </si>
  <si>
    <t>SK07</t>
  </si>
  <si>
    <t>SK06</t>
  </si>
  <si>
    <t>SK05</t>
  </si>
  <si>
    <t>Saklar 08</t>
  </si>
  <si>
    <t>Saklar 07</t>
  </si>
  <si>
    <t>Saklar 06</t>
  </si>
  <si>
    <t>Saklar 05</t>
  </si>
  <si>
    <t>SK04</t>
  </si>
  <si>
    <t>SK03</t>
  </si>
  <si>
    <t>SK02</t>
  </si>
  <si>
    <t>SK01</t>
  </si>
  <si>
    <t>Saklar 04</t>
  </si>
  <si>
    <t>Saklar 03</t>
  </si>
  <si>
    <t>Saklar 02</t>
  </si>
  <si>
    <t>Saklar 01</t>
  </si>
  <si>
    <t xml:space="preserve"> </t>
  </si>
  <si>
    <t>terkunci</t>
  </si>
  <si>
    <t>Status compliment</t>
  </si>
  <si>
    <t>tertutup/terbuka</t>
  </si>
  <si>
    <t>tertutup</t>
  </si>
  <si>
    <t>Sumber daya</t>
  </si>
  <si>
    <t>Sirkulasi</t>
  </si>
  <si>
    <t>level</t>
  </si>
  <si>
    <t>Current State</t>
  </si>
  <si>
    <t>Cleanliness</t>
  </si>
  <si>
    <t>kumulatif maintenance</t>
  </si>
  <si>
    <t>Total Cumulative Energy Consumption</t>
  </si>
  <si>
    <t>Maintenance</t>
  </si>
  <si>
    <t>hari</t>
  </si>
  <si>
    <t>Sisa Umur</t>
  </si>
  <si>
    <t>Age</t>
  </si>
  <si>
    <t>Lifespan</t>
  </si>
  <si>
    <t>GS01</t>
  </si>
  <si>
    <t>PT08</t>
  </si>
  <si>
    <t>PT11</t>
  </si>
  <si>
    <t>PT12</t>
  </si>
  <si>
    <t>PT06</t>
  </si>
  <si>
    <t>Gas 01</t>
  </si>
  <si>
    <t>Pintu Kamar Mandi</t>
  </si>
  <si>
    <t>Pintu Ruang Makan</t>
  </si>
  <si>
    <t>Pintu Ruang Cuci</t>
  </si>
  <si>
    <t>Pintu Kamar Tidur 3</t>
  </si>
  <si>
    <t>RDP01-ST01</t>
  </si>
  <si>
    <t>PT09</t>
  </si>
  <si>
    <t>JD11</t>
  </si>
  <si>
    <t>PT05</t>
  </si>
  <si>
    <t>Kompor Gas 1</t>
  </si>
  <si>
    <t>Pintu Gudang</t>
  </si>
  <si>
    <t>Jendela Ruang Makan</t>
  </si>
  <si>
    <t>Pintu Kamar Tidur 2</t>
  </si>
  <si>
    <t>L/hr</t>
  </si>
  <si>
    <t>Debit</t>
  </si>
  <si>
    <t>RDP01-WT01</t>
  </si>
  <si>
    <t>RHD01-WT04</t>
  </si>
  <si>
    <t>JD06</t>
  </si>
  <si>
    <t>PT04</t>
  </si>
  <si>
    <t>Kran Cuci Piring</t>
  </si>
  <si>
    <t>Kran Halaman</t>
  </si>
  <si>
    <t>Jendela Kamar Tidur 3</t>
  </si>
  <si>
    <t>Pintu Kamar Tidur 1</t>
  </si>
  <si>
    <t>A. Pasif Mechanic Attribute</t>
  </si>
  <si>
    <t>RCC01-WT02</t>
  </si>
  <si>
    <t>RTA01-LM02</t>
  </si>
  <si>
    <t>JD04</t>
  </si>
  <si>
    <t>PT01</t>
  </si>
  <si>
    <t>Kran Ruang Cuci</t>
  </si>
  <si>
    <t>Lemari Kamar Tidur 2</t>
  </si>
  <si>
    <t>Jendela Kamar Tidur 1</t>
  </si>
  <si>
    <t>Pintu Ruang Tamu</t>
  </si>
  <si>
    <t>RKM01-WT03</t>
  </si>
  <si>
    <t>RTU01-LM01</t>
  </si>
  <si>
    <t>JD01</t>
  </si>
  <si>
    <t>PT13</t>
  </si>
  <si>
    <t>Kran Kamar Mandi</t>
  </si>
  <si>
    <t>Lemari Kamar Tidur 1</t>
  </si>
  <si>
    <t>Jendela Ruang Tamu</t>
  </si>
  <si>
    <t>Pintu Garasi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</si>
</sst>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/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0" borderId="6" xfId="0" applyFill="1" applyBorder="1"/>
    <xf numFmtId="0" fontId="0" fillId="0" borderId="1" xfId="0" applyFill="1" applyBorder="1" applyAlignment="1">
      <alignment vertical="center" wrapText="1"/>
    </xf>
    <xf numFmtId="2" fontId="0" fillId="4" borderId="2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vertical="center" wrapText="1"/>
    </xf>
    <xf numFmtId="0" fontId="0" fillId="0" borderId="4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7" xfId="0" applyFill="1" applyBorder="1"/>
    <xf numFmtId="0" fontId="0" fillId="0" borderId="8" xfId="0" applyFill="1" applyBorder="1"/>
    <xf numFmtId="0" fontId="0" fillId="0" borderId="8" xfId="0" applyFill="1" applyBorder="1" applyAlignment="1">
      <alignment horizontal="left"/>
    </xf>
    <xf numFmtId="0" fontId="0" fillId="0" borderId="9" xfId="0" applyFill="1" applyBorder="1"/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4" xfId="0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left" vertical="center" wrapText="1"/>
    </xf>
    <xf numFmtId="0" fontId="0" fillId="0" borderId="19" xfId="0" applyFill="1" applyBorder="1" applyAlignment="1">
      <alignment vertical="center" wrapText="1"/>
    </xf>
    <xf numFmtId="0" fontId="0" fillId="0" borderId="20" xfId="0" applyFill="1" applyBorder="1"/>
    <xf numFmtId="0" fontId="0" fillId="0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1" fontId="0" fillId="4" borderId="2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Kondisi%20Rua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itial%20Condition%20(I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gkungan (DL)"/>
    </sheetNames>
    <sheetDataSet>
      <sheetData sheetId="0">
        <row r="59">
          <cell r="N59" t="str">
            <v>on</v>
          </cell>
        </row>
        <row r="69">
          <cell r="AF69" t="str">
            <v>off</v>
          </cell>
        </row>
        <row r="80">
          <cell r="AL80" t="str">
            <v>E.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&amp;Fis_IC"/>
      <sheetName val="Bio_IC"/>
      <sheetName val="Kebiasaan_IC"/>
      <sheetName val="Peralatan_IC"/>
      <sheetName val="Mesin_IC"/>
      <sheetName val="Lampu_IC"/>
      <sheetName val="Dinamis_IC"/>
      <sheetName val="Statis_IC"/>
      <sheetName val="Utilitas_IC"/>
      <sheetName val="Data Lingkungan_IC"/>
    </sheetNames>
    <sheetDataSet>
      <sheetData sheetId="0"/>
      <sheetData sheetId="1"/>
      <sheetData sheetId="2"/>
      <sheetData sheetId="3">
        <row r="70">
          <cell r="J70">
            <v>30</v>
          </cell>
        </row>
      </sheetData>
      <sheetData sheetId="4"/>
      <sheetData sheetId="5"/>
      <sheetData sheetId="6"/>
      <sheetData sheetId="7"/>
      <sheetData sheetId="8"/>
      <sheetData sheetId="9">
        <row r="21">
          <cell r="Z21">
            <v>0.1</v>
          </cell>
        </row>
        <row r="63">
          <cell r="H63">
            <v>0</v>
          </cell>
          <cell r="Q63">
            <v>0</v>
          </cell>
          <cell r="CB63">
            <v>0</v>
          </cell>
          <cell r="CT63">
            <v>0</v>
          </cell>
        </row>
        <row r="64">
          <cell r="AI64">
            <v>0</v>
          </cell>
          <cell r="BJ64">
            <v>0</v>
          </cell>
          <cell r="CB64">
            <v>0</v>
          </cell>
        </row>
        <row r="65">
          <cell r="AI65">
            <v>0</v>
          </cell>
          <cell r="BS65">
            <v>0</v>
          </cell>
          <cell r="DL65">
            <v>0</v>
          </cell>
          <cell r="DU65">
            <v>0</v>
          </cell>
        </row>
        <row r="66">
          <cell r="BJ66">
            <v>0</v>
          </cell>
          <cell r="DU66">
            <v>0</v>
          </cell>
        </row>
        <row r="67">
          <cell r="DC67">
            <v>0</v>
          </cell>
        </row>
        <row r="68">
          <cell r="BA68">
            <v>0</v>
          </cell>
          <cell r="DC68">
            <v>0</v>
          </cell>
        </row>
        <row r="69">
          <cell r="BA69">
            <v>0</v>
          </cell>
        </row>
        <row r="71">
          <cell r="BA7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201"/>
  <sheetViews>
    <sheetView showGridLines="0" tabSelected="1" topLeftCell="A124" zoomScale="85" zoomScaleNormal="85" zoomScalePageLayoutView="85" workbookViewId="0">
      <selection activeCell="K137" sqref="K137"/>
    </sheetView>
  </sheetViews>
  <sheetFormatPr defaultColWidth="8.85546875" defaultRowHeight="15" x14ac:dyDescent="0.25"/>
  <cols>
    <col min="1" max="1" width="8.85546875" style="1"/>
    <col min="2" max="2" width="3.42578125" style="1" bestFit="1" customWidth="1"/>
    <col min="3" max="3" width="20.7109375" style="1" customWidth="1"/>
    <col min="4" max="4" width="20.7109375" style="2" customWidth="1"/>
    <col min="5" max="6" width="20.7109375" style="1" customWidth="1"/>
    <col min="7" max="7" width="1.7109375" style="1" customWidth="1"/>
    <col min="8" max="8" width="3.42578125" style="1" bestFit="1" customWidth="1"/>
    <col min="9" max="9" width="20.7109375" style="1" customWidth="1"/>
    <col min="10" max="10" width="20.7109375" style="2" customWidth="1"/>
    <col min="11" max="12" width="20.7109375" style="1" customWidth="1"/>
    <col min="13" max="13" width="1.7109375" style="1" customWidth="1"/>
    <col min="14" max="14" width="3.42578125" style="1" bestFit="1" customWidth="1"/>
    <col min="15" max="15" width="20.7109375" style="1" customWidth="1"/>
    <col min="16" max="16" width="20.7109375" style="2" customWidth="1"/>
    <col min="17" max="18" width="20.7109375" style="1" customWidth="1"/>
    <col min="19" max="19" width="1.7109375" style="1" customWidth="1"/>
    <col min="20" max="20" width="3.42578125" style="1" bestFit="1" customWidth="1"/>
    <col min="21" max="21" width="20.7109375" style="1" customWidth="1"/>
    <col min="22" max="22" width="20.7109375" style="2" customWidth="1"/>
    <col min="23" max="24" width="20.7109375" style="1" customWidth="1"/>
    <col min="25" max="25" width="1.7109375" style="1" customWidth="1"/>
    <col min="26" max="26" width="3.42578125" style="1" bestFit="1" customWidth="1"/>
    <col min="27" max="30" width="20.7109375" style="1" customWidth="1"/>
    <col min="31" max="31" width="8.85546875" style="1"/>
    <col min="32" max="32" width="3.42578125" style="1" bestFit="1" customWidth="1"/>
    <col min="33" max="36" width="20.7109375" style="1" customWidth="1"/>
    <col min="37" max="16384" width="8.85546875" style="1"/>
  </cols>
  <sheetData>
    <row r="1" spans="2:24" ht="15.75" thickBot="1" x14ac:dyDescent="0.3"/>
    <row r="2" spans="2:24" x14ac:dyDescent="0.25">
      <c r="B2" s="34" t="s">
        <v>21</v>
      </c>
      <c r="C2" s="33"/>
      <c r="D2" s="33"/>
      <c r="E2" s="33"/>
      <c r="F2" s="32"/>
      <c r="H2" s="34" t="s">
        <v>21</v>
      </c>
      <c r="I2" s="33"/>
      <c r="J2" s="33"/>
      <c r="K2" s="33"/>
      <c r="L2" s="32"/>
      <c r="N2" s="34" t="s">
        <v>21</v>
      </c>
      <c r="O2" s="33"/>
      <c r="P2" s="33"/>
      <c r="Q2" s="33"/>
      <c r="R2" s="32"/>
      <c r="T2" s="34" t="s">
        <v>21</v>
      </c>
      <c r="U2" s="33"/>
      <c r="V2" s="33"/>
      <c r="W2" s="33"/>
      <c r="X2" s="32"/>
    </row>
    <row r="3" spans="2:24" ht="15.75" thickBot="1" x14ac:dyDescent="0.3">
      <c r="B3" s="31" t="s">
        <v>20</v>
      </c>
      <c r="C3" s="30"/>
      <c r="D3" s="30"/>
      <c r="E3" s="30"/>
      <c r="F3" s="29"/>
      <c r="H3" s="31" t="s">
        <v>20</v>
      </c>
      <c r="I3" s="30"/>
      <c r="J3" s="30"/>
      <c r="K3" s="30"/>
      <c r="L3" s="29"/>
      <c r="N3" s="31" t="s">
        <v>20</v>
      </c>
      <c r="O3" s="30"/>
      <c r="P3" s="30"/>
      <c r="Q3" s="30"/>
      <c r="R3" s="29"/>
      <c r="T3" s="31" t="s">
        <v>20</v>
      </c>
      <c r="U3" s="30"/>
      <c r="V3" s="30"/>
      <c r="W3" s="30"/>
      <c r="X3" s="29"/>
    </row>
    <row r="4" spans="2:24" x14ac:dyDescent="0.25">
      <c r="B4" s="28" t="s">
        <v>19</v>
      </c>
      <c r="C4" s="27"/>
      <c r="D4" s="27"/>
      <c r="E4" s="27"/>
      <c r="F4" s="26"/>
      <c r="H4" s="28" t="s">
        <v>19</v>
      </c>
      <c r="I4" s="27"/>
      <c r="J4" s="27"/>
      <c r="K4" s="27"/>
      <c r="L4" s="26"/>
      <c r="N4" s="28" t="s">
        <v>19</v>
      </c>
      <c r="O4" s="27"/>
      <c r="P4" s="27"/>
      <c r="Q4" s="27"/>
      <c r="R4" s="26"/>
      <c r="T4" s="28" t="s">
        <v>19</v>
      </c>
      <c r="U4" s="27"/>
      <c r="V4" s="27"/>
      <c r="W4" s="27"/>
      <c r="X4" s="26"/>
    </row>
    <row r="5" spans="2:24" ht="15.75" thickBot="1" x14ac:dyDescent="0.3">
      <c r="B5" s="25" t="s">
        <v>18</v>
      </c>
      <c r="C5" s="23" t="s">
        <v>17</v>
      </c>
      <c r="D5" s="24" t="s">
        <v>16</v>
      </c>
      <c r="E5" s="23" t="s">
        <v>15</v>
      </c>
      <c r="F5" s="22" t="s">
        <v>14</v>
      </c>
      <c r="H5" s="25" t="s">
        <v>18</v>
      </c>
      <c r="I5" s="23" t="s">
        <v>17</v>
      </c>
      <c r="J5" s="24" t="s">
        <v>16</v>
      </c>
      <c r="K5" s="23" t="s">
        <v>15</v>
      </c>
      <c r="L5" s="22" t="s">
        <v>14</v>
      </c>
      <c r="N5" s="25" t="s">
        <v>18</v>
      </c>
      <c r="O5" s="23" t="s">
        <v>17</v>
      </c>
      <c r="P5" s="24" t="s">
        <v>16</v>
      </c>
      <c r="Q5" s="23" t="s">
        <v>15</v>
      </c>
      <c r="R5" s="22" t="s">
        <v>14</v>
      </c>
      <c r="T5" s="25" t="s">
        <v>18</v>
      </c>
      <c r="U5" s="23" t="s">
        <v>17</v>
      </c>
      <c r="V5" s="24" t="s">
        <v>16</v>
      </c>
      <c r="W5" s="23" t="s">
        <v>15</v>
      </c>
      <c r="X5" s="22" t="s">
        <v>14</v>
      </c>
    </row>
    <row r="6" spans="2:24" x14ac:dyDescent="0.25">
      <c r="B6" s="21" t="s">
        <v>13</v>
      </c>
      <c r="C6" s="20"/>
      <c r="D6" s="20"/>
      <c r="E6" s="20"/>
      <c r="F6" s="19"/>
      <c r="H6" s="21" t="s">
        <v>13</v>
      </c>
      <c r="I6" s="20"/>
      <c r="J6" s="20"/>
      <c r="K6" s="20"/>
      <c r="L6" s="19"/>
      <c r="N6" s="28" t="s">
        <v>91</v>
      </c>
      <c r="O6" s="27"/>
      <c r="P6" s="27"/>
      <c r="Q6" s="27"/>
      <c r="R6" s="26"/>
      <c r="T6" s="28" t="s">
        <v>91</v>
      </c>
      <c r="U6" s="27"/>
      <c r="V6" s="27"/>
      <c r="W6" s="27"/>
      <c r="X6" s="26"/>
    </row>
    <row r="7" spans="2:24" x14ac:dyDescent="0.25">
      <c r="B7" s="7"/>
      <c r="C7" s="18" t="s">
        <v>11</v>
      </c>
      <c r="D7" s="17"/>
      <c r="E7" s="16" t="s">
        <v>107</v>
      </c>
      <c r="F7" s="15"/>
      <c r="H7" s="7"/>
      <c r="I7" s="18" t="s">
        <v>11</v>
      </c>
      <c r="J7" s="17"/>
      <c r="K7" s="16" t="s">
        <v>106</v>
      </c>
      <c r="L7" s="15"/>
      <c r="N7" s="7"/>
      <c r="O7" s="18" t="s">
        <v>11</v>
      </c>
      <c r="P7" s="17"/>
      <c r="Q7" s="16" t="s">
        <v>105</v>
      </c>
      <c r="R7" s="15"/>
      <c r="T7" s="7"/>
      <c r="U7" s="18" t="s">
        <v>11</v>
      </c>
      <c r="V7" s="17"/>
      <c r="W7" s="16" t="s">
        <v>104</v>
      </c>
      <c r="X7" s="15"/>
    </row>
    <row r="8" spans="2:24" x14ac:dyDescent="0.25">
      <c r="B8" s="7"/>
      <c r="C8" s="18" t="s">
        <v>8</v>
      </c>
      <c r="D8" s="17"/>
      <c r="E8" s="16" t="s">
        <v>103</v>
      </c>
      <c r="F8" s="15"/>
      <c r="H8" s="7"/>
      <c r="I8" s="18" t="s">
        <v>8</v>
      </c>
      <c r="J8" s="17"/>
      <c r="K8" s="16" t="s">
        <v>102</v>
      </c>
      <c r="L8" s="15"/>
      <c r="N8" s="7"/>
      <c r="O8" s="18" t="s">
        <v>8</v>
      </c>
      <c r="P8" s="17"/>
      <c r="Q8" s="16" t="s">
        <v>101</v>
      </c>
      <c r="R8" s="15"/>
      <c r="T8" s="7"/>
      <c r="U8" s="18" t="s">
        <v>8</v>
      </c>
      <c r="V8" s="17"/>
      <c r="W8" s="16" t="s">
        <v>100</v>
      </c>
      <c r="X8" s="15"/>
    </row>
    <row r="9" spans="2:24" ht="15" customHeight="1" x14ac:dyDescent="0.25">
      <c r="B9" s="7"/>
      <c r="C9" s="18" t="s">
        <v>62</v>
      </c>
      <c r="D9" s="17"/>
      <c r="E9" s="16">
        <f>15*12*30</f>
        <v>5400</v>
      </c>
      <c r="F9" s="15" t="s">
        <v>59</v>
      </c>
      <c r="H9" s="7"/>
      <c r="I9" s="18" t="s">
        <v>62</v>
      </c>
      <c r="J9" s="17"/>
      <c r="K9" s="16">
        <f>15*12*30</f>
        <v>5400</v>
      </c>
      <c r="L9" s="15" t="s">
        <v>59</v>
      </c>
      <c r="N9" s="7"/>
      <c r="O9" s="18" t="s">
        <v>62</v>
      </c>
      <c r="P9" s="17"/>
      <c r="Q9" s="16">
        <f>15*12*30</f>
        <v>5400</v>
      </c>
      <c r="R9" s="15" t="s">
        <v>59</v>
      </c>
      <c r="T9" s="7"/>
      <c r="U9" s="18" t="s">
        <v>62</v>
      </c>
      <c r="V9" s="17"/>
      <c r="W9" s="16">
        <f>15*12*30</f>
        <v>5400</v>
      </c>
      <c r="X9" s="15" t="s">
        <v>59</v>
      </c>
    </row>
    <row r="10" spans="2:24" ht="15" customHeight="1" x14ac:dyDescent="0.25">
      <c r="B10" s="7"/>
      <c r="C10" s="44" t="s">
        <v>61</v>
      </c>
      <c r="D10" s="5"/>
      <c r="E10" s="4">
        <v>120</v>
      </c>
      <c r="F10" s="3" t="s">
        <v>59</v>
      </c>
      <c r="H10" s="7"/>
      <c r="I10" s="44" t="s">
        <v>61</v>
      </c>
      <c r="J10" s="5"/>
      <c r="K10" s="4">
        <v>120</v>
      </c>
      <c r="L10" s="3" t="s">
        <v>59</v>
      </c>
      <c r="N10" s="7"/>
      <c r="O10" s="44" t="s">
        <v>61</v>
      </c>
      <c r="P10" s="5"/>
      <c r="Q10" s="4">
        <v>120</v>
      </c>
      <c r="R10" s="3" t="s">
        <v>59</v>
      </c>
      <c r="T10" s="7"/>
      <c r="U10" s="44" t="s">
        <v>61</v>
      </c>
      <c r="V10" s="5"/>
      <c r="W10" s="4">
        <v>120</v>
      </c>
      <c r="X10" s="3" t="s">
        <v>59</v>
      </c>
    </row>
    <row r="11" spans="2:24" ht="15" customHeight="1" x14ac:dyDescent="0.25">
      <c r="B11" s="7"/>
      <c r="C11" s="6" t="s">
        <v>60</v>
      </c>
      <c r="D11" s="14"/>
      <c r="E11" s="43">
        <f>E9-E10-(E12+E14)/2*10</f>
        <v>5275</v>
      </c>
      <c r="F11" s="12" t="s">
        <v>59</v>
      </c>
      <c r="H11" s="7"/>
      <c r="I11" s="6" t="s">
        <v>60</v>
      </c>
      <c r="J11" s="14"/>
      <c r="K11" s="43">
        <f>K9-K10-(K12+K14)/2*10</f>
        <v>5275</v>
      </c>
      <c r="L11" s="12" t="s">
        <v>59</v>
      </c>
      <c r="N11" s="7"/>
      <c r="O11" s="6" t="s">
        <v>60</v>
      </c>
      <c r="P11" s="14"/>
      <c r="Q11" s="43">
        <f>Q9-Q10-(Q12+Q14)/2*10</f>
        <v>5275</v>
      </c>
      <c r="R11" s="12" t="s">
        <v>59</v>
      </c>
      <c r="T11" s="7"/>
      <c r="U11" s="6" t="s">
        <v>60</v>
      </c>
      <c r="V11" s="14"/>
      <c r="W11" s="43">
        <f>W9-W10-(W12+W14)/2*10</f>
        <v>5275</v>
      </c>
      <c r="X11" s="12" t="s">
        <v>59</v>
      </c>
    </row>
    <row r="12" spans="2:24" ht="15.95" customHeight="1" x14ac:dyDescent="0.25">
      <c r="B12" s="7"/>
      <c r="C12" s="6" t="s">
        <v>58</v>
      </c>
      <c r="D12" s="14" t="s">
        <v>54</v>
      </c>
      <c r="E12" s="42">
        <f>((E10/E9)*45-E13)</f>
        <v>1</v>
      </c>
      <c r="F12" s="12" t="s">
        <v>53</v>
      </c>
      <c r="H12" s="7"/>
      <c r="I12" s="6" t="s">
        <v>58</v>
      </c>
      <c r="J12" s="14" t="s">
        <v>54</v>
      </c>
      <c r="K12" s="42">
        <f>((K10/K9)*45-K13)</f>
        <v>1</v>
      </c>
      <c r="L12" s="12" t="s">
        <v>53</v>
      </c>
      <c r="N12" s="7"/>
      <c r="O12" s="6" t="s">
        <v>58</v>
      </c>
      <c r="P12" s="14" t="s">
        <v>54</v>
      </c>
      <c r="Q12" s="42">
        <f>((Q10/Q9)*45-Q13)</f>
        <v>1</v>
      </c>
      <c r="R12" s="12" t="s">
        <v>53</v>
      </c>
      <c r="T12" s="7"/>
      <c r="U12" s="6" t="s">
        <v>58</v>
      </c>
      <c r="V12" s="14" t="s">
        <v>54</v>
      </c>
      <c r="W12" s="42">
        <f>((W10/W9)*45-W13)</f>
        <v>1</v>
      </c>
      <c r="X12" s="12" t="s">
        <v>53</v>
      </c>
    </row>
    <row r="13" spans="2:24" ht="15" customHeight="1" x14ac:dyDescent="0.25">
      <c r="B13" s="7"/>
      <c r="C13" s="6"/>
      <c r="D13" s="14" t="s">
        <v>57</v>
      </c>
      <c r="E13" s="41"/>
      <c r="F13" s="12" t="s">
        <v>56</v>
      </c>
      <c r="H13" s="7"/>
      <c r="I13" s="6"/>
      <c r="J13" s="14" t="s">
        <v>57</v>
      </c>
      <c r="K13" s="41"/>
      <c r="L13" s="12" t="s">
        <v>56</v>
      </c>
      <c r="N13" s="7"/>
      <c r="O13" s="6"/>
      <c r="P13" s="14" t="s">
        <v>57</v>
      </c>
      <c r="Q13" s="41"/>
      <c r="R13" s="12" t="s">
        <v>56</v>
      </c>
      <c r="T13" s="7"/>
      <c r="U13" s="6"/>
      <c r="V13" s="14" t="s">
        <v>57</v>
      </c>
      <c r="W13" s="41"/>
      <c r="X13" s="12" t="s">
        <v>56</v>
      </c>
    </row>
    <row r="14" spans="2:24" ht="15" customHeight="1" x14ac:dyDescent="0.25">
      <c r="B14" s="7"/>
      <c r="C14" s="6" t="s">
        <v>55</v>
      </c>
      <c r="D14" s="14" t="s">
        <v>54</v>
      </c>
      <c r="E14" s="41">
        <f>'[2]Data Lingkungan_IC'!Q63</f>
        <v>0</v>
      </c>
      <c r="F14" s="12" t="s">
        <v>53</v>
      </c>
      <c r="H14" s="7"/>
      <c r="I14" s="6" t="s">
        <v>55</v>
      </c>
      <c r="J14" s="14" t="s">
        <v>54</v>
      </c>
      <c r="K14" s="41">
        <f>'[2]Data Lingkungan_IC'!AI65</f>
        <v>0</v>
      </c>
      <c r="L14" s="12" t="s">
        <v>53</v>
      </c>
      <c r="N14" s="7"/>
      <c r="O14" s="6" t="s">
        <v>55</v>
      </c>
      <c r="P14" s="14" t="s">
        <v>54</v>
      </c>
      <c r="Q14" s="41">
        <f>'[2]Data Lingkungan_IC'!BA71</f>
        <v>0</v>
      </c>
      <c r="R14" s="12" t="s">
        <v>53</v>
      </c>
      <c r="T14" s="7"/>
      <c r="U14" s="6" t="s">
        <v>55</v>
      </c>
      <c r="V14" s="14" t="s">
        <v>54</v>
      </c>
      <c r="W14" s="41">
        <f>'[2]Data Lingkungan_IC'!CB64</f>
        <v>0</v>
      </c>
      <c r="X14" s="12" t="s">
        <v>53</v>
      </c>
    </row>
    <row r="15" spans="2:24" ht="15" customHeight="1" x14ac:dyDescent="0.25">
      <c r="B15" s="7"/>
      <c r="C15" s="6" t="s">
        <v>6</v>
      </c>
      <c r="D15" s="14"/>
      <c r="E15" s="13">
        <f>(E11/E9)</f>
        <v>0.97685185185185186</v>
      </c>
      <c r="F15" s="12" t="s">
        <v>5</v>
      </c>
      <c r="H15" s="7"/>
      <c r="I15" s="6" t="s">
        <v>6</v>
      </c>
      <c r="J15" s="14"/>
      <c r="K15" s="13">
        <f>(K11/K9)</f>
        <v>0.97685185185185186</v>
      </c>
      <c r="L15" s="12" t="s">
        <v>5</v>
      </c>
      <c r="N15" s="7"/>
      <c r="O15" s="6" t="s">
        <v>6</v>
      </c>
      <c r="P15" s="14"/>
      <c r="Q15" s="13">
        <f>(Q11/Q9)</f>
        <v>0.97685185185185186</v>
      </c>
      <c r="R15" s="12" t="s">
        <v>5</v>
      </c>
      <c r="T15" s="7"/>
      <c r="U15" s="6" t="s">
        <v>6</v>
      </c>
      <c r="V15" s="14"/>
      <c r="W15" s="13">
        <f>(W11/W9)</f>
        <v>0.97685185185185186</v>
      </c>
      <c r="X15" s="12" t="s">
        <v>5</v>
      </c>
    </row>
    <row r="16" spans="2:24" x14ac:dyDescent="0.25">
      <c r="B16" s="11"/>
      <c r="C16" s="6" t="s">
        <v>4</v>
      </c>
      <c r="D16" s="10" t="s">
        <v>3</v>
      </c>
      <c r="E16" s="9" t="s">
        <v>52</v>
      </c>
      <c r="F16" s="8"/>
      <c r="H16" s="11"/>
      <c r="I16" s="6" t="s">
        <v>4</v>
      </c>
      <c r="J16" s="10" t="s">
        <v>3</v>
      </c>
      <c r="K16" s="9" t="s">
        <v>52</v>
      </c>
      <c r="L16" s="8"/>
      <c r="N16" s="11"/>
      <c r="O16" s="6" t="s">
        <v>4</v>
      </c>
      <c r="P16" s="10" t="s">
        <v>3</v>
      </c>
      <c r="Q16" s="9" t="s">
        <v>52</v>
      </c>
      <c r="R16" s="8"/>
      <c r="T16" s="11"/>
      <c r="U16" s="6" t="s">
        <v>4</v>
      </c>
      <c r="V16" s="10" t="s">
        <v>3</v>
      </c>
      <c r="W16" s="9" t="s">
        <v>52</v>
      </c>
      <c r="X16" s="8"/>
    </row>
    <row r="17" spans="2:24" x14ac:dyDescent="0.25">
      <c r="B17" s="7"/>
      <c r="C17" s="6"/>
      <c r="D17" s="5" t="s">
        <v>1</v>
      </c>
      <c r="E17" s="4" t="s">
        <v>50</v>
      </c>
      <c r="F17" s="3" t="s">
        <v>49</v>
      </c>
      <c r="H17" s="7"/>
      <c r="I17" s="6"/>
      <c r="J17" s="5" t="s">
        <v>1</v>
      </c>
      <c r="K17" s="4" t="s">
        <v>50</v>
      </c>
      <c r="L17" s="3" t="s">
        <v>49</v>
      </c>
      <c r="N17" s="7"/>
      <c r="O17" s="6"/>
      <c r="P17" s="5" t="s">
        <v>1</v>
      </c>
      <c r="Q17" s="4" t="s">
        <v>50</v>
      </c>
      <c r="R17" s="3" t="s">
        <v>49</v>
      </c>
      <c r="T17" s="7"/>
      <c r="U17" s="6"/>
      <c r="V17" s="5" t="s">
        <v>1</v>
      </c>
      <c r="W17" s="4" t="s">
        <v>50</v>
      </c>
      <c r="X17" s="3" t="s">
        <v>49</v>
      </c>
    </row>
    <row r="18" spans="2:24" x14ac:dyDescent="0.25">
      <c r="B18" s="7"/>
      <c r="C18" s="40"/>
      <c r="D18" s="5" t="s">
        <v>48</v>
      </c>
      <c r="E18" s="4" t="s">
        <v>47</v>
      </c>
      <c r="F18" s="3" t="s">
        <v>46</v>
      </c>
      <c r="H18" s="7"/>
      <c r="I18" s="40"/>
      <c r="J18" s="5" t="s">
        <v>48</v>
      </c>
      <c r="K18" s="4" t="s">
        <v>47</v>
      </c>
      <c r="L18" s="3" t="s">
        <v>46</v>
      </c>
      <c r="N18" s="7"/>
      <c r="O18" s="40"/>
      <c r="P18" s="5" t="s">
        <v>48</v>
      </c>
      <c r="Q18" s="4" t="s">
        <v>47</v>
      </c>
      <c r="R18" s="3" t="s">
        <v>46</v>
      </c>
      <c r="T18" s="7"/>
      <c r="U18" s="14"/>
      <c r="V18" s="17" t="s">
        <v>82</v>
      </c>
      <c r="W18" s="16">
        <v>325.8</v>
      </c>
      <c r="X18" s="15" t="s">
        <v>81</v>
      </c>
    </row>
    <row r="19" spans="2:24" ht="30.75" thickBot="1" x14ac:dyDescent="0.3">
      <c r="B19" s="39"/>
      <c r="C19" s="38"/>
      <c r="D19" s="37" t="s">
        <v>6</v>
      </c>
      <c r="E19" s="36">
        <v>1</v>
      </c>
      <c r="F19" s="35" t="s">
        <v>5</v>
      </c>
      <c r="H19" s="39"/>
      <c r="I19" s="38"/>
      <c r="J19" s="37" t="s">
        <v>6</v>
      </c>
      <c r="K19" s="36">
        <v>1</v>
      </c>
      <c r="L19" s="35" t="s">
        <v>5</v>
      </c>
      <c r="N19" s="39"/>
      <c r="O19" s="38"/>
      <c r="P19" s="37" t="s">
        <v>6</v>
      </c>
      <c r="Q19" s="36">
        <v>1</v>
      </c>
      <c r="R19" s="35" t="s">
        <v>5</v>
      </c>
      <c r="T19" s="39"/>
      <c r="U19" s="38"/>
      <c r="V19" s="37" t="s">
        <v>6</v>
      </c>
      <c r="W19" s="36">
        <v>1</v>
      </c>
      <c r="X19" s="35" t="s">
        <v>5</v>
      </c>
    </row>
    <row r="20" spans="2:24" ht="15.75" thickBot="1" x14ac:dyDescent="0.3"/>
    <row r="21" spans="2:24" x14ac:dyDescent="0.25">
      <c r="B21" s="34" t="s">
        <v>21</v>
      </c>
      <c r="C21" s="33"/>
      <c r="D21" s="33"/>
      <c r="E21" s="33"/>
      <c r="F21" s="32"/>
      <c r="H21" s="34" t="s">
        <v>21</v>
      </c>
      <c r="I21" s="33"/>
      <c r="J21" s="33"/>
      <c r="K21" s="33"/>
      <c r="L21" s="32"/>
      <c r="N21" s="34" t="s">
        <v>21</v>
      </c>
      <c r="O21" s="33"/>
      <c r="P21" s="33"/>
      <c r="Q21" s="33"/>
      <c r="R21" s="32"/>
      <c r="T21" s="34" t="s">
        <v>21</v>
      </c>
      <c r="U21" s="33"/>
      <c r="V21" s="33"/>
      <c r="W21" s="33"/>
      <c r="X21" s="32"/>
    </row>
    <row r="22" spans="2:24" ht="15.75" thickBot="1" x14ac:dyDescent="0.3">
      <c r="B22" s="31" t="s">
        <v>20</v>
      </c>
      <c r="C22" s="30"/>
      <c r="D22" s="30"/>
      <c r="E22" s="30"/>
      <c r="F22" s="29"/>
      <c r="H22" s="31" t="s">
        <v>20</v>
      </c>
      <c r="I22" s="30"/>
      <c r="J22" s="30"/>
      <c r="K22" s="30"/>
      <c r="L22" s="29"/>
      <c r="N22" s="31" t="s">
        <v>20</v>
      </c>
      <c r="O22" s="30"/>
      <c r="P22" s="30"/>
      <c r="Q22" s="30"/>
      <c r="R22" s="29"/>
      <c r="T22" s="31" t="s">
        <v>20</v>
      </c>
      <c r="U22" s="30"/>
      <c r="V22" s="30"/>
      <c r="W22" s="30"/>
      <c r="X22" s="29"/>
    </row>
    <row r="23" spans="2:24" x14ac:dyDescent="0.25">
      <c r="B23" s="28" t="s">
        <v>19</v>
      </c>
      <c r="C23" s="27"/>
      <c r="D23" s="27"/>
      <c r="E23" s="27"/>
      <c r="F23" s="26"/>
      <c r="H23" s="28" t="s">
        <v>19</v>
      </c>
      <c r="I23" s="27"/>
      <c r="J23" s="27"/>
      <c r="K23" s="27"/>
      <c r="L23" s="26"/>
      <c r="N23" s="28" t="s">
        <v>19</v>
      </c>
      <c r="O23" s="27"/>
      <c r="P23" s="27"/>
      <c r="Q23" s="27"/>
      <c r="R23" s="26"/>
      <c r="T23" s="28" t="s">
        <v>19</v>
      </c>
      <c r="U23" s="27"/>
      <c r="V23" s="27"/>
      <c r="W23" s="27"/>
      <c r="X23" s="26"/>
    </row>
    <row r="24" spans="2:24" ht="15.75" thickBot="1" x14ac:dyDescent="0.3">
      <c r="B24" s="25" t="s">
        <v>18</v>
      </c>
      <c r="C24" s="23" t="s">
        <v>17</v>
      </c>
      <c r="D24" s="24" t="s">
        <v>16</v>
      </c>
      <c r="E24" s="23" t="s">
        <v>15</v>
      </c>
      <c r="F24" s="22" t="s">
        <v>14</v>
      </c>
      <c r="H24" s="25" t="s">
        <v>18</v>
      </c>
      <c r="I24" s="23" t="s">
        <v>17</v>
      </c>
      <c r="J24" s="24" t="s">
        <v>16</v>
      </c>
      <c r="K24" s="23" t="s">
        <v>15</v>
      </c>
      <c r="L24" s="22" t="s">
        <v>14</v>
      </c>
      <c r="N24" s="25" t="s">
        <v>18</v>
      </c>
      <c r="O24" s="23" t="s">
        <v>17</v>
      </c>
      <c r="P24" s="24" t="s">
        <v>16</v>
      </c>
      <c r="Q24" s="23" t="s">
        <v>15</v>
      </c>
      <c r="R24" s="22" t="s">
        <v>14</v>
      </c>
      <c r="T24" s="25" t="s">
        <v>18</v>
      </c>
      <c r="U24" s="23" t="s">
        <v>17</v>
      </c>
      <c r="V24" s="24" t="s">
        <v>16</v>
      </c>
      <c r="W24" s="23" t="s">
        <v>15</v>
      </c>
      <c r="X24" s="22" t="s">
        <v>14</v>
      </c>
    </row>
    <row r="25" spans="2:24" x14ac:dyDescent="0.25">
      <c r="B25" s="21" t="s">
        <v>13</v>
      </c>
      <c r="C25" s="20"/>
      <c r="D25" s="20"/>
      <c r="E25" s="20"/>
      <c r="F25" s="19"/>
      <c r="H25" s="21" t="s">
        <v>13</v>
      </c>
      <c r="I25" s="20"/>
      <c r="J25" s="20"/>
      <c r="K25" s="20"/>
      <c r="L25" s="19"/>
      <c r="N25" s="28" t="s">
        <v>91</v>
      </c>
      <c r="O25" s="27"/>
      <c r="P25" s="27"/>
      <c r="Q25" s="27"/>
      <c r="R25" s="26"/>
      <c r="T25" s="28" t="s">
        <v>91</v>
      </c>
      <c r="U25" s="27"/>
      <c r="V25" s="27"/>
      <c r="W25" s="27"/>
      <c r="X25" s="26"/>
    </row>
    <row r="26" spans="2:24" x14ac:dyDescent="0.25">
      <c r="B26" s="7"/>
      <c r="C26" s="18" t="s">
        <v>11</v>
      </c>
      <c r="D26" s="17"/>
      <c r="E26" s="16" t="s">
        <v>99</v>
      </c>
      <c r="F26" s="15"/>
      <c r="H26" s="7"/>
      <c r="I26" s="18" t="s">
        <v>11</v>
      </c>
      <c r="J26" s="17"/>
      <c r="K26" s="16" t="s">
        <v>98</v>
      </c>
      <c r="L26" s="15"/>
      <c r="N26" s="7"/>
      <c r="O26" s="18" t="s">
        <v>11</v>
      </c>
      <c r="P26" s="17"/>
      <c r="Q26" s="16" t="s">
        <v>97</v>
      </c>
      <c r="R26" s="15"/>
      <c r="T26" s="7"/>
      <c r="U26" s="18" t="s">
        <v>11</v>
      </c>
      <c r="V26" s="17"/>
      <c r="W26" s="16" t="s">
        <v>96</v>
      </c>
      <c r="X26" s="15"/>
    </row>
    <row r="27" spans="2:24" x14ac:dyDescent="0.25">
      <c r="B27" s="7"/>
      <c r="C27" s="18" t="s">
        <v>8</v>
      </c>
      <c r="D27" s="17"/>
      <c r="E27" s="16" t="s">
        <v>95</v>
      </c>
      <c r="F27" s="15"/>
      <c r="H27" s="7"/>
      <c r="I27" s="18" t="s">
        <v>8</v>
      </c>
      <c r="J27" s="17"/>
      <c r="K27" s="16" t="s">
        <v>94</v>
      </c>
      <c r="L27" s="15"/>
      <c r="N27" s="7"/>
      <c r="O27" s="18" t="s">
        <v>8</v>
      </c>
      <c r="P27" s="17"/>
      <c r="Q27" s="16" t="s">
        <v>93</v>
      </c>
      <c r="R27" s="15"/>
      <c r="T27" s="7"/>
      <c r="U27" s="18" t="s">
        <v>8</v>
      </c>
      <c r="V27" s="17"/>
      <c r="W27" s="16" t="s">
        <v>92</v>
      </c>
      <c r="X27" s="15"/>
    </row>
    <row r="28" spans="2:24" ht="15" customHeight="1" x14ac:dyDescent="0.25">
      <c r="B28" s="7"/>
      <c r="C28" s="18" t="s">
        <v>62</v>
      </c>
      <c r="D28" s="17"/>
      <c r="E28" s="16">
        <f>15*12*30</f>
        <v>5400</v>
      </c>
      <c r="F28" s="15" t="s">
        <v>59</v>
      </c>
      <c r="H28" s="7"/>
      <c r="I28" s="18" t="s">
        <v>62</v>
      </c>
      <c r="J28" s="17"/>
      <c r="K28" s="16">
        <f>15*12*30</f>
        <v>5400</v>
      </c>
      <c r="L28" s="15" t="s">
        <v>59</v>
      </c>
      <c r="N28" s="7"/>
      <c r="O28" s="18" t="s">
        <v>62</v>
      </c>
      <c r="P28" s="17"/>
      <c r="Q28" s="16">
        <f>15*12*30</f>
        <v>5400</v>
      </c>
      <c r="R28" s="15" t="s">
        <v>59</v>
      </c>
      <c r="T28" s="7"/>
      <c r="U28" s="18" t="s">
        <v>62</v>
      </c>
      <c r="V28" s="17"/>
      <c r="W28" s="16">
        <f>15*12*30</f>
        <v>5400</v>
      </c>
      <c r="X28" s="15" t="s">
        <v>59</v>
      </c>
    </row>
    <row r="29" spans="2:24" ht="15" customHeight="1" x14ac:dyDescent="0.25">
      <c r="B29" s="7"/>
      <c r="C29" s="44" t="s">
        <v>61</v>
      </c>
      <c r="D29" s="5"/>
      <c r="E29" s="4">
        <v>120</v>
      </c>
      <c r="F29" s="3" t="s">
        <v>59</v>
      </c>
      <c r="H29" s="7"/>
      <c r="I29" s="44" t="s">
        <v>61</v>
      </c>
      <c r="J29" s="5"/>
      <c r="K29" s="4">
        <v>120</v>
      </c>
      <c r="L29" s="3" t="s">
        <v>59</v>
      </c>
      <c r="N29" s="7"/>
      <c r="O29" s="44" t="s">
        <v>61</v>
      </c>
      <c r="P29" s="5"/>
      <c r="Q29" s="4">
        <v>120</v>
      </c>
      <c r="R29" s="3" t="s">
        <v>59</v>
      </c>
      <c r="T29" s="7"/>
      <c r="U29" s="44" t="s">
        <v>61</v>
      </c>
      <c r="V29" s="5"/>
      <c r="W29" s="4">
        <v>120</v>
      </c>
      <c r="X29" s="3" t="s">
        <v>59</v>
      </c>
    </row>
    <row r="30" spans="2:24" ht="15" customHeight="1" x14ac:dyDescent="0.25">
      <c r="B30" s="7"/>
      <c r="C30" s="6" t="s">
        <v>60</v>
      </c>
      <c r="D30" s="14"/>
      <c r="E30" s="43">
        <f>E28-E29-(E31+E33)/2*10</f>
        <v>5275</v>
      </c>
      <c r="F30" s="12" t="s">
        <v>59</v>
      </c>
      <c r="H30" s="7"/>
      <c r="I30" s="6" t="s">
        <v>60</v>
      </c>
      <c r="J30" s="14"/>
      <c r="K30" s="43">
        <f>K28-K29-(K31+K33)/2*10</f>
        <v>5275</v>
      </c>
      <c r="L30" s="12" t="s">
        <v>59</v>
      </c>
      <c r="N30" s="7"/>
      <c r="O30" s="6" t="s">
        <v>60</v>
      </c>
      <c r="P30" s="14"/>
      <c r="Q30" s="43">
        <f>Q28-Q29-(Q31+Q33)/2*10</f>
        <v>5275</v>
      </c>
      <c r="R30" s="12" t="s">
        <v>59</v>
      </c>
      <c r="T30" s="7"/>
      <c r="U30" s="6" t="s">
        <v>60</v>
      </c>
      <c r="V30" s="14"/>
      <c r="W30" s="43">
        <f>W28-W29-(W31+W33)/2*10</f>
        <v>5275</v>
      </c>
      <c r="X30" s="12" t="s">
        <v>59</v>
      </c>
    </row>
    <row r="31" spans="2:24" ht="15" customHeight="1" x14ac:dyDescent="0.25">
      <c r="B31" s="7"/>
      <c r="C31" s="6" t="s">
        <v>58</v>
      </c>
      <c r="D31" s="14" t="s">
        <v>54</v>
      </c>
      <c r="E31" s="42">
        <f>((E29/E28)*45-E32)</f>
        <v>1</v>
      </c>
      <c r="F31" s="12" t="s">
        <v>53</v>
      </c>
      <c r="H31" s="7"/>
      <c r="I31" s="6" t="s">
        <v>58</v>
      </c>
      <c r="J31" s="14" t="s">
        <v>54</v>
      </c>
      <c r="K31" s="42">
        <f>((K29/K28)*45-K32)</f>
        <v>1</v>
      </c>
      <c r="L31" s="12" t="s">
        <v>53</v>
      </c>
      <c r="N31" s="7"/>
      <c r="O31" s="6" t="s">
        <v>58</v>
      </c>
      <c r="P31" s="14" t="s">
        <v>54</v>
      </c>
      <c r="Q31" s="42">
        <f>((Q29/Q28)*45-Q32)</f>
        <v>1</v>
      </c>
      <c r="R31" s="12" t="s">
        <v>53</v>
      </c>
      <c r="T31" s="7"/>
      <c r="U31" s="6" t="s">
        <v>58</v>
      </c>
      <c r="V31" s="14" t="s">
        <v>54</v>
      </c>
      <c r="W31" s="42">
        <f>((W29/W28)*45-W32)</f>
        <v>1</v>
      </c>
      <c r="X31" s="12" t="s">
        <v>53</v>
      </c>
    </row>
    <row r="32" spans="2:24" ht="15" customHeight="1" x14ac:dyDescent="0.25">
      <c r="B32" s="7"/>
      <c r="C32" s="6"/>
      <c r="D32" s="14" t="s">
        <v>57</v>
      </c>
      <c r="E32" s="41"/>
      <c r="F32" s="12" t="s">
        <v>56</v>
      </c>
      <c r="H32" s="7"/>
      <c r="I32" s="6"/>
      <c r="J32" s="14" t="s">
        <v>57</v>
      </c>
      <c r="K32" s="41"/>
      <c r="L32" s="12" t="s">
        <v>56</v>
      </c>
      <c r="N32" s="7"/>
      <c r="O32" s="6"/>
      <c r="P32" s="14" t="s">
        <v>57</v>
      </c>
      <c r="Q32" s="41"/>
      <c r="R32" s="12" t="s">
        <v>56</v>
      </c>
      <c r="T32" s="7"/>
      <c r="U32" s="6"/>
      <c r="V32" s="14" t="s">
        <v>57</v>
      </c>
      <c r="W32" s="41"/>
      <c r="X32" s="12" t="s">
        <v>56</v>
      </c>
    </row>
    <row r="33" spans="2:24" ht="15" customHeight="1" x14ac:dyDescent="0.25">
      <c r="B33" s="7"/>
      <c r="C33" s="6" t="s">
        <v>55</v>
      </c>
      <c r="D33" s="14" t="s">
        <v>54</v>
      </c>
      <c r="E33" s="41">
        <f>'[2]Data Lingkungan_IC'!AI64</f>
        <v>0</v>
      </c>
      <c r="F33" s="12" t="s">
        <v>53</v>
      </c>
      <c r="H33" s="7"/>
      <c r="I33" s="6" t="s">
        <v>55</v>
      </c>
      <c r="J33" s="14" t="s">
        <v>54</v>
      </c>
      <c r="K33" s="41">
        <f>'[2]Data Lingkungan_IC'!BA69</f>
        <v>0</v>
      </c>
      <c r="L33" s="12" t="s">
        <v>53</v>
      </c>
      <c r="N33" s="7"/>
      <c r="O33" s="6" t="s">
        <v>55</v>
      </c>
      <c r="P33" s="14" t="s">
        <v>54</v>
      </c>
      <c r="Q33" s="41">
        <f>'[2]Data Lingkungan_IC'!BJ66</f>
        <v>0</v>
      </c>
      <c r="R33" s="12" t="s">
        <v>53</v>
      </c>
      <c r="T33" s="7"/>
      <c r="U33" s="6" t="s">
        <v>55</v>
      </c>
      <c r="V33" s="14" t="s">
        <v>54</v>
      </c>
      <c r="W33" s="41">
        <f>'[2]Data Lingkungan_IC'!DU65</f>
        <v>0</v>
      </c>
      <c r="X33" s="12" t="s">
        <v>53</v>
      </c>
    </row>
    <row r="34" spans="2:24" ht="15" customHeight="1" x14ac:dyDescent="0.25">
      <c r="B34" s="7"/>
      <c r="C34" s="6" t="s">
        <v>6</v>
      </c>
      <c r="D34" s="14"/>
      <c r="E34" s="13">
        <f>(E30/E28)</f>
        <v>0.97685185185185186</v>
      </c>
      <c r="F34" s="12" t="s">
        <v>5</v>
      </c>
      <c r="H34" s="7"/>
      <c r="I34" s="6" t="s">
        <v>6</v>
      </c>
      <c r="J34" s="14"/>
      <c r="K34" s="13">
        <f>(K30/K28)</f>
        <v>0.97685185185185186</v>
      </c>
      <c r="L34" s="12" t="s">
        <v>5</v>
      </c>
      <c r="N34" s="7"/>
      <c r="O34" s="6" t="s">
        <v>6</v>
      </c>
      <c r="P34" s="14"/>
      <c r="Q34" s="13">
        <f>(Q30/Q28)</f>
        <v>0.97685185185185186</v>
      </c>
      <c r="R34" s="12" t="s">
        <v>5</v>
      </c>
      <c r="T34" s="7"/>
      <c r="U34" s="6" t="s">
        <v>6</v>
      </c>
      <c r="V34" s="14"/>
      <c r="W34" s="13">
        <f>(W30/W28)</f>
        <v>0.97685185185185186</v>
      </c>
      <c r="X34" s="12" t="s">
        <v>5</v>
      </c>
    </row>
    <row r="35" spans="2:24" x14ac:dyDescent="0.25">
      <c r="B35" s="11"/>
      <c r="C35" s="6" t="s">
        <v>4</v>
      </c>
      <c r="D35" s="10" t="s">
        <v>3</v>
      </c>
      <c r="E35" s="9" t="s">
        <v>52</v>
      </c>
      <c r="F35" s="8"/>
      <c r="H35" s="11"/>
      <c r="I35" s="6" t="s">
        <v>4</v>
      </c>
      <c r="J35" s="10" t="s">
        <v>3</v>
      </c>
      <c r="K35" s="9" t="s">
        <v>52</v>
      </c>
      <c r="L35" s="8"/>
      <c r="N35" s="11"/>
      <c r="O35" s="6" t="s">
        <v>4</v>
      </c>
      <c r="P35" s="10" t="s">
        <v>3</v>
      </c>
      <c r="Q35" s="9" t="s">
        <v>52</v>
      </c>
      <c r="R35" s="8"/>
      <c r="T35" s="11"/>
      <c r="U35" s="6" t="s">
        <v>4</v>
      </c>
      <c r="V35" s="10" t="s">
        <v>3</v>
      </c>
      <c r="W35" s="9" t="s">
        <v>52</v>
      </c>
      <c r="X35" s="8"/>
    </row>
    <row r="36" spans="2:24" x14ac:dyDescent="0.25">
      <c r="B36" s="7"/>
      <c r="C36" s="6"/>
      <c r="D36" s="5" t="s">
        <v>1</v>
      </c>
      <c r="E36" s="4" t="s">
        <v>50</v>
      </c>
      <c r="F36" s="3" t="s">
        <v>49</v>
      </c>
      <c r="H36" s="7"/>
      <c r="I36" s="6"/>
      <c r="J36" s="5" t="s">
        <v>1</v>
      </c>
      <c r="K36" s="4" t="s">
        <v>50</v>
      </c>
      <c r="L36" s="3" t="s">
        <v>49</v>
      </c>
      <c r="N36" s="7"/>
      <c r="O36" s="6"/>
      <c r="P36" s="5" t="s">
        <v>1</v>
      </c>
      <c r="Q36" s="4" t="s">
        <v>50</v>
      </c>
      <c r="R36" s="3" t="s">
        <v>49</v>
      </c>
      <c r="T36" s="7"/>
      <c r="U36" s="6"/>
      <c r="V36" s="5" t="s">
        <v>1</v>
      </c>
      <c r="W36" s="4" t="s">
        <v>50</v>
      </c>
      <c r="X36" s="3" t="s">
        <v>49</v>
      </c>
    </row>
    <row r="37" spans="2:24" x14ac:dyDescent="0.25">
      <c r="B37" s="7"/>
      <c r="C37" s="40"/>
      <c r="D37" s="5" t="s">
        <v>48</v>
      </c>
      <c r="E37" s="4" t="s">
        <v>47</v>
      </c>
      <c r="F37" s="3" t="s">
        <v>46</v>
      </c>
      <c r="H37" s="7"/>
      <c r="I37" s="40"/>
      <c r="J37" s="5" t="s">
        <v>48</v>
      </c>
      <c r="K37" s="4" t="s">
        <v>47</v>
      </c>
      <c r="L37" s="3" t="s">
        <v>46</v>
      </c>
      <c r="N37" s="7"/>
      <c r="O37" s="40"/>
      <c r="P37" s="5" t="s">
        <v>48</v>
      </c>
      <c r="Q37" s="4" t="s">
        <v>47</v>
      </c>
      <c r="R37" s="3" t="s">
        <v>46</v>
      </c>
      <c r="T37" s="7"/>
      <c r="U37" s="14"/>
      <c r="V37" s="17" t="s">
        <v>82</v>
      </c>
      <c r="W37" s="16">
        <v>194.4</v>
      </c>
      <c r="X37" s="15" t="s">
        <v>81</v>
      </c>
    </row>
    <row r="38" spans="2:24" ht="30.75" thickBot="1" x14ac:dyDescent="0.3">
      <c r="B38" s="39"/>
      <c r="C38" s="38"/>
      <c r="D38" s="37" t="s">
        <v>6</v>
      </c>
      <c r="E38" s="36">
        <v>1</v>
      </c>
      <c r="F38" s="35" t="s">
        <v>5</v>
      </c>
      <c r="H38" s="39"/>
      <c r="I38" s="38"/>
      <c r="J38" s="37" t="s">
        <v>6</v>
      </c>
      <c r="K38" s="36">
        <v>1</v>
      </c>
      <c r="L38" s="35" t="s">
        <v>5</v>
      </c>
      <c r="N38" s="39"/>
      <c r="O38" s="38"/>
      <c r="P38" s="37" t="s">
        <v>6</v>
      </c>
      <c r="Q38" s="36">
        <v>1</v>
      </c>
      <c r="R38" s="35" t="s">
        <v>5</v>
      </c>
      <c r="T38" s="39"/>
      <c r="U38" s="38"/>
      <c r="V38" s="37" t="s">
        <v>6</v>
      </c>
      <c r="W38" s="36">
        <v>1</v>
      </c>
      <c r="X38" s="35" t="s">
        <v>5</v>
      </c>
    </row>
    <row r="39" spans="2:24" ht="15.75" thickBot="1" x14ac:dyDescent="0.3"/>
    <row r="40" spans="2:24" x14ac:dyDescent="0.25">
      <c r="B40" s="34" t="s">
        <v>21</v>
      </c>
      <c r="C40" s="33"/>
      <c r="D40" s="33"/>
      <c r="E40" s="33"/>
      <c r="F40" s="32"/>
      <c r="H40" s="34" t="s">
        <v>21</v>
      </c>
      <c r="I40" s="33"/>
      <c r="J40" s="33"/>
      <c r="K40" s="33"/>
      <c r="L40" s="32"/>
      <c r="N40" s="34" t="s">
        <v>21</v>
      </c>
      <c r="O40" s="33"/>
      <c r="P40" s="33"/>
      <c r="Q40" s="33"/>
      <c r="R40" s="32"/>
      <c r="T40" s="34" t="s">
        <v>21</v>
      </c>
      <c r="U40" s="33"/>
      <c r="V40" s="33"/>
      <c r="W40" s="33"/>
      <c r="X40" s="32"/>
    </row>
    <row r="41" spans="2:24" ht="15.75" thickBot="1" x14ac:dyDescent="0.3">
      <c r="B41" s="31" t="s">
        <v>20</v>
      </c>
      <c r="C41" s="30"/>
      <c r="D41" s="30"/>
      <c r="E41" s="30"/>
      <c r="F41" s="29"/>
      <c r="H41" s="31" t="s">
        <v>20</v>
      </c>
      <c r="I41" s="30"/>
      <c r="J41" s="30"/>
      <c r="K41" s="30"/>
      <c r="L41" s="29"/>
      <c r="N41" s="31" t="s">
        <v>20</v>
      </c>
      <c r="O41" s="30"/>
      <c r="P41" s="30"/>
      <c r="Q41" s="30"/>
      <c r="R41" s="29"/>
      <c r="T41" s="31" t="s">
        <v>20</v>
      </c>
      <c r="U41" s="30"/>
      <c r="V41" s="30"/>
      <c r="W41" s="30"/>
      <c r="X41" s="29"/>
    </row>
    <row r="42" spans="2:24" x14ac:dyDescent="0.25">
      <c r="B42" s="28" t="s">
        <v>19</v>
      </c>
      <c r="C42" s="27"/>
      <c r="D42" s="27"/>
      <c r="E42" s="27"/>
      <c r="F42" s="26"/>
      <c r="H42" s="28" t="s">
        <v>19</v>
      </c>
      <c r="I42" s="27"/>
      <c r="J42" s="27"/>
      <c r="K42" s="27"/>
      <c r="L42" s="26"/>
      <c r="N42" s="28" t="s">
        <v>19</v>
      </c>
      <c r="O42" s="27"/>
      <c r="P42" s="27"/>
      <c r="Q42" s="27"/>
      <c r="R42" s="26"/>
      <c r="T42" s="28" t="s">
        <v>19</v>
      </c>
      <c r="U42" s="27"/>
      <c r="V42" s="27"/>
      <c r="W42" s="27"/>
      <c r="X42" s="26"/>
    </row>
    <row r="43" spans="2:24" ht="15.75" thickBot="1" x14ac:dyDescent="0.3">
      <c r="B43" s="25" t="s">
        <v>18</v>
      </c>
      <c r="C43" s="23" t="s">
        <v>17</v>
      </c>
      <c r="D43" s="24" t="s">
        <v>16</v>
      </c>
      <c r="E43" s="23" t="s">
        <v>15</v>
      </c>
      <c r="F43" s="22" t="s">
        <v>14</v>
      </c>
      <c r="H43" s="25" t="s">
        <v>18</v>
      </c>
      <c r="I43" s="23" t="s">
        <v>17</v>
      </c>
      <c r="J43" s="24" t="s">
        <v>16</v>
      </c>
      <c r="K43" s="23" t="s">
        <v>15</v>
      </c>
      <c r="L43" s="22" t="s">
        <v>14</v>
      </c>
      <c r="N43" s="25" t="s">
        <v>18</v>
      </c>
      <c r="O43" s="23" t="s">
        <v>17</v>
      </c>
      <c r="P43" s="24" t="s">
        <v>16</v>
      </c>
      <c r="Q43" s="23" t="s">
        <v>15</v>
      </c>
      <c r="R43" s="22" t="s">
        <v>14</v>
      </c>
      <c r="T43" s="25" t="s">
        <v>18</v>
      </c>
      <c r="U43" s="23" t="s">
        <v>17</v>
      </c>
      <c r="V43" s="24" t="s">
        <v>16</v>
      </c>
      <c r="W43" s="23" t="s">
        <v>15</v>
      </c>
      <c r="X43" s="22" t="s">
        <v>14</v>
      </c>
    </row>
    <row r="44" spans="2:24" x14ac:dyDescent="0.25">
      <c r="B44" s="21" t="s">
        <v>13</v>
      </c>
      <c r="C44" s="20"/>
      <c r="D44" s="20"/>
      <c r="E44" s="20"/>
      <c r="F44" s="19"/>
      <c r="H44" s="21" t="s">
        <v>13</v>
      </c>
      <c r="I44" s="20"/>
      <c r="J44" s="20"/>
      <c r="K44" s="20"/>
      <c r="L44" s="19"/>
      <c r="N44" s="28" t="s">
        <v>91</v>
      </c>
      <c r="O44" s="27"/>
      <c r="P44" s="27"/>
      <c r="Q44" s="27"/>
      <c r="R44" s="26"/>
      <c r="T44" s="28" t="s">
        <v>91</v>
      </c>
      <c r="U44" s="27"/>
      <c r="V44" s="27"/>
      <c r="W44" s="27"/>
      <c r="X44" s="26"/>
    </row>
    <row r="45" spans="2:24" x14ac:dyDescent="0.25">
      <c r="B45" s="7"/>
      <c r="C45" s="18" t="s">
        <v>11</v>
      </c>
      <c r="D45" s="17"/>
      <c r="E45" s="16" t="s">
        <v>90</v>
      </c>
      <c r="F45" s="15"/>
      <c r="H45" s="7"/>
      <c r="I45" s="18" t="s">
        <v>11</v>
      </c>
      <c r="J45" s="17"/>
      <c r="K45" s="16" t="s">
        <v>89</v>
      </c>
      <c r="L45" s="15"/>
      <c r="N45" s="7"/>
      <c r="O45" s="18" t="s">
        <v>11</v>
      </c>
      <c r="P45" s="17"/>
      <c r="Q45" s="16" t="s">
        <v>88</v>
      </c>
      <c r="R45" s="15"/>
      <c r="T45" s="7"/>
      <c r="U45" s="18" t="s">
        <v>11</v>
      </c>
      <c r="V45" s="17"/>
      <c r="W45" s="16" t="s">
        <v>87</v>
      </c>
      <c r="X45" s="15"/>
    </row>
    <row r="46" spans="2:24" x14ac:dyDescent="0.25">
      <c r="B46" s="7"/>
      <c r="C46" s="18" t="s">
        <v>8</v>
      </c>
      <c r="D46" s="17"/>
      <c r="E46" s="16" t="s">
        <v>86</v>
      </c>
      <c r="F46" s="15"/>
      <c r="H46" s="7"/>
      <c r="I46" s="18" t="s">
        <v>8</v>
      </c>
      <c r="J46" s="17"/>
      <c r="K46" s="16" t="s">
        <v>85</v>
      </c>
      <c r="L46" s="15"/>
      <c r="N46" s="7"/>
      <c r="O46" s="18" t="s">
        <v>8</v>
      </c>
      <c r="P46" s="17"/>
      <c r="Q46" s="16" t="s">
        <v>84</v>
      </c>
      <c r="R46" s="15"/>
      <c r="T46" s="7"/>
      <c r="U46" s="18" t="s">
        <v>8</v>
      </c>
      <c r="V46" s="17"/>
      <c r="W46" s="16" t="s">
        <v>83</v>
      </c>
      <c r="X46" s="15"/>
    </row>
    <row r="47" spans="2:24" ht="15" customHeight="1" x14ac:dyDescent="0.25">
      <c r="B47" s="7"/>
      <c r="C47" s="18" t="s">
        <v>62</v>
      </c>
      <c r="D47" s="17"/>
      <c r="E47" s="16">
        <f>15*12*30</f>
        <v>5400</v>
      </c>
      <c r="F47" s="15" t="s">
        <v>59</v>
      </c>
      <c r="H47" s="7"/>
      <c r="I47" s="18" t="s">
        <v>62</v>
      </c>
      <c r="J47" s="17"/>
      <c r="K47" s="16">
        <f>15*12*30</f>
        <v>5400</v>
      </c>
      <c r="L47" s="15" t="s">
        <v>59</v>
      </c>
      <c r="N47" s="7"/>
      <c r="O47" s="18" t="s">
        <v>62</v>
      </c>
      <c r="P47" s="17"/>
      <c r="Q47" s="16">
        <f>15*12*30</f>
        <v>5400</v>
      </c>
      <c r="R47" s="15" t="s">
        <v>59</v>
      </c>
      <c r="T47" s="7"/>
      <c r="U47" s="18" t="s">
        <v>62</v>
      </c>
      <c r="V47" s="17"/>
      <c r="W47" s="16">
        <f>15*12*30</f>
        <v>5400</v>
      </c>
      <c r="X47" s="15" t="s">
        <v>59</v>
      </c>
    </row>
    <row r="48" spans="2:24" ht="15" customHeight="1" x14ac:dyDescent="0.25">
      <c r="B48" s="7"/>
      <c r="C48" s="44" t="s">
        <v>61</v>
      </c>
      <c r="D48" s="5"/>
      <c r="E48" s="4">
        <v>120</v>
      </c>
      <c r="F48" s="3" t="s">
        <v>59</v>
      </c>
      <c r="H48" s="7"/>
      <c r="I48" s="44" t="s">
        <v>61</v>
      </c>
      <c r="J48" s="5"/>
      <c r="K48" s="4">
        <v>120</v>
      </c>
      <c r="L48" s="3" t="s">
        <v>59</v>
      </c>
      <c r="N48" s="7"/>
      <c r="O48" s="44" t="s">
        <v>61</v>
      </c>
      <c r="P48" s="5"/>
      <c r="Q48" s="4">
        <v>120</v>
      </c>
      <c r="R48" s="3" t="s">
        <v>59</v>
      </c>
      <c r="T48" s="7"/>
      <c r="U48" s="44" t="s">
        <v>61</v>
      </c>
      <c r="V48" s="5"/>
      <c r="W48" s="4">
        <v>120</v>
      </c>
      <c r="X48" s="3" t="s">
        <v>59</v>
      </c>
    </row>
    <row r="49" spans="2:24" ht="15" customHeight="1" x14ac:dyDescent="0.25">
      <c r="B49" s="7"/>
      <c r="C49" s="6" t="s">
        <v>60</v>
      </c>
      <c r="D49" s="14"/>
      <c r="E49" s="43">
        <f>E47-E48-(E50+E52)/2*10</f>
        <v>5275</v>
      </c>
      <c r="F49" s="12" t="s">
        <v>59</v>
      </c>
      <c r="H49" s="7"/>
      <c r="I49" s="6" t="s">
        <v>60</v>
      </c>
      <c r="J49" s="14"/>
      <c r="K49" s="43">
        <f>K47-K48-(K50+K52)/2*10</f>
        <v>5275</v>
      </c>
      <c r="L49" s="12" t="s">
        <v>59</v>
      </c>
      <c r="N49" s="7"/>
      <c r="O49" s="6" t="s">
        <v>60</v>
      </c>
      <c r="P49" s="14"/>
      <c r="Q49" s="43">
        <f>Q47-Q48-(Q50+Q52)/2*10</f>
        <v>5275</v>
      </c>
      <c r="R49" s="12" t="s">
        <v>59</v>
      </c>
      <c r="T49" s="7"/>
      <c r="U49" s="6" t="s">
        <v>60</v>
      </c>
      <c r="V49" s="14"/>
      <c r="W49" s="43">
        <f>W47-W48-(W50+W52)/2*10</f>
        <v>5275</v>
      </c>
      <c r="X49" s="12" t="s">
        <v>59</v>
      </c>
    </row>
    <row r="50" spans="2:24" ht="15" customHeight="1" x14ac:dyDescent="0.25">
      <c r="B50" s="7"/>
      <c r="C50" s="6" t="s">
        <v>58</v>
      </c>
      <c r="D50" s="14" t="s">
        <v>54</v>
      </c>
      <c r="E50" s="42">
        <f>((E48/E47)*45-E51)</f>
        <v>1</v>
      </c>
      <c r="F50" s="12" t="s">
        <v>53</v>
      </c>
      <c r="H50" s="7"/>
      <c r="I50" s="6" t="s">
        <v>58</v>
      </c>
      <c r="J50" s="14" t="s">
        <v>54</v>
      </c>
      <c r="K50" s="42">
        <f>((K48/K47)*45-K51)</f>
        <v>1</v>
      </c>
      <c r="L50" s="12" t="s">
        <v>53</v>
      </c>
      <c r="N50" s="7"/>
      <c r="O50" s="6" t="s">
        <v>58</v>
      </c>
      <c r="P50" s="14" t="s">
        <v>54</v>
      </c>
      <c r="Q50" s="42">
        <f>((Q48/Q47)*45-Q51)</f>
        <v>1</v>
      </c>
      <c r="R50" s="12" t="s">
        <v>53</v>
      </c>
      <c r="T50" s="7"/>
      <c r="U50" s="6" t="s">
        <v>58</v>
      </c>
      <c r="V50" s="14" t="s">
        <v>54</v>
      </c>
      <c r="W50" s="42">
        <f>((W48/W47)*45-W51)</f>
        <v>1</v>
      </c>
      <c r="X50" s="12" t="s">
        <v>53</v>
      </c>
    </row>
    <row r="51" spans="2:24" ht="15" customHeight="1" x14ac:dyDescent="0.25">
      <c r="B51" s="7"/>
      <c r="C51" s="6"/>
      <c r="D51" s="14" t="s">
        <v>57</v>
      </c>
      <c r="E51" s="41"/>
      <c r="F51" s="12" t="s">
        <v>56</v>
      </c>
      <c r="H51" s="7"/>
      <c r="I51" s="6"/>
      <c r="J51" s="14" t="s">
        <v>57</v>
      </c>
      <c r="K51" s="41"/>
      <c r="L51" s="12" t="s">
        <v>56</v>
      </c>
      <c r="N51" s="7"/>
      <c r="O51" s="6"/>
      <c r="P51" s="14" t="s">
        <v>57</v>
      </c>
      <c r="Q51" s="41"/>
      <c r="R51" s="12" t="s">
        <v>56</v>
      </c>
      <c r="T51" s="7"/>
      <c r="U51" s="6"/>
      <c r="V51" s="14" t="s">
        <v>57</v>
      </c>
      <c r="W51" s="41"/>
      <c r="X51" s="12" t="s">
        <v>56</v>
      </c>
    </row>
    <row r="52" spans="2:24" ht="15" customHeight="1" x14ac:dyDescent="0.25">
      <c r="B52" s="7"/>
      <c r="C52" s="6" t="s">
        <v>55</v>
      </c>
      <c r="D52" s="14" t="s">
        <v>54</v>
      </c>
      <c r="E52" s="41">
        <f>'[2]Data Lingkungan_IC'!BA68</f>
        <v>0</v>
      </c>
      <c r="F52" s="12" t="s">
        <v>53</v>
      </c>
      <c r="H52" s="7"/>
      <c r="I52" s="6" t="s">
        <v>55</v>
      </c>
      <c r="J52" s="14" t="s">
        <v>54</v>
      </c>
      <c r="K52" s="41">
        <f>'[2]Data Lingkungan_IC'!AG108</f>
        <v>0</v>
      </c>
      <c r="L52" s="12" t="s">
        <v>53</v>
      </c>
      <c r="N52" s="7"/>
      <c r="O52" s="6" t="s">
        <v>55</v>
      </c>
      <c r="P52" s="14" t="s">
        <v>54</v>
      </c>
      <c r="Q52" s="41">
        <f>'[2]Data Lingkungan_IC'!H63</f>
        <v>0</v>
      </c>
      <c r="R52" s="12" t="s">
        <v>53</v>
      </c>
      <c r="T52" s="7"/>
      <c r="U52" s="6" t="s">
        <v>55</v>
      </c>
      <c r="V52" s="14" t="s">
        <v>54</v>
      </c>
      <c r="W52" s="41">
        <f>'[2]Data Lingkungan_IC'!AT113</f>
        <v>0</v>
      </c>
      <c r="X52" s="12" t="s">
        <v>53</v>
      </c>
    </row>
    <row r="53" spans="2:24" ht="15" customHeight="1" x14ac:dyDescent="0.25">
      <c r="B53" s="7"/>
      <c r="C53" s="6" t="s">
        <v>6</v>
      </c>
      <c r="D53" s="14"/>
      <c r="E53" s="13">
        <f>(E49/E47)</f>
        <v>0.97685185185185186</v>
      </c>
      <c r="F53" s="12" t="s">
        <v>5</v>
      </c>
      <c r="H53" s="7"/>
      <c r="I53" s="6" t="s">
        <v>6</v>
      </c>
      <c r="J53" s="14"/>
      <c r="K53" s="13">
        <f>(K49/K47)</f>
        <v>0.97685185185185186</v>
      </c>
      <c r="L53" s="12" t="s">
        <v>5</v>
      </c>
      <c r="N53" s="7"/>
      <c r="O53" s="6" t="s">
        <v>6</v>
      </c>
      <c r="P53" s="14"/>
      <c r="Q53" s="13">
        <f>(Q49/Q47)</f>
        <v>0.97685185185185186</v>
      </c>
      <c r="R53" s="12" t="s">
        <v>5</v>
      </c>
      <c r="T53" s="7"/>
      <c r="U53" s="6" t="s">
        <v>6</v>
      </c>
      <c r="V53" s="14"/>
      <c r="W53" s="13">
        <f>(W49/W47)</f>
        <v>0.97685185185185186</v>
      </c>
      <c r="X53" s="12" t="s">
        <v>5</v>
      </c>
    </row>
    <row r="54" spans="2:24" x14ac:dyDescent="0.25">
      <c r="B54" s="11"/>
      <c r="C54" s="6" t="s">
        <v>4</v>
      </c>
      <c r="D54" s="10" t="s">
        <v>3</v>
      </c>
      <c r="E54" s="9" t="s">
        <v>52</v>
      </c>
      <c r="F54" s="8"/>
      <c r="H54" s="11"/>
      <c r="I54" s="6" t="s">
        <v>4</v>
      </c>
      <c r="J54" s="10" t="s">
        <v>3</v>
      </c>
      <c r="K54" s="9" t="s">
        <v>52</v>
      </c>
      <c r="L54" s="8"/>
      <c r="N54" s="11"/>
      <c r="O54" s="6" t="s">
        <v>4</v>
      </c>
      <c r="P54" s="10" t="s">
        <v>3</v>
      </c>
      <c r="Q54" s="9" t="s">
        <v>52</v>
      </c>
      <c r="R54" s="8"/>
      <c r="T54" s="11"/>
      <c r="U54" s="6" t="s">
        <v>4</v>
      </c>
      <c r="V54" s="10" t="s">
        <v>3</v>
      </c>
      <c r="W54" s="9" t="s">
        <v>52</v>
      </c>
      <c r="X54" s="8"/>
    </row>
    <row r="55" spans="2:24" x14ac:dyDescent="0.25">
      <c r="B55" s="7"/>
      <c r="C55" s="6"/>
      <c r="D55" s="5" t="s">
        <v>1</v>
      </c>
      <c r="E55" s="4" t="s">
        <v>50</v>
      </c>
      <c r="F55" s="3" t="s">
        <v>49</v>
      </c>
      <c r="H55" s="7"/>
      <c r="I55" s="6"/>
      <c r="J55" s="5" t="s">
        <v>1</v>
      </c>
      <c r="K55" s="4" t="s">
        <v>50</v>
      </c>
      <c r="L55" s="3" t="s">
        <v>49</v>
      </c>
      <c r="N55" s="7"/>
      <c r="O55" s="6"/>
      <c r="P55" s="5" t="s">
        <v>1</v>
      </c>
      <c r="Q55" s="4" t="s">
        <v>50</v>
      </c>
      <c r="R55" s="3" t="s">
        <v>49</v>
      </c>
      <c r="T55" s="7"/>
      <c r="U55" s="6"/>
      <c r="V55" s="5" t="s">
        <v>1</v>
      </c>
      <c r="W55" s="4" t="s">
        <v>50</v>
      </c>
      <c r="X55" s="3" t="s">
        <v>49</v>
      </c>
    </row>
    <row r="56" spans="2:24" x14ac:dyDescent="0.25">
      <c r="B56" s="7"/>
      <c r="C56" s="40"/>
      <c r="D56" s="5" t="s">
        <v>48</v>
      </c>
      <c r="E56" s="4" t="s">
        <v>47</v>
      </c>
      <c r="F56" s="3" t="s">
        <v>46</v>
      </c>
      <c r="H56" s="7"/>
      <c r="I56" s="40"/>
      <c r="J56" s="5" t="s">
        <v>48</v>
      </c>
      <c r="K56" s="4" t="s">
        <v>47</v>
      </c>
      <c r="L56" s="3" t="s">
        <v>46</v>
      </c>
      <c r="N56" s="7"/>
      <c r="O56" s="40"/>
      <c r="P56" s="5" t="s">
        <v>48</v>
      </c>
      <c r="Q56" s="4" t="s">
        <v>47</v>
      </c>
      <c r="R56" s="3" t="s">
        <v>46</v>
      </c>
      <c r="T56" s="7"/>
      <c r="U56" s="14"/>
      <c r="V56" s="17" t="s">
        <v>82</v>
      </c>
      <c r="W56" s="16">
        <v>277.2</v>
      </c>
      <c r="X56" s="15" t="s">
        <v>81</v>
      </c>
    </row>
    <row r="57" spans="2:24" ht="30.75" thickBot="1" x14ac:dyDescent="0.3">
      <c r="B57" s="39"/>
      <c r="C57" s="38"/>
      <c r="D57" s="37" t="s">
        <v>6</v>
      </c>
      <c r="E57" s="36">
        <v>1</v>
      </c>
      <c r="F57" s="35" t="s">
        <v>5</v>
      </c>
      <c r="H57" s="39"/>
      <c r="I57" s="38"/>
      <c r="J57" s="37" t="s">
        <v>6</v>
      </c>
      <c r="K57" s="36">
        <v>1</v>
      </c>
      <c r="L57" s="35" t="s">
        <v>5</v>
      </c>
      <c r="N57" s="39"/>
      <c r="O57" s="38"/>
      <c r="P57" s="37" t="s">
        <v>6</v>
      </c>
      <c r="Q57" s="36">
        <v>1</v>
      </c>
      <c r="R57" s="35" t="s">
        <v>5</v>
      </c>
      <c r="T57" s="39"/>
      <c r="U57" s="38"/>
      <c r="V57" s="37" t="s">
        <v>6</v>
      </c>
      <c r="W57" s="36">
        <v>1</v>
      </c>
      <c r="X57" s="35" t="s">
        <v>5</v>
      </c>
    </row>
    <row r="58" spans="2:24" ht="15.75" thickBot="1" x14ac:dyDescent="0.3"/>
    <row r="59" spans="2:24" x14ac:dyDescent="0.25">
      <c r="B59" s="34" t="s">
        <v>21</v>
      </c>
      <c r="C59" s="33"/>
      <c r="D59" s="33"/>
      <c r="E59" s="33"/>
      <c r="F59" s="32"/>
      <c r="H59" s="34" t="s">
        <v>21</v>
      </c>
      <c r="I59" s="33"/>
      <c r="J59" s="33"/>
      <c r="K59" s="33"/>
      <c r="L59" s="32"/>
      <c r="N59" s="34" t="s">
        <v>21</v>
      </c>
      <c r="O59" s="33"/>
      <c r="P59" s="33"/>
      <c r="Q59" s="33"/>
      <c r="R59" s="32"/>
      <c r="T59" s="34" t="s">
        <v>21</v>
      </c>
      <c r="U59" s="33"/>
      <c r="V59" s="33"/>
      <c r="W59" s="33"/>
      <c r="X59" s="32"/>
    </row>
    <row r="60" spans="2:24" ht="15.75" thickBot="1" x14ac:dyDescent="0.3">
      <c r="B60" s="31" t="s">
        <v>20</v>
      </c>
      <c r="C60" s="30"/>
      <c r="D60" s="30"/>
      <c r="E60" s="30"/>
      <c r="F60" s="29"/>
      <c r="H60" s="31" t="s">
        <v>20</v>
      </c>
      <c r="I60" s="30"/>
      <c r="J60" s="30"/>
      <c r="K60" s="30"/>
      <c r="L60" s="29"/>
      <c r="N60" s="31" t="s">
        <v>20</v>
      </c>
      <c r="O60" s="30"/>
      <c r="P60" s="30"/>
      <c r="Q60" s="30"/>
      <c r="R60" s="29"/>
      <c r="T60" s="31" t="s">
        <v>20</v>
      </c>
      <c r="U60" s="30"/>
      <c r="V60" s="30"/>
      <c r="W60" s="30"/>
      <c r="X60" s="29"/>
    </row>
    <row r="61" spans="2:24" x14ac:dyDescent="0.25">
      <c r="B61" s="28" t="s">
        <v>19</v>
      </c>
      <c r="C61" s="27"/>
      <c r="D61" s="27"/>
      <c r="E61" s="27"/>
      <c r="F61" s="26"/>
      <c r="H61" s="28" t="s">
        <v>19</v>
      </c>
      <c r="I61" s="27"/>
      <c r="J61" s="27"/>
      <c r="K61" s="27"/>
      <c r="L61" s="26"/>
      <c r="N61" s="28" t="s">
        <v>19</v>
      </c>
      <c r="O61" s="27"/>
      <c r="P61" s="27"/>
      <c r="Q61" s="27"/>
      <c r="R61" s="26"/>
      <c r="T61" s="28" t="s">
        <v>19</v>
      </c>
      <c r="U61" s="27"/>
      <c r="V61" s="27"/>
      <c r="W61" s="27"/>
      <c r="X61" s="26"/>
    </row>
    <row r="62" spans="2:24" ht="15.75" thickBot="1" x14ac:dyDescent="0.3">
      <c r="B62" s="25" t="s">
        <v>18</v>
      </c>
      <c r="C62" s="23" t="s">
        <v>17</v>
      </c>
      <c r="D62" s="24" t="s">
        <v>16</v>
      </c>
      <c r="E62" s="23" t="s">
        <v>15</v>
      </c>
      <c r="F62" s="22" t="s">
        <v>14</v>
      </c>
      <c r="H62" s="25" t="s">
        <v>18</v>
      </c>
      <c r="I62" s="23" t="s">
        <v>17</v>
      </c>
      <c r="J62" s="24" t="s">
        <v>16</v>
      </c>
      <c r="K62" s="23" t="s">
        <v>15</v>
      </c>
      <c r="L62" s="22" t="s">
        <v>14</v>
      </c>
      <c r="N62" s="25" t="s">
        <v>18</v>
      </c>
      <c r="O62" s="23" t="s">
        <v>17</v>
      </c>
      <c r="P62" s="24" t="s">
        <v>16</v>
      </c>
      <c r="Q62" s="23" t="s">
        <v>15</v>
      </c>
      <c r="R62" s="22" t="s">
        <v>14</v>
      </c>
      <c r="T62" s="25" t="s">
        <v>18</v>
      </c>
      <c r="U62" s="23" t="s">
        <v>17</v>
      </c>
      <c r="V62" s="24" t="s">
        <v>16</v>
      </c>
      <c r="W62" s="23" t="s">
        <v>15</v>
      </c>
      <c r="X62" s="22" t="s">
        <v>14</v>
      </c>
    </row>
    <row r="63" spans="2:24" x14ac:dyDescent="0.25">
      <c r="B63" s="21" t="s">
        <v>13</v>
      </c>
      <c r="C63" s="20"/>
      <c r="D63" s="20"/>
      <c r="E63" s="20"/>
      <c r="F63" s="19"/>
      <c r="H63" s="21" t="s">
        <v>13</v>
      </c>
      <c r="I63" s="20"/>
      <c r="J63" s="20"/>
      <c r="K63" s="20"/>
      <c r="L63" s="19"/>
      <c r="N63" s="21" t="s">
        <v>13</v>
      </c>
      <c r="O63" s="20"/>
      <c r="P63" s="20"/>
      <c r="Q63" s="20"/>
      <c r="R63" s="19"/>
      <c r="T63" s="21" t="s">
        <v>13</v>
      </c>
      <c r="U63" s="20"/>
      <c r="V63" s="20"/>
      <c r="W63" s="20"/>
      <c r="X63" s="19"/>
    </row>
    <row r="64" spans="2:24" x14ac:dyDescent="0.25">
      <c r="B64" s="7"/>
      <c r="C64" s="18" t="s">
        <v>11</v>
      </c>
      <c r="D64" s="17"/>
      <c r="E64" s="16" t="s">
        <v>80</v>
      </c>
      <c r="F64" s="15"/>
      <c r="H64" s="7"/>
      <c r="I64" s="18" t="s">
        <v>11</v>
      </c>
      <c r="J64" s="17"/>
      <c r="K64" s="16" t="s">
        <v>79</v>
      </c>
      <c r="L64" s="15"/>
      <c r="N64" s="7"/>
      <c r="O64" s="18" t="s">
        <v>11</v>
      </c>
      <c r="P64" s="17"/>
      <c r="Q64" s="16" t="s">
        <v>78</v>
      </c>
      <c r="R64" s="15"/>
      <c r="T64" s="7"/>
      <c r="U64" s="18" t="s">
        <v>11</v>
      </c>
      <c r="V64" s="17"/>
      <c r="W64" s="16" t="s">
        <v>77</v>
      </c>
      <c r="X64" s="15"/>
    </row>
    <row r="65" spans="2:30" x14ac:dyDescent="0.25">
      <c r="B65" s="7"/>
      <c r="C65" s="18" t="s">
        <v>8</v>
      </c>
      <c r="D65" s="17"/>
      <c r="E65" s="16" t="s">
        <v>76</v>
      </c>
      <c r="F65" s="15"/>
      <c r="H65" s="7"/>
      <c r="I65" s="18" t="s">
        <v>8</v>
      </c>
      <c r="J65" s="17"/>
      <c r="K65" s="16" t="s">
        <v>75</v>
      </c>
      <c r="L65" s="15"/>
      <c r="N65" s="7"/>
      <c r="O65" s="18" t="s">
        <v>8</v>
      </c>
      <c r="P65" s="17"/>
      <c r="Q65" s="16" t="s">
        <v>74</v>
      </c>
      <c r="R65" s="15"/>
      <c r="T65" s="7"/>
      <c r="U65" s="18" t="s">
        <v>8</v>
      </c>
      <c r="V65" s="17"/>
      <c r="W65" s="16" t="s">
        <v>73</v>
      </c>
      <c r="X65" s="15"/>
    </row>
    <row r="66" spans="2:30" ht="15" customHeight="1" x14ac:dyDescent="0.25">
      <c r="B66" s="7"/>
      <c r="C66" s="18" t="s">
        <v>62</v>
      </c>
      <c r="D66" s="17"/>
      <c r="E66" s="16">
        <f>15*12*30</f>
        <v>5400</v>
      </c>
      <c r="F66" s="15" t="s">
        <v>59</v>
      </c>
      <c r="H66" s="7"/>
      <c r="I66" s="18" t="s">
        <v>62</v>
      </c>
      <c r="J66" s="17"/>
      <c r="K66" s="16">
        <f>15*12*30</f>
        <v>5400</v>
      </c>
      <c r="L66" s="15" t="s">
        <v>59</v>
      </c>
      <c r="N66" s="7"/>
      <c r="O66" s="18" t="s">
        <v>62</v>
      </c>
      <c r="P66" s="17"/>
      <c r="Q66" s="16">
        <f>15*12*30</f>
        <v>5400</v>
      </c>
      <c r="R66" s="15" t="s">
        <v>59</v>
      </c>
      <c r="T66" s="7"/>
      <c r="U66" s="18" t="s">
        <v>62</v>
      </c>
      <c r="V66" s="17"/>
      <c r="W66" s="16">
        <f>15*12*30</f>
        <v>5400</v>
      </c>
      <c r="X66" s="15" t="s">
        <v>59</v>
      </c>
    </row>
    <row r="67" spans="2:30" ht="15" customHeight="1" x14ac:dyDescent="0.25">
      <c r="B67" s="7"/>
      <c r="C67" s="44" t="s">
        <v>61</v>
      </c>
      <c r="D67" s="5"/>
      <c r="E67" s="4">
        <v>120</v>
      </c>
      <c r="F67" s="3" t="s">
        <v>59</v>
      </c>
      <c r="H67" s="7"/>
      <c r="I67" s="44" t="s">
        <v>61</v>
      </c>
      <c r="J67" s="5"/>
      <c r="K67" s="4">
        <v>120</v>
      </c>
      <c r="L67" s="3" t="s">
        <v>59</v>
      </c>
      <c r="N67" s="7"/>
      <c r="O67" s="44" t="s">
        <v>61</v>
      </c>
      <c r="P67" s="5"/>
      <c r="Q67" s="4">
        <v>120</v>
      </c>
      <c r="R67" s="3" t="s">
        <v>59</v>
      </c>
      <c r="T67" s="7"/>
      <c r="U67" s="44" t="s">
        <v>61</v>
      </c>
      <c r="V67" s="5"/>
      <c r="W67" s="4">
        <v>120</v>
      </c>
      <c r="X67" s="3" t="s">
        <v>59</v>
      </c>
    </row>
    <row r="68" spans="2:30" ht="15" customHeight="1" x14ac:dyDescent="0.25">
      <c r="B68" s="7"/>
      <c r="C68" s="6" t="s">
        <v>60</v>
      </c>
      <c r="D68" s="14"/>
      <c r="E68" s="43">
        <f>E66-E67-(E69+E71)/2*10</f>
        <v>5275</v>
      </c>
      <c r="F68" s="12" t="s">
        <v>59</v>
      </c>
      <c r="H68" s="7"/>
      <c r="I68" s="6" t="s">
        <v>60</v>
      </c>
      <c r="J68" s="14"/>
      <c r="K68" s="43">
        <f>K66-K67-(K69+K71)/2*10</f>
        <v>5275</v>
      </c>
      <c r="L68" s="12" t="s">
        <v>59</v>
      </c>
      <c r="N68" s="7"/>
      <c r="O68" s="6" t="s">
        <v>60</v>
      </c>
      <c r="P68" s="14"/>
      <c r="Q68" s="43">
        <f>Q66-Q67-(Q69+Q71)/2*10</f>
        <v>5275</v>
      </c>
      <c r="R68" s="12" t="s">
        <v>59</v>
      </c>
      <c r="T68" s="7"/>
      <c r="U68" s="6" t="s">
        <v>60</v>
      </c>
      <c r="V68" s="14"/>
      <c r="W68" s="43">
        <f>W66-W67-(W69+W71)/2*10</f>
        <v>5275</v>
      </c>
      <c r="X68" s="12" t="s">
        <v>59</v>
      </c>
    </row>
    <row r="69" spans="2:30" ht="15" customHeight="1" x14ac:dyDescent="0.25">
      <c r="B69" s="7"/>
      <c r="C69" s="6" t="s">
        <v>58</v>
      </c>
      <c r="D69" s="14" t="s">
        <v>54</v>
      </c>
      <c r="E69" s="42">
        <f>((E67/E66)*45-E70)</f>
        <v>1</v>
      </c>
      <c r="F69" s="12" t="s">
        <v>53</v>
      </c>
      <c r="H69" s="7"/>
      <c r="I69" s="6" t="s">
        <v>58</v>
      </c>
      <c r="J69" s="14" t="s">
        <v>54</v>
      </c>
      <c r="K69" s="42">
        <f>((K67/K66)*45-K70)</f>
        <v>1</v>
      </c>
      <c r="L69" s="12" t="s">
        <v>53</v>
      </c>
      <c r="N69" s="7"/>
      <c r="O69" s="6" t="s">
        <v>58</v>
      </c>
      <c r="P69" s="14" t="s">
        <v>54</v>
      </c>
      <c r="Q69" s="42">
        <f>((Q67/Q66)*45-Q70)</f>
        <v>1</v>
      </c>
      <c r="R69" s="12" t="s">
        <v>53</v>
      </c>
      <c r="T69" s="7"/>
      <c r="U69" s="6" t="s">
        <v>58</v>
      </c>
      <c r="V69" s="14" t="s">
        <v>54</v>
      </c>
      <c r="W69" s="42">
        <f>((W67/W66)*45-W70)</f>
        <v>1</v>
      </c>
      <c r="X69" s="12" t="s">
        <v>53</v>
      </c>
    </row>
    <row r="70" spans="2:30" ht="15" customHeight="1" x14ac:dyDescent="0.25">
      <c r="B70" s="7"/>
      <c r="C70" s="6"/>
      <c r="D70" s="14" t="s">
        <v>57</v>
      </c>
      <c r="E70" s="41"/>
      <c r="F70" s="12" t="s">
        <v>56</v>
      </c>
      <c r="H70" s="7"/>
      <c r="I70" s="6"/>
      <c r="J70" s="14" t="s">
        <v>57</v>
      </c>
      <c r="K70" s="41"/>
      <c r="L70" s="12" t="s">
        <v>56</v>
      </c>
      <c r="N70" s="7"/>
      <c r="O70" s="6"/>
      <c r="P70" s="14" t="s">
        <v>57</v>
      </c>
      <c r="Q70" s="41"/>
      <c r="R70" s="12" t="s">
        <v>56</v>
      </c>
      <c r="T70" s="7"/>
      <c r="U70" s="6"/>
      <c r="V70" s="14" t="s">
        <v>57</v>
      </c>
      <c r="W70" s="41"/>
      <c r="X70" s="12" t="s">
        <v>56</v>
      </c>
    </row>
    <row r="71" spans="2:30" ht="15" customHeight="1" x14ac:dyDescent="0.25">
      <c r="B71" s="7"/>
      <c r="C71" s="6" t="s">
        <v>55</v>
      </c>
      <c r="D71" s="14" t="s">
        <v>54</v>
      </c>
      <c r="E71" s="41">
        <f>'[2]Data Lingkungan_IC'!BJ64</f>
        <v>0</v>
      </c>
      <c r="F71" s="12" t="s">
        <v>53</v>
      </c>
      <c r="H71" s="7"/>
      <c r="I71" s="6" t="s">
        <v>55</v>
      </c>
      <c r="J71" s="14" t="s">
        <v>54</v>
      </c>
      <c r="K71" s="41">
        <f>'[2]Data Lingkungan_IC'!DC68</f>
        <v>0</v>
      </c>
      <c r="L71" s="12" t="s">
        <v>53</v>
      </c>
      <c r="N71" s="7"/>
      <c r="O71" s="6" t="s">
        <v>55</v>
      </c>
      <c r="P71" s="14" t="s">
        <v>54</v>
      </c>
      <c r="Q71" s="41">
        <f>'[2]Data Lingkungan_IC'!CT63</f>
        <v>0</v>
      </c>
      <c r="R71" s="12" t="s">
        <v>53</v>
      </c>
      <c r="T71" s="7"/>
      <c r="U71" s="6" t="s">
        <v>55</v>
      </c>
      <c r="V71" s="14" t="s">
        <v>54</v>
      </c>
      <c r="W71" s="41">
        <f>'[2]Data Lingkungan_IC'!$DL$65</f>
        <v>0</v>
      </c>
      <c r="X71" s="12" t="s">
        <v>53</v>
      </c>
    </row>
    <row r="72" spans="2:30" ht="15" customHeight="1" x14ac:dyDescent="0.25">
      <c r="B72" s="7"/>
      <c r="C72" s="6" t="s">
        <v>6</v>
      </c>
      <c r="D72" s="14"/>
      <c r="E72" s="13">
        <f>(E68/E66)</f>
        <v>0.97685185185185186</v>
      </c>
      <c r="F72" s="12" t="s">
        <v>5</v>
      </c>
      <c r="H72" s="7"/>
      <c r="I72" s="6" t="s">
        <v>6</v>
      </c>
      <c r="J72" s="14"/>
      <c r="K72" s="13">
        <f>(K68/K66)</f>
        <v>0.97685185185185186</v>
      </c>
      <c r="L72" s="12" t="s">
        <v>5</v>
      </c>
      <c r="N72" s="7"/>
      <c r="O72" s="6" t="s">
        <v>6</v>
      </c>
      <c r="P72" s="14"/>
      <c r="Q72" s="13">
        <f>(Q68/Q66)</f>
        <v>0.97685185185185186</v>
      </c>
      <c r="R72" s="12" t="s">
        <v>5</v>
      </c>
      <c r="T72" s="7"/>
      <c r="U72" s="6" t="s">
        <v>6</v>
      </c>
      <c r="V72" s="14"/>
      <c r="W72" s="13">
        <f>(W68/W66)</f>
        <v>0.97685185185185186</v>
      </c>
      <c r="X72" s="12" t="s">
        <v>5</v>
      </c>
    </row>
    <row r="73" spans="2:30" ht="15" customHeight="1" x14ac:dyDescent="0.25">
      <c r="B73" s="11"/>
      <c r="C73" s="6" t="s">
        <v>4</v>
      </c>
      <c r="D73" s="10" t="s">
        <v>3</v>
      </c>
      <c r="E73" s="9" t="s">
        <v>52</v>
      </c>
      <c r="F73" s="8"/>
      <c r="H73" s="11"/>
      <c r="I73" s="6" t="s">
        <v>4</v>
      </c>
      <c r="J73" s="10" t="s">
        <v>3</v>
      </c>
      <c r="K73" s="9" t="s">
        <v>52</v>
      </c>
      <c r="L73" s="8"/>
      <c r="N73" s="11"/>
      <c r="O73" s="6" t="s">
        <v>4</v>
      </c>
      <c r="P73" s="10" t="s">
        <v>3</v>
      </c>
      <c r="Q73" s="9" t="s">
        <v>52</v>
      </c>
      <c r="R73" s="8"/>
      <c r="T73" s="11"/>
      <c r="U73" s="6" t="s">
        <v>4</v>
      </c>
      <c r="V73" s="10" t="s">
        <v>3</v>
      </c>
      <c r="W73" s="9" t="s">
        <v>52</v>
      </c>
      <c r="X73" s="8"/>
    </row>
    <row r="74" spans="2:30" x14ac:dyDescent="0.25">
      <c r="B74" s="7"/>
      <c r="C74" s="6"/>
      <c r="D74" s="5" t="s">
        <v>1</v>
      </c>
      <c r="E74" s="4" t="s">
        <v>50</v>
      </c>
      <c r="F74" s="3" t="s">
        <v>49</v>
      </c>
      <c r="H74" s="7"/>
      <c r="I74" s="6"/>
      <c r="J74" s="5" t="s">
        <v>1</v>
      </c>
      <c r="K74" s="4" t="s">
        <v>50</v>
      </c>
      <c r="L74" s="3" t="s">
        <v>49</v>
      </c>
      <c r="N74" s="7"/>
      <c r="O74" s="6"/>
      <c r="P74" s="5" t="s">
        <v>1</v>
      </c>
      <c r="Q74" s="4" t="s">
        <v>50</v>
      </c>
      <c r="R74" s="3" t="s">
        <v>49</v>
      </c>
      <c r="T74" s="7"/>
      <c r="U74" s="6"/>
      <c r="V74" s="5" t="s">
        <v>1</v>
      </c>
      <c r="W74" s="4" t="s">
        <v>50</v>
      </c>
      <c r="X74" s="3" t="s">
        <v>49</v>
      </c>
    </row>
    <row r="75" spans="2:30" x14ac:dyDescent="0.25">
      <c r="B75" s="7"/>
      <c r="C75" s="40"/>
      <c r="D75" s="5" t="s">
        <v>48</v>
      </c>
      <c r="E75" s="4" t="s">
        <v>47</v>
      </c>
      <c r="F75" s="3" t="s">
        <v>46</v>
      </c>
      <c r="H75" s="7"/>
      <c r="I75" s="40"/>
      <c r="J75" s="5" t="s">
        <v>48</v>
      </c>
      <c r="K75" s="4" t="s">
        <v>47</v>
      </c>
      <c r="L75" s="3" t="s">
        <v>46</v>
      </c>
      <c r="N75" s="7"/>
      <c r="O75" s="40"/>
      <c r="P75" s="5" t="s">
        <v>48</v>
      </c>
      <c r="Q75" s="4" t="s">
        <v>47</v>
      </c>
      <c r="R75" s="3" t="s">
        <v>46</v>
      </c>
      <c r="T75" s="7"/>
      <c r="U75" s="40"/>
      <c r="V75" s="5" t="s">
        <v>48</v>
      </c>
      <c r="W75" s="4" t="s">
        <v>47</v>
      </c>
      <c r="X75" s="3" t="s">
        <v>46</v>
      </c>
    </row>
    <row r="76" spans="2:30" ht="30.75" thickBot="1" x14ac:dyDescent="0.3">
      <c r="B76" s="39"/>
      <c r="C76" s="38"/>
      <c r="D76" s="37" t="s">
        <v>6</v>
      </c>
      <c r="E76" s="36">
        <v>1</v>
      </c>
      <c r="F76" s="35" t="s">
        <v>5</v>
      </c>
      <c r="H76" s="39"/>
      <c r="I76" s="38"/>
      <c r="J76" s="37" t="s">
        <v>6</v>
      </c>
      <c r="K76" s="36">
        <v>1</v>
      </c>
      <c r="L76" s="35" t="s">
        <v>5</v>
      </c>
      <c r="N76" s="39"/>
      <c r="O76" s="38"/>
      <c r="P76" s="37" t="s">
        <v>6</v>
      </c>
      <c r="Q76" s="36">
        <v>1</v>
      </c>
      <c r="R76" s="35" t="s">
        <v>5</v>
      </c>
      <c r="T76" s="39"/>
      <c r="U76" s="38"/>
      <c r="V76" s="37" t="s">
        <v>6</v>
      </c>
      <c r="W76" s="36">
        <v>1</v>
      </c>
      <c r="X76" s="35" t="s">
        <v>5</v>
      </c>
    </row>
    <row r="77" spans="2:30" ht="15.75" thickBot="1" x14ac:dyDescent="0.3"/>
    <row r="78" spans="2:30" x14ac:dyDescent="0.25">
      <c r="B78" s="34" t="s">
        <v>21</v>
      </c>
      <c r="C78" s="33"/>
      <c r="D78" s="33"/>
      <c r="E78" s="33"/>
      <c r="F78" s="32"/>
      <c r="H78" s="34" t="s">
        <v>21</v>
      </c>
      <c r="I78" s="33"/>
      <c r="J78" s="33"/>
      <c r="K78" s="33"/>
      <c r="L78" s="32"/>
      <c r="N78" s="34" t="s">
        <v>21</v>
      </c>
      <c r="O78" s="33"/>
      <c r="P78" s="33"/>
      <c r="Q78" s="33"/>
      <c r="R78" s="32"/>
      <c r="T78" s="34" t="s">
        <v>21</v>
      </c>
      <c r="U78" s="33"/>
      <c r="V78" s="33"/>
      <c r="W78" s="33"/>
      <c r="X78" s="32"/>
      <c r="Z78" s="34" t="s">
        <v>21</v>
      </c>
      <c r="AA78" s="33"/>
      <c r="AB78" s="33"/>
      <c r="AC78" s="33"/>
      <c r="AD78" s="32"/>
    </row>
    <row r="79" spans="2:30" ht="15.75" thickBot="1" x14ac:dyDescent="0.3">
      <c r="B79" s="31" t="s">
        <v>20</v>
      </c>
      <c r="C79" s="30"/>
      <c r="D79" s="30"/>
      <c r="E79" s="30"/>
      <c r="F79" s="29"/>
      <c r="H79" s="31" t="s">
        <v>20</v>
      </c>
      <c r="I79" s="30"/>
      <c r="J79" s="30"/>
      <c r="K79" s="30"/>
      <c r="L79" s="29"/>
      <c r="N79" s="31" t="s">
        <v>20</v>
      </c>
      <c r="O79" s="30"/>
      <c r="P79" s="30"/>
      <c r="Q79" s="30"/>
      <c r="R79" s="29"/>
      <c r="T79" s="31" t="s">
        <v>20</v>
      </c>
      <c r="U79" s="30"/>
      <c r="V79" s="30"/>
      <c r="W79" s="30"/>
      <c r="X79" s="29"/>
      <c r="Z79" s="31" t="s">
        <v>20</v>
      </c>
      <c r="AA79" s="30"/>
      <c r="AB79" s="30"/>
      <c r="AC79" s="30"/>
      <c r="AD79" s="29"/>
    </row>
    <row r="80" spans="2:30" x14ac:dyDescent="0.25">
      <c r="B80" s="28" t="s">
        <v>19</v>
      </c>
      <c r="C80" s="27"/>
      <c r="D80" s="27"/>
      <c r="E80" s="27"/>
      <c r="F80" s="26"/>
      <c r="H80" s="28" t="s">
        <v>19</v>
      </c>
      <c r="I80" s="27"/>
      <c r="J80" s="27"/>
      <c r="K80" s="27"/>
      <c r="L80" s="26"/>
      <c r="N80" s="28" t="s">
        <v>19</v>
      </c>
      <c r="O80" s="27"/>
      <c r="P80" s="27"/>
      <c r="Q80" s="27"/>
      <c r="R80" s="26"/>
      <c r="T80" s="28" t="s">
        <v>19</v>
      </c>
      <c r="U80" s="27"/>
      <c r="V80" s="27"/>
      <c r="W80" s="27"/>
      <c r="X80" s="26"/>
      <c r="Z80" s="28" t="s">
        <v>19</v>
      </c>
      <c r="AA80" s="27"/>
      <c r="AB80" s="27"/>
      <c r="AC80" s="27"/>
      <c r="AD80" s="26"/>
    </row>
    <row r="81" spans="2:30" ht="15.75" thickBot="1" x14ac:dyDescent="0.3">
      <c r="B81" s="25" t="s">
        <v>18</v>
      </c>
      <c r="C81" s="23" t="s">
        <v>17</v>
      </c>
      <c r="D81" s="24" t="s">
        <v>16</v>
      </c>
      <c r="E81" s="23" t="s">
        <v>15</v>
      </c>
      <c r="F81" s="22" t="s">
        <v>14</v>
      </c>
      <c r="H81" s="25" t="s">
        <v>18</v>
      </c>
      <c r="I81" s="23" t="s">
        <v>17</v>
      </c>
      <c r="J81" s="24" t="s">
        <v>16</v>
      </c>
      <c r="K81" s="23" t="s">
        <v>15</v>
      </c>
      <c r="L81" s="22" t="s">
        <v>14</v>
      </c>
      <c r="N81" s="25" t="s">
        <v>18</v>
      </c>
      <c r="O81" s="23" t="s">
        <v>17</v>
      </c>
      <c r="P81" s="24" t="s">
        <v>16</v>
      </c>
      <c r="Q81" s="23" t="s">
        <v>15</v>
      </c>
      <c r="R81" s="22" t="s">
        <v>14</v>
      </c>
      <c r="T81" s="25" t="s">
        <v>18</v>
      </c>
      <c r="U81" s="23" t="s">
        <v>17</v>
      </c>
      <c r="V81" s="24" t="s">
        <v>16</v>
      </c>
      <c r="W81" s="23" t="s">
        <v>15</v>
      </c>
      <c r="X81" s="22" t="s">
        <v>14</v>
      </c>
      <c r="Z81" s="25" t="s">
        <v>18</v>
      </c>
      <c r="AA81" s="23" t="s">
        <v>17</v>
      </c>
      <c r="AB81" s="24" t="s">
        <v>16</v>
      </c>
      <c r="AC81" s="23" t="s">
        <v>15</v>
      </c>
      <c r="AD81" s="22" t="s">
        <v>14</v>
      </c>
    </row>
    <row r="82" spans="2:30" x14ac:dyDescent="0.25">
      <c r="B82" s="21" t="s">
        <v>13</v>
      </c>
      <c r="C82" s="20"/>
      <c r="D82" s="20"/>
      <c r="E82" s="20"/>
      <c r="F82" s="19"/>
      <c r="H82" s="21" t="s">
        <v>13</v>
      </c>
      <c r="I82" s="20"/>
      <c r="J82" s="20"/>
      <c r="K82" s="20"/>
      <c r="L82" s="19"/>
      <c r="N82" s="21" t="s">
        <v>13</v>
      </c>
      <c r="O82" s="20"/>
      <c r="P82" s="20"/>
      <c r="Q82" s="20"/>
      <c r="R82" s="19"/>
      <c r="T82" s="21" t="s">
        <v>13</v>
      </c>
      <c r="U82" s="20"/>
      <c r="V82" s="20"/>
      <c r="W82" s="20"/>
      <c r="X82" s="19"/>
      <c r="Z82" s="21" t="s">
        <v>13</v>
      </c>
      <c r="AA82" s="20"/>
      <c r="AB82" s="20"/>
      <c r="AC82" s="20"/>
      <c r="AD82" s="19"/>
    </row>
    <row r="83" spans="2:30" x14ac:dyDescent="0.25">
      <c r="B83" s="7"/>
      <c r="C83" s="18" t="s">
        <v>11</v>
      </c>
      <c r="D83" s="17"/>
      <c r="E83" s="16" t="s">
        <v>72</v>
      </c>
      <c r="F83" s="15"/>
      <c r="H83" s="7"/>
      <c r="I83" s="18" t="s">
        <v>11</v>
      </c>
      <c r="J83" s="17"/>
      <c r="K83" s="16" t="s">
        <v>71</v>
      </c>
      <c r="L83" s="15"/>
      <c r="N83" s="7"/>
      <c r="O83" s="18" t="s">
        <v>11</v>
      </c>
      <c r="P83" s="17"/>
      <c r="Q83" s="16" t="s">
        <v>70</v>
      </c>
      <c r="R83" s="15"/>
      <c r="T83" s="7"/>
      <c r="U83" s="18" t="s">
        <v>11</v>
      </c>
      <c r="V83" s="17"/>
      <c r="W83" s="16" t="s">
        <v>69</v>
      </c>
      <c r="X83" s="15"/>
      <c r="Z83" s="7"/>
      <c r="AA83" s="18" t="s">
        <v>11</v>
      </c>
      <c r="AB83" s="17"/>
      <c r="AC83" s="16" t="s">
        <v>68</v>
      </c>
      <c r="AD83" s="15"/>
    </row>
    <row r="84" spans="2:30" x14ac:dyDescent="0.25">
      <c r="B84" s="7"/>
      <c r="C84" s="18" t="s">
        <v>8</v>
      </c>
      <c r="D84" s="17"/>
      <c r="E84" s="16" t="s">
        <v>67</v>
      </c>
      <c r="F84" s="15"/>
      <c r="H84" s="7"/>
      <c r="I84" s="18" t="s">
        <v>8</v>
      </c>
      <c r="J84" s="17"/>
      <c r="K84" s="16" t="s">
        <v>66</v>
      </c>
      <c r="L84" s="15"/>
      <c r="N84" s="7"/>
      <c r="O84" s="18" t="s">
        <v>8</v>
      </c>
      <c r="P84" s="17"/>
      <c r="Q84" s="16" t="s">
        <v>65</v>
      </c>
      <c r="R84" s="15"/>
      <c r="T84" s="7"/>
      <c r="U84" s="18" t="s">
        <v>8</v>
      </c>
      <c r="V84" s="17"/>
      <c r="W84" s="16" t="s">
        <v>64</v>
      </c>
      <c r="X84" s="15"/>
      <c r="Z84" s="7"/>
      <c r="AA84" s="18" t="s">
        <v>8</v>
      </c>
      <c r="AB84" s="17"/>
      <c r="AC84" s="16" t="s">
        <v>63</v>
      </c>
      <c r="AD84" s="15"/>
    </row>
    <row r="85" spans="2:30" ht="15" customHeight="1" x14ac:dyDescent="0.25">
      <c r="B85" s="7"/>
      <c r="C85" s="18" t="s">
        <v>62</v>
      </c>
      <c r="D85" s="17"/>
      <c r="E85" s="16">
        <f>15*12*30</f>
        <v>5400</v>
      </c>
      <c r="F85" s="15" t="s">
        <v>59</v>
      </c>
      <c r="H85" s="7"/>
      <c r="I85" s="18" t="s">
        <v>62</v>
      </c>
      <c r="J85" s="17"/>
      <c r="K85" s="16">
        <f>15*12*30</f>
        <v>5400</v>
      </c>
      <c r="L85" s="15" t="s">
        <v>59</v>
      </c>
      <c r="N85" s="7"/>
      <c r="O85" s="18" t="s">
        <v>62</v>
      </c>
      <c r="P85" s="17"/>
      <c r="Q85" s="16">
        <f>15*12*30</f>
        <v>5400</v>
      </c>
      <c r="R85" s="15" t="s">
        <v>59</v>
      </c>
      <c r="T85" s="7"/>
      <c r="U85" s="18" t="s">
        <v>62</v>
      </c>
      <c r="V85" s="17"/>
      <c r="W85" s="16">
        <f>15*12*30</f>
        <v>5400</v>
      </c>
      <c r="X85" s="15" t="s">
        <v>59</v>
      </c>
      <c r="Z85" s="7"/>
      <c r="AA85" s="18" t="s">
        <v>62</v>
      </c>
      <c r="AB85" s="17"/>
      <c r="AC85" s="16">
        <v>14</v>
      </c>
      <c r="AD85" s="15" t="s">
        <v>59</v>
      </c>
    </row>
    <row r="86" spans="2:30" ht="15" customHeight="1" x14ac:dyDescent="0.25">
      <c r="B86" s="7"/>
      <c r="C86" s="44" t="s">
        <v>61</v>
      </c>
      <c r="D86" s="5"/>
      <c r="E86" s="4">
        <v>120</v>
      </c>
      <c r="F86" s="3" t="s">
        <v>59</v>
      </c>
      <c r="H86" s="7"/>
      <c r="I86" s="44" t="s">
        <v>61</v>
      </c>
      <c r="J86" s="5"/>
      <c r="K86" s="4">
        <v>120</v>
      </c>
      <c r="L86" s="3" t="s">
        <v>59</v>
      </c>
      <c r="N86" s="7"/>
      <c r="O86" s="44" t="s">
        <v>61</v>
      </c>
      <c r="P86" s="5"/>
      <c r="Q86" s="4">
        <v>120</v>
      </c>
      <c r="R86" s="3" t="s">
        <v>59</v>
      </c>
      <c r="T86" s="7"/>
      <c r="U86" s="44" t="s">
        <v>61</v>
      </c>
      <c r="V86" s="5"/>
      <c r="W86" s="4">
        <v>120</v>
      </c>
      <c r="X86" s="3" t="s">
        <v>59</v>
      </c>
      <c r="Z86" s="7"/>
      <c r="AA86" s="44" t="s">
        <v>61</v>
      </c>
      <c r="AB86" s="5"/>
      <c r="AC86" s="4">
        <v>14</v>
      </c>
      <c r="AD86" s="3" t="s">
        <v>59</v>
      </c>
    </row>
    <row r="87" spans="2:30" ht="15" customHeight="1" x14ac:dyDescent="0.25">
      <c r="B87" s="7"/>
      <c r="C87" s="6" t="s">
        <v>60</v>
      </c>
      <c r="D87" s="14"/>
      <c r="E87" s="43">
        <f>E85-E86-(E88+E90)/2*10</f>
        <v>5275</v>
      </c>
      <c r="F87" s="12" t="s">
        <v>59</v>
      </c>
      <c r="H87" s="7"/>
      <c r="I87" s="6" t="s">
        <v>60</v>
      </c>
      <c r="J87" s="14"/>
      <c r="K87" s="43">
        <f>K85-K86-(K88+K90)/2*10</f>
        <v>5275</v>
      </c>
      <c r="L87" s="12" t="s">
        <v>59</v>
      </c>
      <c r="N87" s="7"/>
      <c r="O87" s="6" t="s">
        <v>60</v>
      </c>
      <c r="P87" s="14"/>
      <c r="Q87" s="43">
        <f>Q85-Q86-(Q88+Q90)/2*10</f>
        <v>5275</v>
      </c>
      <c r="R87" s="12" t="s">
        <v>59</v>
      </c>
      <c r="T87" s="7"/>
      <c r="U87" s="6" t="s">
        <v>60</v>
      </c>
      <c r="V87" s="14"/>
      <c r="W87" s="43">
        <f>W85-W86-(W88+W90)/2*10</f>
        <v>5275</v>
      </c>
      <c r="X87" s="12" t="s">
        <v>59</v>
      </c>
      <c r="Z87" s="7"/>
      <c r="AA87" s="6" t="s">
        <v>60</v>
      </c>
      <c r="AB87" s="14"/>
      <c r="AC87" s="43">
        <f>AC85-AC86-(AC88+AC90)/2*10</f>
        <v>0</v>
      </c>
      <c r="AD87" s="12" t="s">
        <v>59</v>
      </c>
    </row>
    <row r="88" spans="2:30" ht="15" customHeight="1" x14ac:dyDescent="0.25">
      <c r="B88" s="7"/>
      <c r="C88" s="6" t="s">
        <v>58</v>
      </c>
      <c r="D88" s="14" t="s">
        <v>54</v>
      </c>
      <c r="E88" s="42">
        <f>((E86/E85)*45-E89)</f>
        <v>1</v>
      </c>
      <c r="F88" s="12" t="s">
        <v>53</v>
      </c>
      <c r="H88" s="7"/>
      <c r="I88" s="6" t="s">
        <v>58</v>
      </c>
      <c r="J88" s="14" t="s">
        <v>54</v>
      </c>
      <c r="K88" s="42">
        <f>((K86/K85)*45-K89)</f>
        <v>1</v>
      </c>
      <c r="L88" s="12" t="s">
        <v>53</v>
      </c>
      <c r="N88" s="7"/>
      <c r="O88" s="6" t="s">
        <v>58</v>
      </c>
      <c r="P88" s="14" t="s">
        <v>54</v>
      </c>
      <c r="Q88" s="42">
        <f>((Q86/Q85)*45-Q89)</f>
        <v>1</v>
      </c>
      <c r="R88" s="12" t="s">
        <v>53</v>
      </c>
      <c r="T88" s="7"/>
      <c r="U88" s="6" t="s">
        <v>58</v>
      </c>
      <c r="V88" s="14" t="s">
        <v>54</v>
      </c>
      <c r="W88" s="42">
        <f>((W86/W85)*45-W89)</f>
        <v>1</v>
      </c>
      <c r="X88" s="12" t="s">
        <v>53</v>
      </c>
      <c r="Z88" s="7"/>
      <c r="AA88" s="6" t="s">
        <v>58</v>
      </c>
      <c r="AB88" s="14" t="s">
        <v>54</v>
      </c>
      <c r="AC88" s="42">
        <f>((AC86/AC85)*0-AC89)</f>
        <v>0</v>
      </c>
      <c r="AD88" s="12" t="s">
        <v>53</v>
      </c>
    </row>
    <row r="89" spans="2:30" ht="15" customHeight="1" x14ac:dyDescent="0.25">
      <c r="B89" s="7"/>
      <c r="C89" s="6"/>
      <c r="D89" s="14" t="s">
        <v>57</v>
      </c>
      <c r="E89" s="41"/>
      <c r="F89" s="12" t="s">
        <v>56</v>
      </c>
      <c r="H89" s="7"/>
      <c r="I89" s="6"/>
      <c r="J89" s="14" t="s">
        <v>57</v>
      </c>
      <c r="K89" s="41"/>
      <c r="L89" s="12" t="s">
        <v>56</v>
      </c>
      <c r="N89" s="7"/>
      <c r="O89" s="6"/>
      <c r="P89" s="14" t="s">
        <v>57</v>
      </c>
      <c r="Q89" s="41"/>
      <c r="R89" s="12" t="s">
        <v>56</v>
      </c>
      <c r="T89" s="7"/>
      <c r="U89" s="6"/>
      <c r="V89" s="14" t="s">
        <v>57</v>
      </c>
      <c r="W89" s="41"/>
      <c r="X89" s="12" t="s">
        <v>56</v>
      </c>
      <c r="Z89" s="7"/>
      <c r="AA89" s="6"/>
      <c r="AB89" s="14" t="s">
        <v>57</v>
      </c>
      <c r="AC89" s="41"/>
      <c r="AD89" s="12" t="s">
        <v>56</v>
      </c>
    </row>
    <row r="90" spans="2:30" ht="15" customHeight="1" x14ac:dyDescent="0.25">
      <c r="B90" s="7"/>
      <c r="C90" s="6" t="s">
        <v>55</v>
      </c>
      <c r="D90" s="14" t="s">
        <v>54</v>
      </c>
      <c r="E90" s="41">
        <f>'[2]Data Lingkungan_IC'!BS65</f>
        <v>0</v>
      </c>
      <c r="F90" s="12" t="s">
        <v>53</v>
      </c>
      <c r="H90" s="7"/>
      <c r="I90" s="6" t="s">
        <v>55</v>
      </c>
      <c r="J90" s="14" t="s">
        <v>54</v>
      </c>
      <c r="K90" s="41">
        <f>'[2]Data Lingkungan_IC'!DU66</f>
        <v>0</v>
      </c>
      <c r="L90" s="12" t="s">
        <v>53</v>
      </c>
      <c r="N90" s="7"/>
      <c r="O90" s="6" t="s">
        <v>55</v>
      </c>
      <c r="P90" s="14" t="s">
        <v>54</v>
      </c>
      <c r="Q90" s="41">
        <f>'[2]Data Lingkungan_IC'!DC67</f>
        <v>0</v>
      </c>
      <c r="R90" s="12" t="s">
        <v>53</v>
      </c>
      <c r="T90" s="7"/>
      <c r="U90" s="6" t="s">
        <v>55</v>
      </c>
      <c r="V90" s="14" t="s">
        <v>54</v>
      </c>
      <c r="W90" s="41">
        <f>'[2]Data Lingkungan_IC'!CB63</f>
        <v>0</v>
      </c>
      <c r="X90" s="12" t="s">
        <v>53</v>
      </c>
      <c r="Z90" s="7"/>
      <c r="AA90" s="6" t="s">
        <v>55</v>
      </c>
      <c r="AB90" s="14" t="s">
        <v>54</v>
      </c>
      <c r="AC90" s="41">
        <f>'[2]Data Lingkungan_IC'!CB82</f>
        <v>0</v>
      </c>
      <c r="AD90" s="12" t="s">
        <v>53</v>
      </c>
    </row>
    <row r="91" spans="2:30" ht="15" customHeight="1" x14ac:dyDescent="0.25">
      <c r="B91" s="7"/>
      <c r="C91" s="6" t="s">
        <v>6</v>
      </c>
      <c r="D91" s="14"/>
      <c r="E91" s="13">
        <f>(E87/E85)</f>
        <v>0.97685185185185186</v>
      </c>
      <c r="F91" s="12" t="s">
        <v>5</v>
      </c>
      <c r="H91" s="7"/>
      <c r="I91" s="6" t="s">
        <v>6</v>
      </c>
      <c r="J91" s="14"/>
      <c r="K91" s="13">
        <f>(K87/K85)</f>
        <v>0.97685185185185186</v>
      </c>
      <c r="L91" s="12" t="s">
        <v>5</v>
      </c>
      <c r="N91" s="7"/>
      <c r="O91" s="6" t="s">
        <v>6</v>
      </c>
      <c r="P91" s="14"/>
      <c r="Q91" s="13">
        <f>(Q87/Q85)</f>
        <v>0.97685185185185186</v>
      </c>
      <c r="R91" s="12" t="s">
        <v>5</v>
      </c>
      <c r="T91" s="7"/>
      <c r="U91" s="6" t="s">
        <v>6</v>
      </c>
      <c r="V91" s="14"/>
      <c r="W91" s="13">
        <f>(W87/W85)</f>
        <v>0.97685185185185186</v>
      </c>
      <c r="X91" s="12" t="s">
        <v>5</v>
      </c>
      <c r="Z91" s="7"/>
      <c r="AA91" s="6" t="s">
        <v>6</v>
      </c>
      <c r="AB91" s="14"/>
      <c r="AC91" s="13">
        <f>(AC87/AC85)</f>
        <v>0</v>
      </c>
      <c r="AD91" s="12" t="s">
        <v>5</v>
      </c>
    </row>
    <row r="92" spans="2:30" ht="15" customHeight="1" x14ac:dyDescent="0.25">
      <c r="B92" s="11"/>
      <c r="C92" s="6" t="s">
        <v>4</v>
      </c>
      <c r="D92" s="10" t="s">
        <v>3</v>
      </c>
      <c r="E92" s="9" t="s">
        <v>52</v>
      </c>
      <c r="F92" s="8"/>
      <c r="H92" s="11"/>
      <c r="I92" s="6" t="s">
        <v>4</v>
      </c>
      <c r="J92" s="10" t="s">
        <v>3</v>
      </c>
      <c r="K92" s="9" t="s">
        <v>52</v>
      </c>
      <c r="L92" s="8"/>
      <c r="N92" s="11"/>
      <c r="O92" s="6" t="s">
        <v>4</v>
      </c>
      <c r="P92" s="10" t="s">
        <v>3</v>
      </c>
      <c r="Q92" s="9" t="s">
        <v>52</v>
      </c>
      <c r="R92" s="8"/>
      <c r="T92" s="11"/>
      <c r="U92" s="6" t="s">
        <v>4</v>
      </c>
      <c r="V92" s="10" t="s">
        <v>3</v>
      </c>
      <c r="W92" s="9" t="s">
        <v>52</v>
      </c>
      <c r="X92" s="8"/>
      <c r="Z92" s="11"/>
      <c r="AA92" s="6" t="s">
        <v>4</v>
      </c>
      <c r="AB92" s="10" t="s">
        <v>3</v>
      </c>
      <c r="AC92" s="9" t="s">
        <v>51</v>
      </c>
      <c r="AD92" s="8"/>
    </row>
    <row r="93" spans="2:30" x14ac:dyDescent="0.25">
      <c r="B93" s="7"/>
      <c r="C93" s="6"/>
      <c r="D93" s="5" t="s">
        <v>1</v>
      </c>
      <c r="E93" s="4" t="s">
        <v>50</v>
      </c>
      <c r="F93" s="3" t="s">
        <v>49</v>
      </c>
      <c r="H93" s="7"/>
      <c r="I93" s="6"/>
      <c r="J93" s="5" t="s">
        <v>1</v>
      </c>
      <c r="K93" s="4" t="s">
        <v>50</v>
      </c>
      <c r="L93" s="3" t="s">
        <v>49</v>
      </c>
      <c r="N93" s="7"/>
      <c r="O93" s="6"/>
      <c r="P93" s="5" t="s">
        <v>1</v>
      </c>
      <c r="Q93" s="4" t="s">
        <v>50</v>
      </c>
      <c r="R93" s="3" t="s">
        <v>49</v>
      </c>
      <c r="T93" s="7"/>
      <c r="U93" s="6"/>
      <c r="V93" s="5" t="s">
        <v>1</v>
      </c>
      <c r="W93" s="4" t="s">
        <v>50</v>
      </c>
      <c r="X93" s="3" t="s">
        <v>49</v>
      </c>
      <c r="Z93" s="7"/>
      <c r="AA93" s="6"/>
      <c r="AB93" s="5" t="s">
        <v>1</v>
      </c>
      <c r="AC93" s="4" t="s">
        <v>50</v>
      </c>
      <c r="AD93" s="3" t="s">
        <v>49</v>
      </c>
    </row>
    <row r="94" spans="2:30" x14ac:dyDescent="0.25">
      <c r="B94" s="7"/>
      <c r="C94" s="40"/>
      <c r="D94" s="5" t="s">
        <v>48</v>
      </c>
      <c r="E94" s="4" t="s">
        <v>47</v>
      </c>
      <c r="F94" s="3" t="s">
        <v>46</v>
      </c>
      <c r="H94" s="7"/>
      <c r="I94" s="40"/>
      <c r="J94" s="5" t="s">
        <v>48</v>
      </c>
      <c r="K94" s="4" t="s">
        <v>47</v>
      </c>
      <c r="L94" s="3" t="s">
        <v>46</v>
      </c>
      <c r="N94" s="7"/>
      <c r="O94" s="40"/>
      <c r="P94" s="5" t="s">
        <v>48</v>
      </c>
      <c r="Q94" s="4" t="s">
        <v>47</v>
      </c>
      <c r="R94" s="3" t="s">
        <v>46</v>
      </c>
      <c r="T94" s="7"/>
      <c r="U94" s="40"/>
      <c r="V94" s="5" t="s">
        <v>48</v>
      </c>
      <c r="W94" s="4" t="s">
        <v>47</v>
      </c>
      <c r="X94" s="3" t="s">
        <v>46</v>
      </c>
      <c r="Z94" s="7"/>
      <c r="AA94" s="40"/>
      <c r="AB94" s="5" t="s">
        <v>48</v>
      </c>
      <c r="AC94" s="4" t="s">
        <v>47</v>
      </c>
      <c r="AD94" s="3" t="s">
        <v>46</v>
      </c>
    </row>
    <row r="95" spans="2:30" ht="30.75" thickBot="1" x14ac:dyDescent="0.3">
      <c r="B95" s="39"/>
      <c r="C95" s="38"/>
      <c r="D95" s="37" t="s">
        <v>6</v>
      </c>
      <c r="E95" s="36">
        <v>1</v>
      </c>
      <c r="F95" s="35" t="s">
        <v>5</v>
      </c>
      <c r="H95" s="39"/>
      <c r="I95" s="38"/>
      <c r="J95" s="37" t="s">
        <v>6</v>
      </c>
      <c r="K95" s="36">
        <v>1</v>
      </c>
      <c r="L95" s="35" t="s">
        <v>5</v>
      </c>
      <c r="N95" s="39"/>
      <c r="O95" s="38"/>
      <c r="P95" s="37" t="s">
        <v>6</v>
      </c>
      <c r="Q95" s="36">
        <v>1</v>
      </c>
      <c r="R95" s="35" t="s">
        <v>5</v>
      </c>
      <c r="T95" s="39"/>
      <c r="U95" s="38"/>
      <c r="V95" s="37" t="s">
        <v>6</v>
      </c>
      <c r="W95" s="36">
        <v>1</v>
      </c>
      <c r="X95" s="35" t="s">
        <v>5</v>
      </c>
      <c r="Z95" s="39"/>
      <c r="AA95" s="38"/>
      <c r="AB95" s="37" t="s">
        <v>6</v>
      </c>
      <c r="AC95" s="36">
        <v>1</v>
      </c>
      <c r="AD95" s="35" t="s">
        <v>5</v>
      </c>
    </row>
    <row r="96" spans="2:30" ht="15.75" thickBot="1" x14ac:dyDescent="0.3"/>
    <row r="97" spans="2:24" x14ac:dyDescent="0.25">
      <c r="B97" s="34" t="s">
        <v>21</v>
      </c>
      <c r="C97" s="33"/>
      <c r="D97" s="33"/>
      <c r="E97" s="33"/>
      <c r="F97" s="32"/>
      <c r="H97" s="34" t="s">
        <v>21</v>
      </c>
      <c r="I97" s="33"/>
      <c r="J97" s="33"/>
      <c r="K97" s="33"/>
      <c r="L97" s="32"/>
      <c r="N97" s="34" t="s">
        <v>21</v>
      </c>
      <c r="O97" s="33"/>
      <c r="P97" s="33"/>
      <c r="Q97" s="33"/>
      <c r="R97" s="32"/>
      <c r="T97" s="34" t="s">
        <v>21</v>
      </c>
      <c r="U97" s="33"/>
      <c r="V97" s="33"/>
      <c r="W97" s="33"/>
      <c r="X97" s="32"/>
    </row>
    <row r="98" spans="2:24" ht="15.75" thickBot="1" x14ac:dyDescent="0.3">
      <c r="B98" s="31" t="s">
        <v>20</v>
      </c>
      <c r="C98" s="30"/>
      <c r="D98" s="30"/>
      <c r="E98" s="30"/>
      <c r="F98" s="29"/>
      <c r="H98" s="31" t="s">
        <v>20</v>
      </c>
      <c r="I98" s="30"/>
      <c r="J98" s="30"/>
      <c r="K98" s="30"/>
      <c r="L98" s="29"/>
      <c r="N98" s="31" t="s">
        <v>20</v>
      </c>
      <c r="O98" s="30"/>
      <c r="P98" s="30"/>
      <c r="Q98" s="30"/>
      <c r="R98" s="29"/>
      <c r="T98" s="31" t="s">
        <v>20</v>
      </c>
      <c r="U98" s="30"/>
      <c r="V98" s="30"/>
      <c r="W98" s="30"/>
      <c r="X98" s="29"/>
    </row>
    <row r="99" spans="2:24" x14ac:dyDescent="0.25">
      <c r="B99" s="28" t="s">
        <v>19</v>
      </c>
      <c r="C99" s="27"/>
      <c r="D99" s="27"/>
      <c r="E99" s="27"/>
      <c r="F99" s="26"/>
      <c r="H99" s="28" t="s">
        <v>19</v>
      </c>
      <c r="I99" s="27"/>
      <c r="J99" s="27"/>
      <c r="K99" s="27"/>
      <c r="L99" s="26"/>
      <c r="N99" s="28" t="s">
        <v>19</v>
      </c>
      <c r="O99" s="27"/>
      <c r="P99" s="27"/>
      <c r="Q99" s="27"/>
      <c r="R99" s="26"/>
      <c r="T99" s="28" t="s">
        <v>19</v>
      </c>
      <c r="U99" s="27"/>
      <c r="V99" s="27"/>
      <c r="W99" s="27"/>
      <c r="X99" s="26"/>
    </row>
    <row r="100" spans="2:24" ht="15.75" thickBot="1" x14ac:dyDescent="0.3">
      <c r="B100" s="25" t="s">
        <v>18</v>
      </c>
      <c r="C100" s="23" t="s">
        <v>17</v>
      </c>
      <c r="D100" s="24" t="s">
        <v>16</v>
      </c>
      <c r="E100" s="23" t="s">
        <v>15</v>
      </c>
      <c r="F100" s="22" t="s">
        <v>14</v>
      </c>
      <c r="H100" s="25" t="s">
        <v>18</v>
      </c>
      <c r="I100" s="23" t="s">
        <v>17</v>
      </c>
      <c r="J100" s="24" t="s">
        <v>16</v>
      </c>
      <c r="K100" s="23" t="s">
        <v>15</v>
      </c>
      <c r="L100" s="22" t="s">
        <v>14</v>
      </c>
      <c r="N100" s="25" t="s">
        <v>18</v>
      </c>
      <c r="O100" s="23" t="s">
        <v>17</v>
      </c>
      <c r="P100" s="24" t="s">
        <v>16</v>
      </c>
      <c r="Q100" s="23" t="s">
        <v>15</v>
      </c>
      <c r="R100" s="22" t="s">
        <v>14</v>
      </c>
      <c r="T100" s="25" t="s">
        <v>18</v>
      </c>
      <c r="U100" s="23" t="s">
        <v>17</v>
      </c>
      <c r="V100" s="24" t="s">
        <v>16</v>
      </c>
      <c r="W100" s="23" t="s">
        <v>15</v>
      </c>
      <c r="X100" s="22" t="s">
        <v>14</v>
      </c>
    </row>
    <row r="101" spans="2:24" x14ac:dyDescent="0.25">
      <c r="B101" s="21" t="s">
        <v>13</v>
      </c>
      <c r="C101" s="20"/>
      <c r="D101" s="20"/>
      <c r="E101" s="20"/>
      <c r="F101" s="19"/>
      <c r="H101" s="21" t="s">
        <v>13</v>
      </c>
      <c r="I101" s="20"/>
      <c r="J101" s="20"/>
      <c r="K101" s="20"/>
      <c r="L101" s="19"/>
      <c r="N101" s="21" t="s">
        <v>13</v>
      </c>
      <c r="O101" s="20"/>
      <c r="P101" s="20"/>
      <c r="Q101" s="20"/>
      <c r="R101" s="19"/>
      <c r="T101" s="21" t="s">
        <v>13</v>
      </c>
      <c r="U101" s="20"/>
      <c r="V101" s="20"/>
      <c r="W101" s="20"/>
      <c r="X101" s="19"/>
    </row>
    <row r="102" spans="2:24" x14ac:dyDescent="0.25">
      <c r="B102" s="7"/>
      <c r="C102" s="18" t="s">
        <v>11</v>
      </c>
      <c r="D102" s="17"/>
      <c r="E102" s="16" t="s">
        <v>45</v>
      </c>
      <c r="F102" s="15"/>
      <c r="H102" s="7"/>
      <c r="I102" s="18" t="s">
        <v>11</v>
      </c>
      <c r="J102" s="17"/>
      <c r="K102" s="16" t="s">
        <v>44</v>
      </c>
      <c r="L102" s="15"/>
      <c r="N102" s="7"/>
      <c r="O102" s="18" t="s">
        <v>11</v>
      </c>
      <c r="P102" s="17"/>
      <c r="Q102" s="16" t="s">
        <v>43</v>
      </c>
      <c r="R102" s="15"/>
      <c r="T102" s="7"/>
      <c r="U102" s="18" t="s">
        <v>11</v>
      </c>
      <c r="V102" s="17"/>
      <c r="W102" s="16" t="s">
        <v>42</v>
      </c>
      <c r="X102" s="15"/>
    </row>
    <row r="103" spans="2:24" x14ac:dyDescent="0.25">
      <c r="B103" s="7"/>
      <c r="C103" s="18" t="s">
        <v>8</v>
      </c>
      <c r="D103" s="17"/>
      <c r="E103" s="16" t="s">
        <v>41</v>
      </c>
      <c r="F103" s="15"/>
      <c r="H103" s="7"/>
      <c r="I103" s="18" t="s">
        <v>8</v>
      </c>
      <c r="J103" s="17"/>
      <c r="K103" s="16" t="s">
        <v>40</v>
      </c>
      <c r="L103" s="15"/>
      <c r="N103" s="7"/>
      <c r="O103" s="18" t="s">
        <v>8</v>
      </c>
      <c r="P103" s="17"/>
      <c r="Q103" s="16" t="s">
        <v>39</v>
      </c>
      <c r="R103" s="15"/>
      <c r="T103" s="7"/>
      <c r="U103" s="18" t="s">
        <v>8</v>
      </c>
      <c r="V103" s="17"/>
      <c r="W103" s="16" t="s">
        <v>38</v>
      </c>
      <c r="X103" s="15"/>
    </row>
    <row r="104" spans="2:24" ht="15" customHeight="1" x14ac:dyDescent="0.25">
      <c r="B104" s="7"/>
      <c r="C104" s="6" t="s">
        <v>6</v>
      </c>
      <c r="D104" s="14"/>
      <c r="E104" s="13">
        <f>'[1]Data Lingkungan (DL)'!Z69</f>
        <v>0</v>
      </c>
      <c r="F104" s="12" t="s">
        <v>5</v>
      </c>
      <c r="H104" s="7"/>
      <c r="I104" s="6" t="s">
        <v>6</v>
      </c>
      <c r="J104" s="14"/>
      <c r="K104" s="13" t="str">
        <f>'[1]Data Lingkungan (DL)'!AF69</f>
        <v>off</v>
      </c>
      <c r="L104" s="12" t="s">
        <v>5</v>
      </c>
      <c r="N104" s="7"/>
      <c r="O104" s="6" t="s">
        <v>6</v>
      </c>
      <c r="P104" s="14"/>
      <c r="Q104" s="13">
        <f>'[1]Data Lingkungan (DL)'!AL69</f>
        <v>0</v>
      </c>
      <c r="R104" s="12" t="s">
        <v>5</v>
      </c>
      <c r="T104" s="7"/>
      <c r="U104" s="6" t="s">
        <v>6</v>
      </c>
      <c r="V104" s="14"/>
      <c r="W104" s="13">
        <f>'[1]Data Lingkungan (DL)'!AR69</f>
        <v>0</v>
      </c>
      <c r="X104" s="12" t="s">
        <v>5</v>
      </c>
    </row>
    <row r="105" spans="2:24" ht="15" customHeight="1" x14ac:dyDescent="0.25">
      <c r="B105" s="11"/>
      <c r="C105" s="6" t="s">
        <v>4</v>
      </c>
      <c r="D105" s="10" t="s">
        <v>3</v>
      </c>
      <c r="E105" s="9" t="s">
        <v>2</v>
      </c>
      <c r="F105" s="8"/>
      <c r="H105" s="11"/>
      <c r="I105" s="6" t="s">
        <v>4</v>
      </c>
      <c r="J105" s="10" t="s">
        <v>3</v>
      </c>
      <c r="K105" s="9" t="s">
        <v>2</v>
      </c>
      <c r="L105" s="8"/>
      <c r="N105" s="11"/>
      <c r="O105" s="6" t="s">
        <v>4</v>
      </c>
      <c r="P105" s="10" t="s">
        <v>3</v>
      </c>
      <c r="Q105" s="9" t="s">
        <v>2</v>
      </c>
      <c r="R105" s="8"/>
      <c r="T105" s="11"/>
      <c r="U105" s="6" t="s">
        <v>4</v>
      </c>
      <c r="V105" s="10" t="s">
        <v>3</v>
      </c>
      <c r="W105" s="9" t="s">
        <v>2</v>
      </c>
      <c r="X105" s="8"/>
    </row>
    <row r="106" spans="2:24" ht="15" customHeight="1" x14ac:dyDescent="0.25">
      <c r="B106" s="7"/>
      <c r="C106" s="6"/>
      <c r="D106" s="5" t="s">
        <v>1</v>
      </c>
      <c r="E106" s="4">
        <f>'[1]Data Lingkungan (DL)'!W69</f>
        <v>0</v>
      </c>
      <c r="F106" s="3" t="s">
        <v>0</v>
      </c>
      <c r="H106" s="7"/>
      <c r="I106" s="6"/>
      <c r="J106" s="5" t="s">
        <v>1</v>
      </c>
      <c r="K106" s="4">
        <f>'[1]Data Lingkungan (DL)'!W70</f>
        <v>0</v>
      </c>
      <c r="L106" s="3" t="s">
        <v>0</v>
      </c>
      <c r="N106" s="7"/>
      <c r="O106" s="6"/>
      <c r="P106" s="5" t="s">
        <v>1</v>
      </c>
      <c r="Q106" s="4">
        <f>'[1]Data Lingkungan (DL)'!AF78</f>
        <v>0</v>
      </c>
      <c r="R106" s="3" t="s">
        <v>0</v>
      </c>
      <c r="T106" s="7"/>
      <c r="U106" s="6"/>
      <c r="V106" s="5" t="s">
        <v>1</v>
      </c>
      <c r="W106" s="4">
        <f>'[1]Data Lingkungan (DL)'!AF79</f>
        <v>0</v>
      </c>
      <c r="X106" s="3" t="s">
        <v>0</v>
      </c>
    </row>
    <row r="107" spans="2:24" ht="15.75" thickBot="1" x14ac:dyDescent="0.3"/>
    <row r="108" spans="2:24" x14ac:dyDescent="0.25">
      <c r="B108" s="34" t="s">
        <v>21</v>
      </c>
      <c r="C108" s="33"/>
      <c r="D108" s="33"/>
      <c r="E108" s="33"/>
      <c r="F108" s="32"/>
      <c r="H108" s="34" t="s">
        <v>21</v>
      </c>
      <c r="I108" s="33"/>
      <c r="J108" s="33"/>
      <c r="K108" s="33"/>
      <c r="L108" s="32"/>
      <c r="N108" s="34" t="s">
        <v>21</v>
      </c>
      <c r="O108" s="33"/>
      <c r="P108" s="33"/>
      <c r="Q108" s="33"/>
      <c r="R108" s="32"/>
      <c r="T108" s="34" t="s">
        <v>21</v>
      </c>
      <c r="U108" s="33"/>
      <c r="V108" s="33"/>
      <c r="W108" s="33"/>
      <c r="X108" s="32"/>
    </row>
    <row r="109" spans="2:24" ht="15.75" thickBot="1" x14ac:dyDescent="0.3">
      <c r="B109" s="31" t="s">
        <v>20</v>
      </c>
      <c r="C109" s="30"/>
      <c r="D109" s="30"/>
      <c r="E109" s="30"/>
      <c r="F109" s="29"/>
      <c r="H109" s="31" t="s">
        <v>20</v>
      </c>
      <c r="I109" s="30"/>
      <c r="J109" s="30"/>
      <c r="K109" s="30"/>
      <c r="L109" s="29"/>
      <c r="N109" s="31" t="s">
        <v>20</v>
      </c>
      <c r="O109" s="30"/>
      <c r="P109" s="30"/>
      <c r="Q109" s="30"/>
      <c r="R109" s="29"/>
      <c r="T109" s="31" t="s">
        <v>20</v>
      </c>
      <c r="U109" s="30"/>
      <c r="V109" s="30"/>
      <c r="W109" s="30"/>
      <c r="X109" s="29"/>
    </row>
    <row r="110" spans="2:24" x14ac:dyDescent="0.25">
      <c r="B110" s="28" t="s">
        <v>19</v>
      </c>
      <c r="C110" s="27"/>
      <c r="D110" s="27"/>
      <c r="E110" s="27"/>
      <c r="F110" s="26"/>
      <c r="H110" s="28" t="s">
        <v>19</v>
      </c>
      <c r="I110" s="27"/>
      <c r="J110" s="27"/>
      <c r="K110" s="27"/>
      <c r="L110" s="26"/>
      <c r="N110" s="28" t="s">
        <v>19</v>
      </c>
      <c r="O110" s="27"/>
      <c r="P110" s="27"/>
      <c r="Q110" s="27"/>
      <c r="R110" s="26"/>
      <c r="T110" s="28" t="s">
        <v>19</v>
      </c>
      <c r="U110" s="27"/>
      <c r="V110" s="27"/>
      <c r="W110" s="27"/>
      <c r="X110" s="26"/>
    </row>
    <row r="111" spans="2:24" ht="15.75" thickBot="1" x14ac:dyDescent="0.3">
      <c r="B111" s="25" t="s">
        <v>18</v>
      </c>
      <c r="C111" s="23" t="s">
        <v>17</v>
      </c>
      <c r="D111" s="24" t="s">
        <v>16</v>
      </c>
      <c r="E111" s="23" t="s">
        <v>15</v>
      </c>
      <c r="F111" s="22" t="s">
        <v>14</v>
      </c>
      <c r="H111" s="25" t="s">
        <v>18</v>
      </c>
      <c r="I111" s="23" t="s">
        <v>17</v>
      </c>
      <c r="J111" s="24" t="s">
        <v>16</v>
      </c>
      <c r="K111" s="23" t="s">
        <v>15</v>
      </c>
      <c r="L111" s="22" t="s">
        <v>14</v>
      </c>
      <c r="N111" s="25" t="s">
        <v>18</v>
      </c>
      <c r="O111" s="23" t="s">
        <v>17</v>
      </c>
      <c r="P111" s="24" t="s">
        <v>16</v>
      </c>
      <c r="Q111" s="23" t="s">
        <v>15</v>
      </c>
      <c r="R111" s="22" t="s">
        <v>14</v>
      </c>
      <c r="T111" s="25" t="s">
        <v>18</v>
      </c>
      <c r="U111" s="23" t="s">
        <v>17</v>
      </c>
      <c r="V111" s="24" t="s">
        <v>16</v>
      </c>
      <c r="W111" s="23" t="s">
        <v>15</v>
      </c>
      <c r="X111" s="22" t="s">
        <v>14</v>
      </c>
    </row>
    <row r="112" spans="2:24" x14ac:dyDescent="0.25">
      <c r="B112" s="21" t="s">
        <v>13</v>
      </c>
      <c r="C112" s="20"/>
      <c r="D112" s="20"/>
      <c r="E112" s="20"/>
      <c r="F112" s="19"/>
      <c r="H112" s="21" t="s">
        <v>13</v>
      </c>
      <c r="I112" s="20"/>
      <c r="J112" s="20"/>
      <c r="K112" s="20"/>
      <c r="L112" s="19"/>
      <c r="N112" s="21" t="s">
        <v>13</v>
      </c>
      <c r="O112" s="20"/>
      <c r="P112" s="20"/>
      <c r="Q112" s="20"/>
      <c r="R112" s="19"/>
      <c r="T112" s="21" t="s">
        <v>13</v>
      </c>
      <c r="U112" s="20"/>
      <c r="V112" s="20"/>
      <c r="W112" s="20"/>
      <c r="X112" s="19"/>
    </row>
    <row r="113" spans="2:24" x14ac:dyDescent="0.25">
      <c r="B113" s="7"/>
      <c r="C113" s="18" t="s">
        <v>11</v>
      </c>
      <c r="D113" s="17"/>
      <c r="E113" s="16" t="s">
        <v>37</v>
      </c>
      <c r="F113" s="15"/>
      <c r="H113" s="7"/>
      <c r="I113" s="18" t="s">
        <v>11</v>
      </c>
      <c r="J113" s="17"/>
      <c r="K113" s="16" t="s">
        <v>36</v>
      </c>
      <c r="L113" s="15"/>
      <c r="N113" s="7"/>
      <c r="O113" s="18" t="s">
        <v>11</v>
      </c>
      <c r="P113" s="17"/>
      <c r="Q113" s="16" t="s">
        <v>35</v>
      </c>
      <c r="R113" s="15"/>
      <c r="T113" s="7"/>
      <c r="U113" s="18" t="s">
        <v>11</v>
      </c>
      <c r="V113" s="17"/>
      <c r="W113" s="16" t="s">
        <v>34</v>
      </c>
      <c r="X113" s="15"/>
    </row>
    <row r="114" spans="2:24" x14ac:dyDescent="0.25">
      <c r="B114" s="7"/>
      <c r="C114" s="18" t="s">
        <v>8</v>
      </c>
      <c r="D114" s="17"/>
      <c r="E114" s="16" t="s">
        <v>33</v>
      </c>
      <c r="F114" s="15"/>
      <c r="H114" s="7"/>
      <c r="I114" s="18" t="s">
        <v>8</v>
      </c>
      <c r="J114" s="17"/>
      <c r="K114" s="16" t="s">
        <v>32</v>
      </c>
      <c r="L114" s="15"/>
      <c r="N114" s="7"/>
      <c r="O114" s="18" t="s">
        <v>8</v>
      </c>
      <c r="P114" s="17"/>
      <c r="Q114" s="16" t="s">
        <v>31</v>
      </c>
      <c r="R114" s="15"/>
      <c r="T114" s="7"/>
      <c r="U114" s="18" t="s">
        <v>8</v>
      </c>
      <c r="V114" s="17"/>
      <c r="W114" s="16" t="s">
        <v>30</v>
      </c>
      <c r="X114" s="15"/>
    </row>
    <row r="115" spans="2:24" ht="30" x14ac:dyDescent="0.25">
      <c r="B115" s="7"/>
      <c r="C115" s="6" t="s">
        <v>6</v>
      </c>
      <c r="D115" s="14"/>
      <c r="E115" s="13">
        <f>'[1]Data Lingkungan (DL)'!Z80</f>
        <v>0</v>
      </c>
      <c r="F115" s="12" t="s">
        <v>5</v>
      </c>
      <c r="H115" s="7"/>
      <c r="I115" s="6" t="s">
        <v>6</v>
      </c>
      <c r="J115" s="14"/>
      <c r="K115" s="13">
        <f>'[1]Data Lingkungan (DL)'!AF80</f>
        <v>0</v>
      </c>
      <c r="L115" s="12" t="s">
        <v>5</v>
      </c>
      <c r="N115" s="7"/>
      <c r="O115" s="6" t="s">
        <v>6</v>
      </c>
      <c r="P115" s="14"/>
      <c r="Q115" s="13" t="str">
        <f>'[1]Data Lingkungan (DL)'!AL80</f>
        <v>E.</v>
      </c>
      <c r="R115" s="12" t="s">
        <v>5</v>
      </c>
      <c r="T115" s="7"/>
      <c r="U115" s="6" t="s">
        <v>6</v>
      </c>
      <c r="V115" s="14"/>
      <c r="W115" s="13">
        <f>'[1]Data Lingkungan (DL)'!AR80</f>
        <v>0</v>
      </c>
      <c r="X115" s="12" t="s">
        <v>5</v>
      </c>
    </row>
    <row r="116" spans="2:24" x14ac:dyDescent="0.25">
      <c r="B116" s="11"/>
      <c r="C116" s="6" t="s">
        <v>4</v>
      </c>
      <c r="D116" s="10" t="s">
        <v>3</v>
      </c>
      <c r="E116" s="9" t="s">
        <v>2</v>
      </c>
      <c r="F116" s="8"/>
      <c r="H116" s="11"/>
      <c r="I116" s="6" t="s">
        <v>4</v>
      </c>
      <c r="J116" s="10" t="s">
        <v>3</v>
      </c>
      <c r="K116" s="9" t="s">
        <v>2</v>
      </c>
      <c r="L116" s="8"/>
      <c r="N116" s="11"/>
      <c r="O116" s="6" t="s">
        <v>4</v>
      </c>
      <c r="P116" s="10" t="s">
        <v>3</v>
      </c>
      <c r="Q116" s="9" t="s">
        <v>2</v>
      </c>
      <c r="R116" s="8"/>
      <c r="T116" s="11"/>
      <c r="U116" s="6" t="s">
        <v>4</v>
      </c>
      <c r="V116" s="10" t="s">
        <v>3</v>
      </c>
      <c r="W116" s="9" t="s">
        <v>2</v>
      </c>
      <c r="X116" s="8"/>
    </row>
    <row r="117" spans="2:24" ht="15" customHeight="1" x14ac:dyDescent="0.25">
      <c r="B117" s="7"/>
      <c r="C117" s="6"/>
      <c r="D117" s="5" t="s">
        <v>1</v>
      </c>
      <c r="E117" s="4">
        <f>'[1]Data Lingkungan (DL)'!AO77</f>
        <v>0</v>
      </c>
      <c r="F117" s="3" t="s">
        <v>0</v>
      </c>
      <c r="H117" s="7"/>
      <c r="I117" s="6"/>
      <c r="J117" s="5" t="s">
        <v>1</v>
      </c>
      <c r="K117" s="4">
        <f>'[1]Data Lingkungan (DL)'!AX76</f>
        <v>0</v>
      </c>
      <c r="L117" s="3" t="s">
        <v>0</v>
      </c>
      <c r="N117" s="7"/>
      <c r="O117" s="6"/>
      <c r="P117" s="5" t="s">
        <v>1</v>
      </c>
      <c r="Q117" s="4">
        <f>'[1]Data Lingkungan (DL)'!AX77</f>
        <v>0</v>
      </c>
      <c r="R117" s="3" t="s">
        <v>0</v>
      </c>
      <c r="T117" s="7"/>
      <c r="U117" s="6"/>
      <c r="V117" s="5" t="s">
        <v>1</v>
      </c>
      <c r="W117" s="4">
        <f>'[1]Data Lingkungan (DL)'!BG71</f>
        <v>0</v>
      </c>
      <c r="X117" s="3" t="s">
        <v>0</v>
      </c>
    </row>
    <row r="118" spans="2:24" ht="15.75" thickBot="1" x14ac:dyDescent="0.3"/>
    <row r="119" spans="2:24" x14ac:dyDescent="0.25">
      <c r="B119" s="34" t="s">
        <v>21</v>
      </c>
      <c r="C119" s="33"/>
      <c r="D119" s="33"/>
      <c r="E119" s="33"/>
      <c r="F119" s="32"/>
      <c r="H119" s="34" t="s">
        <v>21</v>
      </c>
      <c r="I119" s="33"/>
      <c r="J119" s="33"/>
      <c r="K119" s="33"/>
      <c r="L119" s="32"/>
      <c r="N119" s="34" t="s">
        <v>21</v>
      </c>
      <c r="O119" s="33"/>
      <c r="P119" s="33"/>
      <c r="Q119" s="33"/>
      <c r="R119" s="32"/>
      <c r="T119" s="34" t="s">
        <v>21</v>
      </c>
      <c r="U119" s="33"/>
      <c r="V119" s="33"/>
      <c r="W119" s="33"/>
      <c r="X119" s="32"/>
    </row>
    <row r="120" spans="2:24" ht="15.75" thickBot="1" x14ac:dyDescent="0.3">
      <c r="B120" s="31" t="s">
        <v>20</v>
      </c>
      <c r="C120" s="30"/>
      <c r="D120" s="30"/>
      <c r="E120" s="30"/>
      <c r="F120" s="29"/>
      <c r="H120" s="31" t="s">
        <v>20</v>
      </c>
      <c r="I120" s="30"/>
      <c r="J120" s="30"/>
      <c r="K120" s="30"/>
      <c r="L120" s="29"/>
      <c r="N120" s="31" t="s">
        <v>20</v>
      </c>
      <c r="O120" s="30"/>
      <c r="P120" s="30"/>
      <c r="Q120" s="30"/>
      <c r="R120" s="29"/>
      <c r="T120" s="31" t="s">
        <v>20</v>
      </c>
      <c r="U120" s="30"/>
      <c r="V120" s="30"/>
      <c r="W120" s="30"/>
      <c r="X120" s="29"/>
    </row>
    <row r="121" spans="2:24" x14ac:dyDescent="0.25">
      <c r="B121" s="28" t="s">
        <v>19</v>
      </c>
      <c r="C121" s="27"/>
      <c r="D121" s="27"/>
      <c r="E121" s="27"/>
      <c r="F121" s="26"/>
      <c r="H121" s="28" t="s">
        <v>19</v>
      </c>
      <c r="I121" s="27"/>
      <c r="J121" s="27"/>
      <c r="K121" s="27"/>
      <c r="L121" s="26"/>
      <c r="N121" s="28" t="s">
        <v>19</v>
      </c>
      <c r="O121" s="27"/>
      <c r="P121" s="27"/>
      <c r="Q121" s="27"/>
      <c r="R121" s="26"/>
      <c r="T121" s="28" t="s">
        <v>19</v>
      </c>
      <c r="U121" s="27"/>
      <c r="V121" s="27"/>
      <c r="W121" s="27"/>
      <c r="X121" s="26"/>
    </row>
    <row r="122" spans="2:24" ht="15.75" thickBot="1" x14ac:dyDescent="0.3">
      <c r="B122" s="25" t="s">
        <v>18</v>
      </c>
      <c r="C122" s="23" t="s">
        <v>17</v>
      </c>
      <c r="D122" s="24" t="s">
        <v>16</v>
      </c>
      <c r="E122" s="23" t="s">
        <v>15</v>
      </c>
      <c r="F122" s="22" t="s">
        <v>14</v>
      </c>
      <c r="H122" s="25" t="s">
        <v>18</v>
      </c>
      <c r="I122" s="23" t="s">
        <v>17</v>
      </c>
      <c r="J122" s="24" t="s">
        <v>16</v>
      </c>
      <c r="K122" s="23" t="s">
        <v>15</v>
      </c>
      <c r="L122" s="22" t="s">
        <v>14</v>
      </c>
      <c r="N122" s="25" t="s">
        <v>18</v>
      </c>
      <c r="O122" s="23" t="s">
        <v>17</v>
      </c>
      <c r="P122" s="24" t="s">
        <v>16</v>
      </c>
      <c r="Q122" s="23" t="s">
        <v>15</v>
      </c>
      <c r="R122" s="22" t="s">
        <v>14</v>
      </c>
      <c r="T122" s="25" t="s">
        <v>18</v>
      </c>
      <c r="U122" s="23" t="s">
        <v>17</v>
      </c>
      <c r="V122" s="24" t="s">
        <v>16</v>
      </c>
      <c r="W122" s="23" t="s">
        <v>15</v>
      </c>
      <c r="X122" s="22" t="s">
        <v>14</v>
      </c>
    </row>
    <row r="123" spans="2:24" x14ac:dyDescent="0.25">
      <c r="B123" s="21" t="s">
        <v>13</v>
      </c>
      <c r="C123" s="20"/>
      <c r="D123" s="20"/>
      <c r="E123" s="20"/>
      <c r="F123" s="19"/>
      <c r="H123" s="21" t="s">
        <v>13</v>
      </c>
      <c r="I123" s="20"/>
      <c r="J123" s="20"/>
      <c r="K123" s="20"/>
      <c r="L123" s="19"/>
      <c r="N123" s="21" t="s">
        <v>13</v>
      </c>
      <c r="O123" s="20"/>
      <c r="P123" s="20"/>
      <c r="Q123" s="20"/>
      <c r="R123" s="19"/>
      <c r="T123" s="21" t="s">
        <v>13</v>
      </c>
      <c r="U123" s="20"/>
      <c r="V123" s="20"/>
      <c r="W123" s="20"/>
      <c r="X123" s="19"/>
    </row>
    <row r="124" spans="2:24" x14ac:dyDescent="0.25">
      <c r="B124" s="7"/>
      <c r="C124" s="18" t="s">
        <v>11</v>
      </c>
      <c r="D124" s="17"/>
      <c r="E124" s="16" t="s">
        <v>29</v>
      </c>
      <c r="F124" s="15"/>
      <c r="H124" s="7"/>
      <c r="I124" s="18" t="s">
        <v>11</v>
      </c>
      <c r="J124" s="17"/>
      <c r="K124" s="16" t="s">
        <v>28</v>
      </c>
      <c r="L124" s="15"/>
      <c r="N124" s="7"/>
      <c r="O124" s="18" t="s">
        <v>11</v>
      </c>
      <c r="P124" s="17"/>
      <c r="Q124" s="16" t="s">
        <v>27</v>
      </c>
      <c r="R124" s="15"/>
      <c r="T124" s="7"/>
      <c r="U124" s="18" t="s">
        <v>11</v>
      </c>
      <c r="V124" s="17"/>
      <c r="W124" s="16" t="s">
        <v>26</v>
      </c>
      <c r="X124" s="15"/>
    </row>
    <row r="125" spans="2:24" x14ac:dyDescent="0.25">
      <c r="B125" s="7"/>
      <c r="C125" s="18" t="s">
        <v>8</v>
      </c>
      <c r="D125" s="17"/>
      <c r="E125" s="16" t="s">
        <v>25</v>
      </c>
      <c r="F125" s="15"/>
      <c r="H125" s="7"/>
      <c r="I125" s="18" t="s">
        <v>8</v>
      </c>
      <c r="J125" s="17"/>
      <c r="K125" s="16" t="s">
        <v>24</v>
      </c>
      <c r="L125" s="15"/>
      <c r="N125" s="7"/>
      <c r="O125" s="18" t="s">
        <v>8</v>
      </c>
      <c r="P125" s="17"/>
      <c r="Q125" s="16" t="s">
        <v>23</v>
      </c>
      <c r="R125" s="15"/>
      <c r="T125" s="7"/>
      <c r="U125" s="18" t="s">
        <v>8</v>
      </c>
      <c r="V125" s="17"/>
      <c r="W125" s="16" t="s">
        <v>22</v>
      </c>
      <c r="X125" s="15"/>
    </row>
    <row r="126" spans="2:24" ht="30" x14ac:dyDescent="0.25">
      <c r="B126" s="7"/>
      <c r="C126" s="6" t="s">
        <v>6</v>
      </c>
      <c r="D126" s="14"/>
      <c r="E126" s="13">
        <f>'[1]Data Lingkungan (DL)'!Z91</f>
        <v>0</v>
      </c>
      <c r="F126" s="12" t="s">
        <v>5</v>
      </c>
      <c r="H126" s="7"/>
      <c r="I126" s="6" t="s">
        <v>6</v>
      </c>
      <c r="J126" s="14"/>
      <c r="K126" s="13">
        <f>'[1]Data Lingkungan (DL)'!AF91</f>
        <v>0</v>
      </c>
      <c r="L126" s="12" t="s">
        <v>5</v>
      </c>
      <c r="N126" s="7"/>
      <c r="O126" s="6" t="s">
        <v>6</v>
      </c>
      <c r="P126" s="14"/>
      <c r="Q126" s="13">
        <f>'[1]Data Lingkungan (DL)'!AL91</f>
        <v>0</v>
      </c>
      <c r="R126" s="12" t="s">
        <v>5</v>
      </c>
      <c r="T126" s="7"/>
      <c r="U126" s="6" t="s">
        <v>6</v>
      </c>
      <c r="V126" s="14"/>
      <c r="W126" s="13">
        <f>'[1]Data Lingkungan (DL)'!AR91</f>
        <v>0</v>
      </c>
      <c r="X126" s="12" t="s">
        <v>5</v>
      </c>
    </row>
    <row r="127" spans="2:24" x14ac:dyDescent="0.25">
      <c r="B127" s="11"/>
      <c r="C127" s="6" t="s">
        <v>4</v>
      </c>
      <c r="D127" s="10" t="s">
        <v>3</v>
      </c>
      <c r="E127" s="9" t="s">
        <v>2</v>
      </c>
      <c r="F127" s="8"/>
      <c r="H127" s="11"/>
      <c r="I127" s="6" t="s">
        <v>4</v>
      </c>
      <c r="J127" s="10" t="s">
        <v>3</v>
      </c>
      <c r="K127" s="9" t="s">
        <v>2</v>
      </c>
      <c r="L127" s="8"/>
      <c r="N127" s="11"/>
      <c r="O127" s="6" t="s">
        <v>4</v>
      </c>
      <c r="P127" s="10" t="s">
        <v>3</v>
      </c>
      <c r="Q127" s="9" t="s">
        <v>2</v>
      </c>
      <c r="R127" s="8"/>
      <c r="T127" s="11"/>
      <c r="U127" s="6" t="s">
        <v>4</v>
      </c>
      <c r="V127" s="10" t="s">
        <v>3</v>
      </c>
      <c r="W127" s="9" t="s">
        <v>2</v>
      </c>
      <c r="X127" s="8"/>
    </row>
    <row r="128" spans="2:24" ht="15" customHeight="1" x14ac:dyDescent="0.25">
      <c r="B128" s="7"/>
      <c r="C128" s="6"/>
      <c r="D128" s="5" t="s">
        <v>1</v>
      </c>
      <c r="E128" s="4">
        <f>'[1]Data Lingkungan (DL)'!BG72</f>
        <v>0</v>
      </c>
      <c r="F128" s="3" t="s">
        <v>0</v>
      </c>
      <c r="H128" s="7"/>
      <c r="I128" s="6"/>
      <c r="J128" s="5" t="s">
        <v>1</v>
      </c>
      <c r="K128" s="4">
        <f>'[1]Data Lingkungan (DL)'!T101</f>
        <v>0</v>
      </c>
      <c r="L128" s="3" t="s">
        <v>0</v>
      </c>
      <c r="N128" s="7"/>
      <c r="O128" s="6"/>
      <c r="P128" s="5" t="s">
        <v>1</v>
      </c>
      <c r="Q128" s="4">
        <f>'[1]Data Lingkungan (DL)'!Z101</f>
        <v>0</v>
      </c>
      <c r="R128" s="3" t="s">
        <v>0</v>
      </c>
      <c r="T128" s="7"/>
      <c r="U128" s="6"/>
      <c r="V128" s="5" t="s">
        <v>1</v>
      </c>
      <c r="W128" s="4">
        <f>'[1]Data Lingkungan (DL)'!AF101</f>
        <v>0</v>
      </c>
      <c r="X128" s="3" t="s">
        <v>0</v>
      </c>
    </row>
    <row r="129" spans="2:22" ht="15.75" thickBot="1" x14ac:dyDescent="0.3"/>
    <row r="130" spans="2:22" x14ac:dyDescent="0.25">
      <c r="B130" s="34" t="s">
        <v>21</v>
      </c>
      <c r="C130" s="33"/>
      <c r="D130" s="33"/>
      <c r="E130" s="33"/>
      <c r="F130" s="32"/>
      <c r="H130" s="34" t="s">
        <v>21</v>
      </c>
      <c r="I130" s="33"/>
      <c r="J130" s="33"/>
      <c r="K130" s="33"/>
      <c r="L130" s="32"/>
      <c r="P130" s="1"/>
      <c r="V130" s="1"/>
    </row>
    <row r="131" spans="2:22" ht="15.75" thickBot="1" x14ac:dyDescent="0.3">
      <c r="B131" s="31" t="s">
        <v>20</v>
      </c>
      <c r="C131" s="30"/>
      <c r="D131" s="30"/>
      <c r="E131" s="30"/>
      <c r="F131" s="29"/>
      <c r="H131" s="31" t="s">
        <v>20</v>
      </c>
      <c r="I131" s="30"/>
      <c r="J131" s="30"/>
      <c r="K131" s="30"/>
      <c r="L131" s="29"/>
      <c r="P131" s="1"/>
      <c r="V131" s="1"/>
    </row>
    <row r="132" spans="2:22" x14ac:dyDescent="0.25">
      <c r="B132" s="28" t="s">
        <v>19</v>
      </c>
      <c r="C132" s="27"/>
      <c r="D132" s="27"/>
      <c r="E132" s="27"/>
      <c r="F132" s="26"/>
      <c r="H132" s="28" t="s">
        <v>19</v>
      </c>
      <c r="I132" s="27"/>
      <c r="J132" s="27"/>
      <c r="K132" s="27"/>
      <c r="L132" s="26"/>
      <c r="P132" s="1"/>
      <c r="V132" s="1"/>
    </row>
    <row r="133" spans="2:22" ht="15.75" thickBot="1" x14ac:dyDescent="0.3">
      <c r="B133" s="25" t="s">
        <v>18</v>
      </c>
      <c r="C133" s="23" t="s">
        <v>17</v>
      </c>
      <c r="D133" s="24" t="s">
        <v>16</v>
      </c>
      <c r="E133" s="23" t="s">
        <v>15</v>
      </c>
      <c r="F133" s="22" t="s">
        <v>14</v>
      </c>
      <c r="H133" s="25" t="s">
        <v>18</v>
      </c>
      <c r="I133" s="23" t="s">
        <v>17</v>
      </c>
      <c r="J133" s="24" t="s">
        <v>16</v>
      </c>
      <c r="K133" s="23" t="s">
        <v>15</v>
      </c>
      <c r="L133" s="22" t="s">
        <v>14</v>
      </c>
      <c r="P133" s="1"/>
      <c r="V133" s="1"/>
    </row>
    <row r="134" spans="2:22" x14ac:dyDescent="0.25">
      <c r="B134" s="21" t="s">
        <v>13</v>
      </c>
      <c r="C134" s="20"/>
      <c r="D134" s="20"/>
      <c r="E134" s="20"/>
      <c r="F134" s="19"/>
      <c r="H134" s="21" t="s">
        <v>13</v>
      </c>
      <c r="I134" s="20"/>
      <c r="J134" s="20"/>
      <c r="K134" s="20"/>
      <c r="L134" s="19"/>
      <c r="P134" s="1"/>
      <c r="V134" s="1"/>
    </row>
    <row r="135" spans="2:22" x14ac:dyDescent="0.25">
      <c r="B135" s="7"/>
      <c r="C135" s="18" t="s">
        <v>11</v>
      </c>
      <c r="D135" s="17"/>
      <c r="E135" s="16" t="s">
        <v>12</v>
      </c>
      <c r="F135" s="15"/>
      <c r="H135" s="7"/>
      <c r="I135" s="18" t="s">
        <v>11</v>
      </c>
      <c r="J135" s="17"/>
      <c r="K135" s="16" t="s">
        <v>10</v>
      </c>
      <c r="L135" s="15"/>
      <c r="P135" s="1"/>
      <c r="V135" s="1"/>
    </row>
    <row r="136" spans="2:22" x14ac:dyDescent="0.25">
      <c r="B136" s="7"/>
      <c r="C136" s="18" t="s">
        <v>8</v>
      </c>
      <c r="D136" s="17"/>
      <c r="E136" s="16" t="s">
        <v>9</v>
      </c>
      <c r="F136" s="15"/>
      <c r="H136" s="7"/>
      <c r="I136" s="18" t="s">
        <v>8</v>
      </c>
      <c r="J136" s="17"/>
      <c r="K136" s="16" t="s">
        <v>7</v>
      </c>
      <c r="L136" s="15"/>
      <c r="P136" s="1"/>
      <c r="V136" s="1"/>
    </row>
    <row r="137" spans="2:22" ht="30" x14ac:dyDescent="0.25">
      <c r="B137" s="7"/>
      <c r="C137" s="6" t="s">
        <v>6</v>
      </c>
      <c r="D137" s="14"/>
      <c r="E137" s="13">
        <f>'[1]Data Lingkungan (DL)'!Z102</f>
        <v>0</v>
      </c>
      <c r="F137" s="12" t="s">
        <v>5</v>
      </c>
      <c r="H137" s="7"/>
      <c r="I137" s="6" t="s">
        <v>6</v>
      </c>
      <c r="J137" s="14"/>
      <c r="K137" s="16" t="s">
        <v>7</v>
      </c>
      <c r="L137" s="12" t="s">
        <v>5</v>
      </c>
      <c r="P137" s="1"/>
      <c r="V137" s="1"/>
    </row>
    <row r="138" spans="2:22" x14ac:dyDescent="0.25">
      <c r="B138" s="11"/>
      <c r="C138" s="6" t="s">
        <v>4</v>
      </c>
      <c r="D138" s="10" t="s">
        <v>3</v>
      </c>
      <c r="E138" s="9" t="s">
        <v>2</v>
      </c>
      <c r="F138" s="8"/>
      <c r="H138" s="11"/>
      <c r="I138" s="6" t="s">
        <v>4</v>
      </c>
      <c r="J138" s="10" t="s">
        <v>3</v>
      </c>
      <c r="K138" s="9" t="s">
        <v>2</v>
      </c>
      <c r="L138" s="8"/>
      <c r="P138" s="1"/>
      <c r="V138" s="1"/>
    </row>
    <row r="139" spans="2:22" ht="15" customHeight="1" x14ac:dyDescent="0.25">
      <c r="B139" s="7"/>
      <c r="C139" s="6"/>
      <c r="D139" s="5" t="s">
        <v>1</v>
      </c>
      <c r="E139" s="4">
        <f>'[1]Data Lingkungan (DL)'!N112</f>
        <v>0</v>
      </c>
      <c r="F139" s="3" t="s">
        <v>0</v>
      </c>
      <c r="H139" s="7"/>
      <c r="I139" s="6"/>
      <c r="J139" s="5" t="s">
        <v>1</v>
      </c>
      <c r="K139" s="4">
        <f>'[1]Data Lingkungan (DL)'!T112</f>
        <v>0</v>
      </c>
      <c r="L139" s="3" t="s">
        <v>0</v>
      </c>
      <c r="P139" s="1"/>
      <c r="V139" s="1"/>
    </row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mergeCells count="140">
    <mergeCell ref="T4:X4"/>
    <mergeCell ref="B21:F21"/>
    <mergeCell ref="H21:L21"/>
    <mergeCell ref="N21:R21"/>
    <mergeCell ref="T21:X21"/>
    <mergeCell ref="Z78:AD78"/>
    <mergeCell ref="H3:L3"/>
    <mergeCell ref="N3:R3"/>
    <mergeCell ref="T3:X3"/>
    <mergeCell ref="B6:F6"/>
    <mergeCell ref="H6:L6"/>
    <mergeCell ref="N6:R6"/>
    <mergeCell ref="T6:X6"/>
    <mergeCell ref="B4:F4"/>
    <mergeCell ref="H4:L4"/>
    <mergeCell ref="N4:R4"/>
    <mergeCell ref="N23:R23"/>
    <mergeCell ref="T23:X23"/>
    <mergeCell ref="Z79:AD79"/>
    <mergeCell ref="Z80:AD80"/>
    <mergeCell ref="Z82:AD82"/>
    <mergeCell ref="B2:F2"/>
    <mergeCell ref="H2:L2"/>
    <mergeCell ref="N2:R2"/>
    <mergeCell ref="T2:X2"/>
    <mergeCell ref="B3:F3"/>
    <mergeCell ref="B22:F22"/>
    <mergeCell ref="H22:L22"/>
    <mergeCell ref="N22:R22"/>
    <mergeCell ref="T22:X22"/>
    <mergeCell ref="B25:F25"/>
    <mergeCell ref="H25:L25"/>
    <mergeCell ref="N25:R25"/>
    <mergeCell ref="T25:X25"/>
    <mergeCell ref="B23:F23"/>
    <mergeCell ref="H23:L23"/>
    <mergeCell ref="B40:F40"/>
    <mergeCell ref="H40:L40"/>
    <mergeCell ref="N40:R40"/>
    <mergeCell ref="T40:X40"/>
    <mergeCell ref="B41:F41"/>
    <mergeCell ref="H41:L41"/>
    <mergeCell ref="N41:R41"/>
    <mergeCell ref="T41:X41"/>
    <mergeCell ref="B44:F44"/>
    <mergeCell ref="H44:L44"/>
    <mergeCell ref="N44:R44"/>
    <mergeCell ref="T44:X44"/>
    <mergeCell ref="B42:F42"/>
    <mergeCell ref="H42:L42"/>
    <mergeCell ref="N42:R42"/>
    <mergeCell ref="T42:X42"/>
    <mergeCell ref="B63:F63"/>
    <mergeCell ref="H63:L63"/>
    <mergeCell ref="B59:F59"/>
    <mergeCell ref="H59:L59"/>
    <mergeCell ref="B60:F60"/>
    <mergeCell ref="H60:L60"/>
    <mergeCell ref="B61:F61"/>
    <mergeCell ref="H61:L61"/>
    <mergeCell ref="T80:X80"/>
    <mergeCell ref="B82:F82"/>
    <mergeCell ref="H82:L82"/>
    <mergeCell ref="B78:F78"/>
    <mergeCell ref="H78:L78"/>
    <mergeCell ref="B79:F79"/>
    <mergeCell ref="H79:L79"/>
    <mergeCell ref="B80:F80"/>
    <mergeCell ref="H80:L80"/>
    <mergeCell ref="N78:R78"/>
    <mergeCell ref="N79:R79"/>
    <mergeCell ref="N80:R80"/>
    <mergeCell ref="T82:X82"/>
    <mergeCell ref="T59:X59"/>
    <mergeCell ref="T60:X60"/>
    <mergeCell ref="T61:X61"/>
    <mergeCell ref="T63:X63"/>
    <mergeCell ref="T78:X78"/>
    <mergeCell ref="T79:X79"/>
    <mergeCell ref="B97:F97"/>
    <mergeCell ref="B98:F98"/>
    <mergeCell ref="B99:F99"/>
    <mergeCell ref="B101:F101"/>
    <mergeCell ref="B108:F108"/>
    <mergeCell ref="N59:R59"/>
    <mergeCell ref="N60:R60"/>
    <mergeCell ref="N61:R61"/>
    <mergeCell ref="N63:R63"/>
    <mergeCell ref="N82:R82"/>
    <mergeCell ref="B121:F121"/>
    <mergeCell ref="B123:F123"/>
    <mergeCell ref="B130:F130"/>
    <mergeCell ref="B131:F131"/>
    <mergeCell ref="B132:F132"/>
    <mergeCell ref="B109:F109"/>
    <mergeCell ref="B110:F110"/>
    <mergeCell ref="B112:F112"/>
    <mergeCell ref="B119:F119"/>
    <mergeCell ref="B120:F120"/>
    <mergeCell ref="H120:L120"/>
    <mergeCell ref="H121:L121"/>
    <mergeCell ref="H123:L123"/>
    <mergeCell ref="H130:L130"/>
    <mergeCell ref="H131:L131"/>
    <mergeCell ref="H132:L132"/>
    <mergeCell ref="B134:F134"/>
    <mergeCell ref="H97:L97"/>
    <mergeCell ref="H98:L98"/>
    <mergeCell ref="H99:L99"/>
    <mergeCell ref="H101:L101"/>
    <mergeCell ref="H108:L108"/>
    <mergeCell ref="H109:L109"/>
    <mergeCell ref="H110:L110"/>
    <mergeCell ref="H112:L112"/>
    <mergeCell ref="H119:L119"/>
    <mergeCell ref="N123:R123"/>
    <mergeCell ref="T97:X97"/>
    <mergeCell ref="T98:X98"/>
    <mergeCell ref="T99:X99"/>
    <mergeCell ref="T101:X101"/>
    <mergeCell ref="T108:X108"/>
    <mergeCell ref="T109:X109"/>
    <mergeCell ref="T110:X110"/>
    <mergeCell ref="T112:X112"/>
    <mergeCell ref="N109:R109"/>
    <mergeCell ref="N110:R110"/>
    <mergeCell ref="N112:R112"/>
    <mergeCell ref="N119:R119"/>
    <mergeCell ref="N120:R120"/>
    <mergeCell ref="N121:R121"/>
    <mergeCell ref="T119:X119"/>
    <mergeCell ref="T120:X120"/>
    <mergeCell ref="T121:X121"/>
    <mergeCell ref="T123:X123"/>
    <mergeCell ref="H134:L134"/>
    <mergeCell ref="N97:R97"/>
    <mergeCell ref="N98:R98"/>
    <mergeCell ref="N99:R99"/>
    <mergeCell ref="N101:R101"/>
    <mergeCell ref="N108:R108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DINAMIS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PMO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2021-08-05T09:24:06Z</dcterms:created>
  <dcterms:modified xsi:type="dcterms:W3CDTF">2021-08-05T09:24:47Z</dcterms:modified>
</cp:coreProperties>
</file>