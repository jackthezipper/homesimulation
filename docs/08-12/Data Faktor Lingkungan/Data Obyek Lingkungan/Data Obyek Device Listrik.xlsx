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360" windowWidth="20730" windowHeight="11280" tabRatio="924" activeTab="1"/>
  </bookViews>
  <sheets>
    <sheet name="EQ" sheetId="12" r:id="rId1"/>
    <sheet name="AO-ALL" sheetId="2" r:id="rId2"/>
  </sheets>
  <externalReferences>
    <externalReference r:id="rId3"/>
    <externalReference r:id="rId4"/>
  </externalReferences>
  <definedNames>
    <definedName name="_xlnm.Print_Titles" localSheetId="0">EQ!$3:$4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" i="2" l="1"/>
  <c r="Q42" i="2"/>
  <c r="AC109" i="2"/>
  <c r="AC112" i="2" s="1"/>
  <c r="AC117" i="2"/>
  <c r="AC114" i="2"/>
  <c r="AC122" i="2"/>
  <c r="E109" i="2"/>
  <c r="K109" i="2"/>
  <c r="Q109" i="2"/>
  <c r="W109" i="2"/>
  <c r="E117" i="2"/>
  <c r="K117" i="2"/>
  <c r="Q117" i="2"/>
  <c r="W117" i="2"/>
  <c r="E112" i="2"/>
  <c r="K112" i="2"/>
  <c r="Q112" i="2"/>
  <c r="W112" i="2"/>
  <c r="E114" i="2"/>
  <c r="K114" i="2"/>
  <c r="Q114" i="2"/>
  <c r="W114" i="2"/>
  <c r="E84" i="2"/>
  <c r="E87" i="2" s="1"/>
  <c r="E86" i="2" s="1"/>
  <c r="E90" i="2" s="1"/>
  <c r="K84" i="2"/>
  <c r="K87" i="2" s="1"/>
  <c r="K86" i="2" s="1"/>
  <c r="K90" i="2" s="1"/>
  <c r="Q84" i="2"/>
  <c r="W84" i="2"/>
  <c r="AC84" i="2"/>
  <c r="AC87" i="2" s="1"/>
  <c r="E92" i="2"/>
  <c r="K92" i="2"/>
  <c r="Q92" i="2"/>
  <c r="W92" i="2"/>
  <c r="AC92" i="2"/>
  <c r="W89" i="2"/>
  <c r="AC89" i="2"/>
  <c r="E59" i="2"/>
  <c r="E62" i="2" s="1"/>
  <c r="E67" i="2"/>
  <c r="E64" i="2"/>
  <c r="K59" i="2"/>
  <c r="K62" i="2" s="1"/>
  <c r="K61" i="2" s="1"/>
  <c r="K65" i="2" s="1"/>
  <c r="K67" i="2"/>
  <c r="Q59" i="2"/>
  <c r="Q62" i="2" s="1"/>
  <c r="Q67" i="2"/>
  <c r="Q64" i="2"/>
  <c r="W59" i="2"/>
  <c r="W62" i="2" s="1"/>
  <c r="W67" i="2"/>
  <c r="W64" i="2"/>
  <c r="AC59" i="2"/>
  <c r="AC62" i="2" s="1"/>
  <c r="AC67" i="2"/>
  <c r="AC64" i="2"/>
  <c r="AI59" i="2"/>
  <c r="AI62" i="2" s="1"/>
  <c r="AI67" i="2"/>
  <c r="AI64" i="2"/>
  <c r="AI34" i="2"/>
  <c r="AI37" i="2" s="1"/>
  <c r="AI42" i="2"/>
  <c r="AI39" i="2"/>
  <c r="AC34" i="2"/>
  <c r="AC37" i="2" s="1"/>
  <c r="AC42" i="2"/>
  <c r="AC39" i="2"/>
  <c r="W34" i="2"/>
  <c r="W37" i="2" s="1"/>
  <c r="W42" i="2"/>
  <c r="W39" i="2"/>
  <c r="Q34" i="2"/>
  <c r="Q37" i="2" s="1"/>
  <c r="Q39" i="2"/>
  <c r="K34" i="2"/>
  <c r="K37" i="2" s="1"/>
  <c r="K39" i="2"/>
  <c r="E34" i="2"/>
  <c r="E37" i="2" s="1"/>
  <c r="E42" i="2"/>
  <c r="E39" i="2"/>
  <c r="AI61" i="2" l="1"/>
  <c r="AI65" i="2" s="1"/>
  <c r="E36" i="2"/>
  <c r="E40" i="2" s="1"/>
  <c r="W61" i="2"/>
  <c r="W65" i="2" s="1"/>
  <c r="Q111" i="2"/>
  <c r="Q115" i="2" s="1"/>
  <c r="AC36" i="2"/>
  <c r="AC40" i="2" s="1"/>
  <c r="Q36" i="2"/>
  <c r="Q40" i="2" s="1"/>
  <c r="AC111" i="2"/>
  <c r="AC115" i="2" s="1"/>
  <c r="W36" i="2"/>
  <c r="W40" i="2" s="1"/>
  <c r="Q61" i="2"/>
  <c r="Q65" i="2" s="1"/>
  <c r="AC86" i="2"/>
  <c r="AC90" i="2" s="1"/>
  <c r="K111" i="2"/>
  <c r="K115" i="2" s="1"/>
  <c r="W111" i="2"/>
  <c r="W115" i="2" s="1"/>
  <c r="K36" i="2"/>
  <c r="K40" i="2" s="1"/>
  <c r="AI36" i="2"/>
  <c r="AI40" i="2" s="1"/>
  <c r="AC61" i="2"/>
  <c r="AC65" i="2" s="1"/>
  <c r="E61" i="2"/>
  <c r="E65" i="2" s="1"/>
  <c r="E111" i="2"/>
  <c r="E115" i="2" s="1"/>
  <c r="W87" i="2"/>
  <c r="W86" i="2" s="1"/>
  <c r="W90" i="2" s="1"/>
  <c r="Q87" i="2"/>
  <c r="Q86" i="2" s="1"/>
  <c r="Q90" i="2" s="1"/>
  <c r="H19" i="12" l="1"/>
  <c r="I19" i="12" s="1"/>
  <c r="L19" i="12"/>
  <c r="L61" i="12"/>
  <c r="K120" i="2" s="1"/>
  <c r="H61" i="12"/>
  <c r="I61" i="12"/>
  <c r="J61" i="12" s="1"/>
  <c r="K121" i="2" s="1"/>
  <c r="L8" i="12"/>
  <c r="K70" i="2" s="1"/>
  <c r="L10" i="12"/>
  <c r="L11" i="12"/>
  <c r="L13" i="12"/>
  <c r="W45" i="2" s="1"/>
  <c r="L14" i="12"/>
  <c r="E45" i="2" s="1"/>
  <c r="L15" i="12"/>
  <c r="K45" i="2" s="1"/>
  <c r="L16" i="12"/>
  <c r="E70" i="2" s="1"/>
  <c r="L18" i="12"/>
  <c r="L21" i="12"/>
  <c r="Q45" i="2" s="1"/>
  <c r="L22" i="12"/>
  <c r="W70" i="2" s="1"/>
  <c r="L23" i="12"/>
  <c r="E95" i="2" s="1"/>
  <c r="L24" i="12"/>
  <c r="K95" i="2" s="1"/>
  <c r="L25" i="12"/>
  <c r="Q95" i="2" s="1"/>
  <c r="L27" i="12"/>
  <c r="L28" i="12"/>
  <c r="L29" i="12"/>
  <c r="L30" i="12"/>
  <c r="L31" i="12"/>
  <c r="L33" i="12"/>
  <c r="L34" i="12"/>
  <c r="W95" i="2" s="1"/>
  <c r="L35" i="12"/>
  <c r="AC45" i="2" s="1"/>
  <c r="L36" i="12"/>
  <c r="L37" i="12"/>
  <c r="L39" i="12"/>
  <c r="L40" i="12"/>
  <c r="L42" i="12"/>
  <c r="L44" i="12"/>
  <c r="Q70" i="2" s="1"/>
  <c r="L46" i="12"/>
  <c r="L48" i="12"/>
  <c r="AI70" i="2" s="1"/>
  <c r="L49" i="12"/>
  <c r="E120" i="2" s="1"/>
  <c r="L50" i="12"/>
  <c r="AC70" i="2" s="1"/>
  <c r="L51" i="12"/>
  <c r="AC95" i="2" s="1"/>
  <c r="L53" i="12"/>
  <c r="L54" i="12"/>
  <c r="L56" i="12"/>
  <c r="AI45" i="2" s="1"/>
  <c r="L57" i="12"/>
  <c r="Q120" i="2" s="1"/>
  <c r="L59" i="12"/>
  <c r="L60" i="12"/>
  <c r="L62" i="12"/>
  <c r="L64" i="12"/>
  <c r="W120" i="2" s="1"/>
  <c r="L65" i="12"/>
  <c r="L6" i="12"/>
  <c r="J15" i="12"/>
  <c r="K46" i="2" s="1"/>
  <c r="J29" i="12"/>
  <c r="J33" i="12"/>
  <c r="J35" i="12"/>
  <c r="AC46" i="2" s="1"/>
  <c r="AC47" i="2" s="1"/>
  <c r="J37" i="12"/>
  <c r="J40" i="12"/>
  <c r="J44" i="12"/>
  <c r="Q71" i="2" s="1"/>
  <c r="J51" i="12"/>
  <c r="AC96" i="2" s="1"/>
  <c r="AC97" i="2" s="1"/>
  <c r="K122" i="2" l="1"/>
  <c r="Q72" i="2"/>
  <c r="K47" i="2"/>
  <c r="J19" i="12"/>
  <c r="H60" i="12" l="1"/>
  <c r="I60" i="12" s="1"/>
  <c r="H59" i="12"/>
  <c r="I59" i="12" s="1"/>
  <c r="H65" i="12"/>
  <c r="I65" i="12" s="1"/>
  <c r="H64" i="12"/>
  <c r="I64" i="12" s="1"/>
  <c r="H62" i="12"/>
  <c r="I62" i="12" s="1"/>
  <c r="H57" i="12"/>
  <c r="I57" i="12" s="1"/>
  <c r="H56" i="12"/>
  <c r="I56" i="12" s="1"/>
  <c r="H54" i="12"/>
  <c r="I54" i="12" s="1"/>
  <c r="J54" i="12" s="1"/>
  <c r="H53" i="12"/>
  <c r="I53" i="12" s="1"/>
  <c r="H50" i="12"/>
  <c r="I50" i="12" s="1"/>
  <c r="H49" i="12"/>
  <c r="I49" i="12" s="1"/>
  <c r="J49" i="12" s="1"/>
  <c r="E121" i="2" s="1"/>
  <c r="E122" i="2" s="1"/>
  <c r="H48" i="12"/>
  <c r="I48" i="12" s="1"/>
  <c r="H46" i="12"/>
  <c r="I46" i="12" s="1"/>
  <c r="H42" i="12"/>
  <c r="I42" i="12" s="1"/>
  <c r="H39" i="12"/>
  <c r="I39" i="12" s="1"/>
  <c r="H36" i="12"/>
  <c r="I36" i="12" s="1"/>
  <c r="H34" i="12"/>
  <c r="I34" i="12" s="1"/>
  <c r="H31" i="12"/>
  <c r="I31" i="12" s="1"/>
  <c r="H30" i="12"/>
  <c r="I30" i="12" s="1"/>
  <c r="H28" i="12"/>
  <c r="I28" i="12" s="1"/>
  <c r="J28" i="12" s="1"/>
  <c r="H27" i="12"/>
  <c r="I27" i="12" s="1"/>
  <c r="J27" i="12" s="1"/>
  <c r="H25" i="12"/>
  <c r="I25" i="12" s="1"/>
  <c r="H24" i="12"/>
  <c r="I24" i="12" s="1"/>
  <c r="H23" i="12"/>
  <c r="I23" i="12" s="1"/>
  <c r="J23" i="12" s="1"/>
  <c r="E96" i="2" s="1"/>
  <c r="E97" i="2" s="1"/>
  <c r="H22" i="12"/>
  <c r="I22" i="12" s="1"/>
  <c r="H21" i="12"/>
  <c r="I21" i="12" s="1"/>
  <c r="H18" i="12"/>
  <c r="I18" i="12" s="1"/>
  <c r="J18" i="12" s="1"/>
  <c r="H16" i="12"/>
  <c r="I16" i="12" s="1"/>
  <c r="J16" i="12" s="1"/>
  <c r="E71" i="2" s="1"/>
  <c r="E72" i="2" s="1"/>
  <c r="H14" i="12"/>
  <c r="I14" i="12" s="1"/>
  <c r="J14" i="12" s="1"/>
  <c r="E46" i="2" s="1"/>
  <c r="E47" i="2" s="1"/>
  <c r="H13" i="12"/>
  <c r="I13" i="12" s="1"/>
  <c r="H11" i="12"/>
  <c r="I11" i="12" s="1"/>
  <c r="H10" i="12"/>
  <c r="I10" i="12" s="1"/>
  <c r="H8" i="12"/>
  <c r="I8" i="12" s="1"/>
  <c r="H6" i="12"/>
  <c r="I6" i="12" s="1"/>
  <c r="J22" i="12" l="1"/>
  <c r="W71" i="2" s="1"/>
  <c r="W72" i="2" s="1"/>
  <c r="J34" i="12"/>
  <c r="W96" i="2" s="1"/>
  <c r="W97" i="2" s="1"/>
  <c r="J53" i="12"/>
  <c r="J36" i="12"/>
  <c r="J48" i="12"/>
  <c r="AI71" i="2" s="1"/>
  <c r="AI72" i="2" s="1"/>
  <c r="J64" i="12"/>
  <c r="W121" i="2" s="1"/>
  <c r="W122" i="2" s="1"/>
  <c r="J13" i="12"/>
  <c r="W46" i="2" s="1"/>
  <c r="W47" i="2" s="1"/>
  <c r="J39" i="12"/>
  <c r="J56" i="12"/>
  <c r="AI46" i="2" s="1"/>
  <c r="AI47" i="2" s="1"/>
  <c r="J65" i="12"/>
  <c r="J10" i="12"/>
  <c r="J46" i="12"/>
  <c r="J62" i="12"/>
  <c r="J59" i="12"/>
  <c r="J11" i="12"/>
  <c r="J60" i="12"/>
  <c r="J6" i="12"/>
  <c r="J24" i="12"/>
  <c r="K96" i="2" s="1"/>
  <c r="K97" i="2" s="1"/>
  <c r="J30" i="12"/>
  <c r="J8" i="12"/>
  <c r="K71" i="2" s="1"/>
  <c r="K72" i="2" s="1"/>
  <c r="J21" i="12"/>
  <c r="Q46" i="2" s="1"/>
  <c r="Q47" i="2" s="1"/>
  <c r="J25" i="12"/>
  <c r="Q96" i="2" s="1"/>
  <c r="Q97" i="2" s="1"/>
  <c r="J31" i="12"/>
  <c r="J42" i="12"/>
  <c r="J50" i="12"/>
  <c r="AC71" i="2" s="1"/>
  <c r="AC72" i="2" s="1"/>
  <c r="J57" i="12"/>
  <c r="Q121" i="2" s="1"/>
  <c r="Q122" i="2" s="1"/>
  <c r="E23" i="2" l="1"/>
  <c r="E24" i="2" s="1"/>
  <c r="E15" i="2"/>
  <c r="E10" i="2"/>
  <c r="E13" i="2" s="1"/>
  <c r="E12" i="2" l="1"/>
  <c r="E16" i="2" s="1"/>
</calcChain>
</file>

<file path=xl/sharedStrings.xml><?xml version="1.0" encoding="utf-8"?>
<sst xmlns="http://schemas.openxmlformats.org/spreadsheetml/2006/main" count="1122" uniqueCount="132">
  <si>
    <t>Listrik</t>
  </si>
  <si>
    <t>off</t>
  </si>
  <si>
    <t>Status</t>
  </si>
  <si>
    <t>No</t>
  </si>
  <si>
    <t>ABM</t>
  </si>
  <si>
    <t xml:space="preserve">CONTOH </t>
  </si>
  <si>
    <t>COMPONENTS</t>
  </si>
  <si>
    <t>Variable i</t>
  </si>
  <si>
    <t>Variable ii</t>
  </si>
  <si>
    <t xml:space="preserve">Parameter </t>
  </si>
  <si>
    <t>Note</t>
  </si>
  <si>
    <t>Name</t>
  </si>
  <si>
    <t>Mesin Cuci</t>
  </si>
  <si>
    <t>Code</t>
  </si>
  <si>
    <t>RCC01-WM01</t>
  </si>
  <si>
    <t>Date Created</t>
  </si>
  <si>
    <t>tanggal dibeli</t>
  </si>
  <si>
    <t>Tanggal diproduksi menentukan umur objek</t>
  </si>
  <si>
    <t>hari</t>
  </si>
  <si>
    <t>Masa pemakaian yang disarankan sesuai spesifikasi produk. Tahun dikonversi ke hari</t>
  </si>
  <si>
    <t>Age</t>
  </si>
  <si>
    <t>Sisa Umur</t>
  </si>
  <si>
    <t>Maintenance</t>
  </si>
  <si>
    <t>Current State</t>
  </si>
  <si>
    <t>level</t>
  </si>
  <si>
    <t>kumulatif maintenance</t>
  </si>
  <si>
    <r>
      <t>Jumlah maintenance yang dilakukan. Setiap maintenance</t>
    </r>
    <r>
      <rPr>
        <b/>
        <sz val="12"/>
        <color theme="1"/>
        <rFont val="Calibri"/>
        <family val="2"/>
        <scheme val="minor"/>
      </rPr>
      <t xml:space="preserve"> tambah 1 poin dari Current State</t>
    </r>
  </si>
  <si>
    <t>Cleanliness</t>
  </si>
  <si>
    <t>Condition</t>
  </si>
  <si>
    <t>rusak, kurang bagus, bagus, sangat bagus</t>
  </si>
  <si>
    <t>Function</t>
  </si>
  <si>
    <t>Komputasi</t>
  </si>
  <si>
    <t>Energy Type</t>
  </si>
  <si>
    <t>kw/j</t>
  </si>
  <si>
    <t>Survei alat (sudah disurvei)</t>
  </si>
  <si>
    <t>jam</t>
  </si>
  <si>
    <t>kumulatif konsumsi energi</t>
  </si>
  <si>
    <t>Capacity</t>
  </si>
  <si>
    <t>btu/jam</t>
  </si>
  <si>
    <t>TV</t>
  </si>
  <si>
    <t>Radio</t>
  </si>
  <si>
    <t>AC</t>
  </si>
  <si>
    <t>Kipas Angin</t>
  </si>
  <si>
    <t>Hair Straightener</t>
  </si>
  <si>
    <t>Refrigerator</t>
  </si>
  <si>
    <t>RKG01-TV01</t>
  </si>
  <si>
    <t>RTU02-RA01</t>
  </si>
  <si>
    <t>RTU01-AC01</t>
  </si>
  <si>
    <t>RKG01-KP01</t>
  </si>
  <si>
    <t>RTU02-HS01</t>
  </si>
  <si>
    <t>RDP01-RE01</t>
  </si>
  <si>
    <t>TV Kabel (Indovision)</t>
  </si>
  <si>
    <t>Laptop</t>
  </si>
  <si>
    <t>Dry Iron</t>
  </si>
  <si>
    <t>Blender</t>
  </si>
  <si>
    <t>RTU02-TV02</t>
  </si>
  <si>
    <t>LP01</t>
  </si>
  <si>
    <t>RGD01-IR01</t>
  </si>
  <si>
    <t>RTU01-KP02</t>
  </si>
  <si>
    <t>RMK01-BL01</t>
  </si>
  <si>
    <t>RMK01-RE02</t>
  </si>
  <si>
    <t>HP</t>
  </si>
  <si>
    <t>HP01</t>
  </si>
  <si>
    <t>HP02</t>
  </si>
  <si>
    <t>HP03</t>
  </si>
  <si>
    <t>RTU02-KP03</t>
  </si>
  <si>
    <t>RMK01-WP02</t>
  </si>
  <si>
    <t>Rice Cooker</t>
  </si>
  <si>
    <t>Washing Machine</t>
  </si>
  <si>
    <t>RMK01-RC02</t>
  </si>
  <si>
    <t>RDP01-RC01</t>
  </si>
  <si>
    <t>RGS01-WP01</t>
  </si>
  <si>
    <t>RCC01-WM02</t>
  </si>
  <si>
    <t>Ruang dan alat listrik bisa ditambah/ diperbaiki</t>
  </si>
  <si>
    <t xml:space="preserve">Ruang </t>
  </si>
  <si>
    <t xml:space="preserve">Alat </t>
  </si>
  <si>
    <t xml:space="preserve">Jumlah </t>
  </si>
  <si>
    <t xml:space="preserve">Waktu </t>
  </si>
  <si>
    <t>Durasi (jam)</t>
  </si>
  <si>
    <t>Durasi (menit)</t>
  </si>
  <si>
    <t>Daya (Watt)</t>
  </si>
  <si>
    <t xml:space="preserve">Keterangan </t>
  </si>
  <si>
    <t>Nyala</t>
  </si>
  <si>
    <t xml:space="preserve">Mati </t>
  </si>
  <si>
    <t>Rg. Tamu</t>
  </si>
  <si>
    <t xml:space="preserve">Lampu </t>
  </si>
  <si>
    <t>Rg. Keluarga</t>
  </si>
  <si>
    <t>Kipas</t>
  </si>
  <si>
    <t>TV Kabel</t>
  </si>
  <si>
    <t>Kamar Depan</t>
  </si>
  <si>
    <t>Dimatikan 2-3x (10-20 menit)</t>
  </si>
  <si>
    <t>Kamar Tengah 1</t>
  </si>
  <si>
    <t>Kamar Tengah 2</t>
  </si>
  <si>
    <t>Lampu</t>
  </si>
  <si>
    <t>Standby power/tidak nyala</t>
  </si>
  <si>
    <t>Catokan</t>
  </si>
  <si>
    <t>Koridor</t>
  </si>
  <si>
    <t>WC</t>
  </si>
  <si>
    <t>Gudang</t>
  </si>
  <si>
    <t>Setrika</t>
  </si>
  <si>
    <t>Rg. Makan</t>
  </si>
  <si>
    <t>Kulkas</t>
  </si>
  <si>
    <t>Pompa</t>
  </si>
  <si>
    <t>Dapur</t>
  </si>
  <si>
    <t>Rg. Cuci</t>
  </si>
  <si>
    <t>Garasi</t>
  </si>
  <si>
    <t>Teras</t>
  </si>
  <si>
    <t>LINK Durasi (jam)</t>
  </si>
  <si>
    <t>LINK Daya (KWj)</t>
  </si>
  <si>
    <t>Lifespan</t>
  </si>
  <si>
    <t>Tingkat perlu maintance berkala. Contoh setiap 120 hari (4 bulan) atau 45 kali maintenance dalam 15 tahun = ((Age/Lifespan) x Jumlah maintenance yang disarankan selama Lifespan - Sub kumulatif maintenance dilakukan)</t>
  </si>
  <si>
    <t>Skala kondisi = Rusak &lt; 0.25 &lt; Kurang bagus &lt; 0.5 &lt; Bagus &lt; 0.75 &lt; Sangat bagus &lt; 1 = Sisa Umur/Lifespan</t>
  </si>
  <si>
    <t>Energy Consumption Rate</t>
  </si>
  <si>
    <t>Current Consumption Time</t>
  </si>
  <si>
    <t>Current Consumption Time x Energy Consumption Rate</t>
  </si>
  <si>
    <t>Water Pump</t>
  </si>
  <si>
    <r>
      <t xml:space="preserve">Status on/off replace setiap digunakan dari sheet </t>
    </r>
    <r>
      <rPr>
        <b/>
        <sz val="12"/>
        <color theme="1"/>
        <rFont val="Calibri"/>
        <family val="2"/>
        <scheme val="minor"/>
      </rPr>
      <t>DL, setiap "on"</t>
    </r>
    <r>
      <rPr>
        <sz val="12"/>
        <color theme="1"/>
        <rFont val="Calibri"/>
        <family val="2"/>
        <scheme val="minor"/>
      </rPr>
      <t xml:space="preserve"> akan menambah 1 poin ke baris Age kolom Parameter</t>
    </r>
  </si>
  <si>
    <r>
      <t>Tambahan 1 poin, replace setiap digunakan</t>
    </r>
    <r>
      <rPr>
        <b/>
        <sz val="12"/>
        <color theme="1"/>
        <rFont val="Calibri"/>
        <family val="2"/>
        <scheme val="minor"/>
      </rPr>
      <t xml:space="preserve"> "on" dari sheet DL</t>
    </r>
  </si>
  <si>
    <r>
      <t xml:space="preserve">Tingkat kotor </t>
    </r>
    <r>
      <rPr>
        <b/>
        <sz val="12"/>
        <color theme="1"/>
        <rFont val="Calibri"/>
        <family val="2"/>
        <scheme val="minor"/>
      </rPr>
      <t>replace dari sheet DL</t>
    </r>
    <r>
      <rPr>
        <sz val="12"/>
        <color theme="1"/>
        <rFont val="Calibri"/>
        <family val="2"/>
        <scheme val="minor"/>
      </rPr>
      <t xml:space="preserve">. Setiap kali digunakan mendapat 0.1 poin. </t>
    </r>
    <r>
      <rPr>
        <b/>
        <sz val="12"/>
        <color theme="1"/>
        <rFont val="Calibri"/>
        <family val="2"/>
        <scheme val="minor"/>
      </rPr>
      <t>Jika ada aktivitas membersihkan</t>
    </r>
    <r>
      <rPr>
        <sz val="12"/>
        <color theme="1"/>
        <rFont val="Calibri"/>
        <family val="2"/>
        <scheme val="minor"/>
      </rPr>
      <t>, poin berkurang = 0 (bersih)</t>
    </r>
  </si>
  <si>
    <t>Replace dari sheet DL</t>
  </si>
  <si>
    <t>Current Energy Consumption</t>
  </si>
  <si>
    <t>Cleaning</t>
  </si>
  <si>
    <t>Sisa umur = Lifespan - Age - (Total Cumulative Energy Consumption Maintenance + Cleanliness level)/2 X 10</t>
  </si>
  <si>
    <t>Total Cumulative Energy Consumption</t>
  </si>
  <si>
    <t>Penjumlahan Sub Total Cumulative Energy Consumption</t>
  </si>
  <si>
    <t>Machine Activity</t>
  </si>
  <si>
    <t>Total Cumulative Maintenance</t>
  </si>
  <si>
    <t>A. Active Attribute</t>
  </si>
  <si>
    <t>ACTIVE OBJECT</t>
  </si>
  <si>
    <t>Nama objek pada sheet Current State didahului dengan nama ruang: RCC01-WM01 (Ruang Cuci 1 - Mesin Cuci 1)</t>
  </si>
  <si>
    <t>Heat Emission</t>
  </si>
  <si>
    <t>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</si>
</sst>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h\.m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16">
    <xf numFmtId="0" fontId="0" fillId="0" borderId="0" xfId="0"/>
    <xf numFmtId="0" fontId="0" fillId="0" borderId="6" xfId="0" applyFill="1" applyBorder="1"/>
    <xf numFmtId="0" fontId="0" fillId="0" borderId="3" xfId="0" applyFill="1" applyBorder="1"/>
    <xf numFmtId="0" fontId="0" fillId="0" borderId="0" xfId="0" applyFill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5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3" fillId="0" borderId="0" xfId="0" applyFont="1" applyFill="1"/>
    <xf numFmtId="0" fontId="0" fillId="0" borderId="5" xfId="0" applyFill="1" applyBorder="1" applyAlignment="1">
      <alignment horizontal="left" vertical="center" wrapText="1"/>
    </xf>
    <xf numFmtId="0" fontId="4" fillId="0" borderId="0" xfId="0" applyFont="1" applyFill="1"/>
    <xf numFmtId="0" fontId="0" fillId="0" borderId="2" xfId="0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Border="1"/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20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2" fillId="0" borderId="31" xfId="1" applyBorder="1" applyAlignment="1">
      <alignment horizontal="center" vertical="center"/>
    </xf>
    <xf numFmtId="0" fontId="2" fillId="0" borderId="33" xfId="1" applyBorder="1" applyAlignment="1">
      <alignment horizontal="center"/>
    </xf>
    <xf numFmtId="0" fontId="2" fillId="0" borderId="33" xfId="1" applyBorder="1"/>
    <xf numFmtId="0" fontId="2" fillId="0" borderId="33" xfId="1" applyBorder="1" applyAlignment="1">
      <alignment horizontal="center" vertical="center"/>
    </xf>
    <xf numFmtId="166" fontId="2" fillId="0" borderId="33" xfId="1" applyNumberFormat="1" applyBorder="1" applyAlignment="1">
      <alignment horizontal="center" vertical="center"/>
    </xf>
    <xf numFmtId="0" fontId="2" fillId="0" borderId="27" xfId="1" applyBorder="1" applyAlignment="1">
      <alignment horizontal="center"/>
    </xf>
    <xf numFmtId="0" fontId="2" fillId="0" borderId="27" xfId="1" applyBorder="1" applyAlignment="1">
      <alignment horizontal="left"/>
    </xf>
    <xf numFmtId="0" fontId="2" fillId="2" borderId="27" xfId="1" applyFill="1" applyBorder="1" applyAlignment="1">
      <alignment horizontal="left"/>
    </xf>
    <xf numFmtId="0" fontId="2" fillId="2" borderId="27" xfId="1" applyFill="1" applyBorder="1" applyAlignment="1">
      <alignment horizontal="center"/>
    </xf>
    <xf numFmtId="20" fontId="2" fillId="2" borderId="27" xfId="1" applyNumberFormat="1" applyFill="1" applyBorder="1" applyAlignment="1">
      <alignment horizontal="center" vertical="center"/>
    </xf>
    <xf numFmtId="1" fontId="2" fillId="2" borderId="27" xfId="1" applyNumberFormat="1" applyFill="1" applyBorder="1" applyAlignment="1">
      <alignment horizontal="center" vertical="center"/>
    </xf>
    <xf numFmtId="0" fontId="2" fillId="2" borderId="27" xfId="1" applyFill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2" fillId="0" borderId="34" xfId="1" applyBorder="1" applyAlignment="1">
      <alignment horizontal="center"/>
    </xf>
    <xf numFmtId="0" fontId="2" fillId="0" borderId="34" xfId="1" applyBorder="1" applyAlignment="1">
      <alignment horizontal="left"/>
    </xf>
    <xf numFmtId="0" fontId="2" fillId="5" borderId="34" xfId="1" applyFill="1" applyBorder="1" applyAlignment="1">
      <alignment horizontal="left"/>
    </xf>
    <xf numFmtId="0" fontId="2" fillId="5" borderId="34" xfId="1" applyFill="1" applyBorder="1" applyAlignment="1">
      <alignment horizontal="center"/>
    </xf>
    <xf numFmtId="20" fontId="2" fillId="5" borderId="34" xfId="1" applyNumberFormat="1" applyFill="1" applyBorder="1" applyAlignment="1">
      <alignment horizontal="center" vertical="center"/>
    </xf>
    <xf numFmtId="1" fontId="2" fillId="5" borderId="27" xfId="1" applyNumberFormat="1" applyFill="1" applyBorder="1" applyAlignment="1">
      <alignment horizontal="center" vertical="center"/>
    </xf>
    <xf numFmtId="0" fontId="2" fillId="5" borderId="34" xfId="1" applyFill="1" applyBorder="1" applyAlignment="1">
      <alignment horizontal="center" vertical="center"/>
    </xf>
    <xf numFmtId="0" fontId="2" fillId="0" borderId="34" xfId="1" applyBorder="1" applyAlignment="1">
      <alignment horizontal="center" vertical="center"/>
    </xf>
    <xf numFmtId="0" fontId="2" fillId="0" borderId="29" xfId="1" applyBorder="1" applyAlignment="1">
      <alignment horizontal="center"/>
    </xf>
    <xf numFmtId="0" fontId="2" fillId="0" borderId="29" xfId="1" applyBorder="1" applyAlignment="1">
      <alignment horizontal="left"/>
    </xf>
    <xf numFmtId="0" fontId="2" fillId="0" borderId="29" xfId="1" applyFill="1" applyBorder="1" applyAlignment="1">
      <alignment horizontal="left"/>
    </xf>
    <xf numFmtId="0" fontId="2" fillId="0" borderId="29" xfId="1" applyFill="1" applyBorder="1" applyAlignment="1">
      <alignment horizontal="center"/>
    </xf>
    <xf numFmtId="20" fontId="2" fillId="0" borderId="29" xfId="1" applyNumberFormat="1" applyFill="1" applyBorder="1" applyAlignment="1">
      <alignment horizontal="center" vertical="center"/>
    </xf>
    <xf numFmtId="0" fontId="2" fillId="0" borderId="29" xfId="1" applyFill="1" applyBorder="1" applyAlignment="1">
      <alignment horizontal="center" vertical="center"/>
    </xf>
    <xf numFmtId="0" fontId="2" fillId="0" borderId="29" xfId="1" applyBorder="1" applyAlignment="1">
      <alignment horizontal="center" vertical="center"/>
    </xf>
    <xf numFmtId="0" fontId="2" fillId="2" borderId="33" xfId="1" applyFill="1" applyBorder="1"/>
    <xf numFmtId="0" fontId="2" fillId="2" borderId="33" xfId="1" applyFill="1" applyBorder="1" applyAlignment="1">
      <alignment horizontal="center"/>
    </xf>
    <xf numFmtId="20" fontId="2" fillId="2" borderId="28" xfId="1" applyNumberFormat="1" applyFill="1" applyBorder="1" applyAlignment="1">
      <alignment horizontal="center" vertical="center"/>
    </xf>
    <xf numFmtId="1" fontId="2" fillId="2" borderId="28" xfId="1" applyNumberFormat="1" applyFill="1" applyBorder="1" applyAlignment="1">
      <alignment horizontal="center" vertical="center"/>
    </xf>
    <xf numFmtId="0" fontId="2" fillId="2" borderId="28" xfId="1" applyFill="1" applyBorder="1" applyAlignment="1">
      <alignment horizontal="center" vertical="center"/>
    </xf>
    <xf numFmtId="0" fontId="2" fillId="0" borderId="28" xfId="1" applyBorder="1" applyAlignment="1">
      <alignment horizontal="center" vertical="center"/>
    </xf>
    <xf numFmtId="0" fontId="2" fillId="0" borderId="28" xfId="1" applyBorder="1" applyAlignment="1">
      <alignment horizontal="center"/>
    </xf>
    <xf numFmtId="0" fontId="2" fillId="0" borderId="28" xfId="1" applyBorder="1"/>
    <xf numFmtId="0" fontId="2" fillId="2" borderId="28" xfId="1" applyFill="1" applyBorder="1"/>
    <xf numFmtId="0" fontId="2" fillId="2" borderId="28" xfId="1" applyFill="1" applyBorder="1" applyAlignment="1">
      <alignment horizontal="center"/>
    </xf>
    <xf numFmtId="0" fontId="2" fillId="0" borderId="28" xfId="1" applyFill="1" applyBorder="1"/>
    <xf numFmtId="0" fontId="2" fillId="0" borderId="28" xfId="1" applyFill="1" applyBorder="1" applyAlignment="1">
      <alignment horizontal="center"/>
    </xf>
    <xf numFmtId="20" fontId="2" fillId="0" borderId="28" xfId="1" applyNumberFormat="1" applyFill="1" applyBorder="1" applyAlignment="1">
      <alignment horizontal="center" vertical="center"/>
    </xf>
    <xf numFmtId="0" fontId="2" fillId="0" borderId="28" xfId="1" applyFill="1" applyBorder="1" applyAlignment="1">
      <alignment horizontal="center" vertical="center"/>
    </xf>
    <xf numFmtId="1" fontId="2" fillId="0" borderId="28" xfId="1" applyNumberFormat="1" applyFill="1" applyBorder="1" applyAlignment="1">
      <alignment horizontal="center" vertical="center"/>
    </xf>
    <xf numFmtId="0" fontId="2" fillId="0" borderId="27" xfId="1" applyBorder="1"/>
    <xf numFmtId="0" fontId="2" fillId="6" borderId="27" xfId="1" applyFill="1" applyBorder="1"/>
    <xf numFmtId="0" fontId="2" fillId="6" borderId="27" xfId="1" applyFill="1" applyBorder="1" applyAlignment="1">
      <alignment horizontal="center"/>
    </xf>
    <xf numFmtId="20" fontId="2" fillId="6" borderId="27" xfId="1" applyNumberFormat="1" applyFill="1" applyBorder="1" applyAlignment="1">
      <alignment horizontal="center" vertical="center"/>
    </xf>
    <xf numFmtId="1" fontId="2" fillId="6" borderId="27" xfId="1" applyNumberFormat="1" applyFill="1" applyBorder="1" applyAlignment="1">
      <alignment horizontal="center" vertical="center"/>
    </xf>
    <xf numFmtId="0" fontId="2" fillId="6" borderId="27" xfId="1" applyFill="1" applyBorder="1" applyAlignment="1">
      <alignment horizontal="center" vertical="center"/>
    </xf>
    <xf numFmtId="0" fontId="2" fillId="5" borderId="27" xfId="1" applyFill="1" applyBorder="1"/>
    <xf numFmtId="0" fontId="2" fillId="5" borderId="27" xfId="1" applyFill="1" applyBorder="1" applyAlignment="1">
      <alignment horizontal="center"/>
    </xf>
    <xf numFmtId="20" fontId="2" fillId="5" borderId="27" xfId="1" applyNumberFormat="1" applyFill="1" applyBorder="1" applyAlignment="1">
      <alignment horizontal="center" vertical="center"/>
    </xf>
    <xf numFmtId="0" fontId="2" fillId="5" borderId="27" xfId="1" applyFill="1" applyBorder="1" applyAlignment="1">
      <alignment horizontal="center" vertical="center"/>
    </xf>
    <xf numFmtId="0" fontId="2" fillId="0" borderId="34" xfId="1" applyBorder="1"/>
    <xf numFmtId="0" fontId="2" fillId="5" borderId="34" xfId="1" applyFill="1" applyBorder="1"/>
    <xf numFmtId="1" fontId="2" fillId="5" borderId="34" xfId="1" applyNumberFormat="1" applyFill="1" applyBorder="1" applyAlignment="1">
      <alignment horizontal="center" vertical="center"/>
    </xf>
    <xf numFmtId="0" fontId="2" fillId="0" borderId="29" xfId="1" applyBorder="1"/>
    <xf numFmtId="20" fontId="2" fillId="0" borderId="29" xfId="1" applyNumberFormat="1" applyBorder="1" applyAlignment="1">
      <alignment horizontal="center" vertical="center"/>
    </xf>
    <xf numFmtId="1" fontId="2" fillId="0" borderId="29" xfId="1" applyNumberFormat="1" applyBorder="1" applyAlignment="1">
      <alignment horizontal="center" vertical="center"/>
    </xf>
    <xf numFmtId="20" fontId="2" fillId="2" borderId="33" xfId="1" applyNumberFormat="1" applyFill="1" applyBorder="1" applyAlignment="1">
      <alignment horizontal="center" vertical="center"/>
    </xf>
    <xf numFmtId="1" fontId="2" fillId="2" borderId="33" xfId="1" applyNumberFormat="1" applyFill="1" applyBorder="1" applyAlignment="1">
      <alignment horizontal="center" vertical="center"/>
    </xf>
    <xf numFmtId="0" fontId="2" fillId="2" borderId="33" xfId="1" applyFill="1" applyBorder="1" applyAlignment="1">
      <alignment horizontal="center" vertical="center"/>
    </xf>
    <xf numFmtId="0" fontId="2" fillId="0" borderId="32" xfId="1" applyBorder="1" applyAlignment="1">
      <alignment horizontal="center"/>
    </xf>
    <xf numFmtId="0" fontId="2" fillId="0" borderId="32" xfId="1" applyBorder="1"/>
    <xf numFmtId="0" fontId="2" fillId="2" borderId="32" xfId="1" applyFill="1" applyBorder="1"/>
    <xf numFmtId="0" fontId="2" fillId="2" borderId="32" xfId="1" applyFill="1" applyBorder="1" applyAlignment="1">
      <alignment horizontal="center"/>
    </xf>
    <xf numFmtId="0" fontId="2" fillId="0" borderId="32" xfId="1" applyBorder="1" applyAlignment="1">
      <alignment horizontal="center" vertical="center"/>
    </xf>
    <xf numFmtId="0" fontId="2" fillId="5" borderId="28" xfId="1" applyFill="1" applyBorder="1"/>
    <xf numFmtId="0" fontId="2" fillId="5" borderId="28" xfId="1" applyFill="1" applyBorder="1" applyAlignment="1">
      <alignment horizontal="center"/>
    </xf>
    <xf numFmtId="20" fontId="2" fillId="5" borderId="28" xfId="1" applyNumberFormat="1" applyFill="1" applyBorder="1" applyAlignment="1">
      <alignment horizontal="center" vertical="center"/>
    </xf>
    <xf numFmtId="1" fontId="2" fillId="5" borderId="28" xfId="1" applyNumberFormat="1" applyFill="1" applyBorder="1" applyAlignment="1">
      <alignment horizontal="center" vertical="center"/>
    </xf>
    <xf numFmtId="0" fontId="2" fillId="5" borderId="28" xfId="1" applyFill="1" applyBorder="1" applyAlignment="1">
      <alignment horizontal="center" vertical="center"/>
    </xf>
    <xf numFmtId="0" fontId="2" fillId="6" borderId="28" xfId="1" applyFill="1" applyBorder="1"/>
    <xf numFmtId="0" fontId="2" fillId="6" borderId="28" xfId="1" applyFill="1" applyBorder="1" applyAlignment="1">
      <alignment horizontal="center"/>
    </xf>
    <xf numFmtId="20" fontId="2" fillId="6" borderId="28" xfId="1" applyNumberFormat="1" applyFill="1" applyBorder="1" applyAlignment="1">
      <alignment horizontal="center" vertical="center"/>
    </xf>
    <xf numFmtId="1" fontId="2" fillId="6" borderId="28" xfId="1" applyNumberFormat="1" applyFill="1" applyBorder="1" applyAlignment="1">
      <alignment horizontal="center" vertical="center"/>
    </xf>
    <xf numFmtId="0" fontId="2" fillId="6" borderId="28" xfId="1" applyFill="1" applyBorder="1" applyAlignment="1">
      <alignment horizontal="center" vertical="center"/>
    </xf>
    <xf numFmtId="0" fontId="6" fillId="5" borderId="29" xfId="1" applyFont="1" applyFill="1" applyBorder="1"/>
    <xf numFmtId="0" fontId="6" fillId="5" borderId="29" xfId="1" applyFont="1" applyFill="1" applyBorder="1" applyAlignment="1">
      <alignment horizontal="center"/>
    </xf>
    <xf numFmtId="20" fontId="6" fillId="5" borderId="29" xfId="1" applyNumberFormat="1" applyFont="1" applyFill="1" applyBorder="1" applyAlignment="1">
      <alignment horizontal="center" vertical="center"/>
    </xf>
    <xf numFmtId="1" fontId="6" fillId="5" borderId="29" xfId="1" applyNumberFormat="1" applyFont="1" applyFill="1" applyBorder="1" applyAlignment="1">
      <alignment horizontal="center" vertical="center"/>
    </xf>
    <xf numFmtId="0" fontId="6" fillId="5" borderId="29" xfId="1" applyFont="1" applyFill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2" fillId="0" borderId="35" xfId="1" applyBorder="1" applyAlignment="1">
      <alignment horizontal="center"/>
    </xf>
    <xf numFmtId="0" fontId="2" fillId="0" borderId="35" xfId="1" applyBorder="1"/>
    <xf numFmtId="20" fontId="2" fillId="0" borderId="35" xfId="1" applyNumberFormat="1" applyBorder="1" applyAlignment="1">
      <alignment horizontal="center" vertical="center"/>
    </xf>
    <xf numFmtId="1" fontId="2" fillId="0" borderId="35" xfId="1" applyNumberFormat="1" applyBorder="1" applyAlignment="1">
      <alignment horizontal="center" vertical="center"/>
    </xf>
    <xf numFmtId="0" fontId="2" fillId="0" borderId="35" xfId="1" applyBorder="1" applyAlignment="1">
      <alignment horizontal="center" vertical="center"/>
    </xf>
    <xf numFmtId="0" fontId="2" fillId="2" borderId="27" xfId="1" applyFill="1" applyBorder="1"/>
    <xf numFmtId="0" fontId="2" fillId="0" borderId="27" xfId="1" applyFill="1" applyBorder="1"/>
    <xf numFmtId="0" fontId="2" fillId="0" borderId="27" xfId="1" applyFill="1" applyBorder="1" applyAlignment="1">
      <alignment horizontal="center"/>
    </xf>
    <xf numFmtId="20" fontId="2" fillId="0" borderId="27" xfId="1" applyNumberFormat="1" applyFill="1" applyBorder="1" applyAlignment="1">
      <alignment horizontal="center" vertical="center"/>
    </xf>
    <xf numFmtId="0" fontId="2" fillId="0" borderId="27" xfId="1" applyFill="1" applyBorder="1" applyAlignment="1">
      <alignment horizontal="center" vertical="center"/>
    </xf>
    <xf numFmtId="0" fontId="7" fillId="2" borderId="34" xfId="1" applyFont="1" applyFill="1" applyBorder="1"/>
    <xf numFmtId="0" fontId="2" fillId="2" borderId="34" xfId="1" applyFill="1" applyBorder="1" applyAlignment="1">
      <alignment horizontal="center"/>
    </xf>
    <xf numFmtId="20" fontId="2" fillId="2" borderId="34" xfId="1" applyNumberFormat="1" applyFill="1" applyBorder="1" applyAlignment="1">
      <alignment horizontal="center" vertical="center"/>
    </xf>
    <xf numFmtId="0" fontId="2" fillId="2" borderId="34" xfId="1" applyFill="1" applyBorder="1" applyAlignment="1">
      <alignment horizontal="center" vertical="center"/>
    </xf>
    <xf numFmtId="0" fontId="2" fillId="2" borderId="34" xfId="1" applyFill="1" applyBorder="1"/>
    <xf numFmtId="20" fontId="2" fillId="2" borderId="31" xfId="1" applyNumberFormat="1" applyFill="1" applyBorder="1" applyAlignment="1">
      <alignment horizontal="center" vertical="center"/>
    </xf>
    <xf numFmtId="1" fontId="2" fillId="2" borderId="31" xfId="1" applyNumberFormat="1" applyFill="1" applyBorder="1" applyAlignment="1">
      <alignment horizontal="center" vertical="center"/>
    </xf>
    <xf numFmtId="0" fontId="7" fillId="5" borderId="28" xfId="1" applyFont="1" applyFill="1" applyBorder="1"/>
    <xf numFmtId="0" fontId="2" fillId="5" borderId="29" xfId="1" applyFill="1" applyBorder="1"/>
    <xf numFmtId="0" fontId="2" fillId="5" borderId="29" xfId="1" applyFill="1" applyBorder="1" applyAlignment="1">
      <alignment horizontal="center"/>
    </xf>
    <xf numFmtId="20" fontId="2" fillId="5" borderId="29" xfId="1" applyNumberFormat="1" applyFill="1" applyBorder="1" applyAlignment="1">
      <alignment horizontal="center" vertical="center"/>
    </xf>
    <xf numFmtId="1" fontId="2" fillId="5" borderId="29" xfId="1" applyNumberFormat="1" applyFill="1" applyBorder="1" applyAlignment="1">
      <alignment horizontal="center" vertical="center"/>
    </xf>
    <xf numFmtId="0" fontId="2" fillId="5" borderId="29" xfId="1" applyFill="1" applyBorder="1" applyAlignment="1">
      <alignment horizontal="center" vertical="center"/>
    </xf>
    <xf numFmtId="165" fontId="2" fillId="0" borderId="29" xfId="1" applyNumberFormat="1" applyFill="1" applyBorder="1" applyAlignment="1">
      <alignment horizontal="center" vertical="center"/>
    </xf>
    <xf numFmtId="165" fontId="2" fillId="0" borderId="28" xfId="1" applyNumberFormat="1" applyFill="1" applyBorder="1" applyAlignment="1">
      <alignment horizontal="center" vertical="center"/>
    </xf>
    <xf numFmtId="165" fontId="2" fillId="0" borderId="27" xfId="1" applyNumberFormat="1" applyFill="1" applyBorder="1" applyAlignment="1">
      <alignment horizontal="center" vertical="center"/>
    </xf>
    <xf numFmtId="164" fontId="2" fillId="0" borderId="29" xfId="1" applyNumberFormat="1" applyFill="1" applyBorder="1" applyAlignment="1">
      <alignment horizontal="center" vertical="center"/>
    </xf>
    <xf numFmtId="164" fontId="2" fillId="0" borderId="28" xfId="1" applyNumberFormat="1" applyFill="1" applyBorder="1" applyAlignment="1">
      <alignment horizontal="center" vertical="center"/>
    </xf>
    <xf numFmtId="164" fontId="2" fillId="0" borderId="27" xfId="1" applyNumberFormat="1" applyFill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2" fillId="0" borderId="33" xfId="1" applyFill="1" applyBorder="1" applyAlignment="1">
      <alignment horizontal="center" vertical="center"/>
    </xf>
    <xf numFmtId="165" fontId="2" fillId="0" borderId="34" xfId="1" applyNumberFormat="1" applyFill="1" applyBorder="1" applyAlignment="1">
      <alignment horizontal="center" vertical="center"/>
    </xf>
    <xf numFmtId="165" fontId="2" fillId="0" borderId="33" xfId="1" applyNumberFormat="1" applyFill="1" applyBorder="1" applyAlignment="1">
      <alignment horizontal="center" vertical="center"/>
    </xf>
    <xf numFmtId="165" fontId="6" fillId="0" borderId="29" xfId="1" applyNumberFormat="1" applyFont="1" applyFill="1" applyBorder="1" applyAlignment="1">
      <alignment horizontal="center" vertical="center"/>
    </xf>
    <xf numFmtId="165" fontId="2" fillId="0" borderId="35" xfId="1" applyNumberFormat="1" applyFill="1" applyBorder="1" applyAlignment="1">
      <alignment horizontal="center" vertical="center"/>
    </xf>
    <xf numFmtId="165" fontId="2" fillId="0" borderId="31" xfId="1" applyNumberFormat="1" applyFill="1" applyBorder="1" applyAlignment="1">
      <alignment horizontal="center" vertical="center"/>
    </xf>
    <xf numFmtId="164" fontId="2" fillId="0" borderId="34" xfId="1" applyNumberFormat="1" applyFill="1" applyBorder="1" applyAlignment="1">
      <alignment horizontal="center" vertical="center"/>
    </xf>
    <xf numFmtId="164" fontId="2" fillId="0" borderId="33" xfId="1" applyNumberFormat="1" applyFill="1" applyBorder="1" applyAlignment="1">
      <alignment horizontal="center" vertical="center"/>
    </xf>
    <xf numFmtId="164" fontId="2" fillId="0" borderId="32" xfId="1" applyNumberFormat="1" applyFill="1" applyBorder="1" applyAlignment="1">
      <alignment horizontal="center" vertical="center"/>
    </xf>
    <xf numFmtId="164" fontId="6" fillId="0" borderId="29" xfId="1" applyNumberFormat="1" applyFont="1" applyFill="1" applyBorder="1" applyAlignment="1">
      <alignment horizontal="center" vertical="center"/>
    </xf>
    <xf numFmtId="164" fontId="2" fillId="0" borderId="35" xfId="1" applyNumberFormat="1" applyFill="1" applyBorder="1" applyAlignment="1">
      <alignment horizontal="center" vertical="center"/>
    </xf>
    <xf numFmtId="22" fontId="2" fillId="2" borderId="28" xfId="1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7" borderId="6" xfId="0" applyFill="1" applyBorder="1"/>
    <xf numFmtId="0" fontId="0" fillId="7" borderId="5" xfId="0" applyFill="1" applyBorder="1" applyAlignment="1">
      <alignment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 wrapText="1"/>
    </xf>
    <xf numFmtId="14" fontId="0" fillId="7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0" borderId="0" xfId="0" applyFill="1" applyAlignment="1">
      <alignment wrapText="1"/>
    </xf>
    <xf numFmtId="0" fontId="0" fillId="3" borderId="5" xfId="0" applyFill="1" applyBorder="1" applyAlignment="1">
      <alignment vertical="center"/>
    </xf>
    <xf numFmtId="0" fontId="0" fillId="7" borderId="5" xfId="0" applyFill="1" applyBorder="1" applyAlignment="1">
      <alignment horizontal="left" vertical="center" wrapText="1"/>
    </xf>
    <xf numFmtId="2" fontId="0" fillId="4" borderId="5" xfId="0" applyNumberFormat="1" applyFill="1" applyBorder="1" applyAlignment="1">
      <alignment horizontal="center" vertical="center" wrapText="1"/>
    </xf>
    <xf numFmtId="1" fontId="0" fillId="4" borderId="5" xfId="0" applyNumberFormat="1" applyFill="1" applyBorder="1" applyAlignment="1">
      <alignment horizontal="center" vertical="center" wrapText="1"/>
    </xf>
    <xf numFmtId="165" fontId="0" fillId="4" borderId="5" xfId="0" applyNumberFormat="1" applyFill="1" applyBorder="1" applyAlignment="1">
      <alignment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quotePrefix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22" xfId="0" applyFont="1" applyFill="1" applyBorder="1"/>
    <xf numFmtId="0" fontId="0" fillId="7" borderId="5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3" fillId="0" borderId="0" xfId="0" applyFont="1" applyFill="1" applyAlignment="1"/>
    <xf numFmtId="0" fontId="0" fillId="7" borderId="3" xfId="0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1" xfId="0" applyFill="1" applyBorder="1" applyAlignment="1">
      <alignment vertical="center" wrapText="1"/>
    </xf>
    <xf numFmtId="0" fontId="0" fillId="4" borderId="5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2" fillId="0" borderId="31" xfId="1" applyFill="1" applyBorder="1" applyAlignment="1">
      <alignment horizontal="center" vertical="center" wrapText="1"/>
    </xf>
    <xf numFmtId="0" fontId="2" fillId="0" borderId="35" xfId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30" xfId="1" applyBorder="1" applyAlignment="1">
      <alignment horizontal="center" vertical="center"/>
    </xf>
    <xf numFmtId="0" fontId="2" fillId="0" borderId="31" xfId="1" applyBorder="1" applyAlignment="1">
      <alignment horizontal="center" vertical="center"/>
    </xf>
    <xf numFmtId="0" fontId="2" fillId="0" borderId="30" xfId="1" applyBorder="1" applyAlignment="1">
      <alignment horizontal="center" vertical="center" wrapText="1"/>
    </xf>
    <xf numFmtId="0" fontId="2" fillId="0" borderId="31" xfId="1" applyBorder="1" applyAlignment="1">
      <alignment horizontal="center" vertical="center" wrapText="1"/>
    </xf>
    <xf numFmtId="0" fontId="2" fillId="0" borderId="32" xfId="1" applyBorder="1" applyAlignment="1">
      <alignment horizontal="center" vertical="center"/>
    </xf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20" xfId="0" applyFill="1" applyBorder="1" applyAlignment="1">
      <alignment horizontal="left"/>
    </xf>
    <xf numFmtId="0" fontId="1" fillId="0" borderId="15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9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3" fillId="0" borderId="0" xfId="0" applyFont="1" applyFill="1" applyAlignment="1">
      <alignment horizontal="left" wrapText="1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itial%20Condition%20(I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Kondisi%20Ru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>
        <row r="70">
          <cell r="J70">
            <v>30</v>
          </cell>
        </row>
      </sheetData>
      <sheetData sheetId="4"/>
      <sheetData sheetId="5"/>
      <sheetData sheetId="6"/>
      <sheetData sheetId="7"/>
      <sheetData sheetId="8"/>
      <sheetData sheetId="9">
        <row r="21">
          <cell r="Z21">
            <v>0.1</v>
          </cell>
        </row>
        <row r="62">
          <cell r="Q62">
            <v>0.1</v>
          </cell>
          <cell r="CT62">
            <v>0.1</v>
          </cell>
          <cell r="DC62">
            <v>0.1</v>
          </cell>
        </row>
        <row r="63">
          <cell r="AR63">
            <v>0.1</v>
          </cell>
          <cell r="BA63">
            <v>0.1</v>
          </cell>
          <cell r="BS63">
            <v>0.1</v>
          </cell>
          <cell r="DL63">
            <v>0.1</v>
          </cell>
          <cell r="DU63">
            <v>0.4</v>
          </cell>
        </row>
        <row r="64">
          <cell r="BA64">
            <v>0.1</v>
          </cell>
          <cell r="BS64">
            <v>0</v>
          </cell>
          <cell r="DC64">
            <v>0.1</v>
          </cell>
          <cell r="DL64">
            <v>0.1</v>
          </cell>
          <cell r="DU64">
            <v>0</v>
          </cell>
        </row>
        <row r="65">
          <cell r="DC65">
            <v>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Lingkungan (DL)"/>
    </sheetNames>
    <sheetDataSet>
      <sheetData sheetId="0">
        <row r="59">
          <cell r="N59" t="str">
            <v>on</v>
          </cell>
        </row>
        <row r="61">
          <cell r="N61" t="str">
            <v>off</v>
          </cell>
          <cell r="CQ61" t="str">
            <v>off</v>
          </cell>
          <cell r="CZ61" t="str">
            <v>off</v>
          </cell>
        </row>
        <row r="62">
          <cell r="AF62" t="str">
            <v>off</v>
          </cell>
          <cell r="AO62" t="str">
            <v>off</v>
          </cell>
          <cell r="AX62" t="str">
            <v>on</v>
          </cell>
          <cell r="BP62" t="str">
            <v>off</v>
          </cell>
          <cell r="CZ62" t="str">
            <v>on</v>
          </cell>
          <cell r="DI62" t="str">
            <v>on</v>
          </cell>
          <cell r="DR62" t="str">
            <v>off</v>
          </cell>
        </row>
        <row r="63">
          <cell r="AO63" t="str">
            <v>off</v>
          </cell>
          <cell r="AR63">
            <v>0.1</v>
          </cell>
          <cell r="AX63" t="str">
            <v>on</v>
          </cell>
          <cell r="BP63" t="str">
            <v>off</v>
          </cell>
          <cell r="CZ63" t="str">
            <v>off</v>
          </cell>
          <cell r="DI63" t="str">
            <v>off</v>
          </cell>
          <cell r="DR63" t="str">
            <v>off</v>
          </cell>
        </row>
        <row r="64">
          <cell r="AO64" t="str">
            <v>off</v>
          </cell>
          <cell r="AR64">
            <v>0.1</v>
          </cell>
          <cell r="AX64" t="str">
            <v>off</v>
          </cell>
          <cell r="CZ64" t="str">
            <v>off</v>
          </cell>
          <cell r="DC64">
            <v>0.1</v>
          </cell>
        </row>
        <row r="65">
          <cell r="AO65" t="str">
            <v>off</v>
          </cell>
          <cell r="AR65">
            <v>0.1</v>
          </cell>
          <cell r="AX65" t="str">
            <v>off</v>
          </cell>
        </row>
        <row r="66">
          <cell r="AX66" t="str">
            <v>off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67"/>
  <sheetViews>
    <sheetView zoomScale="115" zoomScaleNormal="115" workbookViewId="0">
      <selection activeCell="K19" sqref="K19"/>
    </sheetView>
  </sheetViews>
  <sheetFormatPr defaultRowHeight="15" x14ac:dyDescent="0.25"/>
  <cols>
    <col min="1" max="1" width="9.140625" style="26"/>
    <col min="2" max="2" width="5.7109375" style="27" customWidth="1"/>
    <col min="3" max="3" width="22.7109375" style="26" customWidth="1"/>
    <col min="4" max="4" width="16.42578125" style="26" customWidth="1"/>
    <col min="5" max="5" width="7.7109375" style="27" hidden="1" customWidth="1"/>
    <col min="6" max="7" width="12.7109375" style="28" hidden="1" customWidth="1"/>
    <col min="8" max="9" width="11.7109375" style="28" hidden="1" customWidth="1"/>
    <col min="10" max="10" width="11.7109375" style="142" customWidth="1"/>
    <col min="11" max="11" width="11.7109375" style="28" customWidth="1"/>
    <col min="12" max="12" width="11.7109375" style="142" customWidth="1"/>
    <col min="13" max="13" width="27.7109375" style="28" customWidth="1"/>
    <col min="14" max="16384" width="9.140625" style="26"/>
  </cols>
  <sheetData>
    <row r="1" spans="2:13" ht="18.75" x14ac:dyDescent="0.25">
      <c r="B1" s="193" t="s">
        <v>73</v>
      </c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2" spans="2:13" ht="15.75" thickBot="1" x14ac:dyDescent="0.3">
      <c r="M2" s="29"/>
    </row>
    <row r="3" spans="2:13" ht="15.75" thickBot="1" x14ac:dyDescent="0.3">
      <c r="B3" s="194" t="s">
        <v>3</v>
      </c>
      <c r="C3" s="194" t="s">
        <v>74</v>
      </c>
      <c r="D3" s="194" t="s">
        <v>75</v>
      </c>
      <c r="E3" s="194" t="s">
        <v>76</v>
      </c>
      <c r="F3" s="194" t="s">
        <v>77</v>
      </c>
      <c r="G3" s="194"/>
      <c r="H3" s="194" t="s">
        <v>78</v>
      </c>
      <c r="I3" s="196" t="s">
        <v>79</v>
      </c>
      <c r="J3" s="191" t="s">
        <v>107</v>
      </c>
      <c r="K3" s="195" t="s">
        <v>80</v>
      </c>
      <c r="L3" s="191" t="s">
        <v>108</v>
      </c>
      <c r="M3" s="195" t="s">
        <v>81</v>
      </c>
    </row>
    <row r="4" spans="2:13" ht="15.75" thickBot="1" x14ac:dyDescent="0.3">
      <c r="B4" s="195"/>
      <c r="C4" s="195"/>
      <c r="D4" s="195"/>
      <c r="E4" s="195"/>
      <c r="F4" s="30" t="s">
        <v>82</v>
      </c>
      <c r="G4" s="30" t="s">
        <v>83</v>
      </c>
      <c r="H4" s="195"/>
      <c r="I4" s="197"/>
      <c r="J4" s="192"/>
      <c r="K4" s="198"/>
      <c r="L4" s="192"/>
      <c r="M4" s="198"/>
    </row>
    <row r="5" spans="2:13" x14ac:dyDescent="0.25">
      <c r="B5" s="31"/>
      <c r="C5" s="32"/>
      <c r="D5" s="32"/>
      <c r="E5" s="31"/>
      <c r="F5" s="33"/>
      <c r="G5" s="34"/>
      <c r="H5" s="33"/>
      <c r="I5" s="33"/>
      <c r="J5" s="143"/>
      <c r="K5" s="33"/>
      <c r="L5" s="143"/>
      <c r="M5" s="33"/>
    </row>
    <row r="6" spans="2:13" x14ac:dyDescent="0.25">
      <c r="B6" s="35">
        <v>1</v>
      </c>
      <c r="C6" s="36" t="s">
        <v>84</v>
      </c>
      <c r="D6" s="37" t="s">
        <v>85</v>
      </c>
      <c r="E6" s="38">
        <v>1</v>
      </c>
      <c r="F6" s="39">
        <v>0.625</v>
      </c>
      <c r="G6" s="39">
        <v>0.91666666666666663</v>
      </c>
      <c r="H6" s="39">
        <f>G6-F6</f>
        <v>0.29166666666666663</v>
      </c>
      <c r="I6" s="40">
        <f>H6*1440</f>
        <v>419.99999999999994</v>
      </c>
      <c r="J6" s="138">
        <f>I6/60</f>
        <v>6.9999999999999991</v>
      </c>
      <c r="K6" s="41">
        <v>50</v>
      </c>
      <c r="L6" s="141">
        <f>K6/1000</f>
        <v>0.05</v>
      </c>
      <c r="M6" s="42"/>
    </row>
    <row r="7" spans="2:13" x14ac:dyDescent="0.25">
      <c r="B7" s="35"/>
      <c r="C7" s="36"/>
      <c r="D7" s="37"/>
      <c r="E7" s="38"/>
      <c r="F7" s="39"/>
      <c r="G7" s="39"/>
      <c r="H7" s="41"/>
      <c r="I7" s="41"/>
      <c r="J7" s="138"/>
      <c r="K7" s="41"/>
      <c r="L7" s="141"/>
      <c r="M7" s="42"/>
    </row>
    <row r="8" spans="2:13" x14ac:dyDescent="0.25">
      <c r="B8" s="43"/>
      <c r="C8" s="44"/>
      <c r="D8" s="45" t="s">
        <v>52</v>
      </c>
      <c r="E8" s="46">
        <v>1</v>
      </c>
      <c r="F8" s="47">
        <v>0.70833333333333337</v>
      </c>
      <c r="G8" s="47">
        <v>0.83333333333333337</v>
      </c>
      <c r="H8" s="47">
        <f>G8-F8</f>
        <v>0.125</v>
      </c>
      <c r="I8" s="48">
        <f>H8*1440</f>
        <v>180</v>
      </c>
      <c r="J8" s="144">
        <f t="shared" ref="J8:J65" si="0">I8/60</f>
        <v>3</v>
      </c>
      <c r="K8" s="49">
        <v>18.8</v>
      </c>
      <c r="L8" s="149">
        <f t="shared" ref="L8:L65" si="1">K8/1000</f>
        <v>1.8800000000000001E-2</v>
      </c>
      <c r="M8" s="50"/>
    </row>
    <row r="9" spans="2:13" ht="15.75" thickBot="1" x14ac:dyDescent="0.3">
      <c r="B9" s="51"/>
      <c r="C9" s="52"/>
      <c r="D9" s="53"/>
      <c r="E9" s="54"/>
      <c r="F9" s="55"/>
      <c r="G9" s="55"/>
      <c r="H9" s="56"/>
      <c r="I9" s="56"/>
      <c r="J9" s="136"/>
      <c r="K9" s="56"/>
      <c r="L9" s="139"/>
      <c r="M9" s="57"/>
    </row>
    <row r="10" spans="2:13" x14ac:dyDescent="0.25">
      <c r="B10" s="31">
        <v>2</v>
      </c>
      <c r="C10" s="32" t="s">
        <v>86</v>
      </c>
      <c r="D10" s="58" t="s">
        <v>85</v>
      </c>
      <c r="E10" s="59">
        <v>1</v>
      </c>
      <c r="F10" s="60">
        <v>0.625</v>
      </c>
      <c r="G10" s="60">
        <v>0.91666666666666663</v>
      </c>
      <c r="H10" s="60">
        <f>G10-F10</f>
        <v>0.29166666666666663</v>
      </c>
      <c r="I10" s="61">
        <f>H10*1440</f>
        <v>419.99999999999994</v>
      </c>
      <c r="J10" s="137">
        <f t="shared" si="0"/>
        <v>6.9999999999999991</v>
      </c>
      <c r="K10" s="62">
        <v>40</v>
      </c>
      <c r="L10" s="140">
        <f t="shared" si="1"/>
        <v>0.04</v>
      </c>
      <c r="M10" s="63"/>
    </row>
    <row r="11" spans="2:13" x14ac:dyDescent="0.25">
      <c r="B11" s="64"/>
      <c r="C11" s="65"/>
      <c r="D11" s="66"/>
      <c r="E11" s="67">
        <v>1</v>
      </c>
      <c r="F11" s="60">
        <v>0.29166666666666669</v>
      </c>
      <c r="G11" s="60">
        <v>0.91666666666666663</v>
      </c>
      <c r="H11" s="60">
        <f>G11-F11</f>
        <v>0.625</v>
      </c>
      <c r="I11" s="61">
        <f>H11*1440</f>
        <v>900</v>
      </c>
      <c r="J11" s="137">
        <f t="shared" si="0"/>
        <v>15</v>
      </c>
      <c r="K11" s="62">
        <v>15</v>
      </c>
      <c r="L11" s="140">
        <f t="shared" si="1"/>
        <v>1.4999999999999999E-2</v>
      </c>
      <c r="M11" s="63"/>
    </row>
    <row r="12" spans="2:13" x14ac:dyDescent="0.25">
      <c r="B12" s="64"/>
      <c r="C12" s="65"/>
      <c r="D12" s="68"/>
      <c r="E12" s="69"/>
      <c r="F12" s="70"/>
      <c r="G12" s="70"/>
      <c r="H12" s="71"/>
      <c r="I12" s="72"/>
      <c r="J12" s="137"/>
      <c r="K12" s="71"/>
      <c r="L12" s="140"/>
      <c r="M12" s="63"/>
    </row>
    <row r="13" spans="2:13" x14ac:dyDescent="0.25">
      <c r="B13" s="35"/>
      <c r="C13" s="73"/>
      <c r="D13" s="74" t="s">
        <v>87</v>
      </c>
      <c r="E13" s="75">
        <v>1</v>
      </c>
      <c r="F13" s="76">
        <v>0.41666666666666669</v>
      </c>
      <c r="G13" s="76">
        <v>0.91666666666666663</v>
      </c>
      <c r="H13" s="76">
        <f>G13-F13</f>
        <v>0.49999999999999994</v>
      </c>
      <c r="I13" s="77">
        <f>H13*1440</f>
        <v>719.99999999999989</v>
      </c>
      <c r="J13" s="138">
        <f t="shared" si="0"/>
        <v>11.999999999999998</v>
      </c>
      <c r="K13" s="78">
        <v>30</v>
      </c>
      <c r="L13" s="141">
        <f t="shared" si="1"/>
        <v>0.03</v>
      </c>
      <c r="M13" s="42"/>
    </row>
    <row r="14" spans="2:13" x14ac:dyDescent="0.25">
      <c r="B14" s="35"/>
      <c r="C14" s="73"/>
      <c r="D14" s="79" t="s">
        <v>39</v>
      </c>
      <c r="E14" s="80">
        <v>1</v>
      </c>
      <c r="F14" s="81">
        <v>0.75</v>
      </c>
      <c r="G14" s="81">
        <v>0.91666666666666663</v>
      </c>
      <c r="H14" s="81">
        <f>G14-F14</f>
        <v>0.16666666666666663</v>
      </c>
      <c r="I14" s="48">
        <f>H14*1440</f>
        <v>239.99999999999994</v>
      </c>
      <c r="J14" s="138">
        <f t="shared" si="0"/>
        <v>3.9999999999999991</v>
      </c>
      <c r="K14" s="82">
        <v>48.3</v>
      </c>
      <c r="L14" s="141">
        <f t="shared" si="1"/>
        <v>4.8299999999999996E-2</v>
      </c>
      <c r="M14" s="42"/>
    </row>
    <row r="15" spans="2:13" x14ac:dyDescent="0.25">
      <c r="B15" s="35"/>
      <c r="C15" s="73"/>
      <c r="D15" s="74" t="s">
        <v>40</v>
      </c>
      <c r="E15" s="75">
        <v>1</v>
      </c>
      <c r="F15" s="76"/>
      <c r="G15" s="76"/>
      <c r="H15" s="78"/>
      <c r="I15" s="77"/>
      <c r="J15" s="138">
        <f t="shared" si="0"/>
        <v>0</v>
      </c>
      <c r="K15" s="78">
        <v>2.9</v>
      </c>
      <c r="L15" s="141">
        <f t="shared" si="1"/>
        <v>2.8999999999999998E-3</v>
      </c>
      <c r="M15" s="42"/>
    </row>
    <row r="16" spans="2:13" x14ac:dyDescent="0.25">
      <c r="B16" s="43"/>
      <c r="C16" s="83"/>
      <c r="D16" s="84" t="s">
        <v>88</v>
      </c>
      <c r="E16" s="46">
        <v>1</v>
      </c>
      <c r="F16" s="47">
        <v>0.75</v>
      </c>
      <c r="G16" s="47">
        <v>0.91666666666666663</v>
      </c>
      <c r="H16" s="47">
        <f>G16-F16</f>
        <v>0.16666666666666663</v>
      </c>
      <c r="I16" s="85">
        <f>H16*1440</f>
        <v>239.99999999999994</v>
      </c>
      <c r="J16" s="144">
        <f t="shared" si="0"/>
        <v>3.9999999999999991</v>
      </c>
      <c r="K16" s="49">
        <v>7.7</v>
      </c>
      <c r="L16" s="149">
        <f t="shared" si="1"/>
        <v>7.7000000000000002E-3</v>
      </c>
      <c r="M16" s="50"/>
    </row>
    <row r="17" spans="2:13" ht="15.75" thickBot="1" x14ac:dyDescent="0.3">
      <c r="B17" s="51"/>
      <c r="C17" s="86"/>
      <c r="D17" s="86"/>
      <c r="E17" s="51"/>
      <c r="F17" s="87"/>
      <c r="G17" s="87"/>
      <c r="H17" s="57"/>
      <c r="I17" s="88"/>
      <c r="J17" s="136"/>
      <c r="K17" s="57"/>
      <c r="L17" s="139"/>
      <c r="M17" s="57"/>
    </row>
    <row r="18" spans="2:13" x14ac:dyDescent="0.25">
      <c r="B18" s="31">
        <v>3</v>
      </c>
      <c r="C18" s="32" t="s">
        <v>89</v>
      </c>
      <c r="D18" s="58" t="s">
        <v>85</v>
      </c>
      <c r="E18" s="59">
        <v>1</v>
      </c>
      <c r="F18" s="89">
        <v>0.70833333333333337</v>
      </c>
      <c r="G18" s="89">
        <v>0.91666666666666663</v>
      </c>
      <c r="H18" s="89">
        <f>G18-F18</f>
        <v>0.20833333333333326</v>
      </c>
      <c r="I18" s="90">
        <f>H18*1440</f>
        <v>299.99999999999989</v>
      </c>
      <c r="J18" s="145">
        <f t="shared" si="0"/>
        <v>4.9999999999999982</v>
      </c>
      <c r="K18" s="91">
        <v>15</v>
      </c>
      <c r="L18" s="150">
        <f t="shared" si="1"/>
        <v>1.4999999999999999E-2</v>
      </c>
      <c r="M18" s="33"/>
    </row>
    <row r="19" spans="2:13" x14ac:dyDescent="0.25">
      <c r="B19" s="64"/>
      <c r="C19" s="65"/>
      <c r="D19" s="66"/>
      <c r="E19" s="67"/>
      <c r="F19" s="60">
        <v>0.91666666666666663</v>
      </c>
      <c r="G19" s="154">
        <v>1.25</v>
      </c>
      <c r="H19" s="60">
        <f>G19-F19</f>
        <v>0.33333333333333337</v>
      </c>
      <c r="I19" s="40">
        <f>H19*1440</f>
        <v>480.00000000000006</v>
      </c>
      <c r="J19" s="137">
        <f t="shared" si="0"/>
        <v>8.0000000000000018</v>
      </c>
      <c r="K19" s="62">
        <v>5</v>
      </c>
      <c r="L19" s="140">
        <f t="shared" si="1"/>
        <v>5.0000000000000001E-3</v>
      </c>
      <c r="M19" s="63"/>
    </row>
    <row r="20" spans="2:13" x14ac:dyDescent="0.25">
      <c r="B20" s="64"/>
      <c r="C20" s="65"/>
      <c r="D20" s="68"/>
      <c r="E20" s="69"/>
      <c r="F20" s="70"/>
      <c r="G20" s="70"/>
      <c r="H20" s="71"/>
      <c r="I20" s="72"/>
      <c r="J20" s="137"/>
      <c r="K20" s="71"/>
      <c r="L20" s="140"/>
      <c r="M20" s="63"/>
    </row>
    <row r="21" spans="2:13" x14ac:dyDescent="0.25">
      <c r="B21" s="35"/>
      <c r="C21" s="73"/>
      <c r="D21" s="79" t="s">
        <v>41</v>
      </c>
      <c r="E21" s="80">
        <v>1</v>
      </c>
      <c r="F21" s="81">
        <v>0.875</v>
      </c>
      <c r="G21" s="81">
        <v>1</v>
      </c>
      <c r="H21" s="81">
        <f>G21-F21</f>
        <v>0.125</v>
      </c>
      <c r="I21" s="48">
        <f>H21*1440</f>
        <v>180</v>
      </c>
      <c r="J21" s="138">
        <f t="shared" si="0"/>
        <v>3</v>
      </c>
      <c r="K21" s="82">
        <v>657.3</v>
      </c>
      <c r="L21" s="141">
        <f t="shared" si="1"/>
        <v>0.6573</v>
      </c>
      <c r="M21" s="42"/>
    </row>
    <row r="22" spans="2:13" x14ac:dyDescent="0.25">
      <c r="B22" s="35"/>
      <c r="C22" s="73"/>
      <c r="D22" s="74" t="s">
        <v>87</v>
      </c>
      <c r="E22" s="75">
        <v>1</v>
      </c>
      <c r="F22" s="76">
        <v>0.33333333333333331</v>
      </c>
      <c r="G22" s="76">
        <v>0.41666666666666669</v>
      </c>
      <c r="H22" s="76">
        <f>G22-F22</f>
        <v>8.333333333333337E-2</v>
      </c>
      <c r="I22" s="77">
        <f>H22*1440</f>
        <v>120.00000000000006</v>
      </c>
      <c r="J22" s="138">
        <f t="shared" si="0"/>
        <v>2.0000000000000009</v>
      </c>
      <c r="K22" s="78">
        <v>40.6</v>
      </c>
      <c r="L22" s="141">
        <f t="shared" si="1"/>
        <v>4.0600000000000004E-2</v>
      </c>
      <c r="M22" s="42"/>
    </row>
    <row r="23" spans="2:13" x14ac:dyDescent="0.25">
      <c r="B23" s="35"/>
      <c r="C23" s="73"/>
      <c r="D23" s="79" t="s">
        <v>61</v>
      </c>
      <c r="E23" s="80">
        <v>1</v>
      </c>
      <c r="F23" s="81">
        <v>0.70833333333333337</v>
      </c>
      <c r="G23" s="81">
        <v>0.75</v>
      </c>
      <c r="H23" s="81">
        <f>G23-F23</f>
        <v>4.166666666666663E-2</v>
      </c>
      <c r="I23" s="48">
        <f>H23*1440</f>
        <v>59.999999999999943</v>
      </c>
      <c r="J23" s="138">
        <f t="shared" si="0"/>
        <v>0.999999999999999</v>
      </c>
      <c r="K23" s="82">
        <v>2.2999999999999998</v>
      </c>
      <c r="L23" s="141">
        <f t="shared" si="1"/>
        <v>2.3E-3</v>
      </c>
      <c r="M23" s="42"/>
    </row>
    <row r="24" spans="2:13" x14ac:dyDescent="0.25">
      <c r="B24" s="35"/>
      <c r="C24" s="73"/>
      <c r="D24" s="74" t="s">
        <v>61</v>
      </c>
      <c r="E24" s="75">
        <v>1</v>
      </c>
      <c r="F24" s="76">
        <v>0.75</v>
      </c>
      <c r="G24" s="76">
        <v>0.79166666666666663</v>
      </c>
      <c r="H24" s="76">
        <f t="shared" ref="H24:H65" si="2">G24-F24</f>
        <v>4.166666666666663E-2</v>
      </c>
      <c r="I24" s="77">
        <f t="shared" ref="I24:I65" si="3">H24*1440</f>
        <v>59.999999999999943</v>
      </c>
      <c r="J24" s="138">
        <f t="shared" si="0"/>
        <v>0.999999999999999</v>
      </c>
      <c r="K24" s="78">
        <v>2.4</v>
      </c>
      <c r="L24" s="141">
        <f t="shared" si="1"/>
        <v>2.3999999999999998E-3</v>
      </c>
      <c r="M24" s="78" t="s">
        <v>90</v>
      </c>
    </row>
    <row r="25" spans="2:13" x14ac:dyDescent="0.25">
      <c r="B25" s="35"/>
      <c r="C25" s="73"/>
      <c r="D25" s="79" t="s">
        <v>61</v>
      </c>
      <c r="E25" s="80">
        <v>1</v>
      </c>
      <c r="F25" s="81">
        <v>0.79166666666666663</v>
      </c>
      <c r="G25" s="81">
        <v>0.83333333333333337</v>
      </c>
      <c r="H25" s="81">
        <f>G25-F25</f>
        <v>4.1666666666666741E-2</v>
      </c>
      <c r="I25" s="48">
        <f>H25*1440</f>
        <v>60.000000000000107</v>
      </c>
      <c r="J25" s="138">
        <f t="shared" si="0"/>
        <v>1.0000000000000018</v>
      </c>
      <c r="K25" s="82">
        <v>2.2999999999999998</v>
      </c>
      <c r="L25" s="141">
        <f t="shared" si="1"/>
        <v>2.3E-3</v>
      </c>
      <c r="M25" s="42"/>
    </row>
    <row r="26" spans="2:13" ht="15.75" thickBot="1" x14ac:dyDescent="0.3">
      <c r="B26" s="51"/>
      <c r="C26" s="86"/>
      <c r="D26" s="86"/>
      <c r="E26" s="51"/>
      <c r="F26" s="87"/>
      <c r="G26" s="87"/>
      <c r="H26" s="87"/>
      <c r="I26" s="88"/>
      <c r="J26" s="136"/>
      <c r="K26" s="57"/>
      <c r="L26" s="139"/>
      <c r="M26" s="57"/>
    </row>
    <row r="27" spans="2:13" x14ac:dyDescent="0.25">
      <c r="B27" s="31">
        <v>4</v>
      </c>
      <c r="C27" s="32" t="s">
        <v>91</v>
      </c>
      <c r="D27" s="58" t="s">
        <v>85</v>
      </c>
      <c r="E27" s="59">
        <v>1</v>
      </c>
      <c r="F27" s="89">
        <v>0.70833333333333337</v>
      </c>
      <c r="G27" s="89">
        <v>0.91666666666666663</v>
      </c>
      <c r="H27" s="89">
        <f>G27-F27</f>
        <v>0.20833333333333326</v>
      </c>
      <c r="I27" s="90">
        <f>H27*1440</f>
        <v>299.99999999999989</v>
      </c>
      <c r="J27" s="145">
        <f t="shared" si="0"/>
        <v>4.9999999999999982</v>
      </c>
      <c r="K27" s="91">
        <v>15</v>
      </c>
      <c r="L27" s="150">
        <f t="shared" si="1"/>
        <v>1.4999999999999999E-2</v>
      </c>
      <c r="M27" s="33"/>
    </row>
    <row r="28" spans="2:13" x14ac:dyDescent="0.25">
      <c r="B28" s="92"/>
      <c r="C28" s="93"/>
      <c r="D28" s="94"/>
      <c r="E28" s="95"/>
      <c r="F28" s="60">
        <v>0.91666666666666663</v>
      </c>
      <c r="G28" s="60">
        <v>1</v>
      </c>
      <c r="H28" s="60">
        <f>G28-F28</f>
        <v>8.333333333333337E-2</v>
      </c>
      <c r="I28" s="40">
        <f>H28*1440</f>
        <v>120.00000000000006</v>
      </c>
      <c r="J28" s="137">
        <f t="shared" si="0"/>
        <v>2.0000000000000009</v>
      </c>
      <c r="K28" s="62">
        <v>5</v>
      </c>
      <c r="L28" s="151">
        <f t="shared" si="1"/>
        <v>5.0000000000000001E-3</v>
      </c>
      <c r="M28" s="96"/>
    </row>
    <row r="29" spans="2:13" ht="15.75" thickBot="1" x14ac:dyDescent="0.3">
      <c r="B29" s="51"/>
      <c r="C29" s="86"/>
      <c r="D29" s="86"/>
      <c r="E29" s="51"/>
      <c r="F29" s="87"/>
      <c r="G29" s="87"/>
      <c r="H29" s="87"/>
      <c r="I29" s="88"/>
      <c r="J29" s="136">
        <f t="shared" si="0"/>
        <v>0</v>
      </c>
      <c r="K29" s="57"/>
      <c r="L29" s="139">
        <f t="shared" si="1"/>
        <v>0</v>
      </c>
      <c r="M29" s="57"/>
    </row>
    <row r="30" spans="2:13" x14ac:dyDescent="0.25">
      <c r="B30" s="31">
        <v>5</v>
      </c>
      <c r="C30" s="32" t="s">
        <v>92</v>
      </c>
      <c r="D30" s="58" t="s">
        <v>93</v>
      </c>
      <c r="E30" s="59">
        <v>1</v>
      </c>
      <c r="F30" s="89">
        <v>0.70833333333333337</v>
      </c>
      <c r="G30" s="89">
        <v>0.91666666666666663</v>
      </c>
      <c r="H30" s="89">
        <f>G30-F30</f>
        <v>0.20833333333333326</v>
      </c>
      <c r="I30" s="90">
        <f>H30*1440</f>
        <v>299.99999999999989</v>
      </c>
      <c r="J30" s="145">
        <f t="shared" si="0"/>
        <v>4.9999999999999982</v>
      </c>
      <c r="K30" s="91">
        <v>15</v>
      </c>
      <c r="L30" s="150">
        <f t="shared" si="1"/>
        <v>1.4999999999999999E-2</v>
      </c>
      <c r="M30" s="33"/>
    </row>
    <row r="31" spans="2:13" x14ac:dyDescent="0.25">
      <c r="B31" s="64"/>
      <c r="C31" s="65"/>
      <c r="D31" s="66"/>
      <c r="E31" s="67">
        <v>1</v>
      </c>
      <c r="F31" s="60">
        <v>0.91666666666666663</v>
      </c>
      <c r="G31" s="60">
        <v>1</v>
      </c>
      <c r="H31" s="60">
        <f>G31-F31</f>
        <v>8.333333333333337E-2</v>
      </c>
      <c r="I31" s="40">
        <f>H31*1440</f>
        <v>120.00000000000006</v>
      </c>
      <c r="J31" s="137">
        <f t="shared" si="0"/>
        <v>2.0000000000000009</v>
      </c>
      <c r="K31" s="62">
        <v>5</v>
      </c>
      <c r="L31" s="140">
        <f t="shared" si="1"/>
        <v>5.0000000000000001E-3</v>
      </c>
      <c r="M31" s="63"/>
    </row>
    <row r="32" spans="2:13" x14ac:dyDescent="0.25">
      <c r="B32" s="64"/>
      <c r="C32" s="65"/>
      <c r="D32" s="68"/>
      <c r="E32" s="69"/>
      <c r="F32" s="70"/>
      <c r="G32" s="70"/>
      <c r="H32" s="70"/>
      <c r="I32" s="72"/>
      <c r="J32" s="137"/>
      <c r="K32" s="71"/>
      <c r="L32" s="140"/>
      <c r="M32" s="71"/>
    </row>
    <row r="33" spans="2:13" x14ac:dyDescent="0.25">
      <c r="B33" s="64"/>
      <c r="C33" s="65"/>
      <c r="D33" s="97" t="s">
        <v>39</v>
      </c>
      <c r="E33" s="98">
        <v>1</v>
      </c>
      <c r="F33" s="99"/>
      <c r="G33" s="99"/>
      <c r="H33" s="99"/>
      <c r="I33" s="100"/>
      <c r="J33" s="137">
        <f t="shared" si="0"/>
        <v>0</v>
      </c>
      <c r="K33" s="101">
        <v>59.7</v>
      </c>
      <c r="L33" s="140">
        <f t="shared" si="1"/>
        <v>5.9700000000000003E-2</v>
      </c>
      <c r="M33" s="101" t="s">
        <v>94</v>
      </c>
    </row>
    <row r="34" spans="2:13" x14ac:dyDescent="0.25">
      <c r="B34" s="64"/>
      <c r="C34" s="65"/>
      <c r="D34" s="102" t="s">
        <v>87</v>
      </c>
      <c r="E34" s="103">
        <v>1</v>
      </c>
      <c r="F34" s="104">
        <v>0.74305555555555547</v>
      </c>
      <c r="G34" s="104">
        <v>0.75694444444444453</v>
      </c>
      <c r="H34" s="104">
        <f>G34-F34</f>
        <v>1.3888888888889062E-2</v>
      </c>
      <c r="I34" s="105">
        <f>H34*1440</f>
        <v>20.000000000000249</v>
      </c>
      <c r="J34" s="137">
        <f t="shared" si="0"/>
        <v>0.33333333333333748</v>
      </c>
      <c r="K34" s="106">
        <v>37</v>
      </c>
      <c r="L34" s="140">
        <f t="shared" si="1"/>
        <v>3.6999999999999998E-2</v>
      </c>
      <c r="M34" s="63"/>
    </row>
    <row r="35" spans="2:13" ht="15.75" thickBot="1" x14ac:dyDescent="0.3">
      <c r="B35" s="51"/>
      <c r="C35" s="86"/>
      <c r="D35" s="107" t="s">
        <v>95</v>
      </c>
      <c r="E35" s="108">
        <v>1</v>
      </c>
      <c r="F35" s="109"/>
      <c r="G35" s="109"/>
      <c r="H35" s="109"/>
      <c r="I35" s="110"/>
      <c r="J35" s="146">
        <f t="shared" si="0"/>
        <v>0</v>
      </c>
      <c r="K35" s="111">
        <v>81.099999999999994</v>
      </c>
      <c r="L35" s="152">
        <f t="shared" si="1"/>
        <v>8.1099999999999992E-2</v>
      </c>
      <c r="M35" s="112"/>
    </row>
    <row r="36" spans="2:13" x14ac:dyDescent="0.25">
      <c r="B36" s="31">
        <v>6</v>
      </c>
      <c r="C36" s="32" t="s">
        <v>96</v>
      </c>
      <c r="D36" s="58" t="s">
        <v>93</v>
      </c>
      <c r="E36" s="59">
        <v>1</v>
      </c>
      <c r="F36" s="89">
        <v>0.71180555555555547</v>
      </c>
      <c r="G36" s="89">
        <v>0.91666666666666663</v>
      </c>
      <c r="H36" s="89">
        <f t="shared" si="2"/>
        <v>0.20486111111111116</v>
      </c>
      <c r="I36" s="90">
        <f t="shared" si="3"/>
        <v>295.00000000000006</v>
      </c>
      <c r="J36" s="145">
        <f t="shared" si="0"/>
        <v>4.9166666666666679</v>
      </c>
      <c r="K36" s="91">
        <v>10</v>
      </c>
      <c r="L36" s="150">
        <f t="shared" si="1"/>
        <v>0.01</v>
      </c>
      <c r="M36" s="33"/>
    </row>
    <row r="37" spans="2:13" x14ac:dyDescent="0.25">
      <c r="B37" s="64"/>
      <c r="C37" s="65"/>
      <c r="D37" s="66"/>
      <c r="E37" s="67"/>
      <c r="F37" s="60"/>
      <c r="G37" s="60"/>
      <c r="H37" s="60"/>
      <c r="I37" s="61"/>
      <c r="J37" s="137">
        <f t="shared" si="0"/>
        <v>0</v>
      </c>
      <c r="K37" s="62"/>
      <c r="L37" s="140">
        <f t="shared" si="1"/>
        <v>0</v>
      </c>
      <c r="M37" s="63"/>
    </row>
    <row r="38" spans="2:13" ht="15.75" thickBot="1" x14ac:dyDescent="0.3">
      <c r="B38" s="113"/>
      <c r="C38" s="114"/>
      <c r="D38" s="114"/>
      <c r="E38" s="113"/>
      <c r="F38" s="115"/>
      <c r="G38" s="115"/>
      <c r="H38" s="115"/>
      <c r="I38" s="116"/>
      <c r="J38" s="147"/>
      <c r="K38" s="117"/>
      <c r="L38" s="153"/>
      <c r="M38" s="117"/>
    </row>
    <row r="39" spans="2:13" x14ac:dyDescent="0.25">
      <c r="B39" s="31">
        <v>7</v>
      </c>
      <c r="C39" s="32" t="s">
        <v>97</v>
      </c>
      <c r="D39" s="58" t="s">
        <v>93</v>
      </c>
      <c r="E39" s="59">
        <v>1</v>
      </c>
      <c r="F39" s="89">
        <v>0.62847222222222221</v>
      </c>
      <c r="G39" s="89">
        <v>0.91666666666666663</v>
      </c>
      <c r="H39" s="89">
        <f t="shared" si="2"/>
        <v>0.28819444444444442</v>
      </c>
      <c r="I39" s="90">
        <f t="shared" si="3"/>
        <v>414.99999999999994</v>
      </c>
      <c r="J39" s="145">
        <f t="shared" si="0"/>
        <v>6.9166666666666661</v>
      </c>
      <c r="K39" s="91">
        <v>15</v>
      </c>
      <c r="L39" s="150">
        <f t="shared" si="1"/>
        <v>1.4999999999999999E-2</v>
      </c>
      <c r="M39" s="33"/>
    </row>
    <row r="40" spans="2:13" x14ac:dyDescent="0.25">
      <c r="B40" s="35"/>
      <c r="C40" s="73"/>
      <c r="D40" s="118"/>
      <c r="E40" s="38"/>
      <c r="F40" s="39"/>
      <c r="G40" s="39"/>
      <c r="H40" s="39"/>
      <c r="I40" s="40"/>
      <c r="J40" s="138">
        <f t="shared" si="0"/>
        <v>0</v>
      </c>
      <c r="K40" s="41"/>
      <c r="L40" s="141">
        <f t="shared" si="1"/>
        <v>0</v>
      </c>
      <c r="M40" s="42"/>
    </row>
    <row r="41" spans="2:13" ht="15.75" thickBot="1" x14ac:dyDescent="0.3">
      <c r="B41" s="51"/>
      <c r="C41" s="86"/>
      <c r="D41" s="86"/>
      <c r="E41" s="51"/>
      <c r="F41" s="87"/>
      <c r="G41" s="87"/>
      <c r="H41" s="87"/>
      <c r="I41" s="88"/>
      <c r="J41" s="136"/>
      <c r="K41" s="57"/>
      <c r="L41" s="139"/>
      <c r="M41" s="57"/>
    </row>
    <row r="42" spans="2:13" x14ac:dyDescent="0.25">
      <c r="B42" s="31">
        <v>8</v>
      </c>
      <c r="C42" s="32" t="s">
        <v>98</v>
      </c>
      <c r="D42" s="58" t="s">
        <v>85</v>
      </c>
      <c r="E42" s="59">
        <v>1</v>
      </c>
      <c r="F42" s="89">
        <v>0.70833333333333337</v>
      </c>
      <c r="G42" s="89">
        <v>0.91666666666666663</v>
      </c>
      <c r="H42" s="89">
        <f t="shared" si="2"/>
        <v>0.20833333333333326</v>
      </c>
      <c r="I42" s="90">
        <f t="shared" si="3"/>
        <v>299.99999999999989</v>
      </c>
      <c r="J42" s="145">
        <f t="shared" si="0"/>
        <v>4.9999999999999982</v>
      </c>
      <c r="K42" s="91">
        <v>10</v>
      </c>
      <c r="L42" s="150">
        <f t="shared" si="1"/>
        <v>0.01</v>
      </c>
      <c r="M42" s="33"/>
    </row>
    <row r="43" spans="2:13" x14ac:dyDescent="0.25">
      <c r="B43" s="64"/>
      <c r="C43" s="65"/>
      <c r="D43" s="68"/>
      <c r="E43" s="69"/>
      <c r="F43" s="70"/>
      <c r="G43" s="70"/>
      <c r="H43" s="70"/>
      <c r="I43" s="72"/>
      <c r="J43" s="137"/>
      <c r="K43" s="71"/>
      <c r="L43" s="140"/>
      <c r="M43" s="63"/>
    </row>
    <row r="44" spans="2:13" x14ac:dyDescent="0.25">
      <c r="B44" s="64"/>
      <c r="C44" s="65"/>
      <c r="D44" s="97" t="s">
        <v>99</v>
      </c>
      <c r="E44" s="98">
        <v>1</v>
      </c>
      <c r="F44" s="99"/>
      <c r="G44" s="99"/>
      <c r="H44" s="99"/>
      <c r="I44" s="100">
        <v>393</v>
      </c>
      <c r="J44" s="137">
        <f t="shared" si="0"/>
        <v>6.55</v>
      </c>
      <c r="K44" s="101">
        <v>350</v>
      </c>
      <c r="L44" s="140">
        <f t="shared" si="1"/>
        <v>0.35</v>
      </c>
      <c r="M44" s="63"/>
    </row>
    <row r="45" spans="2:13" ht="15.75" thickBot="1" x14ac:dyDescent="0.3">
      <c r="B45" s="51"/>
      <c r="C45" s="86"/>
      <c r="D45" s="86"/>
      <c r="E45" s="51"/>
      <c r="F45" s="87"/>
      <c r="G45" s="87"/>
      <c r="H45" s="87"/>
      <c r="I45" s="88"/>
      <c r="J45" s="136"/>
      <c r="K45" s="57"/>
      <c r="L45" s="139"/>
      <c r="M45" s="57"/>
    </row>
    <row r="46" spans="2:13" x14ac:dyDescent="0.25">
      <c r="B46" s="31">
        <v>9</v>
      </c>
      <c r="C46" s="32" t="s">
        <v>100</v>
      </c>
      <c r="D46" s="58" t="s">
        <v>93</v>
      </c>
      <c r="E46" s="59">
        <v>1</v>
      </c>
      <c r="F46" s="89">
        <v>0.70833333333333337</v>
      </c>
      <c r="G46" s="89">
        <v>0.91666666666666663</v>
      </c>
      <c r="H46" s="89">
        <f>G46-F46</f>
        <v>0.20833333333333326</v>
      </c>
      <c r="I46" s="90">
        <f t="shared" si="3"/>
        <v>299.99999999999989</v>
      </c>
      <c r="J46" s="145">
        <f t="shared" si="0"/>
        <v>4.9999999999999982</v>
      </c>
      <c r="K46" s="91">
        <v>15</v>
      </c>
      <c r="L46" s="150">
        <f t="shared" si="1"/>
        <v>1.4999999999999999E-2</v>
      </c>
      <c r="M46" s="33"/>
    </row>
    <row r="47" spans="2:13" x14ac:dyDescent="0.25">
      <c r="B47" s="35"/>
      <c r="C47" s="73"/>
      <c r="D47" s="119"/>
      <c r="E47" s="120"/>
      <c r="F47" s="121"/>
      <c r="G47" s="121"/>
      <c r="H47" s="70"/>
      <c r="I47" s="72"/>
      <c r="J47" s="137"/>
      <c r="K47" s="122"/>
      <c r="L47" s="141"/>
      <c r="M47" s="42"/>
    </row>
    <row r="48" spans="2:13" x14ac:dyDescent="0.25">
      <c r="B48" s="43"/>
      <c r="C48" s="83"/>
      <c r="D48" s="123" t="s">
        <v>101</v>
      </c>
      <c r="E48" s="124">
        <v>1</v>
      </c>
      <c r="F48" s="125">
        <v>0</v>
      </c>
      <c r="G48" s="125">
        <v>1</v>
      </c>
      <c r="H48" s="60">
        <f>G48-F48</f>
        <v>1</v>
      </c>
      <c r="I48" s="61">
        <f>H48*1440</f>
        <v>1440</v>
      </c>
      <c r="J48" s="137">
        <f t="shared" si="0"/>
        <v>24</v>
      </c>
      <c r="K48" s="126">
        <v>79</v>
      </c>
      <c r="L48" s="149">
        <f t="shared" si="1"/>
        <v>7.9000000000000001E-2</v>
      </c>
      <c r="M48" s="50"/>
    </row>
    <row r="49" spans="2:13" x14ac:dyDescent="0.25">
      <c r="B49" s="43"/>
      <c r="C49" s="83"/>
      <c r="D49" s="127" t="s">
        <v>67</v>
      </c>
      <c r="E49" s="124">
        <v>1</v>
      </c>
      <c r="F49" s="125">
        <v>0.20833333333333334</v>
      </c>
      <c r="G49" s="125">
        <v>0.70833333333333337</v>
      </c>
      <c r="H49" s="60">
        <f>G49-F49</f>
        <v>0.5</v>
      </c>
      <c r="I49" s="61">
        <f>H49*1440</f>
        <v>720</v>
      </c>
      <c r="J49" s="137">
        <f t="shared" si="0"/>
        <v>12</v>
      </c>
      <c r="K49" s="126">
        <v>31.6</v>
      </c>
      <c r="L49" s="149">
        <f t="shared" si="1"/>
        <v>3.1600000000000003E-2</v>
      </c>
      <c r="M49" s="50"/>
    </row>
    <row r="50" spans="2:13" x14ac:dyDescent="0.25">
      <c r="B50" s="43"/>
      <c r="C50" s="83"/>
      <c r="D50" s="127" t="s">
        <v>54</v>
      </c>
      <c r="E50" s="124">
        <v>1</v>
      </c>
      <c r="F50" s="125">
        <v>0.25</v>
      </c>
      <c r="G50" s="125">
        <v>0.25347222222222221</v>
      </c>
      <c r="H50" s="60">
        <f>G50-F50</f>
        <v>3.4722222222222099E-3</v>
      </c>
      <c r="I50" s="61">
        <f>H50*1440</f>
        <v>4.9999999999999822</v>
      </c>
      <c r="J50" s="137">
        <f t="shared" si="0"/>
        <v>8.3333333333333037E-2</v>
      </c>
      <c r="K50" s="126">
        <v>101.5</v>
      </c>
      <c r="L50" s="149">
        <f t="shared" si="1"/>
        <v>0.10150000000000001</v>
      </c>
      <c r="M50" s="50"/>
    </row>
    <row r="51" spans="2:13" x14ac:dyDescent="0.25">
      <c r="B51" s="43"/>
      <c r="C51" s="83"/>
      <c r="D51" s="127" t="s">
        <v>102</v>
      </c>
      <c r="E51" s="124">
        <v>1</v>
      </c>
      <c r="F51" s="125"/>
      <c r="G51" s="125"/>
      <c r="H51" s="60"/>
      <c r="I51" s="61"/>
      <c r="J51" s="137">
        <f t="shared" si="0"/>
        <v>0</v>
      </c>
      <c r="K51" s="126">
        <v>125</v>
      </c>
      <c r="L51" s="149">
        <f t="shared" si="1"/>
        <v>0.125</v>
      </c>
      <c r="M51" s="50"/>
    </row>
    <row r="52" spans="2:13" ht="15.75" thickBot="1" x14ac:dyDescent="0.3">
      <c r="B52" s="51"/>
      <c r="C52" s="86"/>
      <c r="D52" s="86"/>
      <c r="E52" s="51"/>
      <c r="F52" s="87"/>
      <c r="G52" s="87"/>
      <c r="H52" s="87"/>
      <c r="I52" s="88"/>
      <c r="J52" s="136"/>
      <c r="K52" s="57"/>
      <c r="L52" s="139"/>
      <c r="M52" s="57"/>
    </row>
    <row r="53" spans="2:13" x14ac:dyDescent="0.25">
      <c r="B53" s="31">
        <v>10</v>
      </c>
      <c r="C53" s="32" t="s">
        <v>103</v>
      </c>
      <c r="D53" s="58" t="s">
        <v>85</v>
      </c>
      <c r="E53" s="59">
        <v>1</v>
      </c>
      <c r="F53" s="128">
        <v>0</v>
      </c>
      <c r="G53" s="128">
        <v>1</v>
      </c>
      <c r="H53" s="128">
        <f t="shared" si="2"/>
        <v>1</v>
      </c>
      <c r="I53" s="129">
        <f t="shared" si="3"/>
        <v>1440</v>
      </c>
      <c r="J53" s="148">
        <f t="shared" si="0"/>
        <v>24</v>
      </c>
      <c r="K53" s="91">
        <v>10</v>
      </c>
      <c r="L53" s="150">
        <f t="shared" si="1"/>
        <v>0.01</v>
      </c>
      <c r="M53" s="33"/>
    </row>
    <row r="54" spans="2:13" x14ac:dyDescent="0.25">
      <c r="B54" s="64"/>
      <c r="C54" s="65"/>
      <c r="D54" s="66"/>
      <c r="E54" s="67">
        <v>1</v>
      </c>
      <c r="F54" s="39">
        <v>0</v>
      </c>
      <c r="G54" s="39">
        <v>1</v>
      </c>
      <c r="H54" s="39">
        <f t="shared" si="2"/>
        <v>1</v>
      </c>
      <c r="I54" s="40">
        <f t="shared" si="3"/>
        <v>1440</v>
      </c>
      <c r="J54" s="138">
        <f t="shared" si="0"/>
        <v>24</v>
      </c>
      <c r="K54" s="62">
        <v>10</v>
      </c>
      <c r="L54" s="140">
        <f t="shared" si="1"/>
        <v>0.01</v>
      </c>
      <c r="M54" s="63"/>
    </row>
    <row r="55" spans="2:13" x14ac:dyDescent="0.25">
      <c r="B55" s="64"/>
      <c r="C55" s="65"/>
      <c r="D55" s="68"/>
      <c r="E55" s="69"/>
      <c r="F55" s="70"/>
      <c r="G55" s="70"/>
      <c r="H55" s="70"/>
      <c r="I55" s="72"/>
      <c r="J55" s="137"/>
      <c r="K55" s="71"/>
      <c r="L55" s="140"/>
      <c r="M55" s="63"/>
    </row>
    <row r="56" spans="2:13" x14ac:dyDescent="0.25">
      <c r="B56" s="64"/>
      <c r="C56" s="65"/>
      <c r="D56" s="130" t="s">
        <v>101</v>
      </c>
      <c r="E56" s="98">
        <v>1</v>
      </c>
      <c r="F56" s="99">
        <v>0</v>
      </c>
      <c r="G56" s="99">
        <v>1</v>
      </c>
      <c r="H56" s="99">
        <f t="shared" si="2"/>
        <v>1</v>
      </c>
      <c r="I56" s="100">
        <f t="shared" si="3"/>
        <v>1440</v>
      </c>
      <c r="J56" s="137">
        <f t="shared" si="0"/>
        <v>24</v>
      </c>
      <c r="K56" s="101">
        <v>78.8</v>
      </c>
      <c r="L56" s="140">
        <f t="shared" si="1"/>
        <v>7.8799999999999995E-2</v>
      </c>
      <c r="M56" s="63"/>
    </row>
    <row r="57" spans="2:13" x14ac:dyDescent="0.25">
      <c r="B57" s="64"/>
      <c r="C57" s="65"/>
      <c r="D57" s="97" t="s">
        <v>67</v>
      </c>
      <c r="E57" s="98">
        <v>1</v>
      </c>
      <c r="F57" s="99">
        <v>0.70833333333333337</v>
      </c>
      <c r="G57" s="99">
        <v>0.91666666666666663</v>
      </c>
      <c r="H57" s="99">
        <f t="shared" si="2"/>
        <v>0.20833333333333326</v>
      </c>
      <c r="I57" s="100">
        <f t="shared" si="3"/>
        <v>299.99999999999989</v>
      </c>
      <c r="J57" s="137">
        <f t="shared" si="0"/>
        <v>4.9999999999999982</v>
      </c>
      <c r="K57" s="101">
        <v>73.2</v>
      </c>
      <c r="L57" s="140">
        <f t="shared" si="1"/>
        <v>7.3200000000000001E-2</v>
      </c>
      <c r="M57" s="63"/>
    </row>
    <row r="58" spans="2:13" ht="15.75" thickBot="1" x14ac:dyDescent="0.3">
      <c r="B58" s="51"/>
      <c r="C58" s="86"/>
      <c r="D58" s="86"/>
      <c r="E58" s="51"/>
      <c r="F58" s="87"/>
      <c r="G58" s="87"/>
      <c r="H58" s="87"/>
      <c r="I58" s="88"/>
      <c r="J58" s="136"/>
      <c r="K58" s="57"/>
      <c r="L58" s="139"/>
      <c r="M58" s="57"/>
    </row>
    <row r="59" spans="2:13" x14ac:dyDescent="0.25">
      <c r="B59" s="31">
        <v>11</v>
      </c>
      <c r="C59" s="32" t="s">
        <v>104</v>
      </c>
      <c r="D59" s="58" t="s">
        <v>93</v>
      </c>
      <c r="E59" s="59">
        <v>1</v>
      </c>
      <c r="F59" s="60">
        <v>0</v>
      </c>
      <c r="G59" s="60">
        <v>1</v>
      </c>
      <c r="H59" s="60">
        <f t="shared" ref="H59" si="4">G59-F59</f>
        <v>1</v>
      </c>
      <c r="I59" s="61">
        <f t="shared" si="3"/>
        <v>1440</v>
      </c>
      <c r="J59" s="137">
        <f t="shared" si="0"/>
        <v>24</v>
      </c>
      <c r="K59" s="91">
        <v>15</v>
      </c>
      <c r="L59" s="150">
        <f t="shared" si="1"/>
        <v>1.4999999999999999E-2</v>
      </c>
      <c r="M59" s="33"/>
    </row>
    <row r="60" spans="2:13" x14ac:dyDescent="0.25">
      <c r="B60" s="35"/>
      <c r="C60" s="73"/>
      <c r="D60" s="118"/>
      <c r="E60" s="38">
        <v>1</v>
      </c>
      <c r="F60" s="60">
        <v>0</v>
      </c>
      <c r="G60" s="60">
        <v>1</v>
      </c>
      <c r="H60" s="60">
        <f t="shared" ref="H60" si="5">G60-F60</f>
        <v>1</v>
      </c>
      <c r="I60" s="61">
        <f t="shared" ref="I60" si="6">H60*1440</f>
        <v>1440</v>
      </c>
      <c r="J60" s="137">
        <f t="shared" si="0"/>
        <v>24</v>
      </c>
      <c r="K60" s="62">
        <v>15</v>
      </c>
      <c r="L60" s="140">
        <f t="shared" si="1"/>
        <v>1.4999999999999999E-2</v>
      </c>
      <c r="M60" s="42"/>
    </row>
    <row r="61" spans="2:13" ht="15.75" thickBot="1" x14ac:dyDescent="0.3">
      <c r="B61" s="51"/>
      <c r="C61" s="86"/>
      <c r="D61" s="131" t="s">
        <v>12</v>
      </c>
      <c r="E61" s="132">
        <v>1</v>
      </c>
      <c r="F61" s="133">
        <v>0.29166666666666669</v>
      </c>
      <c r="G61" s="133">
        <v>0.375</v>
      </c>
      <c r="H61" s="133">
        <f>G61-F61</f>
        <v>8.3333333333333315E-2</v>
      </c>
      <c r="I61" s="134">
        <f>H61*1440</f>
        <v>119.99999999999997</v>
      </c>
      <c r="J61" s="136">
        <f t="shared" si="0"/>
        <v>1.9999999999999996</v>
      </c>
      <c r="K61" s="135">
        <v>146.80000000000001</v>
      </c>
      <c r="L61" s="139">
        <f t="shared" si="1"/>
        <v>0.14680000000000001</v>
      </c>
      <c r="M61" s="57"/>
    </row>
    <row r="62" spans="2:13" x14ac:dyDescent="0.25">
      <c r="B62" s="31">
        <v>12</v>
      </c>
      <c r="C62" s="32" t="s">
        <v>105</v>
      </c>
      <c r="D62" s="58" t="s">
        <v>85</v>
      </c>
      <c r="E62" s="59">
        <v>1</v>
      </c>
      <c r="F62" s="89">
        <v>0.875</v>
      </c>
      <c r="G62" s="89">
        <v>1</v>
      </c>
      <c r="H62" s="89">
        <f t="shared" si="2"/>
        <v>0.125</v>
      </c>
      <c r="I62" s="90">
        <f t="shared" si="3"/>
        <v>180</v>
      </c>
      <c r="J62" s="145">
        <f t="shared" si="0"/>
        <v>3</v>
      </c>
      <c r="K62" s="91">
        <v>20</v>
      </c>
      <c r="L62" s="150">
        <f t="shared" si="1"/>
        <v>0.02</v>
      </c>
      <c r="M62" s="33"/>
    </row>
    <row r="63" spans="2:13" x14ac:dyDescent="0.25">
      <c r="B63" s="35"/>
      <c r="C63" s="73"/>
      <c r="D63" s="118"/>
      <c r="E63" s="38"/>
      <c r="F63" s="60"/>
      <c r="G63" s="60"/>
      <c r="H63" s="60"/>
      <c r="I63" s="61"/>
      <c r="J63" s="137"/>
      <c r="K63" s="62"/>
      <c r="L63" s="140"/>
      <c r="M63" s="42"/>
    </row>
    <row r="64" spans="2:13" ht="15.75" thickBot="1" x14ac:dyDescent="0.3">
      <c r="B64" s="51"/>
      <c r="C64" s="86"/>
      <c r="D64" s="131" t="s">
        <v>102</v>
      </c>
      <c r="E64" s="132">
        <v>1</v>
      </c>
      <c r="F64" s="133">
        <v>0.625</v>
      </c>
      <c r="G64" s="133">
        <v>0.64583333333333337</v>
      </c>
      <c r="H64" s="133">
        <f>G64-F64</f>
        <v>2.083333333333337E-2</v>
      </c>
      <c r="I64" s="134">
        <f>H64*1440</f>
        <v>30.000000000000053</v>
      </c>
      <c r="J64" s="136">
        <f t="shared" si="0"/>
        <v>0.50000000000000089</v>
      </c>
      <c r="K64" s="135">
        <v>125</v>
      </c>
      <c r="L64" s="139">
        <f t="shared" si="1"/>
        <v>0.125</v>
      </c>
      <c r="M64" s="57"/>
    </row>
    <row r="65" spans="2:13" x14ac:dyDescent="0.25">
      <c r="B65" s="31">
        <v>13</v>
      </c>
      <c r="C65" s="32" t="s">
        <v>106</v>
      </c>
      <c r="D65" s="58" t="s">
        <v>85</v>
      </c>
      <c r="E65" s="59">
        <v>1</v>
      </c>
      <c r="F65" s="89">
        <v>0.875</v>
      </c>
      <c r="G65" s="89">
        <v>1</v>
      </c>
      <c r="H65" s="89">
        <f t="shared" si="2"/>
        <v>0.125</v>
      </c>
      <c r="I65" s="90">
        <f t="shared" si="3"/>
        <v>180</v>
      </c>
      <c r="J65" s="145">
        <f t="shared" si="0"/>
        <v>3</v>
      </c>
      <c r="K65" s="91">
        <v>30</v>
      </c>
      <c r="L65" s="150">
        <f t="shared" si="1"/>
        <v>0.03</v>
      </c>
      <c r="M65" s="33"/>
    </row>
    <row r="66" spans="2:13" x14ac:dyDescent="0.25">
      <c r="B66" s="35"/>
      <c r="C66" s="73"/>
      <c r="D66" s="118"/>
      <c r="E66" s="38"/>
      <c r="F66" s="60"/>
      <c r="G66" s="60"/>
      <c r="H66" s="60"/>
      <c r="I66" s="61"/>
      <c r="J66" s="137"/>
      <c r="K66" s="62"/>
      <c r="L66" s="140"/>
      <c r="M66" s="42"/>
    </row>
    <row r="67" spans="2:13" ht="15.75" thickBot="1" x14ac:dyDescent="0.3">
      <c r="B67" s="51"/>
      <c r="C67" s="86"/>
      <c r="D67" s="86"/>
      <c r="E67" s="51"/>
      <c r="F67" s="87"/>
      <c r="G67" s="87"/>
      <c r="H67" s="87"/>
      <c r="I67" s="88"/>
      <c r="J67" s="136"/>
      <c r="K67" s="57"/>
      <c r="L67" s="139"/>
      <c r="M67" s="57"/>
    </row>
  </sheetData>
  <mergeCells count="12">
    <mergeCell ref="J3:J4"/>
    <mergeCell ref="L3:L4"/>
    <mergeCell ref="B1:M1"/>
    <mergeCell ref="B3:B4"/>
    <mergeCell ref="C3:C4"/>
    <mergeCell ref="D3:D4"/>
    <mergeCell ref="E3:E4"/>
    <mergeCell ref="F3:G3"/>
    <mergeCell ref="H3:H4"/>
    <mergeCell ref="I3:I4"/>
    <mergeCell ref="K3:K4"/>
    <mergeCell ref="M3:M4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2" fitToHeight="0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2"/>
  <sheetViews>
    <sheetView showGridLines="0" tabSelected="1" zoomScale="85" zoomScaleNormal="85" zoomScalePageLayoutView="85" workbookViewId="0">
      <selection activeCell="H13" sqref="H13:K13"/>
    </sheetView>
  </sheetViews>
  <sheetFormatPr defaultColWidth="8.85546875" defaultRowHeight="15" x14ac:dyDescent="0.25"/>
  <cols>
    <col min="1" max="1" width="8.85546875" style="3"/>
    <col min="2" max="2" width="3.42578125" style="3" bestFit="1" customWidth="1"/>
    <col min="3" max="3" width="20.7109375" style="173" customWidth="1"/>
    <col min="4" max="4" width="24.85546875" style="3" customWidth="1"/>
    <col min="5" max="6" width="20.7109375" style="3" customWidth="1"/>
    <col min="7" max="7" width="0.28515625" style="3" customWidth="1"/>
    <col min="8" max="8" width="3.42578125" style="3" bestFit="1" customWidth="1"/>
    <col min="9" max="9" width="20.7109375" style="3" customWidth="1"/>
    <col min="10" max="10" width="24.85546875" style="3" customWidth="1"/>
    <col min="11" max="12" width="20.7109375" style="3" customWidth="1"/>
    <col min="13" max="13" width="0.28515625" style="3" customWidth="1"/>
    <col min="14" max="14" width="3.42578125" style="3" bestFit="1" customWidth="1"/>
    <col min="15" max="15" width="20.7109375" style="3" customWidth="1"/>
    <col min="16" max="16" width="24.85546875" style="3" customWidth="1"/>
    <col min="17" max="18" width="20.7109375" style="3" customWidth="1"/>
    <col min="19" max="19" width="0.28515625" style="3" customWidth="1"/>
    <col min="20" max="20" width="3.42578125" style="3" bestFit="1" customWidth="1"/>
    <col min="21" max="21" width="20.7109375" style="3" customWidth="1"/>
    <col min="22" max="22" width="24.85546875" style="3" customWidth="1"/>
    <col min="23" max="24" width="20.7109375" style="3" customWidth="1"/>
    <col min="25" max="25" width="0.28515625" style="3" customWidth="1"/>
    <col min="26" max="26" width="3.42578125" style="3" bestFit="1" customWidth="1"/>
    <col min="27" max="27" width="20.7109375" style="3" customWidth="1"/>
    <col min="28" max="28" width="24.85546875" style="3" customWidth="1"/>
    <col min="29" max="30" width="20.7109375" style="3" customWidth="1"/>
    <col min="31" max="31" width="0.28515625" style="3" customWidth="1"/>
    <col min="32" max="32" width="3.42578125" style="3" bestFit="1" customWidth="1"/>
    <col min="33" max="33" width="20.7109375" style="3" customWidth="1"/>
    <col min="34" max="34" width="24.85546875" style="3" customWidth="1"/>
    <col min="35" max="36" width="20.7109375" style="3" customWidth="1"/>
    <col min="37" max="37" width="0.28515625" style="3" customWidth="1"/>
    <col min="38" max="38" width="3.42578125" style="3" bestFit="1" customWidth="1"/>
    <col min="39" max="39" width="0.28515625" style="3" customWidth="1"/>
    <col min="40" max="40" width="3.42578125" style="3" bestFit="1" customWidth="1"/>
    <col min="41" max="44" width="20.7109375" style="3" customWidth="1"/>
    <col min="45" max="45" width="0.28515625" style="3" customWidth="1"/>
    <col min="46" max="46" width="3.42578125" style="3" bestFit="1" customWidth="1"/>
    <col min="47" max="50" width="20.7109375" style="3" customWidth="1"/>
    <col min="51" max="51" width="0.28515625" style="3" customWidth="1"/>
    <col min="52" max="52" width="3.42578125" style="3" bestFit="1" customWidth="1"/>
    <col min="53" max="56" width="20.7109375" style="3" customWidth="1"/>
    <col min="57" max="16384" width="8.85546875" style="3"/>
  </cols>
  <sheetData>
    <row r="1" spans="2:11" ht="15.75" thickBot="1" x14ac:dyDescent="0.3"/>
    <row r="2" spans="2:11" x14ac:dyDescent="0.25">
      <c r="B2" s="202" t="s">
        <v>5</v>
      </c>
      <c r="C2" s="203"/>
      <c r="D2" s="203"/>
      <c r="E2" s="203"/>
      <c r="F2" s="204"/>
    </row>
    <row r="3" spans="2:11" ht="15.75" thickBot="1" x14ac:dyDescent="0.3">
      <c r="B3" s="205" t="s">
        <v>6</v>
      </c>
      <c r="C3" s="206"/>
      <c r="D3" s="206"/>
      <c r="E3" s="206"/>
      <c r="F3" s="207"/>
    </row>
    <row r="4" spans="2:11" x14ac:dyDescent="0.25">
      <c r="B4" s="199" t="s">
        <v>128</v>
      </c>
      <c r="C4" s="200"/>
      <c r="D4" s="200"/>
      <c r="E4" s="200"/>
      <c r="F4" s="201"/>
    </row>
    <row r="5" spans="2:11" ht="15.75" thickBot="1" x14ac:dyDescent="0.3">
      <c r="B5" s="4" t="s">
        <v>3</v>
      </c>
      <c r="C5" s="174" t="s">
        <v>7</v>
      </c>
      <c r="D5" s="5" t="s">
        <v>8</v>
      </c>
      <c r="E5" s="5" t="s">
        <v>9</v>
      </c>
      <c r="F5" s="6" t="s">
        <v>10</v>
      </c>
    </row>
    <row r="6" spans="2:11" x14ac:dyDescent="0.25">
      <c r="B6" s="208" t="s">
        <v>127</v>
      </c>
      <c r="C6" s="209"/>
      <c r="D6" s="209"/>
      <c r="E6" s="209"/>
      <c r="F6" s="210"/>
    </row>
    <row r="7" spans="2:11" x14ac:dyDescent="0.25">
      <c r="B7" s="157"/>
      <c r="C7" s="175" t="s">
        <v>11</v>
      </c>
      <c r="D7" s="158"/>
      <c r="E7" s="159" t="s">
        <v>12</v>
      </c>
      <c r="F7" s="160"/>
    </row>
    <row r="8" spans="2:11" ht="34.5" customHeight="1" x14ac:dyDescent="0.25">
      <c r="B8" s="157"/>
      <c r="C8" s="175" t="s">
        <v>13</v>
      </c>
      <c r="D8" s="158"/>
      <c r="E8" s="159" t="s">
        <v>14</v>
      </c>
      <c r="F8" s="160"/>
      <c r="H8" s="214" t="s">
        <v>129</v>
      </c>
      <c r="I8" s="214"/>
      <c r="J8" s="214"/>
      <c r="K8" s="214"/>
    </row>
    <row r="9" spans="2:11" ht="15.75" x14ac:dyDescent="0.25">
      <c r="B9" s="157"/>
      <c r="C9" s="175" t="s">
        <v>15</v>
      </c>
      <c r="D9" s="158"/>
      <c r="E9" s="161"/>
      <c r="F9" s="160" t="s">
        <v>16</v>
      </c>
      <c r="H9" s="214" t="s">
        <v>17</v>
      </c>
      <c r="I9" s="214"/>
      <c r="J9" s="214"/>
      <c r="K9" s="214"/>
    </row>
    <row r="10" spans="2:11" ht="30" customHeight="1" x14ac:dyDescent="0.25">
      <c r="B10" s="157"/>
      <c r="C10" s="175" t="s">
        <v>109</v>
      </c>
      <c r="D10" s="158"/>
      <c r="E10" s="159">
        <f>15*12*30</f>
        <v>5400</v>
      </c>
      <c r="F10" s="160" t="s">
        <v>18</v>
      </c>
      <c r="H10" s="214" t="s">
        <v>19</v>
      </c>
      <c r="I10" s="214"/>
      <c r="J10" s="214"/>
      <c r="K10" s="214"/>
    </row>
    <row r="11" spans="2:11" ht="32.25" customHeight="1" x14ac:dyDescent="0.25">
      <c r="B11" s="1"/>
      <c r="C11" s="177" t="s">
        <v>20</v>
      </c>
      <c r="D11" s="7"/>
      <c r="E11" s="163">
        <v>12</v>
      </c>
      <c r="F11" s="8" t="s">
        <v>18</v>
      </c>
      <c r="H11" s="214" t="s">
        <v>117</v>
      </c>
      <c r="I11" s="214"/>
      <c r="J11" s="214"/>
      <c r="K11" s="214"/>
    </row>
    <row r="12" spans="2:11" ht="30" customHeight="1" x14ac:dyDescent="0.25">
      <c r="B12" s="1"/>
      <c r="C12" s="177" t="s">
        <v>21</v>
      </c>
      <c r="D12" s="7"/>
      <c r="E12" s="169">
        <f>E10-E11-(E13+E15)/2*10</f>
        <v>5387</v>
      </c>
      <c r="F12" s="8" t="s">
        <v>18</v>
      </c>
      <c r="H12" s="214" t="s">
        <v>122</v>
      </c>
      <c r="I12" s="214"/>
      <c r="J12" s="214"/>
      <c r="K12" s="214"/>
    </row>
    <row r="13" spans="2:11" ht="62.25" customHeight="1" x14ac:dyDescent="0.25">
      <c r="B13" s="1"/>
      <c r="C13" s="177" t="s">
        <v>22</v>
      </c>
      <c r="D13" s="7" t="s">
        <v>23</v>
      </c>
      <c r="E13" s="170">
        <f>((E11/E10)*45-E14)</f>
        <v>0.1</v>
      </c>
      <c r="F13" s="8" t="s">
        <v>24</v>
      </c>
      <c r="H13" s="214" t="s">
        <v>110</v>
      </c>
      <c r="I13" s="214"/>
      <c r="J13" s="214"/>
      <c r="K13" s="214"/>
    </row>
    <row r="14" spans="2:11" ht="30" customHeight="1" x14ac:dyDescent="0.25">
      <c r="B14" s="1"/>
      <c r="C14" s="177"/>
      <c r="D14" s="10" t="s">
        <v>126</v>
      </c>
      <c r="E14" s="166">
        <v>0</v>
      </c>
      <c r="F14" s="8" t="s">
        <v>25</v>
      </c>
      <c r="H14" s="214" t="s">
        <v>26</v>
      </c>
      <c r="I14" s="214"/>
      <c r="J14" s="214"/>
      <c r="K14" s="214"/>
    </row>
    <row r="15" spans="2:11" ht="44.25" customHeight="1" x14ac:dyDescent="0.25">
      <c r="B15" s="1"/>
      <c r="C15" s="176" t="s">
        <v>27</v>
      </c>
      <c r="D15" s="162" t="s">
        <v>23</v>
      </c>
      <c r="E15" s="166">
        <f>'[1]Data Lingkungan_IC'!Z21</f>
        <v>0.1</v>
      </c>
      <c r="F15" s="164" t="s">
        <v>24</v>
      </c>
      <c r="H15" s="214" t="s">
        <v>118</v>
      </c>
      <c r="I15" s="214"/>
      <c r="J15" s="214"/>
      <c r="K15" s="214"/>
    </row>
    <row r="16" spans="2:11" ht="30" customHeight="1" x14ac:dyDescent="0.25">
      <c r="B16" s="1"/>
      <c r="C16" s="177" t="s">
        <v>28</v>
      </c>
      <c r="D16" s="7"/>
      <c r="E16" s="168">
        <f>(E12/E10)</f>
        <v>0.99759259259259259</v>
      </c>
      <c r="F16" s="8" t="s">
        <v>29</v>
      </c>
      <c r="H16" s="214" t="s">
        <v>111</v>
      </c>
      <c r="I16" s="214"/>
      <c r="J16" s="214"/>
      <c r="K16" s="214"/>
    </row>
    <row r="17" spans="2:36" ht="15.75" x14ac:dyDescent="0.25">
      <c r="B17" s="1"/>
      <c r="C17" s="177" t="s">
        <v>125</v>
      </c>
      <c r="D17" s="158" t="s">
        <v>30</v>
      </c>
      <c r="E17" s="159" t="s">
        <v>121</v>
      </c>
      <c r="F17" s="160"/>
      <c r="H17" s="9"/>
      <c r="I17" s="9"/>
      <c r="J17" s="9"/>
      <c r="K17" s="9"/>
    </row>
    <row r="18" spans="2:36" ht="15" customHeight="1" x14ac:dyDescent="0.25">
      <c r="B18" s="1"/>
      <c r="C18" s="177"/>
      <c r="D18" s="176" t="s">
        <v>2</v>
      </c>
      <c r="E18" s="163" t="s">
        <v>1</v>
      </c>
      <c r="F18" s="164"/>
      <c r="H18" s="184" t="s">
        <v>116</v>
      </c>
      <c r="I18" s="184"/>
      <c r="J18" s="184"/>
      <c r="K18" s="184"/>
    </row>
    <row r="19" spans="2:36" ht="15" customHeight="1" x14ac:dyDescent="0.25">
      <c r="B19" s="1"/>
      <c r="C19" s="177"/>
      <c r="D19" s="176" t="s">
        <v>130</v>
      </c>
      <c r="E19" s="163"/>
      <c r="F19" s="164" t="s">
        <v>131</v>
      </c>
      <c r="H19" s="184"/>
      <c r="I19" s="184"/>
      <c r="J19" s="184"/>
      <c r="K19" s="184"/>
    </row>
    <row r="20" spans="2:36" ht="15.75" x14ac:dyDescent="0.25">
      <c r="B20" s="1"/>
      <c r="C20" s="177"/>
      <c r="D20" s="158" t="s">
        <v>32</v>
      </c>
      <c r="E20" s="159" t="s">
        <v>0</v>
      </c>
      <c r="F20" s="160"/>
      <c r="H20" s="9"/>
      <c r="I20" s="9"/>
      <c r="J20" s="9"/>
      <c r="K20" s="9"/>
    </row>
    <row r="21" spans="2:36" ht="15.75" x14ac:dyDescent="0.25">
      <c r="B21" s="1"/>
      <c r="C21" s="178"/>
      <c r="D21" s="167" t="s">
        <v>112</v>
      </c>
      <c r="E21" s="159">
        <v>1.8800000000000001E-2</v>
      </c>
      <c r="F21" s="160" t="s">
        <v>33</v>
      </c>
      <c r="H21" s="9" t="s">
        <v>34</v>
      </c>
      <c r="I21" s="9"/>
      <c r="J21" s="9"/>
      <c r="K21" s="9"/>
    </row>
    <row r="22" spans="2:36" ht="30" x14ac:dyDescent="0.25">
      <c r="B22" s="1"/>
      <c r="C22" s="178"/>
      <c r="D22" s="10" t="s">
        <v>113</v>
      </c>
      <c r="E22" s="171">
        <v>0.5</v>
      </c>
      <c r="F22" s="8" t="s">
        <v>35</v>
      </c>
      <c r="H22" s="11" t="s">
        <v>119</v>
      </c>
      <c r="I22" s="9"/>
      <c r="J22" s="9"/>
      <c r="K22" s="9"/>
    </row>
    <row r="23" spans="2:36" ht="30" x14ac:dyDescent="0.25">
      <c r="B23" s="1"/>
      <c r="C23" s="178"/>
      <c r="D23" s="10" t="s">
        <v>120</v>
      </c>
      <c r="E23" s="172">
        <f>E22*E21</f>
        <v>9.4000000000000004E-3</v>
      </c>
      <c r="F23" s="8"/>
      <c r="H23" s="9" t="s">
        <v>114</v>
      </c>
      <c r="I23" s="9"/>
      <c r="J23" s="9"/>
      <c r="K23" s="9"/>
    </row>
    <row r="24" spans="2:36" ht="30.75" thickBot="1" x14ac:dyDescent="0.3">
      <c r="B24" s="2"/>
      <c r="C24" s="179"/>
      <c r="D24" s="12" t="s">
        <v>123</v>
      </c>
      <c r="E24" s="183">
        <f>E23</f>
        <v>9.4000000000000004E-3</v>
      </c>
      <c r="F24" s="15" t="s">
        <v>36</v>
      </c>
      <c r="H24" s="9" t="s">
        <v>124</v>
      </c>
      <c r="I24" s="9"/>
      <c r="J24" s="9"/>
      <c r="K24" s="9"/>
    </row>
    <row r="25" spans="2:36" ht="15.75" thickBot="1" x14ac:dyDescent="0.3">
      <c r="C25" s="3"/>
    </row>
    <row r="26" spans="2:36" x14ac:dyDescent="0.25">
      <c r="B26" s="202" t="s">
        <v>4</v>
      </c>
      <c r="C26" s="203"/>
      <c r="D26" s="203"/>
      <c r="E26" s="203"/>
      <c r="F26" s="204"/>
      <c r="H26" s="202" t="s">
        <v>4</v>
      </c>
      <c r="I26" s="203"/>
      <c r="J26" s="203"/>
      <c r="K26" s="203"/>
      <c r="L26" s="204"/>
      <c r="N26" s="202" t="s">
        <v>4</v>
      </c>
      <c r="O26" s="203"/>
      <c r="P26" s="203"/>
      <c r="Q26" s="203"/>
      <c r="R26" s="204"/>
      <c r="T26" s="202" t="s">
        <v>4</v>
      </c>
      <c r="U26" s="203"/>
      <c r="V26" s="203"/>
      <c r="W26" s="203"/>
      <c r="X26" s="204"/>
      <c r="Z26" s="202" t="s">
        <v>4</v>
      </c>
      <c r="AA26" s="203"/>
      <c r="AB26" s="203"/>
      <c r="AC26" s="203"/>
      <c r="AD26" s="204"/>
      <c r="AF26" s="202" t="s">
        <v>4</v>
      </c>
      <c r="AG26" s="203"/>
      <c r="AH26" s="203"/>
      <c r="AI26" s="203"/>
      <c r="AJ26" s="204"/>
    </row>
    <row r="27" spans="2:36" ht="15.75" thickBot="1" x14ac:dyDescent="0.3">
      <c r="B27" s="211" t="s">
        <v>6</v>
      </c>
      <c r="C27" s="212"/>
      <c r="D27" s="212"/>
      <c r="E27" s="212"/>
      <c r="F27" s="213"/>
      <c r="H27" s="211" t="s">
        <v>6</v>
      </c>
      <c r="I27" s="212"/>
      <c r="J27" s="212"/>
      <c r="K27" s="212"/>
      <c r="L27" s="213"/>
      <c r="N27" s="205" t="s">
        <v>6</v>
      </c>
      <c r="O27" s="215"/>
      <c r="P27" s="215"/>
      <c r="Q27" s="215"/>
      <c r="R27" s="207"/>
      <c r="T27" s="205" t="s">
        <v>6</v>
      </c>
      <c r="U27" s="215"/>
      <c r="V27" s="215"/>
      <c r="W27" s="215"/>
      <c r="X27" s="207"/>
      <c r="Z27" s="205" t="s">
        <v>6</v>
      </c>
      <c r="AA27" s="215"/>
      <c r="AB27" s="215"/>
      <c r="AC27" s="215"/>
      <c r="AD27" s="207"/>
      <c r="AF27" s="205" t="s">
        <v>6</v>
      </c>
      <c r="AG27" s="215"/>
      <c r="AH27" s="215"/>
      <c r="AI27" s="215"/>
      <c r="AJ27" s="207"/>
    </row>
    <row r="28" spans="2:36" x14ac:dyDescent="0.25">
      <c r="B28" s="199" t="s">
        <v>128</v>
      </c>
      <c r="C28" s="200"/>
      <c r="D28" s="200"/>
      <c r="E28" s="200"/>
      <c r="F28" s="201"/>
      <c r="H28" s="17" t="s">
        <v>128</v>
      </c>
      <c r="I28" s="18"/>
      <c r="J28" s="18"/>
      <c r="K28" s="18"/>
      <c r="L28" s="19"/>
      <c r="N28" s="199" t="s">
        <v>128</v>
      </c>
      <c r="O28" s="200"/>
      <c r="P28" s="200"/>
      <c r="Q28" s="200"/>
      <c r="R28" s="201"/>
      <c r="T28" s="199" t="s">
        <v>128</v>
      </c>
      <c r="U28" s="200"/>
      <c r="V28" s="200"/>
      <c r="W28" s="200"/>
      <c r="X28" s="201"/>
      <c r="Z28" s="199" t="s">
        <v>128</v>
      </c>
      <c r="AA28" s="200"/>
      <c r="AB28" s="200"/>
      <c r="AC28" s="200"/>
      <c r="AD28" s="201"/>
      <c r="AF28" s="199" t="s">
        <v>128</v>
      </c>
      <c r="AG28" s="200"/>
      <c r="AH28" s="200"/>
      <c r="AI28" s="200"/>
      <c r="AJ28" s="201"/>
    </row>
    <row r="29" spans="2:36" ht="15.75" thickBot="1" x14ac:dyDescent="0.3">
      <c r="B29" s="4" t="s">
        <v>3</v>
      </c>
      <c r="C29" s="174" t="s">
        <v>7</v>
      </c>
      <c r="D29" s="5" t="s">
        <v>8</v>
      </c>
      <c r="E29" s="5" t="s">
        <v>9</v>
      </c>
      <c r="F29" s="6" t="s">
        <v>10</v>
      </c>
      <c r="H29" s="4" t="s">
        <v>3</v>
      </c>
      <c r="I29" s="5" t="s">
        <v>7</v>
      </c>
      <c r="J29" s="5" t="s">
        <v>8</v>
      </c>
      <c r="K29" s="5" t="s">
        <v>9</v>
      </c>
      <c r="L29" s="6" t="s">
        <v>10</v>
      </c>
      <c r="N29" s="4" t="s">
        <v>3</v>
      </c>
      <c r="O29" s="5" t="s">
        <v>7</v>
      </c>
      <c r="P29" s="5" t="s">
        <v>8</v>
      </c>
      <c r="Q29" s="5" t="s">
        <v>9</v>
      </c>
      <c r="R29" s="6" t="s">
        <v>10</v>
      </c>
      <c r="T29" s="4" t="s">
        <v>3</v>
      </c>
      <c r="U29" s="5" t="s">
        <v>7</v>
      </c>
      <c r="V29" s="5" t="s">
        <v>8</v>
      </c>
      <c r="W29" s="5" t="s">
        <v>9</v>
      </c>
      <c r="X29" s="6" t="s">
        <v>10</v>
      </c>
      <c r="Z29" s="4" t="s">
        <v>3</v>
      </c>
      <c r="AA29" s="5" t="s">
        <v>7</v>
      </c>
      <c r="AB29" s="5" t="s">
        <v>8</v>
      </c>
      <c r="AC29" s="5" t="s">
        <v>9</v>
      </c>
      <c r="AD29" s="6" t="s">
        <v>10</v>
      </c>
      <c r="AF29" s="4" t="s">
        <v>3</v>
      </c>
      <c r="AG29" s="5" t="s">
        <v>7</v>
      </c>
      <c r="AH29" s="5" t="s">
        <v>8</v>
      </c>
      <c r="AI29" s="5" t="s">
        <v>9</v>
      </c>
      <c r="AJ29" s="6" t="s">
        <v>10</v>
      </c>
    </row>
    <row r="30" spans="2:36" x14ac:dyDescent="0.25">
      <c r="B30" s="208" t="s">
        <v>127</v>
      </c>
      <c r="C30" s="209"/>
      <c r="D30" s="209"/>
      <c r="E30" s="209"/>
      <c r="F30" s="210"/>
      <c r="H30" s="20" t="s">
        <v>127</v>
      </c>
      <c r="I30" s="21"/>
      <c r="J30" s="21"/>
      <c r="K30" s="21"/>
      <c r="L30" s="22"/>
      <c r="N30" s="208" t="s">
        <v>127</v>
      </c>
      <c r="O30" s="209"/>
      <c r="P30" s="209"/>
      <c r="Q30" s="209"/>
      <c r="R30" s="210"/>
      <c r="T30" s="208" t="s">
        <v>127</v>
      </c>
      <c r="U30" s="209"/>
      <c r="V30" s="209"/>
      <c r="W30" s="209"/>
      <c r="X30" s="210"/>
      <c r="Z30" s="208" t="s">
        <v>127</v>
      </c>
      <c r="AA30" s="209"/>
      <c r="AB30" s="209"/>
      <c r="AC30" s="209"/>
      <c r="AD30" s="210"/>
      <c r="AF30" s="208" t="s">
        <v>127</v>
      </c>
      <c r="AG30" s="209"/>
      <c r="AH30" s="209"/>
      <c r="AI30" s="209"/>
      <c r="AJ30" s="210"/>
    </row>
    <row r="31" spans="2:36" x14ac:dyDescent="0.25">
      <c r="B31" s="157"/>
      <c r="C31" s="175" t="s">
        <v>11</v>
      </c>
      <c r="D31" s="158"/>
      <c r="E31" s="159" t="s">
        <v>39</v>
      </c>
      <c r="F31" s="160"/>
      <c r="H31" s="157"/>
      <c r="I31" s="175" t="s">
        <v>11</v>
      </c>
      <c r="J31" s="158"/>
      <c r="K31" s="159" t="s">
        <v>40</v>
      </c>
      <c r="L31" s="160"/>
      <c r="N31" s="157"/>
      <c r="O31" s="175" t="s">
        <v>11</v>
      </c>
      <c r="P31" s="158"/>
      <c r="Q31" s="159" t="s">
        <v>41</v>
      </c>
      <c r="R31" s="160"/>
      <c r="T31" s="157"/>
      <c r="U31" s="175" t="s">
        <v>11</v>
      </c>
      <c r="V31" s="158"/>
      <c r="W31" s="159" t="s">
        <v>42</v>
      </c>
      <c r="X31" s="160"/>
      <c r="Z31" s="157"/>
      <c r="AA31" s="175" t="s">
        <v>11</v>
      </c>
      <c r="AB31" s="158"/>
      <c r="AC31" s="159" t="s">
        <v>43</v>
      </c>
      <c r="AD31" s="160"/>
      <c r="AF31" s="157"/>
      <c r="AG31" s="175" t="s">
        <v>11</v>
      </c>
      <c r="AH31" s="158"/>
      <c r="AI31" s="159" t="s">
        <v>44</v>
      </c>
      <c r="AJ31" s="160"/>
    </row>
    <row r="32" spans="2:36" x14ac:dyDescent="0.25">
      <c r="B32" s="157"/>
      <c r="C32" s="175" t="s">
        <v>13</v>
      </c>
      <c r="D32" s="158"/>
      <c r="E32" s="159" t="s">
        <v>45</v>
      </c>
      <c r="F32" s="160"/>
      <c r="H32" s="157"/>
      <c r="I32" s="175" t="s">
        <v>13</v>
      </c>
      <c r="J32" s="158"/>
      <c r="K32" s="159" t="s">
        <v>46</v>
      </c>
      <c r="L32" s="160"/>
      <c r="N32" s="157"/>
      <c r="O32" s="175" t="s">
        <v>13</v>
      </c>
      <c r="P32" s="158"/>
      <c r="Q32" s="159" t="s">
        <v>47</v>
      </c>
      <c r="R32" s="160"/>
      <c r="T32" s="157"/>
      <c r="U32" s="175" t="s">
        <v>13</v>
      </c>
      <c r="V32" s="158"/>
      <c r="W32" s="159" t="s">
        <v>48</v>
      </c>
      <c r="X32" s="160"/>
      <c r="Z32" s="157"/>
      <c r="AA32" s="175" t="s">
        <v>13</v>
      </c>
      <c r="AB32" s="158"/>
      <c r="AC32" s="159" t="s">
        <v>49</v>
      </c>
      <c r="AD32" s="160"/>
      <c r="AF32" s="157"/>
      <c r="AG32" s="175" t="s">
        <v>13</v>
      </c>
      <c r="AH32" s="158"/>
      <c r="AI32" s="159" t="s">
        <v>50</v>
      </c>
      <c r="AJ32" s="160"/>
    </row>
    <row r="33" spans="1:36" x14ac:dyDescent="0.25">
      <c r="B33" s="157"/>
      <c r="C33" s="175" t="s">
        <v>15</v>
      </c>
      <c r="D33" s="158"/>
      <c r="E33" s="161"/>
      <c r="F33" s="160" t="s">
        <v>16</v>
      </c>
      <c r="H33" s="157"/>
      <c r="I33" s="175" t="s">
        <v>15</v>
      </c>
      <c r="J33" s="158"/>
      <c r="K33" s="161"/>
      <c r="L33" s="160" t="s">
        <v>16</v>
      </c>
      <c r="N33" s="157"/>
      <c r="O33" s="175" t="s">
        <v>15</v>
      </c>
      <c r="P33" s="158"/>
      <c r="Q33" s="161"/>
      <c r="R33" s="160" t="s">
        <v>16</v>
      </c>
      <c r="T33" s="157"/>
      <c r="U33" s="175" t="s">
        <v>15</v>
      </c>
      <c r="V33" s="158"/>
      <c r="W33" s="161"/>
      <c r="X33" s="160" t="s">
        <v>16</v>
      </c>
      <c r="Z33" s="157"/>
      <c r="AA33" s="175" t="s">
        <v>15</v>
      </c>
      <c r="AB33" s="158"/>
      <c r="AC33" s="161"/>
      <c r="AD33" s="160" t="s">
        <v>16</v>
      </c>
      <c r="AF33" s="157"/>
      <c r="AG33" s="175" t="s">
        <v>15</v>
      </c>
      <c r="AH33" s="158"/>
      <c r="AI33" s="161"/>
      <c r="AJ33" s="160" t="s">
        <v>16</v>
      </c>
    </row>
    <row r="34" spans="1:36" x14ac:dyDescent="0.25">
      <c r="B34" s="157"/>
      <c r="C34" s="175" t="s">
        <v>109</v>
      </c>
      <c r="D34" s="158"/>
      <c r="E34" s="159">
        <f>5*12*30</f>
        <v>1800</v>
      </c>
      <c r="F34" s="160" t="s">
        <v>18</v>
      </c>
      <c r="H34" s="157"/>
      <c r="I34" s="175" t="s">
        <v>109</v>
      </c>
      <c r="J34" s="158"/>
      <c r="K34" s="159">
        <f>5*12*30</f>
        <v>1800</v>
      </c>
      <c r="L34" s="160" t="s">
        <v>18</v>
      </c>
      <c r="N34" s="157"/>
      <c r="O34" s="175" t="s">
        <v>109</v>
      </c>
      <c r="P34" s="158"/>
      <c r="Q34" s="159">
        <f>5*12*30</f>
        <v>1800</v>
      </c>
      <c r="R34" s="160" t="s">
        <v>18</v>
      </c>
      <c r="T34" s="157"/>
      <c r="U34" s="175" t="s">
        <v>109</v>
      </c>
      <c r="V34" s="158"/>
      <c r="W34" s="159">
        <f>5*12*30</f>
        <v>1800</v>
      </c>
      <c r="X34" s="160" t="s">
        <v>18</v>
      </c>
      <c r="Z34" s="157"/>
      <c r="AA34" s="175" t="s">
        <v>109</v>
      </c>
      <c r="AB34" s="158"/>
      <c r="AC34" s="159">
        <f>5*12*30</f>
        <v>1800</v>
      </c>
      <c r="AD34" s="160" t="s">
        <v>18</v>
      </c>
      <c r="AF34" s="157"/>
      <c r="AG34" s="175" t="s">
        <v>109</v>
      </c>
      <c r="AH34" s="158"/>
      <c r="AI34" s="159">
        <f>5*12*30</f>
        <v>1800</v>
      </c>
      <c r="AJ34" s="160" t="s">
        <v>18</v>
      </c>
    </row>
    <row r="35" spans="1:36" x14ac:dyDescent="0.25">
      <c r="B35" s="1"/>
      <c r="C35" s="177" t="s">
        <v>20</v>
      </c>
      <c r="D35" s="7"/>
      <c r="E35" s="163">
        <v>0</v>
      </c>
      <c r="F35" s="8" t="s">
        <v>18</v>
      </c>
      <c r="H35" s="1"/>
      <c r="I35" s="177" t="s">
        <v>20</v>
      </c>
      <c r="J35" s="7"/>
      <c r="K35" s="163">
        <v>0</v>
      </c>
      <c r="L35" s="8" t="s">
        <v>18</v>
      </c>
      <c r="N35" s="1"/>
      <c r="O35" s="177" t="s">
        <v>20</v>
      </c>
      <c r="P35" s="7"/>
      <c r="Q35" s="163">
        <v>0</v>
      </c>
      <c r="R35" s="8" t="s">
        <v>18</v>
      </c>
      <c r="T35" s="1"/>
      <c r="U35" s="177" t="s">
        <v>20</v>
      </c>
      <c r="V35" s="7"/>
      <c r="W35" s="163">
        <v>0</v>
      </c>
      <c r="X35" s="8" t="s">
        <v>18</v>
      </c>
      <c r="Z35" s="1"/>
      <c r="AA35" s="177" t="s">
        <v>20</v>
      </c>
      <c r="AB35" s="7"/>
      <c r="AC35" s="163">
        <v>0</v>
      </c>
      <c r="AD35" s="8" t="s">
        <v>18</v>
      </c>
      <c r="AF35" s="1"/>
      <c r="AG35" s="177" t="s">
        <v>20</v>
      </c>
      <c r="AH35" s="7"/>
      <c r="AI35" s="163">
        <v>0</v>
      </c>
      <c r="AJ35" s="8" t="s">
        <v>18</v>
      </c>
    </row>
    <row r="36" spans="1:36" x14ac:dyDescent="0.25">
      <c r="B36" s="1"/>
      <c r="C36" s="177" t="s">
        <v>21</v>
      </c>
      <c r="D36" s="7"/>
      <c r="E36" s="169">
        <f>E34-E35-(E37+E39)/2*10</f>
        <v>1799.5</v>
      </c>
      <c r="F36" s="8" t="s">
        <v>18</v>
      </c>
      <c r="H36" s="1"/>
      <c r="I36" s="177" t="s">
        <v>21</v>
      </c>
      <c r="J36" s="7"/>
      <c r="K36" s="169">
        <f>K34-K35-(K37+K39)/2*10</f>
        <v>1799.5</v>
      </c>
      <c r="L36" s="8" t="s">
        <v>18</v>
      </c>
      <c r="N36" s="1"/>
      <c r="O36" s="177" t="s">
        <v>21</v>
      </c>
      <c r="P36" s="7"/>
      <c r="Q36" s="169">
        <f>Q34-Q35-(Q37+Q39)/2*10</f>
        <v>1799.5</v>
      </c>
      <c r="R36" s="8" t="s">
        <v>18</v>
      </c>
      <c r="T36" s="1"/>
      <c r="U36" s="177" t="s">
        <v>21</v>
      </c>
      <c r="V36" s="7"/>
      <c r="W36" s="169">
        <f>W34-W35-(W37+W39)/2*10</f>
        <v>1799.5</v>
      </c>
      <c r="X36" s="8" t="s">
        <v>18</v>
      </c>
      <c r="Z36" s="1"/>
      <c r="AA36" s="177" t="s">
        <v>21</v>
      </c>
      <c r="AB36" s="7"/>
      <c r="AC36" s="169">
        <f>AC34-AC35-(AC37+AC39)/2*10</f>
        <v>1800</v>
      </c>
      <c r="AD36" s="8" t="s">
        <v>18</v>
      </c>
      <c r="AF36" s="1"/>
      <c r="AG36" s="177" t="s">
        <v>21</v>
      </c>
      <c r="AH36" s="7"/>
      <c r="AI36" s="169">
        <f>AI34-AI35-(AI37+AI39)/2*10</f>
        <v>1799.5</v>
      </c>
      <c r="AJ36" s="8" t="s">
        <v>18</v>
      </c>
    </row>
    <row r="37" spans="1:36" x14ac:dyDescent="0.25">
      <c r="B37" s="1"/>
      <c r="C37" s="177" t="s">
        <v>22</v>
      </c>
      <c r="D37" s="7" t="s">
        <v>23</v>
      </c>
      <c r="E37" s="170">
        <f>((E35/E34)*10-E38)</f>
        <v>0</v>
      </c>
      <c r="F37" s="8" t="s">
        <v>24</v>
      </c>
      <c r="H37" s="1"/>
      <c r="I37" s="177" t="s">
        <v>22</v>
      </c>
      <c r="J37" s="7" t="s">
        <v>23</v>
      </c>
      <c r="K37" s="170">
        <f>((K35/K34)*10-K38)</f>
        <v>0</v>
      </c>
      <c r="L37" s="8" t="s">
        <v>24</v>
      </c>
      <c r="N37" s="1"/>
      <c r="O37" s="177" t="s">
        <v>22</v>
      </c>
      <c r="P37" s="7" t="s">
        <v>23</v>
      </c>
      <c r="Q37" s="170">
        <f>((Q35/Q34)*10-Q38)</f>
        <v>0</v>
      </c>
      <c r="R37" s="8" t="s">
        <v>24</v>
      </c>
      <c r="T37" s="1"/>
      <c r="U37" s="177" t="s">
        <v>22</v>
      </c>
      <c r="V37" s="7" t="s">
        <v>23</v>
      </c>
      <c r="W37" s="170">
        <f>((W35/W34)*10-W38)</f>
        <v>0</v>
      </c>
      <c r="X37" s="8" t="s">
        <v>24</v>
      </c>
      <c r="Z37" s="1"/>
      <c r="AA37" s="177" t="s">
        <v>22</v>
      </c>
      <c r="AB37" s="7" t="s">
        <v>23</v>
      </c>
      <c r="AC37" s="170">
        <f>((AC35/AC34)*10-AC38)</f>
        <v>0</v>
      </c>
      <c r="AD37" s="8" t="s">
        <v>24</v>
      </c>
      <c r="AF37" s="1"/>
      <c r="AG37" s="177" t="s">
        <v>22</v>
      </c>
      <c r="AH37" s="7" t="s">
        <v>23</v>
      </c>
      <c r="AI37" s="170">
        <f>((AI35/AI34)*10-AI38)</f>
        <v>0</v>
      </c>
      <c r="AJ37" s="8" t="s">
        <v>24</v>
      </c>
    </row>
    <row r="38" spans="1:36" ht="30" x14ac:dyDescent="0.25">
      <c r="B38" s="1"/>
      <c r="C38" s="177"/>
      <c r="D38" s="10" t="s">
        <v>126</v>
      </c>
      <c r="E38" s="166">
        <v>0</v>
      </c>
      <c r="F38" s="8" t="s">
        <v>25</v>
      </c>
      <c r="H38" s="1"/>
      <c r="I38" s="177"/>
      <c r="J38" s="10" t="s">
        <v>126</v>
      </c>
      <c r="K38" s="166">
        <v>0</v>
      </c>
      <c r="L38" s="8" t="s">
        <v>25</v>
      </c>
      <c r="N38" s="1"/>
      <c r="O38" s="177"/>
      <c r="P38" s="10" t="s">
        <v>126</v>
      </c>
      <c r="Q38" s="166">
        <v>0</v>
      </c>
      <c r="R38" s="8" t="s">
        <v>25</v>
      </c>
      <c r="T38" s="1"/>
      <c r="U38" s="177"/>
      <c r="V38" s="10" t="s">
        <v>126</v>
      </c>
      <c r="W38" s="166">
        <v>0</v>
      </c>
      <c r="X38" s="8" t="s">
        <v>25</v>
      </c>
      <c r="Z38" s="1"/>
      <c r="AA38" s="177"/>
      <c r="AB38" s="10" t="s">
        <v>126</v>
      </c>
      <c r="AC38" s="166">
        <v>0</v>
      </c>
      <c r="AD38" s="8" t="s">
        <v>25</v>
      </c>
      <c r="AF38" s="1"/>
      <c r="AG38" s="177"/>
      <c r="AH38" s="10" t="s">
        <v>126</v>
      </c>
      <c r="AI38" s="166">
        <v>0</v>
      </c>
      <c r="AJ38" s="8" t="s">
        <v>25</v>
      </c>
    </row>
    <row r="39" spans="1:36" x14ac:dyDescent="0.25">
      <c r="B39" s="1"/>
      <c r="C39" s="176" t="s">
        <v>27</v>
      </c>
      <c r="D39" s="162" t="s">
        <v>23</v>
      </c>
      <c r="E39" s="166">
        <f>'[2]Data Lingkungan (DL)'!AR63</f>
        <v>0.1</v>
      </c>
      <c r="F39" s="164" t="s">
        <v>24</v>
      </c>
      <c r="H39" s="1"/>
      <c r="I39" s="176" t="s">
        <v>27</v>
      </c>
      <c r="J39" s="162" t="s">
        <v>23</v>
      </c>
      <c r="K39" s="166">
        <f>'[2]Data Lingkungan (DL)'!AR64</f>
        <v>0.1</v>
      </c>
      <c r="L39" s="164" t="s">
        <v>24</v>
      </c>
      <c r="N39" s="1"/>
      <c r="O39" s="176" t="s">
        <v>27</v>
      </c>
      <c r="P39" s="162" t="s">
        <v>23</v>
      </c>
      <c r="Q39" s="166">
        <f>'[1]Data Lingkungan_IC'!BA64</f>
        <v>0.1</v>
      </c>
      <c r="R39" s="164" t="s">
        <v>24</v>
      </c>
      <c r="T39" s="1"/>
      <c r="U39" s="176" t="s">
        <v>27</v>
      </c>
      <c r="V39" s="162" t="s">
        <v>23</v>
      </c>
      <c r="W39" s="166">
        <f>'[1]Data Lingkungan_IC'!AR63</f>
        <v>0.1</v>
      </c>
      <c r="X39" s="164" t="s">
        <v>24</v>
      </c>
      <c r="Z39" s="1"/>
      <c r="AA39" s="176" t="s">
        <v>27</v>
      </c>
      <c r="AB39" s="162" t="s">
        <v>23</v>
      </c>
      <c r="AC39" s="166">
        <f>'[1]Data Lingkungan_IC'!BS64</f>
        <v>0</v>
      </c>
      <c r="AD39" s="164" t="s">
        <v>24</v>
      </c>
      <c r="AF39" s="1"/>
      <c r="AG39" s="176" t="s">
        <v>27</v>
      </c>
      <c r="AH39" s="162" t="s">
        <v>23</v>
      </c>
      <c r="AI39" s="166">
        <f>'[1]Data Lingkungan_IC'!DL63</f>
        <v>0.1</v>
      </c>
      <c r="AJ39" s="164" t="s">
        <v>24</v>
      </c>
    </row>
    <row r="40" spans="1:36" ht="30" x14ac:dyDescent="0.25">
      <c r="B40" s="1"/>
      <c r="C40" s="177" t="s">
        <v>28</v>
      </c>
      <c r="D40" s="7"/>
      <c r="E40" s="168">
        <f>(E36/E34)</f>
        <v>0.99972222222222218</v>
      </c>
      <c r="F40" s="8" t="s">
        <v>29</v>
      </c>
      <c r="H40" s="1"/>
      <c r="I40" s="177" t="s">
        <v>28</v>
      </c>
      <c r="J40" s="7"/>
      <c r="K40" s="168">
        <f>(K36/K34)</f>
        <v>0.99972222222222218</v>
      </c>
      <c r="L40" s="8" t="s">
        <v>29</v>
      </c>
      <c r="N40" s="1"/>
      <c r="O40" s="177" t="s">
        <v>28</v>
      </c>
      <c r="P40" s="7"/>
      <c r="Q40" s="168">
        <f>(Q36/Q34)</f>
        <v>0.99972222222222218</v>
      </c>
      <c r="R40" s="8" t="s">
        <v>29</v>
      </c>
      <c r="T40" s="1"/>
      <c r="U40" s="177" t="s">
        <v>28</v>
      </c>
      <c r="V40" s="7"/>
      <c r="W40" s="168">
        <f>(W36/W34)</f>
        <v>0.99972222222222218</v>
      </c>
      <c r="X40" s="8" t="s">
        <v>29</v>
      </c>
      <c r="Z40" s="1"/>
      <c r="AA40" s="177" t="s">
        <v>28</v>
      </c>
      <c r="AB40" s="7"/>
      <c r="AC40" s="168">
        <f>(AC36/AC34)</f>
        <v>1</v>
      </c>
      <c r="AD40" s="8" t="s">
        <v>29</v>
      </c>
      <c r="AF40" s="1"/>
      <c r="AG40" s="177" t="s">
        <v>28</v>
      </c>
      <c r="AH40" s="7"/>
      <c r="AI40" s="168">
        <f>(AI36/AI34)</f>
        <v>0.99972222222222218</v>
      </c>
      <c r="AJ40" s="8" t="s">
        <v>29</v>
      </c>
    </row>
    <row r="41" spans="1:36" x14ac:dyDescent="0.25">
      <c r="B41" s="1"/>
      <c r="C41" s="177" t="s">
        <v>125</v>
      </c>
      <c r="D41" s="158" t="s">
        <v>30</v>
      </c>
      <c r="E41" s="159"/>
      <c r="F41" s="160"/>
      <c r="H41" s="1"/>
      <c r="I41" s="177" t="s">
        <v>125</v>
      </c>
      <c r="J41" s="158" t="s">
        <v>30</v>
      </c>
      <c r="K41" s="159"/>
      <c r="L41" s="160"/>
      <c r="N41" s="1"/>
      <c r="O41" s="177" t="s">
        <v>125</v>
      </c>
      <c r="P41" s="158" t="s">
        <v>30</v>
      </c>
      <c r="Q41" s="159"/>
      <c r="R41" s="160"/>
      <c r="T41" s="1"/>
      <c r="U41" s="177" t="s">
        <v>125</v>
      </c>
      <c r="V41" s="158" t="s">
        <v>30</v>
      </c>
      <c r="W41" s="159"/>
      <c r="X41" s="160"/>
      <c r="Z41" s="1"/>
      <c r="AA41" s="177" t="s">
        <v>125</v>
      </c>
      <c r="AB41" s="158" t="s">
        <v>30</v>
      </c>
      <c r="AC41" s="159"/>
      <c r="AD41" s="160"/>
      <c r="AF41" s="1"/>
      <c r="AG41" s="177" t="s">
        <v>125</v>
      </c>
      <c r="AH41" s="158" t="s">
        <v>30</v>
      </c>
      <c r="AI41" s="159"/>
      <c r="AJ41" s="160"/>
    </row>
    <row r="42" spans="1:36" x14ac:dyDescent="0.25">
      <c r="B42" s="1"/>
      <c r="C42" s="177"/>
      <c r="D42" s="176" t="s">
        <v>2</v>
      </c>
      <c r="E42" s="163" t="str">
        <f>'[2]Data Lingkungan (DL)'!AO63</f>
        <v>off</v>
      </c>
      <c r="F42" s="164"/>
      <c r="H42" s="1"/>
      <c r="I42" s="177"/>
      <c r="J42" s="176" t="s">
        <v>2</v>
      </c>
      <c r="K42" s="163" t="str">
        <f>'[2]Data Lingkungan (DL)'!AO64</f>
        <v>off</v>
      </c>
      <c r="L42" s="164"/>
      <c r="N42" s="1"/>
      <c r="O42" s="177"/>
      <c r="P42" s="176" t="s">
        <v>2</v>
      </c>
      <c r="Q42" s="163" t="str">
        <f>'[2]Data Lingkungan (DL)'!AX63</f>
        <v>on</v>
      </c>
      <c r="R42" s="164"/>
      <c r="T42" s="1"/>
      <c r="U42" s="177"/>
      <c r="V42" s="176" t="s">
        <v>2</v>
      </c>
      <c r="W42" s="163" t="str">
        <f>'[2]Data Lingkungan (DL)'!AO62</f>
        <v>off</v>
      </c>
      <c r="X42" s="164"/>
      <c r="Z42" s="1"/>
      <c r="AA42" s="177"/>
      <c r="AB42" s="176" t="s">
        <v>2</v>
      </c>
      <c r="AC42" s="163" t="str">
        <f>'[2]Data Lingkungan (DL)'!BP63</f>
        <v>off</v>
      </c>
      <c r="AD42" s="164"/>
      <c r="AF42" s="1"/>
      <c r="AG42" s="177"/>
      <c r="AH42" s="176" t="s">
        <v>2</v>
      </c>
      <c r="AI42" s="163" t="str">
        <f>'[2]Data Lingkungan (DL)'!DI62</f>
        <v>on</v>
      </c>
      <c r="AJ42" s="164"/>
    </row>
    <row r="43" spans="1:36" x14ac:dyDescent="0.25">
      <c r="B43" s="1"/>
      <c r="C43" s="177"/>
      <c r="D43" s="189" t="s">
        <v>130</v>
      </c>
      <c r="E43" s="171"/>
      <c r="F43" s="190" t="s">
        <v>131</v>
      </c>
      <c r="H43" s="1"/>
      <c r="I43" s="177"/>
      <c r="J43" s="189" t="s">
        <v>130</v>
      </c>
      <c r="K43" s="171"/>
      <c r="L43" s="190" t="s">
        <v>131</v>
      </c>
      <c r="N43" s="1"/>
      <c r="O43" s="177"/>
      <c r="P43" s="189" t="s">
        <v>130</v>
      </c>
      <c r="Q43" s="171"/>
      <c r="R43" s="190" t="s">
        <v>131</v>
      </c>
      <c r="T43" s="1"/>
      <c r="U43" s="177"/>
      <c r="V43" s="189" t="s">
        <v>130</v>
      </c>
      <c r="W43" s="171"/>
      <c r="X43" s="190" t="s">
        <v>131</v>
      </c>
      <c r="Z43" s="1"/>
      <c r="AA43" s="177"/>
      <c r="AB43" s="189" t="s">
        <v>130</v>
      </c>
      <c r="AC43" s="171"/>
      <c r="AD43" s="190" t="s">
        <v>131</v>
      </c>
      <c r="AF43" s="1"/>
      <c r="AG43" s="177"/>
      <c r="AH43" s="189" t="s">
        <v>130</v>
      </c>
      <c r="AI43" s="171"/>
      <c r="AJ43" s="190" t="s">
        <v>131</v>
      </c>
    </row>
    <row r="44" spans="1:36" x14ac:dyDescent="0.25">
      <c r="B44" s="1"/>
      <c r="C44" s="177"/>
      <c r="D44" s="158" t="s">
        <v>32</v>
      </c>
      <c r="E44" s="159" t="s">
        <v>0</v>
      </c>
      <c r="F44" s="160"/>
      <c r="H44" s="1"/>
      <c r="I44" s="177"/>
      <c r="J44" s="158" t="s">
        <v>32</v>
      </c>
      <c r="K44" s="159" t="s">
        <v>0</v>
      </c>
      <c r="L44" s="160"/>
      <c r="N44" s="1"/>
      <c r="O44" s="177"/>
      <c r="P44" s="158" t="s">
        <v>32</v>
      </c>
      <c r="Q44" s="159" t="s">
        <v>0</v>
      </c>
      <c r="R44" s="160"/>
      <c r="T44" s="1"/>
      <c r="U44" s="177"/>
      <c r="V44" s="158" t="s">
        <v>32</v>
      </c>
      <c r="W44" s="159" t="s">
        <v>0</v>
      </c>
      <c r="X44" s="160"/>
      <c r="Z44" s="1"/>
      <c r="AA44" s="177"/>
      <c r="AB44" s="158" t="s">
        <v>32</v>
      </c>
      <c r="AC44" s="159" t="s">
        <v>0</v>
      </c>
      <c r="AD44" s="160"/>
      <c r="AF44" s="1"/>
      <c r="AG44" s="177"/>
      <c r="AH44" s="158" t="s">
        <v>32</v>
      </c>
      <c r="AI44" s="159" t="s">
        <v>0</v>
      </c>
      <c r="AJ44" s="160"/>
    </row>
    <row r="45" spans="1:36" x14ac:dyDescent="0.25">
      <c r="A45" s="165"/>
      <c r="B45" s="1"/>
      <c r="C45" s="178"/>
      <c r="D45" s="167" t="s">
        <v>112</v>
      </c>
      <c r="E45" s="159">
        <f>EQ!L14</f>
        <v>4.8299999999999996E-2</v>
      </c>
      <c r="F45" s="160" t="s">
        <v>33</v>
      </c>
      <c r="H45" s="1"/>
      <c r="I45" s="178"/>
      <c r="J45" s="167" t="s">
        <v>112</v>
      </c>
      <c r="K45" s="159">
        <f>EQ!L15</f>
        <v>2.8999999999999998E-3</v>
      </c>
      <c r="L45" s="160" t="s">
        <v>33</v>
      </c>
      <c r="N45" s="1"/>
      <c r="O45" s="178"/>
      <c r="P45" s="167" t="s">
        <v>112</v>
      </c>
      <c r="Q45" s="159">
        <f>EQ!L21</f>
        <v>0.6573</v>
      </c>
      <c r="R45" s="160" t="s">
        <v>33</v>
      </c>
      <c r="T45" s="1"/>
      <c r="U45" s="178"/>
      <c r="V45" s="167" t="s">
        <v>112</v>
      </c>
      <c r="W45" s="159">
        <f>EQ!L13</f>
        <v>0.03</v>
      </c>
      <c r="X45" s="160" t="s">
        <v>33</v>
      </c>
      <c r="Z45" s="1"/>
      <c r="AA45" s="178"/>
      <c r="AB45" s="167" t="s">
        <v>112</v>
      </c>
      <c r="AC45" s="159">
        <f>EQ!L35</f>
        <v>8.1099999999999992E-2</v>
      </c>
      <c r="AD45" s="160" t="s">
        <v>33</v>
      </c>
      <c r="AF45" s="1"/>
      <c r="AG45" s="178"/>
      <c r="AH45" s="167" t="s">
        <v>112</v>
      </c>
      <c r="AI45" s="159">
        <f>EQ!L56</f>
        <v>7.8799999999999995E-2</v>
      </c>
      <c r="AJ45" s="160" t="s">
        <v>33</v>
      </c>
    </row>
    <row r="46" spans="1:36" s="165" customFormat="1" ht="30" x14ac:dyDescent="0.25">
      <c r="A46" s="3"/>
      <c r="B46" s="1"/>
      <c r="C46" s="178"/>
      <c r="D46" s="10" t="s">
        <v>113</v>
      </c>
      <c r="E46" s="171">
        <f>EQ!J14</f>
        <v>3.9999999999999991</v>
      </c>
      <c r="F46" s="8" t="s">
        <v>35</v>
      </c>
      <c r="H46" s="1"/>
      <c r="I46" s="178"/>
      <c r="J46" s="10" t="s">
        <v>113</v>
      </c>
      <c r="K46" s="171">
        <f>EQ!J15</f>
        <v>0</v>
      </c>
      <c r="L46" s="8" t="s">
        <v>35</v>
      </c>
      <c r="N46" s="1"/>
      <c r="O46" s="178"/>
      <c r="P46" s="10" t="s">
        <v>113</v>
      </c>
      <c r="Q46" s="171">
        <f>EQ!J21</f>
        <v>3</v>
      </c>
      <c r="R46" s="8" t="s">
        <v>35</v>
      </c>
      <c r="T46" s="1"/>
      <c r="U46" s="178"/>
      <c r="V46" s="10" t="s">
        <v>113</v>
      </c>
      <c r="W46" s="171">
        <f>EQ!J13</f>
        <v>11.999999999999998</v>
      </c>
      <c r="X46" s="8" t="s">
        <v>35</v>
      </c>
      <c r="Z46" s="1"/>
      <c r="AA46" s="178"/>
      <c r="AB46" s="10" t="s">
        <v>113</v>
      </c>
      <c r="AC46" s="171">
        <f>EQ!J35</f>
        <v>0</v>
      </c>
      <c r="AD46" s="8" t="s">
        <v>35</v>
      </c>
      <c r="AF46" s="1"/>
      <c r="AG46" s="178"/>
      <c r="AH46" s="10" t="s">
        <v>113</v>
      </c>
      <c r="AI46" s="171">
        <f>EQ!J56</f>
        <v>24</v>
      </c>
      <c r="AJ46" s="8" t="s">
        <v>35</v>
      </c>
    </row>
    <row r="47" spans="1:36" ht="30" x14ac:dyDescent="0.25">
      <c r="B47" s="1"/>
      <c r="C47" s="178"/>
      <c r="D47" s="10" t="s">
        <v>120</v>
      </c>
      <c r="E47" s="172">
        <f>E46*E45</f>
        <v>0.19319999999999993</v>
      </c>
      <c r="F47" s="8"/>
      <c r="H47" s="1"/>
      <c r="I47" s="178"/>
      <c r="J47" s="10" t="s">
        <v>120</v>
      </c>
      <c r="K47" s="172">
        <f>K46*K45</f>
        <v>0</v>
      </c>
      <c r="L47" s="8"/>
      <c r="N47" s="1"/>
      <c r="O47" s="178"/>
      <c r="P47" s="10" t="s">
        <v>120</v>
      </c>
      <c r="Q47" s="172">
        <f>Q46*Q45</f>
        <v>1.9719</v>
      </c>
      <c r="R47" s="8"/>
      <c r="T47" s="1"/>
      <c r="U47" s="178"/>
      <c r="V47" s="10" t="s">
        <v>120</v>
      </c>
      <c r="W47" s="172">
        <f>W46*W45</f>
        <v>0.35999999999999993</v>
      </c>
      <c r="X47" s="8"/>
      <c r="Z47" s="1"/>
      <c r="AA47" s="178"/>
      <c r="AB47" s="10" t="s">
        <v>120</v>
      </c>
      <c r="AC47" s="172">
        <f>AC46*AC45</f>
        <v>0</v>
      </c>
      <c r="AD47" s="8"/>
      <c r="AF47" s="1"/>
      <c r="AG47" s="178"/>
      <c r="AH47" s="10" t="s">
        <v>120</v>
      </c>
      <c r="AI47" s="172">
        <f>AI46*AI45</f>
        <v>1.8912</v>
      </c>
      <c r="AJ47" s="8"/>
    </row>
    <row r="48" spans="1:36" ht="30.75" thickBot="1" x14ac:dyDescent="0.3">
      <c r="B48" s="2"/>
      <c r="C48" s="179"/>
      <c r="D48" s="12" t="s">
        <v>123</v>
      </c>
      <c r="E48" s="183">
        <v>0</v>
      </c>
      <c r="F48" s="15" t="s">
        <v>36</v>
      </c>
      <c r="H48" s="2"/>
      <c r="I48" s="179"/>
      <c r="J48" s="12" t="s">
        <v>123</v>
      </c>
      <c r="K48" s="183">
        <v>0</v>
      </c>
      <c r="L48" s="15" t="s">
        <v>36</v>
      </c>
      <c r="N48" s="1"/>
      <c r="O48" s="178"/>
      <c r="P48" s="10" t="s">
        <v>123</v>
      </c>
      <c r="Q48" s="171">
        <v>0</v>
      </c>
      <c r="R48" s="8" t="s">
        <v>36</v>
      </c>
      <c r="T48" s="2"/>
      <c r="U48" s="179"/>
      <c r="V48" s="12" t="s">
        <v>123</v>
      </c>
      <c r="W48" s="183">
        <v>0</v>
      </c>
      <c r="X48" s="15" t="s">
        <v>36</v>
      </c>
      <c r="Z48" s="2"/>
      <c r="AA48" s="179"/>
      <c r="AB48" s="12" t="s">
        <v>123</v>
      </c>
      <c r="AC48" s="183">
        <v>0</v>
      </c>
      <c r="AD48" s="15" t="s">
        <v>36</v>
      </c>
      <c r="AF48" s="2"/>
      <c r="AG48" s="179"/>
      <c r="AH48" s="12" t="s">
        <v>123</v>
      </c>
      <c r="AI48" s="183">
        <v>0</v>
      </c>
      <c r="AJ48" s="15" t="s">
        <v>36</v>
      </c>
    </row>
    <row r="49" spans="2:36" ht="15.75" thickBot="1" x14ac:dyDescent="0.3">
      <c r="B49" s="16"/>
      <c r="C49" s="180"/>
      <c r="D49" s="156"/>
      <c r="E49" s="155"/>
      <c r="F49" s="155"/>
      <c r="H49" s="16"/>
      <c r="I49" s="155"/>
      <c r="J49" s="156"/>
      <c r="K49" s="155"/>
      <c r="L49" s="155"/>
      <c r="N49" s="185"/>
      <c r="O49" s="186"/>
      <c r="P49" s="187" t="s">
        <v>37</v>
      </c>
      <c r="Q49" s="186">
        <v>0</v>
      </c>
      <c r="R49" s="188" t="s">
        <v>38</v>
      </c>
      <c r="T49" s="16"/>
      <c r="U49" s="155"/>
      <c r="V49" s="156"/>
      <c r="W49" s="155"/>
      <c r="X49" s="155"/>
      <c r="Z49" s="16"/>
      <c r="AA49" s="155"/>
      <c r="AB49" s="156"/>
      <c r="AC49" s="155"/>
      <c r="AD49" s="155"/>
      <c r="AF49" s="16"/>
      <c r="AG49" s="155"/>
      <c r="AH49" s="156"/>
      <c r="AI49" s="155"/>
      <c r="AJ49" s="155"/>
    </row>
    <row r="50" spans="2:36" ht="15.75" thickBot="1" x14ac:dyDescent="0.3"/>
    <row r="51" spans="2:36" x14ac:dyDescent="0.25">
      <c r="B51" s="202" t="s">
        <v>4</v>
      </c>
      <c r="C51" s="203"/>
      <c r="D51" s="203"/>
      <c r="E51" s="203"/>
      <c r="F51" s="204"/>
      <c r="H51" s="202" t="s">
        <v>4</v>
      </c>
      <c r="I51" s="203"/>
      <c r="J51" s="203"/>
      <c r="K51" s="203"/>
      <c r="L51" s="204"/>
      <c r="N51" s="202" t="s">
        <v>4</v>
      </c>
      <c r="O51" s="203"/>
      <c r="P51" s="203"/>
      <c r="Q51" s="203"/>
      <c r="R51" s="204"/>
      <c r="T51" s="202" t="s">
        <v>4</v>
      </c>
      <c r="U51" s="203"/>
      <c r="V51" s="203"/>
      <c r="W51" s="203"/>
      <c r="X51" s="204"/>
      <c r="Z51" s="202" t="s">
        <v>4</v>
      </c>
      <c r="AA51" s="203"/>
      <c r="AB51" s="203"/>
      <c r="AC51" s="203"/>
      <c r="AD51" s="204"/>
      <c r="AF51" s="202" t="s">
        <v>4</v>
      </c>
      <c r="AG51" s="203"/>
      <c r="AH51" s="203"/>
      <c r="AI51" s="203"/>
      <c r="AJ51" s="204"/>
    </row>
    <row r="52" spans="2:36" ht="15.75" thickBot="1" x14ac:dyDescent="0.3">
      <c r="B52" s="205" t="s">
        <v>6</v>
      </c>
      <c r="C52" s="206"/>
      <c r="D52" s="206"/>
      <c r="E52" s="206"/>
      <c r="F52" s="207"/>
      <c r="H52" s="205" t="s">
        <v>6</v>
      </c>
      <c r="I52" s="215"/>
      <c r="J52" s="215"/>
      <c r="K52" s="215"/>
      <c r="L52" s="207"/>
      <c r="N52" s="205" t="s">
        <v>6</v>
      </c>
      <c r="O52" s="215"/>
      <c r="P52" s="215"/>
      <c r="Q52" s="215"/>
      <c r="R52" s="207"/>
      <c r="T52" s="205" t="s">
        <v>6</v>
      </c>
      <c r="U52" s="215"/>
      <c r="V52" s="215"/>
      <c r="W52" s="215"/>
      <c r="X52" s="207"/>
      <c r="Z52" s="205" t="s">
        <v>6</v>
      </c>
      <c r="AA52" s="215"/>
      <c r="AB52" s="215"/>
      <c r="AC52" s="215"/>
      <c r="AD52" s="207"/>
      <c r="AF52" s="205" t="s">
        <v>6</v>
      </c>
      <c r="AG52" s="215"/>
      <c r="AH52" s="215"/>
      <c r="AI52" s="215"/>
      <c r="AJ52" s="207"/>
    </row>
    <row r="53" spans="2:36" x14ac:dyDescent="0.25">
      <c r="B53" s="199" t="s">
        <v>128</v>
      </c>
      <c r="C53" s="200"/>
      <c r="D53" s="200"/>
      <c r="E53" s="200"/>
      <c r="F53" s="201"/>
      <c r="H53" s="17" t="s">
        <v>128</v>
      </c>
      <c r="I53" s="18"/>
      <c r="J53" s="18"/>
      <c r="K53" s="18"/>
      <c r="L53" s="19"/>
      <c r="N53" s="199" t="s">
        <v>128</v>
      </c>
      <c r="O53" s="200"/>
      <c r="P53" s="200"/>
      <c r="Q53" s="200"/>
      <c r="R53" s="201"/>
      <c r="T53" s="199" t="s">
        <v>128</v>
      </c>
      <c r="U53" s="200"/>
      <c r="V53" s="200"/>
      <c r="W53" s="200"/>
      <c r="X53" s="201"/>
      <c r="Z53" s="199" t="s">
        <v>128</v>
      </c>
      <c r="AA53" s="200"/>
      <c r="AB53" s="200"/>
      <c r="AC53" s="200"/>
      <c r="AD53" s="201"/>
      <c r="AF53" s="199" t="s">
        <v>128</v>
      </c>
      <c r="AG53" s="200"/>
      <c r="AH53" s="200"/>
      <c r="AI53" s="200"/>
      <c r="AJ53" s="201"/>
    </row>
    <row r="54" spans="2:36" ht="15.75" thickBot="1" x14ac:dyDescent="0.3">
      <c r="B54" s="4" t="s">
        <v>3</v>
      </c>
      <c r="C54" s="174" t="s">
        <v>7</v>
      </c>
      <c r="D54" s="5" t="s">
        <v>8</v>
      </c>
      <c r="E54" s="5" t="s">
        <v>9</v>
      </c>
      <c r="F54" s="6" t="s">
        <v>10</v>
      </c>
      <c r="H54" s="4" t="s">
        <v>3</v>
      </c>
      <c r="I54" s="5" t="s">
        <v>7</v>
      </c>
      <c r="J54" s="5" t="s">
        <v>8</v>
      </c>
      <c r="K54" s="5" t="s">
        <v>9</v>
      </c>
      <c r="L54" s="6" t="s">
        <v>10</v>
      </c>
      <c r="N54" s="4" t="s">
        <v>3</v>
      </c>
      <c r="O54" s="5" t="s">
        <v>7</v>
      </c>
      <c r="P54" s="5" t="s">
        <v>8</v>
      </c>
      <c r="Q54" s="5" t="s">
        <v>9</v>
      </c>
      <c r="R54" s="6" t="s">
        <v>10</v>
      </c>
      <c r="T54" s="4" t="s">
        <v>3</v>
      </c>
      <c r="U54" s="5" t="s">
        <v>7</v>
      </c>
      <c r="V54" s="5" t="s">
        <v>8</v>
      </c>
      <c r="W54" s="5" t="s">
        <v>9</v>
      </c>
      <c r="X54" s="6" t="s">
        <v>10</v>
      </c>
      <c r="Z54" s="4" t="s">
        <v>3</v>
      </c>
      <c r="AA54" s="5" t="s">
        <v>7</v>
      </c>
      <c r="AB54" s="5" t="s">
        <v>8</v>
      </c>
      <c r="AC54" s="5" t="s">
        <v>9</v>
      </c>
      <c r="AD54" s="6" t="s">
        <v>10</v>
      </c>
      <c r="AF54" s="4" t="s">
        <v>3</v>
      </c>
      <c r="AG54" s="5" t="s">
        <v>7</v>
      </c>
      <c r="AH54" s="5" t="s">
        <v>8</v>
      </c>
      <c r="AI54" s="5" t="s">
        <v>9</v>
      </c>
      <c r="AJ54" s="6" t="s">
        <v>10</v>
      </c>
    </row>
    <row r="55" spans="2:36" x14ac:dyDescent="0.25">
      <c r="B55" s="208" t="s">
        <v>127</v>
      </c>
      <c r="C55" s="209"/>
      <c r="D55" s="209"/>
      <c r="E55" s="209"/>
      <c r="F55" s="210"/>
      <c r="H55" s="20" t="s">
        <v>127</v>
      </c>
      <c r="I55" s="21"/>
      <c r="J55" s="21"/>
      <c r="K55" s="21"/>
      <c r="L55" s="22"/>
      <c r="N55" s="208" t="s">
        <v>127</v>
      </c>
      <c r="O55" s="209"/>
      <c r="P55" s="209"/>
      <c r="Q55" s="209"/>
      <c r="R55" s="210"/>
      <c r="T55" s="208" t="s">
        <v>127</v>
      </c>
      <c r="U55" s="209"/>
      <c r="V55" s="209"/>
      <c r="W55" s="209"/>
      <c r="X55" s="210"/>
      <c r="Z55" s="208" t="s">
        <v>127</v>
      </c>
      <c r="AA55" s="209"/>
      <c r="AB55" s="209"/>
      <c r="AC55" s="209"/>
      <c r="AD55" s="210"/>
      <c r="AF55" s="208" t="s">
        <v>127</v>
      </c>
      <c r="AG55" s="209"/>
      <c r="AH55" s="209"/>
      <c r="AI55" s="209"/>
      <c r="AJ55" s="210"/>
    </row>
    <row r="56" spans="2:36" x14ac:dyDescent="0.25">
      <c r="B56" s="157"/>
      <c r="C56" s="175" t="s">
        <v>11</v>
      </c>
      <c r="D56" s="158"/>
      <c r="E56" s="159" t="s">
        <v>51</v>
      </c>
      <c r="F56" s="160"/>
      <c r="H56" s="157"/>
      <c r="I56" s="175" t="s">
        <v>11</v>
      </c>
      <c r="J56" s="158"/>
      <c r="K56" s="159" t="s">
        <v>52</v>
      </c>
      <c r="L56" s="160"/>
      <c r="N56" s="157"/>
      <c r="O56" s="175" t="s">
        <v>11</v>
      </c>
      <c r="P56" s="158"/>
      <c r="Q56" s="159" t="s">
        <v>53</v>
      </c>
      <c r="R56" s="160"/>
      <c r="T56" s="157"/>
      <c r="U56" s="175" t="s">
        <v>11</v>
      </c>
      <c r="V56" s="158"/>
      <c r="W56" s="159" t="s">
        <v>42</v>
      </c>
      <c r="X56" s="160"/>
      <c r="Z56" s="157"/>
      <c r="AA56" s="175" t="s">
        <v>11</v>
      </c>
      <c r="AB56" s="158"/>
      <c r="AC56" s="159" t="s">
        <v>54</v>
      </c>
      <c r="AD56" s="160"/>
      <c r="AF56" s="157"/>
      <c r="AG56" s="175" t="s">
        <v>11</v>
      </c>
      <c r="AH56" s="158"/>
      <c r="AI56" s="159" t="s">
        <v>44</v>
      </c>
      <c r="AJ56" s="160"/>
    </row>
    <row r="57" spans="2:36" x14ac:dyDescent="0.25">
      <c r="B57" s="157"/>
      <c r="C57" s="175" t="s">
        <v>13</v>
      </c>
      <c r="D57" s="158"/>
      <c r="E57" s="159" t="s">
        <v>55</v>
      </c>
      <c r="F57" s="160"/>
      <c r="H57" s="157"/>
      <c r="I57" s="175" t="s">
        <v>13</v>
      </c>
      <c r="J57" s="158"/>
      <c r="K57" s="159" t="s">
        <v>56</v>
      </c>
      <c r="L57" s="160"/>
      <c r="N57" s="157"/>
      <c r="O57" s="175" t="s">
        <v>13</v>
      </c>
      <c r="P57" s="158"/>
      <c r="Q57" s="159" t="s">
        <v>57</v>
      </c>
      <c r="R57" s="160"/>
      <c r="T57" s="157"/>
      <c r="U57" s="175" t="s">
        <v>13</v>
      </c>
      <c r="V57" s="158"/>
      <c r="W57" s="159" t="s">
        <v>58</v>
      </c>
      <c r="X57" s="160"/>
      <c r="Z57" s="157"/>
      <c r="AA57" s="175" t="s">
        <v>13</v>
      </c>
      <c r="AB57" s="158"/>
      <c r="AC57" s="159" t="s">
        <v>59</v>
      </c>
      <c r="AD57" s="160"/>
      <c r="AF57" s="157"/>
      <c r="AG57" s="175" t="s">
        <v>13</v>
      </c>
      <c r="AH57" s="158"/>
      <c r="AI57" s="159" t="s">
        <v>60</v>
      </c>
      <c r="AJ57" s="160"/>
    </row>
    <row r="58" spans="2:36" x14ac:dyDescent="0.25">
      <c r="B58" s="157"/>
      <c r="C58" s="175" t="s">
        <v>15</v>
      </c>
      <c r="D58" s="158"/>
      <c r="E58" s="161"/>
      <c r="F58" s="160" t="s">
        <v>16</v>
      </c>
      <c r="H58" s="157"/>
      <c r="I58" s="175" t="s">
        <v>15</v>
      </c>
      <c r="J58" s="158"/>
      <c r="K58" s="161"/>
      <c r="L58" s="160" t="s">
        <v>16</v>
      </c>
      <c r="N58" s="157"/>
      <c r="O58" s="175" t="s">
        <v>15</v>
      </c>
      <c r="P58" s="158"/>
      <c r="Q58" s="161"/>
      <c r="R58" s="160" t="s">
        <v>16</v>
      </c>
      <c r="T58" s="157"/>
      <c r="U58" s="175" t="s">
        <v>15</v>
      </c>
      <c r="V58" s="158"/>
      <c r="W58" s="161"/>
      <c r="X58" s="160" t="s">
        <v>16</v>
      </c>
      <c r="Z58" s="157"/>
      <c r="AA58" s="175" t="s">
        <v>15</v>
      </c>
      <c r="AB58" s="158"/>
      <c r="AC58" s="161"/>
      <c r="AD58" s="160" t="s">
        <v>16</v>
      </c>
      <c r="AF58" s="157"/>
      <c r="AG58" s="175" t="s">
        <v>15</v>
      </c>
      <c r="AH58" s="158"/>
      <c r="AI58" s="161"/>
      <c r="AJ58" s="160" t="s">
        <v>16</v>
      </c>
    </row>
    <row r="59" spans="2:36" x14ac:dyDescent="0.25">
      <c r="B59" s="157"/>
      <c r="C59" s="175" t="s">
        <v>109</v>
      </c>
      <c r="D59" s="158"/>
      <c r="E59" s="159">
        <f>5*12*30</f>
        <v>1800</v>
      </c>
      <c r="F59" s="160" t="s">
        <v>18</v>
      </c>
      <c r="H59" s="157"/>
      <c r="I59" s="175" t="s">
        <v>109</v>
      </c>
      <c r="J59" s="158"/>
      <c r="K59" s="159">
        <f>5*12*30</f>
        <v>1800</v>
      </c>
      <c r="L59" s="160" t="s">
        <v>18</v>
      </c>
      <c r="N59" s="157"/>
      <c r="O59" s="175" t="s">
        <v>109</v>
      </c>
      <c r="P59" s="158"/>
      <c r="Q59" s="159">
        <f>5*12*30</f>
        <v>1800</v>
      </c>
      <c r="R59" s="160" t="s">
        <v>18</v>
      </c>
      <c r="T59" s="157"/>
      <c r="U59" s="175" t="s">
        <v>109</v>
      </c>
      <c r="V59" s="158"/>
      <c r="W59" s="159">
        <f>5*12*30</f>
        <v>1800</v>
      </c>
      <c r="X59" s="160" t="s">
        <v>18</v>
      </c>
      <c r="Z59" s="157"/>
      <c r="AA59" s="175" t="s">
        <v>109</v>
      </c>
      <c r="AB59" s="158"/>
      <c r="AC59" s="159">
        <f>5*12*30</f>
        <v>1800</v>
      </c>
      <c r="AD59" s="160" t="s">
        <v>18</v>
      </c>
      <c r="AF59" s="157"/>
      <c r="AG59" s="175" t="s">
        <v>109</v>
      </c>
      <c r="AH59" s="158"/>
      <c r="AI59" s="159">
        <f>5*12*30</f>
        <v>1800</v>
      </c>
      <c r="AJ59" s="160" t="s">
        <v>18</v>
      </c>
    </row>
    <row r="60" spans="2:36" x14ac:dyDescent="0.25">
      <c r="B60" s="1"/>
      <c r="C60" s="177" t="s">
        <v>20</v>
      </c>
      <c r="D60" s="7"/>
      <c r="E60" s="163">
        <v>0</v>
      </c>
      <c r="F60" s="8" t="s">
        <v>18</v>
      </c>
      <c r="H60" s="1"/>
      <c r="I60" s="177" t="s">
        <v>20</v>
      </c>
      <c r="J60" s="7"/>
      <c r="K60" s="163">
        <v>0</v>
      </c>
      <c r="L60" s="8" t="s">
        <v>18</v>
      </c>
      <c r="N60" s="1"/>
      <c r="O60" s="177" t="s">
        <v>20</v>
      </c>
      <c r="P60" s="7"/>
      <c r="Q60" s="163">
        <v>0</v>
      </c>
      <c r="R60" s="8" t="s">
        <v>18</v>
      </c>
      <c r="T60" s="1"/>
      <c r="U60" s="177" t="s">
        <v>20</v>
      </c>
      <c r="V60" s="7"/>
      <c r="W60" s="163">
        <v>0</v>
      </c>
      <c r="X60" s="8" t="s">
        <v>18</v>
      </c>
      <c r="Z60" s="1"/>
      <c r="AA60" s="177" t="s">
        <v>20</v>
      </c>
      <c r="AB60" s="7"/>
      <c r="AC60" s="163">
        <v>0</v>
      </c>
      <c r="AD60" s="8" t="s">
        <v>18</v>
      </c>
      <c r="AF60" s="1"/>
      <c r="AG60" s="177" t="s">
        <v>20</v>
      </c>
      <c r="AH60" s="7"/>
      <c r="AI60" s="163">
        <v>0</v>
      </c>
      <c r="AJ60" s="8" t="s">
        <v>18</v>
      </c>
    </row>
    <row r="61" spans="2:36" x14ac:dyDescent="0.25">
      <c r="B61" s="1"/>
      <c r="C61" s="177" t="s">
        <v>21</v>
      </c>
      <c r="D61" s="7"/>
      <c r="E61" s="169">
        <f>E59-E60-(E62+E64)/2*10</f>
        <v>1799.5</v>
      </c>
      <c r="F61" s="8" t="s">
        <v>18</v>
      </c>
      <c r="H61" s="1"/>
      <c r="I61" s="177" t="s">
        <v>21</v>
      </c>
      <c r="J61" s="7"/>
      <c r="K61" s="169">
        <f>K59-K60-(K62+K64)/2*10</f>
        <v>1800</v>
      </c>
      <c r="L61" s="8" t="s">
        <v>18</v>
      </c>
      <c r="N61" s="1"/>
      <c r="O61" s="177" t="s">
        <v>21</v>
      </c>
      <c r="P61" s="7"/>
      <c r="Q61" s="169">
        <f>Q59-Q60-(Q62+Q64)/2*10</f>
        <v>1799.5</v>
      </c>
      <c r="R61" s="8" t="s">
        <v>18</v>
      </c>
      <c r="T61" s="1"/>
      <c r="U61" s="177" t="s">
        <v>21</v>
      </c>
      <c r="V61" s="7"/>
      <c r="W61" s="169">
        <f>W59-W60-(W62+W64)/2*10</f>
        <v>1799.5</v>
      </c>
      <c r="X61" s="8" t="s">
        <v>18</v>
      </c>
      <c r="Z61" s="1"/>
      <c r="AA61" s="177" t="s">
        <v>21</v>
      </c>
      <c r="AB61" s="7"/>
      <c r="AC61" s="169">
        <f>AC59-AC60-(AC62+AC64)/2*10</f>
        <v>1799.5</v>
      </c>
      <c r="AD61" s="8" t="s">
        <v>18</v>
      </c>
      <c r="AF61" s="1"/>
      <c r="AG61" s="177" t="s">
        <v>21</v>
      </c>
      <c r="AH61" s="7"/>
      <c r="AI61" s="169">
        <f>AI59-AI60-(AI62+AI64)/2*10</f>
        <v>1799.5</v>
      </c>
      <c r="AJ61" s="8" t="s">
        <v>18</v>
      </c>
    </row>
    <row r="62" spans="2:36" x14ac:dyDescent="0.25">
      <c r="B62" s="1"/>
      <c r="C62" s="177" t="s">
        <v>22</v>
      </c>
      <c r="D62" s="7" t="s">
        <v>23</v>
      </c>
      <c r="E62" s="170">
        <f>((E60/E59)*10-E63)</f>
        <v>0</v>
      </c>
      <c r="F62" s="8" t="s">
        <v>24</v>
      </c>
      <c r="H62" s="1"/>
      <c r="I62" s="177" t="s">
        <v>22</v>
      </c>
      <c r="J62" s="7" t="s">
        <v>23</v>
      </c>
      <c r="K62" s="170">
        <f>((K60/K59)*10-K63)</f>
        <v>0</v>
      </c>
      <c r="L62" s="8" t="s">
        <v>24</v>
      </c>
      <c r="N62" s="1"/>
      <c r="O62" s="177" t="s">
        <v>22</v>
      </c>
      <c r="P62" s="7" t="s">
        <v>23</v>
      </c>
      <c r="Q62" s="170">
        <f>((Q60/Q59)*10-Q63)</f>
        <v>0</v>
      </c>
      <c r="R62" s="8" t="s">
        <v>24</v>
      </c>
      <c r="T62" s="1"/>
      <c r="U62" s="177" t="s">
        <v>22</v>
      </c>
      <c r="V62" s="7" t="s">
        <v>23</v>
      </c>
      <c r="W62" s="170">
        <f>((W60/W59)*10-W63)</f>
        <v>0</v>
      </c>
      <c r="X62" s="8" t="s">
        <v>24</v>
      </c>
      <c r="Z62" s="1"/>
      <c r="AA62" s="177" t="s">
        <v>22</v>
      </c>
      <c r="AB62" s="7" t="s">
        <v>23</v>
      </c>
      <c r="AC62" s="170">
        <f>((AC60/AC59)*10-AC63)</f>
        <v>0</v>
      </c>
      <c r="AD62" s="8" t="s">
        <v>24</v>
      </c>
      <c r="AF62" s="1"/>
      <c r="AG62" s="177" t="s">
        <v>22</v>
      </c>
      <c r="AH62" s="7" t="s">
        <v>23</v>
      </c>
      <c r="AI62" s="170">
        <f>((AI60/AI59)*10-AI63)</f>
        <v>0</v>
      </c>
      <c r="AJ62" s="8" t="s">
        <v>24</v>
      </c>
    </row>
    <row r="63" spans="2:36" ht="30" x14ac:dyDescent="0.25">
      <c r="B63" s="1"/>
      <c r="C63" s="177"/>
      <c r="D63" s="10" t="s">
        <v>126</v>
      </c>
      <c r="E63" s="166">
        <v>0</v>
      </c>
      <c r="F63" s="8" t="s">
        <v>25</v>
      </c>
      <c r="H63" s="1"/>
      <c r="I63" s="177"/>
      <c r="J63" s="10" t="s">
        <v>126</v>
      </c>
      <c r="K63" s="166">
        <v>0</v>
      </c>
      <c r="L63" s="8" t="s">
        <v>25</v>
      </c>
      <c r="N63" s="1"/>
      <c r="O63" s="177"/>
      <c r="P63" s="10" t="s">
        <v>126</v>
      </c>
      <c r="Q63" s="166">
        <v>0</v>
      </c>
      <c r="R63" s="8" t="s">
        <v>25</v>
      </c>
      <c r="T63" s="1"/>
      <c r="U63" s="177"/>
      <c r="V63" s="10" t="s">
        <v>126</v>
      </c>
      <c r="W63" s="166">
        <v>0</v>
      </c>
      <c r="X63" s="8" t="s">
        <v>25</v>
      </c>
      <c r="Z63" s="1"/>
      <c r="AA63" s="177"/>
      <c r="AB63" s="10" t="s">
        <v>126</v>
      </c>
      <c r="AC63" s="166">
        <v>0</v>
      </c>
      <c r="AD63" s="8" t="s">
        <v>25</v>
      </c>
      <c r="AF63" s="1"/>
      <c r="AG63" s="177"/>
      <c r="AH63" s="10" t="s">
        <v>126</v>
      </c>
      <c r="AI63" s="166">
        <v>0</v>
      </c>
      <c r="AJ63" s="8" t="s">
        <v>25</v>
      </c>
    </row>
    <row r="64" spans="2:36" x14ac:dyDescent="0.25">
      <c r="B64" s="1"/>
      <c r="C64" s="176" t="s">
        <v>27</v>
      </c>
      <c r="D64" s="162" t="s">
        <v>23</v>
      </c>
      <c r="E64" s="166">
        <f>'[2]Data Lingkungan (DL)'!AR65</f>
        <v>0.1</v>
      </c>
      <c r="F64" s="164" t="s">
        <v>24</v>
      </c>
      <c r="H64" s="1"/>
      <c r="I64" s="176" t="s">
        <v>27</v>
      </c>
      <c r="J64" s="162" t="s">
        <v>23</v>
      </c>
      <c r="K64" s="166">
        <v>0</v>
      </c>
      <c r="L64" s="164" t="s">
        <v>24</v>
      </c>
      <c r="N64" s="1"/>
      <c r="O64" s="176" t="s">
        <v>27</v>
      </c>
      <c r="P64" s="162" t="s">
        <v>23</v>
      </c>
      <c r="Q64" s="166">
        <f>'[1]Data Lingkungan_IC'!CT62</f>
        <v>0.1</v>
      </c>
      <c r="R64" s="164" t="s">
        <v>24</v>
      </c>
      <c r="T64" s="1"/>
      <c r="U64" s="176" t="s">
        <v>27</v>
      </c>
      <c r="V64" s="162" t="s">
        <v>23</v>
      </c>
      <c r="W64" s="166">
        <f>'[1]Data Lingkungan_IC'!BA63</f>
        <v>0.1</v>
      </c>
      <c r="X64" s="164" t="s">
        <v>24</v>
      </c>
      <c r="Z64" s="1"/>
      <c r="AA64" s="176" t="s">
        <v>27</v>
      </c>
      <c r="AB64" s="162" t="s">
        <v>23</v>
      </c>
      <c r="AC64" s="166">
        <f>'[1]Data Lingkungan_IC'!DC62</f>
        <v>0.1</v>
      </c>
      <c r="AD64" s="164" t="s">
        <v>24</v>
      </c>
      <c r="AF64" s="1"/>
      <c r="AG64" s="176" t="s">
        <v>27</v>
      </c>
      <c r="AH64" s="162" t="s">
        <v>23</v>
      </c>
      <c r="AI64" s="166">
        <f>'[1]Data Lingkungan_IC'!DC64</f>
        <v>0.1</v>
      </c>
      <c r="AJ64" s="164" t="s">
        <v>24</v>
      </c>
    </row>
    <row r="65" spans="1:36" ht="30" x14ac:dyDescent="0.25">
      <c r="B65" s="1"/>
      <c r="C65" s="177" t="s">
        <v>28</v>
      </c>
      <c r="D65" s="7"/>
      <c r="E65" s="168">
        <f>(E61/E59)</f>
        <v>0.99972222222222218</v>
      </c>
      <c r="F65" s="8" t="s">
        <v>29</v>
      </c>
      <c r="H65" s="1"/>
      <c r="I65" s="177" t="s">
        <v>28</v>
      </c>
      <c r="J65" s="7"/>
      <c r="K65" s="168">
        <f>(K61/K59)</f>
        <v>1</v>
      </c>
      <c r="L65" s="8" t="s">
        <v>29</v>
      </c>
      <c r="N65" s="1"/>
      <c r="O65" s="177" t="s">
        <v>28</v>
      </c>
      <c r="P65" s="7"/>
      <c r="Q65" s="168">
        <f>(Q61/Q59)</f>
        <v>0.99972222222222218</v>
      </c>
      <c r="R65" s="8" t="s">
        <v>29</v>
      </c>
      <c r="T65" s="1"/>
      <c r="U65" s="177" t="s">
        <v>28</v>
      </c>
      <c r="V65" s="7"/>
      <c r="W65" s="168">
        <f>(W61/W59)</f>
        <v>0.99972222222222218</v>
      </c>
      <c r="X65" s="8" t="s">
        <v>29</v>
      </c>
      <c r="Z65" s="1"/>
      <c r="AA65" s="177" t="s">
        <v>28</v>
      </c>
      <c r="AB65" s="7"/>
      <c r="AC65" s="168">
        <f>(AC61/AC59)</f>
        <v>0.99972222222222218</v>
      </c>
      <c r="AD65" s="8" t="s">
        <v>29</v>
      </c>
      <c r="AF65" s="1"/>
      <c r="AG65" s="177" t="s">
        <v>28</v>
      </c>
      <c r="AH65" s="7"/>
      <c r="AI65" s="168">
        <f>(AI61/AI59)</f>
        <v>0.99972222222222218</v>
      </c>
      <c r="AJ65" s="8" t="s">
        <v>29</v>
      </c>
    </row>
    <row r="66" spans="1:36" x14ac:dyDescent="0.25">
      <c r="B66" s="1"/>
      <c r="C66" s="177" t="s">
        <v>125</v>
      </c>
      <c r="D66" s="158" t="s">
        <v>30</v>
      </c>
      <c r="E66" s="159"/>
      <c r="F66" s="160"/>
      <c r="H66" s="1"/>
      <c r="I66" s="177" t="s">
        <v>125</v>
      </c>
      <c r="J66" s="158" t="s">
        <v>30</v>
      </c>
      <c r="K66" s="159" t="s">
        <v>31</v>
      </c>
      <c r="L66" s="160"/>
      <c r="N66" s="1"/>
      <c r="O66" s="177" t="s">
        <v>125</v>
      </c>
      <c r="P66" s="158" t="s">
        <v>30</v>
      </c>
      <c r="Q66" s="159"/>
      <c r="R66" s="160"/>
      <c r="T66" s="1"/>
      <c r="U66" s="177" t="s">
        <v>125</v>
      </c>
      <c r="V66" s="158" t="s">
        <v>30</v>
      </c>
      <c r="W66" s="159"/>
      <c r="X66" s="160"/>
      <c r="Z66" s="1"/>
      <c r="AA66" s="177" t="s">
        <v>125</v>
      </c>
      <c r="AB66" s="158" t="s">
        <v>30</v>
      </c>
      <c r="AC66" s="159"/>
      <c r="AD66" s="160"/>
      <c r="AF66" s="1"/>
      <c r="AG66" s="177" t="s">
        <v>125</v>
      </c>
      <c r="AH66" s="158" t="s">
        <v>30</v>
      </c>
      <c r="AI66" s="159"/>
      <c r="AJ66" s="160"/>
    </row>
    <row r="67" spans="1:36" x14ac:dyDescent="0.25">
      <c r="B67" s="1"/>
      <c r="C67" s="177"/>
      <c r="D67" s="176" t="s">
        <v>2</v>
      </c>
      <c r="E67" s="163" t="str">
        <f>'[2]Data Lingkungan (DL)'!AO65</f>
        <v>off</v>
      </c>
      <c r="F67" s="164"/>
      <c r="H67" s="1"/>
      <c r="I67" s="177"/>
      <c r="J67" s="176" t="s">
        <v>2</v>
      </c>
      <c r="K67" s="163" t="str">
        <f>'[2]Data Lingkungan (DL)'!AF62</f>
        <v>off</v>
      </c>
      <c r="L67" s="164"/>
      <c r="N67" s="1"/>
      <c r="O67" s="177"/>
      <c r="P67" s="176" t="s">
        <v>2</v>
      </c>
      <c r="Q67" s="163" t="str">
        <f>'[2]Data Lingkungan (DL)'!CQ61</f>
        <v>off</v>
      </c>
      <c r="R67" s="164"/>
      <c r="T67" s="1"/>
      <c r="U67" s="177"/>
      <c r="V67" s="176" t="s">
        <v>2</v>
      </c>
      <c r="W67" s="163" t="str">
        <f>'[2]Data Lingkungan (DL)'!AX62</f>
        <v>on</v>
      </c>
      <c r="X67" s="164"/>
      <c r="Z67" s="1"/>
      <c r="AA67" s="177"/>
      <c r="AB67" s="176" t="s">
        <v>2</v>
      </c>
      <c r="AC67" s="163" t="str">
        <f>'[2]Data Lingkungan (DL)'!CZ61</f>
        <v>off</v>
      </c>
      <c r="AD67" s="164"/>
      <c r="AF67" s="1"/>
      <c r="AG67" s="177"/>
      <c r="AH67" s="176" t="s">
        <v>2</v>
      </c>
      <c r="AI67" s="163" t="str">
        <f>'[2]Data Lingkungan (DL)'!CZ62</f>
        <v>on</v>
      </c>
      <c r="AJ67" s="164"/>
    </row>
    <row r="68" spans="1:36" x14ac:dyDescent="0.25">
      <c r="B68" s="1"/>
      <c r="C68" s="177"/>
      <c r="D68" s="189" t="s">
        <v>130</v>
      </c>
      <c r="E68" s="171"/>
      <c r="F68" s="190" t="s">
        <v>131</v>
      </c>
      <c r="H68" s="1"/>
      <c r="I68" s="177"/>
      <c r="J68" s="189" t="s">
        <v>130</v>
      </c>
      <c r="K68" s="171"/>
      <c r="L68" s="190" t="s">
        <v>131</v>
      </c>
      <c r="N68" s="1"/>
      <c r="O68" s="177"/>
      <c r="P68" s="189" t="s">
        <v>130</v>
      </c>
      <c r="Q68" s="171"/>
      <c r="R68" s="190" t="s">
        <v>131</v>
      </c>
      <c r="T68" s="1"/>
      <c r="U68" s="177"/>
      <c r="V68" s="189" t="s">
        <v>130</v>
      </c>
      <c r="W68" s="171"/>
      <c r="X68" s="190" t="s">
        <v>131</v>
      </c>
      <c r="Z68" s="1"/>
      <c r="AA68" s="177"/>
      <c r="AB68" s="189" t="s">
        <v>130</v>
      </c>
      <c r="AC68" s="171"/>
      <c r="AD68" s="190" t="s">
        <v>131</v>
      </c>
      <c r="AF68" s="1"/>
      <c r="AG68" s="177"/>
      <c r="AH68" s="189" t="s">
        <v>130</v>
      </c>
      <c r="AI68" s="171"/>
      <c r="AJ68" s="190" t="s">
        <v>131</v>
      </c>
    </row>
    <row r="69" spans="1:36" x14ac:dyDescent="0.25">
      <c r="B69" s="1"/>
      <c r="C69" s="177"/>
      <c r="D69" s="158" t="s">
        <v>32</v>
      </c>
      <c r="E69" s="159" t="s">
        <v>0</v>
      </c>
      <c r="F69" s="160"/>
      <c r="H69" s="1"/>
      <c r="I69" s="177"/>
      <c r="J69" s="158" t="s">
        <v>32</v>
      </c>
      <c r="K69" s="159" t="s">
        <v>0</v>
      </c>
      <c r="L69" s="160"/>
      <c r="N69" s="1"/>
      <c r="O69" s="177"/>
      <c r="P69" s="158" t="s">
        <v>32</v>
      </c>
      <c r="Q69" s="159" t="s">
        <v>0</v>
      </c>
      <c r="R69" s="160"/>
      <c r="T69" s="1"/>
      <c r="U69" s="177"/>
      <c r="V69" s="158" t="s">
        <v>32</v>
      </c>
      <c r="W69" s="159" t="s">
        <v>0</v>
      </c>
      <c r="X69" s="160"/>
      <c r="Z69" s="1"/>
      <c r="AA69" s="177"/>
      <c r="AB69" s="158" t="s">
        <v>32</v>
      </c>
      <c r="AC69" s="159" t="s">
        <v>0</v>
      </c>
      <c r="AD69" s="160"/>
      <c r="AF69" s="1"/>
      <c r="AG69" s="177"/>
      <c r="AH69" s="158" t="s">
        <v>32</v>
      </c>
      <c r="AI69" s="159" t="s">
        <v>0</v>
      </c>
      <c r="AJ69" s="160"/>
    </row>
    <row r="70" spans="1:36" x14ac:dyDescent="0.25">
      <c r="A70" s="165"/>
      <c r="B70" s="1"/>
      <c r="C70" s="178"/>
      <c r="D70" s="167" t="s">
        <v>112</v>
      </c>
      <c r="E70" s="159">
        <f>EQ!L16</f>
        <v>7.7000000000000002E-3</v>
      </c>
      <c r="F70" s="160" t="s">
        <v>33</v>
      </c>
      <c r="H70" s="1"/>
      <c r="I70" s="178"/>
      <c r="J70" s="167" t="s">
        <v>112</v>
      </c>
      <c r="K70" s="159">
        <f>EQ!L8</f>
        <v>1.8800000000000001E-2</v>
      </c>
      <c r="L70" s="160" t="s">
        <v>33</v>
      </c>
      <c r="N70" s="1"/>
      <c r="O70" s="178"/>
      <c r="P70" s="167" t="s">
        <v>112</v>
      </c>
      <c r="Q70" s="159">
        <f>EQ!L44</f>
        <v>0.35</v>
      </c>
      <c r="R70" s="160" t="s">
        <v>33</v>
      </c>
      <c r="T70" s="1"/>
      <c r="U70" s="178"/>
      <c r="V70" s="167" t="s">
        <v>112</v>
      </c>
      <c r="W70" s="159">
        <f>EQ!L22</f>
        <v>4.0600000000000004E-2</v>
      </c>
      <c r="X70" s="160" t="s">
        <v>33</v>
      </c>
      <c r="Z70" s="1"/>
      <c r="AA70" s="178"/>
      <c r="AB70" s="167" t="s">
        <v>112</v>
      </c>
      <c r="AC70" s="159">
        <f>EQ!L50</f>
        <v>0.10150000000000001</v>
      </c>
      <c r="AD70" s="160" t="s">
        <v>33</v>
      </c>
      <c r="AF70" s="1"/>
      <c r="AG70" s="178"/>
      <c r="AH70" s="167" t="s">
        <v>112</v>
      </c>
      <c r="AI70" s="159">
        <f>EQ!L48</f>
        <v>7.9000000000000001E-2</v>
      </c>
      <c r="AJ70" s="160" t="s">
        <v>33</v>
      </c>
    </row>
    <row r="71" spans="1:36" s="165" customFormat="1" ht="30" x14ac:dyDescent="0.25">
      <c r="A71" s="3"/>
      <c r="B71" s="1"/>
      <c r="C71" s="178"/>
      <c r="D71" s="10" t="s">
        <v>113</v>
      </c>
      <c r="E71" s="171">
        <f>EQ!J16</f>
        <v>3.9999999999999991</v>
      </c>
      <c r="F71" s="8" t="s">
        <v>35</v>
      </c>
      <c r="H71" s="1"/>
      <c r="I71" s="178"/>
      <c r="J71" s="10" t="s">
        <v>113</v>
      </c>
      <c r="K71" s="171">
        <f>EQ!J8</f>
        <v>3</v>
      </c>
      <c r="L71" s="8" t="s">
        <v>35</v>
      </c>
      <c r="N71" s="1"/>
      <c r="O71" s="178"/>
      <c r="P71" s="10" t="s">
        <v>113</v>
      </c>
      <c r="Q71" s="171">
        <f>EQ!J44</f>
        <v>6.55</v>
      </c>
      <c r="R71" s="8" t="s">
        <v>35</v>
      </c>
      <c r="S71" s="3"/>
      <c r="T71" s="1"/>
      <c r="U71" s="178"/>
      <c r="V71" s="10" t="s">
        <v>113</v>
      </c>
      <c r="W71" s="171">
        <f>EQ!J22</f>
        <v>2.0000000000000009</v>
      </c>
      <c r="X71" s="8" t="s">
        <v>35</v>
      </c>
      <c r="Z71" s="1"/>
      <c r="AA71" s="178"/>
      <c r="AB71" s="10" t="s">
        <v>113</v>
      </c>
      <c r="AC71" s="171">
        <f>EQ!J50</f>
        <v>8.3333333333333037E-2</v>
      </c>
      <c r="AD71" s="8" t="s">
        <v>35</v>
      </c>
      <c r="AF71" s="1"/>
      <c r="AG71" s="178"/>
      <c r="AH71" s="10" t="s">
        <v>113</v>
      </c>
      <c r="AI71" s="171">
        <f>EQ!J48</f>
        <v>24</v>
      </c>
      <c r="AJ71" s="8" t="s">
        <v>35</v>
      </c>
    </row>
    <row r="72" spans="1:36" ht="30" x14ac:dyDescent="0.25">
      <c r="B72" s="1"/>
      <c r="C72" s="178"/>
      <c r="D72" s="10" t="s">
        <v>120</v>
      </c>
      <c r="E72" s="172">
        <f>E71*E70</f>
        <v>3.0799999999999994E-2</v>
      </c>
      <c r="F72" s="8"/>
      <c r="H72" s="1"/>
      <c r="I72" s="178"/>
      <c r="J72" s="10" t="s">
        <v>120</v>
      </c>
      <c r="K72" s="172">
        <f>K71*K70</f>
        <v>5.6400000000000006E-2</v>
      </c>
      <c r="L72" s="8"/>
      <c r="N72" s="1"/>
      <c r="O72" s="178"/>
      <c r="P72" s="10" t="s">
        <v>120</v>
      </c>
      <c r="Q72" s="172">
        <f>Q71*Q70</f>
        <v>2.2925</v>
      </c>
      <c r="R72" s="8"/>
      <c r="S72" s="165"/>
      <c r="T72" s="1"/>
      <c r="U72" s="178"/>
      <c r="V72" s="10" t="s">
        <v>120</v>
      </c>
      <c r="W72" s="172">
        <f>W71*W70</f>
        <v>8.120000000000005E-2</v>
      </c>
      <c r="X72" s="8"/>
      <c r="Z72" s="1"/>
      <c r="AA72" s="178"/>
      <c r="AB72" s="10" t="s">
        <v>120</v>
      </c>
      <c r="AC72" s="172">
        <f>AC71*AC70</f>
        <v>8.4583333333333038E-3</v>
      </c>
      <c r="AD72" s="8"/>
      <c r="AF72" s="1"/>
      <c r="AG72" s="178"/>
      <c r="AH72" s="10" t="s">
        <v>120</v>
      </c>
      <c r="AI72" s="172">
        <f>AI71*AI70</f>
        <v>1.8959999999999999</v>
      </c>
      <c r="AJ72" s="8"/>
    </row>
    <row r="73" spans="1:36" ht="30.75" thickBot="1" x14ac:dyDescent="0.3">
      <c r="B73" s="1"/>
      <c r="C73" s="178"/>
      <c r="D73" s="10" t="s">
        <v>123</v>
      </c>
      <c r="E73" s="171">
        <v>0</v>
      </c>
      <c r="F73" s="8" t="s">
        <v>36</v>
      </c>
      <c r="H73" s="2"/>
      <c r="I73" s="179"/>
      <c r="J73" s="12" t="s">
        <v>123</v>
      </c>
      <c r="K73" s="183">
        <v>0</v>
      </c>
      <c r="L73" s="15" t="s">
        <v>36</v>
      </c>
      <c r="N73" s="2"/>
      <c r="O73" s="179"/>
      <c r="P73" s="12" t="s">
        <v>123</v>
      </c>
      <c r="Q73" s="183">
        <v>0</v>
      </c>
      <c r="R73" s="15" t="s">
        <v>36</v>
      </c>
      <c r="T73" s="2"/>
      <c r="U73" s="179"/>
      <c r="V73" s="12" t="s">
        <v>123</v>
      </c>
      <c r="W73" s="183">
        <v>0</v>
      </c>
      <c r="X73" s="15" t="s">
        <v>36</v>
      </c>
      <c r="Z73" s="2"/>
      <c r="AA73" s="179"/>
      <c r="AB73" s="12" t="s">
        <v>123</v>
      </c>
      <c r="AC73" s="183">
        <v>0</v>
      </c>
      <c r="AD73" s="15" t="s">
        <v>36</v>
      </c>
      <c r="AF73" s="2"/>
      <c r="AG73" s="179"/>
      <c r="AH73" s="12" t="s">
        <v>123</v>
      </c>
      <c r="AI73" s="183">
        <v>0</v>
      </c>
      <c r="AJ73" s="15" t="s">
        <v>36</v>
      </c>
    </row>
    <row r="74" spans="1:36" x14ac:dyDescent="0.25">
      <c r="C74" s="181"/>
      <c r="D74" s="14"/>
      <c r="E74" s="13"/>
      <c r="F74" s="13"/>
      <c r="U74" s="13"/>
      <c r="V74" s="14"/>
      <c r="W74" s="13"/>
      <c r="X74" s="13"/>
    </row>
    <row r="75" spans="1:36" ht="15.75" thickBot="1" x14ac:dyDescent="0.3"/>
    <row r="76" spans="1:36" x14ac:dyDescent="0.25">
      <c r="B76" s="202" t="s">
        <v>4</v>
      </c>
      <c r="C76" s="203"/>
      <c r="D76" s="203"/>
      <c r="E76" s="203"/>
      <c r="F76" s="204"/>
      <c r="H76" s="202" t="s">
        <v>4</v>
      </c>
      <c r="I76" s="203"/>
      <c r="J76" s="203"/>
      <c r="K76" s="203"/>
      <c r="L76" s="204"/>
      <c r="N76" s="202" t="s">
        <v>4</v>
      </c>
      <c r="O76" s="203"/>
      <c r="P76" s="203"/>
      <c r="Q76" s="203"/>
      <c r="R76" s="204"/>
      <c r="T76" s="202" t="s">
        <v>4</v>
      </c>
      <c r="U76" s="203"/>
      <c r="V76" s="203"/>
      <c r="W76" s="203"/>
      <c r="X76" s="204"/>
      <c r="Z76" s="202" t="s">
        <v>4</v>
      </c>
      <c r="AA76" s="203"/>
      <c r="AB76" s="203"/>
      <c r="AC76" s="203"/>
      <c r="AD76" s="204"/>
    </row>
    <row r="77" spans="1:36" ht="15.75" thickBot="1" x14ac:dyDescent="0.3">
      <c r="B77" s="205" t="s">
        <v>6</v>
      </c>
      <c r="C77" s="206"/>
      <c r="D77" s="206"/>
      <c r="E77" s="206"/>
      <c r="F77" s="207"/>
      <c r="H77" s="205" t="s">
        <v>6</v>
      </c>
      <c r="I77" s="215"/>
      <c r="J77" s="215"/>
      <c r="K77" s="215"/>
      <c r="L77" s="207"/>
      <c r="N77" s="205" t="s">
        <v>6</v>
      </c>
      <c r="O77" s="215"/>
      <c r="P77" s="215"/>
      <c r="Q77" s="215"/>
      <c r="R77" s="207"/>
      <c r="T77" s="205" t="s">
        <v>6</v>
      </c>
      <c r="U77" s="215"/>
      <c r="V77" s="215"/>
      <c r="W77" s="215"/>
      <c r="X77" s="207"/>
      <c r="Z77" s="205" t="s">
        <v>6</v>
      </c>
      <c r="AA77" s="215"/>
      <c r="AB77" s="215"/>
      <c r="AC77" s="215"/>
      <c r="AD77" s="207"/>
    </row>
    <row r="78" spans="1:36" x14ac:dyDescent="0.25">
      <c r="B78" s="199" t="s">
        <v>128</v>
      </c>
      <c r="C78" s="200"/>
      <c r="D78" s="200"/>
      <c r="E78" s="200"/>
      <c r="F78" s="201"/>
      <c r="H78" s="17" t="s">
        <v>128</v>
      </c>
      <c r="I78" s="18"/>
      <c r="J78" s="18"/>
      <c r="K78" s="18"/>
      <c r="L78" s="19"/>
      <c r="N78" s="199" t="s">
        <v>128</v>
      </c>
      <c r="O78" s="200"/>
      <c r="P78" s="200"/>
      <c r="Q78" s="200"/>
      <c r="R78" s="201"/>
      <c r="T78" s="199" t="s">
        <v>128</v>
      </c>
      <c r="U78" s="200"/>
      <c r="V78" s="200"/>
      <c r="W78" s="200"/>
      <c r="X78" s="201"/>
      <c r="Z78" s="199" t="s">
        <v>128</v>
      </c>
      <c r="AA78" s="200"/>
      <c r="AB78" s="200"/>
      <c r="AC78" s="200"/>
      <c r="AD78" s="201"/>
    </row>
    <row r="79" spans="1:36" ht="15.75" thickBot="1" x14ac:dyDescent="0.3">
      <c r="B79" s="4" t="s">
        <v>3</v>
      </c>
      <c r="C79" s="174" t="s">
        <v>7</v>
      </c>
      <c r="D79" s="5" t="s">
        <v>8</v>
      </c>
      <c r="E79" s="5" t="s">
        <v>9</v>
      </c>
      <c r="F79" s="6" t="s">
        <v>10</v>
      </c>
      <c r="H79" s="4" t="s">
        <v>3</v>
      </c>
      <c r="I79" s="5" t="s">
        <v>7</v>
      </c>
      <c r="J79" s="5" t="s">
        <v>8</v>
      </c>
      <c r="K79" s="5" t="s">
        <v>9</v>
      </c>
      <c r="L79" s="6" t="s">
        <v>10</v>
      </c>
      <c r="N79" s="4" t="s">
        <v>3</v>
      </c>
      <c r="O79" s="5" t="s">
        <v>7</v>
      </c>
      <c r="P79" s="5" t="s">
        <v>8</v>
      </c>
      <c r="Q79" s="5" t="s">
        <v>9</v>
      </c>
      <c r="R79" s="6" t="s">
        <v>10</v>
      </c>
      <c r="T79" s="4" t="s">
        <v>3</v>
      </c>
      <c r="U79" s="5" t="s">
        <v>7</v>
      </c>
      <c r="V79" s="5" t="s">
        <v>8</v>
      </c>
      <c r="W79" s="5" t="s">
        <v>9</v>
      </c>
      <c r="X79" s="6" t="s">
        <v>10</v>
      </c>
      <c r="Z79" s="4" t="s">
        <v>3</v>
      </c>
      <c r="AA79" s="5" t="s">
        <v>7</v>
      </c>
      <c r="AB79" s="5" t="s">
        <v>8</v>
      </c>
      <c r="AC79" s="5" t="s">
        <v>9</v>
      </c>
      <c r="AD79" s="6" t="s">
        <v>10</v>
      </c>
    </row>
    <row r="80" spans="1:36" x14ac:dyDescent="0.25">
      <c r="B80" s="208" t="s">
        <v>127</v>
      </c>
      <c r="C80" s="209"/>
      <c r="D80" s="209"/>
      <c r="E80" s="209"/>
      <c r="F80" s="210"/>
      <c r="H80" s="23" t="s">
        <v>127</v>
      </c>
      <c r="I80" s="24"/>
      <c r="J80" s="24"/>
      <c r="K80" s="24"/>
      <c r="L80" s="25"/>
      <c r="N80" s="208" t="s">
        <v>127</v>
      </c>
      <c r="O80" s="209"/>
      <c r="P80" s="209"/>
      <c r="Q80" s="209"/>
      <c r="R80" s="210"/>
      <c r="T80" s="208" t="s">
        <v>127</v>
      </c>
      <c r="U80" s="209"/>
      <c r="V80" s="209"/>
      <c r="W80" s="209"/>
      <c r="X80" s="210"/>
      <c r="Z80" s="208" t="s">
        <v>127</v>
      </c>
      <c r="AA80" s="209"/>
      <c r="AB80" s="209"/>
      <c r="AC80" s="209"/>
      <c r="AD80" s="210"/>
    </row>
    <row r="81" spans="1:36" x14ac:dyDescent="0.25">
      <c r="B81" s="157"/>
      <c r="C81" s="175" t="s">
        <v>11</v>
      </c>
      <c r="D81" s="158"/>
      <c r="E81" s="159" t="s">
        <v>61</v>
      </c>
      <c r="F81" s="160"/>
      <c r="H81" s="157"/>
      <c r="I81" s="175" t="s">
        <v>11</v>
      </c>
      <c r="J81" s="158"/>
      <c r="K81" s="159" t="s">
        <v>61</v>
      </c>
      <c r="L81" s="160"/>
      <c r="N81" s="157"/>
      <c r="O81" s="175" t="s">
        <v>11</v>
      </c>
      <c r="P81" s="158"/>
      <c r="Q81" s="159" t="s">
        <v>61</v>
      </c>
      <c r="R81" s="160"/>
      <c r="T81" s="157"/>
      <c r="U81" s="175" t="s">
        <v>11</v>
      </c>
      <c r="V81" s="158"/>
      <c r="W81" s="159" t="s">
        <v>42</v>
      </c>
      <c r="X81" s="160"/>
      <c r="Z81" s="157"/>
      <c r="AA81" s="175" t="s">
        <v>11</v>
      </c>
      <c r="AB81" s="158"/>
      <c r="AC81" s="159" t="s">
        <v>115</v>
      </c>
      <c r="AD81" s="160"/>
    </row>
    <row r="82" spans="1:36" x14ac:dyDescent="0.25">
      <c r="B82" s="157"/>
      <c r="C82" s="175" t="s">
        <v>13</v>
      </c>
      <c r="D82" s="158"/>
      <c r="E82" s="159" t="s">
        <v>62</v>
      </c>
      <c r="F82" s="160"/>
      <c r="H82" s="157"/>
      <c r="I82" s="175" t="s">
        <v>13</v>
      </c>
      <c r="J82" s="158"/>
      <c r="K82" s="159" t="s">
        <v>63</v>
      </c>
      <c r="L82" s="160"/>
      <c r="N82" s="157"/>
      <c r="O82" s="175" t="s">
        <v>13</v>
      </c>
      <c r="P82" s="158"/>
      <c r="Q82" s="159" t="s">
        <v>64</v>
      </c>
      <c r="R82" s="160"/>
      <c r="T82" s="157"/>
      <c r="U82" s="175" t="s">
        <v>13</v>
      </c>
      <c r="V82" s="158"/>
      <c r="W82" s="159" t="s">
        <v>65</v>
      </c>
      <c r="X82" s="160"/>
      <c r="Z82" s="157"/>
      <c r="AA82" s="175" t="s">
        <v>13</v>
      </c>
      <c r="AB82" s="158"/>
      <c r="AC82" s="159" t="s">
        <v>66</v>
      </c>
      <c r="AD82" s="160"/>
    </row>
    <row r="83" spans="1:36" x14ac:dyDescent="0.25">
      <c r="B83" s="157"/>
      <c r="C83" s="175" t="s">
        <v>15</v>
      </c>
      <c r="D83" s="158"/>
      <c r="E83" s="161"/>
      <c r="F83" s="160" t="s">
        <v>16</v>
      </c>
      <c r="H83" s="157"/>
      <c r="I83" s="175" t="s">
        <v>15</v>
      </c>
      <c r="J83" s="158"/>
      <c r="K83" s="161"/>
      <c r="L83" s="160" t="s">
        <v>16</v>
      </c>
      <c r="N83" s="157"/>
      <c r="O83" s="175" t="s">
        <v>15</v>
      </c>
      <c r="P83" s="158"/>
      <c r="Q83" s="161"/>
      <c r="R83" s="160" t="s">
        <v>16</v>
      </c>
      <c r="T83" s="157"/>
      <c r="U83" s="175" t="s">
        <v>15</v>
      </c>
      <c r="V83" s="158"/>
      <c r="W83" s="161"/>
      <c r="X83" s="160" t="s">
        <v>16</v>
      </c>
      <c r="Z83" s="157"/>
      <c r="AA83" s="175" t="s">
        <v>15</v>
      </c>
      <c r="AB83" s="158"/>
      <c r="AC83" s="161"/>
      <c r="AD83" s="160" t="s">
        <v>16</v>
      </c>
    </row>
    <row r="84" spans="1:36" x14ac:dyDescent="0.25">
      <c r="B84" s="157"/>
      <c r="C84" s="175" t="s">
        <v>109</v>
      </c>
      <c r="D84" s="158"/>
      <c r="E84" s="159">
        <f>5*12*30</f>
        <v>1800</v>
      </c>
      <c r="F84" s="160" t="s">
        <v>18</v>
      </c>
      <c r="H84" s="157"/>
      <c r="I84" s="175" t="s">
        <v>109</v>
      </c>
      <c r="J84" s="158"/>
      <c r="K84" s="159">
        <f>5*12*30</f>
        <v>1800</v>
      </c>
      <c r="L84" s="160" t="s">
        <v>18</v>
      </c>
      <c r="N84" s="157"/>
      <c r="O84" s="175" t="s">
        <v>109</v>
      </c>
      <c r="P84" s="158"/>
      <c r="Q84" s="159">
        <f>5*12*30</f>
        <v>1800</v>
      </c>
      <c r="R84" s="160" t="s">
        <v>18</v>
      </c>
      <c r="T84" s="157"/>
      <c r="U84" s="175" t="s">
        <v>109</v>
      </c>
      <c r="V84" s="158"/>
      <c r="W84" s="159">
        <f>5*12*30</f>
        <v>1800</v>
      </c>
      <c r="X84" s="160" t="s">
        <v>18</v>
      </c>
      <c r="Z84" s="157"/>
      <c r="AA84" s="175" t="s">
        <v>109</v>
      </c>
      <c r="AB84" s="158"/>
      <c r="AC84" s="159">
        <f>5*12*30</f>
        <v>1800</v>
      </c>
      <c r="AD84" s="160" t="s">
        <v>18</v>
      </c>
    </row>
    <row r="85" spans="1:36" x14ac:dyDescent="0.25">
      <c r="B85" s="1"/>
      <c r="C85" s="177" t="s">
        <v>20</v>
      </c>
      <c r="D85" s="7"/>
      <c r="E85" s="163">
        <v>0</v>
      </c>
      <c r="F85" s="8" t="s">
        <v>18</v>
      </c>
      <c r="H85" s="1"/>
      <c r="I85" s="177" t="s">
        <v>20</v>
      </c>
      <c r="J85" s="7"/>
      <c r="K85" s="163">
        <v>0</v>
      </c>
      <c r="L85" s="8" t="s">
        <v>18</v>
      </c>
      <c r="N85" s="1"/>
      <c r="O85" s="177" t="s">
        <v>20</v>
      </c>
      <c r="P85" s="7"/>
      <c r="Q85" s="163">
        <v>0</v>
      </c>
      <c r="R85" s="8" t="s">
        <v>18</v>
      </c>
      <c r="T85" s="1"/>
      <c r="U85" s="177" t="s">
        <v>20</v>
      </c>
      <c r="V85" s="7"/>
      <c r="W85" s="163">
        <v>0</v>
      </c>
      <c r="X85" s="8" t="s">
        <v>18</v>
      </c>
      <c r="Z85" s="1"/>
      <c r="AA85" s="177" t="s">
        <v>20</v>
      </c>
      <c r="AB85" s="7"/>
      <c r="AC85" s="163">
        <v>0</v>
      </c>
      <c r="AD85" s="8" t="s">
        <v>18</v>
      </c>
    </row>
    <row r="86" spans="1:36" x14ac:dyDescent="0.25">
      <c r="B86" s="1"/>
      <c r="C86" s="177" t="s">
        <v>21</v>
      </c>
      <c r="D86" s="7"/>
      <c r="E86" s="169">
        <f>E84-E85-(E87+E89)/2*10</f>
        <v>1800</v>
      </c>
      <c r="F86" s="8" t="s">
        <v>18</v>
      </c>
      <c r="H86" s="1"/>
      <c r="I86" s="177" t="s">
        <v>21</v>
      </c>
      <c r="J86" s="7"/>
      <c r="K86" s="169">
        <f>K84-K85-(K87+K89)/2*10</f>
        <v>1800</v>
      </c>
      <c r="L86" s="8" t="s">
        <v>18</v>
      </c>
      <c r="N86" s="1"/>
      <c r="O86" s="177" t="s">
        <v>21</v>
      </c>
      <c r="P86" s="7"/>
      <c r="Q86" s="169">
        <f>Q84-Q85-(Q87+Q89)/2*10</f>
        <v>1800</v>
      </c>
      <c r="R86" s="8" t="s">
        <v>18</v>
      </c>
      <c r="T86" s="1"/>
      <c r="U86" s="177" t="s">
        <v>21</v>
      </c>
      <c r="V86" s="7"/>
      <c r="W86" s="169">
        <f>W84-W85-(W87+W89)/2*10</f>
        <v>1799.5</v>
      </c>
      <c r="X86" s="8" t="s">
        <v>18</v>
      </c>
      <c r="Z86" s="1"/>
      <c r="AA86" s="177" t="s">
        <v>21</v>
      </c>
      <c r="AB86" s="7"/>
      <c r="AC86" s="169">
        <f>AC84-AC85-(AC87+AC89)/2*10</f>
        <v>1799.5</v>
      </c>
      <c r="AD86" s="8" t="s">
        <v>18</v>
      </c>
    </row>
    <row r="87" spans="1:36" x14ac:dyDescent="0.25">
      <c r="B87" s="1"/>
      <c r="C87" s="177" t="s">
        <v>22</v>
      </c>
      <c r="D87" s="7" t="s">
        <v>23</v>
      </c>
      <c r="E87" s="170">
        <f>((E85/E84)*10-E88)</f>
        <v>0</v>
      </c>
      <c r="F87" s="8" t="s">
        <v>24</v>
      </c>
      <c r="H87" s="1"/>
      <c r="I87" s="177" t="s">
        <v>22</v>
      </c>
      <c r="J87" s="7" t="s">
        <v>23</v>
      </c>
      <c r="K87" s="170">
        <f>((K85/K84)*10-K88)</f>
        <v>0</v>
      </c>
      <c r="L87" s="8" t="s">
        <v>24</v>
      </c>
      <c r="N87" s="1"/>
      <c r="O87" s="177" t="s">
        <v>22</v>
      </c>
      <c r="P87" s="7" t="s">
        <v>23</v>
      </c>
      <c r="Q87" s="170">
        <f>((Q85/Q84)*10-Q88)</f>
        <v>0</v>
      </c>
      <c r="R87" s="8" t="s">
        <v>24</v>
      </c>
      <c r="T87" s="1"/>
      <c r="U87" s="177" t="s">
        <v>22</v>
      </c>
      <c r="V87" s="7" t="s">
        <v>23</v>
      </c>
      <c r="W87" s="170">
        <f>((W85/W84)*10-W88)</f>
        <v>0</v>
      </c>
      <c r="X87" s="8" t="s">
        <v>24</v>
      </c>
      <c r="Z87" s="1"/>
      <c r="AA87" s="177" t="s">
        <v>22</v>
      </c>
      <c r="AB87" s="7" t="s">
        <v>23</v>
      </c>
      <c r="AC87" s="170">
        <f>((AC85/AC84)*10-AC88)</f>
        <v>0</v>
      </c>
      <c r="AD87" s="8" t="s">
        <v>24</v>
      </c>
    </row>
    <row r="88" spans="1:36" ht="30" x14ac:dyDescent="0.25">
      <c r="B88" s="1"/>
      <c r="C88" s="177"/>
      <c r="D88" s="10" t="s">
        <v>126</v>
      </c>
      <c r="E88" s="166">
        <v>0</v>
      </c>
      <c r="F88" s="8" t="s">
        <v>25</v>
      </c>
      <c r="H88" s="1"/>
      <c r="I88" s="177"/>
      <c r="J88" s="10" t="s">
        <v>126</v>
      </c>
      <c r="K88" s="166">
        <v>0</v>
      </c>
      <c r="L88" s="8" t="s">
        <v>25</v>
      </c>
      <c r="N88" s="1"/>
      <c r="O88" s="177"/>
      <c r="P88" s="10" t="s">
        <v>126</v>
      </c>
      <c r="Q88" s="166">
        <v>0</v>
      </c>
      <c r="R88" s="8" t="s">
        <v>25</v>
      </c>
      <c r="T88" s="1"/>
      <c r="U88" s="177"/>
      <c r="V88" s="10" t="s">
        <v>126</v>
      </c>
      <c r="W88" s="166">
        <v>0</v>
      </c>
      <c r="X88" s="8" t="s">
        <v>25</v>
      </c>
      <c r="Z88" s="1"/>
      <c r="AA88" s="177"/>
      <c r="AB88" s="10" t="s">
        <v>126</v>
      </c>
      <c r="AC88" s="166">
        <v>0</v>
      </c>
      <c r="AD88" s="8" t="s">
        <v>25</v>
      </c>
    </row>
    <row r="89" spans="1:36" x14ac:dyDescent="0.25">
      <c r="B89" s="1"/>
      <c r="C89" s="176" t="s">
        <v>27</v>
      </c>
      <c r="D89" s="162" t="s">
        <v>23</v>
      </c>
      <c r="E89" s="166">
        <v>0</v>
      </c>
      <c r="F89" s="164" t="s">
        <v>24</v>
      </c>
      <c r="H89" s="1"/>
      <c r="I89" s="176" t="s">
        <v>27</v>
      </c>
      <c r="J89" s="162" t="s">
        <v>23</v>
      </c>
      <c r="K89" s="166">
        <v>0</v>
      </c>
      <c r="L89" s="164" t="s">
        <v>24</v>
      </c>
      <c r="N89" s="1"/>
      <c r="O89" s="176" t="s">
        <v>27</v>
      </c>
      <c r="P89" s="162" t="s">
        <v>23</v>
      </c>
      <c r="Q89" s="166">
        <v>0</v>
      </c>
      <c r="R89" s="164" t="s">
        <v>24</v>
      </c>
      <c r="T89" s="1"/>
      <c r="U89" s="176" t="s">
        <v>27</v>
      </c>
      <c r="V89" s="162" t="s">
        <v>23</v>
      </c>
      <c r="W89" s="166">
        <f>'[1]Data Lingkungan_IC'!BS63</f>
        <v>0.1</v>
      </c>
      <c r="X89" s="164" t="s">
        <v>24</v>
      </c>
      <c r="Z89" s="1"/>
      <c r="AA89" s="176" t="s">
        <v>27</v>
      </c>
      <c r="AB89" s="162" t="s">
        <v>23</v>
      </c>
      <c r="AC89" s="166">
        <f>'[1]Data Lingkungan_IC'!DC65</f>
        <v>0.1</v>
      </c>
      <c r="AD89" s="164" t="s">
        <v>24</v>
      </c>
    </row>
    <row r="90" spans="1:36" ht="30" x14ac:dyDescent="0.25">
      <c r="B90" s="1"/>
      <c r="C90" s="177" t="s">
        <v>28</v>
      </c>
      <c r="D90" s="7"/>
      <c r="E90" s="168">
        <f>(E86/E84)</f>
        <v>1</v>
      </c>
      <c r="F90" s="8" t="s">
        <v>29</v>
      </c>
      <c r="H90" s="1"/>
      <c r="I90" s="177" t="s">
        <v>28</v>
      </c>
      <c r="J90" s="7"/>
      <c r="K90" s="168">
        <f>(K86/K84)</f>
        <v>1</v>
      </c>
      <c r="L90" s="8" t="s">
        <v>29</v>
      </c>
      <c r="N90" s="1"/>
      <c r="O90" s="177" t="s">
        <v>28</v>
      </c>
      <c r="P90" s="7"/>
      <c r="Q90" s="168">
        <f>(Q86/Q84)</f>
        <v>1</v>
      </c>
      <c r="R90" s="8" t="s">
        <v>29</v>
      </c>
      <c r="T90" s="1"/>
      <c r="U90" s="177" t="s">
        <v>28</v>
      </c>
      <c r="V90" s="7"/>
      <c r="W90" s="168">
        <f>(W86/W84)</f>
        <v>0.99972222222222218</v>
      </c>
      <c r="X90" s="8" t="s">
        <v>29</v>
      </c>
      <c r="Z90" s="1"/>
      <c r="AA90" s="177" t="s">
        <v>28</v>
      </c>
      <c r="AB90" s="7"/>
      <c r="AC90" s="168">
        <f>(AC86/AC84)</f>
        <v>0.99972222222222218</v>
      </c>
      <c r="AD90" s="8" t="s">
        <v>29</v>
      </c>
    </row>
    <row r="91" spans="1:36" x14ac:dyDescent="0.25">
      <c r="B91" s="1"/>
      <c r="C91" s="177" t="s">
        <v>125</v>
      </c>
      <c r="D91" s="158" t="s">
        <v>30</v>
      </c>
      <c r="E91" s="159"/>
      <c r="F91" s="160"/>
      <c r="H91" s="1"/>
      <c r="I91" s="177" t="s">
        <v>125</v>
      </c>
      <c r="J91" s="158" t="s">
        <v>30</v>
      </c>
      <c r="K91" s="159"/>
      <c r="L91" s="160"/>
      <c r="N91" s="1"/>
      <c r="O91" s="177" t="s">
        <v>125</v>
      </c>
      <c r="P91" s="158" t="s">
        <v>30</v>
      </c>
      <c r="Q91" s="159"/>
      <c r="R91" s="160"/>
      <c r="T91" s="1"/>
      <c r="U91" s="177" t="s">
        <v>125</v>
      </c>
      <c r="V91" s="158" t="s">
        <v>30</v>
      </c>
      <c r="W91" s="159"/>
      <c r="X91" s="160"/>
      <c r="Z91" s="1"/>
      <c r="AA91" s="177" t="s">
        <v>125</v>
      </c>
      <c r="AB91" s="158" t="s">
        <v>30</v>
      </c>
      <c r="AC91" s="159"/>
      <c r="AD91" s="160"/>
    </row>
    <row r="92" spans="1:36" x14ac:dyDescent="0.25">
      <c r="B92" s="1"/>
      <c r="C92" s="177"/>
      <c r="D92" s="176" t="s">
        <v>2</v>
      </c>
      <c r="E92" s="163" t="str">
        <f>'[2]Data Lingkungan (DL)'!AX64</f>
        <v>off</v>
      </c>
      <c r="F92" s="164"/>
      <c r="H92" s="1"/>
      <c r="I92" s="177"/>
      <c r="J92" s="176" t="s">
        <v>2</v>
      </c>
      <c r="K92" s="163" t="str">
        <f>'[2]Data Lingkungan (DL)'!AX65</f>
        <v>off</v>
      </c>
      <c r="L92" s="164"/>
      <c r="N92" s="1"/>
      <c r="O92" s="177"/>
      <c r="P92" s="176" t="s">
        <v>2</v>
      </c>
      <c r="Q92" s="163" t="str">
        <f>'[2]Data Lingkungan (DL)'!AX66</f>
        <v>off</v>
      </c>
      <c r="R92" s="164"/>
      <c r="T92" s="1"/>
      <c r="U92" s="177"/>
      <c r="V92" s="176" t="s">
        <v>2</v>
      </c>
      <c r="W92" s="163" t="str">
        <f>'[2]Data Lingkungan (DL)'!BP62</f>
        <v>off</v>
      </c>
      <c r="X92" s="164"/>
      <c r="Z92" s="1"/>
      <c r="AA92" s="177"/>
      <c r="AB92" s="176" t="s">
        <v>2</v>
      </c>
      <c r="AC92" s="163" t="str">
        <f>'[2]Data Lingkungan (DL)'!CZ63</f>
        <v>off</v>
      </c>
      <c r="AD92" s="164"/>
    </row>
    <row r="93" spans="1:36" x14ac:dyDescent="0.25">
      <c r="B93" s="1"/>
      <c r="C93" s="177"/>
      <c r="D93" s="189" t="s">
        <v>130</v>
      </c>
      <c r="E93" s="171"/>
      <c r="F93" s="190" t="s">
        <v>131</v>
      </c>
      <c r="H93" s="1"/>
      <c r="I93" s="177"/>
      <c r="J93" s="189" t="s">
        <v>130</v>
      </c>
      <c r="K93" s="171"/>
      <c r="L93" s="190" t="s">
        <v>131</v>
      </c>
      <c r="N93" s="1"/>
      <c r="O93" s="177"/>
      <c r="P93" s="189" t="s">
        <v>130</v>
      </c>
      <c r="Q93" s="171"/>
      <c r="R93" s="190" t="s">
        <v>131</v>
      </c>
      <c r="T93" s="1"/>
      <c r="U93" s="177"/>
      <c r="V93" s="189" t="s">
        <v>130</v>
      </c>
      <c r="W93" s="171"/>
      <c r="X93" s="190" t="s">
        <v>131</v>
      </c>
      <c r="Z93" s="1"/>
      <c r="AA93" s="177"/>
      <c r="AB93" s="189" t="s">
        <v>130</v>
      </c>
      <c r="AC93" s="171"/>
      <c r="AD93" s="190" t="s">
        <v>131</v>
      </c>
      <c r="AF93" s="1"/>
      <c r="AG93" s="177"/>
      <c r="AH93" s="189" t="s">
        <v>130</v>
      </c>
      <c r="AI93" s="171"/>
      <c r="AJ93" s="190" t="s">
        <v>131</v>
      </c>
    </row>
    <row r="94" spans="1:36" x14ac:dyDescent="0.25">
      <c r="B94" s="1"/>
      <c r="C94" s="177"/>
      <c r="D94" s="158" t="s">
        <v>32</v>
      </c>
      <c r="E94" s="159" t="s">
        <v>0</v>
      </c>
      <c r="F94" s="160"/>
      <c r="H94" s="1"/>
      <c r="I94" s="177"/>
      <c r="J94" s="158" t="s">
        <v>32</v>
      </c>
      <c r="K94" s="159" t="s">
        <v>0</v>
      </c>
      <c r="L94" s="160"/>
      <c r="N94" s="1"/>
      <c r="O94" s="177"/>
      <c r="P94" s="158" t="s">
        <v>32</v>
      </c>
      <c r="Q94" s="159" t="s">
        <v>0</v>
      </c>
      <c r="R94" s="160"/>
      <c r="T94" s="1"/>
      <c r="U94" s="177"/>
      <c r="V94" s="158" t="s">
        <v>32</v>
      </c>
      <c r="W94" s="159" t="s">
        <v>0</v>
      </c>
      <c r="X94" s="160"/>
      <c r="Z94" s="1"/>
      <c r="AA94" s="177"/>
      <c r="AB94" s="158" t="s">
        <v>32</v>
      </c>
      <c r="AC94" s="159" t="s">
        <v>0</v>
      </c>
      <c r="AD94" s="160"/>
    </row>
    <row r="95" spans="1:36" x14ac:dyDescent="0.25">
      <c r="A95" s="165"/>
      <c r="B95" s="1"/>
      <c r="C95" s="178"/>
      <c r="D95" s="167" t="s">
        <v>112</v>
      </c>
      <c r="E95" s="159">
        <f>EQ!L23</f>
        <v>2.3E-3</v>
      </c>
      <c r="F95" s="160" t="s">
        <v>33</v>
      </c>
      <c r="H95" s="1"/>
      <c r="I95" s="178"/>
      <c r="J95" s="167" t="s">
        <v>112</v>
      </c>
      <c r="K95" s="159">
        <f>EQ!L24</f>
        <v>2.3999999999999998E-3</v>
      </c>
      <c r="L95" s="160" t="s">
        <v>33</v>
      </c>
      <c r="N95" s="1"/>
      <c r="O95" s="178"/>
      <c r="P95" s="167" t="s">
        <v>112</v>
      </c>
      <c r="Q95" s="159">
        <f>EQ!L25</f>
        <v>2.3E-3</v>
      </c>
      <c r="R95" s="160" t="s">
        <v>33</v>
      </c>
      <c r="T95" s="1"/>
      <c r="U95" s="178"/>
      <c r="V95" s="167" t="s">
        <v>112</v>
      </c>
      <c r="W95" s="159">
        <f>EQ!L34</f>
        <v>3.6999999999999998E-2</v>
      </c>
      <c r="X95" s="160" t="s">
        <v>33</v>
      </c>
      <c r="Z95" s="1"/>
      <c r="AA95" s="178"/>
      <c r="AB95" s="167" t="s">
        <v>112</v>
      </c>
      <c r="AC95" s="159">
        <f>EQ!L51</f>
        <v>0.125</v>
      </c>
      <c r="AD95" s="160" t="s">
        <v>33</v>
      </c>
    </row>
    <row r="96" spans="1:36" s="165" customFormat="1" ht="30" x14ac:dyDescent="0.25">
      <c r="A96" s="3"/>
      <c r="B96" s="1"/>
      <c r="C96" s="178"/>
      <c r="D96" s="10" t="s">
        <v>113</v>
      </c>
      <c r="E96" s="171">
        <f>EQ!J23</f>
        <v>0.999999999999999</v>
      </c>
      <c r="F96" s="8" t="s">
        <v>35</v>
      </c>
      <c r="H96" s="1"/>
      <c r="I96" s="178"/>
      <c r="J96" s="10" t="s">
        <v>113</v>
      </c>
      <c r="K96" s="171">
        <f>EQ!J24</f>
        <v>0.999999999999999</v>
      </c>
      <c r="L96" s="8" t="s">
        <v>35</v>
      </c>
      <c r="N96" s="1"/>
      <c r="O96" s="178"/>
      <c r="P96" s="10" t="s">
        <v>113</v>
      </c>
      <c r="Q96" s="171">
        <f>EQ!J25</f>
        <v>1.0000000000000018</v>
      </c>
      <c r="R96" s="8" t="s">
        <v>35</v>
      </c>
      <c r="S96" s="3"/>
      <c r="T96" s="1"/>
      <c r="U96" s="178"/>
      <c r="V96" s="10" t="s">
        <v>113</v>
      </c>
      <c r="W96" s="171">
        <f>EQ!J34</f>
        <v>0.33333333333333748</v>
      </c>
      <c r="X96" s="8" t="s">
        <v>35</v>
      </c>
      <c r="Z96" s="1"/>
      <c r="AA96" s="178"/>
      <c r="AB96" s="10" t="s">
        <v>113</v>
      </c>
      <c r="AC96" s="171">
        <f>EQ!J51</f>
        <v>0</v>
      </c>
      <c r="AD96" s="8" t="s">
        <v>35</v>
      </c>
    </row>
    <row r="97" spans="2:30" ht="15" customHeight="1" x14ac:dyDescent="0.25">
      <c r="B97" s="1"/>
      <c r="C97" s="178"/>
      <c r="D97" s="10" t="s">
        <v>120</v>
      </c>
      <c r="E97" s="172">
        <f>E96*E95</f>
        <v>2.2999999999999978E-3</v>
      </c>
      <c r="F97" s="8"/>
      <c r="H97" s="1"/>
      <c r="I97" s="178"/>
      <c r="J97" s="10" t="s">
        <v>120</v>
      </c>
      <c r="K97" s="172">
        <f>K96*K95</f>
        <v>2.3999999999999972E-3</v>
      </c>
      <c r="L97" s="8"/>
      <c r="N97" s="1"/>
      <c r="O97" s="178"/>
      <c r="P97" s="10" t="s">
        <v>120</v>
      </c>
      <c r="Q97" s="172">
        <f>Q96*Q95</f>
        <v>2.3000000000000039E-3</v>
      </c>
      <c r="R97" s="8"/>
      <c r="S97" s="165"/>
      <c r="T97" s="1"/>
      <c r="U97" s="178"/>
      <c r="V97" s="10" t="s">
        <v>120</v>
      </c>
      <c r="W97" s="172">
        <f>W96*W95</f>
        <v>1.2333333333333486E-2</v>
      </c>
      <c r="X97" s="8"/>
      <c r="Z97" s="1"/>
      <c r="AA97" s="178"/>
      <c r="AB97" s="10" t="s">
        <v>120</v>
      </c>
      <c r="AC97" s="172">
        <f>AC96*AC95</f>
        <v>0</v>
      </c>
      <c r="AD97" s="8"/>
    </row>
    <row r="98" spans="2:30" ht="15" customHeight="1" thickBot="1" x14ac:dyDescent="0.3">
      <c r="B98" s="1"/>
      <c r="C98" s="178"/>
      <c r="D98" s="10" t="s">
        <v>123</v>
      </c>
      <c r="E98" s="171">
        <v>0</v>
      </c>
      <c r="F98" s="8" t="s">
        <v>36</v>
      </c>
      <c r="H98" s="2"/>
      <c r="I98" s="179"/>
      <c r="J98" s="12" t="s">
        <v>123</v>
      </c>
      <c r="K98" s="183">
        <v>0</v>
      </c>
      <c r="L98" s="15" t="s">
        <v>36</v>
      </c>
      <c r="N98" s="2"/>
      <c r="O98" s="179"/>
      <c r="P98" s="12" t="s">
        <v>123</v>
      </c>
      <c r="Q98" s="183">
        <v>0</v>
      </c>
      <c r="R98" s="15" t="s">
        <v>36</v>
      </c>
      <c r="T98" s="2"/>
      <c r="U98" s="179"/>
      <c r="V98" s="12" t="s">
        <v>123</v>
      </c>
      <c r="W98" s="183">
        <v>0</v>
      </c>
      <c r="X98" s="15" t="s">
        <v>36</v>
      </c>
      <c r="Z98" s="2"/>
      <c r="AA98" s="179"/>
      <c r="AB98" s="12" t="s">
        <v>123</v>
      </c>
      <c r="AC98" s="183">
        <v>0</v>
      </c>
      <c r="AD98" s="15" t="s">
        <v>36</v>
      </c>
    </row>
    <row r="100" spans="2:30" ht="15" customHeight="1" thickBot="1" x14ac:dyDescent="0.3"/>
    <row r="101" spans="2:30" ht="15" customHeight="1" x14ac:dyDescent="0.25">
      <c r="B101" s="202" t="s">
        <v>4</v>
      </c>
      <c r="C101" s="203"/>
      <c r="D101" s="203"/>
      <c r="E101" s="203"/>
      <c r="F101" s="204"/>
      <c r="H101" s="202" t="s">
        <v>4</v>
      </c>
      <c r="I101" s="203"/>
      <c r="J101" s="203"/>
      <c r="K101" s="203"/>
      <c r="L101" s="204"/>
      <c r="N101" s="202" t="s">
        <v>4</v>
      </c>
      <c r="O101" s="203"/>
      <c r="P101" s="203"/>
      <c r="Q101" s="203"/>
      <c r="R101" s="204"/>
      <c r="T101" s="202" t="s">
        <v>4</v>
      </c>
      <c r="U101" s="203"/>
      <c r="V101" s="203"/>
      <c r="W101" s="203"/>
      <c r="X101" s="204"/>
      <c r="Z101" s="202" t="s">
        <v>4</v>
      </c>
      <c r="AA101" s="203"/>
      <c r="AB101" s="203"/>
      <c r="AC101" s="203"/>
      <c r="AD101" s="204"/>
    </row>
    <row r="102" spans="2:30" ht="15" customHeight="1" thickBot="1" x14ac:dyDescent="0.3">
      <c r="B102" s="205" t="s">
        <v>6</v>
      </c>
      <c r="C102" s="215"/>
      <c r="D102" s="215"/>
      <c r="E102" s="215"/>
      <c r="F102" s="207"/>
      <c r="H102" s="205" t="s">
        <v>6</v>
      </c>
      <c r="I102" s="215"/>
      <c r="J102" s="215"/>
      <c r="K102" s="215"/>
      <c r="L102" s="207"/>
      <c r="N102" s="205" t="s">
        <v>6</v>
      </c>
      <c r="O102" s="215"/>
      <c r="P102" s="215"/>
      <c r="Q102" s="215"/>
      <c r="R102" s="207"/>
      <c r="T102" s="205" t="s">
        <v>6</v>
      </c>
      <c r="U102" s="215"/>
      <c r="V102" s="215"/>
      <c r="W102" s="215"/>
      <c r="X102" s="207"/>
      <c r="Z102" s="205" t="s">
        <v>6</v>
      </c>
      <c r="AA102" s="215"/>
      <c r="AB102" s="215"/>
      <c r="AC102" s="215"/>
      <c r="AD102" s="207"/>
    </row>
    <row r="103" spans="2:30" ht="15" customHeight="1" x14ac:dyDescent="0.25">
      <c r="B103" s="199" t="s">
        <v>128</v>
      </c>
      <c r="C103" s="200"/>
      <c r="D103" s="200"/>
      <c r="E103" s="200"/>
      <c r="F103" s="201"/>
      <c r="H103" s="17" t="s">
        <v>128</v>
      </c>
      <c r="I103" s="18"/>
      <c r="J103" s="18"/>
      <c r="K103" s="18"/>
      <c r="L103" s="19"/>
      <c r="N103" s="199" t="s">
        <v>128</v>
      </c>
      <c r="O103" s="200"/>
      <c r="P103" s="200"/>
      <c r="Q103" s="200"/>
      <c r="R103" s="201"/>
      <c r="T103" s="199" t="s">
        <v>128</v>
      </c>
      <c r="U103" s="200"/>
      <c r="V103" s="200"/>
      <c r="W103" s="200"/>
      <c r="X103" s="201"/>
      <c r="Z103" s="17" t="s">
        <v>128</v>
      </c>
      <c r="AA103" s="18"/>
      <c r="AB103" s="18"/>
      <c r="AC103" s="18"/>
      <c r="AD103" s="19"/>
    </row>
    <row r="104" spans="2:30" ht="15" customHeight="1" thickBot="1" x14ac:dyDescent="0.3">
      <c r="B104" s="4" t="s">
        <v>3</v>
      </c>
      <c r="C104" s="174" t="s">
        <v>7</v>
      </c>
      <c r="D104" s="5" t="s">
        <v>8</v>
      </c>
      <c r="E104" s="5" t="s">
        <v>9</v>
      </c>
      <c r="F104" s="6" t="s">
        <v>10</v>
      </c>
      <c r="H104" s="4" t="s">
        <v>3</v>
      </c>
      <c r="I104" s="5" t="s">
        <v>7</v>
      </c>
      <c r="J104" s="5" t="s">
        <v>8</v>
      </c>
      <c r="K104" s="5" t="s">
        <v>9</v>
      </c>
      <c r="L104" s="6" t="s">
        <v>10</v>
      </c>
      <c r="N104" s="4" t="s">
        <v>3</v>
      </c>
      <c r="O104" s="5" t="s">
        <v>7</v>
      </c>
      <c r="P104" s="5" t="s">
        <v>8</v>
      </c>
      <c r="Q104" s="5" t="s">
        <v>9</v>
      </c>
      <c r="R104" s="6" t="s">
        <v>10</v>
      </c>
      <c r="T104" s="4" t="s">
        <v>3</v>
      </c>
      <c r="U104" s="5" t="s">
        <v>7</v>
      </c>
      <c r="V104" s="5" t="s">
        <v>8</v>
      </c>
      <c r="W104" s="5" t="s">
        <v>9</v>
      </c>
      <c r="X104" s="6" t="s">
        <v>10</v>
      </c>
      <c r="Z104" s="4" t="s">
        <v>3</v>
      </c>
      <c r="AA104" s="5" t="s">
        <v>7</v>
      </c>
      <c r="AB104" s="5" t="s">
        <v>8</v>
      </c>
      <c r="AC104" s="5" t="s">
        <v>9</v>
      </c>
      <c r="AD104" s="6" t="s">
        <v>10</v>
      </c>
    </row>
    <row r="105" spans="2:30" ht="15" customHeight="1" x14ac:dyDescent="0.25">
      <c r="B105" s="208" t="s">
        <v>127</v>
      </c>
      <c r="C105" s="209"/>
      <c r="D105" s="209"/>
      <c r="E105" s="209"/>
      <c r="F105" s="210"/>
      <c r="H105" s="20" t="s">
        <v>127</v>
      </c>
      <c r="I105" s="21"/>
      <c r="J105" s="21"/>
      <c r="K105" s="21"/>
      <c r="L105" s="22"/>
      <c r="N105" s="208" t="s">
        <v>127</v>
      </c>
      <c r="O105" s="209"/>
      <c r="P105" s="209"/>
      <c r="Q105" s="209"/>
      <c r="R105" s="210"/>
      <c r="T105" s="208" t="s">
        <v>127</v>
      </c>
      <c r="U105" s="209"/>
      <c r="V105" s="209"/>
      <c r="W105" s="209"/>
      <c r="X105" s="210"/>
      <c r="Z105" s="20" t="s">
        <v>127</v>
      </c>
      <c r="AA105" s="21"/>
      <c r="AB105" s="21"/>
      <c r="AC105" s="21"/>
      <c r="AD105" s="22"/>
    </row>
    <row r="106" spans="2:30" ht="15" customHeight="1" x14ac:dyDescent="0.25">
      <c r="B106" s="157"/>
      <c r="C106" s="175" t="s">
        <v>11</v>
      </c>
      <c r="D106" s="158"/>
      <c r="E106" s="159" t="s">
        <v>67</v>
      </c>
      <c r="F106" s="160"/>
      <c r="H106" s="157"/>
      <c r="I106" s="175" t="s">
        <v>11</v>
      </c>
      <c r="J106" s="158"/>
      <c r="K106" s="159" t="s">
        <v>68</v>
      </c>
      <c r="L106" s="160"/>
      <c r="N106" s="157"/>
      <c r="O106" s="175" t="s">
        <v>11</v>
      </c>
      <c r="P106" s="158"/>
      <c r="Q106" s="159" t="s">
        <v>67</v>
      </c>
      <c r="R106" s="160"/>
      <c r="T106" s="157"/>
      <c r="U106" s="175" t="s">
        <v>11</v>
      </c>
      <c r="V106" s="158"/>
      <c r="W106" s="159" t="s">
        <v>115</v>
      </c>
      <c r="X106" s="160"/>
      <c r="Z106" s="157"/>
      <c r="AA106" s="175" t="s">
        <v>11</v>
      </c>
      <c r="AB106" s="158"/>
      <c r="AC106" s="159" t="s">
        <v>68</v>
      </c>
      <c r="AD106" s="160"/>
    </row>
    <row r="107" spans="2:30" ht="15" customHeight="1" x14ac:dyDescent="0.25">
      <c r="B107" s="157"/>
      <c r="C107" s="175" t="s">
        <v>13</v>
      </c>
      <c r="D107" s="158"/>
      <c r="E107" s="159" t="s">
        <v>69</v>
      </c>
      <c r="F107" s="160"/>
      <c r="H107" s="157"/>
      <c r="I107" s="175" t="s">
        <v>13</v>
      </c>
      <c r="J107" s="158"/>
      <c r="K107" s="159" t="s">
        <v>14</v>
      </c>
      <c r="L107" s="160"/>
      <c r="N107" s="157"/>
      <c r="O107" s="175" t="s">
        <v>13</v>
      </c>
      <c r="P107" s="158"/>
      <c r="Q107" s="159" t="s">
        <v>70</v>
      </c>
      <c r="R107" s="160"/>
      <c r="T107" s="157"/>
      <c r="U107" s="175" t="s">
        <v>13</v>
      </c>
      <c r="V107" s="158"/>
      <c r="W107" s="159" t="s">
        <v>71</v>
      </c>
      <c r="X107" s="160"/>
      <c r="Z107" s="157"/>
      <c r="AA107" s="175" t="s">
        <v>13</v>
      </c>
      <c r="AB107" s="158"/>
      <c r="AC107" s="159" t="s">
        <v>72</v>
      </c>
      <c r="AD107" s="160"/>
    </row>
    <row r="108" spans="2:30" ht="15" customHeight="1" x14ac:dyDescent="0.25">
      <c r="B108" s="157"/>
      <c r="C108" s="175" t="s">
        <v>15</v>
      </c>
      <c r="D108" s="158"/>
      <c r="E108" s="161"/>
      <c r="F108" s="160" t="s">
        <v>16</v>
      </c>
      <c r="H108" s="157"/>
      <c r="I108" s="175" t="s">
        <v>15</v>
      </c>
      <c r="J108" s="158"/>
      <c r="K108" s="161"/>
      <c r="L108" s="160" t="s">
        <v>16</v>
      </c>
      <c r="N108" s="157"/>
      <c r="O108" s="175" t="s">
        <v>15</v>
      </c>
      <c r="P108" s="158"/>
      <c r="Q108" s="161"/>
      <c r="R108" s="160" t="s">
        <v>16</v>
      </c>
      <c r="T108" s="157"/>
      <c r="U108" s="175" t="s">
        <v>15</v>
      </c>
      <c r="V108" s="158"/>
      <c r="W108" s="161"/>
      <c r="X108" s="160" t="s">
        <v>16</v>
      </c>
      <c r="Z108" s="157"/>
      <c r="AA108" s="175" t="s">
        <v>15</v>
      </c>
      <c r="AB108" s="158"/>
      <c r="AC108" s="161"/>
      <c r="AD108" s="160" t="s">
        <v>16</v>
      </c>
    </row>
    <row r="109" spans="2:30" ht="15" customHeight="1" x14ac:dyDescent="0.25">
      <c r="B109" s="157"/>
      <c r="C109" s="175" t="s">
        <v>109</v>
      </c>
      <c r="D109" s="158"/>
      <c r="E109" s="159">
        <f>5*12*30</f>
        <v>1800</v>
      </c>
      <c r="F109" s="160" t="s">
        <v>18</v>
      </c>
      <c r="H109" s="157"/>
      <c r="I109" s="175" t="s">
        <v>109</v>
      </c>
      <c r="J109" s="158"/>
      <c r="K109" s="159">
        <f>5*12*30</f>
        <v>1800</v>
      </c>
      <c r="L109" s="160" t="s">
        <v>18</v>
      </c>
      <c r="N109" s="157"/>
      <c r="O109" s="175" t="s">
        <v>109</v>
      </c>
      <c r="P109" s="158"/>
      <c r="Q109" s="159">
        <f>5*12*30</f>
        <v>1800</v>
      </c>
      <c r="R109" s="160" t="s">
        <v>18</v>
      </c>
      <c r="T109" s="157"/>
      <c r="U109" s="175" t="s">
        <v>109</v>
      </c>
      <c r="V109" s="158"/>
      <c r="W109" s="159">
        <f>5*12*30</f>
        <v>1800</v>
      </c>
      <c r="X109" s="160" t="s">
        <v>18</v>
      </c>
      <c r="Z109" s="157"/>
      <c r="AA109" s="175" t="s">
        <v>109</v>
      </c>
      <c r="AB109" s="158"/>
      <c r="AC109" s="159">
        <f>5*12*30</f>
        <v>1800</v>
      </c>
      <c r="AD109" s="160" t="s">
        <v>18</v>
      </c>
    </row>
    <row r="110" spans="2:30" ht="15" customHeight="1" x14ac:dyDescent="0.25">
      <c r="B110" s="1"/>
      <c r="C110" s="177" t="s">
        <v>20</v>
      </c>
      <c r="D110" s="7"/>
      <c r="E110" s="163">
        <v>0</v>
      </c>
      <c r="F110" s="8" t="s">
        <v>18</v>
      </c>
      <c r="H110" s="1"/>
      <c r="I110" s="177" t="s">
        <v>20</v>
      </c>
      <c r="J110" s="7"/>
      <c r="K110" s="163">
        <v>0</v>
      </c>
      <c r="L110" s="8" t="s">
        <v>18</v>
      </c>
      <c r="N110" s="1"/>
      <c r="O110" s="177" t="s">
        <v>20</v>
      </c>
      <c r="P110" s="7"/>
      <c r="Q110" s="163">
        <v>0</v>
      </c>
      <c r="R110" s="8" t="s">
        <v>18</v>
      </c>
      <c r="T110" s="1"/>
      <c r="U110" s="177" t="s">
        <v>20</v>
      </c>
      <c r="V110" s="7"/>
      <c r="W110" s="163">
        <v>0</v>
      </c>
      <c r="X110" s="8" t="s">
        <v>18</v>
      </c>
      <c r="Z110" s="1"/>
      <c r="AA110" s="177" t="s">
        <v>20</v>
      </c>
      <c r="AB110" s="7"/>
      <c r="AC110" s="163">
        <v>0</v>
      </c>
      <c r="AD110" s="8" t="s">
        <v>18</v>
      </c>
    </row>
    <row r="111" spans="2:30" x14ac:dyDescent="0.25">
      <c r="B111" s="1"/>
      <c r="C111" s="177" t="s">
        <v>21</v>
      </c>
      <c r="D111" s="7"/>
      <c r="E111" s="169">
        <f>E109-E110-(E112+E114)/2*10</f>
        <v>1799.5</v>
      </c>
      <c r="F111" s="8" t="s">
        <v>18</v>
      </c>
      <c r="H111" s="1"/>
      <c r="I111" s="177" t="s">
        <v>21</v>
      </c>
      <c r="J111" s="7"/>
      <c r="K111" s="169">
        <f>K109-K110-(K112+K114)/2*10</f>
        <v>1798</v>
      </c>
      <c r="L111" s="8" t="s">
        <v>18</v>
      </c>
      <c r="N111" s="1"/>
      <c r="O111" s="177" t="s">
        <v>21</v>
      </c>
      <c r="P111" s="7"/>
      <c r="Q111" s="169">
        <f>Q109-Q110-(Q112+Q114)/2*10</f>
        <v>1799.5</v>
      </c>
      <c r="R111" s="8" t="s">
        <v>18</v>
      </c>
      <c r="T111" s="1"/>
      <c r="U111" s="177" t="s">
        <v>21</v>
      </c>
      <c r="V111" s="7"/>
      <c r="W111" s="169">
        <f>W109-W110-(W112+W114)/2*10</f>
        <v>1799.5</v>
      </c>
      <c r="X111" s="8" t="s">
        <v>18</v>
      </c>
      <c r="Z111" s="1"/>
      <c r="AA111" s="177" t="s">
        <v>21</v>
      </c>
      <c r="AB111" s="7"/>
      <c r="AC111" s="169">
        <f>AC109-AC110-(AC112+AC114)/2*10</f>
        <v>1800</v>
      </c>
      <c r="AD111" s="8" t="s">
        <v>18</v>
      </c>
    </row>
    <row r="112" spans="2:30" x14ac:dyDescent="0.25">
      <c r="B112" s="1"/>
      <c r="C112" s="177" t="s">
        <v>22</v>
      </c>
      <c r="D112" s="7" t="s">
        <v>23</v>
      </c>
      <c r="E112" s="170">
        <f>((E110/E109)*10-E113)</f>
        <v>0</v>
      </c>
      <c r="F112" s="8" t="s">
        <v>24</v>
      </c>
      <c r="H112" s="1"/>
      <c r="I112" s="177" t="s">
        <v>22</v>
      </c>
      <c r="J112" s="7" t="s">
        <v>23</v>
      </c>
      <c r="K112" s="170">
        <f>((K110/K109)*10-K113)</f>
        <v>0</v>
      </c>
      <c r="L112" s="8" t="s">
        <v>24</v>
      </c>
      <c r="N112" s="1"/>
      <c r="O112" s="177" t="s">
        <v>22</v>
      </c>
      <c r="P112" s="7" t="s">
        <v>23</v>
      </c>
      <c r="Q112" s="170">
        <f>((Q110/Q109)*10-Q113)</f>
        <v>0</v>
      </c>
      <c r="R112" s="8" t="s">
        <v>24</v>
      </c>
      <c r="T112" s="1"/>
      <c r="U112" s="177" t="s">
        <v>22</v>
      </c>
      <c r="V112" s="7" t="s">
        <v>23</v>
      </c>
      <c r="W112" s="170">
        <f>((W110/W109)*10-W113)</f>
        <v>0</v>
      </c>
      <c r="X112" s="8" t="s">
        <v>24</v>
      </c>
      <c r="Z112" s="1"/>
      <c r="AA112" s="177" t="s">
        <v>22</v>
      </c>
      <c r="AB112" s="7" t="s">
        <v>23</v>
      </c>
      <c r="AC112" s="170">
        <f>((AC110/AC109)*10-AC113)</f>
        <v>0</v>
      </c>
      <c r="AD112" s="8" t="s">
        <v>24</v>
      </c>
    </row>
    <row r="113" spans="1:36" ht="30" x14ac:dyDescent="0.25">
      <c r="B113" s="1"/>
      <c r="C113" s="177"/>
      <c r="D113" s="10" t="s">
        <v>126</v>
      </c>
      <c r="E113" s="166">
        <v>0</v>
      </c>
      <c r="F113" s="8" t="s">
        <v>25</v>
      </c>
      <c r="H113" s="1"/>
      <c r="I113" s="177"/>
      <c r="J113" s="10" t="s">
        <v>126</v>
      </c>
      <c r="K113" s="166">
        <v>0</v>
      </c>
      <c r="L113" s="8" t="s">
        <v>25</v>
      </c>
      <c r="N113" s="1"/>
      <c r="O113" s="177"/>
      <c r="P113" s="10" t="s">
        <v>126</v>
      </c>
      <c r="Q113" s="166">
        <v>0</v>
      </c>
      <c r="R113" s="8" t="s">
        <v>25</v>
      </c>
      <c r="T113" s="1"/>
      <c r="U113" s="177"/>
      <c r="V113" s="10" t="s">
        <v>126</v>
      </c>
      <c r="W113" s="166">
        <v>0</v>
      </c>
      <c r="X113" s="8" t="s">
        <v>25</v>
      </c>
      <c r="Z113" s="1"/>
      <c r="AA113" s="177"/>
      <c r="AB113" s="10" t="s">
        <v>126</v>
      </c>
      <c r="AC113" s="166">
        <v>0</v>
      </c>
      <c r="AD113" s="8" t="s">
        <v>25</v>
      </c>
    </row>
    <row r="114" spans="1:36" x14ac:dyDescent="0.25">
      <c r="B114" s="1"/>
      <c r="C114" s="176" t="s">
        <v>27</v>
      </c>
      <c r="D114" s="162" t="s">
        <v>23</v>
      </c>
      <c r="E114" s="166">
        <f>'[2]Data Lingkungan (DL)'!DC64</f>
        <v>0.1</v>
      </c>
      <c r="F114" s="164" t="s">
        <v>24</v>
      </c>
      <c r="H114" s="1"/>
      <c r="I114" s="176" t="s">
        <v>27</v>
      </c>
      <c r="J114" s="162" t="s">
        <v>23</v>
      </c>
      <c r="K114" s="166">
        <f>'[1]Data Lingkungan_IC'!DU63</f>
        <v>0.4</v>
      </c>
      <c r="L114" s="164" t="s">
        <v>24</v>
      </c>
      <c r="N114" s="1"/>
      <c r="O114" s="176" t="s">
        <v>27</v>
      </c>
      <c r="P114" s="162" t="s">
        <v>23</v>
      </c>
      <c r="Q114" s="166">
        <f>'[1]Data Lingkungan_IC'!DL64</f>
        <v>0.1</v>
      </c>
      <c r="R114" s="164" t="s">
        <v>24</v>
      </c>
      <c r="T114" s="1"/>
      <c r="U114" s="176" t="s">
        <v>27</v>
      </c>
      <c r="V114" s="162" t="s">
        <v>23</v>
      </c>
      <c r="W114" s="166">
        <f>'[1]Data Lingkungan_IC'!Q62</f>
        <v>0.1</v>
      </c>
      <c r="X114" s="164" t="s">
        <v>24</v>
      </c>
      <c r="Z114" s="1"/>
      <c r="AA114" s="176" t="s">
        <v>27</v>
      </c>
      <c r="AB114" s="162" t="s">
        <v>23</v>
      </c>
      <c r="AC114" s="166">
        <f>'[1]Data Lingkungan_IC'!DU64</f>
        <v>0</v>
      </c>
      <c r="AD114" s="164" t="s">
        <v>24</v>
      </c>
    </row>
    <row r="115" spans="1:36" ht="30" x14ac:dyDescent="0.25">
      <c r="B115" s="1"/>
      <c r="C115" s="177" t="s">
        <v>28</v>
      </c>
      <c r="D115" s="7"/>
      <c r="E115" s="168">
        <f>(E111/E109)</f>
        <v>0.99972222222222218</v>
      </c>
      <c r="F115" s="8" t="s">
        <v>29</v>
      </c>
      <c r="H115" s="1"/>
      <c r="I115" s="177" t="s">
        <v>28</v>
      </c>
      <c r="J115" s="7"/>
      <c r="K115" s="168">
        <f>(K111/K109)</f>
        <v>0.99888888888888894</v>
      </c>
      <c r="L115" s="8" t="s">
        <v>29</v>
      </c>
      <c r="N115" s="1"/>
      <c r="O115" s="177" t="s">
        <v>28</v>
      </c>
      <c r="P115" s="7"/>
      <c r="Q115" s="168">
        <f>(Q111/Q109)</f>
        <v>0.99972222222222218</v>
      </c>
      <c r="R115" s="8" t="s">
        <v>29</v>
      </c>
      <c r="T115" s="1"/>
      <c r="U115" s="177" t="s">
        <v>28</v>
      </c>
      <c r="V115" s="7"/>
      <c r="W115" s="168">
        <f>(W111/W109)</f>
        <v>0.99972222222222218</v>
      </c>
      <c r="X115" s="8" t="s">
        <v>29</v>
      </c>
      <c r="Z115" s="1"/>
      <c r="AA115" s="177" t="s">
        <v>28</v>
      </c>
      <c r="AB115" s="7"/>
      <c r="AC115" s="168">
        <f>(AC111/AC109)</f>
        <v>1</v>
      </c>
      <c r="AD115" s="8" t="s">
        <v>29</v>
      </c>
    </row>
    <row r="116" spans="1:36" x14ac:dyDescent="0.25">
      <c r="B116" s="1"/>
      <c r="C116" s="177" t="s">
        <v>125</v>
      </c>
      <c r="D116" s="158" t="s">
        <v>30</v>
      </c>
      <c r="E116" s="159"/>
      <c r="F116" s="160"/>
      <c r="H116" s="1"/>
      <c r="I116" s="177" t="s">
        <v>125</v>
      </c>
      <c r="J116" s="158" t="s">
        <v>30</v>
      </c>
      <c r="K116" s="159"/>
      <c r="L116" s="160"/>
      <c r="N116" s="1"/>
      <c r="O116" s="177" t="s">
        <v>125</v>
      </c>
      <c r="P116" s="158" t="s">
        <v>30</v>
      </c>
      <c r="Q116" s="159"/>
      <c r="R116" s="160"/>
      <c r="T116" s="1"/>
      <c r="U116" s="177" t="s">
        <v>125</v>
      </c>
      <c r="V116" s="158" t="s">
        <v>30</v>
      </c>
      <c r="W116" s="159"/>
      <c r="X116" s="160"/>
      <c r="Z116" s="1"/>
      <c r="AA116" s="177" t="s">
        <v>125</v>
      </c>
      <c r="AB116" s="158" t="s">
        <v>30</v>
      </c>
      <c r="AC116" s="159"/>
      <c r="AD116" s="160"/>
    </row>
    <row r="117" spans="1:36" x14ac:dyDescent="0.25">
      <c r="B117" s="1"/>
      <c r="C117" s="177"/>
      <c r="D117" s="176" t="s">
        <v>2</v>
      </c>
      <c r="E117" s="163" t="str">
        <f>'[2]Data Lingkungan (DL)'!CZ64</f>
        <v>off</v>
      </c>
      <c r="F117" s="164"/>
      <c r="H117" s="1"/>
      <c r="I117" s="177"/>
      <c r="J117" s="176" t="s">
        <v>2</v>
      </c>
      <c r="K117" s="163" t="str">
        <f>'[2]Data Lingkungan (DL)'!DR62</f>
        <v>off</v>
      </c>
      <c r="L117" s="164"/>
      <c r="N117" s="1"/>
      <c r="O117" s="177"/>
      <c r="P117" s="176" t="s">
        <v>2</v>
      </c>
      <c r="Q117" s="163" t="str">
        <f>'[2]Data Lingkungan (DL)'!DI63</f>
        <v>off</v>
      </c>
      <c r="R117" s="164"/>
      <c r="T117" s="1"/>
      <c r="U117" s="177"/>
      <c r="V117" s="176" t="s">
        <v>2</v>
      </c>
      <c r="W117" s="163" t="str">
        <f>'[2]Data Lingkungan (DL)'!N61</f>
        <v>off</v>
      </c>
      <c r="X117" s="164"/>
      <c r="Z117" s="1"/>
      <c r="AA117" s="177"/>
      <c r="AB117" s="176" t="s">
        <v>2</v>
      </c>
      <c r="AC117" s="163" t="str">
        <f>'[2]Data Lingkungan (DL)'!DR63</f>
        <v>off</v>
      </c>
      <c r="AD117" s="164"/>
    </row>
    <row r="118" spans="1:36" x14ac:dyDescent="0.25">
      <c r="B118" s="1"/>
      <c r="C118" s="177"/>
      <c r="D118" s="189" t="s">
        <v>130</v>
      </c>
      <c r="E118" s="171"/>
      <c r="F118" s="190" t="s">
        <v>131</v>
      </c>
      <c r="H118" s="1"/>
      <c r="I118" s="177"/>
      <c r="J118" s="189" t="s">
        <v>130</v>
      </c>
      <c r="K118" s="171"/>
      <c r="L118" s="190" t="s">
        <v>131</v>
      </c>
      <c r="N118" s="1"/>
      <c r="O118" s="177"/>
      <c r="P118" s="189" t="s">
        <v>130</v>
      </c>
      <c r="Q118" s="171"/>
      <c r="R118" s="190" t="s">
        <v>131</v>
      </c>
      <c r="T118" s="1"/>
      <c r="U118" s="177"/>
      <c r="V118" s="189" t="s">
        <v>130</v>
      </c>
      <c r="W118" s="171"/>
      <c r="X118" s="190" t="s">
        <v>131</v>
      </c>
      <c r="Z118" s="1"/>
      <c r="AA118" s="177"/>
      <c r="AB118" s="189" t="s">
        <v>130</v>
      </c>
      <c r="AC118" s="171"/>
      <c r="AD118" s="190" t="s">
        <v>131</v>
      </c>
      <c r="AF118" s="1"/>
      <c r="AG118" s="177"/>
      <c r="AH118" s="189" t="s">
        <v>130</v>
      </c>
      <c r="AI118" s="171"/>
      <c r="AJ118" s="190" t="s">
        <v>131</v>
      </c>
    </row>
    <row r="119" spans="1:36" x14ac:dyDescent="0.25">
      <c r="B119" s="1"/>
      <c r="C119" s="177"/>
      <c r="D119" s="158" t="s">
        <v>32</v>
      </c>
      <c r="E119" s="159" t="s">
        <v>0</v>
      </c>
      <c r="F119" s="160"/>
      <c r="H119" s="1"/>
      <c r="I119" s="177"/>
      <c r="J119" s="158" t="s">
        <v>32</v>
      </c>
      <c r="K119" s="159" t="s">
        <v>0</v>
      </c>
      <c r="L119" s="160"/>
      <c r="N119" s="1"/>
      <c r="O119" s="177"/>
      <c r="P119" s="158" t="s">
        <v>32</v>
      </c>
      <c r="Q119" s="159" t="s">
        <v>0</v>
      </c>
      <c r="R119" s="160"/>
      <c r="T119" s="1"/>
      <c r="U119" s="177"/>
      <c r="V119" s="158" t="s">
        <v>32</v>
      </c>
      <c r="W119" s="159" t="s">
        <v>0</v>
      </c>
      <c r="X119" s="160"/>
      <c r="Z119" s="1"/>
      <c r="AA119" s="177"/>
      <c r="AB119" s="158" t="s">
        <v>32</v>
      </c>
      <c r="AC119" s="159" t="s">
        <v>0</v>
      </c>
      <c r="AD119" s="160"/>
    </row>
    <row r="120" spans="1:36" ht="15" customHeight="1" x14ac:dyDescent="0.25">
      <c r="A120" s="165"/>
      <c r="B120" s="1"/>
      <c r="C120" s="178"/>
      <c r="D120" s="167" t="s">
        <v>112</v>
      </c>
      <c r="E120" s="159">
        <f>EQ!L49</f>
        <v>3.1600000000000003E-2</v>
      </c>
      <c r="F120" s="160" t="s">
        <v>33</v>
      </c>
      <c r="H120" s="1"/>
      <c r="I120" s="178"/>
      <c r="J120" s="167" t="s">
        <v>112</v>
      </c>
      <c r="K120" s="159">
        <f>EQ!L61</f>
        <v>0.14680000000000001</v>
      </c>
      <c r="L120" s="160" t="s">
        <v>33</v>
      </c>
      <c r="N120" s="1"/>
      <c r="O120" s="178"/>
      <c r="P120" s="167" t="s">
        <v>112</v>
      </c>
      <c r="Q120" s="159">
        <f>EQ!L57</f>
        <v>7.3200000000000001E-2</v>
      </c>
      <c r="R120" s="160" t="s">
        <v>33</v>
      </c>
      <c r="T120" s="1"/>
      <c r="U120" s="178"/>
      <c r="V120" s="167" t="s">
        <v>112</v>
      </c>
      <c r="W120" s="159">
        <f>EQ!L64</f>
        <v>0.125</v>
      </c>
      <c r="X120" s="160" t="s">
        <v>33</v>
      </c>
      <c r="Z120" s="1"/>
      <c r="AA120" s="178"/>
      <c r="AB120" s="167" t="s">
        <v>112</v>
      </c>
      <c r="AC120" s="159">
        <v>0</v>
      </c>
      <c r="AD120" s="160" t="s">
        <v>33</v>
      </c>
      <c r="AF120" s="165"/>
      <c r="AG120" s="165"/>
      <c r="AH120" s="165"/>
      <c r="AI120" s="165"/>
      <c r="AJ120" s="165"/>
    </row>
    <row r="121" spans="1:36" s="165" customFormat="1" ht="30" x14ac:dyDescent="0.25">
      <c r="A121" s="3"/>
      <c r="B121" s="1"/>
      <c r="C121" s="178"/>
      <c r="D121" s="10" t="s">
        <v>113</v>
      </c>
      <c r="E121" s="171">
        <f>EQ!J49</f>
        <v>12</v>
      </c>
      <c r="F121" s="8" t="s">
        <v>35</v>
      </c>
      <c r="H121" s="1"/>
      <c r="I121" s="178"/>
      <c r="J121" s="10" t="s">
        <v>113</v>
      </c>
      <c r="K121" s="171">
        <f>EQ!J61</f>
        <v>1.9999999999999996</v>
      </c>
      <c r="L121" s="8" t="s">
        <v>35</v>
      </c>
      <c r="N121" s="1"/>
      <c r="O121" s="178"/>
      <c r="P121" s="10" t="s">
        <v>113</v>
      </c>
      <c r="Q121" s="171">
        <f>EQ!J57</f>
        <v>4.9999999999999982</v>
      </c>
      <c r="R121" s="8" t="s">
        <v>35</v>
      </c>
      <c r="S121" s="3"/>
      <c r="T121" s="1"/>
      <c r="U121" s="178"/>
      <c r="V121" s="10" t="s">
        <v>113</v>
      </c>
      <c r="W121" s="171">
        <f>EQ!J64</f>
        <v>0.50000000000000089</v>
      </c>
      <c r="X121" s="8" t="s">
        <v>35</v>
      </c>
      <c r="Z121" s="1"/>
      <c r="AA121" s="178"/>
      <c r="AB121" s="10" t="s">
        <v>113</v>
      </c>
      <c r="AC121" s="171">
        <v>0</v>
      </c>
      <c r="AD121" s="8" t="s">
        <v>35</v>
      </c>
      <c r="AF121" s="3"/>
      <c r="AG121" s="3"/>
      <c r="AH121" s="3"/>
      <c r="AI121" s="3"/>
      <c r="AJ121" s="3"/>
    </row>
    <row r="122" spans="1:36" ht="30" x14ac:dyDescent="0.25">
      <c r="B122" s="1"/>
      <c r="C122" s="178"/>
      <c r="D122" s="10" t="s">
        <v>120</v>
      </c>
      <c r="E122" s="172">
        <f>E121*E120</f>
        <v>0.37920000000000004</v>
      </c>
      <c r="F122" s="8"/>
      <c r="H122" s="1"/>
      <c r="I122" s="178"/>
      <c r="J122" s="10" t="s">
        <v>120</v>
      </c>
      <c r="K122" s="172">
        <f>K121*K120</f>
        <v>0.29359999999999997</v>
      </c>
      <c r="L122" s="8"/>
      <c r="N122" s="1"/>
      <c r="O122" s="178"/>
      <c r="P122" s="10" t="s">
        <v>120</v>
      </c>
      <c r="Q122" s="172">
        <f>Q121*Q120</f>
        <v>0.36599999999999988</v>
      </c>
      <c r="R122" s="8"/>
      <c r="S122" s="165"/>
      <c r="T122" s="1"/>
      <c r="U122" s="178"/>
      <c r="V122" s="10" t="s">
        <v>120</v>
      </c>
      <c r="W122" s="172">
        <f>W121*W120</f>
        <v>6.2500000000000111E-2</v>
      </c>
      <c r="X122" s="8"/>
      <c r="Z122" s="1"/>
      <c r="AA122" s="178"/>
      <c r="AB122" s="10" t="s">
        <v>120</v>
      </c>
      <c r="AC122" s="172">
        <f>AC121*AC120</f>
        <v>0</v>
      </c>
      <c r="AD122" s="8"/>
    </row>
    <row r="123" spans="1:36" ht="30.75" thickBot="1" x14ac:dyDescent="0.3">
      <c r="B123" s="2"/>
      <c r="C123" s="179"/>
      <c r="D123" s="12" t="s">
        <v>123</v>
      </c>
      <c r="E123" s="183">
        <v>0</v>
      </c>
      <c r="F123" s="15" t="s">
        <v>36</v>
      </c>
      <c r="H123" s="2"/>
      <c r="I123" s="179"/>
      <c r="J123" s="12" t="s">
        <v>123</v>
      </c>
      <c r="K123" s="183">
        <v>0</v>
      </c>
      <c r="L123" s="15" t="s">
        <v>36</v>
      </c>
      <c r="N123" s="2"/>
      <c r="O123" s="179"/>
      <c r="P123" s="12" t="s">
        <v>123</v>
      </c>
      <c r="Q123" s="183">
        <v>0</v>
      </c>
      <c r="R123" s="15" t="s">
        <v>36</v>
      </c>
      <c r="T123" s="2"/>
      <c r="U123" s="179"/>
      <c r="V123" s="12" t="s">
        <v>123</v>
      </c>
      <c r="W123" s="183">
        <v>0</v>
      </c>
      <c r="X123" s="15" t="s">
        <v>36</v>
      </c>
      <c r="Z123" s="2"/>
      <c r="AA123" s="179"/>
      <c r="AB123" s="12" t="s">
        <v>123</v>
      </c>
      <c r="AC123" s="183">
        <v>0</v>
      </c>
      <c r="AD123" s="15" t="s">
        <v>36</v>
      </c>
    </row>
    <row r="133" ht="15" customHeight="1" x14ac:dyDescent="0.25"/>
    <row r="134" ht="15" customHeight="1" x14ac:dyDescent="0.25"/>
    <row r="136" ht="15" customHeight="1" x14ac:dyDescent="0.25"/>
    <row r="137" ht="30" customHeight="1" x14ac:dyDescent="0.25"/>
    <row r="138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spans="1:19" ht="15" customHeight="1" x14ac:dyDescent="0.25">
      <c r="A145" s="165"/>
      <c r="H145" s="165"/>
      <c r="I145" s="165"/>
      <c r="J145" s="165"/>
      <c r="K145" s="165"/>
      <c r="L145" s="165"/>
    </row>
    <row r="146" spans="1:19" s="165" customFormat="1" x14ac:dyDescent="0.25">
      <c r="A146" s="3"/>
      <c r="C146" s="182"/>
      <c r="H146" s="3"/>
      <c r="I146" s="3"/>
      <c r="J146" s="3"/>
      <c r="K146" s="3"/>
      <c r="L146" s="3"/>
      <c r="S146" s="3"/>
    </row>
    <row r="147" spans="1:19" ht="15" customHeight="1" x14ac:dyDescent="0.25">
      <c r="S147" s="165"/>
    </row>
    <row r="148" spans="1:19" ht="15" customHeight="1" x14ac:dyDescent="0.25"/>
    <row r="149" spans="1:19" ht="15" customHeight="1" x14ac:dyDescent="0.25"/>
    <row r="150" spans="1:19" ht="15" customHeight="1" x14ac:dyDescent="0.25"/>
    <row r="160" spans="1:19" ht="15" customHeight="1" x14ac:dyDescent="0.25"/>
    <row r="161" ht="15" customHeight="1" x14ac:dyDescent="0.25"/>
    <row r="162" ht="60" customHeight="1" x14ac:dyDescent="0.25"/>
  </sheetData>
  <mergeCells count="91">
    <mergeCell ref="B105:F105"/>
    <mergeCell ref="N105:R105"/>
    <mergeCell ref="T105:X105"/>
    <mergeCell ref="B103:F103"/>
    <mergeCell ref="N103:R103"/>
    <mergeCell ref="T103:X103"/>
    <mergeCell ref="B80:F80"/>
    <mergeCell ref="N80:R80"/>
    <mergeCell ref="T80:X80"/>
    <mergeCell ref="Z80:AD80"/>
    <mergeCell ref="B101:F101"/>
    <mergeCell ref="H101:L101"/>
    <mergeCell ref="N101:R101"/>
    <mergeCell ref="T101:X101"/>
    <mergeCell ref="B102:F102"/>
    <mergeCell ref="H102:L102"/>
    <mergeCell ref="N102:R102"/>
    <mergeCell ref="T102:X102"/>
    <mergeCell ref="Z101:AD101"/>
    <mergeCell ref="Z102:AD102"/>
    <mergeCell ref="B78:F78"/>
    <mergeCell ref="N78:R78"/>
    <mergeCell ref="T78:X78"/>
    <mergeCell ref="Z78:AD78"/>
    <mergeCell ref="B76:F76"/>
    <mergeCell ref="H76:L76"/>
    <mergeCell ref="N76:R76"/>
    <mergeCell ref="T76:X76"/>
    <mergeCell ref="Z76:AD76"/>
    <mergeCell ref="B77:F77"/>
    <mergeCell ref="H77:L77"/>
    <mergeCell ref="N77:R77"/>
    <mergeCell ref="T77:X77"/>
    <mergeCell ref="Z77:AD77"/>
    <mergeCell ref="B55:F55"/>
    <mergeCell ref="N55:R55"/>
    <mergeCell ref="T55:X55"/>
    <mergeCell ref="Z55:AD55"/>
    <mergeCell ref="AF55:AJ55"/>
    <mergeCell ref="B53:F53"/>
    <mergeCell ref="N53:R53"/>
    <mergeCell ref="T53:X53"/>
    <mergeCell ref="Z53:AD53"/>
    <mergeCell ref="AF53:AJ53"/>
    <mergeCell ref="AF52:AJ52"/>
    <mergeCell ref="B51:F51"/>
    <mergeCell ref="H51:L51"/>
    <mergeCell ref="N51:R51"/>
    <mergeCell ref="T51:X51"/>
    <mergeCell ref="Z51:AD51"/>
    <mergeCell ref="AF51:AJ51"/>
    <mergeCell ref="B52:F52"/>
    <mergeCell ref="H52:L52"/>
    <mergeCell ref="N52:R52"/>
    <mergeCell ref="T52:X52"/>
    <mergeCell ref="Z52:AD52"/>
    <mergeCell ref="B30:F30"/>
    <mergeCell ref="N30:R30"/>
    <mergeCell ref="T30:X30"/>
    <mergeCell ref="Z30:AD30"/>
    <mergeCell ref="AF30:AJ30"/>
    <mergeCell ref="N28:R28"/>
    <mergeCell ref="T28:X28"/>
    <mergeCell ref="Z28:AD28"/>
    <mergeCell ref="AF28:AJ28"/>
    <mergeCell ref="N26:R26"/>
    <mergeCell ref="T26:X26"/>
    <mergeCell ref="Z26:AD26"/>
    <mergeCell ref="AF26:AJ26"/>
    <mergeCell ref="N27:R27"/>
    <mergeCell ref="T27:X27"/>
    <mergeCell ref="Z27:AD27"/>
    <mergeCell ref="AF27:AJ27"/>
    <mergeCell ref="H27:L27"/>
    <mergeCell ref="H16:K16"/>
    <mergeCell ref="B26:F26"/>
    <mergeCell ref="H8:K8"/>
    <mergeCell ref="H9:K9"/>
    <mergeCell ref="H10:K10"/>
    <mergeCell ref="H11:K11"/>
    <mergeCell ref="H12:K12"/>
    <mergeCell ref="H26:L26"/>
    <mergeCell ref="H13:K13"/>
    <mergeCell ref="H14:K14"/>
    <mergeCell ref="H15:K15"/>
    <mergeCell ref="B28:F28"/>
    <mergeCell ref="B2:F2"/>
    <mergeCell ref="B3:F3"/>
    <mergeCell ref="B4:F4"/>
    <mergeCell ref="B6:F6"/>
    <mergeCell ref="B27:F27"/>
  </mergeCells>
  <pageMargins left="0.23622047244094491" right="0.23622047244094491" top="0.35433070866141736" bottom="0.15748031496062992" header="0.11811023622047245" footer="0.11811023622047245"/>
  <pageSetup paperSize="8" scale="40" fitToWidth="0" fitToHeight="0" orientation="landscape" horizontalDpi="300" verticalDpi="300" r:id="rId1"/>
  <headerFooter>
    <oddHeader>&amp;L&amp;"-,Bold"&amp;16TABEL SURVEI KOMPONEN EKSTERNAL 
OBYEK MESIN&amp;R&amp;"-,Bold"&amp;14Obyek Survei 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EQ</vt:lpstr>
      <vt:lpstr>AO-ALL</vt:lpstr>
      <vt:lpstr>EQ!Print_Titles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STUDIO_10</cp:lastModifiedBy>
  <dcterms:created xsi:type="dcterms:W3CDTF">2021-03-31T04:09:34Z</dcterms:created>
  <dcterms:modified xsi:type="dcterms:W3CDTF">2021-08-05T09:25:11Z</dcterms:modified>
</cp:coreProperties>
</file>