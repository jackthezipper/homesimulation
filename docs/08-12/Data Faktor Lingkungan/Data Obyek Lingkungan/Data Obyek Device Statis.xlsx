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PNMO" sheetId="1" r:id="rId1"/>
  </sheets>
  <externalReferences>
    <externalReference r:id="rId2"/>
    <externalReference r:id="rId3"/>
    <externalReference r:id="rId4"/>
  </externalReferences>
  <calcPr calcId="145621"/>
</workbook>
</file>

<file path=xl/calcChain.xml><?xml version="1.0" encoding="utf-8"?>
<calcChain xmlns="http://schemas.openxmlformats.org/spreadsheetml/2006/main">
  <c r="K140" i="1" l="1"/>
  <c r="Q140" i="1"/>
  <c r="Q135" i="1" l="1"/>
  <c r="Q138" i="1" s="1"/>
  <c r="Q137" i="1" l="1"/>
  <c r="Q141" i="1" s="1"/>
  <c r="E9" i="1"/>
  <c r="K9" i="1"/>
  <c r="Q9" i="1"/>
  <c r="W9" i="1"/>
  <c r="Q12" i="1"/>
  <c r="W12" i="1"/>
  <c r="E13" i="1"/>
  <c r="E12" i="1" s="1"/>
  <c r="E11" i="1" s="1"/>
  <c r="E15" i="1" s="1"/>
  <c r="K13" i="1"/>
  <c r="K12" i="1" s="1"/>
  <c r="K11" i="1" s="1"/>
  <c r="K15" i="1" s="1"/>
  <c r="E14" i="1"/>
  <c r="K14" i="1"/>
  <c r="Q14" i="1"/>
  <c r="W14" i="1"/>
  <c r="E27" i="1"/>
  <c r="K27" i="1"/>
  <c r="Q27" i="1"/>
  <c r="W27" i="1"/>
  <c r="Q30" i="1"/>
  <c r="W30" i="1"/>
  <c r="E31" i="1"/>
  <c r="E30" i="1" s="1"/>
  <c r="E29" i="1" s="1"/>
  <c r="E33" i="1" s="1"/>
  <c r="K31" i="1"/>
  <c r="K30" i="1" s="1"/>
  <c r="K29" i="1" s="1"/>
  <c r="K33" i="1" s="1"/>
  <c r="E32" i="1"/>
  <c r="K32" i="1"/>
  <c r="Q32" i="1"/>
  <c r="W32" i="1"/>
  <c r="E45" i="1"/>
  <c r="K45" i="1"/>
  <c r="Q45" i="1"/>
  <c r="W45" i="1"/>
  <c r="Q48" i="1"/>
  <c r="W48" i="1"/>
  <c r="E49" i="1"/>
  <c r="E48" i="1" s="1"/>
  <c r="E47" i="1" s="1"/>
  <c r="E51" i="1" s="1"/>
  <c r="K49" i="1"/>
  <c r="K48" i="1" s="1"/>
  <c r="K47" i="1" s="1"/>
  <c r="K51" i="1" s="1"/>
  <c r="E50" i="1"/>
  <c r="K50" i="1"/>
  <c r="Q50" i="1"/>
  <c r="W50" i="1"/>
  <c r="E63" i="1"/>
  <c r="K63" i="1"/>
  <c r="Q63" i="1"/>
  <c r="W63" i="1"/>
  <c r="Q66" i="1"/>
  <c r="W66" i="1"/>
  <c r="E67" i="1"/>
  <c r="E66" i="1" s="1"/>
  <c r="E65" i="1" s="1"/>
  <c r="E69" i="1" s="1"/>
  <c r="K67" i="1"/>
  <c r="K66" i="1" s="1"/>
  <c r="K65" i="1" s="1"/>
  <c r="K69" i="1" s="1"/>
  <c r="E68" i="1"/>
  <c r="K68" i="1"/>
  <c r="Q68" i="1"/>
  <c r="W68" i="1"/>
  <c r="E81" i="1"/>
  <c r="K81" i="1"/>
  <c r="Q81" i="1"/>
  <c r="W81" i="1"/>
  <c r="Q84" i="1"/>
  <c r="W84" i="1"/>
  <c r="E85" i="1"/>
  <c r="E84" i="1" s="1"/>
  <c r="E83" i="1" s="1"/>
  <c r="E87" i="1" s="1"/>
  <c r="K85" i="1"/>
  <c r="K84" i="1" s="1"/>
  <c r="K83" i="1" s="1"/>
  <c r="K87" i="1" s="1"/>
  <c r="E86" i="1"/>
  <c r="K86" i="1"/>
  <c r="Q86" i="1"/>
  <c r="W86" i="1"/>
  <c r="E99" i="1"/>
  <c r="K99" i="1"/>
  <c r="Q99" i="1"/>
  <c r="W99" i="1"/>
  <c r="Q102" i="1"/>
  <c r="W102" i="1"/>
  <c r="W101" i="1" s="1"/>
  <c r="W105" i="1" s="1"/>
  <c r="E103" i="1"/>
  <c r="E102" i="1" s="1"/>
  <c r="E101" i="1" s="1"/>
  <c r="E105" i="1" s="1"/>
  <c r="K103" i="1"/>
  <c r="K102" i="1" s="1"/>
  <c r="E104" i="1"/>
  <c r="K104" i="1"/>
  <c r="Q104" i="1"/>
  <c r="W104" i="1"/>
  <c r="E117" i="1"/>
  <c r="K117" i="1"/>
  <c r="Q117" i="1"/>
  <c r="W117" i="1"/>
  <c r="K120" i="1"/>
  <c r="Q120" i="1"/>
  <c r="Q119" i="1" s="1"/>
  <c r="Q123" i="1" s="1"/>
  <c r="W120" i="1"/>
  <c r="W119" i="1" s="1"/>
  <c r="W123" i="1" s="1"/>
  <c r="E121" i="1"/>
  <c r="E120" i="1" s="1"/>
  <c r="K121" i="1"/>
  <c r="E122" i="1"/>
  <c r="K122" i="1"/>
  <c r="Q122" i="1"/>
  <c r="W122" i="1"/>
  <c r="E135" i="1"/>
  <c r="K135" i="1"/>
  <c r="E139" i="1"/>
  <c r="E138" i="1" s="1"/>
  <c r="K139" i="1"/>
  <c r="K138" i="1" s="1"/>
  <c r="E140" i="1"/>
  <c r="E137" i="1" l="1"/>
  <c r="E141" i="1" s="1"/>
  <c r="K119" i="1"/>
  <c r="K123" i="1" s="1"/>
  <c r="Q101" i="1"/>
  <c r="Q105" i="1" s="1"/>
  <c r="K101" i="1"/>
  <c r="K105" i="1" s="1"/>
  <c r="W83" i="1"/>
  <c r="W87" i="1" s="1"/>
  <c r="W65" i="1"/>
  <c r="W69" i="1" s="1"/>
  <c r="W29" i="1"/>
  <c r="W33" i="1" s="1"/>
  <c r="E119" i="1"/>
  <c r="E123" i="1" s="1"/>
  <c r="Q83" i="1"/>
  <c r="Q87" i="1" s="1"/>
  <c r="Q65" i="1"/>
  <c r="Q69" i="1" s="1"/>
  <c r="Q47" i="1"/>
  <c r="Q51" i="1" s="1"/>
  <c r="Q29" i="1"/>
  <c r="Q33" i="1" s="1"/>
  <c r="Q11" i="1"/>
  <c r="Q15" i="1" s="1"/>
  <c r="K137" i="1"/>
  <c r="K141" i="1" s="1"/>
  <c r="W47" i="1"/>
  <c r="W51" i="1" s="1"/>
  <c r="W11" i="1"/>
  <c r="W15" i="1" s="1"/>
</calcChain>
</file>

<file path=xl/sharedStrings.xml><?xml version="1.0" encoding="utf-8"?>
<sst xmlns="http://schemas.openxmlformats.org/spreadsheetml/2006/main" count="1147" uniqueCount="87">
  <si>
    <t>rusak, kurang bagus, bagus, sangat bagus</t>
  </si>
  <si>
    <t>Condition</t>
  </si>
  <si>
    <t>kosong/ terisi</t>
  </si>
  <si>
    <t>Terisi</t>
  </si>
  <si>
    <t xml:space="preserve">Status </t>
  </si>
  <si>
    <t>Kosong</t>
  </si>
  <si>
    <t>Furniture</t>
  </si>
  <si>
    <t>Function</t>
  </si>
  <si>
    <t>Object</t>
  </si>
  <si>
    <t>sangat bersih, bersih, cukup bersih, kotor, sangat kotor</t>
  </si>
  <si>
    <t>level</t>
  </si>
  <si>
    <t>Current State</t>
  </si>
  <si>
    <t>Cleanliness</t>
  </si>
  <si>
    <t>kumulatif maintenance</t>
  </si>
  <si>
    <t>Total Cumulative Maintenance</t>
  </si>
  <si>
    <t>Maintenance</t>
  </si>
  <si>
    <t>hari</t>
  </si>
  <si>
    <t>Sisa Umur</t>
  </si>
  <si>
    <t>Age</t>
  </si>
  <si>
    <t>Lifespan</t>
  </si>
  <si>
    <t>RDP01-TS01</t>
  </si>
  <si>
    <t>Code</t>
  </si>
  <si>
    <t>RKM01-KL01</t>
  </si>
  <si>
    <t>Tempat Sampah</t>
  </si>
  <si>
    <t>Name</t>
  </si>
  <si>
    <t>Kloset Duduk</t>
  </si>
  <si>
    <t>A. Static Object Attribute</t>
  </si>
  <si>
    <t>Note</t>
  </si>
  <si>
    <t xml:space="preserve">Parameter </t>
  </si>
  <si>
    <t>Variable ii</t>
  </si>
  <si>
    <t>Variable i</t>
  </si>
  <si>
    <t>No</t>
  </si>
  <si>
    <t>PASSIVE NON MECHANIC OBJECT</t>
  </si>
  <si>
    <t>COMPONENTS</t>
  </si>
  <si>
    <t>ABM</t>
  </si>
  <si>
    <t>RDP01-SK01</t>
  </si>
  <si>
    <t>RMK01-DP01</t>
  </si>
  <si>
    <t>RTU02-RK01</t>
  </si>
  <si>
    <t>RKG01-SF07</t>
  </si>
  <si>
    <t>Bak cuci piring</t>
  </si>
  <si>
    <t>Dispenser</t>
  </si>
  <si>
    <t>Rak</t>
  </si>
  <si>
    <t>Sofa Ruang Tamu</t>
  </si>
  <si>
    <t>A. Machine Attribute</t>
  </si>
  <si>
    <t>AGENT</t>
  </si>
  <si>
    <t>RTU02-TD03</t>
  </si>
  <si>
    <t>RKG01-SF08</t>
  </si>
  <si>
    <t>RTM01-SF06</t>
  </si>
  <si>
    <t>RKG01-SF10</t>
  </si>
  <si>
    <t>Tempat Tidur Kamar Tidur 3</t>
  </si>
  <si>
    <t>Sofa Ruang Keluarga</t>
  </si>
  <si>
    <t>RTA01-TD02</t>
  </si>
  <si>
    <t>RKG01-KR01</t>
  </si>
  <si>
    <t>RTM01-SF05</t>
  </si>
  <si>
    <t>RKG01-SF09</t>
  </si>
  <si>
    <t>Tempat Tidur Kamar Tidur 2</t>
  </si>
  <si>
    <t>Karpet Ruang Keluarga</t>
  </si>
  <si>
    <t>tertutup/terbuka</t>
  </si>
  <si>
    <t>Tertutup</t>
  </si>
  <si>
    <t>Lubang sirkulasi</t>
  </si>
  <si>
    <t>RTU01-TD01</t>
  </si>
  <si>
    <t>RGD01-KU04</t>
  </si>
  <si>
    <t>RTM01-SF04</t>
  </si>
  <si>
    <t>BV05</t>
  </si>
  <si>
    <t>Tempat Tidur Kamar Tidur 1</t>
  </si>
  <si>
    <t>Kursi Gudang</t>
  </si>
  <si>
    <t>Bouven Kamar Tidur 3</t>
  </si>
  <si>
    <t>RMK01-MJ03</t>
  </si>
  <si>
    <t>RMK01-KU03</t>
  </si>
  <si>
    <t>RTM01-SF03</t>
  </si>
  <si>
    <t>BV04</t>
  </si>
  <si>
    <t>Meja Makan</t>
  </si>
  <si>
    <t>Kursi Ruang Makan</t>
  </si>
  <si>
    <t>Bouven Dapur</t>
  </si>
  <si>
    <t>RGD01-MJ02</t>
  </si>
  <si>
    <t>RMK01-KU02</t>
  </si>
  <si>
    <t>RTM01-SF02</t>
  </si>
  <si>
    <t>BV03</t>
  </si>
  <si>
    <t>Meja Setrika</t>
  </si>
  <si>
    <t>RTM01-MJ01</t>
  </si>
  <si>
    <t>RMK01-KU01</t>
  </si>
  <si>
    <t>RTM01-SF01</t>
  </si>
  <si>
    <t>BV02</t>
  </si>
  <si>
    <t>Meja Ruang Tamu</t>
  </si>
  <si>
    <t>Bak Mandi</t>
  </si>
  <si>
    <t>RKM01-BM01</t>
  </si>
  <si>
    <t>Water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</si>
</sst>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/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/>
    <xf numFmtId="0" fontId="0" fillId="4" borderId="4" xfId="0" applyFill="1" applyBorder="1" applyAlignment="1">
      <alignment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 vertical="center" wrapText="1"/>
    </xf>
    <xf numFmtId="0" fontId="0" fillId="0" borderId="4" xfId="0" applyFill="1" applyBorder="1" applyAlignment="1">
      <alignment vertical="center" wrapText="1"/>
    </xf>
    <xf numFmtId="2" fontId="0" fillId="2" borderId="5" xfId="0" applyNumberForma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vertical="center"/>
    </xf>
    <xf numFmtId="164" fontId="0" fillId="2" borderId="5" xfId="0" applyNumberFormat="1" applyFill="1" applyBorder="1" applyAlignment="1">
      <alignment vertical="center"/>
    </xf>
    <xf numFmtId="1" fontId="0" fillId="2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4" xfId="0" applyFill="1" applyBorder="1"/>
    <xf numFmtId="0" fontId="0" fillId="4" borderId="5" xfId="0" applyFill="1" applyBorder="1" applyAlignment="1">
      <alignment horizontal="center" vertical="center"/>
    </xf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9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1" fillId="0" borderId="23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18" xfId="0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itial%20Condition%20(IC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Kondisi%20Rua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A/ABM/Tabel%20Flow%20ABM%2013/Data%20Faktor%20Lingkungan/Data%20Kondisi%20Ru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&amp;Fis_IC"/>
      <sheetName val="Bio_IC"/>
      <sheetName val="Kebiasaan_IC"/>
      <sheetName val="Peralatan_IC"/>
      <sheetName val="Mesin_IC"/>
      <sheetName val="Lampu_IC"/>
      <sheetName val="Dinamis_IC"/>
      <sheetName val="Statis_IC"/>
      <sheetName val="Utilitas_IC"/>
      <sheetName val="Data Lingkungan_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1">
          <cell r="Z21">
            <v>0.1</v>
          </cell>
        </row>
        <row r="66">
          <cell r="Z66">
            <v>0</v>
          </cell>
        </row>
        <row r="67">
          <cell r="Z67">
            <v>0</v>
          </cell>
        </row>
        <row r="68">
          <cell r="BT6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gkungan (DL)"/>
    </sheetNames>
    <sheetDataSet>
      <sheetData sheetId="0" refreshError="1">
        <row r="59">
          <cell r="N59" t="str">
            <v>on</v>
          </cell>
        </row>
        <row r="64">
          <cell r="BJ64">
            <v>0</v>
          </cell>
        </row>
        <row r="65">
          <cell r="AI65">
            <v>0</v>
          </cell>
        </row>
        <row r="66">
          <cell r="BS66">
            <v>0</v>
          </cell>
        </row>
        <row r="69">
          <cell r="BA69">
            <v>0</v>
          </cell>
        </row>
        <row r="71">
          <cell r="DC71">
            <v>0.1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gkungan (DL)"/>
    </sheetNames>
    <sheetDataSet>
      <sheetData sheetId="0">
        <row r="69">
          <cell r="DL6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219"/>
  <sheetViews>
    <sheetView showGridLines="0" tabSelected="1" topLeftCell="K110" zoomScale="85" zoomScaleNormal="85" zoomScalePageLayoutView="80" workbookViewId="0">
      <selection activeCell="K140" sqref="K140"/>
    </sheetView>
  </sheetViews>
  <sheetFormatPr defaultColWidth="8.85546875" defaultRowHeight="15" x14ac:dyDescent="0.25"/>
  <cols>
    <col min="1" max="1" width="8.85546875" style="1"/>
    <col min="2" max="2" width="3.42578125" style="1" bestFit="1" customWidth="1"/>
    <col min="3" max="6" width="20.7109375" style="1" customWidth="1"/>
    <col min="7" max="7" width="1.7109375" style="1" customWidth="1"/>
    <col min="8" max="8" width="3.42578125" style="1" bestFit="1" customWidth="1"/>
    <col min="9" max="12" width="20.7109375" style="1" customWidth="1"/>
    <col min="13" max="13" width="1.7109375" style="1" customWidth="1"/>
    <col min="14" max="14" width="3.42578125" style="1" bestFit="1" customWidth="1"/>
    <col min="15" max="18" width="20.7109375" style="1" customWidth="1"/>
    <col min="19" max="19" width="1.7109375" style="1" customWidth="1"/>
    <col min="20" max="20" width="3.42578125" style="1" bestFit="1" customWidth="1"/>
    <col min="21" max="24" width="20.7109375" style="1" customWidth="1"/>
    <col min="25" max="25" width="8.85546875" style="1"/>
    <col min="26" max="26" width="3.42578125" style="1" bestFit="1" customWidth="1"/>
    <col min="27" max="30" width="20.7109375" style="1" customWidth="1"/>
    <col min="31" max="31" width="8.85546875" style="1"/>
    <col min="32" max="32" width="3.42578125" style="1" bestFit="1" customWidth="1"/>
    <col min="33" max="36" width="20.7109375" style="1" customWidth="1"/>
    <col min="37" max="16384" width="8.85546875" style="1"/>
  </cols>
  <sheetData>
    <row r="1" spans="2:24" ht="15.75" thickBot="1" x14ac:dyDescent="0.3"/>
    <row r="2" spans="2:24" x14ac:dyDescent="0.25">
      <c r="B2" s="40" t="s">
        <v>34</v>
      </c>
      <c r="C2" s="41"/>
      <c r="D2" s="41"/>
      <c r="E2" s="41"/>
      <c r="F2" s="42"/>
      <c r="H2" s="40" t="s">
        <v>34</v>
      </c>
      <c r="I2" s="41"/>
      <c r="J2" s="41"/>
      <c r="K2" s="41"/>
      <c r="L2" s="42"/>
      <c r="N2" s="40" t="s">
        <v>34</v>
      </c>
      <c r="O2" s="41"/>
      <c r="P2" s="41"/>
      <c r="Q2" s="41"/>
      <c r="R2" s="42"/>
      <c r="T2" s="40" t="s">
        <v>34</v>
      </c>
      <c r="U2" s="41"/>
      <c r="V2" s="41"/>
      <c r="W2" s="41"/>
      <c r="X2" s="42"/>
    </row>
    <row r="3" spans="2:24" ht="15.75" thickBot="1" x14ac:dyDescent="0.3">
      <c r="B3" s="43" t="s">
        <v>33</v>
      </c>
      <c r="C3" s="44"/>
      <c r="D3" s="44"/>
      <c r="E3" s="44"/>
      <c r="F3" s="45"/>
      <c r="H3" s="31" t="s">
        <v>33</v>
      </c>
      <c r="I3" s="32"/>
      <c r="J3" s="32"/>
      <c r="K3" s="32"/>
      <c r="L3" s="33"/>
      <c r="N3" s="43" t="s">
        <v>33</v>
      </c>
      <c r="O3" s="44"/>
      <c r="P3" s="44"/>
      <c r="Q3" s="44"/>
      <c r="R3" s="45"/>
      <c r="T3" s="31" t="s">
        <v>33</v>
      </c>
      <c r="U3" s="32"/>
      <c r="V3" s="32"/>
      <c r="W3" s="32"/>
      <c r="X3" s="33"/>
    </row>
    <row r="4" spans="2:24" x14ac:dyDescent="0.25">
      <c r="B4" s="37" t="s">
        <v>32</v>
      </c>
      <c r="C4" s="38"/>
      <c r="D4" s="38"/>
      <c r="E4" s="38"/>
      <c r="F4" s="39"/>
      <c r="H4" s="37" t="s">
        <v>32</v>
      </c>
      <c r="I4" s="38"/>
      <c r="J4" s="38"/>
      <c r="K4" s="38"/>
      <c r="L4" s="39"/>
      <c r="N4" s="37" t="s">
        <v>32</v>
      </c>
      <c r="O4" s="38"/>
      <c r="P4" s="38"/>
      <c r="Q4" s="38"/>
      <c r="R4" s="39"/>
      <c r="T4" s="37" t="s">
        <v>32</v>
      </c>
      <c r="U4" s="38"/>
      <c r="V4" s="38"/>
      <c r="W4" s="38"/>
      <c r="X4" s="39"/>
    </row>
    <row r="5" spans="2:24" ht="15.75" thickBot="1" x14ac:dyDescent="0.3">
      <c r="B5" s="27" t="s">
        <v>31</v>
      </c>
      <c r="C5" s="26" t="s">
        <v>30</v>
      </c>
      <c r="D5" s="26" t="s">
        <v>29</v>
      </c>
      <c r="E5" s="26" t="s">
        <v>28</v>
      </c>
      <c r="F5" s="25" t="s">
        <v>27</v>
      </c>
      <c r="H5" s="27" t="s">
        <v>31</v>
      </c>
      <c r="I5" s="26" t="s">
        <v>30</v>
      </c>
      <c r="J5" s="26" t="s">
        <v>29</v>
      </c>
      <c r="K5" s="26" t="s">
        <v>28</v>
      </c>
      <c r="L5" s="25" t="s">
        <v>27</v>
      </c>
      <c r="N5" s="27" t="s">
        <v>31</v>
      </c>
      <c r="O5" s="26" t="s">
        <v>30</v>
      </c>
      <c r="P5" s="26" t="s">
        <v>29</v>
      </c>
      <c r="Q5" s="26" t="s">
        <v>28</v>
      </c>
      <c r="R5" s="25" t="s">
        <v>27</v>
      </c>
      <c r="T5" s="27" t="s">
        <v>31</v>
      </c>
      <c r="U5" s="26" t="s">
        <v>30</v>
      </c>
      <c r="V5" s="26" t="s">
        <v>29</v>
      </c>
      <c r="W5" s="26" t="s">
        <v>28</v>
      </c>
      <c r="X5" s="25" t="s">
        <v>27</v>
      </c>
    </row>
    <row r="6" spans="2:24" x14ac:dyDescent="0.25">
      <c r="B6" s="37" t="s">
        <v>26</v>
      </c>
      <c r="C6" s="38"/>
      <c r="D6" s="38"/>
      <c r="E6" s="38"/>
      <c r="F6" s="39"/>
      <c r="H6" s="34" t="s">
        <v>26</v>
      </c>
      <c r="I6" s="35"/>
      <c r="J6" s="35"/>
      <c r="K6" s="35"/>
      <c r="L6" s="36"/>
      <c r="N6" s="37" t="s">
        <v>26</v>
      </c>
      <c r="O6" s="38"/>
      <c r="P6" s="38"/>
      <c r="Q6" s="38"/>
      <c r="R6" s="39"/>
      <c r="T6" s="34" t="s">
        <v>26</v>
      </c>
      <c r="U6" s="35"/>
      <c r="V6" s="35"/>
      <c r="W6" s="35"/>
      <c r="X6" s="36"/>
    </row>
    <row r="7" spans="2:24" x14ac:dyDescent="0.25">
      <c r="B7" s="11"/>
      <c r="C7" s="22" t="s">
        <v>24</v>
      </c>
      <c r="D7" s="22"/>
      <c r="E7" s="13" t="s">
        <v>73</v>
      </c>
      <c r="F7" s="23"/>
      <c r="H7" s="11"/>
      <c r="I7" s="22" t="s">
        <v>24</v>
      </c>
      <c r="J7" s="22"/>
      <c r="K7" s="13" t="s">
        <v>42</v>
      </c>
      <c r="L7" s="23"/>
      <c r="N7" s="11"/>
      <c r="O7" s="22" t="s">
        <v>24</v>
      </c>
      <c r="P7" s="22"/>
      <c r="Q7" s="13" t="s">
        <v>72</v>
      </c>
      <c r="R7" s="23"/>
      <c r="T7" s="11"/>
      <c r="U7" s="22" t="s">
        <v>24</v>
      </c>
      <c r="V7" s="22"/>
      <c r="W7" s="13" t="s">
        <v>83</v>
      </c>
      <c r="X7" s="23"/>
    </row>
    <row r="8" spans="2:24" x14ac:dyDescent="0.25">
      <c r="B8" s="11"/>
      <c r="C8" s="22" t="s">
        <v>21</v>
      </c>
      <c r="D8" s="22"/>
      <c r="E8" s="24" t="s">
        <v>82</v>
      </c>
      <c r="F8" s="23"/>
      <c r="H8" s="11"/>
      <c r="I8" s="22" t="s">
        <v>21</v>
      </c>
      <c r="J8" s="22"/>
      <c r="K8" s="24" t="s">
        <v>81</v>
      </c>
      <c r="L8" s="23"/>
      <c r="N8" s="11"/>
      <c r="O8" s="22" t="s">
        <v>21</v>
      </c>
      <c r="P8" s="22"/>
      <c r="Q8" s="24" t="s">
        <v>80</v>
      </c>
      <c r="R8" s="23"/>
      <c r="T8" s="11"/>
      <c r="U8" s="22" t="s">
        <v>21</v>
      </c>
      <c r="V8" s="22"/>
      <c r="W8" s="24" t="s">
        <v>79</v>
      </c>
      <c r="X8" s="23"/>
    </row>
    <row r="9" spans="2:24" x14ac:dyDescent="0.25">
      <c r="B9" s="11"/>
      <c r="C9" s="22" t="s">
        <v>19</v>
      </c>
      <c r="D9" s="14"/>
      <c r="E9" s="13">
        <f>15*12*30</f>
        <v>5400</v>
      </c>
      <c r="F9" s="12" t="s">
        <v>16</v>
      </c>
      <c r="H9" s="11"/>
      <c r="I9" s="22" t="s">
        <v>19</v>
      </c>
      <c r="J9" s="14"/>
      <c r="K9" s="13">
        <f>15*12*30</f>
        <v>5400</v>
      </c>
      <c r="L9" s="12" t="s">
        <v>16</v>
      </c>
      <c r="N9" s="11"/>
      <c r="O9" s="22" t="s">
        <v>19</v>
      </c>
      <c r="P9" s="14"/>
      <c r="Q9" s="13">
        <f>15*12*30</f>
        <v>5400</v>
      </c>
      <c r="R9" s="12" t="s">
        <v>16</v>
      </c>
      <c r="T9" s="11"/>
      <c r="U9" s="22" t="s">
        <v>19</v>
      </c>
      <c r="V9" s="14"/>
      <c r="W9" s="13">
        <f>15*12*30</f>
        <v>5400</v>
      </c>
      <c r="X9" s="12" t="s">
        <v>16</v>
      </c>
    </row>
    <row r="10" spans="2:24" x14ac:dyDescent="0.25">
      <c r="B10" s="11"/>
      <c r="C10" s="21" t="s">
        <v>18</v>
      </c>
      <c r="D10" s="9"/>
      <c r="E10" s="8">
        <v>120</v>
      </c>
      <c r="F10" s="7" t="s">
        <v>16</v>
      </c>
      <c r="H10" s="11"/>
      <c r="I10" s="21" t="s">
        <v>18</v>
      </c>
      <c r="J10" s="9"/>
      <c r="K10" s="8">
        <v>120</v>
      </c>
      <c r="L10" s="7" t="s">
        <v>16</v>
      </c>
      <c r="N10" s="11"/>
      <c r="O10" s="21" t="s">
        <v>18</v>
      </c>
      <c r="P10" s="9"/>
      <c r="Q10" s="8">
        <v>120</v>
      </c>
      <c r="R10" s="7" t="s">
        <v>16</v>
      </c>
      <c r="T10" s="11"/>
      <c r="U10" s="21" t="s">
        <v>18</v>
      </c>
      <c r="V10" s="9"/>
      <c r="W10" s="8">
        <v>120</v>
      </c>
      <c r="X10" s="7" t="s">
        <v>16</v>
      </c>
    </row>
    <row r="11" spans="2:24" x14ac:dyDescent="0.25">
      <c r="B11" s="11"/>
      <c r="C11" s="10" t="s">
        <v>17</v>
      </c>
      <c r="D11" s="17"/>
      <c r="E11" s="20">
        <f>E9-E10-(E12+E14)/2*10</f>
        <v>5275</v>
      </c>
      <c r="F11" s="15" t="s">
        <v>16</v>
      </c>
      <c r="H11" s="11"/>
      <c r="I11" s="10" t="s">
        <v>17</v>
      </c>
      <c r="J11" s="17"/>
      <c r="K11" s="20">
        <f>K9-K10-(K12+K14)/2*10</f>
        <v>5275</v>
      </c>
      <c r="L11" s="15" t="s">
        <v>16</v>
      </c>
      <c r="N11" s="11"/>
      <c r="O11" s="10" t="s">
        <v>17</v>
      </c>
      <c r="P11" s="17"/>
      <c r="Q11" s="20">
        <f>Q9-Q10-(Q12+Q14)/2*10</f>
        <v>5275</v>
      </c>
      <c r="R11" s="15" t="s">
        <v>16</v>
      </c>
      <c r="T11" s="11"/>
      <c r="U11" s="10" t="s">
        <v>17</v>
      </c>
      <c r="V11" s="17"/>
      <c r="W11" s="20">
        <f>W9-W10-(W12+W14)/2*10</f>
        <v>5275</v>
      </c>
      <c r="X11" s="15" t="s">
        <v>16</v>
      </c>
    </row>
    <row r="12" spans="2:24" x14ac:dyDescent="0.25">
      <c r="B12" s="11"/>
      <c r="C12" s="10" t="s">
        <v>15</v>
      </c>
      <c r="D12" s="17" t="s">
        <v>11</v>
      </c>
      <c r="E12" s="19">
        <f>((E10/E9)*45-E13)</f>
        <v>1</v>
      </c>
      <c r="F12" s="15" t="s">
        <v>10</v>
      </c>
      <c r="H12" s="11"/>
      <c r="I12" s="10" t="s">
        <v>15</v>
      </c>
      <c r="J12" s="17" t="s">
        <v>11</v>
      </c>
      <c r="K12" s="19">
        <f>((K10/K9)*45-K13)</f>
        <v>1</v>
      </c>
      <c r="L12" s="15" t="s">
        <v>10</v>
      </c>
      <c r="N12" s="11"/>
      <c r="O12" s="10" t="s">
        <v>15</v>
      </c>
      <c r="P12" s="17" t="s">
        <v>11</v>
      </c>
      <c r="Q12" s="19">
        <f>((Q10/Q9)*45-Q13)</f>
        <v>1</v>
      </c>
      <c r="R12" s="15" t="s">
        <v>10</v>
      </c>
      <c r="T12" s="11"/>
      <c r="U12" s="10" t="s">
        <v>15</v>
      </c>
      <c r="V12" s="17" t="s">
        <v>11</v>
      </c>
      <c r="W12" s="19">
        <f>((W10/W9)*45-W13)</f>
        <v>1</v>
      </c>
      <c r="X12" s="15" t="s">
        <v>10</v>
      </c>
    </row>
    <row r="13" spans="2:24" ht="30" x14ac:dyDescent="0.25">
      <c r="B13" s="11"/>
      <c r="C13" s="10"/>
      <c r="D13" s="17" t="s">
        <v>14</v>
      </c>
      <c r="E13" s="18">
        <f>'[1]Data Lingkungan_IC'!Z67</f>
        <v>0</v>
      </c>
      <c r="F13" s="15" t="s">
        <v>13</v>
      </c>
      <c r="H13" s="11"/>
      <c r="I13" s="10"/>
      <c r="J13" s="17" t="s">
        <v>14</v>
      </c>
      <c r="K13" s="18">
        <f>'[1]Data Lingkungan_IC'!Z66</f>
        <v>0</v>
      </c>
      <c r="L13" s="15" t="s">
        <v>13</v>
      </c>
      <c r="N13" s="11"/>
      <c r="O13" s="10"/>
      <c r="P13" s="17" t="s">
        <v>14</v>
      </c>
      <c r="Q13" s="18"/>
      <c r="R13" s="15" t="s">
        <v>13</v>
      </c>
      <c r="T13" s="11"/>
      <c r="U13" s="10"/>
      <c r="V13" s="17" t="s">
        <v>14</v>
      </c>
      <c r="W13" s="18"/>
      <c r="X13" s="15" t="s">
        <v>13</v>
      </c>
    </row>
    <row r="14" spans="2:24" x14ac:dyDescent="0.25">
      <c r="B14" s="11"/>
      <c r="C14" s="10" t="s">
        <v>12</v>
      </c>
      <c r="D14" s="17" t="s">
        <v>11</v>
      </c>
      <c r="E14" s="18">
        <f>'[2]Data Lingkungan (DL)'!DL66</f>
        <v>0</v>
      </c>
      <c r="F14" s="15" t="s">
        <v>10</v>
      </c>
      <c r="H14" s="11"/>
      <c r="I14" s="10" t="s">
        <v>12</v>
      </c>
      <c r="J14" s="17" t="s">
        <v>11</v>
      </c>
      <c r="K14" s="18">
        <f>'[2]Data Lingkungan (DL)'!AI65</f>
        <v>0</v>
      </c>
      <c r="L14" s="15" t="s">
        <v>10</v>
      </c>
      <c r="N14" s="11"/>
      <c r="O14" s="10" t="s">
        <v>12</v>
      </c>
      <c r="P14" s="17" t="s">
        <v>11</v>
      </c>
      <c r="Q14" s="18">
        <f>'[2]Data Lingkungan (DL)'!DC68</f>
        <v>0</v>
      </c>
      <c r="R14" s="15" t="s">
        <v>10</v>
      </c>
      <c r="T14" s="11"/>
      <c r="U14" s="10" t="s">
        <v>12</v>
      </c>
      <c r="V14" s="17" t="s">
        <v>11</v>
      </c>
      <c r="W14" s="18">
        <f>'[2]Data Lingkungan (DL)'!AI72</f>
        <v>0</v>
      </c>
      <c r="X14" s="15" t="s">
        <v>10</v>
      </c>
    </row>
    <row r="15" spans="2:24" ht="45" x14ac:dyDescent="0.25">
      <c r="B15" s="11"/>
      <c r="C15" s="10" t="s">
        <v>1</v>
      </c>
      <c r="D15" s="17"/>
      <c r="E15" s="16">
        <f>(E11/E9)</f>
        <v>0.97685185185185186</v>
      </c>
      <c r="F15" s="15" t="s">
        <v>9</v>
      </c>
      <c r="H15" s="11"/>
      <c r="I15" s="10" t="s">
        <v>1</v>
      </c>
      <c r="J15" s="17"/>
      <c r="K15" s="16">
        <f>(K11/K9)</f>
        <v>0.97685185185185186</v>
      </c>
      <c r="L15" s="15" t="s">
        <v>9</v>
      </c>
      <c r="N15" s="11"/>
      <c r="O15" s="10" t="s">
        <v>1</v>
      </c>
      <c r="P15" s="17"/>
      <c r="Q15" s="16">
        <f>(Q11/Q9)</f>
        <v>0.97685185185185186</v>
      </c>
      <c r="R15" s="15" t="s">
        <v>9</v>
      </c>
      <c r="T15" s="11"/>
      <c r="U15" s="10" t="s">
        <v>1</v>
      </c>
      <c r="V15" s="17"/>
      <c r="W15" s="16">
        <f>(W11/W9)</f>
        <v>0.97685185185185186</v>
      </c>
      <c r="X15" s="15" t="s">
        <v>9</v>
      </c>
    </row>
    <row r="16" spans="2:24" x14ac:dyDescent="0.25">
      <c r="B16" s="11"/>
      <c r="C16" s="10" t="s">
        <v>8</v>
      </c>
      <c r="D16" s="14" t="s">
        <v>7</v>
      </c>
      <c r="E16" s="13" t="s">
        <v>59</v>
      </c>
      <c r="F16" s="12"/>
      <c r="H16" s="11"/>
      <c r="I16" s="10" t="s">
        <v>8</v>
      </c>
      <c r="J16" s="14" t="s">
        <v>7</v>
      </c>
      <c r="K16" s="13" t="s">
        <v>6</v>
      </c>
      <c r="L16" s="12"/>
      <c r="N16" s="11"/>
      <c r="O16" s="10" t="s">
        <v>8</v>
      </c>
      <c r="P16" s="14" t="s">
        <v>7</v>
      </c>
      <c r="Q16" s="13" t="s">
        <v>6</v>
      </c>
      <c r="R16" s="12"/>
      <c r="T16" s="11"/>
      <c r="U16" s="10" t="s">
        <v>8</v>
      </c>
      <c r="V16" s="14" t="s">
        <v>7</v>
      </c>
      <c r="W16" s="13" t="s">
        <v>6</v>
      </c>
      <c r="X16" s="12"/>
    </row>
    <row r="17" spans="2:24" x14ac:dyDescent="0.25">
      <c r="B17" s="11"/>
      <c r="C17" s="10"/>
      <c r="D17" s="9" t="s">
        <v>4</v>
      </c>
      <c r="E17" s="8" t="s">
        <v>58</v>
      </c>
      <c r="F17" s="7" t="s">
        <v>57</v>
      </c>
      <c r="H17" s="11"/>
      <c r="I17" s="10"/>
      <c r="J17" s="9" t="s">
        <v>4</v>
      </c>
      <c r="K17" s="8" t="s">
        <v>5</v>
      </c>
      <c r="L17" s="7" t="s">
        <v>2</v>
      </c>
      <c r="N17" s="11"/>
      <c r="O17" s="10"/>
      <c r="P17" s="9" t="s">
        <v>4</v>
      </c>
      <c r="Q17" s="8" t="s">
        <v>5</v>
      </c>
      <c r="R17" s="7" t="s">
        <v>2</v>
      </c>
      <c r="T17" s="11"/>
      <c r="U17" s="10"/>
      <c r="V17" s="9" t="s">
        <v>4</v>
      </c>
      <c r="W17" s="8" t="s">
        <v>5</v>
      </c>
      <c r="X17" s="7" t="s">
        <v>2</v>
      </c>
    </row>
    <row r="18" spans="2:24" ht="30.75" thickBot="1" x14ac:dyDescent="0.3">
      <c r="B18" s="6"/>
      <c r="C18" s="5"/>
      <c r="D18" s="4" t="s">
        <v>1</v>
      </c>
      <c r="E18" s="3">
        <v>1</v>
      </c>
      <c r="F18" s="2" t="s">
        <v>0</v>
      </c>
      <c r="H18" s="6"/>
      <c r="I18" s="5"/>
      <c r="J18" s="4" t="s">
        <v>1</v>
      </c>
      <c r="K18" s="3">
        <v>1</v>
      </c>
      <c r="L18" s="2" t="s">
        <v>0</v>
      </c>
      <c r="N18" s="6"/>
      <c r="O18" s="5"/>
      <c r="P18" s="4" t="s">
        <v>1</v>
      </c>
      <c r="Q18" s="3">
        <v>1</v>
      </c>
      <c r="R18" s="2" t="s">
        <v>0</v>
      </c>
      <c r="T18" s="6"/>
      <c r="U18" s="5"/>
      <c r="V18" s="4" t="s">
        <v>1</v>
      </c>
      <c r="W18" s="3">
        <v>1</v>
      </c>
      <c r="X18" s="2" t="s">
        <v>0</v>
      </c>
    </row>
    <row r="19" spans="2:24" ht="15.75" thickBot="1" x14ac:dyDescent="0.3"/>
    <row r="20" spans="2:24" x14ac:dyDescent="0.25">
      <c r="B20" s="40" t="s">
        <v>34</v>
      </c>
      <c r="C20" s="41"/>
      <c r="D20" s="41"/>
      <c r="E20" s="41"/>
      <c r="F20" s="42"/>
      <c r="H20" s="40" t="s">
        <v>34</v>
      </c>
      <c r="I20" s="41"/>
      <c r="J20" s="41"/>
      <c r="K20" s="41"/>
      <c r="L20" s="42"/>
      <c r="N20" s="40" t="s">
        <v>34</v>
      </c>
      <c r="O20" s="41"/>
      <c r="P20" s="41"/>
      <c r="Q20" s="41"/>
      <c r="R20" s="42"/>
      <c r="T20" s="40" t="s">
        <v>34</v>
      </c>
      <c r="U20" s="41"/>
      <c r="V20" s="41"/>
      <c r="W20" s="41"/>
      <c r="X20" s="42"/>
    </row>
    <row r="21" spans="2:24" ht="15.75" thickBot="1" x14ac:dyDescent="0.3">
      <c r="B21" s="43" t="s">
        <v>33</v>
      </c>
      <c r="C21" s="44"/>
      <c r="D21" s="44"/>
      <c r="E21" s="44"/>
      <c r="F21" s="45"/>
      <c r="H21" s="31" t="s">
        <v>33</v>
      </c>
      <c r="I21" s="32"/>
      <c r="J21" s="32"/>
      <c r="K21" s="32"/>
      <c r="L21" s="33"/>
      <c r="N21" s="43" t="s">
        <v>33</v>
      </c>
      <c r="O21" s="44"/>
      <c r="P21" s="44"/>
      <c r="Q21" s="44"/>
      <c r="R21" s="45"/>
      <c r="T21" s="43" t="s">
        <v>33</v>
      </c>
      <c r="U21" s="44"/>
      <c r="V21" s="44"/>
      <c r="W21" s="44"/>
      <c r="X21" s="45"/>
    </row>
    <row r="22" spans="2:24" x14ac:dyDescent="0.25">
      <c r="B22" s="37" t="s">
        <v>32</v>
      </c>
      <c r="C22" s="38"/>
      <c r="D22" s="38"/>
      <c r="E22" s="38"/>
      <c r="F22" s="39"/>
      <c r="H22" s="37" t="s">
        <v>32</v>
      </c>
      <c r="I22" s="38"/>
      <c r="J22" s="38"/>
      <c r="K22" s="38"/>
      <c r="L22" s="39"/>
      <c r="N22" s="37" t="s">
        <v>32</v>
      </c>
      <c r="O22" s="38"/>
      <c r="P22" s="38"/>
      <c r="Q22" s="38"/>
      <c r="R22" s="39"/>
      <c r="T22" s="37" t="s">
        <v>32</v>
      </c>
      <c r="U22" s="38"/>
      <c r="V22" s="38"/>
      <c r="W22" s="38"/>
      <c r="X22" s="39"/>
    </row>
    <row r="23" spans="2:24" ht="15.75" thickBot="1" x14ac:dyDescent="0.3">
      <c r="B23" s="27" t="s">
        <v>31</v>
      </c>
      <c r="C23" s="26" t="s">
        <v>30</v>
      </c>
      <c r="D23" s="26" t="s">
        <v>29</v>
      </c>
      <c r="E23" s="26" t="s">
        <v>28</v>
      </c>
      <c r="F23" s="25" t="s">
        <v>27</v>
      </c>
      <c r="H23" s="27" t="s">
        <v>31</v>
      </c>
      <c r="I23" s="26" t="s">
        <v>30</v>
      </c>
      <c r="J23" s="26" t="s">
        <v>29</v>
      </c>
      <c r="K23" s="26" t="s">
        <v>28</v>
      </c>
      <c r="L23" s="25" t="s">
        <v>27</v>
      </c>
      <c r="N23" s="27" t="s">
        <v>31</v>
      </c>
      <c r="O23" s="26" t="s">
        <v>30</v>
      </c>
      <c r="P23" s="26" t="s">
        <v>29</v>
      </c>
      <c r="Q23" s="26" t="s">
        <v>28</v>
      </c>
      <c r="R23" s="25" t="s">
        <v>27</v>
      </c>
      <c r="T23" s="27" t="s">
        <v>31</v>
      </c>
      <c r="U23" s="26" t="s">
        <v>30</v>
      </c>
      <c r="V23" s="26" t="s">
        <v>29</v>
      </c>
      <c r="W23" s="26" t="s">
        <v>28</v>
      </c>
      <c r="X23" s="25" t="s">
        <v>27</v>
      </c>
    </row>
    <row r="24" spans="2:24" x14ac:dyDescent="0.25">
      <c r="B24" s="37" t="s">
        <v>26</v>
      </c>
      <c r="C24" s="38"/>
      <c r="D24" s="38"/>
      <c r="E24" s="38"/>
      <c r="F24" s="39"/>
      <c r="H24" s="34" t="s">
        <v>26</v>
      </c>
      <c r="I24" s="35"/>
      <c r="J24" s="35"/>
      <c r="K24" s="35"/>
      <c r="L24" s="36"/>
      <c r="N24" s="37" t="s">
        <v>26</v>
      </c>
      <c r="O24" s="38"/>
      <c r="P24" s="38"/>
      <c r="Q24" s="38"/>
      <c r="R24" s="39"/>
      <c r="T24" s="37" t="s">
        <v>26</v>
      </c>
      <c r="U24" s="38"/>
      <c r="V24" s="38"/>
      <c r="W24" s="38"/>
      <c r="X24" s="39"/>
    </row>
    <row r="25" spans="2:24" x14ac:dyDescent="0.25">
      <c r="B25" s="11"/>
      <c r="C25" s="22" t="s">
        <v>24</v>
      </c>
      <c r="D25" s="22"/>
      <c r="E25" s="13" t="s">
        <v>73</v>
      </c>
      <c r="F25" s="23"/>
      <c r="H25" s="11"/>
      <c r="I25" s="22" t="s">
        <v>24</v>
      </c>
      <c r="J25" s="22"/>
      <c r="K25" s="13" t="s">
        <v>42</v>
      </c>
      <c r="L25" s="23"/>
      <c r="N25" s="11"/>
      <c r="O25" s="22" t="s">
        <v>24</v>
      </c>
      <c r="P25" s="22"/>
      <c r="Q25" s="13" t="s">
        <v>72</v>
      </c>
      <c r="R25" s="23"/>
      <c r="T25" s="11"/>
      <c r="U25" s="22" t="s">
        <v>24</v>
      </c>
      <c r="V25" s="22"/>
      <c r="W25" s="13" t="s">
        <v>78</v>
      </c>
      <c r="X25" s="23"/>
    </row>
    <row r="26" spans="2:24" x14ac:dyDescent="0.25">
      <c r="B26" s="11"/>
      <c r="C26" s="22" t="s">
        <v>21</v>
      </c>
      <c r="D26" s="22"/>
      <c r="E26" s="24" t="s">
        <v>77</v>
      </c>
      <c r="F26" s="23"/>
      <c r="H26" s="11"/>
      <c r="I26" s="22" t="s">
        <v>21</v>
      </c>
      <c r="J26" s="22"/>
      <c r="K26" s="24" t="s">
        <v>76</v>
      </c>
      <c r="L26" s="23"/>
      <c r="N26" s="11"/>
      <c r="O26" s="22" t="s">
        <v>21</v>
      </c>
      <c r="P26" s="22"/>
      <c r="Q26" s="24" t="s">
        <v>75</v>
      </c>
      <c r="R26" s="23"/>
      <c r="T26" s="11"/>
      <c r="U26" s="22" t="s">
        <v>21</v>
      </c>
      <c r="V26" s="22"/>
      <c r="W26" s="24" t="s">
        <v>74</v>
      </c>
      <c r="X26" s="23"/>
    </row>
    <row r="27" spans="2:24" x14ac:dyDescent="0.25">
      <c r="B27" s="11"/>
      <c r="C27" s="22" t="s">
        <v>19</v>
      </c>
      <c r="D27" s="14"/>
      <c r="E27" s="13">
        <f>15*12*30</f>
        <v>5400</v>
      </c>
      <c r="F27" s="12" t="s">
        <v>16</v>
      </c>
      <c r="H27" s="11"/>
      <c r="I27" s="22" t="s">
        <v>19</v>
      </c>
      <c r="J27" s="14"/>
      <c r="K27" s="13">
        <f>15*12*30</f>
        <v>5400</v>
      </c>
      <c r="L27" s="12" t="s">
        <v>16</v>
      </c>
      <c r="N27" s="11"/>
      <c r="O27" s="22" t="s">
        <v>19</v>
      </c>
      <c r="P27" s="14"/>
      <c r="Q27" s="13">
        <f>15*12*30</f>
        <v>5400</v>
      </c>
      <c r="R27" s="12" t="s">
        <v>16</v>
      </c>
      <c r="T27" s="11"/>
      <c r="U27" s="22" t="s">
        <v>19</v>
      </c>
      <c r="V27" s="14"/>
      <c r="W27" s="13">
        <f>15*12*30</f>
        <v>5400</v>
      </c>
      <c r="X27" s="12" t="s">
        <v>16</v>
      </c>
    </row>
    <row r="28" spans="2:24" x14ac:dyDescent="0.25">
      <c r="B28" s="11"/>
      <c r="C28" s="21" t="s">
        <v>18</v>
      </c>
      <c r="D28" s="9"/>
      <c r="E28" s="8">
        <v>120</v>
      </c>
      <c r="F28" s="7" t="s">
        <v>16</v>
      </c>
      <c r="H28" s="11"/>
      <c r="I28" s="21" t="s">
        <v>18</v>
      </c>
      <c r="J28" s="9"/>
      <c r="K28" s="8">
        <v>120</v>
      </c>
      <c r="L28" s="7" t="s">
        <v>16</v>
      </c>
      <c r="N28" s="11"/>
      <c r="O28" s="21" t="s">
        <v>18</v>
      </c>
      <c r="P28" s="9"/>
      <c r="Q28" s="8">
        <v>120</v>
      </c>
      <c r="R28" s="7" t="s">
        <v>16</v>
      </c>
      <c r="T28" s="11"/>
      <c r="U28" s="21" t="s">
        <v>18</v>
      </c>
      <c r="V28" s="9"/>
      <c r="W28" s="8">
        <v>120</v>
      </c>
      <c r="X28" s="7" t="s">
        <v>16</v>
      </c>
    </row>
    <row r="29" spans="2:24" x14ac:dyDescent="0.25">
      <c r="B29" s="11"/>
      <c r="C29" s="10" t="s">
        <v>17</v>
      </c>
      <c r="D29" s="17"/>
      <c r="E29" s="20">
        <f>E27-E28-(E30+E32)/2*10</f>
        <v>5275</v>
      </c>
      <c r="F29" s="15" t="s">
        <v>16</v>
      </c>
      <c r="H29" s="11"/>
      <c r="I29" s="10" t="s">
        <v>17</v>
      </c>
      <c r="J29" s="17"/>
      <c r="K29" s="20">
        <f>K27-K28-(K30+K32)/2*10</f>
        <v>5275</v>
      </c>
      <c r="L29" s="15" t="s">
        <v>16</v>
      </c>
      <c r="N29" s="11"/>
      <c r="O29" s="10" t="s">
        <v>17</v>
      </c>
      <c r="P29" s="17"/>
      <c r="Q29" s="20">
        <f>Q27-Q28-(Q30+Q32)/2*10</f>
        <v>5275</v>
      </c>
      <c r="R29" s="15" t="s">
        <v>16</v>
      </c>
      <c r="T29" s="11"/>
      <c r="U29" s="10" t="s">
        <v>17</v>
      </c>
      <c r="V29" s="17"/>
      <c r="W29" s="20">
        <f>W27-W28-(W30+W32)/2*10</f>
        <v>5275</v>
      </c>
      <c r="X29" s="15" t="s">
        <v>16</v>
      </c>
    </row>
    <row r="30" spans="2:24" x14ac:dyDescent="0.25">
      <c r="B30" s="11"/>
      <c r="C30" s="10" t="s">
        <v>15</v>
      </c>
      <c r="D30" s="17" t="s">
        <v>11</v>
      </c>
      <c r="E30" s="19">
        <f>((E28/E27)*45-E31)</f>
        <v>1</v>
      </c>
      <c r="F30" s="15" t="s">
        <v>10</v>
      </c>
      <c r="H30" s="11"/>
      <c r="I30" s="10" t="s">
        <v>15</v>
      </c>
      <c r="J30" s="17" t="s">
        <v>11</v>
      </c>
      <c r="K30" s="19">
        <f>((K28/K27)*45-K31)</f>
        <v>1</v>
      </c>
      <c r="L30" s="15" t="s">
        <v>10</v>
      </c>
      <c r="N30" s="11"/>
      <c r="O30" s="10" t="s">
        <v>15</v>
      </c>
      <c r="P30" s="17" t="s">
        <v>11</v>
      </c>
      <c r="Q30" s="19">
        <f>((Q28/Q27)*45-Q31)</f>
        <v>1</v>
      </c>
      <c r="R30" s="15" t="s">
        <v>10</v>
      </c>
      <c r="T30" s="11"/>
      <c r="U30" s="10" t="s">
        <v>15</v>
      </c>
      <c r="V30" s="17" t="s">
        <v>11</v>
      </c>
      <c r="W30" s="19">
        <f>((W28/W27)*45-W31)</f>
        <v>1</v>
      </c>
      <c r="X30" s="15" t="s">
        <v>10</v>
      </c>
    </row>
    <row r="31" spans="2:24" ht="30" x14ac:dyDescent="0.25">
      <c r="B31" s="11"/>
      <c r="C31" s="10"/>
      <c r="D31" s="17" t="s">
        <v>14</v>
      </c>
      <c r="E31" s="18">
        <f>'[1]Data Lingkungan_IC'!Z98</f>
        <v>0</v>
      </c>
      <c r="F31" s="15" t="s">
        <v>13</v>
      </c>
      <c r="H31" s="11"/>
      <c r="I31" s="10"/>
      <c r="J31" s="17" t="s">
        <v>14</v>
      </c>
      <c r="K31" s="18">
        <f>'[1]Data Lingkungan_IC'!Z97</f>
        <v>0</v>
      </c>
      <c r="L31" s="15" t="s">
        <v>13</v>
      </c>
      <c r="N31" s="11"/>
      <c r="O31" s="10"/>
      <c r="P31" s="17" t="s">
        <v>14</v>
      </c>
      <c r="Q31" s="18"/>
      <c r="R31" s="15" t="s">
        <v>13</v>
      </c>
      <c r="T31" s="11"/>
      <c r="U31" s="10"/>
      <c r="V31" s="17" t="s">
        <v>14</v>
      </c>
      <c r="W31" s="18"/>
      <c r="X31" s="15" t="s">
        <v>13</v>
      </c>
    </row>
    <row r="32" spans="2:24" x14ac:dyDescent="0.25">
      <c r="B32" s="11"/>
      <c r="C32" s="10" t="s">
        <v>12</v>
      </c>
      <c r="D32" s="17" t="s">
        <v>11</v>
      </c>
      <c r="E32" s="18">
        <f>'[2]Data Lingkungan (DL)'!DL67</f>
        <v>0</v>
      </c>
      <c r="F32" s="15" t="s">
        <v>10</v>
      </c>
      <c r="H32" s="11"/>
      <c r="I32" s="10" t="s">
        <v>12</v>
      </c>
      <c r="J32" s="17" t="s">
        <v>11</v>
      </c>
      <c r="K32" s="18">
        <f>'[2]Data Lingkungan (DL)'!AI66</f>
        <v>0</v>
      </c>
      <c r="L32" s="15" t="s">
        <v>10</v>
      </c>
      <c r="N32" s="11"/>
      <c r="O32" s="10" t="s">
        <v>12</v>
      </c>
      <c r="P32" s="17" t="s">
        <v>11</v>
      </c>
      <c r="Q32" s="18">
        <f>'[2]Data Lingkungan (DL)'!DC69</f>
        <v>0</v>
      </c>
      <c r="R32" s="15" t="s">
        <v>10</v>
      </c>
      <c r="T32" s="11"/>
      <c r="U32" s="10" t="s">
        <v>12</v>
      </c>
      <c r="V32" s="17" t="s">
        <v>11</v>
      </c>
      <c r="W32" s="18">
        <f>'[2]Data Lingkungan (DL)'!CT64</f>
        <v>0</v>
      </c>
      <c r="X32" s="15" t="s">
        <v>10</v>
      </c>
    </row>
    <row r="33" spans="2:24" ht="45" x14ac:dyDescent="0.25">
      <c r="B33" s="11"/>
      <c r="C33" s="10" t="s">
        <v>1</v>
      </c>
      <c r="D33" s="17"/>
      <c r="E33" s="16">
        <f>(E29/E27)</f>
        <v>0.97685185185185186</v>
      </c>
      <c r="F33" s="15" t="s">
        <v>9</v>
      </c>
      <c r="H33" s="11"/>
      <c r="I33" s="10" t="s">
        <v>1</v>
      </c>
      <c r="J33" s="17"/>
      <c r="K33" s="16">
        <f>(K29/K27)</f>
        <v>0.97685185185185186</v>
      </c>
      <c r="L33" s="15" t="s">
        <v>9</v>
      </c>
      <c r="N33" s="11"/>
      <c r="O33" s="10" t="s">
        <v>1</v>
      </c>
      <c r="P33" s="17"/>
      <c r="Q33" s="16">
        <f>(Q29/Q27)</f>
        <v>0.97685185185185186</v>
      </c>
      <c r="R33" s="15" t="s">
        <v>9</v>
      </c>
      <c r="T33" s="11"/>
      <c r="U33" s="10" t="s">
        <v>1</v>
      </c>
      <c r="V33" s="17"/>
      <c r="W33" s="16">
        <f>(W29/W27)</f>
        <v>0.97685185185185186</v>
      </c>
      <c r="X33" s="15" t="s">
        <v>9</v>
      </c>
    </row>
    <row r="34" spans="2:24" x14ac:dyDescent="0.25">
      <c r="B34" s="11"/>
      <c r="C34" s="10" t="s">
        <v>8</v>
      </c>
      <c r="D34" s="14" t="s">
        <v>7</v>
      </c>
      <c r="E34" s="13" t="s">
        <v>59</v>
      </c>
      <c r="F34" s="12"/>
      <c r="H34" s="11"/>
      <c r="I34" s="10" t="s">
        <v>8</v>
      </c>
      <c r="J34" s="14" t="s">
        <v>7</v>
      </c>
      <c r="K34" s="13" t="s">
        <v>6</v>
      </c>
      <c r="L34" s="12"/>
      <c r="N34" s="11"/>
      <c r="O34" s="10" t="s">
        <v>8</v>
      </c>
      <c r="P34" s="14" t="s">
        <v>7</v>
      </c>
      <c r="Q34" s="13" t="s">
        <v>6</v>
      </c>
      <c r="R34" s="12"/>
      <c r="T34" s="11"/>
      <c r="U34" s="10" t="s">
        <v>8</v>
      </c>
      <c r="V34" s="14" t="s">
        <v>7</v>
      </c>
      <c r="W34" s="13" t="s">
        <v>6</v>
      </c>
      <c r="X34" s="12"/>
    </row>
    <row r="35" spans="2:24" x14ac:dyDescent="0.25">
      <c r="B35" s="11"/>
      <c r="C35" s="10"/>
      <c r="D35" s="9" t="s">
        <v>4</v>
      </c>
      <c r="E35" s="8" t="s">
        <v>58</v>
      </c>
      <c r="F35" s="7" t="s">
        <v>57</v>
      </c>
      <c r="H35" s="11"/>
      <c r="I35" s="10"/>
      <c r="J35" s="9" t="s">
        <v>4</v>
      </c>
      <c r="K35" s="8" t="s">
        <v>5</v>
      </c>
      <c r="L35" s="7" t="s">
        <v>2</v>
      </c>
      <c r="N35" s="11"/>
      <c r="O35" s="10"/>
      <c r="P35" s="9" t="s">
        <v>4</v>
      </c>
      <c r="Q35" s="8" t="s">
        <v>5</v>
      </c>
      <c r="R35" s="7" t="s">
        <v>2</v>
      </c>
      <c r="T35" s="11"/>
      <c r="U35" s="10"/>
      <c r="V35" s="9" t="s">
        <v>4</v>
      </c>
      <c r="W35" s="8" t="s">
        <v>5</v>
      </c>
      <c r="X35" s="7" t="s">
        <v>2</v>
      </c>
    </row>
    <row r="36" spans="2:24" ht="30.75" thickBot="1" x14ac:dyDescent="0.3">
      <c r="B36" s="6"/>
      <c r="C36" s="5"/>
      <c r="D36" s="4" t="s">
        <v>1</v>
      </c>
      <c r="E36" s="3">
        <v>1</v>
      </c>
      <c r="F36" s="2" t="s">
        <v>0</v>
      </c>
      <c r="H36" s="6"/>
      <c r="I36" s="5"/>
      <c r="J36" s="4" t="s">
        <v>1</v>
      </c>
      <c r="K36" s="3">
        <v>1</v>
      </c>
      <c r="L36" s="2" t="s">
        <v>0</v>
      </c>
      <c r="N36" s="6"/>
      <c r="O36" s="5"/>
      <c r="P36" s="4" t="s">
        <v>1</v>
      </c>
      <c r="Q36" s="3">
        <v>1</v>
      </c>
      <c r="R36" s="2" t="s">
        <v>0</v>
      </c>
      <c r="T36" s="6"/>
      <c r="U36" s="5"/>
      <c r="V36" s="4" t="s">
        <v>1</v>
      </c>
      <c r="W36" s="3">
        <v>1</v>
      </c>
      <c r="X36" s="2" t="s">
        <v>0</v>
      </c>
    </row>
    <row r="37" spans="2:24" ht="15.75" thickBot="1" x14ac:dyDescent="0.3">
      <c r="U37" s="30"/>
      <c r="V37" s="30"/>
      <c r="W37" s="29"/>
      <c r="X37" s="28"/>
    </row>
    <row r="38" spans="2:24" x14ac:dyDescent="0.25">
      <c r="B38" s="40" t="s">
        <v>34</v>
      </c>
      <c r="C38" s="41"/>
      <c r="D38" s="41"/>
      <c r="E38" s="41"/>
      <c r="F38" s="42"/>
      <c r="H38" s="40" t="s">
        <v>34</v>
      </c>
      <c r="I38" s="41"/>
      <c r="J38" s="41"/>
      <c r="K38" s="41"/>
      <c r="L38" s="42"/>
      <c r="N38" s="40" t="s">
        <v>34</v>
      </c>
      <c r="O38" s="41"/>
      <c r="P38" s="41"/>
      <c r="Q38" s="41"/>
      <c r="R38" s="42"/>
      <c r="T38" s="40" t="s">
        <v>34</v>
      </c>
      <c r="U38" s="41"/>
      <c r="V38" s="41"/>
      <c r="W38" s="41"/>
      <c r="X38" s="42"/>
    </row>
    <row r="39" spans="2:24" ht="15.75" thickBot="1" x14ac:dyDescent="0.3">
      <c r="B39" s="43" t="s">
        <v>33</v>
      </c>
      <c r="C39" s="44"/>
      <c r="D39" s="44"/>
      <c r="E39" s="44"/>
      <c r="F39" s="45"/>
      <c r="H39" s="31" t="s">
        <v>33</v>
      </c>
      <c r="I39" s="32"/>
      <c r="J39" s="32"/>
      <c r="K39" s="32"/>
      <c r="L39" s="33"/>
      <c r="N39" s="43" t="s">
        <v>33</v>
      </c>
      <c r="O39" s="44"/>
      <c r="P39" s="44"/>
      <c r="Q39" s="44"/>
      <c r="R39" s="45"/>
      <c r="T39" s="43" t="s">
        <v>33</v>
      </c>
      <c r="U39" s="44"/>
      <c r="V39" s="44"/>
      <c r="W39" s="44"/>
      <c r="X39" s="45"/>
    </row>
    <row r="40" spans="2:24" x14ac:dyDescent="0.25">
      <c r="B40" s="37" t="s">
        <v>32</v>
      </c>
      <c r="C40" s="38"/>
      <c r="D40" s="38"/>
      <c r="E40" s="38"/>
      <c r="F40" s="39"/>
      <c r="H40" s="37" t="s">
        <v>32</v>
      </c>
      <c r="I40" s="38"/>
      <c r="J40" s="38"/>
      <c r="K40" s="38"/>
      <c r="L40" s="39"/>
      <c r="N40" s="37" t="s">
        <v>32</v>
      </c>
      <c r="O40" s="38"/>
      <c r="P40" s="38"/>
      <c r="Q40" s="38"/>
      <c r="R40" s="39"/>
      <c r="T40" s="37" t="s">
        <v>32</v>
      </c>
      <c r="U40" s="38"/>
      <c r="V40" s="38"/>
      <c r="W40" s="38"/>
      <c r="X40" s="39"/>
    </row>
    <row r="41" spans="2:24" ht="15.75" thickBot="1" x14ac:dyDescent="0.3">
      <c r="B41" s="27" t="s">
        <v>31</v>
      </c>
      <c r="C41" s="26" t="s">
        <v>30</v>
      </c>
      <c r="D41" s="26" t="s">
        <v>29</v>
      </c>
      <c r="E41" s="26" t="s">
        <v>28</v>
      </c>
      <c r="F41" s="25" t="s">
        <v>27</v>
      </c>
      <c r="H41" s="27" t="s">
        <v>31</v>
      </c>
      <c r="I41" s="26" t="s">
        <v>30</v>
      </c>
      <c r="J41" s="26" t="s">
        <v>29</v>
      </c>
      <c r="K41" s="26" t="s">
        <v>28</v>
      </c>
      <c r="L41" s="25" t="s">
        <v>27</v>
      </c>
      <c r="N41" s="27" t="s">
        <v>31</v>
      </c>
      <c r="O41" s="26" t="s">
        <v>30</v>
      </c>
      <c r="P41" s="26" t="s">
        <v>29</v>
      </c>
      <c r="Q41" s="26" t="s">
        <v>28</v>
      </c>
      <c r="R41" s="25" t="s">
        <v>27</v>
      </c>
      <c r="T41" s="27" t="s">
        <v>31</v>
      </c>
      <c r="U41" s="26" t="s">
        <v>30</v>
      </c>
      <c r="V41" s="26" t="s">
        <v>29</v>
      </c>
      <c r="W41" s="26" t="s">
        <v>28</v>
      </c>
      <c r="X41" s="25" t="s">
        <v>27</v>
      </c>
    </row>
    <row r="42" spans="2:24" x14ac:dyDescent="0.25">
      <c r="B42" s="37" t="s">
        <v>26</v>
      </c>
      <c r="C42" s="38"/>
      <c r="D42" s="38"/>
      <c r="E42" s="38"/>
      <c r="F42" s="39"/>
      <c r="H42" s="34" t="s">
        <v>26</v>
      </c>
      <c r="I42" s="35"/>
      <c r="J42" s="35"/>
      <c r="K42" s="35"/>
      <c r="L42" s="36"/>
      <c r="N42" s="37" t="s">
        <v>26</v>
      </c>
      <c r="O42" s="38"/>
      <c r="P42" s="38"/>
      <c r="Q42" s="38"/>
      <c r="R42" s="39"/>
      <c r="T42" s="37" t="s">
        <v>26</v>
      </c>
      <c r="U42" s="38"/>
      <c r="V42" s="38"/>
      <c r="W42" s="38"/>
      <c r="X42" s="39"/>
    </row>
    <row r="43" spans="2:24" x14ac:dyDescent="0.25">
      <c r="B43" s="11"/>
      <c r="C43" s="22" t="s">
        <v>24</v>
      </c>
      <c r="D43" s="22"/>
      <c r="E43" s="13" t="s">
        <v>73</v>
      </c>
      <c r="F43" s="23"/>
      <c r="H43" s="11"/>
      <c r="I43" s="22" t="s">
        <v>24</v>
      </c>
      <c r="J43" s="22"/>
      <c r="K43" s="13" t="s">
        <v>42</v>
      </c>
      <c r="L43" s="23"/>
      <c r="N43" s="11"/>
      <c r="O43" s="22" t="s">
        <v>24</v>
      </c>
      <c r="P43" s="22"/>
      <c r="Q43" s="13" t="s">
        <v>72</v>
      </c>
      <c r="R43" s="23"/>
      <c r="T43" s="11"/>
      <c r="U43" s="22" t="s">
        <v>24</v>
      </c>
      <c r="V43" s="22"/>
      <c r="W43" s="13" t="s">
        <v>71</v>
      </c>
      <c r="X43" s="23"/>
    </row>
    <row r="44" spans="2:24" x14ac:dyDescent="0.25">
      <c r="B44" s="11"/>
      <c r="C44" s="22" t="s">
        <v>21</v>
      </c>
      <c r="D44" s="22"/>
      <c r="E44" s="24" t="s">
        <v>70</v>
      </c>
      <c r="F44" s="23"/>
      <c r="H44" s="11"/>
      <c r="I44" s="22" t="s">
        <v>21</v>
      </c>
      <c r="J44" s="22"/>
      <c r="K44" s="24" t="s">
        <v>69</v>
      </c>
      <c r="L44" s="23"/>
      <c r="N44" s="11"/>
      <c r="O44" s="22" t="s">
        <v>21</v>
      </c>
      <c r="P44" s="22"/>
      <c r="Q44" s="24" t="s">
        <v>68</v>
      </c>
      <c r="R44" s="23"/>
      <c r="T44" s="11"/>
      <c r="U44" s="22" t="s">
        <v>21</v>
      </c>
      <c r="V44" s="22"/>
      <c r="W44" s="24" t="s">
        <v>67</v>
      </c>
      <c r="X44" s="23"/>
    </row>
    <row r="45" spans="2:24" x14ac:dyDescent="0.25">
      <c r="B45" s="11"/>
      <c r="C45" s="22" t="s">
        <v>19</v>
      </c>
      <c r="D45" s="14"/>
      <c r="E45" s="13">
        <f>15*12*30</f>
        <v>5400</v>
      </c>
      <c r="F45" s="12" t="s">
        <v>16</v>
      </c>
      <c r="H45" s="11"/>
      <c r="I45" s="22" t="s">
        <v>19</v>
      </c>
      <c r="J45" s="14"/>
      <c r="K45" s="13">
        <f>15*12*30</f>
        <v>5400</v>
      </c>
      <c r="L45" s="12" t="s">
        <v>16</v>
      </c>
      <c r="N45" s="11"/>
      <c r="O45" s="22" t="s">
        <v>19</v>
      </c>
      <c r="P45" s="14"/>
      <c r="Q45" s="13">
        <f>15*12*30</f>
        <v>5400</v>
      </c>
      <c r="R45" s="12" t="s">
        <v>16</v>
      </c>
      <c r="T45" s="11"/>
      <c r="U45" s="22" t="s">
        <v>19</v>
      </c>
      <c r="V45" s="14"/>
      <c r="W45" s="13">
        <f>15*12*30</f>
        <v>5400</v>
      </c>
      <c r="X45" s="12" t="s">
        <v>16</v>
      </c>
    </row>
    <row r="46" spans="2:24" x14ac:dyDescent="0.25">
      <c r="B46" s="11"/>
      <c r="C46" s="21" t="s">
        <v>18</v>
      </c>
      <c r="D46" s="9"/>
      <c r="E46" s="8">
        <v>120</v>
      </c>
      <c r="F46" s="7" t="s">
        <v>16</v>
      </c>
      <c r="H46" s="11"/>
      <c r="I46" s="21" t="s">
        <v>18</v>
      </c>
      <c r="J46" s="9"/>
      <c r="K46" s="8">
        <v>120</v>
      </c>
      <c r="L46" s="7" t="s">
        <v>16</v>
      </c>
      <c r="N46" s="11"/>
      <c r="O46" s="21" t="s">
        <v>18</v>
      </c>
      <c r="P46" s="9"/>
      <c r="Q46" s="8">
        <v>120</v>
      </c>
      <c r="R46" s="7" t="s">
        <v>16</v>
      </c>
      <c r="T46" s="11"/>
      <c r="U46" s="21" t="s">
        <v>18</v>
      </c>
      <c r="V46" s="9"/>
      <c r="W46" s="8">
        <v>120</v>
      </c>
      <c r="X46" s="7" t="s">
        <v>16</v>
      </c>
    </row>
    <row r="47" spans="2:24" x14ac:dyDescent="0.25">
      <c r="B47" s="11"/>
      <c r="C47" s="10" t="s">
        <v>17</v>
      </c>
      <c r="D47" s="17"/>
      <c r="E47" s="20">
        <f>E45-E46-(E48+E50)/2*10</f>
        <v>5275</v>
      </c>
      <c r="F47" s="15" t="s">
        <v>16</v>
      </c>
      <c r="H47" s="11"/>
      <c r="I47" s="10" t="s">
        <v>17</v>
      </c>
      <c r="J47" s="17"/>
      <c r="K47" s="20">
        <f>K45-K46-(K48+K50)/2*10</f>
        <v>5275</v>
      </c>
      <c r="L47" s="15" t="s">
        <v>16</v>
      </c>
      <c r="N47" s="11"/>
      <c r="O47" s="10" t="s">
        <v>17</v>
      </c>
      <c r="P47" s="17"/>
      <c r="Q47" s="20">
        <f>Q45-Q46-(Q48+Q50)/2*10</f>
        <v>5275</v>
      </c>
      <c r="R47" s="15" t="s">
        <v>16</v>
      </c>
      <c r="T47" s="11"/>
      <c r="U47" s="10" t="s">
        <v>17</v>
      </c>
      <c r="V47" s="17"/>
      <c r="W47" s="20">
        <f>W45-W46-(W48+W50)/2*10</f>
        <v>5275</v>
      </c>
      <c r="X47" s="15" t="s">
        <v>16</v>
      </c>
    </row>
    <row r="48" spans="2:24" x14ac:dyDescent="0.25">
      <c r="B48" s="11"/>
      <c r="C48" s="10" t="s">
        <v>15</v>
      </c>
      <c r="D48" s="17" t="s">
        <v>11</v>
      </c>
      <c r="E48" s="19">
        <f>((E46/E45)*45-E49)</f>
        <v>1</v>
      </c>
      <c r="F48" s="15" t="s">
        <v>10</v>
      </c>
      <c r="H48" s="11"/>
      <c r="I48" s="10" t="s">
        <v>15</v>
      </c>
      <c r="J48" s="17" t="s">
        <v>11</v>
      </c>
      <c r="K48" s="19">
        <f>((K46/K45)*45-K49)</f>
        <v>1</v>
      </c>
      <c r="L48" s="15" t="s">
        <v>10</v>
      </c>
      <c r="N48" s="11"/>
      <c r="O48" s="10" t="s">
        <v>15</v>
      </c>
      <c r="P48" s="17" t="s">
        <v>11</v>
      </c>
      <c r="Q48" s="19">
        <f>((Q46/Q45)*45-Q49)</f>
        <v>1</v>
      </c>
      <c r="R48" s="15" t="s">
        <v>10</v>
      </c>
      <c r="T48" s="11"/>
      <c r="U48" s="10" t="s">
        <v>15</v>
      </c>
      <c r="V48" s="17" t="s">
        <v>11</v>
      </c>
      <c r="W48" s="19">
        <f>((W46/W45)*45-W49)</f>
        <v>1</v>
      </c>
      <c r="X48" s="15" t="s">
        <v>10</v>
      </c>
    </row>
    <row r="49" spans="2:24" ht="30" x14ac:dyDescent="0.25">
      <c r="B49" s="11"/>
      <c r="C49" s="10"/>
      <c r="D49" s="17" t="s">
        <v>14</v>
      </c>
      <c r="E49" s="18">
        <f>'[1]Data Lingkungan_IC'!Z129</f>
        <v>0</v>
      </c>
      <c r="F49" s="15" t="s">
        <v>13</v>
      </c>
      <c r="H49" s="11"/>
      <c r="I49" s="10"/>
      <c r="J49" s="17" t="s">
        <v>14</v>
      </c>
      <c r="K49" s="18">
        <f>'[1]Data Lingkungan_IC'!Z128</f>
        <v>0</v>
      </c>
      <c r="L49" s="15" t="s">
        <v>13</v>
      </c>
      <c r="N49" s="11"/>
      <c r="O49" s="10"/>
      <c r="P49" s="17" t="s">
        <v>14</v>
      </c>
      <c r="Q49" s="18"/>
      <c r="R49" s="15" t="s">
        <v>13</v>
      </c>
      <c r="T49" s="11"/>
      <c r="U49" s="10"/>
      <c r="V49" s="17" t="s">
        <v>14</v>
      </c>
      <c r="W49" s="18"/>
      <c r="X49" s="15" t="s">
        <v>13</v>
      </c>
    </row>
    <row r="50" spans="2:24" x14ac:dyDescent="0.25">
      <c r="B50" s="11"/>
      <c r="C50" s="10" t="s">
        <v>12</v>
      </c>
      <c r="D50" s="17" t="s">
        <v>11</v>
      </c>
      <c r="E50" s="18">
        <f>'[2]Data Lingkungan (DL)'!DL68</f>
        <v>0</v>
      </c>
      <c r="F50" s="15" t="s">
        <v>10</v>
      </c>
      <c r="H50" s="11"/>
      <c r="I50" s="10" t="s">
        <v>12</v>
      </c>
      <c r="J50" s="17" t="s">
        <v>11</v>
      </c>
      <c r="K50" s="18">
        <f>'[2]Data Lingkungan (DL)'!AI67</f>
        <v>0</v>
      </c>
      <c r="L50" s="15" t="s">
        <v>10</v>
      </c>
      <c r="N50" s="11"/>
      <c r="O50" s="10" t="s">
        <v>12</v>
      </c>
      <c r="P50" s="17" t="s">
        <v>11</v>
      </c>
      <c r="Q50" s="18">
        <f>'[2]Data Lingkungan (DL)'!DC70</f>
        <v>0</v>
      </c>
      <c r="R50" s="15" t="s">
        <v>10</v>
      </c>
      <c r="T50" s="11"/>
      <c r="U50" s="10" t="s">
        <v>12</v>
      </c>
      <c r="V50" s="17" t="s">
        <v>11</v>
      </c>
      <c r="W50" s="18">
        <f>'[2]Data Lingkungan (DL)'!DC67</f>
        <v>0</v>
      </c>
      <c r="X50" s="15" t="s">
        <v>10</v>
      </c>
    </row>
    <row r="51" spans="2:24" ht="45" x14ac:dyDescent="0.25">
      <c r="B51" s="11"/>
      <c r="C51" s="10" t="s">
        <v>1</v>
      </c>
      <c r="D51" s="17"/>
      <c r="E51" s="16">
        <f>(E47/E45)</f>
        <v>0.97685185185185186</v>
      </c>
      <c r="F51" s="15" t="s">
        <v>9</v>
      </c>
      <c r="H51" s="11"/>
      <c r="I51" s="10" t="s">
        <v>1</v>
      </c>
      <c r="J51" s="17"/>
      <c r="K51" s="16">
        <f>(K47/K45)</f>
        <v>0.97685185185185186</v>
      </c>
      <c r="L51" s="15" t="s">
        <v>9</v>
      </c>
      <c r="N51" s="11"/>
      <c r="O51" s="10" t="s">
        <v>1</v>
      </c>
      <c r="P51" s="17"/>
      <c r="Q51" s="16">
        <f>(Q47/Q45)</f>
        <v>0.97685185185185186</v>
      </c>
      <c r="R51" s="15" t="s">
        <v>9</v>
      </c>
      <c r="T51" s="11"/>
      <c r="U51" s="10" t="s">
        <v>1</v>
      </c>
      <c r="V51" s="17"/>
      <c r="W51" s="16">
        <f>(W47/W45)</f>
        <v>0.97685185185185186</v>
      </c>
      <c r="X51" s="15" t="s">
        <v>9</v>
      </c>
    </row>
    <row r="52" spans="2:24" x14ac:dyDescent="0.25">
      <c r="B52" s="11"/>
      <c r="C52" s="10" t="s">
        <v>8</v>
      </c>
      <c r="D52" s="14" t="s">
        <v>7</v>
      </c>
      <c r="E52" s="13" t="s">
        <v>59</v>
      </c>
      <c r="F52" s="12"/>
      <c r="H52" s="11"/>
      <c r="I52" s="10" t="s">
        <v>8</v>
      </c>
      <c r="J52" s="14" t="s">
        <v>7</v>
      </c>
      <c r="K52" s="13" t="s">
        <v>6</v>
      </c>
      <c r="L52" s="12"/>
      <c r="N52" s="11"/>
      <c r="O52" s="10" t="s">
        <v>8</v>
      </c>
      <c r="P52" s="14" t="s">
        <v>7</v>
      </c>
      <c r="Q52" s="13" t="s">
        <v>6</v>
      </c>
      <c r="R52" s="12"/>
      <c r="T52" s="11"/>
      <c r="U52" s="10" t="s">
        <v>8</v>
      </c>
      <c r="V52" s="14" t="s">
        <v>7</v>
      </c>
      <c r="W52" s="13" t="s">
        <v>6</v>
      </c>
      <c r="X52" s="12"/>
    </row>
    <row r="53" spans="2:24" x14ac:dyDescent="0.25">
      <c r="B53" s="11"/>
      <c r="C53" s="10"/>
      <c r="D53" s="9" t="s">
        <v>4</v>
      </c>
      <c r="E53" s="8" t="s">
        <v>58</v>
      </c>
      <c r="F53" s="7" t="s">
        <v>57</v>
      </c>
      <c r="H53" s="11"/>
      <c r="I53" s="10"/>
      <c r="J53" s="9" t="s">
        <v>4</v>
      </c>
      <c r="K53" s="8" t="s">
        <v>5</v>
      </c>
      <c r="L53" s="7" t="s">
        <v>2</v>
      </c>
      <c r="N53" s="11"/>
      <c r="O53" s="10"/>
      <c r="P53" s="9" t="s">
        <v>4</v>
      </c>
      <c r="Q53" s="8" t="s">
        <v>5</v>
      </c>
      <c r="R53" s="7" t="s">
        <v>2</v>
      </c>
      <c r="T53" s="11"/>
      <c r="U53" s="10"/>
      <c r="V53" s="9" t="s">
        <v>4</v>
      </c>
      <c r="W53" s="8" t="s">
        <v>5</v>
      </c>
      <c r="X53" s="7" t="s">
        <v>2</v>
      </c>
    </row>
    <row r="54" spans="2:24" ht="30.75" thickBot="1" x14ac:dyDescent="0.3">
      <c r="B54" s="6"/>
      <c r="C54" s="5"/>
      <c r="D54" s="4" t="s">
        <v>1</v>
      </c>
      <c r="E54" s="3">
        <v>1</v>
      </c>
      <c r="F54" s="2" t="s">
        <v>0</v>
      </c>
      <c r="H54" s="6"/>
      <c r="I54" s="5"/>
      <c r="J54" s="4" t="s">
        <v>1</v>
      </c>
      <c r="K54" s="3">
        <v>1</v>
      </c>
      <c r="L54" s="2" t="s">
        <v>0</v>
      </c>
      <c r="N54" s="6"/>
      <c r="O54" s="5"/>
      <c r="P54" s="4" t="s">
        <v>1</v>
      </c>
      <c r="Q54" s="3">
        <v>1</v>
      </c>
      <c r="R54" s="2" t="s">
        <v>0</v>
      </c>
      <c r="T54" s="6"/>
      <c r="U54" s="5"/>
      <c r="V54" s="4" t="s">
        <v>1</v>
      </c>
      <c r="W54" s="3">
        <v>1</v>
      </c>
      <c r="X54" s="2" t="s">
        <v>0</v>
      </c>
    </row>
    <row r="55" spans="2:24" ht="15.75" thickBot="1" x14ac:dyDescent="0.3"/>
    <row r="56" spans="2:24" x14ac:dyDescent="0.25">
      <c r="B56" s="40" t="s">
        <v>34</v>
      </c>
      <c r="C56" s="41"/>
      <c r="D56" s="41"/>
      <c r="E56" s="41"/>
      <c r="F56" s="42"/>
      <c r="H56" s="40" t="s">
        <v>34</v>
      </c>
      <c r="I56" s="41"/>
      <c r="J56" s="41"/>
      <c r="K56" s="41"/>
      <c r="L56" s="42"/>
      <c r="N56" s="40" t="s">
        <v>34</v>
      </c>
      <c r="O56" s="41"/>
      <c r="P56" s="41"/>
      <c r="Q56" s="41"/>
      <c r="R56" s="42"/>
      <c r="T56" s="40" t="s">
        <v>34</v>
      </c>
      <c r="U56" s="41"/>
      <c r="V56" s="41"/>
      <c r="W56" s="41"/>
      <c r="X56" s="42"/>
    </row>
    <row r="57" spans="2:24" ht="15.75" thickBot="1" x14ac:dyDescent="0.3">
      <c r="B57" s="43" t="s">
        <v>33</v>
      </c>
      <c r="C57" s="44"/>
      <c r="D57" s="44"/>
      <c r="E57" s="44"/>
      <c r="F57" s="45"/>
      <c r="H57" s="31" t="s">
        <v>33</v>
      </c>
      <c r="I57" s="32"/>
      <c r="J57" s="32"/>
      <c r="K57" s="32"/>
      <c r="L57" s="33"/>
      <c r="N57" s="43" t="s">
        <v>33</v>
      </c>
      <c r="O57" s="44"/>
      <c r="P57" s="44"/>
      <c r="Q57" s="44"/>
      <c r="R57" s="45"/>
      <c r="T57" s="31" t="s">
        <v>33</v>
      </c>
      <c r="U57" s="32"/>
      <c r="V57" s="32"/>
      <c r="W57" s="32"/>
      <c r="X57" s="33"/>
    </row>
    <row r="58" spans="2:24" x14ac:dyDescent="0.25">
      <c r="B58" s="37" t="s">
        <v>32</v>
      </c>
      <c r="C58" s="38"/>
      <c r="D58" s="38"/>
      <c r="E58" s="38"/>
      <c r="F58" s="39"/>
      <c r="H58" s="37" t="s">
        <v>32</v>
      </c>
      <c r="I58" s="38"/>
      <c r="J58" s="38"/>
      <c r="K58" s="38"/>
      <c r="L58" s="39"/>
      <c r="N58" s="37" t="s">
        <v>32</v>
      </c>
      <c r="O58" s="38"/>
      <c r="P58" s="38"/>
      <c r="Q58" s="38"/>
      <c r="R58" s="39"/>
      <c r="T58" s="37" t="s">
        <v>32</v>
      </c>
      <c r="U58" s="38"/>
      <c r="V58" s="38"/>
      <c r="W58" s="38"/>
      <c r="X58" s="39"/>
    </row>
    <row r="59" spans="2:24" ht="15.75" thickBot="1" x14ac:dyDescent="0.3">
      <c r="B59" s="27" t="s">
        <v>31</v>
      </c>
      <c r="C59" s="26" t="s">
        <v>30</v>
      </c>
      <c r="D59" s="26" t="s">
        <v>29</v>
      </c>
      <c r="E59" s="26" t="s">
        <v>28</v>
      </c>
      <c r="F59" s="25" t="s">
        <v>27</v>
      </c>
      <c r="H59" s="27" t="s">
        <v>31</v>
      </c>
      <c r="I59" s="26" t="s">
        <v>30</v>
      </c>
      <c r="J59" s="26" t="s">
        <v>29</v>
      </c>
      <c r="K59" s="26" t="s">
        <v>28</v>
      </c>
      <c r="L59" s="25" t="s">
        <v>27</v>
      </c>
      <c r="N59" s="27" t="s">
        <v>31</v>
      </c>
      <c r="O59" s="26" t="s">
        <v>30</v>
      </c>
      <c r="P59" s="26" t="s">
        <v>29</v>
      </c>
      <c r="Q59" s="26" t="s">
        <v>28</v>
      </c>
      <c r="R59" s="25" t="s">
        <v>27</v>
      </c>
      <c r="T59" s="27" t="s">
        <v>31</v>
      </c>
      <c r="U59" s="26" t="s">
        <v>30</v>
      </c>
      <c r="V59" s="26" t="s">
        <v>29</v>
      </c>
      <c r="W59" s="26" t="s">
        <v>28</v>
      </c>
      <c r="X59" s="25" t="s">
        <v>27</v>
      </c>
    </row>
    <row r="60" spans="2:24" x14ac:dyDescent="0.25">
      <c r="B60" s="37" t="s">
        <v>26</v>
      </c>
      <c r="C60" s="38"/>
      <c r="D60" s="38"/>
      <c r="E60" s="38"/>
      <c r="F60" s="39"/>
      <c r="H60" s="34" t="s">
        <v>26</v>
      </c>
      <c r="I60" s="35"/>
      <c r="J60" s="35"/>
      <c r="K60" s="35"/>
      <c r="L60" s="36"/>
      <c r="N60" s="37" t="s">
        <v>26</v>
      </c>
      <c r="O60" s="38"/>
      <c r="P60" s="38"/>
      <c r="Q60" s="38"/>
      <c r="R60" s="39"/>
      <c r="T60" s="34" t="s">
        <v>26</v>
      </c>
      <c r="U60" s="35"/>
      <c r="V60" s="35"/>
      <c r="W60" s="35"/>
      <c r="X60" s="36"/>
    </row>
    <row r="61" spans="2:24" ht="30" x14ac:dyDescent="0.25">
      <c r="B61" s="11"/>
      <c r="C61" s="22" t="s">
        <v>24</v>
      </c>
      <c r="D61" s="22"/>
      <c r="E61" s="13" t="s">
        <v>66</v>
      </c>
      <c r="F61" s="23"/>
      <c r="H61" s="11"/>
      <c r="I61" s="22" t="s">
        <v>24</v>
      </c>
      <c r="J61" s="22"/>
      <c r="K61" s="13" t="s">
        <v>42</v>
      </c>
      <c r="L61" s="23"/>
      <c r="N61" s="11"/>
      <c r="O61" s="22" t="s">
        <v>24</v>
      </c>
      <c r="P61" s="22"/>
      <c r="Q61" s="13" t="s">
        <v>65</v>
      </c>
      <c r="R61" s="23"/>
      <c r="T61" s="11"/>
      <c r="U61" s="22" t="s">
        <v>24</v>
      </c>
      <c r="V61" s="22"/>
      <c r="W61" s="13" t="s">
        <v>64</v>
      </c>
      <c r="X61" s="23"/>
    </row>
    <row r="62" spans="2:24" x14ac:dyDescent="0.25">
      <c r="B62" s="11"/>
      <c r="C62" s="22" t="s">
        <v>21</v>
      </c>
      <c r="D62" s="22"/>
      <c r="E62" s="24" t="s">
        <v>63</v>
      </c>
      <c r="F62" s="23"/>
      <c r="H62" s="11"/>
      <c r="I62" s="22" t="s">
        <v>21</v>
      </c>
      <c r="J62" s="22"/>
      <c r="K62" s="24" t="s">
        <v>62</v>
      </c>
      <c r="L62" s="23"/>
      <c r="N62" s="11"/>
      <c r="O62" s="22" t="s">
        <v>21</v>
      </c>
      <c r="P62" s="22"/>
      <c r="Q62" s="24" t="s">
        <v>61</v>
      </c>
      <c r="R62" s="23"/>
      <c r="T62" s="11"/>
      <c r="U62" s="22" t="s">
        <v>21</v>
      </c>
      <c r="V62" s="22"/>
      <c r="W62" s="24" t="s">
        <v>60</v>
      </c>
      <c r="X62" s="23"/>
    </row>
    <row r="63" spans="2:24" x14ac:dyDescent="0.25">
      <c r="B63" s="11"/>
      <c r="C63" s="22" t="s">
        <v>19</v>
      </c>
      <c r="D63" s="14"/>
      <c r="E63" s="13">
        <f>15*12*30</f>
        <v>5400</v>
      </c>
      <c r="F63" s="12" t="s">
        <v>16</v>
      </c>
      <c r="H63" s="11"/>
      <c r="I63" s="22" t="s">
        <v>19</v>
      </c>
      <c r="J63" s="14"/>
      <c r="K63" s="13">
        <f>15*12*30</f>
        <v>5400</v>
      </c>
      <c r="L63" s="12" t="s">
        <v>16</v>
      </c>
      <c r="N63" s="11"/>
      <c r="O63" s="22" t="s">
        <v>19</v>
      </c>
      <c r="P63" s="14"/>
      <c r="Q63" s="13">
        <f>15*12*30</f>
        <v>5400</v>
      </c>
      <c r="R63" s="12" t="s">
        <v>16</v>
      </c>
      <c r="T63" s="11"/>
      <c r="U63" s="22" t="s">
        <v>19</v>
      </c>
      <c r="V63" s="14"/>
      <c r="W63" s="13">
        <f>15*12*30</f>
        <v>5400</v>
      </c>
      <c r="X63" s="12" t="s">
        <v>16</v>
      </c>
    </row>
    <row r="64" spans="2:24" x14ac:dyDescent="0.25">
      <c r="B64" s="11"/>
      <c r="C64" s="21" t="s">
        <v>18</v>
      </c>
      <c r="D64" s="9"/>
      <c r="E64" s="8">
        <v>120</v>
      </c>
      <c r="F64" s="7" t="s">
        <v>16</v>
      </c>
      <c r="H64" s="11"/>
      <c r="I64" s="21" t="s">
        <v>18</v>
      </c>
      <c r="J64" s="9"/>
      <c r="K64" s="8">
        <v>120</v>
      </c>
      <c r="L64" s="7" t="s">
        <v>16</v>
      </c>
      <c r="N64" s="11"/>
      <c r="O64" s="21" t="s">
        <v>18</v>
      </c>
      <c r="P64" s="9"/>
      <c r="Q64" s="8">
        <v>120</v>
      </c>
      <c r="R64" s="7" t="s">
        <v>16</v>
      </c>
      <c r="T64" s="11"/>
      <c r="U64" s="21" t="s">
        <v>18</v>
      </c>
      <c r="V64" s="9"/>
      <c r="W64" s="8">
        <v>120</v>
      </c>
      <c r="X64" s="7" t="s">
        <v>16</v>
      </c>
    </row>
    <row r="65" spans="2:24" x14ac:dyDescent="0.25">
      <c r="B65" s="11"/>
      <c r="C65" s="10" t="s">
        <v>17</v>
      </c>
      <c r="D65" s="17"/>
      <c r="E65" s="20">
        <f>E63-E64-(E66+E68)/2*10</f>
        <v>5275</v>
      </c>
      <c r="F65" s="15" t="s">
        <v>16</v>
      </c>
      <c r="H65" s="11"/>
      <c r="I65" s="10" t="s">
        <v>17</v>
      </c>
      <c r="J65" s="17"/>
      <c r="K65" s="20">
        <f>K63-K64-(K66+K68)/2*10</f>
        <v>5275</v>
      </c>
      <c r="L65" s="15" t="s">
        <v>16</v>
      </c>
      <c r="N65" s="11"/>
      <c r="O65" s="10" t="s">
        <v>17</v>
      </c>
      <c r="P65" s="17"/>
      <c r="Q65" s="20">
        <f>Q63-Q64-(Q66+Q68)/2*10</f>
        <v>5275</v>
      </c>
      <c r="R65" s="15" t="s">
        <v>16</v>
      </c>
      <c r="T65" s="11"/>
      <c r="U65" s="10" t="s">
        <v>17</v>
      </c>
      <c r="V65" s="17"/>
      <c r="W65" s="20">
        <f>W63-W64-(W66+W68)/2*10</f>
        <v>5275</v>
      </c>
      <c r="X65" s="15" t="s">
        <v>16</v>
      </c>
    </row>
    <row r="66" spans="2:24" x14ac:dyDescent="0.25">
      <c r="B66" s="11"/>
      <c r="C66" s="10" t="s">
        <v>15</v>
      </c>
      <c r="D66" s="17" t="s">
        <v>11</v>
      </c>
      <c r="E66" s="19">
        <f>((E64/E63)*45-E67)</f>
        <v>1</v>
      </c>
      <c r="F66" s="15" t="s">
        <v>10</v>
      </c>
      <c r="H66" s="11"/>
      <c r="I66" s="10" t="s">
        <v>15</v>
      </c>
      <c r="J66" s="17" t="s">
        <v>11</v>
      </c>
      <c r="K66" s="19">
        <f>((K64/K63)*45-K67)</f>
        <v>1</v>
      </c>
      <c r="L66" s="15" t="s">
        <v>10</v>
      </c>
      <c r="N66" s="11"/>
      <c r="O66" s="10" t="s">
        <v>15</v>
      </c>
      <c r="P66" s="17" t="s">
        <v>11</v>
      </c>
      <c r="Q66" s="19">
        <f>((Q64/Q63)*45-Q67)</f>
        <v>1</v>
      </c>
      <c r="R66" s="15" t="s">
        <v>10</v>
      </c>
      <c r="T66" s="11"/>
      <c r="U66" s="10" t="s">
        <v>15</v>
      </c>
      <c r="V66" s="17" t="s">
        <v>11</v>
      </c>
      <c r="W66" s="19">
        <f>((W64/W63)*45-W67)</f>
        <v>1</v>
      </c>
      <c r="X66" s="15" t="s">
        <v>10</v>
      </c>
    </row>
    <row r="67" spans="2:24" ht="30" x14ac:dyDescent="0.25">
      <c r="B67" s="11"/>
      <c r="C67" s="10"/>
      <c r="D67" s="17" t="s">
        <v>14</v>
      </c>
      <c r="E67" s="18">
        <f>'[1]Data Lingkungan_IC'!Z160</f>
        <v>0</v>
      </c>
      <c r="F67" s="15" t="s">
        <v>13</v>
      </c>
      <c r="H67" s="11"/>
      <c r="I67" s="10"/>
      <c r="J67" s="17" t="s">
        <v>14</v>
      </c>
      <c r="K67" s="18">
        <f>'[1]Data Lingkungan_IC'!Z159</f>
        <v>0</v>
      </c>
      <c r="L67" s="15" t="s">
        <v>13</v>
      </c>
      <c r="N67" s="11"/>
      <c r="O67" s="10"/>
      <c r="P67" s="17" t="s">
        <v>14</v>
      </c>
      <c r="Q67" s="18"/>
      <c r="R67" s="15" t="s">
        <v>13</v>
      </c>
      <c r="T67" s="11"/>
      <c r="U67" s="10"/>
      <c r="V67" s="17" t="s">
        <v>14</v>
      </c>
      <c r="W67" s="18"/>
      <c r="X67" s="15" t="s">
        <v>13</v>
      </c>
    </row>
    <row r="68" spans="2:24" x14ac:dyDescent="0.25">
      <c r="B68" s="11"/>
      <c r="C68" s="10" t="s">
        <v>12</v>
      </c>
      <c r="D68" s="17" t="s">
        <v>11</v>
      </c>
      <c r="E68" s="18">
        <f>'[2]Data Lingkungan (DL)'!BS68</f>
        <v>0</v>
      </c>
      <c r="F68" s="15" t="s">
        <v>10</v>
      </c>
      <c r="H68" s="11"/>
      <c r="I68" s="10" t="s">
        <v>12</v>
      </c>
      <c r="J68" s="17" t="s">
        <v>11</v>
      </c>
      <c r="K68" s="18">
        <f>'[2]Data Lingkungan (DL)'!AI68</f>
        <v>0</v>
      </c>
      <c r="L68" s="15" t="s">
        <v>10</v>
      </c>
      <c r="N68" s="11"/>
      <c r="O68" s="10" t="s">
        <v>12</v>
      </c>
      <c r="P68" s="17" t="s">
        <v>11</v>
      </c>
      <c r="Q68" s="18">
        <f>'[2]Data Lingkungan (DL)'!CT63</f>
        <v>0</v>
      </c>
      <c r="R68" s="15" t="s">
        <v>10</v>
      </c>
      <c r="T68" s="11"/>
      <c r="U68" s="10" t="s">
        <v>12</v>
      </c>
      <c r="V68" s="17" t="s">
        <v>11</v>
      </c>
      <c r="W68" s="18">
        <f>'[2]Data Lingkungan (DL)'!BA69</f>
        <v>0</v>
      </c>
      <c r="X68" s="15" t="s">
        <v>10</v>
      </c>
    </row>
    <row r="69" spans="2:24" ht="45" x14ac:dyDescent="0.25">
      <c r="B69" s="11"/>
      <c r="C69" s="10" t="s">
        <v>1</v>
      </c>
      <c r="D69" s="17"/>
      <c r="E69" s="16">
        <f>(E65/E63)</f>
        <v>0.97685185185185186</v>
      </c>
      <c r="F69" s="15" t="s">
        <v>9</v>
      </c>
      <c r="H69" s="11"/>
      <c r="I69" s="10" t="s">
        <v>1</v>
      </c>
      <c r="J69" s="17"/>
      <c r="K69" s="16">
        <f>(K65/K63)</f>
        <v>0.97685185185185186</v>
      </c>
      <c r="L69" s="15" t="s">
        <v>9</v>
      </c>
      <c r="N69" s="11"/>
      <c r="O69" s="10" t="s">
        <v>1</v>
      </c>
      <c r="P69" s="17"/>
      <c r="Q69" s="16">
        <f>(Q65/Q63)</f>
        <v>0.97685185185185186</v>
      </c>
      <c r="R69" s="15" t="s">
        <v>9</v>
      </c>
      <c r="T69" s="11"/>
      <c r="U69" s="10" t="s">
        <v>1</v>
      </c>
      <c r="V69" s="17"/>
      <c r="W69" s="16">
        <f>(W65/W63)</f>
        <v>0.97685185185185186</v>
      </c>
      <c r="X69" s="15" t="s">
        <v>9</v>
      </c>
    </row>
    <row r="70" spans="2:24" x14ac:dyDescent="0.25">
      <c r="B70" s="11"/>
      <c r="C70" s="10" t="s">
        <v>8</v>
      </c>
      <c r="D70" s="14" t="s">
        <v>7</v>
      </c>
      <c r="E70" s="13" t="s">
        <v>59</v>
      </c>
      <c r="F70" s="12"/>
      <c r="H70" s="11"/>
      <c r="I70" s="10" t="s">
        <v>8</v>
      </c>
      <c r="J70" s="14" t="s">
        <v>7</v>
      </c>
      <c r="K70" s="13" t="s">
        <v>6</v>
      </c>
      <c r="L70" s="12"/>
      <c r="N70" s="11"/>
      <c r="O70" s="10" t="s">
        <v>8</v>
      </c>
      <c r="P70" s="14" t="s">
        <v>7</v>
      </c>
      <c r="Q70" s="13" t="s">
        <v>6</v>
      </c>
      <c r="R70" s="12"/>
      <c r="T70" s="11"/>
      <c r="U70" s="10" t="s">
        <v>8</v>
      </c>
      <c r="V70" s="14" t="s">
        <v>7</v>
      </c>
      <c r="W70" s="13" t="s">
        <v>6</v>
      </c>
      <c r="X70" s="12"/>
    </row>
    <row r="71" spans="2:24" x14ac:dyDescent="0.25">
      <c r="B71" s="11"/>
      <c r="C71" s="10"/>
      <c r="D71" s="9" t="s">
        <v>4</v>
      </c>
      <c r="E71" s="8" t="s">
        <v>58</v>
      </c>
      <c r="F71" s="7" t="s">
        <v>57</v>
      </c>
      <c r="H71" s="11"/>
      <c r="I71" s="10"/>
      <c r="J71" s="9" t="s">
        <v>4</v>
      </c>
      <c r="K71" s="8" t="s">
        <v>5</v>
      </c>
      <c r="L71" s="7" t="s">
        <v>2</v>
      </c>
      <c r="N71" s="11"/>
      <c r="O71" s="10"/>
      <c r="P71" s="9" t="s">
        <v>4</v>
      </c>
      <c r="Q71" s="8" t="s">
        <v>5</v>
      </c>
      <c r="R71" s="7" t="s">
        <v>2</v>
      </c>
      <c r="T71" s="11"/>
      <c r="U71" s="10"/>
      <c r="V71" s="9" t="s">
        <v>4</v>
      </c>
      <c r="W71" s="8" t="s">
        <v>5</v>
      </c>
      <c r="X71" s="7" t="s">
        <v>2</v>
      </c>
    </row>
    <row r="72" spans="2:24" ht="30.75" thickBot="1" x14ac:dyDescent="0.3">
      <c r="B72" s="6"/>
      <c r="C72" s="5"/>
      <c r="D72" s="4" t="s">
        <v>1</v>
      </c>
      <c r="E72" s="3">
        <v>1</v>
      </c>
      <c r="F72" s="2" t="s">
        <v>0</v>
      </c>
      <c r="H72" s="6"/>
      <c r="I72" s="5"/>
      <c r="J72" s="4" t="s">
        <v>1</v>
      </c>
      <c r="K72" s="3">
        <v>1</v>
      </c>
      <c r="L72" s="2" t="s">
        <v>0</v>
      </c>
      <c r="N72" s="6"/>
      <c r="O72" s="5"/>
      <c r="P72" s="4" t="s">
        <v>1</v>
      </c>
      <c r="Q72" s="3">
        <v>1</v>
      </c>
      <c r="R72" s="2" t="s">
        <v>0</v>
      </c>
      <c r="T72" s="6"/>
      <c r="U72" s="5"/>
      <c r="V72" s="4" t="s">
        <v>1</v>
      </c>
      <c r="W72" s="3">
        <v>1</v>
      </c>
      <c r="X72" s="2" t="s">
        <v>0</v>
      </c>
    </row>
    <row r="73" spans="2:24" ht="15.75" thickBot="1" x14ac:dyDescent="0.3"/>
    <row r="74" spans="2:24" x14ac:dyDescent="0.25">
      <c r="B74" s="40" t="s">
        <v>34</v>
      </c>
      <c r="C74" s="41"/>
      <c r="D74" s="41"/>
      <c r="E74" s="41"/>
      <c r="F74" s="42"/>
      <c r="H74" s="40" t="s">
        <v>34</v>
      </c>
      <c r="I74" s="41"/>
      <c r="J74" s="41"/>
      <c r="K74" s="41"/>
      <c r="L74" s="42"/>
      <c r="N74" s="40" t="s">
        <v>34</v>
      </c>
      <c r="O74" s="41"/>
      <c r="P74" s="41"/>
      <c r="Q74" s="41"/>
      <c r="R74" s="42"/>
      <c r="T74" s="40" t="s">
        <v>34</v>
      </c>
      <c r="U74" s="41"/>
      <c r="V74" s="41"/>
      <c r="W74" s="41"/>
      <c r="X74" s="42"/>
    </row>
    <row r="75" spans="2:24" ht="15.75" thickBot="1" x14ac:dyDescent="0.3">
      <c r="B75" s="43" t="s">
        <v>33</v>
      </c>
      <c r="C75" s="44"/>
      <c r="D75" s="44"/>
      <c r="E75" s="44"/>
      <c r="F75" s="45"/>
      <c r="H75" s="31" t="s">
        <v>33</v>
      </c>
      <c r="I75" s="32"/>
      <c r="J75" s="32"/>
      <c r="K75" s="32"/>
      <c r="L75" s="33"/>
      <c r="N75" s="43" t="s">
        <v>33</v>
      </c>
      <c r="O75" s="44"/>
      <c r="P75" s="44"/>
      <c r="Q75" s="44"/>
      <c r="R75" s="45"/>
      <c r="T75" s="43" t="s">
        <v>33</v>
      </c>
      <c r="U75" s="44"/>
      <c r="V75" s="44"/>
      <c r="W75" s="44"/>
      <c r="X75" s="45"/>
    </row>
    <row r="76" spans="2:24" x14ac:dyDescent="0.25">
      <c r="B76" s="37" t="s">
        <v>32</v>
      </c>
      <c r="C76" s="38"/>
      <c r="D76" s="38"/>
      <c r="E76" s="38"/>
      <c r="F76" s="39"/>
      <c r="H76" s="37" t="s">
        <v>32</v>
      </c>
      <c r="I76" s="38"/>
      <c r="J76" s="38"/>
      <c r="K76" s="38"/>
      <c r="L76" s="39"/>
      <c r="N76" s="37" t="s">
        <v>32</v>
      </c>
      <c r="O76" s="38"/>
      <c r="P76" s="38"/>
      <c r="Q76" s="38"/>
      <c r="R76" s="39"/>
      <c r="T76" s="37" t="s">
        <v>32</v>
      </c>
      <c r="U76" s="38"/>
      <c r="V76" s="38"/>
      <c r="W76" s="38"/>
      <c r="X76" s="39"/>
    </row>
    <row r="77" spans="2:24" ht="15.75" thickBot="1" x14ac:dyDescent="0.3">
      <c r="B77" s="27" t="s">
        <v>31</v>
      </c>
      <c r="C77" s="26" t="s">
        <v>30</v>
      </c>
      <c r="D77" s="26" t="s">
        <v>29</v>
      </c>
      <c r="E77" s="26" t="s">
        <v>28</v>
      </c>
      <c r="F77" s="25" t="s">
        <v>27</v>
      </c>
      <c r="H77" s="27" t="s">
        <v>31</v>
      </c>
      <c r="I77" s="26" t="s">
        <v>30</v>
      </c>
      <c r="J77" s="26" t="s">
        <v>29</v>
      </c>
      <c r="K77" s="26" t="s">
        <v>28</v>
      </c>
      <c r="L77" s="25" t="s">
        <v>27</v>
      </c>
      <c r="N77" s="27" t="s">
        <v>31</v>
      </c>
      <c r="O77" s="26" t="s">
        <v>30</v>
      </c>
      <c r="P77" s="26" t="s">
        <v>29</v>
      </c>
      <c r="Q77" s="26" t="s">
        <v>28</v>
      </c>
      <c r="R77" s="25" t="s">
        <v>27</v>
      </c>
      <c r="T77" s="27" t="s">
        <v>31</v>
      </c>
      <c r="U77" s="26" t="s">
        <v>30</v>
      </c>
      <c r="V77" s="26" t="s">
        <v>29</v>
      </c>
      <c r="W77" s="26" t="s">
        <v>28</v>
      </c>
      <c r="X77" s="25" t="s">
        <v>27</v>
      </c>
    </row>
    <row r="78" spans="2:24" x14ac:dyDescent="0.25">
      <c r="B78" s="37" t="s">
        <v>26</v>
      </c>
      <c r="C78" s="38"/>
      <c r="D78" s="38"/>
      <c r="E78" s="38"/>
      <c r="F78" s="39"/>
      <c r="H78" s="34" t="s">
        <v>26</v>
      </c>
      <c r="I78" s="35"/>
      <c r="J78" s="35"/>
      <c r="K78" s="35"/>
      <c r="L78" s="36"/>
      <c r="N78" s="37" t="s">
        <v>26</v>
      </c>
      <c r="O78" s="38"/>
      <c r="P78" s="38"/>
      <c r="Q78" s="38"/>
      <c r="R78" s="39"/>
      <c r="T78" s="37" t="s">
        <v>26</v>
      </c>
      <c r="U78" s="38"/>
      <c r="V78" s="38"/>
      <c r="W78" s="38"/>
      <c r="X78" s="39"/>
    </row>
    <row r="79" spans="2:24" ht="30" x14ac:dyDescent="0.25">
      <c r="B79" s="11"/>
      <c r="C79" s="22" t="s">
        <v>24</v>
      </c>
      <c r="D79" s="22"/>
      <c r="E79" s="13" t="s">
        <v>50</v>
      </c>
      <c r="F79" s="23"/>
      <c r="H79" s="11"/>
      <c r="I79" s="22" t="s">
        <v>24</v>
      </c>
      <c r="J79" s="22"/>
      <c r="K79" s="13" t="s">
        <v>42</v>
      </c>
      <c r="L79" s="23"/>
      <c r="N79" s="11"/>
      <c r="O79" s="22" t="s">
        <v>24</v>
      </c>
      <c r="P79" s="22"/>
      <c r="Q79" s="13" t="s">
        <v>56</v>
      </c>
      <c r="R79" s="23"/>
      <c r="T79" s="11"/>
      <c r="U79" s="22" t="s">
        <v>24</v>
      </c>
      <c r="V79" s="22"/>
      <c r="W79" s="13" t="s">
        <v>55</v>
      </c>
      <c r="X79" s="23"/>
    </row>
    <row r="80" spans="2:24" x14ac:dyDescent="0.25">
      <c r="B80" s="11"/>
      <c r="C80" s="22" t="s">
        <v>21</v>
      </c>
      <c r="D80" s="22"/>
      <c r="E80" s="24" t="s">
        <v>54</v>
      </c>
      <c r="F80" s="23"/>
      <c r="H80" s="11"/>
      <c r="I80" s="22" t="s">
        <v>21</v>
      </c>
      <c r="J80" s="22"/>
      <c r="K80" s="24" t="s">
        <v>53</v>
      </c>
      <c r="L80" s="23"/>
      <c r="N80" s="11"/>
      <c r="O80" s="22" t="s">
        <v>21</v>
      </c>
      <c r="P80" s="22"/>
      <c r="Q80" s="24" t="s">
        <v>52</v>
      </c>
      <c r="R80" s="23"/>
      <c r="T80" s="11"/>
      <c r="U80" s="22" t="s">
        <v>21</v>
      </c>
      <c r="V80" s="22"/>
      <c r="W80" s="24" t="s">
        <v>51</v>
      </c>
      <c r="X80" s="23"/>
    </row>
    <row r="81" spans="2:24" x14ac:dyDescent="0.25">
      <c r="B81" s="11"/>
      <c r="C81" s="22" t="s">
        <v>19</v>
      </c>
      <c r="D81" s="14"/>
      <c r="E81" s="13">
        <f>15*12*30</f>
        <v>5400</v>
      </c>
      <c r="F81" s="12" t="s">
        <v>16</v>
      </c>
      <c r="H81" s="11"/>
      <c r="I81" s="22" t="s">
        <v>19</v>
      </c>
      <c r="J81" s="14"/>
      <c r="K81" s="13">
        <f>15*12*30</f>
        <v>5400</v>
      </c>
      <c r="L81" s="12" t="s">
        <v>16</v>
      </c>
      <c r="N81" s="11"/>
      <c r="O81" s="22" t="s">
        <v>19</v>
      </c>
      <c r="P81" s="14"/>
      <c r="Q81" s="13">
        <f>15*12*30</f>
        <v>5400</v>
      </c>
      <c r="R81" s="12" t="s">
        <v>16</v>
      </c>
      <c r="T81" s="11"/>
      <c r="U81" s="22" t="s">
        <v>19</v>
      </c>
      <c r="V81" s="14"/>
      <c r="W81" s="13">
        <f>15*12*30</f>
        <v>5400</v>
      </c>
      <c r="X81" s="12" t="s">
        <v>16</v>
      </c>
    </row>
    <row r="82" spans="2:24" x14ac:dyDescent="0.25">
      <c r="B82" s="11"/>
      <c r="C82" s="21" t="s">
        <v>18</v>
      </c>
      <c r="D82" s="9"/>
      <c r="E82" s="8">
        <v>120</v>
      </c>
      <c r="F82" s="7" t="s">
        <v>16</v>
      </c>
      <c r="H82" s="11"/>
      <c r="I82" s="21" t="s">
        <v>18</v>
      </c>
      <c r="J82" s="9"/>
      <c r="K82" s="8">
        <v>120</v>
      </c>
      <c r="L82" s="7" t="s">
        <v>16</v>
      </c>
      <c r="N82" s="11"/>
      <c r="O82" s="21" t="s">
        <v>18</v>
      </c>
      <c r="P82" s="9"/>
      <c r="Q82" s="8">
        <v>120</v>
      </c>
      <c r="R82" s="7" t="s">
        <v>16</v>
      </c>
      <c r="T82" s="11"/>
      <c r="U82" s="21" t="s">
        <v>18</v>
      </c>
      <c r="V82" s="9"/>
      <c r="W82" s="8">
        <v>120</v>
      </c>
      <c r="X82" s="7" t="s">
        <v>16</v>
      </c>
    </row>
    <row r="83" spans="2:24" x14ac:dyDescent="0.25">
      <c r="B83" s="11"/>
      <c r="C83" s="10" t="s">
        <v>17</v>
      </c>
      <c r="D83" s="17"/>
      <c r="E83" s="20">
        <f>E81-E82-(E84+E86)/2*10</f>
        <v>5275</v>
      </c>
      <c r="F83" s="15" t="s">
        <v>16</v>
      </c>
      <c r="H83" s="11"/>
      <c r="I83" s="10" t="s">
        <v>17</v>
      </c>
      <c r="J83" s="17"/>
      <c r="K83" s="20">
        <f>K81-K82-(K84+K86)/2*10</f>
        <v>5275</v>
      </c>
      <c r="L83" s="15" t="s">
        <v>16</v>
      </c>
      <c r="N83" s="11"/>
      <c r="O83" s="10" t="s">
        <v>17</v>
      </c>
      <c r="P83" s="17"/>
      <c r="Q83" s="20">
        <f>Q81-Q82-(Q84+Q86)/2*10</f>
        <v>5275</v>
      </c>
      <c r="R83" s="15" t="s">
        <v>16</v>
      </c>
      <c r="T83" s="11"/>
      <c r="U83" s="10" t="s">
        <v>17</v>
      </c>
      <c r="V83" s="17"/>
      <c r="W83" s="20">
        <f>W81-W82-(W84+W86)/2*10</f>
        <v>5275</v>
      </c>
      <c r="X83" s="15" t="s">
        <v>16</v>
      </c>
    </row>
    <row r="84" spans="2:24" x14ac:dyDescent="0.25">
      <c r="B84" s="11"/>
      <c r="C84" s="10" t="s">
        <v>15</v>
      </c>
      <c r="D84" s="17" t="s">
        <v>11</v>
      </c>
      <c r="E84" s="19">
        <f>((E82/E81)*45-E85)</f>
        <v>1</v>
      </c>
      <c r="F84" s="15" t="s">
        <v>10</v>
      </c>
      <c r="H84" s="11"/>
      <c r="I84" s="10" t="s">
        <v>15</v>
      </c>
      <c r="J84" s="17" t="s">
        <v>11</v>
      </c>
      <c r="K84" s="19">
        <f>((K82/K81)*45-K85)</f>
        <v>1</v>
      </c>
      <c r="L84" s="15" t="s">
        <v>10</v>
      </c>
      <c r="N84" s="11"/>
      <c r="O84" s="10" t="s">
        <v>15</v>
      </c>
      <c r="P84" s="17" t="s">
        <v>11</v>
      </c>
      <c r="Q84" s="19">
        <f>((Q82/Q81)*45-Q85)</f>
        <v>1</v>
      </c>
      <c r="R84" s="15" t="s">
        <v>10</v>
      </c>
      <c r="T84" s="11"/>
      <c r="U84" s="10" t="s">
        <v>15</v>
      </c>
      <c r="V84" s="17" t="s">
        <v>11</v>
      </c>
      <c r="W84" s="19">
        <f>((W82/W81)*45-W85)</f>
        <v>1</v>
      </c>
      <c r="X84" s="15" t="s">
        <v>10</v>
      </c>
    </row>
    <row r="85" spans="2:24" ht="30" x14ac:dyDescent="0.25">
      <c r="B85" s="11"/>
      <c r="C85" s="10"/>
      <c r="D85" s="17" t="s">
        <v>14</v>
      </c>
      <c r="E85" s="18">
        <f>'[1]Data Lingkungan_IC'!Z191</f>
        <v>0</v>
      </c>
      <c r="F85" s="15" t="s">
        <v>13</v>
      </c>
      <c r="H85" s="11"/>
      <c r="I85" s="10"/>
      <c r="J85" s="17" t="s">
        <v>14</v>
      </c>
      <c r="K85" s="18">
        <f>'[1]Data Lingkungan_IC'!Z190</f>
        <v>0</v>
      </c>
      <c r="L85" s="15" t="s">
        <v>13</v>
      </c>
      <c r="N85" s="11"/>
      <c r="O85" s="10"/>
      <c r="P85" s="17" t="s">
        <v>14</v>
      </c>
      <c r="Q85" s="18"/>
      <c r="R85" s="15" t="s">
        <v>13</v>
      </c>
      <c r="T85" s="11"/>
      <c r="U85" s="10"/>
      <c r="V85" s="17" t="s">
        <v>14</v>
      </c>
      <c r="W85" s="18"/>
      <c r="X85" s="15" t="s">
        <v>13</v>
      </c>
    </row>
    <row r="86" spans="2:24" x14ac:dyDescent="0.25">
      <c r="B86" s="11"/>
      <c r="C86" s="10" t="s">
        <v>12</v>
      </c>
      <c r="D86" s="17" t="s">
        <v>11</v>
      </c>
      <c r="E86" s="18">
        <f>'[2]Data Lingkungan (DL)'!AR69</f>
        <v>0</v>
      </c>
      <c r="F86" s="15" t="s">
        <v>10</v>
      </c>
      <c r="H86" s="11"/>
      <c r="I86" s="10" t="s">
        <v>12</v>
      </c>
      <c r="J86" s="17" t="s">
        <v>11</v>
      </c>
      <c r="K86" s="18">
        <f>'[2]Data Lingkungan (DL)'!AI69</f>
        <v>0</v>
      </c>
      <c r="L86" s="15" t="s">
        <v>10</v>
      </c>
      <c r="N86" s="11"/>
      <c r="O86" s="10" t="s">
        <v>12</v>
      </c>
      <c r="P86" s="17" t="s">
        <v>11</v>
      </c>
      <c r="Q86" s="18">
        <f>'[2]Data Lingkungan (DL)'!AR67</f>
        <v>0</v>
      </c>
      <c r="R86" s="15" t="s">
        <v>10</v>
      </c>
      <c r="T86" s="11"/>
      <c r="U86" s="10" t="s">
        <v>12</v>
      </c>
      <c r="V86" s="17" t="s">
        <v>11</v>
      </c>
      <c r="W86" s="18">
        <f>'[2]Data Lingkungan (DL)'!BJ64</f>
        <v>0</v>
      </c>
      <c r="X86" s="15" t="s">
        <v>10</v>
      </c>
    </row>
    <row r="87" spans="2:24" ht="45" x14ac:dyDescent="0.25">
      <c r="B87" s="11"/>
      <c r="C87" s="10" t="s">
        <v>1</v>
      </c>
      <c r="D87" s="17"/>
      <c r="E87" s="16">
        <f>(E83/E81)</f>
        <v>0.97685185185185186</v>
      </c>
      <c r="F87" s="15" t="s">
        <v>9</v>
      </c>
      <c r="H87" s="11"/>
      <c r="I87" s="10" t="s">
        <v>1</v>
      </c>
      <c r="J87" s="17"/>
      <c r="K87" s="16">
        <f>(K83/K81)</f>
        <v>0.97685185185185186</v>
      </c>
      <c r="L87" s="15" t="s">
        <v>9</v>
      </c>
      <c r="N87" s="11"/>
      <c r="O87" s="10" t="s">
        <v>1</v>
      </c>
      <c r="P87" s="17"/>
      <c r="Q87" s="16">
        <f>(Q83/Q81)</f>
        <v>0.97685185185185186</v>
      </c>
      <c r="R87" s="15" t="s">
        <v>9</v>
      </c>
      <c r="T87" s="11"/>
      <c r="U87" s="10" t="s">
        <v>1</v>
      </c>
      <c r="V87" s="17"/>
      <c r="W87" s="16">
        <f>(W83/W81)</f>
        <v>0.97685185185185186</v>
      </c>
      <c r="X87" s="15" t="s">
        <v>9</v>
      </c>
    </row>
    <row r="88" spans="2:24" x14ac:dyDescent="0.25">
      <c r="B88" s="11"/>
      <c r="C88" s="10" t="s">
        <v>8</v>
      </c>
      <c r="D88" s="14" t="s">
        <v>7</v>
      </c>
      <c r="E88" s="13" t="s">
        <v>6</v>
      </c>
      <c r="F88" s="12"/>
      <c r="H88" s="11"/>
      <c r="I88" s="10" t="s">
        <v>8</v>
      </c>
      <c r="J88" s="14" t="s">
        <v>7</v>
      </c>
      <c r="K88" s="13" t="s">
        <v>6</v>
      </c>
      <c r="L88" s="12"/>
      <c r="N88" s="11"/>
      <c r="O88" s="10" t="s">
        <v>8</v>
      </c>
      <c r="P88" s="14" t="s">
        <v>7</v>
      </c>
      <c r="Q88" s="13" t="s">
        <v>6</v>
      </c>
      <c r="R88" s="12"/>
      <c r="T88" s="11"/>
      <c r="U88" s="10" t="s">
        <v>8</v>
      </c>
      <c r="V88" s="14" t="s">
        <v>7</v>
      </c>
      <c r="W88" s="13" t="s">
        <v>6</v>
      </c>
      <c r="X88" s="12"/>
    </row>
    <row r="89" spans="2:24" x14ac:dyDescent="0.25">
      <c r="B89" s="11"/>
      <c r="C89" s="10"/>
      <c r="D89" s="9" t="s">
        <v>4</v>
      </c>
      <c r="E89" s="8" t="s">
        <v>5</v>
      </c>
      <c r="F89" s="7" t="s">
        <v>2</v>
      </c>
      <c r="H89" s="11"/>
      <c r="I89" s="10"/>
      <c r="J89" s="9" t="s">
        <v>4</v>
      </c>
      <c r="K89" s="8" t="s">
        <v>5</v>
      </c>
      <c r="L89" s="7" t="s">
        <v>2</v>
      </c>
      <c r="N89" s="11"/>
      <c r="O89" s="10"/>
      <c r="P89" s="9" t="s">
        <v>4</v>
      </c>
      <c r="Q89" s="8" t="s">
        <v>5</v>
      </c>
      <c r="R89" s="7" t="s">
        <v>2</v>
      </c>
      <c r="T89" s="11"/>
      <c r="U89" s="10"/>
      <c r="V89" s="9" t="s">
        <v>4</v>
      </c>
      <c r="W89" s="8" t="s">
        <v>5</v>
      </c>
      <c r="X89" s="7" t="s">
        <v>2</v>
      </c>
    </row>
    <row r="90" spans="2:24" ht="30.75" thickBot="1" x14ac:dyDescent="0.3">
      <c r="B90" s="6"/>
      <c r="C90" s="5"/>
      <c r="D90" s="4" t="s">
        <v>1</v>
      </c>
      <c r="E90" s="3">
        <v>1</v>
      </c>
      <c r="F90" s="2" t="s">
        <v>0</v>
      </c>
      <c r="H90" s="6"/>
      <c r="I90" s="5"/>
      <c r="J90" s="4" t="s">
        <v>1</v>
      </c>
      <c r="K90" s="3">
        <v>1</v>
      </c>
      <c r="L90" s="2" t="s">
        <v>0</v>
      </c>
      <c r="N90" s="6"/>
      <c r="O90" s="5"/>
      <c r="P90" s="4" t="s">
        <v>1</v>
      </c>
      <c r="Q90" s="3">
        <v>1</v>
      </c>
      <c r="R90" s="2" t="s">
        <v>0</v>
      </c>
      <c r="T90" s="6"/>
      <c r="U90" s="5"/>
      <c r="V90" s="4" t="s">
        <v>1</v>
      </c>
      <c r="W90" s="3">
        <v>1</v>
      </c>
      <c r="X90" s="2" t="s">
        <v>0</v>
      </c>
    </row>
    <row r="91" spans="2:24" ht="15.75" thickBot="1" x14ac:dyDescent="0.3"/>
    <row r="92" spans="2:24" x14ac:dyDescent="0.25">
      <c r="B92" s="40" t="s">
        <v>34</v>
      </c>
      <c r="C92" s="41"/>
      <c r="D92" s="41"/>
      <c r="E92" s="41"/>
      <c r="F92" s="42"/>
      <c r="H92" s="40" t="s">
        <v>34</v>
      </c>
      <c r="I92" s="41"/>
      <c r="J92" s="41"/>
      <c r="K92" s="41"/>
      <c r="L92" s="42"/>
      <c r="N92" s="40" t="s">
        <v>34</v>
      </c>
      <c r="O92" s="41"/>
      <c r="P92" s="41"/>
      <c r="Q92" s="41"/>
      <c r="R92" s="42"/>
      <c r="T92" s="40" t="s">
        <v>34</v>
      </c>
      <c r="U92" s="41"/>
      <c r="V92" s="41"/>
      <c r="W92" s="41"/>
      <c r="X92" s="42"/>
    </row>
    <row r="93" spans="2:24" ht="15.75" thickBot="1" x14ac:dyDescent="0.3">
      <c r="B93" s="43" t="s">
        <v>33</v>
      </c>
      <c r="C93" s="44"/>
      <c r="D93" s="44"/>
      <c r="E93" s="44"/>
      <c r="F93" s="45"/>
      <c r="H93" s="31" t="s">
        <v>33</v>
      </c>
      <c r="I93" s="32"/>
      <c r="J93" s="32"/>
      <c r="K93" s="32"/>
      <c r="L93" s="33"/>
      <c r="N93" s="31" t="s">
        <v>33</v>
      </c>
      <c r="O93" s="32"/>
      <c r="P93" s="32"/>
      <c r="Q93" s="32"/>
      <c r="R93" s="33"/>
      <c r="T93" s="43" t="s">
        <v>33</v>
      </c>
      <c r="U93" s="44"/>
      <c r="V93" s="44"/>
      <c r="W93" s="44"/>
      <c r="X93" s="45"/>
    </row>
    <row r="94" spans="2:24" x14ac:dyDescent="0.25">
      <c r="B94" s="37" t="s">
        <v>32</v>
      </c>
      <c r="C94" s="38"/>
      <c r="D94" s="38"/>
      <c r="E94" s="38"/>
      <c r="F94" s="39"/>
      <c r="H94" s="37" t="s">
        <v>32</v>
      </c>
      <c r="I94" s="38"/>
      <c r="J94" s="38"/>
      <c r="K94" s="38"/>
      <c r="L94" s="39"/>
      <c r="N94" s="37" t="s">
        <v>32</v>
      </c>
      <c r="O94" s="38"/>
      <c r="P94" s="38"/>
      <c r="Q94" s="38"/>
      <c r="R94" s="39"/>
      <c r="T94" s="37" t="s">
        <v>32</v>
      </c>
      <c r="U94" s="38"/>
      <c r="V94" s="38"/>
      <c r="W94" s="38"/>
      <c r="X94" s="39"/>
    </row>
    <row r="95" spans="2:24" ht="15.75" thickBot="1" x14ac:dyDescent="0.3">
      <c r="B95" s="27" t="s">
        <v>31</v>
      </c>
      <c r="C95" s="26" t="s">
        <v>30</v>
      </c>
      <c r="D95" s="26" t="s">
        <v>29</v>
      </c>
      <c r="E95" s="26" t="s">
        <v>28</v>
      </c>
      <c r="F95" s="25" t="s">
        <v>27</v>
      </c>
      <c r="H95" s="27" t="s">
        <v>31</v>
      </c>
      <c r="I95" s="26" t="s">
        <v>30</v>
      </c>
      <c r="J95" s="26" t="s">
        <v>29</v>
      </c>
      <c r="K95" s="26" t="s">
        <v>28</v>
      </c>
      <c r="L95" s="25" t="s">
        <v>27</v>
      </c>
      <c r="N95" s="27" t="s">
        <v>31</v>
      </c>
      <c r="O95" s="26" t="s">
        <v>30</v>
      </c>
      <c r="P95" s="26" t="s">
        <v>29</v>
      </c>
      <c r="Q95" s="26" t="s">
        <v>28</v>
      </c>
      <c r="R95" s="25" t="s">
        <v>27</v>
      </c>
      <c r="T95" s="27" t="s">
        <v>31</v>
      </c>
      <c r="U95" s="26" t="s">
        <v>30</v>
      </c>
      <c r="V95" s="26" t="s">
        <v>29</v>
      </c>
      <c r="W95" s="26" t="s">
        <v>28</v>
      </c>
      <c r="X95" s="25" t="s">
        <v>27</v>
      </c>
    </row>
    <row r="96" spans="2:24" x14ac:dyDescent="0.25">
      <c r="B96" s="37" t="s">
        <v>26</v>
      </c>
      <c r="C96" s="38"/>
      <c r="D96" s="38"/>
      <c r="E96" s="38"/>
      <c r="F96" s="39"/>
      <c r="H96" s="34" t="s">
        <v>26</v>
      </c>
      <c r="I96" s="35"/>
      <c r="J96" s="35"/>
      <c r="K96" s="35"/>
      <c r="L96" s="36"/>
      <c r="N96" s="34" t="s">
        <v>26</v>
      </c>
      <c r="O96" s="35"/>
      <c r="P96" s="35"/>
      <c r="Q96" s="35"/>
      <c r="R96" s="36"/>
      <c r="T96" s="37" t="s">
        <v>26</v>
      </c>
      <c r="U96" s="38"/>
      <c r="V96" s="38"/>
      <c r="W96" s="38"/>
      <c r="X96" s="39"/>
    </row>
    <row r="97" spans="2:24" ht="30" x14ac:dyDescent="0.25">
      <c r="B97" s="11"/>
      <c r="C97" s="22" t="s">
        <v>24</v>
      </c>
      <c r="D97" s="22"/>
      <c r="E97" s="13" t="s">
        <v>50</v>
      </c>
      <c r="F97" s="23"/>
      <c r="H97" s="11"/>
      <c r="I97" s="22" t="s">
        <v>24</v>
      </c>
      <c r="J97" s="22"/>
      <c r="K97" s="13" t="s">
        <v>42</v>
      </c>
      <c r="L97" s="23"/>
      <c r="N97" s="11"/>
      <c r="O97" s="22" t="s">
        <v>24</v>
      </c>
      <c r="P97" s="22"/>
      <c r="Q97" s="13" t="s">
        <v>50</v>
      </c>
      <c r="R97" s="23"/>
      <c r="T97" s="11"/>
      <c r="U97" s="22" t="s">
        <v>24</v>
      </c>
      <c r="V97" s="22"/>
      <c r="W97" s="13" t="s">
        <v>49</v>
      </c>
      <c r="X97" s="23"/>
    </row>
    <row r="98" spans="2:24" x14ac:dyDescent="0.25">
      <c r="B98" s="11"/>
      <c r="C98" s="22" t="s">
        <v>21</v>
      </c>
      <c r="D98" s="22"/>
      <c r="E98" s="24" t="s">
        <v>48</v>
      </c>
      <c r="F98" s="23"/>
      <c r="H98" s="11"/>
      <c r="I98" s="22" t="s">
        <v>21</v>
      </c>
      <c r="J98" s="22"/>
      <c r="K98" s="24" t="s">
        <v>47</v>
      </c>
      <c r="L98" s="23"/>
      <c r="N98" s="11"/>
      <c r="O98" s="22" t="s">
        <v>21</v>
      </c>
      <c r="P98" s="22"/>
      <c r="Q98" s="24" t="s">
        <v>46</v>
      </c>
      <c r="R98" s="23"/>
      <c r="T98" s="11"/>
      <c r="U98" s="22" t="s">
        <v>21</v>
      </c>
      <c r="V98" s="22"/>
      <c r="W98" s="24" t="s">
        <v>45</v>
      </c>
      <c r="X98" s="23"/>
    </row>
    <row r="99" spans="2:24" x14ac:dyDescent="0.25">
      <c r="B99" s="11"/>
      <c r="C99" s="22" t="s">
        <v>19</v>
      </c>
      <c r="D99" s="14"/>
      <c r="E99" s="13">
        <f>15*12*30</f>
        <v>5400</v>
      </c>
      <c r="F99" s="12" t="s">
        <v>16</v>
      </c>
      <c r="H99" s="11"/>
      <c r="I99" s="22" t="s">
        <v>19</v>
      </c>
      <c r="J99" s="14"/>
      <c r="K99" s="13">
        <f>15*12*30</f>
        <v>5400</v>
      </c>
      <c r="L99" s="12" t="s">
        <v>16</v>
      </c>
      <c r="N99" s="11"/>
      <c r="O99" s="22" t="s">
        <v>19</v>
      </c>
      <c r="P99" s="14"/>
      <c r="Q99" s="13">
        <f>15*12*30</f>
        <v>5400</v>
      </c>
      <c r="R99" s="12" t="s">
        <v>16</v>
      </c>
      <c r="T99" s="11"/>
      <c r="U99" s="22" t="s">
        <v>19</v>
      </c>
      <c r="V99" s="14"/>
      <c r="W99" s="13">
        <f>15*12*30</f>
        <v>5400</v>
      </c>
      <c r="X99" s="12" t="s">
        <v>16</v>
      </c>
    </row>
    <row r="100" spans="2:24" x14ac:dyDescent="0.25">
      <c r="B100" s="11"/>
      <c r="C100" s="21" t="s">
        <v>18</v>
      </c>
      <c r="D100" s="9"/>
      <c r="E100" s="8">
        <v>120</v>
      </c>
      <c r="F100" s="7" t="s">
        <v>16</v>
      </c>
      <c r="H100" s="11"/>
      <c r="I100" s="21" t="s">
        <v>18</v>
      </c>
      <c r="J100" s="9"/>
      <c r="K100" s="8">
        <v>120</v>
      </c>
      <c r="L100" s="7" t="s">
        <v>16</v>
      </c>
      <c r="N100" s="11"/>
      <c r="O100" s="21" t="s">
        <v>18</v>
      </c>
      <c r="P100" s="9"/>
      <c r="Q100" s="8">
        <v>120</v>
      </c>
      <c r="R100" s="7" t="s">
        <v>16</v>
      </c>
      <c r="T100" s="11"/>
      <c r="U100" s="21" t="s">
        <v>18</v>
      </c>
      <c r="V100" s="9"/>
      <c r="W100" s="8">
        <v>120</v>
      </c>
      <c r="X100" s="7" t="s">
        <v>16</v>
      </c>
    </row>
    <row r="101" spans="2:24" x14ac:dyDescent="0.25">
      <c r="B101" s="11"/>
      <c r="C101" s="10" t="s">
        <v>17</v>
      </c>
      <c r="D101" s="17"/>
      <c r="E101" s="20">
        <f>E99-E100-(E102+E104)/2*10</f>
        <v>5275</v>
      </c>
      <c r="F101" s="15" t="s">
        <v>16</v>
      </c>
      <c r="H101" s="11"/>
      <c r="I101" s="10" t="s">
        <v>17</v>
      </c>
      <c r="J101" s="17"/>
      <c r="K101" s="20">
        <f>K99-K100-(K102+K104)/2*10</f>
        <v>5275</v>
      </c>
      <c r="L101" s="15" t="s">
        <v>16</v>
      </c>
      <c r="N101" s="11"/>
      <c r="O101" s="10" t="s">
        <v>17</v>
      </c>
      <c r="P101" s="17"/>
      <c r="Q101" s="20">
        <f>Q99-Q100-(Q102+Q104)/2*10</f>
        <v>5275</v>
      </c>
      <c r="R101" s="15" t="s">
        <v>16</v>
      </c>
      <c r="T101" s="11"/>
      <c r="U101" s="10" t="s">
        <v>17</v>
      </c>
      <c r="V101" s="17"/>
      <c r="W101" s="20">
        <f>W99-W100-(W102+W104)/2*10</f>
        <v>5275</v>
      </c>
      <c r="X101" s="15" t="s">
        <v>16</v>
      </c>
    </row>
    <row r="102" spans="2:24" x14ac:dyDescent="0.25">
      <c r="B102" s="11"/>
      <c r="C102" s="10" t="s">
        <v>15</v>
      </c>
      <c r="D102" s="17" t="s">
        <v>11</v>
      </c>
      <c r="E102" s="19">
        <f>((E100/E99)*45-E103)</f>
        <v>1</v>
      </c>
      <c r="F102" s="15" t="s">
        <v>10</v>
      </c>
      <c r="H102" s="11"/>
      <c r="I102" s="10" t="s">
        <v>15</v>
      </c>
      <c r="J102" s="17" t="s">
        <v>11</v>
      </c>
      <c r="K102" s="19">
        <f>((K100/K99)*45-K103)</f>
        <v>1</v>
      </c>
      <c r="L102" s="15" t="s">
        <v>10</v>
      </c>
      <c r="N102" s="11"/>
      <c r="O102" s="10" t="s">
        <v>15</v>
      </c>
      <c r="P102" s="17" t="s">
        <v>11</v>
      </c>
      <c r="Q102" s="19">
        <f>((Q100/Q99)*45-Q103)</f>
        <v>1</v>
      </c>
      <c r="R102" s="15" t="s">
        <v>10</v>
      </c>
      <c r="T102" s="11"/>
      <c r="U102" s="10" t="s">
        <v>15</v>
      </c>
      <c r="V102" s="17" t="s">
        <v>11</v>
      </c>
      <c r="W102" s="19">
        <f>((W100/W99)*45-W103)</f>
        <v>1</v>
      </c>
      <c r="X102" s="15" t="s">
        <v>10</v>
      </c>
    </row>
    <row r="103" spans="2:24" ht="30" x14ac:dyDescent="0.25">
      <c r="B103" s="11"/>
      <c r="C103" s="10"/>
      <c r="D103" s="17" t="s">
        <v>14</v>
      </c>
      <c r="E103" s="18">
        <f>'[1]Data Lingkungan_IC'!Z222</f>
        <v>0</v>
      </c>
      <c r="F103" s="15" t="s">
        <v>13</v>
      </c>
      <c r="H103" s="11"/>
      <c r="I103" s="10"/>
      <c r="J103" s="17" t="s">
        <v>14</v>
      </c>
      <c r="K103" s="18">
        <f>'[1]Data Lingkungan_IC'!Z221</f>
        <v>0</v>
      </c>
      <c r="L103" s="15" t="s">
        <v>13</v>
      </c>
      <c r="N103" s="11"/>
      <c r="O103" s="10"/>
      <c r="P103" s="17" t="s">
        <v>14</v>
      </c>
      <c r="Q103" s="18"/>
      <c r="R103" s="15" t="s">
        <v>13</v>
      </c>
      <c r="T103" s="11"/>
      <c r="U103" s="10"/>
      <c r="V103" s="17" t="s">
        <v>14</v>
      </c>
      <c r="W103" s="18"/>
      <c r="X103" s="15" t="s">
        <v>13</v>
      </c>
    </row>
    <row r="104" spans="2:24" x14ac:dyDescent="0.25">
      <c r="B104" s="11"/>
      <c r="C104" s="10" t="s">
        <v>12</v>
      </c>
      <c r="D104" s="17" t="s">
        <v>11</v>
      </c>
      <c r="E104" s="18">
        <f>'[2]Data Lingkungan (DL)'!AR70</f>
        <v>0</v>
      </c>
      <c r="F104" s="15" t="s">
        <v>10</v>
      </c>
      <c r="H104" s="11"/>
      <c r="I104" s="10" t="s">
        <v>12</v>
      </c>
      <c r="J104" s="17" t="s">
        <v>11</v>
      </c>
      <c r="K104" s="18">
        <f>'[2]Data Lingkungan (DL)'!AI70</f>
        <v>0</v>
      </c>
      <c r="L104" s="15" t="s">
        <v>10</v>
      </c>
      <c r="N104" s="11"/>
      <c r="O104" s="10" t="s">
        <v>12</v>
      </c>
      <c r="P104" s="17" t="s">
        <v>11</v>
      </c>
      <c r="Q104" s="18">
        <f>'[2]Data Lingkungan (DL)'!AR68</f>
        <v>0</v>
      </c>
      <c r="R104" s="15" t="s">
        <v>10</v>
      </c>
      <c r="T104" s="11"/>
      <c r="U104" s="10" t="s">
        <v>12</v>
      </c>
      <c r="V104" s="17" t="s">
        <v>11</v>
      </c>
      <c r="W104" s="18">
        <f>'[2]Data Lingkungan (DL)'!BS66</f>
        <v>0</v>
      </c>
      <c r="X104" s="15" t="s">
        <v>10</v>
      </c>
    </row>
    <row r="105" spans="2:24" ht="45" x14ac:dyDescent="0.25">
      <c r="B105" s="11"/>
      <c r="C105" s="10" t="s">
        <v>1</v>
      </c>
      <c r="D105" s="17"/>
      <c r="E105" s="16">
        <f>(E101/E99)</f>
        <v>0.97685185185185186</v>
      </c>
      <c r="F105" s="15" t="s">
        <v>9</v>
      </c>
      <c r="H105" s="11"/>
      <c r="I105" s="10" t="s">
        <v>1</v>
      </c>
      <c r="J105" s="17"/>
      <c r="K105" s="16">
        <f>(K101/K99)</f>
        <v>0.97685185185185186</v>
      </c>
      <c r="L105" s="15" t="s">
        <v>9</v>
      </c>
      <c r="N105" s="11"/>
      <c r="O105" s="10" t="s">
        <v>1</v>
      </c>
      <c r="P105" s="17"/>
      <c r="Q105" s="16">
        <f>(Q101/Q99)</f>
        <v>0.97685185185185186</v>
      </c>
      <c r="R105" s="15" t="s">
        <v>9</v>
      </c>
      <c r="T105" s="11"/>
      <c r="U105" s="10" t="s">
        <v>1</v>
      </c>
      <c r="V105" s="17"/>
      <c r="W105" s="16">
        <f>(W101/W99)</f>
        <v>0.97685185185185186</v>
      </c>
      <c r="X105" s="15" t="s">
        <v>9</v>
      </c>
    </row>
    <row r="106" spans="2:24" x14ac:dyDescent="0.25">
      <c r="B106" s="11"/>
      <c r="C106" s="10" t="s">
        <v>8</v>
      </c>
      <c r="D106" s="14" t="s">
        <v>7</v>
      </c>
      <c r="E106" s="13" t="s">
        <v>6</v>
      </c>
      <c r="F106" s="12"/>
      <c r="H106" s="11"/>
      <c r="I106" s="10" t="s">
        <v>8</v>
      </c>
      <c r="J106" s="14" t="s">
        <v>7</v>
      </c>
      <c r="K106" s="13" t="s">
        <v>6</v>
      </c>
      <c r="L106" s="12"/>
      <c r="N106" s="11"/>
      <c r="O106" s="10" t="s">
        <v>8</v>
      </c>
      <c r="P106" s="14" t="s">
        <v>7</v>
      </c>
      <c r="Q106" s="13" t="s">
        <v>6</v>
      </c>
      <c r="R106" s="12"/>
      <c r="T106" s="11"/>
      <c r="U106" s="10" t="s">
        <v>8</v>
      </c>
      <c r="V106" s="14" t="s">
        <v>7</v>
      </c>
      <c r="W106" s="13" t="s">
        <v>6</v>
      </c>
      <c r="X106" s="12"/>
    </row>
    <row r="107" spans="2:24" x14ac:dyDescent="0.25">
      <c r="B107" s="11"/>
      <c r="C107" s="10"/>
      <c r="D107" s="9" t="s">
        <v>4</v>
      </c>
      <c r="E107" s="8" t="s">
        <v>5</v>
      </c>
      <c r="F107" s="7" t="s">
        <v>2</v>
      </c>
      <c r="H107" s="11"/>
      <c r="I107" s="10"/>
      <c r="J107" s="9" t="s">
        <v>4</v>
      </c>
      <c r="K107" s="8" t="s">
        <v>5</v>
      </c>
      <c r="L107" s="7" t="s">
        <v>2</v>
      </c>
      <c r="N107" s="11"/>
      <c r="O107" s="10"/>
      <c r="P107" s="9" t="s">
        <v>4</v>
      </c>
      <c r="Q107" s="8" t="s">
        <v>5</v>
      </c>
      <c r="R107" s="7" t="s">
        <v>2</v>
      </c>
      <c r="T107" s="11"/>
      <c r="U107" s="10"/>
      <c r="V107" s="9" t="s">
        <v>4</v>
      </c>
      <c r="W107" s="8" t="s">
        <v>5</v>
      </c>
      <c r="X107" s="7" t="s">
        <v>2</v>
      </c>
    </row>
    <row r="108" spans="2:24" ht="30.75" thickBot="1" x14ac:dyDescent="0.3">
      <c r="B108" s="6"/>
      <c r="C108" s="5"/>
      <c r="D108" s="4" t="s">
        <v>1</v>
      </c>
      <c r="E108" s="3">
        <v>1</v>
      </c>
      <c r="F108" s="2" t="s">
        <v>0</v>
      </c>
      <c r="H108" s="6"/>
      <c r="I108" s="5"/>
      <c r="J108" s="4" t="s">
        <v>1</v>
      </c>
      <c r="K108" s="3">
        <v>1</v>
      </c>
      <c r="L108" s="2" t="s">
        <v>0</v>
      </c>
      <c r="N108" s="6"/>
      <c r="O108" s="5"/>
      <c r="P108" s="4" t="s">
        <v>1</v>
      </c>
      <c r="Q108" s="3">
        <v>1</v>
      </c>
      <c r="R108" s="2" t="s">
        <v>0</v>
      </c>
      <c r="T108" s="6"/>
      <c r="U108" s="5"/>
      <c r="V108" s="4" t="s">
        <v>1</v>
      </c>
      <c r="W108" s="3">
        <v>1</v>
      </c>
      <c r="X108" s="2" t="s">
        <v>0</v>
      </c>
    </row>
    <row r="109" spans="2:24" ht="15.75" thickBot="1" x14ac:dyDescent="0.3"/>
    <row r="110" spans="2:24" x14ac:dyDescent="0.25">
      <c r="B110" s="40" t="s">
        <v>34</v>
      </c>
      <c r="C110" s="41"/>
      <c r="D110" s="41"/>
      <c r="E110" s="41"/>
      <c r="F110" s="42"/>
      <c r="H110" s="40" t="s">
        <v>34</v>
      </c>
      <c r="I110" s="41"/>
      <c r="J110" s="41"/>
      <c r="K110" s="41"/>
      <c r="L110" s="42"/>
      <c r="N110" s="40" t="s">
        <v>34</v>
      </c>
      <c r="O110" s="41"/>
      <c r="P110" s="41"/>
      <c r="Q110" s="41"/>
      <c r="R110" s="42"/>
      <c r="T110" s="40" t="s">
        <v>34</v>
      </c>
      <c r="U110" s="41"/>
      <c r="V110" s="41"/>
      <c r="W110" s="41"/>
      <c r="X110" s="42"/>
    </row>
    <row r="111" spans="2:24" ht="15.75" thickBot="1" x14ac:dyDescent="0.3">
      <c r="B111" s="43" t="s">
        <v>33</v>
      </c>
      <c r="C111" s="44"/>
      <c r="D111" s="44"/>
      <c r="E111" s="44"/>
      <c r="F111" s="45"/>
      <c r="H111" s="31" t="s">
        <v>33</v>
      </c>
      <c r="I111" s="32"/>
      <c r="J111" s="32"/>
      <c r="K111" s="32"/>
      <c r="L111" s="33"/>
      <c r="N111" s="31" t="s">
        <v>33</v>
      </c>
      <c r="O111" s="32"/>
      <c r="P111" s="32"/>
      <c r="Q111" s="32"/>
      <c r="R111" s="33"/>
      <c r="T111" s="43" t="s">
        <v>33</v>
      </c>
      <c r="U111" s="44"/>
      <c r="V111" s="44"/>
      <c r="W111" s="44"/>
      <c r="X111" s="45"/>
    </row>
    <row r="112" spans="2:24" x14ac:dyDescent="0.25">
      <c r="B112" s="37" t="s">
        <v>32</v>
      </c>
      <c r="C112" s="38"/>
      <c r="D112" s="38"/>
      <c r="E112" s="38"/>
      <c r="F112" s="39"/>
      <c r="H112" s="37" t="s">
        <v>32</v>
      </c>
      <c r="I112" s="38"/>
      <c r="J112" s="38"/>
      <c r="K112" s="38"/>
      <c r="L112" s="39"/>
      <c r="N112" s="37" t="s">
        <v>44</v>
      </c>
      <c r="O112" s="38"/>
      <c r="P112" s="38"/>
      <c r="Q112" s="38"/>
      <c r="R112" s="39"/>
      <c r="T112" s="37" t="s">
        <v>44</v>
      </c>
      <c r="U112" s="38"/>
      <c r="V112" s="38"/>
      <c r="W112" s="38"/>
      <c r="X112" s="39"/>
    </row>
    <row r="113" spans="2:24" ht="15.75" thickBot="1" x14ac:dyDescent="0.3">
      <c r="B113" s="27" t="s">
        <v>31</v>
      </c>
      <c r="C113" s="26" t="s">
        <v>30</v>
      </c>
      <c r="D113" s="26" t="s">
        <v>29</v>
      </c>
      <c r="E113" s="26" t="s">
        <v>28</v>
      </c>
      <c r="F113" s="25" t="s">
        <v>27</v>
      </c>
      <c r="H113" s="27" t="s">
        <v>31</v>
      </c>
      <c r="I113" s="26" t="s">
        <v>30</v>
      </c>
      <c r="J113" s="26" t="s">
        <v>29</v>
      </c>
      <c r="K113" s="26" t="s">
        <v>28</v>
      </c>
      <c r="L113" s="25" t="s">
        <v>27</v>
      </c>
      <c r="N113" s="27" t="s">
        <v>31</v>
      </c>
      <c r="O113" s="26" t="s">
        <v>30</v>
      </c>
      <c r="P113" s="26" t="s">
        <v>29</v>
      </c>
      <c r="Q113" s="26" t="s">
        <v>28</v>
      </c>
      <c r="R113" s="25" t="s">
        <v>27</v>
      </c>
      <c r="T113" s="27" t="s">
        <v>31</v>
      </c>
      <c r="U113" s="26" t="s">
        <v>30</v>
      </c>
      <c r="V113" s="26" t="s">
        <v>29</v>
      </c>
      <c r="W113" s="26" t="s">
        <v>28</v>
      </c>
      <c r="X113" s="25" t="s">
        <v>27</v>
      </c>
    </row>
    <row r="114" spans="2:24" x14ac:dyDescent="0.25">
      <c r="B114" s="37" t="s">
        <v>26</v>
      </c>
      <c r="C114" s="38"/>
      <c r="D114" s="38"/>
      <c r="E114" s="38"/>
      <c r="F114" s="39"/>
      <c r="H114" s="34" t="s">
        <v>26</v>
      </c>
      <c r="I114" s="35"/>
      <c r="J114" s="35"/>
      <c r="K114" s="35"/>
      <c r="L114" s="36"/>
      <c r="N114" s="34" t="s">
        <v>43</v>
      </c>
      <c r="O114" s="35"/>
      <c r="P114" s="35"/>
      <c r="Q114" s="35"/>
      <c r="R114" s="36"/>
      <c r="T114" s="37" t="s">
        <v>43</v>
      </c>
      <c r="U114" s="38"/>
      <c r="V114" s="38"/>
      <c r="W114" s="38"/>
      <c r="X114" s="39"/>
    </row>
    <row r="115" spans="2:24" x14ac:dyDescent="0.25">
      <c r="B115" s="11"/>
      <c r="C115" s="22" t="s">
        <v>24</v>
      </c>
      <c r="D115" s="22"/>
      <c r="E115" s="13" t="s">
        <v>42</v>
      </c>
      <c r="F115" s="23"/>
      <c r="H115" s="11"/>
      <c r="I115" s="22" t="s">
        <v>24</v>
      </c>
      <c r="J115" s="22"/>
      <c r="K115" s="13" t="s">
        <v>41</v>
      </c>
      <c r="L115" s="23"/>
      <c r="N115" s="11"/>
      <c r="O115" s="22" t="s">
        <v>24</v>
      </c>
      <c r="P115" s="22"/>
      <c r="Q115" s="13" t="s">
        <v>40</v>
      </c>
      <c r="R115" s="23"/>
      <c r="T115" s="11"/>
      <c r="U115" s="22" t="s">
        <v>24</v>
      </c>
      <c r="V115" s="22"/>
      <c r="W115" s="13" t="s">
        <v>39</v>
      </c>
      <c r="X115" s="23"/>
    </row>
    <row r="116" spans="2:24" x14ac:dyDescent="0.25">
      <c r="B116" s="11"/>
      <c r="C116" s="22" t="s">
        <v>21</v>
      </c>
      <c r="D116" s="22"/>
      <c r="E116" s="24" t="s">
        <v>38</v>
      </c>
      <c r="F116" s="23"/>
      <c r="H116" s="11"/>
      <c r="I116" s="22" t="s">
        <v>21</v>
      </c>
      <c r="J116" s="22"/>
      <c r="K116" s="24" t="s">
        <v>37</v>
      </c>
      <c r="L116" s="23"/>
      <c r="N116" s="11"/>
      <c r="O116" s="22" t="s">
        <v>21</v>
      </c>
      <c r="P116" s="22"/>
      <c r="Q116" s="24" t="s">
        <v>36</v>
      </c>
      <c r="R116" s="23"/>
      <c r="T116" s="11"/>
      <c r="U116" s="22" t="s">
        <v>21</v>
      </c>
      <c r="V116" s="22"/>
      <c r="W116" s="24" t="s">
        <v>35</v>
      </c>
      <c r="X116" s="23"/>
    </row>
    <row r="117" spans="2:24" x14ac:dyDescent="0.25">
      <c r="B117" s="11"/>
      <c r="C117" s="22" t="s">
        <v>19</v>
      </c>
      <c r="D117" s="14"/>
      <c r="E117" s="13">
        <f>15*12*30</f>
        <v>5400</v>
      </c>
      <c r="F117" s="12" t="s">
        <v>16</v>
      </c>
      <c r="H117" s="11"/>
      <c r="I117" s="22" t="s">
        <v>19</v>
      </c>
      <c r="J117" s="14"/>
      <c r="K117" s="13">
        <f>15*12*30</f>
        <v>5400</v>
      </c>
      <c r="L117" s="12" t="s">
        <v>16</v>
      </c>
      <c r="N117" s="11"/>
      <c r="O117" s="22" t="s">
        <v>19</v>
      </c>
      <c r="P117" s="14"/>
      <c r="Q117" s="13">
        <f>5*12*30</f>
        <v>1800</v>
      </c>
      <c r="R117" s="12" t="s">
        <v>16</v>
      </c>
      <c r="T117" s="11"/>
      <c r="U117" s="22" t="s">
        <v>19</v>
      </c>
      <c r="V117" s="14"/>
      <c r="W117" s="13">
        <f>5*12*30</f>
        <v>1800</v>
      </c>
      <c r="X117" s="12" t="s">
        <v>16</v>
      </c>
    </row>
    <row r="118" spans="2:24" x14ac:dyDescent="0.25">
      <c r="B118" s="11"/>
      <c r="C118" s="21" t="s">
        <v>18</v>
      </c>
      <c r="D118" s="9"/>
      <c r="E118" s="8">
        <v>120</v>
      </c>
      <c r="F118" s="7" t="s">
        <v>16</v>
      </c>
      <c r="H118" s="11"/>
      <c r="I118" s="21" t="s">
        <v>18</v>
      </c>
      <c r="J118" s="9"/>
      <c r="K118" s="8">
        <v>120</v>
      </c>
      <c r="L118" s="7" t="s">
        <v>16</v>
      </c>
      <c r="N118" s="11"/>
      <c r="O118" s="21" t="s">
        <v>18</v>
      </c>
      <c r="P118" s="9"/>
      <c r="Q118" s="8">
        <v>0</v>
      </c>
      <c r="R118" s="7" t="s">
        <v>16</v>
      </c>
      <c r="T118" s="11"/>
      <c r="U118" s="21" t="s">
        <v>18</v>
      </c>
      <c r="V118" s="9"/>
      <c r="W118" s="8">
        <v>0</v>
      </c>
      <c r="X118" s="7" t="s">
        <v>16</v>
      </c>
    </row>
    <row r="119" spans="2:24" x14ac:dyDescent="0.25">
      <c r="B119" s="11"/>
      <c r="C119" s="10" t="s">
        <v>17</v>
      </c>
      <c r="D119" s="17"/>
      <c r="E119" s="20">
        <f>E117-E118-(E120+E122)/2*10</f>
        <v>5275</v>
      </c>
      <c r="F119" s="15" t="s">
        <v>16</v>
      </c>
      <c r="H119" s="11"/>
      <c r="I119" s="10" t="s">
        <v>17</v>
      </c>
      <c r="J119" s="17"/>
      <c r="K119" s="20">
        <f>K117-K118-(K120+K122)/2*10</f>
        <v>5280</v>
      </c>
      <c r="L119" s="15" t="s">
        <v>16</v>
      </c>
      <c r="N119" s="11"/>
      <c r="O119" s="10" t="s">
        <v>17</v>
      </c>
      <c r="P119" s="17"/>
      <c r="Q119" s="20">
        <f>Q117-Q118-(Q120+Q122)/2*10</f>
        <v>1799.5</v>
      </c>
      <c r="R119" s="15" t="s">
        <v>16</v>
      </c>
      <c r="T119" s="11"/>
      <c r="U119" s="10" t="s">
        <v>17</v>
      </c>
      <c r="V119" s="17"/>
      <c r="W119" s="20">
        <f>W117-W118-(W120+W122)/2*10</f>
        <v>1800</v>
      </c>
      <c r="X119" s="15" t="s">
        <v>16</v>
      </c>
    </row>
    <row r="120" spans="2:24" x14ac:dyDescent="0.25">
      <c r="B120" s="11"/>
      <c r="C120" s="10" t="s">
        <v>15</v>
      </c>
      <c r="D120" s="17" t="s">
        <v>11</v>
      </c>
      <c r="E120" s="19">
        <f>((E118/E117)*45-E121)</f>
        <v>1</v>
      </c>
      <c r="F120" s="15" t="s">
        <v>10</v>
      </c>
      <c r="H120" s="11"/>
      <c r="I120" s="10" t="s">
        <v>15</v>
      </c>
      <c r="J120" s="17" t="s">
        <v>11</v>
      </c>
      <c r="K120" s="19">
        <f>'[1]Data Lingkungan_IC'!BT68</f>
        <v>0</v>
      </c>
      <c r="L120" s="15" t="s">
        <v>10</v>
      </c>
      <c r="N120" s="11"/>
      <c r="O120" s="10" t="s">
        <v>15</v>
      </c>
      <c r="P120" s="17" t="s">
        <v>11</v>
      </c>
      <c r="Q120" s="19">
        <f>((Q118/Q117)*10-Q121)</f>
        <v>0</v>
      </c>
      <c r="R120" s="15" t="s">
        <v>10</v>
      </c>
      <c r="T120" s="11"/>
      <c r="U120" s="10" t="s">
        <v>15</v>
      </c>
      <c r="V120" s="17" t="s">
        <v>11</v>
      </c>
      <c r="W120" s="19">
        <f>((W118/W117)*10-W121)</f>
        <v>0</v>
      </c>
      <c r="X120" s="15" t="s">
        <v>10</v>
      </c>
    </row>
    <row r="121" spans="2:24" ht="30" x14ac:dyDescent="0.25">
      <c r="B121" s="11"/>
      <c r="C121" s="10"/>
      <c r="D121" s="17" t="s">
        <v>14</v>
      </c>
      <c r="E121" s="18">
        <f>'[1]Data Lingkungan_IC'!Z253</f>
        <v>0</v>
      </c>
      <c r="F121" s="15" t="s">
        <v>13</v>
      </c>
      <c r="H121" s="11"/>
      <c r="I121" s="10"/>
      <c r="J121" s="17" t="s">
        <v>14</v>
      </c>
      <c r="K121" s="18">
        <f>'[1]Data Lingkungan_IC'!AF254</f>
        <v>0</v>
      </c>
      <c r="L121" s="15" t="s">
        <v>13</v>
      </c>
      <c r="N121" s="11"/>
      <c r="O121" s="10"/>
      <c r="P121" s="17" t="s">
        <v>14</v>
      </c>
      <c r="Q121" s="18">
        <v>0</v>
      </c>
      <c r="R121" s="15" t="s">
        <v>13</v>
      </c>
      <c r="T121" s="11"/>
      <c r="U121" s="10"/>
      <c r="V121" s="17" t="s">
        <v>14</v>
      </c>
      <c r="W121" s="18">
        <v>0</v>
      </c>
      <c r="X121" s="15" t="s">
        <v>13</v>
      </c>
    </row>
    <row r="122" spans="2:24" x14ac:dyDescent="0.25">
      <c r="B122" s="11"/>
      <c r="C122" s="10" t="s">
        <v>12</v>
      </c>
      <c r="D122" s="17" t="s">
        <v>11</v>
      </c>
      <c r="E122" s="18">
        <f>'[2]Data Lingkungan (DL)'!AI71</f>
        <v>0</v>
      </c>
      <c r="F122" s="15" t="s">
        <v>10</v>
      </c>
      <c r="H122" s="11"/>
      <c r="I122" s="10" t="s">
        <v>12</v>
      </c>
      <c r="J122" s="17" t="s">
        <v>11</v>
      </c>
      <c r="K122" s="18">
        <f>'[2]Data Lingkungan (DL)'!BS67</f>
        <v>0</v>
      </c>
      <c r="L122" s="15" t="s">
        <v>10</v>
      </c>
      <c r="N122" s="11"/>
      <c r="O122" s="10" t="s">
        <v>12</v>
      </c>
      <c r="P122" s="17" t="s">
        <v>11</v>
      </c>
      <c r="Q122" s="18">
        <f>'[2]Data Lingkungan (DL)'!DC71</f>
        <v>0.1</v>
      </c>
      <c r="R122" s="15" t="s">
        <v>10</v>
      </c>
      <c r="T122" s="11"/>
      <c r="U122" s="10" t="s">
        <v>12</v>
      </c>
      <c r="V122" s="17" t="s">
        <v>11</v>
      </c>
      <c r="W122" s="18">
        <f>'[2]Data Lingkungan (DL)'!DL70</f>
        <v>0</v>
      </c>
      <c r="X122" s="15" t="s">
        <v>10</v>
      </c>
    </row>
    <row r="123" spans="2:24" ht="45" x14ac:dyDescent="0.25">
      <c r="B123" s="11"/>
      <c r="C123" s="10" t="s">
        <v>1</v>
      </c>
      <c r="D123" s="17"/>
      <c r="E123" s="16">
        <f>(E119/E117)</f>
        <v>0.97685185185185186</v>
      </c>
      <c r="F123" s="15" t="s">
        <v>9</v>
      </c>
      <c r="H123" s="11"/>
      <c r="I123" s="10" t="s">
        <v>1</v>
      </c>
      <c r="J123" s="17"/>
      <c r="K123" s="16">
        <f>(K119/K117)</f>
        <v>0.97777777777777775</v>
      </c>
      <c r="L123" s="15" t="s">
        <v>9</v>
      </c>
      <c r="N123" s="11"/>
      <c r="O123" s="10" t="s">
        <v>1</v>
      </c>
      <c r="P123" s="17"/>
      <c r="Q123" s="16">
        <f>(Q119/Q117)</f>
        <v>0.99972222222222218</v>
      </c>
      <c r="R123" s="15" t="s">
        <v>0</v>
      </c>
      <c r="T123" s="11"/>
      <c r="U123" s="10" t="s">
        <v>1</v>
      </c>
      <c r="V123" s="17"/>
      <c r="W123" s="16">
        <f>(W119/W117)</f>
        <v>1</v>
      </c>
      <c r="X123" s="15" t="s">
        <v>0</v>
      </c>
    </row>
    <row r="124" spans="2:24" x14ac:dyDescent="0.25">
      <c r="B124" s="11"/>
      <c r="C124" s="10" t="s">
        <v>8</v>
      </c>
      <c r="D124" s="14" t="s">
        <v>7</v>
      </c>
      <c r="E124" s="13" t="s">
        <v>6</v>
      </c>
      <c r="F124" s="12"/>
      <c r="H124" s="11"/>
      <c r="I124" s="10" t="s">
        <v>8</v>
      </c>
      <c r="J124" s="14" t="s">
        <v>7</v>
      </c>
      <c r="K124" s="13" t="s">
        <v>6</v>
      </c>
      <c r="L124" s="12"/>
      <c r="N124" s="11"/>
      <c r="O124" s="10" t="s">
        <v>8</v>
      </c>
      <c r="P124" s="14" t="s">
        <v>7</v>
      </c>
      <c r="Q124" s="13" t="s">
        <v>6</v>
      </c>
      <c r="R124" s="12"/>
      <c r="T124" s="11"/>
      <c r="U124" s="10" t="s">
        <v>8</v>
      </c>
      <c r="V124" s="14" t="s">
        <v>7</v>
      </c>
      <c r="W124" s="13" t="s">
        <v>6</v>
      </c>
      <c r="X124" s="12"/>
    </row>
    <row r="125" spans="2:24" x14ac:dyDescent="0.25">
      <c r="B125" s="11"/>
      <c r="C125" s="10"/>
      <c r="D125" s="9" t="s">
        <v>4</v>
      </c>
      <c r="E125" s="8" t="s">
        <v>5</v>
      </c>
      <c r="F125" s="7" t="s">
        <v>2</v>
      </c>
      <c r="H125" s="11"/>
      <c r="I125" s="10"/>
      <c r="J125" s="9" t="s">
        <v>4</v>
      </c>
      <c r="K125" s="8" t="s">
        <v>3</v>
      </c>
      <c r="L125" s="7" t="s">
        <v>2</v>
      </c>
      <c r="N125" s="11"/>
      <c r="O125" s="10"/>
      <c r="P125" s="9" t="s">
        <v>4</v>
      </c>
      <c r="Q125" s="8" t="s">
        <v>3</v>
      </c>
      <c r="R125" s="7" t="s">
        <v>2</v>
      </c>
      <c r="T125" s="11"/>
      <c r="U125" s="10"/>
      <c r="V125" s="9" t="s">
        <v>4</v>
      </c>
      <c r="W125" s="8" t="s">
        <v>3</v>
      </c>
      <c r="X125" s="7" t="s">
        <v>2</v>
      </c>
    </row>
    <row r="126" spans="2:24" ht="30.75" thickBot="1" x14ac:dyDescent="0.3">
      <c r="B126" s="6"/>
      <c r="C126" s="5"/>
      <c r="D126" s="4" t="s">
        <v>1</v>
      </c>
      <c r="E126" s="3">
        <v>1</v>
      </c>
      <c r="F126" s="2" t="s">
        <v>0</v>
      </c>
      <c r="H126" s="6"/>
      <c r="I126" s="5"/>
      <c r="J126" s="4" t="s">
        <v>1</v>
      </c>
      <c r="K126" s="3">
        <v>1</v>
      </c>
      <c r="L126" s="2" t="s">
        <v>0</v>
      </c>
      <c r="N126" s="6"/>
      <c r="O126" s="5"/>
      <c r="P126" s="4" t="s">
        <v>1</v>
      </c>
      <c r="Q126" s="3">
        <v>1</v>
      </c>
      <c r="R126" s="2" t="s">
        <v>0</v>
      </c>
      <c r="T126" s="6"/>
      <c r="U126" s="5"/>
      <c r="V126" s="4" t="s">
        <v>1</v>
      </c>
      <c r="W126" s="3">
        <v>1</v>
      </c>
      <c r="X126" s="2" t="s">
        <v>0</v>
      </c>
    </row>
    <row r="127" spans="2:24" ht="15.75" thickBot="1" x14ac:dyDescent="0.3"/>
    <row r="128" spans="2:24" x14ac:dyDescent="0.25">
      <c r="B128" s="40" t="s">
        <v>34</v>
      </c>
      <c r="C128" s="41"/>
      <c r="D128" s="41"/>
      <c r="E128" s="41"/>
      <c r="F128" s="42"/>
      <c r="H128" s="40" t="s">
        <v>34</v>
      </c>
      <c r="I128" s="41"/>
      <c r="J128" s="41"/>
      <c r="K128" s="41"/>
      <c r="L128" s="42"/>
      <c r="N128" s="40" t="s">
        <v>34</v>
      </c>
      <c r="O128" s="41"/>
      <c r="P128" s="41"/>
      <c r="Q128" s="41"/>
      <c r="R128" s="42"/>
    </row>
    <row r="129" spans="2:18" ht="15.75" thickBot="1" x14ac:dyDescent="0.3">
      <c r="B129" s="43" t="s">
        <v>33</v>
      </c>
      <c r="C129" s="44"/>
      <c r="D129" s="44"/>
      <c r="E129" s="44"/>
      <c r="F129" s="45"/>
      <c r="H129" s="31" t="s">
        <v>33</v>
      </c>
      <c r="I129" s="32"/>
      <c r="J129" s="32"/>
      <c r="K129" s="32"/>
      <c r="L129" s="33"/>
      <c r="N129" s="43" t="s">
        <v>33</v>
      </c>
      <c r="O129" s="44"/>
      <c r="P129" s="44"/>
      <c r="Q129" s="44"/>
      <c r="R129" s="45"/>
    </row>
    <row r="130" spans="2:18" x14ac:dyDescent="0.25">
      <c r="B130" s="37" t="s">
        <v>32</v>
      </c>
      <c r="C130" s="38"/>
      <c r="D130" s="38"/>
      <c r="E130" s="38"/>
      <c r="F130" s="39"/>
      <c r="H130" s="37" t="s">
        <v>32</v>
      </c>
      <c r="I130" s="38"/>
      <c r="J130" s="38"/>
      <c r="K130" s="38"/>
      <c r="L130" s="39"/>
      <c r="N130" s="37" t="s">
        <v>44</v>
      </c>
      <c r="O130" s="38"/>
      <c r="P130" s="38"/>
      <c r="Q130" s="38"/>
      <c r="R130" s="39"/>
    </row>
    <row r="131" spans="2:18" ht="15.75" thickBot="1" x14ac:dyDescent="0.3">
      <c r="B131" s="27" t="s">
        <v>31</v>
      </c>
      <c r="C131" s="26" t="s">
        <v>30</v>
      </c>
      <c r="D131" s="26" t="s">
        <v>29</v>
      </c>
      <c r="E131" s="26" t="s">
        <v>28</v>
      </c>
      <c r="F131" s="25" t="s">
        <v>27</v>
      </c>
      <c r="H131" s="27" t="s">
        <v>31</v>
      </c>
      <c r="I131" s="26" t="s">
        <v>30</v>
      </c>
      <c r="J131" s="26" t="s">
        <v>29</v>
      </c>
      <c r="K131" s="26" t="s">
        <v>28</v>
      </c>
      <c r="L131" s="25" t="s">
        <v>27</v>
      </c>
      <c r="N131" s="27" t="s">
        <v>31</v>
      </c>
      <c r="O131" s="26" t="s">
        <v>30</v>
      </c>
      <c r="P131" s="26" t="s">
        <v>29</v>
      </c>
      <c r="Q131" s="26" t="s">
        <v>28</v>
      </c>
      <c r="R131" s="25" t="s">
        <v>27</v>
      </c>
    </row>
    <row r="132" spans="2:18" x14ac:dyDescent="0.25">
      <c r="B132" s="37" t="s">
        <v>26</v>
      </c>
      <c r="C132" s="38"/>
      <c r="D132" s="38"/>
      <c r="E132" s="38"/>
      <c r="F132" s="39"/>
      <c r="H132" s="34" t="s">
        <v>26</v>
      </c>
      <c r="I132" s="35"/>
      <c r="J132" s="35"/>
      <c r="K132" s="35"/>
      <c r="L132" s="36"/>
      <c r="N132" s="37" t="s">
        <v>43</v>
      </c>
      <c r="O132" s="38"/>
      <c r="P132" s="38"/>
      <c r="Q132" s="38"/>
      <c r="R132" s="39"/>
    </row>
    <row r="133" spans="2:18" x14ac:dyDescent="0.25">
      <c r="B133" s="11"/>
      <c r="C133" s="22" t="s">
        <v>24</v>
      </c>
      <c r="D133" s="22"/>
      <c r="E133" s="13" t="s">
        <v>25</v>
      </c>
      <c r="F133" s="23"/>
      <c r="H133" s="11"/>
      <c r="I133" s="22" t="s">
        <v>24</v>
      </c>
      <c r="J133" s="22"/>
      <c r="K133" s="13" t="s">
        <v>23</v>
      </c>
      <c r="L133" s="23"/>
      <c r="N133" s="11"/>
      <c r="O133" s="22" t="s">
        <v>24</v>
      </c>
      <c r="P133" s="22"/>
      <c r="Q133" s="13" t="s">
        <v>84</v>
      </c>
      <c r="R133" s="23"/>
    </row>
    <row r="134" spans="2:18" x14ac:dyDescent="0.25">
      <c r="B134" s="11"/>
      <c r="C134" s="22" t="s">
        <v>21</v>
      </c>
      <c r="D134" s="22"/>
      <c r="E134" s="24" t="s">
        <v>22</v>
      </c>
      <c r="F134" s="23"/>
      <c r="H134" s="11"/>
      <c r="I134" s="22" t="s">
        <v>21</v>
      </c>
      <c r="J134" s="22"/>
      <c r="K134" s="24" t="s">
        <v>20</v>
      </c>
      <c r="L134" s="23"/>
      <c r="N134" s="11"/>
      <c r="O134" s="22" t="s">
        <v>21</v>
      </c>
      <c r="P134" s="22"/>
      <c r="Q134" s="24" t="s">
        <v>85</v>
      </c>
      <c r="R134" s="23"/>
    </row>
    <row r="135" spans="2:18" x14ac:dyDescent="0.25">
      <c r="B135" s="11"/>
      <c r="C135" s="22" t="s">
        <v>19</v>
      </c>
      <c r="D135" s="14"/>
      <c r="E135" s="13">
        <f>15*12*30</f>
        <v>5400</v>
      </c>
      <c r="F135" s="12" t="s">
        <v>16</v>
      </c>
      <c r="H135" s="11"/>
      <c r="I135" s="22" t="s">
        <v>19</v>
      </c>
      <c r="J135" s="14"/>
      <c r="K135" s="13">
        <f>15*12*30</f>
        <v>5400</v>
      </c>
      <c r="L135" s="12" t="s">
        <v>16</v>
      </c>
      <c r="N135" s="11"/>
      <c r="O135" s="22" t="s">
        <v>19</v>
      </c>
      <c r="P135" s="14"/>
      <c r="Q135" s="13">
        <f>5*12*30</f>
        <v>1800</v>
      </c>
      <c r="R135" s="12" t="s">
        <v>16</v>
      </c>
    </row>
    <row r="136" spans="2:18" x14ac:dyDescent="0.25">
      <c r="B136" s="11"/>
      <c r="C136" s="21" t="s">
        <v>18</v>
      </c>
      <c r="D136" s="9"/>
      <c r="E136" s="8">
        <v>120</v>
      </c>
      <c r="F136" s="7" t="s">
        <v>16</v>
      </c>
      <c r="H136" s="11"/>
      <c r="I136" s="21" t="s">
        <v>18</v>
      </c>
      <c r="J136" s="9"/>
      <c r="K136" s="8">
        <v>120</v>
      </c>
      <c r="L136" s="7" t="s">
        <v>16</v>
      </c>
      <c r="N136" s="11"/>
      <c r="O136" s="21" t="s">
        <v>18</v>
      </c>
      <c r="P136" s="9"/>
      <c r="Q136" s="8">
        <v>0</v>
      </c>
      <c r="R136" s="7" t="s">
        <v>16</v>
      </c>
    </row>
    <row r="137" spans="2:18" x14ac:dyDescent="0.25">
      <c r="B137" s="11"/>
      <c r="C137" s="10" t="s">
        <v>17</v>
      </c>
      <c r="D137" s="17"/>
      <c r="E137" s="20">
        <f>E135-E136-(E138+E140)/2*10</f>
        <v>5275</v>
      </c>
      <c r="F137" s="15" t="s">
        <v>16</v>
      </c>
      <c r="H137" s="11"/>
      <c r="I137" s="10" t="s">
        <v>17</v>
      </c>
      <c r="J137" s="17"/>
      <c r="K137" s="20">
        <f>K135-K136-(K138+K140)/2*10</f>
        <v>5270</v>
      </c>
      <c r="L137" s="15" t="s">
        <v>16</v>
      </c>
      <c r="N137" s="11"/>
      <c r="O137" s="10" t="s">
        <v>17</v>
      </c>
      <c r="P137" s="17"/>
      <c r="Q137" s="20">
        <f>Q135-Q136-(Q138+Q140)/2*10</f>
        <v>1800</v>
      </c>
      <c r="R137" s="15" t="s">
        <v>16</v>
      </c>
    </row>
    <row r="138" spans="2:18" x14ac:dyDescent="0.25">
      <c r="B138" s="11"/>
      <c r="C138" s="10" t="s">
        <v>15</v>
      </c>
      <c r="D138" s="17" t="s">
        <v>11</v>
      </c>
      <c r="E138" s="19">
        <f>((E136/E135)*45-E139)</f>
        <v>1</v>
      </c>
      <c r="F138" s="15" t="s">
        <v>10</v>
      </c>
      <c r="H138" s="11"/>
      <c r="I138" s="10" t="s">
        <v>15</v>
      </c>
      <c r="J138" s="17" t="s">
        <v>11</v>
      </c>
      <c r="K138" s="19">
        <f>((K136/K135)*45-K139)</f>
        <v>1</v>
      </c>
      <c r="L138" s="15" t="s">
        <v>10</v>
      </c>
      <c r="N138" s="11"/>
      <c r="O138" s="10" t="s">
        <v>15</v>
      </c>
      <c r="P138" s="17" t="s">
        <v>11</v>
      </c>
      <c r="Q138" s="19">
        <f>((Q136/Q135)*10-Q139)</f>
        <v>0</v>
      </c>
      <c r="R138" s="15" t="s">
        <v>10</v>
      </c>
    </row>
    <row r="139" spans="2:18" ht="30" x14ac:dyDescent="0.25">
      <c r="B139" s="11"/>
      <c r="C139" s="10"/>
      <c r="D139" s="17" t="s">
        <v>14</v>
      </c>
      <c r="E139" s="18">
        <f>'[1]Data Lingkungan_IC'!AG283</f>
        <v>0</v>
      </c>
      <c r="F139" s="15" t="s">
        <v>13</v>
      </c>
      <c r="H139" s="11"/>
      <c r="I139" s="10"/>
      <c r="J139" s="17" t="s">
        <v>14</v>
      </c>
      <c r="K139" s="18">
        <f>'[1]Data Lingkungan_IC'!AM286</f>
        <v>0</v>
      </c>
      <c r="L139" s="15" t="s">
        <v>13</v>
      </c>
      <c r="N139" s="11"/>
      <c r="O139" s="10"/>
      <c r="P139" s="17" t="s">
        <v>14</v>
      </c>
      <c r="Q139" s="18">
        <v>0</v>
      </c>
      <c r="R139" s="15" t="s">
        <v>13</v>
      </c>
    </row>
    <row r="140" spans="2:18" x14ac:dyDescent="0.25">
      <c r="B140" s="11"/>
      <c r="C140" s="10" t="s">
        <v>12</v>
      </c>
      <c r="D140" s="17" t="s">
        <v>11</v>
      </c>
      <c r="E140" s="18">
        <f>'[2]Data Lingkungan (DL)'!CB64</f>
        <v>0</v>
      </c>
      <c r="F140" s="15" t="s">
        <v>10</v>
      </c>
      <c r="H140" s="11"/>
      <c r="I140" s="10" t="s">
        <v>12</v>
      </c>
      <c r="J140" s="17" t="s">
        <v>11</v>
      </c>
      <c r="K140" s="18">
        <f>'[3]Data Lingkungan (DL)'!$DL$69</f>
        <v>1</v>
      </c>
      <c r="L140" s="15" t="s">
        <v>10</v>
      </c>
      <c r="N140" s="11"/>
      <c r="O140" s="10" t="s">
        <v>86</v>
      </c>
      <c r="P140" s="17" t="s">
        <v>11</v>
      </c>
      <c r="Q140" s="18">
        <f>'[3]Data Lingkungan (DL)'!$BZ$71</f>
        <v>0</v>
      </c>
      <c r="R140" s="15" t="s">
        <v>10</v>
      </c>
    </row>
    <row r="141" spans="2:18" ht="45" x14ac:dyDescent="0.25">
      <c r="B141" s="11"/>
      <c r="C141" s="10" t="s">
        <v>1</v>
      </c>
      <c r="D141" s="17"/>
      <c r="E141" s="16">
        <f>(E137/E135)</f>
        <v>0.97685185185185186</v>
      </c>
      <c r="F141" s="15" t="s">
        <v>9</v>
      </c>
      <c r="H141" s="11"/>
      <c r="I141" s="10" t="s">
        <v>1</v>
      </c>
      <c r="J141" s="17"/>
      <c r="K141" s="16">
        <f>(K137/K135)</f>
        <v>0.97592592592592597</v>
      </c>
      <c r="L141" s="15" t="s">
        <v>9</v>
      </c>
      <c r="N141" s="11"/>
      <c r="O141" s="10" t="s">
        <v>1</v>
      </c>
      <c r="P141" s="17"/>
      <c r="Q141" s="16">
        <f>(Q137/Q135)</f>
        <v>1</v>
      </c>
      <c r="R141" s="15" t="s">
        <v>0</v>
      </c>
    </row>
    <row r="142" spans="2:18" x14ac:dyDescent="0.25">
      <c r="B142" s="11"/>
      <c r="C142" s="10" t="s">
        <v>8</v>
      </c>
      <c r="D142" s="14" t="s">
        <v>7</v>
      </c>
      <c r="E142" s="13" t="s">
        <v>6</v>
      </c>
      <c r="F142" s="12"/>
      <c r="H142" s="11"/>
      <c r="I142" s="10" t="s">
        <v>8</v>
      </c>
      <c r="J142" s="14" t="s">
        <v>7</v>
      </c>
      <c r="K142" s="13" t="s">
        <v>6</v>
      </c>
      <c r="L142" s="12"/>
      <c r="N142" s="11"/>
      <c r="O142" s="10" t="s">
        <v>8</v>
      </c>
      <c r="P142" s="14" t="s">
        <v>7</v>
      </c>
      <c r="Q142" s="13" t="s">
        <v>6</v>
      </c>
      <c r="R142" s="12"/>
    </row>
    <row r="143" spans="2:18" x14ac:dyDescent="0.25">
      <c r="B143" s="11"/>
      <c r="C143" s="10"/>
      <c r="D143" s="9" t="s">
        <v>4</v>
      </c>
      <c r="E143" s="8" t="s">
        <v>5</v>
      </c>
      <c r="F143" s="7" t="s">
        <v>2</v>
      </c>
      <c r="H143" s="11"/>
      <c r="I143" s="10"/>
      <c r="J143" s="9" t="s">
        <v>4</v>
      </c>
      <c r="K143" s="8" t="s">
        <v>3</v>
      </c>
      <c r="L143" s="7" t="s">
        <v>2</v>
      </c>
      <c r="N143" s="11"/>
      <c r="O143" s="10"/>
      <c r="P143" s="9" t="s">
        <v>4</v>
      </c>
      <c r="Q143" s="8" t="s">
        <v>3</v>
      </c>
      <c r="R143" s="7" t="s">
        <v>2</v>
      </c>
    </row>
    <row r="144" spans="2:18" ht="30.75" thickBot="1" x14ac:dyDescent="0.3">
      <c r="B144" s="6"/>
      <c r="C144" s="5"/>
      <c r="D144" s="4" t="s">
        <v>1</v>
      </c>
      <c r="E144" s="3">
        <v>1</v>
      </c>
      <c r="F144" s="2" t="s">
        <v>0</v>
      </c>
      <c r="H144" s="6"/>
      <c r="I144" s="5"/>
      <c r="J144" s="4" t="s">
        <v>1</v>
      </c>
      <c r="K144" s="3">
        <v>1</v>
      </c>
      <c r="L144" s="2" t="s">
        <v>0</v>
      </c>
      <c r="N144" s="6"/>
      <c r="O144" s="5"/>
      <c r="P144" s="4" t="s">
        <v>1</v>
      </c>
      <c r="Q144" s="3">
        <v>1</v>
      </c>
      <c r="R144" s="2" t="s">
        <v>0</v>
      </c>
    </row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</sheetData>
  <mergeCells count="124">
    <mergeCell ref="N3:R3"/>
    <mergeCell ref="T3:X3"/>
    <mergeCell ref="B4:F4"/>
    <mergeCell ref="H4:L4"/>
    <mergeCell ref="N4:R4"/>
    <mergeCell ref="T4:X4"/>
    <mergeCell ref="B2:F2"/>
    <mergeCell ref="H2:L2"/>
    <mergeCell ref="N2:R2"/>
    <mergeCell ref="T2:X2"/>
    <mergeCell ref="B3:F3"/>
    <mergeCell ref="H3:L3"/>
    <mergeCell ref="N21:R21"/>
    <mergeCell ref="T21:X21"/>
    <mergeCell ref="B6:F6"/>
    <mergeCell ref="H6:L6"/>
    <mergeCell ref="N6:R6"/>
    <mergeCell ref="T6:X6"/>
    <mergeCell ref="B22:F22"/>
    <mergeCell ref="H22:L22"/>
    <mergeCell ref="N22:R22"/>
    <mergeCell ref="T22:X22"/>
    <mergeCell ref="B20:F20"/>
    <mergeCell ref="H20:L20"/>
    <mergeCell ref="N20:R20"/>
    <mergeCell ref="T20:X20"/>
    <mergeCell ref="B21:F21"/>
    <mergeCell ref="H21:L21"/>
    <mergeCell ref="N39:R39"/>
    <mergeCell ref="T39:X39"/>
    <mergeCell ref="B24:F24"/>
    <mergeCell ref="H24:L24"/>
    <mergeCell ref="N24:R24"/>
    <mergeCell ref="T24:X24"/>
    <mergeCell ref="B40:F40"/>
    <mergeCell ref="H40:L40"/>
    <mergeCell ref="N40:R40"/>
    <mergeCell ref="T40:X40"/>
    <mergeCell ref="B38:F38"/>
    <mergeCell ref="H38:L38"/>
    <mergeCell ref="N38:R38"/>
    <mergeCell ref="T38:X38"/>
    <mergeCell ref="B39:F39"/>
    <mergeCell ref="H39:L39"/>
    <mergeCell ref="N57:R57"/>
    <mergeCell ref="T57:X57"/>
    <mergeCell ref="B42:F42"/>
    <mergeCell ref="H42:L42"/>
    <mergeCell ref="N42:R42"/>
    <mergeCell ref="T42:X42"/>
    <mergeCell ref="B58:F58"/>
    <mergeCell ref="H58:L58"/>
    <mergeCell ref="N58:R58"/>
    <mergeCell ref="T58:X58"/>
    <mergeCell ref="B56:F56"/>
    <mergeCell ref="H56:L56"/>
    <mergeCell ref="N56:R56"/>
    <mergeCell ref="T56:X56"/>
    <mergeCell ref="B57:F57"/>
    <mergeCell ref="H57:L57"/>
    <mergeCell ref="N75:R75"/>
    <mergeCell ref="T75:X75"/>
    <mergeCell ref="B60:F60"/>
    <mergeCell ref="H60:L60"/>
    <mergeCell ref="N60:R60"/>
    <mergeCell ref="T60:X60"/>
    <mergeCell ref="B76:F76"/>
    <mergeCell ref="H76:L76"/>
    <mergeCell ref="N76:R76"/>
    <mergeCell ref="T76:X76"/>
    <mergeCell ref="B74:F74"/>
    <mergeCell ref="H74:L74"/>
    <mergeCell ref="N74:R74"/>
    <mergeCell ref="T74:X74"/>
    <mergeCell ref="B75:F75"/>
    <mergeCell ref="H75:L75"/>
    <mergeCell ref="N93:R93"/>
    <mergeCell ref="T93:X93"/>
    <mergeCell ref="B78:F78"/>
    <mergeCell ref="H78:L78"/>
    <mergeCell ref="N78:R78"/>
    <mergeCell ref="T78:X78"/>
    <mergeCell ref="B94:F94"/>
    <mergeCell ref="H94:L94"/>
    <mergeCell ref="N94:R94"/>
    <mergeCell ref="T94:X94"/>
    <mergeCell ref="B92:F92"/>
    <mergeCell ref="H92:L92"/>
    <mergeCell ref="N92:R92"/>
    <mergeCell ref="T92:X92"/>
    <mergeCell ref="B93:F93"/>
    <mergeCell ref="H93:L93"/>
    <mergeCell ref="B96:F96"/>
    <mergeCell ref="H96:L96"/>
    <mergeCell ref="N96:R96"/>
    <mergeCell ref="T96:X96"/>
    <mergeCell ref="B132:F132"/>
    <mergeCell ref="H132:L132"/>
    <mergeCell ref="B128:F128"/>
    <mergeCell ref="H128:L128"/>
    <mergeCell ref="B129:F129"/>
    <mergeCell ref="H129:L129"/>
    <mergeCell ref="B130:F130"/>
    <mergeCell ref="H130:L130"/>
    <mergeCell ref="B110:F110"/>
    <mergeCell ref="H110:L110"/>
    <mergeCell ref="B111:F111"/>
    <mergeCell ref="H111:L111"/>
    <mergeCell ref="B112:F112"/>
    <mergeCell ref="H112:L112"/>
    <mergeCell ref="T110:X110"/>
    <mergeCell ref="T111:X111"/>
    <mergeCell ref="T112:X112"/>
    <mergeCell ref="T114:X114"/>
    <mergeCell ref="N111:R111"/>
    <mergeCell ref="N114:R114"/>
    <mergeCell ref="N112:R112"/>
    <mergeCell ref="N110:R110"/>
    <mergeCell ref="N128:R128"/>
    <mergeCell ref="N129:R129"/>
    <mergeCell ref="N130:R130"/>
    <mergeCell ref="N132:R132"/>
    <mergeCell ref="B114:F114"/>
    <mergeCell ref="H114:L114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STATIS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PNMO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2021-08-05T09:23:27Z</dcterms:created>
  <dcterms:modified xsi:type="dcterms:W3CDTF">2021-08-09T10:28:23Z</dcterms:modified>
</cp:coreProperties>
</file>