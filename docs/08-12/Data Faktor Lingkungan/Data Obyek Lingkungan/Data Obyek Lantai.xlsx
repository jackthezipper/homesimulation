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NMO-LT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K83" i="1" l="1"/>
  <c r="K84" i="1" s="1"/>
  <c r="K81" i="1"/>
  <c r="K82" i="1"/>
  <c r="K77" i="1"/>
  <c r="K80" i="1" s="1"/>
  <c r="K79" i="1" l="1"/>
  <c r="E9" i="1" l="1"/>
  <c r="E12" i="1" s="1"/>
  <c r="K9" i="1"/>
  <c r="K12" i="1" s="1"/>
  <c r="K11" i="1" s="1"/>
  <c r="Q9" i="1"/>
  <c r="Q12" i="1"/>
  <c r="Q11" i="1" s="1"/>
  <c r="E14" i="1"/>
  <c r="K14" i="1"/>
  <c r="Q14" i="1"/>
  <c r="E15" i="1"/>
  <c r="E16" i="1" s="1"/>
  <c r="K15" i="1"/>
  <c r="K16" i="1" s="1"/>
  <c r="Q15" i="1"/>
  <c r="Q16" i="1"/>
  <c r="E26" i="1"/>
  <c r="K26" i="1"/>
  <c r="Q26" i="1"/>
  <c r="Q28" i="1" s="1"/>
  <c r="E28" i="1"/>
  <c r="E29" i="1"/>
  <c r="K29" i="1"/>
  <c r="K28" i="1" s="1"/>
  <c r="Q29" i="1"/>
  <c r="E31" i="1"/>
  <c r="K31" i="1"/>
  <c r="K32" i="1" s="1"/>
  <c r="K33" i="1" s="1"/>
  <c r="Q31" i="1"/>
  <c r="Q32" i="1" s="1"/>
  <c r="Q33" i="1" s="1"/>
  <c r="E32" i="1"/>
  <c r="E33" i="1"/>
  <c r="E43" i="1"/>
  <c r="E46" i="1" s="1"/>
  <c r="K43" i="1"/>
  <c r="Q43" i="1"/>
  <c r="Q47" i="1"/>
  <c r="Q46" i="1" s="1"/>
  <c r="Q45" i="1" s="1"/>
  <c r="E48" i="1"/>
  <c r="K48" i="1"/>
  <c r="Q48" i="1"/>
  <c r="Q49" i="1" s="1"/>
  <c r="Q50" i="1" s="1"/>
  <c r="E49" i="1"/>
  <c r="E50" i="1" s="1"/>
  <c r="K49" i="1"/>
  <c r="K50" i="1"/>
  <c r="E60" i="1"/>
  <c r="K60" i="1"/>
  <c r="K63" i="1" s="1"/>
  <c r="Q60" i="1"/>
  <c r="Q63" i="1" s="1"/>
  <c r="E63" i="1"/>
  <c r="E62" i="1" s="1"/>
  <c r="E64" i="1"/>
  <c r="K64" i="1"/>
  <c r="Q64" i="1"/>
  <c r="E65" i="1"/>
  <c r="K65" i="1"/>
  <c r="K66" i="1" s="1"/>
  <c r="K67" i="1" s="1"/>
  <c r="Q65" i="1"/>
  <c r="Q66" i="1" s="1"/>
  <c r="Q67" i="1" s="1"/>
  <c r="E66" i="1"/>
  <c r="E67" i="1"/>
  <c r="E77" i="1"/>
  <c r="E79" i="1"/>
  <c r="E80" i="1"/>
  <c r="E81" i="1"/>
  <c r="E82" i="1"/>
  <c r="E83" i="1"/>
  <c r="E84" i="1" s="1"/>
  <c r="Q62" i="1" l="1"/>
  <c r="K62" i="1"/>
  <c r="K46" i="1"/>
  <c r="K45" i="1" s="1"/>
  <c r="E45" i="1"/>
  <c r="E11" i="1"/>
</calcChain>
</file>

<file path=xl/sharedStrings.xml><?xml version="1.0" encoding="utf-8"?>
<sst xmlns="http://schemas.openxmlformats.org/spreadsheetml/2006/main" count="463" uniqueCount="56">
  <si>
    <t>Flooring</t>
  </si>
  <si>
    <t>Function</t>
  </si>
  <si>
    <t>Object</t>
  </si>
  <si>
    <t xml:space="preserve">Status </t>
  </si>
  <si>
    <t>sangat bersih, bersih, cukup bersih, kotor, sangat kotor</t>
  </si>
  <si>
    <t>Condition</t>
  </si>
  <si>
    <t>level</t>
  </si>
  <si>
    <t>Current State</t>
  </si>
  <si>
    <t>Cleanliness</t>
  </si>
  <si>
    <t>kumulatif maintenance</t>
  </si>
  <si>
    <t>Total Cumulative Maintenance</t>
  </si>
  <si>
    <t>Maintenance</t>
  </si>
  <si>
    <t>hari</t>
  </si>
  <si>
    <t>Sisa Umur</t>
  </si>
  <si>
    <t>Age</t>
  </si>
  <si>
    <t>Lifespan</t>
  </si>
  <si>
    <t>RHD01-LT14</t>
  </si>
  <si>
    <t>Code</t>
  </si>
  <si>
    <t>Lantai 14</t>
  </si>
  <si>
    <t>Name</t>
  </si>
  <si>
    <t>A. Architectural Element Attribute</t>
  </si>
  <si>
    <t>Note</t>
  </si>
  <si>
    <t xml:space="preserve">Parameter </t>
  </si>
  <si>
    <t>Variable ii</t>
  </si>
  <si>
    <t>Variable i</t>
  </si>
  <si>
    <t>No</t>
  </si>
  <si>
    <t>PASSIVE NON MECHANIC OBJECT</t>
  </si>
  <si>
    <t>COMPONENTS</t>
  </si>
  <si>
    <t>ABM</t>
  </si>
  <si>
    <t>RGS01-LT13</t>
  </si>
  <si>
    <t>RCC01-LT12</t>
  </si>
  <si>
    <t>RMK11-LT11</t>
  </si>
  <si>
    <t>Lantai 13</t>
  </si>
  <si>
    <t>Lantai 12</t>
  </si>
  <si>
    <t>Lantai 11</t>
  </si>
  <si>
    <t>RDP10-LT10</t>
  </si>
  <si>
    <t>RGD01-LT09</t>
  </si>
  <si>
    <t>RKM01-LT08</t>
  </si>
  <si>
    <t>Lantai 10</t>
  </si>
  <si>
    <t>Lantai 09</t>
  </si>
  <si>
    <t>Lantai 08</t>
  </si>
  <si>
    <t>RKG01-LT07</t>
  </si>
  <si>
    <t>RTA01-LT05</t>
  </si>
  <si>
    <t>Lantai 07</t>
  </si>
  <si>
    <t>Lantai 06</t>
  </si>
  <si>
    <t>Lantai 05</t>
  </si>
  <si>
    <t>RTU01-LT04</t>
  </si>
  <si>
    <t>RTM01-LT02</t>
  </si>
  <si>
    <t>RTS01-LT01</t>
  </si>
  <si>
    <t>Lantai 04</t>
  </si>
  <si>
    <t>Lantai 02</t>
  </si>
  <si>
    <t>Lantai 01</t>
  </si>
  <si>
    <t>ELEMEN RUANG (ARSITEKTURAL)</t>
  </si>
  <si>
    <t>Lantai 03</t>
  </si>
  <si>
    <t>RKD01-LT03</t>
  </si>
  <si>
    <t>RTU02-LT06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</si>
</sst>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/>
    <xf numFmtId="2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4" borderId="5" xfId="0" applyFill="1" applyBorder="1" applyAlignment="1">
      <alignment vertical="center"/>
    </xf>
    <xf numFmtId="0" fontId="0" fillId="0" borderId="5" xfId="0" applyFill="1" applyBorder="1" applyAlignment="1">
      <alignment horizontal="left" vertical="center" wrapText="1"/>
    </xf>
    <xf numFmtId="164" fontId="0" fillId="4" borderId="5" xfId="0" applyNumberFormat="1" applyFill="1" applyBorder="1" applyAlignment="1">
      <alignment vertical="center"/>
    </xf>
    <xf numFmtId="1" fontId="0" fillId="4" borderId="5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/>
    <xf numFmtId="0" fontId="0" fillId="2" borderId="5" xfId="0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1" fillId="0" borderId="0" xfId="0" applyFont="1"/>
    <xf numFmtId="0" fontId="1" fillId="0" borderId="20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1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7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Kondisi%20Rua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/ABM/Tabel%20Flow%20ABM%2013/Data%20Faktor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</row>
        <row r="67">
          <cell r="H67">
            <v>1</v>
          </cell>
          <cell r="Q67">
            <v>0</v>
          </cell>
          <cell r="Z67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Views>
    <sheetView tabSelected="1" zoomScale="85" zoomScaleNormal="85" workbookViewId="0">
      <selection activeCell="O32" sqref="O32"/>
    </sheetView>
  </sheetViews>
  <sheetFormatPr defaultRowHeight="15" x14ac:dyDescent="0.25"/>
  <cols>
    <col min="1" max="1" width="9.140625" customWidth="1"/>
    <col min="2" max="2" width="3.42578125" bestFit="1" customWidth="1"/>
    <col min="3" max="6" width="20.7109375" customWidth="1"/>
    <col min="7" max="7" width="1.28515625" customWidth="1"/>
    <col min="8" max="8" width="3.42578125" bestFit="1" customWidth="1"/>
    <col min="9" max="12" width="20.7109375" customWidth="1"/>
    <col min="13" max="13" width="1.140625" customWidth="1"/>
    <col min="14" max="14" width="3.42578125" bestFit="1" customWidth="1"/>
    <col min="15" max="18" width="20.7109375" customWidth="1"/>
  </cols>
  <sheetData>
    <row r="1" spans="1:18" s="27" customFormat="1" ht="15.75" thickBot="1" x14ac:dyDescent="0.3">
      <c r="A1" s="27" t="s">
        <v>52</v>
      </c>
    </row>
    <row r="2" spans="1:18" x14ac:dyDescent="0.25">
      <c r="B2" s="28" t="s">
        <v>28</v>
      </c>
      <c r="C2" s="29"/>
      <c r="D2" s="29"/>
      <c r="E2" s="29"/>
      <c r="F2" s="30"/>
      <c r="H2" s="28" t="s">
        <v>28</v>
      </c>
      <c r="I2" s="29"/>
      <c r="J2" s="29"/>
      <c r="K2" s="29"/>
      <c r="L2" s="30"/>
      <c r="N2" s="28" t="s">
        <v>28</v>
      </c>
      <c r="O2" s="29"/>
      <c r="P2" s="29"/>
      <c r="Q2" s="29"/>
      <c r="R2" s="30"/>
    </row>
    <row r="3" spans="1:18" ht="15.75" thickBot="1" x14ac:dyDescent="0.3">
      <c r="B3" s="31" t="s">
        <v>27</v>
      </c>
      <c r="C3" s="32"/>
      <c r="D3" s="32"/>
      <c r="E3" s="32"/>
      <c r="F3" s="33"/>
      <c r="H3" s="31" t="s">
        <v>27</v>
      </c>
      <c r="I3" s="32"/>
      <c r="J3" s="32"/>
      <c r="K3" s="32"/>
      <c r="L3" s="33"/>
      <c r="N3" s="31" t="s">
        <v>27</v>
      </c>
      <c r="O3" s="32"/>
      <c r="P3" s="32"/>
      <c r="Q3" s="32"/>
      <c r="R3" s="33"/>
    </row>
    <row r="4" spans="1:18" x14ac:dyDescent="0.25">
      <c r="B4" s="34" t="s">
        <v>26</v>
      </c>
      <c r="C4" s="35"/>
      <c r="D4" s="35"/>
      <c r="E4" s="35"/>
      <c r="F4" s="36"/>
      <c r="H4" s="34" t="s">
        <v>26</v>
      </c>
      <c r="I4" s="35"/>
      <c r="J4" s="35"/>
      <c r="K4" s="35"/>
      <c r="L4" s="36"/>
      <c r="N4" s="34" t="s">
        <v>26</v>
      </c>
      <c r="O4" s="35"/>
      <c r="P4" s="35"/>
      <c r="Q4" s="35"/>
      <c r="R4" s="36"/>
    </row>
    <row r="5" spans="1:18" ht="15.75" thickBot="1" x14ac:dyDescent="0.3">
      <c r="B5" s="26" t="s">
        <v>25</v>
      </c>
      <c r="C5" s="25" t="s">
        <v>24</v>
      </c>
      <c r="D5" s="25" t="s">
        <v>23</v>
      </c>
      <c r="E5" s="25" t="s">
        <v>22</v>
      </c>
      <c r="F5" s="24" t="s">
        <v>21</v>
      </c>
      <c r="H5" s="26" t="s">
        <v>25</v>
      </c>
      <c r="I5" s="25" t="s">
        <v>24</v>
      </c>
      <c r="J5" s="25" t="s">
        <v>23</v>
      </c>
      <c r="K5" s="25" t="s">
        <v>22</v>
      </c>
      <c r="L5" s="24" t="s">
        <v>21</v>
      </c>
      <c r="N5" s="26" t="s">
        <v>25</v>
      </c>
      <c r="O5" s="25" t="s">
        <v>24</v>
      </c>
      <c r="P5" s="25" t="s">
        <v>23</v>
      </c>
      <c r="Q5" s="25" t="s">
        <v>22</v>
      </c>
      <c r="R5" s="24" t="s">
        <v>21</v>
      </c>
    </row>
    <row r="6" spans="1:18" x14ac:dyDescent="0.25">
      <c r="B6" s="34" t="s">
        <v>20</v>
      </c>
      <c r="C6" s="35"/>
      <c r="D6" s="35"/>
      <c r="E6" s="35"/>
      <c r="F6" s="36"/>
      <c r="H6" s="34" t="s">
        <v>20</v>
      </c>
      <c r="I6" s="35"/>
      <c r="J6" s="35"/>
      <c r="K6" s="35"/>
      <c r="L6" s="36"/>
      <c r="N6" s="34" t="s">
        <v>20</v>
      </c>
      <c r="O6" s="35"/>
      <c r="P6" s="35"/>
      <c r="Q6" s="35"/>
      <c r="R6" s="36"/>
    </row>
    <row r="7" spans="1:18" x14ac:dyDescent="0.25">
      <c r="B7" s="9"/>
      <c r="C7" s="21" t="s">
        <v>19</v>
      </c>
      <c r="D7" s="21"/>
      <c r="E7" s="19" t="s">
        <v>51</v>
      </c>
      <c r="F7" s="22"/>
      <c r="H7" s="9"/>
      <c r="I7" s="21" t="s">
        <v>19</v>
      </c>
      <c r="J7" s="21"/>
      <c r="K7" s="19" t="s">
        <v>50</v>
      </c>
      <c r="L7" s="22"/>
      <c r="N7" s="9"/>
      <c r="O7" s="21" t="s">
        <v>19</v>
      </c>
      <c r="P7" s="21"/>
      <c r="Q7" s="19" t="s">
        <v>49</v>
      </c>
      <c r="R7" s="22"/>
    </row>
    <row r="8" spans="1:18" x14ac:dyDescent="0.25">
      <c r="B8" s="9"/>
      <c r="C8" s="21" t="s">
        <v>17</v>
      </c>
      <c r="D8" s="21"/>
      <c r="E8" s="23" t="s">
        <v>48</v>
      </c>
      <c r="F8" s="22"/>
      <c r="H8" s="9"/>
      <c r="I8" s="21" t="s">
        <v>17</v>
      </c>
      <c r="J8" s="21"/>
      <c r="K8" s="23" t="s">
        <v>47</v>
      </c>
      <c r="L8" s="22"/>
      <c r="N8" s="9"/>
      <c r="O8" s="21" t="s">
        <v>17</v>
      </c>
      <c r="P8" s="21"/>
      <c r="Q8" s="23" t="s">
        <v>46</v>
      </c>
      <c r="R8" s="22"/>
    </row>
    <row r="9" spans="1:18" x14ac:dyDescent="0.25">
      <c r="B9" s="9"/>
      <c r="C9" s="21" t="s">
        <v>15</v>
      </c>
      <c r="D9" s="20"/>
      <c r="E9" s="19">
        <f>20*12*30</f>
        <v>7200</v>
      </c>
      <c r="F9" s="18" t="s">
        <v>12</v>
      </c>
      <c r="H9" s="9"/>
      <c r="I9" s="21" t="s">
        <v>15</v>
      </c>
      <c r="J9" s="20"/>
      <c r="K9" s="19">
        <f>20*12*30</f>
        <v>7200</v>
      </c>
      <c r="L9" s="18" t="s">
        <v>12</v>
      </c>
      <c r="N9" s="9"/>
      <c r="O9" s="21" t="s">
        <v>15</v>
      </c>
      <c r="P9" s="20"/>
      <c r="Q9" s="19">
        <f>20*12*30</f>
        <v>7200</v>
      </c>
      <c r="R9" s="18" t="s">
        <v>12</v>
      </c>
    </row>
    <row r="10" spans="1:18" x14ac:dyDescent="0.25">
      <c r="B10" s="9"/>
      <c r="C10" s="11" t="s">
        <v>14</v>
      </c>
      <c r="D10" s="7"/>
      <c r="E10" s="6">
        <v>3600</v>
      </c>
      <c r="F10" s="17" t="s">
        <v>12</v>
      </c>
      <c r="H10" s="9"/>
      <c r="I10" s="11" t="s">
        <v>14</v>
      </c>
      <c r="J10" s="7"/>
      <c r="K10" s="6">
        <v>3600</v>
      </c>
      <c r="L10" s="17" t="s">
        <v>12</v>
      </c>
      <c r="N10" s="9"/>
      <c r="O10" s="11" t="s">
        <v>14</v>
      </c>
      <c r="P10" s="7"/>
      <c r="Q10" s="6">
        <v>3600</v>
      </c>
      <c r="R10" s="17" t="s">
        <v>12</v>
      </c>
    </row>
    <row r="11" spans="1:18" x14ac:dyDescent="0.25">
      <c r="B11" s="9"/>
      <c r="C11" s="8" t="s">
        <v>13</v>
      </c>
      <c r="D11" s="14"/>
      <c r="E11" s="16">
        <f>E9-E10-(E12+E14)/2*10</f>
        <v>3599.5</v>
      </c>
      <c r="F11" s="12" t="s">
        <v>12</v>
      </c>
      <c r="H11" s="9"/>
      <c r="I11" s="8" t="s">
        <v>13</v>
      </c>
      <c r="J11" s="14"/>
      <c r="K11" s="16">
        <f>K9-K10-(K12+K14)/2*10</f>
        <v>3600</v>
      </c>
      <c r="L11" s="12" t="s">
        <v>12</v>
      </c>
      <c r="N11" s="9"/>
      <c r="O11" s="8" t="s">
        <v>13</v>
      </c>
      <c r="P11" s="14"/>
      <c r="Q11" s="16">
        <f>Q9-Q10-(Q12+Q14)/2*10</f>
        <v>3600</v>
      </c>
      <c r="R11" s="12" t="s">
        <v>12</v>
      </c>
    </row>
    <row r="12" spans="1:18" x14ac:dyDescent="0.25">
      <c r="B12" s="9"/>
      <c r="C12" s="8" t="s">
        <v>11</v>
      </c>
      <c r="D12" s="14" t="s">
        <v>7</v>
      </c>
      <c r="E12" s="15">
        <f>((E10/E9)*0-E13)</f>
        <v>0</v>
      </c>
      <c r="F12" s="12" t="s">
        <v>6</v>
      </c>
      <c r="H12" s="9"/>
      <c r="I12" s="8" t="s">
        <v>11</v>
      </c>
      <c r="J12" s="14" t="s">
        <v>7</v>
      </c>
      <c r="K12" s="15">
        <f>((K10/K9)*0-K13)</f>
        <v>0</v>
      </c>
      <c r="L12" s="12" t="s">
        <v>6</v>
      </c>
      <c r="N12" s="9"/>
      <c r="O12" s="8" t="s">
        <v>11</v>
      </c>
      <c r="P12" s="14" t="s">
        <v>7</v>
      </c>
      <c r="Q12" s="15">
        <f>((Q10/Q9)*0-Q13)</f>
        <v>0</v>
      </c>
      <c r="R12" s="12" t="s">
        <v>6</v>
      </c>
    </row>
    <row r="13" spans="1:18" ht="30" x14ac:dyDescent="0.25">
      <c r="B13" s="9"/>
      <c r="C13" s="8"/>
      <c r="D13" s="14" t="s">
        <v>10</v>
      </c>
      <c r="E13" s="13">
        <v>0</v>
      </c>
      <c r="F13" s="12" t="s">
        <v>9</v>
      </c>
      <c r="H13" s="9"/>
      <c r="I13" s="8"/>
      <c r="J13" s="14" t="s">
        <v>10</v>
      </c>
      <c r="K13" s="13">
        <v>0</v>
      </c>
      <c r="L13" s="12" t="s">
        <v>9</v>
      </c>
      <c r="N13" s="9"/>
      <c r="O13" s="8"/>
      <c r="P13" s="14" t="s">
        <v>10</v>
      </c>
      <c r="Q13" s="13">
        <v>0</v>
      </c>
      <c r="R13" s="12" t="s">
        <v>9</v>
      </c>
    </row>
    <row r="14" spans="1:18" x14ac:dyDescent="0.25">
      <c r="B14" s="9"/>
      <c r="C14" s="8" t="s">
        <v>8</v>
      </c>
      <c r="D14" s="14" t="s">
        <v>7</v>
      </c>
      <c r="E14" s="13">
        <f>'[1]Data Lingkungan (DL)'!Z67</f>
        <v>0.1</v>
      </c>
      <c r="F14" s="12" t="s">
        <v>6</v>
      </c>
      <c r="H14" s="9"/>
      <c r="I14" s="8" t="s">
        <v>8</v>
      </c>
      <c r="J14" s="14" t="s">
        <v>7</v>
      </c>
      <c r="K14" s="13">
        <f>'[1]Data Lingkungan (DL)'!AI76</f>
        <v>0</v>
      </c>
      <c r="L14" s="12" t="s">
        <v>6</v>
      </c>
      <c r="N14" s="9"/>
      <c r="O14" s="8" t="s">
        <v>8</v>
      </c>
      <c r="P14" s="14" t="s">
        <v>7</v>
      </c>
      <c r="Q14" s="13">
        <f>'[1]Data Lingkungan (DL)'!BA74</f>
        <v>0</v>
      </c>
      <c r="R14" s="12" t="s">
        <v>6</v>
      </c>
    </row>
    <row r="15" spans="1:18" ht="24.95" customHeight="1" x14ac:dyDescent="0.25">
      <c r="B15" s="9"/>
      <c r="C15" s="11" t="s">
        <v>5</v>
      </c>
      <c r="D15" s="7"/>
      <c r="E15" s="10">
        <f>E14</f>
        <v>0.1</v>
      </c>
      <c r="F15" s="37" t="s">
        <v>4</v>
      </c>
      <c r="H15" s="9"/>
      <c r="I15" s="11" t="s">
        <v>5</v>
      </c>
      <c r="J15" s="7"/>
      <c r="K15" s="10">
        <f>K14</f>
        <v>0</v>
      </c>
      <c r="L15" s="37" t="s">
        <v>4</v>
      </c>
      <c r="N15" s="9"/>
      <c r="O15" s="11" t="s">
        <v>5</v>
      </c>
      <c r="P15" s="7"/>
      <c r="Q15" s="10">
        <f>Q14</f>
        <v>0</v>
      </c>
      <c r="R15" s="37" t="s">
        <v>4</v>
      </c>
    </row>
    <row r="16" spans="1:18" ht="24.95" customHeight="1" x14ac:dyDescent="0.25">
      <c r="B16" s="9"/>
      <c r="C16" s="8"/>
      <c r="D16" s="7" t="s">
        <v>3</v>
      </c>
      <c r="E16" s="6" t="str">
        <f>IF(E15&lt;=0.2,"Sangat Bersih",IF(E15&lt;=0.4,"Bersih",IF(E15&lt;=0.6,"Cukup Bersih",IF(E15&lt;=0.8,"Kotor",IF(E15&lt;=1,"Sangat Kotor",0)))))</f>
        <v>Sangat Bersih</v>
      </c>
      <c r="F16" s="38"/>
      <c r="H16" s="9"/>
      <c r="I16" s="8"/>
      <c r="J16" s="7" t="s">
        <v>3</v>
      </c>
      <c r="K16" s="6" t="str">
        <f>IF(K15&lt;=0.2,"Sangat Bersih",IF(K15&lt;=0.4,"Bersih",IF(K15&lt;=0.6,"Cukup Bersih",IF(K15&lt;=0.8,"Kotor",IF(K15&lt;=1,"Sangat Kotor",0)))))</f>
        <v>Sangat Bersih</v>
      </c>
      <c r="L16" s="38"/>
      <c r="N16" s="9"/>
      <c r="O16" s="8"/>
      <c r="P16" s="7" t="s">
        <v>3</v>
      </c>
      <c r="Q16" s="6" t="str">
        <f>IF(Q15&lt;=0.2,"Sangat Bersih",IF(Q15&lt;=0.4,"Bersih",IF(Q15&lt;=0.6,"Cukup Bersih",IF(Q15&lt;=0.8,"Kotor",IF(Q15&lt;=1,"Sangat Kotor",0)))))</f>
        <v>Sangat Bersih</v>
      </c>
      <c r="R16" s="38"/>
    </row>
    <row r="17" spans="2:18" ht="15.75" thickBot="1" x14ac:dyDescent="0.3">
      <c r="B17" s="5"/>
      <c r="C17" s="4" t="s">
        <v>2</v>
      </c>
      <c r="D17" s="3" t="s">
        <v>1</v>
      </c>
      <c r="E17" s="2" t="s">
        <v>0</v>
      </c>
      <c r="F17" s="1"/>
      <c r="H17" s="5"/>
      <c r="I17" s="4" t="s">
        <v>2</v>
      </c>
      <c r="J17" s="3" t="s">
        <v>1</v>
      </c>
      <c r="K17" s="2" t="s">
        <v>0</v>
      </c>
      <c r="L17" s="1"/>
      <c r="N17" s="5"/>
      <c r="O17" s="4" t="s">
        <v>2</v>
      </c>
      <c r="P17" s="3" t="s">
        <v>1</v>
      </c>
      <c r="Q17" s="2" t="s">
        <v>0</v>
      </c>
      <c r="R17" s="1"/>
    </row>
    <row r="18" spans="2:18" ht="15.75" thickBot="1" x14ac:dyDescent="0.3"/>
    <row r="19" spans="2:18" x14ac:dyDescent="0.25">
      <c r="B19" s="28" t="s">
        <v>28</v>
      </c>
      <c r="C19" s="29"/>
      <c r="D19" s="29"/>
      <c r="E19" s="29"/>
      <c r="F19" s="30"/>
      <c r="H19" s="28" t="s">
        <v>28</v>
      </c>
      <c r="I19" s="29"/>
      <c r="J19" s="29"/>
      <c r="K19" s="29"/>
      <c r="L19" s="30"/>
      <c r="N19" s="28" t="s">
        <v>28</v>
      </c>
      <c r="O19" s="29"/>
      <c r="P19" s="29"/>
      <c r="Q19" s="29"/>
      <c r="R19" s="30"/>
    </row>
    <row r="20" spans="2:18" ht="15.75" thickBot="1" x14ac:dyDescent="0.3">
      <c r="B20" s="31" t="s">
        <v>27</v>
      </c>
      <c r="C20" s="32"/>
      <c r="D20" s="32"/>
      <c r="E20" s="32"/>
      <c r="F20" s="33"/>
      <c r="H20" s="31" t="s">
        <v>27</v>
      </c>
      <c r="I20" s="32"/>
      <c r="J20" s="32"/>
      <c r="K20" s="32"/>
      <c r="L20" s="33"/>
      <c r="N20" s="31" t="s">
        <v>27</v>
      </c>
      <c r="O20" s="32"/>
      <c r="P20" s="32"/>
      <c r="Q20" s="32"/>
      <c r="R20" s="33"/>
    </row>
    <row r="21" spans="2:18" x14ac:dyDescent="0.25">
      <c r="B21" s="34" t="s">
        <v>26</v>
      </c>
      <c r="C21" s="35"/>
      <c r="D21" s="35"/>
      <c r="E21" s="35"/>
      <c r="F21" s="36"/>
      <c r="H21" s="34" t="s">
        <v>26</v>
      </c>
      <c r="I21" s="35"/>
      <c r="J21" s="35"/>
      <c r="K21" s="35"/>
      <c r="L21" s="36"/>
      <c r="N21" s="34" t="s">
        <v>26</v>
      </c>
      <c r="O21" s="35"/>
      <c r="P21" s="35"/>
      <c r="Q21" s="35"/>
      <c r="R21" s="36"/>
    </row>
    <row r="22" spans="2:18" ht="15.75" thickBot="1" x14ac:dyDescent="0.3">
      <c r="B22" s="26" t="s">
        <v>25</v>
      </c>
      <c r="C22" s="25" t="s">
        <v>24</v>
      </c>
      <c r="D22" s="25" t="s">
        <v>23</v>
      </c>
      <c r="E22" s="25" t="s">
        <v>22</v>
      </c>
      <c r="F22" s="24" t="s">
        <v>21</v>
      </c>
      <c r="H22" s="26" t="s">
        <v>25</v>
      </c>
      <c r="I22" s="25" t="s">
        <v>24</v>
      </c>
      <c r="J22" s="25" t="s">
        <v>23</v>
      </c>
      <c r="K22" s="25" t="s">
        <v>22</v>
      </c>
      <c r="L22" s="24" t="s">
        <v>21</v>
      </c>
      <c r="N22" s="26" t="s">
        <v>25</v>
      </c>
      <c r="O22" s="25" t="s">
        <v>24</v>
      </c>
      <c r="P22" s="25" t="s">
        <v>23</v>
      </c>
      <c r="Q22" s="25" t="s">
        <v>22</v>
      </c>
      <c r="R22" s="24" t="s">
        <v>21</v>
      </c>
    </row>
    <row r="23" spans="2:18" x14ac:dyDescent="0.25">
      <c r="B23" s="34" t="s">
        <v>20</v>
      </c>
      <c r="C23" s="35"/>
      <c r="D23" s="35"/>
      <c r="E23" s="35"/>
      <c r="F23" s="36"/>
      <c r="H23" s="34" t="s">
        <v>20</v>
      </c>
      <c r="I23" s="35"/>
      <c r="J23" s="35"/>
      <c r="K23" s="35"/>
      <c r="L23" s="36"/>
      <c r="N23" s="34" t="s">
        <v>20</v>
      </c>
      <c r="O23" s="35"/>
      <c r="P23" s="35"/>
      <c r="Q23" s="35"/>
      <c r="R23" s="36"/>
    </row>
    <row r="24" spans="2:18" x14ac:dyDescent="0.25">
      <c r="B24" s="9"/>
      <c r="C24" s="21" t="s">
        <v>19</v>
      </c>
      <c r="D24" s="21"/>
      <c r="E24" s="19" t="s">
        <v>45</v>
      </c>
      <c r="F24" s="22"/>
      <c r="H24" s="9"/>
      <c r="I24" s="21" t="s">
        <v>19</v>
      </c>
      <c r="J24" s="21"/>
      <c r="K24" s="19" t="s">
        <v>44</v>
      </c>
      <c r="L24" s="22"/>
      <c r="N24" s="9"/>
      <c r="O24" s="21" t="s">
        <v>19</v>
      </c>
      <c r="P24" s="21"/>
      <c r="Q24" s="19" t="s">
        <v>43</v>
      </c>
      <c r="R24" s="22"/>
    </row>
    <row r="25" spans="2:18" x14ac:dyDescent="0.25">
      <c r="B25" s="9"/>
      <c r="C25" s="21" t="s">
        <v>17</v>
      </c>
      <c r="D25" s="21"/>
      <c r="E25" s="23" t="s">
        <v>42</v>
      </c>
      <c r="F25" s="22"/>
      <c r="H25" s="9"/>
      <c r="I25" s="21" t="s">
        <v>17</v>
      </c>
      <c r="J25" s="21"/>
      <c r="K25" s="23" t="s">
        <v>55</v>
      </c>
      <c r="L25" s="22"/>
      <c r="N25" s="9"/>
      <c r="O25" s="21" t="s">
        <v>17</v>
      </c>
      <c r="P25" s="21"/>
      <c r="Q25" s="23" t="s">
        <v>41</v>
      </c>
      <c r="R25" s="22"/>
    </row>
    <row r="26" spans="2:18" x14ac:dyDescent="0.25">
      <c r="B26" s="9"/>
      <c r="C26" s="21" t="s">
        <v>15</v>
      </c>
      <c r="D26" s="20"/>
      <c r="E26" s="19">
        <f>20*12*30</f>
        <v>7200</v>
      </c>
      <c r="F26" s="18" t="s">
        <v>12</v>
      </c>
      <c r="H26" s="9"/>
      <c r="I26" s="21" t="s">
        <v>15</v>
      </c>
      <c r="J26" s="20"/>
      <c r="K26" s="19">
        <f>20*12*30</f>
        <v>7200</v>
      </c>
      <c r="L26" s="18" t="s">
        <v>12</v>
      </c>
      <c r="N26" s="9"/>
      <c r="O26" s="21" t="s">
        <v>15</v>
      </c>
      <c r="P26" s="20"/>
      <c r="Q26" s="19">
        <f>20*12*30</f>
        <v>7200</v>
      </c>
      <c r="R26" s="18" t="s">
        <v>12</v>
      </c>
    </row>
    <row r="27" spans="2:18" x14ac:dyDescent="0.25">
      <c r="B27" s="9"/>
      <c r="C27" s="11" t="s">
        <v>14</v>
      </c>
      <c r="D27" s="7"/>
      <c r="E27" s="6">
        <v>3600</v>
      </c>
      <c r="F27" s="17" t="s">
        <v>12</v>
      </c>
      <c r="H27" s="9"/>
      <c r="I27" s="11" t="s">
        <v>14</v>
      </c>
      <c r="J27" s="7"/>
      <c r="K27" s="6">
        <v>3600</v>
      </c>
      <c r="L27" s="17" t="s">
        <v>12</v>
      </c>
      <c r="N27" s="9"/>
      <c r="O27" s="11" t="s">
        <v>14</v>
      </c>
      <c r="P27" s="7"/>
      <c r="Q27" s="6">
        <v>3600</v>
      </c>
      <c r="R27" s="17" t="s">
        <v>12</v>
      </c>
    </row>
    <row r="28" spans="2:18" x14ac:dyDescent="0.25">
      <c r="B28" s="9"/>
      <c r="C28" s="8" t="s">
        <v>13</v>
      </c>
      <c r="D28" s="14"/>
      <c r="E28" s="16">
        <f>E26-E27-(E29+E31)/2*10</f>
        <v>3600</v>
      </c>
      <c r="F28" s="12" t="s">
        <v>12</v>
      </c>
      <c r="H28" s="9"/>
      <c r="I28" s="8" t="s">
        <v>13</v>
      </c>
      <c r="J28" s="14"/>
      <c r="K28" s="16">
        <f>K26-K27-(K29+K31)/2*10</f>
        <v>3600</v>
      </c>
      <c r="L28" s="12" t="s">
        <v>12</v>
      </c>
      <c r="N28" s="9"/>
      <c r="O28" s="8" t="s">
        <v>13</v>
      </c>
      <c r="P28" s="14"/>
      <c r="Q28" s="16">
        <f>Q26-Q27-(Q29+Q31)/2*10</f>
        <v>3600</v>
      </c>
      <c r="R28" s="12" t="s">
        <v>12</v>
      </c>
    </row>
    <row r="29" spans="2:18" x14ac:dyDescent="0.25">
      <c r="B29" s="9"/>
      <c r="C29" s="8" t="s">
        <v>11</v>
      </c>
      <c r="D29" s="14" t="s">
        <v>7</v>
      </c>
      <c r="E29" s="15">
        <f>((E27/E26)*0-E30)</f>
        <v>0</v>
      </c>
      <c r="F29" s="12" t="s">
        <v>6</v>
      </c>
      <c r="H29" s="9"/>
      <c r="I29" s="8" t="s">
        <v>11</v>
      </c>
      <c r="J29" s="14" t="s">
        <v>7</v>
      </c>
      <c r="K29" s="15">
        <f>((K27/K26)*0-K30)</f>
        <v>0</v>
      </c>
      <c r="L29" s="12" t="s">
        <v>6</v>
      </c>
      <c r="N29" s="9"/>
      <c r="O29" s="8" t="s">
        <v>11</v>
      </c>
      <c r="P29" s="14" t="s">
        <v>7</v>
      </c>
      <c r="Q29" s="15">
        <f>((Q27/Q26)*0-Q30)</f>
        <v>0</v>
      </c>
      <c r="R29" s="12" t="s">
        <v>6</v>
      </c>
    </row>
    <row r="30" spans="2:18" ht="30" x14ac:dyDescent="0.25">
      <c r="B30" s="9"/>
      <c r="C30" s="8"/>
      <c r="D30" s="14" t="s">
        <v>10</v>
      </c>
      <c r="E30" s="13">
        <v>0</v>
      </c>
      <c r="F30" s="12" t="s">
        <v>9</v>
      </c>
      <c r="H30" s="9"/>
      <c r="I30" s="8"/>
      <c r="J30" s="14" t="s">
        <v>10</v>
      </c>
      <c r="K30" s="13">
        <v>0</v>
      </c>
      <c r="L30" s="12" t="s">
        <v>9</v>
      </c>
      <c r="N30" s="9"/>
      <c r="O30" s="8"/>
      <c r="P30" s="14" t="s">
        <v>10</v>
      </c>
      <c r="Q30" s="13">
        <v>0</v>
      </c>
      <c r="R30" s="12" t="s">
        <v>9</v>
      </c>
    </row>
    <row r="31" spans="2:18" x14ac:dyDescent="0.25">
      <c r="B31" s="9"/>
      <c r="C31" s="8" t="s">
        <v>8</v>
      </c>
      <c r="D31" s="14" t="s">
        <v>7</v>
      </c>
      <c r="E31" s="13">
        <f>'[1]Data Lingkungan (DL)'!BJ69</f>
        <v>0</v>
      </c>
      <c r="F31" s="12" t="s">
        <v>6</v>
      </c>
      <c r="H31" s="9"/>
      <c r="I31" s="8" t="s">
        <v>8</v>
      </c>
      <c r="J31" s="14" t="s">
        <v>7</v>
      </c>
      <c r="K31" s="13">
        <f>'[1]Data Lingkungan (DL)'!BS73</f>
        <v>0</v>
      </c>
      <c r="L31" s="12" t="s">
        <v>6</v>
      </c>
      <c r="N31" s="9"/>
      <c r="O31" s="8" t="s">
        <v>8</v>
      </c>
      <c r="P31" s="14" t="s">
        <v>7</v>
      </c>
      <c r="Q31" s="13">
        <f>'[1]Data Lingkungan (DL)'!AR75</f>
        <v>0</v>
      </c>
      <c r="R31" s="12" t="s">
        <v>6</v>
      </c>
    </row>
    <row r="32" spans="2:18" ht="30" customHeight="1" x14ac:dyDescent="0.25">
      <c r="B32" s="9"/>
      <c r="C32" s="11" t="s">
        <v>5</v>
      </c>
      <c r="D32" s="7"/>
      <c r="E32" s="10">
        <f>E31</f>
        <v>0</v>
      </c>
      <c r="F32" s="37" t="s">
        <v>4</v>
      </c>
      <c r="H32" s="9"/>
      <c r="I32" s="11" t="s">
        <v>5</v>
      </c>
      <c r="J32" s="7"/>
      <c r="K32" s="10">
        <f>K31</f>
        <v>0</v>
      </c>
      <c r="L32" s="37" t="s">
        <v>4</v>
      </c>
      <c r="N32" s="9"/>
      <c r="O32" s="11" t="s">
        <v>5</v>
      </c>
      <c r="P32" s="7"/>
      <c r="Q32" s="10">
        <f>Q31</f>
        <v>0</v>
      </c>
      <c r="R32" s="37" t="s">
        <v>4</v>
      </c>
    </row>
    <row r="33" spans="2:18" x14ac:dyDescent="0.25">
      <c r="B33" s="9"/>
      <c r="C33" s="8"/>
      <c r="D33" s="7" t="s">
        <v>3</v>
      </c>
      <c r="E33" s="6" t="str">
        <f>IF(E32&lt;=0.2,"Sangat Bersih",IF(E32&lt;=0.4,"Bersih",IF(E32&lt;=0.6,"Cukup Bersih",IF(E32&lt;=0.8,"Kotor",IF(E32&lt;=1,"Sangat Kotor",0)))))</f>
        <v>Sangat Bersih</v>
      </c>
      <c r="F33" s="38"/>
      <c r="H33" s="9"/>
      <c r="I33" s="8"/>
      <c r="J33" s="7" t="s">
        <v>3</v>
      </c>
      <c r="K33" s="6" t="str">
        <f>IF(K32&lt;=0.2,"Sangat Bersih",IF(K32&lt;=0.4,"Bersih",IF(K32&lt;=0.6,"Cukup Bersih",IF(K32&lt;=0.8,"Kotor",IF(K32&lt;=1,"Sangat Kotor",0)))))</f>
        <v>Sangat Bersih</v>
      </c>
      <c r="L33" s="38"/>
      <c r="N33" s="9"/>
      <c r="O33" s="8"/>
      <c r="P33" s="7" t="s">
        <v>3</v>
      </c>
      <c r="Q33" s="6" t="str">
        <f>IF(Q32&lt;=0.2,"Sangat Bersih",IF(Q32&lt;=0.4,"Bersih",IF(Q32&lt;=0.6,"Cukup Bersih",IF(Q32&lt;=0.8,"Kotor",IF(Q32&lt;=1,"Sangat Kotor",0)))))</f>
        <v>Sangat Bersih</v>
      </c>
      <c r="R33" s="38"/>
    </row>
    <row r="34" spans="2:18" ht="15.75" thickBot="1" x14ac:dyDescent="0.3">
      <c r="B34" s="5"/>
      <c r="C34" s="4" t="s">
        <v>2</v>
      </c>
      <c r="D34" s="3" t="s">
        <v>1</v>
      </c>
      <c r="E34" s="2" t="s">
        <v>0</v>
      </c>
      <c r="F34" s="1"/>
      <c r="H34" s="5"/>
      <c r="I34" s="4" t="s">
        <v>2</v>
      </c>
      <c r="J34" s="3" t="s">
        <v>1</v>
      </c>
      <c r="K34" s="2" t="s">
        <v>0</v>
      </c>
      <c r="L34" s="1"/>
      <c r="N34" s="5"/>
      <c r="O34" s="4" t="s">
        <v>2</v>
      </c>
      <c r="P34" s="3" t="s">
        <v>1</v>
      </c>
      <c r="Q34" s="2" t="s">
        <v>0</v>
      </c>
      <c r="R34" s="1"/>
    </row>
    <row r="35" spans="2:18" ht="15.75" thickBot="1" x14ac:dyDescent="0.3"/>
    <row r="36" spans="2:18" x14ac:dyDescent="0.25">
      <c r="B36" s="28" t="s">
        <v>28</v>
      </c>
      <c r="C36" s="29"/>
      <c r="D36" s="29"/>
      <c r="E36" s="29"/>
      <c r="F36" s="30"/>
      <c r="H36" s="28" t="s">
        <v>28</v>
      </c>
      <c r="I36" s="29"/>
      <c r="J36" s="29"/>
      <c r="K36" s="29"/>
      <c r="L36" s="30"/>
      <c r="N36" s="28" t="s">
        <v>28</v>
      </c>
      <c r="O36" s="29"/>
      <c r="P36" s="29"/>
      <c r="Q36" s="29"/>
      <c r="R36" s="30"/>
    </row>
    <row r="37" spans="2:18" ht="15.75" thickBot="1" x14ac:dyDescent="0.3">
      <c r="B37" s="31" t="s">
        <v>27</v>
      </c>
      <c r="C37" s="32"/>
      <c r="D37" s="32"/>
      <c r="E37" s="32"/>
      <c r="F37" s="33"/>
      <c r="H37" s="31" t="s">
        <v>27</v>
      </c>
      <c r="I37" s="32"/>
      <c r="J37" s="32"/>
      <c r="K37" s="32"/>
      <c r="L37" s="33"/>
      <c r="N37" s="31" t="s">
        <v>27</v>
      </c>
      <c r="O37" s="32"/>
      <c r="P37" s="32"/>
      <c r="Q37" s="32"/>
      <c r="R37" s="33"/>
    </row>
    <row r="38" spans="2:18" x14ac:dyDescent="0.25">
      <c r="B38" s="34" t="s">
        <v>26</v>
      </c>
      <c r="C38" s="35"/>
      <c r="D38" s="35"/>
      <c r="E38" s="35"/>
      <c r="F38" s="36"/>
      <c r="H38" s="34" t="s">
        <v>26</v>
      </c>
      <c r="I38" s="35"/>
      <c r="J38" s="35"/>
      <c r="K38" s="35"/>
      <c r="L38" s="36"/>
      <c r="N38" s="34" t="s">
        <v>26</v>
      </c>
      <c r="O38" s="35"/>
      <c r="P38" s="35"/>
      <c r="Q38" s="35"/>
      <c r="R38" s="36"/>
    </row>
    <row r="39" spans="2:18" ht="15.75" thickBot="1" x14ac:dyDescent="0.3">
      <c r="B39" s="26" t="s">
        <v>25</v>
      </c>
      <c r="C39" s="25" t="s">
        <v>24</v>
      </c>
      <c r="D39" s="25" t="s">
        <v>23</v>
      </c>
      <c r="E39" s="25" t="s">
        <v>22</v>
      </c>
      <c r="F39" s="24" t="s">
        <v>21</v>
      </c>
      <c r="H39" s="26" t="s">
        <v>25</v>
      </c>
      <c r="I39" s="25" t="s">
        <v>24</v>
      </c>
      <c r="J39" s="25" t="s">
        <v>23</v>
      </c>
      <c r="K39" s="25" t="s">
        <v>22</v>
      </c>
      <c r="L39" s="24" t="s">
        <v>21</v>
      </c>
      <c r="N39" s="26" t="s">
        <v>25</v>
      </c>
      <c r="O39" s="25" t="s">
        <v>24</v>
      </c>
      <c r="P39" s="25" t="s">
        <v>23</v>
      </c>
      <c r="Q39" s="25" t="s">
        <v>22</v>
      </c>
      <c r="R39" s="24" t="s">
        <v>21</v>
      </c>
    </row>
    <row r="40" spans="2:18" x14ac:dyDescent="0.25">
      <c r="B40" s="34" t="s">
        <v>20</v>
      </c>
      <c r="C40" s="35"/>
      <c r="D40" s="35"/>
      <c r="E40" s="35"/>
      <c r="F40" s="36"/>
      <c r="H40" s="34" t="s">
        <v>20</v>
      </c>
      <c r="I40" s="35"/>
      <c r="J40" s="35"/>
      <c r="K40" s="35"/>
      <c r="L40" s="36"/>
      <c r="N40" s="34" t="s">
        <v>20</v>
      </c>
      <c r="O40" s="35"/>
      <c r="P40" s="35"/>
      <c r="Q40" s="35"/>
      <c r="R40" s="36"/>
    </row>
    <row r="41" spans="2:18" x14ac:dyDescent="0.25">
      <c r="B41" s="9"/>
      <c r="C41" s="21" t="s">
        <v>19</v>
      </c>
      <c r="D41" s="21"/>
      <c r="E41" s="19" t="s">
        <v>40</v>
      </c>
      <c r="F41" s="22"/>
      <c r="H41" s="9"/>
      <c r="I41" s="21" t="s">
        <v>19</v>
      </c>
      <c r="J41" s="21"/>
      <c r="K41" s="19" t="s">
        <v>39</v>
      </c>
      <c r="L41" s="22"/>
      <c r="N41" s="9"/>
      <c r="O41" s="21" t="s">
        <v>19</v>
      </c>
      <c r="P41" s="21"/>
      <c r="Q41" s="19" t="s">
        <v>38</v>
      </c>
      <c r="R41" s="22"/>
    </row>
    <row r="42" spans="2:18" x14ac:dyDescent="0.25">
      <c r="B42" s="9"/>
      <c r="C42" s="21" t="s">
        <v>17</v>
      </c>
      <c r="D42" s="21"/>
      <c r="E42" s="23" t="s">
        <v>37</v>
      </c>
      <c r="F42" s="22"/>
      <c r="H42" s="9"/>
      <c r="I42" s="21" t="s">
        <v>17</v>
      </c>
      <c r="J42" s="21"/>
      <c r="K42" s="23" t="s">
        <v>36</v>
      </c>
      <c r="L42" s="22"/>
      <c r="N42" s="9"/>
      <c r="O42" s="21" t="s">
        <v>17</v>
      </c>
      <c r="P42" s="21"/>
      <c r="Q42" s="23" t="s">
        <v>35</v>
      </c>
      <c r="R42" s="22"/>
    </row>
    <row r="43" spans="2:18" x14ac:dyDescent="0.25">
      <c r="B43" s="9"/>
      <c r="C43" s="21" t="s">
        <v>15</v>
      </c>
      <c r="D43" s="20"/>
      <c r="E43" s="19">
        <f>20*12*30</f>
        <v>7200</v>
      </c>
      <c r="F43" s="18" t="s">
        <v>12</v>
      </c>
      <c r="H43" s="9"/>
      <c r="I43" s="21" t="s">
        <v>15</v>
      </c>
      <c r="J43" s="20"/>
      <c r="K43" s="19">
        <f>20*12*30</f>
        <v>7200</v>
      </c>
      <c r="L43" s="18" t="s">
        <v>12</v>
      </c>
      <c r="N43" s="9"/>
      <c r="O43" s="21" t="s">
        <v>15</v>
      </c>
      <c r="P43" s="20"/>
      <c r="Q43" s="19">
        <f>20*12*30</f>
        <v>7200</v>
      </c>
      <c r="R43" s="18" t="s">
        <v>12</v>
      </c>
    </row>
    <row r="44" spans="2:18" x14ac:dyDescent="0.25">
      <c r="B44" s="9"/>
      <c r="C44" s="11" t="s">
        <v>14</v>
      </c>
      <c r="D44" s="7"/>
      <c r="E44" s="6">
        <v>3600</v>
      </c>
      <c r="F44" s="17" t="s">
        <v>12</v>
      </c>
      <c r="H44" s="9"/>
      <c r="I44" s="11" t="s">
        <v>14</v>
      </c>
      <c r="J44" s="7"/>
      <c r="K44" s="6">
        <v>3600</v>
      </c>
      <c r="L44" s="17" t="s">
        <v>12</v>
      </c>
      <c r="N44" s="9"/>
      <c r="O44" s="11" t="s">
        <v>14</v>
      </c>
      <c r="P44" s="7"/>
      <c r="Q44" s="6">
        <v>3600</v>
      </c>
      <c r="R44" s="17" t="s">
        <v>12</v>
      </c>
    </row>
    <row r="45" spans="2:18" x14ac:dyDescent="0.25">
      <c r="B45" s="9"/>
      <c r="C45" s="8" t="s">
        <v>13</v>
      </c>
      <c r="D45" s="14"/>
      <c r="E45" s="16">
        <f>E43-E44-(E46+E48)/2*10</f>
        <v>3600</v>
      </c>
      <c r="F45" s="12" t="s">
        <v>12</v>
      </c>
      <c r="H45" s="9"/>
      <c r="I45" s="8" t="s">
        <v>13</v>
      </c>
      <c r="J45" s="14"/>
      <c r="K45" s="16">
        <f>K43-K44-(K46+K48)/2*10</f>
        <v>3600</v>
      </c>
      <c r="L45" s="12" t="s">
        <v>12</v>
      </c>
      <c r="N45" s="9"/>
      <c r="O45" s="8" t="s">
        <v>13</v>
      </c>
      <c r="P45" s="14"/>
      <c r="Q45" s="16">
        <f>Q43-Q44-(Q46+Q48)/2*10</f>
        <v>3600</v>
      </c>
      <c r="R45" s="12" t="s">
        <v>12</v>
      </c>
    </row>
    <row r="46" spans="2:18" x14ac:dyDescent="0.25">
      <c r="B46" s="9"/>
      <c r="C46" s="8" t="s">
        <v>11</v>
      </c>
      <c r="D46" s="14" t="s">
        <v>7</v>
      </c>
      <c r="E46" s="15">
        <f>((E44/E43)*0-E47)</f>
        <v>0</v>
      </c>
      <c r="F46" s="12" t="s">
        <v>6</v>
      </c>
      <c r="H46" s="9"/>
      <c r="I46" s="8" t="s">
        <v>11</v>
      </c>
      <c r="J46" s="14" t="s">
        <v>7</v>
      </c>
      <c r="K46" s="15">
        <f>((K44/K43)*0-K47)</f>
        <v>0</v>
      </c>
      <c r="L46" s="12" t="s">
        <v>6</v>
      </c>
      <c r="N46" s="9"/>
      <c r="O46" s="8" t="s">
        <v>11</v>
      </c>
      <c r="P46" s="14" t="s">
        <v>7</v>
      </c>
      <c r="Q46" s="15">
        <f>((Q44/Q43)*0-Q47)</f>
        <v>0</v>
      </c>
      <c r="R46" s="12" t="s">
        <v>6</v>
      </c>
    </row>
    <row r="47" spans="2:18" ht="30" x14ac:dyDescent="0.25">
      <c r="B47" s="9"/>
      <c r="C47" s="8"/>
      <c r="D47" s="14" t="s">
        <v>10</v>
      </c>
      <c r="E47" s="13">
        <v>0</v>
      </c>
      <c r="F47" s="12" t="s">
        <v>9</v>
      </c>
      <c r="H47" s="9"/>
      <c r="I47" s="8"/>
      <c r="J47" s="14" t="s">
        <v>10</v>
      </c>
      <c r="K47" s="13">
        <v>0</v>
      </c>
      <c r="L47" s="12" t="s">
        <v>9</v>
      </c>
      <c r="N47" s="9"/>
      <c r="O47" s="8"/>
      <c r="P47" s="14" t="s">
        <v>10</v>
      </c>
      <c r="Q47" s="13">
        <f>'[2]Data Lingkungan_IC'!AL101</f>
        <v>0</v>
      </c>
      <c r="R47" s="12" t="s">
        <v>9</v>
      </c>
    </row>
    <row r="48" spans="2:18" x14ac:dyDescent="0.25">
      <c r="B48" s="9"/>
      <c r="C48" s="8" t="s">
        <v>8</v>
      </c>
      <c r="D48" s="14" t="s">
        <v>7</v>
      </c>
      <c r="E48" s="13">
        <f>'[1]Data Lingkungan (DL)'!CB68</f>
        <v>0</v>
      </c>
      <c r="F48" s="12" t="s">
        <v>6</v>
      </c>
      <c r="H48" s="9"/>
      <c r="I48" s="8" t="s">
        <v>8</v>
      </c>
      <c r="J48" s="14" t="s">
        <v>7</v>
      </c>
      <c r="K48" s="13">
        <f>'[1]Data Lingkungan (DL)'!AF101</f>
        <v>0</v>
      </c>
      <c r="L48" s="12" t="s">
        <v>6</v>
      </c>
      <c r="N48" s="9"/>
      <c r="O48" s="8" t="s">
        <v>8</v>
      </c>
      <c r="P48" s="14" t="s">
        <v>7</v>
      </c>
      <c r="Q48" s="13">
        <f>'[1]Data Lingkungan (DL)'!DL76</f>
        <v>0</v>
      </c>
      <c r="R48" s="12" t="s">
        <v>6</v>
      </c>
    </row>
    <row r="49" spans="2:18" ht="30" customHeight="1" x14ac:dyDescent="0.25">
      <c r="B49" s="9"/>
      <c r="C49" s="11" t="s">
        <v>5</v>
      </c>
      <c r="D49" s="7"/>
      <c r="E49" s="10">
        <f>E48</f>
        <v>0</v>
      </c>
      <c r="F49" s="37" t="s">
        <v>4</v>
      </c>
      <c r="H49" s="9"/>
      <c r="I49" s="11" t="s">
        <v>5</v>
      </c>
      <c r="J49" s="7"/>
      <c r="K49" s="10">
        <f>'[1]Data Lingkungan (DL)'!CT69</f>
        <v>0</v>
      </c>
      <c r="L49" s="37" t="s">
        <v>4</v>
      </c>
      <c r="N49" s="9"/>
      <c r="O49" s="11" t="s">
        <v>5</v>
      </c>
      <c r="P49" s="7"/>
      <c r="Q49" s="10">
        <f>Q48</f>
        <v>0</v>
      </c>
      <c r="R49" s="37" t="s">
        <v>4</v>
      </c>
    </row>
    <row r="50" spans="2:18" x14ac:dyDescent="0.25">
      <c r="B50" s="9"/>
      <c r="C50" s="8"/>
      <c r="D50" s="7" t="s">
        <v>3</v>
      </c>
      <c r="E50" s="6" t="str">
        <f>IF(E49&lt;=0.2,"Sangat Bersih",IF(E49&lt;=0.4,"Bersih",IF(E49&lt;=0.6,"Cukup Bersih",IF(E49&lt;=0.8,"Kotor",IF(E49&lt;=1,"Sangat Kotor",0)))))</f>
        <v>Sangat Bersih</v>
      </c>
      <c r="F50" s="38"/>
      <c r="H50" s="9"/>
      <c r="I50" s="8"/>
      <c r="J50" s="7" t="s">
        <v>3</v>
      </c>
      <c r="K50" s="6" t="str">
        <f>IF(K49&lt;=0.2,"Sangat Bersih",IF(K49&lt;=0.4,"Bersih",IF(K49&lt;=0.6,"Cukup Bersih",IF(K49&lt;=0.8,"Kotor",IF(K49&lt;=1,"Sangat Kotor",0)))))</f>
        <v>Sangat Bersih</v>
      </c>
      <c r="L50" s="38"/>
      <c r="N50" s="9"/>
      <c r="O50" s="8"/>
      <c r="P50" s="7" t="s">
        <v>3</v>
      </c>
      <c r="Q50" s="6" t="str">
        <f>IF(Q49&lt;=0.2,"Sangat Bersih",IF(Q49&lt;=0.4,"Bersih",IF(Q49&lt;=0.6,"Cukup Bersih",IF(Q49&lt;=0.8,"Kotor",IF(Q49&lt;=1,"Sangat Kotor",0)))))</f>
        <v>Sangat Bersih</v>
      </c>
      <c r="R50" s="38"/>
    </row>
    <row r="51" spans="2:18" ht="15.75" thickBot="1" x14ac:dyDescent="0.3">
      <c r="B51" s="5"/>
      <c r="C51" s="4" t="s">
        <v>2</v>
      </c>
      <c r="D51" s="3" t="s">
        <v>1</v>
      </c>
      <c r="E51" s="2" t="s">
        <v>0</v>
      </c>
      <c r="F51" s="1"/>
      <c r="H51" s="5"/>
      <c r="I51" s="4" t="s">
        <v>2</v>
      </c>
      <c r="J51" s="3" t="s">
        <v>1</v>
      </c>
      <c r="K51" s="2" t="s">
        <v>0</v>
      </c>
      <c r="L51" s="1"/>
      <c r="N51" s="5"/>
      <c r="O51" s="4" t="s">
        <v>2</v>
      </c>
      <c r="P51" s="3" t="s">
        <v>1</v>
      </c>
      <c r="Q51" s="2" t="s">
        <v>0</v>
      </c>
      <c r="R51" s="1"/>
    </row>
    <row r="52" spans="2:18" ht="15.75" thickBot="1" x14ac:dyDescent="0.3"/>
    <row r="53" spans="2:18" x14ac:dyDescent="0.25">
      <c r="B53" s="28" t="s">
        <v>28</v>
      </c>
      <c r="C53" s="29"/>
      <c r="D53" s="29"/>
      <c r="E53" s="29"/>
      <c r="F53" s="30"/>
      <c r="H53" s="28" t="s">
        <v>28</v>
      </c>
      <c r="I53" s="29"/>
      <c r="J53" s="29"/>
      <c r="K53" s="29"/>
      <c r="L53" s="30"/>
      <c r="N53" s="28" t="s">
        <v>28</v>
      </c>
      <c r="O53" s="29"/>
      <c r="P53" s="29"/>
      <c r="Q53" s="29"/>
      <c r="R53" s="30"/>
    </row>
    <row r="54" spans="2:18" ht="15.75" thickBot="1" x14ac:dyDescent="0.3">
      <c r="B54" s="31" t="s">
        <v>27</v>
      </c>
      <c r="C54" s="32"/>
      <c r="D54" s="32"/>
      <c r="E54" s="32"/>
      <c r="F54" s="33"/>
      <c r="H54" s="31" t="s">
        <v>27</v>
      </c>
      <c r="I54" s="32"/>
      <c r="J54" s="32"/>
      <c r="K54" s="32"/>
      <c r="L54" s="33"/>
      <c r="N54" s="31" t="s">
        <v>27</v>
      </c>
      <c r="O54" s="32"/>
      <c r="P54" s="32"/>
      <c r="Q54" s="32"/>
      <c r="R54" s="33"/>
    </row>
    <row r="55" spans="2:18" x14ac:dyDescent="0.25">
      <c r="B55" s="34" t="s">
        <v>26</v>
      </c>
      <c r="C55" s="35"/>
      <c r="D55" s="35"/>
      <c r="E55" s="35"/>
      <c r="F55" s="36"/>
      <c r="H55" s="34" t="s">
        <v>26</v>
      </c>
      <c r="I55" s="35"/>
      <c r="J55" s="35"/>
      <c r="K55" s="35"/>
      <c r="L55" s="36"/>
      <c r="N55" s="34" t="s">
        <v>26</v>
      </c>
      <c r="O55" s="35"/>
      <c r="P55" s="35"/>
      <c r="Q55" s="35"/>
      <c r="R55" s="36"/>
    </row>
    <row r="56" spans="2:18" ht="15.75" thickBot="1" x14ac:dyDescent="0.3">
      <c r="B56" s="26" t="s">
        <v>25</v>
      </c>
      <c r="C56" s="25" t="s">
        <v>24</v>
      </c>
      <c r="D56" s="25" t="s">
        <v>23</v>
      </c>
      <c r="E56" s="25" t="s">
        <v>22</v>
      </c>
      <c r="F56" s="24" t="s">
        <v>21</v>
      </c>
      <c r="H56" s="26" t="s">
        <v>25</v>
      </c>
      <c r="I56" s="25" t="s">
        <v>24</v>
      </c>
      <c r="J56" s="25" t="s">
        <v>23</v>
      </c>
      <c r="K56" s="25" t="s">
        <v>22</v>
      </c>
      <c r="L56" s="24" t="s">
        <v>21</v>
      </c>
      <c r="N56" s="26" t="s">
        <v>25</v>
      </c>
      <c r="O56" s="25" t="s">
        <v>24</v>
      </c>
      <c r="P56" s="25" t="s">
        <v>23</v>
      </c>
      <c r="Q56" s="25" t="s">
        <v>22</v>
      </c>
      <c r="R56" s="24" t="s">
        <v>21</v>
      </c>
    </row>
    <row r="57" spans="2:18" x14ac:dyDescent="0.25">
      <c r="B57" s="34" t="s">
        <v>20</v>
      </c>
      <c r="C57" s="35"/>
      <c r="D57" s="35"/>
      <c r="E57" s="35"/>
      <c r="F57" s="36"/>
      <c r="H57" s="34" t="s">
        <v>20</v>
      </c>
      <c r="I57" s="35"/>
      <c r="J57" s="35"/>
      <c r="K57" s="35"/>
      <c r="L57" s="36"/>
      <c r="N57" s="34" t="s">
        <v>20</v>
      </c>
      <c r="O57" s="35"/>
      <c r="P57" s="35"/>
      <c r="Q57" s="35"/>
      <c r="R57" s="36"/>
    </row>
    <row r="58" spans="2:18" x14ac:dyDescent="0.25">
      <c r="B58" s="9"/>
      <c r="C58" s="21" t="s">
        <v>19</v>
      </c>
      <c r="D58" s="21"/>
      <c r="E58" s="19" t="s">
        <v>34</v>
      </c>
      <c r="F58" s="22"/>
      <c r="H58" s="9"/>
      <c r="I58" s="21" t="s">
        <v>19</v>
      </c>
      <c r="J58" s="21"/>
      <c r="K58" s="19" t="s">
        <v>33</v>
      </c>
      <c r="L58" s="22"/>
      <c r="N58" s="9"/>
      <c r="O58" s="21" t="s">
        <v>19</v>
      </c>
      <c r="P58" s="21"/>
      <c r="Q58" s="19" t="s">
        <v>32</v>
      </c>
      <c r="R58" s="22"/>
    </row>
    <row r="59" spans="2:18" x14ac:dyDescent="0.25">
      <c r="B59" s="9"/>
      <c r="C59" s="21" t="s">
        <v>17</v>
      </c>
      <c r="D59" s="21"/>
      <c r="E59" s="23" t="s">
        <v>31</v>
      </c>
      <c r="F59" s="22"/>
      <c r="H59" s="9"/>
      <c r="I59" s="21" t="s">
        <v>17</v>
      </c>
      <c r="J59" s="21"/>
      <c r="K59" s="23" t="s">
        <v>30</v>
      </c>
      <c r="L59" s="22"/>
      <c r="N59" s="9"/>
      <c r="O59" s="21" t="s">
        <v>17</v>
      </c>
      <c r="P59" s="21"/>
      <c r="Q59" s="23" t="s">
        <v>29</v>
      </c>
      <c r="R59" s="22"/>
    </row>
    <row r="60" spans="2:18" x14ac:dyDescent="0.25">
      <c r="B60" s="9"/>
      <c r="C60" s="21" t="s">
        <v>15</v>
      </c>
      <c r="D60" s="20"/>
      <c r="E60" s="19">
        <f>20*12*30</f>
        <v>7200</v>
      </c>
      <c r="F60" s="18" t="s">
        <v>12</v>
      </c>
      <c r="H60" s="9"/>
      <c r="I60" s="21" t="s">
        <v>15</v>
      </c>
      <c r="J60" s="20"/>
      <c r="K60" s="19">
        <f>20*12*30</f>
        <v>7200</v>
      </c>
      <c r="L60" s="18" t="s">
        <v>12</v>
      </c>
      <c r="N60" s="9"/>
      <c r="O60" s="21" t="s">
        <v>15</v>
      </c>
      <c r="P60" s="20"/>
      <c r="Q60" s="19">
        <f>20*12*30</f>
        <v>7200</v>
      </c>
      <c r="R60" s="18" t="s">
        <v>12</v>
      </c>
    </row>
    <row r="61" spans="2:18" x14ac:dyDescent="0.25">
      <c r="B61" s="9"/>
      <c r="C61" s="11" t="s">
        <v>14</v>
      </c>
      <c r="D61" s="7"/>
      <c r="E61" s="6">
        <v>3600</v>
      </c>
      <c r="F61" s="17" t="s">
        <v>12</v>
      </c>
      <c r="H61" s="9"/>
      <c r="I61" s="11" t="s">
        <v>14</v>
      </c>
      <c r="J61" s="7"/>
      <c r="K61" s="6">
        <v>3600</v>
      </c>
      <c r="L61" s="17" t="s">
        <v>12</v>
      </c>
      <c r="N61" s="9"/>
      <c r="O61" s="11" t="s">
        <v>14</v>
      </c>
      <c r="P61" s="7"/>
      <c r="Q61" s="6">
        <v>3600</v>
      </c>
      <c r="R61" s="17" t="s">
        <v>12</v>
      </c>
    </row>
    <row r="62" spans="2:18" x14ac:dyDescent="0.25">
      <c r="B62" s="9"/>
      <c r="C62" s="8" t="s">
        <v>13</v>
      </c>
      <c r="D62" s="14"/>
      <c r="E62" s="16">
        <f>E60-E61-(E63+E65)/2*10</f>
        <v>3600</v>
      </c>
      <c r="F62" s="12" t="s">
        <v>12</v>
      </c>
      <c r="H62" s="9"/>
      <c r="I62" s="8" t="s">
        <v>13</v>
      </c>
      <c r="J62" s="14"/>
      <c r="K62" s="16">
        <f>K60-K61-(K63+K65)/2*10</f>
        <v>3600</v>
      </c>
      <c r="L62" s="12" t="s">
        <v>12</v>
      </c>
      <c r="N62" s="9"/>
      <c r="O62" s="8" t="s">
        <v>13</v>
      </c>
      <c r="P62" s="14"/>
      <c r="Q62" s="16">
        <f>Q60-Q61-(Q63+Q65)/2*10</f>
        <v>3600</v>
      </c>
      <c r="R62" s="12" t="s">
        <v>12</v>
      </c>
    </row>
    <row r="63" spans="2:18" x14ac:dyDescent="0.25">
      <c r="B63" s="9"/>
      <c r="C63" s="8" t="s">
        <v>11</v>
      </c>
      <c r="D63" s="14" t="s">
        <v>7</v>
      </c>
      <c r="E63" s="15">
        <f>((E61/E60)*0-E64)</f>
        <v>0</v>
      </c>
      <c r="F63" s="12" t="s">
        <v>6</v>
      </c>
      <c r="H63" s="9"/>
      <c r="I63" s="8" t="s">
        <v>11</v>
      </c>
      <c r="J63" s="14" t="s">
        <v>7</v>
      </c>
      <c r="K63" s="15">
        <f>((K61/K60)*0-K64)</f>
        <v>0</v>
      </c>
      <c r="L63" s="12" t="s">
        <v>6</v>
      </c>
      <c r="N63" s="9"/>
      <c r="O63" s="8" t="s">
        <v>11</v>
      </c>
      <c r="P63" s="14" t="s">
        <v>7</v>
      </c>
      <c r="Q63" s="15">
        <f>((Q61/Q60)*0-Q64)</f>
        <v>0</v>
      </c>
      <c r="R63" s="12" t="s">
        <v>6</v>
      </c>
    </row>
    <row r="64" spans="2:18" ht="30" x14ac:dyDescent="0.25">
      <c r="B64" s="9"/>
      <c r="C64" s="8"/>
      <c r="D64" s="14" t="s">
        <v>10</v>
      </c>
      <c r="E64" s="13">
        <f>'[2]Data Lingkungan_IC'!Z118</f>
        <v>0</v>
      </c>
      <c r="F64" s="12" t="s">
        <v>9</v>
      </c>
      <c r="H64" s="9"/>
      <c r="I64" s="8"/>
      <c r="J64" s="14" t="s">
        <v>10</v>
      </c>
      <c r="K64" s="13">
        <f>'[2]Data Lingkungan_IC'!AF118</f>
        <v>0</v>
      </c>
      <c r="L64" s="12" t="s">
        <v>9</v>
      </c>
      <c r="N64" s="9"/>
      <c r="O64" s="8"/>
      <c r="P64" s="14" t="s">
        <v>10</v>
      </c>
      <c r="Q64" s="13">
        <f>'[2]Data Lingkungan_IC'!AL118</f>
        <v>0</v>
      </c>
      <c r="R64" s="12" t="s">
        <v>9</v>
      </c>
    </row>
    <row r="65" spans="2:18" x14ac:dyDescent="0.25">
      <c r="B65" s="9"/>
      <c r="C65" s="8" t="s">
        <v>8</v>
      </c>
      <c r="D65" s="14" t="s">
        <v>7</v>
      </c>
      <c r="E65" s="13">
        <f>'[1]Data Lingkungan (DL)'!DC75</f>
        <v>0</v>
      </c>
      <c r="F65" s="12" t="s">
        <v>6</v>
      </c>
      <c r="H65" s="9"/>
      <c r="I65" s="8" t="s">
        <v>8</v>
      </c>
      <c r="J65" s="14" t="s">
        <v>7</v>
      </c>
      <c r="K65" s="13">
        <f>'[1]Data Lingkungan (DL)'!DU71</f>
        <v>0</v>
      </c>
      <c r="L65" s="12" t="s">
        <v>6</v>
      </c>
      <c r="N65" s="9"/>
      <c r="O65" s="8" t="s">
        <v>8</v>
      </c>
      <c r="P65" s="14" t="s">
        <v>7</v>
      </c>
      <c r="Q65" s="13">
        <f>'[1]Data Lingkungan (DL)'!Q67</f>
        <v>0</v>
      </c>
      <c r="R65" s="12" t="s">
        <v>6</v>
      </c>
    </row>
    <row r="66" spans="2:18" ht="30" customHeight="1" x14ac:dyDescent="0.25">
      <c r="B66" s="9"/>
      <c r="C66" s="11" t="s">
        <v>5</v>
      </c>
      <c r="D66" s="7"/>
      <c r="E66" s="10">
        <f>E65</f>
        <v>0</v>
      </c>
      <c r="F66" s="37" t="s">
        <v>4</v>
      </c>
      <c r="H66" s="9"/>
      <c r="I66" s="11" t="s">
        <v>5</v>
      </c>
      <c r="J66" s="7"/>
      <c r="K66" s="10">
        <f>K65</f>
        <v>0</v>
      </c>
      <c r="L66" s="37" t="s">
        <v>4</v>
      </c>
      <c r="N66" s="9"/>
      <c r="O66" s="11" t="s">
        <v>5</v>
      </c>
      <c r="P66" s="7"/>
      <c r="Q66" s="10">
        <f>Q65</f>
        <v>0</v>
      </c>
      <c r="R66" s="37" t="s">
        <v>4</v>
      </c>
    </row>
    <row r="67" spans="2:18" x14ac:dyDescent="0.25">
      <c r="B67" s="9"/>
      <c r="C67" s="8"/>
      <c r="D67" s="7" t="s">
        <v>3</v>
      </c>
      <c r="E67" s="6" t="str">
        <f>IF(E66&lt;=0.2,"Sangat Bersih",IF(E66&lt;=0.4,"Bersih",IF(E66&lt;=0.6,"Cukup Bersih",IF(E66&lt;=0.8,"Kotor",IF(E66&lt;=1,"Sangat Kotor",0)))))</f>
        <v>Sangat Bersih</v>
      </c>
      <c r="F67" s="38"/>
      <c r="H67" s="9"/>
      <c r="I67" s="8"/>
      <c r="J67" s="7" t="s">
        <v>3</v>
      </c>
      <c r="K67" s="6" t="str">
        <f>IF(K66&lt;=0.2,"Sangat Bersih",IF(K66&lt;=0.4,"Bersih",IF(K66&lt;=0.6,"Cukup Bersih",IF(K66&lt;=0.8,"Kotor",IF(K66&lt;=1,"Sangat Kotor",0)))))</f>
        <v>Sangat Bersih</v>
      </c>
      <c r="L67" s="38"/>
      <c r="N67" s="9"/>
      <c r="O67" s="8"/>
      <c r="P67" s="7" t="s">
        <v>3</v>
      </c>
      <c r="Q67" s="6" t="str">
        <f>IF(Q66&lt;=0.2,"Sangat Bersih",IF(Q66&lt;=0.4,"Bersih",IF(Q66&lt;=0.6,"Cukup Bersih",IF(Q66&lt;=0.8,"Kotor",IF(Q66&lt;=1,"Sangat Kotor",0)))))</f>
        <v>Sangat Bersih</v>
      </c>
      <c r="R67" s="38"/>
    </row>
    <row r="68" spans="2:18" ht="15.75" thickBot="1" x14ac:dyDescent="0.3">
      <c r="B68" s="5"/>
      <c r="C68" s="4" t="s">
        <v>2</v>
      </c>
      <c r="D68" s="3" t="s">
        <v>1</v>
      </c>
      <c r="E68" s="2" t="s">
        <v>0</v>
      </c>
      <c r="F68" s="1"/>
      <c r="H68" s="5"/>
      <c r="I68" s="4" t="s">
        <v>2</v>
      </c>
      <c r="J68" s="3" t="s">
        <v>1</v>
      </c>
      <c r="K68" s="2" t="s">
        <v>0</v>
      </c>
      <c r="L68" s="1"/>
      <c r="N68" s="5"/>
      <c r="O68" s="4" t="s">
        <v>2</v>
      </c>
      <c r="P68" s="3" t="s">
        <v>1</v>
      </c>
      <c r="Q68" s="2" t="s">
        <v>0</v>
      </c>
      <c r="R68" s="1"/>
    </row>
    <row r="69" spans="2:18" ht="15.75" thickBot="1" x14ac:dyDescent="0.3"/>
    <row r="70" spans="2:18" x14ac:dyDescent="0.25">
      <c r="B70" s="28" t="s">
        <v>28</v>
      </c>
      <c r="C70" s="29"/>
      <c r="D70" s="29"/>
      <c r="E70" s="29"/>
      <c r="F70" s="30"/>
      <c r="H70" s="28" t="s">
        <v>28</v>
      </c>
      <c r="I70" s="29"/>
      <c r="J70" s="29"/>
      <c r="K70" s="29"/>
      <c r="L70" s="30"/>
    </row>
    <row r="71" spans="2:18" ht="15.75" thickBot="1" x14ac:dyDescent="0.3">
      <c r="B71" s="31" t="s">
        <v>27</v>
      </c>
      <c r="C71" s="32"/>
      <c r="D71" s="32"/>
      <c r="E71" s="32"/>
      <c r="F71" s="33"/>
      <c r="H71" s="31" t="s">
        <v>27</v>
      </c>
      <c r="I71" s="32"/>
      <c r="J71" s="32"/>
      <c r="K71" s="32"/>
      <c r="L71" s="33"/>
    </row>
    <row r="72" spans="2:18" x14ac:dyDescent="0.25">
      <c r="B72" s="34" t="s">
        <v>26</v>
      </c>
      <c r="C72" s="35"/>
      <c r="D72" s="35"/>
      <c r="E72" s="35"/>
      <c r="F72" s="36"/>
      <c r="H72" s="34" t="s">
        <v>26</v>
      </c>
      <c r="I72" s="35"/>
      <c r="J72" s="35"/>
      <c r="K72" s="35"/>
      <c r="L72" s="36"/>
    </row>
    <row r="73" spans="2:18" ht="15.75" thickBot="1" x14ac:dyDescent="0.3">
      <c r="B73" s="26" t="s">
        <v>25</v>
      </c>
      <c r="C73" s="25" t="s">
        <v>24</v>
      </c>
      <c r="D73" s="25" t="s">
        <v>23</v>
      </c>
      <c r="E73" s="25" t="s">
        <v>22</v>
      </c>
      <c r="F73" s="24" t="s">
        <v>21</v>
      </c>
      <c r="H73" s="26" t="s">
        <v>25</v>
      </c>
      <c r="I73" s="25" t="s">
        <v>24</v>
      </c>
      <c r="J73" s="25" t="s">
        <v>23</v>
      </c>
      <c r="K73" s="25" t="s">
        <v>22</v>
      </c>
      <c r="L73" s="24" t="s">
        <v>21</v>
      </c>
    </row>
    <row r="74" spans="2:18" x14ac:dyDescent="0.25">
      <c r="B74" s="34" t="s">
        <v>20</v>
      </c>
      <c r="C74" s="35"/>
      <c r="D74" s="35"/>
      <c r="E74" s="35"/>
      <c r="F74" s="36"/>
      <c r="H74" s="34" t="s">
        <v>20</v>
      </c>
      <c r="I74" s="35"/>
      <c r="J74" s="35"/>
      <c r="K74" s="35"/>
      <c r="L74" s="36"/>
    </row>
    <row r="75" spans="2:18" x14ac:dyDescent="0.25">
      <c r="B75" s="9"/>
      <c r="C75" s="21" t="s">
        <v>19</v>
      </c>
      <c r="D75" s="21"/>
      <c r="E75" s="19" t="s">
        <v>18</v>
      </c>
      <c r="F75" s="22"/>
      <c r="H75" s="9"/>
      <c r="I75" s="21" t="s">
        <v>19</v>
      </c>
      <c r="J75" s="21"/>
      <c r="K75" s="19" t="s">
        <v>53</v>
      </c>
      <c r="L75" s="22"/>
    </row>
    <row r="76" spans="2:18" x14ac:dyDescent="0.25">
      <c r="B76" s="9"/>
      <c r="C76" s="21" t="s">
        <v>17</v>
      </c>
      <c r="D76" s="21"/>
      <c r="E76" s="23" t="s">
        <v>16</v>
      </c>
      <c r="F76" s="22"/>
      <c r="H76" s="9"/>
      <c r="I76" s="21" t="s">
        <v>17</v>
      </c>
      <c r="J76" s="21"/>
      <c r="K76" s="23" t="s">
        <v>54</v>
      </c>
      <c r="L76" s="22"/>
    </row>
    <row r="77" spans="2:18" x14ac:dyDescent="0.25">
      <c r="B77" s="9"/>
      <c r="C77" s="21" t="s">
        <v>15</v>
      </c>
      <c r="D77" s="20"/>
      <c r="E77" s="19">
        <f>20*12*30</f>
        <v>7200</v>
      </c>
      <c r="F77" s="18" t="s">
        <v>12</v>
      </c>
      <c r="H77" s="9"/>
      <c r="I77" s="21" t="s">
        <v>15</v>
      </c>
      <c r="J77" s="20"/>
      <c r="K77" s="19">
        <f>20*12*30</f>
        <v>7200</v>
      </c>
      <c r="L77" s="18" t="s">
        <v>12</v>
      </c>
    </row>
    <row r="78" spans="2:18" x14ac:dyDescent="0.25">
      <c r="B78" s="9"/>
      <c r="C78" s="11" t="s">
        <v>14</v>
      </c>
      <c r="D78" s="7"/>
      <c r="E78" s="6">
        <v>3600</v>
      </c>
      <c r="F78" s="17" t="s">
        <v>12</v>
      </c>
      <c r="H78" s="9"/>
      <c r="I78" s="11" t="s">
        <v>14</v>
      </c>
      <c r="J78" s="7"/>
      <c r="K78" s="6">
        <v>3600</v>
      </c>
      <c r="L78" s="17" t="s">
        <v>12</v>
      </c>
    </row>
    <row r="79" spans="2:18" x14ac:dyDescent="0.25">
      <c r="B79" s="9"/>
      <c r="C79" s="8" t="s">
        <v>13</v>
      </c>
      <c r="D79" s="14"/>
      <c r="E79" s="16">
        <f>E77-E78-(E80+E82)/2*10</f>
        <v>3595</v>
      </c>
      <c r="F79" s="12" t="s">
        <v>12</v>
      </c>
      <c r="H79" s="9"/>
      <c r="I79" s="8" t="s">
        <v>13</v>
      </c>
      <c r="J79" s="14"/>
      <c r="K79" s="16">
        <f>K77-K78-(K80+K82)/2*10</f>
        <v>3600</v>
      </c>
      <c r="L79" s="12" t="s">
        <v>12</v>
      </c>
    </row>
    <row r="80" spans="2:18" x14ac:dyDescent="0.25">
      <c r="B80" s="9"/>
      <c r="C80" s="8" t="s">
        <v>11</v>
      </c>
      <c r="D80" s="14" t="s">
        <v>7</v>
      </c>
      <c r="E80" s="15">
        <f>((E78/E77)*0-E81)</f>
        <v>0</v>
      </c>
      <c r="F80" s="12" t="s">
        <v>6</v>
      </c>
      <c r="H80" s="9"/>
      <c r="I80" s="8" t="s">
        <v>11</v>
      </c>
      <c r="J80" s="14" t="s">
        <v>7</v>
      </c>
      <c r="K80" s="15">
        <f>((K78/K77)*0-K81)</f>
        <v>0</v>
      </c>
      <c r="L80" s="12" t="s">
        <v>6</v>
      </c>
    </row>
    <row r="81" spans="2:12" ht="30" x14ac:dyDescent="0.25">
      <c r="B81" s="9"/>
      <c r="C81" s="8"/>
      <c r="D81" s="14" t="s">
        <v>10</v>
      </c>
      <c r="E81" s="13">
        <f>'[2]Data Lingkungan_IC'!Z135</f>
        <v>0</v>
      </c>
      <c r="F81" s="12" t="s">
        <v>9</v>
      </c>
      <c r="H81" s="9"/>
      <c r="I81" s="8"/>
      <c r="J81" s="14" t="s">
        <v>10</v>
      </c>
      <c r="K81" s="13">
        <f>'[3]Data Lingkungan (DL)'!$CL$69</f>
        <v>0</v>
      </c>
      <c r="L81" s="12" t="s">
        <v>9</v>
      </c>
    </row>
    <row r="82" spans="2:12" x14ac:dyDescent="0.25">
      <c r="B82" s="9"/>
      <c r="C82" s="8" t="s">
        <v>8</v>
      </c>
      <c r="D82" s="14" t="s">
        <v>7</v>
      </c>
      <c r="E82" s="13">
        <f>'[1]Data Lingkungan (DL)'!H67</f>
        <v>1</v>
      </c>
      <c r="F82" s="12" t="s">
        <v>6</v>
      </c>
      <c r="H82" s="9"/>
      <c r="I82" s="8" t="s">
        <v>8</v>
      </c>
      <c r="J82" s="14" t="s">
        <v>7</v>
      </c>
      <c r="K82" s="13">
        <f>'[3]Data Lingkungan (DL)'!$CI$69</f>
        <v>0</v>
      </c>
      <c r="L82" s="12" t="s">
        <v>6</v>
      </c>
    </row>
    <row r="83" spans="2:12" ht="30" customHeight="1" x14ac:dyDescent="0.25">
      <c r="B83" s="9"/>
      <c r="C83" s="11" t="s">
        <v>5</v>
      </c>
      <c r="D83" s="7"/>
      <c r="E83" s="10">
        <f>'[1]Data Lingkungan (DL)'!H67</f>
        <v>1</v>
      </c>
      <c r="F83" s="37" t="s">
        <v>4</v>
      </c>
      <c r="H83" s="9"/>
      <c r="I83" s="11" t="s">
        <v>5</v>
      </c>
      <c r="J83" s="7"/>
      <c r="K83" s="10">
        <f>'[3]Data Lingkungan (DL)'!$CK$69</f>
        <v>0</v>
      </c>
      <c r="L83" s="37" t="s">
        <v>4</v>
      </c>
    </row>
    <row r="84" spans="2:12" x14ac:dyDescent="0.25">
      <c r="B84" s="9"/>
      <c r="C84" s="8"/>
      <c r="D84" s="7" t="s">
        <v>3</v>
      </c>
      <c r="E84" s="6" t="str">
        <f>IF(E83&lt;=0.2,"Sangat Bersih",IF(E83&lt;=0.4,"Bersih",IF(E83&lt;=0.6,"Cukup Bersih",IF(E83&lt;=0.8,"Kotor",IF(E83&lt;=1,"Sangat Kotor",0)))))</f>
        <v>Sangat Kotor</v>
      </c>
      <c r="F84" s="38"/>
      <c r="H84" s="9"/>
      <c r="I84" s="8"/>
      <c r="J84" s="7" t="s">
        <v>3</v>
      </c>
      <c r="K84" s="6" t="str">
        <f>IF(K83&lt;=0.2,"Sangat Bersih",IF(K83&lt;=0.4,"Bersih",IF(K83&lt;=0.6,"Cukup Bersih",IF(K83&lt;=0.8,"Kotor",IF(K83&lt;=1,"Sangat Kotor",0)))))</f>
        <v>Sangat Bersih</v>
      </c>
      <c r="L84" s="38"/>
    </row>
    <row r="85" spans="2:12" ht="15.75" thickBot="1" x14ac:dyDescent="0.3">
      <c r="B85" s="5"/>
      <c r="C85" s="4" t="s">
        <v>2</v>
      </c>
      <c r="D85" s="3" t="s">
        <v>1</v>
      </c>
      <c r="E85" s="2" t="s">
        <v>0</v>
      </c>
      <c r="F85" s="1"/>
      <c r="H85" s="5"/>
      <c r="I85" s="4" t="s">
        <v>2</v>
      </c>
      <c r="J85" s="3" t="s">
        <v>1</v>
      </c>
      <c r="K85" s="2" t="s">
        <v>0</v>
      </c>
      <c r="L85" s="1"/>
    </row>
    <row r="100" ht="15" customHeight="1" x14ac:dyDescent="0.25"/>
    <row r="117" ht="15" customHeight="1" x14ac:dyDescent="0.25"/>
    <row r="134" ht="15" customHeight="1" x14ac:dyDescent="0.25"/>
  </sheetData>
  <mergeCells count="70">
    <mergeCell ref="H70:L70"/>
    <mergeCell ref="H71:L71"/>
    <mergeCell ref="H72:L72"/>
    <mergeCell ref="H74:L74"/>
    <mergeCell ref="L83:L84"/>
    <mergeCell ref="N36:R36"/>
    <mergeCell ref="N37:R37"/>
    <mergeCell ref="N38:R38"/>
    <mergeCell ref="N40:R40"/>
    <mergeCell ref="R49:R50"/>
    <mergeCell ref="N53:R53"/>
    <mergeCell ref="N54:R54"/>
    <mergeCell ref="N55:R55"/>
    <mergeCell ref="N57:R57"/>
    <mergeCell ref="R66:R67"/>
    <mergeCell ref="N2:R2"/>
    <mergeCell ref="N3:R3"/>
    <mergeCell ref="N4:R4"/>
    <mergeCell ref="N6:R6"/>
    <mergeCell ref="R15:R16"/>
    <mergeCell ref="N19:R19"/>
    <mergeCell ref="N20:R20"/>
    <mergeCell ref="N21:R21"/>
    <mergeCell ref="N23:R23"/>
    <mergeCell ref="R32:R33"/>
    <mergeCell ref="H36:L36"/>
    <mergeCell ref="H37:L37"/>
    <mergeCell ref="H38:L38"/>
    <mergeCell ref="H40:L40"/>
    <mergeCell ref="L49:L50"/>
    <mergeCell ref="H53:L53"/>
    <mergeCell ref="H54:L54"/>
    <mergeCell ref="H55:L55"/>
    <mergeCell ref="H57:L57"/>
    <mergeCell ref="L66:L67"/>
    <mergeCell ref="H2:L2"/>
    <mergeCell ref="H3:L3"/>
    <mergeCell ref="H4:L4"/>
    <mergeCell ref="H6:L6"/>
    <mergeCell ref="L15:L16"/>
    <mergeCell ref="H19:L19"/>
    <mergeCell ref="H20:L20"/>
    <mergeCell ref="H21:L21"/>
    <mergeCell ref="H23:L23"/>
    <mergeCell ref="L32:L33"/>
    <mergeCell ref="B53:F53"/>
    <mergeCell ref="B54:F54"/>
    <mergeCell ref="B55:F55"/>
    <mergeCell ref="B57:F57"/>
    <mergeCell ref="F66:F67"/>
    <mergeCell ref="B70:F70"/>
    <mergeCell ref="B71:F71"/>
    <mergeCell ref="B72:F72"/>
    <mergeCell ref="B74:F74"/>
    <mergeCell ref="F83:F84"/>
    <mergeCell ref="B19:F19"/>
    <mergeCell ref="B20:F20"/>
    <mergeCell ref="B21:F21"/>
    <mergeCell ref="B23:F23"/>
    <mergeCell ref="F32:F33"/>
    <mergeCell ref="B36:F36"/>
    <mergeCell ref="B37:F37"/>
    <mergeCell ref="B38:F38"/>
    <mergeCell ref="B40:F40"/>
    <mergeCell ref="F49:F50"/>
    <mergeCell ref="B2:F2"/>
    <mergeCell ref="B3:F3"/>
    <mergeCell ref="B4:F4"/>
    <mergeCell ref="B6:F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PNMO-LT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2021-08-05T09:22:31Z</dcterms:created>
  <dcterms:modified xsi:type="dcterms:W3CDTF">2021-08-09T10:28:18Z</dcterms:modified>
</cp:coreProperties>
</file>