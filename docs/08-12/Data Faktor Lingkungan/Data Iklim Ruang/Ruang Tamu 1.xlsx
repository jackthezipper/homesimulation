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Data Iklim" sheetId="1" r:id="rId1"/>
  </sheets>
  <calcPr calcId="145621"/>
</workbook>
</file>

<file path=xl/calcChain.xml><?xml version="1.0" encoding="utf-8"?>
<calcChain xmlns="http://schemas.openxmlformats.org/spreadsheetml/2006/main">
  <c r="X6" i="1" l="1"/>
  <c r="Y6" i="1"/>
  <c r="AK6" i="1"/>
  <c r="X7" i="1"/>
  <c r="Y7" i="1"/>
  <c r="AK7" i="1"/>
  <c r="T8" i="1"/>
  <c r="Y8" i="1" s="1"/>
  <c r="T9" i="1" s="1"/>
  <c r="Y9" i="1" s="1"/>
  <c r="T10" i="1" s="1"/>
  <c r="Y10" i="1" s="1"/>
  <c r="T11" i="1" s="1"/>
  <c r="Y11" i="1" s="1"/>
  <c r="T12" i="1" s="1"/>
  <c r="Y12" i="1" s="1"/>
  <c r="T13" i="1" s="1"/>
  <c r="Y13" i="1" s="1"/>
  <c r="X8" i="1"/>
  <c r="AK8" i="1"/>
  <c r="X9" i="1"/>
  <c r="AK9" i="1"/>
  <c r="X10" i="1"/>
  <c r="AK10" i="1"/>
  <c r="X11" i="1"/>
  <c r="AK11" i="1"/>
  <c r="X12" i="1"/>
  <c r="AK12" i="1"/>
  <c r="X13" i="1"/>
  <c r="AK13" i="1"/>
  <c r="X14" i="1"/>
  <c r="Y14" i="1"/>
  <c r="AK14" i="1"/>
  <c r="X15" i="1"/>
  <c r="Y15" i="1"/>
  <c r="AK15" i="1"/>
  <c r="X16" i="1"/>
  <c r="Y16" i="1"/>
  <c r="AK16" i="1"/>
  <c r="X17" i="1"/>
  <c r="Y17" i="1"/>
  <c r="AK17" i="1"/>
  <c r="X18" i="1"/>
  <c r="Y18" i="1"/>
  <c r="AK18" i="1"/>
  <c r="X19" i="1"/>
  <c r="Y19" i="1"/>
  <c r="AK19" i="1"/>
  <c r="X20" i="1"/>
  <c r="Y20" i="1"/>
  <c r="AK20" i="1"/>
  <c r="X21" i="1"/>
  <c r="Y21" i="1"/>
  <c r="AK21" i="1"/>
  <c r="X22" i="1"/>
  <c r="Y22" i="1"/>
  <c r="AK22" i="1"/>
  <c r="X23" i="1"/>
  <c r="Y23" i="1"/>
  <c r="AK23" i="1"/>
  <c r="X24" i="1"/>
  <c r="Y24" i="1"/>
  <c r="AK24" i="1"/>
  <c r="X25" i="1"/>
  <c r="Y25" i="1"/>
  <c r="AK25" i="1"/>
  <c r="X26" i="1"/>
  <c r="Y26" i="1"/>
  <c r="AK26" i="1"/>
  <c r="X27" i="1"/>
  <c r="Y27" i="1"/>
  <c r="AK27" i="1"/>
  <c r="X28" i="1"/>
  <c r="Y28" i="1"/>
  <c r="AK28" i="1"/>
  <c r="X29" i="1"/>
  <c r="Y29" i="1"/>
  <c r="AK29" i="1"/>
</calcChain>
</file>

<file path=xl/sharedStrings.xml><?xml version="1.0" encoding="utf-8"?>
<sst xmlns="http://schemas.openxmlformats.org/spreadsheetml/2006/main" count="157" uniqueCount="66">
  <si>
    <t>OFF</t>
  </si>
  <si>
    <t>ON</t>
  </si>
  <si>
    <t>20/10/2020</t>
  </si>
  <si>
    <t>RTU01</t>
  </si>
  <si>
    <t xml:space="preserve">Ruang Tidur Utama 1 </t>
  </si>
  <si>
    <t>RKG01</t>
  </si>
  <si>
    <t xml:space="preserve">Ruang Keluarga 1 </t>
  </si>
  <si>
    <t>RCC01</t>
  </si>
  <si>
    <t xml:space="preserve">Ruang Cuci 1 </t>
  </si>
  <si>
    <t>RDP01</t>
  </si>
  <si>
    <t xml:space="preserve">Ruang Dapur 1 </t>
  </si>
  <si>
    <t>RMK01</t>
  </si>
  <si>
    <t xml:space="preserve">Ruang Makan 1 </t>
  </si>
  <si>
    <t>RGD01</t>
  </si>
  <si>
    <t xml:space="preserve">Ruang Gudang 1 </t>
  </si>
  <si>
    <t>RKD01</t>
  </si>
  <si>
    <t xml:space="preserve">Ruang Koridor 1 </t>
  </si>
  <si>
    <t>RKM01</t>
  </si>
  <si>
    <t xml:space="preserve">Ruang Kamar Mandi 1 </t>
  </si>
  <si>
    <t>RTU02</t>
  </si>
  <si>
    <t xml:space="preserve">Ruang Tidur Utama 2 </t>
  </si>
  <si>
    <t>RTA01</t>
  </si>
  <si>
    <t xml:space="preserve">Ruang Tidur Anak 1 </t>
  </si>
  <si>
    <t>RTM01</t>
  </si>
  <si>
    <t xml:space="preserve">Ruang Tamu 1 </t>
  </si>
  <si>
    <t>RTS01</t>
  </si>
  <si>
    <t xml:space="preserve">Ruang Teras 1 </t>
  </si>
  <si>
    <t>RGS01</t>
  </si>
  <si>
    <t xml:space="preserve">Ruang Garasi 1 </t>
  </si>
  <si>
    <t>RHD01</t>
  </si>
  <si>
    <t xml:space="preserve">Ruang Halaman Depan 1 </t>
  </si>
  <si>
    <t>ILUMINASI RUANG (Lux)</t>
  </si>
  <si>
    <t>ST. SAKLAR 2</t>
  </si>
  <si>
    <t>ST. SAKLAR 1</t>
  </si>
  <si>
    <t>SET ILUMINASI LAMPU 2 (Lux) Artificial Lighting</t>
  </si>
  <si>
    <t>SET ILUMINASI LAMPU 1 (Lux) Artificial Lighting</t>
  </si>
  <si>
    <t>ILUMINASI TERKINI (Lux) Daylighting</t>
  </si>
  <si>
    <t>WAKTU</t>
  </si>
  <si>
    <t>TANGGAL</t>
  </si>
  <si>
    <t>KODE RUANG</t>
  </si>
  <si>
    <t>NAMA RUANG</t>
  </si>
  <si>
    <t>NO.</t>
  </si>
  <si>
    <t>T. RUANG TERKONDISI</t>
  </si>
  <si>
    <t>LAJU AWAL AC (degC)</t>
  </si>
  <si>
    <t>ST. KONDISI AC</t>
  </si>
  <si>
    <t>LAJU T. EFEK SUMBER PANAS RUANG DALAM</t>
  </si>
  <si>
    <t>LAJU T. EFEK ORANG</t>
  </si>
  <si>
    <t>T. RUANG TERKINI (degC)</t>
  </si>
  <si>
    <t>SET T. AC (degC)</t>
  </si>
  <si>
    <t>ILUMINASI INTERNAL (Lux)</t>
  </si>
  <si>
    <t>ILUMINASI EKSTERNAL (Lux)</t>
  </si>
  <si>
    <t>KELEMBABAN INTERNAL</t>
  </si>
  <si>
    <t>KELEMBABAN EKSTERNAL</t>
  </si>
  <si>
    <t>T. INTERNAL (degC)</t>
  </si>
  <si>
    <t>T. EKSTERNAL (degC)</t>
  </si>
  <si>
    <t>DATA PENGKONDISIAN IKLIM RUANG (LAMPU) RUANG TAMU 1 (contoh)</t>
  </si>
  <si>
    <t>IF peralatan listrik di dalam ruang hidup, data dari sheet AO-ALL Heat Emission</t>
  </si>
  <si>
    <t>setiap orang menambah … degC</t>
  </si>
  <si>
    <t>DATA PENGKONDISIAN IKLIM RUANG (AC) RUANG TIDUR UTAMA 1 (contoh)</t>
  </si>
  <si>
    <t>REKAPITULASI DATA IKLIM</t>
  </si>
  <si>
    <t>DATA PERMANEN</t>
  </si>
  <si>
    <t>HASIL SIMULASI: jika ada agen di ruang, syarat aktivitas berjalan: temperatur X, maka menghidupkan atau tidak</t>
  </si>
  <si>
    <t>FORMULA</t>
  </si>
  <si>
    <t>LOAD DATA IKLIM EnergyPlus</t>
  </si>
  <si>
    <t>IC</t>
  </si>
  <si>
    <t xml:space="preserve">Kondisi Eksternal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</si>
</sst>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60">
    <xf numFmtId="0" fontId="0" fillId="0" borderId="0" xfId="0"/>
    <xf numFmtId="0" fontId="0" fillId="2" borderId="1" xfId="0" applyFont="1" applyFill="1" applyBorder="1"/>
    <xf numFmtId="0" fontId="0" fillId="3" borderId="2" xfId="0" applyFont="1" applyFill="1" applyBorder="1"/>
    <xf numFmtId="0" fontId="0" fillId="3" borderId="1" xfId="0" applyFont="1" applyFill="1" applyBorder="1"/>
    <xf numFmtId="0" fontId="0" fillId="4" borderId="2" xfId="0" applyFill="1" applyBorder="1"/>
    <xf numFmtId="0" fontId="0" fillId="5" borderId="1" xfId="0" applyFont="1" applyFill="1" applyBorder="1"/>
    <xf numFmtId="20" fontId="0" fillId="0" borderId="3" xfId="0" applyNumberFormat="1" applyFont="1" applyFill="1" applyBorder="1"/>
    <xf numFmtId="0" fontId="0" fillId="0" borderId="6" xfId="0" applyBorder="1"/>
    <xf numFmtId="0" fontId="0" fillId="5" borderId="7" xfId="0" applyFont="1" applyFill="1" applyBorder="1"/>
    <xf numFmtId="0" fontId="0" fillId="4" borderId="8" xfId="0" applyFont="1" applyFill="1" applyBorder="1"/>
    <xf numFmtId="0" fontId="0" fillId="2" borderId="9" xfId="0" applyFont="1" applyFill="1" applyBorder="1"/>
    <xf numFmtId="0" fontId="0" fillId="3" borderId="10" xfId="0" applyFont="1" applyFill="1" applyBorder="1"/>
    <xf numFmtId="0" fontId="0" fillId="3" borderId="9" xfId="0" applyFont="1" applyFill="1" applyBorder="1"/>
    <xf numFmtId="0" fontId="0" fillId="4" borderId="10" xfId="0" applyFill="1" applyBorder="1"/>
    <xf numFmtId="0" fontId="0" fillId="5" borderId="9" xfId="0" applyFont="1" applyFill="1" applyBorder="1"/>
    <xf numFmtId="20" fontId="0" fillId="0" borderId="11" xfId="0" applyNumberFormat="1" applyFont="1" applyFill="1" applyBorder="1"/>
    <xf numFmtId="0" fontId="0" fillId="0" borderId="14" xfId="0" applyBorder="1"/>
    <xf numFmtId="0" fontId="0" fillId="4" borderId="15" xfId="0" applyFont="1" applyFill="1" applyBorder="1"/>
    <xf numFmtId="0" fontId="0" fillId="2" borderId="7" xfId="0" applyFont="1" applyFill="1" applyBorder="1"/>
    <xf numFmtId="0" fontId="0" fillId="3" borderId="16" xfId="0" applyFont="1" applyFill="1" applyBorder="1"/>
    <xf numFmtId="0" fontId="0" fillId="3" borderId="7" xfId="0" applyFont="1" applyFill="1" applyBorder="1"/>
    <xf numFmtId="0" fontId="0" fillId="4" borderId="17" xfId="0" applyFont="1" applyFill="1" applyBorder="1"/>
    <xf numFmtId="0" fontId="0" fillId="3" borderId="7" xfId="0" applyFont="1" applyFill="1" applyBorder="1" applyAlignment="1">
      <alignment wrapText="1"/>
    </xf>
    <xf numFmtId="0" fontId="0" fillId="6" borderId="7" xfId="0" applyFont="1" applyFill="1" applyBorder="1"/>
    <xf numFmtId="0" fontId="0" fillId="6" borderId="16" xfId="0" applyFont="1" applyFill="1" applyBorder="1"/>
    <xf numFmtId="0" fontId="0" fillId="4" borderId="16" xfId="0" applyFill="1" applyBorder="1"/>
    <xf numFmtId="0" fontId="0" fillId="2" borderId="7" xfId="0" applyFont="1" applyFill="1" applyBorder="1" applyAlignment="1">
      <alignment wrapText="1"/>
    </xf>
    <xf numFmtId="0" fontId="0" fillId="0" borderId="0" xfId="0" applyFont="1" applyFill="1" applyBorder="1"/>
    <xf numFmtId="0" fontId="0" fillId="0" borderId="10" xfId="0" applyBorder="1"/>
    <xf numFmtId="0" fontId="0" fillId="0" borderId="10" xfId="0" applyFont="1" applyFill="1" applyBorder="1"/>
    <xf numFmtId="0" fontId="2" fillId="0" borderId="10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Fill="1"/>
    <xf numFmtId="0" fontId="1" fillId="0" borderId="0" xfId="0" applyFont="1" applyFill="1"/>
    <xf numFmtId="0" fontId="1" fillId="4" borderId="0" xfId="0" applyFont="1" applyFill="1"/>
    <xf numFmtId="0" fontId="1" fillId="3" borderId="0" xfId="0" applyFont="1" applyFill="1"/>
    <xf numFmtId="0" fontId="0" fillId="2" borderId="0" xfId="0" applyFill="1"/>
    <xf numFmtId="0" fontId="1" fillId="5" borderId="0" xfId="0" applyFont="1" applyFill="1"/>
    <xf numFmtId="0" fontId="0" fillId="6" borderId="0" xfId="0" applyFill="1"/>
    <xf numFmtId="0" fontId="3" fillId="7" borderId="0" xfId="0" applyFont="1" applyFill="1"/>
    <xf numFmtId="0" fontId="2" fillId="0" borderId="18" xfId="0" applyFont="1" applyFill="1" applyBorder="1" applyAlignment="1">
      <alignment horizontal="left" vertical="top" wrapText="1"/>
    </xf>
    <xf numFmtId="0" fontId="2" fillId="0" borderId="13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12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left" vertical="top"/>
    </xf>
    <xf numFmtId="164" fontId="0" fillId="0" borderId="12" xfId="0" applyNumberFormat="1" applyFont="1" applyFill="1" applyBorder="1" applyAlignment="1">
      <alignment horizontal="center" vertical="top"/>
    </xf>
    <xf numFmtId="164" fontId="0" fillId="0" borderId="4" xfId="0" applyNumberFormat="1" applyFont="1" applyFill="1" applyBorder="1" applyAlignment="1">
      <alignment horizontal="center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54"/>
  <sheetViews>
    <sheetView tabSelected="1" topLeftCell="G1" zoomScale="85" zoomScaleNormal="85" workbookViewId="0">
      <selection activeCell="T19" sqref="T19"/>
    </sheetView>
  </sheetViews>
  <sheetFormatPr defaultRowHeight="15" x14ac:dyDescent="0.25"/>
  <cols>
    <col min="2" max="2" width="4.42578125" bestFit="1" customWidth="1"/>
    <col min="3" max="3" width="15.7109375" customWidth="1"/>
    <col min="4" max="4" width="12.7109375" customWidth="1"/>
    <col min="5" max="5" width="9.42578125" bestFit="1" customWidth="1"/>
    <col min="6" max="6" width="7.5703125" bestFit="1" customWidth="1"/>
    <col min="7" max="12" width="15.7109375" customWidth="1"/>
    <col min="14" max="14" width="4.42578125" bestFit="1" customWidth="1"/>
    <col min="15" max="17" width="10.7109375" customWidth="1"/>
    <col min="18" max="19" width="8.7109375" customWidth="1"/>
    <col min="20" max="22" width="12.7109375" customWidth="1"/>
    <col min="23" max="24" width="8.7109375" customWidth="1"/>
    <col min="25" max="25" width="12.7109375" customWidth="1"/>
    <col min="26" max="26" width="4.42578125" bestFit="1" customWidth="1"/>
    <col min="27" max="27" width="4.42578125" customWidth="1"/>
    <col min="28" max="30" width="10.7109375" customWidth="1"/>
    <col min="31" max="31" width="8.7109375" customWidth="1"/>
    <col min="32" max="34" width="12.7109375" customWidth="1"/>
    <col min="35" max="36" width="8.7109375" customWidth="1"/>
    <col min="37" max="37" width="12.7109375" customWidth="1"/>
  </cols>
  <sheetData>
    <row r="1" spans="2:37" x14ac:dyDescent="0.25">
      <c r="B1" s="52"/>
      <c r="C1" s="43" t="s">
        <v>65</v>
      </c>
      <c r="N1" s="51"/>
      <c r="O1" s="43" t="s">
        <v>64</v>
      </c>
      <c r="P1" s="43"/>
      <c r="Q1" s="43"/>
      <c r="R1" s="50"/>
      <c r="S1" s="43" t="s">
        <v>63</v>
      </c>
      <c r="Z1" s="51"/>
      <c r="AA1" s="43" t="s">
        <v>64</v>
      </c>
      <c r="AB1" s="43"/>
      <c r="AC1" s="43"/>
      <c r="AD1" s="50"/>
      <c r="AE1" s="43" t="s">
        <v>63</v>
      </c>
    </row>
    <row r="2" spans="2:37" x14ac:dyDescent="0.25">
      <c r="B2" s="47"/>
      <c r="C2" s="46" t="s">
        <v>60</v>
      </c>
      <c r="N2" s="49"/>
      <c r="O2" s="43" t="s">
        <v>62</v>
      </c>
      <c r="P2" s="43"/>
      <c r="Q2" s="43"/>
      <c r="R2" s="48"/>
      <c r="S2" s="43" t="s">
        <v>61</v>
      </c>
      <c r="Z2" s="49"/>
      <c r="AA2" s="43" t="s">
        <v>62</v>
      </c>
      <c r="AB2" s="43"/>
      <c r="AC2" s="43"/>
      <c r="AD2" s="48"/>
      <c r="AE2" s="43" t="s">
        <v>61</v>
      </c>
    </row>
    <row r="3" spans="2:37" s="45" customFormat="1" x14ac:dyDescent="0.25">
      <c r="O3" s="46"/>
      <c r="P3" s="46"/>
      <c r="Q3" s="46"/>
      <c r="R3" s="47"/>
      <c r="S3" s="46" t="s">
        <v>60</v>
      </c>
      <c r="AA3" s="46"/>
      <c r="AB3" s="46"/>
      <c r="AC3" s="46"/>
      <c r="AD3" s="47"/>
      <c r="AE3" s="46" t="s">
        <v>60</v>
      </c>
    </row>
    <row r="4" spans="2:37" ht="105.75" thickBot="1" x14ac:dyDescent="0.3">
      <c r="B4" s="43" t="s">
        <v>59</v>
      </c>
      <c r="N4" s="43" t="s">
        <v>58</v>
      </c>
      <c r="U4" s="44" t="s">
        <v>57</v>
      </c>
      <c r="V4" s="44" t="s">
        <v>56</v>
      </c>
      <c r="AA4" s="43" t="s">
        <v>55</v>
      </c>
    </row>
    <row r="5" spans="2:37" ht="90.75" thickBot="1" x14ac:dyDescent="0.3">
      <c r="B5" s="40" t="s">
        <v>41</v>
      </c>
      <c r="C5" s="42" t="s">
        <v>40</v>
      </c>
      <c r="D5" s="42" t="s">
        <v>39</v>
      </c>
      <c r="E5" s="40" t="s">
        <v>38</v>
      </c>
      <c r="F5" s="40" t="s">
        <v>37</v>
      </c>
      <c r="G5" s="41" t="s">
        <v>54</v>
      </c>
      <c r="H5" s="40" t="s">
        <v>53</v>
      </c>
      <c r="I5" s="41" t="s">
        <v>52</v>
      </c>
      <c r="J5" s="40" t="s">
        <v>51</v>
      </c>
      <c r="K5" s="41" t="s">
        <v>50</v>
      </c>
      <c r="L5" s="40" t="s">
        <v>49</v>
      </c>
      <c r="N5" s="38" t="s">
        <v>41</v>
      </c>
      <c r="O5" s="37" t="s">
        <v>40</v>
      </c>
      <c r="P5" s="37" t="s">
        <v>39</v>
      </c>
      <c r="Q5" s="37" t="s">
        <v>38</v>
      </c>
      <c r="R5" s="36" t="s">
        <v>37</v>
      </c>
      <c r="S5" s="39" t="s">
        <v>48</v>
      </c>
      <c r="T5" s="35" t="s">
        <v>47</v>
      </c>
      <c r="U5" s="33" t="s">
        <v>46</v>
      </c>
      <c r="V5" s="31" t="s">
        <v>45</v>
      </c>
      <c r="W5" s="32" t="s">
        <v>44</v>
      </c>
      <c r="X5" s="31" t="s">
        <v>43</v>
      </c>
      <c r="Y5" s="31" t="s">
        <v>42</v>
      </c>
      <c r="AA5" s="38" t="s">
        <v>41</v>
      </c>
      <c r="AB5" s="37" t="s">
        <v>40</v>
      </c>
      <c r="AC5" s="37" t="s">
        <v>39</v>
      </c>
      <c r="AD5" s="37" t="s">
        <v>38</v>
      </c>
      <c r="AE5" s="36" t="s">
        <v>37</v>
      </c>
      <c r="AF5" s="35" t="s">
        <v>36</v>
      </c>
      <c r="AG5" s="34" t="s">
        <v>35</v>
      </c>
      <c r="AH5" s="34" t="s">
        <v>34</v>
      </c>
      <c r="AI5" s="33" t="s">
        <v>33</v>
      </c>
      <c r="AJ5" s="32" t="s">
        <v>32</v>
      </c>
      <c r="AK5" s="31" t="s">
        <v>31</v>
      </c>
    </row>
    <row r="6" spans="2:37" x14ac:dyDescent="0.25">
      <c r="B6" s="28"/>
      <c r="C6" s="29" t="s">
        <v>30</v>
      </c>
      <c r="D6" s="29" t="s">
        <v>29</v>
      </c>
      <c r="E6" s="29"/>
      <c r="F6" s="29"/>
      <c r="G6" s="29"/>
      <c r="H6" s="29"/>
      <c r="I6" s="29"/>
      <c r="J6" s="29"/>
      <c r="K6" s="28"/>
      <c r="L6" s="28"/>
      <c r="N6" s="16">
        <v>1</v>
      </c>
      <c r="O6" s="53" t="s">
        <v>24</v>
      </c>
      <c r="P6" s="56" t="s">
        <v>23</v>
      </c>
      <c r="Q6" s="58" t="s">
        <v>2</v>
      </c>
      <c r="R6" s="15">
        <v>4.1666666666666664E-2</v>
      </c>
      <c r="S6" s="21">
        <v>23</v>
      </c>
      <c r="T6" s="23">
        <v>24</v>
      </c>
      <c r="U6" s="22">
        <v>1</v>
      </c>
      <c r="V6" s="26">
        <v>0</v>
      </c>
      <c r="W6" s="24" t="s">
        <v>0</v>
      </c>
      <c r="X6" s="18">
        <f t="shared" ref="X6:X29" si="0">IF(W6="ON",-1,1.5)</f>
        <v>1.5</v>
      </c>
      <c r="Y6" s="23">
        <f t="shared" ref="Y6:Y29" si="1">IF(W5="ON",IF(T6&gt;S6,T6+V6+X6,IF(T6&lt;=S6,S6,T6+V6+X6)),T6+U6+V6)</f>
        <v>25</v>
      </c>
      <c r="AA6" s="16">
        <v>1</v>
      </c>
      <c r="AB6" s="53" t="s">
        <v>24</v>
      </c>
      <c r="AC6" s="56" t="s">
        <v>23</v>
      </c>
      <c r="AD6" s="58" t="s">
        <v>2</v>
      </c>
      <c r="AE6" s="15">
        <v>4.1666666666666664E-2</v>
      </c>
      <c r="AF6" s="23">
        <v>0</v>
      </c>
      <c r="AG6" s="25">
        <v>100</v>
      </c>
      <c r="AH6" s="25">
        <v>100</v>
      </c>
      <c r="AI6" s="23" t="s">
        <v>0</v>
      </c>
      <c r="AJ6" s="24" t="s">
        <v>0</v>
      </c>
      <c r="AK6" s="23">
        <f>IF(AI6="ON",IF(AJ6="ON",AF6+AG6+AH6,IF(AI6="ON",AF6+AG6,AF6)),IF(AJ6="ON",AF6+AH6,AF6))</f>
        <v>0</v>
      </c>
    </row>
    <row r="7" spans="2:37" x14ac:dyDescent="0.25">
      <c r="B7" s="28"/>
      <c r="C7" s="29" t="s">
        <v>28</v>
      </c>
      <c r="D7" s="29" t="s">
        <v>27</v>
      </c>
      <c r="E7" s="29"/>
      <c r="F7" s="29"/>
      <c r="G7" s="29"/>
      <c r="H7" s="29"/>
      <c r="I7" s="29"/>
      <c r="J7" s="29"/>
      <c r="K7" s="28"/>
      <c r="L7" s="28"/>
      <c r="N7" s="16">
        <v>2</v>
      </c>
      <c r="O7" s="54"/>
      <c r="P7" s="56"/>
      <c r="Q7" s="58"/>
      <c r="R7" s="15">
        <v>8.3333333333333301E-2</v>
      </c>
      <c r="S7" s="21">
        <v>23</v>
      </c>
      <c r="T7" s="8">
        <v>24</v>
      </c>
      <c r="U7" s="12">
        <v>2</v>
      </c>
      <c r="V7" s="10">
        <v>0</v>
      </c>
      <c r="W7" s="11" t="s">
        <v>0</v>
      </c>
      <c r="X7" s="18">
        <f t="shared" si="0"/>
        <v>1.5</v>
      </c>
      <c r="Y7" s="18">
        <f t="shared" si="1"/>
        <v>26</v>
      </c>
      <c r="AA7" s="16">
        <v>2</v>
      </c>
      <c r="AB7" s="54"/>
      <c r="AC7" s="56"/>
      <c r="AD7" s="58"/>
      <c r="AE7" s="15">
        <v>8.3333333333333301E-2</v>
      </c>
      <c r="AF7" s="8">
        <v>0</v>
      </c>
      <c r="AG7" s="13">
        <v>100</v>
      </c>
      <c r="AH7" s="13">
        <v>100</v>
      </c>
      <c r="AI7" s="20" t="s">
        <v>0</v>
      </c>
      <c r="AJ7" s="19" t="s">
        <v>0</v>
      </c>
      <c r="AK7" s="10">
        <f t="shared" ref="AK7:AK29" si="2">IF(AI7="ON",AF7+AG7+AH7,IF(AI7="ON",AF7+AG7,IF(AJ7="ON",AF7+AH7,AF7)))</f>
        <v>0</v>
      </c>
    </row>
    <row r="8" spans="2:37" x14ac:dyDescent="0.25">
      <c r="B8" s="28"/>
      <c r="C8" s="30" t="s">
        <v>26</v>
      </c>
      <c r="D8" s="30" t="s">
        <v>25</v>
      </c>
      <c r="E8" s="29"/>
      <c r="F8" s="29"/>
      <c r="G8" s="29"/>
      <c r="H8" s="29"/>
      <c r="I8" s="29"/>
      <c r="J8" s="29"/>
      <c r="K8" s="28"/>
      <c r="L8" s="28"/>
      <c r="N8" s="16">
        <v>3</v>
      </c>
      <c r="O8" s="54"/>
      <c r="P8" s="56"/>
      <c r="Q8" s="58"/>
      <c r="R8" s="15">
        <v>0.125</v>
      </c>
      <c r="S8" s="21">
        <v>23</v>
      </c>
      <c r="T8" s="8">
        <f t="shared" ref="T8:T13" si="3">Y7</f>
        <v>26</v>
      </c>
      <c r="U8" s="12">
        <v>2</v>
      </c>
      <c r="V8" s="10">
        <v>0</v>
      </c>
      <c r="W8" s="11" t="s">
        <v>0</v>
      </c>
      <c r="X8" s="18">
        <f t="shared" si="0"/>
        <v>1.5</v>
      </c>
      <c r="Y8" s="18">
        <f t="shared" si="1"/>
        <v>28</v>
      </c>
      <c r="AA8" s="16">
        <v>3</v>
      </c>
      <c r="AB8" s="54"/>
      <c r="AC8" s="56"/>
      <c r="AD8" s="58"/>
      <c r="AE8" s="15">
        <v>0.125</v>
      </c>
      <c r="AF8" s="8">
        <v>0</v>
      </c>
      <c r="AG8" s="13">
        <v>100</v>
      </c>
      <c r="AH8" s="13">
        <v>100</v>
      </c>
      <c r="AI8" s="20" t="s">
        <v>0</v>
      </c>
      <c r="AJ8" s="19" t="s">
        <v>0</v>
      </c>
      <c r="AK8" s="10">
        <f t="shared" si="2"/>
        <v>0</v>
      </c>
    </row>
    <row r="9" spans="2:37" x14ac:dyDescent="0.25">
      <c r="B9" s="28"/>
      <c r="C9" s="30" t="s">
        <v>24</v>
      </c>
      <c r="D9" s="30" t="s">
        <v>23</v>
      </c>
      <c r="E9" s="29"/>
      <c r="F9" s="29"/>
      <c r="G9" s="29"/>
      <c r="H9" s="29"/>
      <c r="I9" s="29"/>
      <c r="J9" s="29"/>
      <c r="K9" s="28"/>
      <c r="L9" s="28"/>
      <c r="N9" s="16">
        <v>4</v>
      </c>
      <c r="O9" s="54"/>
      <c r="P9" s="56"/>
      <c r="Q9" s="58"/>
      <c r="R9" s="15">
        <v>0.16666666666666699</v>
      </c>
      <c r="S9" s="21">
        <v>23</v>
      </c>
      <c r="T9" s="8">
        <f t="shared" si="3"/>
        <v>28</v>
      </c>
      <c r="U9" s="12">
        <v>2</v>
      </c>
      <c r="V9" s="10">
        <v>0</v>
      </c>
      <c r="W9" s="11" t="s">
        <v>0</v>
      </c>
      <c r="X9" s="18">
        <f t="shared" si="0"/>
        <v>1.5</v>
      </c>
      <c r="Y9" s="18">
        <f t="shared" si="1"/>
        <v>30</v>
      </c>
      <c r="AA9" s="16">
        <v>4</v>
      </c>
      <c r="AB9" s="54"/>
      <c r="AC9" s="56"/>
      <c r="AD9" s="58"/>
      <c r="AE9" s="15">
        <v>0.16666666666666699</v>
      </c>
      <c r="AF9" s="8">
        <v>0</v>
      </c>
      <c r="AG9" s="13">
        <v>100</v>
      </c>
      <c r="AH9" s="13">
        <v>100</v>
      </c>
      <c r="AI9" s="20" t="s">
        <v>0</v>
      </c>
      <c r="AJ9" s="19" t="s">
        <v>0</v>
      </c>
      <c r="AK9" s="10">
        <f t="shared" si="2"/>
        <v>0</v>
      </c>
    </row>
    <row r="10" spans="2:37" x14ac:dyDescent="0.25">
      <c r="B10" s="28"/>
      <c r="C10" s="30" t="s">
        <v>6</v>
      </c>
      <c r="D10" s="30" t="s">
        <v>5</v>
      </c>
      <c r="E10" s="29"/>
      <c r="F10" s="29"/>
      <c r="G10" s="29"/>
      <c r="H10" s="29"/>
      <c r="I10" s="29"/>
      <c r="J10" s="29"/>
      <c r="K10" s="28"/>
      <c r="L10" s="28"/>
      <c r="N10" s="16">
        <v>5</v>
      </c>
      <c r="O10" s="54"/>
      <c r="P10" s="56"/>
      <c r="Q10" s="58"/>
      <c r="R10" s="15">
        <v>0.20833333333333301</v>
      </c>
      <c r="S10" s="21">
        <v>23</v>
      </c>
      <c r="T10" s="8">
        <f t="shared" si="3"/>
        <v>30</v>
      </c>
      <c r="U10" s="12">
        <v>2</v>
      </c>
      <c r="V10" s="10">
        <v>0</v>
      </c>
      <c r="W10" s="11" t="s">
        <v>0</v>
      </c>
      <c r="X10" s="18">
        <f t="shared" si="0"/>
        <v>1.5</v>
      </c>
      <c r="Y10" s="18">
        <f t="shared" si="1"/>
        <v>32</v>
      </c>
      <c r="AA10" s="16">
        <v>5</v>
      </c>
      <c r="AB10" s="54"/>
      <c r="AC10" s="56"/>
      <c r="AD10" s="58"/>
      <c r="AE10" s="15">
        <v>0.20833333333333301</v>
      </c>
      <c r="AF10" s="14">
        <v>80</v>
      </c>
      <c r="AG10" s="13">
        <v>100</v>
      </c>
      <c r="AH10" s="13">
        <v>100</v>
      </c>
      <c r="AI10" s="20" t="s">
        <v>0</v>
      </c>
      <c r="AJ10" s="19" t="s">
        <v>0</v>
      </c>
      <c r="AK10" s="10">
        <f t="shared" si="2"/>
        <v>80</v>
      </c>
    </row>
    <row r="11" spans="2:37" x14ac:dyDescent="0.25">
      <c r="B11" s="28"/>
      <c r="C11" s="30" t="s">
        <v>4</v>
      </c>
      <c r="D11" s="30" t="s">
        <v>3</v>
      </c>
      <c r="E11" s="29"/>
      <c r="F11" s="29"/>
      <c r="G11" s="29"/>
      <c r="H11" s="29"/>
      <c r="I11" s="29"/>
      <c r="J11" s="29"/>
      <c r="K11" s="28"/>
      <c r="L11" s="28"/>
      <c r="N11" s="16">
        <v>6</v>
      </c>
      <c r="O11" s="54"/>
      <c r="P11" s="56"/>
      <c r="Q11" s="58"/>
      <c r="R11" s="15">
        <v>0.25</v>
      </c>
      <c r="S11" s="21">
        <v>23</v>
      </c>
      <c r="T11" s="8">
        <f t="shared" si="3"/>
        <v>32</v>
      </c>
      <c r="U11" s="12">
        <v>0</v>
      </c>
      <c r="V11" s="10">
        <v>0</v>
      </c>
      <c r="W11" s="11" t="s">
        <v>0</v>
      </c>
      <c r="X11" s="18">
        <f t="shared" si="0"/>
        <v>1.5</v>
      </c>
      <c r="Y11" s="18">
        <f t="shared" si="1"/>
        <v>32</v>
      </c>
      <c r="AA11" s="16">
        <v>6</v>
      </c>
      <c r="AB11" s="54"/>
      <c r="AC11" s="56"/>
      <c r="AD11" s="58"/>
      <c r="AE11" s="15">
        <v>0.25</v>
      </c>
      <c r="AF11" s="14">
        <v>80</v>
      </c>
      <c r="AG11" s="13">
        <v>100</v>
      </c>
      <c r="AH11" s="13">
        <v>100</v>
      </c>
      <c r="AI11" s="20" t="s">
        <v>0</v>
      </c>
      <c r="AJ11" s="19" t="s">
        <v>0</v>
      </c>
      <c r="AK11" s="10">
        <f t="shared" si="2"/>
        <v>80</v>
      </c>
    </row>
    <row r="12" spans="2:37" x14ac:dyDescent="0.25">
      <c r="B12" s="28"/>
      <c r="C12" s="30" t="s">
        <v>22</v>
      </c>
      <c r="D12" s="30" t="s">
        <v>21</v>
      </c>
      <c r="E12" s="29"/>
      <c r="F12" s="29"/>
      <c r="G12" s="29"/>
      <c r="H12" s="29"/>
      <c r="I12" s="29"/>
      <c r="J12" s="29"/>
      <c r="K12" s="28"/>
      <c r="L12" s="28"/>
      <c r="N12" s="16">
        <v>7</v>
      </c>
      <c r="O12" s="54"/>
      <c r="P12" s="56"/>
      <c r="Q12" s="58"/>
      <c r="R12" s="15">
        <v>0.29166666666666702</v>
      </c>
      <c r="S12" s="21">
        <v>23</v>
      </c>
      <c r="T12" s="8">
        <f t="shared" si="3"/>
        <v>32</v>
      </c>
      <c r="U12" s="12">
        <v>0</v>
      </c>
      <c r="V12" s="10">
        <v>0</v>
      </c>
      <c r="W12" s="11" t="s">
        <v>0</v>
      </c>
      <c r="X12" s="18">
        <f t="shared" si="0"/>
        <v>1.5</v>
      </c>
      <c r="Y12" s="10">
        <f t="shared" si="1"/>
        <v>32</v>
      </c>
      <c r="AA12" s="16">
        <v>7</v>
      </c>
      <c r="AB12" s="54"/>
      <c r="AC12" s="56"/>
      <c r="AD12" s="58"/>
      <c r="AE12" s="15">
        <v>0.29166666666666702</v>
      </c>
      <c r="AF12" s="14">
        <v>80</v>
      </c>
      <c r="AG12" s="13">
        <v>100</v>
      </c>
      <c r="AH12" s="13">
        <v>100</v>
      </c>
      <c r="AI12" s="20" t="s">
        <v>0</v>
      </c>
      <c r="AJ12" s="19" t="s">
        <v>0</v>
      </c>
      <c r="AK12" s="10">
        <f t="shared" si="2"/>
        <v>80</v>
      </c>
    </row>
    <row r="13" spans="2:37" x14ac:dyDescent="0.25">
      <c r="B13" s="28"/>
      <c r="C13" s="30" t="s">
        <v>20</v>
      </c>
      <c r="D13" s="30" t="s">
        <v>19</v>
      </c>
      <c r="E13" s="29"/>
      <c r="F13" s="29"/>
      <c r="G13" s="29"/>
      <c r="H13" s="29"/>
      <c r="I13" s="29"/>
      <c r="J13" s="29"/>
      <c r="K13" s="28"/>
      <c r="L13" s="28"/>
      <c r="N13" s="16">
        <v>8</v>
      </c>
      <c r="O13" s="54"/>
      <c r="P13" s="56"/>
      <c r="Q13" s="58"/>
      <c r="R13" s="15">
        <v>0.33333333333333298</v>
      </c>
      <c r="S13" s="21">
        <v>23</v>
      </c>
      <c r="T13" s="8">
        <f t="shared" si="3"/>
        <v>32</v>
      </c>
      <c r="U13" s="12">
        <v>0</v>
      </c>
      <c r="V13" s="10">
        <v>0</v>
      </c>
      <c r="W13" s="11" t="s">
        <v>0</v>
      </c>
      <c r="X13" s="18">
        <f t="shared" si="0"/>
        <v>1.5</v>
      </c>
      <c r="Y13" s="10">
        <f t="shared" si="1"/>
        <v>32</v>
      </c>
      <c r="AA13" s="16">
        <v>8</v>
      </c>
      <c r="AB13" s="54"/>
      <c r="AC13" s="56"/>
      <c r="AD13" s="58"/>
      <c r="AE13" s="15">
        <v>0.33333333333333298</v>
      </c>
      <c r="AF13" s="14">
        <v>80</v>
      </c>
      <c r="AG13" s="13">
        <v>100</v>
      </c>
      <c r="AH13" s="13">
        <v>100</v>
      </c>
      <c r="AI13" s="20" t="s">
        <v>0</v>
      </c>
      <c r="AJ13" s="19" t="s">
        <v>0</v>
      </c>
      <c r="AK13" s="10">
        <f t="shared" si="2"/>
        <v>80</v>
      </c>
    </row>
    <row r="14" spans="2:37" x14ac:dyDescent="0.25">
      <c r="B14" s="28"/>
      <c r="C14" s="30" t="s">
        <v>18</v>
      </c>
      <c r="D14" s="30" t="s">
        <v>17</v>
      </c>
      <c r="E14" s="29"/>
      <c r="F14" s="29"/>
      <c r="G14" s="29"/>
      <c r="H14" s="29"/>
      <c r="I14" s="29"/>
      <c r="J14" s="29"/>
      <c r="K14" s="28"/>
      <c r="L14" s="28"/>
      <c r="N14" s="16">
        <v>9</v>
      </c>
      <c r="O14" s="54"/>
      <c r="P14" s="56"/>
      <c r="Q14" s="58"/>
      <c r="R14" s="15">
        <v>0.375</v>
      </c>
      <c r="S14" s="17">
        <v>23</v>
      </c>
      <c r="T14" s="14">
        <v>0</v>
      </c>
      <c r="U14" s="12">
        <v>0</v>
      </c>
      <c r="V14" s="10">
        <v>0</v>
      </c>
      <c r="W14" s="11" t="s">
        <v>0</v>
      </c>
      <c r="X14" s="18">
        <f t="shared" si="0"/>
        <v>1.5</v>
      </c>
      <c r="Y14" s="10">
        <f t="shared" si="1"/>
        <v>0</v>
      </c>
      <c r="AA14" s="16">
        <v>9</v>
      </c>
      <c r="AB14" s="54"/>
      <c r="AC14" s="56"/>
      <c r="AD14" s="58"/>
      <c r="AE14" s="15">
        <v>0.375</v>
      </c>
      <c r="AF14" s="14">
        <v>150</v>
      </c>
      <c r="AG14" s="13">
        <v>100</v>
      </c>
      <c r="AH14" s="13">
        <v>100</v>
      </c>
      <c r="AI14" s="20" t="s">
        <v>0</v>
      </c>
      <c r="AJ14" s="19" t="s">
        <v>0</v>
      </c>
      <c r="AK14" s="10">
        <f t="shared" si="2"/>
        <v>150</v>
      </c>
    </row>
    <row r="15" spans="2:37" x14ac:dyDescent="0.25">
      <c r="B15" s="28"/>
      <c r="C15" s="30" t="s">
        <v>16</v>
      </c>
      <c r="D15" s="30" t="s">
        <v>15</v>
      </c>
      <c r="E15" s="29"/>
      <c r="F15" s="29"/>
      <c r="G15" s="29"/>
      <c r="H15" s="29"/>
      <c r="I15" s="29"/>
      <c r="J15" s="29"/>
      <c r="K15" s="28"/>
      <c r="L15" s="28"/>
      <c r="N15" s="16">
        <v>10</v>
      </c>
      <c r="O15" s="54"/>
      <c r="P15" s="56"/>
      <c r="Q15" s="58"/>
      <c r="R15" s="15">
        <v>0.41666666666666702</v>
      </c>
      <c r="S15" s="17">
        <v>23</v>
      </c>
      <c r="T15" s="14">
        <v>0</v>
      </c>
      <c r="U15" s="12">
        <v>0</v>
      </c>
      <c r="V15" s="10">
        <v>0</v>
      </c>
      <c r="W15" s="11" t="s">
        <v>0</v>
      </c>
      <c r="X15" s="18">
        <f t="shared" si="0"/>
        <v>1.5</v>
      </c>
      <c r="Y15" s="10">
        <f t="shared" si="1"/>
        <v>0</v>
      </c>
      <c r="AA15" s="16">
        <v>10</v>
      </c>
      <c r="AB15" s="54"/>
      <c r="AC15" s="56"/>
      <c r="AD15" s="58"/>
      <c r="AE15" s="15">
        <v>0.41666666666666702</v>
      </c>
      <c r="AF15" s="14">
        <v>150</v>
      </c>
      <c r="AG15" s="13">
        <v>100</v>
      </c>
      <c r="AH15" s="13">
        <v>100</v>
      </c>
      <c r="AI15" s="20" t="s">
        <v>0</v>
      </c>
      <c r="AJ15" s="19" t="s">
        <v>0</v>
      </c>
      <c r="AK15" s="10">
        <f t="shared" si="2"/>
        <v>150</v>
      </c>
    </row>
    <row r="16" spans="2:37" x14ac:dyDescent="0.25">
      <c r="B16" s="28"/>
      <c r="C16" s="30" t="s">
        <v>14</v>
      </c>
      <c r="D16" s="30" t="s">
        <v>13</v>
      </c>
      <c r="E16" s="29"/>
      <c r="F16" s="29"/>
      <c r="G16" s="29"/>
      <c r="H16" s="29"/>
      <c r="I16" s="29"/>
      <c r="J16" s="29"/>
      <c r="K16" s="28"/>
      <c r="L16" s="28"/>
      <c r="N16" s="16">
        <v>11</v>
      </c>
      <c r="O16" s="54"/>
      <c r="P16" s="56"/>
      <c r="Q16" s="58"/>
      <c r="R16" s="15">
        <v>0.45833333333333298</v>
      </c>
      <c r="S16" s="17">
        <v>23</v>
      </c>
      <c r="T16" s="14">
        <v>0</v>
      </c>
      <c r="U16" s="12">
        <v>0</v>
      </c>
      <c r="V16" s="10">
        <v>0</v>
      </c>
      <c r="W16" s="11" t="s">
        <v>0</v>
      </c>
      <c r="X16" s="18">
        <f t="shared" si="0"/>
        <v>1.5</v>
      </c>
      <c r="Y16" s="10">
        <f t="shared" si="1"/>
        <v>0</v>
      </c>
      <c r="AA16" s="16">
        <v>11</v>
      </c>
      <c r="AB16" s="54"/>
      <c r="AC16" s="56"/>
      <c r="AD16" s="58"/>
      <c r="AE16" s="15">
        <v>0.45833333333333298</v>
      </c>
      <c r="AF16" s="14">
        <v>150</v>
      </c>
      <c r="AG16" s="13">
        <v>100</v>
      </c>
      <c r="AH16" s="13">
        <v>100</v>
      </c>
      <c r="AI16" s="20" t="s">
        <v>0</v>
      </c>
      <c r="AJ16" s="19" t="s">
        <v>0</v>
      </c>
      <c r="AK16" s="10">
        <f t="shared" si="2"/>
        <v>150</v>
      </c>
    </row>
    <row r="17" spans="2:37" x14ac:dyDescent="0.25">
      <c r="B17" s="28"/>
      <c r="C17" s="30" t="s">
        <v>12</v>
      </c>
      <c r="D17" s="30" t="s">
        <v>11</v>
      </c>
      <c r="E17" s="29"/>
      <c r="F17" s="29"/>
      <c r="G17" s="29"/>
      <c r="H17" s="29"/>
      <c r="I17" s="29"/>
      <c r="J17" s="29"/>
      <c r="K17" s="28"/>
      <c r="L17" s="28"/>
      <c r="N17" s="16">
        <v>12</v>
      </c>
      <c r="O17" s="54"/>
      <c r="P17" s="56"/>
      <c r="Q17" s="58"/>
      <c r="R17" s="15">
        <v>0.5</v>
      </c>
      <c r="S17" s="17">
        <v>23</v>
      </c>
      <c r="T17" s="14">
        <v>0</v>
      </c>
      <c r="U17" s="12">
        <v>0</v>
      </c>
      <c r="V17" s="10">
        <v>0</v>
      </c>
      <c r="W17" s="11" t="s">
        <v>0</v>
      </c>
      <c r="X17" s="18">
        <f t="shared" si="0"/>
        <v>1.5</v>
      </c>
      <c r="Y17" s="10">
        <f t="shared" si="1"/>
        <v>0</v>
      </c>
      <c r="AA17" s="16">
        <v>12</v>
      </c>
      <c r="AB17" s="54"/>
      <c r="AC17" s="56"/>
      <c r="AD17" s="58"/>
      <c r="AE17" s="15">
        <v>0.5</v>
      </c>
      <c r="AF17" s="14">
        <v>150</v>
      </c>
      <c r="AG17" s="13">
        <v>100</v>
      </c>
      <c r="AH17" s="13">
        <v>100</v>
      </c>
      <c r="AI17" s="20" t="s">
        <v>0</v>
      </c>
      <c r="AJ17" s="19" t="s">
        <v>0</v>
      </c>
      <c r="AK17" s="10">
        <f t="shared" si="2"/>
        <v>150</v>
      </c>
    </row>
    <row r="18" spans="2:37" x14ac:dyDescent="0.25">
      <c r="B18" s="28"/>
      <c r="C18" s="30" t="s">
        <v>10</v>
      </c>
      <c r="D18" s="30" t="s">
        <v>9</v>
      </c>
      <c r="E18" s="29"/>
      <c r="F18" s="29"/>
      <c r="G18" s="29"/>
      <c r="H18" s="29"/>
      <c r="I18" s="29"/>
      <c r="J18" s="29"/>
      <c r="K18" s="28"/>
      <c r="L18" s="28"/>
      <c r="N18" s="16">
        <v>13</v>
      </c>
      <c r="O18" s="54"/>
      <c r="P18" s="56"/>
      <c r="Q18" s="58"/>
      <c r="R18" s="15">
        <v>0.54166666666666696</v>
      </c>
      <c r="S18" s="17">
        <v>23</v>
      </c>
      <c r="T18" s="14">
        <v>0</v>
      </c>
      <c r="U18" s="12">
        <v>0</v>
      </c>
      <c r="V18" s="10">
        <v>0</v>
      </c>
      <c r="W18" s="11" t="s">
        <v>0</v>
      </c>
      <c r="X18" s="18">
        <f t="shared" si="0"/>
        <v>1.5</v>
      </c>
      <c r="Y18" s="10">
        <f t="shared" si="1"/>
        <v>0</v>
      </c>
      <c r="AA18" s="16">
        <v>13</v>
      </c>
      <c r="AB18" s="54"/>
      <c r="AC18" s="56"/>
      <c r="AD18" s="58"/>
      <c r="AE18" s="15">
        <v>0.54166666666666696</v>
      </c>
      <c r="AF18" s="14">
        <v>150</v>
      </c>
      <c r="AG18" s="13">
        <v>100</v>
      </c>
      <c r="AH18" s="13">
        <v>100</v>
      </c>
      <c r="AI18" s="20" t="s">
        <v>0</v>
      </c>
      <c r="AJ18" s="19" t="s">
        <v>0</v>
      </c>
      <c r="AK18" s="10">
        <f t="shared" si="2"/>
        <v>150</v>
      </c>
    </row>
    <row r="19" spans="2:37" x14ac:dyDescent="0.25">
      <c r="B19" s="28"/>
      <c r="C19" s="30" t="s">
        <v>8</v>
      </c>
      <c r="D19" s="30" t="s">
        <v>7</v>
      </c>
      <c r="E19" s="29"/>
      <c r="F19" s="29"/>
      <c r="G19" s="29"/>
      <c r="H19" s="29"/>
      <c r="I19" s="29"/>
      <c r="J19" s="29"/>
      <c r="K19" s="28"/>
      <c r="L19" s="28"/>
      <c r="N19" s="16">
        <v>14</v>
      </c>
      <c r="O19" s="54"/>
      <c r="P19" s="56"/>
      <c r="Q19" s="58"/>
      <c r="R19" s="15">
        <v>0.58333333333333304</v>
      </c>
      <c r="S19" s="17">
        <v>23</v>
      </c>
      <c r="T19" s="14">
        <v>0</v>
      </c>
      <c r="U19" s="12">
        <v>0</v>
      </c>
      <c r="V19" s="10">
        <v>0</v>
      </c>
      <c r="W19" s="11" t="s">
        <v>0</v>
      </c>
      <c r="X19" s="18">
        <f t="shared" si="0"/>
        <v>1.5</v>
      </c>
      <c r="Y19" s="10">
        <f t="shared" si="1"/>
        <v>0</v>
      </c>
      <c r="AA19" s="16">
        <v>14</v>
      </c>
      <c r="AB19" s="54"/>
      <c r="AC19" s="56"/>
      <c r="AD19" s="58"/>
      <c r="AE19" s="15">
        <v>0.58333333333333304</v>
      </c>
      <c r="AF19" s="14">
        <v>150</v>
      </c>
      <c r="AG19" s="13">
        <v>100</v>
      </c>
      <c r="AH19" s="13">
        <v>100</v>
      </c>
      <c r="AI19" s="20" t="s">
        <v>0</v>
      </c>
      <c r="AJ19" s="19" t="s">
        <v>0</v>
      </c>
      <c r="AK19" s="10">
        <f t="shared" si="2"/>
        <v>150</v>
      </c>
    </row>
    <row r="20" spans="2:37" x14ac:dyDescent="0.25">
      <c r="C20" s="27"/>
      <c r="D20" s="27"/>
      <c r="E20" s="27"/>
      <c r="F20" s="27"/>
      <c r="G20" s="27"/>
      <c r="N20" s="16">
        <v>15</v>
      </c>
      <c r="O20" s="54"/>
      <c r="P20" s="56"/>
      <c r="Q20" s="58"/>
      <c r="R20" s="15">
        <v>0.625</v>
      </c>
      <c r="S20" s="17">
        <v>23</v>
      </c>
      <c r="T20" s="14">
        <v>0</v>
      </c>
      <c r="U20" s="12">
        <v>0</v>
      </c>
      <c r="V20" s="10">
        <v>0</v>
      </c>
      <c r="W20" s="11" t="s">
        <v>0</v>
      </c>
      <c r="X20" s="18">
        <f t="shared" si="0"/>
        <v>1.5</v>
      </c>
      <c r="Y20" s="10">
        <f t="shared" si="1"/>
        <v>0</v>
      </c>
      <c r="AA20" s="16">
        <v>15</v>
      </c>
      <c r="AB20" s="54"/>
      <c r="AC20" s="56"/>
      <c r="AD20" s="58"/>
      <c r="AE20" s="15">
        <v>0.625</v>
      </c>
      <c r="AF20" s="14">
        <v>100</v>
      </c>
      <c r="AG20" s="13">
        <v>100</v>
      </c>
      <c r="AH20" s="13">
        <v>100</v>
      </c>
      <c r="AI20" s="12" t="s">
        <v>0</v>
      </c>
      <c r="AJ20" s="11" t="s">
        <v>0</v>
      </c>
      <c r="AK20" s="10">
        <f t="shared" si="2"/>
        <v>100</v>
      </c>
    </row>
    <row r="21" spans="2:37" x14ac:dyDescent="0.25">
      <c r="C21" s="27"/>
      <c r="D21" s="27"/>
      <c r="E21" s="27"/>
      <c r="F21" s="27"/>
      <c r="G21" s="27"/>
      <c r="N21" s="16">
        <v>16</v>
      </c>
      <c r="O21" s="54"/>
      <c r="P21" s="56"/>
      <c r="Q21" s="58"/>
      <c r="R21" s="15">
        <v>0.66666666666666696</v>
      </c>
      <c r="S21" s="17">
        <v>23</v>
      </c>
      <c r="T21" s="14">
        <v>0</v>
      </c>
      <c r="U21" s="12">
        <v>0</v>
      </c>
      <c r="V21" s="10">
        <v>0</v>
      </c>
      <c r="W21" s="11" t="s">
        <v>0</v>
      </c>
      <c r="X21" s="18">
        <f t="shared" si="0"/>
        <v>1.5</v>
      </c>
      <c r="Y21" s="10">
        <f t="shared" si="1"/>
        <v>0</v>
      </c>
      <c r="AA21" s="16">
        <v>16</v>
      </c>
      <c r="AB21" s="54"/>
      <c r="AC21" s="56"/>
      <c r="AD21" s="58"/>
      <c r="AE21" s="15">
        <v>0.66666666666666696</v>
      </c>
      <c r="AF21" s="14">
        <v>80</v>
      </c>
      <c r="AG21" s="13">
        <v>100</v>
      </c>
      <c r="AH21" s="13">
        <v>100</v>
      </c>
      <c r="AI21" s="12" t="s">
        <v>0</v>
      </c>
      <c r="AJ21" s="11" t="s">
        <v>0</v>
      </c>
      <c r="AK21" s="10">
        <f t="shared" si="2"/>
        <v>80</v>
      </c>
    </row>
    <row r="22" spans="2:37" x14ac:dyDescent="0.25">
      <c r="C22" s="27"/>
      <c r="D22" s="27"/>
      <c r="E22" s="27"/>
      <c r="F22" s="27"/>
      <c r="G22" s="27"/>
      <c r="N22" s="16">
        <v>17</v>
      </c>
      <c r="O22" s="54"/>
      <c r="P22" s="56"/>
      <c r="Q22" s="58"/>
      <c r="R22" s="15">
        <v>0.70833333333333304</v>
      </c>
      <c r="S22" s="17">
        <v>23</v>
      </c>
      <c r="T22" s="14">
        <v>0</v>
      </c>
      <c r="U22" s="12">
        <v>0</v>
      </c>
      <c r="V22" s="10">
        <v>0</v>
      </c>
      <c r="W22" s="11" t="s">
        <v>0</v>
      </c>
      <c r="X22" s="18">
        <f t="shared" si="0"/>
        <v>1.5</v>
      </c>
      <c r="Y22" s="10">
        <f t="shared" si="1"/>
        <v>0</v>
      </c>
      <c r="AA22" s="16">
        <v>17</v>
      </c>
      <c r="AB22" s="54"/>
      <c r="AC22" s="56"/>
      <c r="AD22" s="58"/>
      <c r="AE22" s="15">
        <v>0.70833333333333304</v>
      </c>
      <c r="AF22" s="14">
        <v>40</v>
      </c>
      <c r="AG22" s="13">
        <v>100</v>
      </c>
      <c r="AH22" s="13">
        <v>100</v>
      </c>
      <c r="AI22" s="12" t="s">
        <v>1</v>
      </c>
      <c r="AJ22" s="11" t="s">
        <v>1</v>
      </c>
      <c r="AK22" s="10">
        <f t="shared" si="2"/>
        <v>240</v>
      </c>
    </row>
    <row r="23" spans="2:37" x14ac:dyDescent="0.25">
      <c r="N23" s="16">
        <v>18</v>
      </c>
      <c r="O23" s="54"/>
      <c r="P23" s="56"/>
      <c r="Q23" s="58"/>
      <c r="R23" s="15">
        <v>0.75</v>
      </c>
      <c r="S23" s="17">
        <v>23</v>
      </c>
      <c r="T23" s="14">
        <v>0</v>
      </c>
      <c r="U23" s="12">
        <v>0</v>
      </c>
      <c r="V23" s="10">
        <v>0</v>
      </c>
      <c r="W23" s="11" t="s">
        <v>0</v>
      </c>
      <c r="X23" s="18">
        <f t="shared" si="0"/>
        <v>1.5</v>
      </c>
      <c r="Y23" s="10">
        <f t="shared" si="1"/>
        <v>0</v>
      </c>
      <c r="AA23" s="16">
        <v>18</v>
      </c>
      <c r="AB23" s="54"/>
      <c r="AC23" s="56"/>
      <c r="AD23" s="58"/>
      <c r="AE23" s="15">
        <v>0.75</v>
      </c>
      <c r="AF23" s="14">
        <v>0</v>
      </c>
      <c r="AG23" s="13">
        <v>100</v>
      </c>
      <c r="AH23" s="13">
        <v>100</v>
      </c>
      <c r="AI23" s="12" t="s">
        <v>1</v>
      </c>
      <c r="AJ23" s="11" t="s">
        <v>1</v>
      </c>
      <c r="AK23" s="10">
        <f t="shared" si="2"/>
        <v>200</v>
      </c>
    </row>
    <row r="24" spans="2:37" x14ac:dyDescent="0.25">
      <c r="N24" s="16">
        <v>19</v>
      </c>
      <c r="O24" s="54"/>
      <c r="P24" s="56"/>
      <c r="Q24" s="58"/>
      <c r="R24" s="15">
        <v>0.79166666666666696</v>
      </c>
      <c r="S24" s="17">
        <v>23</v>
      </c>
      <c r="T24" s="14">
        <v>0</v>
      </c>
      <c r="U24" s="12">
        <v>0</v>
      </c>
      <c r="V24" s="10">
        <v>0</v>
      </c>
      <c r="W24" s="11" t="s">
        <v>0</v>
      </c>
      <c r="X24" s="18">
        <f t="shared" si="0"/>
        <v>1.5</v>
      </c>
      <c r="Y24" s="10">
        <f t="shared" si="1"/>
        <v>0</v>
      </c>
      <c r="AA24" s="16">
        <v>19</v>
      </c>
      <c r="AB24" s="54"/>
      <c r="AC24" s="56"/>
      <c r="AD24" s="58"/>
      <c r="AE24" s="15">
        <v>0.79166666666666696</v>
      </c>
      <c r="AF24" s="14">
        <v>0</v>
      </c>
      <c r="AG24" s="13">
        <v>100</v>
      </c>
      <c r="AH24" s="13">
        <v>100</v>
      </c>
      <c r="AI24" s="12" t="s">
        <v>1</v>
      </c>
      <c r="AJ24" s="11" t="s">
        <v>1</v>
      </c>
      <c r="AK24" s="10">
        <f t="shared" si="2"/>
        <v>200</v>
      </c>
    </row>
    <row r="25" spans="2:37" x14ac:dyDescent="0.25">
      <c r="N25" s="16">
        <v>20</v>
      </c>
      <c r="O25" s="54"/>
      <c r="P25" s="56"/>
      <c r="Q25" s="58"/>
      <c r="R25" s="15">
        <v>0.83333333333333304</v>
      </c>
      <c r="S25" s="17">
        <v>23</v>
      </c>
      <c r="T25" s="14">
        <v>0</v>
      </c>
      <c r="U25" s="12">
        <v>0</v>
      </c>
      <c r="V25" s="10">
        <v>0</v>
      </c>
      <c r="W25" s="11" t="s">
        <v>0</v>
      </c>
      <c r="X25" s="18">
        <f t="shared" si="0"/>
        <v>1.5</v>
      </c>
      <c r="Y25" s="10">
        <f t="shared" si="1"/>
        <v>0</v>
      </c>
      <c r="AA25" s="16">
        <v>20</v>
      </c>
      <c r="AB25" s="54"/>
      <c r="AC25" s="56"/>
      <c r="AD25" s="58"/>
      <c r="AE25" s="15">
        <v>0.83333333333333304</v>
      </c>
      <c r="AF25" s="14">
        <v>0</v>
      </c>
      <c r="AG25" s="13">
        <v>100</v>
      </c>
      <c r="AH25" s="13">
        <v>100</v>
      </c>
      <c r="AI25" s="12" t="s">
        <v>1</v>
      </c>
      <c r="AJ25" s="11" t="s">
        <v>1</v>
      </c>
      <c r="AK25" s="10">
        <f t="shared" si="2"/>
        <v>200</v>
      </c>
    </row>
    <row r="26" spans="2:37" x14ac:dyDescent="0.25">
      <c r="N26" s="16">
        <v>21</v>
      </c>
      <c r="O26" s="54"/>
      <c r="P26" s="56"/>
      <c r="Q26" s="58"/>
      <c r="R26" s="15">
        <v>0.875</v>
      </c>
      <c r="S26" s="17">
        <v>23</v>
      </c>
      <c r="T26" s="14">
        <v>0</v>
      </c>
      <c r="U26" s="12">
        <v>0</v>
      </c>
      <c r="V26" s="10">
        <v>0</v>
      </c>
      <c r="W26" s="11" t="s">
        <v>0</v>
      </c>
      <c r="X26" s="18">
        <f t="shared" si="0"/>
        <v>1.5</v>
      </c>
      <c r="Y26" s="10">
        <f t="shared" si="1"/>
        <v>0</v>
      </c>
      <c r="AA26" s="16">
        <v>21</v>
      </c>
      <c r="AB26" s="54"/>
      <c r="AC26" s="56"/>
      <c r="AD26" s="58"/>
      <c r="AE26" s="15">
        <v>0.875</v>
      </c>
      <c r="AF26" s="14">
        <v>0</v>
      </c>
      <c r="AG26" s="13">
        <v>100</v>
      </c>
      <c r="AH26" s="13">
        <v>100</v>
      </c>
      <c r="AI26" s="12" t="s">
        <v>1</v>
      </c>
      <c r="AJ26" s="11" t="s">
        <v>1</v>
      </c>
      <c r="AK26" s="10">
        <f t="shared" si="2"/>
        <v>200</v>
      </c>
    </row>
    <row r="27" spans="2:37" x14ac:dyDescent="0.25">
      <c r="N27" s="16">
        <v>22</v>
      </c>
      <c r="O27" s="54"/>
      <c r="P27" s="56"/>
      <c r="Q27" s="58"/>
      <c r="R27" s="15">
        <v>0.91666666666666696</v>
      </c>
      <c r="S27" s="17">
        <v>23</v>
      </c>
      <c r="T27" s="14">
        <v>0</v>
      </c>
      <c r="U27" s="12">
        <v>0</v>
      </c>
      <c r="V27" s="10">
        <v>0</v>
      </c>
      <c r="W27" s="11" t="s">
        <v>0</v>
      </c>
      <c r="X27" s="18">
        <f t="shared" si="0"/>
        <v>1.5</v>
      </c>
      <c r="Y27" s="10">
        <f t="shared" si="1"/>
        <v>0</v>
      </c>
      <c r="AA27" s="16">
        <v>22</v>
      </c>
      <c r="AB27" s="54"/>
      <c r="AC27" s="56"/>
      <c r="AD27" s="58"/>
      <c r="AE27" s="15">
        <v>0.91666666666666696</v>
      </c>
      <c r="AF27" s="14">
        <v>0</v>
      </c>
      <c r="AG27" s="13">
        <v>100</v>
      </c>
      <c r="AH27" s="13">
        <v>100</v>
      </c>
      <c r="AI27" s="12" t="s">
        <v>1</v>
      </c>
      <c r="AJ27" s="11" t="s">
        <v>1</v>
      </c>
      <c r="AK27" s="10">
        <f t="shared" si="2"/>
        <v>200</v>
      </c>
    </row>
    <row r="28" spans="2:37" x14ac:dyDescent="0.25">
      <c r="N28" s="16">
        <v>23</v>
      </c>
      <c r="O28" s="54"/>
      <c r="P28" s="56"/>
      <c r="Q28" s="58"/>
      <c r="R28" s="15">
        <v>0.95833333333333304</v>
      </c>
      <c r="S28" s="17">
        <v>23</v>
      </c>
      <c r="T28" s="14">
        <v>0</v>
      </c>
      <c r="U28" s="12">
        <v>0</v>
      </c>
      <c r="V28" s="10">
        <v>0</v>
      </c>
      <c r="W28" s="11" t="s">
        <v>0</v>
      </c>
      <c r="X28" s="10">
        <f t="shared" si="0"/>
        <v>1.5</v>
      </c>
      <c r="Y28" s="10">
        <f t="shared" si="1"/>
        <v>0</v>
      </c>
      <c r="AA28" s="16">
        <v>23</v>
      </c>
      <c r="AB28" s="54"/>
      <c r="AC28" s="56"/>
      <c r="AD28" s="58"/>
      <c r="AE28" s="15">
        <v>0.95833333333333304</v>
      </c>
      <c r="AF28" s="14">
        <v>0</v>
      </c>
      <c r="AG28" s="13">
        <v>100</v>
      </c>
      <c r="AH28" s="13">
        <v>100</v>
      </c>
      <c r="AI28" s="12" t="s">
        <v>0</v>
      </c>
      <c r="AJ28" s="11" t="s">
        <v>0</v>
      </c>
      <c r="AK28" s="10">
        <f t="shared" si="2"/>
        <v>0</v>
      </c>
    </row>
    <row r="29" spans="2:37" ht="15.75" thickBot="1" x14ac:dyDescent="0.3">
      <c r="N29" s="7">
        <v>24</v>
      </c>
      <c r="O29" s="55"/>
      <c r="P29" s="57"/>
      <c r="Q29" s="59"/>
      <c r="R29" s="6">
        <v>1</v>
      </c>
      <c r="S29" s="9">
        <v>23</v>
      </c>
      <c r="T29" s="5">
        <v>0</v>
      </c>
      <c r="U29" s="3">
        <v>0</v>
      </c>
      <c r="V29" s="1">
        <v>0</v>
      </c>
      <c r="W29" s="2" t="s">
        <v>0</v>
      </c>
      <c r="X29" s="1">
        <f t="shared" si="0"/>
        <v>1.5</v>
      </c>
      <c r="Y29" s="1">
        <f t="shared" si="1"/>
        <v>0</v>
      </c>
      <c r="AA29" s="7">
        <v>24</v>
      </c>
      <c r="AB29" s="55"/>
      <c r="AC29" s="57"/>
      <c r="AD29" s="59"/>
      <c r="AE29" s="6">
        <v>1</v>
      </c>
      <c r="AF29" s="5">
        <v>0</v>
      </c>
      <c r="AG29" s="4">
        <v>100</v>
      </c>
      <c r="AH29" s="4">
        <v>100</v>
      </c>
      <c r="AI29" s="3" t="s">
        <v>0</v>
      </c>
      <c r="AJ29" s="2" t="s">
        <v>0</v>
      </c>
      <c r="AK29" s="1">
        <f t="shared" si="2"/>
        <v>0</v>
      </c>
    </row>
    <row r="30" spans="2:37" ht="15" customHeight="1" x14ac:dyDescent="0.25"/>
    <row r="54" ht="15" customHeight="1" x14ac:dyDescent="0.25"/>
  </sheetData>
  <mergeCells count="6">
    <mergeCell ref="AB6:AB29"/>
    <mergeCell ref="AC6:AC29"/>
    <mergeCell ref="AD6:AD29"/>
    <mergeCell ref="O6:O29"/>
    <mergeCell ref="P6:P29"/>
    <mergeCell ref="Q6:Q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Iklim</vt:lpstr>
    </vt:vector>
  </TitlesOfParts>
  <Company>VCP Studio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STUDIO_10</cp:lastModifiedBy>
  <dcterms:created xsi:type="dcterms:W3CDTF">2021-08-05T09:17:57Z</dcterms:created>
  <dcterms:modified xsi:type="dcterms:W3CDTF">2021-08-10T02:10:22Z</dcterms:modified>
</cp:coreProperties>
</file>