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Data Lingkungan (DL)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AP19" i="1" l="1"/>
  <c r="AS19" i="1"/>
  <c r="AP20" i="1"/>
  <c r="AS20" i="1"/>
  <c r="G21" i="1"/>
  <c r="X21" i="1"/>
  <c r="Y21" i="1"/>
  <c r="AA21" i="1"/>
  <c r="I22" i="1"/>
  <c r="H22" i="1" s="1"/>
  <c r="G22" i="1" s="1"/>
  <c r="AO25" i="1"/>
  <c r="Z30" i="1"/>
  <c r="H32" i="1"/>
  <c r="AR33" i="1"/>
  <c r="AR20" i="1" s="1"/>
  <c r="H35" i="1"/>
  <c r="I24" i="1" s="1"/>
  <c r="H24" i="1" s="1"/>
  <c r="G24" i="1" s="1"/>
  <c r="Z38" i="1"/>
  <c r="Z21" i="1" s="1"/>
  <c r="Z41" i="1"/>
  <c r="P59" i="1"/>
  <c r="R59" i="1"/>
  <c r="Y59" i="1"/>
  <c r="AA59" i="1"/>
  <c r="AH59" i="1"/>
  <c r="AJ59" i="1"/>
  <c r="AQ59" i="1"/>
  <c r="AS59" i="1"/>
  <c r="AZ59" i="1"/>
  <c r="BB59" i="1"/>
  <c r="BI59" i="1"/>
  <c r="BK59" i="1"/>
  <c r="BR59" i="1"/>
  <c r="BT59" i="1"/>
  <c r="CA59" i="1"/>
  <c r="CC59" i="1"/>
  <c r="CJ59" i="1"/>
  <c r="CL59" i="1"/>
  <c r="CS59" i="1"/>
  <c r="CU59" i="1"/>
  <c r="DB59" i="1"/>
  <c r="DD59" i="1"/>
  <c r="DK59" i="1"/>
  <c r="DM59" i="1"/>
  <c r="DT59" i="1"/>
  <c r="DV59" i="1"/>
  <c r="AH60" i="1"/>
  <c r="AJ60" i="1"/>
  <c r="AZ60" i="1"/>
  <c r="BB60" i="1"/>
  <c r="BI60" i="1"/>
  <c r="BK60" i="1"/>
  <c r="BR60" i="1"/>
  <c r="BT60" i="1"/>
  <c r="DK60" i="1"/>
  <c r="DM60" i="1"/>
  <c r="DT60" i="1"/>
  <c r="DV60" i="1"/>
  <c r="O61" i="1"/>
  <c r="P61" i="1"/>
  <c r="R61" i="1"/>
  <c r="CR61" i="1"/>
  <c r="CS61" i="1"/>
  <c r="CU61" i="1"/>
  <c r="DA61" i="1"/>
  <c r="DB61" i="1"/>
  <c r="DD61" i="1"/>
  <c r="F62" i="1"/>
  <c r="I62" i="1"/>
  <c r="O62" i="1"/>
  <c r="R62" i="1"/>
  <c r="AG62" i="1"/>
  <c r="AH62" i="1"/>
  <c r="AJ62" i="1"/>
  <c r="AP62" i="1"/>
  <c r="AQ62" i="1"/>
  <c r="AS62" i="1"/>
  <c r="AY62" i="1"/>
  <c r="AZ62" i="1"/>
  <c r="BB62" i="1"/>
  <c r="BQ62" i="1"/>
  <c r="BR62" i="1"/>
  <c r="BT62" i="1"/>
  <c r="BZ62" i="1"/>
  <c r="CC62" i="1"/>
  <c r="CR62" i="1"/>
  <c r="CU62" i="1"/>
  <c r="DA62" i="1"/>
  <c r="DB62" i="1"/>
  <c r="DD62" i="1"/>
  <c r="DJ62" i="1"/>
  <c r="DK62" i="1"/>
  <c r="DM62" i="1"/>
  <c r="DS62" i="1"/>
  <c r="DT62" i="1"/>
  <c r="DV62" i="1"/>
  <c r="H63" i="1"/>
  <c r="AG63" i="1"/>
  <c r="AJ63" i="1"/>
  <c r="AQ63" i="1"/>
  <c r="AS63" i="1"/>
  <c r="AY63" i="1"/>
  <c r="AZ63" i="1"/>
  <c r="BB63" i="1"/>
  <c r="BH63" i="1"/>
  <c r="BK63" i="1"/>
  <c r="BQ63" i="1"/>
  <c r="BR63" i="1"/>
  <c r="BT63" i="1"/>
  <c r="BZ63" i="1"/>
  <c r="CC63" i="1"/>
  <c r="CU63" i="1"/>
  <c r="DA63" i="1"/>
  <c r="DB63" i="1"/>
  <c r="DD63" i="1"/>
  <c r="DJ63" i="1"/>
  <c r="DK63" i="1"/>
  <c r="DM63" i="1"/>
  <c r="DS63" i="1"/>
  <c r="DV63" i="1"/>
  <c r="AG64" i="1"/>
  <c r="AJ64" i="1"/>
  <c r="AQ64" i="1"/>
  <c r="AS64" i="1"/>
  <c r="AY64" i="1"/>
  <c r="AZ64" i="1"/>
  <c r="BB64" i="1"/>
  <c r="BJ64" i="1"/>
  <c r="BK64" i="1"/>
  <c r="BQ64" i="1"/>
  <c r="BT64" i="1"/>
  <c r="CC64" i="1"/>
  <c r="CU64" i="1"/>
  <c r="DB64" i="1"/>
  <c r="DD64" i="1"/>
  <c r="DS64" i="1"/>
  <c r="DV64" i="1"/>
  <c r="AI65" i="1"/>
  <c r="AJ65" i="1"/>
  <c r="AQ65" i="1"/>
  <c r="AS65" i="1"/>
  <c r="AY65" i="1"/>
  <c r="AZ65" i="1"/>
  <c r="BB65" i="1"/>
  <c r="BH65" i="1"/>
  <c r="BK65" i="1"/>
  <c r="BQ65" i="1"/>
  <c r="BT65" i="1"/>
  <c r="DA65" i="1"/>
  <c r="DD65" i="1"/>
  <c r="DJ65" i="1"/>
  <c r="DM65" i="1"/>
  <c r="DS65" i="1"/>
  <c r="DV65" i="1"/>
  <c r="AJ66" i="1"/>
  <c r="AY66" i="1"/>
  <c r="AZ66" i="1"/>
  <c r="BB66" i="1"/>
  <c r="BS66" i="1"/>
  <c r="BT66" i="1"/>
  <c r="DA66" i="1"/>
  <c r="DD66" i="1"/>
  <c r="DM66" i="1"/>
  <c r="H67" i="1"/>
  <c r="Q67" i="1"/>
  <c r="AJ67" i="1"/>
  <c r="AS67" i="1"/>
  <c r="AY67" i="1"/>
  <c r="BB67" i="1"/>
  <c r="BT67" i="1"/>
  <c r="DD67" i="1"/>
  <c r="DM67" i="1"/>
  <c r="AJ68" i="1"/>
  <c r="AS68" i="1"/>
  <c r="AY68" i="1"/>
  <c r="BB68" i="1"/>
  <c r="BT68" i="1"/>
  <c r="DD68" i="1"/>
  <c r="DM68" i="1"/>
  <c r="AJ69" i="1"/>
  <c r="AS69" i="1"/>
  <c r="BA69" i="1"/>
  <c r="BB69" i="1"/>
  <c r="BG69" i="1"/>
  <c r="DD69" i="1"/>
  <c r="DM69" i="1"/>
  <c r="AJ70" i="1"/>
  <c r="AS70" i="1"/>
  <c r="AY70" i="1"/>
  <c r="BB70" i="1"/>
  <c r="DD70" i="1"/>
  <c r="AJ71" i="1"/>
  <c r="DD71" i="1"/>
  <c r="AJ72" i="1"/>
  <c r="BP73" i="1"/>
  <c r="AX74" i="1"/>
  <c r="AF76" i="1"/>
  <c r="DK81" i="1"/>
  <c r="AP67" i="1" l="1"/>
  <c r="AP68" i="1" l="1"/>
  <c r="AG71" i="1"/>
  <c r="BQ67" i="1"/>
  <c r="CR64" i="1"/>
  <c r="AG67" i="1"/>
  <c r="DJ66" i="1"/>
  <c r="DA69" i="1"/>
  <c r="DJ68" i="1"/>
  <c r="CR63" i="1"/>
  <c r="DA68" i="1"/>
  <c r="AG66" i="1"/>
  <c r="DA67" i="1"/>
  <c r="BQ68" i="1"/>
  <c r="DJ67" i="1"/>
  <c r="DA70" i="1"/>
  <c r="AG72" i="1"/>
  <c r="AG69" i="1"/>
  <c r="AG70" i="1"/>
  <c r="DJ69" i="1"/>
  <c r="AG68" i="1"/>
  <c r="AP69" i="1"/>
  <c r="AP70" i="1"/>
  <c r="BZ64" i="1"/>
  <c r="DA71" i="1"/>
  <c r="AP63" i="1"/>
  <c r="AP64" i="1"/>
  <c r="AP65" i="1"/>
  <c r="DA64" i="1"/>
  <c r="AG65" i="1" l="1"/>
  <c r="BH64" i="1"/>
  <c r="BQ66" i="1" l="1"/>
  <c r="AY69" i="1"/>
</calcChain>
</file>

<file path=xl/sharedStrings.xml><?xml version="1.0" encoding="utf-8"?>
<sst xmlns="http://schemas.openxmlformats.org/spreadsheetml/2006/main" count="917" uniqueCount="239">
  <si>
    <t>waktu aktifitas berjalan</t>
  </si>
  <si>
    <t>Siapa terlibat</t>
  </si>
  <si>
    <t>Jenis Aktifitas</t>
  </si>
  <si>
    <t>Aktifitas</t>
  </si>
  <si>
    <t>E.</t>
  </si>
  <si>
    <t>Gas 1 (RDP01-GS01)</t>
  </si>
  <si>
    <t>Gas</t>
  </si>
  <si>
    <t>Air</t>
  </si>
  <si>
    <t>Saklar 14 (RDP01-SK14)</t>
  </si>
  <si>
    <t>Saklar 5 (RTM01-SK05)</t>
  </si>
  <si>
    <t>Saklar 12 (RDP01-SK12)</t>
  </si>
  <si>
    <t>Listrik</t>
  </si>
  <si>
    <t>Galon 1 (RMK01-GL01)</t>
  </si>
  <si>
    <t>Saklar 4 (RTM01-SK04)</t>
  </si>
  <si>
    <t>Utilitas</t>
  </si>
  <si>
    <t>D.</t>
  </si>
  <si>
    <t>Saklar 11 (RMK01-SK11)</t>
  </si>
  <si>
    <t>Lantai 10 (RDP01-LT10)</t>
  </si>
  <si>
    <t>Lantai</t>
  </si>
  <si>
    <t>Saklar 3 (RTU01-SK03)</t>
  </si>
  <si>
    <t>Lantai 2 (RTM01-LT02)</t>
  </si>
  <si>
    <t>Gas 2 (RCC01-GS02)</t>
  </si>
  <si>
    <t>Dinding 11 (RDP01-D11)</t>
  </si>
  <si>
    <t>Lantai 11 (RMK01-LT11)</t>
  </si>
  <si>
    <t>Saklar 8 (RTU02-SK08)</t>
  </si>
  <si>
    <t>Lantai 7 (RKG01-LT07)</t>
  </si>
  <si>
    <t>Dinding 2 (RTM01-D02)</t>
  </si>
  <si>
    <t>Dinding</t>
  </si>
  <si>
    <t>Dinding 10 (RDP01-D10)</t>
  </si>
  <si>
    <t>Dinding 11 (RMK01-D11)</t>
  </si>
  <si>
    <t>Lantai 4 (RTU01-LT04)</t>
  </si>
  <si>
    <t>Dinding 7 (RKG01-D07)</t>
  </si>
  <si>
    <t>Plafond</t>
  </si>
  <si>
    <t>Saklar 13 (RCC01-SK13)</t>
  </si>
  <si>
    <t>Dinding 8 (RDP01-D08)</t>
  </si>
  <si>
    <t>Lantai 6 (RTU02-LT06)</t>
  </si>
  <si>
    <t>Dinding 4 (RTU01-D04)</t>
  </si>
  <si>
    <t>Dinding 6 (RKG01-D06)</t>
  </si>
  <si>
    <t>Konstruksi</t>
  </si>
  <si>
    <t>C.</t>
  </si>
  <si>
    <t>Saklar 10 (RKD01-SK10)</t>
  </si>
  <si>
    <t>Dinding 8 (RTU02-D08)</t>
  </si>
  <si>
    <t>off</t>
  </si>
  <si>
    <t>Meja 1 (RTM01-MJ01)</t>
  </si>
  <si>
    <t>Lantai 12 (RCC01-LT12)</t>
  </si>
  <si>
    <t>on</t>
  </si>
  <si>
    <t>Dispenser 1 (RMK01-DP01)</t>
  </si>
  <si>
    <t>Saklar 9 (RGD01-SK09)</t>
  </si>
  <si>
    <t>Saklar 6 (RKD01-SK06)</t>
  </si>
  <si>
    <t>Bak Mandi 1 (RKM01-BM01)</t>
  </si>
  <si>
    <t>Dinding 6 (RTU02-D06)</t>
  </si>
  <si>
    <t>Saklar 7 (RTA01-SK07)</t>
  </si>
  <si>
    <t>Sofa 7 (RTM01-SF07)</t>
  </si>
  <si>
    <t>Dinding 11 (RCC01-D11)</t>
  </si>
  <si>
    <t>Bak Cuci Piring (RDP01-SK01)</t>
  </si>
  <si>
    <t>Kursi 3 (RMK01-KU03)</t>
  </si>
  <si>
    <t>Lemari 1 (RTU01-LM01)</t>
  </si>
  <si>
    <t>Sofa 10 (RKG01-SF10)</t>
  </si>
  <si>
    <t>Sofa 6 (RTM01-SF06)</t>
  </si>
  <si>
    <t>Saklar 2 (RTS01-SK02)</t>
  </si>
  <si>
    <t/>
  </si>
  <si>
    <t>Dinding 10 (RCC01-D10)</t>
  </si>
  <si>
    <t>Tempat Sampah 1 (RDP01-TS01)</t>
  </si>
  <si>
    <t>Kursi 2 (RMK01-KU02)</t>
  </si>
  <si>
    <t>Lantai 9 (RGD01-LT09)</t>
  </si>
  <si>
    <t>Lantai 5 (RTA01-LT05)</t>
  </si>
  <si>
    <t>Tempat Tidur 1 (RTU01-TD01)</t>
  </si>
  <si>
    <t>Statis</t>
  </si>
  <si>
    <t>Sofa 9 (RKG01-SF09)</t>
  </si>
  <si>
    <t>Sofa 5 (RTM01-SF05)</t>
  </si>
  <si>
    <t>Saklar 1 (RTS01-SK01)</t>
  </si>
  <si>
    <t>Bouven 4 (RDP01-BV04)</t>
  </si>
  <si>
    <t>Kursi 1 (RMK01-KU01)</t>
  </si>
  <si>
    <t>Dinding 5 (RGD01-D05)</t>
  </si>
  <si>
    <t>Dinding 9 (RKD01-D09)</t>
  </si>
  <si>
    <t>Lantai 8 (RKM01-LA08)</t>
  </si>
  <si>
    <t>Bouven 5 (RTU02-BV05)</t>
  </si>
  <si>
    <t>Dinding 5 (RTA01-D05)</t>
  </si>
  <si>
    <t>Jendela 4 (RTU01-JD04)</t>
  </si>
  <si>
    <t>Sofa 8 (RKG01-SF08)</t>
  </si>
  <si>
    <t>Sofa 4 (RTM01-SF04)</t>
  </si>
  <si>
    <t>Bouven 3 (RDP01-BV03)</t>
  </si>
  <si>
    <t>Meja 3 (RMK01-MJ03)</t>
  </si>
  <si>
    <t>Dinding 9 (RGD01-D09)</t>
  </si>
  <si>
    <t>Dinding 6 (RKD01-D06)</t>
  </si>
  <si>
    <t>Dinding 8 (RKM01-D08)</t>
  </si>
  <si>
    <t>Rak 1 (RTU02-RK01)</t>
  </si>
  <si>
    <t>Pintu 4 (RTU01-PT04)</t>
  </si>
  <si>
    <t>Dinamis</t>
  </si>
  <si>
    <t>Karpet 1 (RKG01-KR01)</t>
  </si>
  <si>
    <t>Sofa 3 (RTM01-SF03)</t>
  </si>
  <si>
    <t>Lantai 1 (RTS01-LT01)</t>
  </si>
  <si>
    <t>Lantai 13 (RGS01-LT13)</t>
  </si>
  <si>
    <t>Lantai 14 (RHD01-LT14)</t>
  </si>
  <si>
    <t>Bouven 2 (RDP01-BV02)</t>
  </si>
  <si>
    <t>Jendela 11 (RMK01-JD11)</t>
  </si>
  <si>
    <t>Dinding 5 (RKD01-D05)</t>
  </si>
  <si>
    <t>Tempat Tidur 3 (RTU02-TD03)</t>
  </si>
  <si>
    <t>HP 3 (RTU01-HP03)</t>
  </si>
  <si>
    <t>Sofa 2 (RTM01-SF02)</t>
  </si>
  <si>
    <t>Dinding 1 (RTS01-D01)</t>
  </si>
  <si>
    <t>Pintu 12 (RCC01-PT12)</t>
  </si>
  <si>
    <t>Kran 1 (RDP01-WT01)</t>
  </si>
  <si>
    <t>Pintu 11 (RMK01-PT11)</t>
  </si>
  <si>
    <t>Jendela 6 (RTU02-JD06)</t>
  </si>
  <si>
    <t>Lemari 2 (RTA01-LM02)</t>
  </si>
  <si>
    <t>HP 2 (RTU01-HP02)</t>
  </si>
  <si>
    <t>TV 2 (RKG01-TV02)</t>
  </si>
  <si>
    <t>Sofa 1 (RTM01-SF01)</t>
  </si>
  <si>
    <t>Kran 2 (RCC01-WT02)</t>
  </si>
  <si>
    <t>Kompor Gas 1 (RDP01-ST01)</t>
  </si>
  <si>
    <t>Rice Cooker 2 (RMK01-RC02)</t>
  </si>
  <si>
    <t>Meja 2 (RGD01-MJ02)</t>
  </si>
  <si>
    <t>Kloset 1 (RKM01-KL01)</t>
  </si>
  <si>
    <t>Pintu 6 (RTU02-PT06)</t>
  </si>
  <si>
    <t>Tempat Tidur 2 (RTA01-TD02)</t>
  </si>
  <si>
    <t>HP 1 (RTU01-HP01)</t>
  </si>
  <si>
    <t>Radio 1 (RKG01-RA01)</t>
  </si>
  <si>
    <t>Jendela 1(RTM01-JD01)</t>
  </si>
  <si>
    <t>Mesin Cuci 2 (RCC01-WM02)</t>
  </si>
  <si>
    <t>Rice Cooker 1 (RDP01-RC01)</t>
  </si>
  <si>
    <t>Pompa Air 2 (RMK01-WP02)</t>
  </si>
  <si>
    <t>Kursi 4 (RGD01-KU04)</t>
  </si>
  <si>
    <t>Kran 3 (RKM01-WT03)</t>
  </si>
  <si>
    <t>Catokan 1 (RTU02-HS01)</t>
  </si>
  <si>
    <t>Pintu 5 (RTA01-PT05)</t>
  </si>
  <si>
    <t>AC 1 (RTU01-AC01)</t>
  </si>
  <si>
    <t>TV 1 (RKG01-TV01)</t>
  </si>
  <si>
    <t>Pintu 1 (RTM01-PT01)</t>
  </si>
  <si>
    <t>Tanaman</t>
  </si>
  <si>
    <t>Mesin Cuci 1 (RCC01-WM01)</t>
  </si>
  <si>
    <t>Mesin</t>
  </si>
  <si>
    <t>Kulkas 1 (RDP01-RE01)</t>
  </si>
  <si>
    <t>Kulkas 2 (RMK01-RE02)</t>
  </si>
  <si>
    <t>Pintu 9 (RGD01-PT09)</t>
  </si>
  <si>
    <t>Pintu 8 (RKM01-PT08)</t>
  </si>
  <si>
    <t>Kipas 3 (RTU02-KP03)</t>
  </si>
  <si>
    <t>Kipas 2 (RTU01-KP02)</t>
  </si>
  <si>
    <t>Kipas 1 (RKG01-KP01)</t>
  </si>
  <si>
    <t>Laptop (RTM01-LP01)</t>
  </si>
  <si>
    <t>Pintu 13 (RGS01-PT13)</t>
  </si>
  <si>
    <t>Kran 4 (RHD01-WT04)</t>
  </si>
  <si>
    <t>Interior</t>
  </si>
  <si>
    <t>B.</t>
  </si>
  <si>
    <t>Blender 1 (RMK01-BL01)</t>
  </si>
  <si>
    <t>Setrika 1 (RGD01-IR01)</t>
  </si>
  <si>
    <t>Pompa Air 1 (RGS01-WP01)</t>
  </si>
  <si>
    <t>Lampu 15 (RCC01-LA15)</t>
  </si>
  <si>
    <t>Lampu 14 (RDP01-LA14)</t>
  </si>
  <si>
    <t>Lampu 16 (RTU02-LA16)</t>
  </si>
  <si>
    <t>Lampu 17 (RTA01-LA17)</t>
  </si>
  <si>
    <t>Lampu 18 (RTU01-LA18)</t>
  </si>
  <si>
    <t>Lampu 5 (RTM01-LA05)</t>
  </si>
  <si>
    <t>Lanskap</t>
  </si>
  <si>
    <t>Lampu 13 (RCC01-LA13)</t>
  </si>
  <si>
    <t>Intensitas Cahaya</t>
  </si>
  <si>
    <t>Lampu 12 (RDP01-LA12)</t>
  </si>
  <si>
    <t>Lampu 11 (RMK01-LA11)</t>
  </si>
  <si>
    <t>Lampu 9 (RGD01-LA09)</t>
  </si>
  <si>
    <t>Lampu 19 (RKD01-LA19)</t>
  </si>
  <si>
    <t>Lampu 10 (RKM01-LA10)</t>
  </si>
  <si>
    <t>Lampu 8 (RTU02-LA08)</t>
  </si>
  <si>
    <t>Lampu 7 (RTA01-LA07)</t>
  </si>
  <si>
    <t>Lampu 3 (RTU01-LA03)</t>
  </si>
  <si>
    <t>Lampu 6 (RKG01-LA06)</t>
  </si>
  <si>
    <t>Lampu 4 (RTM01-LA04)</t>
  </si>
  <si>
    <t>Lampu 2 (RTS01-LA02)</t>
  </si>
  <si>
    <t>Lampu 1 (RGS01-LA01)</t>
  </si>
  <si>
    <t>Temperatur</t>
  </si>
  <si>
    <t>Iklim</t>
  </si>
  <si>
    <t xml:space="preserve">A. </t>
  </si>
  <si>
    <t>Perawatan</t>
  </si>
  <si>
    <t>Kotor</t>
  </si>
  <si>
    <t>Pemakaian</t>
  </si>
  <si>
    <t>Kondisi</t>
  </si>
  <si>
    <t>Status</t>
  </si>
  <si>
    <t>Jenis</t>
  </si>
  <si>
    <t>Variabel</t>
  </si>
  <si>
    <t>No</t>
  </si>
  <si>
    <t>INDOOR CLIMATE</t>
  </si>
  <si>
    <t>OUTDOOR CLIMATE</t>
  </si>
  <si>
    <t>Ruang Cuci 1 (RCC01)</t>
  </si>
  <si>
    <t>Ruang Dapur 1 (RDP01)</t>
  </si>
  <si>
    <t>Ruang Makan 1 (RMK01)</t>
  </si>
  <si>
    <t>Ruang Gudang 1 (RGD01)</t>
  </si>
  <si>
    <t>Ruang Koridor 1 (RKD01)</t>
  </si>
  <si>
    <t>Ruang Kamar Mandi 1 (RKM01)</t>
  </si>
  <si>
    <t>Ruang Tidur Utama 2 (RTU02)</t>
  </si>
  <si>
    <t>Ruang Tidur Anak 1 (RTA01)</t>
  </si>
  <si>
    <t>Ruang Tidur Utama 1 (RTU01)</t>
  </si>
  <si>
    <t>Ruang Keluarga 1 (RKG01)</t>
  </si>
  <si>
    <t>Ruang Tamu 1 (RTM01)</t>
  </si>
  <si>
    <t>Ruang Teras 1 (RTS01)</t>
  </si>
  <si>
    <t>Ruang Garasi 1 (RGS01)</t>
  </si>
  <si>
    <t>Ruang Halaman Depan 1 (RHD01)</t>
  </si>
  <si>
    <t>ENVIRONMENT</t>
  </si>
  <si>
    <t>ABM</t>
  </si>
  <si>
    <t>CONTOH DATA LINGKUNGAN TIAP RUANG</t>
  </si>
  <si>
    <t>AY21</t>
  </si>
  <si>
    <t>aktivitas membersihkan (perawatan) setiap 1 cycle selesai akan +1 poin ke cumulative maintenance sheet machine</t>
  </si>
  <si>
    <t xml:space="preserve">Membersihkan mesin cuci </t>
  </si>
  <si>
    <t>IB21</t>
  </si>
  <si>
    <t>aktivitas menggunakan mesin setiap 1 cycle selesai akan +1 poin ke kotor</t>
  </si>
  <si>
    <t>Mencuci pakaian</t>
  </si>
  <si>
    <t>% akt = waktu berjalan/waktu yang diperlukan</t>
  </si>
  <si>
    <t>waktu berjalan</t>
  </si>
  <si>
    <t>waktu yang diperlukan replace dari aktivitas yang terpilih dan akan dijalankan</t>
  </si>
  <si>
    <t>NK21</t>
  </si>
  <si>
    <t>menyapu halaman</t>
  </si>
  <si>
    <t>Ayah (AY21)</t>
  </si>
  <si>
    <t>Saklar 18 (RCC01-SK18)</t>
  </si>
  <si>
    <t>Memarkir kendaraan</t>
  </si>
  <si>
    <t>menyiram tanaman</t>
  </si>
  <si>
    <t>Lantai pada halaman/ taman berkaitan dg kecepatan angin. Sementara kecepatan angin tidak dipakai, hanya +1 poin setiap agen beraktivitas di halaman/taman</t>
  </si>
  <si>
    <t>setelah selesai disiram, kotor = 0, perawatan = 0, waktu kembali mundur ke 0, jika baru 0.5, tetap dianggap belum selesai menyiram</t>
  </si>
  <si>
    <r>
      <rPr>
        <b/>
        <sz val="10"/>
        <rFont val="Calibri"/>
        <family val="2"/>
        <scheme val="minor"/>
      </rPr>
      <t>sangat kering</t>
    </r>
    <r>
      <rPr>
        <sz val="10"/>
        <rFont val="Calibri"/>
        <family val="2"/>
        <scheme val="minor"/>
      </rPr>
      <t>, kering, basah, sangat basah</t>
    </r>
  </si>
  <si>
    <t>aktivitas menggunakan mesin setiap 1 cycle selesai akan mereplace +0.1 poin ke cleanliness sheet machine</t>
  </si>
  <si>
    <t>jika di luar ruang ada objek dinamis</t>
  </si>
  <si>
    <t>bagus</t>
  </si>
  <si>
    <t>jika di luar ruang tidak ada mesin</t>
  </si>
  <si>
    <t>replace data kelembaban luar ruang terkini</t>
  </si>
  <si>
    <t>Kelembaban</t>
  </si>
  <si>
    <t>replace data intensitas luar ruang terkini</t>
  </si>
  <si>
    <t>replace data suhu luar ruang terkini</t>
  </si>
  <si>
    <t>Respon ke Lingkungan</t>
  </si>
  <si>
    <t>Ruang Cuci (RCC01)</t>
  </si>
  <si>
    <t>CONTOH</t>
  </si>
  <si>
    <r>
      <t xml:space="preserve">Perawatan = </t>
    </r>
    <r>
      <rPr>
        <b/>
        <sz val="10"/>
        <rFont val="Calibri"/>
        <family val="2"/>
        <scheme val="minor"/>
      </rPr>
      <t>replace</t>
    </r>
    <r>
      <rPr>
        <sz val="10"/>
        <rFont val="Calibri"/>
        <family val="2"/>
        <scheme val="minor"/>
      </rPr>
      <t xml:space="preserve"> dari </t>
    </r>
    <r>
      <rPr>
        <b/>
        <sz val="10"/>
        <rFont val="Calibri"/>
        <family val="2"/>
        <scheme val="minor"/>
      </rPr>
      <t>Maintenance</t>
    </r>
    <r>
      <rPr>
        <sz val="10"/>
        <rFont val="Calibri"/>
        <family val="2"/>
        <scheme val="minor"/>
      </rPr>
      <t xml:space="preserve"> Machine/ Dynamic/ Static/ Utility</t>
    </r>
  </si>
  <si>
    <t>Setiap pemakaian +0.1 poin replace ke Machine/ Dynamic/ Static/ Utility</t>
  </si>
  <si>
    <t>Mesin/ Dinamis/Intensitas Cahaya/ Utilitas (waktu berjalan); Statis/ Lantai (kali pemakaian: 1 kali agen duduk, 1 kali agen masuk ruang)</t>
  </si>
  <si>
    <r>
      <t xml:space="preserve">Kondisi = </t>
    </r>
    <r>
      <rPr>
        <b/>
        <sz val="10"/>
        <rFont val="Calibri"/>
        <family val="2"/>
        <scheme val="minor"/>
      </rPr>
      <t>replace</t>
    </r>
    <r>
      <rPr>
        <sz val="10"/>
        <rFont val="Calibri"/>
        <family val="2"/>
        <scheme val="minor"/>
      </rPr>
      <t xml:space="preserve"> dari Machine/ Dynamic/ Static/ Utility dalam skala angka/ huruf</t>
    </r>
  </si>
  <si>
    <r>
      <t xml:space="preserve">Status </t>
    </r>
    <r>
      <rPr>
        <b/>
        <sz val="10"/>
        <rFont val="Calibri"/>
        <family val="2"/>
        <scheme val="minor"/>
      </rPr>
      <t>"on"</t>
    </r>
    <r>
      <rPr>
        <sz val="10"/>
        <rFont val="Calibri"/>
        <family val="2"/>
        <scheme val="minor"/>
      </rPr>
      <t xml:space="preserve"> jika digunakan, </t>
    </r>
    <r>
      <rPr>
        <b/>
        <sz val="10"/>
        <rFont val="Calibri"/>
        <family val="2"/>
        <scheme val="minor"/>
      </rPr>
      <t>"off"</t>
    </r>
    <r>
      <rPr>
        <sz val="10"/>
        <rFont val="Calibri"/>
        <family val="2"/>
        <scheme val="minor"/>
      </rPr>
      <t xml:space="preserve"> jika tidak digunakan</t>
    </r>
  </si>
  <si>
    <t>Jenis komponen</t>
  </si>
  <si>
    <r>
      <t xml:space="preserve">Kondisi = </t>
    </r>
    <r>
      <rPr>
        <b/>
        <sz val="10"/>
        <rFont val="Calibri"/>
        <family val="2"/>
        <scheme val="minor"/>
      </rPr>
      <t>replace</t>
    </r>
    <r>
      <rPr>
        <sz val="10"/>
        <rFont val="Calibri"/>
        <family val="2"/>
        <scheme val="minor"/>
      </rPr>
      <t xml:space="preserve"> dari Machine/ Dynamic/ Static/ Utility dalam skala angka/huruf</t>
    </r>
  </si>
  <si>
    <t>Kotor: Kondisi terkini=Pemakaian x 1 /10</t>
  </si>
  <si>
    <t>Pemakaian: pada lantai=berpa kali ruang digunakan +1 setiap kali ada agen masuk ruang. Pada lanskap: waktu berjalan 24 jam, maks kotor 1=kering &gt;&gt; urgensi menyiram tanaman tinggi</t>
  </si>
  <si>
    <t>Perawatan: ada aktivitas membersihkan (mengurangi nilai kotor)</t>
  </si>
  <si>
    <t>1 Sheet untuk masing-masing rumah</t>
  </si>
  <si>
    <t>DATA LINGKUNGAN TERKINI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</si>
</sst>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0" xfId="0" applyFont="1" applyBorder="1"/>
    <xf numFmtId="0" fontId="1" fillId="0" borderId="10" xfId="0" applyFont="1" applyFill="1" applyBorder="1"/>
    <xf numFmtId="0" fontId="1" fillId="0" borderId="5" xfId="0" applyFont="1" applyFill="1" applyBorder="1"/>
    <xf numFmtId="0" fontId="1" fillId="0" borderId="11" xfId="0" applyFont="1" applyFill="1" applyBorder="1"/>
    <xf numFmtId="0" fontId="1" fillId="0" borderId="12" xfId="0" applyFont="1" applyFill="1" applyBorder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1" fillId="0" borderId="9" xfId="0" applyFont="1" applyFill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2" fontId="1" fillId="0" borderId="26" xfId="0" applyNumberFormat="1" applyFont="1" applyBorder="1"/>
    <xf numFmtId="0" fontId="1" fillId="0" borderId="26" xfId="0" applyFont="1" applyBorder="1"/>
    <xf numFmtId="0" fontId="1" fillId="0" borderId="27" xfId="0" applyFont="1" applyBorder="1"/>
    <xf numFmtId="2" fontId="1" fillId="0" borderId="7" xfId="0" applyNumberFormat="1" applyFont="1" applyBorder="1"/>
    <xf numFmtId="2" fontId="1" fillId="0" borderId="2" xfId="0" applyNumberFormat="1" applyFont="1" applyBorder="1"/>
    <xf numFmtId="0" fontId="1" fillId="0" borderId="2" xfId="0" quotePrefix="1" applyFont="1" applyBorder="1"/>
    <xf numFmtId="2" fontId="1" fillId="0" borderId="1" xfId="0" applyNumberFormat="1" applyFont="1" applyBorder="1"/>
    <xf numFmtId="1" fontId="1" fillId="0" borderId="7" xfId="0" applyNumberFormat="1" applyFont="1" applyBorder="1"/>
    <xf numFmtId="1" fontId="1" fillId="0" borderId="18" xfId="0" applyNumberFormat="1" applyFont="1" applyBorder="1"/>
    <xf numFmtId="1" fontId="1" fillId="0" borderId="2" xfId="0" applyNumberFormat="1" applyFont="1" applyBorder="1"/>
    <xf numFmtId="0" fontId="1" fillId="2" borderId="1" xfId="0" applyFont="1" applyFill="1" applyBorder="1"/>
    <xf numFmtId="0" fontId="1" fillId="2" borderId="18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1" fillId="0" borderId="6" xfId="0" applyNumberFormat="1" applyFont="1" applyBorder="1"/>
    <xf numFmtId="1" fontId="1" fillId="0" borderId="26" xfId="0" applyNumberFormat="1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2" fillId="0" borderId="0" xfId="0" applyFont="1"/>
    <xf numFmtId="0" fontId="2" fillId="3" borderId="35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41" xfId="0" applyFont="1" applyBorder="1" applyAlignment="1">
      <alignment vertical="top" wrapText="1"/>
    </xf>
    <xf numFmtId="0" fontId="1" fillId="0" borderId="0" xfId="0" applyFont="1" applyAlignment="1">
      <alignment horizontal="left" wrapText="1"/>
    </xf>
    <xf numFmtId="0" fontId="4" fillId="0" borderId="18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left"/>
    </xf>
    <xf numFmtId="0" fontId="4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8" fillId="2" borderId="0" xfId="1" applyFont="1" applyFill="1"/>
    <xf numFmtId="0" fontId="8" fillId="0" borderId="0" xfId="0" applyFont="1"/>
    <xf numFmtId="0" fontId="2" fillId="3" borderId="16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3" borderId="14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3" borderId="34" xfId="0" applyFont="1" applyFill="1" applyBorder="1" applyAlignment="1">
      <alignment horizontal="left"/>
    </xf>
    <xf numFmtId="0" fontId="2" fillId="3" borderId="33" xfId="0" applyFont="1" applyFill="1" applyBorder="1" applyAlignment="1">
      <alignment horizontal="left"/>
    </xf>
    <xf numFmtId="0" fontId="2" fillId="3" borderId="32" xfId="0" applyFont="1" applyFill="1" applyBorder="1" applyAlignment="1">
      <alignment horizontal="left"/>
    </xf>
    <xf numFmtId="0" fontId="1" fillId="3" borderId="37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4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left"/>
    </xf>
    <xf numFmtId="0" fontId="1" fillId="4" borderId="33" xfId="0" applyFont="1" applyFill="1" applyBorder="1" applyAlignment="1">
      <alignment horizontal="left"/>
    </xf>
    <xf numFmtId="0" fontId="1" fillId="4" borderId="32" xfId="0" applyFont="1" applyFill="1" applyBorder="1" applyAlignment="1">
      <alignment horizontal="left"/>
    </xf>
    <xf numFmtId="0" fontId="2" fillId="2" borderId="40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5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Simulasi%20Proses%20Pilih/Set%20Data%20Terpakai%20(Rumah%202)_Simulasi%201_pengali%20sosial%20+%20efek%20akt%20di%20kal.%20b%20+%20tabel%20efe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aktor%20Lingkungan%205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terangan"/>
      <sheetName val="IC_Psi-Fis"/>
      <sheetName val="IC_Bio"/>
      <sheetName val="IC_Habit"/>
      <sheetName val="IC_EQ"/>
      <sheetName val="IC_Machine"/>
      <sheetName val="IC_Lighting"/>
      <sheetName val="IC_Dynamic"/>
      <sheetName val="IC_Static"/>
      <sheetName val="IC_Utility"/>
      <sheetName val="Proses Pilih IB"/>
      <sheetName val="Data Linkungan (DL)"/>
      <sheetName val="Rekap BGN"/>
      <sheetName val="Data Iklim"/>
      <sheetName val="Rekap Data Aktivitas"/>
      <sheetName val="Data Agen"/>
      <sheetName val="Fisik_Data"/>
      <sheetName val="Bio_Data"/>
      <sheetName val="Daftar Efek"/>
      <sheetName val="Emosi_Data"/>
      <sheetName val="Kal.B"/>
      <sheetName val="Rekap CCB"/>
      <sheetName val="Kal.E"/>
      <sheetName val="Rekap CCE"/>
      <sheetName val="DD_W"/>
      <sheetName val="DD_Bio"/>
      <sheetName val="DD_E"/>
      <sheetName val="DD_P"/>
      <sheetName val="PILIH"/>
      <sheetName val="URUT_MEMBACA"/>
      <sheetName val="Syarat Standar_P"/>
      <sheetName val="Syarat Operasi"/>
      <sheetName val="Pendukung"/>
      <sheetName val="Kal.B (16)"/>
      <sheetName val="Rekap CCB (16)"/>
      <sheetName val="Kal.E (16)"/>
      <sheetName val="Rekap CCE (16)"/>
      <sheetName val="URUT_MANDI (16)"/>
      <sheetName val="Syarat Standar_Bio (16)"/>
      <sheetName val="Syarat Operasi (16)"/>
      <sheetName val="Pendukung (16)"/>
      <sheetName val="DL (DATA KRAN)"/>
      <sheetName val="Kal.B (17)"/>
      <sheetName val="Rekap CCB (17)"/>
      <sheetName val="Kal.E (17)"/>
      <sheetName val="Rekap CCE (17)"/>
      <sheetName val="DD_W (17)"/>
      <sheetName val="DD_Bio (17)"/>
      <sheetName val="DD_E (17)"/>
      <sheetName val="DD_P (17)"/>
      <sheetName val="PILIH (17)"/>
      <sheetName val="URUT_MENYIRAM (17)"/>
      <sheetName val="Syarat Standar_P (17)"/>
      <sheetName val="Syarat Operasi (1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1">
          <cell r="E21">
            <v>0.1</v>
          </cell>
        </row>
        <row r="24">
          <cell r="E24">
            <v>0.99759259259259259</v>
          </cell>
        </row>
      </sheetData>
      <sheetData sheetId="6" refreshError="1"/>
      <sheetData sheetId="7" refreshError="1">
        <row r="21">
          <cell r="E21">
            <v>0</v>
          </cell>
        </row>
        <row r="55">
          <cell r="E55">
            <v>0.97685185185185186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"/>
      <sheetName val="AO-ALL"/>
      <sheetName val="AO-LIGHT"/>
      <sheetName val="PMO"/>
      <sheetName val="PNMO"/>
      <sheetName val="PNMO-LT"/>
    </sheetNames>
    <sheetDataSet>
      <sheetData sheetId="0">
        <row r="6">
          <cell r="I6">
            <v>419.99999999999994</v>
          </cell>
        </row>
        <row r="8">
          <cell r="I8">
            <v>180</v>
          </cell>
        </row>
        <row r="13">
          <cell r="I13">
            <v>719.99999999999989</v>
          </cell>
        </row>
        <row r="14">
          <cell r="I14">
            <v>239.99999999999994</v>
          </cell>
        </row>
        <row r="16">
          <cell r="I16">
            <v>239.99999999999994</v>
          </cell>
        </row>
        <row r="18">
          <cell r="I18">
            <v>299.99999999999989</v>
          </cell>
        </row>
        <row r="19">
          <cell r="I19">
            <v>480.00000000000006</v>
          </cell>
        </row>
        <row r="21">
          <cell r="I21">
            <v>180</v>
          </cell>
        </row>
        <row r="22">
          <cell r="I22">
            <v>120.00000000000006</v>
          </cell>
        </row>
        <row r="23">
          <cell r="I23">
            <v>59.999999999999943</v>
          </cell>
        </row>
        <row r="24">
          <cell r="I24">
            <v>59.999999999999943</v>
          </cell>
        </row>
        <row r="25">
          <cell r="I25">
            <v>60.000000000000107</v>
          </cell>
        </row>
        <row r="27">
          <cell r="I27">
            <v>299.99999999999989</v>
          </cell>
        </row>
        <row r="28">
          <cell r="I28">
            <v>120.00000000000006</v>
          </cell>
        </row>
        <row r="30">
          <cell r="I30">
            <v>299.99999999999989</v>
          </cell>
        </row>
        <row r="31">
          <cell r="I31">
            <v>120.00000000000006</v>
          </cell>
        </row>
        <row r="34">
          <cell r="I34">
            <v>20.000000000000249</v>
          </cell>
        </row>
        <row r="36">
          <cell r="I36">
            <v>295.00000000000006</v>
          </cell>
        </row>
        <row r="39">
          <cell r="I39">
            <v>414.99999999999994</v>
          </cell>
        </row>
        <row r="42">
          <cell r="I42">
            <v>299.99999999999989</v>
          </cell>
        </row>
        <row r="44">
          <cell r="I44">
            <v>393</v>
          </cell>
        </row>
        <row r="46">
          <cell r="I46">
            <v>299.99999999999989</v>
          </cell>
        </row>
        <row r="48">
          <cell r="I48">
            <v>1440</v>
          </cell>
        </row>
        <row r="49">
          <cell r="I49">
            <v>720</v>
          </cell>
        </row>
        <row r="50">
          <cell r="I50">
            <v>4.9999999999999822</v>
          </cell>
        </row>
        <row r="53">
          <cell r="I53">
            <v>1440</v>
          </cell>
        </row>
        <row r="54">
          <cell r="I54">
            <v>1440</v>
          </cell>
        </row>
        <row r="56">
          <cell r="I56">
            <v>1440</v>
          </cell>
        </row>
        <row r="57">
          <cell r="I57">
            <v>299.99999999999989</v>
          </cell>
        </row>
        <row r="59">
          <cell r="I59">
            <v>1440</v>
          </cell>
        </row>
        <row r="60">
          <cell r="I60">
            <v>1440</v>
          </cell>
        </row>
        <row r="61">
          <cell r="I61">
            <v>119.99999999999997</v>
          </cell>
        </row>
        <row r="62">
          <cell r="I62">
            <v>180</v>
          </cell>
        </row>
        <row r="64">
          <cell r="I64">
            <v>30.000000000000053</v>
          </cell>
        </row>
        <row r="65">
          <cell r="I65">
            <v>180</v>
          </cell>
        </row>
      </sheetData>
      <sheetData sheetId="1">
        <row r="37">
          <cell r="E37">
            <v>0</v>
          </cell>
          <cell r="K37">
            <v>0</v>
          </cell>
          <cell r="Q37">
            <v>0</v>
          </cell>
          <cell r="W37">
            <v>0</v>
          </cell>
          <cell r="AC37">
            <v>0</v>
          </cell>
          <cell r="AI37">
            <v>0</v>
          </cell>
        </row>
        <row r="40">
          <cell r="E40">
            <v>0.99972222222222218</v>
          </cell>
          <cell r="K40">
            <v>0.99972222222222218</v>
          </cell>
          <cell r="Q40">
            <v>0.99972222222222218</v>
          </cell>
          <cell r="W40">
            <v>0.99972222222222218</v>
          </cell>
          <cell r="AC40">
            <v>1</v>
          </cell>
          <cell r="AI40">
            <v>0.99972222222222218</v>
          </cell>
        </row>
        <row r="62">
          <cell r="E62">
            <v>0</v>
          </cell>
          <cell r="K62">
            <v>0</v>
          </cell>
          <cell r="Q62">
            <v>0</v>
          </cell>
          <cell r="W62">
            <v>0</v>
          </cell>
          <cell r="AC62">
            <v>0</v>
          </cell>
          <cell r="AI62">
            <v>0</v>
          </cell>
        </row>
        <row r="65">
          <cell r="E65">
            <v>0.99972222222222218</v>
          </cell>
          <cell r="K65">
            <v>1</v>
          </cell>
          <cell r="Q65">
            <v>0.99972222222222218</v>
          </cell>
          <cell r="W65">
            <v>0.99972222222222218</v>
          </cell>
          <cell r="AC65">
            <v>0.99972222222222218</v>
          </cell>
          <cell r="AI65">
            <v>0.99972222222222218</v>
          </cell>
        </row>
        <row r="87">
          <cell r="E87">
            <v>0</v>
          </cell>
          <cell r="K87">
            <v>0</v>
          </cell>
          <cell r="Q87">
            <v>0</v>
          </cell>
          <cell r="AC87">
            <v>0</v>
          </cell>
        </row>
        <row r="89">
          <cell r="W89">
            <v>0.1</v>
          </cell>
        </row>
        <row r="90">
          <cell r="E90">
            <v>1</v>
          </cell>
          <cell r="K90">
            <v>1</v>
          </cell>
          <cell r="Q90">
            <v>1</v>
          </cell>
          <cell r="W90">
            <v>0.99972222222222218</v>
          </cell>
          <cell r="AC90">
            <v>0.99972222222222218</v>
          </cell>
        </row>
        <row r="112">
          <cell r="E112">
            <v>0</v>
          </cell>
          <cell r="K112">
            <v>0</v>
          </cell>
          <cell r="Q112">
            <v>0</v>
          </cell>
          <cell r="W112">
            <v>0</v>
          </cell>
          <cell r="AC112">
            <v>0</v>
          </cell>
        </row>
        <row r="115">
          <cell r="E115">
            <v>0.99972222222222218</v>
          </cell>
          <cell r="K115">
            <v>0.99888888888888894</v>
          </cell>
          <cell r="Q115">
            <v>0.99972222222222218</v>
          </cell>
          <cell r="W115">
            <v>0.99972222222222218</v>
          </cell>
          <cell r="AC115">
            <v>1</v>
          </cell>
        </row>
      </sheetData>
      <sheetData sheetId="2">
        <row r="13">
          <cell r="E13">
            <v>0</v>
          </cell>
          <cell r="K13">
            <v>0</v>
          </cell>
          <cell r="Q13">
            <v>0</v>
          </cell>
        </row>
        <row r="14">
          <cell r="Q14">
            <v>0</v>
          </cell>
        </row>
        <row r="36">
          <cell r="E36">
            <v>0</v>
          </cell>
          <cell r="K36">
            <v>0</v>
          </cell>
        </row>
        <row r="58">
          <cell r="K58">
            <v>4860</v>
          </cell>
        </row>
        <row r="82">
          <cell r="E82">
            <v>0</v>
          </cell>
          <cell r="K82">
            <v>0</v>
          </cell>
        </row>
        <row r="105">
          <cell r="E105">
            <v>0</v>
          </cell>
          <cell r="K105">
            <v>0</v>
          </cell>
        </row>
        <row r="128">
          <cell r="E128">
            <v>0</v>
          </cell>
          <cell r="K128">
            <v>0</v>
          </cell>
        </row>
        <row r="152">
          <cell r="E152">
            <v>0</v>
          </cell>
          <cell r="K152">
            <v>0</v>
          </cell>
        </row>
        <row r="176">
          <cell r="E176">
            <v>0</v>
          </cell>
          <cell r="K176">
            <v>0</v>
          </cell>
        </row>
        <row r="200">
          <cell r="E200">
            <v>0</v>
          </cell>
          <cell r="K200">
            <v>0</v>
          </cell>
        </row>
      </sheetData>
      <sheetData sheetId="3">
        <row r="12">
          <cell r="E12">
            <v>1</v>
          </cell>
          <cell r="K12">
            <v>1</v>
          </cell>
          <cell r="Q12">
            <v>1</v>
          </cell>
          <cell r="W12">
            <v>1</v>
          </cell>
        </row>
        <row r="15">
          <cell r="E15">
            <v>0.97685185185185186</v>
          </cell>
          <cell r="K15">
            <v>0.97685185185185186</v>
          </cell>
          <cell r="Q15">
            <v>0.97685185185185186</v>
          </cell>
          <cell r="W15">
            <v>0.97685185185185186</v>
          </cell>
        </row>
        <row r="31">
          <cell r="E31">
            <v>1</v>
          </cell>
          <cell r="K31">
            <v>1</v>
          </cell>
          <cell r="Q31">
            <v>1</v>
          </cell>
          <cell r="W31">
            <v>1</v>
          </cell>
        </row>
        <row r="34">
          <cell r="E34">
            <v>0.97685185185185186</v>
          </cell>
          <cell r="K34">
            <v>0.97685185185185186</v>
          </cell>
          <cell r="Q34">
            <v>0.97685185185185186</v>
          </cell>
          <cell r="W34">
            <v>0.97685185185185186</v>
          </cell>
        </row>
        <row r="50">
          <cell r="E50">
            <v>1</v>
          </cell>
          <cell r="K50">
            <v>1</v>
          </cell>
          <cell r="Q50">
            <v>1</v>
          </cell>
          <cell r="W50">
            <v>1</v>
          </cell>
        </row>
        <row r="53">
          <cell r="E53">
            <v>0.97685185185185186</v>
          </cell>
          <cell r="K53">
            <v>0.97685185185185186</v>
          </cell>
          <cell r="Q53">
            <v>0.97685185185185186</v>
          </cell>
          <cell r="W53">
            <v>0.97685185185185186</v>
          </cell>
        </row>
        <row r="69">
          <cell r="E69">
            <v>1</v>
          </cell>
          <cell r="K69">
            <v>1</v>
          </cell>
          <cell r="Q69">
            <v>1</v>
          </cell>
        </row>
        <row r="72">
          <cell r="E72">
            <v>0.97685185185185186</v>
          </cell>
          <cell r="K72">
            <v>0.97685185185185186</v>
          </cell>
          <cell r="Q72">
            <v>0.97685185185185186</v>
          </cell>
        </row>
        <row r="88">
          <cell r="E88">
            <v>1</v>
          </cell>
          <cell r="K88">
            <v>1</v>
          </cell>
          <cell r="Q88">
            <v>1</v>
          </cell>
          <cell r="W88">
            <v>1</v>
          </cell>
        </row>
        <row r="91">
          <cell r="E91">
            <v>0.97685185185185186</v>
          </cell>
          <cell r="K91">
            <v>0.97685185185185186</v>
          </cell>
          <cell r="Q91">
            <v>0.97685185185185186</v>
          </cell>
          <cell r="W91">
            <v>0.97685185185185186</v>
          </cell>
        </row>
      </sheetData>
      <sheetData sheetId="4">
        <row r="12">
          <cell r="E12">
            <v>1</v>
          </cell>
          <cell r="K12">
            <v>1</v>
          </cell>
          <cell r="Q12">
            <v>1</v>
          </cell>
          <cell r="W12">
            <v>1</v>
          </cell>
        </row>
        <row r="15">
          <cell r="E15">
            <v>0.97685185185185186</v>
          </cell>
          <cell r="K15">
            <v>0.97685185185185186</v>
          </cell>
          <cell r="Q15">
            <v>0.97685185185185186</v>
          </cell>
          <cell r="W15">
            <v>0.97685185185185186</v>
          </cell>
        </row>
        <row r="30">
          <cell r="E30">
            <v>1</v>
          </cell>
          <cell r="K30">
            <v>1</v>
          </cell>
          <cell r="Q30">
            <v>1</v>
          </cell>
          <cell r="W30">
            <v>1</v>
          </cell>
        </row>
        <row r="33">
          <cell r="E33">
            <v>0.97685185185185186</v>
          </cell>
          <cell r="K33">
            <v>0.97685185185185186</v>
          </cell>
          <cell r="Q33">
            <v>0.97685185185185186</v>
          </cell>
          <cell r="W33">
            <v>0.97685185185185186</v>
          </cell>
        </row>
        <row r="48">
          <cell r="E48">
            <v>1</v>
          </cell>
          <cell r="K48">
            <v>1</v>
          </cell>
          <cell r="Q48">
            <v>1</v>
          </cell>
          <cell r="W48">
            <v>1</v>
          </cell>
        </row>
        <row r="51">
          <cell r="E51">
            <v>0.97685185185185186</v>
          </cell>
          <cell r="K51">
            <v>0.97685185185185186</v>
          </cell>
          <cell r="Q51">
            <v>0.97685185185185186</v>
          </cell>
          <cell r="W51">
            <v>0.97685185185185186</v>
          </cell>
        </row>
        <row r="66">
          <cell r="E66">
            <v>1</v>
          </cell>
          <cell r="K66">
            <v>1</v>
          </cell>
          <cell r="Q66">
            <v>1</v>
          </cell>
          <cell r="W66">
            <v>1</v>
          </cell>
        </row>
        <row r="69">
          <cell r="E69">
            <v>0.97685185185185186</v>
          </cell>
          <cell r="K69">
            <v>0.97685185185185186</v>
          </cell>
          <cell r="Q69">
            <v>0.97685185185185186</v>
          </cell>
          <cell r="W69">
            <v>0.97685185185185186</v>
          </cell>
        </row>
        <row r="84">
          <cell r="E84">
            <v>1</v>
          </cell>
          <cell r="K84">
            <v>1</v>
          </cell>
          <cell r="Q84">
            <v>1</v>
          </cell>
          <cell r="W84">
            <v>1</v>
          </cell>
        </row>
        <row r="87">
          <cell r="E87">
            <v>0.97685185185185186</v>
          </cell>
          <cell r="K87">
            <v>0.97685185185185186</v>
          </cell>
          <cell r="Q87">
            <v>0.97685185185185186</v>
          </cell>
          <cell r="W87">
            <v>0.97685185185185186</v>
          </cell>
        </row>
        <row r="102">
          <cell r="E102">
            <v>1</v>
          </cell>
          <cell r="K102">
            <v>1</v>
          </cell>
          <cell r="Q102">
            <v>1</v>
          </cell>
          <cell r="W102">
            <v>1</v>
          </cell>
        </row>
        <row r="105">
          <cell r="E105">
            <v>0.97685185185185186</v>
          </cell>
          <cell r="K105">
            <v>0.97685185185185186</v>
          </cell>
          <cell r="Q105">
            <v>0.97685185185185186</v>
          </cell>
          <cell r="W105">
            <v>0.97685185185185186</v>
          </cell>
        </row>
        <row r="120">
          <cell r="E120">
            <v>1</v>
          </cell>
          <cell r="K120">
            <v>0</v>
          </cell>
          <cell r="Q120">
            <v>0</v>
          </cell>
        </row>
        <row r="123">
          <cell r="E123">
            <v>0.97685185185185186</v>
          </cell>
          <cell r="K123">
            <v>0.97777777777777775</v>
          </cell>
          <cell r="Q123">
            <v>0.99972222222222218</v>
          </cell>
        </row>
        <row r="138">
          <cell r="E138">
            <v>1</v>
          </cell>
          <cell r="K138">
            <v>1</v>
          </cell>
        </row>
        <row r="141">
          <cell r="E141">
            <v>0.97685185185185186</v>
          </cell>
          <cell r="K141">
            <v>0.97685185185185186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V85"/>
  <sheetViews>
    <sheetView showGridLines="0" tabSelected="1" topLeftCell="CP51" zoomScale="85" zoomScaleNormal="85" workbookViewId="0">
      <pane ySplit="5" topLeftCell="A56" activePane="bottomLeft" state="frozen"/>
      <selection activeCell="E52" sqref="E52"/>
      <selection pane="bottomLeft" activeCell="CY64" sqref="CY64"/>
    </sheetView>
  </sheetViews>
  <sheetFormatPr defaultColWidth="8.85546875" defaultRowHeight="15" x14ac:dyDescent="0.25"/>
  <cols>
    <col min="1" max="1" width="8.85546875" style="1"/>
    <col min="2" max="2" width="3.42578125" style="1" bestFit="1" customWidth="1"/>
    <col min="3" max="3" width="23.7109375" style="1" bestFit="1" customWidth="1"/>
    <col min="4" max="4" width="23.5703125" style="1" bestFit="1" customWidth="1"/>
    <col min="5" max="5" width="6.85546875" style="1" bestFit="1" customWidth="1"/>
    <col min="6" max="7" width="12.42578125" style="1" bestFit="1" customWidth="1"/>
    <col min="8" max="8" width="11.5703125" style="1" bestFit="1" customWidth="1"/>
    <col min="9" max="10" width="10.85546875" style="1" bestFit="1" customWidth="1"/>
    <col min="11" max="11" width="3.42578125" style="1" bestFit="1" customWidth="1"/>
    <col min="12" max="12" width="23.7109375" style="1" bestFit="1" customWidth="1"/>
    <col min="13" max="13" width="27.28515625" style="1" bestFit="1" customWidth="1"/>
    <col min="14" max="14" width="6.85546875" style="1" bestFit="1" customWidth="1"/>
    <col min="15" max="16" width="12.42578125" style="1" bestFit="1" customWidth="1"/>
    <col min="17" max="17" width="11.5703125" style="1" bestFit="1" customWidth="1"/>
    <col min="18" max="18" width="10.85546875" style="1" bestFit="1" customWidth="1"/>
    <col min="19" max="19" width="8.85546875" style="1"/>
    <col min="20" max="20" width="3.42578125" style="1" bestFit="1" customWidth="1"/>
    <col min="21" max="21" width="23.7109375" style="1" bestFit="1" customWidth="1"/>
    <col min="22" max="22" width="28.140625" style="1" bestFit="1" customWidth="1"/>
    <col min="23" max="23" width="6.85546875" style="1" bestFit="1" customWidth="1"/>
    <col min="24" max="24" width="12.42578125" style="1" bestFit="1" customWidth="1"/>
    <col min="25" max="25" width="11.5703125" style="1" bestFit="1" customWidth="1"/>
    <col min="26" max="27" width="10.85546875" style="1" bestFit="1" customWidth="1"/>
    <col min="28" max="28" width="8.85546875" style="1"/>
    <col min="29" max="29" width="3.42578125" style="1" bestFit="1" customWidth="1"/>
    <col min="30" max="30" width="23.7109375" style="1" bestFit="1" customWidth="1"/>
    <col min="31" max="31" width="24" style="1" bestFit="1" customWidth="1"/>
    <col min="32" max="32" width="6.85546875" style="1" bestFit="1" customWidth="1"/>
    <col min="33" max="34" width="12.42578125" style="1" bestFit="1" customWidth="1"/>
    <col min="35" max="35" width="11.5703125" style="1" bestFit="1" customWidth="1"/>
    <col min="36" max="36" width="10.85546875" style="1" bestFit="1" customWidth="1"/>
    <col min="37" max="37" width="8.85546875" style="1"/>
    <col min="38" max="38" width="3.42578125" style="1" bestFit="1" customWidth="1"/>
    <col min="39" max="39" width="23.7109375" style="1" bestFit="1" customWidth="1"/>
    <col min="40" max="40" width="24.28515625" style="1" bestFit="1" customWidth="1"/>
    <col min="41" max="41" width="6.85546875" style="1" bestFit="1" customWidth="1"/>
    <col min="42" max="43" width="12.42578125" style="1" bestFit="1" customWidth="1"/>
    <col min="44" max="44" width="5.85546875" style="1" bestFit="1" customWidth="1"/>
    <col min="45" max="45" width="10.85546875" style="1" bestFit="1" customWidth="1"/>
    <col min="46" max="46" width="8.85546875" style="1"/>
    <col min="47" max="47" width="3.42578125" style="1" bestFit="1" customWidth="1"/>
    <col min="48" max="48" width="23.7109375" style="1" bestFit="1" customWidth="1"/>
    <col min="49" max="49" width="28.85546875" style="1" bestFit="1" customWidth="1"/>
    <col min="50" max="50" width="6.85546875" style="1" bestFit="1" customWidth="1"/>
    <col min="51" max="52" width="12.42578125" style="1" bestFit="1" customWidth="1"/>
    <col min="53" max="53" width="5.85546875" style="1" bestFit="1" customWidth="1"/>
    <col min="54" max="54" width="10.85546875" style="1" bestFit="1" customWidth="1"/>
    <col min="55" max="55" width="8.85546875" style="1"/>
    <col min="56" max="56" width="3.42578125" style="1" bestFit="1" customWidth="1"/>
    <col min="57" max="57" width="23.7109375" style="1" bestFit="1" customWidth="1"/>
    <col min="58" max="58" width="32.5703125" style="1" bestFit="1" customWidth="1"/>
    <col min="59" max="59" width="6.85546875" style="1" bestFit="1" customWidth="1"/>
    <col min="60" max="61" width="12.42578125" style="1" bestFit="1" customWidth="1"/>
    <col min="62" max="62" width="5.85546875" style="1" bestFit="1" customWidth="1"/>
    <col min="63" max="63" width="10.85546875" style="1" bestFit="1" customWidth="1"/>
    <col min="64" max="64" width="8.85546875" style="1"/>
    <col min="65" max="65" width="3.42578125" style="1" bestFit="1" customWidth="1"/>
    <col min="66" max="66" width="23.7109375" style="1" bestFit="1" customWidth="1"/>
    <col min="67" max="67" width="30.140625" style="1" bestFit="1" customWidth="1"/>
    <col min="68" max="68" width="6.85546875" style="1" bestFit="1" customWidth="1"/>
    <col min="69" max="70" width="12.42578125" style="1" bestFit="1" customWidth="1"/>
    <col min="71" max="71" width="8.42578125" style="1" bestFit="1" customWidth="1"/>
    <col min="72" max="72" width="10.85546875" style="1" bestFit="1" customWidth="1"/>
    <col min="73" max="73" width="8.85546875" style="1"/>
    <col min="74" max="74" width="3.42578125" style="1" bestFit="1" customWidth="1"/>
    <col min="75" max="75" width="23.7109375" style="1" bestFit="1" customWidth="1"/>
    <col min="76" max="76" width="27.28515625" style="1" bestFit="1" customWidth="1"/>
    <col min="77" max="77" width="6.85546875" style="1" bestFit="1" customWidth="1"/>
    <col min="78" max="79" width="12.42578125" style="1" bestFit="1" customWidth="1"/>
    <col min="80" max="80" width="5.85546875" style="1" bestFit="1" customWidth="1"/>
    <col min="81" max="81" width="10.85546875" style="1" bestFit="1" customWidth="1"/>
    <col min="82" max="82" width="8.85546875" style="1"/>
    <col min="83" max="83" width="3.42578125" style="1" bestFit="1" customWidth="1"/>
    <col min="84" max="84" width="23.7109375" style="1" bestFit="1" customWidth="1"/>
    <col min="85" max="85" width="24" style="1" bestFit="1" customWidth="1"/>
    <col min="86" max="86" width="6.85546875" style="1" bestFit="1" customWidth="1"/>
    <col min="87" max="88" width="12.42578125" style="1" bestFit="1" customWidth="1"/>
    <col min="89" max="89" width="5.85546875" style="1" bestFit="1" customWidth="1"/>
    <col min="90" max="90" width="10.85546875" style="1" bestFit="1" customWidth="1"/>
    <col min="91" max="91" width="8.85546875" style="1"/>
    <col min="92" max="92" width="3.42578125" style="1" bestFit="1" customWidth="1"/>
    <col min="93" max="93" width="23.7109375" style="1" bestFit="1" customWidth="1"/>
    <col min="94" max="94" width="24.28515625" style="1" bestFit="1" customWidth="1"/>
    <col min="95" max="95" width="6.85546875" style="1" bestFit="1" customWidth="1"/>
    <col min="96" max="97" width="12.42578125" style="1" bestFit="1" customWidth="1"/>
    <col min="98" max="98" width="5.85546875" style="1" bestFit="1" customWidth="1"/>
    <col min="99" max="99" width="10.85546875" style="1" bestFit="1" customWidth="1"/>
    <col min="100" max="100" width="8.85546875" style="1"/>
    <col min="101" max="101" width="3.42578125" style="1" bestFit="1" customWidth="1"/>
    <col min="102" max="102" width="23.7109375" style="1" bestFit="1" customWidth="1"/>
    <col min="103" max="103" width="33.5703125" style="1" bestFit="1" customWidth="1"/>
    <col min="104" max="104" width="6.85546875" style="1" bestFit="1" customWidth="1"/>
    <col min="105" max="106" width="12.42578125" style="1" bestFit="1" customWidth="1"/>
    <col min="107" max="107" width="5.85546875" style="1" bestFit="1" customWidth="1"/>
    <col min="108" max="108" width="10.85546875" style="1" bestFit="1" customWidth="1"/>
    <col min="109" max="109" width="8.85546875" style="1"/>
    <col min="110" max="110" width="3.42578125" style="1" bestFit="1" customWidth="1"/>
    <col min="111" max="111" width="23.7109375" style="1" bestFit="1" customWidth="1"/>
    <col min="112" max="112" width="32.5703125" style="1" bestFit="1" customWidth="1"/>
    <col min="113" max="113" width="6.85546875" style="1" bestFit="1" customWidth="1"/>
    <col min="114" max="115" width="12.42578125" style="1" bestFit="1" customWidth="1"/>
    <col min="116" max="116" width="5.85546875" style="1" bestFit="1" customWidth="1"/>
    <col min="117" max="117" width="10.85546875" style="1" bestFit="1" customWidth="1"/>
    <col min="118" max="118" width="8.85546875" style="1"/>
    <col min="119" max="119" width="3.42578125" style="1" bestFit="1" customWidth="1"/>
    <col min="120" max="120" width="23.7109375" style="1" bestFit="1" customWidth="1"/>
    <col min="121" max="121" width="28.85546875" style="1" bestFit="1" customWidth="1"/>
    <col min="122" max="122" width="6.85546875" style="1" bestFit="1" customWidth="1"/>
    <col min="123" max="124" width="12.42578125" style="1" bestFit="1" customWidth="1"/>
    <col min="125" max="125" width="5.85546875" style="1" bestFit="1" customWidth="1"/>
    <col min="126" max="126" width="10.85546875" style="1" bestFit="1" customWidth="1"/>
    <col min="127" max="16384" width="8.85546875" style="1"/>
  </cols>
  <sheetData>
    <row r="2" spans="2:45" ht="21" x14ac:dyDescent="0.35">
      <c r="B2" s="78" t="s">
        <v>238</v>
      </c>
    </row>
    <row r="3" spans="2:45" x14ac:dyDescent="0.25">
      <c r="B3" s="60"/>
    </row>
    <row r="4" spans="2:45" s="77" customFormat="1" ht="21" x14ac:dyDescent="0.35">
      <c r="B4" s="77" t="s">
        <v>237</v>
      </c>
    </row>
    <row r="5" spans="2:45" ht="18.75" x14ac:dyDescent="0.3">
      <c r="B5" s="76" t="s">
        <v>236</v>
      </c>
    </row>
    <row r="6" spans="2:45" ht="18.75" x14ac:dyDescent="0.3">
      <c r="B6" s="76" t="s">
        <v>235</v>
      </c>
    </row>
    <row r="7" spans="2:45" ht="18.75" x14ac:dyDescent="0.3">
      <c r="B7" s="76" t="s">
        <v>234</v>
      </c>
    </row>
    <row r="8" spans="2:45" ht="18.75" customHeight="1" x14ac:dyDescent="0.3">
      <c r="B8" s="76"/>
    </row>
    <row r="9" spans="2:45" ht="180.75" thickBot="1" x14ac:dyDescent="0.35">
      <c r="B9" s="76"/>
      <c r="D9" s="75" t="s">
        <v>232</v>
      </c>
      <c r="E9" s="74" t="s">
        <v>231</v>
      </c>
      <c r="F9" s="74" t="s">
        <v>233</v>
      </c>
      <c r="G9" s="74" t="s">
        <v>229</v>
      </c>
      <c r="H9" s="74" t="s">
        <v>228</v>
      </c>
      <c r="I9" s="74" t="s">
        <v>227</v>
      </c>
      <c r="V9" s="75" t="s">
        <v>232</v>
      </c>
      <c r="W9" s="74" t="s">
        <v>231</v>
      </c>
      <c r="X9" s="74" t="s">
        <v>230</v>
      </c>
      <c r="Y9" s="74" t="s">
        <v>229</v>
      </c>
      <c r="Z9" s="74" t="s">
        <v>228</v>
      </c>
      <c r="AA9" s="74" t="s">
        <v>227</v>
      </c>
    </row>
    <row r="10" spans="2:45" x14ac:dyDescent="0.25">
      <c r="B10" s="105" t="s">
        <v>226</v>
      </c>
      <c r="C10" s="106"/>
      <c r="D10" s="106"/>
      <c r="E10" s="106"/>
      <c r="F10" s="106"/>
      <c r="G10" s="106"/>
      <c r="H10" s="106"/>
      <c r="I10" s="107"/>
      <c r="T10" s="105" t="s">
        <v>226</v>
      </c>
      <c r="U10" s="106"/>
      <c r="V10" s="106"/>
      <c r="W10" s="106"/>
      <c r="X10" s="106"/>
      <c r="Y10" s="106"/>
      <c r="Z10" s="106"/>
      <c r="AA10" s="107"/>
      <c r="AL10" s="105" t="s">
        <v>226</v>
      </c>
      <c r="AM10" s="106"/>
      <c r="AN10" s="106"/>
      <c r="AO10" s="106"/>
      <c r="AP10" s="106"/>
      <c r="AQ10" s="106"/>
      <c r="AR10" s="106"/>
      <c r="AS10" s="107"/>
    </row>
    <row r="11" spans="2:45" ht="15.75" thickBot="1" x14ac:dyDescent="0.3">
      <c r="B11" s="108" t="s">
        <v>195</v>
      </c>
      <c r="C11" s="109"/>
      <c r="D11" s="109"/>
      <c r="E11" s="109"/>
      <c r="F11" s="109"/>
      <c r="G11" s="109"/>
      <c r="H11" s="109"/>
      <c r="I11" s="110"/>
      <c r="T11" s="108" t="s">
        <v>195</v>
      </c>
      <c r="U11" s="109"/>
      <c r="V11" s="109"/>
      <c r="W11" s="109"/>
      <c r="X11" s="109"/>
      <c r="Y11" s="109"/>
      <c r="Z11" s="109"/>
      <c r="AA11" s="110"/>
      <c r="AL11" s="108" t="s">
        <v>195</v>
      </c>
      <c r="AM11" s="109"/>
      <c r="AN11" s="109"/>
      <c r="AO11" s="109"/>
      <c r="AP11" s="109"/>
      <c r="AQ11" s="109"/>
      <c r="AR11" s="109"/>
      <c r="AS11" s="110"/>
    </row>
    <row r="12" spans="2:45" ht="15.75" thickBot="1" x14ac:dyDescent="0.3">
      <c r="B12" s="96" t="s">
        <v>194</v>
      </c>
      <c r="C12" s="97"/>
      <c r="D12" s="97"/>
      <c r="E12" s="97"/>
      <c r="F12" s="97"/>
      <c r="G12" s="97"/>
      <c r="H12" s="97"/>
      <c r="I12" s="98"/>
      <c r="T12" s="96" t="s">
        <v>225</v>
      </c>
      <c r="U12" s="97"/>
      <c r="V12" s="97"/>
      <c r="W12" s="97"/>
      <c r="X12" s="97"/>
      <c r="Y12" s="97"/>
      <c r="Z12" s="97"/>
      <c r="AA12" s="98"/>
      <c r="AL12" s="73" t="s">
        <v>193</v>
      </c>
      <c r="AM12" s="72"/>
      <c r="AN12" s="72"/>
      <c r="AO12" s="72"/>
      <c r="AP12" s="72"/>
      <c r="AQ12" s="72"/>
      <c r="AR12" s="72"/>
      <c r="AS12" s="71"/>
    </row>
    <row r="13" spans="2:45" ht="15.75" thickBot="1" x14ac:dyDescent="0.3">
      <c r="B13" s="99" t="s">
        <v>180</v>
      </c>
      <c r="C13" s="100"/>
      <c r="D13" s="100"/>
      <c r="E13" s="100"/>
      <c r="F13" s="100"/>
      <c r="G13" s="100"/>
      <c r="H13" s="100"/>
      <c r="I13" s="101"/>
      <c r="T13" s="99" t="s">
        <v>179</v>
      </c>
      <c r="U13" s="100"/>
      <c r="V13" s="100"/>
      <c r="W13" s="100"/>
      <c r="X13" s="100"/>
      <c r="Y13" s="100"/>
      <c r="Z13" s="100"/>
      <c r="AA13" s="101"/>
      <c r="AL13" s="102" t="s">
        <v>180</v>
      </c>
      <c r="AM13" s="103"/>
      <c r="AN13" s="103"/>
      <c r="AO13" s="103"/>
      <c r="AP13" s="103"/>
      <c r="AQ13" s="103"/>
      <c r="AR13" s="103"/>
      <c r="AS13" s="104"/>
    </row>
    <row r="14" spans="2:45" ht="15.75" thickBot="1" x14ac:dyDescent="0.3">
      <c r="B14" s="17" t="s">
        <v>178</v>
      </c>
      <c r="C14" s="16" t="s">
        <v>177</v>
      </c>
      <c r="D14" s="16" t="s">
        <v>176</v>
      </c>
      <c r="E14" s="15" t="s">
        <v>175</v>
      </c>
      <c r="F14" s="15" t="s">
        <v>174</v>
      </c>
      <c r="G14" s="15" t="s">
        <v>173</v>
      </c>
      <c r="H14" s="15" t="s">
        <v>172</v>
      </c>
      <c r="I14" s="14" t="s">
        <v>224</v>
      </c>
      <c r="T14" s="17" t="s">
        <v>178</v>
      </c>
      <c r="U14" s="16" t="s">
        <v>177</v>
      </c>
      <c r="V14" s="16" t="s">
        <v>176</v>
      </c>
      <c r="W14" s="15" t="s">
        <v>175</v>
      </c>
      <c r="X14" s="15" t="s">
        <v>174</v>
      </c>
      <c r="Y14" s="15" t="s">
        <v>173</v>
      </c>
      <c r="Z14" s="15" t="s">
        <v>172</v>
      </c>
      <c r="AA14" s="14" t="s">
        <v>171</v>
      </c>
      <c r="AL14" s="17" t="s">
        <v>178</v>
      </c>
      <c r="AM14" s="16" t="s">
        <v>177</v>
      </c>
      <c r="AN14" s="16" t="s">
        <v>176</v>
      </c>
      <c r="AO14" s="15" t="s">
        <v>175</v>
      </c>
      <c r="AP14" s="15" t="s">
        <v>174</v>
      </c>
      <c r="AQ14" s="15" t="s">
        <v>173</v>
      </c>
      <c r="AR14" s="15" t="s">
        <v>172</v>
      </c>
      <c r="AS14" s="14" t="s">
        <v>171</v>
      </c>
    </row>
    <row r="15" spans="2:45" ht="15.75" thickBot="1" x14ac:dyDescent="0.3">
      <c r="B15" s="59" t="s">
        <v>170</v>
      </c>
      <c r="C15" s="58" t="s">
        <v>169</v>
      </c>
      <c r="D15" s="58"/>
      <c r="E15" s="57"/>
      <c r="F15" s="57"/>
      <c r="G15" s="57"/>
      <c r="H15" s="57"/>
      <c r="I15" s="56"/>
      <c r="T15" s="59" t="s">
        <v>170</v>
      </c>
      <c r="U15" s="58" t="s">
        <v>169</v>
      </c>
      <c r="V15" s="58"/>
      <c r="W15" s="57"/>
      <c r="X15" s="57"/>
      <c r="Y15" s="57"/>
      <c r="Z15" s="57"/>
      <c r="AA15" s="56"/>
      <c r="AL15" s="59" t="s">
        <v>170</v>
      </c>
      <c r="AM15" s="58" t="s">
        <v>169</v>
      </c>
      <c r="AN15" s="58"/>
      <c r="AO15" s="57"/>
      <c r="AP15" s="57"/>
      <c r="AQ15" s="57"/>
      <c r="AR15" s="57"/>
      <c r="AS15" s="56"/>
    </row>
    <row r="16" spans="2:45" x14ac:dyDescent="0.25">
      <c r="B16" s="38">
        <v>1</v>
      </c>
      <c r="C16" s="37" t="s">
        <v>168</v>
      </c>
      <c r="D16" s="37"/>
      <c r="E16" s="36"/>
      <c r="F16" s="36"/>
      <c r="G16" s="36"/>
      <c r="H16" s="36"/>
      <c r="I16" s="35"/>
      <c r="J16" s="1" t="s">
        <v>223</v>
      </c>
      <c r="T16" s="38">
        <v>1</v>
      </c>
      <c r="U16" s="37" t="s">
        <v>168</v>
      </c>
      <c r="V16" s="37"/>
      <c r="W16" s="36"/>
      <c r="X16" s="36"/>
      <c r="Y16" s="36"/>
      <c r="Z16" s="36"/>
      <c r="AA16" s="35"/>
      <c r="AB16" s="1" t="s">
        <v>223</v>
      </c>
      <c r="AL16" s="38">
        <v>1</v>
      </c>
      <c r="AM16" s="37" t="s">
        <v>168</v>
      </c>
      <c r="AN16" s="37"/>
      <c r="AO16" s="36"/>
      <c r="AP16" s="36"/>
      <c r="AQ16" s="36"/>
      <c r="AR16" s="36"/>
      <c r="AS16" s="35"/>
    </row>
    <row r="17" spans="2:45" ht="15.75" thickBot="1" x14ac:dyDescent="0.3">
      <c r="B17" s="5">
        <v>2</v>
      </c>
      <c r="C17" s="4" t="s">
        <v>155</v>
      </c>
      <c r="D17" s="4"/>
      <c r="E17" s="3"/>
      <c r="F17" s="3"/>
      <c r="G17" s="3"/>
      <c r="H17" s="3"/>
      <c r="I17" s="2"/>
      <c r="J17" s="1" t="s">
        <v>222</v>
      </c>
      <c r="T17" s="5">
        <v>2</v>
      </c>
      <c r="U17" s="4" t="s">
        <v>155</v>
      </c>
      <c r="V17" s="4" t="s">
        <v>154</v>
      </c>
      <c r="W17" s="3"/>
      <c r="X17" s="3"/>
      <c r="Y17" s="3"/>
      <c r="Z17" s="3"/>
      <c r="AA17" s="2"/>
      <c r="AB17" s="1" t="s">
        <v>222</v>
      </c>
      <c r="AL17" s="5">
        <v>2</v>
      </c>
      <c r="AM17" s="4" t="s">
        <v>155</v>
      </c>
      <c r="AN17" s="4"/>
      <c r="AO17" s="3"/>
      <c r="AP17" s="3"/>
      <c r="AQ17" s="3"/>
      <c r="AR17" s="3"/>
      <c r="AS17" s="2"/>
    </row>
    <row r="18" spans="2:45" ht="15.75" thickBot="1" x14ac:dyDescent="0.3">
      <c r="B18" s="5">
        <v>3</v>
      </c>
      <c r="C18" s="4" t="s">
        <v>221</v>
      </c>
      <c r="D18" s="4"/>
      <c r="E18" s="3"/>
      <c r="F18" s="3"/>
      <c r="G18" s="3"/>
      <c r="H18" s="3"/>
      <c r="I18" s="2"/>
      <c r="J18" s="1" t="s">
        <v>220</v>
      </c>
      <c r="T18" s="5"/>
      <c r="U18" s="4"/>
      <c r="V18" s="4" t="s">
        <v>147</v>
      </c>
      <c r="W18" s="3"/>
      <c r="X18" s="3"/>
      <c r="Y18" s="3"/>
      <c r="Z18" s="3"/>
      <c r="AA18" s="2"/>
      <c r="AB18" s="1" t="s">
        <v>222</v>
      </c>
      <c r="AL18" s="17" t="s">
        <v>143</v>
      </c>
      <c r="AM18" s="16" t="s">
        <v>142</v>
      </c>
      <c r="AN18" s="16"/>
      <c r="AO18" s="15"/>
      <c r="AP18" s="15"/>
      <c r="AQ18" s="15"/>
      <c r="AR18" s="15"/>
      <c r="AS18" s="14"/>
    </row>
    <row r="19" spans="2:45" ht="15.75" thickBot="1" x14ac:dyDescent="0.3">
      <c r="B19" s="17" t="s">
        <v>143</v>
      </c>
      <c r="C19" s="16" t="s">
        <v>153</v>
      </c>
      <c r="D19" s="16"/>
      <c r="E19" s="15"/>
      <c r="F19" s="15"/>
      <c r="G19" s="15"/>
      <c r="H19" s="15"/>
      <c r="I19" s="14"/>
      <c r="T19" s="5">
        <v>3</v>
      </c>
      <c r="U19" s="4" t="s">
        <v>221</v>
      </c>
      <c r="V19" s="4"/>
      <c r="W19" s="3"/>
      <c r="X19" s="3"/>
      <c r="Y19" s="3"/>
      <c r="Z19" s="3"/>
      <c r="AA19" s="2"/>
      <c r="AB19" s="1" t="s">
        <v>220</v>
      </c>
      <c r="AL19" s="10">
        <v>1</v>
      </c>
      <c r="AM19" s="9" t="s">
        <v>131</v>
      </c>
      <c r="AN19" s="9" t="s">
        <v>146</v>
      </c>
      <c r="AO19" s="8" t="s">
        <v>42</v>
      </c>
      <c r="AP19" s="43" t="e">
        <f>[1]IC_Machine!AX104</f>
        <v>#REF!</v>
      </c>
      <c r="AQ19" s="8"/>
      <c r="AR19" s="8">
        <v>0</v>
      </c>
      <c r="AS19" s="7" t="e">
        <f>[1]IC_Machine!AX101</f>
        <v>#REF!</v>
      </c>
    </row>
    <row r="20" spans="2:45" ht="15.75" thickBot="1" x14ac:dyDescent="0.3">
      <c r="B20" s="10">
        <v>1</v>
      </c>
      <c r="C20" s="9" t="s">
        <v>131</v>
      </c>
      <c r="D20" s="9"/>
      <c r="E20" s="8"/>
      <c r="F20" s="8"/>
      <c r="G20" s="8"/>
      <c r="H20" s="8"/>
      <c r="I20" s="7"/>
      <c r="J20" s="1" t="s">
        <v>219</v>
      </c>
      <c r="T20" s="17" t="s">
        <v>143</v>
      </c>
      <c r="U20" s="16" t="s">
        <v>142</v>
      </c>
      <c r="V20" s="16"/>
      <c r="W20" s="15"/>
      <c r="X20" s="15"/>
      <c r="Y20" s="15"/>
      <c r="Z20" s="15"/>
      <c r="AA20" s="14"/>
      <c r="AL20" s="5">
        <v>2</v>
      </c>
      <c r="AM20" s="4" t="s">
        <v>88</v>
      </c>
      <c r="AN20" s="4" t="s">
        <v>140</v>
      </c>
      <c r="AO20" s="3" t="s">
        <v>45</v>
      </c>
      <c r="AP20" s="44">
        <f>[1]IC_Dynamic!E55</f>
        <v>0.97685185185185186</v>
      </c>
      <c r="AQ20" s="3"/>
      <c r="AR20" s="8">
        <f>AR33/10</f>
        <v>0.1</v>
      </c>
      <c r="AS20" s="2">
        <f>[1]IC_Dynamic!E21</f>
        <v>0</v>
      </c>
    </row>
    <row r="21" spans="2:45" ht="15" customHeight="1" thickBot="1" x14ac:dyDescent="0.3">
      <c r="B21" s="5">
        <v>2</v>
      </c>
      <c r="C21" s="4" t="s">
        <v>88</v>
      </c>
      <c r="D21" s="4" t="s">
        <v>141</v>
      </c>
      <c r="E21" s="3" t="s">
        <v>45</v>
      </c>
      <c r="F21" s="3" t="s">
        <v>218</v>
      </c>
      <c r="G21" s="70">
        <f>G32</f>
        <v>0</v>
      </c>
      <c r="H21" s="3"/>
      <c r="I21" s="2"/>
      <c r="J21" s="1" t="s">
        <v>217</v>
      </c>
      <c r="T21" s="10">
        <v>1</v>
      </c>
      <c r="U21" s="9" t="s">
        <v>131</v>
      </c>
      <c r="V21" s="9" t="s">
        <v>130</v>
      </c>
      <c r="W21" s="8" t="s">
        <v>45</v>
      </c>
      <c r="X21" s="43">
        <f>[1]IC_Machine!E24</f>
        <v>0.99759259259259259</v>
      </c>
      <c r="Y21" s="8">
        <f>Y38</f>
        <v>30</v>
      </c>
      <c r="Z21" s="8">
        <f>Z38/10</f>
        <v>0.1</v>
      </c>
      <c r="AA21" s="7">
        <f>[1]IC_Machine!E21</f>
        <v>0.1</v>
      </c>
      <c r="AB21" s="93" t="s">
        <v>216</v>
      </c>
      <c r="AC21" s="94"/>
      <c r="AD21" s="94"/>
      <c r="AE21" s="94"/>
      <c r="AF21" s="66"/>
      <c r="AL21" s="5">
        <v>3</v>
      </c>
      <c r="AM21" s="4" t="s">
        <v>67</v>
      </c>
      <c r="AN21" s="4"/>
      <c r="AO21" s="3"/>
      <c r="AP21" s="3"/>
      <c r="AQ21" s="3"/>
      <c r="AR21" s="3"/>
      <c r="AS21" s="2"/>
    </row>
    <row r="22" spans="2:45" ht="39.75" customHeight="1" thickBot="1" x14ac:dyDescent="0.3">
      <c r="B22" s="5">
        <v>3</v>
      </c>
      <c r="C22" s="4" t="s">
        <v>67</v>
      </c>
      <c r="D22" s="4" t="s">
        <v>129</v>
      </c>
      <c r="E22" s="3"/>
      <c r="F22" s="69" t="s">
        <v>215</v>
      </c>
      <c r="G22" s="32">
        <f>H22</f>
        <v>1</v>
      </c>
      <c r="H22" s="32">
        <f>1-I22</f>
        <v>1</v>
      </c>
      <c r="I22" s="2">
        <f>H32</f>
        <v>0</v>
      </c>
      <c r="J22" s="92" t="s">
        <v>214</v>
      </c>
      <c r="K22" s="92"/>
      <c r="L22" s="92"/>
      <c r="M22" s="68"/>
      <c r="T22" s="10"/>
      <c r="U22" s="9"/>
      <c r="V22" s="9" t="s">
        <v>119</v>
      </c>
      <c r="W22" s="8"/>
      <c r="X22" s="8"/>
      <c r="Y22" s="8"/>
      <c r="Z22" s="8"/>
      <c r="AA22" s="7"/>
      <c r="AB22" s="93"/>
      <c r="AC22" s="94"/>
      <c r="AD22" s="94"/>
      <c r="AE22" s="94"/>
      <c r="AF22" s="66"/>
      <c r="AL22" s="17" t="s">
        <v>39</v>
      </c>
      <c r="AM22" s="16" t="s">
        <v>38</v>
      </c>
      <c r="AN22" s="16"/>
      <c r="AO22" s="15"/>
      <c r="AP22" s="15"/>
      <c r="AQ22" s="15"/>
      <c r="AR22" s="15"/>
      <c r="AS22" s="14"/>
    </row>
    <row r="23" spans="2:45" ht="15.75" thickBot="1" x14ac:dyDescent="0.3">
      <c r="B23" s="17" t="s">
        <v>39</v>
      </c>
      <c r="C23" s="16" t="s">
        <v>38</v>
      </c>
      <c r="D23" s="16"/>
      <c r="E23" s="15"/>
      <c r="F23" s="15"/>
      <c r="G23" s="15"/>
      <c r="H23" s="15"/>
      <c r="I23" s="14"/>
      <c r="T23" s="5">
        <v>2</v>
      </c>
      <c r="U23" s="4" t="s">
        <v>88</v>
      </c>
      <c r="V23" s="4" t="s">
        <v>109</v>
      </c>
      <c r="W23" s="3"/>
      <c r="X23" s="3"/>
      <c r="Y23" s="3"/>
      <c r="Z23" s="3"/>
      <c r="AA23" s="2"/>
      <c r="AB23" s="67"/>
      <c r="AC23" s="64"/>
      <c r="AD23" s="64"/>
      <c r="AE23" s="64"/>
      <c r="AF23" s="64"/>
      <c r="AL23" s="10">
        <v>1</v>
      </c>
      <c r="AM23" s="9" t="s">
        <v>32</v>
      </c>
      <c r="AN23" s="9"/>
      <c r="AO23" s="8"/>
      <c r="AP23" s="8"/>
      <c r="AQ23" s="8"/>
      <c r="AR23" s="8"/>
      <c r="AS23" s="7"/>
    </row>
    <row r="24" spans="2:45" ht="15.75" customHeight="1" thickBot="1" x14ac:dyDescent="0.3">
      <c r="B24" s="34">
        <v>3</v>
      </c>
      <c r="C24" s="33" t="s">
        <v>18</v>
      </c>
      <c r="D24" s="33" t="s">
        <v>93</v>
      </c>
      <c r="E24" s="32"/>
      <c r="F24" s="32"/>
      <c r="G24" s="32">
        <f>H24</f>
        <v>1</v>
      </c>
      <c r="H24" s="32">
        <f>1-I24</f>
        <v>1</v>
      </c>
      <c r="I24" s="2">
        <f>H35</f>
        <v>0</v>
      </c>
      <c r="J24" s="92" t="s">
        <v>213</v>
      </c>
      <c r="K24" s="92"/>
      <c r="L24" s="92"/>
      <c r="M24" s="68"/>
      <c r="T24" s="5"/>
      <c r="U24" s="4"/>
      <c r="V24" s="4" t="s">
        <v>101</v>
      </c>
      <c r="W24" s="3"/>
      <c r="X24" s="3"/>
      <c r="Y24" s="3"/>
      <c r="Z24" s="3"/>
      <c r="AA24" s="2"/>
      <c r="AL24" s="10">
        <v>2</v>
      </c>
      <c r="AM24" s="4" t="s">
        <v>27</v>
      </c>
      <c r="AN24" s="4"/>
      <c r="AO24" s="3"/>
      <c r="AP24" s="3"/>
      <c r="AQ24" s="3"/>
      <c r="AR24" s="3"/>
      <c r="AS24" s="2"/>
    </row>
    <row r="25" spans="2:45" ht="15.75" thickBot="1" x14ac:dyDescent="0.3">
      <c r="B25" s="17" t="s">
        <v>15</v>
      </c>
      <c r="C25" s="16" t="s">
        <v>14</v>
      </c>
      <c r="D25" s="16"/>
      <c r="E25" s="15"/>
      <c r="F25" s="15"/>
      <c r="G25" s="15"/>
      <c r="H25" s="15"/>
      <c r="I25" s="14"/>
      <c r="J25" s="92"/>
      <c r="K25" s="92"/>
      <c r="L25" s="92"/>
      <c r="M25" s="68"/>
      <c r="T25" s="5">
        <v>3</v>
      </c>
      <c r="U25" s="4" t="s">
        <v>67</v>
      </c>
      <c r="V25" s="4"/>
      <c r="W25" s="3"/>
      <c r="X25" s="3"/>
      <c r="Y25" s="3"/>
      <c r="Z25" s="3"/>
      <c r="AA25" s="2"/>
      <c r="AL25" s="34">
        <v>3</v>
      </c>
      <c r="AM25" s="33" t="s">
        <v>18</v>
      </c>
      <c r="AN25" s="33" t="s">
        <v>92</v>
      </c>
      <c r="AO25" s="32">
        <f>AO31</f>
        <v>0.1</v>
      </c>
      <c r="AP25" s="32"/>
      <c r="AQ25" s="32"/>
      <c r="AR25" s="32"/>
      <c r="AS25" s="31"/>
    </row>
    <row r="26" spans="2:45" ht="15.75" thickBot="1" x14ac:dyDescent="0.3">
      <c r="B26" s="10">
        <v>1</v>
      </c>
      <c r="C26" s="9" t="s">
        <v>11</v>
      </c>
      <c r="D26" s="9"/>
      <c r="E26" s="8"/>
      <c r="F26" s="8"/>
      <c r="G26" s="8"/>
      <c r="H26" s="8"/>
      <c r="I26" s="7"/>
      <c r="J26" s="92"/>
      <c r="K26" s="92"/>
      <c r="L26" s="92"/>
      <c r="M26" s="68"/>
      <c r="T26" s="17" t="s">
        <v>39</v>
      </c>
      <c r="U26" s="16" t="s">
        <v>38</v>
      </c>
      <c r="V26" s="16"/>
      <c r="W26" s="15"/>
      <c r="X26" s="15"/>
      <c r="Y26" s="15"/>
      <c r="Z26" s="15"/>
      <c r="AA26" s="14"/>
      <c r="AL26" s="17" t="s">
        <v>15</v>
      </c>
      <c r="AM26" s="16" t="s">
        <v>14</v>
      </c>
      <c r="AN26" s="16"/>
      <c r="AO26" s="15"/>
      <c r="AP26" s="15"/>
      <c r="AQ26" s="15"/>
      <c r="AR26" s="15"/>
      <c r="AS26" s="14"/>
    </row>
    <row r="27" spans="2:45" x14ac:dyDescent="0.25">
      <c r="B27" s="10">
        <v>2</v>
      </c>
      <c r="C27" s="9" t="s">
        <v>7</v>
      </c>
      <c r="D27" s="4"/>
      <c r="E27" s="3"/>
      <c r="F27" s="3"/>
      <c r="G27" s="3"/>
      <c r="H27" s="45" t="s">
        <v>60</v>
      </c>
      <c r="I27" s="2"/>
      <c r="T27" s="10">
        <v>1</v>
      </c>
      <c r="U27" s="9" t="s">
        <v>32</v>
      </c>
      <c r="V27" s="9"/>
      <c r="W27" s="8"/>
      <c r="X27" s="8"/>
      <c r="Y27" s="8"/>
      <c r="Z27" s="8"/>
      <c r="AA27" s="7"/>
      <c r="AL27" s="10">
        <v>1</v>
      </c>
      <c r="AM27" s="9" t="s">
        <v>11</v>
      </c>
      <c r="AN27" s="9"/>
      <c r="AO27" s="8"/>
      <c r="AP27" s="8"/>
      <c r="AQ27" s="8"/>
      <c r="AR27" s="8"/>
      <c r="AS27" s="7"/>
    </row>
    <row r="28" spans="2:45" ht="15.75" thickBot="1" x14ac:dyDescent="0.3">
      <c r="B28" s="10">
        <v>3</v>
      </c>
      <c r="C28" s="9" t="s">
        <v>6</v>
      </c>
      <c r="D28" s="4"/>
      <c r="E28" s="3"/>
      <c r="F28" s="3"/>
      <c r="G28" s="3"/>
      <c r="H28" s="3"/>
      <c r="I28" s="2"/>
      <c r="T28" s="10">
        <v>2</v>
      </c>
      <c r="U28" s="4" t="s">
        <v>27</v>
      </c>
      <c r="V28" s="4" t="s">
        <v>61</v>
      </c>
      <c r="W28" s="3"/>
      <c r="X28" s="3"/>
      <c r="Y28" s="3"/>
      <c r="Z28" s="3"/>
      <c r="AA28" s="2"/>
      <c r="AL28" s="10">
        <v>2</v>
      </c>
      <c r="AM28" s="9" t="s">
        <v>7</v>
      </c>
      <c r="AN28" s="4"/>
      <c r="AO28" s="3"/>
      <c r="AP28" s="3"/>
      <c r="AQ28" s="3"/>
      <c r="AR28" s="3"/>
      <c r="AS28" s="2"/>
    </row>
    <row r="29" spans="2:45" ht="15.75" thickBot="1" x14ac:dyDescent="0.3">
      <c r="B29" s="17" t="s">
        <v>4</v>
      </c>
      <c r="C29" s="16" t="s">
        <v>3</v>
      </c>
      <c r="D29" s="16"/>
      <c r="E29" s="15"/>
      <c r="F29" s="15"/>
      <c r="G29" s="15"/>
      <c r="H29" s="15"/>
      <c r="I29" s="14"/>
      <c r="T29" s="34"/>
      <c r="U29" s="33"/>
      <c r="V29" s="4" t="s">
        <v>53</v>
      </c>
      <c r="W29" s="32"/>
      <c r="X29" s="32"/>
      <c r="Y29" s="32"/>
      <c r="Z29" s="32"/>
      <c r="AA29" s="31"/>
      <c r="AL29" s="10">
        <v>3</v>
      </c>
      <c r="AM29" s="9" t="s">
        <v>6</v>
      </c>
      <c r="AN29" s="4"/>
      <c r="AO29" s="3"/>
      <c r="AP29" s="3"/>
      <c r="AQ29" s="3"/>
      <c r="AR29" s="3"/>
      <c r="AS29" s="2"/>
    </row>
    <row r="30" spans="2:45" ht="15.75" thickBot="1" x14ac:dyDescent="0.3">
      <c r="B30" s="10">
        <v>1</v>
      </c>
      <c r="C30" s="9" t="s">
        <v>2</v>
      </c>
      <c r="D30" s="9" t="s">
        <v>212</v>
      </c>
      <c r="E30" s="8"/>
      <c r="F30" s="8"/>
      <c r="G30" s="8"/>
      <c r="H30" s="8"/>
      <c r="I30" s="7"/>
      <c r="T30" s="34">
        <v>3</v>
      </c>
      <c r="U30" s="33" t="s">
        <v>18</v>
      </c>
      <c r="V30" s="33" t="s">
        <v>44</v>
      </c>
      <c r="W30" s="32"/>
      <c r="X30" s="32"/>
      <c r="Y30" s="32"/>
      <c r="Z30" s="32">
        <f>W36+W39</f>
        <v>0.2</v>
      </c>
      <c r="AA30" s="31"/>
      <c r="AL30" s="17" t="s">
        <v>4</v>
      </c>
      <c r="AM30" s="16" t="s">
        <v>3</v>
      </c>
      <c r="AN30" s="16"/>
      <c r="AO30" s="15"/>
      <c r="AP30" s="15"/>
      <c r="AQ30" s="15"/>
      <c r="AR30" s="15"/>
      <c r="AS30" s="14"/>
    </row>
    <row r="31" spans="2:45" ht="15.75" thickBot="1" x14ac:dyDescent="0.3">
      <c r="B31" s="5">
        <v>2</v>
      </c>
      <c r="C31" s="4" t="s">
        <v>1</v>
      </c>
      <c r="D31" s="4" t="s">
        <v>201</v>
      </c>
      <c r="E31" s="3"/>
      <c r="F31" s="3"/>
      <c r="G31" s="3"/>
      <c r="H31" s="3"/>
      <c r="I31" s="2"/>
      <c r="T31" s="17" t="s">
        <v>15</v>
      </c>
      <c r="U31" s="16" t="s">
        <v>14</v>
      </c>
      <c r="V31" s="16"/>
      <c r="W31" s="15"/>
      <c r="X31" s="15"/>
      <c r="Y31" s="15"/>
      <c r="Z31" s="15"/>
      <c r="AA31" s="14"/>
      <c r="AL31" s="10">
        <v>1</v>
      </c>
      <c r="AM31" s="9" t="s">
        <v>2</v>
      </c>
      <c r="AN31" s="9" t="s">
        <v>211</v>
      </c>
      <c r="AO31" s="8">
        <v>0.1</v>
      </c>
      <c r="AP31" s="8"/>
      <c r="AQ31" s="8"/>
      <c r="AR31" s="8"/>
      <c r="AS31" s="7"/>
    </row>
    <row r="32" spans="2:45" ht="15.75" thickBot="1" x14ac:dyDescent="0.3">
      <c r="B32" s="13">
        <v>3</v>
      </c>
      <c r="C32" s="12" t="s">
        <v>0</v>
      </c>
      <c r="D32" s="12">
        <v>15</v>
      </c>
      <c r="E32" s="6"/>
      <c r="F32" s="6"/>
      <c r="G32" s="6">
        <v>0</v>
      </c>
      <c r="H32" s="6">
        <f>G32/D32</f>
        <v>0</v>
      </c>
      <c r="I32" s="11"/>
      <c r="T32" s="10">
        <v>1</v>
      </c>
      <c r="U32" s="9" t="s">
        <v>11</v>
      </c>
      <c r="V32" s="9" t="s">
        <v>210</v>
      </c>
      <c r="W32" s="8"/>
      <c r="X32" s="8"/>
      <c r="Y32" s="8"/>
      <c r="Z32" s="8"/>
      <c r="AA32" s="7"/>
      <c r="AL32" s="5">
        <v>2</v>
      </c>
      <c r="AM32" s="4" t="s">
        <v>1</v>
      </c>
      <c r="AN32" s="4" t="s">
        <v>209</v>
      </c>
      <c r="AO32" s="3"/>
      <c r="AP32" s="3"/>
      <c r="AQ32" s="3"/>
      <c r="AR32" s="3"/>
      <c r="AS32" s="2"/>
    </row>
    <row r="33" spans="2:45" ht="15.75" thickBot="1" x14ac:dyDescent="0.3">
      <c r="B33" s="10">
        <v>1</v>
      </c>
      <c r="C33" s="9" t="s">
        <v>2</v>
      </c>
      <c r="D33" s="9" t="s">
        <v>208</v>
      </c>
      <c r="E33" s="8"/>
      <c r="F33" s="8"/>
      <c r="G33" s="8"/>
      <c r="H33" s="8"/>
      <c r="I33" s="7"/>
      <c r="T33" s="10">
        <v>2</v>
      </c>
      <c r="U33" s="9" t="s">
        <v>7</v>
      </c>
      <c r="V33" s="4"/>
      <c r="W33" s="3"/>
      <c r="X33" s="3"/>
      <c r="Y33" s="3"/>
      <c r="Z33" s="3"/>
      <c r="AA33" s="2"/>
      <c r="AL33" s="13">
        <v>3</v>
      </c>
      <c r="AM33" s="12" t="s">
        <v>0</v>
      </c>
      <c r="AN33" s="12">
        <v>10</v>
      </c>
      <c r="AO33" s="6"/>
      <c r="AP33" s="6"/>
      <c r="AQ33" s="6">
        <v>10</v>
      </c>
      <c r="AR33" s="6">
        <f>AQ33/AN33</f>
        <v>1</v>
      </c>
      <c r="AS33" s="11"/>
    </row>
    <row r="34" spans="2:45" ht="15.75" thickBot="1" x14ac:dyDescent="0.3">
      <c r="B34" s="5">
        <v>2</v>
      </c>
      <c r="C34" s="4" t="s">
        <v>1</v>
      </c>
      <c r="D34" s="4" t="s">
        <v>207</v>
      </c>
      <c r="E34" s="3"/>
      <c r="F34" s="3"/>
      <c r="G34" s="3"/>
      <c r="H34" s="3"/>
      <c r="I34" s="2"/>
      <c r="T34" s="10">
        <v>3</v>
      </c>
      <c r="U34" s="9" t="s">
        <v>6</v>
      </c>
      <c r="V34" s="4" t="s">
        <v>21</v>
      </c>
      <c r="W34" s="3"/>
      <c r="X34" s="3"/>
      <c r="Y34" s="3"/>
      <c r="Z34" s="3"/>
      <c r="AA34" s="2"/>
    </row>
    <row r="35" spans="2:45" ht="15.75" thickBot="1" x14ac:dyDescent="0.3">
      <c r="B35" s="13">
        <v>3</v>
      </c>
      <c r="C35" s="12" t="s">
        <v>0</v>
      </c>
      <c r="D35" s="12">
        <v>15</v>
      </c>
      <c r="E35" s="6"/>
      <c r="F35" s="6"/>
      <c r="G35" s="6">
        <v>0</v>
      </c>
      <c r="H35" s="6">
        <f>G35/D35</f>
        <v>0</v>
      </c>
      <c r="I35" s="11"/>
      <c r="T35" s="17" t="s">
        <v>4</v>
      </c>
      <c r="U35" s="16" t="s">
        <v>3</v>
      </c>
      <c r="V35" s="16"/>
      <c r="W35" s="15"/>
      <c r="X35" s="15"/>
      <c r="Y35" s="15"/>
      <c r="Z35" s="15"/>
      <c r="AA35" s="14"/>
    </row>
    <row r="36" spans="2:45" ht="75" x14ac:dyDescent="0.25">
      <c r="D36" s="64" t="s">
        <v>206</v>
      </c>
      <c r="E36" s="65"/>
      <c r="F36" s="64"/>
      <c r="G36" s="64" t="s">
        <v>205</v>
      </c>
      <c r="H36" s="64" t="s">
        <v>204</v>
      </c>
      <c r="T36" s="38">
        <v>1</v>
      </c>
      <c r="U36" s="37" t="s">
        <v>2</v>
      </c>
      <c r="V36" s="37" t="s">
        <v>203</v>
      </c>
      <c r="W36" s="36">
        <v>0.1</v>
      </c>
      <c r="X36" s="36"/>
      <c r="Y36" s="36"/>
      <c r="Z36" s="36"/>
      <c r="AA36" s="35"/>
      <c r="AB36" s="93" t="s">
        <v>202</v>
      </c>
      <c r="AC36" s="94"/>
      <c r="AD36" s="94"/>
      <c r="AE36" s="94"/>
      <c r="AF36" s="66"/>
    </row>
    <row r="37" spans="2:45" x14ac:dyDescent="0.25">
      <c r="D37" s="64"/>
      <c r="E37" s="65"/>
      <c r="F37" s="64"/>
      <c r="G37" s="64"/>
      <c r="H37" s="64"/>
      <c r="T37" s="5">
        <v>2</v>
      </c>
      <c r="U37" s="4" t="s">
        <v>1</v>
      </c>
      <c r="V37" s="4" t="s">
        <v>201</v>
      </c>
      <c r="W37" s="3"/>
      <c r="X37" s="3"/>
      <c r="Y37" s="3"/>
      <c r="Z37" s="3"/>
      <c r="AA37" s="2"/>
      <c r="AB37" s="67"/>
      <c r="AC37" s="64"/>
      <c r="AD37" s="64"/>
      <c r="AE37" s="64"/>
      <c r="AF37" s="64"/>
    </row>
    <row r="38" spans="2:45" ht="15.75" thickBot="1" x14ac:dyDescent="0.3">
      <c r="D38" s="64"/>
      <c r="E38" s="65"/>
      <c r="F38" s="64"/>
      <c r="G38" s="64"/>
      <c r="H38" s="64"/>
      <c r="T38" s="13">
        <v>3</v>
      </c>
      <c r="U38" s="12" t="s">
        <v>0</v>
      </c>
      <c r="V38" s="12">
        <v>30</v>
      </c>
      <c r="W38" s="6"/>
      <c r="X38" s="6"/>
      <c r="Y38" s="6">
        <v>30</v>
      </c>
      <c r="Z38" s="6">
        <f>Y38/V38</f>
        <v>1</v>
      </c>
      <c r="AA38" s="11"/>
      <c r="AB38" s="67"/>
      <c r="AC38" s="64"/>
      <c r="AD38" s="64"/>
      <c r="AE38" s="64"/>
      <c r="AF38" s="64"/>
    </row>
    <row r="39" spans="2:45" x14ac:dyDescent="0.25">
      <c r="D39" s="64"/>
      <c r="E39" s="65"/>
      <c r="F39" s="64"/>
      <c r="G39" s="64"/>
      <c r="H39" s="64"/>
      <c r="T39" s="38">
        <v>1</v>
      </c>
      <c r="U39" s="37" t="s">
        <v>2</v>
      </c>
      <c r="V39" s="37" t="s">
        <v>200</v>
      </c>
      <c r="W39" s="36">
        <v>0.1</v>
      </c>
      <c r="X39" s="36"/>
      <c r="Y39" s="36"/>
      <c r="Z39" s="36"/>
      <c r="AA39" s="35"/>
      <c r="AB39" s="93" t="s">
        <v>199</v>
      </c>
      <c r="AC39" s="94"/>
      <c r="AD39" s="94"/>
      <c r="AE39" s="94"/>
      <c r="AF39" s="66"/>
    </row>
    <row r="40" spans="2:45" x14ac:dyDescent="0.25">
      <c r="D40" s="64"/>
      <c r="E40" s="65"/>
      <c r="F40" s="64"/>
      <c r="G40" s="64"/>
      <c r="H40" s="64"/>
      <c r="T40" s="5">
        <v>2</v>
      </c>
      <c r="U40" s="4" t="s">
        <v>1</v>
      </c>
      <c r="V40" s="4" t="s">
        <v>198</v>
      </c>
      <c r="W40" s="3"/>
      <c r="X40" s="3"/>
      <c r="Y40" s="3"/>
      <c r="Z40" s="3"/>
      <c r="AA40" s="2"/>
      <c r="AB40" s="93"/>
      <c r="AC40" s="94"/>
      <c r="AD40" s="94"/>
      <c r="AE40" s="94"/>
      <c r="AF40" s="66"/>
    </row>
    <row r="41" spans="2:45" ht="15.75" thickBot="1" x14ac:dyDescent="0.3">
      <c r="D41" s="64"/>
      <c r="E41" s="65"/>
      <c r="F41" s="64"/>
      <c r="G41" s="64"/>
      <c r="H41" s="64"/>
      <c r="T41" s="13">
        <v>3</v>
      </c>
      <c r="U41" s="12" t="s">
        <v>0</v>
      </c>
      <c r="V41" s="12">
        <v>60</v>
      </c>
      <c r="W41" s="6"/>
      <c r="X41" s="6"/>
      <c r="Y41" s="6">
        <v>60</v>
      </c>
      <c r="Z41" s="6">
        <f>Y41/V41</f>
        <v>1</v>
      </c>
      <c r="AA41" s="11"/>
      <c r="AB41" s="93"/>
      <c r="AC41" s="94"/>
      <c r="AD41" s="94"/>
      <c r="AE41" s="94"/>
      <c r="AF41" s="66"/>
    </row>
    <row r="42" spans="2:45" x14ac:dyDescent="0.25">
      <c r="D42" s="64"/>
      <c r="E42" s="65"/>
      <c r="F42" s="64"/>
      <c r="G42" s="64"/>
      <c r="H42" s="64"/>
    </row>
    <row r="43" spans="2:45" x14ac:dyDescent="0.25">
      <c r="D43" s="64"/>
      <c r="E43" s="65"/>
      <c r="F43" s="64"/>
      <c r="G43" s="64"/>
      <c r="H43" s="64"/>
    </row>
    <row r="44" spans="2:45" x14ac:dyDescent="0.25">
      <c r="D44" s="64"/>
      <c r="E44" s="65"/>
      <c r="F44" s="64"/>
      <c r="G44" s="64"/>
      <c r="H44" s="64"/>
    </row>
    <row r="45" spans="2:45" x14ac:dyDescent="0.25">
      <c r="D45" s="64"/>
      <c r="E45" s="65"/>
      <c r="F45" s="64"/>
      <c r="G45" s="64"/>
      <c r="H45" s="64"/>
    </row>
    <row r="46" spans="2:45" x14ac:dyDescent="0.25">
      <c r="D46" s="64"/>
      <c r="E46" s="65"/>
      <c r="F46" s="64"/>
      <c r="G46" s="64"/>
      <c r="H46" s="64"/>
    </row>
    <row r="47" spans="2:45" x14ac:dyDescent="0.25">
      <c r="D47" s="64"/>
      <c r="E47" s="65"/>
      <c r="F47" s="64"/>
      <c r="G47" s="64"/>
      <c r="H47" s="64"/>
    </row>
    <row r="48" spans="2:45" x14ac:dyDescent="0.25">
      <c r="D48" s="64"/>
      <c r="E48" s="65"/>
      <c r="F48" s="64"/>
      <c r="G48" s="64"/>
      <c r="H48" s="64"/>
    </row>
    <row r="49" spans="2:126" x14ac:dyDescent="0.25">
      <c r="D49" s="64"/>
      <c r="E49" s="65"/>
      <c r="F49" s="64"/>
      <c r="G49" s="64"/>
      <c r="H49" s="64"/>
    </row>
    <row r="50" spans="2:126" x14ac:dyDescent="0.25">
      <c r="D50" s="64"/>
      <c r="E50" s="65"/>
      <c r="F50" s="64"/>
      <c r="G50" s="64"/>
      <c r="H50" s="64"/>
    </row>
    <row r="51" spans="2:126" ht="19.5" thickBot="1" x14ac:dyDescent="0.35">
      <c r="AL51" s="95" t="s">
        <v>197</v>
      </c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</row>
    <row r="52" spans="2:126" x14ac:dyDescent="0.25">
      <c r="B52" s="89" t="s">
        <v>196</v>
      </c>
      <c r="C52" s="90"/>
      <c r="D52" s="90"/>
      <c r="E52" s="90"/>
      <c r="F52" s="90"/>
      <c r="G52" s="90"/>
      <c r="H52" s="90"/>
      <c r="I52" s="91"/>
      <c r="K52" s="89" t="s">
        <v>196</v>
      </c>
      <c r="L52" s="90"/>
      <c r="M52" s="90"/>
      <c r="N52" s="90"/>
      <c r="O52" s="90"/>
      <c r="P52" s="90"/>
      <c r="Q52" s="90"/>
      <c r="R52" s="91"/>
      <c r="T52" s="89" t="s">
        <v>196</v>
      </c>
      <c r="U52" s="90"/>
      <c r="V52" s="90"/>
      <c r="W52" s="90"/>
      <c r="X52" s="90"/>
      <c r="Y52" s="90"/>
      <c r="Z52" s="90"/>
      <c r="AA52" s="91"/>
      <c r="AC52" s="89" t="s">
        <v>196</v>
      </c>
      <c r="AD52" s="90"/>
      <c r="AE52" s="90"/>
      <c r="AF52" s="90"/>
      <c r="AG52" s="90"/>
      <c r="AH52" s="90"/>
      <c r="AI52" s="90"/>
      <c r="AJ52" s="91"/>
      <c r="AL52" s="89" t="s">
        <v>196</v>
      </c>
      <c r="AM52" s="90"/>
      <c r="AN52" s="90"/>
      <c r="AO52" s="90"/>
      <c r="AP52" s="90"/>
      <c r="AQ52" s="90"/>
      <c r="AR52" s="90"/>
      <c r="AS52" s="91"/>
      <c r="AU52" s="89" t="s">
        <v>196</v>
      </c>
      <c r="AV52" s="90"/>
      <c r="AW52" s="90"/>
      <c r="AX52" s="90"/>
      <c r="AY52" s="90"/>
      <c r="AZ52" s="90"/>
      <c r="BA52" s="90"/>
      <c r="BB52" s="91"/>
      <c r="BD52" s="89" t="s">
        <v>196</v>
      </c>
      <c r="BE52" s="90"/>
      <c r="BF52" s="90"/>
      <c r="BG52" s="90"/>
      <c r="BH52" s="90"/>
      <c r="BI52" s="90"/>
      <c r="BJ52" s="90"/>
      <c r="BK52" s="91"/>
      <c r="BM52" s="89" t="s">
        <v>196</v>
      </c>
      <c r="BN52" s="90"/>
      <c r="BO52" s="90"/>
      <c r="BP52" s="90"/>
      <c r="BQ52" s="90"/>
      <c r="BR52" s="90"/>
      <c r="BS52" s="90"/>
      <c r="BT52" s="91"/>
      <c r="BV52" s="89" t="s">
        <v>196</v>
      </c>
      <c r="BW52" s="90"/>
      <c r="BX52" s="90"/>
      <c r="BY52" s="90"/>
      <c r="BZ52" s="90"/>
      <c r="CA52" s="90"/>
      <c r="CB52" s="90"/>
      <c r="CC52" s="91"/>
      <c r="CE52" s="89" t="s">
        <v>196</v>
      </c>
      <c r="CF52" s="90"/>
      <c r="CG52" s="90"/>
      <c r="CH52" s="90"/>
      <c r="CI52" s="90"/>
      <c r="CJ52" s="90"/>
      <c r="CK52" s="90"/>
      <c r="CL52" s="91"/>
      <c r="CN52" s="89" t="s">
        <v>196</v>
      </c>
      <c r="CO52" s="90"/>
      <c r="CP52" s="90"/>
      <c r="CQ52" s="90"/>
      <c r="CR52" s="90"/>
      <c r="CS52" s="90"/>
      <c r="CT52" s="90"/>
      <c r="CU52" s="91"/>
      <c r="CW52" s="89" t="s">
        <v>196</v>
      </c>
      <c r="CX52" s="90"/>
      <c r="CY52" s="90"/>
      <c r="CZ52" s="90"/>
      <c r="DA52" s="90"/>
      <c r="DB52" s="90"/>
      <c r="DC52" s="90"/>
      <c r="DD52" s="91"/>
      <c r="DF52" s="89" t="s">
        <v>196</v>
      </c>
      <c r="DG52" s="90"/>
      <c r="DH52" s="90"/>
      <c r="DI52" s="90"/>
      <c r="DJ52" s="90"/>
      <c r="DK52" s="90"/>
      <c r="DL52" s="90"/>
      <c r="DM52" s="91"/>
      <c r="DO52" s="89" t="s">
        <v>196</v>
      </c>
      <c r="DP52" s="90"/>
      <c r="DQ52" s="90"/>
      <c r="DR52" s="90"/>
      <c r="DS52" s="90"/>
      <c r="DT52" s="90"/>
      <c r="DU52" s="90"/>
      <c r="DV52" s="91"/>
    </row>
    <row r="53" spans="2:126" ht="15.75" thickBot="1" x14ac:dyDescent="0.3">
      <c r="B53" s="86" t="s">
        <v>195</v>
      </c>
      <c r="C53" s="87"/>
      <c r="D53" s="87"/>
      <c r="E53" s="87"/>
      <c r="F53" s="87"/>
      <c r="G53" s="87"/>
      <c r="H53" s="87"/>
      <c r="I53" s="88"/>
      <c r="K53" s="86" t="s">
        <v>195</v>
      </c>
      <c r="L53" s="87"/>
      <c r="M53" s="87"/>
      <c r="N53" s="87"/>
      <c r="O53" s="87"/>
      <c r="P53" s="87"/>
      <c r="Q53" s="87"/>
      <c r="R53" s="88"/>
      <c r="T53" s="86" t="s">
        <v>195</v>
      </c>
      <c r="U53" s="87"/>
      <c r="V53" s="87"/>
      <c r="W53" s="87"/>
      <c r="X53" s="87"/>
      <c r="Y53" s="87"/>
      <c r="Z53" s="87"/>
      <c r="AA53" s="88"/>
      <c r="AC53" s="86" t="s">
        <v>195</v>
      </c>
      <c r="AD53" s="87"/>
      <c r="AE53" s="87"/>
      <c r="AF53" s="87"/>
      <c r="AG53" s="87"/>
      <c r="AH53" s="87"/>
      <c r="AI53" s="87"/>
      <c r="AJ53" s="88"/>
      <c r="AL53" s="86" t="s">
        <v>195</v>
      </c>
      <c r="AM53" s="87"/>
      <c r="AN53" s="87"/>
      <c r="AO53" s="87"/>
      <c r="AP53" s="87"/>
      <c r="AQ53" s="87"/>
      <c r="AR53" s="87"/>
      <c r="AS53" s="88"/>
      <c r="AU53" s="86" t="s">
        <v>195</v>
      </c>
      <c r="AV53" s="87"/>
      <c r="AW53" s="87"/>
      <c r="AX53" s="87"/>
      <c r="AY53" s="87"/>
      <c r="AZ53" s="87"/>
      <c r="BA53" s="87"/>
      <c r="BB53" s="88"/>
      <c r="BD53" s="86" t="s">
        <v>195</v>
      </c>
      <c r="BE53" s="87"/>
      <c r="BF53" s="87"/>
      <c r="BG53" s="87"/>
      <c r="BH53" s="87"/>
      <c r="BI53" s="87"/>
      <c r="BJ53" s="87"/>
      <c r="BK53" s="88"/>
      <c r="BM53" s="86" t="s">
        <v>195</v>
      </c>
      <c r="BN53" s="87"/>
      <c r="BO53" s="87"/>
      <c r="BP53" s="87"/>
      <c r="BQ53" s="87"/>
      <c r="BR53" s="87"/>
      <c r="BS53" s="87"/>
      <c r="BT53" s="88"/>
      <c r="BV53" s="86" t="s">
        <v>195</v>
      </c>
      <c r="BW53" s="87"/>
      <c r="BX53" s="87"/>
      <c r="BY53" s="87"/>
      <c r="BZ53" s="87"/>
      <c r="CA53" s="87"/>
      <c r="CB53" s="87"/>
      <c r="CC53" s="88"/>
      <c r="CE53" s="86" t="s">
        <v>195</v>
      </c>
      <c r="CF53" s="87"/>
      <c r="CG53" s="87"/>
      <c r="CH53" s="87"/>
      <c r="CI53" s="87"/>
      <c r="CJ53" s="87"/>
      <c r="CK53" s="87"/>
      <c r="CL53" s="88"/>
      <c r="CN53" s="86" t="s">
        <v>195</v>
      </c>
      <c r="CO53" s="87"/>
      <c r="CP53" s="87"/>
      <c r="CQ53" s="87"/>
      <c r="CR53" s="87"/>
      <c r="CS53" s="87"/>
      <c r="CT53" s="87"/>
      <c r="CU53" s="88"/>
      <c r="CW53" s="86" t="s">
        <v>195</v>
      </c>
      <c r="CX53" s="87"/>
      <c r="CY53" s="87"/>
      <c r="CZ53" s="87"/>
      <c r="DA53" s="87"/>
      <c r="DB53" s="87"/>
      <c r="DC53" s="87"/>
      <c r="DD53" s="88"/>
      <c r="DF53" s="86" t="s">
        <v>195</v>
      </c>
      <c r="DG53" s="87"/>
      <c r="DH53" s="87"/>
      <c r="DI53" s="87"/>
      <c r="DJ53" s="87"/>
      <c r="DK53" s="87"/>
      <c r="DL53" s="87"/>
      <c r="DM53" s="88"/>
      <c r="DO53" s="86" t="s">
        <v>195</v>
      </c>
      <c r="DP53" s="87"/>
      <c r="DQ53" s="87"/>
      <c r="DR53" s="87"/>
      <c r="DS53" s="87"/>
      <c r="DT53" s="87"/>
      <c r="DU53" s="87"/>
      <c r="DV53" s="88"/>
    </row>
    <row r="54" spans="2:126" s="60" customFormat="1" ht="15.75" thickBot="1" x14ac:dyDescent="0.3">
      <c r="B54" s="63" t="s">
        <v>194</v>
      </c>
      <c r="C54" s="62"/>
      <c r="D54" s="62"/>
      <c r="E54" s="62"/>
      <c r="F54" s="62"/>
      <c r="G54" s="62"/>
      <c r="H54" s="62"/>
      <c r="I54" s="61"/>
      <c r="K54" s="63" t="s">
        <v>193</v>
      </c>
      <c r="L54" s="62"/>
      <c r="M54" s="62"/>
      <c r="N54" s="62"/>
      <c r="O54" s="62"/>
      <c r="P54" s="62"/>
      <c r="Q54" s="62"/>
      <c r="R54" s="61"/>
      <c r="T54" s="63" t="s">
        <v>192</v>
      </c>
      <c r="U54" s="62"/>
      <c r="V54" s="62"/>
      <c r="W54" s="62"/>
      <c r="X54" s="62"/>
      <c r="Y54" s="62"/>
      <c r="Z54" s="62"/>
      <c r="AA54" s="61"/>
      <c r="AC54" s="63" t="s">
        <v>191</v>
      </c>
      <c r="AD54" s="62"/>
      <c r="AE54" s="62"/>
      <c r="AF54" s="62"/>
      <c r="AG54" s="62"/>
      <c r="AH54" s="62"/>
      <c r="AI54" s="62"/>
      <c r="AJ54" s="61"/>
      <c r="AL54" s="63" t="s">
        <v>190</v>
      </c>
      <c r="AM54" s="62"/>
      <c r="AN54" s="62"/>
      <c r="AO54" s="62"/>
      <c r="AP54" s="62"/>
      <c r="AQ54" s="62"/>
      <c r="AR54" s="62"/>
      <c r="AS54" s="61"/>
      <c r="AU54" s="63" t="s">
        <v>189</v>
      </c>
      <c r="AV54" s="62"/>
      <c r="AW54" s="62"/>
      <c r="AX54" s="62"/>
      <c r="AY54" s="62"/>
      <c r="AZ54" s="62"/>
      <c r="BA54" s="62"/>
      <c r="BB54" s="61"/>
      <c r="BD54" s="63" t="s">
        <v>188</v>
      </c>
      <c r="BE54" s="62"/>
      <c r="BF54" s="62"/>
      <c r="BG54" s="62"/>
      <c r="BH54" s="62"/>
      <c r="BI54" s="62"/>
      <c r="BJ54" s="62"/>
      <c r="BK54" s="61"/>
      <c r="BM54" s="63" t="s">
        <v>187</v>
      </c>
      <c r="BN54" s="62"/>
      <c r="BO54" s="62"/>
      <c r="BP54" s="62"/>
      <c r="BQ54" s="62"/>
      <c r="BR54" s="62"/>
      <c r="BS54" s="62"/>
      <c r="BT54" s="61"/>
      <c r="BV54" s="63" t="s">
        <v>186</v>
      </c>
      <c r="BW54" s="62"/>
      <c r="BX54" s="62"/>
      <c r="BY54" s="62"/>
      <c r="BZ54" s="62"/>
      <c r="CA54" s="62"/>
      <c r="CB54" s="62"/>
      <c r="CC54" s="61"/>
      <c r="CE54" s="63" t="s">
        <v>185</v>
      </c>
      <c r="CF54" s="62"/>
      <c r="CG54" s="62"/>
      <c r="CH54" s="62"/>
      <c r="CI54" s="62"/>
      <c r="CJ54" s="62"/>
      <c r="CK54" s="62"/>
      <c r="CL54" s="61"/>
      <c r="CN54" s="63" t="s">
        <v>184</v>
      </c>
      <c r="CO54" s="62"/>
      <c r="CP54" s="62"/>
      <c r="CQ54" s="62"/>
      <c r="CR54" s="62"/>
      <c r="CS54" s="62"/>
      <c r="CT54" s="62"/>
      <c r="CU54" s="61"/>
      <c r="CW54" s="63" t="s">
        <v>183</v>
      </c>
      <c r="CX54" s="62"/>
      <c r="CY54" s="62"/>
      <c r="CZ54" s="62"/>
      <c r="DA54" s="62"/>
      <c r="DB54" s="62"/>
      <c r="DC54" s="62"/>
      <c r="DD54" s="61"/>
      <c r="DF54" s="63" t="s">
        <v>182</v>
      </c>
      <c r="DG54" s="62"/>
      <c r="DH54" s="62"/>
      <c r="DI54" s="62"/>
      <c r="DJ54" s="62"/>
      <c r="DK54" s="62"/>
      <c r="DL54" s="62"/>
      <c r="DM54" s="61"/>
      <c r="DO54" s="63" t="s">
        <v>181</v>
      </c>
      <c r="DP54" s="62"/>
      <c r="DQ54" s="62"/>
      <c r="DR54" s="62"/>
      <c r="DS54" s="62"/>
      <c r="DT54" s="62"/>
      <c r="DU54" s="62"/>
      <c r="DV54" s="61"/>
    </row>
    <row r="55" spans="2:126" s="60" customFormat="1" ht="15.75" thickBot="1" x14ac:dyDescent="0.3">
      <c r="B55" s="83" t="s">
        <v>180</v>
      </c>
      <c r="C55" s="84"/>
      <c r="D55" s="84"/>
      <c r="E55" s="84"/>
      <c r="F55" s="84"/>
      <c r="G55" s="84"/>
      <c r="H55" s="84"/>
      <c r="I55" s="85"/>
      <c r="K55" s="83" t="s">
        <v>179</v>
      </c>
      <c r="L55" s="84"/>
      <c r="M55" s="84"/>
      <c r="N55" s="84"/>
      <c r="O55" s="84"/>
      <c r="P55" s="84"/>
      <c r="Q55" s="84"/>
      <c r="R55" s="85"/>
      <c r="T55" s="79" t="s">
        <v>179</v>
      </c>
      <c r="U55" s="80"/>
      <c r="V55" s="80"/>
      <c r="W55" s="81"/>
      <c r="X55" s="81"/>
      <c r="Y55" s="81"/>
      <c r="Z55" s="81"/>
      <c r="AA55" s="82"/>
      <c r="AC55" s="83" t="s">
        <v>179</v>
      </c>
      <c r="AD55" s="84"/>
      <c r="AE55" s="84"/>
      <c r="AF55" s="84"/>
      <c r="AG55" s="84"/>
      <c r="AH55" s="84"/>
      <c r="AI55" s="84"/>
      <c r="AJ55" s="85"/>
      <c r="AL55" s="79" t="s">
        <v>179</v>
      </c>
      <c r="AM55" s="80"/>
      <c r="AN55" s="80"/>
      <c r="AO55" s="81"/>
      <c r="AP55" s="81"/>
      <c r="AQ55" s="81"/>
      <c r="AR55" s="81"/>
      <c r="AS55" s="82"/>
      <c r="AU55" s="79" t="s">
        <v>179</v>
      </c>
      <c r="AV55" s="80"/>
      <c r="AW55" s="80"/>
      <c r="AX55" s="81"/>
      <c r="AY55" s="81"/>
      <c r="AZ55" s="81"/>
      <c r="BA55" s="81"/>
      <c r="BB55" s="82"/>
      <c r="BD55" s="79" t="s">
        <v>179</v>
      </c>
      <c r="BE55" s="80"/>
      <c r="BF55" s="80"/>
      <c r="BG55" s="81"/>
      <c r="BH55" s="81"/>
      <c r="BI55" s="81"/>
      <c r="BJ55" s="81"/>
      <c r="BK55" s="82"/>
      <c r="BM55" s="79" t="s">
        <v>179</v>
      </c>
      <c r="BN55" s="80"/>
      <c r="BO55" s="80"/>
      <c r="BP55" s="81"/>
      <c r="BQ55" s="81"/>
      <c r="BR55" s="81"/>
      <c r="BS55" s="81"/>
      <c r="BT55" s="82"/>
      <c r="BV55" s="79" t="s">
        <v>179</v>
      </c>
      <c r="BW55" s="80"/>
      <c r="BX55" s="80"/>
      <c r="BY55" s="81"/>
      <c r="BZ55" s="81"/>
      <c r="CA55" s="81"/>
      <c r="CB55" s="81"/>
      <c r="CC55" s="82"/>
      <c r="CE55" s="79" t="s">
        <v>179</v>
      </c>
      <c r="CF55" s="80"/>
      <c r="CG55" s="80"/>
      <c r="CH55" s="81"/>
      <c r="CI55" s="81"/>
      <c r="CJ55" s="81"/>
      <c r="CK55" s="81"/>
      <c r="CL55" s="82"/>
      <c r="CN55" s="79" t="s">
        <v>179</v>
      </c>
      <c r="CO55" s="80"/>
      <c r="CP55" s="80"/>
      <c r="CQ55" s="81"/>
      <c r="CR55" s="81"/>
      <c r="CS55" s="81"/>
      <c r="CT55" s="81"/>
      <c r="CU55" s="82"/>
      <c r="CW55" s="79" t="s">
        <v>179</v>
      </c>
      <c r="CX55" s="80"/>
      <c r="CY55" s="80"/>
      <c r="CZ55" s="81"/>
      <c r="DA55" s="81"/>
      <c r="DB55" s="81"/>
      <c r="DC55" s="81"/>
      <c r="DD55" s="82"/>
      <c r="DF55" s="79" t="s">
        <v>179</v>
      </c>
      <c r="DG55" s="80"/>
      <c r="DH55" s="80"/>
      <c r="DI55" s="81"/>
      <c r="DJ55" s="81"/>
      <c r="DK55" s="81"/>
      <c r="DL55" s="81"/>
      <c r="DM55" s="82"/>
      <c r="DO55" s="79"/>
      <c r="DP55" s="80"/>
      <c r="DQ55" s="80"/>
      <c r="DR55" s="81"/>
      <c r="DS55" s="81"/>
      <c r="DT55" s="81"/>
      <c r="DU55" s="81"/>
      <c r="DV55" s="82"/>
    </row>
    <row r="56" spans="2:126" ht="15.75" thickBot="1" x14ac:dyDescent="0.3">
      <c r="B56" s="17" t="s">
        <v>178</v>
      </c>
      <c r="C56" s="16" t="s">
        <v>177</v>
      </c>
      <c r="D56" s="16" t="s">
        <v>176</v>
      </c>
      <c r="E56" s="15" t="s">
        <v>175</v>
      </c>
      <c r="F56" s="15" t="s">
        <v>174</v>
      </c>
      <c r="G56" s="15" t="s">
        <v>173</v>
      </c>
      <c r="H56" s="15" t="s">
        <v>172</v>
      </c>
      <c r="I56" s="14" t="s">
        <v>171</v>
      </c>
      <c r="K56" s="17" t="s">
        <v>178</v>
      </c>
      <c r="L56" s="16" t="s">
        <v>177</v>
      </c>
      <c r="M56" s="16" t="s">
        <v>176</v>
      </c>
      <c r="N56" s="15" t="s">
        <v>175</v>
      </c>
      <c r="O56" s="15" t="s">
        <v>174</v>
      </c>
      <c r="P56" s="15" t="s">
        <v>173</v>
      </c>
      <c r="Q56" s="15" t="s">
        <v>172</v>
      </c>
      <c r="R56" s="14" t="s">
        <v>171</v>
      </c>
      <c r="T56" s="17" t="s">
        <v>178</v>
      </c>
      <c r="U56" s="16" t="s">
        <v>177</v>
      </c>
      <c r="V56" s="16" t="s">
        <v>176</v>
      </c>
      <c r="W56" s="15" t="s">
        <v>175</v>
      </c>
      <c r="X56" s="15" t="s">
        <v>174</v>
      </c>
      <c r="Y56" s="15" t="s">
        <v>173</v>
      </c>
      <c r="Z56" s="15" t="s">
        <v>172</v>
      </c>
      <c r="AA56" s="14" t="s">
        <v>171</v>
      </c>
      <c r="AC56" s="17" t="s">
        <v>178</v>
      </c>
      <c r="AD56" s="16" t="s">
        <v>177</v>
      </c>
      <c r="AE56" s="16" t="s">
        <v>176</v>
      </c>
      <c r="AF56" s="15" t="s">
        <v>175</v>
      </c>
      <c r="AG56" s="15" t="s">
        <v>174</v>
      </c>
      <c r="AH56" s="15" t="s">
        <v>173</v>
      </c>
      <c r="AI56" s="15" t="s">
        <v>172</v>
      </c>
      <c r="AJ56" s="14" t="s">
        <v>171</v>
      </c>
      <c r="AL56" s="17" t="s">
        <v>178</v>
      </c>
      <c r="AM56" s="16" t="s">
        <v>177</v>
      </c>
      <c r="AN56" s="16" t="s">
        <v>176</v>
      </c>
      <c r="AO56" s="15" t="s">
        <v>175</v>
      </c>
      <c r="AP56" s="15" t="s">
        <v>174</v>
      </c>
      <c r="AQ56" s="15" t="s">
        <v>173</v>
      </c>
      <c r="AR56" s="15" t="s">
        <v>172</v>
      </c>
      <c r="AS56" s="14" t="s">
        <v>171</v>
      </c>
      <c r="AU56" s="17" t="s">
        <v>178</v>
      </c>
      <c r="AV56" s="16" t="s">
        <v>177</v>
      </c>
      <c r="AW56" s="16" t="s">
        <v>176</v>
      </c>
      <c r="AX56" s="15" t="s">
        <v>175</v>
      </c>
      <c r="AY56" s="15" t="s">
        <v>174</v>
      </c>
      <c r="AZ56" s="15" t="s">
        <v>173</v>
      </c>
      <c r="BA56" s="15" t="s">
        <v>172</v>
      </c>
      <c r="BB56" s="14" t="s">
        <v>171</v>
      </c>
      <c r="BD56" s="17" t="s">
        <v>178</v>
      </c>
      <c r="BE56" s="16" t="s">
        <v>177</v>
      </c>
      <c r="BF56" s="16" t="s">
        <v>176</v>
      </c>
      <c r="BG56" s="15" t="s">
        <v>175</v>
      </c>
      <c r="BH56" s="15" t="s">
        <v>174</v>
      </c>
      <c r="BI56" s="15" t="s">
        <v>173</v>
      </c>
      <c r="BJ56" s="15" t="s">
        <v>172</v>
      </c>
      <c r="BK56" s="14" t="s">
        <v>171</v>
      </c>
      <c r="BM56" s="17" t="s">
        <v>178</v>
      </c>
      <c r="BN56" s="16" t="s">
        <v>177</v>
      </c>
      <c r="BO56" s="16" t="s">
        <v>176</v>
      </c>
      <c r="BP56" s="15" t="s">
        <v>175</v>
      </c>
      <c r="BQ56" s="15" t="s">
        <v>174</v>
      </c>
      <c r="BR56" s="15" t="s">
        <v>173</v>
      </c>
      <c r="BS56" s="15" t="s">
        <v>172</v>
      </c>
      <c r="BT56" s="14" t="s">
        <v>171</v>
      </c>
      <c r="BV56" s="17" t="s">
        <v>178</v>
      </c>
      <c r="BW56" s="16" t="s">
        <v>177</v>
      </c>
      <c r="BX56" s="16" t="s">
        <v>176</v>
      </c>
      <c r="BY56" s="15" t="s">
        <v>175</v>
      </c>
      <c r="BZ56" s="15" t="s">
        <v>174</v>
      </c>
      <c r="CA56" s="15" t="s">
        <v>173</v>
      </c>
      <c r="CB56" s="15" t="s">
        <v>172</v>
      </c>
      <c r="CC56" s="14" t="s">
        <v>171</v>
      </c>
      <c r="CE56" s="17" t="s">
        <v>178</v>
      </c>
      <c r="CF56" s="16" t="s">
        <v>177</v>
      </c>
      <c r="CG56" s="16" t="s">
        <v>176</v>
      </c>
      <c r="CH56" s="15" t="s">
        <v>175</v>
      </c>
      <c r="CI56" s="15" t="s">
        <v>174</v>
      </c>
      <c r="CJ56" s="15" t="s">
        <v>173</v>
      </c>
      <c r="CK56" s="15" t="s">
        <v>172</v>
      </c>
      <c r="CL56" s="14" t="s">
        <v>171</v>
      </c>
      <c r="CN56" s="17" t="s">
        <v>178</v>
      </c>
      <c r="CO56" s="16" t="s">
        <v>177</v>
      </c>
      <c r="CP56" s="16" t="s">
        <v>176</v>
      </c>
      <c r="CQ56" s="15" t="s">
        <v>175</v>
      </c>
      <c r="CR56" s="15" t="s">
        <v>174</v>
      </c>
      <c r="CS56" s="15" t="s">
        <v>173</v>
      </c>
      <c r="CT56" s="15" t="s">
        <v>172</v>
      </c>
      <c r="CU56" s="14" t="s">
        <v>171</v>
      </c>
      <c r="CW56" s="17" t="s">
        <v>178</v>
      </c>
      <c r="CX56" s="16" t="s">
        <v>177</v>
      </c>
      <c r="CY56" s="16" t="s">
        <v>176</v>
      </c>
      <c r="CZ56" s="15" t="s">
        <v>175</v>
      </c>
      <c r="DA56" s="15" t="s">
        <v>174</v>
      </c>
      <c r="DB56" s="15" t="s">
        <v>173</v>
      </c>
      <c r="DC56" s="15" t="s">
        <v>172</v>
      </c>
      <c r="DD56" s="14" t="s">
        <v>171</v>
      </c>
      <c r="DF56" s="17" t="s">
        <v>178</v>
      </c>
      <c r="DG56" s="16" t="s">
        <v>177</v>
      </c>
      <c r="DH56" s="16" t="s">
        <v>176</v>
      </c>
      <c r="DI56" s="15" t="s">
        <v>175</v>
      </c>
      <c r="DJ56" s="15" t="s">
        <v>174</v>
      </c>
      <c r="DK56" s="15" t="s">
        <v>173</v>
      </c>
      <c r="DL56" s="15" t="s">
        <v>172</v>
      </c>
      <c r="DM56" s="14" t="s">
        <v>171</v>
      </c>
      <c r="DO56" s="17" t="s">
        <v>178</v>
      </c>
      <c r="DP56" s="16" t="s">
        <v>177</v>
      </c>
      <c r="DQ56" s="16" t="s">
        <v>176</v>
      </c>
      <c r="DR56" s="15" t="s">
        <v>175</v>
      </c>
      <c r="DS56" s="15" t="s">
        <v>174</v>
      </c>
      <c r="DT56" s="15" t="s">
        <v>173</v>
      </c>
      <c r="DU56" s="15" t="s">
        <v>172</v>
      </c>
      <c r="DV56" s="14" t="s">
        <v>171</v>
      </c>
    </row>
    <row r="57" spans="2:126" ht="15.75" thickBot="1" x14ac:dyDescent="0.3">
      <c r="B57" s="59" t="s">
        <v>170</v>
      </c>
      <c r="C57" s="58" t="s">
        <v>169</v>
      </c>
      <c r="D57" s="58"/>
      <c r="E57" s="57"/>
      <c r="F57" s="57"/>
      <c r="G57" s="57"/>
      <c r="H57" s="57"/>
      <c r="I57" s="56"/>
      <c r="K57" s="59" t="s">
        <v>170</v>
      </c>
      <c r="L57" s="58" t="s">
        <v>169</v>
      </c>
      <c r="M57" s="58"/>
      <c r="N57" s="57"/>
      <c r="O57" s="57"/>
      <c r="P57" s="57"/>
      <c r="Q57" s="57"/>
      <c r="R57" s="56"/>
      <c r="T57" s="59" t="s">
        <v>170</v>
      </c>
      <c r="U57" s="58" t="s">
        <v>169</v>
      </c>
      <c r="V57" s="58"/>
      <c r="W57" s="57"/>
      <c r="X57" s="57"/>
      <c r="Y57" s="57"/>
      <c r="Z57" s="57"/>
      <c r="AA57" s="56"/>
      <c r="AC57" s="59" t="s">
        <v>170</v>
      </c>
      <c r="AD57" s="58" t="s">
        <v>169</v>
      </c>
      <c r="AE57" s="58"/>
      <c r="AF57" s="57"/>
      <c r="AG57" s="57"/>
      <c r="AH57" s="57"/>
      <c r="AI57" s="57"/>
      <c r="AJ57" s="56"/>
      <c r="AL57" s="59" t="s">
        <v>170</v>
      </c>
      <c r="AM57" s="58" t="s">
        <v>169</v>
      </c>
      <c r="AN57" s="58"/>
      <c r="AO57" s="57"/>
      <c r="AP57" s="57"/>
      <c r="AQ57" s="57"/>
      <c r="AR57" s="57"/>
      <c r="AS57" s="56"/>
      <c r="AU57" s="59" t="s">
        <v>170</v>
      </c>
      <c r="AV57" s="58" t="s">
        <v>169</v>
      </c>
      <c r="AW57" s="58"/>
      <c r="AX57" s="57"/>
      <c r="AY57" s="57"/>
      <c r="AZ57" s="57"/>
      <c r="BA57" s="57"/>
      <c r="BB57" s="56"/>
      <c r="BD57" s="59" t="s">
        <v>170</v>
      </c>
      <c r="BE57" s="58" t="s">
        <v>169</v>
      </c>
      <c r="BF57" s="58"/>
      <c r="BG57" s="57"/>
      <c r="BH57" s="57"/>
      <c r="BI57" s="57"/>
      <c r="BJ57" s="57"/>
      <c r="BK57" s="56"/>
      <c r="BM57" s="59" t="s">
        <v>170</v>
      </c>
      <c r="BN57" s="58" t="s">
        <v>169</v>
      </c>
      <c r="BO57" s="58"/>
      <c r="BP57" s="57"/>
      <c r="BQ57" s="57"/>
      <c r="BR57" s="57"/>
      <c r="BS57" s="57"/>
      <c r="BT57" s="56"/>
      <c r="BV57" s="59" t="s">
        <v>170</v>
      </c>
      <c r="BW57" s="58" t="s">
        <v>169</v>
      </c>
      <c r="BX57" s="58"/>
      <c r="BY57" s="57"/>
      <c r="BZ57" s="57"/>
      <c r="CA57" s="57"/>
      <c r="CB57" s="57"/>
      <c r="CC57" s="56"/>
      <c r="CE57" s="59" t="s">
        <v>170</v>
      </c>
      <c r="CF57" s="58" t="s">
        <v>169</v>
      </c>
      <c r="CG57" s="58"/>
      <c r="CH57" s="57"/>
      <c r="CI57" s="57"/>
      <c r="CJ57" s="57"/>
      <c r="CK57" s="57"/>
      <c r="CL57" s="56"/>
      <c r="CN57" s="59" t="s">
        <v>170</v>
      </c>
      <c r="CO57" s="58" t="s">
        <v>169</v>
      </c>
      <c r="CP57" s="58"/>
      <c r="CQ57" s="57"/>
      <c r="CR57" s="57"/>
      <c r="CS57" s="57"/>
      <c r="CT57" s="57"/>
      <c r="CU57" s="56"/>
      <c r="CW57" s="59" t="s">
        <v>170</v>
      </c>
      <c r="CX57" s="58" t="s">
        <v>169</v>
      </c>
      <c r="CY57" s="58"/>
      <c r="CZ57" s="57"/>
      <c r="DA57" s="57"/>
      <c r="DB57" s="57"/>
      <c r="DC57" s="57"/>
      <c r="DD57" s="56"/>
      <c r="DF57" s="59" t="s">
        <v>170</v>
      </c>
      <c r="DG57" s="58" t="s">
        <v>169</v>
      </c>
      <c r="DH57" s="58"/>
      <c r="DI57" s="57"/>
      <c r="DJ57" s="57"/>
      <c r="DK57" s="57"/>
      <c r="DL57" s="57"/>
      <c r="DM57" s="56"/>
      <c r="DO57" s="59" t="s">
        <v>170</v>
      </c>
      <c r="DP57" s="58" t="s">
        <v>169</v>
      </c>
      <c r="DQ57" s="58"/>
      <c r="DR57" s="57"/>
      <c r="DS57" s="57"/>
      <c r="DT57" s="57"/>
      <c r="DU57" s="57"/>
      <c r="DV57" s="56"/>
    </row>
    <row r="58" spans="2:126" x14ac:dyDescent="0.25">
      <c r="B58" s="38">
        <v>1</v>
      </c>
      <c r="C58" s="37" t="s">
        <v>168</v>
      </c>
      <c r="D58" s="37"/>
      <c r="E58" s="36"/>
      <c r="F58" s="36"/>
      <c r="G58" s="36"/>
      <c r="H58" s="36"/>
      <c r="I58" s="35"/>
      <c r="K58" s="38">
        <v>1</v>
      </c>
      <c r="L58" s="37" t="s">
        <v>168</v>
      </c>
      <c r="M58" s="37"/>
      <c r="N58" s="36"/>
      <c r="O58" s="36"/>
      <c r="P58" s="36"/>
      <c r="Q58" s="36"/>
      <c r="R58" s="35"/>
      <c r="T58" s="38">
        <v>1</v>
      </c>
      <c r="U58" s="37" t="s">
        <v>168</v>
      </c>
      <c r="V58" s="37"/>
      <c r="W58" s="36"/>
      <c r="X58" s="36"/>
      <c r="Y58" s="36"/>
      <c r="Z58" s="36"/>
      <c r="AA58" s="35"/>
      <c r="AC58" s="38">
        <v>1</v>
      </c>
      <c r="AD58" s="37" t="s">
        <v>168</v>
      </c>
      <c r="AE58" s="37"/>
      <c r="AF58" s="36"/>
      <c r="AG58" s="36"/>
      <c r="AH58" s="36"/>
      <c r="AI58" s="36"/>
      <c r="AJ58" s="35"/>
      <c r="AL58" s="38">
        <v>1</v>
      </c>
      <c r="AM58" s="37" t="s">
        <v>168</v>
      </c>
      <c r="AN58" s="37"/>
      <c r="AO58" s="36"/>
      <c r="AP58" s="36"/>
      <c r="AQ58" s="36"/>
      <c r="AR58" s="36"/>
      <c r="AS58" s="35"/>
      <c r="AU58" s="38">
        <v>1</v>
      </c>
      <c r="AV58" s="37" t="s">
        <v>168</v>
      </c>
      <c r="AW58" s="37"/>
      <c r="AX58" s="36"/>
      <c r="AY58" s="36"/>
      <c r="AZ58" s="36"/>
      <c r="BA58" s="36"/>
      <c r="BB58" s="35"/>
      <c r="BD58" s="38">
        <v>1</v>
      </c>
      <c r="BE58" s="37" t="s">
        <v>168</v>
      </c>
      <c r="BF58" s="37"/>
      <c r="BG58" s="36"/>
      <c r="BH58" s="36"/>
      <c r="BI58" s="36"/>
      <c r="BJ58" s="36"/>
      <c r="BK58" s="35"/>
      <c r="BM58" s="38">
        <v>1</v>
      </c>
      <c r="BN58" s="37" t="s">
        <v>168</v>
      </c>
      <c r="BO58" s="37"/>
      <c r="BP58" s="36"/>
      <c r="BQ58" s="36"/>
      <c r="BR58" s="36"/>
      <c r="BS58" s="36"/>
      <c r="BT58" s="35"/>
      <c r="BV58" s="38">
        <v>1</v>
      </c>
      <c r="BW58" s="37" t="s">
        <v>168</v>
      </c>
      <c r="BX58" s="37"/>
      <c r="BY58" s="36"/>
      <c r="BZ58" s="36"/>
      <c r="CA58" s="36"/>
      <c r="CB58" s="36"/>
      <c r="CC58" s="35"/>
      <c r="CE58" s="38">
        <v>1</v>
      </c>
      <c r="CF58" s="37" t="s">
        <v>168</v>
      </c>
      <c r="CG58" s="37"/>
      <c r="CH58" s="36"/>
      <c r="CI58" s="36"/>
      <c r="CJ58" s="36"/>
      <c r="CK58" s="36"/>
      <c r="CL58" s="35"/>
      <c r="CN58" s="38">
        <v>1</v>
      </c>
      <c r="CO58" s="37" t="s">
        <v>168</v>
      </c>
      <c r="CP58" s="37"/>
      <c r="CQ58" s="36"/>
      <c r="CR58" s="36"/>
      <c r="CS58" s="36"/>
      <c r="CT58" s="36"/>
      <c r="CU58" s="35"/>
      <c r="CW58" s="38">
        <v>1</v>
      </c>
      <c r="CX58" s="37" t="s">
        <v>168</v>
      </c>
      <c r="CY58" s="37"/>
      <c r="CZ58" s="36"/>
      <c r="DA58" s="36"/>
      <c r="DB58" s="36"/>
      <c r="DC58" s="36"/>
      <c r="DD58" s="35"/>
      <c r="DF58" s="38">
        <v>1</v>
      </c>
      <c r="DG58" s="37" t="s">
        <v>168</v>
      </c>
      <c r="DH58" s="37"/>
      <c r="DI58" s="36"/>
      <c r="DJ58" s="36"/>
      <c r="DK58" s="36"/>
      <c r="DL58" s="36"/>
      <c r="DM58" s="35"/>
      <c r="DO58" s="38">
        <v>1</v>
      </c>
      <c r="DP58" s="37" t="s">
        <v>168</v>
      </c>
      <c r="DQ58" s="37"/>
      <c r="DR58" s="36"/>
      <c r="DS58" s="36"/>
      <c r="DT58" s="36"/>
      <c r="DU58" s="36"/>
      <c r="DV58" s="35"/>
    </row>
    <row r="59" spans="2:126" ht="15.75" thickBot="1" x14ac:dyDescent="0.3">
      <c r="B59" s="5">
        <v>2</v>
      </c>
      <c r="C59" s="4" t="s">
        <v>155</v>
      </c>
      <c r="D59" s="4"/>
      <c r="E59" s="3"/>
      <c r="F59" s="3"/>
      <c r="G59" s="3"/>
      <c r="H59" s="3"/>
      <c r="I59" s="2"/>
      <c r="K59" s="5">
        <v>2</v>
      </c>
      <c r="L59" s="4" t="s">
        <v>155</v>
      </c>
      <c r="M59" s="4" t="s">
        <v>167</v>
      </c>
      <c r="N59" s="3" t="s">
        <v>45</v>
      </c>
      <c r="O59" s="3"/>
      <c r="P59" s="49">
        <f>[2]EQ!I62</f>
        <v>180</v>
      </c>
      <c r="Q59" s="3"/>
      <c r="R59" s="2">
        <f>'[2]AO-LIGHT'!E13</f>
        <v>0</v>
      </c>
      <c r="T59" s="5">
        <v>2</v>
      </c>
      <c r="U59" s="4" t="s">
        <v>155</v>
      </c>
      <c r="V59" s="4" t="s">
        <v>166</v>
      </c>
      <c r="W59" s="3" t="s">
        <v>45</v>
      </c>
      <c r="X59" s="3"/>
      <c r="Y59" s="49">
        <f>[2]EQ!I65</f>
        <v>180</v>
      </c>
      <c r="Z59" s="3"/>
      <c r="AA59" s="2">
        <f>'[2]AO-LIGHT'!K13</f>
        <v>0</v>
      </c>
      <c r="AC59" s="5">
        <v>2</v>
      </c>
      <c r="AD59" s="4" t="s">
        <v>155</v>
      </c>
      <c r="AE59" s="4" t="s">
        <v>165</v>
      </c>
      <c r="AF59" s="3" t="s">
        <v>42</v>
      </c>
      <c r="AG59" s="3"/>
      <c r="AH59" s="49">
        <f>[2]EQ!I6</f>
        <v>419.99999999999994</v>
      </c>
      <c r="AI59" s="3"/>
      <c r="AJ59" s="2">
        <f>'[2]AO-LIGHT'!Q13</f>
        <v>0</v>
      </c>
      <c r="AL59" s="5">
        <v>2</v>
      </c>
      <c r="AM59" s="4" t="s">
        <v>155</v>
      </c>
      <c r="AN59" s="4" t="s">
        <v>164</v>
      </c>
      <c r="AO59" s="3" t="s">
        <v>42</v>
      </c>
      <c r="AP59" s="3"/>
      <c r="AQ59" s="49">
        <f>[2]EQ!I9</f>
        <v>0</v>
      </c>
      <c r="AR59" s="3"/>
      <c r="AS59" s="2">
        <f>'[2]AO-LIGHT'!K58</f>
        <v>4860</v>
      </c>
      <c r="AU59" s="5">
        <v>2</v>
      </c>
      <c r="AV59" s="4" t="s">
        <v>155</v>
      </c>
      <c r="AW59" s="4" t="s">
        <v>163</v>
      </c>
      <c r="AX59" s="3" t="s">
        <v>42</v>
      </c>
      <c r="AY59" s="3"/>
      <c r="AZ59" s="49">
        <f>[2]EQ!I18</f>
        <v>299.99999999999989</v>
      </c>
      <c r="BA59" s="3"/>
      <c r="BB59" s="2">
        <f>'[2]AO-LIGHT'!E36</f>
        <v>0</v>
      </c>
      <c r="BD59" s="5">
        <v>2</v>
      </c>
      <c r="BE59" s="4" t="s">
        <v>155</v>
      </c>
      <c r="BF59" s="4" t="s">
        <v>162</v>
      </c>
      <c r="BG59" s="3" t="s">
        <v>42</v>
      </c>
      <c r="BH59" s="3"/>
      <c r="BI59" s="49">
        <f>[2]EQ!I27</f>
        <v>299.99999999999989</v>
      </c>
      <c r="BJ59" s="3"/>
      <c r="BK59" s="2">
        <f>'[2]AO-LIGHT'!E82</f>
        <v>0</v>
      </c>
      <c r="BM59" s="5">
        <v>2</v>
      </c>
      <c r="BN59" s="4" t="s">
        <v>155</v>
      </c>
      <c r="BO59" s="4" t="s">
        <v>161</v>
      </c>
      <c r="BP59" s="3" t="s">
        <v>42</v>
      </c>
      <c r="BQ59" s="3"/>
      <c r="BR59" s="49">
        <f>[2]EQ!I30</f>
        <v>299.99999999999989</v>
      </c>
      <c r="BS59" s="3"/>
      <c r="BT59" s="2">
        <f>'[2]AO-LIGHT'!E105</f>
        <v>0</v>
      </c>
      <c r="BV59" s="5">
        <v>2</v>
      </c>
      <c r="BW59" s="4" t="s">
        <v>155</v>
      </c>
      <c r="BX59" s="4" t="s">
        <v>160</v>
      </c>
      <c r="BY59" s="3" t="s">
        <v>42</v>
      </c>
      <c r="BZ59" s="3"/>
      <c r="CA59" s="49">
        <f>[2]EQ!I39</f>
        <v>414.99999999999994</v>
      </c>
      <c r="CB59" s="3"/>
      <c r="CC59" s="2">
        <f>'[2]AO-LIGHT'!K128</f>
        <v>0</v>
      </c>
      <c r="CE59" s="5">
        <v>2</v>
      </c>
      <c r="CF59" s="4" t="s">
        <v>155</v>
      </c>
      <c r="CG59" s="53" t="s">
        <v>159</v>
      </c>
      <c r="CH59" s="3" t="s">
        <v>42</v>
      </c>
      <c r="CI59" s="3"/>
      <c r="CJ59" s="49">
        <f>[2]EQ!I36</f>
        <v>295.00000000000006</v>
      </c>
      <c r="CK59" s="3"/>
      <c r="CL59" s="2">
        <f>'[2]AO-LIGHT'!E128</f>
        <v>0</v>
      </c>
      <c r="CN59" s="5">
        <v>2</v>
      </c>
      <c r="CO59" s="4" t="s">
        <v>155</v>
      </c>
      <c r="CP59" s="4" t="s">
        <v>158</v>
      </c>
      <c r="CQ59" s="3" t="s">
        <v>42</v>
      </c>
      <c r="CR59" s="3"/>
      <c r="CS59" s="49">
        <f>[2]EQ!I42</f>
        <v>299.99999999999989</v>
      </c>
      <c r="CT59" s="3"/>
      <c r="CU59" s="2">
        <f>'[2]AO-LIGHT'!E152</f>
        <v>0</v>
      </c>
      <c r="CW59" s="5">
        <v>2</v>
      </c>
      <c r="CX59" s="4" t="s">
        <v>155</v>
      </c>
      <c r="CY59" s="4" t="s">
        <v>157</v>
      </c>
      <c r="CZ59" s="3" t="s">
        <v>42</v>
      </c>
      <c r="DA59" s="3"/>
      <c r="DB59" s="49">
        <f>[2]EQ!I46</f>
        <v>299.99999999999989</v>
      </c>
      <c r="DC59" s="3"/>
      <c r="DD59" s="2">
        <f>'[2]AO-LIGHT'!K152</f>
        <v>0</v>
      </c>
      <c r="DF59" s="5">
        <v>2</v>
      </c>
      <c r="DG59" s="4" t="s">
        <v>155</v>
      </c>
      <c r="DH59" s="4" t="s">
        <v>156</v>
      </c>
      <c r="DI59" s="3" t="s">
        <v>45</v>
      </c>
      <c r="DJ59" s="3"/>
      <c r="DK59" s="49">
        <f>[2]EQ!I53</f>
        <v>1440</v>
      </c>
      <c r="DL59" s="3"/>
      <c r="DM59" s="2">
        <f>'[2]AO-LIGHT'!E176</f>
        <v>0</v>
      </c>
      <c r="DO59" s="5">
        <v>2</v>
      </c>
      <c r="DP59" s="4" t="s">
        <v>155</v>
      </c>
      <c r="DQ59" s="4" t="s">
        <v>154</v>
      </c>
      <c r="DR59" s="3" t="s">
        <v>45</v>
      </c>
      <c r="DS59" s="3"/>
      <c r="DT59" s="49">
        <f>[2]EQ!I59</f>
        <v>1440</v>
      </c>
      <c r="DU59" s="3"/>
      <c r="DV59" s="2">
        <f>'[2]AO-LIGHT'!E200</f>
        <v>0</v>
      </c>
    </row>
    <row r="60" spans="2:126" ht="15.75" thickBot="1" x14ac:dyDescent="0.3">
      <c r="B60" s="17" t="s">
        <v>143</v>
      </c>
      <c r="C60" s="16" t="s">
        <v>153</v>
      </c>
      <c r="D60" s="16"/>
      <c r="E60" s="15"/>
      <c r="F60" s="15"/>
      <c r="G60" s="15"/>
      <c r="H60" s="15"/>
      <c r="I60" s="14"/>
      <c r="K60" s="17" t="s">
        <v>143</v>
      </c>
      <c r="L60" s="16" t="s">
        <v>142</v>
      </c>
      <c r="M60" s="16"/>
      <c r="N60" s="15"/>
      <c r="O60" s="15"/>
      <c r="P60" s="15"/>
      <c r="Q60" s="15"/>
      <c r="R60" s="14"/>
      <c r="T60" s="17" t="s">
        <v>143</v>
      </c>
      <c r="U60" s="16" t="s">
        <v>142</v>
      </c>
      <c r="V60" s="16"/>
      <c r="W60" s="15"/>
      <c r="X60" s="15"/>
      <c r="Y60" s="15"/>
      <c r="Z60" s="15"/>
      <c r="AA60" s="14"/>
      <c r="AC60" s="5"/>
      <c r="AD60" s="4"/>
      <c r="AE60" s="4" t="s">
        <v>152</v>
      </c>
      <c r="AF60" s="3" t="s">
        <v>42</v>
      </c>
      <c r="AG60" s="3"/>
      <c r="AH60" s="49">
        <f>[2]EQ!I7</f>
        <v>0</v>
      </c>
      <c r="AI60" s="3"/>
      <c r="AJ60" s="2">
        <f>'[2]AO-LIGHT'!Q14</f>
        <v>0</v>
      </c>
      <c r="AL60" s="34"/>
      <c r="AM60" s="42"/>
      <c r="AN60" s="42"/>
      <c r="AO60" s="41"/>
      <c r="AP60" s="41"/>
      <c r="AQ60" s="55"/>
      <c r="AR60" s="41"/>
      <c r="AS60" s="39"/>
      <c r="AU60" s="5"/>
      <c r="AV60" s="4"/>
      <c r="AW60" s="4" t="s">
        <v>151</v>
      </c>
      <c r="AX60" s="3" t="s">
        <v>45</v>
      </c>
      <c r="AY60" s="3"/>
      <c r="AZ60" s="49">
        <f>[2]EQ!I19</f>
        <v>480.00000000000006</v>
      </c>
      <c r="BA60" s="3"/>
      <c r="BB60" s="2">
        <f>'[2]AO-LIGHT'!K36</f>
        <v>0</v>
      </c>
      <c r="BD60" s="5"/>
      <c r="BE60" s="4"/>
      <c r="BF60" s="4" t="s">
        <v>150</v>
      </c>
      <c r="BG60" s="3" t="s">
        <v>45</v>
      </c>
      <c r="BH60" s="3"/>
      <c r="BI60" s="49">
        <f>[2]EQ!I28</f>
        <v>120.00000000000006</v>
      </c>
      <c r="BJ60" s="3"/>
      <c r="BK60" s="2">
        <f>'[2]AO-LIGHT'!K82</f>
        <v>0</v>
      </c>
      <c r="BM60" s="5"/>
      <c r="BN60" s="4"/>
      <c r="BO60" s="4" t="s">
        <v>149</v>
      </c>
      <c r="BP60" s="3" t="s">
        <v>45</v>
      </c>
      <c r="BQ60" s="3"/>
      <c r="BR60" s="49">
        <f>[2]EQ!I31</f>
        <v>120.00000000000006</v>
      </c>
      <c r="BS60" s="3"/>
      <c r="BT60" s="2">
        <f>'[2]AO-LIGHT'!K105</f>
        <v>0</v>
      </c>
      <c r="BV60" s="17" t="s">
        <v>143</v>
      </c>
      <c r="BW60" s="16" t="s">
        <v>142</v>
      </c>
      <c r="BX60" s="16"/>
      <c r="BY60" s="15"/>
      <c r="BZ60" s="15"/>
      <c r="CA60" s="15"/>
      <c r="CB60" s="15"/>
      <c r="CC60" s="14"/>
      <c r="CE60" s="17" t="s">
        <v>143</v>
      </c>
      <c r="CF60" s="16" t="s">
        <v>142</v>
      </c>
      <c r="CG60" s="16"/>
      <c r="CH60" s="15"/>
      <c r="CI60" s="15"/>
      <c r="CJ60" s="15"/>
      <c r="CK60" s="15"/>
      <c r="CL60" s="14"/>
      <c r="CN60" s="17" t="s">
        <v>143</v>
      </c>
      <c r="CO60" s="16" t="s">
        <v>142</v>
      </c>
      <c r="CP60" s="16"/>
      <c r="CQ60" s="15"/>
      <c r="CR60" s="15"/>
      <c r="CS60" s="15"/>
      <c r="CT60" s="15"/>
      <c r="CU60" s="14"/>
      <c r="CW60" s="17" t="s">
        <v>143</v>
      </c>
      <c r="CX60" s="16" t="s">
        <v>142</v>
      </c>
      <c r="CY60" s="16"/>
      <c r="CZ60" s="15"/>
      <c r="DA60" s="15"/>
      <c r="DB60" s="15"/>
      <c r="DC60" s="15"/>
      <c r="DD60" s="14"/>
      <c r="DF60" s="5"/>
      <c r="DG60" s="4"/>
      <c r="DH60" s="4" t="s">
        <v>148</v>
      </c>
      <c r="DI60" s="3" t="s">
        <v>45</v>
      </c>
      <c r="DJ60" s="3"/>
      <c r="DK60" s="49">
        <f>[2]EQ!I54</f>
        <v>1440</v>
      </c>
      <c r="DL60" s="3"/>
      <c r="DM60" s="2">
        <f>'[2]AO-LIGHT'!K176</f>
        <v>0</v>
      </c>
      <c r="DO60" s="5"/>
      <c r="DP60" s="4"/>
      <c r="DQ60" s="4" t="s">
        <v>147</v>
      </c>
      <c r="DR60" s="3" t="s">
        <v>45</v>
      </c>
      <c r="DS60" s="3"/>
      <c r="DT60" s="49">
        <f>[2]EQ!I60</f>
        <v>1440</v>
      </c>
      <c r="DU60" s="3"/>
      <c r="DV60" s="2">
        <f>'[2]AO-LIGHT'!K200</f>
        <v>0</v>
      </c>
    </row>
    <row r="61" spans="2:126" ht="15.75" thickBot="1" x14ac:dyDescent="0.3">
      <c r="B61" s="10">
        <v>1</v>
      </c>
      <c r="C61" s="9" t="s">
        <v>131</v>
      </c>
      <c r="D61" s="9"/>
      <c r="E61" s="8"/>
      <c r="F61" s="8"/>
      <c r="G61" s="8"/>
      <c r="H61" s="8"/>
      <c r="I61" s="7"/>
      <c r="K61" s="10">
        <v>1</v>
      </c>
      <c r="L61" s="9" t="s">
        <v>131</v>
      </c>
      <c r="M61" s="9" t="s">
        <v>146</v>
      </c>
      <c r="N61" s="8" t="s">
        <v>42</v>
      </c>
      <c r="O61" s="43">
        <f>'[2]AO-ALL'!W115</f>
        <v>0.99972222222222218</v>
      </c>
      <c r="P61" s="47">
        <f>[2]EQ!I64</f>
        <v>30.000000000000053</v>
      </c>
      <c r="Q61" s="8">
        <v>0.1</v>
      </c>
      <c r="R61" s="7">
        <f>'[2]AO-ALL'!W112</f>
        <v>0</v>
      </c>
      <c r="T61" s="10">
        <v>1</v>
      </c>
      <c r="U61" s="9" t="s">
        <v>131</v>
      </c>
      <c r="V61" s="9"/>
      <c r="W61" s="8"/>
      <c r="X61" s="8"/>
      <c r="Y61" s="8"/>
      <c r="Z61" s="8"/>
      <c r="AA61" s="7"/>
      <c r="AC61" s="17" t="s">
        <v>143</v>
      </c>
      <c r="AD61" s="16" t="s">
        <v>142</v>
      </c>
      <c r="AE61" s="16"/>
      <c r="AF61" s="15"/>
      <c r="AG61" s="15"/>
      <c r="AH61" s="15"/>
      <c r="AI61" s="15"/>
      <c r="AJ61" s="14"/>
      <c r="AL61" s="17" t="s">
        <v>143</v>
      </c>
      <c r="AM61" s="16" t="s">
        <v>142</v>
      </c>
      <c r="AN61" s="16"/>
      <c r="AO61" s="15"/>
      <c r="AP61" s="15"/>
      <c r="AQ61" s="15"/>
      <c r="AR61" s="15"/>
      <c r="AS61" s="14"/>
      <c r="AU61" s="17" t="s">
        <v>143</v>
      </c>
      <c r="AV61" s="16" t="s">
        <v>142</v>
      </c>
      <c r="AW61" s="16"/>
      <c r="AX61" s="15"/>
      <c r="AY61" s="15"/>
      <c r="AZ61" s="15"/>
      <c r="BA61" s="15"/>
      <c r="BB61" s="14"/>
      <c r="BD61" s="17" t="s">
        <v>143</v>
      </c>
      <c r="BE61" s="16" t="s">
        <v>142</v>
      </c>
      <c r="BF61" s="16"/>
      <c r="BG61" s="15"/>
      <c r="BH61" s="15"/>
      <c r="BI61" s="15"/>
      <c r="BJ61" s="15"/>
      <c r="BK61" s="14"/>
      <c r="BM61" s="17" t="s">
        <v>143</v>
      </c>
      <c r="BN61" s="16" t="s">
        <v>142</v>
      </c>
      <c r="BO61" s="16"/>
      <c r="BP61" s="15"/>
      <c r="BQ61" s="15"/>
      <c r="BR61" s="15"/>
      <c r="BS61" s="15"/>
      <c r="BT61" s="14"/>
      <c r="BV61" s="10">
        <v>1</v>
      </c>
      <c r="BW61" s="9" t="s">
        <v>131</v>
      </c>
      <c r="BX61" s="9"/>
      <c r="BY61" s="8"/>
      <c r="BZ61" s="8"/>
      <c r="CA61" s="8"/>
      <c r="CB61" s="8"/>
      <c r="CC61" s="7"/>
      <c r="CE61" s="10">
        <v>1</v>
      </c>
      <c r="CF61" s="9" t="s">
        <v>131</v>
      </c>
      <c r="CG61" s="9"/>
      <c r="CH61" s="8"/>
      <c r="CI61" s="8"/>
      <c r="CJ61" s="8"/>
      <c r="CK61" s="8"/>
      <c r="CL61" s="7"/>
      <c r="CN61" s="10">
        <v>1</v>
      </c>
      <c r="CO61" s="9" t="s">
        <v>131</v>
      </c>
      <c r="CP61" s="9" t="s">
        <v>145</v>
      </c>
      <c r="CQ61" s="8" t="s">
        <v>42</v>
      </c>
      <c r="CR61" s="43">
        <f>'[2]AO-ALL'!Q65</f>
        <v>0.99972222222222218</v>
      </c>
      <c r="CS61" s="47">
        <f>[2]EQ!I44</f>
        <v>393</v>
      </c>
      <c r="CT61" s="8">
        <v>0.1</v>
      </c>
      <c r="CU61" s="7">
        <f>'[2]AO-ALL'!Q62</f>
        <v>0</v>
      </c>
      <c r="CW61" s="10">
        <v>1</v>
      </c>
      <c r="CX61" s="9" t="s">
        <v>131</v>
      </c>
      <c r="CY61" s="9" t="s">
        <v>144</v>
      </c>
      <c r="CZ61" s="8" t="s">
        <v>42</v>
      </c>
      <c r="DA61" s="43">
        <f>'[2]AO-ALL'!AC65</f>
        <v>0.99972222222222218</v>
      </c>
      <c r="DB61" s="48">
        <f>[2]EQ!I50</f>
        <v>4.9999999999999822</v>
      </c>
      <c r="DC61" s="32">
        <v>0.1</v>
      </c>
      <c r="DD61" s="7">
        <f>'[2]AO-ALL'!AC62</f>
        <v>0</v>
      </c>
      <c r="DF61" s="17" t="s">
        <v>143</v>
      </c>
      <c r="DG61" s="16" t="s">
        <v>142</v>
      </c>
      <c r="DH61" s="16"/>
      <c r="DI61" s="15"/>
      <c r="DJ61" s="15"/>
      <c r="DK61" s="15"/>
      <c r="DL61" s="15"/>
      <c r="DM61" s="14"/>
      <c r="DO61" s="17" t="s">
        <v>143</v>
      </c>
      <c r="DP61" s="16" t="s">
        <v>142</v>
      </c>
      <c r="DQ61" s="16"/>
      <c r="DR61" s="15"/>
      <c r="DS61" s="15"/>
      <c r="DT61" s="15"/>
      <c r="DU61" s="15"/>
      <c r="DV61" s="14"/>
    </row>
    <row r="62" spans="2:126" x14ac:dyDescent="0.25">
      <c r="B62" s="5">
        <v>2</v>
      </c>
      <c r="C62" s="4" t="s">
        <v>88</v>
      </c>
      <c r="D62" s="4" t="s">
        <v>141</v>
      </c>
      <c r="E62" s="3" t="s">
        <v>42</v>
      </c>
      <c r="F62" s="44">
        <f>[2]PMO!Q53</f>
        <v>0.97685185185185186</v>
      </c>
      <c r="G62" s="3"/>
      <c r="H62" s="3"/>
      <c r="I62" s="2">
        <f>[2]PMO!Q50</f>
        <v>1</v>
      </c>
      <c r="K62" s="5">
        <v>2</v>
      </c>
      <c r="L62" s="4" t="s">
        <v>88</v>
      </c>
      <c r="M62" s="4" t="s">
        <v>140</v>
      </c>
      <c r="N62" s="3" t="s">
        <v>42</v>
      </c>
      <c r="O62" s="44">
        <f>[2]PMO!E15</f>
        <v>0.97685185185185186</v>
      </c>
      <c r="P62" s="3"/>
      <c r="Q62" s="3"/>
      <c r="R62" s="2">
        <f>[2]PMO!E12</f>
        <v>1</v>
      </c>
      <c r="T62" s="5">
        <v>2</v>
      </c>
      <c r="U62" s="4" t="s">
        <v>88</v>
      </c>
      <c r="V62" s="4"/>
      <c r="W62" s="3"/>
      <c r="X62" s="3"/>
      <c r="Y62" s="3"/>
      <c r="Z62" s="3"/>
      <c r="AA62" s="2"/>
      <c r="AC62" s="10">
        <v>1</v>
      </c>
      <c r="AD62" s="9" t="s">
        <v>131</v>
      </c>
      <c r="AE62" s="9" t="s">
        <v>139</v>
      </c>
      <c r="AF62" s="8" t="s">
        <v>42</v>
      </c>
      <c r="AG62" s="43">
        <f>'[2]AO-ALL'!K65</f>
        <v>1</v>
      </c>
      <c r="AH62" s="47">
        <f>[2]EQ!I8</f>
        <v>180</v>
      </c>
      <c r="AI62" s="8">
        <v>0.1</v>
      </c>
      <c r="AJ62" s="7">
        <f>'[2]AO-ALL'!K62</f>
        <v>0</v>
      </c>
      <c r="AL62" s="10">
        <v>1</v>
      </c>
      <c r="AM62" s="9" t="s">
        <v>131</v>
      </c>
      <c r="AN62" s="9" t="s">
        <v>138</v>
      </c>
      <c r="AO62" s="8" t="s">
        <v>42</v>
      </c>
      <c r="AP62" s="43">
        <f>'[2]AO-ALL'!W40</f>
        <v>0.99972222222222218</v>
      </c>
      <c r="AQ62" s="47">
        <f>[2]EQ!I13</f>
        <v>719.99999999999989</v>
      </c>
      <c r="AR62" s="8">
        <v>0.1</v>
      </c>
      <c r="AS62" s="7">
        <f>'[2]AO-ALL'!W37</f>
        <v>0</v>
      </c>
      <c r="AU62" s="10">
        <v>1</v>
      </c>
      <c r="AV62" s="9" t="s">
        <v>131</v>
      </c>
      <c r="AW62" s="9" t="s">
        <v>137</v>
      </c>
      <c r="AX62" s="8" t="s">
        <v>45</v>
      </c>
      <c r="AY62" s="43">
        <f>'[2]AO-ALL'!W65</f>
        <v>0.99972222222222218</v>
      </c>
      <c r="AZ62" s="47">
        <f>[2]EQ!I22</f>
        <v>120.00000000000006</v>
      </c>
      <c r="BA62" s="8">
        <v>0.1</v>
      </c>
      <c r="BB62" s="7">
        <f>'[2]AO-ALL'!W62</f>
        <v>0</v>
      </c>
      <c r="BD62" s="10">
        <v>1</v>
      </c>
      <c r="BE62" s="9" t="s">
        <v>131</v>
      </c>
      <c r="BF62" s="9"/>
      <c r="BG62" s="8"/>
      <c r="BH62" s="8"/>
      <c r="BI62" s="8"/>
      <c r="BJ62" s="8"/>
      <c r="BK62" s="7"/>
      <c r="BM62" s="10">
        <v>1</v>
      </c>
      <c r="BN62" s="9" t="s">
        <v>131</v>
      </c>
      <c r="BO62" s="9" t="s">
        <v>136</v>
      </c>
      <c r="BP62" s="8" t="s">
        <v>42</v>
      </c>
      <c r="BQ62" s="43">
        <f>'[2]AO-ALL'!W90</f>
        <v>0.99972222222222218</v>
      </c>
      <c r="BR62" s="49">
        <f>[2]EQ!I34</f>
        <v>20.000000000000249</v>
      </c>
      <c r="BS62" s="3">
        <v>0.1</v>
      </c>
      <c r="BT62" s="7">
        <f>'[2]AO-ALL'!W89</f>
        <v>0.1</v>
      </c>
      <c r="BV62" s="5">
        <v>2</v>
      </c>
      <c r="BW62" s="4" t="s">
        <v>88</v>
      </c>
      <c r="BX62" s="4" t="s">
        <v>135</v>
      </c>
      <c r="BY62" s="3" t="s">
        <v>42</v>
      </c>
      <c r="BZ62" s="44">
        <f>[2]PMO!W91</f>
        <v>0.97685185185185186</v>
      </c>
      <c r="CA62" s="3"/>
      <c r="CB62" s="3"/>
      <c r="CC62" s="2">
        <f>[2]PMO!W88</f>
        <v>1</v>
      </c>
      <c r="CE62" s="5">
        <v>2</v>
      </c>
      <c r="CF62" s="4" t="s">
        <v>88</v>
      </c>
      <c r="CG62" s="4"/>
      <c r="CH62" s="3"/>
      <c r="CI62" s="3"/>
      <c r="CJ62" s="3"/>
      <c r="CK62" s="3"/>
      <c r="CL62" s="2"/>
      <c r="CN62" s="5">
        <v>2</v>
      </c>
      <c r="CO62" s="4" t="s">
        <v>88</v>
      </c>
      <c r="CP62" s="4" t="s">
        <v>134</v>
      </c>
      <c r="CQ62" s="3" t="s">
        <v>42</v>
      </c>
      <c r="CR62" s="44">
        <f>[2]PMO!Q72</f>
        <v>0.97685185185185186</v>
      </c>
      <c r="CS62" s="3"/>
      <c r="CT62" s="3"/>
      <c r="CU62" s="2">
        <f>[2]PMO!Q69</f>
        <v>1</v>
      </c>
      <c r="CW62" s="10"/>
      <c r="CX62" s="9"/>
      <c r="CY62" s="9" t="s">
        <v>133</v>
      </c>
      <c r="CZ62" s="8" t="s">
        <v>45</v>
      </c>
      <c r="DA62" s="43">
        <f>'[2]AO-ALL'!AI65</f>
        <v>0.99972222222222218</v>
      </c>
      <c r="DB62" s="48">
        <f>[2]EQ!I48</f>
        <v>1440</v>
      </c>
      <c r="DC62" s="32">
        <v>0.1</v>
      </c>
      <c r="DD62" s="54">
        <f>'[2]AO-ALL'!AI62</f>
        <v>0</v>
      </c>
      <c r="DF62" s="10">
        <v>1</v>
      </c>
      <c r="DG62" s="9" t="s">
        <v>131</v>
      </c>
      <c r="DH62" s="9" t="s">
        <v>132</v>
      </c>
      <c r="DI62" s="8" t="s">
        <v>45</v>
      </c>
      <c r="DJ62" s="43">
        <f>'[2]AO-ALL'!AI40</f>
        <v>0.99972222222222218</v>
      </c>
      <c r="DK62" s="47">
        <f>[2]EQ!I56</f>
        <v>1440</v>
      </c>
      <c r="DL62" s="8">
        <v>0.1</v>
      </c>
      <c r="DM62" s="7">
        <f>'[2]AO-ALL'!AI37</f>
        <v>0</v>
      </c>
      <c r="DO62" s="10">
        <v>1</v>
      </c>
      <c r="DP62" s="9" t="s">
        <v>131</v>
      </c>
      <c r="DQ62" s="9" t="s">
        <v>130</v>
      </c>
      <c r="DR62" s="8" t="s">
        <v>42</v>
      </c>
      <c r="DS62" s="43">
        <f>'[2]AO-ALL'!K115</f>
        <v>0.99888888888888894</v>
      </c>
      <c r="DT62" s="47">
        <f>[2]EQ!I61</f>
        <v>119.99999999999997</v>
      </c>
      <c r="DU62" s="8">
        <v>0.4</v>
      </c>
      <c r="DV62" s="7">
        <f>'[2]AO-ALL'!K112</f>
        <v>0</v>
      </c>
    </row>
    <row r="63" spans="2:126" ht="15.75" thickBot="1" x14ac:dyDescent="0.3">
      <c r="B63" s="5">
        <v>3</v>
      </c>
      <c r="C63" s="4" t="s">
        <v>67</v>
      </c>
      <c r="D63" s="53" t="s">
        <v>129</v>
      </c>
      <c r="E63" s="52"/>
      <c r="F63" s="52"/>
      <c r="G63" s="51">
        <v>24</v>
      </c>
      <c r="H63" s="51">
        <f>1*G63/24</f>
        <v>1</v>
      </c>
      <c r="I63" s="50">
        <v>0</v>
      </c>
      <c r="K63" s="5">
        <v>3</v>
      </c>
      <c r="L63" s="4" t="s">
        <v>67</v>
      </c>
      <c r="M63" s="4"/>
      <c r="N63" s="3"/>
      <c r="O63" s="3"/>
      <c r="P63" s="3"/>
      <c r="Q63" s="3"/>
      <c r="R63" s="2"/>
      <c r="T63" s="5">
        <v>3</v>
      </c>
      <c r="U63" s="4" t="s">
        <v>67</v>
      </c>
      <c r="V63" s="4"/>
      <c r="W63" s="3"/>
      <c r="X63" s="3"/>
      <c r="Y63" s="3"/>
      <c r="Z63" s="3"/>
      <c r="AA63" s="2"/>
      <c r="AC63" s="5">
        <v>2</v>
      </c>
      <c r="AD63" s="4" t="s">
        <v>88</v>
      </c>
      <c r="AE63" s="4" t="s">
        <v>128</v>
      </c>
      <c r="AF63" s="8" t="s">
        <v>42</v>
      </c>
      <c r="AG63" s="44">
        <f>[2]PMO!E34</f>
        <v>0.97685185185185186</v>
      </c>
      <c r="AH63" s="3"/>
      <c r="AI63" s="3"/>
      <c r="AJ63" s="2">
        <f>[2]PMO!E31</f>
        <v>1</v>
      </c>
      <c r="AL63" s="10"/>
      <c r="AM63" s="9"/>
      <c r="AN63" s="9" t="s">
        <v>127</v>
      </c>
      <c r="AO63" s="8" t="s">
        <v>42</v>
      </c>
      <c r="AP63" s="43">
        <f>'[2]AO-ALL'!E40</f>
        <v>0.99972222222222218</v>
      </c>
      <c r="AQ63" s="47">
        <f>[2]EQ!I14</f>
        <v>239.99999999999994</v>
      </c>
      <c r="AR63" s="8">
        <v>0.1</v>
      </c>
      <c r="AS63" s="7">
        <f>'[2]AO-ALL'!E37</f>
        <v>0</v>
      </c>
      <c r="AU63" s="10"/>
      <c r="AV63" s="9"/>
      <c r="AW63" s="9" t="s">
        <v>126</v>
      </c>
      <c r="AX63" s="8" t="s">
        <v>45</v>
      </c>
      <c r="AY63" s="43">
        <f>'[2]AO-ALL'!Q40</f>
        <v>0.99972222222222218</v>
      </c>
      <c r="AZ63" s="47">
        <f>[2]EQ!I21</f>
        <v>180</v>
      </c>
      <c r="BA63" s="8">
        <v>0.1</v>
      </c>
      <c r="BB63" s="7">
        <f>'[2]AO-ALL'!Q37</f>
        <v>0</v>
      </c>
      <c r="BD63" s="5">
        <v>2</v>
      </c>
      <c r="BE63" s="4" t="s">
        <v>88</v>
      </c>
      <c r="BF63" s="4" t="s">
        <v>125</v>
      </c>
      <c r="BG63" s="3" t="s">
        <v>42</v>
      </c>
      <c r="BH63" s="44">
        <f>[2]PMO!E72</f>
        <v>0.97685185185185186</v>
      </c>
      <c r="BI63" s="3"/>
      <c r="BJ63" s="3">
        <v>0</v>
      </c>
      <c r="BK63" s="2">
        <f>[2]PMO!E69</f>
        <v>1</v>
      </c>
      <c r="BM63" s="10"/>
      <c r="BN63" s="9"/>
      <c r="BO63" s="9" t="s">
        <v>124</v>
      </c>
      <c r="BP63" s="8" t="s">
        <v>42</v>
      </c>
      <c r="BQ63" s="43">
        <f>'[2]AO-ALL'!AC40</f>
        <v>1</v>
      </c>
      <c r="BR63" s="49">
        <f>[2]EQ!I35</f>
        <v>0</v>
      </c>
      <c r="BS63" s="3">
        <v>0</v>
      </c>
      <c r="BT63" s="7">
        <f>'[2]AO-ALL'!AC37</f>
        <v>0</v>
      </c>
      <c r="BV63" s="5"/>
      <c r="BW63" s="4"/>
      <c r="BX63" s="4" t="s">
        <v>123</v>
      </c>
      <c r="BY63" s="3" t="s">
        <v>42</v>
      </c>
      <c r="BZ63" s="44">
        <f>[2]PMO!W15</f>
        <v>0.97685185185185186</v>
      </c>
      <c r="CA63" s="3"/>
      <c r="CB63" s="3"/>
      <c r="CC63" s="46">
        <f>[2]PMO!W12</f>
        <v>1</v>
      </c>
      <c r="CE63" s="5">
        <v>3</v>
      </c>
      <c r="CF63" s="4" t="s">
        <v>67</v>
      </c>
      <c r="CG63" s="4"/>
      <c r="CH63" s="3"/>
      <c r="CI63" s="3"/>
      <c r="CJ63" s="3"/>
      <c r="CK63" s="3"/>
      <c r="CL63" s="2"/>
      <c r="CN63" s="5">
        <v>3</v>
      </c>
      <c r="CO63" s="4" t="s">
        <v>67</v>
      </c>
      <c r="CP63" s="4" t="s">
        <v>122</v>
      </c>
      <c r="CQ63" s="3" t="s">
        <v>42</v>
      </c>
      <c r="CR63" s="44">
        <f>[2]PNMO!Q69</f>
        <v>0.97685185185185186</v>
      </c>
      <c r="CS63" s="3"/>
      <c r="CT63" s="3"/>
      <c r="CU63" s="2">
        <f>[2]PNMO!Q66</f>
        <v>1</v>
      </c>
      <c r="CW63" s="10"/>
      <c r="CX63" s="9"/>
      <c r="CY63" s="9" t="s">
        <v>121</v>
      </c>
      <c r="CZ63" s="8" t="s">
        <v>42</v>
      </c>
      <c r="DA63" s="43">
        <f>'[2]AO-ALL'!AC90</f>
        <v>0.99972222222222218</v>
      </c>
      <c r="DB63" s="48">
        <f>[2]EQ!I51</f>
        <v>0</v>
      </c>
      <c r="DC63" s="32">
        <v>0.1</v>
      </c>
      <c r="DD63" s="7">
        <f>'[2]AO-ALL'!AC87</f>
        <v>0</v>
      </c>
      <c r="DF63" s="10"/>
      <c r="DG63" s="9"/>
      <c r="DH63" s="9" t="s">
        <v>120</v>
      </c>
      <c r="DI63" s="8" t="s">
        <v>42</v>
      </c>
      <c r="DJ63" s="43">
        <f>'[2]AO-ALL'!Q115</f>
        <v>0.99972222222222218</v>
      </c>
      <c r="DK63" s="47">
        <f>[2]EQ!I57</f>
        <v>299.99999999999989</v>
      </c>
      <c r="DL63" s="8">
        <v>0.1</v>
      </c>
      <c r="DM63" s="7">
        <f>'[2]AO-ALL'!Q112</f>
        <v>0</v>
      </c>
      <c r="DO63" s="10"/>
      <c r="DP63" s="9"/>
      <c r="DQ63" s="9" t="s">
        <v>119</v>
      </c>
      <c r="DR63" s="8" t="s">
        <v>42</v>
      </c>
      <c r="DS63" s="43">
        <f>'[2]AO-ALL'!AC115</f>
        <v>1</v>
      </c>
      <c r="DT63" s="8">
        <v>0</v>
      </c>
      <c r="DU63" s="8"/>
      <c r="DV63" s="7">
        <f>'[2]AO-ALL'!AC112</f>
        <v>0</v>
      </c>
    </row>
    <row r="64" spans="2:126" ht="15.75" thickBot="1" x14ac:dyDescent="0.3">
      <c r="B64" s="17" t="s">
        <v>39</v>
      </c>
      <c r="C64" s="16" t="s">
        <v>38</v>
      </c>
      <c r="D64" s="16"/>
      <c r="E64" s="15"/>
      <c r="F64" s="15"/>
      <c r="G64" s="15"/>
      <c r="H64" s="15"/>
      <c r="I64" s="14"/>
      <c r="K64" s="17" t="s">
        <v>39</v>
      </c>
      <c r="L64" s="16" t="s">
        <v>38</v>
      </c>
      <c r="M64" s="16"/>
      <c r="N64" s="15"/>
      <c r="O64" s="15"/>
      <c r="P64" s="15"/>
      <c r="Q64" s="15"/>
      <c r="R64" s="14"/>
      <c r="T64" s="17" t="s">
        <v>39</v>
      </c>
      <c r="U64" s="16" t="s">
        <v>38</v>
      </c>
      <c r="V64" s="16"/>
      <c r="W64" s="15"/>
      <c r="X64" s="15"/>
      <c r="Y64" s="15"/>
      <c r="Z64" s="15"/>
      <c r="AA64" s="14"/>
      <c r="AC64" s="5"/>
      <c r="AD64" s="4"/>
      <c r="AE64" s="4" t="s">
        <v>118</v>
      </c>
      <c r="AF64" s="8" t="s">
        <v>42</v>
      </c>
      <c r="AG64" s="44">
        <f>[2]PMO!K15</f>
        <v>0.97685185185185186</v>
      </c>
      <c r="AH64" s="3"/>
      <c r="AI64" s="3"/>
      <c r="AJ64" s="2">
        <f>[2]PMO!K12</f>
        <v>1</v>
      </c>
      <c r="AL64" s="10"/>
      <c r="AM64" s="9"/>
      <c r="AN64" s="9" t="s">
        <v>117</v>
      </c>
      <c r="AO64" s="8" t="s">
        <v>42</v>
      </c>
      <c r="AP64" s="43">
        <f>'[2]AO-ALL'!K40</f>
        <v>0.99972222222222218</v>
      </c>
      <c r="AQ64" s="47">
        <f>[2]EQ!I15</f>
        <v>0</v>
      </c>
      <c r="AR64" s="8">
        <v>0.1</v>
      </c>
      <c r="AS64" s="7">
        <f>'[2]AO-ALL'!K37</f>
        <v>0</v>
      </c>
      <c r="AU64" s="10"/>
      <c r="AV64" s="9"/>
      <c r="AW64" s="9" t="s">
        <v>116</v>
      </c>
      <c r="AX64" s="8" t="s">
        <v>42</v>
      </c>
      <c r="AY64" s="43">
        <f>'[2]AO-ALL'!E90</f>
        <v>1</v>
      </c>
      <c r="AZ64" s="47">
        <f>[2]EQ!I23</f>
        <v>59.999999999999943</v>
      </c>
      <c r="BA64" s="8">
        <v>0.1</v>
      </c>
      <c r="BB64" s="7">
        <f>'[2]AO-ALL'!E87</f>
        <v>0</v>
      </c>
      <c r="BD64" s="5">
        <v>3</v>
      </c>
      <c r="BE64" s="4" t="s">
        <v>67</v>
      </c>
      <c r="BF64" s="4" t="s">
        <v>115</v>
      </c>
      <c r="BG64" s="3" t="s">
        <v>45</v>
      </c>
      <c r="BH64" s="44">
        <f>[2]PNMO!W87</f>
        <v>0.97685185185185186</v>
      </c>
      <c r="BI64" s="3"/>
      <c r="BJ64" s="3">
        <f>SUM(BJ78:BJ78)</f>
        <v>0</v>
      </c>
      <c r="BK64" s="39">
        <f>[2]PNMO!W84</f>
        <v>1</v>
      </c>
      <c r="BM64" s="5">
        <v>2</v>
      </c>
      <c r="BN64" s="4" t="s">
        <v>88</v>
      </c>
      <c r="BO64" s="4" t="s">
        <v>114</v>
      </c>
      <c r="BP64" s="8" t="s">
        <v>42</v>
      </c>
      <c r="BQ64" s="44">
        <f>[2]PMO!E91</f>
        <v>0.97685185185185186</v>
      </c>
      <c r="BR64" s="3"/>
      <c r="BS64" s="3"/>
      <c r="BT64" s="2">
        <f>[2]PMO!E88</f>
        <v>1</v>
      </c>
      <c r="BV64" s="5">
        <v>3</v>
      </c>
      <c r="BW64" s="4" t="s">
        <v>67</v>
      </c>
      <c r="BX64" s="4" t="s">
        <v>113</v>
      </c>
      <c r="BY64" s="3" t="s">
        <v>42</v>
      </c>
      <c r="BZ64" s="44">
        <f>[2]PNMO!E141</f>
        <v>0.97685185185185186</v>
      </c>
      <c r="CA64" s="3"/>
      <c r="CB64" s="3"/>
      <c r="CC64" s="2">
        <f>[2]PNMO!E138</f>
        <v>1</v>
      </c>
      <c r="CE64" s="17" t="s">
        <v>39</v>
      </c>
      <c r="CF64" s="16" t="s">
        <v>38</v>
      </c>
      <c r="CG64" s="16"/>
      <c r="CH64" s="15"/>
      <c r="CI64" s="15"/>
      <c r="CJ64" s="15"/>
      <c r="CK64" s="15"/>
      <c r="CL64" s="14"/>
      <c r="CN64" s="34"/>
      <c r="CO64" s="42"/>
      <c r="CP64" s="42" t="s">
        <v>112</v>
      </c>
      <c r="CQ64" s="41" t="s">
        <v>42</v>
      </c>
      <c r="CR64" s="40">
        <f>[2]PNMO!W33</f>
        <v>0.97685185185185186</v>
      </c>
      <c r="CS64" s="41"/>
      <c r="CT64" s="41"/>
      <c r="CU64" s="39">
        <f>[2]PNMO!W30</f>
        <v>1</v>
      </c>
      <c r="CW64" s="10"/>
      <c r="CX64" s="9"/>
      <c r="CY64" s="9" t="s">
        <v>111</v>
      </c>
      <c r="CZ64" s="8" t="s">
        <v>42</v>
      </c>
      <c r="DA64" s="43">
        <f>'[2]AO-ALL'!E115</f>
        <v>0.99972222222222218</v>
      </c>
      <c r="DB64" s="48">
        <f>[2]EQ!I49</f>
        <v>720</v>
      </c>
      <c r="DC64" s="32">
        <v>0.1</v>
      </c>
      <c r="DD64" s="7">
        <f>'[2]AO-ALL'!E112</f>
        <v>0</v>
      </c>
      <c r="DF64" s="5"/>
      <c r="DG64" s="4"/>
      <c r="DH64" s="4" t="s">
        <v>110</v>
      </c>
      <c r="DI64" s="8" t="s">
        <v>42</v>
      </c>
      <c r="DJ64" s="44"/>
      <c r="DK64" s="3"/>
      <c r="DL64" s="3"/>
      <c r="DM64" s="2"/>
      <c r="DO64" s="5">
        <v>2</v>
      </c>
      <c r="DP64" s="4" t="s">
        <v>88</v>
      </c>
      <c r="DQ64" s="4" t="s">
        <v>109</v>
      </c>
      <c r="DR64" s="8" t="s">
        <v>42</v>
      </c>
      <c r="DS64" s="44">
        <f>[2]PMO!W34</f>
        <v>0.97685185185185186</v>
      </c>
      <c r="DT64" s="3"/>
      <c r="DU64" s="3"/>
      <c r="DV64" s="2">
        <f>[2]PMO!W31</f>
        <v>1</v>
      </c>
    </row>
    <row r="65" spans="2:126" ht="15.75" thickBot="1" x14ac:dyDescent="0.3">
      <c r="B65" s="10">
        <v>1</v>
      </c>
      <c r="C65" s="9" t="s">
        <v>32</v>
      </c>
      <c r="D65" s="9"/>
      <c r="E65" s="8"/>
      <c r="F65" s="8"/>
      <c r="G65" s="8"/>
      <c r="H65" s="8"/>
      <c r="I65" s="7"/>
      <c r="K65" s="10">
        <v>1</v>
      </c>
      <c r="L65" s="9" t="s">
        <v>32</v>
      </c>
      <c r="M65" s="9"/>
      <c r="N65" s="8"/>
      <c r="O65" s="8"/>
      <c r="P65" s="8"/>
      <c r="Q65" s="8"/>
      <c r="R65" s="7"/>
      <c r="T65" s="10">
        <v>1</v>
      </c>
      <c r="U65" s="9" t="s">
        <v>32</v>
      </c>
      <c r="V65" s="9"/>
      <c r="W65" s="8"/>
      <c r="X65" s="8"/>
      <c r="Y65" s="8"/>
      <c r="Z65" s="8"/>
      <c r="AA65" s="7"/>
      <c r="AC65" s="5">
        <v>3</v>
      </c>
      <c r="AD65" s="4" t="s">
        <v>67</v>
      </c>
      <c r="AE65" s="4" t="s">
        <v>108</v>
      </c>
      <c r="AF65" s="3" t="s">
        <v>42</v>
      </c>
      <c r="AG65" s="44">
        <f>[2]PNMO!K15</f>
        <v>0.97685185185185186</v>
      </c>
      <c r="AH65" s="32"/>
      <c r="AI65" s="8">
        <f>AI85/10</f>
        <v>0</v>
      </c>
      <c r="AJ65" s="2">
        <f>[2]PNMO!K12</f>
        <v>1</v>
      </c>
      <c r="AL65" s="10"/>
      <c r="AM65" s="9"/>
      <c r="AN65" s="9" t="s">
        <v>107</v>
      </c>
      <c r="AO65" s="8" t="s">
        <v>42</v>
      </c>
      <c r="AP65" s="43">
        <f>'[2]AO-ALL'!E65</f>
        <v>0.99972222222222218</v>
      </c>
      <c r="AQ65" s="47">
        <f>[2]EQ!I16</f>
        <v>239.99999999999994</v>
      </c>
      <c r="AR65" s="8">
        <v>0.1</v>
      </c>
      <c r="AS65" s="7">
        <f>'[2]AO-ALL'!E62</f>
        <v>0</v>
      </c>
      <c r="AU65" s="10"/>
      <c r="AV65" s="9"/>
      <c r="AW65" s="9" t="s">
        <v>106</v>
      </c>
      <c r="AX65" s="8" t="s">
        <v>42</v>
      </c>
      <c r="AY65" s="43">
        <f>'[2]AO-ALL'!K90</f>
        <v>1</v>
      </c>
      <c r="AZ65" s="47">
        <f>[2]EQ!I24</f>
        <v>59.999999999999943</v>
      </c>
      <c r="BA65" s="8">
        <v>0.1</v>
      </c>
      <c r="BB65" s="7">
        <f>'[2]AO-ALL'!K87</f>
        <v>0</v>
      </c>
      <c r="BD65" s="34"/>
      <c r="BE65" s="42"/>
      <c r="BF65" s="42" t="s">
        <v>105</v>
      </c>
      <c r="BG65" s="41" t="s">
        <v>42</v>
      </c>
      <c r="BH65" s="40">
        <f>[2]PMO!Q34</f>
        <v>0.97685185185185186</v>
      </c>
      <c r="BI65" s="41"/>
      <c r="BJ65" s="41">
        <v>0</v>
      </c>
      <c r="BK65" s="39">
        <f>[2]PMO!Q31</f>
        <v>1</v>
      </c>
      <c r="BM65" s="5"/>
      <c r="BN65" s="4"/>
      <c r="BO65" s="4" t="s">
        <v>104</v>
      </c>
      <c r="BP65" s="8" t="s">
        <v>42</v>
      </c>
      <c r="BQ65" s="44">
        <f>[2]PMO!K53</f>
        <v>0.97685185185185186</v>
      </c>
      <c r="BR65" s="3"/>
      <c r="BS65" s="3"/>
      <c r="BT65" s="2">
        <f>[2]PMO!K50</f>
        <v>1</v>
      </c>
      <c r="BV65" s="17" t="s">
        <v>39</v>
      </c>
      <c r="BW65" s="16" t="s">
        <v>38</v>
      </c>
      <c r="BX65" s="16"/>
      <c r="BY65" s="15"/>
      <c r="BZ65" s="15"/>
      <c r="CA65" s="15"/>
      <c r="CB65" s="15"/>
      <c r="CC65" s="14"/>
      <c r="CE65" s="10">
        <v>1</v>
      </c>
      <c r="CF65" s="9" t="s">
        <v>32</v>
      </c>
      <c r="CG65" s="9"/>
      <c r="CH65" s="8"/>
      <c r="CI65" s="8"/>
      <c r="CJ65" s="8"/>
      <c r="CK65" s="8"/>
      <c r="CL65" s="7"/>
      <c r="CN65" s="17" t="s">
        <v>39</v>
      </c>
      <c r="CO65" s="16" t="s">
        <v>38</v>
      </c>
      <c r="CP65" s="16"/>
      <c r="CQ65" s="15"/>
      <c r="CR65" s="15"/>
      <c r="CS65" s="15"/>
      <c r="CT65" s="15"/>
      <c r="CU65" s="14"/>
      <c r="CW65" s="5">
        <v>2</v>
      </c>
      <c r="CX65" s="4" t="s">
        <v>88</v>
      </c>
      <c r="CY65" s="4" t="s">
        <v>103</v>
      </c>
      <c r="CZ65" s="8" t="s">
        <v>42</v>
      </c>
      <c r="DA65" s="44">
        <f>[2]PMO!Q91</f>
        <v>0.97685185185185186</v>
      </c>
      <c r="DB65" s="32"/>
      <c r="DC65" s="32"/>
      <c r="DD65" s="2">
        <f>[2]PMO!Q88</f>
        <v>1</v>
      </c>
      <c r="DF65" s="5">
        <v>2</v>
      </c>
      <c r="DG65" s="4" t="s">
        <v>88</v>
      </c>
      <c r="DH65" s="4" t="s">
        <v>102</v>
      </c>
      <c r="DI65" s="8" t="s">
        <v>42</v>
      </c>
      <c r="DJ65" s="44">
        <f>[2]PMO!W53</f>
        <v>0.97685185185185186</v>
      </c>
      <c r="DK65" s="3"/>
      <c r="DL65" s="3"/>
      <c r="DM65" s="2">
        <f>[2]PMO!W50</f>
        <v>1</v>
      </c>
      <c r="DO65" s="5"/>
      <c r="DP65" s="4"/>
      <c r="DQ65" s="4" t="s">
        <v>101</v>
      </c>
      <c r="DR65" s="8" t="s">
        <v>42</v>
      </c>
      <c r="DS65" s="44">
        <f>[2]PMO!K91</f>
        <v>0.97685185185185186</v>
      </c>
      <c r="DT65" s="3"/>
      <c r="DU65" s="3"/>
      <c r="DV65" s="2">
        <f>[2]PMO!K88</f>
        <v>1</v>
      </c>
    </row>
    <row r="66" spans="2:126" ht="15.75" thickBot="1" x14ac:dyDescent="0.3">
      <c r="B66" s="10">
        <v>2</v>
      </c>
      <c r="C66" s="4" t="s">
        <v>27</v>
      </c>
      <c r="D66" s="4"/>
      <c r="E66" s="3"/>
      <c r="F66" s="3"/>
      <c r="G66" s="3"/>
      <c r="H66" s="3"/>
      <c r="I66" s="2"/>
      <c r="K66" s="10">
        <v>2</v>
      </c>
      <c r="L66" s="4" t="s">
        <v>27</v>
      </c>
      <c r="M66" s="4"/>
      <c r="N66" s="3"/>
      <c r="O66" s="3"/>
      <c r="P66" s="3"/>
      <c r="Q66" s="3"/>
      <c r="R66" s="2"/>
      <c r="T66" s="10">
        <v>2</v>
      </c>
      <c r="U66" s="4" t="s">
        <v>27</v>
      </c>
      <c r="V66" s="4" t="s">
        <v>100</v>
      </c>
      <c r="W66" s="32"/>
      <c r="X66" s="32"/>
      <c r="Y66" s="32"/>
      <c r="Z66" s="32"/>
      <c r="AA66" s="2"/>
      <c r="AC66" s="5"/>
      <c r="AD66" s="4"/>
      <c r="AE66" s="4" t="s">
        <v>99</v>
      </c>
      <c r="AF66" s="3" t="s">
        <v>42</v>
      </c>
      <c r="AG66" s="44">
        <f>[2]PNMO!K33</f>
        <v>0.97685185185185186</v>
      </c>
      <c r="AH66" s="32"/>
      <c r="AI66" s="32"/>
      <c r="AJ66" s="2">
        <f>[2]PNMO!K30</f>
        <v>1</v>
      </c>
      <c r="AL66" s="5">
        <v>2</v>
      </c>
      <c r="AM66" s="4" t="s">
        <v>88</v>
      </c>
      <c r="AN66" s="4"/>
      <c r="AO66" s="3"/>
      <c r="AP66" s="3"/>
      <c r="AQ66" s="3"/>
      <c r="AR66" s="3"/>
      <c r="AS66" s="2"/>
      <c r="AU66" s="10"/>
      <c r="AV66" s="9"/>
      <c r="AW66" s="9" t="s">
        <v>98</v>
      </c>
      <c r="AX66" s="8" t="s">
        <v>42</v>
      </c>
      <c r="AY66" s="43">
        <f>'[2]AO-ALL'!Q90</f>
        <v>1</v>
      </c>
      <c r="AZ66" s="47">
        <f>[2]EQ!I25</f>
        <v>60.000000000000107</v>
      </c>
      <c r="BA66" s="8">
        <v>0.1</v>
      </c>
      <c r="BB66" s="7">
        <f>'[2]AO-ALL'!Q87</f>
        <v>0</v>
      </c>
      <c r="BD66" s="17" t="s">
        <v>39</v>
      </c>
      <c r="BE66" s="16" t="s">
        <v>38</v>
      </c>
      <c r="BF66" s="16"/>
      <c r="BG66" s="15"/>
      <c r="BH66" s="15"/>
      <c r="BI66" s="15"/>
      <c r="BJ66" s="15"/>
      <c r="BK66" s="14"/>
      <c r="BM66" s="5">
        <v>3</v>
      </c>
      <c r="BN66" s="4" t="s">
        <v>67</v>
      </c>
      <c r="BO66" s="4" t="s">
        <v>97</v>
      </c>
      <c r="BP66" s="3" t="s">
        <v>45</v>
      </c>
      <c r="BQ66" s="44">
        <f>[2]PNMO!W105</f>
        <v>0.97685185185185186</v>
      </c>
      <c r="BR66" s="3"/>
      <c r="BS66" s="3">
        <f>SUM(BS80:BS80)</f>
        <v>0</v>
      </c>
      <c r="BT66" s="2">
        <f>[2]PNMO!W102</f>
        <v>1</v>
      </c>
      <c r="BV66" s="10">
        <v>1</v>
      </c>
      <c r="BW66" s="9" t="s">
        <v>32</v>
      </c>
      <c r="BX66" s="9"/>
      <c r="BY66" s="8"/>
      <c r="BZ66" s="8"/>
      <c r="CA66" s="8"/>
      <c r="CB66" s="8"/>
      <c r="CC66" s="7"/>
      <c r="CE66" s="10">
        <v>2</v>
      </c>
      <c r="CF66" s="4" t="s">
        <v>27</v>
      </c>
      <c r="CG66" s="4" t="s">
        <v>96</v>
      </c>
      <c r="CH66" s="3"/>
      <c r="CI66" s="3"/>
      <c r="CJ66" s="3"/>
      <c r="CK66" s="3"/>
      <c r="CL66" s="2"/>
      <c r="CN66" s="10">
        <v>1</v>
      </c>
      <c r="CO66" s="9" t="s">
        <v>32</v>
      </c>
      <c r="CP66" s="9"/>
      <c r="CQ66" s="8"/>
      <c r="CR66" s="8"/>
      <c r="CS66" s="8"/>
      <c r="CT66" s="8"/>
      <c r="CU66" s="7"/>
      <c r="CW66" s="5"/>
      <c r="CX66" s="4"/>
      <c r="CY66" s="4" t="s">
        <v>95</v>
      </c>
      <c r="CZ66" s="8" t="s">
        <v>42</v>
      </c>
      <c r="DA66" s="44">
        <f>[2]PMO!K72</f>
        <v>0.97685185185185186</v>
      </c>
      <c r="DB66" s="32"/>
      <c r="DC66" s="32"/>
      <c r="DD66" s="2">
        <f>[2]PMO!K69</f>
        <v>1</v>
      </c>
      <c r="DF66" s="5">
        <v>3</v>
      </c>
      <c r="DG66" s="4" t="s">
        <v>67</v>
      </c>
      <c r="DH66" s="4" t="s">
        <v>94</v>
      </c>
      <c r="DI66" s="8" t="s">
        <v>42</v>
      </c>
      <c r="DJ66" s="44">
        <f>[2]PNMO!E15</f>
        <v>0.97685185185185186</v>
      </c>
      <c r="DK66" s="3"/>
      <c r="DL66" s="3"/>
      <c r="DM66" s="2">
        <f>[2]PNMO!E12</f>
        <v>1</v>
      </c>
      <c r="DO66" s="5">
        <v>3</v>
      </c>
      <c r="DP66" s="4" t="s">
        <v>67</v>
      </c>
      <c r="DQ66" s="4"/>
      <c r="DR66" s="3"/>
      <c r="DS66" s="3"/>
      <c r="DT66" s="3"/>
      <c r="DU66" s="3"/>
      <c r="DV66" s="2"/>
    </row>
    <row r="67" spans="2:126" ht="15.75" thickBot="1" x14ac:dyDescent="0.3">
      <c r="B67" s="34">
        <v>3</v>
      </c>
      <c r="C67" s="33" t="s">
        <v>18</v>
      </c>
      <c r="D67" s="33" t="s">
        <v>93</v>
      </c>
      <c r="E67" s="32"/>
      <c r="F67" s="32"/>
      <c r="G67" s="32">
        <v>10</v>
      </c>
      <c r="H67" s="32">
        <f>G67/10</f>
        <v>1</v>
      </c>
      <c r="I67" s="31">
        <v>0</v>
      </c>
      <c r="K67" s="34">
        <v>3</v>
      </c>
      <c r="L67" s="33" t="s">
        <v>18</v>
      </c>
      <c r="M67" s="33" t="s">
        <v>92</v>
      </c>
      <c r="N67" s="32"/>
      <c r="O67" s="32"/>
      <c r="P67" s="32"/>
      <c r="Q67" s="32">
        <f>P67</f>
        <v>0</v>
      </c>
      <c r="R67" s="31">
        <v>0</v>
      </c>
      <c r="T67" s="34">
        <v>3</v>
      </c>
      <c r="U67" s="33" t="s">
        <v>18</v>
      </c>
      <c r="V67" s="33" t="s">
        <v>91</v>
      </c>
      <c r="W67" s="32"/>
      <c r="X67" s="32"/>
      <c r="Y67" s="32"/>
      <c r="Z67" s="32">
        <v>0.1</v>
      </c>
      <c r="AA67" s="31"/>
      <c r="AC67" s="5"/>
      <c r="AD67" s="4"/>
      <c r="AE67" s="4" t="s">
        <v>90</v>
      </c>
      <c r="AF67" s="3" t="s">
        <v>42</v>
      </c>
      <c r="AG67" s="44">
        <f>[2]PNMO!K51</f>
        <v>0.97685185185185186</v>
      </c>
      <c r="AH67" s="32"/>
      <c r="AI67" s="32"/>
      <c r="AJ67" s="2">
        <f>[2]PNMO!K48</f>
        <v>1</v>
      </c>
      <c r="AL67" s="5">
        <v>3</v>
      </c>
      <c r="AM67" s="4" t="s">
        <v>67</v>
      </c>
      <c r="AN67" s="4" t="s">
        <v>89</v>
      </c>
      <c r="AO67" s="3" t="s">
        <v>42</v>
      </c>
      <c r="AP67" s="44">
        <f>[2]PNMO!Q87</f>
        <v>0.97685185185185186</v>
      </c>
      <c r="AQ67" s="3"/>
      <c r="AR67" s="3"/>
      <c r="AS67" s="2">
        <f>[2]PNMO!Q84</f>
        <v>1</v>
      </c>
      <c r="AU67" s="5">
        <v>2</v>
      </c>
      <c r="AV67" s="4" t="s">
        <v>88</v>
      </c>
      <c r="AW67" s="4" t="s">
        <v>87</v>
      </c>
      <c r="AX67" s="8" t="s">
        <v>42</v>
      </c>
      <c r="AY67" s="44">
        <f>[2]PMO!E53</f>
        <v>0.97685185185185186</v>
      </c>
      <c r="AZ67" s="3"/>
      <c r="BA67" s="3"/>
      <c r="BB67" s="2">
        <f>[2]PMO!E50</f>
        <v>1</v>
      </c>
      <c r="BD67" s="10">
        <v>1</v>
      </c>
      <c r="BE67" s="9" t="s">
        <v>32</v>
      </c>
      <c r="BF67" s="9"/>
      <c r="BG67" s="8"/>
      <c r="BH67" s="8"/>
      <c r="BI67" s="8"/>
      <c r="BJ67" s="8"/>
      <c r="BK67" s="7"/>
      <c r="BM67" s="5"/>
      <c r="BN67" s="4"/>
      <c r="BO67" s="4" t="s">
        <v>86</v>
      </c>
      <c r="BP67" s="3" t="s">
        <v>42</v>
      </c>
      <c r="BQ67" s="44">
        <f>[2]PNMO!K123</f>
        <v>0.97777777777777775</v>
      </c>
      <c r="BR67" s="3"/>
      <c r="BS67" s="3"/>
      <c r="BT67" s="2">
        <f>[2]PNMO!K120</f>
        <v>0</v>
      </c>
      <c r="BV67" s="10">
        <v>2</v>
      </c>
      <c r="BW67" s="4" t="s">
        <v>27</v>
      </c>
      <c r="BX67" s="4" t="s">
        <v>85</v>
      </c>
      <c r="BY67" s="3"/>
      <c r="BZ67" s="3"/>
      <c r="CA67" s="3"/>
      <c r="CB67" s="3"/>
      <c r="CC67" s="2"/>
      <c r="CE67" s="34"/>
      <c r="CF67" s="33"/>
      <c r="CG67" s="4" t="s">
        <v>84</v>
      </c>
      <c r="CH67" s="32"/>
      <c r="CI67" s="32"/>
      <c r="CJ67" s="32"/>
      <c r="CK67" s="32"/>
      <c r="CL67" s="31"/>
      <c r="CN67" s="10">
        <v>2</v>
      </c>
      <c r="CO67" s="4" t="s">
        <v>27</v>
      </c>
      <c r="CP67" s="4" t="s">
        <v>83</v>
      </c>
      <c r="CQ67" s="3"/>
      <c r="CR67" s="3"/>
      <c r="CS67" s="3"/>
      <c r="CT67" s="3"/>
      <c r="CU67" s="2"/>
      <c r="CW67" s="5">
        <v>3</v>
      </c>
      <c r="CX67" s="4" t="s">
        <v>67</v>
      </c>
      <c r="CY67" s="4" t="s">
        <v>82</v>
      </c>
      <c r="CZ67" s="8" t="s">
        <v>42</v>
      </c>
      <c r="DA67" s="44">
        <f>[2]PNMO!W51</f>
        <v>0.97685185185185186</v>
      </c>
      <c r="DB67" s="3"/>
      <c r="DC67" s="3"/>
      <c r="DD67" s="2">
        <f>[2]PNMO!W48</f>
        <v>1</v>
      </c>
      <c r="DF67" s="5"/>
      <c r="DG67" s="4"/>
      <c r="DH67" s="4" t="s">
        <v>81</v>
      </c>
      <c r="DI67" s="8" t="s">
        <v>42</v>
      </c>
      <c r="DJ67" s="44">
        <f>[2]PNMO!E33</f>
        <v>0.97685185185185186</v>
      </c>
      <c r="DK67" s="3"/>
      <c r="DL67" s="3"/>
      <c r="DM67" s="2">
        <f>[2]PNMO!E30</f>
        <v>1</v>
      </c>
      <c r="DO67" s="17" t="s">
        <v>39</v>
      </c>
      <c r="DP67" s="16" t="s">
        <v>38</v>
      </c>
      <c r="DQ67" s="16"/>
      <c r="DR67" s="15"/>
      <c r="DS67" s="15"/>
      <c r="DT67" s="15"/>
      <c r="DU67" s="15"/>
      <c r="DV67" s="14"/>
    </row>
    <row r="68" spans="2:126" ht="15.75" thickBot="1" x14ac:dyDescent="0.3">
      <c r="B68" s="17" t="s">
        <v>15</v>
      </c>
      <c r="C68" s="16" t="s">
        <v>14</v>
      </c>
      <c r="D68" s="16"/>
      <c r="E68" s="15"/>
      <c r="F68" s="15"/>
      <c r="G68" s="15"/>
      <c r="H68" s="15"/>
      <c r="I68" s="14"/>
      <c r="K68" s="17" t="s">
        <v>15</v>
      </c>
      <c r="L68" s="16" t="s">
        <v>14</v>
      </c>
      <c r="M68" s="16"/>
      <c r="N68" s="15"/>
      <c r="O68" s="15"/>
      <c r="P68" s="15"/>
      <c r="Q68" s="15"/>
      <c r="R68" s="14"/>
      <c r="T68" s="17" t="s">
        <v>15</v>
      </c>
      <c r="U68" s="16" t="s">
        <v>14</v>
      </c>
      <c r="V68" s="16"/>
      <c r="W68" s="15"/>
      <c r="X68" s="15"/>
      <c r="Y68" s="15"/>
      <c r="Z68" s="15"/>
      <c r="AA68" s="14"/>
      <c r="AC68" s="5"/>
      <c r="AD68" s="4"/>
      <c r="AE68" s="4" t="s">
        <v>80</v>
      </c>
      <c r="AF68" s="3" t="s">
        <v>42</v>
      </c>
      <c r="AG68" s="44">
        <f>[2]PNMO!K69</f>
        <v>0.97685185185185186</v>
      </c>
      <c r="AH68" s="32"/>
      <c r="AI68" s="32"/>
      <c r="AJ68" s="2">
        <f>[2]PNMO!K66</f>
        <v>1</v>
      </c>
      <c r="AL68" s="5"/>
      <c r="AM68" s="4"/>
      <c r="AN68" s="4" t="s">
        <v>79</v>
      </c>
      <c r="AO68" s="3" t="s">
        <v>42</v>
      </c>
      <c r="AP68" s="44">
        <f>[2]PNMO!Q105</f>
        <v>0.97685185185185186</v>
      </c>
      <c r="AQ68" s="3"/>
      <c r="AR68" s="3"/>
      <c r="AS68" s="2">
        <f>[2]PNMO!Q102</f>
        <v>1</v>
      </c>
      <c r="AU68" s="5"/>
      <c r="AV68" s="4"/>
      <c r="AW68" s="4" t="s">
        <v>78</v>
      </c>
      <c r="AX68" s="8" t="s">
        <v>42</v>
      </c>
      <c r="AY68" s="44">
        <f>[2]PMO!K34</f>
        <v>0.97685185185185186</v>
      </c>
      <c r="AZ68" s="3"/>
      <c r="BA68" s="3"/>
      <c r="BB68" s="2">
        <f>[2]PMO!K31</f>
        <v>1</v>
      </c>
      <c r="BD68" s="10">
        <v>2</v>
      </c>
      <c r="BE68" s="4" t="s">
        <v>27</v>
      </c>
      <c r="BF68" s="4" t="s">
        <v>77</v>
      </c>
      <c r="BG68" s="3"/>
      <c r="BH68" s="3"/>
      <c r="BI68" s="3"/>
      <c r="BJ68" s="3"/>
      <c r="BK68" s="2"/>
      <c r="BM68" s="34"/>
      <c r="BN68" s="42"/>
      <c r="BO68" s="42" t="s">
        <v>76</v>
      </c>
      <c r="BP68" s="41">
        <v>0</v>
      </c>
      <c r="BQ68" s="40">
        <f>[2]PNMO!E69</f>
        <v>0.97685185185185186</v>
      </c>
      <c r="BR68" s="41"/>
      <c r="BS68" s="41"/>
      <c r="BT68" s="39">
        <f>[2]PNMO!E66</f>
        <v>1</v>
      </c>
      <c r="BV68" s="34">
        <v>3</v>
      </c>
      <c r="BW68" s="33" t="s">
        <v>18</v>
      </c>
      <c r="BX68" s="33" t="s">
        <v>75</v>
      </c>
      <c r="BY68" s="32"/>
      <c r="BZ68" s="32"/>
      <c r="CA68" s="32"/>
      <c r="CB68" s="32"/>
      <c r="CC68" s="31"/>
      <c r="CE68" s="34"/>
      <c r="CF68" s="33"/>
      <c r="CG68" s="4" t="s">
        <v>74</v>
      </c>
      <c r="CH68" s="32"/>
      <c r="CI68" s="32"/>
      <c r="CJ68" s="32"/>
      <c r="CK68" s="32"/>
      <c r="CL68" s="31"/>
      <c r="CN68" s="34"/>
      <c r="CO68" s="33"/>
      <c r="CP68" s="33" t="s">
        <v>73</v>
      </c>
      <c r="CQ68" s="32"/>
      <c r="CR68" s="32"/>
      <c r="CS68" s="32"/>
      <c r="CT68" s="32"/>
      <c r="CU68" s="31"/>
      <c r="CW68" s="5"/>
      <c r="CX68" s="4"/>
      <c r="CY68" s="4" t="s">
        <v>72</v>
      </c>
      <c r="CZ68" s="8" t="s">
        <v>42</v>
      </c>
      <c r="DA68" s="44">
        <f>[2]PNMO!Q15</f>
        <v>0.97685185185185186</v>
      </c>
      <c r="DB68" s="3"/>
      <c r="DC68" s="3"/>
      <c r="DD68" s="46">
        <f>[2]PNMO!Q12</f>
        <v>1</v>
      </c>
      <c r="DF68" s="5"/>
      <c r="DG68" s="4"/>
      <c r="DH68" s="4" t="s">
        <v>71</v>
      </c>
      <c r="DI68" s="8" t="s">
        <v>42</v>
      </c>
      <c r="DJ68" s="44">
        <f>[2]PNMO!E51</f>
        <v>0.97685185185185186</v>
      </c>
      <c r="DK68" s="3"/>
      <c r="DL68" s="3"/>
      <c r="DM68" s="2">
        <f>[2]PNMO!E48</f>
        <v>1</v>
      </c>
      <c r="DO68" s="10">
        <v>1</v>
      </c>
      <c r="DP68" s="9" t="s">
        <v>32</v>
      </c>
      <c r="DQ68" s="9"/>
      <c r="DR68" s="8"/>
      <c r="DS68" s="8"/>
      <c r="DT68" s="8"/>
      <c r="DU68" s="8"/>
      <c r="DV68" s="7"/>
    </row>
    <row r="69" spans="2:126" ht="15.75" thickBot="1" x14ac:dyDescent="0.3">
      <c r="B69" s="10">
        <v>1</v>
      </c>
      <c r="C69" s="9" t="s">
        <v>11</v>
      </c>
      <c r="D69" s="9"/>
      <c r="E69" s="8"/>
      <c r="F69" s="8"/>
      <c r="G69" s="8"/>
      <c r="H69" s="8"/>
      <c r="I69" s="7"/>
      <c r="K69" s="10">
        <v>1</v>
      </c>
      <c r="L69" s="9" t="s">
        <v>11</v>
      </c>
      <c r="M69" s="9"/>
      <c r="N69" s="8"/>
      <c r="O69" s="8"/>
      <c r="P69" s="8"/>
      <c r="Q69" s="8"/>
      <c r="R69" s="7"/>
      <c r="T69" s="10">
        <v>1</v>
      </c>
      <c r="U69" s="9" t="s">
        <v>11</v>
      </c>
      <c r="V69" s="9" t="s">
        <v>70</v>
      </c>
      <c r="W69" s="8"/>
      <c r="X69" s="8"/>
      <c r="Y69" s="8"/>
      <c r="Z69" s="8"/>
      <c r="AA69" s="7"/>
      <c r="AC69" s="5"/>
      <c r="AD69" s="4"/>
      <c r="AE69" s="4" t="s">
        <v>69</v>
      </c>
      <c r="AF69" s="3" t="s">
        <v>42</v>
      </c>
      <c r="AG69" s="44">
        <f>[2]PNMO!K87</f>
        <v>0.97685185185185186</v>
      </c>
      <c r="AH69" s="32"/>
      <c r="AI69" s="32"/>
      <c r="AJ69" s="2">
        <f>[2]PNMO!K84</f>
        <v>1</v>
      </c>
      <c r="AL69" s="5"/>
      <c r="AM69" s="4"/>
      <c r="AN69" s="4" t="s">
        <v>68</v>
      </c>
      <c r="AO69" s="3" t="s">
        <v>42</v>
      </c>
      <c r="AP69" s="44">
        <f>[2]PNMO!E87</f>
        <v>0.97685185185185186</v>
      </c>
      <c r="AQ69" s="3"/>
      <c r="AR69" s="3"/>
      <c r="AS69" s="2">
        <f>[2]PNMO!E84</f>
        <v>1</v>
      </c>
      <c r="AU69" s="5">
        <v>3</v>
      </c>
      <c r="AV69" s="4" t="s">
        <v>67</v>
      </c>
      <c r="AW69" s="4" t="s">
        <v>66</v>
      </c>
      <c r="AX69" s="3" t="s">
        <v>45</v>
      </c>
      <c r="AY69" s="44">
        <f>[2]PNMO!W69</f>
        <v>0.97685185185185186</v>
      </c>
      <c r="AZ69" s="3"/>
      <c r="BA69" s="3">
        <f>SUM(BA83:BA83)</f>
        <v>0</v>
      </c>
      <c r="BB69" s="2">
        <f>[2]PNMO!W66</f>
        <v>1</v>
      </c>
      <c r="BD69" s="34">
        <v>3</v>
      </c>
      <c r="BE69" s="33" t="s">
        <v>18</v>
      </c>
      <c r="BF69" s="33" t="s">
        <v>65</v>
      </c>
      <c r="BG69" s="32">
        <f>SUM(BG76:BG78)</f>
        <v>0</v>
      </c>
      <c r="BH69" s="32"/>
      <c r="BI69" s="32"/>
      <c r="BJ69" s="32"/>
      <c r="BK69" s="31"/>
      <c r="BM69" s="17" t="s">
        <v>39</v>
      </c>
      <c r="BN69" s="16" t="s">
        <v>38</v>
      </c>
      <c r="BO69" s="16"/>
      <c r="BP69" s="15"/>
      <c r="BQ69" s="15"/>
      <c r="BR69" s="15"/>
      <c r="BS69" s="15"/>
      <c r="BT69" s="14"/>
      <c r="BV69" s="17" t="s">
        <v>15</v>
      </c>
      <c r="BW69" s="16" t="s">
        <v>14</v>
      </c>
      <c r="BX69" s="16"/>
      <c r="BY69" s="15"/>
      <c r="BZ69" s="15"/>
      <c r="CA69" s="15"/>
      <c r="CB69" s="15"/>
      <c r="CC69" s="14"/>
      <c r="CE69" s="34">
        <v>3</v>
      </c>
      <c r="CF69" s="33" t="s">
        <v>18</v>
      </c>
      <c r="CG69" s="33"/>
      <c r="CH69" s="32"/>
      <c r="CI69" s="32"/>
      <c r="CJ69" s="32"/>
      <c r="CK69" s="32"/>
      <c r="CL69" s="31"/>
      <c r="CN69" s="34">
        <v>3</v>
      </c>
      <c r="CO69" s="33" t="s">
        <v>18</v>
      </c>
      <c r="CP69" s="33" t="s">
        <v>64</v>
      </c>
      <c r="CQ69" s="32"/>
      <c r="CR69" s="32"/>
      <c r="CS69" s="32"/>
      <c r="CT69" s="32"/>
      <c r="CU69" s="31"/>
      <c r="CW69" s="5"/>
      <c r="CX69" s="4"/>
      <c r="CY69" s="4" t="s">
        <v>63</v>
      </c>
      <c r="CZ69" s="8" t="s">
        <v>42</v>
      </c>
      <c r="DA69" s="44">
        <f>[2]PNMO!Q33</f>
        <v>0.97685185185185186</v>
      </c>
      <c r="DB69" s="3"/>
      <c r="DC69" s="3"/>
      <c r="DD69" s="2">
        <f>[2]PNMO!Q30</f>
        <v>1</v>
      </c>
      <c r="DF69" s="5"/>
      <c r="DG69" s="4"/>
      <c r="DH69" s="4" t="s">
        <v>62</v>
      </c>
      <c r="DI69" s="8" t="s">
        <v>42</v>
      </c>
      <c r="DJ69" s="44">
        <f>[2]PNMO!K141</f>
        <v>0.97685185185185186</v>
      </c>
      <c r="DK69" s="3"/>
      <c r="DL69" s="3">
        <v>1</v>
      </c>
      <c r="DM69" s="2">
        <f>[2]PNMO!K138</f>
        <v>1</v>
      </c>
      <c r="DO69" s="10">
        <v>2</v>
      </c>
      <c r="DP69" s="4" t="s">
        <v>27</v>
      </c>
      <c r="DQ69" s="4" t="s">
        <v>61</v>
      </c>
      <c r="DR69" s="3"/>
      <c r="DS69" s="3"/>
      <c r="DT69" s="3"/>
      <c r="DU69" s="3"/>
      <c r="DV69" s="2"/>
    </row>
    <row r="70" spans="2:126" ht="15.75" thickBot="1" x14ac:dyDescent="0.3">
      <c r="B70" s="10">
        <v>2</v>
      </c>
      <c r="C70" s="9" t="s">
        <v>7</v>
      </c>
      <c r="D70" s="4"/>
      <c r="E70" s="3"/>
      <c r="F70" s="3"/>
      <c r="G70" s="3"/>
      <c r="H70" s="45" t="s">
        <v>60</v>
      </c>
      <c r="I70" s="2"/>
      <c r="K70" s="10">
        <v>2</v>
      </c>
      <c r="L70" s="9" t="s">
        <v>7</v>
      </c>
      <c r="M70" s="4"/>
      <c r="N70" s="3"/>
      <c r="O70" s="3"/>
      <c r="P70" s="3"/>
      <c r="Q70" s="3"/>
      <c r="R70" s="2"/>
      <c r="T70" s="10"/>
      <c r="U70" s="9"/>
      <c r="V70" s="9" t="s">
        <v>59</v>
      </c>
      <c r="W70" s="8"/>
      <c r="X70" s="8"/>
      <c r="Y70" s="8"/>
      <c r="Z70" s="8"/>
      <c r="AA70" s="7"/>
      <c r="AC70" s="5"/>
      <c r="AD70" s="4"/>
      <c r="AE70" s="4" t="s">
        <v>58</v>
      </c>
      <c r="AF70" s="3" t="s">
        <v>42</v>
      </c>
      <c r="AG70" s="44">
        <f>[2]PNMO!K105</f>
        <v>0.97685185185185186</v>
      </c>
      <c r="AH70" s="32"/>
      <c r="AI70" s="32"/>
      <c r="AJ70" s="2">
        <f>[2]PNMO!K102</f>
        <v>1</v>
      </c>
      <c r="AL70" s="5"/>
      <c r="AM70" s="4"/>
      <c r="AN70" s="4" t="s">
        <v>57</v>
      </c>
      <c r="AO70" s="3" t="s">
        <v>42</v>
      </c>
      <c r="AP70" s="44">
        <f>[2]PNMO!E105</f>
        <v>0.97685185185185186</v>
      </c>
      <c r="AQ70" s="3"/>
      <c r="AR70" s="3"/>
      <c r="AS70" s="2">
        <f>[2]PNMO!E102</f>
        <v>1</v>
      </c>
      <c r="AU70" s="34"/>
      <c r="AV70" s="42"/>
      <c r="AW70" s="42" t="s">
        <v>56</v>
      </c>
      <c r="AX70" s="41" t="s">
        <v>42</v>
      </c>
      <c r="AY70" s="40">
        <f>[2]PMO!Q15</f>
        <v>0.97685185185185186</v>
      </c>
      <c r="AZ70" s="41"/>
      <c r="BA70" s="41"/>
      <c r="BB70" s="39">
        <f>[2]PMO!Q12</f>
        <v>1</v>
      </c>
      <c r="BD70" s="17" t="s">
        <v>15</v>
      </c>
      <c r="BE70" s="16" t="s">
        <v>14</v>
      </c>
      <c r="BF70" s="16"/>
      <c r="BG70" s="15"/>
      <c r="BH70" s="15"/>
      <c r="BI70" s="15"/>
      <c r="BJ70" s="15"/>
      <c r="BK70" s="14"/>
      <c r="BM70" s="10">
        <v>1</v>
      </c>
      <c r="BN70" s="9" t="s">
        <v>32</v>
      </c>
      <c r="BO70" s="9"/>
      <c r="BP70" s="8"/>
      <c r="BQ70" s="8"/>
      <c r="BR70" s="8"/>
      <c r="BS70" s="8"/>
      <c r="BT70" s="7"/>
      <c r="BV70" s="10">
        <v>1</v>
      </c>
      <c r="BW70" s="9" t="s">
        <v>11</v>
      </c>
      <c r="BX70" s="9"/>
      <c r="BY70" s="8"/>
      <c r="BZ70" s="8"/>
      <c r="CA70" s="8"/>
      <c r="CB70" s="8"/>
      <c r="CC70" s="7"/>
      <c r="CE70" s="17" t="s">
        <v>15</v>
      </c>
      <c r="CF70" s="16" t="s">
        <v>14</v>
      </c>
      <c r="CG70" s="16"/>
      <c r="CH70" s="15"/>
      <c r="CI70" s="15"/>
      <c r="CJ70" s="15"/>
      <c r="CK70" s="15"/>
      <c r="CL70" s="14"/>
      <c r="CN70" s="17" t="s">
        <v>15</v>
      </c>
      <c r="CO70" s="16" t="s">
        <v>14</v>
      </c>
      <c r="CP70" s="16"/>
      <c r="CQ70" s="15"/>
      <c r="CR70" s="15"/>
      <c r="CS70" s="15"/>
      <c r="CT70" s="15"/>
      <c r="CU70" s="14"/>
      <c r="CW70" s="5"/>
      <c r="CX70" s="4"/>
      <c r="CY70" s="4" t="s">
        <v>55</v>
      </c>
      <c r="CZ70" s="3" t="s">
        <v>42</v>
      </c>
      <c r="DA70" s="44">
        <f>[2]PNMO!Q51</f>
        <v>0.97685185185185186</v>
      </c>
      <c r="DB70" s="3"/>
      <c r="DC70" s="3"/>
      <c r="DD70" s="2">
        <f>[2]PNMO!Q48</f>
        <v>1</v>
      </c>
      <c r="DF70" s="34"/>
      <c r="DG70" s="42"/>
      <c r="DH70" s="42" t="s">
        <v>54</v>
      </c>
      <c r="DI70" s="41"/>
      <c r="DJ70" s="40"/>
      <c r="DK70" s="41"/>
      <c r="DL70" s="41"/>
      <c r="DM70" s="39"/>
      <c r="DO70" s="34"/>
      <c r="DP70" s="33"/>
      <c r="DQ70" s="4" t="s">
        <v>53</v>
      </c>
      <c r="DR70" s="32"/>
      <c r="DS70" s="32"/>
      <c r="DT70" s="32"/>
      <c r="DU70" s="32"/>
      <c r="DV70" s="31"/>
    </row>
    <row r="71" spans="2:126" ht="15.75" thickBot="1" x14ac:dyDescent="0.3">
      <c r="B71" s="10">
        <v>3</v>
      </c>
      <c r="C71" s="9" t="s">
        <v>6</v>
      </c>
      <c r="D71" s="4"/>
      <c r="E71" s="3"/>
      <c r="F71" s="3"/>
      <c r="G71" s="3"/>
      <c r="H71" s="3"/>
      <c r="I71" s="2"/>
      <c r="K71" s="10">
        <v>3</v>
      </c>
      <c r="L71" s="9" t="s">
        <v>6</v>
      </c>
      <c r="M71" s="4"/>
      <c r="N71" s="3"/>
      <c r="O71" s="3"/>
      <c r="P71" s="3"/>
      <c r="Q71" s="3"/>
      <c r="R71" s="2"/>
      <c r="T71" s="10">
        <v>2</v>
      </c>
      <c r="U71" s="9" t="s">
        <v>7</v>
      </c>
      <c r="V71" s="4"/>
      <c r="W71" s="3"/>
      <c r="X71" s="3"/>
      <c r="Y71" s="3"/>
      <c r="Z71" s="3"/>
      <c r="AA71" s="2"/>
      <c r="AC71" s="5"/>
      <c r="AD71" s="4"/>
      <c r="AE71" s="4" t="s">
        <v>52</v>
      </c>
      <c r="AF71" s="3" t="s">
        <v>42</v>
      </c>
      <c r="AG71" s="44">
        <f>[2]PNMO!E123</f>
        <v>0.97685185185185186</v>
      </c>
      <c r="AH71" s="32"/>
      <c r="AI71" s="32"/>
      <c r="AJ71" s="2">
        <f>[2]PNMO!E120</f>
        <v>1</v>
      </c>
      <c r="AL71" s="17" t="s">
        <v>39</v>
      </c>
      <c r="AM71" s="16" t="s">
        <v>38</v>
      </c>
      <c r="AN71" s="16"/>
      <c r="AO71" s="15"/>
      <c r="AP71" s="15"/>
      <c r="AQ71" s="15"/>
      <c r="AR71" s="15"/>
      <c r="AS71" s="14"/>
      <c r="AU71" s="17" t="s">
        <v>39</v>
      </c>
      <c r="AV71" s="16" t="s">
        <v>38</v>
      </c>
      <c r="AW71" s="16"/>
      <c r="AX71" s="15"/>
      <c r="AY71" s="15"/>
      <c r="AZ71" s="15"/>
      <c r="BA71" s="15"/>
      <c r="BB71" s="14"/>
      <c r="BD71" s="10">
        <v>1</v>
      </c>
      <c r="BE71" s="9" t="s">
        <v>11</v>
      </c>
      <c r="BF71" s="9" t="s">
        <v>51</v>
      </c>
      <c r="BG71" s="8"/>
      <c r="BH71" s="8"/>
      <c r="BI71" s="8"/>
      <c r="BJ71" s="8"/>
      <c r="BK71" s="7"/>
      <c r="BM71" s="10">
        <v>2</v>
      </c>
      <c r="BN71" s="4" t="s">
        <v>27</v>
      </c>
      <c r="BO71" s="4" t="s">
        <v>50</v>
      </c>
      <c r="BP71" s="3"/>
      <c r="BQ71" s="3"/>
      <c r="BR71" s="3"/>
      <c r="BS71" s="3"/>
      <c r="BT71" s="2"/>
      <c r="BV71" s="10">
        <v>2</v>
      </c>
      <c r="BW71" s="9" t="s">
        <v>7</v>
      </c>
      <c r="BX71" s="4" t="s">
        <v>49</v>
      </c>
      <c r="BY71" s="3"/>
      <c r="BZ71" s="3"/>
      <c r="CA71" s="3"/>
      <c r="CB71" s="3"/>
      <c r="CC71" s="2"/>
      <c r="CE71" s="10">
        <v>1</v>
      </c>
      <c r="CF71" s="9" t="s">
        <v>11</v>
      </c>
      <c r="CG71" s="9" t="s">
        <v>48</v>
      </c>
      <c r="CH71" s="8"/>
      <c r="CI71" s="8"/>
      <c r="CJ71" s="8"/>
      <c r="CK71" s="8"/>
      <c r="CL71" s="7"/>
      <c r="CN71" s="10">
        <v>1</v>
      </c>
      <c r="CO71" s="9" t="s">
        <v>11</v>
      </c>
      <c r="CP71" s="9" t="s">
        <v>47</v>
      </c>
      <c r="CQ71" s="8"/>
      <c r="CR71" s="8"/>
      <c r="CS71" s="8"/>
      <c r="CT71" s="8"/>
      <c r="CU71" s="7"/>
      <c r="CW71" s="10"/>
      <c r="CX71" s="9"/>
      <c r="CY71" s="9" t="s">
        <v>46</v>
      </c>
      <c r="CZ71" s="8" t="s">
        <v>45</v>
      </c>
      <c r="DA71" s="43">
        <f>[2]PNMO!Q123</f>
        <v>0.99972222222222218</v>
      </c>
      <c r="DB71" s="41">
        <v>0</v>
      </c>
      <c r="DC71" s="41">
        <v>0.1</v>
      </c>
      <c r="DD71" s="7">
        <f>[2]PNMO!Q120</f>
        <v>0</v>
      </c>
      <c r="DF71" s="17" t="s">
        <v>39</v>
      </c>
      <c r="DG71" s="16" t="s">
        <v>38</v>
      </c>
      <c r="DH71" s="16"/>
      <c r="DI71" s="15"/>
      <c r="DJ71" s="15"/>
      <c r="DK71" s="15"/>
      <c r="DL71" s="15"/>
      <c r="DM71" s="14"/>
      <c r="DO71" s="34">
        <v>3</v>
      </c>
      <c r="DP71" s="33" t="s">
        <v>18</v>
      </c>
      <c r="DQ71" s="33" t="s">
        <v>44</v>
      </c>
      <c r="DR71" s="32"/>
      <c r="DS71" s="32"/>
      <c r="DT71" s="32"/>
      <c r="DU71" s="32"/>
      <c r="DV71" s="31"/>
    </row>
    <row r="72" spans="2:126" ht="15.75" thickBot="1" x14ac:dyDescent="0.3">
      <c r="B72" s="17" t="s">
        <v>4</v>
      </c>
      <c r="C72" s="16" t="s">
        <v>3</v>
      </c>
      <c r="D72" s="16"/>
      <c r="E72" s="15"/>
      <c r="F72" s="15"/>
      <c r="G72" s="15"/>
      <c r="H72" s="15"/>
      <c r="I72" s="14"/>
      <c r="K72" s="17" t="s">
        <v>4</v>
      </c>
      <c r="L72" s="16" t="s">
        <v>3</v>
      </c>
      <c r="M72" s="16"/>
      <c r="N72" s="15"/>
      <c r="O72" s="15"/>
      <c r="P72" s="15"/>
      <c r="Q72" s="15"/>
      <c r="R72" s="14"/>
      <c r="T72" s="10">
        <v>3</v>
      </c>
      <c r="U72" s="9" t="s">
        <v>6</v>
      </c>
      <c r="V72" s="4"/>
      <c r="W72" s="3"/>
      <c r="X72" s="3"/>
      <c r="Y72" s="3"/>
      <c r="Z72" s="3"/>
      <c r="AA72" s="2"/>
      <c r="AC72" s="34"/>
      <c r="AD72" s="42"/>
      <c r="AE72" s="42" t="s">
        <v>43</v>
      </c>
      <c r="AF72" s="41" t="s">
        <v>42</v>
      </c>
      <c r="AG72" s="40">
        <f>[2]PNMO!W15</f>
        <v>0.97685185185185186</v>
      </c>
      <c r="AH72" s="32"/>
      <c r="AI72" s="32"/>
      <c r="AJ72" s="39">
        <f>[2]PNMO!W12</f>
        <v>1</v>
      </c>
      <c r="AL72" s="10">
        <v>1</v>
      </c>
      <c r="AM72" s="9" t="s">
        <v>32</v>
      </c>
      <c r="AN72" s="9"/>
      <c r="AO72" s="8"/>
      <c r="AP72" s="8"/>
      <c r="AQ72" s="8"/>
      <c r="AR72" s="8"/>
      <c r="AS72" s="7"/>
      <c r="AU72" s="10">
        <v>1</v>
      </c>
      <c r="AV72" s="9" t="s">
        <v>32</v>
      </c>
      <c r="AW72" s="9"/>
      <c r="AX72" s="8"/>
      <c r="AY72" s="8"/>
      <c r="AZ72" s="8"/>
      <c r="BA72" s="8"/>
      <c r="BB72" s="7"/>
      <c r="BD72" s="10"/>
      <c r="BE72" s="9"/>
      <c r="BF72" s="9"/>
      <c r="BG72" s="8"/>
      <c r="BH72" s="8"/>
      <c r="BI72" s="8"/>
      <c r="BJ72" s="8"/>
      <c r="BK72" s="7"/>
      <c r="BM72" s="34"/>
      <c r="BN72" s="33"/>
      <c r="BO72" s="33" t="s">
        <v>41</v>
      </c>
      <c r="BP72" s="32"/>
      <c r="BQ72" s="32"/>
      <c r="BR72" s="32"/>
      <c r="BS72" s="32"/>
      <c r="BT72" s="31"/>
      <c r="BV72" s="10">
        <v>3</v>
      </c>
      <c r="BW72" s="9" t="s">
        <v>6</v>
      </c>
      <c r="BX72" s="4"/>
      <c r="BY72" s="3"/>
      <c r="BZ72" s="3"/>
      <c r="CA72" s="3"/>
      <c r="CB72" s="3"/>
      <c r="CC72" s="2"/>
      <c r="CE72" s="10"/>
      <c r="CF72" s="9"/>
      <c r="CG72" s="9" t="s">
        <v>40</v>
      </c>
      <c r="CH72" s="8"/>
      <c r="CI72" s="8"/>
      <c r="CJ72" s="8"/>
      <c r="CK72" s="8"/>
      <c r="CL72" s="7"/>
      <c r="CN72" s="10">
        <v>2</v>
      </c>
      <c r="CO72" s="9" t="s">
        <v>7</v>
      </c>
      <c r="CP72" s="4"/>
      <c r="CQ72" s="3"/>
      <c r="CR72" s="3"/>
      <c r="CS72" s="3"/>
      <c r="CT72" s="3"/>
      <c r="CU72" s="2"/>
      <c r="CW72" s="17" t="s">
        <v>39</v>
      </c>
      <c r="CX72" s="16" t="s">
        <v>38</v>
      </c>
      <c r="CY72" s="16"/>
      <c r="CZ72" s="15"/>
      <c r="DA72" s="15"/>
      <c r="DB72" s="15"/>
      <c r="DC72" s="15"/>
      <c r="DD72" s="14"/>
      <c r="DF72" s="10">
        <v>1</v>
      </c>
      <c r="DG72" s="9" t="s">
        <v>32</v>
      </c>
      <c r="DH72" s="9"/>
      <c r="DI72" s="8"/>
      <c r="DJ72" s="8"/>
      <c r="DK72" s="8"/>
      <c r="DL72" s="8"/>
      <c r="DM72" s="7"/>
      <c r="DO72" s="17" t="s">
        <v>15</v>
      </c>
      <c r="DP72" s="16" t="s">
        <v>14</v>
      </c>
      <c r="DQ72" s="16"/>
      <c r="DR72" s="15"/>
      <c r="DS72" s="15"/>
      <c r="DT72" s="15"/>
      <c r="DU72" s="15"/>
      <c r="DV72" s="14"/>
    </row>
    <row r="73" spans="2:126" ht="15.75" thickBot="1" x14ac:dyDescent="0.3">
      <c r="B73" s="10">
        <v>1</v>
      </c>
      <c r="C73" s="9" t="s">
        <v>2</v>
      </c>
      <c r="D73" s="9"/>
      <c r="E73" s="8"/>
      <c r="F73" s="8"/>
      <c r="G73" s="8"/>
      <c r="H73" s="8"/>
      <c r="I73" s="7"/>
      <c r="K73" s="10">
        <v>1</v>
      </c>
      <c r="L73" s="9" t="s">
        <v>2</v>
      </c>
      <c r="M73" s="9"/>
      <c r="N73" s="8"/>
      <c r="O73" s="8"/>
      <c r="P73" s="8"/>
      <c r="Q73" s="8"/>
      <c r="R73" s="7"/>
      <c r="T73" s="17" t="s">
        <v>4</v>
      </c>
      <c r="U73" s="16" t="s">
        <v>3</v>
      </c>
      <c r="V73" s="16"/>
      <c r="W73" s="15"/>
      <c r="X73" s="15"/>
      <c r="Y73" s="15"/>
      <c r="Z73" s="15"/>
      <c r="AA73" s="14"/>
      <c r="AC73" s="17" t="s">
        <v>39</v>
      </c>
      <c r="AD73" s="16" t="s">
        <v>38</v>
      </c>
      <c r="AE73" s="16"/>
      <c r="AF73" s="15"/>
      <c r="AG73" s="15"/>
      <c r="AH73" s="15"/>
      <c r="AI73" s="15"/>
      <c r="AJ73" s="14"/>
      <c r="AL73" s="10">
        <v>2</v>
      </c>
      <c r="AM73" s="4" t="s">
        <v>27</v>
      </c>
      <c r="AN73" s="4" t="s">
        <v>37</v>
      </c>
      <c r="AO73" s="3"/>
      <c r="AP73" s="3"/>
      <c r="AQ73" s="3"/>
      <c r="AR73" s="3"/>
      <c r="AS73" s="2"/>
      <c r="AU73" s="10">
        <v>2</v>
      </c>
      <c r="AV73" s="4" t="s">
        <v>27</v>
      </c>
      <c r="AW73" s="4" t="s">
        <v>36</v>
      </c>
      <c r="AX73" s="3"/>
      <c r="AY73" s="3"/>
      <c r="AZ73" s="3"/>
      <c r="BA73" s="3"/>
      <c r="BB73" s="2"/>
      <c r="BD73" s="10">
        <v>2</v>
      </c>
      <c r="BE73" s="9" t="s">
        <v>7</v>
      </c>
      <c r="BF73" s="4"/>
      <c r="BG73" s="3"/>
      <c r="BH73" s="3"/>
      <c r="BI73" s="3"/>
      <c r="BJ73" s="3"/>
      <c r="BK73" s="2"/>
      <c r="BM73" s="34">
        <v>3</v>
      </c>
      <c r="BN73" s="33" t="s">
        <v>18</v>
      </c>
      <c r="BO73" s="33" t="s">
        <v>35</v>
      </c>
      <c r="BP73" s="32">
        <f>SUM(BP78:BP80)</f>
        <v>0</v>
      </c>
      <c r="BQ73" s="32"/>
      <c r="BR73" s="32"/>
      <c r="BS73" s="32"/>
      <c r="BT73" s="31"/>
      <c r="BV73" s="17" t="s">
        <v>4</v>
      </c>
      <c r="BW73" s="16" t="s">
        <v>3</v>
      </c>
      <c r="BX73" s="16"/>
      <c r="BY73" s="15"/>
      <c r="BZ73" s="15"/>
      <c r="CA73" s="15"/>
      <c r="CB73" s="15"/>
      <c r="CC73" s="14"/>
      <c r="CE73" s="10">
        <v>2</v>
      </c>
      <c r="CF73" s="9" t="s">
        <v>7</v>
      </c>
      <c r="CG73" s="4"/>
      <c r="CH73" s="3"/>
      <c r="CI73" s="3"/>
      <c r="CJ73" s="3"/>
      <c r="CK73" s="3"/>
      <c r="CL73" s="2"/>
      <c r="CN73" s="10">
        <v>3</v>
      </c>
      <c r="CO73" s="9" t="s">
        <v>6</v>
      </c>
      <c r="CP73" s="4"/>
      <c r="CQ73" s="3"/>
      <c r="CR73" s="3"/>
      <c r="CS73" s="3"/>
      <c r="CT73" s="3"/>
      <c r="CU73" s="2"/>
      <c r="CW73" s="10">
        <v>1</v>
      </c>
      <c r="CX73" s="9" t="s">
        <v>32</v>
      </c>
      <c r="CY73" s="9"/>
      <c r="CZ73" s="8"/>
      <c r="DA73" s="8"/>
      <c r="DB73" s="8"/>
      <c r="DC73" s="8"/>
      <c r="DD73" s="7"/>
      <c r="DF73" s="10">
        <v>2</v>
      </c>
      <c r="DG73" s="4" t="s">
        <v>27</v>
      </c>
      <c r="DH73" s="4" t="s">
        <v>34</v>
      </c>
      <c r="DI73" s="3"/>
      <c r="DJ73" s="3"/>
      <c r="DK73" s="3"/>
      <c r="DL73" s="3"/>
      <c r="DM73" s="2"/>
      <c r="DO73" s="10">
        <v>1</v>
      </c>
      <c r="DP73" s="9" t="s">
        <v>11</v>
      </c>
      <c r="DQ73" s="9" t="s">
        <v>33</v>
      </c>
      <c r="DR73" s="8"/>
      <c r="DS73" s="8"/>
      <c r="DT73" s="8"/>
      <c r="DU73" s="8"/>
      <c r="DV73" s="7"/>
    </row>
    <row r="74" spans="2:126" ht="15.75" thickBot="1" x14ac:dyDescent="0.3">
      <c r="B74" s="5">
        <v>2</v>
      </c>
      <c r="C74" s="4" t="s">
        <v>1</v>
      </c>
      <c r="D74" s="4"/>
      <c r="E74" s="3"/>
      <c r="F74" s="3"/>
      <c r="G74" s="3"/>
      <c r="H74" s="3"/>
      <c r="I74" s="2"/>
      <c r="K74" s="5">
        <v>2</v>
      </c>
      <c r="L74" s="4" t="s">
        <v>1</v>
      </c>
      <c r="M74" s="4"/>
      <c r="N74" s="3"/>
      <c r="O74" s="3"/>
      <c r="P74" s="3"/>
      <c r="Q74" s="3"/>
      <c r="R74" s="2"/>
      <c r="T74" s="10">
        <v>1</v>
      </c>
      <c r="U74" s="9" t="s">
        <v>2</v>
      </c>
      <c r="V74" s="9"/>
      <c r="W74" s="8"/>
      <c r="X74" s="8"/>
      <c r="Y74" s="8"/>
      <c r="Z74" s="8"/>
      <c r="AA74" s="7"/>
      <c r="AC74" s="10">
        <v>1</v>
      </c>
      <c r="AD74" s="9" t="s">
        <v>32</v>
      </c>
      <c r="AE74" s="9"/>
      <c r="AF74" s="8"/>
      <c r="AG74" s="8"/>
      <c r="AH74" s="8"/>
      <c r="AI74" s="8"/>
      <c r="AJ74" s="7"/>
      <c r="AL74" s="34"/>
      <c r="AM74" s="33"/>
      <c r="AN74" s="33" t="s">
        <v>31</v>
      </c>
      <c r="AO74" s="32"/>
      <c r="AP74" s="32"/>
      <c r="AQ74" s="32"/>
      <c r="AR74" s="32"/>
      <c r="AS74" s="31"/>
      <c r="AU74" s="34">
        <v>3</v>
      </c>
      <c r="AV74" s="33" t="s">
        <v>18</v>
      </c>
      <c r="AW74" s="33" t="s">
        <v>30</v>
      </c>
      <c r="AX74" s="32">
        <f>SUM(AX81:AX83)</f>
        <v>0</v>
      </c>
      <c r="AY74" s="32"/>
      <c r="AZ74" s="32"/>
      <c r="BA74" s="32"/>
      <c r="BB74" s="31"/>
      <c r="BD74" s="10">
        <v>3</v>
      </c>
      <c r="BE74" s="9" t="s">
        <v>6</v>
      </c>
      <c r="BF74" s="4"/>
      <c r="BG74" s="3"/>
      <c r="BH74" s="3"/>
      <c r="BI74" s="3"/>
      <c r="BJ74" s="3"/>
      <c r="BK74" s="2"/>
      <c r="BM74" s="17" t="s">
        <v>15</v>
      </c>
      <c r="BN74" s="16" t="s">
        <v>14</v>
      </c>
      <c r="BO74" s="16"/>
      <c r="BP74" s="15"/>
      <c r="BQ74" s="15"/>
      <c r="BR74" s="15"/>
      <c r="BS74" s="15"/>
      <c r="BT74" s="14"/>
      <c r="BV74" s="10">
        <v>1</v>
      </c>
      <c r="BW74" s="9" t="s">
        <v>2</v>
      </c>
      <c r="BX74" s="9"/>
      <c r="BY74" s="8"/>
      <c r="BZ74" s="8"/>
      <c r="CA74" s="8"/>
      <c r="CB74" s="8"/>
      <c r="CC74" s="7"/>
      <c r="CE74" s="10">
        <v>3</v>
      </c>
      <c r="CF74" s="9" t="s">
        <v>6</v>
      </c>
      <c r="CG74" s="4"/>
      <c r="CH74" s="3"/>
      <c r="CI74" s="3"/>
      <c r="CJ74" s="3"/>
      <c r="CK74" s="3"/>
      <c r="CL74" s="2"/>
      <c r="CN74" s="17" t="s">
        <v>4</v>
      </c>
      <c r="CO74" s="16" t="s">
        <v>3</v>
      </c>
      <c r="CP74" s="16"/>
      <c r="CQ74" s="15"/>
      <c r="CR74" s="15"/>
      <c r="CS74" s="15"/>
      <c r="CT74" s="15"/>
      <c r="CU74" s="14"/>
      <c r="CW74" s="10">
        <v>2</v>
      </c>
      <c r="CX74" s="4" t="s">
        <v>27</v>
      </c>
      <c r="CY74" s="4" t="s">
        <v>29</v>
      </c>
      <c r="CZ74" s="3"/>
      <c r="DA74" s="3"/>
      <c r="DB74" s="3"/>
      <c r="DC74" s="3"/>
      <c r="DD74" s="2"/>
      <c r="DF74" s="34"/>
      <c r="DG74" s="33"/>
      <c r="DH74" s="4" t="s">
        <v>28</v>
      </c>
      <c r="DI74" s="32"/>
      <c r="DJ74" s="32"/>
      <c r="DK74" s="32"/>
      <c r="DL74" s="32"/>
      <c r="DM74" s="31"/>
      <c r="DO74" s="10">
        <v>2</v>
      </c>
      <c r="DP74" s="9" t="s">
        <v>7</v>
      </c>
      <c r="DQ74" s="4"/>
      <c r="DR74" s="3"/>
      <c r="DS74" s="3"/>
      <c r="DT74" s="3"/>
      <c r="DU74" s="3"/>
      <c r="DV74" s="2"/>
    </row>
    <row r="75" spans="2:126" ht="15.75" thickBot="1" x14ac:dyDescent="0.3">
      <c r="B75" s="5">
        <v>3</v>
      </c>
      <c r="C75" s="4" t="s">
        <v>0</v>
      </c>
      <c r="D75" s="4"/>
      <c r="E75" s="3"/>
      <c r="F75" s="3"/>
      <c r="G75" s="3"/>
      <c r="H75" s="3"/>
      <c r="I75" s="2"/>
      <c r="K75" s="5">
        <v>3</v>
      </c>
      <c r="L75" s="4" t="s">
        <v>0</v>
      </c>
      <c r="M75" s="4"/>
      <c r="N75" s="3"/>
      <c r="O75" s="3"/>
      <c r="P75" s="3"/>
      <c r="Q75" s="3"/>
      <c r="R75" s="2"/>
      <c r="T75" s="5">
        <v>2</v>
      </c>
      <c r="U75" s="4" t="s">
        <v>1</v>
      </c>
      <c r="V75" s="4"/>
      <c r="W75" s="3"/>
      <c r="X75" s="3"/>
      <c r="Y75" s="3"/>
      <c r="Z75" s="3"/>
      <c r="AA75" s="2"/>
      <c r="AC75" s="10">
        <v>2</v>
      </c>
      <c r="AD75" s="4" t="s">
        <v>27</v>
      </c>
      <c r="AE75" s="4" t="s">
        <v>26</v>
      </c>
      <c r="AF75" s="3"/>
      <c r="AG75" s="3"/>
      <c r="AH75" s="3"/>
      <c r="AI75" s="3"/>
      <c r="AJ75" s="2"/>
      <c r="AL75" s="34">
        <v>3</v>
      </c>
      <c r="AM75" s="33" t="s">
        <v>18</v>
      </c>
      <c r="AN75" s="33" t="s">
        <v>25</v>
      </c>
      <c r="AO75" s="32"/>
      <c r="AP75" s="32"/>
      <c r="AQ75" s="32"/>
      <c r="AR75" s="32"/>
      <c r="AS75" s="31"/>
      <c r="AU75" s="17" t="s">
        <v>15</v>
      </c>
      <c r="AV75" s="16" t="s">
        <v>14</v>
      </c>
      <c r="AW75" s="16"/>
      <c r="AX75" s="15"/>
      <c r="AY75" s="15"/>
      <c r="AZ75" s="15"/>
      <c r="BA75" s="15"/>
      <c r="BB75" s="14"/>
      <c r="BD75" s="17" t="s">
        <v>4</v>
      </c>
      <c r="BE75" s="16" t="s">
        <v>3</v>
      </c>
      <c r="BF75" s="16"/>
      <c r="BG75" s="15"/>
      <c r="BH75" s="15"/>
      <c r="BI75" s="15"/>
      <c r="BJ75" s="15"/>
      <c r="BK75" s="14"/>
      <c r="BM75" s="10">
        <v>1</v>
      </c>
      <c r="BN75" s="9" t="s">
        <v>11</v>
      </c>
      <c r="BO75" s="9" t="s">
        <v>24</v>
      </c>
      <c r="BP75" s="8"/>
      <c r="BQ75" s="8"/>
      <c r="BR75" s="8"/>
      <c r="BS75" s="8"/>
      <c r="BT75" s="7"/>
      <c r="BV75" s="5">
        <v>2</v>
      </c>
      <c r="BW75" s="4" t="s">
        <v>1</v>
      </c>
      <c r="BX75" s="4"/>
      <c r="BY75" s="3"/>
      <c r="BZ75" s="3"/>
      <c r="CA75" s="3"/>
      <c r="CB75" s="3"/>
      <c r="CC75" s="2"/>
      <c r="CE75" s="17" t="s">
        <v>4</v>
      </c>
      <c r="CF75" s="16" t="s">
        <v>3</v>
      </c>
      <c r="CG75" s="16"/>
      <c r="CH75" s="15"/>
      <c r="CI75" s="15"/>
      <c r="CJ75" s="15"/>
      <c r="CK75" s="15"/>
      <c r="CL75" s="14"/>
      <c r="CN75" s="10">
        <v>1</v>
      </c>
      <c r="CO75" s="9" t="s">
        <v>2</v>
      </c>
      <c r="CP75" s="9"/>
      <c r="CQ75" s="8"/>
      <c r="CR75" s="8"/>
      <c r="CS75" s="8"/>
      <c r="CT75" s="8"/>
      <c r="CU75" s="7"/>
      <c r="CW75" s="34">
        <v>3</v>
      </c>
      <c r="CX75" s="33" t="s">
        <v>18</v>
      </c>
      <c r="CY75" s="33" t="s">
        <v>23</v>
      </c>
      <c r="CZ75" s="32"/>
      <c r="DA75" s="32"/>
      <c r="DB75" s="32"/>
      <c r="DC75" s="32"/>
      <c r="DD75" s="31"/>
      <c r="DF75" s="34"/>
      <c r="DG75" s="33"/>
      <c r="DH75" s="4" t="s">
        <v>22</v>
      </c>
      <c r="DI75" s="32"/>
      <c r="DJ75" s="32"/>
      <c r="DK75" s="32"/>
      <c r="DL75" s="32"/>
      <c r="DM75" s="31"/>
      <c r="DO75" s="10">
        <v>3</v>
      </c>
      <c r="DP75" s="9" t="s">
        <v>6</v>
      </c>
      <c r="DQ75" s="4" t="s">
        <v>21</v>
      </c>
      <c r="DR75" s="3"/>
      <c r="DS75" s="3"/>
      <c r="DT75" s="3"/>
      <c r="DU75" s="3"/>
      <c r="DV75" s="2"/>
    </row>
    <row r="76" spans="2:126" ht="15.75" thickBot="1" x14ac:dyDescent="0.3">
      <c r="T76" s="5">
        <v>3</v>
      </c>
      <c r="U76" s="4" t="s">
        <v>0</v>
      </c>
      <c r="V76" s="4"/>
      <c r="W76" s="3"/>
      <c r="X76" s="3"/>
      <c r="Y76" s="3"/>
      <c r="Z76" s="3"/>
      <c r="AA76" s="2"/>
      <c r="AC76" s="34">
        <v>3</v>
      </c>
      <c r="AD76" s="33" t="s">
        <v>18</v>
      </c>
      <c r="AE76" s="33" t="s">
        <v>20</v>
      </c>
      <c r="AF76" s="32">
        <f>AF83</f>
        <v>0</v>
      </c>
      <c r="AG76" s="32"/>
      <c r="AH76" s="32"/>
      <c r="AI76" s="32"/>
      <c r="AJ76" s="31"/>
      <c r="AL76" s="17" t="s">
        <v>15</v>
      </c>
      <c r="AM76" s="16" t="s">
        <v>14</v>
      </c>
      <c r="AN76" s="16"/>
      <c r="AO76" s="15"/>
      <c r="AP76" s="15"/>
      <c r="AQ76" s="15"/>
      <c r="AR76" s="15"/>
      <c r="AS76" s="14"/>
      <c r="AU76" s="10">
        <v>1</v>
      </c>
      <c r="AV76" s="9" t="s">
        <v>11</v>
      </c>
      <c r="AW76" s="9" t="s">
        <v>19</v>
      </c>
      <c r="AX76" s="8"/>
      <c r="AY76" s="8"/>
      <c r="AZ76" s="8"/>
      <c r="BA76" s="8"/>
      <c r="BB76" s="7"/>
      <c r="BD76" s="38">
        <v>1</v>
      </c>
      <c r="BE76" s="37" t="s">
        <v>2</v>
      </c>
      <c r="BF76" s="37"/>
      <c r="BG76" s="36"/>
      <c r="BH76" s="36"/>
      <c r="BI76" s="36"/>
      <c r="BJ76" s="36"/>
      <c r="BK76" s="35"/>
      <c r="BM76" s="10">
        <v>2</v>
      </c>
      <c r="BN76" s="9" t="s">
        <v>7</v>
      </c>
      <c r="BO76" s="9"/>
      <c r="BP76" s="8"/>
      <c r="BQ76" s="8"/>
      <c r="BR76" s="8"/>
      <c r="BS76" s="8"/>
      <c r="BT76" s="7"/>
      <c r="BV76" s="5">
        <v>3</v>
      </c>
      <c r="BW76" s="4" t="s">
        <v>0</v>
      </c>
      <c r="BX76" s="4"/>
      <c r="BY76" s="3"/>
      <c r="BZ76" s="3"/>
      <c r="CA76" s="3"/>
      <c r="CB76" s="3"/>
      <c r="CC76" s="2"/>
      <c r="CE76" s="10">
        <v>1</v>
      </c>
      <c r="CF76" s="9" t="s">
        <v>2</v>
      </c>
      <c r="CG76" s="9"/>
      <c r="CH76" s="8"/>
      <c r="CI76" s="8"/>
      <c r="CJ76" s="8"/>
      <c r="CK76" s="8"/>
      <c r="CL76" s="7"/>
      <c r="CN76" s="5">
        <v>2</v>
      </c>
      <c r="CO76" s="4" t="s">
        <v>1</v>
      </c>
      <c r="CP76" s="4"/>
      <c r="CQ76" s="3"/>
      <c r="CR76" s="3"/>
      <c r="CS76" s="3"/>
      <c r="CT76" s="3"/>
      <c r="CU76" s="2"/>
      <c r="CW76" s="17" t="s">
        <v>15</v>
      </c>
      <c r="CX76" s="16" t="s">
        <v>14</v>
      </c>
      <c r="CY76" s="16"/>
      <c r="CZ76" s="15"/>
      <c r="DA76" s="15"/>
      <c r="DB76" s="15"/>
      <c r="DC76" s="15"/>
      <c r="DD76" s="14"/>
      <c r="DF76" s="34">
        <v>3</v>
      </c>
      <c r="DG76" s="33" t="s">
        <v>18</v>
      </c>
      <c r="DH76" s="33" t="s">
        <v>17</v>
      </c>
      <c r="DI76" s="32"/>
      <c r="DJ76" s="32"/>
      <c r="DK76" s="32"/>
      <c r="DL76" s="32"/>
      <c r="DM76" s="31"/>
      <c r="DO76" s="17" t="s">
        <v>4</v>
      </c>
      <c r="DP76" s="16" t="s">
        <v>3</v>
      </c>
      <c r="DQ76" s="16"/>
      <c r="DR76" s="15"/>
      <c r="DS76" s="15"/>
      <c r="DT76" s="15"/>
      <c r="DU76" s="15"/>
      <c r="DV76" s="14"/>
    </row>
    <row r="77" spans="2:126" ht="15.75" thickBot="1" x14ac:dyDescent="0.3">
      <c r="AC77" s="17" t="s">
        <v>15</v>
      </c>
      <c r="AD77" s="16" t="s">
        <v>14</v>
      </c>
      <c r="AE77" s="16"/>
      <c r="AF77" s="15"/>
      <c r="AG77" s="15"/>
      <c r="AH77" s="15"/>
      <c r="AI77" s="15"/>
      <c r="AJ77" s="14"/>
      <c r="AL77" s="10">
        <v>1</v>
      </c>
      <c r="AM77" s="9" t="s">
        <v>11</v>
      </c>
      <c r="AN77" s="9"/>
      <c r="AO77" s="8"/>
      <c r="AP77" s="8"/>
      <c r="AQ77" s="8"/>
      <c r="AR77" s="8"/>
      <c r="AS77" s="7"/>
      <c r="AU77" s="10"/>
      <c r="AV77" s="9"/>
      <c r="AW77" s="9"/>
      <c r="AX77" s="8"/>
      <c r="AY77" s="8"/>
      <c r="AZ77" s="8"/>
      <c r="BA77" s="8"/>
      <c r="BB77" s="7"/>
      <c r="BD77" s="5">
        <v>2</v>
      </c>
      <c r="BE77" s="4" t="s">
        <v>1</v>
      </c>
      <c r="BF77" s="4"/>
      <c r="BG77" s="3"/>
      <c r="BH77" s="3"/>
      <c r="BI77" s="3"/>
      <c r="BJ77" s="3"/>
      <c r="BK77" s="2"/>
      <c r="BM77" s="13">
        <v>3</v>
      </c>
      <c r="BN77" s="12" t="s">
        <v>6</v>
      </c>
      <c r="BO77" s="12"/>
      <c r="BP77" s="6"/>
      <c r="BQ77" s="6"/>
      <c r="BR77" s="6"/>
      <c r="BS77" s="6"/>
      <c r="BT77" s="11"/>
      <c r="CE77" s="5">
        <v>2</v>
      </c>
      <c r="CF77" s="4" t="s">
        <v>1</v>
      </c>
      <c r="CG77" s="4"/>
      <c r="CH77" s="3"/>
      <c r="CI77" s="3"/>
      <c r="CJ77" s="3"/>
      <c r="CK77" s="3"/>
      <c r="CL77" s="2"/>
      <c r="CN77" s="5">
        <v>3</v>
      </c>
      <c r="CO77" s="4" t="s">
        <v>0</v>
      </c>
      <c r="CP77" s="4"/>
      <c r="CQ77" s="3"/>
      <c r="CR77" s="3"/>
      <c r="CS77" s="3"/>
      <c r="CT77" s="3"/>
      <c r="CU77" s="2"/>
      <c r="CW77" s="10">
        <v>1</v>
      </c>
      <c r="CX77" s="9" t="s">
        <v>11</v>
      </c>
      <c r="CY77" s="9" t="s">
        <v>16</v>
      </c>
      <c r="CZ77" s="8"/>
      <c r="DA77" s="8"/>
      <c r="DB77" s="8"/>
      <c r="DC77" s="8"/>
      <c r="DD77" s="7"/>
      <c r="DF77" s="17" t="s">
        <v>15</v>
      </c>
      <c r="DG77" s="16" t="s">
        <v>14</v>
      </c>
      <c r="DH77" s="16"/>
      <c r="DI77" s="15"/>
      <c r="DJ77" s="15"/>
      <c r="DK77" s="15"/>
      <c r="DL77" s="15"/>
      <c r="DM77" s="14"/>
      <c r="DO77" s="10">
        <v>1</v>
      </c>
      <c r="DP77" s="9" t="s">
        <v>2</v>
      </c>
      <c r="DQ77" s="9"/>
      <c r="DR77" s="8"/>
      <c r="DS77" s="8"/>
      <c r="DT77" s="8"/>
      <c r="DU77" s="8"/>
      <c r="DV77" s="7"/>
    </row>
    <row r="78" spans="2:126" ht="15.75" thickBot="1" x14ac:dyDescent="0.3">
      <c r="AC78" s="10">
        <v>1</v>
      </c>
      <c r="AD78" s="9" t="s">
        <v>11</v>
      </c>
      <c r="AE78" s="9" t="s">
        <v>13</v>
      </c>
      <c r="AF78" s="8"/>
      <c r="AG78" s="8"/>
      <c r="AH78" s="8"/>
      <c r="AI78" s="8"/>
      <c r="AJ78" s="7"/>
      <c r="AL78" s="10">
        <v>2</v>
      </c>
      <c r="AM78" s="9" t="s">
        <v>7</v>
      </c>
      <c r="AN78" s="4"/>
      <c r="AO78" s="3"/>
      <c r="AP78" s="3"/>
      <c r="AQ78" s="3"/>
      <c r="AR78" s="3"/>
      <c r="AS78" s="2"/>
      <c r="AU78" s="10">
        <v>2</v>
      </c>
      <c r="AV78" s="9" t="s">
        <v>7</v>
      </c>
      <c r="AW78" s="4"/>
      <c r="AX78" s="3"/>
      <c r="AY78" s="3"/>
      <c r="AZ78" s="3"/>
      <c r="BA78" s="3"/>
      <c r="BB78" s="2"/>
      <c r="BD78" s="13">
        <v>3</v>
      </c>
      <c r="BE78" s="12" t="s">
        <v>0</v>
      </c>
      <c r="BF78" s="12"/>
      <c r="BG78" s="6"/>
      <c r="BH78" s="6"/>
      <c r="BI78" s="6"/>
      <c r="BJ78" s="6"/>
      <c r="BK78" s="11"/>
      <c r="BM78" s="30">
        <v>1</v>
      </c>
      <c r="BN78" s="29" t="s">
        <v>2</v>
      </c>
      <c r="BO78" s="29"/>
      <c r="BP78" s="28"/>
      <c r="BQ78" s="28"/>
      <c r="BR78" s="28"/>
      <c r="BS78" s="28"/>
      <c r="BT78" s="27"/>
      <c r="CE78" s="5">
        <v>3</v>
      </c>
      <c r="CF78" s="4" t="s">
        <v>0</v>
      </c>
      <c r="CG78" s="4"/>
      <c r="CH78" s="3"/>
      <c r="CI78" s="3"/>
      <c r="CJ78" s="3"/>
      <c r="CK78" s="3"/>
      <c r="CL78" s="2"/>
      <c r="CW78" s="10">
        <v>2</v>
      </c>
      <c r="CX78" s="9" t="s">
        <v>7</v>
      </c>
      <c r="CY78" s="4" t="s">
        <v>12</v>
      </c>
      <c r="CZ78" s="3"/>
      <c r="DA78" s="3"/>
      <c r="DB78" s="3"/>
      <c r="DC78" s="3"/>
      <c r="DD78" s="2"/>
      <c r="DF78" s="10">
        <v>1</v>
      </c>
      <c r="DG78" s="9" t="s">
        <v>11</v>
      </c>
      <c r="DH78" s="9" t="s">
        <v>10</v>
      </c>
      <c r="DI78" s="8"/>
      <c r="DJ78" s="8"/>
      <c r="DK78" s="8"/>
      <c r="DL78" s="8"/>
      <c r="DM78" s="7"/>
      <c r="DO78" s="5">
        <v>2</v>
      </c>
      <c r="DP78" s="4" t="s">
        <v>1</v>
      </c>
      <c r="DQ78" s="4"/>
      <c r="DR78" s="3"/>
      <c r="DS78" s="3"/>
      <c r="DT78" s="3"/>
      <c r="DU78" s="3"/>
      <c r="DV78" s="2"/>
    </row>
    <row r="79" spans="2:126" ht="15.75" thickBot="1" x14ac:dyDescent="0.3">
      <c r="AC79" s="10"/>
      <c r="AD79" s="9"/>
      <c r="AE79" s="9" t="s">
        <v>9</v>
      </c>
      <c r="AF79" s="8"/>
      <c r="AG79" s="8"/>
      <c r="AH79" s="8"/>
      <c r="AI79" s="8"/>
      <c r="AJ79" s="7"/>
      <c r="AL79" s="10">
        <v>3</v>
      </c>
      <c r="AM79" s="9" t="s">
        <v>6</v>
      </c>
      <c r="AN79" s="4"/>
      <c r="AO79" s="3"/>
      <c r="AP79" s="3"/>
      <c r="AQ79" s="3"/>
      <c r="AR79" s="3"/>
      <c r="AS79" s="2"/>
      <c r="AU79" s="10">
        <v>3</v>
      </c>
      <c r="AV79" s="9" t="s">
        <v>6</v>
      </c>
      <c r="AW79" s="4"/>
      <c r="AX79" s="3"/>
      <c r="AY79" s="3"/>
      <c r="AZ79" s="3"/>
      <c r="BA79" s="3"/>
      <c r="BB79" s="2"/>
      <c r="BM79" s="26">
        <v>2</v>
      </c>
      <c r="BN79" s="25" t="s">
        <v>1</v>
      </c>
      <c r="BO79" s="25"/>
      <c r="BP79" s="24"/>
      <c r="BQ79" s="24"/>
      <c r="BR79" s="24"/>
      <c r="BS79" s="24"/>
      <c r="BT79" s="23"/>
      <c r="CW79" s="10">
        <v>3</v>
      </c>
      <c r="CX79" s="9" t="s">
        <v>6</v>
      </c>
      <c r="CY79" s="4"/>
      <c r="CZ79" s="3"/>
      <c r="DA79" s="3"/>
      <c r="DB79" s="3"/>
      <c r="DC79" s="3"/>
      <c r="DD79" s="2"/>
      <c r="DF79" s="10"/>
      <c r="DG79" s="9"/>
      <c r="DH79" s="9" t="s">
        <v>8</v>
      </c>
      <c r="DI79" s="8"/>
      <c r="DJ79" s="8"/>
      <c r="DK79" s="8"/>
      <c r="DL79" s="8"/>
      <c r="DM79" s="7"/>
      <c r="DO79" s="5">
        <v>3</v>
      </c>
      <c r="DP79" s="4" t="s">
        <v>0</v>
      </c>
      <c r="DQ79" s="4"/>
      <c r="DR79" s="3"/>
      <c r="DS79" s="3"/>
      <c r="DT79" s="3"/>
      <c r="DU79" s="3"/>
      <c r="DV79" s="2"/>
    </row>
    <row r="80" spans="2:126" ht="15.75" thickBot="1" x14ac:dyDescent="0.3">
      <c r="AC80" s="10">
        <v>2</v>
      </c>
      <c r="AD80" s="9" t="s">
        <v>7</v>
      </c>
      <c r="AE80" s="4"/>
      <c r="AF80" s="3"/>
      <c r="AG80" s="3"/>
      <c r="AH80" s="3"/>
      <c r="AI80" s="3"/>
      <c r="AJ80" s="2"/>
      <c r="AL80" s="17" t="s">
        <v>4</v>
      </c>
      <c r="AM80" s="16" t="s">
        <v>3</v>
      </c>
      <c r="AN80" s="16"/>
      <c r="AO80" s="15"/>
      <c r="AP80" s="15"/>
      <c r="AQ80" s="15"/>
      <c r="AR80" s="15"/>
      <c r="AS80" s="14"/>
      <c r="AU80" s="17" t="s">
        <v>4</v>
      </c>
      <c r="AV80" s="16" t="s">
        <v>3</v>
      </c>
      <c r="AW80" s="16"/>
      <c r="AX80" s="15"/>
      <c r="AY80" s="15"/>
      <c r="AZ80" s="15"/>
      <c r="BA80" s="15"/>
      <c r="BB80" s="14"/>
      <c r="BM80" s="22">
        <v>3</v>
      </c>
      <c r="BN80" s="21" t="s">
        <v>0</v>
      </c>
      <c r="BO80" s="21"/>
      <c r="BP80" s="20"/>
      <c r="BQ80" s="20"/>
      <c r="BR80" s="20"/>
      <c r="BS80" s="20"/>
      <c r="BT80" s="19"/>
      <c r="CW80" s="17" t="s">
        <v>4</v>
      </c>
      <c r="CX80" s="16" t="s">
        <v>3</v>
      </c>
      <c r="CY80" s="16"/>
      <c r="CZ80" s="15"/>
      <c r="DA80" s="15"/>
      <c r="DB80" s="15"/>
      <c r="DC80" s="15"/>
      <c r="DD80" s="14"/>
      <c r="DF80" s="10">
        <v>2</v>
      </c>
      <c r="DG80" s="9" t="s">
        <v>7</v>
      </c>
      <c r="DH80" s="4"/>
      <c r="DI80" s="3"/>
      <c r="DJ80" s="3"/>
      <c r="DK80" s="3"/>
      <c r="DL80" s="3"/>
      <c r="DM80" s="2"/>
    </row>
    <row r="81" spans="29:117" ht="15.75" thickBot="1" x14ac:dyDescent="0.3">
      <c r="AC81" s="10">
        <v>3</v>
      </c>
      <c r="AD81" s="9" t="s">
        <v>6</v>
      </c>
      <c r="AE81" s="4"/>
      <c r="AF81" s="3"/>
      <c r="AG81" s="3"/>
      <c r="AH81" s="3"/>
      <c r="AI81" s="3"/>
      <c r="AJ81" s="2"/>
      <c r="AL81" s="10">
        <v>1</v>
      </c>
      <c r="AM81" s="9" t="s">
        <v>2</v>
      </c>
      <c r="AN81" s="9"/>
      <c r="AO81" s="8"/>
      <c r="AP81" s="8"/>
      <c r="AQ81" s="8"/>
      <c r="AR81" s="8"/>
      <c r="AS81" s="7"/>
      <c r="AU81" s="10">
        <v>1</v>
      </c>
      <c r="AV81" s="9" t="s">
        <v>2</v>
      </c>
      <c r="AW81" s="9"/>
      <c r="AX81" s="8"/>
      <c r="AY81" s="8"/>
      <c r="AZ81" s="8"/>
      <c r="BA81" s="8"/>
      <c r="BB81" s="7"/>
      <c r="CW81" s="10">
        <v>1</v>
      </c>
      <c r="CX81" s="9" t="s">
        <v>2</v>
      </c>
      <c r="CY81" s="9"/>
      <c r="CZ81" s="8"/>
      <c r="DA81" s="8"/>
      <c r="DB81" s="8"/>
      <c r="DC81" s="8"/>
      <c r="DD81" s="7"/>
      <c r="DE81" s="18"/>
      <c r="DF81" s="10">
        <v>3</v>
      </c>
      <c r="DG81" s="9" t="s">
        <v>6</v>
      </c>
      <c r="DH81" s="4" t="s">
        <v>5</v>
      </c>
      <c r="DI81" s="3"/>
      <c r="DJ81" s="3"/>
      <c r="DK81" s="3">
        <f>DB83*0.0024</f>
        <v>0</v>
      </c>
      <c r="DL81" s="3"/>
      <c r="DM81" s="2"/>
    </row>
    <row r="82" spans="29:117" ht="15.75" thickBot="1" x14ac:dyDescent="0.3">
      <c r="AC82" s="17" t="s">
        <v>4</v>
      </c>
      <c r="AD82" s="16" t="s">
        <v>3</v>
      </c>
      <c r="AE82" s="16"/>
      <c r="AF82" s="15"/>
      <c r="AG82" s="15"/>
      <c r="AH82" s="15"/>
      <c r="AI82" s="15"/>
      <c r="AJ82" s="14"/>
      <c r="AL82" s="5">
        <v>2</v>
      </c>
      <c r="AM82" s="4" t="s">
        <v>1</v>
      </c>
      <c r="AN82" s="4"/>
      <c r="AO82" s="3"/>
      <c r="AP82" s="3"/>
      <c r="AQ82" s="3"/>
      <c r="AR82" s="3"/>
      <c r="AS82" s="2"/>
      <c r="AU82" s="5">
        <v>2</v>
      </c>
      <c r="AV82" s="4" t="s">
        <v>1</v>
      </c>
      <c r="AW82" s="4"/>
      <c r="AX82" s="3"/>
      <c r="AY82" s="3"/>
      <c r="AZ82" s="3"/>
      <c r="BA82" s="3"/>
      <c r="BB82" s="2"/>
      <c r="CW82" s="5">
        <v>2</v>
      </c>
      <c r="CX82" s="4" t="s">
        <v>1</v>
      </c>
      <c r="CY82" s="4"/>
      <c r="CZ82" s="3"/>
      <c r="DA82" s="3"/>
      <c r="DB82" s="3"/>
      <c r="DC82" s="3"/>
      <c r="DD82" s="2"/>
      <c r="DF82" s="17" t="s">
        <v>4</v>
      </c>
      <c r="DG82" s="16" t="s">
        <v>3</v>
      </c>
      <c r="DH82" s="16"/>
      <c r="DI82" s="15"/>
      <c r="DJ82" s="15"/>
      <c r="DK82" s="15"/>
      <c r="DL82" s="15"/>
      <c r="DM82" s="14"/>
    </row>
    <row r="83" spans="29:117" ht="15.75" thickBot="1" x14ac:dyDescent="0.3">
      <c r="AC83" s="10">
        <v>1</v>
      </c>
      <c r="AD83" s="9" t="s">
        <v>2</v>
      </c>
      <c r="AE83" s="9"/>
      <c r="AF83" s="8"/>
      <c r="AG83" s="8"/>
      <c r="AH83" s="8"/>
      <c r="AI83" s="8"/>
      <c r="AJ83" s="7"/>
      <c r="AL83" s="5">
        <v>3</v>
      </c>
      <c r="AM83" s="4" t="s">
        <v>0</v>
      </c>
      <c r="AN83" s="4"/>
      <c r="AO83" s="3"/>
      <c r="AP83" s="3"/>
      <c r="AQ83" s="3"/>
      <c r="AR83" s="3"/>
      <c r="AS83" s="2"/>
      <c r="AU83" s="13">
        <v>3</v>
      </c>
      <c r="AV83" s="12" t="s">
        <v>0</v>
      </c>
      <c r="AW83" s="12"/>
      <c r="AX83" s="6"/>
      <c r="AY83" s="6"/>
      <c r="AZ83" s="6"/>
      <c r="BA83" s="6"/>
      <c r="BB83" s="11"/>
      <c r="CW83" s="13">
        <v>3</v>
      </c>
      <c r="CX83" s="12" t="s">
        <v>0</v>
      </c>
      <c r="CY83" s="12"/>
      <c r="CZ83" s="6"/>
      <c r="DA83" s="6"/>
      <c r="DB83" s="6"/>
      <c r="DC83" s="6"/>
      <c r="DD83" s="11"/>
      <c r="DF83" s="10">
        <v>1</v>
      </c>
      <c r="DG83" s="9" t="s">
        <v>2</v>
      </c>
      <c r="DH83" s="9"/>
      <c r="DI83" s="8"/>
      <c r="DJ83" s="8"/>
      <c r="DK83" s="8"/>
      <c r="DL83" s="8"/>
      <c r="DM83" s="7"/>
    </row>
    <row r="84" spans="29:117" x14ac:dyDescent="0.25">
      <c r="AC84" s="5">
        <v>2</v>
      </c>
      <c r="AD84" s="4" t="s">
        <v>1</v>
      </c>
      <c r="AE84" s="4"/>
      <c r="AF84" s="3"/>
      <c r="AG84" s="3"/>
      <c r="AH84" s="3"/>
      <c r="AI84" s="3"/>
      <c r="AJ84" s="2"/>
      <c r="DF84" s="5">
        <v>2</v>
      </c>
      <c r="DG84" s="4" t="s">
        <v>1</v>
      </c>
      <c r="DH84" s="4"/>
      <c r="DI84" s="3"/>
      <c r="DJ84" s="3"/>
      <c r="DK84" s="3"/>
      <c r="DL84" s="3"/>
      <c r="DM84" s="2"/>
    </row>
    <row r="85" spans="29:117" ht="15.75" thickBot="1" x14ac:dyDescent="0.3">
      <c r="AC85" s="5">
        <v>3</v>
      </c>
      <c r="AD85" s="4" t="s">
        <v>0</v>
      </c>
      <c r="AE85" s="4"/>
      <c r="AF85" s="3"/>
      <c r="AG85" s="3"/>
      <c r="AH85" s="3"/>
      <c r="AI85" s="6"/>
      <c r="AJ85" s="2"/>
      <c r="DF85" s="5">
        <v>3</v>
      </c>
      <c r="DG85" s="4" t="s">
        <v>0</v>
      </c>
      <c r="DH85" s="4"/>
      <c r="DI85" s="3"/>
      <c r="DJ85" s="3"/>
      <c r="DK85" s="3"/>
      <c r="DL85" s="3"/>
      <c r="DM85" s="2"/>
    </row>
  </sheetData>
  <mergeCells count="59">
    <mergeCell ref="AB21:AE22"/>
    <mergeCell ref="J22:L22"/>
    <mergeCell ref="B10:I10"/>
    <mergeCell ref="T10:AA10"/>
    <mergeCell ref="AL10:AS10"/>
    <mergeCell ref="B11:I11"/>
    <mergeCell ref="T11:AA11"/>
    <mergeCell ref="AL11:AS11"/>
    <mergeCell ref="B12:I12"/>
    <mergeCell ref="T12:AA12"/>
    <mergeCell ref="B13:I13"/>
    <mergeCell ref="T13:AA13"/>
    <mergeCell ref="AL13:AS13"/>
    <mergeCell ref="B52:I52"/>
    <mergeCell ref="K52:R52"/>
    <mergeCell ref="T52:AA52"/>
    <mergeCell ref="AC52:AJ52"/>
    <mergeCell ref="AL52:AS52"/>
    <mergeCell ref="CN52:CU52"/>
    <mergeCell ref="CW52:DD52"/>
    <mergeCell ref="J24:L26"/>
    <mergeCell ref="AB36:AE36"/>
    <mergeCell ref="AB39:AE41"/>
    <mergeCell ref="AL51:BB51"/>
    <mergeCell ref="AU52:BB52"/>
    <mergeCell ref="DF53:DM53"/>
    <mergeCell ref="DO53:DV53"/>
    <mergeCell ref="DF52:DM52"/>
    <mergeCell ref="DO52:DV52"/>
    <mergeCell ref="B53:I53"/>
    <mergeCell ref="K53:R53"/>
    <mergeCell ref="T53:AA53"/>
    <mergeCell ref="AC53:AJ53"/>
    <mergeCell ref="AL53:AS53"/>
    <mergeCell ref="AU53:BB53"/>
    <mergeCell ref="BD53:BK53"/>
    <mergeCell ref="BM53:BT53"/>
    <mergeCell ref="BD52:BK52"/>
    <mergeCell ref="BM52:BT52"/>
    <mergeCell ref="BV52:CC52"/>
    <mergeCell ref="CE52:CL52"/>
    <mergeCell ref="AU55:BB55"/>
    <mergeCell ref="BV53:CC53"/>
    <mergeCell ref="CE53:CL53"/>
    <mergeCell ref="CN53:CU53"/>
    <mergeCell ref="CW53:DD53"/>
    <mergeCell ref="B55:I55"/>
    <mergeCell ref="K55:R55"/>
    <mergeCell ref="T55:AA55"/>
    <mergeCell ref="AC55:AJ55"/>
    <mergeCell ref="AL55:AS55"/>
    <mergeCell ref="DF55:DM55"/>
    <mergeCell ref="DO55:DV55"/>
    <mergeCell ref="BD55:BK55"/>
    <mergeCell ref="BM55:BT55"/>
    <mergeCell ref="BV55:CC55"/>
    <mergeCell ref="CE55:CL55"/>
    <mergeCell ref="CN55:CU55"/>
    <mergeCell ref="CW55:DD55"/>
  </mergeCells>
  <pageMargins left="0.7" right="0.7" top="0.75" bottom="0.75" header="0.3" footer="0.3"/>
  <pageSetup paperSize="9" scale="1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Lingkungan (DL)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2021-08-05T09:16:13Z</dcterms:created>
  <dcterms:modified xsi:type="dcterms:W3CDTF">2021-08-09T10:28:20Z</dcterms:modified>
</cp:coreProperties>
</file>