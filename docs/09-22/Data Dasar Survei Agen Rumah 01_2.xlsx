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1FAF87D7-21C1-4203-9793-D9CE09FE4A01}" xr6:coauthVersionLast="47" xr6:coauthVersionMax="47" xr10:uidLastSave="{00000000-0000-0000-0000-000000000000}"/>
  <bookViews>
    <workbookView xWindow="-120" yWindow="360" windowWidth="20730" windowHeight="11280" tabRatio="806" xr2:uid="{00000000-000D-0000-FFFF-FFFF00000000}"/>
  </bookViews>
  <sheets>
    <sheet name="Data Aktivitas" sheetId="1" r:id="rId1"/>
    <sheet name="Data Emosi" sheetId="4" r:id="rId2"/>
    <sheet name="Data Fisiologi" sheetId="2" r:id="rId3"/>
    <sheet name="Data Fisik" sheetId="3" r:id="rId4"/>
  </sheets>
  <calcPr calcId="181029"/>
</workbook>
</file>

<file path=xl/calcChain.xml><?xml version="1.0" encoding="utf-8"?>
<calcChain xmlns="http://schemas.openxmlformats.org/spreadsheetml/2006/main">
  <c r="G6" i="4" l="1"/>
  <c r="U69" i="1" l="1"/>
  <c r="U78" i="1"/>
  <c r="U79" i="1" s="1"/>
  <c r="U80" i="1" s="1"/>
  <c r="U81" i="1" s="1"/>
  <c r="U14" i="1"/>
  <c r="U18" i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40" i="1" s="1"/>
  <c r="Y54" i="1"/>
  <c r="Y14" i="1"/>
  <c r="Y81" i="1"/>
  <c r="Y78" i="1"/>
  <c r="Y83" i="1"/>
  <c r="Y68" i="1"/>
  <c r="Y64" i="1"/>
  <c r="Y63" i="1"/>
  <c r="Y41" i="1"/>
  <c r="Y39" i="1"/>
  <c r="Y38" i="1"/>
  <c r="J15" i="1"/>
  <c r="J3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47" i="1"/>
  <c r="J48" i="1"/>
  <c r="J49" i="1"/>
  <c r="J50" i="1"/>
  <c r="J37" i="1"/>
  <c r="J38" i="1"/>
  <c r="J16" i="1"/>
  <c r="J32" i="1"/>
  <c r="J34" i="1"/>
  <c r="J33" i="1"/>
  <c r="J39" i="1"/>
  <c r="J40" i="1"/>
  <c r="J42" i="1"/>
  <c r="J44" i="1"/>
  <c r="J41" i="1"/>
  <c r="J43" i="1"/>
  <c r="J79" i="1"/>
  <c r="J80" i="1"/>
  <c r="J88" i="1"/>
  <c r="J46" i="1"/>
  <c r="J51" i="1"/>
  <c r="J52" i="1"/>
  <c r="J53" i="1"/>
  <c r="J55" i="1"/>
  <c r="J71" i="1"/>
  <c r="J56" i="1"/>
  <c r="J45" i="1"/>
  <c r="J57" i="1"/>
  <c r="J59" i="1"/>
  <c r="J60" i="1"/>
  <c r="J58" i="1"/>
  <c r="J61" i="1"/>
  <c r="J62" i="1"/>
  <c r="J63" i="1"/>
  <c r="J64" i="1"/>
  <c r="J65" i="1"/>
  <c r="J66" i="1"/>
  <c r="J68" i="1"/>
  <c r="J69" i="1"/>
  <c r="J75" i="1"/>
  <c r="J67" i="1"/>
  <c r="J70" i="1"/>
  <c r="J73" i="1"/>
  <c r="J72" i="1"/>
  <c r="J74" i="1"/>
  <c r="J76" i="1"/>
  <c r="J77" i="1"/>
  <c r="J83" i="1"/>
  <c r="J78" i="1"/>
  <c r="J84" i="1"/>
  <c r="J81" i="1"/>
  <c r="J14" i="1"/>
  <c r="J82" i="1"/>
  <c r="J85" i="1"/>
  <c r="J86" i="1"/>
  <c r="J87" i="1"/>
  <c r="J54" i="1"/>
  <c r="J89" i="1"/>
  <c r="J13" i="1"/>
  <c r="J35" i="1"/>
  <c r="Y27" i="1"/>
  <c r="Y19" i="1"/>
  <c r="Y15" i="1"/>
  <c r="Y17" i="1"/>
  <c r="Y18" i="1"/>
  <c r="Y20" i="1"/>
  <c r="Y21" i="1"/>
  <c r="Y22" i="1"/>
  <c r="Y23" i="1"/>
  <c r="Y24" i="1"/>
  <c r="Y25" i="1"/>
  <c r="Y26" i="1"/>
  <c r="Y28" i="1"/>
  <c r="Y29" i="1"/>
  <c r="Y30" i="1"/>
  <c r="Y31" i="1"/>
  <c r="Y47" i="1"/>
  <c r="Y48" i="1"/>
  <c r="Y49" i="1"/>
  <c r="Y50" i="1"/>
  <c r="Y37" i="1"/>
  <c r="Y16" i="1"/>
  <c r="Y32" i="1"/>
  <c r="Y82" i="1"/>
  <c r="Y34" i="1"/>
  <c r="Y33" i="1"/>
  <c r="Y40" i="1"/>
  <c r="Y42" i="1"/>
  <c r="Y44" i="1"/>
  <c r="Y43" i="1"/>
  <c r="Y46" i="1"/>
  <c r="Y51" i="1"/>
  <c r="Y52" i="1"/>
  <c r="Y53" i="1"/>
  <c r="Y55" i="1"/>
  <c r="Y71" i="1"/>
  <c r="Y56" i="1"/>
  <c r="Y45" i="1"/>
  <c r="Y57" i="1"/>
  <c r="Y59" i="1"/>
  <c r="Y60" i="1"/>
  <c r="Y58" i="1"/>
  <c r="Y61" i="1"/>
  <c r="Y62" i="1"/>
  <c r="Y65" i="1"/>
  <c r="Y66" i="1"/>
  <c r="Y69" i="1"/>
  <c r="Y75" i="1"/>
  <c r="Y67" i="1"/>
  <c r="Y70" i="1"/>
  <c r="Y73" i="1"/>
  <c r="Y72" i="1"/>
  <c r="Y74" i="1"/>
  <c r="Y76" i="1"/>
  <c r="Y77" i="1"/>
  <c r="Y84" i="1"/>
  <c r="Y85" i="1"/>
  <c r="Y86" i="1"/>
  <c r="Y87" i="1"/>
  <c r="U48" i="1" l="1"/>
  <c r="U49" i="1" s="1"/>
  <c r="U50" i="1" s="1"/>
  <c r="U53" i="1" s="1"/>
  <c r="U59" i="1" s="1"/>
  <c r="U60" i="1" s="1"/>
  <c r="U61" i="1" s="1"/>
  <c r="U62" i="1" s="1"/>
  <c r="U63" i="1" s="1"/>
  <c r="U64" i="1" s="1"/>
  <c r="Y92" i="1"/>
  <c r="Y93" i="1"/>
  <c r="Y94" i="1"/>
  <c r="Y95" i="1"/>
  <c r="Y96" i="1"/>
  <c r="Y97" i="1"/>
  <c r="Y91" i="1"/>
  <c r="J96" i="1" l="1"/>
  <c r="J95" i="1"/>
  <c r="J93" i="1"/>
  <c r="J92" i="1"/>
  <c r="J97" i="1"/>
  <c r="E12" i="2" l="1"/>
  <c r="G22" i="2"/>
  <c r="I9" i="3" l="1"/>
  <c r="J10" i="3" l="1"/>
  <c r="G42" i="3" l="1"/>
  <c r="J42" i="3"/>
  <c r="R5" i="2" l="1"/>
  <c r="S5" i="2"/>
  <c r="Q5" i="2"/>
  <c r="P5" i="2"/>
  <c r="O11" i="2"/>
  <c r="N11" i="2"/>
  <c r="M9" i="2"/>
  <c r="O9" i="2"/>
  <c r="N9" i="2"/>
  <c r="I9" i="2"/>
  <c r="H9" i="2"/>
  <c r="O5" i="2"/>
  <c r="N5" i="2"/>
  <c r="N7" i="2" s="1"/>
  <c r="O7" i="2" s="1"/>
  <c r="M11" i="2"/>
  <c r="L11" i="2"/>
  <c r="L9" i="2"/>
  <c r="M5" i="2"/>
  <c r="M7" i="2" s="1"/>
  <c r="L5" i="2"/>
  <c r="L7" i="2" s="1"/>
  <c r="K5" i="2"/>
  <c r="J5" i="2"/>
  <c r="E5" i="2"/>
  <c r="E7" i="2"/>
  <c r="D7" i="2"/>
  <c r="I7" i="2"/>
  <c r="H7" i="2"/>
  <c r="H5" i="2"/>
  <c r="I5" i="2"/>
  <c r="D5" i="2"/>
  <c r="P10" i="4" l="1"/>
  <c r="P12" i="4" s="1"/>
  <c r="L10" i="4"/>
  <c r="L12" i="4" s="1"/>
  <c r="G9" i="4"/>
  <c r="G8" i="4"/>
  <c r="G7" i="4"/>
  <c r="L42" i="3" l="1"/>
  <c r="E42" i="3"/>
  <c r="L35" i="3"/>
  <c r="J35" i="3"/>
  <c r="E35" i="3"/>
  <c r="L28" i="3"/>
  <c r="J28" i="3"/>
  <c r="G28" i="3"/>
  <c r="E28" i="3"/>
  <c r="E29" i="3" l="1"/>
  <c r="E36" i="3"/>
  <c r="E43" i="3"/>
</calcChain>
</file>

<file path=xl/sharedStrings.xml><?xml version="1.0" encoding="utf-8"?>
<sst xmlns="http://schemas.openxmlformats.org/spreadsheetml/2006/main" count="1043" uniqueCount="473">
  <si>
    <t xml:space="preserve">No </t>
  </si>
  <si>
    <t>Kode</t>
  </si>
  <si>
    <t>Aktivitas</t>
  </si>
  <si>
    <t>Rentang Waktu Insidental</t>
  </si>
  <si>
    <t>R/I</t>
  </si>
  <si>
    <t>Menyapu Ruang Cuci</t>
  </si>
  <si>
    <t>R</t>
  </si>
  <si>
    <t>Menyapu Ruang Keluarga</t>
  </si>
  <si>
    <t>Menyapu Teras</t>
  </si>
  <si>
    <t>Mengepel Ruang Keluarga</t>
  </si>
  <si>
    <t>Menyiram tanaman pagi hari</t>
  </si>
  <si>
    <t>Mengepel Teras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</si>
  <si>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</si>
  <si>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</si>
  <si>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</si>
  <si>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</si>
  <si>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</si>
  <si>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</si>
  <si>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</si>
  <si>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</si>
  <si>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</si>
  <si>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</si>
  <si>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</si>
  <si>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</si>
  <si>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</si>
  <si>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</si>
  <si>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</si>
  <si>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</si>
  <si>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</si>
  <si>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YA</t>
  </si>
  <si>
    <t>BAK</t>
  </si>
  <si>
    <t>BAB</t>
  </si>
  <si>
    <t>AL</t>
  </si>
  <si>
    <t>Keuntungan</t>
  </si>
  <si>
    <t>Aturan</t>
  </si>
  <si>
    <t>Ya / Tidak</t>
  </si>
  <si>
    <t>Otoritas</t>
  </si>
  <si>
    <t>AKTIVITAS BIOLOGIS</t>
  </si>
  <si>
    <t>No</t>
  </si>
  <si>
    <t>Identitas</t>
  </si>
  <si>
    <t>Data Reaksi Biologis</t>
  </si>
  <si>
    <t>Urinasi</t>
  </si>
  <si>
    <t>Defekasi</t>
  </si>
  <si>
    <t>Kotor</t>
  </si>
  <si>
    <t>Kelaparan (1,6 poin/jam)</t>
  </si>
  <si>
    <t>Kehausan (3,33 poin/jam)</t>
  </si>
  <si>
    <t>Kelelahan (1,25 poin/jam)</t>
  </si>
  <si>
    <t>Kantuk (1,25 poin/jam)</t>
  </si>
  <si>
    <t>Ibu</t>
  </si>
  <si>
    <t>IB21</t>
  </si>
  <si>
    <t>Kondisi Ibu Hamil (due time 403200 menit = 9 bulan 10 hari)</t>
  </si>
  <si>
    <t>disabilitas 1-0 (mendekati 0 jika bisa sehat total) sisa terapi 9 (terapi 10 = 1 kali terapi)</t>
  </si>
  <si>
    <t>penyakit 1-0 (mendekati 0 jika setelah sakit bisa pulih sepenuhnya) sisa perawatan 9 (perawatan 10 = 1 kali perawatan)</t>
  </si>
  <si>
    <t>Kapabilitas</t>
  </si>
  <si>
    <t>Batas Indera</t>
  </si>
  <si>
    <t>Kelemahan Fisik</t>
  </si>
  <si>
    <t>Disabilitas</t>
  </si>
  <si>
    <t>Sakit</t>
  </si>
  <si>
    <t>Kehamilan</t>
  </si>
  <si>
    <t>Penglihatan</t>
  </si>
  <si>
    <t>Termal</t>
  </si>
  <si>
    <t>Kemih</t>
  </si>
  <si>
    <t>Kondisi Terkini (intake/urinasi)</t>
  </si>
  <si>
    <t>Kolon</t>
  </si>
  <si>
    <t>Kondisi Terkini (intake/defekasi)</t>
  </si>
  <si>
    <t>Terkini</t>
  </si>
  <si>
    <t>Terapi</t>
  </si>
  <si>
    <t>Perawatan</t>
  </si>
  <si>
    <t>Countdown</t>
  </si>
  <si>
    <t>Intensitas (Lux)</t>
  </si>
  <si>
    <t>Suhu (degC)</t>
  </si>
  <si>
    <t>Daya Tampung (500 ml)</t>
  </si>
  <si>
    <t>Daya Tampung (1200 ml)</t>
  </si>
  <si>
    <t>+100</t>
  </si>
  <si>
    <t>+300</t>
  </si>
  <si>
    <t>Total kapabilitas</t>
  </si>
  <si>
    <t>Daya Tampung Terkini</t>
  </si>
  <si>
    <t xml:space="preserve">diperlukan untuk bisa melakukan aktivitas dengan bobot pekerjaan tertentu sesuai syarat aktivitas </t>
  </si>
  <si>
    <t>intake= +</t>
  </si>
  <si>
    <t>Terkini kehamilan= 1 (bersifat tetap)</t>
  </si>
  <si>
    <t>urinasi/ defekasi= -</t>
  </si>
  <si>
    <t>Countdown = 1/ sisa waktu sejak input data (388.800 menit dihitung mundur)</t>
  </si>
  <si>
    <t>terus berubah</t>
  </si>
  <si>
    <t>Perawatan jika dilakukan akan mengurangi penyakit</t>
  </si>
  <si>
    <t>tetap (untuk jangka waktu tahunan)</t>
  </si>
  <si>
    <t>Perawatan = Terkini - (Terkini/sisa perawatan yang harus dilakukan)</t>
  </si>
  <si>
    <t>Terapi = Terkini - (Terkini/ sisa terapi yang harus dilakukan)</t>
  </si>
  <si>
    <t>Sisa perawatan dan terapi yang harus dilakukan ada di data rencana setiap kali aktivitas dilakukan nilai pembagi pada tabel Terapi dan Perawatan berkurang 1</t>
  </si>
  <si>
    <t>Kondisi perempuan normal (tidak mengalami kehamilan) = kondisi laki-laki normal</t>
  </si>
  <si>
    <t>Penyakit</t>
  </si>
  <si>
    <t>Kondisi perempuan normal lalu mengalami disabilitas tanpa terapi (otomatis 0)</t>
  </si>
  <si>
    <t>rumus tanpa terapi = F31*2</t>
  </si>
  <si>
    <t>rumus = terkini*2</t>
  </si>
  <si>
    <t>Kondisi perempuan normal lalu mengalami disabilitas dan penyakit dengan terapi dan perawatan hingga bisa beraktivitas dengan normal (rumus sama dengan tabel atas)</t>
  </si>
  <si>
    <r>
      <t>rumus dengan terapi =F38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(F38/ jumlah terapi sampai 1)</t>
    </r>
  </si>
  <si>
    <t>rumus = terkini - (terkini/sisa terapi yang harus dilakukan)</t>
  </si>
  <si>
    <t>POSISI NORMAL</t>
  </si>
  <si>
    <t>LAJU KE NORMAL</t>
  </si>
  <si>
    <t>Tes Web Karakter Tempramen</t>
  </si>
  <si>
    <t>Nilai</t>
  </si>
  <si>
    <t>Grid Posisi Normal</t>
  </si>
  <si>
    <t>Good Feeling</t>
  </si>
  <si>
    <t>Bad Feeling</t>
  </si>
  <si>
    <t>Choleric</t>
  </si>
  <si>
    <t>nilai tertinggi</t>
  </si>
  <si>
    <t>+1</t>
  </si>
  <si>
    <t>C</t>
  </si>
  <si>
    <t>Tenang</t>
  </si>
  <si>
    <t>Cemas/ Khawatir</t>
  </si>
  <si>
    <t>Melancholic</t>
  </si>
  <si>
    <t>+0.5</t>
  </si>
  <si>
    <t>P</t>
  </si>
  <si>
    <t>Bersemangat</t>
  </si>
  <si>
    <t>Lesu</t>
  </si>
  <si>
    <t>Sanguine</t>
  </si>
  <si>
    <t>-0.5</t>
  </si>
  <si>
    <t>S</t>
  </si>
  <si>
    <t>Percaya Diri</t>
  </si>
  <si>
    <t>Takut</t>
  </si>
  <si>
    <t>Phlegmatic</t>
  </si>
  <si>
    <t>-1</t>
  </si>
  <si>
    <t>M</t>
  </si>
  <si>
    <t>Gembira/Bahagia</t>
  </si>
  <si>
    <t>Sedih/ Menderita</t>
  </si>
  <si>
    <t>Total good feeling</t>
  </si>
  <si>
    <t>Posisi maks</t>
  </si>
  <si>
    <t>Total bad feeling</t>
  </si>
  <si>
    <t>Waktu (jam)</t>
  </si>
  <si>
    <t>Laju ke Normal</t>
  </si>
  <si>
    <t>poin/menit</t>
  </si>
  <si>
    <t>Suasana Hati</t>
  </si>
  <si>
    <t>Tingkat ingin bersosialisasi dengan</t>
  </si>
  <si>
    <t>PN</t>
  </si>
  <si>
    <t>LN Good</t>
  </si>
  <si>
    <t>LN Bad</t>
  </si>
  <si>
    <t>Energi</t>
  </si>
  <si>
    <t>TABEL KEMAMPUAN FISIK</t>
  </si>
  <si>
    <t>TABEL DATA EMOSI</t>
  </si>
  <si>
    <t>Tekanan Klep Rektum/Jam</t>
  </si>
  <si>
    <t>Tekanan Klep Rektum/Menit</t>
  </si>
  <si>
    <t>Minum</t>
  </si>
  <si>
    <t>Bangun tidur</t>
  </si>
  <si>
    <t>Batas Kemih dan Kolon</t>
  </si>
  <si>
    <t>Lj Kemih/Jam</t>
  </si>
  <si>
    <t>Lj Kemih/Menit</t>
  </si>
  <si>
    <t>Lj Lambung ke Usus Halus/Jam</t>
  </si>
  <si>
    <t>Lj Lambung ke Usus Halus/Menit</t>
  </si>
  <si>
    <t>Lj Kotor/Jam</t>
  </si>
  <si>
    <t>Lj Kotor/Menit</t>
  </si>
  <si>
    <t>Lj Energi/Jam</t>
  </si>
  <si>
    <t>Lj Energi/Menit</t>
  </si>
  <si>
    <t>Lj Lapar Aktif/Jam</t>
  </si>
  <si>
    <t>Lj Lapar Aktif/Menit</t>
  </si>
  <si>
    <t>Lj Haus Aktif/Jam</t>
  </si>
  <si>
    <t>Lj Haus Aktif/Menit</t>
  </si>
  <si>
    <t>Lj Lelah/Jam</t>
  </si>
  <si>
    <t>Lj Lelah/Menit</t>
  </si>
  <si>
    <t>Lj Kantuk/Jam</t>
  </si>
  <si>
    <t>Lj Kantuk/Menit</t>
  </si>
  <si>
    <t>Lj Urinasi Normal/Jam</t>
  </si>
  <si>
    <t>Lj Urinasi Normal/Menit</t>
  </si>
  <si>
    <t>Lj Usus Halus ke Kolon/Jam</t>
  </si>
  <si>
    <t>Lj Usus Halus ke Kolon/Menit</t>
  </si>
  <si>
    <t>Lj Mandi Normal/Jam</t>
  </si>
  <si>
    <t>Lj Mandi Normal/Menit</t>
  </si>
  <si>
    <t>Lj Lapar Pasif/Jam</t>
  </si>
  <si>
    <t>Lj Lapar Pasif/Menit</t>
  </si>
  <si>
    <t>Lj Haus Pasif/Jam</t>
  </si>
  <si>
    <t>Lj Haus Pasif/Menit</t>
  </si>
  <si>
    <t>Lj di Ujung Kolon/Jam</t>
  </si>
  <si>
    <t>Lj di Ujung Kolon/Menit</t>
  </si>
  <si>
    <t>Lj Mandi Kebiasaan/Jam</t>
  </si>
  <si>
    <t>Lj Mandi Kebiasaan/Menit</t>
  </si>
  <si>
    <t>Lj Makan Normal/Jam</t>
  </si>
  <si>
    <t>Lj Makan Normal/Menit</t>
  </si>
  <si>
    <t>Lj Minum Normal/Jam</t>
  </si>
  <si>
    <t>Lj Minum Normal/Menit</t>
  </si>
  <si>
    <t>Lj Kolon ke Rektum/Jam</t>
  </si>
  <si>
    <t>Lj Kolon ke Rektum/Menit</t>
  </si>
  <si>
    <t>Lj Makan Kebiasaan/Jam</t>
  </si>
  <si>
    <t>Lj Makan Kebiasaan/Menit</t>
  </si>
  <si>
    <t>Lj Minum Kebiasaan/Jam</t>
  </si>
  <si>
    <t>Lj Minum Kebiasaan/Menit</t>
  </si>
  <si>
    <t>Lj BAB Normal/Jam</t>
  </si>
  <si>
    <t>Lj BAB Normal/Menit</t>
  </si>
  <si>
    <t>Lj BAB Kebiasaan/Jam</t>
  </si>
  <si>
    <t>Lj BAB Kebiasaan/Menit</t>
  </si>
  <si>
    <t>Total kapabilitas =(Kelemahan Fisik + Terkini Disabilitas + Terkini Penyakit + Terkini Kehamilan)-(Terkini Disabilitas + Terapi)-(Terkini Penyakit + Perawatan)+(Terkini Kehamilan + Countdown)</t>
  </si>
  <si>
    <t>Kelemahan Fisik = tingkat kelemahan pada fisik agen</t>
  </si>
  <si>
    <t>Umur</t>
  </si>
  <si>
    <t>Tinggi</t>
  </si>
  <si>
    <t>Berat</t>
  </si>
  <si>
    <t>DI/MI</t>
  </si>
  <si>
    <t>DI</t>
  </si>
  <si>
    <t>MI</t>
  </si>
  <si>
    <t>Kode P/L</t>
  </si>
  <si>
    <t>Agen 1</t>
  </si>
  <si>
    <t>Agen 2</t>
  </si>
  <si>
    <t>Agen 3</t>
  </si>
  <si>
    <t>Agen 4</t>
  </si>
  <si>
    <t>Agen 5</t>
  </si>
  <si>
    <t>Agen 6</t>
  </si>
  <si>
    <t>P/L</t>
  </si>
  <si>
    <t>Pergi memasukan laundry</t>
  </si>
  <si>
    <t>Pergi mengambil laundry</t>
  </si>
  <si>
    <t>Rentang Waktu Prioritas</t>
  </si>
  <si>
    <t>BEE (Basal Energy Needs)</t>
  </si>
  <si>
    <t>Activity Factor</t>
  </si>
  <si>
    <t>Kemampuan Fisik</t>
  </si>
  <si>
    <t>PA-I</t>
  </si>
  <si>
    <t>UA-I</t>
  </si>
  <si>
    <t>PA-O</t>
  </si>
  <si>
    <t>DLA</t>
  </si>
  <si>
    <t>Jenis</t>
  </si>
  <si>
    <t>Karakter Aktivitas</t>
  </si>
  <si>
    <t>Keinginan</t>
  </si>
  <si>
    <t>Kebutuhan</t>
  </si>
  <si>
    <t>SN Urgensi</t>
  </si>
  <si>
    <t>SN</t>
  </si>
  <si>
    <t>SN Kepatuhan</t>
  </si>
  <si>
    <t>Informasi</t>
  </si>
  <si>
    <t>Daftar Aktivitas</t>
  </si>
  <si>
    <t>H</t>
  </si>
  <si>
    <t>6/7 ; 7/7</t>
  </si>
  <si>
    <t>YA / Tidak</t>
  </si>
  <si>
    <t>No asli</t>
  </si>
  <si>
    <t>Menghidupkan lampu garasi di sore hari</t>
  </si>
  <si>
    <t>Mematikan lampu garasi di pagi hari</t>
  </si>
  <si>
    <t>Makan</t>
  </si>
  <si>
    <t>Tidur</t>
  </si>
  <si>
    <t>Mandi</t>
  </si>
  <si>
    <t>Waktu dibatalkan</t>
  </si>
  <si>
    <t>Durasi</t>
  </si>
  <si>
    <t>Berdandan setelah mandi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</si>
  <si>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</si>
  <si>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</si>
  <si>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</si>
  <si>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</si>
  <si>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</si>
  <si>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</si>
  <si>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</si>
  <si>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</si>
  <si>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</si>
  <si>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</si>
  <si>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</si>
  <si>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</si>
  <si>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</si>
  <si>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</si>
  <si>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</si>
  <si>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</si>
  <si>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</si>
  <si>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</si>
  <si>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</si>
  <si>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</si>
  <si>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</si>
  <si>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</si>
  <si>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</si>
  <si>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</si>
  <si>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</si>
  <si>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</si>
  <si>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</si>
  <si>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</si>
  <si>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</si>
  <si>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</si>
  <si>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</si>
  <si>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</si>
  <si>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</si>
  <si>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</si>
  <si>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</si>
  <si>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</si>
  <si>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</si>
  <si>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</si>
  <si>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</si>
  <si>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</si>
  <si>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</si>
  <si>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</si>
  <si>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</si>
  <si>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</si>
  <si>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</si>
  <si>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</si>
  <si>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</si>
  <si>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</si>
  <si>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</si>
  <si>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</si>
  <si>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</si>
  <si>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</si>
  <si>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</si>
  <si>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</si>
  <si>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</si>
  <si>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</si>
  <si>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</si>
  <si>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</si>
  <si>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</si>
  <si>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</si>
  <si>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</si>
  <si>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</si>
  <si>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</si>
  <si>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</si>
  <si>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</si>
  <si>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</si>
  <si>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</si>
  <si>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</si>
  <si>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</si>
  <si>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</si>
  <si>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</si>
  <si>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</si>
  <si>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</si>
  <si>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</si>
  <si>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B1</t>
  </si>
  <si>
    <t>B2</t>
  </si>
  <si>
    <t>B3</t>
  </si>
  <si>
    <t>B4</t>
  </si>
  <si>
    <t>B5</t>
  </si>
  <si>
    <t>B6</t>
  </si>
  <si>
    <t>B7</t>
  </si>
  <si>
    <t>PR;A5</t>
  </si>
  <si>
    <t>PR;A12</t>
  </si>
  <si>
    <t>PR;A11</t>
  </si>
  <si>
    <t>Batas Waktu Insidental</t>
  </si>
  <si>
    <t>KETERANGAN</t>
  </si>
  <si>
    <t>Data yang bisa berubah karena waktu dibatalkan, status R/I, batas waktu insidental</t>
  </si>
  <si>
    <t>Data konstan</t>
  </si>
  <si>
    <t>Status Aktivitas</t>
  </si>
  <si>
    <t>CCE</t>
  </si>
  <si>
    <t>PR;A41</t>
  </si>
  <si>
    <t>Batas Mulai (Preference)</t>
  </si>
  <si>
    <t>Ruang</t>
  </si>
  <si>
    <t>RDP01</t>
  </si>
  <si>
    <t>RTS01</t>
  </si>
  <si>
    <t>RHD01</t>
  </si>
  <si>
    <t>RMK01</t>
  </si>
  <si>
    <t>RCC01</t>
  </si>
  <si>
    <t>RTU01</t>
  </si>
  <si>
    <t>RTU02</t>
  </si>
  <si>
    <t>RKG01</t>
  </si>
  <si>
    <t>RGS01</t>
  </si>
  <si>
    <t>RKM01</t>
  </si>
  <si>
    <t>Aktivitas prasyarat: hanya bisa dilakukan jika didahului aktivitas tertentu (PR;KODE AKTIVITAS PENDAHULU)</t>
  </si>
  <si>
    <t>Aktivitas fisiologis tidak memiliki waktu preference di jadwal, tetapi langsung di tabel kalkulasi; waktu kebiasaan | Aktivitas UA (unplanned)</t>
  </si>
  <si>
    <t>JENIS AKTIVITAS</t>
  </si>
  <si>
    <t>PA</t>
  </si>
  <si>
    <t>PR</t>
  </si>
  <si>
    <t>UA</t>
  </si>
  <si>
    <t>I</t>
  </si>
  <si>
    <t>planned</t>
  </si>
  <si>
    <t>prerequisite</t>
  </si>
  <si>
    <t>unplanned</t>
  </si>
  <si>
    <t>outdoor</t>
  </si>
  <si>
    <t>indoor</t>
  </si>
  <si>
    <t>PRIORITAS</t>
  </si>
  <si>
    <t>Tidak mengubah status R ke I, aktivitas tertunda bisa terkalkulasi di proses pilih selanjutnya</t>
  </si>
  <si>
    <t>Mengubah R ke I, aktivitas tidak terkalkulasi dalam proses pilih hingga 6 jam berikutnya</t>
  </si>
  <si>
    <t>Mengubah R ke I, aktivitas tidak terkalkulasi dalam proses pilih hingga 12 jam berikutnya</t>
  </si>
  <si>
    <t>Mengubah R ke I, aktivitas tidak terkalkulasi dalam proses pilih hingga 24 jam berikutnya (hari berikutnya di jadwal yang sama)</t>
  </si>
  <si>
    <t>Mengubah R ke I, aktivitas tidak terkalkulasi dalam proses pilih hingga minggu berikutnya di jadwal yang sama</t>
  </si>
  <si>
    <t>-</t>
  </si>
  <si>
    <t>Kode Pengulangan Waktu (aktivitas berjalan)</t>
  </si>
  <si>
    <t xml:space="preserve">Waktu </t>
  </si>
  <si>
    <t>set mencuci pakaian</t>
  </si>
  <si>
    <t>set kerja</t>
  </si>
  <si>
    <t>set hidup-mati lampu garasi</t>
  </si>
  <si>
    <t>PR;A7</t>
  </si>
  <si>
    <t>PR;A10</t>
  </si>
  <si>
    <t>Pengulangan (kalau batal dalam H/M)</t>
  </si>
  <si>
    <t>Prioritas (kalau batal dalam H/M)</t>
  </si>
  <si>
    <t>Batas Mulai (sequence)</t>
  </si>
  <si>
    <t>M;2</t>
  </si>
  <si>
    <t>A</t>
  </si>
  <si>
    <t>auto (Durasi = lama alat listrik digunakan, durasi kalkulasi aktivitas agen = 5 menit)</t>
  </si>
  <si>
    <t>1/7 s/d 5/7</t>
  </si>
  <si>
    <t>Membuat susu anak di pagi hari</t>
  </si>
  <si>
    <t>Membangunkan anak di pagi hari</t>
  </si>
  <si>
    <t>Membereskan kasur &amp; karpet tidur di pagi hari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</si>
  <si>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</si>
  <si>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</si>
  <si>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</si>
  <si>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</si>
  <si>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</si>
  <si>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</si>
  <si>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Membersihkan WC</t>
  </si>
  <si>
    <t>Membersihkan KM Tengah</t>
  </si>
  <si>
    <t>Membersihkan KM Dalam</t>
  </si>
  <si>
    <t>Membersihkan KM Lt. 2</t>
  </si>
  <si>
    <t>Membuang sampah</t>
  </si>
  <si>
    <t>Membakar sampah</t>
  </si>
  <si>
    <t>Memasak makan pagi dengan rice cooker</t>
  </si>
  <si>
    <t>Pergi membeli makan pagi di luar rumah</t>
  </si>
  <si>
    <t>Memasak air untuk mandi di pagi hari</t>
  </si>
  <si>
    <t>Memandikan anak pagi hari</t>
  </si>
  <si>
    <t>Menyuapi anak makan pagi</t>
  </si>
  <si>
    <t>Membuat minuman herbal</t>
  </si>
  <si>
    <t>Bekerja menggunakan komputer</t>
  </si>
  <si>
    <t>Menggunakan printer</t>
  </si>
  <si>
    <t>Mengoperasikan gadget</t>
  </si>
  <si>
    <t>Pergi jalan ke luar rumah di akhir pekan</t>
  </si>
  <si>
    <t>Menonton TV pagi</t>
  </si>
  <si>
    <t>Bermain dengan anak di pagi hari</t>
  </si>
  <si>
    <t>Memasak makan siang dengan rice cooker</t>
  </si>
  <si>
    <t>Menyuapi anak makan siang</t>
  </si>
  <si>
    <t>Pergi membeli makan siang di luar rumah</t>
  </si>
  <si>
    <t>Bermain dengan anak di siang hari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</si>
  <si>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</si>
  <si>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</si>
  <si>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</si>
  <si>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</si>
  <si>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</si>
  <si>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</si>
  <si>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</si>
  <si>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</si>
  <si>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</si>
  <si>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Menyiapkan kasur &amp; karpet tidur</t>
  </si>
  <si>
    <t>Mengisi ulang daya gadget</t>
  </si>
  <si>
    <t>Menjahit</t>
  </si>
  <si>
    <t>Menerima tamu</t>
  </si>
  <si>
    <t>RDP02</t>
  </si>
  <si>
    <t>RKJ01</t>
  </si>
  <si>
    <t>RKM02</t>
  </si>
  <si>
    <t>RKM03</t>
  </si>
  <si>
    <t>RKM04</t>
  </si>
  <si>
    <t>Mematikan rice cooker</t>
  </si>
  <si>
    <t>RBK01</t>
  </si>
  <si>
    <t>M;5</t>
  </si>
  <si>
    <t>M;3</t>
  </si>
  <si>
    <t>M;4</t>
  </si>
  <si>
    <t>6/7 s/d 7/7</t>
  </si>
  <si>
    <t>B;3</t>
  </si>
  <si>
    <t>1 set membersihkan rumah</t>
  </si>
  <si>
    <t>set mandi anak</t>
  </si>
  <si>
    <t>M;1</t>
  </si>
  <si>
    <t xml:space="preserve">Mencuci piring dan alat masak </t>
  </si>
  <si>
    <t>set bersih KM</t>
  </si>
  <si>
    <t>A3</t>
  </si>
  <si>
    <t>A48</t>
  </si>
  <si>
    <t>A55</t>
  </si>
  <si>
    <t>PR;A55</t>
  </si>
  <si>
    <t>PR;A6</t>
  </si>
  <si>
    <t>PR;A9</t>
  </si>
  <si>
    <t>E</t>
  </si>
  <si>
    <t>PA-I;E;A21</t>
  </si>
  <si>
    <t>PA-I;E;A40</t>
  </si>
  <si>
    <t>PA-I;E;A39</t>
  </si>
  <si>
    <t>PA-I;E;A46</t>
  </si>
  <si>
    <t>PA-I;E;A60</t>
  </si>
  <si>
    <t>PR;A54</t>
  </si>
  <si>
    <t>PR;A20/A45/A58</t>
  </si>
  <si>
    <t>Membereskan mainan anak</t>
  </si>
  <si>
    <t>PR;A70</t>
  </si>
  <si>
    <t>tereliminasi karena aktivitas lain</t>
  </si>
  <si>
    <t>PA-O;E;A22</t>
  </si>
  <si>
    <t>Bekerja di luar rumah</t>
  </si>
  <si>
    <t>PA-O;E;A39/A40</t>
  </si>
  <si>
    <t>PA-O;E;A47</t>
  </si>
  <si>
    <t>PA-O;E;A61</t>
  </si>
  <si>
    <t>Belanja</t>
  </si>
  <si>
    <t>KODE PENGULANGAN WAKTU</t>
  </si>
  <si>
    <t>dilakukan 7 hari dalam seminggu</t>
  </si>
  <si>
    <t>M;angka</t>
  </si>
  <si>
    <t>dilakukan sebanyak sejumlah angka (5 kali/ 3 kali dst.) dalam seminggu, di hari yang acak</t>
  </si>
  <si>
    <t>angka/7</t>
  </si>
  <si>
    <t>dilakukan setiap hari ke-angka dalam seminggu (1/7 s.d 5/7, hanya di hari senin-jumat)</t>
  </si>
  <si>
    <t>B;angka</t>
  </si>
  <si>
    <t>dilakukan sebanyak sejumlah angka (5 kali/ 3 kali dst.) dalam sebulan, di hari yang acak</t>
  </si>
  <si>
    <t>angka/7 ; angka/7</t>
  </si>
  <si>
    <t>(;) = atau. Dilakukan pada hari ke-angka (atau) hari ke-angka dalam seminggu (1/7 ; 5/7, hanya di hari senin ; jumat)</t>
  </si>
  <si>
    <t>PR-D;DLA;B7</t>
  </si>
  <si>
    <t>D</t>
  </si>
  <si>
    <t>direct (aktivitas langsung dilakukan setelah aktivitas pendahulu selesai (berdandan, langsung setelah aktivitas mandi))</t>
  </si>
  <si>
    <t>PR-D;A33/A50/A65</t>
  </si>
  <si>
    <t>PR-D;A39;A40</t>
  </si>
  <si>
    <t>PR-D;A27</t>
  </si>
  <si>
    <t>PR-D;A23</t>
  </si>
  <si>
    <t>PA-I;A</t>
  </si>
  <si>
    <t>PR-D;A56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</si>
</sst>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00000"/>
    <numFmt numFmtId="167" formatCode="0.00000"/>
    <numFmt numFmtId="168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6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9" fillId="3" borderId="1" applyNumberFormat="0" applyAlignment="0" applyProtection="0"/>
  </cellStyleXfs>
  <cellXfs count="333">
    <xf numFmtId="0" fontId="0" fillId="0" borderId="0" xfId="0"/>
    <xf numFmtId="0" fontId="5" fillId="0" borderId="0" xfId="2"/>
    <xf numFmtId="0" fontId="6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4" fillId="0" borderId="0" xfId="2" applyFont="1"/>
    <xf numFmtId="0" fontId="3" fillId="0" borderId="0" xfId="2" applyFont="1" applyAlignment="1">
      <alignment wrapText="1"/>
    </xf>
    <xf numFmtId="0" fontId="1" fillId="0" borderId="11" xfId="2" applyFont="1" applyFill="1" applyBorder="1" applyAlignment="1">
      <alignment horizontal="center" vertical="center"/>
    </xf>
    <xf numFmtId="0" fontId="10" fillId="0" borderId="0" xfId="2" applyFont="1" applyFill="1"/>
    <xf numFmtId="0" fontId="4" fillId="0" borderId="0" xfId="2" applyFont="1" applyAlignment="1">
      <alignment horizontal="center" vertical="center"/>
    </xf>
    <xf numFmtId="167" fontId="10" fillId="0" borderId="29" xfId="0" quotePrefix="1" applyNumberFormat="1" applyFont="1" applyFill="1" applyBorder="1" applyAlignment="1">
      <alignment horizontal="right" vertical="center"/>
    </xf>
    <xf numFmtId="167" fontId="10" fillId="0" borderId="31" xfId="0" quotePrefix="1" applyNumberFormat="1" applyFont="1" applyFill="1" applyBorder="1" applyAlignment="1">
      <alignment horizontal="right" vertical="center"/>
    </xf>
    <xf numFmtId="165" fontId="10" fillId="0" borderId="29" xfId="0" quotePrefix="1" applyNumberFormat="1" applyFont="1" applyFill="1" applyBorder="1" applyAlignment="1">
      <alignment horizontal="right" vertical="center"/>
    </xf>
    <xf numFmtId="0" fontId="0" fillId="0" borderId="28" xfId="0" applyFill="1" applyBorder="1"/>
    <xf numFmtId="2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  <xf numFmtId="0" fontId="5" fillId="0" borderId="0" xfId="2" applyAlignment="1">
      <alignment horizontal="center"/>
    </xf>
    <xf numFmtId="0" fontId="4" fillId="0" borderId="47" xfId="2" applyFont="1" applyFill="1" applyBorder="1" applyAlignment="1">
      <alignment horizontal="center" vertical="center"/>
    </xf>
    <xf numFmtId="0" fontId="4" fillId="0" borderId="0" xfId="2" applyFont="1" applyAlignment="1">
      <alignment horizontal="center"/>
    </xf>
    <xf numFmtId="1" fontId="1" fillId="0" borderId="47" xfId="2" applyNumberFormat="1" applyFont="1" applyFill="1" applyBorder="1" applyAlignment="1">
      <alignment horizontal="center"/>
    </xf>
    <xf numFmtId="0" fontId="5" fillId="0" borderId="47" xfId="2" applyFill="1" applyBorder="1"/>
    <xf numFmtId="164" fontId="1" fillId="0" borderId="47" xfId="2" applyNumberFormat="1" applyFont="1" applyFill="1" applyBorder="1" applyAlignment="1">
      <alignment horizontal="center"/>
    </xf>
    <xf numFmtId="0" fontId="5" fillId="0" borderId="47" xfId="2" applyFill="1" applyBorder="1" applyAlignment="1">
      <alignment horizontal="center"/>
    </xf>
    <xf numFmtId="0" fontId="5" fillId="0" borderId="0" xfId="2" applyFill="1" applyAlignment="1">
      <alignment horizontal="center"/>
    </xf>
    <xf numFmtId="0" fontId="5" fillId="0" borderId="0" xfId="2" applyFill="1" applyBorder="1" applyAlignment="1">
      <alignment horizontal="center"/>
    </xf>
    <xf numFmtId="0" fontId="5" fillId="0" borderId="0" xfId="2" applyBorder="1" applyAlignment="1">
      <alignment horizontal="center"/>
    </xf>
    <xf numFmtId="164" fontId="5" fillId="0" borderId="47" xfId="2" applyNumberFormat="1" applyFill="1" applyBorder="1" applyAlignment="1">
      <alignment horizontal="center"/>
    </xf>
    <xf numFmtId="164" fontId="0" fillId="0" borderId="47" xfId="2" applyNumberFormat="1" applyFont="1" applyFill="1" applyBorder="1" applyAlignment="1">
      <alignment horizontal="center"/>
    </xf>
    <xf numFmtId="0" fontId="4" fillId="0" borderId="0" xfId="2" applyFont="1" applyFill="1"/>
    <xf numFmtId="0" fontId="5" fillId="0" borderId="32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0" fontId="5" fillId="0" borderId="47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/>
    </xf>
    <xf numFmtId="0" fontId="5" fillId="0" borderId="38" xfId="2" applyFill="1" applyBorder="1"/>
    <xf numFmtId="0" fontId="5" fillId="0" borderId="40" xfId="2" applyFill="1" applyBorder="1"/>
    <xf numFmtId="0" fontId="5" fillId="0" borderId="17" xfId="2" applyFill="1" applyBorder="1"/>
    <xf numFmtId="1" fontId="5" fillId="0" borderId="38" xfId="2" applyNumberFormat="1" applyFill="1" applyBorder="1"/>
    <xf numFmtId="0" fontId="5" fillId="0" borderId="51" xfId="2" quotePrefix="1" applyFill="1" applyBorder="1"/>
    <xf numFmtId="1" fontId="5" fillId="0" borderId="51" xfId="2" applyNumberFormat="1" applyFill="1" applyBorder="1"/>
    <xf numFmtId="166" fontId="5" fillId="0" borderId="17" xfId="2" applyNumberFormat="1" applyFill="1" applyBorder="1"/>
    <xf numFmtId="0" fontId="5" fillId="0" borderId="51" xfId="2" applyFill="1" applyBorder="1"/>
    <xf numFmtId="0" fontId="5" fillId="0" borderId="32" xfId="2" applyFill="1" applyBorder="1"/>
    <xf numFmtId="0" fontId="5" fillId="0" borderId="47" xfId="2" quotePrefix="1" applyFill="1" applyBorder="1"/>
    <xf numFmtId="0" fontId="5" fillId="0" borderId="9" xfId="2" quotePrefix="1" applyFill="1" applyBorder="1"/>
    <xf numFmtId="0" fontId="5" fillId="0" borderId="0" xfId="2" applyFill="1" applyAlignment="1">
      <alignment horizontal="left" wrapText="1"/>
    </xf>
    <xf numFmtId="0" fontId="5" fillId="0" borderId="0" xfId="2" applyFill="1" applyAlignment="1">
      <alignment wrapText="1"/>
    </xf>
    <xf numFmtId="0" fontId="5" fillId="0" borderId="36" xfId="2" applyFill="1" applyBorder="1"/>
    <xf numFmtId="0" fontId="0" fillId="0" borderId="44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52" xfId="0" applyFill="1" applyBorder="1"/>
    <xf numFmtId="0" fontId="0" fillId="0" borderId="26" xfId="0" applyFill="1" applyBorder="1"/>
    <xf numFmtId="0" fontId="0" fillId="0" borderId="6" xfId="0" applyFill="1" applyBorder="1"/>
    <xf numFmtId="0" fontId="0" fillId="0" borderId="43" xfId="0" applyFill="1" applyBorder="1"/>
    <xf numFmtId="0" fontId="0" fillId="0" borderId="0" xfId="0" quotePrefix="1" applyFill="1" applyBorder="1" applyAlignment="1">
      <alignment horizontal="right"/>
    </xf>
    <xf numFmtId="0" fontId="0" fillId="0" borderId="27" xfId="0" applyFill="1" applyBorder="1" applyAlignment="1">
      <alignment horizontal="center" vertical="center"/>
    </xf>
    <xf numFmtId="0" fontId="0" fillId="0" borderId="13" xfId="0" applyFill="1" applyBorder="1"/>
    <xf numFmtId="0" fontId="0" fillId="0" borderId="37" xfId="0" applyFill="1" applyBorder="1"/>
    <xf numFmtId="0" fontId="0" fillId="0" borderId="5" xfId="0" applyFill="1" applyBorder="1"/>
    <xf numFmtId="0" fontId="0" fillId="0" borderId="30" xfId="0" applyFill="1" applyBorder="1"/>
    <xf numFmtId="165" fontId="10" fillId="0" borderId="41" xfId="0" quotePrefix="1" applyNumberFormat="1" applyFont="1" applyFill="1" applyBorder="1" applyAlignment="1">
      <alignment horizontal="right" vertical="center"/>
    </xf>
    <xf numFmtId="165" fontId="10" fillId="0" borderId="29" xfId="0" applyNumberFormat="1" applyFont="1" applyFill="1" applyBorder="1" applyAlignment="1">
      <alignment horizontal="right" vertical="center"/>
    </xf>
    <xf numFmtId="165" fontId="10" fillId="0" borderId="31" xfId="0" applyNumberFormat="1" applyFont="1" applyFill="1" applyBorder="1" applyAlignment="1">
      <alignment horizontal="right" vertical="center"/>
    </xf>
    <xf numFmtId="165" fontId="0" fillId="7" borderId="43" xfId="0" applyNumberFormat="1" applyFill="1" applyBorder="1"/>
    <xf numFmtId="167" fontId="0" fillId="7" borderId="43" xfId="0" applyNumberFormat="1" applyFill="1" applyBorder="1"/>
    <xf numFmtId="0" fontId="10" fillId="0" borderId="0" xfId="2" applyFont="1" applyFill="1" applyAlignment="1">
      <alignment horizontal="center"/>
    </xf>
    <xf numFmtId="0" fontId="5" fillId="0" borderId="32" xfId="2" applyFill="1" applyBorder="1" applyAlignment="1">
      <alignment horizontal="center" vertical="center" wrapText="1"/>
    </xf>
    <xf numFmtId="0" fontId="5" fillId="0" borderId="47" xfId="2" applyFill="1" applyBorder="1" applyAlignment="1">
      <alignment horizontal="center" vertical="center" wrapText="1"/>
    </xf>
    <xf numFmtId="0" fontId="5" fillId="0" borderId="38" xfId="2" applyFill="1" applyBorder="1" applyAlignment="1">
      <alignment wrapText="1"/>
    </xf>
    <xf numFmtId="0" fontId="5" fillId="0" borderId="40" xfId="2" applyFill="1" applyBorder="1" applyAlignment="1">
      <alignment wrapText="1"/>
    </xf>
    <xf numFmtId="168" fontId="5" fillId="0" borderId="40" xfId="2" applyNumberFormat="1" applyFill="1" applyBorder="1"/>
    <xf numFmtId="168" fontId="5" fillId="0" borderId="51" xfId="2" quotePrefix="1" applyNumberFormat="1" applyFill="1" applyBorder="1"/>
    <xf numFmtId="168" fontId="5" fillId="0" borderId="51" xfId="2" applyNumberFormat="1" applyFill="1" applyBorder="1"/>
    <xf numFmtId="168" fontId="5" fillId="0" borderId="17" xfId="2" applyNumberFormat="1" applyFill="1" applyBorder="1"/>
    <xf numFmtId="0" fontId="5" fillId="7" borderId="0" xfId="2" applyFill="1" applyBorder="1" applyAlignment="1">
      <alignment horizontal="left"/>
    </xf>
    <xf numFmtId="0" fontId="5" fillId="0" borderId="47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168" fontId="5" fillId="0" borderId="39" xfId="2" applyNumberFormat="1" applyFill="1" applyBorder="1"/>
    <xf numFmtId="0" fontId="4" fillId="6" borderId="38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38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5" fillId="0" borderId="41" xfId="2" applyFill="1" applyBorder="1"/>
    <xf numFmtId="0" fontId="5" fillId="0" borderId="29" xfId="2" applyFill="1" applyBorder="1"/>
    <xf numFmtId="0" fontId="5" fillId="7" borderId="0" xfId="2" applyFill="1" applyBorder="1" applyAlignment="1">
      <alignment horizontal="left"/>
    </xf>
    <xf numFmtId="0" fontId="5" fillId="0" borderId="36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 wrapText="1"/>
    </xf>
    <xf numFmtId="0" fontId="0" fillId="0" borderId="3" xfId="2" applyFont="1" applyFill="1" applyBorder="1" applyAlignment="1">
      <alignment horizontal="center" vertical="center"/>
    </xf>
    <xf numFmtId="0" fontId="0" fillId="0" borderId="12" xfId="2" applyFont="1" applyBorder="1" applyAlignment="1">
      <alignment horizontal="left" vertical="center" wrapText="1"/>
    </xf>
    <xf numFmtId="0" fontId="1" fillId="0" borderId="12" xfId="2" applyFont="1" applyBorder="1" applyAlignment="1">
      <alignment horizontal="left" vertical="center" wrapText="1"/>
    </xf>
    <xf numFmtId="0" fontId="0" fillId="0" borderId="16" xfId="2" applyFont="1" applyBorder="1" applyAlignment="1">
      <alignment horizontal="left" vertical="center" wrapText="1"/>
    </xf>
    <xf numFmtId="0" fontId="4" fillId="0" borderId="0" xfId="2" applyFont="1" applyAlignment="1">
      <alignment horizontal="center" vertical="center" wrapText="1"/>
    </xf>
    <xf numFmtId="20" fontId="1" fillId="0" borderId="0" xfId="2" applyNumberFormat="1" applyFont="1" applyFill="1" applyBorder="1" applyAlignment="1">
      <alignment horizontal="center"/>
    </xf>
    <xf numFmtId="20" fontId="0" fillId="0" borderId="0" xfId="2" applyNumberFormat="1" applyFont="1" applyFill="1" applyBorder="1" applyAlignment="1">
      <alignment horizontal="left"/>
    </xf>
    <xf numFmtId="0" fontId="1" fillId="0" borderId="15" xfId="2" applyFont="1" applyFill="1" applyBorder="1" applyAlignment="1">
      <alignment horizontal="center" vertical="center"/>
    </xf>
    <xf numFmtId="0" fontId="0" fillId="0" borderId="8" xfId="2" applyFont="1" applyBorder="1" applyAlignment="1">
      <alignment horizontal="left" vertical="center" wrapText="1"/>
    </xf>
    <xf numFmtId="0" fontId="7" fillId="0" borderId="45" xfId="2" applyFont="1" applyFill="1" applyBorder="1" applyAlignment="1">
      <alignment horizontal="center" vertical="center" wrapText="1"/>
    </xf>
    <xf numFmtId="0" fontId="7" fillId="0" borderId="40" xfId="2" applyFont="1" applyFill="1" applyBorder="1" applyAlignment="1">
      <alignment horizontal="center" vertical="center" wrapText="1"/>
    </xf>
    <xf numFmtId="0" fontId="7" fillId="0" borderId="30" xfId="1" applyFont="1" applyFill="1" applyBorder="1" applyAlignment="1">
      <alignment horizontal="center" vertical="center" wrapText="1"/>
    </xf>
    <xf numFmtId="0" fontId="7" fillId="0" borderId="38" xfId="1" applyFont="1" applyFill="1" applyBorder="1" applyAlignment="1">
      <alignment horizontal="center" vertical="center" wrapText="1"/>
    </xf>
    <xf numFmtId="0" fontId="7" fillId="0" borderId="40" xfId="1" applyFont="1" applyFill="1" applyBorder="1" applyAlignment="1">
      <alignment horizontal="center" vertical="center" wrapText="1"/>
    </xf>
    <xf numFmtId="20" fontId="8" fillId="0" borderId="64" xfId="2" applyNumberFormat="1" applyFont="1" applyFill="1" applyBorder="1" applyAlignment="1">
      <alignment horizontal="right" vertical="center"/>
    </xf>
    <xf numFmtId="0" fontId="7" fillId="6" borderId="40" xfId="2" applyFont="1" applyFill="1" applyBorder="1" applyAlignment="1">
      <alignment horizontal="center" vertical="center" wrapText="1"/>
    </xf>
    <xf numFmtId="0" fontId="7" fillId="6" borderId="45" xfId="2" applyFont="1" applyFill="1" applyBorder="1" applyAlignment="1">
      <alignment horizontal="center" vertical="center" wrapText="1"/>
    </xf>
    <xf numFmtId="0" fontId="7" fillId="6" borderId="41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wrapText="1"/>
    </xf>
    <xf numFmtId="0" fontId="1" fillId="0" borderId="0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/>
    </xf>
    <xf numFmtId="0" fontId="5" fillId="0" borderId="0" xfId="2" applyAlignment="1">
      <alignment horizontal="left" vertical="center"/>
    </xf>
    <xf numFmtId="0" fontId="8" fillId="0" borderId="0" xfId="2" applyFont="1" applyFill="1" applyAlignment="1">
      <alignment horizontal="left"/>
    </xf>
    <xf numFmtId="20" fontId="8" fillId="0" borderId="0" xfId="2" applyNumberFormat="1" applyFont="1" applyFill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Fill="1"/>
    <xf numFmtId="0" fontId="6" fillId="0" borderId="0" xfId="2" applyFont="1" applyFill="1"/>
    <xf numFmtId="0" fontId="7" fillId="0" borderId="31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4" fillId="0" borderId="31" xfId="2" applyFont="1" applyFill="1" applyBorder="1" applyAlignment="1">
      <alignment horizontal="center" vertical="center" wrapText="1"/>
    </xf>
    <xf numFmtId="0" fontId="0" fillId="0" borderId="22" xfId="2" applyFont="1" applyBorder="1" applyAlignment="1">
      <alignment horizontal="center" vertical="center" wrapText="1"/>
    </xf>
    <xf numFmtId="0" fontId="0" fillId="0" borderId="12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 wrapText="1"/>
    </xf>
    <xf numFmtId="0" fontId="0" fillId="0" borderId="16" xfId="2" applyFont="1" applyBorder="1" applyAlignment="1">
      <alignment horizontal="center" vertical="center" wrapText="1"/>
    </xf>
    <xf numFmtId="0" fontId="0" fillId="0" borderId="0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1" fillId="0" borderId="33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 wrapText="1"/>
    </xf>
    <xf numFmtId="0" fontId="5" fillId="0" borderId="0" xfId="2" applyAlignment="1">
      <alignment wrapText="1"/>
    </xf>
    <xf numFmtId="0" fontId="13" fillId="0" borderId="0" xfId="2" applyFont="1" applyBorder="1" applyAlignment="1">
      <alignment horizontal="center" vertical="center" wrapText="1"/>
    </xf>
    <xf numFmtId="0" fontId="5" fillId="0" borderId="0" xfId="2" applyFill="1" applyAlignment="1">
      <alignment horizontal="center" vertical="center" wrapText="1"/>
    </xf>
    <xf numFmtId="20" fontId="0" fillId="0" borderId="9" xfId="2" applyNumberFormat="1" applyFont="1" applyFill="1" applyBorder="1" applyAlignment="1">
      <alignment horizontal="center" vertical="center" wrapText="1"/>
    </xf>
    <xf numFmtId="0" fontId="4" fillId="5" borderId="61" xfId="2" applyFont="1" applyFill="1" applyBorder="1" applyAlignment="1">
      <alignment horizontal="center" vertical="center"/>
    </xf>
    <xf numFmtId="20" fontId="1" fillId="0" borderId="0" xfId="2" applyNumberFormat="1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12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 wrapText="1"/>
    </xf>
    <xf numFmtId="0" fontId="6" fillId="0" borderId="0" xfId="2" applyFont="1" applyFill="1" applyAlignment="1">
      <alignment horizontal="center" vertical="center" wrapText="1"/>
    </xf>
    <xf numFmtId="0" fontId="12" fillId="0" borderId="0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0" xfId="2" applyFont="1" applyFill="1" applyAlignment="1">
      <alignment vertical="center"/>
    </xf>
    <xf numFmtId="0" fontId="10" fillId="0" borderId="0" xfId="2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14" fillId="0" borderId="0" xfId="2" applyFont="1" applyBorder="1" applyAlignment="1">
      <alignment vertical="center"/>
    </xf>
    <xf numFmtId="0" fontId="10" fillId="0" borderId="0" xfId="2" applyFont="1" applyAlignment="1">
      <alignment vertical="center" wrapText="1"/>
    </xf>
    <xf numFmtId="0" fontId="8" fillId="0" borderId="0" xfId="2" applyFont="1" applyFill="1" applyAlignment="1">
      <alignment horizontal="left" vertical="center"/>
    </xf>
    <xf numFmtId="0" fontId="5" fillId="0" borderId="0" xfId="2" applyFill="1" applyAlignment="1">
      <alignment horizontal="left" vertical="center"/>
    </xf>
    <xf numFmtId="0" fontId="5" fillId="0" borderId="0" xfId="2" applyFill="1" applyAlignment="1">
      <alignment vertical="center"/>
    </xf>
    <xf numFmtId="0" fontId="5" fillId="6" borderId="0" xfId="2" applyFill="1" applyAlignment="1">
      <alignment vertical="center"/>
    </xf>
    <xf numFmtId="0" fontId="5" fillId="0" borderId="47" xfId="2" applyFill="1" applyBorder="1" applyAlignment="1">
      <alignment vertical="center"/>
    </xf>
    <xf numFmtId="0" fontId="13" fillId="0" borderId="0" xfId="2" applyFont="1" applyBorder="1" applyAlignment="1">
      <alignment horizontal="center" vertical="center"/>
    </xf>
    <xf numFmtId="0" fontId="14" fillId="0" borderId="0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1" fillId="0" borderId="8" xfId="2" applyFont="1" applyFill="1" applyBorder="1" applyAlignment="1">
      <alignment horizontal="center" vertical="center"/>
    </xf>
    <xf numFmtId="0" fontId="1" fillId="0" borderId="3" xfId="2" applyFont="1" applyFill="1" applyBorder="1" applyAlignment="1">
      <alignment horizontal="center" vertical="center"/>
    </xf>
    <xf numFmtId="0" fontId="0" fillId="0" borderId="64" xfId="2" applyFont="1" applyFill="1" applyBorder="1" applyAlignment="1">
      <alignment horizontal="center" vertical="center"/>
    </xf>
    <xf numFmtId="0" fontId="0" fillId="0" borderId="11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vertical="center" wrapText="1"/>
    </xf>
    <xf numFmtId="0" fontId="0" fillId="0" borderId="12" xfId="2" applyFont="1" applyFill="1" applyBorder="1" applyAlignment="1">
      <alignment horizontal="center" vertical="center"/>
    </xf>
    <xf numFmtId="0" fontId="0" fillId="0" borderId="47" xfId="2" applyFont="1" applyFill="1" applyBorder="1" applyAlignment="1">
      <alignment horizontal="center" vertical="center"/>
    </xf>
    <xf numFmtId="0" fontId="8" fillId="0" borderId="47" xfId="2" applyFont="1" applyFill="1" applyBorder="1" applyAlignment="1">
      <alignment horizontal="center" vertical="center" wrapText="1"/>
    </xf>
    <xf numFmtId="0" fontId="8" fillId="0" borderId="47" xfId="2" applyFont="1" applyFill="1" applyBorder="1" applyAlignment="1">
      <alignment horizontal="center" vertical="center"/>
    </xf>
    <xf numFmtId="0" fontId="8" fillId="0" borderId="53" xfId="2" applyFont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0" fillId="0" borderId="32" xfId="2" applyFont="1" applyFill="1" applyBorder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  <xf numFmtId="0" fontId="1" fillId="0" borderId="37" xfId="2" applyFont="1" applyFill="1" applyBorder="1" applyAlignment="1">
      <alignment horizontal="center" vertical="center"/>
    </xf>
    <xf numFmtId="0" fontId="1" fillId="0" borderId="14" xfId="2" applyFont="1" applyFill="1" applyBorder="1" applyAlignment="1">
      <alignment horizontal="center" vertical="center"/>
    </xf>
    <xf numFmtId="20" fontId="0" fillId="0" borderId="50" xfId="2" applyNumberFormat="1" applyFont="1" applyFill="1" applyBorder="1" applyAlignment="1">
      <alignment horizontal="center" vertical="center"/>
    </xf>
    <xf numFmtId="20" fontId="8" fillId="0" borderId="7" xfId="2" applyNumberFormat="1" applyFont="1" applyFill="1" applyBorder="1" applyAlignment="1">
      <alignment horizontal="center" vertical="center"/>
    </xf>
    <xf numFmtId="20" fontId="0" fillId="0" borderId="34" xfId="2" applyNumberFormat="1" applyFont="1" applyFill="1" applyBorder="1" applyAlignment="1">
      <alignment horizontal="center" vertical="center"/>
    </xf>
    <xf numFmtId="20" fontId="0" fillId="0" borderId="9" xfId="2" applyNumberFormat="1" applyFont="1" applyFill="1" applyBorder="1" applyAlignment="1">
      <alignment horizontal="left" vertical="center"/>
    </xf>
    <xf numFmtId="0" fontId="1" fillId="0" borderId="28" xfId="2" applyFont="1" applyFill="1" applyBorder="1" applyAlignment="1">
      <alignment horizontal="center" vertical="center"/>
    </xf>
    <xf numFmtId="0" fontId="0" fillId="0" borderId="49" xfId="2" applyFont="1" applyFill="1" applyBorder="1" applyAlignment="1">
      <alignment horizontal="center" vertical="center"/>
    </xf>
    <xf numFmtId="12" fontId="0" fillId="0" borderId="47" xfId="2" applyNumberFormat="1" applyFont="1" applyFill="1" applyBorder="1" applyAlignment="1">
      <alignment horizontal="center" vertical="center"/>
    </xf>
    <xf numFmtId="0" fontId="1" fillId="0" borderId="12" xfId="2" applyFont="1" applyFill="1" applyBorder="1" applyAlignment="1">
      <alignment horizontal="center" vertical="center"/>
    </xf>
    <xf numFmtId="0" fontId="1" fillId="0" borderId="16" xfId="2" applyFont="1" applyFill="1" applyBorder="1" applyAlignment="1">
      <alignment horizontal="center" vertical="center"/>
    </xf>
    <xf numFmtId="20" fontId="0" fillId="0" borderId="32" xfId="2" applyNumberFormat="1" applyFont="1" applyFill="1" applyBorder="1" applyAlignment="1">
      <alignment horizontal="center" vertical="center"/>
    </xf>
    <xf numFmtId="0" fontId="4" fillId="5" borderId="61" xfId="2" applyFont="1" applyFill="1" applyBorder="1" applyAlignment="1">
      <alignment horizontal="left" vertical="center"/>
    </xf>
    <xf numFmtId="0" fontId="4" fillId="5" borderId="28" xfId="2" applyFont="1" applyFill="1" applyBorder="1" applyAlignment="1">
      <alignment horizontal="left" vertical="center"/>
    </xf>
    <xf numFmtId="0" fontId="5" fillId="0" borderId="0" xfId="2" applyFill="1" applyAlignment="1">
      <alignment vertical="center" wrapText="1"/>
    </xf>
    <xf numFmtId="0" fontId="1" fillId="0" borderId="7" xfId="2" applyFont="1" applyFill="1" applyBorder="1" applyAlignment="1">
      <alignment horizontal="center" vertical="center"/>
    </xf>
    <xf numFmtId="0" fontId="1" fillId="0" borderId="45" xfId="2" applyFont="1" applyFill="1" applyBorder="1" applyAlignment="1">
      <alignment horizontal="center" vertical="center"/>
    </xf>
    <xf numFmtId="0" fontId="0" fillId="0" borderId="45" xfId="2" applyFont="1" applyFill="1" applyBorder="1" applyAlignment="1">
      <alignment horizontal="center" vertical="center" wrapText="1"/>
    </xf>
    <xf numFmtId="0" fontId="8" fillId="0" borderId="45" xfId="2" applyFont="1" applyFill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20" fontId="8" fillId="0" borderId="10" xfId="2" applyNumberFormat="1" applyFont="1" applyFill="1" applyBorder="1" applyAlignment="1">
      <alignment horizontal="center" vertical="center"/>
    </xf>
    <xf numFmtId="20" fontId="1" fillId="0" borderId="6" xfId="2" applyNumberFormat="1" applyFont="1" applyFill="1" applyBorder="1" applyAlignment="1">
      <alignment horizontal="center" vertical="center"/>
    </xf>
    <xf numFmtId="0" fontId="1" fillId="0" borderId="47" xfId="2" applyFont="1" applyFill="1" applyBorder="1" applyAlignment="1">
      <alignment horizontal="center" vertical="center"/>
    </xf>
    <xf numFmtId="0" fontId="0" fillId="0" borderId="47" xfId="2" applyFont="1" applyFill="1" applyBorder="1" applyAlignment="1">
      <alignment horizontal="center" vertical="center" wrapText="1"/>
    </xf>
    <xf numFmtId="0" fontId="1" fillId="0" borderId="47" xfId="2" applyFont="1" applyFill="1" applyBorder="1" applyAlignment="1">
      <alignment horizontal="center" vertical="center" wrapText="1"/>
    </xf>
    <xf numFmtId="20" fontId="8" fillId="0" borderId="9" xfId="2" applyNumberFormat="1" applyFont="1" applyFill="1" applyBorder="1" applyAlignment="1">
      <alignment horizontal="center" vertical="center"/>
    </xf>
    <xf numFmtId="20" fontId="1" fillId="0" borderId="13" xfId="2" applyNumberFormat="1" applyFont="1" applyFill="1" applyBorder="1" applyAlignment="1">
      <alignment horizontal="center" vertical="center"/>
    </xf>
    <xf numFmtId="0" fontId="1" fillId="0" borderId="40" xfId="2" applyFont="1" applyFill="1" applyBorder="1" applyAlignment="1">
      <alignment horizontal="center" vertical="center"/>
    </xf>
    <xf numFmtId="0" fontId="0" fillId="0" borderId="40" xfId="2" applyFont="1" applyFill="1" applyBorder="1" applyAlignment="1">
      <alignment horizontal="center" vertical="center" wrapText="1"/>
    </xf>
    <xf numFmtId="0" fontId="8" fillId="0" borderId="40" xfId="2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20" fontId="8" fillId="0" borderId="57" xfId="2" applyNumberFormat="1" applyFont="1" applyFill="1" applyBorder="1" applyAlignment="1">
      <alignment horizontal="center" vertical="center"/>
    </xf>
    <xf numFmtId="20" fontId="1" fillId="0" borderId="16" xfId="2" applyNumberFormat="1" applyFont="1" applyFill="1" applyBorder="1" applyAlignment="1">
      <alignment horizontal="center" vertical="center"/>
    </xf>
    <xf numFmtId="20" fontId="0" fillId="0" borderId="17" xfId="2" applyNumberFormat="1" applyFont="1" applyFill="1" applyBorder="1" applyAlignment="1">
      <alignment horizontal="left" vertical="center"/>
    </xf>
    <xf numFmtId="0" fontId="13" fillId="0" borderId="0" xfId="2" applyFont="1" applyFill="1" applyBorder="1" applyAlignment="1">
      <alignment vertical="center"/>
    </xf>
    <xf numFmtId="0" fontId="13" fillId="0" borderId="0" xfId="2" applyFont="1" applyFill="1" applyBorder="1" applyAlignment="1">
      <alignment horizontal="center" vertical="center"/>
    </xf>
    <xf numFmtId="0" fontId="0" fillId="0" borderId="24" xfId="2" applyFont="1" applyFill="1" applyBorder="1" applyAlignment="1">
      <alignment horizontal="center" vertical="center"/>
    </xf>
    <xf numFmtId="0" fontId="0" fillId="0" borderId="57" xfId="2" applyFont="1" applyFill="1" applyBorder="1" applyAlignment="1">
      <alignment horizontal="center" vertical="center"/>
    </xf>
    <xf numFmtId="0" fontId="0" fillId="0" borderId="15" xfId="2" applyFont="1" applyFill="1" applyBorder="1" applyAlignment="1">
      <alignment horizontal="center" vertical="center"/>
    </xf>
    <xf numFmtId="0" fontId="8" fillId="4" borderId="12" xfId="2" applyFont="1" applyFill="1" applyBorder="1" applyAlignment="1">
      <alignment vertical="center" wrapText="1"/>
    </xf>
    <xf numFmtId="0" fontId="0" fillId="5" borderId="64" xfId="2" applyFont="1" applyFill="1" applyBorder="1" applyAlignment="1">
      <alignment horizontal="center" vertical="center"/>
    </xf>
    <xf numFmtId="0" fontId="0" fillId="5" borderId="49" xfId="2" applyFont="1" applyFill="1" applyBorder="1" applyAlignment="1">
      <alignment horizontal="center" vertical="center"/>
    </xf>
    <xf numFmtId="0" fontId="0" fillId="8" borderId="64" xfId="2" applyFont="1" applyFill="1" applyBorder="1" applyAlignment="1">
      <alignment horizontal="center" vertical="center"/>
    </xf>
    <xf numFmtId="0" fontId="0" fillId="8" borderId="49" xfId="2" applyFont="1" applyFill="1" applyBorder="1" applyAlignment="1">
      <alignment horizontal="center" vertical="center"/>
    </xf>
    <xf numFmtId="0" fontId="5" fillId="5" borderId="0" xfId="2" applyFill="1" applyAlignment="1">
      <alignment vertical="center"/>
    </xf>
    <xf numFmtId="20" fontId="0" fillId="9" borderId="18" xfId="2" applyNumberFormat="1" applyFont="1" applyFill="1" applyBorder="1" applyAlignment="1">
      <alignment horizontal="center" vertical="center"/>
    </xf>
    <xf numFmtId="20" fontId="1" fillId="9" borderId="19" xfId="2" applyNumberFormat="1" applyFont="1" applyFill="1" applyBorder="1" applyAlignment="1">
      <alignment horizontal="center" vertical="center" wrapText="1"/>
    </xf>
    <xf numFmtId="20" fontId="1" fillId="9" borderId="13" xfId="2" applyNumberFormat="1" applyFont="1" applyFill="1" applyBorder="1" applyAlignment="1">
      <alignment horizontal="center" vertical="center"/>
    </xf>
    <xf numFmtId="20" fontId="1" fillId="9" borderId="14" xfId="2" applyNumberFormat="1" applyFont="1" applyFill="1" applyBorder="1" applyAlignment="1">
      <alignment horizontal="center" vertical="center" wrapText="1"/>
    </xf>
    <xf numFmtId="20" fontId="1" fillId="9" borderId="16" xfId="2" applyNumberFormat="1" applyFont="1" applyFill="1" applyBorder="1" applyAlignment="1">
      <alignment horizontal="center" vertical="center"/>
    </xf>
    <xf numFmtId="20" fontId="1" fillId="9" borderId="17" xfId="2" applyNumberFormat="1" applyFont="1" applyFill="1" applyBorder="1" applyAlignment="1">
      <alignment horizontal="center" vertical="center" wrapText="1"/>
    </xf>
    <xf numFmtId="0" fontId="5" fillId="9" borderId="0" xfId="2" applyFill="1" applyAlignment="1">
      <alignment vertical="center"/>
    </xf>
    <xf numFmtId="0" fontId="4" fillId="0" borderId="60" xfId="2" applyFont="1" applyBorder="1" applyAlignment="1">
      <alignment horizontal="center" vertical="center"/>
    </xf>
    <xf numFmtId="0" fontId="4" fillId="0" borderId="61" xfId="2" applyFont="1" applyBorder="1" applyAlignment="1">
      <alignment horizontal="center" vertical="center"/>
    </xf>
    <xf numFmtId="0" fontId="4" fillId="0" borderId="59" xfId="2" applyFont="1" applyFill="1" applyBorder="1" applyAlignment="1">
      <alignment horizontal="center" vertical="center" wrapText="1"/>
    </xf>
    <xf numFmtId="0" fontId="4" fillId="0" borderId="29" xfId="2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66" xfId="2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 wrapText="1"/>
    </xf>
    <xf numFmtId="0" fontId="4" fillId="0" borderId="24" xfId="2" applyFont="1" applyFill="1" applyBorder="1" applyAlignment="1">
      <alignment horizontal="center" vertical="center" wrapText="1"/>
    </xf>
    <xf numFmtId="0" fontId="4" fillId="0" borderId="60" xfId="2" applyFont="1" applyFill="1" applyBorder="1" applyAlignment="1">
      <alignment horizontal="center" vertical="center"/>
    </xf>
    <xf numFmtId="0" fontId="4" fillId="0" borderId="61" xfId="2" applyFont="1" applyFill="1" applyBorder="1" applyAlignment="1">
      <alignment horizontal="center" vertical="center"/>
    </xf>
    <xf numFmtId="0" fontId="4" fillId="0" borderId="62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left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7" fillId="0" borderId="59" xfId="2" applyFont="1" applyFill="1" applyBorder="1" applyAlignment="1">
      <alignment horizontal="center" vertical="center" wrapText="1"/>
    </xf>
    <xf numFmtId="0" fontId="7" fillId="0" borderId="29" xfId="2" applyFont="1" applyFill="1" applyBorder="1" applyAlignment="1">
      <alignment horizontal="center" vertical="center" wrapText="1"/>
    </xf>
    <xf numFmtId="0" fontId="7" fillId="0" borderId="19" xfId="2" applyFont="1" applyFill="1" applyBorder="1" applyAlignment="1">
      <alignment horizontal="center" vertical="center" wrapText="1"/>
    </xf>
    <xf numFmtId="0" fontId="7" fillId="0" borderId="31" xfId="2" applyFont="1" applyFill="1" applyBorder="1" applyAlignment="1">
      <alignment horizontal="center" vertical="center" wrapText="1"/>
    </xf>
    <xf numFmtId="0" fontId="4" fillId="0" borderId="65" xfId="2" applyFont="1" applyFill="1" applyBorder="1" applyAlignment="1">
      <alignment horizontal="center" vertical="center" wrapText="1"/>
    </xf>
    <xf numFmtId="0" fontId="4" fillId="0" borderId="41" xfId="2" applyFont="1" applyFill="1" applyBorder="1" applyAlignment="1">
      <alignment horizontal="center" vertical="center" wrapText="1"/>
    </xf>
    <xf numFmtId="20" fontId="0" fillId="0" borderId="14" xfId="2" applyNumberFormat="1" applyFont="1" applyFill="1" applyBorder="1" applyAlignment="1">
      <alignment horizontal="center" vertical="center" wrapText="1"/>
    </xf>
    <xf numFmtId="20" fontId="0" fillId="0" borderId="63" xfId="2" applyNumberFormat="1" applyFont="1" applyFill="1" applyBorder="1" applyAlignment="1">
      <alignment horizontal="center" vertic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4" fillId="6" borderId="44" xfId="2" applyFont="1" applyFill="1" applyBorder="1" applyAlignment="1">
      <alignment horizontal="center" vertical="center" wrapText="1"/>
    </xf>
    <xf numFmtId="0" fontId="4" fillId="6" borderId="38" xfId="2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4" fillId="6" borderId="45" xfId="2" applyFont="1" applyFill="1" applyBorder="1" applyAlignment="1">
      <alignment horizontal="center" vertical="center" wrapText="1"/>
    </xf>
    <xf numFmtId="0" fontId="4" fillId="6" borderId="40" xfId="2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0" borderId="36" xfId="2" applyFont="1" applyFill="1" applyBorder="1" applyAlignment="1">
      <alignment horizontal="center" vertical="center" wrapText="1"/>
    </xf>
    <xf numFmtId="0" fontId="4" fillId="0" borderId="33" xfId="2" applyFont="1" applyFill="1" applyBorder="1" applyAlignment="1">
      <alignment horizontal="center" vertical="center" wrapText="1"/>
    </xf>
    <xf numFmtId="0" fontId="4" fillId="7" borderId="36" xfId="2" applyFont="1" applyFill="1" applyBorder="1" applyAlignment="1">
      <alignment horizontal="center" vertical="center"/>
    </xf>
    <xf numFmtId="0" fontId="4" fillId="7" borderId="35" xfId="2" applyFont="1" applyFill="1" applyBorder="1" applyAlignment="1">
      <alignment horizontal="center" vertical="center"/>
    </xf>
    <xf numFmtId="0" fontId="4" fillId="7" borderId="33" xfId="2" applyFont="1" applyFill="1" applyBorder="1" applyAlignment="1">
      <alignment horizontal="center" vertical="center"/>
    </xf>
    <xf numFmtId="0" fontId="4" fillId="7" borderId="25" xfId="2" applyFont="1" applyFill="1" applyBorder="1" applyAlignment="1">
      <alignment horizontal="center" vertical="center"/>
    </xf>
    <xf numFmtId="0" fontId="4" fillId="7" borderId="58" xfId="2" applyFont="1" applyFill="1" applyBorder="1" applyAlignment="1">
      <alignment horizontal="center" vertical="center"/>
    </xf>
    <xf numFmtId="0" fontId="4" fillId="7" borderId="53" xfId="2" applyFont="1" applyFill="1" applyBorder="1" applyAlignment="1">
      <alignment horizontal="center" vertical="center"/>
    </xf>
    <xf numFmtId="0" fontId="4" fillId="0" borderId="36" xfId="2" applyFont="1" applyFill="1" applyBorder="1" applyAlignment="1">
      <alignment horizontal="center" vertical="center"/>
    </xf>
    <xf numFmtId="0" fontId="4" fillId="0" borderId="33" xfId="2" applyFont="1" applyFill="1" applyBorder="1" applyAlignment="1">
      <alignment horizontal="center" vertical="center"/>
    </xf>
    <xf numFmtId="0" fontId="11" fillId="0" borderId="47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4" fillId="7" borderId="22" xfId="2" applyFont="1" applyFill="1" applyBorder="1" applyAlignment="1">
      <alignment horizontal="center" vertical="center"/>
    </xf>
    <xf numFmtId="0" fontId="4" fillId="7" borderId="55" xfId="2" applyFont="1" applyFill="1" applyBorder="1" applyAlignment="1">
      <alignment horizontal="center" vertical="center"/>
    </xf>
    <xf numFmtId="0" fontId="4" fillId="7" borderId="44" xfId="2" applyFont="1" applyFill="1" applyBorder="1" applyAlignment="1">
      <alignment horizontal="center" vertical="center"/>
    </xf>
    <xf numFmtId="0" fontId="4" fillId="7" borderId="20" xfId="2" applyFont="1" applyFill="1" applyBorder="1" applyAlignment="1">
      <alignment horizontal="center" vertical="center"/>
    </xf>
    <xf numFmtId="0" fontId="5" fillId="0" borderId="56" xfId="2" applyFill="1" applyBorder="1" applyAlignment="1">
      <alignment horizontal="center" vertical="center" wrapText="1"/>
    </xf>
    <xf numFmtId="0" fontId="5" fillId="0" borderId="54" xfId="2" applyFill="1" applyBorder="1" applyAlignment="1">
      <alignment horizontal="center" vertical="center" wrapText="1"/>
    </xf>
    <xf numFmtId="0" fontId="1" fillId="0" borderId="36" xfId="2" applyFont="1" applyFill="1" applyBorder="1" applyAlignment="1">
      <alignment horizontal="center" vertical="center"/>
    </xf>
    <xf numFmtId="0" fontId="1" fillId="0" borderId="33" xfId="2" applyFont="1" applyFill="1" applyBorder="1" applyAlignment="1">
      <alignment horizontal="center" vertical="center"/>
    </xf>
    <xf numFmtId="0" fontId="1" fillId="0" borderId="49" xfId="2" applyFont="1" applyFill="1" applyBorder="1" applyAlignment="1">
      <alignment horizontal="center" vertical="center"/>
    </xf>
    <xf numFmtId="0" fontId="5" fillId="0" borderId="0" xfId="2" applyFill="1" applyAlignment="1">
      <alignment horizontal="left" wrapText="1"/>
    </xf>
    <xf numFmtId="0" fontId="5" fillId="7" borderId="44" xfId="2" applyFill="1" applyBorder="1" applyAlignment="1">
      <alignment horizontal="center" vertical="center"/>
    </xf>
    <xf numFmtId="0" fontId="5" fillId="7" borderId="32" xfId="2" applyFill="1" applyBorder="1" applyAlignment="1">
      <alignment horizontal="center" vertical="center"/>
    </xf>
    <xf numFmtId="0" fontId="5" fillId="7" borderId="45" xfId="2" applyFill="1" applyBorder="1" applyAlignment="1">
      <alignment horizontal="center" vertical="center"/>
    </xf>
    <xf numFmtId="0" fontId="5" fillId="7" borderId="47" xfId="2" applyFill="1" applyBorder="1" applyAlignment="1">
      <alignment horizontal="center" vertical="center"/>
    </xf>
    <xf numFmtId="0" fontId="5" fillId="7" borderId="46" xfId="2" applyFill="1" applyBorder="1" applyAlignment="1">
      <alignment horizontal="center" vertical="center"/>
    </xf>
    <xf numFmtId="0" fontId="5" fillId="7" borderId="36" xfId="2" applyFill="1" applyBorder="1" applyAlignment="1">
      <alignment horizontal="center" vertical="center"/>
    </xf>
    <xf numFmtId="0" fontId="4" fillId="7" borderId="23" xfId="2" applyFont="1" applyFill="1" applyBorder="1" applyAlignment="1">
      <alignment horizontal="center" vertical="center"/>
    </xf>
    <xf numFmtId="0" fontId="4" fillId="7" borderId="24" xfId="2" applyFont="1" applyFill="1" applyBorder="1" applyAlignment="1">
      <alignment horizontal="center" vertical="center"/>
    </xf>
    <xf numFmtId="0" fontId="5" fillId="7" borderId="0" xfId="2" applyFill="1" applyBorder="1" applyAlignment="1">
      <alignment horizontal="left"/>
    </xf>
    <xf numFmtId="165" fontId="5" fillId="7" borderId="0" xfId="2" applyNumberFormat="1" applyFill="1" applyAlignment="1">
      <alignment horizontal="center"/>
    </xf>
    <xf numFmtId="0" fontId="5" fillId="7" borderId="0" xfId="2" applyFill="1" applyAlignment="1">
      <alignment horizontal="center"/>
    </xf>
    <xf numFmtId="0" fontId="4" fillId="0" borderId="0" xfId="2" applyFont="1" applyFill="1" applyAlignment="1">
      <alignment horizontal="left" wrapText="1"/>
    </xf>
    <xf numFmtId="0" fontId="5" fillId="7" borderId="45" xfId="2" applyFill="1" applyBorder="1" applyAlignment="1">
      <alignment horizontal="center" vertical="center" wrapText="1"/>
    </xf>
    <xf numFmtId="0" fontId="5" fillId="7" borderId="47" xfId="2" applyFill="1" applyBorder="1" applyAlignment="1">
      <alignment horizontal="center" vertical="center" wrapText="1"/>
    </xf>
    <xf numFmtId="0" fontId="5" fillId="7" borderId="59" xfId="2" applyFill="1" applyBorder="1" applyAlignment="1">
      <alignment horizontal="center" vertical="center" wrapText="1"/>
    </xf>
    <xf numFmtId="0" fontId="5" fillId="7" borderId="58" xfId="2" applyFill="1" applyBorder="1" applyAlignment="1">
      <alignment horizontal="center" vertical="center" wrapText="1"/>
    </xf>
    <xf numFmtId="0" fontId="5" fillId="7" borderId="53" xfId="2" applyFill="1" applyBorder="1" applyAlignment="1">
      <alignment horizontal="center" vertical="center" wrapText="1"/>
    </xf>
    <xf numFmtId="0" fontId="5" fillId="0" borderId="47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/>
    </xf>
    <xf numFmtId="0" fontId="4" fillId="0" borderId="23" xfId="2" applyFont="1" applyFill="1" applyBorder="1" applyAlignment="1">
      <alignment horizontal="center" vertical="center"/>
    </xf>
    <xf numFmtId="0" fontId="4" fillId="0" borderId="24" xfId="2" applyFont="1" applyFill="1" applyBorder="1" applyAlignment="1">
      <alignment horizontal="center" vertical="center"/>
    </xf>
    <xf numFmtId="0" fontId="5" fillId="0" borderId="48" xfId="2" applyFill="1" applyBorder="1" applyAlignment="1">
      <alignment horizontal="center" vertical="center"/>
    </xf>
    <xf numFmtId="0" fontId="5" fillId="0" borderId="50" xfId="2" applyFill="1" applyBorder="1" applyAlignment="1">
      <alignment horizontal="center" vertical="center"/>
    </xf>
    <xf numFmtId="0" fontId="1" fillId="0" borderId="35" xfId="2" applyFont="1" applyFill="1" applyBorder="1" applyAlignment="1">
      <alignment horizontal="center" vertical="center"/>
    </xf>
    <xf numFmtId="0" fontId="5" fillId="0" borderId="37" xfId="2" applyFill="1" applyBorder="1" applyAlignment="1">
      <alignment horizontal="left"/>
    </xf>
    <xf numFmtId="165" fontId="5" fillId="0" borderId="0" xfId="2" applyNumberFormat="1" applyFill="1" applyAlignment="1">
      <alignment horizontal="center"/>
    </xf>
    <xf numFmtId="0" fontId="5" fillId="0" borderId="0" xfId="2" applyFill="1" applyAlignment="1">
      <alignment horizontal="center"/>
    </xf>
    <xf numFmtId="0" fontId="4" fillId="0" borderId="0" xfId="2" applyFont="1" applyFill="1" applyAlignment="1">
      <alignment horizontal="center"/>
    </xf>
    <xf numFmtId="0" fontId="12" fillId="0" borderId="0" xfId="2" applyFont="1" applyBorder="1" applyAlignment="1">
      <alignment horizontal="left" vertical="center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1:AI99"/>
  <sheetViews>
    <sheetView showGridLines="0" tabSelected="1" zoomScale="110" zoomScaleNormal="110" workbookViewId="0">
      <selection activeCell="I8" sqref="I8"/>
    </sheetView>
  </sheetViews>
  <sheetFormatPr defaultColWidth="8.85546875" defaultRowHeight="15" x14ac:dyDescent="0.25"/>
  <cols>
    <col min="1" max="1" width="4.140625" style="1" customWidth="1"/>
    <col min="2" max="2" width="4" style="1" hidden="1" customWidth="1"/>
    <col min="3" max="3" width="4" style="1" customWidth="1"/>
    <col min="4" max="4" width="14.42578125" style="120" bestFit="1" customWidth="1"/>
    <col min="5" max="5" width="5.5703125" style="1" customWidth="1"/>
    <col min="6" max="6" width="25.7109375" style="137" customWidth="1"/>
    <col min="7" max="7" width="12.7109375" style="132" customWidth="1"/>
    <col min="8" max="10" width="12.7109375" style="2" customWidth="1"/>
    <col min="11" max="11" width="12.7109375" style="121" customWidth="1"/>
    <col min="12" max="12" width="12.7109375" style="118" customWidth="1"/>
    <col min="13" max="13" width="6.7109375" style="8" customWidth="1"/>
    <col min="14" max="14" width="8.7109375" style="119" customWidth="1"/>
    <col min="15" max="15" width="11.7109375" style="121" customWidth="1"/>
    <col min="16" max="16" width="6.7109375" style="121" customWidth="1"/>
    <col min="17" max="18" width="11.7109375" style="121" customWidth="1"/>
    <col min="19" max="19" width="6.7109375" style="121" customWidth="1"/>
    <col min="20" max="20" width="8.7109375" style="121" customWidth="1"/>
    <col min="21" max="21" width="15.7109375" style="1" customWidth="1"/>
    <col min="22" max="22" width="15.7109375" style="139" customWidth="1"/>
    <col min="23" max="23" width="8.7109375" style="116" customWidth="1"/>
    <col min="24" max="24" width="11.7109375" style="4" customWidth="1"/>
    <col min="25" max="25" width="11.7109375" style="120" customWidth="1"/>
    <col min="26" max="26" width="9.140625" style="1" hidden="1" customWidth="1"/>
    <col min="27" max="16384" width="8.85546875" style="1"/>
  </cols>
  <sheetData>
    <row r="1" spans="2:35" ht="18.75" x14ac:dyDescent="0.25">
      <c r="B1" s="143"/>
      <c r="C1" s="144" t="s">
        <v>319</v>
      </c>
      <c r="D1" s="212"/>
      <c r="E1" s="145"/>
      <c r="F1" s="146"/>
      <c r="G1" s="147"/>
      <c r="H1" s="148" t="s">
        <v>339</v>
      </c>
      <c r="I1" s="148"/>
      <c r="J1" s="332" t="s">
        <v>454</v>
      </c>
      <c r="K1" s="148"/>
      <c r="L1" s="145"/>
      <c r="M1" s="144" t="s">
        <v>349</v>
      </c>
      <c r="N1" s="145"/>
      <c r="O1" s="149"/>
      <c r="P1" s="150"/>
      <c r="Q1" s="151"/>
      <c r="R1" s="152"/>
      <c r="S1" s="152"/>
      <c r="T1" s="152"/>
      <c r="U1" s="152"/>
      <c r="V1" s="145"/>
      <c r="W1" s="144"/>
      <c r="X1" s="145"/>
      <c r="Y1" s="138"/>
      <c r="Z1" s="153"/>
      <c r="AA1" s="145"/>
      <c r="AB1" s="145"/>
      <c r="AC1" s="143"/>
      <c r="AD1" s="143"/>
      <c r="AE1" s="143"/>
      <c r="AF1" s="143"/>
      <c r="AG1" s="143"/>
      <c r="AH1" s="143"/>
      <c r="AI1" s="143"/>
    </row>
    <row r="2" spans="2:35" x14ac:dyDescent="0.25">
      <c r="B2" s="143"/>
      <c r="C2" s="222"/>
      <c r="D2" s="150" t="s">
        <v>337</v>
      </c>
      <c r="E2" s="149"/>
      <c r="F2" s="154"/>
      <c r="G2" s="147"/>
      <c r="H2" s="151">
        <v>0</v>
      </c>
      <c r="I2" s="152" t="s">
        <v>347</v>
      </c>
      <c r="J2" s="152" t="s">
        <v>222</v>
      </c>
      <c r="K2" s="152" t="s">
        <v>455</v>
      </c>
      <c r="L2" s="152"/>
      <c r="M2" s="151">
        <v>0</v>
      </c>
      <c r="N2" s="152" t="s">
        <v>350</v>
      </c>
      <c r="O2" s="149"/>
      <c r="P2" s="150"/>
      <c r="Q2" s="151"/>
      <c r="R2" s="152"/>
      <c r="S2" s="152"/>
      <c r="T2" s="152"/>
      <c r="U2" s="152"/>
      <c r="V2" s="152"/>
      <c r="W2" s="151"/>
      <c r="X2" s="152"/>
      <c r="Y2" s="139"/>
      <c r="Z2" s="155"/>
      <c r="AA2" s="156"/>
      <c r="AB2" s="157"/>
      <c r="AC2" s="143"/>
      <c r="AD2" s="143"/>
      <c r="AE2" s="143"/>
      <c r="AF2" s="143"/>
      <c r="AG2" s="143"/>
      <c r="AH2" s="143"/>
      <c r="AI2" s="143"/>
    </row>
    <row r="3" spans="2:35" x14ac:dyDescent="0.25">
      <c r="B3" s="143"/>
      <c r="C3" s="158"/>
      <c r="D3" s="150" t="s">
        <v>320</v>
      </c>
      <c r="E3" s="149"/>
      <c r="F3" s="154"/>
      <c r="G3" s="147"/>
      <c r="H3" s="151" t="s">
        <v>343</v>
      </c>
      <c r="I3" s="152" t="s">
        <v>348</v>
      </c>
      <c r="J3" s="152" t="s">
        <v>456</v>
      </c>
      <c r="K3" s="152" t="s">
        <v>457</v>
      </c>
      <c r="L3" s="152"/>
      <c r="M3" s="151">
        <v>1</v>
      </c>
      <c r="N3" s="152" t="s">
        <v>351</v>
      </c>
      <c r="O3" s="149"/>
      <c r="P3" s="150"/>
      <c r="Q3" s="151"/>
      <c r="R3" s="152"/>
      <c r="S3" s="152"/>
      <c r="T3" s="152"/>
      <c r="U3" s="152"/>
      <c r="V3" s="152"/>
      <c r="W3" s="152"/>
      <c r="X3" s="143"/>
      <c r="Y3" s="139"/>
      <c r="Z3" s="155"/>
      <c r="AA3" s="156"/>
      <c r="AB3" s="157"/>
      <c r="AC3" s="143"/>
      <c r="AD3" s="143"/>
      <c r="AE3" s="143"/>
      <c r="AF3" s="143"/>
      <c r="AG3" s="143"/>
      <c r="AH3" s="143"/>
      <c r="AI3" s="143"/>
    </row>
    <row r="4" spans="2:35" x14ac:dyDescent="0.25">
      <c r="B4" s="143"/>
      <c r="C4" s="229"/>
      <c r="D4" s="150" t="s">
        <v>338</v>
      </c>
      <c r="E4" s="149"/>
      <c r="F4" s="154"/>
      <c r="G4" s="147"/>
      <c r="H4" s="151" t="s">
        <v>341</v>
      </c>
      <c r="I4" s="152" t="s">
        <v>345</v>
      </c>
      <c r="J4" s="152" t="s">
        <v>460</v>
      </c>
      <c r="K4" s="152" t="s">
        <v>461</v>
      </c>
      <c r="L4" s="152"/>
      <c r="M4" s="151">
        <v>2</v>
      </c>
      <c r="N4" s="152" t="s">
        <v>352</v>
      </c>
      <c r="O4" s="149"/>
      <c r="P4" s="150"/>
      <c r="Q4" s="151"/>
      <c r="R4" s="152"/>
      <c r="S4" s="152"/>
      <c r="T4" s="152"/>
      <c r="U4" s="152"/>
      <c r="V4" s="152"/>
      <c r="W4" s="152"/>
      <c r="X4" s="143"/>
      <c r="Y4" s="139"/>
      <c r="Z4" s="155"/>
      <c r="AA4" s="156"/>
      <c r="AB4" s="157"/>
      <c r="AC4" s="143"/>
      <c r="AD4" s="143"/>
      <c r="AE4" s="143"/>
      <c r="AF4" s="143"/>
      <c r="AG4" s="143"/>
      <c r="AH4" s="143"/>
      <c r="AI4" s="143"/>
    </row>
    <row r="5" spans="2:35" x14ac:dyDescent="0.25">
      <c r="B5" s="143"/>
      <c r="C5" s="159"/>
      <c r="D5" s="150" t="s">
        <v>321</v>
      </c>
      <c r="E5" s="149"/>
      <c r="F5" s="154"/>
      <c r="G5" s="147"/>
      <c r="H5" s="151" t="s">
        <v>340</v>
      </c>
      <c r="I5" s="152" t="s">
        <v>344</v>
      </c>
      <c r="J5" s="152" t="s">
        <v>458</v>
      </c>
      <c r="K5" s="152" t="s">
        <v>459</v>
      </c>
      <c r="L5" s="152"/>
      <c r="M5" s="151">
        <v>3</v>
      </c>
      <c r="N5" s="152" t="s">
        <v>353</v>
      </c>
      <c r="O5" s="149"/>
      <c r="P5" s="150"/>
      <c r="Q5" s="151"/>
      <c r="R5" s="152"/>
      <c r="S5" s="152"/>
      <c r="T5" s="152"/>
      <c r="U5" s="152"/>
      <c r="V5" s="152"/>
      <c r="W5" s="152"/>
      <c r="X5" s="143"/>
      <c r="Y5" s="139"/>
      <c r="Z5" s="155"/>
      <c r="AA5" s="156"/>
      <c r="AB5" s="157"/>
      <c r="AC5" s="143"/>
      <c r="AD5" s="143"/>
      <c r="AE5" s="143"/>
      <c r="AF5" s="143"/>
      <c r="AG5" s="143"/>
      <c r="AH5" s="143"/>
      <c r="AI5" s="143"/>
    </row>
    <row r="6" spans="2:35" ht="15" customHeight="1" x14ac:dyDescent="0.25">
      <c r="B6" s="160"/>
      <c r="C6" s="160"/>
      <c r="D6" s="213"/>
      <c r="E6" s="160"/>
      <c r="F6" s="138"/>
      <c r="G6" s="147"/>
      <c r="H6" s="151" t="s">
        <v>342</v>
      </c>
      <c r="I6" s="152" t="s">
        <v>346</v>
      </c>
      <c r="J6" s="152" t="s">
        <v>462</v>
      </c>
      <c r="K6" s="152" t="s">
        <v>463</v>
      </c>
      <c r="L6" s="152"/>
      <c r="M6" s="151">
        <v>4</v>
      </c>
      <c r="N6" s="152" t="s">
        <v>354</v>
      </c>
      <c r="O6" s="149"/>
      <c r="P6" s="150"/>
      <c r="Q6" s="151"/>
      <c r="R6" s="152"/>
      <c r="S6" s="152"/>
      <c r="T6" s="152"/>
      <c r="U6" s="152"/>
      <c r="V6" s="160"/>
      <c r="W6" s="160"/>
      <c r="X6" s="160"/>
      <c r="Y6" s="138"/>
      <c r="Z6" s="161"/>
      <c r="AA6" s="160"/>
      <c r="AB6" s="160"/>
      <c r="AC6" s="143"/>
      <c r="AD6" s="143"/>
      <c r="AE6" s="143"/>
      <c r="AF6" s="143"/>
      <c r="AG6" s="143"/>
      <c r="AH6" s="143"/>
      <c r="AI6" s="143"/>
    </row>
    <row r="7" spans="2:35" ht="15" customHeight="1" x14ac:dyDescent="0.25">
      <c r="B7" s="160"/>
      <c r="C7" s="160"/>
      <c r="D7" s="213"/>
      <c r="E7" s="160"/>
      <c r="F7" s="138"/>
      <c r="G7" s="147"/>
      <c r="H7" s="151" t="s">
        <v>367</v>
      </c>
      <c r="I7" s="162" t="s">
        <v>368</v>
      </c>
      <c r="J7" s="162"/>
      <c r="K7" s="162"/>
      <c r="L7" s="162"/>
      <c r="M7" s="151"/>
      <c r="N7" s="152"/>
      <c r="O7" s="149"/>
      <c r="P7" s="150"/>
      <c r="Q7" s="151"/>
      <c r="R7" s="152"/>
      <c r="S7" s="152"/>
      <c r="T7" s="152"/>
      <c r="U7" s="152"/>
      <c r="V7" s="160"/>
      <c r="W7" s="160"/>
      <c r="X7" s="160"/>
      <c r="Y7" s="138"/>
      <c r="Z7" s="161"/>
      <c r="AA7" s="160"/>
      <c r="AB7" s="160"/>
      <c r="AC7" s="143"/>
      <c r="AD7" s="143"/>
      <c r="AE7" s="143"/>
      <c r="AF7" s="143"/>
      <c r="AG7" s="143"/>
      <c r="AH7" s="143"/>
      <c r="AI7" s="143"/>
    </row>
    <row r="8" spans="2:35" ht="15" customHeight="1" x14ac:dyDescent="0.25">
      <c r="B8" s="160"/>
      <c r="C8" s="160"/>
      <c r="D8" s="213"/>
      <c r="E8" s="160"/>
      <c r="F8" s="138"/>
      <c r="G8" s="147"/>
      <c r="H8" s="151" t="s">
        <v>437</v>
      </c>
      <c r="I8" s="162" t="s">
        <v>447</v>
      </c>
      <c r="J8" s="162"/>
      <c r="K8" s="162"/>
      <c r="L8" s="162"/>
      <c r="M8" s="151"/>
      <c r="N8" s="152"/>
      <c r="O8" s="149"/>
      <c r="P8" s="150"/>
      <c r="Q8" s="151"/>
      <c r="R8" s="152"/>
      <c r="S8" s="152"/>
      <c r="T8" s="152"/>
      <c r="U8" s="152"/>
      <c r="V8" s="160"/>
      <c r="W8" s="160"/>
      <c r="X8" s="160"/>
      <c r="Y8" s="138"/>
      <c r="Z8" s="161"/>
      <c r="AA8" s="160"/>
      <c r="AB8" s="160"/>
      <c r="AC8" s="143"/>
      <c r="AD8" s="143"/>
      <c r="AE8" s="143"/>
      <c r="AF8" s="143"/>
      <c r="AG8" s="143"/>
      <c r="AH8" s="143"/>
      <c r="AI8" s="143"/>
    </row>
    <row r="9" spans="2:35" ht="15" customHeight="1" thickBot="1" x14ac:dyDescent="0.3">
      <c r="B9" s="160"/>
      <c r="C9" s="160"/>
      <c r="D9" s="213"/>
      <c r="E9" s="160"/>
      <c r="F9" s="138"/>
      <c r="G9" s="147"/>
      <c r="H9" s="151" t="s">
        <v>465</v>
      </c>
      <c r="I9" s="162" t="s">
        <v>466</v>
      </c>
      <c r="J9" s="162"/>
      <c r="K9" s="162"/>
      <c r="L9" s="162"/>
      <c r="M9" s="151"/>
      <c r="N9" s="152"/>
      <c r="O9" s="149"/>
      <c r="P9" s="150"/>
      <c r="Q9" s="151"/>
      <c r="R9" s="152"/>
      <c r="S9" s="152"/>
      <c r="T9" s="152"/>
      <c r="U9" s="152"/>
      <c r="V9" s="160"/>
      <c r="W9" s="160"/>
      <c r="X9" s="160"/>
      <c r="Y9" s="138"/>
      <c r="Z9" s="161"/>
      <c r="AA9" s="160"/>
      <c r="AB9" s="160"/>
      <c r="AC9" s="143"/>
      <c r="AD9" s="143"/>
      <c r="AE9" s="143"/>
      <c r="AF9" s="143"/>
      <c r="AG9" s="143"/>
      <c r="AH9" s="143"/>
      <c r="AI9" s="143"/>
    </row>
    <row r="10" spans="2:35" s="5" customFormat="1" ht="15.75" thickBot="1" x14ac:dyDescent="0.3">
      <c r="B10" s="163"/>
      <c r="C10" s="230" t="s">
        <v>221</v>
      </c>
      <c r="D10" s="231"/>
      <c r="E10" s="231"/>
      <c r="F10" s="231"/>
      <c r="G10" s="243" t="s">
        <v>220</v>
      </c>
      <c r="H10" s="244"/>
      <c r="I10" s="244"/>
      <c r="J10" s="244"/>
      <c r="K10" s="244"/>
      <c r="L10" s="245"/>
      <c r="M10" s="243" t="s">
        <v>214</v>
      </c>
      <c r="N10" s="244"/>
      <c r="O10" s="244"/>
      <c r="P10" s="244"/>
      <c r="Q10" s="244"/>
      <c r="R10" s="244"/>
      <c r="S10" s="244"/>
      <c r="T10" s="245"/>
      <c r="U10" s="243" t="s">
        <v>357</v>
      </c>
      <c r="V10" s="244"/>
      <c r="W10" s="244"/>
      <c r="X10" s="244"/>
      <c r="Y10" s="244"/>
      <c r="Z10" s="245"/>
      <c r="AA10" s="163"/>
      <c r="AB10" s="163"/>
      <c r="AC10" s="163"/>
      <c r="AD10" s="163"/>
      <c r="AE10" s="163"/>
      <c r="AF10" s="163"/>
    </row>
    <row r="11" spans="2:35" s="97" customFormat="1" ht="30" customHeight="1" x14ac:dyDescent="0.25">
      <c r="B11" s="251" t="s">
        <v>225</v>
      </c>
      <c r="C11" s="239" t="s">
        <v>0</v>
      </c>
      <c r="D11" s="239" t="s">
        <v>213</v>
      </c>
      <c r="E11" s="239" t="s">
        <v>1</v>
      </c>
      <c r="F11" s="247" t="s">
        <v>2</v>
      </c>
      <c r="G11" s="257" t="s">
        <v>326</v>
      </c>
      <c r="H11" s="232" t="s">
        <v>356</v>
      </c>
      <c r="I11" s="102" t="s">
        <v>322</v>
      </c>
      <c r="J11" s="109" t="s">
        <v>322</v>
      </c>
      <c r="K11" s="253" t="s">
        <v>363</v>
      </c>
      <c r="L11" s="255" t="s">
        <v>364</v>
      </c>
      <c r="M11" s="236" t="s">
        <v>215</v>
      </c>
      <c r="N11" s="237"/>
      <c r="O11" s="134" t="s">
        <v>33</v>
      </c>
      <c r="P11" s="236" t="s">
        <v>34</v>
      </c>
      <c r="Q11" s="238"/>
      <c r="R11" s="237"/>
      <c r="S11" s="241" t="s">
        <v>216</v>
      </c>
      <c r="T11" s="242"/>
      <c r="U11" s="236" t="s">
        <v>357</v>
      </c>
      <c r="V11" s="237"/>
      <c r="W11" s="234" t="s">
        <v>232</v>
      </c>
      <c r="X11" s="236" t="s">
        <v>3</v>
      </c>
      <c r="Y11" s="237"/>
      <c r="Z11" s="234" t="s">
        <v>205</v>
      </c>
    </row>
    <row r="12" spans="2:35" s="97" customFormat="1" ht="45.75" thickBot="1" x14ac:dyDescent="0.3">
      <c r="B12" s="252"/>
      <c r="C12" s="240"/>
      <c r="D12" s="246"/>
      <c r="E12" s="246"/>
      <c r="F12" s="248"/>
      <c r="G12" s="258"/>
      <c r="H12" s="233"/>
      <c r="I12" s="103" t="s">
        <v>192</v>
      </c>
      <c r="J12" s="108" t="s">
        <v>4</v>
      </c>
      <c r="K12" s="254"/>
      <c r="L12" s="256"/>
      <c r="M12" s="124" t="s">
        <v>224</v>
      </c>
      <c r="N12" s="125" t="s">
        <v>218</v>
      </c>
      <c r="O12" s="104" t="s">
        <v>218</v>
      </c>
      <c r="P12" s="105" t="s">
        <v>35</v>
      </c>
      <c r="Q12" s="106" t="s">
        <v>36</v>
      </c>
      <c r="R12" s="125" t="s">
        <v>219</v>
      </c>
      <c r="S12" s="124" t="s">
        <v>35</v>
      </c>
      <c r="T12" s="126" t="s">
        <v>217</v>
      </c>
      <c r="U12" s="105" t="s">
        <v>365</v>
      </c>
      <c r="V12" s="125" t="s">
        <v>325</v>
      </c>
      <c r="W12" s="235"/>
      <c r="X12" s="110" t="s">
        <v>231</v>
      </c>
      <c r="Y12" s="122" t="s">
        <v>318</v>
      </c>
      <c r="Z12" s="235"/>
    </row>
    <row r="13" spans="2:35" ht="30" x14ac:dyDescent="0.25">
      <c r="B13" s="164">
        <v>4</v>
      </c>
      <c r="C13" s="165">
        <v>1</v>
      </c>
      <c r="D13" s="214" t="s">
        <v>209</v>
      </c>
      <c r="E13" s="93" t="s">
        <v>234</v>
      </c>
      <c r="F13" s="168" t="s">
        <v>372</v>
      </c>
      <c r="G13" s="169" t="s">
        <v>332</v>
      </c>
      <c r="H13" s="170" t="s">
        <v>222</v>
      </c>
      <c r="I13" s="171" t="s">
        <v>193</v>
      </c>
      <c r="J13" s="172" t="str">
        <f t="shared" ref="J13:J64" si="0">IF(X13&gt;0,IF(Y13-X13&gt;0,"I","R"),"R")</f>
        <v>R</v>
      </c>
      <c r="K13" s="173">
        <v>2</v>
      </c>
      <c r="L13" s="174">
        <v>0</v>
      </c>
      <c r="M13" s="175" t="s">
        <v>29</v>
      </c>
      <c r="N13" s="176">
        <v>3</v>
      </c>
      <c r="O13" s="177">
        <v>5</v>
      </c>
      <c r="P13" s="175"/>
      <c r="Q13" s="135"/>
      <c r="R13" s="176"/>
      <c r="S13" s="169" t="s">
        <v>29</v>
      </c>
      <c r="T13" s="178">
        <v>5</v>
      </c>
      <c r="U13" s="179">
        <v>0.20833333333333334</v>
      </c>
      <c r="V13" s="133">
        <v>0.20833333333333334</v>
      </c>
      <c r="W13" s="180">
        <v>3.472222222222222E-3</v>
      </c>
      <c r="X13" s="181"/>
      <c r="Y13" s="182"/>
      <c r="Z13" s="157"/>
      <c r="AA13" s="143"/>
      <c r="AB13" s="143"/>
      <c r="AC13" s="143"/>
      <c r="AD13" s="143"/>
      <c r="AE13" s="143"/>
      <c r="AF13" s="143"/>
    </row>
    <row r="14" spans="2:35" ht="15.75" thickBot="1" x14ac:dyDescent="0.3">
      <c r="B14" s="183"/>
      <c r="C14" s="7">
        <v>2</v>
      </c>
      <c r="D14" s="184" t="s">
        <v>471</v>
      </c>
      <c r="E14" s="167" t="s">
        <v>235</v>
      </c>
      <c r="F14" s="168" t="s">
        <v>411</v>
      </c>
      <c r="G14" s="169" t="s">
        <v>332</v>
      </c>
      <c r="H14" s="170" t="s">
        <v>222</v>
      </c>
      <c r="I14" s="171" t="s">
        <v>193</v>
      </c>
      <c r="J14" s="172" t="str">
        <f>IF(X14&gt;0,IF(Y14-X14&gt;0,"I","R"),"R")</f>
        <v>R</v>
      </c>
      <c r="K14" s="173">
        <v>3</v>
      </c>
      <c r="L14" s="174">
        <v>0</v>
      </c>
      <c r="M14" s="175" t="s">
        <v>29</v>
      </c>
      <c r="N14" s="176">
        <v>5</v>
      </c>
      <c r="O14" s="177">
        <v>8</v>
      </c>
      <c r="P14" s="175"/>
      <c r="Q14" s="135"/>
      <c r="R14" s="176"/>
      <c r="S14" s="169" t="s">
        <v>29</v>
      </c>
      <c r="T14" s="178">
        <v>7</v>
      </c>
      <c r="U14" s="179">
        <f t="shared" ref="U14" si="1">U13+W13</f>
        <v>0.21180555555555555</v>
      </c>
      <c r="V14" s="133">
        <v>0.20833333333333334</v>
      </c>
      <c r="W14" s="180">
        <v>0.14583333333333334</v>
      </c>
      <c r="X14" s="181"/>
      <c r="Y14" s="182">
        <f>IF(L14=0,0,IF(L14=1,X14+#REF!,IF(L14=2,X14+$Z$36,IF(L14=3,X14+$Z$35,IF(L14=4,X14+#REF!,0)))))</f>
        <v>0</v>
      </c>
      <c r="Z14" s="157"/>
      <c r="AA14" s="143"/>
      <c r="AB14" s="143"/>
      <c r="AC14" s="143"/>
      <c r="AD14" s="143"/>
      <c r="AE14" s="143"/>
      <c r="AF14" s="143"/>
    </row>
    <row r="15" spans="2:35" ht="30" x14ac:dyDescent="0.25">
      <c r="B15" s="164"/>
      <c r="C15" s="7">
        <v>3</v>
      </c>
      <c r="D15" s="218" t="s">
        <v>434</v>
      </c>
      <c r="E15" s="167" t="s">
        <v>431</v>
      </c>
      <c r="F15" s="168" t="s">
        <v>227</v>
      </c>
      <c r="G15" s="169" t="s">
        <v>335</v>
      </c>
      <c r="H15" s="170" t="s">
        <v>222</v>
      </c>
      <c r="I15" s="171" t="s">
        <v>193</v>
      </c>
      <c r="J15" s="172" t="str">
        <f t="shared" si="0"/>
        <v>R</v>
      </c>
      <c r="K15" s="173">
        <v>3</v>
      </c>
      <c r="L15" s="174">
        <v>0</v>
      </c>
      <c r="M15" s="175" t="s">
        <v>29</v>
      </c>
      <c r="N15" s="176">
        <v>5</v>
      </c>
      <c r="O15" s="177">
        <v>8</v>
      </c>
      <c r="P15" s="175" t="s">
        <v>29</v>
      </c>
      <c r="Q15" s="135">
        <v>1</v>
      </c>
      <c r="R15" s="176">
        <v>8</v>
      </c>
      <c r="S15" s="169" t="s">
        <v>29</v>
      </c>
      <c r="T15" s="178">
        <v>7</v>
      </c>
      <c r="U15" s="179">
        <v>0.21388888888888891</v>
      </c>
      <c r="V15" s="133" t="s">
        <v>360</v>
      </c>
      <c r="W15" s="180">
        <v>2.0833333333333333E-3</v>
      </c>
      <c r="X15" s="181"/>
      <c r="Y15" s="182">
        <f>IF(L15=0,0,IF(L15=1,X15+#REF!,IF(L15=2,X15+$Z$36,IF(L15=3,X15+$Z$35,IF(L15=4,X15+#REF!,0)))))</f>
        <v>0</v>
      </c>
      <c r="Z15" s="157"/>
      <c r="AA15" s="143"/>
      <c r="AB15" s="143"/>
      <c r="AC15" s="143"/>
      <c r="AD15" s="143"/>
      <c r="AE15" s="143"/>
      <c r="AF15" s="143"/>
    </row>
    <row r="16" spans="2:35" x14ac:dyDescent="0.25">
      <c r="B16" s="164">
        <v>14</v>
      </c>
      <c r="C16" s="7">
        <v>4</v>
      </c>
      <c r="D16" s="166" t="s">
        <v>211</v>
      </c>
      <c r="E16" s="167" t="s">
        <v>236</v>
      </c>
      <c r="F16" s="217" t="s">
        <v>453</v>
      </c>
      <c r="G16" s="169" t="s">
        <v>329</v>
      </c>
      <c r="H16" s="170" t="s">
        <v>421</v>
      </c>
      <c r="I16" s="171" t="s">
        <v>192</v>
      </c>
      <c r="J16" s="172" t="str">
        <f>IF(X16&gt;0,IF(Y16-X16&gt;0,"I","R"),"R")</f>
        <v>R</v>
      </c>
      <c r="K16" s="173">
        <v>-1</v>
      </c>
      <c r="L16" s="174">
        <v>3</v>
      </c>
      <c r="M16" s="175" t="s">
        <v>29</v>
      </c>
      <c r="N16" s="176">
        <v>5</v>
      </c>
      <c r="O16" s="177">
        <v>8</v>
      </c>
      <c r="P16" s="175"/>
      <c r="Q16" s="135"/>
      <c r="R16" s="176"/>
      <c r="S16" s="169" t="s">
        <v>29</v>
      </c>
      <c r="T16" s="178">
        <v>8</v>
      </c>
      <c r="U16" s="179">
        <v>0.22916666666666666</v>
      </c>
      <c r="V16" s="133">
        <v>0.22916666666666666</v>
      </c>
      <c r="W16" s="180">
        <v>2.0833333333333332E-2</v>
      </c>
      <c r="X16" s="181"/>
      <c r="Y16" s="182">
        <f>IF(L16=0,0,IF(L16=1,X16+#REF!,IF(L16=2,X16+$Z$36,IF(L16=3,X16+$Z$35,IF(L16=4,X16+#REF!,0)))))</f>
        <v>0.99930555555555556</v>
      </c>
      <c r="Z16" s="157"/>
      <c r="AA16" s="143"/>
      <c r="AB16" s="143"/>
      <c r="AC16" s="143"/>
      <c r="AD16" s="143"/>
      <c r="AE16" s="143"/>
      <c r="AF16" s="143"/>
    </row>
    <row r="17" spans="2:32" ht="30" x14ac:dyDescent="0.25">
      <c r="B17" s="164">
        <v>4</v>
      </c>
      <c r="C17" s="7">
        <v>5</v>
      </c>
      <c r="D17" s="166" t="s">
        <v>209</v>
      </c>
      <c r="E17" s="167" t="s">
        <v>237</v>
      </c>
      <c r="F17" s="168" t="s">
        <v>18</v>
      </c>
      <c r="G17" s="169" t="s">
        <v>332</v>
      </c>
      <c r="H17" s="170" t="s">
        <v>222</v>
      </c>
      <c r="I17" s="171" t="s">
        <v>192</v>
      </c>
      <c r="J17" s="172" t="str">
        <f t="shared" si="0"/>
        <v>R</v>
      </c>
      <c r="K17" s="173">
        <v>3</v>
      </c>
      <c r="L17" s="174">
        <v>0</v>
      </c>
      <c r="M17" s="175" t="s">
        <v>29</v>
      </c>
      <c r="N17" s="176">
        <v>2</v>
      </c>
      <c r="O17" s="177">
        <v>10</v>
      </c>
      <c r="P17" s="175" t="s">
        <v>29</v>
      </c>
      <c r="Q17" s="135">
        <v>1</v>
      </c>
      <c r="R17" s="176">
        <v>5</v>
      </c>
      <c r="S17" s="169" t="s">
        <v>29</v>
      </c>
      <c r="T17" s="178">
        <v>3</v>
      </c>
      <c r="U17" s="179">
        <v>0.22916666666666666</v>
      </c>
      <c r="V17" s="133">
        <v>0.22916666666666666</v>
      </c>
      <c r="W17" s="180">
        <v>2.7777777777777779E-3</v>
      </c>
      <c r="X17" s="181"/>
      <c r="Y17" s="182">
        <f>IF(L17=0,0,IF(L17=1,X17+#REF!,IF(L17=2,X17+$Z$36,IF(L17=3,X17+$Z$35,IF(L17=4,X17+#REF!,0)))))</f>
        <v>0</v>
      </c>
      <c r="Z17" s="157"/>
      <c r="AA17" s="143"/>
      <c r="AB17" s="143"/>
      <c r="AC17" s="143"/>
      <c r="AD17" s="143"/>
      <c r="AE17" s="143"/>
      <c r="AF17" s="143"/>
    </row>
    <row r="18" spans="2:32" ht="30" customHeight="1" x14ac:dyDescent="0.25">
      <c r="B18" s="164">
        <v>4</v>
      </c>
      <c r="C18" s="7">
        <v>6</v>
      </c>
      <c r="D18" s="166" t="s">
        <v>209</v>
      </c>
      <c r="E18" s="167" t="s">
        <v>238</v>
      </c>
      <c r="F18" s="168" t="s">
        <v>19</v>
      </c>
      <c r="G18" s="169" t="s">
        <v>333</v>
      </c>
      <c r="H18" s="170" t="s">
        <v>222</v>
      </c>
      <c r="I18" s="171" t="s">
        <v>192</v>
      </c>
      <c r="J18" s="172" t="str">
        <f t="shared" si="0"/>
        <v>R</v>
      </c>
      <c r="K18" s="173">
        <v>3</v>
      </c>
      <c r="L18" s="174">
        <v>0</v>
      </c>
      <c r="M18" s="175" t="s">
        <v>29</v>
      </c>
      <c r="N18" s="176">
        <v>2</v>
      </c>
      <c r="O18" s="177">
        <v>10</v>
      </c>
      <c r="P18" s="175" t="s">
        <v>29</v>
      </c>
      <c r="Q18" s="135">
        <v>1</v>
      </c>
      <c r="R18" s="176">
        <v>5</v>
      </c>
      <c r="S18" s="169" t="s">
        <v>29</v>
      </c>
      <c r="T18" s="178">
        <v>3</v>
      </c>
      <c r="U18" s="179">
        <f>U17+W17</f>
        <v>0.23194444444444443</v>
      </c>
      <c r="V18" s="259" t="s">
        <v>426</v>
      </c>
      <c r="W18" s="180">
        <v>3.472222222222222E-3</v>
      </c>
      <c r="X18" s="181"/>
      <c r="Y18" s="182">
        <f>IF(L18=0,0,IF(L18=1,X18+#REF!,IF(L18=2,X18+$Z$36,IF(L18=3,X18+$Z$35,IF(L18=4,X18+#REF!,0)))))</f>
        <v>0</v>
      </c>
      <c r="Z18" s="157"/>
      <c r="AA18" s="143"/>
      <c r="AB18" s="143"/>
      <c r="AC18" s="143"/>
      <c r="AD18" s="143"/>
      <c r="AE18" s="143"/>
      <c r="AF18" s="143"/>
    </row>
    <row r="19" spans="2:32" x14ac:dyDescent="0.25">
      <c r="B19" s="164">
        <v>4</v>
      </c>
      <c r="C19" s="7">
        <v>7</v>
      </c>
      <c r="D19" s="166" t="s">
        <v>209</v>
      </c>
      <c r="E19" s="167" t="s">
        <v>239</v>
      </c>
      <c r="F19" s="168" t="s">
        <v>373</v>
      </c>
      <c r="G19" s="169" t="s">
        <v>415</v>
      </c>
      <c r="H19" s="170" t="s">
        <v>222</v>
      </c>
      <c r="I19" s="171" t="s">
        <v>192</v>
      </c>
      <c r="J19" s="172" t="str">
        <f t="shared" si="0"/>
        <v>R</v>
      </c>
      <c r="K19" s="173">
        <v>3</v>
      </c>
      <c r="L19" s="174">
        <v>0</v>
      </c>
      <c r="M19" s="175" t="s">
        <v>29</v>
      </c>
      <c r="N19" s="176">
        <v>2</v>
      </c>
      <c r="O19" s="177">
        <v>10</v>
      </c>
      <c r="P19" s="175" t="s">
        <v>29</v>
      </c>
      <c r="Q19" s="135">
        <v>1</v>
      </c>
      <c r="R19" s="176">
        <v>5</v>
      </c>
      <c r="S19" s="169" t="s">
        <v>29</v>
      </c>
      <c r="T19" s="178">
        <v>3</v>
      </c>
      <c r="U19" s="179">
        <f t="shared" ref="U19:U81" si="2">U18+W18</f>
        <v>0.23541666666666664</v>
      </c>
      <c r="V19" s="260"/>
      <c r="W19" s="180">
        <v>4.8611111111111112E-3</v>
      </c>
      <c r="X19" s="181"/>
      <c r="Y19" s="182">
        <f>IF(L19=0,0,IF(L19=1,X19+#REF!,IF(L19=2,X19+$Z$36,IF(L19=3,X19+$Z$35,IF(L19=4,X19+#REF!,0)))))</f>
        <v>0</v>
      </c>
      <c r="Z19" s="157"/>
      <c r="AA19" s="143"/>
      <c r="AB19" s="143"/>
      <c r="AC19" s="143"/>
      <c r="AD19" s="143"/>
      <c r="AE19" s="143"/>
      <c r="AF19" s="143"/>
    </row>
    <row r="20" spans="2:32" x14ac:dyDescent="0.25">
      <c r="B20" s="164">
        <v>1</v>
      </c>
      <c r="C20" s="7">
        <v>8</v>
      </c>
      <c r="D20" s="166" t="s">
        <v>209</v>
      </c>
      <c r="E20" s="167" t="s">
        <v>240</v>
      </c>
      <c r="F20" s="168" t="s">
        <v>5</v>
      </c>
      <c r="G20" s="169" t="s">
        <v>331</v>
      </c>
      <c r="H20" s="170" t="s">
        <v>222</v>
      </c>
      <c r="I20" s="171" t="s">
        <v>192</v>
      </c>
      <c r="J20" s="172" t="str">
        <f t="shared" si="0"/>
        <v>R</v>
      </c>
      <c r="K20" s="173">
        <v>3</v>
      </c>
      <c r="L20" s="174">
        <v>0</v>
      </c>
      <c r="M20" s="175" t="s">
        <v>29</v>
      </c>
      <c r="N20" s="176">
        <v>2</v>
      </c>
      <c r="O20" s="177">
        <v>10</v>
      </c>
      <c r="P20" s="175" t="s">
        <v>29</v>
      </c>
      <c r="Q20" s="135">
        <v>1</v>
      </c>
      <c r="R20" s="176">
        <v>5</v>
      </c>
      <c r="S20" s="169" t="s">
        <v>29</v>
      </c>
      <c r="T20" s="178">
        <v>3</v>
      </c>
      <c r="U20" s="179">
        <f t="shared" si="2"/>
        <v>0.24027777777777776</v>
      </c>
      <c r="V20" s="260"/>
      <c r="W20" s="180">
        <v>1.3888888888888889E-3</v>
      </c>
      <c r="X20" s="181"/>
      <c r="Y20" s="182">
        <f>IF(L20=0,0,IF(L20=1,X20+#REF!,IF(L20=2,X20+$Z$36,IF(L20=3,X20+$Z$35,IF(L20=4,X20+#REF!,0)))))</f>
        <v>0</v>
      </c>
      <c r="Z20" s="157"/>
      <c r="AA20" s="143"/>
      <c r="AB20" s="143"/>
      <c r="AC20" s="143"/>
      <c r="AD20" s="143"/>
      <c r="AE20" s="143"/>
      <c r="AF20" s="143"/>
    </row>
    <row r="21" spans="2:32" ht="15" customHeight="1" x14ac:dyDescent="0.25">
      <c r="B21" s="164">
        <v>2</v>
      </c>
      <c r="C21" s="7">
        <v>9</v>
      </c>
      <c r="D21" s="166" t="s">
        <v>209</v>
      </c>
      <c r="E21" s="167" t="s">
        <v>241</v>
      </c>
      <c r="F21" s="168" t="s">
        <v>374</v>
      </c>
      <c r="G21" s="169" t="s">
        <v>327</v>
      </c>
      <c r="H21" s="170" t="s">
        <v>222</v>
      </c>
      <c r="I21" s="171" t="s">
        <v>192</v>
      </c>
      <c r="J21" s="172" t="str">
        <f t="shared" si="0"/>
        <v>R</v>
      </c>
      <c r="K21" s="173">
        <v>3</v>
      </c>
      <c r="L21" s="174">
        <v>0</v>
      </c>
      <c r="M21" s="175" t="s">
        <v>29</v>
      </c>
      <c r="N21" s="176">
        <v>2</v>
      </c>
      <c r="O21" s="177">
        <v>10</v>
      </c>
      <c r="P21" s="175" t="s">
        <v>29</v>
      </c>
      <c r="Q21" s="135">
        <v>1</v>
      </c>
      <c r="R21" s="176">
        <v>5</v>
      </c>
      <c r="S21" s="169" t="s">
        <v>29</v>
      </c>
      <c r="T21" s="178">
        <v>3</v>
      </c>
      <c r="U21" s="179">
        <f t="shared" si="2"/>
        <v>0.24166666666666664</v>
      </c>
      <c r="V21" s="260"/>
      <c r="W21" s="180">
        <v>4.1666666666666666E-3</v>
      </c>
      <c r="X21" s="181"/>
      <c r="Y21" s="182">
        <f>IF(L21=0,0,IF(L21=1,X21+#REF!,IF(L21=2,X21+$Z$36,IF(L21=3,X21+$Z$35,IF(L21=4,X21+#REF!,0)))))</f>
        <v>0</v>
      </c>
      <c r="Z21" s="157"/>
      <c r="AA21" s="143"/>
      <c r="AB21" s="143"/>
      <c r="AC21" s="143"/>
      <c r="AD21" s="143"/>
      <c r="AE21" s="143"/>
      <c r="AF21" s="143"/>
    </row>
    <row r="22" spans="2:32" x14ac:dyDescent="0.25">
      <c r="B22" s="164">
        <v>3</v>
      </c>
      <c r="C22" s="7">
        <v>10</v>
      </c>
      <c r="D22" s="166" t="s">
        <v>209</v>
      </c>
      <c r="E22" s="167" t="s">
        <v>242</v>
      </c>
      <c r="F22" s="168" t="s">
        <v>375</v>
      </c>
      <c r="G22" s="169" t="s">
        <v>414</v>
      </c>
      <c r="H22" s="170" t="s">
        <v>222</v>
      </c>
      <c r="I22" s="171" t="s">
        <v>192</v>
      </c>
      <c r="J22" s="172" t="str">
        <f t="shared" si="0"/>
        <v>R</v>
      </c>
      <c r="K22" s="173">
        <v>3</v>
      </c>
      <c r="L22" s="174">
        <v>0</v>
      </c>
      <c r="M22" s="175" t="s">
        <v>29</v>
      </c>
      <c r="N22" s="176">
        <v>2</v>
      </c>
      <c r="O22" s="177">
        <v>10</v>
      </c>
      <c r="P22" s="175" t="s">
        <v>29</v>
      </c>
      <c r="Q22" s="135">
        <v>1</v>
      </c>
      <c r="R22" s="176">
        <v>5</v>
      </c>
      <c r="S22" s="169" t="s">
        <v>29</v>
      </c>
      <c r="T22" s="178">
        <v>3</v>
      </c>
      <c r="U22" s="179">
        <f t="shared" si="2"/>
        <v>0.24583333333333332</v>
      </c>
      <c r="V22" s="260"/>
      <c r="W22" s="180">
        <v>2.0833333333333333E-3</v>
      </c>
      <c r="X22" s="181"/>
      <c r="Y22" s="182">
        <f>IF(L22=0,0,IF(L22=1,X22+#REF!,IF(L22=2,X22+$Z$36,IF(L22=3,X22+$Z$35,IF(L22=4,X22+#REF!,0)))))</f>
        <v>0</v>
      </c>
      <c r="Z22" s="157"/>
      <c r="AA22" s="143"/>
      <c r="AB22" s="143"/>
      <c r="AC22" s="143"/>
      <c r="AD22" s="143"/>
      <c r="AE22" s="143"/>
      <c r="AF22" s="143"/>
    </row>
    <row r="23" spans="2:32" ht="15" customHeight="1" x14ac:dyDescent="0.25">
      <c r="B23" s="164">
        <v>5</v>
      </c>
      <c r="C23" s="7">
        <v>11</v>
      </c>
      <c r="D23" s="166" t="s">
        <v>209</v>
      </c>
      <c r="E23" s="167" t="s">
        <v>243</v>
      </c>
      <c r="F23" s="168" t="s">
        <v>7</v>
      </c>
      <c r="G23" s="169" t="s">
        <v>334</v>
      </c>
      <c r="H23" s="170" t="s">
        <v>222</v>
      </c>
      <c r="I23" s="171" t="s">
        <v>192</v>
      </c>
      <c r="J23" s="172" t="str">
        <f t="shared" si="0"/>
        <v>R</v>
      </c>
      <c r="K23" s="173">
        <v>3</v>
      </c>
      <c r="L23" s="174">
        <v>0</v>
      </c>
      <c r="M23" s="175" t="s">
        <v>29</v>
      </c>
      <c r="N23" s="176">
        <v>2</v>
      </c>
      <c r="O23" s="177">
        <v>10</v>
      </c>
      <c r="P23" s="175" t="s">
        <v>29</v>
      </c>
      <c r="Q23" s="135">
        <v>1</v>
      </c>
      <c r="R23" s="176">
        <v>5</v>
      </c>
      <c r="S23" s="169" t="s">
        <v>29</v>
      </c>
      <c r="T23" s="178">
        <v>3</v>
      </c>
      <c r="U23" s="179">
        <f t="shared" si="2"/>
        <v>0.24791666666666665</v>
      </c>
      <c r="V23" s="260"/>
      <c r="W23" s="180">
        <v>5.5555555555555558E-3</v>
      </c>
      <c r="X23" s="181"/>
      <c r="Y23" s="182">
        <f>IF(L23=0,0,IF(L23=1,X23+#REF!,IF(L23=2,X23+$Z$36,IF(L23=3,X23+$Z$35,IF(L23=4,X23+#REF!,0)))))</f>
        <v>0</v>
      </c>
      <c r="Z23" s="157"/>
      <c r="AA23" s="143"/>
      <c r="AB23" s="143"/>
      <c r="AC23" s="143"/>
      <c r="AD23" s="143"/>
      <c r="AE23" s="143"/>
      <c r="AF23" s="143"/>
    </row>
    <row r="24" spans="2:32" x14ac:dyDescent="0.25">
      <c r="B24" s="164">
        <v>6</v>
      </c>
      <c r="C24" s="7">
        <v>12</v>
      </c>
      <c r="D24" s="166" t="s">
        <v>209</v>
      </c>
      <c r="E24" s="167" t="s">
        <v>244</v>
      </c>
      <c r="F24" s="168" t="s">
        <v>8</v>
      </c>
      <c r="G24" s="169" t="s">
        <v>328</v>
      </c>
      <c r="H24" s="170" t="s">
        <v>222</v>
      </c>
      <c r="I24" s="171" t="s">
        <v>192</v>
      </c>
      <c r="J24" s="172" t="str">
        <f t="shared" si="0"/>
        <v>R</v>
      </c>
      <c r="K24" s="173">
        <v>3</v>
      </c>
      <c r="L24" s="174">
        <v>0</v>
      </c>
      <c r="M24" s="175" t="s">
        <v>29</v>
      </c>
      <c r="N24" s="176">
        <v>2</v>
      </c>
      <c r="O24" s="177">
        <v>10</v>
      </c>
      <c r="P24" s="175" t="s">
        <v>29</v>
      </c>
      <c r="Q24" s="135">
        <v>1</v>
      </c>
      <c r="R24" s="176">
        <v>5</v>
      </c>
      <c r="S24" s="169" t="s">
        <v>29</v>
      </c>
      <c r="T24" s="178">
        <v>3</v>
      </c>
      <c r="U24" s="179">
        <f t="shared" si="2"/>
        <v>0.25347222222222221</v>
      </c>
      <c r="V24" s="260"/>
      <c r="W24" s="180">
        <v>1.8750000000000001E-3</v>
      </c>
      <c r="X24" s="181"/>
      <c r="Y24" s="182">
        <f>IF(L24=0,0,IF(L24=1,X24+#REF!,IF(L24=2,X24+$Z$36,IF(L24=3,X24+$Z$35,IF(L24=4,X24+#REF!,0)))))</f>
        <v>0</v>
      </c>
      <c r="Z24" s="157"/>
      <c r="AA24" s="143"/>
      <c r="AB24" s="143"/>
      <c r="AC24" s="143"/>
      <c r="AD24" s="143"/>
      <c r="AE24" s="143"/>
      <c r="AF24" s="143"/>
    </row>
    <row r="25" spans="2:32" ht="30" x14ac:dyDescent="0.25">
      <c r="B25" s="164">
        <v>37</v>
      </c>
      <c r="C25" s="7">
        <v>13</v>
      </c>
      <c r="D25" s="219" t="s">
        <v>315</v>
      </c>
      <c r="E25" s="167" t="s">
        <v>245</v>
      </c>
      <c r="F25" s="168" t="s">
        <v>20</v>
      </c>
      <c r="G25" s="169" t="s">
        <v>332</v>
      </c>
      <c r="H25" s="170" t="s">
        <v>222</v>
      </c>
      <c r="I25" s="171" t="s">
        <v>194</v>
      </c>
      <c r="J25" s="172" t="str">
        <f t="shared" si="0"/>
        <v>R</v>
      </c>
      <c r="K25" s="173">
        <v>2</v>
      </c>
      <c r="L25" s="174">
        <v>0</v>
      </c>
      <c r="M25" s="175" t="s">
        <v>29</v>
      </c>
      <c r="N25" s="176">
        <v>4</v>
      </c>
      <c r="O25" s="177">
        <v>10</v>
      </c>
      <c r="P25" s="175" t="s">
        <v>29</v>
      </c>
      <c r="Q25" s="135">
        <v>1</v>
      </c>
      <c r="R25" s="176">
        <v>5</v>
      </c>
      <c r="S25" s="169" t="s">
        <v>29</v>
      </c>
      <c r="T25" s="178">
        <v>5</v>
      </c>
      <c r="U25" s="179">
        <f t="shared" si="2"/>
        <v>0.25534722222222223</v>
      </c>
      <c r="V25" s="260"/>
      <c r="W25" s="180">
        <v>2.7777777777777779E-3</v>
      </c>
      <c r="X25" s="181"/>
      <c r="Y25" s="182">
        <f>IF(L25=0,0,IF(L25=1,X25+#REF!,IF(L25=2,X25+$Z$36,IF(L25=3,X25+$Z$35,IF(L25=4,X25+#REF!,0)))))</f>
        <v>0</v>
      </c>
      <c r="Z25" s="157"/>
      <c r="AA25" s="143"/>
      <c r="AB25" s="143"/>
      <c r="AC25" s="143"/>
      <c r="AD25" s="143"/>
      <c r="AE25" s="143"/>
      <c r="AF25" s="143"/>
    </row>
    <row r="26" spans="2:32" ht="30" x14ac:dyDescent="0.25">
      <c r="B26" s="164">
        <v>38</v>
      </c>
      <c r="C26" s="7">
        <v>14</v>
      </c>
      <c r="D26" s="219" t="s">
        <v>435</v>
      </c>
      <c r="E26" s="167" t="s">
        <v>246</v>
      </c>
      <c r="F26" s="168" t="s">
        <v>21</v>
      </c>
      <c r="G26" s="169" t="s">
        <v>333</v>
      </c>
      <c r="H26" s="170" t="s">
        <v>222</v>
      </c>
      <c r="I26" s="171" t="s">
        <v>194</v>
      </c>
      <c r="J26" s="172" t="str">
        <f t="shared" si="0"/>
        <v>R</v>
      </c>
      <c r="K26" s="173">
        <v>2</v>
      </c>
      <c r="L26" s="174">
        <v>0</v>
      </c>
      <c r="M26" s="175" t="s">
        <v>29</v>
      </c>
      <c r="N26" s="176">
        <v>4</v>
      </c>
      <c r="O26" s="177">
        <v>10</v>
      </c>
      <c r="P26" s="175" t="s">
        <v>29</v>
      </c>
      <c r="Q26" s="135">
        <v>1</v>
      </c>
      <c r="R26" s="176">
        <v>5</v>
      </c>
      <c r="S26" s="169" t="s">
        <v>29</v>
      </c>
      <c r="T26" s="178">
        <v>5</v>
      </c>
      <c r="U26" s="179">
        <f t="shared" si="2"/>
        <v>0.25812499999999999</v>
      </c>
      <c r="V26" s="260"/>
      <c r="W26" s="180">
        <v>2.7777777777777779E-3</v>
      </c>
      <c r="X26" s="181"/>
      <c r="Y26" s="182">
        <f>IF(L26=0,0,IF(L26=1,X26+#REF!,IF(L26=2,X26+$Z$36,IF(L26=3,X26+$Z$35,IF(L26=4,X26+#REF!,0)))))</f>
        <v>0</v>
      </c>
      <c r="Z26" s="157"/>
      <c r="AA26" s="143"/>
      <c r="AB26" s="143"/>
      <c r="AC26" s="143"/>
      <c r="AD26" s="143"/>
      <c r="AE26" s="143"/>
      <c r="AF26" s="143"/>
    </row>
    <row r="27" spans="2:32" x14ac:dyDescent="0.25">
      <c r="B27" s="164">
        <v>39</v>
      </c>
      <c r="C27" s="7">
        <v>15</v>
      </c>
      <c r="D27" s="219" t="s">
        <v>361</v>
      </c>
      <c r="E27" s="167" t="s">
        <v>247</v>
      </c>
      <c r="F27" s="168" t="s">
        <v>376</v>
      </c>
      <c r="G27" s="169" t="s">
        <v>415</v>
      </c>
      <c r="H27" s="170" t="s">
        <v>222</v>
      </c>
      <c r="I27" s="171" t="s">
        <v>194</v>
      </c>
      <c r="J27" s="172" t="str">
        <f t="shared" si="0"/>
        <v>R</v>
      </c>
      <c r="K27" s="173">
        <v>2</v>
      </c>
      <c r="L27" s="174">
        <v>0</v>
      </c>
      <c r="M27" s="175" t="s">
        <v>29</v>
      </c>
      <c r="N27" s="176">
        <v>4</v>
      </c>
      <c r="O27" s="177">
        <v>6</v>
      </c>
      <c r="P27" s="175" t="s">
        <v>29</v>
      </c>
      <c r="Q27" s="135">
        <v>1</v>
      </c>
      <c r="R27" s="176">
        <v>5</v>
      </c>
      <c r="S27" s="169" t="s">
        <v>29</v>
      </c>
      <c r="T27" s="178">
        <v>5</v>
      </c>
      <c r="U27" s="179">
        <f t="shared" si="2"/>
        <v>0.26090277777777776</v>
      </c>
      <c r="V27" s="260"/>
      <c r="W27" s="180">
        <v>3.472222222222222E-3</v>
      </c>
      <c r="X27" s="181"/>
      <c r="Y27" s="182">
        <f>IF(L27=0,0,IF(L27=1,X27+#REF!,IF(L27=2,X27+$Z$36,IF(L27=3,X27+$Z$35,IF(L27=4,X27+#REF!,0)))))</f>
        <v>0</v>
      </c>
      <c r="Z27" s="157"/>
      <c r="AA27" s="143"/>
      <c r="AB27" s="143"/>
      <c r="AC27" s="143"/>
      <c r="AD27" s="143"/>
      <c r="AE27" s="143"/>
      <c r="AF27" s="143"/>
    </row>
    <row r="28" spans="2:32" x14ac:dyDescent="0.25">
      <c r="B28" s="164">
        <v>7</v>
      </c>
      <c r="C28" s="7">
        <v>16</v>
      </c>
      <c r="D28" s="218" t="s">
        <v>436</v>
      </c>
      <c r="E28" s="167" t="s">
        <v>248</v>
      </c>
      <c r="F28" s="168" t="s">
        <v>377</v>
      </c>
      <c r="G28" s="169" t="s">
        <v>327</v>
      </c>
      <c r="H28" s="170" t="s">
        <v>222</v>
      </c>
      <c r="I28" s="171" t="s">
        <v>194</v>
      </c>
      <c r="J28" s="172" t="str">
        <f t="shared" si="0"/>
        <v>R</v>
      </c>
      <c r="K28" s="173">
        <v>2</v>
      </c>
      <c r="L28" s="174">
        <v>0</v>
      </c>
      <c r="M28" s="175" t="s">
        <v>29</v>
      </c>
      <c r="N28" s="176">
        <v>4</v>
      </c>
      <c r="O28" s="177">
        <v>10</v>
      </c>
      <c r="P28" s="175" t="s">
        <v>29</v>
      </c>
      <c r="Q28" s="135">
        <v>1</v>
      </c>
      <c r="R28" s="176">
        <v>5</v>
      </c>
      <c r="S28" s="169" t="s">
        <v>29</v>
      </c>
      <c r="T28" s="178">
        <v>5</v>
      </c>
      <c r="U28" s="179">
        <f t="shared" si="2"/>
        <v>0.26437499999999997</v>
      </c>
      <c r="V28" s="260"/>
      <c r="W28" s="180">
        <v>4.1666666666666666E-3</v>
      </c>
      <c r="X28" s="181"/>
      <c r="Y28" s="182">
        <f>IF(L28=0,0,IF(L28=1,X28+#REF!,IF(L28=2,X28+$Z$36,IF(L28=3,X28+$Z$35,IF(L28=4,X28+#REF!,0)))))</f>
        <v>0</v>
      </c>
      <c r="Z28" s="157"/>
      <c r="AA28" s="143"/>
      <c r="AB28" s="143"/>
      <c r="AC28" s="143"/>
      <c r="AD28" s="143"/>
      <c r="AE28" s="143"/>
      <c r="AF28" s="143"/>
    </row>
    <row r="29" spans="2:32" x14ac:dyDescent="0.25">
      <c r="B29" s="164">
        <v>8</v>
      </c>
      <c r="C29" s="7">
        <v>17</v>
      </c>
      <c r="D29" s="218" t="s">
        <v>362</v>
      </c>
      <c r="E29" s="167" t="s">
        <v>249</v>
      </c>
      <c r="F29" s="168" t="s">
        <v>378</v>
      </c>
      <c r="G29" s="169" t="s">
        <v>414</v>
      </c>
      <c r="H29" s="170" t="s">
        <v>222</v>
      </c>
      <c r="I29" s="171" t="s">
        <v>194</v>
      </c>
      <c r="J29" s="172" t="str">
        <f t="shared" si="0"/>
        <v>R</v>
      </c>
      <c r="K29" s="173">
        <v>2</v>
      </c>
      <c r="L29" s="174">
        <v>0</v>
      </c>
      <c r="M29" s="175" t="s">
        <v>29</v>
      </c>
      <c r="N29" s="176">
        <v>4</v>
      </c>
      <c r="O29" s="177">
        <v>8</v>
      </c>
      <c r="P29" s="175" t="s">
        <v>29</v>
      </c>
      <c r="Q29" s="135">
        <v>1</v>
      </c>
      <c r="R29" s="176">
        <v>5</v>
      </c>
      <c r="S29" s="169" t="s">
        <v>29</v>
      </c>
      <c r="T29" s="178">
        <v>5</v>
      </c>
      <c r="U29" s="179">
        <f t="shared" si="2"/>
        <v>0.26854166666666662</v>
      </c>
      <c r="V29" s="260"/>
      <c r="W29" s="180">
        <v>2.0833333333333333E-3</v>
      </c>
      <c r="X29" s="181"/>
      <c r="Y29" s="182">
        <f>IF(L29=0,0,IF(L29=1,X29+#REF!,IF(L29=2,X29+$Z$36,IF(L29=3,X29+$Z$35,IF(L29=4,X29+#REF!,0)))))</f>
        <v>0</v>
      </c>
      <c r="Z29" s="157"/>
      <c r="AA29" s="143"/>
      <c r="AB29" s="143"/>
      <c r="AC29" s="143"/>
      <c r="AD29" s="143"/>
      <c r="AE29" s="143"/>
      <c r="AF29" s="143"/>
    </row>
    <row r="30" spans="2:32" x14ac:dyDescent="0.25">
      <c r="B30" s="164">
        <v>9</v>
      </c>
      <c r="C30" s="7">
        <v>18</v>
      </c>
      <c r="D30" s="218" t="s">
        <v>317</v>
      </c>
      <c r="E30" s="167" t="s">
        <v>250</v>
      </c>
      <c r="F30" s="168" t="s">
        <v>9</v>
      </c>
      <c r="G30" s="169" t="s">
        <v>334</v>
      </c>
      <c r="H30" s="170" t="s">
        <v>222</v>
      </c>
      <c r="I30" s="171" t="s">
        <v>194</v>
      </c>
      <c r="J30" s="172" t="str">
        <f t="shared" si="0"/>
        <v>R</v>
      </c>
      <c r="K30" s="173">
        <v>2</v>
      </c>
      <c r="L30" s="174">
        <v>0</v>
      </c>
      <c r="M30" s="175" t="s">
        <v>29</v>
      </c>
      <c r="N30" s="176">
        <v>4</v>
      </c>
      <c r="O30" s="177">
        <v>8</v>
      </c>
      <c r="P30" s="175" t="s">
        <v>29</v>
      </c>
      <c r="Q30" s="135">
        <v>1</v>
      </c>
      <c r="R30" s="176">
        <v>5</v>
      </c>
      <c r="S30" s="169" t="s">
        <v>29</v>
      </c>
      <c r="T30" s="178">
        <v>5</v>
      </c>
      <c r="U30" s="179">
        <f t="shared" si="2"/>
        <v>0.27062499999999995</v>
      </c>
      <c r="V30" s="260"/>
      <c r="W30" s="180">
        <v>5.5555555555555558E-3</v>
      </c>
      <c r="X30" s="181"/>
      <c r="Y30" s="182">
        <f>IF(L30=0,0,IF(L30=1,X30+#REF!,IF(L30=2,X30+$Z$36,IF(L30=3,X30+$Z$35,IF(L30=4,X30+#REF!,0)))))</f>
        <v>0</v>
      </c>
      <c r="Z30" s="157"/>
      <c r="AA30" s="143"/>
      <c r="AB30" s="143"/>
      <c r="AC30" s="143"/>
      <c r="AD30" s="143"/>
      <c r="AE30" s="143"/>
      <c r="AF30" s="143"/>
    </row>
    <row r="31" spans="2:32" x14ac:dyDescent="0.25">
      <c r="B31" s="164">
        <v>10</v>
      </c>
      <c r="C31" s="7">
        <v>19</v>
      </c>
      <c r="D31" s="218" t="s">
        <v>316</v>
      </c>
      <c r="E31" s="167" t="s">
        <v>251</v>
      </c>
      <c r="F31" s="168" t="s">
        <v>11</v>
      </c>
      <c r="G31" s="169" t="s">
        <v>328</v>
      </c>
      <c r="H31" s="170" t="s">
        <v>222</v>
      </c>
      <c r="I31" s="171" t="s">
        <v>194</v>
      </c>
      <c r="J31" s="172" t="str">
        <f t="shared" si="0"/>
        <v>R</v>
      </c>
      <c r="K31" s="173">
        <v>2</v>
      </c>
      <c r="L31" s="174">
        <v>0</v>
      </c>
      <c r="M31" s="175" t="s">
        <v>29</v>
      </c>
      <c r="N31" s="176">
        <v>4</v>
      </c>
      <c r="O31" s="177">
        <v>8</v>
      </c>
      <c r="P31" s="175" t="s">
        <v>29</v>
      </c>
      <c r="Q31" s="135">
        <v>1</v>
      </c>
      <c r="R31" s="176">
        <v>5</v>
      </c>
      <c r="S31" s="169" t="s">
        <v>29</v>
      </c>
      <c r="T31" s="178">
        <v>5</v>
      </c>
      <c r="U31" s="179">
        <f t="shared" si="2"/>
        <v>0.27618055555555548</v>
      </c>
      <c r="V31" s="261"/>
      <c r="W31" s="180">
        <v>1.3888888888888889E-3</v>
      </c>
      <c r="X31" s="181"/>
      <c r="Y31" s="182">
        <f>IF(L31=0,0,IF(L31=1,X31+#REF!,IF(L31=2,X31+$Z$36,IF(L31=3,X31+$Z$35,IF(L31=4,X31+#REF!,0)))))</f>
        <v>0</v>
      </c>
      <c r="Z31" s="157"/>
      <c r="AA31" s="143"/>
      <c r="AB31" s="143"/>
      <c r="AC31" s="143"/>
      <c r="AD31" s="143"/>
      <c r="AE31" s="143"/>
      <c r="AF31" s="143"/>
    </row>
    <row r="32" spans="2:32" ht="30" x14ac:dyDescent="0.25">
      <c r="B32" s="164">
        <v>15</v>
      </c>
      <c r="C32" s="7">
        <v>20</v>
      </c>
      <c r="D32" s="166" t="s">
        <v>471</v>
      </c>
      <c r="E32" s="167" t="s">
        <v>252</v>
      </c>
      <c r="F32" s="168" t="s">
        <v>385</v>
      </c>
      <c r="G32" s="169" t="s">
        <v>414</v>
      </c>
      <c r="H32" s="170" t="s">
        <v>222</v>
      </c>
      <c r="I32" s="171" t="s">
        <v>192</v>
      </c>
      <c r="J32" s="172" t="str">
        <f t="shared" ref="J32:J54" si="3">IF(X32&gt;0,IF(Y32-X32&gt;0,"I","R"),"R")</f>
        <v>R</v>
      </c>
      <c r="K32" s="173">
        <v>3</v>
      </c>
      <c r="L32" s="174">
        <v>0</v>
      </c>
      <c r="M32" s="175" t="s">
        <v>29</v>
      </c>
      <c r="N32" s="176">
        <v>5</v>
      </c>
      <c r="O32" s="177">
        <v>8</v>
      </c>
      <c r="P32" s="175" t="s">
        <v>29</v>
      </c>
      <c r="Q32" s="135">
        <v>1</v>
      </c>
      <c r="R32" s="176">
        <v>4</v>
      </c>
      <c r="S32" s="169" t="s">
        <v>29</v>
      </c>
      <c r="T32" s="178">
        <v>8</v>
      </c>
      <c r="U32" s="179">
        <f t="shared" si="2"/>
        <v>0.27756944444444437</v>
      </c>
      <c r="V32" s="133">
        <v>0.25</v>
      </c>
      <c r="W32" s="180">
        <v>1.3888888888888888E-2</v>
      </c>
      <c r="X32" s="181"/>
      <c r="Y32" s="182">
        <f>IF(L32=0,0,IF(L32=1,X32+#REF!,IF(L32=2,X32+$Z$36,IF(L32=3,X32+$Z$35,IF(L32=4,X32+#REF!,0)))))</f>
        <v>0</v>
      </c>
      <c r="Z32" s="157"/>
      <c r="AA32" s="143"/>
      <c r="AB32" s="143"/>
      <c r="AC32" s="143"/>
      <c r="AD32" s="143"/>
      <c r="AE32" s="143"/>
      <c r="AF32" s="143"/>
    </row>
    <row r="33" spans="2:32" ht="30" x14ac:dyDescent="0.25">
      <c r="B33" s="164">
        <v>20</v>
      </c>
      <c r="C33" s="7">
        <v>22</v>
      </c>
      <c r="D33" s="220" t="s">
        <v>448</v>
      </c>
      <c r="E33" s="167" t="s">
        <v>253</v>
      </c>
      <c r="F33" s="168" t="s">
        <v>386</v>
      </c>
      <c r="G33" s="169" t="s">
        <v>329</v>
      </c>
      <c r="H33" s="185" t="s">
        <v>423</v>
      </c>
      <c r="I33" s="171" t="s">
        <v>193</v>
      </c>
      <c r="J33" s="172" t="str">
        <f t="shared" si="3"/>
        <v>R</v>
      </c>
      <c r="K33" s="173">
        <v>-1</v>
      </c>
      <c r="L33" s="174">
        <v>3</v>
      </c>
      <c r="M33" s="175" t="s">
        <v>29</v>
      </c>
      <c r="N33" s="176">
        <v>8</v>
      </c>
      <c r="O33" s="177">
        <v>8</v>
      </c>
      <c r="P33" s="175"/>
      <c r="Q33" s="135"/>
      <c r="R33" s="176"/>
      <c r="S33" s="169" t="s">
        <v>29</v>
      </c>
      <c r="T33" s="178">
        <v>5</v>
      </c>
      <c r="U33" s="179">
        <v>0.28125</v>
      </c>
      <c r="V33" s="133">
        <v>0.28125</v>
      </c>
      <c r="W33" s="180">
        <v>1.0416666666666666E-2</v>
      </c>
      <c r="X33" s="181"/>
      <c r="Y33" s="182">
        <f>IF(L33=0,0,IF(L33=1,X33+#REF!,IF(L33=2,X33+$Z$36,IF(L33=3,X33+$Z$35,IF(L33=4,X33+#REF!,0)))))</f>
        <v>0.99930555555555556</v>
      </c>
      <c r="Z33" s="157"/>
      <c r="AA33" s="143"/>
      <c r="AB33" s="143"/>
      <c r="AC33" s="143"/>
      <c r="AD33" s="143"/>
      <c r="AE33" s="143"/>
      <c r="AF33" s="143"/>
    </row>
    <row r="34" spans="2:32" ht="30" x14ac:dyDescent="0.25">
      <c r="B34" s="164">
        <v>17</v>
      </c>
      <c r="C34" s="7">
        <v>23</v>
      </c>
      <c r="D34" s="220" t="s">
        <v>438</v>
      </c>
      <c r="E34" s="167" t="s">
        <v>254</v>
      </c>
      <c r="F34" s="168" t="s">
        <v>12</v>
      </c>
      <c r="G34" s="169" t="s">
        <v>327</v>
      </c>
      <c r="H34" s="170" t="s">
        <v>422</v>
      </c>
      <c r="I34" s="171" t="s">
        <v>192</v>
      </c>
      <c r="J34" s="172" t="str">
        <f t="shared" si="3"/>
        <v>R</v>
      </c>
      <c r="K34" s="173">
        <v>-1</v>
      </c>
      <c r="L34" s="174">
        <v>3</v>
      </c>
      <c r="M34" s="175" t="s">
        <v>29</v>
      </c>
      <c r="N34" s="176">
        <v>3</v>
      </c>
      <c r="O34" s="177">
        <v>6</v>
      </c>
      <c r="P34" s="175"/>
      <c r="Q34" s="135"/>
      <c r="R34" s="176"/>
      <c r="S34" s="169" t="s">
        <v>29</v>
      </c>
      <c r="T34" s="178">
        <v>7</v>
      </c>
      <c r="U34" s="179">
        <v>0.28125</v>
      </c>
      <c r="V34" s="133">
        <v>0.28125</v>
      </c>
      <c r="W34" s="180">
        <v>2.0833333333333332E-2</v>
      </c>
      <c r="X34" s="181"/>
      <c r="Y34" s="182">
        <f>IF(L34=0,0,IF(L34=1,X34+#REF!,IF(L34=2,X34+$Z$36,IF(L34=3,X34+$Z$35,IF(L34=4,X34+#REF!,0)))))</f>
        <v>0.99930555555555556</v>
      </c>
      <c r="Z34" s="157"/>
      <c r="AA34" s="143"/>
      <c r="AB34" s="143"/>
      <c r="AC34" s="143"/>
      <c r="AD34" s="143"/>
      <c r="AE34" s="143"/>
      <c r="AF34" s="143"/>
    </row>
    <row r="35" spans="2:32" ht="30" x14ac:dyDescent="0.25">
      <c r="B35" s="164">
        <v>4</v>
      </c>
      <c r="C35" s="7">
        <v>24</v>
      </c>
      <c r="D35" s="166" t="s">
        <v>209</v>
      </c>
      <c r="E35" s="167" t="s">
        <v>255</v>
      </c>
      <c r="F35" s="217" t="s">
        <v>371</v>
      </c>
      <c r="G35" s="169" t="s">
        <v>332</v>
      </c>
      <c r="H35" s="170" t="s">
        <v>222</v>
      </c>
      <c r="I35" s="171" t="s">
        <v>194</v>
      </c>
      <c r="J35" s="172" t="str">
        <f t="shared" si="3"/>
        <v>R</v>
      </c>
      <c r="K35" s="173">
        <v>2</v>
      </c>
      <c r="L35" s="174">
        <v>0</v>
      </c>
      <c r="M35" s="175" t="s">
        <v>29</v>
      </c>
      <c r="N35" s="176">
        <v>4</v>
      </c>
      <c r="O35" s="177">
        <v>8</v>
      </c>
      <c r="P35" s="175"/>
      <c r="Q35" s="135"/>
      <c r="R35" s="176"/>
      <c r="S35" s="169" t="s">
        <v>29</v>
      </c>
      <c r="T35" s="178">
        <v>6</v>
      </c>
      <c r="U35" s="179">
        <v>0.29166666666666669</v>
      </c>
      <c r="V35" s="133">
        <v>0.29166666666666669</v>
      </c>
      <c r="W35" s="180">
        <v>6.9444444444444441E-3</v>
      </c>
      <c r="X35" s="181"/>
      <c r="Y35" s="182"/>
      <c r="Z35" s="107">
        <v>0.99930555555555556</v>
      </c>
      <c r="AA35" s="115"/>
      <c r="AB35" s="143"/>
      <c r="AC35" s="143"/>
      <c r="AD35" s="143"/>
      <c r="AE35" s="143"/>
      <c r="AF35" s="143"/>
    </row>
    <row r="36" spans="2:32" ht="30" x14ac:dyDescent="0.25">
      <c r="B36" s="164">
        <v>4</v>
      </c>
      <c r="C36" s="7">
        <v>21</v>
      </c>
      <c r="D36" s="218" t="s">
        <v>470</v>
      </c>
      <c r="E36" s="167" t="s">
        <v>256</v>
      </c>
      <c r="F36" s="217" t="s">
        <v>370</v>
      </c>
      <c r="G36" s="169" t="s">
        <v>414</v>
      </c>
      <c r="H36" s="170" t="s">
        <v>222</v>
      </c>
      <c r="I36" s="171" t="s">
        <v>194</v>
      </c>
      <c r="J36" s="172" t="str">
        <f>IF(X36&gt;0,IF(Y36-X36&gt;0,"I","R"),"R")</f>
        <v>R</v>
      </c>
      <c r="K36" s="173">
        <v>3</v>
      </c>
      <c r="L36" s="174">
        <v>0</v>
      </c>
      <c r="M36" s="175" t="s">
        <v>29</v>
      </c>
      <c r="N36" s="176">
        <v>3</v>
      </c>
      <c r="O36" s="177">
        <v>6</v>
      </c>
      <c r="P36" s="175"/>
      <c r="Q36" s="135"/>
      <c r="R36" s="176"/>
      <c r="S36" s="169" t="s">
        <v>29</v>
      </c>
      <c r="T36" s="178">
        <v>6</v>
      </c>
      <c r="U36" s="179">
        <v>0.28125</v>
      </c>
      <c r="V36" s="133">
        <v>0.28125</v>
      </c>
      <c r="W36" s="180">
        <v>6.9444444444444441E-3</v>
      </c>
      <c r="X36" s="181"/>
      <c r="Y36" s="182"/>
      <c r="Z36" s="107">
        <v>0.5</v>
      </c>
      <c r="AA36" s="115"/>
      <c r="AB36" s="143"/>
      <c r="AC36" s="143"/>
      <c r="AD36" s="143"/>
      <c r="AE36" s="143"/>
      <c r="AF36" s="143"/>
    </row>
    <row r="37" spans="2:32" x14ac:dyDescent="0.25">
      <c r="B37" s="164">
        <v>12</v>
      </c>
      <c r="C37" s="7">
        <v>25</v>
      </c>
      <c r="D37" s="166" t="s">
        <v>209</v>
      </c>
      <c r="E37" s="167" t="s">
        <v>257</v>
      </c>
      <c r="F37" s="168" t="s">
        <v>383</v>
      </c>
      <c r="G37" s="169" t="s">
        <v>335</v>
      </c>
      <c r="H37" s="170" t="s">
        <v>222</v>
      </c>
      <c r="I37" s="171" t="s">
        <v>194</v>
      </c>
      <c r="J37" s="172" t="str">
        <f t="shared" si="3"/>
        <v>R</v>
      </c>
      <c r="K37" s="173">
        <v>1</v>
      </c>
      <c r="L37" s="174">
        <v>2</v>
      </c>
      <c r="M37" s="175" t="s">
        <v>29</v>
      </c>
      <c r="N37" s="176">
        <v>5</v>
      </c>
      <c r="O37" s="177">
        <v>8</v>
      </c>
      <c r="P37" s="175" t="s">
        <v>29</v>
      </c>
      <c r="Q37" s="135">
        <v>1</v>
      </c>
      <c r="R37" s="176">
        <v>5</v>
      </c>
      <c r="S37" s="169" t="s">
        <v>29</v>
      </c>
      <c r="T37" s="178">
        <v>5</v>
      </c>
      <c r="U37" s="179">
        <v>0.29166666666666669</v>
      </c>
      <c r="V37" s="133">
        <v>0.29166666666666669</v>
      </c>
      <c r="W37" s="180">
        <v>3.472222222222222E-3</v>
      </c>
      <c r="X37" s="181"/>
      <c r="Y37" s="182">
        <f>IF(L37=0,0,IF(L37=1,X37+#REF!,IF(L37=2,X37+$Z$36,IF(L37=3,X37+$Z$35,IF(L37=4,X37+#REF!,0)))))</f>
        <v>0.5</v>
      </c>
      <c r="Z37" s="157"/>
      <c r="AA37" s="143"/>
      <c r="AB37" s="143"/>
      <c r="AC37" s="143"/>
      <c r="AD37" s="143"/>
      <c r="AE37" s="143"/>
      <c r="AF37" s="143"/>
    </row>
    <row r="38" spans="2:32" x14ac:dyDescent="0.25">
      <c r="B38" s="164">
        <v>13</v>
      </c>
      <c r="C38" s="7">
        <v>26</v>
      </c>
      <c r="D38" s="166" t="s">
        <v>209</v>
      </c>
      <c r="E38" s="167" t="s">
        <v>258</v>
      </c>
      <c r="F38" s="168" t="s">
        <v>384</v>
      </c>
      <c r="G38" s="169" t="s">
        <v>329</v>
      </c>
      <c r="H38" s="185" t="s">
        <v>428</v>
      </c>
      <c r="I38" s="171" t="s">
        <v>194</v>
      </c>
      <c r="J38" s="172" t="str">
        <f t="shared" si="3"/>
        <v>R</v>
      </c>
      <c r="K38" s="173">
        <v>-1</v>
      </c>
      <c r="L38" s="174">
        <v>3</v>
      </c>
      <c r="M38" s="175" t="s">
        <v>29</v>
      </c>
      <c r="N38" s="176">
        <v>2</v>
      </c>
      <c r="O38" s="177">
        <v>5</v>
      </c>
      <c r="P38" s="175" t="s">
        <v>29</v>
      </c>
      <c r="Q38" s="135">
        <v>1</v>
      </c>
      <c r="R38" s="176">
        <v>5</v>
      </c>
      <c r="S38" s="169" t="s">
        <v>29</v>
      </c>
      <c r="T38" s="178">
        <v>5</v>
      </c>
      <c r="U38" s="179">
        <v>0.3125</v>
      </c>
      <c r="V38" s="133">
        <v>0.3125</v>
      </c>
      <c r="W38" s="180">
        <v>1.3888888888888888E-2</v>
      </c>
      <c r="X38" s="181"/>
      <c r="Y38" s="182">
        <f>IF(L38=0,0,IF(L38=1,X38+#REF!,IF(L38=2,X38+$Z$36,IF(L38=3,X38+$Z$35,IF(L38=4,X38+#REF!,0)))))</f>
        <v>0.99930555555555556</v>
      </c>
      <c r="Z38" s="157"/>
      <c r="AA38" s="143"/>
      <c r="AB38" s="143"/>
      <c r="AC38" s="143"/>
      <c r="AD38" s="143"/>
      <c r="AE38" s="143"/>
      <c r="AF38" s="143"/>
    </row>
    <row r="39" spans="2:32" ht="30" x14ac:dyDescent="0.25">
      <c r="B39" s="164">
        <v>22</v>
      </c>
      <c r="C39" s="7">
        <v>27</v>
      </c>
      <c r="D39" s="184" t="s">
        <v>471</v>
      </c>
      <c r="E39" s="167" t="s">
        <v>259</v>
      </c>
      <c r="F39" s="168" t="s">
        <v>387</v>
      </c>
      <c r="G39" s="169" t="s">
        <v>327</v>
      </c>
      <c r="H39" s="170" t="s">
        <v>222</v>
      </c>
      <c r="I39" s="171" t="s">
        <v>192</v>
      </c>
      <c r="J39" s="172" t="str">
        <f t="shared" si="3"/>
        <v>R</v>
      </c>
      <c r="K39" s="173">
        <v>3</v>
      </c>
      <c r="L39" s="174">
        <v>0</v>
      </c>
      <c r="M39" s="175" t="s">
        <v>29</v>
      </c>
      <c r="N39" s="176">
        <v>3</v>
      </c>
      <c r="O39" s="177">
        <v>8</v>
      </c>
      <c r="P39" s="175" t="s">
        <v>29</v>
      </c>
      <c r="Q39" s="135">
        <v>1</v>
      </c>
      <c r="R39" s="176">
        <v>8</v>
      </c>
      <c r="S39" s="169" t="s">
        <v>29</v>
      </c>
      <c r="T39" s="178">
        <v>6</v>
      </c>
      <c r="U39" s="179">
        <v>0.3125</v>
      </c>
      <c r="V39" s="133">
        <v>0.3125</v>
      </c>
      <c r="W39" s="180">
        <v>6.9444444444444441E-3</v>
      </c>
      <c r="X39" s="181"/>
      <c r="Y39" s="182">
        <f>IF(L39=0,0,IF(L39=1,X39+#REF!,IF(L39=2,X39+$Z$36,IF(L39=3,X39+$Z$35,IF(L39=4,X39+#REF!,0)))))</f>
        <v>0</v>
      </c>
      <c r="Z39" s="157"/>
      <c r="AA39" s="143"/>
      <c r="AB39" s="143"/>
      <c r="AC39" s="143"/>
      <c r="AD39" s="143"/>
      <c r="AE39" s="143"/>
      <c r="AF39" s="143"/>
    </row>
    <row r="40" spans="2:32" x14ac:dyDescent="0.25">
      <c r="B40" s="164">
        <v>29</v>
      </c>
      <c r="C40" s="7">
        <v>28</v>
      </c>
      <c r="D40" s="219" t="s">
        <v>469</v>
      </c>
      <c r="E40" s="167" t="s">
        <v>260</v>
      </c>
      <c r="F40" s="168" t="s">
        <v>388</v>
      </c>
      <c r="G40" s="169" t="s">
        <v>416</v>
      </c>
      <c r="H40" s="170" t="s">
        <v>222</v>
      </c>
      <c r="I40" s="171" t="s">
        <v>194</v>
      </c>
      <c r="J40" s="172" t="str">
        <f t="shared" si="3"/>
        <v>R</v>
      </c>
      <c r="K40" s="173">
        <v>3</v>
      </c>
      <c r="L40" s="174">
        <v>0</v>
      </c>
      <c r="M40" s="175" t="s">
        <v>29</v>
      </c>
      <c r="N40" s="176">
        <v>5</v>
      </c>
      <c r="O40" s="177">
        <v>8</v>
      </c>
      <c r="P40" s="175"/>
      <c r="Q40" s="135"/>
      <c r="R40" s="176"/>
      <c r="S40" s="169" t="s">
        <v>29</v>
      </c>
      <c r="T40" s="178">
        <v>5</v>
      </c>
      <c r="U40" s="179">
        <f t="shared" si="2"/>
        <v>0.31944444444444442</v>
      </c>
      <c r="V40" s="133" t="s">
        <v>427</v>
      </c>
      <c r="W40" s="180">
        <v>1.3888888888888888E-2</v>
      </c>
      <c r="X40" s="181"/>
      <c r="Y40" s="182">
        <f>IF(L40=0,0,IF(L40=1,X40+#REF!,IF(L40=2,X40+$Z$36,IF(L40=3,X40+$Z$35,IF(L40=4,X40+#REF!,0)))))</f>
        <v>0</v>
      </c>
      <c r="Z40" s="157"/>
      <c r="AA40" s="143"/>
      <c r="AB40" s="143"/>
      <c r="AC40" s="143"/>
      <c r="AD40" s="143"/>
      <c r="AE40" s="143"/>
      <c r="AF40" s="143"/>
    </row>
    <row r="41" spans="2:32" x14ac:dyDescent="0.25">
      <c r="B41" s="164">
        <v>19</v>
      </c>
      <c r="C41" s="7">
        <v>29</v>
      </c>
      <c r="D41" s="166" t="s">
        <v>209</v>
      </c>
      <c r="E41" s="167" t="s">
        <v>261</v>
      </c>
      <c r="F41" s="168" t="s">
        <v>390</v>
      </c>
      <c r="G41" s="169" t="s">
        <v>327</v>
      </c>
      <c r="H41" s="170" t="s">
        <v>222</v>
      </c>
      <c r="I41" s="171" t="s">
        <v>194</v>
      </c>
      <c r="J41" s="172" t="str">
        <f t="shared" si="3"/>
        <v>R</v>
      </c>
      <c r="K41" s="173">
        <v>3</v>
      </c>
      <c r="L41" s="174">
        <v>0</v>
      </c>
      <c r="M41" s="175" t="s">
        <v>29</v>
      </c>
      <c r="N41" s="176">
        <v>6</v>
      </c>
      <c r="O41" s="177">
        <v>8</v>
      </c>
      <c r="P41" s="175" t="s">
        <v>29</v>
      </c>
      <c r="Q41" s="135">
        <v>1</v>
      </c>
      <c r="R41" s="176">
        <v>8</v>
      </c>
      <c r="S41" s="169" t="s">
        <v>29</v>
      </c>
      <c r="T41" s="178">
        <v>6</v>
      </c>
      <c r="U41" s="179">
        <v>0.32291666666666669</v>
      </c>
      <c r="V41" s="133">
        <v>0.32291666666666669</v>
      </c>
      <c r="W41" s="180">
        <v>6.9444444444444441E-3</v>
      </c>
      <c r="X41" s="181"/>
      <c r="Y41" s="182">
        <f>IF(L41=0,0,IF(L41=1,X41+#REF!,IF(L41=2,X41+$Z$36,IF(L41=3,X41+$Z$35,IF(L41=4,X41+#REF!,0)))))</f>
        <v>0</v>
      </c>
      <c r="Z41" s="157"/>
      <c r="AA41" s="143"/>
      <c r="AB41" s="143"/>
      <c r="AC41" s="143"/>
      <c r="AD41" s="143"/>
      <c r="AE41" s="143"/>
      <c r="AF41" s="143"/>
    </row>
    <row r="42" spans="2:32" x14ac:dyDescent="0.25">
      <c r="B42" s="164">
        <v>25</v>
      </c>
      <c r="C42" s="7">
        <v>30</v>
      </c>
      <c r="D42" s="166" t="s">
        <v>209</v>
      </c>
      <c r="E42" s="167" t="s">
        <v>262</v>
      </c>
      <c r="F42" s="168" t="s">
        <v>389</v>
      </c>
      <c r="G42" s="169" t="s">
        <v>334</v>
      </c>
      <c r="H42" s="170" t="s">
        <v>222</v>
      </c>
      <c r="I42" s="171" t="s">
        <v>194</v>
      </c>
      <c r="J42" s="172" t="str">
        <f t="shared" si="3"/>
        <v>R</v>
      </c>
      <c r="K42" s="173">
        <v>3</v>
      </c>
      <c r="L42" s="174">
        <v>0</v>
      </c>
      <c r="M42" s="175" t="s">
        <v>29</v>
      </c>
      <c r="N42" s="176">
        <v>5</v>
      </c>
      <c r="O42" s="177">
        <v>8</v>
      </c>
      <c r="P42" s="175"/>
      <c r="Q42" s="135"/>
      <c r="R42" s="176"/>
      <c r="S42" s="169" t="s">
        <v>29</v>
      </c>
      <c r="T42" s="178">
        <v>5</v>
      </c>
      <c r="U42" s="179">
        <v>0.33333333333333331</v>
      </c>
      <c r="V42" s="133">
        <v>0.33333333333333331</v>
      </c>
      <c r="W42" s="180">
        <v>1.0416666666666666E-2</v>
      </c>
      <c r="X42" s="181"/>
      <c r="Y42" s="182">
        <f>IF(L42=0,0,IF(L42=1,X42+#REF!,IF(L42=2,X42+$Z$36,IF(L42=3,X42+$Z$35,IF(L42=4,X42+#REF!,0)))))</f>
        <v>0</v>
      </c>
      <c r="Z42" s="157"/>
      <c r="AA42" s="143"/>
      <c r="AB42" s="143"/>
      <c r="AC42" s="143"/>
      <c r="AD42" s="143"/>
      <c r="AE42" s="143"/>
      <c r="AF42" s="143"/>
    </row>
    <row r="43" spans="2:32" x14ac:dyDescent="0.25">
      <c r="B43" s="164"/>
      <c r="C43" s="7">
        <v>31</v>
      </c>
      <c r="D43" s="184" t="s">
        <v>211</v>
      </c>
      <c r="E43" s="167" t="s">
        <v>263</v>
      </c>
      <c r="F43" s="217" t="s">
        <v>449</v>
      </c>
      <c r="G43" s="169" t="s">
        <v>335</v>
      </c>
      <c r="H43" s="170" t="s">
        <v>369</v>
      </c>
      <c r="I43" s="171" t="s">
        <v>194</v>
      </c>
      <c r="J43" s="172" t="str">
        <f t="shared" si="3"/>
        <v>R</v>
      </c>
      <c r="K43" s="173">
        <v>3</v>
      </c>
      <c r="L43" s="174">
        <v>0</v>
      </c>
      <c r="M43" s="175" t="s">
        <v>29</v>
      </c>
      <c r="N43" s="176">
        <v>7</v>
      </c>
      <c r="O43" s="177">
        <v>10</v>
      </c>
      <c r="P43" s="175" t="s">
        <v>29</v>
      </c>
      <c r="Q43" s="135">
        <v>1</v>
      </c>
      <c r="R43" s="176">
        <v>8</v>
      </c>
      <c r="S43" s="169" t="s">
        <v>29</v>
      </c>
      <c r="T43" s="178">
        <v>5</v>
      </c>
      <c r="U43" s="179">
        <v>0.35416666666666669</v>
      </c>
      <c r="V43" s="133">
        <v>0.35416666666666669</v>
      </c>
      <c r="W43" s="180">
        <v>0.375</v>
      </c>
      <c r="X43" s="181"/>
      <c r="Y43" s="182">
        <f>IF(L43=0,0,IF(L43=1,X43+#REF!,IF(L43=2,X43+$Z$36,IF(L43=3,X43+$Z$35,IF(L43=4,X43+#REF!,0)))))</f>
        <v>0</v>
      </c>
      <c r="Z43" s="157"/>
      <c r="AA43" s="143"/>
      <c r="AB43" s="143"/>
      <c r="AC43" s="143"/>
      <c r="AD43" s="143"/>
      <c r="AE43" s="143"/>
      <c r="AF43" s="143"/>
    </row>
    <row r="44" spans="2:32" ht="30" x14ac:dyDescent="0.25">
      <c r="B44" s="164">
        <v>26</v>
      </c>
      <c r="C44" s="7">
        <v>32</v>
      </c>
      <c r="D44" s="184" t="s">
        <v>209</v>
      </c>
      <c r="E44" s="167" t="s">
        <v>264</v>
      </c>
      <c r="F44" s="168" t="s">
        <v>10</v>
      </c>
      <c r="G44" s="169" t="s">
        <v>329</v>
      </c>
      <c r="H44" s="170" t="s">
        <v>222</v>
      </c>
      <c r="I44" s="171" t="s">
        <v>193</v>
      </c>
      <c r="J44" s="172" t="str">
        <f t="shared" si="3"/>
        <v>R</v>
      </c>
      <c r="K44" s="173">
        <v>-1</v>
      </c>
      <c r="L44" s="174">
        <v>3</v>
      </c>
      <c r="M44" s="175" t="s">
        <v>29</v>
      </c>
      <c r="N44" s="176">
        <v>8</v>
      </c>
      <c r="O44" s="177">
        <v>5</v>
      </c>
      <c r="P44" s="175"/>
      <c r="Q44" s="135"/>
      <c r="R44" s="176"/>
      <c r="S44" s="169" t="s">
        <v>29</v>
      </c>
      <c r="T44" s="178">
        <v>3</v>
      </c>
      <c r="U44" s="179">
        <v>0.375</v>
      </c>
      <c r="V44" s="133">
        <v>0.375</v>
      </c>
      <c r="W44" s="180">
        <v>2.0833333333333332E-2</v>
      </c>
      <c r="X44" s="181"/>
      <c r="Y44" s="182">
        <f>IF(L44=0,0,IF(L44=1,X44+#REF!,IF(L44=2,X44+$Z$36,IF(L44=3,X44+$Z$35,IF(L44=4,X44+#REF!,0)))))</f>
        <v>0.99930555555555556</v>
      </c>
      <c r="Z44" s="157"/>
      <c r="AA44" s="143"/>
      <c r="AB44" s="143"/>
      <c r="AC44" s="143"/>
      <c r="AD44" s="143"/>
      <c r="AE44" s="143"/>
      <c r="AF44" s="143"/>
    </row>
    <row r="45" spans="2:32" ht="30" x14ac:dyDescent="0.25">
      <c r="B45" s="164">
        <v>32</v>
      </c>
      <c r="C45" s="7">
        <v>33</v>
      </c>
      <c r="D45" s="184" t="s">
        <v>209</v>
      </c>
      <c r="E45" s="167" t="s">
        <v>265</v>
      </c>
      <c r="F45" s="168" t="s">
        <v>396</v>
      </c>
      <c r="G45" s="169" t="s">
        <v>334</v>
      </c>
      <c r="H45" s="170" t="s">
        <v>222</v>
      </c>
      <c r="I45" s="171" t="s">
        <v>193</v>
      </c>
      <c r="J45" s="172" t="str">
        <f t="shared" si="3"/>
        <v>R</v>
      </c>
      <c r="K45" s="173">
        <v>-1</v>
      </c>
      <c r="L45" s="174">
        <v>3</v>
      </c>
      <c r="M45" s="175" t="s">
        <v>29</v>
      </c>
      <c r="N45" s="176">
        <v>5</v>
      </c>
      <c r="O45" s="177">
        <v>3</v>
      </c>
      <c r="P45" s="175"/>
      <c r="Q45" s="135"/>
      <c r="R45" s="176"/>
      <c r="S45" s="169" t="s">
        <v>29</v>
      </c>
      <c r="T45" s="178">
        <v>5</v>
      </c>
      <c r="U45" s="179">
        <v>0.375</v>
      </c>
      <c r="V45" s="133">
        <v>0.375</v>
      </c>
      <c r="W45" s="180">
        <v>4.1666666666666664E-2</v>
      </c>
      <c r="X45" s="181"/>
      <c r="Y45" s="182">
        <f>IF(L45=0,0,IF(L45=1,X45+#REF!,IF(L45=2,X45+$Z$36,IF(L45=3,X45+$Z$35,IF(L45=4,X45+#REF!,0)))))</f>
        <v>0.99930555555555556</v>
      </c>
      <c r="Z45" s="157"/>
      <c r="AA45" s="143"/>
      <c r="AB45" s="143"/>
      <c r="AC45" s="143"/>
      <c r="AD45" s="143"/>
      <c r="AE45" s="143"/>
      <c r="AF45" s="143"/>
    </row>
    <row r="46" spans="2:32" ht="30" x14ac:dyDescent="0.25">
      <c r="B46" s="164">
        <v>28</v>
      </c>
      <c r="C46" s="7">
        <v>34</v>
      </c>
      <c r="D46" s="166" t="s">
        <v>211</v>
      </c>
      <c r="E46" s="167" t="s">
        <v>266</v>
      </c>
      <c r="F46" s="168" t="s">
        <v>394</v>
      </c>
      <c r="G46" s="169" t="s">
        <v>335</v>
      </c>
      <c r="H46" s="170" t="s">
        <v>223</v>
      </c>
      <c r="I46" s="171" t="s">
        <v>193</v>
      </c>
      <c r="J46" s="172" t="str">
        <f t="shared" si="3"/>
        <v>R</v>
      </c>
      <c r="K46" s="173">
        <v>-1</v>
      </c>
      <c r="L46" s="174">
        <v>4</v>
      </c>
      <c r="M46" s="175" t="s">
        <v>29</v>
      </c>
      <c r="N46" s="176">
        <v>8</v>
      </c>
      <c r="O46" s="177">
        <v>8</v>
      </c>
      <c r="P46" s="175"/>
      <c r="Q46" s="135"/>
      <c r="R46" s="176"/>
      <c r="S46" s="169" t="s">
        <v>29</v>
      </c>
      <c r="T46" s="178">
        <v>3</v>
      </c>
      <c r="U46" s="179">
        <v>0.375</v>
      </c>
      <c r="V46" s="133">
        <v>0.375</v>
      </c>
      <c r="W46" s="180">
        <v>0.10416666666666667</v>
      </c>
      <c r="X46" s="181"/>
      <c r="Y46" s="182" t="e">
        <f>IF(L46=0,0,IF(L46=1,X46+#REF!,IF(L46=2,X46+$Z$36,IF(L46=3,X46+$Z$35,IF(L46=4,X46+#REF!,0)))))</f>
        <v>#REF!</v>
      </c>
      <c r="Z46" s="157"/>
      <c r="AA46" s="143"/>
      <c r="AB46" s="143"/>
      <c r="AC46" s="143"/>
      <c r="AD46" s="143"/>
      <c r="AE46" s="143"/>
      <c r="AF46" s="143"/>
    </row>
    <row r="47" spans="2:32" x14ac:dyDescent="0.25">
      <c r="B47" s="164">
        <v>40</v>
      </c>
      <c r="C47" s="7">
        <v>35</v>
      </c>
      <c r="D47" s="166" t="s">
        <v>209</v>
      </c>
      <c r="E47" s="167" t="s">
        <v>267</v>
      </c>
      <c r="F47" s="168" t="s">
        <v>379</v>
      </c>
      <c r="G47" s="169" t="s">
        <v>336</v>
      </c>
      <c r="H47" s="170" t="s">
        <v>222</v>
      </c>
      <c r="I47" s="171" t="s">
        <v>194</v>
      </c>
      <c r="J47" s="172" t="str">
        <f t="shared" si="3"/>
        <v>R</v>
      </c>
      <c r="K47" s="173">
        <v>1</v>
      </c>
      <c r="L47" s="174">
        <v>2</v>
      </c>
      <c r="M47" s="175" t="s">
        <v>29</v>
      </c>
      <c r="N47" s="176">
        <v>5</v>
      </c>
      <c r="O47" s="177">
        <v>8</v>
      </c>
      <c r="P47" s="175" t="s">
        <v>29</v>
      </c>
      <c r="Q47" s="135">
        <v>1</v>
      </c>
      <c r="R47" s="176">
        <v>5</v>
      </c>
      <c r="S47" s="169" t="s">
        <v>29</v>
      </c>
      <c r="T47" s="178">
        <v>5</v>
      </c>
      <c r="U47" s="179">
        <v>0.39583333333333331</v>
      </c>
      <c r="V47" s="259" t="s">
        <v>430</v>
      </c>
      <c r="W47" s="180">
        <v>5.5555555555555558E-3</v>
      </c>
      <c r="X47" s="181"/>
      <c r="Y47" s="182">
        <f>IF(L47=0,0,IF(L47=1,X47+#REF!,IF(L47=2,X47+$Z$36,IF(L47=3,X47+$Z$35,IF(L47=4,X47+#REF!,0)))))</f>
        <v>0.5</v>
      </c>
      <c r="Z47" s="157"/>
      <c r="AA47" s="143"/>
      <c r="AB47" s="143"/>
      <c r="AC47" s="143"/>
      <c r="AD47" s="143"/>
      <c r="AE47" s="143"/>
      <c r="AF47" s="143"/>
    </row>
    <row r="48" spans="2:32" x14ac:dyDescent="0.25">
      <c r="B48" s="164">
        <v>41</v>
      </c>
      <c r="C48" s="7">
        <v>36</v>
      </c>
      <c r="D48" s="166" t="s">
        <v>209</v>
      </c>
      <c r="E48" s="167" t="s">
        <v>268</v>
      </c>
      <c r="F48" s="168" t="s">
        <v>380</v>
      </c>
      <c r="G48" s="169" t="s">
        <v>416</v>
      </c>
      <c r="H48" s="170" t="s">
        <v>222</v>
      </c>
      <c r="I48" s="171" t="s">
        <v>194</v>
      </c>
      <c r="J48" s="172" t="str">
        <f t="shared" si="3"/>
        <v>R</v>
      </c>
      <c r="K48" s="173">
        <v>1</v>
      </c>
      <c r="L48" s="174">
        <v>2</v>
      </c>
      <c r="M48" s="175" t="s">
        <v>29</v>
      </c>
      <c r="N48" s="176">
        <v>5</v>
      </c>
      <c r="O48" s="177">
        <v>10</v>
      </c>
      <c r="P48" s="175" t="s">
        <v>29</v>
      </c>
      <c r="Q48" s="135">
        <v>1</v>
      </c>
      <c r="R48" s="176">
        <v>5</v>
      </c>
      <c r="S48" s="169" t="s">
        <v>29</v>
      </c>
      <c r="T48" s="178">
        <v>5</v>
      </c>
      <c r="U48" s="179">
        <f t="shared" si="2"/>
        <v>0.40138888888888885</v>
      </c>
      <c r="V48" s="260"/>
      <c r="W48" s="180">
        <v>6.9444444444444441E-3</v>
      </c>
      <c r="X48" s="181"/>
      <c r="Y48" s="182">
        <f>IF(L48=0,0,IF(L48=1,X48+#REF!,IF(L48=2,X48+$Z$36,IF(L48=3,X48+$Z$35,IF(L48=4,X48+#REF!,0)))))</f>
        <v>0.5</v>
      </c>
      <c r="Z48" s="157"/>
      <c r="AA48" s="143"/>
      <c r="AB48" s="143"/>
      <c r="AC48" s="143"/>
      <c r="AD48" s="143"/>
      <c r="AE48" s="143"/>
      <c r="AF48" s="143"/>
    </row>
    <row r="49" spans="2:32" x14ac:dyDescent="0.25">
      <c r="B49" s="164">
        <v>42</v>
      </c>
      <c r="C49" s="7">
        <v>37</v>
      </c>
      <c r="D49" s="166" t="s">
        <v>209</v>
      </c>
      <c r="E49" s="167" t="s">
        <v>269</v>
      </c>
      <c r="F49" s="168" t="s">
        <v>381</v>
      </c>
      <c r="G49" s="169" t="s">
        <v>417</v>
      </c>
      <c r="H49" s="170" t="s">
        <v>222</v>
      </c>
      <c r="I49" s="171" t="s">
        <v>194</v>
      </c>
      <c r="J49" s="172" t="str">
        <f t="shared" si="3"/>
        <v>R</v>
      </c>
      <c r="K49" s="173">
        <v>1</v>
      </c>
      <c r="L49" s="174">
        <v>2</v>
      </c>
      <c r="M49" s="175" t="s">
        <v>29</v>
      </c>
      <c r="N49" s="176">
        <v>5</v>
      </c>
      <c r="O49" s="177">
        <v>10</v>
      </c>
      <c r="P49" s="175" t="s">
        <v>29</v>
      </c>
      <c r="Q49" s="135">
        <v>1</v>
      </c>
      <c r="R49" s="176">
        <v>5</v>
      </c>
      <c r="S49" s="169" t="s">
        <v>29</v>
      </c>
      <c r="T49" s="178">
        <v>5</v>
      </c>
      <c r="U49" s="179">
        <f t="shared" si="2"/>
        <v>0.40833333333333327</v>
      </c>
      <c r="V49" s="260"/>
      <c r="W49" s="180">
        <v>6.9444444444444441E-3</v>
      </c>
      <c r="X49" s="181"/>
      <c r="Y49" s="182">
        <f>IF(L49=0,0,IF(L49=1,X49+#REF!,IF(L49=2,X49+$Z$36,IF(L49=3,X49+$Z$35,IF(L49=4,X49+#REF!,0)))))</f>
        <v>0.5</v>
      </c>
      <c r="Z49" s="157"/>
      <c r="AA49" s="143"/>
      <c r="AB49" s="143"/>
      <c r="AC49" s="143"/>
      <c r="AD49" s="143"/>
      <c r="AE49" s="143"/>
      <c r="AF49" s="143"/>
    </row>
    <row r="50" spans="2:32" x14ac:dyDescent="0.25">
      <c r="B50" s="164">
        <v>11</v>
      </c>
      <c r="C50" s="7">
        <v>38</v>
      </c>
      <c r="D50" s="166" t="s">
        <v>209</v>
      </c>
      <c r="E50" s="167" t="s">
        <v>270</v>
      </c>
      <c r="F50" s="168" t="s">
        <v>382</v>
      </c>
      <c r="G50" s="169" t="s">
        <v>418</v>
      </c>
      <c r="H50" s="170" t="s">
        <v>222</v>
      </c>
      <c r="I50" s="171" t="s">
        <v>194</v>
      </c>
      <c r="J50" s="172" t="str">
        <f t="shared" si="3"/>
        <v>R</v>
      </c>
      <c r="K50" s="173">
        <v>1</v>
      </c>
      <c r="L50" s="174">
        <v>2</v>
      </c>
      <c r="M50" s="175" t="s">
        <v>29</v>
      </c>
      <c r="N50" s="176">
        <v>5</v>
      </c>
      <c r="O50" s="177">
        <v>6</v>
      </c>
      <c r="P50" s="175" t="s">
        <v>29</v>
      </c>
      <c r="Q50" s="135">
        <v>1</v>
      </c>
      <c r="R50" s="176">
        <v>5</v>
      </c>
      <c r="S50" s="169" t="s">
        <v>29</v>
      </c>
      <c r="T50" s="178">
        <v>5</v>
      </c>
      <c r="U50" s="179">
        <f t="shared" si="2"/>
        <v>0.41527777777777769</v>
      </c>
      <c r="V50" s="261"/>
      <c r="W50" s="180">
        <v>6.9444444444444441E-3</v>
      </c>
      <c r="X50" s="181"/>
      <c r="Y50" s="182">
        <f>IF(L50=0,0,IF(L50=1,X50+#REF!,IF(L50=2,X50+$Z$36,IF(L50=3,X50+$Z$35,IF(L50=4,X50+#REF!,0)))))</f>
        <v>0.5</v>
      </c>
      <c r="Z50" s="157"/>
      <c r="AA50" s="143"/>
      <c r="AB50" s="143"/>
      <c r="AC50" s="143"/>
      <c r="AD50" s="143"/>
      <c r="AE50" s="143"/>
      <c r="AF50" s="143"/>
    </row>
    <row r="51" spans="2:32" x14ac:dyDescent="0.25">
      <c r="B51" s="164">
        <v>63</v>
      </c>
      <c r="C51" s="7">
        <v>39</v>
      </c>
      <c r="D51" s="221" t="s">
        <v>439</v>
      </c>
      <c r="E51" s="167" t="s">
        <v>271</v>
      </c>
      <c r="F51" s="168" t="s">
        <v>14</v>
      </c>
      <c r="G51" s="169" t="s">
        <v>331</v>
      </c>
      <c r="H51" s="170" t="s">
        <v>222</v>
      </c>
      <c r="I51" s="171" t="s">
        <v>193</v>
      </c>
      <c r="J51" s="172" t="str">
        <f t="shared" si="3"/>
        <v>R</v>
      </c>
      <c r="K51" s="173">
        <v>2</v>
      </c>
      <c r="L51" s="174">
        <v>1</v>
      </c>
      <c r="M51" s="175" t="s">
        <v>29</v>
      </c>
      <c r="N51" s="176">
        <v>3</v>
      </c>
      <c r="O51" s="177">
        <v>6</v>
      </c>
      <c r="P51" s="175" t="s">
        <v>29</v>
      </c>
      <c r="Q51" s="135">
        <v>1</v>
      </c>
      <c r="R51" s="176">
        <v>5</v>
      </c>
      <c r="S51" s="169" t="s">
        <v>29</v>
      </c>
      <c r="T51" s="178">
        <v>6</v>
      </c>
      <c r="U51" s="179">
        <v>0.41666666666666669</v>
      </c>
      <c r="V51" s="133">
        <v>0.41666666666666669</v>
      </c>
      <c r="W51" s="180">
        <v>4.1666666666666664E-2</v>
      </c>
      <c r="X51" s="181"/>
      <c r="Y51" s="182" t="e">
        <f>IF(L51=0,0,IF(L51=1,X51+#REF!,IF(L51=2,X51+$Z$36,IF(L51=3,X51+$Z$35,IF(L51=4,X51+#REF!,0)))))</f>
        <v>#REF!</v>
      </c>
      <c r="Z51" s="157"/>
      <c r="AA51" s="143"/>
      <c r="AB51" s="143"/>
      <c r="AC51" s="143"/>
      <c r="AD51" s="143"/>
      <c r="AE51" s="143"/>
      <c r="AF51" s="143"/>
    </row>
    <row r="52" spans="2:32" x14ac:dyDescent="0.25">
      <c r="B52" s="164">
        <v>18</v>
      </c>
      <c r="C52" s="7">
        <v>40</v>
      </c>
      <c r="D52" s="221" t="s">
        <v>440</v>
      </c>
      <c r="E52" s="167" t="s">
        <v>272</v>
      </c>
      <c r="F52" s="168" t="s">
        <v>13</v>
      </c>
      <c r="G52" s="169" t="s">
        <v>331</v>
      </c>
      <c r="H52" s="170" t="s">
        <v>222</v>
      </c>
      <c r="I52" s="171" t="s">
        <v>193</v>
      </c>
      <c r="J52" s="172" t="str">
        <f t="shared" si="3"/>
        <v>R</v>
      </c>
      <c r="K52" s="173">
        <v>3</v>
      </c>
      <c r="L52" s="174">
        <v>1</v>
      </c>
      <c r="M52" s="175" t="s">
        <v>29</v>
      </c>
      <c r="N52" s="176">
        <v>5</v>
      </c>
      <c r="O52" s="177">
        <v>7</v>
      </c>
      <c r="P52" s="175" t="s">
        <v>29</v>
      </c>
      <c r="Q52" s="135">
        <v>1</v>
      </c>
      <c r="R52" s="176">
        <v>7</v>
      </c>
      <c r="S52" s="169" t="s">
        <v>29</v>
      </c>
      <c r="T52" s="178">
        <v>6</v>
      </c>
      <c r="U52" s="179">
        <v>0.41666666666666669</v>
      </c>
      <c r="V52" s="133">
        <v>0.41666666666666669</v>
      </c>
      <c r="W52" s="180">
        <v>2.0833333333333332E-2</v>
      </c>
      <c r="X52" s="181"/>
      <c r="Y52" s="182" t="e">
        <f>IF(L52=0,0,IF(L52=1,X52+#REF!,IF(L52=2,X52+$Z$36,IF(L52=3,X52+$Z$35,IF(L52=4,X52+#REF!,0)))))</f>
        <v>#REF!</v>
      </c>
      <c r="Z52" s="157"/>
      <c r="AA52" s="143"/>
      <c r="AB52" s="143"/>
      <c r="AC52" s="143"/>
      <c r="AD52" s="143"/>
      <c r="AE52" s="143"/>
      <c r="AF52" s="143"/>
    </row>
    <row r="53" spans="2:32" ht="30" x14ac:dyDescent="0.25">
      <c r="B53" s="164"/>
      <c r="C53" s="7">
        <v>41</v>
      </c>
      <c r="D53" s="218" t="s">
        <v>468</v>
      </c>
      <c r="E53" s="167" t="s">
        <v>273</v>
      </c>
      <c r="F53" s="168" t="s">
        <v>15</v>
      </c>
      <c r="G53" s="169" t="s">
        <v>420</v>
      </c>
      <c r="H53" s="170" t="s">
        <v>222</v>
      </c>
      <c r="I53" s="171" t="s">
        <v>193</v>
      </c>
      <c r="J53" s="172" t="str">
        <f t="shared" si="3"/>
        <v>R</v>
      </c>
      <c r="K53" s="173">
        <v>3</v>
      </c>
      <c r="L53" s="174">
        <v>0</v>
      </c>
      <c r="M53" s="175" t="s">
        <v>29</v>
      </c>
      <c r="N53" s="176">
        <v>5</v>
      </c>
      <c r="O53" s="177">
        <v>10</v>
      </c>
      <c r="P53" s="175"/>
      <c r="Q53" s="135"/>
      <c r="R53" s="176"/>
      <c r="S53" s="169" t="s">
        <v>29</v>
      </c>
      <c r="T53" s="178">
        <v>5</v>
      </c>
      <c r="U53" s="179">
        <f t="shared" si="2"/>
        <v>0.4375</v>
      </c>
      <c r="V53" s="133" t="s">
        <v>358</v>
      </c>
      <c r="W53" s="180">
        <v>2.0833333333333332E-2</v>
      </c>
      <c r="X53" s="181"/>
      <c r="Y53" s="182">
        <f>IF(L53=0,0,IF(L53=1,X53+#REF!,IF(L53=2,X53+$Z$36,IF(L53=3,X53+$Z$35,IF(L53=4,X53+#REF!,0)))))</f>
        <v>0</v>
      </c>
      <c r="Z53" s="157"/>
      <c r="AA53" s="143"/>
      <c r="AB53" s="143"/>
      <c r="AC53" s="143"/>
      <c r="AD53" s="143"/>
      <c r="AE53" s="143"/>
      <c r="AF53" s="143"/>
    </row>
    <row r="54" spans="2:32" ht="15.75" thickBot="1" x14ac:dyDescent="0.3">
      <c r="B54" s="183"/>
      <c r="C54" s="7">
        <v>42</v>
      </c>
      <c r="D54" s="184" t="s">
        <v>209</v>
      </c>
      <c r="E54" s="167" t="s">
        <v>274</v>
      </c>
      <c r="F54" s="168" t="s">
        <v>412</v>
      </c>
      <c r="G54" s="169" t="s">
        <v>334</v>
      </c>
      <c r="H54" s="170" t="s">
        <v>222</v>
      </c>
      <c r="I54" s="171" t="s">
        <v>193</v>
      </c>
      <c r="J54" s="172" t="str">
        <f t="shared" si="3"/>
        <v>R</v>
      </c>
      <c r="K54" s="173">
        <v>1</v>
      </c>
      <c r="L54" s="174">
        <v>2</v>
      </c>
      <c r="M54" s="175" t="s">
        <v>29</v>
      </c>
      <c r="N54" s="176">
        <v>10</v>
      </c>
      <c r="O54" s="177">
        <v>8</v>
      </c>
      <c r="P54" s="175"/>
      <c r="Q54" s="135"/>
      <c r="R54" s="176"/>
      <c r="S54" s="169" t="s">
        <v>29</v>
      </c>
      <c r="T54" s="178">
        <v>8</v>
      </c>
      <c r="U54" s="179">
        <v>0.41666666666666669</v>
      </c>
      <c r="V54" s="133">
        <v>0.41666666666666669</v>
      </c>
      <c r="W54" s="180">
        <v>8.3333333333333329E-2</v>
      </c>
      <c r="X54" s="181"/>
      <c r="Y54" s="182">
        <f>IF(L54=0,0,IF(L54=1,X54+#REF!,IF(L54=2,X54+$Z$36,IF(L54=3,X54+$Z$35,IF(L54=4,X54+#REF!,0)))))</f>
        <v>0.5</v>
      </c>
      <c r="Z54" s="157"/>
      <c r="AA54" s="143"/>
      <c r="AB54" s="143"/>
      <c r="AC54" s="143"/>
      <c r="AD54" s="143"/>
      <c r="AE54" s="143"/>
      <c r="AF54" s="143"/>
    </row>
    <row r="55" spans="2:32" x14ac:dyDescent="0.25">
      <c r="B55" s="164">
        <v>27</v>
      </c>
      <c r="C55" s="7">
        <v>43</v>
      </c>
      <c r="D55" s="221" t="s">
        <v>450</v>
      </c>
      <c r="E55" s="167" t="s">
        <v>275</v>
      </c>
      <c r="F55" s="168" t="s">
        <v>203</v>
      </c>
      <c r="G55" s="169" t="s">
        <v>335</v>
      </c>
      <c r="H55" s="170" t="s">
        <v>366</v>
      </c>
      <c r="I55" s="171" t="s">
        <v>194</v>
      </c>
      <c r="J55" s="172" t="str">
        <f t="shared" si="0"/>
        <v>R</v>
      </c>
      <c r="K55" s="173">
        <v>-1</v>
      </c>
      <c r="L55" s="174">
        <v>3</v>
      </c>
      <c r="M55" s="175" t="s">
        <v>29</v>
      </c>
      <c r="N55" s="176">
        <v>3</v>
      </c>
      <c r="O55" s="177">
        <v>6</v>
      </c>
      <c r="P55" s="175"/>
      <c r="Q55" s="135"/>
      <c r="R55" s="176"/>
      <c r="S55" s="169" t="s">
        <v>29</v>
      </c>
      <c r="T55" s="178">
        <v>5</v>
      </c>
      <c r="U55" s="179">
        <v>0.4375</v>
      </c>
      <c r="V55" s="133">
        <v>0.4375</v>
      </c>
      <c r="W55" s="180">
        <v>2.0833333333333332E-2</v>
      </c>
      <c r="X55" s="181"/>
      <c r="Y55" s="182">
        <f>IF(L55=0,0,IF(L55=1,X55+#REF!,IF(L55=2,X55+$Z$36,IF(L55=3,X55+$Z$35,IF(L55=4,X55+#REF!,0)))))</f>
        <v>0.99930555555555556</v>
      </c>
      <c r="Z55" s="157"/>
      <c r="AA55" s="143"/>
      <c r="AB55" s="143"/>
      <c r="AC55" s="143"/>
      <c r="AD55" s="143"/>
      <c r="AE55" s="143"/>
      <c r="AF55" s="143"/>
    </row>
    <row r="56" spans="2:32" x14ac:dyDescent="0.25">
      <c r="B56" s="186">
        <v>67</v>
      </c>
      <c r="C56" s="7">
        <v>44</v>
      </c>
      <c r="D56" s="184" t="s">
        <v>209</v>
      </c>
      <c r="E56" s="167" t="s">
        <v>276</v>
      </c>
      <c r="F56" s="168" t="s">
        <v>395</v>
      </c>
      <c r="G56" s="169" t="s">
        <v>334</v>
      </c>
      <c r="H56" s="170" t="s">
        <v>424</v>
      </c>
      <c r="I56" s="171" t="s">
        <v>193</v>
      </c>
      <c r="J56" s="172" t="str">
        <f>IF(X56&gt;0,IF(Y56-X56&gt;0,"I","R"),"R")</f>
        <v>R</v>
      </c>
      <c r="K56" s="173">
        <v>-1</v>
      </c>
      <c r="L56" s="174">
        <v>3</v>
      </c>
      <c r="M56" s="175" t="s">
        <v>29</v>
      </c>
      <c r="N56" s="176">
        <v>5</v>
      </c>
      <c r="O56" s="177">
        <v>3</v>
      </c>
      <c r="P56" s="175"/>
      <c r="Q56" s="135"/>
      <c r="R56" s="176"/>
      <c r="S56" s="169" t="s">
        <v>29</v>
      </c>
      <c r="T56" s="178">
        <v>3</v>
      </c>
      <c r="U56" s="179">
        <v>0.4375</v>
      </c>
      <c r="V56" s="133">
        <v>0.4375</v>
      </c>
      <c r="W56" s="180">
        <v>4.1666666666666664E-2</v>
      </c>
      <c r="X56" s="181"/>
      <c r="Y56" s="182">
        <f>IF(L56=0,0,IF(L56=1,X56+#REF!,IF(L56=2,X56+$Z$36,IF(L56=3,X56+$Z$35,IF(L56=4,X56+#REF!,0)))))</f>
        <v>0.99930555555555556</v>
      </c>
      <c r="Z56" s="157"/>
      <c r="AA56" s="143"/>
      <c r="AB56" s="143"/>
      <c r="AC56" s="143"/>
      <c r="AD56" s="143"/>
      <c r="AE56" s="143"/>
      <c r="AF56" s="143"/>
    </row>
    <row r="57" spans="2:32" ht="30" x14ac:dyDescent="0.25">
      <c r="B57" s="164">
        <v>34</v>
      </c>
      <c r="C57" s="7">
        <v>45</v>
      </c>
      <c r="D57" s="184" t="s">
        <v>471</v>
      </c>
      <c r="E57" s="167" t="s">
        <v>277</v>
      </c>
      <c r="F57" s="168" t="s">
        <v>397</v>
      </c>
      <c r="G57" s="169" t="s">
        <v>414</v>
      </c>
      <c r="H57" s="170" t="s">
        <v>222</v>
      </c>
      <c r="I57" s="171" t="s">
        <v>192</v>
      </c>
      <c r="J57" s="172" t="str">
        <f t="shared" si="0"/>
        <v>R</v>
      </c>
      <c r="K57" s="173">
        <v>3</v>
      </c>
      <c r="L57" s="174">
        <v>0</v>
      </c>
      <c r="M57" s="175" t="s">
        <v>29</v>
      </c>
      <c r="N57" s="176">
        <v>5</v>
      </c>
      <c r="O57" s="177">
        <v>8</v>
      </c>
      <c r="P57" s="175" t="s">
        <v>29</v>
      </c>
      <c r="Q57" s="135">
        <v>1</v>
      </c>
      <c r="R57" s="176">
        <v>8</v>
      </c>
      <c r="S57" s="169" t="s">
        <v>29</v>
      </c>
      <c r="T57" s="178">
        <v>8</v>
      </c>
      <c r="U57" s="179">
        <v>0.5</v>
      </c>
      <c r="V57" s="133">
        <v>0.5</v>
      </c>
      <c r="W57" s="180">
        <v>1.3888888888888888E-2</v>
      </c>
      <c r="X57" s="181"/>
      <c r="Y57" s="182">
        <f>IF(L57=0,0,IF(L57=1,X57+#REF!,IF(L57=2,X57+$Z$36,IF(L57=3,X57+$Z$35,IF(L57=4,X57+#REF!,0)))))</f>
        <v>0</v>
      </c>
      <c r="Z57" s="157"/>
      <c r="AA57" s="143"/>
      <c r="AB57" s="143"/>
      <c r="AC57" s="143"/>
      <c r="AD57" s="143"/>
      <c r="AE57" s="143"/>
      <c r="AF57" s="143"/>
    </row>
    <row r="58" spans="2:32" ht="30" x14ac:dyDescent="0.25">
      <c r="B58" s="164">
        <v>65</v>
      </c>
      <c r="C58" s="7">
        <v>46</v>
      </c>
      <c r="D58" s="221" t="s">
        <v>451</v>
      </c>
      <c r="E58" s="167" t="s">
        <v>278</v>
      </c>
      <c r="F58" s="168" t="s">
        <v>399</v>
      </c>
      <c r="G58" s="169" t="s">
        <v>335</v>
      </c>
      <c r="H58" s="170" t="s">
        <v>422</v>
      </c>
      <c r="I58" s="171" t="s">
        <v>193</v>
      </c>
      <c r="J58" s="172" t="str">
        <f>IF(X58&gt;0,IF(Y58-X58&gt;0,"I","R"),"R")</f>
        <v>R</v>
      </c>
      <c r="K58" s="173">
        <v>-1</v>
      </c>
      <c r="L58" s="174">
        <v>3</v>
      </c>
      <c r="M58" s="175" t="s">
        <v>29</v>
      </c>
      <c r="N58" s="176">
        <v>3</v>
      </c>
      <c r="O58" s="177">
        <v>5</v>
      </c>
      <c r="P58" s="175"/>
      <c r="Q58" s="135"/>
      <c r="R58" s="176"/>
      <c r="S58" s="169" t="s">
        <v>29</v>
      </c>
      <c r="T58" s="178">
        <v>4</v>
      </c>
      <c r="U58" s="179">
        <v>0.50208333333333333</v>
      </c>
      <c r="V58" s="133">
        <v>0.52083333333333337</v>
      </c>
      <c r="W58" s="180">
        <v>2.0833333333333332E-2</v>
      </c>
      <c r="X58" s="181"/>
      <c r="Y58" s="182">
        <f>IF(L58=0,0,IF(L58=1,X58+#REF!,IF(L58=2,X58+$Z$36,IF(L58=3,X58+$Z$35,IF(L58=4,X58+#REF!,0)))))</f>
        <v>0.99930555555555556</v>
      </c>
      <c r="Z58" s="157"/>
      <c r="AA58" s="143"/>
      <c r="AB58" s="143"/>
      <c r="AC58" s="143"/>
      <c r="AD58" s="143"/>
      <c r="AE58" s="143"/>
      <c r="AF58" s="143"/>
    </row>
    <row r="59" spans="2:32" ht="30" x14ac:dyDescent="0.25">
      <c r="B59" s="164">
        <v>61</v>
      </c>
      <c r="C59" s="7">
        <v>47</v>
      </c>
      <c r="D59" s="221" t="s">
        <v>441</v>
      </c>
      <c r="E59" s="167" t="s">
        <v>279</v>
      </c>
      <c r="F59" s="168" t="s">
        <v>16</v>
      </c>
      <c r="G59" s="169" t="s">
        <v>327</v>
      </c>
      <c r="H59" s="170" t="s">
        <v>423</v>
      </c>
      <c r="I59" s="171" t="s">
        <v>192</v>
      </c>
      <c r="J59" s="172" t="str">
        <f t="shared" si="0"/>
        <v>R</v>
      </c>
      <c r="K59" s="173">
        <v>-1</v>
      </c>
      <c r="L59" s="174">
        <v>3</v>
      </c>
      <c r="M59" s="175" t="s">
        <v>29</v>
      </c>
      <c r="N59" s="176">
        <v>8</v>
      </c>
      <c r="O59" s="177">
        <v>6</v>
      </c>
      <c r="P59" s="175"/>
      <c r="Q59" s="135"/>
      <c r="R59" s="176"/>
      <c r="S59" s="169" t="s">
        <v>29</v>
      </c>
      <c r="T59" s="178">
        <v>5</v>
      </c>
      <c r="U59" s="179">
        <f t="shared" si="2"/>
        <v>0.5229166666666667</v>
      </c>
      <c r="V59" s="133">
        <v>0.52083333333333337</v>
      </c>
      <c r="W59" s="180">
        <v>3.125E-2</v>
      </c>
      <c r="X59" s="181"/>
      <c r="Y59" s="182">
        <f>IF(L59=0,0,IF(L59=1,X59+#REF!,IF(L59=2,X59+$Z$36,IF(L59=3,X59+$Z$35,IF(L59=4,X59+#REF!,0)))))</f>
        <v>0.99930555555555556</v>
      </c>
      <c r="Z59" s="157"/>
      <c r="AA59" s="143"/>
      <c r="AB59" s="143"/>
      <c r="AC59" s="143"/>
      <c r="AD59" s="143"/>
      <c r="AE59" s="143"/>
      <c r="AF59" s="143"/>
    </row>
    <row r="60" spans="2:32" ht="30" x14ac:dyDescent="0.25">
      <c r="B60" s="164">
        <v>35</v>
      </c>
      <c r="C60" s="7">
        <v>48</v>
      </c>
      <c r="D60" s="184" t="s">
        <v>209</v>
      </c>
      <c r="E60" s="167" t="s">
        <v>432</v>
      </c>
      <c r="F60" s="168" t="s">
        <v>398</v>
      </c>
      <c r="G60" s="169" t="s">
        <v>334</v>
      </c>
      <c r="H60" s="170" t="s">
        <v>222</v>
      </c>
      <c r="I60" s="171" t="s">
        <v>194</v>
      </c>
      <c r="J60" s="172" t="str">
        <f>IF(X60&gt;0,IF(Y60-X60&gt;0,"I","R"),"R")</f>
        <v>R</v>
      </c>
      <c r="K60" s="173">
        <v>3</v>
      </c>
      <c r="L60" s="174">
        <v>0</v>
      </c>
      <c r="M60" s="175" t="s">
        <v>29</v>
      </c>
      <c r="N60" s="176">
        <v>5</v>
      </c>
      <c r="O60" s="177">
        <v>8</v>
      </c>
      <c r="P60" s="175"/>
      <c r="Q60" s="135"/>
      <c r="R60" s="176"/>
      <c r="S60" s="169" t="s">
        <v>29</v>
      </c>
      <c r="T60" s="178">
        <v>5</v>
      </c>
      <c r="U60" s="179">
        <f t="shared" si="2"/>
        <v>0.5541666666666667</v>
      </c>
      <c r="V60" s="133">
        <v>0.54166666666666663</v>
      </c>
      <c r="W60" s="180">
        <v>2.0833333333333332E-2</v>
      </c>
      <c r="X60" s="181"/>
      <c r="Y60" s="182">
        <f>IF(L60=0,0,IF(L60=1,X60+#REF!,IF(L60=2,X60+$Z$36,IF(L60=3,X60+$Z$35,IF(L60=4,X60+#REF!,0)))))</f>
        <v>0</v>
      </c>
      <c r="Z60" s="157"/>
      <c r="AA60" s="143"/>
      <c r="AB60" s="143"/>
      <c r="AC60" s="143"/>
      <c r="AD60" s="143"/>
      <c r="AE60" s="143"/>
      <c r="AF60" s="143"/>
    </row>
    <row r="61" spans="2:32" x14ac:dyDescent="0.25">
      <c r="B61" s="164">
        <v>4</v>
      </c>
      <c r="C61" s="7">
        <v>49</v>
      </c>
      <c r="D61" s="184" t="s">
        <v>209</v>
      </c>
      <c r="E61" s="167" t="s">
        <v>280</v>
      </c>
      <c r="F61" s="168" t="s">
        <v>17</v>
      </c>
      <c r="G61" s="169" t="s">
        <v>334</v>
      </c>
      <c r="H61" s="170" t="s">
        <v>222</v>
      </c>
      <c r="I61" s="171" t="s">
        <v>193</v>
      </c>
      <c r="J61" s="172" t="str">
        <f t="shared" si="0"/>
        <v>R</v>
      </c>
      <c r="K61" s="173">
        <v>-1</v>
      </c>
      <c r="L61" s="174">
        <v>3</v>
      </c>
      <c r="M61" s="175" t="s">
        <v>29</v>
      </c>
      <c r="N61" s="176">
        <v>5</v>
      </c>
      <c r="O61" s="177">
        <v>5</v>
      </c>
      <c r="P61" s="175"/>
      <c r="Q61" s="135"/>
      <c r="R61" s="176"/>
      <c r="S61" s="169" t="s">
        <v>29</v>
      </c>
      <c r="T61" s="178">
        <v>3</v>
      </c>
      <c r="U61" s="179">
        <f t="shared" si="2"/>
        <v>0.57500000000000007</v>
      </c>
      <c r="V61" s="133">
        <v>0.5625</v>
      </c>
      <c r="W61" s="180">
        <v>8.3333333333333329E-2</v>
      </c>
      <c r="X61" s="181"/>
      <c r="Y61" s="182">
        <f>IF(L61=0,0,IF(L61=1,X61+#REF!,IF(L61=2,X61+$Z$36,IF(L61=3,X61+$Z$35,IF(L61=4,X61+#REF!,0)))))</f>
        <v>0.99930555555555556</v>
      </c>
      <c r="Z61" s="157"/>
      <c r="AA61" s="143"/>
      <c r="AB61" s="143"/>
      <c r="AC61" s="143"/>
      <c r="AD61" s="143"/>
      <c r="AE61" s="143"/>
      <c r="AF61" s="143"/>
    </row>
    <row r="62" spans="2:32" ht="30" x14ac:dyDescent="0.25">
      <c r="B62" s="164">
        <v>4</v>
      </c>
      <c r="C62" s="7">
        <v>50</v>
      </c>
      <c r="D62" s="184" t="s">
        <v>209</v>
      </c>
      <c r="E62" s="167" t="s">
        <v>281</v>
      </c>
      <c r="F62" s="168" t="s">
        <v>400</v>
      </c>
      <c r="G62" s="169" t="s">
        <v>334</v>
      </c>
      <c r="H62" s="170" t="s">
        <v>222</v>
      </c>
      <c r="I62" s="171" t="s">
        <v>193</v>
      </c>
      <c r="J62" s="172" t="str">
        <f t="shared" si="0"/>
        <v>R</v>
      </c>
      <c r="K62" s="173">
        <v>3</v>
      </c>
      <c r="L62" s="174">
        <v>0</v>
      </c>
      <c r="M62" s="175" t="s">
        <v>29</v>
      </c>
      <c r="N62" s="176">
        <v>6</v>
      </c>
      <c r="O62" s="177">
        <v>7</v>
      </c>
      <c r="P62" s="175"/>
      <c r="Q62" s="135"/>
      <c r="R62" s="176"/>
      <c r="S62" s="169" t="s">
        <v>29</v>
      </c>
      <c r="T62" s="178">
        <v>5</v>
      </c>
      <c r="U62" s="179">
        <f t="shared" si="2"/>
        <v>0.65833333333333344</v>
      </c>
      <c r="V62" s="133">
        <v>0.58333333333333337</v>
      </c>
      <c r="W62" s="180">
        <v>4.1666666666666664E-2</v>
      </c>
      <c r="X62" s="181"/>
      <c r="Y62" s="182">
        <f>IF(L62=0,0,IF(L62=1,X62+#REF!,IF(L62=2,X62+$Z$36,IF(L62=3,X62+$Z$35,IF(L62=4,X62+#REF!,0)))))</f>
        <v>0</v>
      </c>
      <c r="Z62" s="157"/>
      <c r="AA62" s="143"/>
      <c r="AB62" s="143"/>
      <c r="AC62" s="143"/>
      <c r="AD62" s="143"/>
      <c r="AE62" s="143"/>
      <c r="AF62" s="143"/>
    </row>
    <row r="63" spans="2:32" ht="30" x14ac:dyDescent="0.25">
      <c r="B63" s="164">
        <v>44</v>
      </c>
      <c r="C63" s="7">
        <v>51</v>
      </c>
      <c r="D63" s="184" t="s">
        <v>209</v>
      </c>
      <c r="E63" s="167" t="s">
        <v>282</v>
      </c>
      <c r="F63" s="168" t="s">
        <v>401</v>
      </c>
      <c r="G63" s="169" t="s">
        <v>414</v>
      </c>
      <c r="H63" s="170" t="s">
        <v>222</v>
      </c>
      <c r="I63" s="171" t="s">
        <v>194</v>
      </c>
      <c r="J63" s="172" t="str">
        <f t="shared" si="0"/>
        <v>R</v>
      </c>
      <c r="K63" s="173">
        <v>3</v>
      </c>
      <c r="L63" s="174">
        <v>0</v>
      </c>
      <c r="M63" s="175" t="s">
        <v>29</v>
      </c>
      <c r="N63" s="176">
        <v>5</v>
      </c>
      <c r="O63" s="177">
        <v>8</v>
      </c>
      <c r="P63" s="175"/>
      <c r="Q63" s="135"/>
      <c r="R63" s="176"/>
      <c r="S63" s="169" t="s">
        <v>29</v>
      </c>
      <c r="T63" s="178">
        <v>8</v>
      </c>
      <c r="U63" s="179">
        <f t="shared" si="2"/>
        <v>0.70000000000000007</v>
      </c>
      <c r="V63" s="133">
        <v>0.625</v>
      </c>
      <c r="W63" s="180">
        <v>6.9444444444444441E-3</v>
      </c>
      <c r="X63" s="181"/>
      <c r="Y63" s="182">
        <f>IF(L63=0,0,IF(L63=1,X63+#REF!,IF(L63=2,X63+$Z$36,IF(L63=3,X63+$Z$35,IF(L63=4,X63+#REF!,0)))))</f>
        <v>0</v>
      </c>
      <c r="Z63" s="157"/>
      <c r="AA63" s="143"/>
      <c r="AB63" s="143"/>
      <c r="AC63" s="143"/>
      <c r="AD63" s="143"/>
      <c r="AE63" s="143"/>
      <c r="AF63" s="143"/>
    </row>
    <row r="64" spans="2:32" ht="30" x14ac:dyDescent="0.25">
      <c r="B64" s="164">
        <v>47</v>
      </c>
      <c r="C64" s="7">
        <v>52</v>
      </c>
      <c r="D64" s="184" t="s">
        <v>211</v>
      </c>
      <c r="E64" s="167" t="s">
        <v>283</v>
      </c>
      <c r="F64" s="168" t="s">
        <v>402</v>
      </c>
      <c r="G64" s="169" t="s">
        <v>329</v>
      </c>
      <c r="H64" s="170" t="s">
        <v>424</v>
      </c>
      <c r="I64" s="171" t="s">
        <v>193</v>
      </c>
      <c r="J64" s="172" t="str">
        <f t="shared" si="0"/>
        <v>R</v>
      </c>
      <c r="K64" s="173">
        <v>-1</v>
      </c>
      <c r="L64" s="174">
        <v>3</v>
      </c>
      <c r="M64" s="175" t="s">
        <v>29</v>
      </c>
      <c r="N64" s="176">
        <v>8</v>
      </c>
      <c r="O64" s="177">
        <v>7</v>
      </c>
      <c r="P64" s="175"/>
      <c r="Q64" s="135"/>
      <c r="R64" s="176"/>
      <c r="S64" s="169" t="s">
        <v>29</v>
      </c>
      <c r="T64" s="178">
        <v>8</v>
      </c>
      <c r="U64" s="179">
        <f t="shared" si="2"/>
        <v>0.70694444444444449</v>
      </c>
      <c r="V64" s="133">
        <v>0.64583333333333337</v>
      </c>
      <c r="W64" s="180">
        <v>3.125E-2</v>
      </c>
      <c r="X64" s="181"/>
      <c r="Y64" s="182">
        <f>IF(L64=0,0,IF(L64=1,X64+#REF!,IF(L64=2,X64+$Z$36,IF(L64=3,X64+$Z$35,IF(L64=4,X64+#REF!,0)))))</f>
        <v>0.99930555555555556</v>
      </c>
      <c r="Z64" s="157"/>
      <c r="AA64" s="143"/>
      <c r="AB64" s="143"/>
      <c r="AC64" s="143"/>
      <c r="AD64" s="143"/>
      <c r="AE64" s="143"/>
      <c r="AF64" s="143"/>
    </row>
    <row r="65" spans="2:32" ht="30" x14ac:dyDescent="0.25">
      <c r="B65" s="164">
        <v>4</v>
      </c>
      <c r="C65" s="7">
        <v>53</v>
      </c>
      <c r="D65" s="184" t="s">
        <v>209</v>
      </c>
      <c r="E65" s="167" t="s">
        <v>284</v>
      </c>
      <c r="F65" s="168" t="s">
        <v>25</v>
      </c>
      <c r="G65" s="169" t="s">
        <v>329</v>
      </c>
      <c r="H65" s="170" t="s">
        <v>222</v>
      </c>
      <c r="I65" s="171" t="s">
        <v>193</v>
      </c>
      <c r="J65" s="172" t="str">
        <f t="shared" ref="J65:J89" si="4">IF(X65&gt;0,IF(Y65-X65&gt;0,"I","R"),"R")</f>
        <v>R</v>
      </c>
      <c r="K65" s="173">
        <v>3</v>
      </c>
      <c r="L65" s="174">
        <v>0</v>
      </c>
      <c r="M65" s="175" t="s">
        <v>29</v>
      </c>
      <c r="N65" s="176">
        <v>10</v>
      </c>
      <c r="O65" s="177">
        <v>9</v>
      </c>
      <c r="P65" s="175"/>
      <c r="Q65" s="135"/>
      <c r="R65" s="176"/>
      <c r="S65" s="169" t="s">
        <v>29</v>
      </c>
      <c r="T65" s="178">
        <v>7</v>
      </c>
      <c r="U65" s="179">
        <v>0.66666666666666663</v>
      </c>
      <c r="V65" s="133">
        <v>0.66666666666666663</v>
      </c>
      <c r="W65" s="180">
        <v>2.0833333333333332E-2</v>
      </c>
      <c r="X65" s="181"/>
      <c r="Y65" s="182">
        <f>IF(L65=0,0,IF(L65=1,X65+#REF!,IF(L65=2,X65+$Z$36,IF(L65=3,X65+$Z$35,IF(L65=4,X65+#REF!,0)))))</f>
        <v>0</v>
      </c>
      <c r="Z65" s="157"/>
      <c r="AA65" s="143"/>
      <c r="AB65" s="143"/>
      <c r="AC65" s="143"/>
      <c r="AD65" s="143"/>
      <c r="AE65" s="143"/>
      <c r="AF65" s="143"/>
    </row>
    <row r="66" spans="2:32" x14ac:dyDescent="0.25">
      <c r="B66" s="164">
        <v>52</v>
      </c>
      <c r="C66" s="7">
        <v>54</v>
      </c>
      <c r="D66" s="218" t="s">
        <v>324</v>
      </c>
      <c r="E66" s="167" t="s">
        <v>285</v>
      </c>
      <c r="F66" s="168" t="s">
        <v>23</v>
      </c>
      <c r="G66" s="169" t="s">
        <v>420</v>
      </c>
      <c r="H66" s="170" t="s">
        <v>222</v>
      </c>
      <c r="I66" s="171" t="s">
        <v>192</v>
      </c>
      <c r="J66" s="172" t="str">
        <f t="shared" si="4"/>
        <v>R</v>
      </c>
      <c r="K66" s="173">
        <v>3</v>
      </c>
      <c r="L66" s="174">
        <v>0</v>
      </c>
      <c r="M66" s="175" t="s">
        <v>29</v>
      </c>
      <c r="N66" s="176">
        <v>4</v>
      </c>
      <c r="O66" s="177">
        <v>10</v>
      </c>
      <c r="P66" s="175" t="s">
        <v>29</v>
      </c>
      <c r="Q66" s="135">
        <v>1</v>
      </c>
      <c r="R66" s="176">
        <v>8</v>
      </c>
      <c r="S66" s="169" t="s">
        <v>29</v>
      </c>
      <c r="T66" s="178">
        <v>6</v>
      </c>
      <c r="U66" s="179">
        <v>0.66666666666666663</v>
      </c>
      <c r="V66" s="133">
        <v>0.66666666666666663</v>
      </c>
      <c r="W66" s="180">
        <v>1.3888888888888888E-2</v>
      </c>
      <c r="X66" s="181"/>
      <c r="Y66" s="182">
        <f>IF(L66=0,0,IF(L66=1,X66+#REF!,IF(L66=2,X66+$Z$36,IF(L66=3,X66+$Z$35,IF(L66=4,X66+#REF!,0)))))</f>
        <v>0</v>
      </c>
      <c r="Z66" s="157"/>
      <c r="AA66" s="143"/>
      <c r="AB66" s="143"/>
      <c r="AC66" s="143"/>
      <c r="AD66" s="143"/>
      <c r="AE66" s="143"/>
      <c r="AF66" s="143"/>
    </row>
    <row r="67" spans="2:32" ht="30" x14ac:dyDescent="0.25">
      <c r="B67" s="186">
        <v>45</v>
      </c>
      <c r="C67" s="7">
        <v>55</v>
      </c>
      <c r="D67" s="184" t="s">
        <v>209</v>
      </c>
      <c r="E67" s="167" t="s">
        <v>433</v>
      </c>
      <c r="F67" s="168" t="s">
        <v>226</v>
      </c>
      <c r="G67" s="169" t="s">
        <v>335</v>
      </c>
      <c r="H67" s="170" t="s">
        <v>222</v>
      </c>
      <c r="I67" s="171" t="s">
        <v>192</v>
      </c>
      <c r="J67" s="172" t="str">
        <f>IF(X67&gt;0,IF(Y67-X67&gt;0,"I","R"),"R")</f>
        <v>R</v>
      </c>
      <c r="K67" s="173">
        <v>2</v>
      </c>
      <c r="L67" s="174">
        <v>0</v>
      </c>
      <c r="M67" s="175" t="s">
        <v>29</v>
      </c>
      <c r="N67" s="176">
        <v>8</v>
      </c>
      <c r="O67" s="177">
        <v>10</v>
      </c>
      <c r="P67" s="175" t="s">
        <v>29</v>
      </c>
      <c r="Q67" s="135">
        <v>1</v>
      </c>
      <c r="R67" s="176">
        <v>8</v>
      </c>
      <c r="S67" s="169" t="s">
        <v>29</v>
      </c>
      <c r="T67" s="178">
        <v>7</v>
      </c>
      <c r="U67" s="179">
        <v>0.6875</v>
      </c>
      <c r="V67" s="133">
        <v>0.6875</v>
      </c>
      <c r="W67" s="180">
        <v>0.52083333333333337</v>
      </c>
      <c r="X67" s="181"/>
      <c r="Y67" s="182">
        <f>IF(L67=0,0,IF(L67=1,X67+#REF!,IF(L67=2,X67+$Z$36,IF(L67=3,X67+$Z$35,IF(L67=4,X67+#REF!,0)))))</f>
        <v>0</v>
      </c>
      <c r="Z67" s="157"/>
      <c r="AA67" s="143"/>
      <c r="AB67" s="143"/>
      <c r="AC67" s="143"/>
      <c r="AD67" s="143"/>
      <c r="AE67" s="143"/>
      <c r="AF67" s="143"/>
    </row>
    <row r="68" spans="2:32" ht="30" x14ac:dyDescent="0.25">
      <c r="B68" s="164"/>
      <c r="C68" s="7">
        <v>56</v>
      </c>
      <c r="D68" s="184" t="s">
        <v>471</v>
      </c>
      <c r="E68" s="167" t="s">
        <v>286</v>
      </c>
      <c r="F68" s="168" t="s">
        <v>403</v>
      </c>
      <c r="G68" s="169" t="s">
        <v>327</v>
      </c>
      <c r="H68" s="170" t="s">
        <v>222</v>
      </c>
      <c r="I68" s="171" t="s">
        <v>192</v>
      </c>
      <c r="J68" s="172" t="str">
        <f t="shared" si="4"/>
        <v>R</v>
      </c>
      <c r="K68" s="173">
        <v>3</v>
      </c>
      <c r="L68" s="174">
        <v>0</v>
      </c>
      <c r="M68" s="175" t="s">
        <v>29</v>
      </c>
      <c r="N68" s="176">
        <v>5</v>
      </c>
      <c r="O68" s="177">
        <v>8</v>
      </c>
      <c r="P68" s="175" t="s">
        <v>29</v>
      </c>
      <c r="Q68" s="135">
        <v>1</v>
      </c>
      <c r="R68" s="176"/>
      <c r="S68" s="169" t="s">
        <v>29</v>
      </c>
      <c r="T68" s="178">
        <v>8</v>
      </c>
      <c r="U68" s="179">
        <v>0.72916666666666663</v>
      </c>
      <c r="V68" s="133">
        <v>0.72916666666666663</v>
      </c>
      <c r="W68" s="180">
        <v>6.9444444444444441E-3</v>
      </c>
      <c r="X68" s="181"/>
      <c r="Y68" s="182">
        <f>IF(L68=0,0,IF(L68=1,X68+#REF!,IF(L68=2,X68+$Z$36,IF(L68=3,X68+$Z$35,IF(L68=4,X68+#REF!,0)))))</f>
        <v>0</v>
      </c>
      <c r="Z68" s="157"/>
      <c r="AA68" s="143"/>
      <c r="AB68" s="143"/>
      <c r="AC68" s="143"/>
      <c r="AD68" s="143"/>
      <c r="AE68" s="143"/>
      <c r="AF68" s="143"/>
    </row>
    <row r="69" spans="2:32" x14ac:dyDescent="0.25">
      <c r="B69" s="164">
        <v>64</v>
      </c>
      <c r="C69" s="7">
        <v>57</v>
      </c>
      <c r="D69" s="219" t="s">
        <v>472</v>
      </c>
      <c r="E69" s="167" t="s">
        <v>287</v>
      </c>
      <c r="F69" s="168" t="s">
        <v>404</v>
      </c>
      <c r="G69" s="169" t="s">
        <v>416</v>
      </c>
      <c r="H69" s="170" t="s">
        <v>222</v>
      </c>
      <c r="I69" s="171" t="s">
        <v>194</v>
      </c>
      <c r="J69" s="172" t="str">
        <f t="shared" si="4"/>
        <v>R</v>
      </c>
      <c r="K69" s="173">
        <v>3</v>
      </c>
      <c r="L69" s="174">
        <v>0</v>
      </c>
      <c r="M69" s="175" t="s">
        <v>29</v>
      </c>
      <c r="N69" s="176">
        <v>5</v>
      </c>
      <c r="O69" s="177">
        <v>8</v>
      </c>
      <c r="P69" s="175"/>
      <c r="Q69" s="135"/>
      <c r="R69" s="176"/>
      <c r="S69" s="169" t="s">
        <v>29</v>
      </c>
      <c r="T69" s="178">
        <v>5</v>
      </c>
      <c r="U69" s="179">
        <f t="shared" si="2"/>
        <v>0.73611111111111105</v>
      </c>
      <c r="V69" s="133" t="s">
        <v>427</v>
      </c>
      <c r="W69" s="180">
        <v>6.9444444444444441E-3</v>
      </c>
      <c r="X69" s="181"/>
      <c r="Y69" s="182">
        <f>IF(L69=0,0,IF(L69=1,X69+#REF!,IF(L69=2,X69+$Z$36,IF(L69=3,X69+$Z$35,IF(L69=4,X69+#REF!,0)))))</f>
        <v>0</v>
      </c>
      <c r="Z69" s="157"/>
      <c r="AA69" s="143"/>
      <c r="AB69" s="143"/>
      <c r="AC69" s="143"/>
      <c r="AD69" s="143"/>
      <c r="AE69" s="143"/>
      <c r="AF69" s="143"/>
    </row>
    <row r="70" spans="2:32" ht="30" x14ac:dyDescent="0.25">
      <c r="B70" s="164"/>
      <c r="C70" s="7">
        <v>58</v>
      </c>
      <c r="D70" s="184" t="s">
        <v>471</v>
      </c>
      <c r="E70" s="167" t="s">
        <v>288</v>
      </c>
      <c r="F70" s="168" t="s">
        <v>405</v>
      </c>
      <c r="G70" s="169" t="s">
        <v>414</v>
      </c>
      <c r="H70" s="170" t="s">
        <v>222</v>
      </c>
      <c r="I70" s="171" t="s">
        <v>192</v>
      </c>
      <c r="J70" s="172" t="str">
        <f t="shared" si="4"/>
        <v>R</v>
      </c>
      <c r="K70" s="173">
        <v>3</v>
      </c>
      <c r="L70" s="174">
        <v>0</v>
      </c>
      <c r="M70" s="175" t="s">
        <v>29</v>
      </c>
      <c r="N70" s="176">
        <v>5</v>
      </c>
      <c r="O70" s="177">
        <v>8</v>
      </c>
      <c r="P70" s="175" t="s">
        <v>29</v>
      </c>
      <c r="Q70" s="135">
        <v>1</v>
      </c>
      <c r="R70" s="176">
        <v>5</v>
      </c>
      <c r="S70" s="169" t="s">
        <v>29</v>
      </c>
      <c r="T70" s="178">
        <v>6</v>
      </c>
      <c r="U70" s="179">
        <v>0.75</v>
      </c>
      <c r="V70" s="133">
        <v>0.75</v>
      </c>
      <c r="W70" s="180">
        <v>1.3888888888888888E-2</v>
      </c>
      <c r="X70" s="181"/>
      <c r="Y70" s="182">
        <f>IF(L70=0,0,IF(L70=1,X70+#REF!,IF(L70=2,X70+$Z$36,IF(L70=3,X70+$Z$35,IF(L70=4,X70+#REF!,0)))))</f>
        <v>0</v>
      </c>
      <c r="Z70" s="157"/>
      <c r="AA70" s="143"/>
      <c r="AB70" s="143"/>
      <c r="AC70" s="143"/>
      <c r="AD70" s="143"/>
      <c r="AE70" s="143"/>
      <c r="AF70" s="143"/>
    </row>
    <row r="71" spans="2:32" x14ac:dyDescent="0.25">
      <c r="B71" s="164">
        <v>66</v>
      </c>
      <c r="C71" s="7">
        <v>59</v>
      </c>
      <c r="D71" s="184" t="s">
        <v>211</v>
      </c>
      <c r="E71" s="167" t="s">
        <v>289</v>
      </c>
      <c r="F71" s="168" t="s">
        <v>204</v>
      </c>
      <c r="G71" s="169" t="s">
        <v>335</v>
      </c>
      <c r="H71" s="170" t="s">
        <v>366</v>
      </c>
      <c r="I71" s="171" t="s">
        <v>194</v>
      </c>
      <c r="J71" s="172" t="str">
        <f>IF(X71&gt;0,IF(Y71-X71&gt;0,"I","R"),"R")</f>
        <v>R</v>
      </c>
      <c r="K71" s="173">
        <v>-1</v>
      </c>
      <c r="L71" s="174">
        <v>3</v>
      </c>
      <c r="M71" s="175" t="s">
        <v>29</v>
      </c>
      <c r="N71" s="176">
        <v>3</v>
      </c>
      <c r="O71" s="177">
        <v>6</v>
      </c>
      <c r="P71" s="175"/>
      <c r="Q71" s="135"/>
      <c r="R71" s="176"/>
      <c r="S71" s="169" t="s">
        <v>29</v>
      </c>
      <c r="T71" s="178">
        <v>5</v>
      </c>
      <c r="U71" s="179">
        <v>0.75</v>
      </c>
      <c r="V71" s="133">
        <v>0.75</v>
      </c>
      <c r="W71" s="180">
        <v>2.0833333333333332E-2</v>
      </c>
      <c r="X71" s="181"/>
      <c r="Y71" s="182">
        <f>IF(L71=0,0,IF(L71=1,X71+#REF!,IF(L71=2,X71+$Z$36,IF(L71=3,X71+$Z$35,IF(L71=4,X71+#REF!,0)))))</f>
        <v>0.99930555555555556</v>
      </c>
      <c r="Z71" s="157"/>
      <c r="AA71" s="143"/>
      <c r="AB71" s="143"/>
      <c r="AC71" s="143"/>
      <c r="AD71" s="143"/>
      <c r="AE71" s="143"/>
      <c r="AF71" s="143"/>
    </row>
    <row r="72" spans="2:32" ht="30" x14ac:dyDescent="0.25">
      <c r="B72" s="164"/>
      <c r="C72" s="7">
        <v>60</v>
      </c>
      <c r="D72" s="221" t="s">
        <v>452</v>
      </c>
      <c r="E72" s="167" t="s">
        <v>290</v>
      </c>
      <c r="F72" s="168" t="s">
        <v>406</v>
      </c>
      <c r="G72" s="169" t="s">
        <v>335</v>
      </c>
      <c r="H72" s="170" t="s">
        <v>423</v>
      </c>
      <c r="I72" s="171" t="s">
        <v>193</v>
      </c>
      <c r="J72" s="172" t="str">
        <f>IF(X72&gt;0,IF(Y72-X72&gt;0,"I","R"),"R")</f>
        <v>R</v>
      </c>
      <c r="K72" s="173">
        <v>-1</v>
      </c>
      <c r="L72" s="174">
        <v>3</v>
      </c>
      <c r="M72" s="175" t="s">
        <v>29</v>
      </c>
      <c r="N72" s="176">
        <v>6</v>
      </c>
      <c r="O72" s="177">
        <v>7</v>
      </c>
      <c r="P72" s="175"/>
      <c r="Q72" s="135"/>
      <c r="R72" s="176"/>
      <c r="S72" s="169" t="s">
        <v>29</v>
      </c>
      <c r="T72" s="178">
        <v>6</v>
      </c>
      <c r="U72" s="179">
        <v>0.77083333333333337</v>
      </c>
      <c r="V72" s="133">
        <v>0.77083333333333337</v>
      </c>
      <c r="W72" s="180">
        <v>2.0833333333333332E-2</v>
      </c>
      <c r="X72" s="181"/>
      <c r="Y72" s="182">
        <f>IF(L72=0,0,IF(L72=1,X72+#REF!,IF(L72=2,X72+$Z$36,IF(L72=3,X72+$Z$35,IF(L72=4,X72+#REF!,0)))))</f>
        <v>0.99930555555555556</v>
      </c>
      <c r="Z72" s="157"/>
      <c r="AA72" s="143"/>
      <c r="AB72" s="143"/>
      <c r="AC72" s="143"/>
      <c r="AD72" s="143"/>
      <c r="AE72" s="143"/>
      <c r="AF72" s="143"/>
    </row>
    <row r="73" spans="2:32" ht="30" x14ac:dyDescent="0.25">
      <c r="B73" s="164"/>
      <c r="C73" s="7">
        <v>61</v>
      </c>
      <c r="D73" s="221" t="s">
        <v>442</v>
      </c>
      <c r="E73" s="167" t="s">
        <v>291</v>
      </c>
      <c r="F73" s="168" t="s">
        <v>26</v>
      </c>
      <c r="G73" s="169" t="s">
        <v>327</v>
      </c>
      <c r="H73" s="170" t="s">
        <v>422</v>
      </c>
      <c r="I73" s="171" t="s">
        <v>192</v>
      </c>
      <c r="J73" s="172" t="str">
        <f t="shared" si="4"/>
        <v>R</v>
      </c>
      <c r="K73" s="173">
        <v>-1</v>
      </c>
      <c r="L73" s="174">
        <v>3</v>
      </c>
      <c r="M73" s="175" t="s">
        <v>29</v>
      </c>
      <c r="N73" s="176">
        <v>3</v>
      </c>
      <c r="O73" s="177">
        <v>5</v>
      </c>
      <c r="P73" s="175"/>
      <c r="Q73" s="135"/>
      <c r="R73" s="176"/>
      <c r="S73" s="169" t="s">
        <v>29</v>
      </c>
      <c r="T73" s="178">
        <v>5</v>
      </c>
      <c r="U73" s="179">
        <v>0.77083333333333337</v>
      </c>
      <c r="V73" s="133">
        <v>0.77083333333333337</v>
      </c>
      <c r="W73" s="180">
        <v>3.125E-2</v>
      </c>
      <c r="X73" s="181"/>
      <c r="Y73" s="182">
        <f>IF(L73=0,0,IF(L73=1,X73+#REF!,IF(L73=2,X73+$Z$36,IF(L73=3,X73+$Z$35,IF(L73=4,X73+#REF!,0)))))</f>
        <v>0.99930555555555556</v>
      </c>
      <c r="Z73" s="157"/>
      <c r="AA73" s="143"/>
      <c r="AB73" s="143"/>
      <c r="AC73" s="143"/>
      <c r="AD73" s="143"/>
      <c r="AE73" s="143"/>
      <c r="AF73" s="143"/>
    </row>
    <row r="74" spans="2:32" ht="30" x14ac:dyDescent="0.25">
      <c r="B74" s="164">
        <v>62</v>
      </c>
      <c r="C74" s="7">
        <v>62</v>
      </c>
      <c r="D74" s="184" t="s">
        <v>209</v>
      </c>
      <c r="E74" s="167" t="s">
        <v>292</v>
      </c>
      <c r="F74" s="168" t="s">
        <v>407</v>
      </c>
      <c r="G74" s="169" t="s">
        <v>334</v>
      </c>
      <c r="H74" s="170" t="s">
        <v>222</v>
      </c>
      <c r="I74" s="171" t="s">
        <v>194</v>
      </c>
      <c r="J74" s="172" t="str">
        <f t="shared" si="4"/>
        <v>R</v>
      </c>
      <c r="K74" s="173">
        <v>3</v>
      </c>
      <c r="L74" s="174">
        <v>0</v>
      </c>
      <c r="M74" s="175" t="s">
        <v>29</v>
      </c>
      <c r="N74" s="176">
        <v>5</v>
      </c>
      <c r="O74" s="177">
        <v>8</v>
      </c>
      <c r="P74" s="175"/>
      <c r="Q74" s="135"/>
      <c r="R74" s="176"/>
      <c r="S74" s="169" t="s">
        <v>29</v>
      </c>
      <c r="T74" s="178">
        <v>5</v>
      </c>
      <c r="U74" s="179">
        <v>0.79166666666666663</v>
      </c>
      <c r="V74" s="133">
        <v>0.79166666666666663</v>
      </c>
      <c r="W74" s="180">
        <v>2.0833333333333332E-2</v>
      </c>
      <c r="X74" s="181"/>
      <c r="Y74" s="182">
        <f>IF(L74=0,0,IF(L74=1,X74+#REF!,IF(L74=2,X74+$Z$36,IF(L74=3,X74+$Z$35,IF(L74=4,X74+#REF!,0)))))</f>
        <v>0</v>
      </c>
      <c r="Z74" s="157"/>
      <c r="AA74" s="143"/>
      <c r="AB74" s="143"/>
      <c r="AC74" s="143"/>
      <c r="AD74" s="143"/>
      <c r="AE74" s="143"/>
      <c r="AF74" s="143"/>
    </row>
    <row r="75" spans="2:32" x14ac:dyDescent="0.25">
      <c r="B75" s="164">
        <v>48</v>
      </c>
      <c r="C75" s="7">
        <v>63</v>
      </c>
      <c r="D75" s="218" t="s">
        <v>443</v>
      </c>
      <c r="E75" s="167" t="s">
        <v>293</v>
      </c>
      <c r="F75" s="168" t="s">
        <v>24</v>
      </c>
      <c r="G75" s="169" t="s">
        <v>415</v>
      </c>
      <c r="H75" s="170" t="s">
        <v>222</v>
      </c>
      <c r="I75" s="171" t="s">
        <v>193</v>
      </c>
      <c r="J75" s="172" t="str">
        <f>IF(X75&gt;0,IF(Y75-X75&gt;0,"I","R"),"R")</f>
        <v>R</v>
      </c>
      <c r="K75" s="173">
        <v>1</v>
      </c>
      <c r="L75" s="174">
        <v>2</v>
      </c>
      <c r="M75" s="175" t="s">
        <v>29</v>
      </c>
      <c r="N75" s="176">
        <v>6</v>
      </c>
      <c r="O75" s="177">
        <v>8</v>
      </c>
      <c r="P75" s="175" t="s">
        <v>29</v>
      </c>
      <c r="Q75" s="135">
        <v>1</v>
      </c>
      <c r="R75" s="176">
        <v>6</v>
      </c>
      <c r="S75" s="169" t="s">
        <v>29</v>
      </c>
      <c r="T75" s="178">
        <v>6</v>
      </c>
      <c r="U75" s="179">
        <v>0.8125</v>
      </c>
      <c r="V75" s="133">
        <v>0.8125</v>
      </c>
      <c r="W75" s="180">
        <v>8.3333333333333329E-2</v>
      </c>
      <c r="X75" s="181"/>
      <c r="Y75" s="182">
        <f>IF(L75=0,0,IF(L75=1,X75+#REF!,IF(L75=2,X75+$Z$36,IF(L75=3,X75+$Z$35,IF(L75=4,X75+#REF!,0)))))</f>
        <v>0.5</v>
      </c>
      <c r="Z75" s="157"/>
      <c r="AA75" s="143"/>
      <c r="AB75" s="143"/>
      <c r="AC75" s="143"/>
      <c r="AD75" s="143"/>
      <c r="AE75" s="143"/>
      <c r="AF75" s="143"/>
    </row>
    <row r="76" spans="2:32" x14ac:dyDescent="0.25">
      <c r="B76" s="164"/>
      <c r="C76" s="7">
        <v>64</v>
      </c>
      <c r="D76" s="184" t="s">
        <v>209</v>
      </c>
      <c r="E76" s="167" t="s">
        <v>294</v>
      </c>
      <c r="F76" s="168" t="s">
        <v>28</v>
      </c>
      <c r="G76" s="169" t="s">
        <v>334</v>
      </c>
      <c r="H76" s="170" t="s">
        <v>222</v>
      </c>
      <c r="I76" s="171" t="s">
        <v>193</v>
      </c>
      <c r="J76" s="172" t="str">
        <f t="shared" si="4"/>
        <v>R</v>
      </c>
      <c r="K76" s="173">
        <v>2</v>
      </c>
      <c r="L76" s="174">
        <v>0</v>
      </c>
      <c r="M76" s="175" t="s">
        <v>29</v>
      </c>
      <c r="N76" s="176">
        <v>8</v>
      </c>
      <c r="O76" s="177">
        <v>6</v>
      </c>
      <c r="P76" s="175"/>
      <c r="Q76" s="135"/>
      <c r="R76" s="176"/>
      <c r="S76" s="169" t="s">
        <v>29</v>
      </c>
      <c r="T76" s="178">
        <v>5</v>
      </c>
      <c r="U76" s="179">
        <v>0.8125</v>
      </c>
      <c r="V76" s="133">
        <v>0.8125</v>
      </c>
      <c r="W76" s="180">
        <v>6.25E-2</v>
      </c>
      <c r="X76" s="181"/>
      <c r="Y76" s="182">
        <f>IF(L76=0,0,IF(L76=1,X76+#REF!,IF(L76=2,X76+$Z$36,IF(L76=3,X76+$Z$35,IF(L76=4,X76+#REF!,0)))))</f>
        <v>0</v>
      </c>
      <c r="Z76" s="157"/>
      <c r="AA76" s="143"/>
      <c r="AB76" s="143"/>
      <c r="AC76" s="143"/>
      <c r="AD76" s="143"/>
      <c r="AE76" s="143"/>
      <c r="AF76" s="143"/>
    </row>
    <row r="77" spans="2:32" ht="30" x14ac:dyDescent="0.25">
      <c r="B77" s="164">
        <v>53</v>
      </c>
      <c r="C77" s="7">
        <v>65</v>
      </c>
      <c r="D77" s="184" t="s">
        <v>209</v>
      </c>
      <c r="E77" s="167" t="s">
        <v>295</v>
      </c>
      <c r="F77" s="168" t="s">
        <v>408</v>
      </c>
      <c r="G77" s="169" t="s">
        <v>334</v>
      </c>
      <c r="H77" s="170" t="s">
        <v>222</v>
      </c>
      <c r="I77" s="171" t="s">
        <v>194</v>
      </c>
      <c r="J77" s="172" t="str">
        <f t="shared" si="4"/>
        <v>R</v>
      </c>
      <c r="K77" s="173">
        <v>2</v>
      </c>
      <c r="L77" s="174">
        <v>0</v>
      </c>
      <c r="M77" s="175" t="s">
        <v>29</v>
      </c>
      <c r="N77" s="176">
        <v>5</v>
      </c>
      <c r="O77" s="177">
        <v>8</v>
      </c>
      <c r="P77" s="175"/>
      <c r="Q77" s="135"/>
      <c r="R77" s="176"/>
      <c r="S77" s="169" t="s">
        <v>29</v>
      </c>
      <c r="T77" s="178">
        <v>5</v>
      </c>
      <c r="U77" s="179">
        <v>0.8125</v>
      </c>
      <c r="V77" s="133">
        <v>0.8125</v>
      </c>
      <c r="W77" s="180">
        <v>4.1666666666666664E-2</v>
      </c>
      <c r="X77" s="181"/>
      <c r="Y77" s="182">
        <f>IF(L77=0,0,IF(L77=1,X77+#REF!,IF(L77=2,X77+$Z$36,IF(L77=3,X77+$Z$35,IF(L77=4,X77+#REF!,0)))))</f>
        <v>0</v>
      </c>
      <c r="Z77" s="157"/>
      <c r="AA77" s="143"/>
      <c r="AB77" s="143"/>
      <c r="AC77" s="143"/>
      <c r="AD77" s="143"/>
      <c r="AE77" s="143"/>
      <c r="AF77" s="143"/>
    </row>
    <row r="78" spans="2:32" ht="30" x14ac:dyDescent="0.25">
      <c r="B78" s="164">
        <v>57</v>
      </c>
      <c r="C78" s="7">
        <v>66</v>
      </c>
      <c r="D78" s="184" t="s">
        <v>209</v>
      </c>
      <c r="E78" s="167" t="s">
        <v>296</v>
      </c>
      <c r="F78" s="168" t="s">
        <v>409</v>
      </c>
      <c r="G78" s="169" t="s">
        <v>414</v>
      </c>
      <c r="H78" s="170" t="s">
        <v>222</v>
      </c>
      <c r="I78" s="171" t="s">
        <v>194</v>
      </c>
      <c r="J78" s="172" t="str">
        <f t="shared" si="4"/>
        <v>R</v>
      </c>
      <c r="K78" s="173">
        <v>3</v>
      </c>
      <c r="L78" s="174">
        <v>0</v>
      </c>
      <c r="M78" s="175" t="s">
        <v>29</v>
      </c>
      <c r="N78" s="176">
        <v>6</v>
      </c>
      <c r="O78" s="177">
        <v>8</v>
      </c>
      <c r="P78" s="175"/>
      <c r="Q78" s="135"/>
      <c r="R78" s="176"/>
      <c r="S78" s="169" t="s">
        <v>29</v>
      </c>
      <c r="T78" s="178">
        <v>8</v>
      </c>
      <c r="U78" s="179">
        <f t="shared" si="2"/>
        <v>0.85416666666666663</v>
      </c>
      <c r="V78" s="133">
        <v>0.83333333333333337</v>
      </c>
      <c r="W78" s="180">
        <v>6.9444444444444441E-3</v>
      </c>
      <c r="X78" s="181"/>
      <c r="Y78" s="182">
        <f>IF(L78=0,0,IF(L78=1,X78+#REF!,IF(L78=2,X78+$Z$36,IF(L78=3,X78+$Z$35,IF(L78=4,X78+#REF!,0)))))</f>
        <v>0</v>
      </c>
      <c r="Z78" s="157"/>
      <c r="AA78" s="143"/>
      <c r="AB78" s="143"/>
      <c r="AC78" s="143"/>
      <c r="AD78" s="143"/>
      <c r="AE78" s="143"/>
      <c r="AF78" s="143"/>
    </row>
    <row r="79" spans="2:32" ht="30" x14ac:dyDescent="0.25">
      <c r="B79" s="164">
        <v>58</v>
      </c>
      <c r="C79" s="7">
        <v>67</v>
      </c>
      <c r="D79" s="184" t="s">
        <v>209</v>
      </c>
      <c r="E79" s="167" t="s">
        <v>297</v>
      </c>
      <c r="F79" s="168" t="s">
        <v>391</v>
      </c>
      <c r="G79" s="169" t="s">
        <v>415</v>
      </c>
      <c r="H79" s="170" t="s">
        <v>422</v>
      </c>
      <c r="I79" s="171" t="s">
        <v>192</v>
      </c>
      <c r="J79" s="172" t="str">
        <f>IF(X79&gt;0,IF(Y79-X79&gt;0,"I","R"),"R")</f>
        <v>R</v>
      </c>
      <c r="K79" s="173">
        <v>-1</v>
      </c>
      <c r="L79" s="174">
        <v>3</v>
      </c>
      <c r="M79" s="175" t="s">
        <v>29</v>
      </c>
      <c r="N79" s="176">
        <v>5</v>
      </c>
      <c r="O79" s="177">
        <v>10</v>
      </c>
      <c r="P79" s="175"/>
      <c r="Q79" s="135"/>
      <c r="R79" s="176"/>
      <c r="S79" s="169" t="s">
        <v>29</v>
      </c>
      <c r="T79" s="178">
        <v>6</v>
      </c>
      <c r="U79" s="179">
        <f t="shared" si="2"/>
        <v>0.86111111111111105</v>
      </c>
      <c r="V79" s="133">
        <v>0.85416666666666663</v>
      </c>
      <c r="W79" s="180">
        <v>8.3333333333333329E-2</v>
      </c>
      <c r="X79" s="181"/>
      <c r="Y79" s="182"/>
      <c r="Z79" s="157"/>
      <c r="AA79" s="143"/>
      <c r="AB79" s="143"/>
      <c r="AC79" s="143"/>
      <c r="AD79" s="143"/>
      <c r="AE79" s="143"/>
      <c r="AF79" s="143"/>
    </row>
    <row r="80" spans="2:32" x14ac:dyDescent="0.25">
      <c r="B80" s="164">
        <v>59</v>
      </c>
      <c r="C80" s="7">
        <v>68</v>
      </c>
      <c r="D80" s="184" t="s">
        <v>209</v>
      </c>
      <c r="E80" s="167" t="s">
        <v>298</v>
      </c>
      <c r="F80" s="168" t="s">
        <v>392</v>
      </c>
      <c r="G80" s="169" t="s">
        <v>415</v>
      </c>
      <c r="H80" s="170" t="s">
        <v>366</v>
      </c>
      <c r="I80" s="171" t="s">
        <v>193</v>
      </c>
      <c r="J80" s="172" t="str">
        <f>IF(X80&gt;0,IF(Y80-X80&gt;0,"I","R"),"R")</f>
        <v>R</v>
      </c>
      <c r="K80" s="173">
        <v>2</v>
      </c>
      <c r="L80" s="174">
        <v>0</v>
      </c>
      <c r="M80" s="175" t="s">
        <v>29</v>
      </c>
      <c r="N80" s="176">
        <v>3</v>
      </c>
      <c r="O80" s="177">
        <v>6</v>
      </c>
      <c r="P80" s="175"/>
      <c r="Q80" s="135"/>
      <c r="R80" s="176"/>
      <c r="S80" s="169" t="s">
        <v>29</v>
      </c>
      <c r="T80" s="178">
        <v>6</v>
      </c>
      <c r="U80" s="179">
        <f t="shared" si="2"/>
        <v>0.94444444444444442</v>
      </c>
      <c r="V80" s="133" t="s">
        <v>359</v>
      </c>
      <c r="W80" s="180">
        <v>1.0416666666666666E-2</v>
      </c>
      <c r="X80" s="181"/>
      <c r="Y80" s="182"/>
      <c r="Z80" s="157"/>
      <c r="AA80" s="143"/>
      <c r="AB80" s="143"/>
      <c r="AC80" s="143"/>
      <c r="AD80" s="143"/>
      <c r="AE80" s="143"/>
      <c r="AF80" s="143"/>
    </row>
    <row r="81" spans="2:32" ht="30.75" thickBot="1" x14ac:dyDescent="0.3">
      <c r="B81" s="187">
        <v>55</v>
      </c>
      <c r="C81" s="7">
        <v>69</v>
      </c>
      <c r="D81" s="184" t="s">
        <v>209</v>
      </c>
      <c r="E81" s="167" t="s">
        <v>299</v>
      </c>
      <c r="F81" s="168" t="s">
        <v>410</v>
      </c>
      <c r="G81" s="169" t="s">
        <v>332</v>
      </c>
      <c r="H81" s="170" t="s">
        <v>222</v>
      </c>
      <c r="I81" s="171" t="s">
        <v>194</v>
      </c>
      <c r="J81" s="172" t="str">
        <f t="shared" si="4"/>
        <v>R</v>
      </c>
      <c r="K81" s="173">
        <v>3</v>
      </c>
      <c r="L81" s="174">
        <v>0</v>
      </c>
      <c r="M81" s="175" t="s">
        <v>29</v>
      </c>
      <c r="N81" s="176">
        <v>5</v>
      </c>
      <c r="O81" s="177">
        <v>10</v>
      </c>
      <c r="P81" s="175" t="s">
        <v>29</v>
      </c>
      <c r="Q81" s="135">
        <v>1</v>
      </c>
      <c r="R81" s="176"/>
      <c r="S81" s="169" t="s">
        <v>29</v>
      </c>
      <c r="T81" s="178">
        <v>8</v>
      </c>
      <c r="U81" s="179">
        <f t="shared" si="2"/>
        <v>0.95486111111111105</v>
      </c>
      <c r="V81" s="133">
        <v>0.91666666666666663</v>
      </c>
      <c r="W81" s="180">
        <v>3.472222222222222E-3</v>
      </c>
      <c r="X81" s="181"/>
      <c r="Y81" s="182">
        <f>IF(L81=0,0,IF(L81=1,X81+#REF!,IF(L81=2,X81+$Z$36,IF(L81=3,X81+$Z$35,IF(L81=4,X81+#REF!,0)))))</f>
        <v>0</v>
      </c>
      <c r="Z81" s="157"/>
      <c r="AA81" s="143"/>
      <c r="AB81" s="143"/>
      <c r="AC81" s="143"/>
      <c r="AD81" s="143"/>
      <c r="AE81" s="143"/>
      <c r="AF81" s="143"/>
    </row>
    <row r="82" spans="2:32" x14ac:dyDescent="0.25">
      <c r="B82" s="164"/>
      <c r="C82" s="7">
        <v>70</v>
      </c>
      <c r="D82" s="218" t="s">
        <v>444</v>
      </c>
      <c r="E82" s="167" t="s">
        <v>300</v>
      </c>
      <c r="F82" s="168" t="s">
        <v>419</v>
      </c>
      <c r="G82" s="169" t="s">
        <v>414</v>
      </c>
      <c r="H82" s="170" t="s">
        <v>222</v>
      </c>
      <c r="I82" s="171" t="s">
        <v>194</v>
      </c>
      <c r="J82" s="172" t="str">
        <f t="shared" si="4"/>
        <v>R</v>
      </c>
      <c r="K82" s="173">
        <v>1</v>
      </c>
      <c r="L82" s="174">
        <v>0</v>
      </c>
      <c r="M82" s="175" t="s">
        <v>29</v>
      </c>
      <c r="N82" s="176">
        <v>8</v>
      </c>
      <c r="O82" s="177">
        <v>10</v>
      </c>
      <c r="P82" s="175" t="s">
        <v>29</v>
      </c>
      <c r="Q82" s="135">
        <v>1</v>
      </c>
      <c r="R82" s="176">
        <v>10</v>
      </c>
      <c r="S82" s="169" t="s">
        <v>29</v>
      </c>
      <c r="T82" s="178">
        <v>8</v>
      </c>
      <c r="U82" s="188" t="s">
        <v>355</v>
      </c>
      <c r="V82" s="140" t="s">
        <v>355</v>
      </c>
      <c r="W82" s="180">
        <v>2.0833333333333333E-3</v>
      </c>
      <c r="X82" s="181"/>
      <c r="Y82" s="182">
        <f>IF(L82=0,0,IF(L82=1,X82+#REF!,IF(L82=2,X82+$Z$36,IF(L82=3,X82+$Z$35,IF(L82=4,X82+#REF!,0)))))</f>
        <v>0</v>
      </c>
      <c r="Z82" s="157"/>
      <c r="AA82" s="143"/>
      <c r="AB82" s="143"/>
      <c r="AC82" s="143"/>
      <c r="AD82" s="143"/>
      <c r="AE82" s="143"/>
      <c r="AF82" s="143"/>
    </row>
    <row r="83" spans="2:32" x14ac:dyDescent="0.25">
      <c r="B83" s="164">
        <v>56</v>
      </c>
      <c r="C83" s="7">
        <v>71</v>
      </c>
      <c r="D83" s="218" t="s">
        <v>467</v>
      </c>
      <c r="E83" s="167" t="s">
        <v>301</v>
      </c>
      <c r="F83" s="217" t="s">
        <v>445</v>
      </c>
      <c r="G83" s="169" t="s">
        <v>334</v>
      </c>
      <c r="H83" s="170" t="s">
        <v>222</v>
      </c>
      <c r="I83" s="171" t="s">
        <v>194</v>
      </c>
      <c r="J83" s="172" t="str">
        <f>IF(X83&gt;0,IF(Y83-X83&gt;0,"I","R"),"R")</f>
        <v>R</v>
      </c>
      <c r="K83" s="173">
        <v>1</v>
      </c>
      <c r="L83" s="174">
        <v>0</v>
      </c>
      <c r="M83" s="175" t="s">
        <v>29</v>
      </c>
      <c r="N83" s="176">
        <v>3</v>
      </c>
      <c r="O83" s="177">
        <v>5</v>
      </c>
      <c r="P83" s="175" t="s">
        <v>29</v>
      </c>
      <c r="Q83" s="135">
        <v>1</v>
      </c>
      <c r="R83" s="176">
        <v>6</v>
      </c>
      <c r="S83" s="169" t="s">
        <v>29</v>
      </c>
      <c r="T83" s="178">
        <v>6</v>
      </c>
      <c r="U83" s="179" t="s">
        <v>355</v>
      </c>
      <c r="V83" s="133" t="s">
        <v>355</v>
      </c>
      <c r="W83" s="180">
        <v>6.9444444444444441E-3</v>
      </c>
      <c r="X83" s="181"/>
      <c r="Y83" s="182">
        <f>IF(L83=0,0,IF(L83=1,X83+#REF!,IF(L83=2,X83+$Z$36,IF(L83=3,X83+$Z$35,IF(L83=4,X83+#REF!,0)))))</f>
        <v>0</v>
      </c>
      <c r="Z83" s="157"/>
      <c r="AA83" s="143"/>
      <c r="AB83" s="143"/>
      <c r="AC83" s="143"/>
      <c r="AD83" s="143"/>
      <c r="AE83" s="143"/>
      <c r="AF83" s="143"/>
    </row>
    <row r="84" spans="2:32" ht="30" x14ac:dyDescent="0.25">
      <c r="B84" s="186">
        <v>43</v>
      </c>
      <c r="C84" s="7">
        <v>72</v>
      </c>
      <c r="D84" s="218" t="s">
        <v>446</v>
      </c>
      <c r="E84" s="167" t="s">
        <v>302</v>
      </c>
      <c r="F84" s="168" t="s">
        <v>429</v>
      </c>
      <c r="G84" s="169" t="s">
        <v>327</v>
      </c>
      <c r="H84" s="170" t="s">
        <v>222</v>
      </c>
      <c r="I84" s="171" t="s">
        <v>193</v>
      </c>
      <c r="J84" s="172" t="str">
        <f>IF(X84&gt;0,IF(Y84-X84&gt;0,"I","R"),"R")</f>
        <v>R</v>
      </c>
      <c r="K84" s="173">
        <v>2</v>
      </c>
      <c r="L84" s="174">
        <v>0</v>
      </c>
      <c r="M84" s="175" t="s">
        <v>29</v>
      </c>
      <c r="N84" s="176">
        <v>3</v>
      </c>
      <c r="O84" s="177">
        <v>9</v>
      </c>
      <c r="P84" s="175" t="s">
        <v>29</v>
      </c>
      <c r="Q84" s="135">
        <v>1</v>
      </c>
      <c r="R84" s="176">
        <v>8</v>
      </c>
      <c r="S84" s="169" t="s">
        <v>29</v>
      </c>
      <c r="T84" s="178">
        <v>2</v>
      </c>
      <c r="U84" s="179" t="s">
        <v>355</v>
      </c>
      <c r="V84" s="133" t="s">
        <v>355</v>
      </c>
      <c r="W84" s="180">
        <v>1.3888888888888888E-2</v>
      </c>
      <c r="X84" s="181"/>
      <c r="Y84" s="182">
        <f>IF(L84=0,0,IF(L84=1,X84+#REF!,IF(L84=2,X84+$Z$36,IF(L84=3,X84+$Z$35,IF(L84=4,X84+#REF!,0)))))</f>
        <v>0</v>
      </c>
      <c r="Z84" s="157"/>
      <c r="AA84" s="143"/>
      <c r="AB84" s="143"/>
      <c r="AC84" s="143"/>
      <c r="AD84" s="143"/>
      <c r="AE84" s="143"/>
      <c r="AF84" s="143"/>
    </row>
    <row r="85" spans="2:32" ht="15.75" thickBot="1" x14ac:dyDescent="0.3">
      <c r="B85" s="183"/>
      <c r="C85" s="7">
        <v>73</v>
      </c>
      <c r="D85" s="218" t="s">
        <v>464</v>
      </c>
      <c r="E85" s="167" t="s">
        <v>303</v>
      </c>
      <c r="F85" s="168" t="s">
        <v>233</v>
      </c>
      <c r="G85" s="169" t="s">
        <v>332</v>
      </c>
      <c r="H85" s="170" t="s">
        <v>222</v>
      </c>
      <c r="I85" s="171" t="s">
        <v>194</v>
      </c>
      <c r="J85" s="172" t="str">
        <f t="shared" si="4"/>
        <v>R</v>
      </c>
      <c r="K85" s="173">
        <v>-1</v>
      </c>
      <c r="L85" s="174">
        <v>0</v>
      </c>
      <c r="M85" s="175" t="s">
        <v>29</v>
      </c>
      <c r="N85" s="176">
        <v>6</v>
      </c>
      <c r="O85" s="177">
        <v>8</v>
      </c>
      <c r="P85" s="175"/>
      <c r="Q85" s="135"/>
      <c r="R85" s="176"/>
      <c r="S85" s="169" t="s">
        <v>29</v>
      </c>
      <c r="T85" s="178">
        <v>5</v>
      </c>
      <c r="U85" s="179" t="s">
        <v>355</v>
      </c>
      <c r="V85" s="133" t="s">
        <v>355</v>
      </c>
      <c r="W85" s="180">
        <v>6.9444444444444441E-3</v>
      </c>
      <c r="X85" s="181"/>
      <c r="Y85" s="182">
        <f>IF(L85=0,0,IF(L85=1,X85+#REF!,IF(L85=2,X85+$Z$36,IF(L85=3,X85+$Z$35,IF(L85=4,X85+#REF!,0)))))</f>
        <v>0</v>
      </c>
      <c r="Z85" s="157"/>
      <c r="AA85" s="143"/>
      <c r="AB85" s="143"/>
      <c r="AC85" s="143"/>
      <c r="AD85" s="143"/>
      <c r="AE85" s="143"/>
      <c r="AF85" s="143"/>
    </row>
    <row r="86" spans="2:32" ht="15.75" thickBot="1" x14ac:dyDescent="0.3">
      <c r="B86" s="183"/>
      <c r="C86" s="7">
        <v>74</v>
      </c>
      <c r="D86" s="184" t="s">
        <v>210</v>
      </c>
      <c r="E86" s="167" t="s">
        <v>304</v>
      </c>
      <c r="F86" s="168" t="s">
        <v>22</v>
      </c>
      <c r="G86" s="169" t="s">
        <v>415</v>
      </c>
      <c r="H86" s="170" t="s">
        <v>222</v>
      </c>
      <c r="I86" s="171" t="s">
        <v>193</v>
      </c>
      <c r="J86" s="172" t="str">
        <f t="shared" si="4"/>
        <v>R</v>
      </c>
      <c r="K86" s="173">
        <v>-1</v>
      </c>
      <c r="L86" s="174">
        <v>3</v>
      </c>
      <c r="M86" s="175" t="s">
        <v>29</v>
      </c>
      <c r="N86" s="176">
        <v>6</v>
      </c>
      <c r="O86" s="177">
        <v>8</v>
      </c>
      <c r="P86" s="175"/>
      <c r="Q86" s="135"/>
      <c r="R86" s="176"/>
      <c r="S86" s="169" t="s">
        <v>29</v>
      </c>
      <c r="T86" s="178">
        <v>6</v>
      </c>
      <c r="U86" s="179" t="s">
        <v>355</v>
      </c>
      <c r="V86" s="133" t="s">
        <v>355</v>
      </c>
      <c r="W86" s="180">
        <v>2.0833333333333332E-2</v>
      </c>
      <c r="X86" s="181"/>
      <c r="Y86" s="182">
        <f>IF(L86=0,0,IF(L86=1,X86+#REF!,IF(L86=2,X86+$Z$36,IF(L86=3,X86+$Z$35,IF(L86=4,X86+#REF!,0)))))</f>
        <v>0.99930555555555556</v>
      </c>
      <c r="Z86" s="157"/>
      <c r="AA86" s="143"/>
      <c r="AB86" s="143"/>
      <c r="AC86" s="143"/>
      <c r="AD86" s="143"/>
      <c r="AE86" s="143"/>
      <c r="AF86" s="143"/>
    </row>
    <row r="87" spans="2:32" ht="15.75" thickBot="1" x14ac:dyDescent="0.3">
      <c r="B87" s="183"/>
      <c r="C87" s="7">
        <v>75</v>
      </c>
      <c r="D87" s="184" t="s">
        <v>210</v>
      </c>
      <c r="E87" s="167" t="s">
        <v>305</v>
      </c>
      <c r="F87" s="168" t="s">
        <v>27</v>
      </c>
      <c r="G87" s="169" t="s">
        <v>334</v>
      </c>
      <c r="H87" s="170" t="s">
        <v>222</v>
      </c>
      <c r="I87" s="171" t="s">
        <v>193</v>
      </c>
      <c r="J87" s="172" t="str">
        <f t="shared" si="4"/>
        <v>R</v>
      </c>
      <c r="K87" s="173">
        <v>-1</v>
      </c>
      <c r="L87" s="174">
        <v>0</v>
      </c>
      <c r="M87" s="175" t="s">
        <v>29</v>
      </c>
      <c r="N87" s="176">
        <v>8</v>
      </c>
      <c r="O87" s="177">
        <v>6</v>
      </c>
      <c r="P87" s="175"/>
      <c r="Q87" s="135"/>
      <c r="R87" s="176"/>
      <c r="S87" s="169" t="s">
        <v>29</v>
      </c>
      <c r="T87" s="178">
        <v>8</v>
      </c>
      <c r="U87" s="179" t="s">
        <v>355</v>
      </c>
      <c r="V87" s="133" t="s">
        <v>355</v>
      </c>
      <c r="W87" s="180">
        <v>6.25E-2</v>
      </c>
      <c r="X87" s="181"/>
      <c r="Y87" s="182">
        <f>IF(L87=0,0,IF(L87=1,X87+#REF!,IF(L87=2,X87+$Z$36,IF(L87=3,X87+$Z$35,IF(L87=4,X87+#REF!,0)))))</f>
        <v>0</v>
      </c>
      <c r="Z87" s="157"/>
      <c r="AA87" s="143"/>
      <c r="AB87" s="143"/>
      <c r="AC87" s="143"/>
      <c r="AD87" s="143"/>
      <c r="AE87" s="143"/>
      <c r="AF87" s="143"/>
    </row>
    <row r="88" spans="2:32" ht="15.75" thickBot="1" x14ac:dyDescent="0.3">
      <c r="B88" s="164">
        <v>30</v>
      </c>
      <c r="C88" s="7">
        <v>76</v>
      </c>
      <c r="D88" s="184" t="s">
        <v>210</v>
      </c>
      <c r="E88" s="167" t="s">
        <v>306</v>
      </c>
      <c r="F88" s="168" t="s">
        <v>393</v>
      </c>
      <c r="G88" s="169" t="s">
        <v>415</v>
      </c>
      <c r="H88" s="170" t="s">
        <v>222</v>
      </c>
      <c r="I88" s="171" t="s">
        <v>193</v>
      </c>
      <c r="J88" s="172" t="str">
        <f>IF(X88&gt;0,IF(Y88-X88&gt;0,"I","R"),"R")</f>
        <v>R</v>
      </c>
      <c r="K88" s="173">
        <v>3</v>
      </c>
      <c r="L88" s="174">
        <v>0</v>
      </c>
      <c r="M88" s="175" t="s">
        <v>29</v>
      </c>
      <c r="N88" s="176">
        <v>6</v>
      </c>
      <c r="O88" s="177">
        <v>6</v>
      </c>
      <c r="P88" s="175"/>
      <c r="Q88" s="135"/>
      <c r="R88" s="176"/>
      <c r="S88" s="169" t="s">
        <v>29</v>
      </c>
      <c r="T88" s="178">
        <v>5</v>
      </c>
      <c r="U88" s="179" t="s">
        <v>355</v>
      </c>
      <c r="V88" s="133" t="s">
        <v>355</v>
      </c>
      <c r="W88" s="180">
        <v>8.3333333333333329E-2</v>
      </c>
      <c r="X88" s="181"/>
      <c r="Y88" s="182"/>
      <c r="Z88" s="157"/>
      <c r="AA88" s="143"/>
      <c r="AB88" s="143"/>
      <c r="AC88" s="143"/>
      <c r="AD88" s="143"/>
      <c r="AE88" s="143"/>
      <c r="AF88" s="143"/>
    </row>
    <row r="89" spans="2:32" ht="15.75" thickBot="1" x14ac:dyDescent="0.3">
      <c r="B89" s="189" t="s">
        <v>37</v>
      </c>
      <c r="C89" s="100">
        <v>77</v>
      </c>
      <c r="D89" s="215" t="s">
        <v>210</v>
      </c>
      <c r="E89" s="216" t="s">
        <v>307</v>
      </c>
      <c r="F89" s="168" t="s">
        <v>413</v>
      </c>
      <c r="G89" s="169" t="s">
        <v>334</v>
      </c>
      <c r="H89" s="170" t="s">
        <v>425</v>
      </c>
      <c r="I89" s="171" t="s">
        <v>194</v>
      </c>
      <c r="J89" s="172" t="str">
        <f t="shared" si="4"/>
        <v>R</v>
      </c>
      <c r="K89" s="173">
        <v>3</v>
      </c>
      <c r="L89" s="174">
        <v>0</v>
      </c>
      <c r="M89" s="175" t="s">
        <v>29</v>
      </c>
      <c r="N89" s="176">
        <v>5</v>
      </c>
      <c r="O89" s="177">
        <v>5</v>
      </c>
      <c r="P89" s="175"/>
      <c r="Q89" s="135"/>
      <c r="R89" s="176"/>
      <c r="S89" s="169" t="s">
        <v>29</v>
      </c>
      <c r="T89" s="178">
        <v>3</v>
      </c>
      <c r="U89" s="179" t="s">
        <v>355</v>
      </c>
      <c r="V89" s="133" t="s">
        <v>355</v>
      </c>
      <c r="W89" s="180">
        <v>3.125E-2</v>
      </c>
      <c r="X89" s="181"/>
      <c r="Y89" s="182"/>
      <c r="Z89" s="157"/>
      <c r="AA89" s="143"/>
      <c r="AB89" s="143"/>
      <c r="AC89" s="143"/>
      <c r="AD89" s="143"/>
      <c r="AE89" s="143"/>
      <c r="AF89" s="143"/>
    </row>
    <row r="90" spans="2:32" ht="15.75" thickBot="1" x14ac:dyDescent="0.3">
      <c r="B90" s="165">
        <v>1</v>
      </c>
      <c r="C90" s="190"/>
      <c r="D90" s="190"/>
      <c r="E90" s="190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41"/>
      <c r="W90" s="189"/>
      <c r="X90" s="189"/>
      <c r="Y90" s="189"/>
      <c r="Z90" s="157"/>
      <c r="AA90" s="191"/>
      <c r="AB90" s="191"/>
      <c r="AC90" s="191"/>
      <c r="AD90" s="191"/>
      <c r="AE90" s="191"/>
      <c r="AF90" s="143"/>
    </row>
    <row r="91" spans="2:32" x14ac:dyDescent="0.25">
      <c r="B91" s="192">
        <v>2</v>
      </c>
      <c r="C91" s="165">
        <v>1</v>
      </c>
      <c r="D91" s="93" t="s">
        <v>212</v>
      </c>
      <c r="E91" s="93" t="s">
        <v>308</v>
      </c>
      <c r="F91" s="101" t="s">
        <v>141</v>
      </c>
      <c r="G91" s="127" t="s">
        <v>332</v>
      </c>
      <c r="H91" s="193" t="s">
        <v>222</v>
      </c>
      <c r="I91" s="194" t="s">
        <v>194</v>
      </c>
      <c r="J91" s="195" t="s">
        <v>6</v>
      </c>
      <c r="K91" s="194"/>
      <c r="L91" s="196">
        <v>0</v>
      </c>
      <c r="M91" s="152"/>
      <c r="N91" s="150"/>
      <c r="O91" s="150"/>
      <c r="P91" s="197"/>
      <c r="Q91" s="152"/>
      <c r="R91" s="152"/>
      <c r="S91" s="152"/>
      <c r="T91" s="152"/>
      <c r="U91" s="223" t="s">
        <v>355</v>
      </c>
      <c r="V91" s="224" t="s">
        <v>355</v>
      </c>
      <c r="W91" s="198">
        <v>3.472222222222222E-3</v>
      </c>
      <c r="X91" s="199"/>
      <c r="Y91" s="182">
        <f>IF(L91=0,0,IF(L91=1,X91+#REF!,IF(L91=2,X91+$Z$36,IF(L91=3,X91+$Z$35,IF(L91=4,X91+#REF!,0)))))</f>
        <v>0</v>
      </c>
      <c r="Z91" s="157"/>
      <c r="AA91" s="191"/>
      <c r="AB91" s="191"/>
      <c r="AC91" s="191"/>
      <c r="AD91" s="191"/>
      <c r="AE91" s="191"/>
      <c r="AF91" s="143"/>
    </row>
    <row r="92" spans="2:32" x14ac:dyDescent="0.25">
      <c r="B92" s="192">
        <v>5</v>
      </c>
      <c r="C92" s="192">
        <v>2</v>
      </c>
      <c r="D92" s="7" t="s">
        <v>212</v>
      </c>
      <c r="E92" s="7" t="s">
        <v>309</v>
      </c>
      <c r="F92" s="94" t="s">
        <v>228</v>
      </c>
      <c r="G92" s="128" t="s">
        <v>330</v>
      </c>
      <c r="H92" s="200" t="s">
        <v>222</v>
      </c>
      <c r="I92" s="201" t="s">
        <v>194</v>
      </c>
      <c r="J92" s="172" t="str">
        <f t="shared" ref="J92:J96" si="5">IF(X92&gt;0,IF(Y92-X92&gt;0,"I","R"),"R")</f>
        <v>R</v>
      </c>
      <c r="K92" s="202"/>
      <c r="L92" s="174">
        <v>0</v>
      </c>
      <c r="M92" s="152"/>
      <c r="N92" s="150"/>
      <c r="O92" s="150"/>
      <c r="P92" s="197"/>
      <c r="Q92" s="152"/>
      <c r="R92" s="152"/>
      <c r="S92" s="152"/>
      <c r="T92" s="152"/>
      <c r="U92" s="225" t="s">
        <v>355</v>
      </c>
      <c r="V92" s="226" t="s">
        <v>355</v>
      </c>
      <c r="W92" s="203">
        <v>1.0416666666666666E-2</v>
      </c>
      <c r="X92" s="204"/>
      <c r="Y92" s="182">
        <f>IF(L92=0,0,IF(L92=1,X92+#REF!,IF(L92=2,X92+$Z$36,IF(L92=3,X92+$Z$35,IF(L92=4,X92+#REF!,0)))))</f>
        <v>0</v>
      </c>
      <c r="Z92" s="157"/>
      <c r="AA92" s="143"/>
      <c r="AB92" s="143"/>
      <c r="AC92" s="143"/>
      <c r="AD92" s="143"/>
      <c r="AE92" s="143"/>
      <c r="AF92" s="143"/>
    </row>
    <row r="93" spans="2:32" x14ac:dyDescent="0.25">
      <c r="B93" s="192">
        <v>6</v>
      </c>
      <c r="C93" s="192">
        <v>3</v>
      </c>
      <c r="D93" s="7" t="s">
        <v>212</v>
      </c>
      <c r="E93" s="7" t="s">
        <v>310</v>
      </c>
      <c r="F93" s="95" t="s">
        <v>140</v>
      </c>
      <c r="G93" s="129" t="s">
        <v>330</v>
      </c>
      <c r="H93" s="200" t="s">
        <v>222</v>
      </c>
      <c r="I93" s="201" t="s">
        <v>194</v>
      </c>
      <c r="J93" s="172" t="str">
        <f t="shared" si="5"/>
        <v>R</v>
      </c>
      <c r="K93" s="202"/>
      <c r="L93" s="174">
        <v>0</v>
      </c>
      <c r="M93" s="152"/>
      <c r="N93" s="150"/>
      <c r="O93" s="150"/>
      <c r="P93" s="197"/>
      <c r="Q93" s="152"/>
      <c r="R93" s="152"/>
      <c r="S93" s="152"/>
      <c r="T93" s="152"/>
      <c r="U93" s="225" t="s">
        <v>355</v>
      </c>
      <c r="V93" s="226" t="s">
        <v>355</v>
      </c>
      <c r="W93" s="203">
        <v>3.472222222222222E-3</v>
      </c>
      <c r="X93" s="204"/>
      <c r="Y93" s="182">
        <f>IF(L93=0,0,IF(L93=1,X93+#REF!,IF(L93=2,X93+$Z$36,IF(L93=3,X93+$Z$35,IF(L93=4,X93+#REF!,0)))))</f>
        <v>0</v>
      </c>
      <c r="Z93" s="249"/>
      <c r="AA93" s="250"/>
      <c r="AB93" s="250"/>
      <c r="AC93" s="250"/>
      <c r="AD93" s="250"/>
      <c r="AE93" s="250"/>
      <c r="AF93" s="250"/>
    </row>
    <row r="94" spans="2:32" x14ac:dyDescent="0.25">
      <c r="B94" s="192">
        <v>8</v>
      </c>
      <c r="C94" s="192">
        <v>4</v>
      </c>
      <c r="D94" s="7" t="s">
        <v>212</v>
      </c>
      <c r="E94" s="7" t="s">
        <v>311</v>
      </c>
      <c r="F94" s="94" t="s">
        <v>229</v>
      </c>
      <c r="G94" s="128" t="s">
        <v>332</v>
      </c>
      <c r="H94" s="200" t="s">
        <v>222</v>
      </c>
      <c r="I94" s="201" t="s">
        <v>194</v>
      </c>
      <c r="J94" s="172" t="s">
        <v>6</v>
      </c>
      <c r="K94" s="202"/>
      <c r="L94" s="174">
        <v>0</v>
      </c>
      <c r="M94" s="152"/>
      <c r="N94" s="150"/>
      <c r="O94" s="150"/>
      <c r="P94" s="197"/>
      <c r="Q94" s="152"/>
      <c r="R94" s="152"/>
      <c r="S94" s="152"/>
      <c r="T94" s="152"/>
      <c r="U94" s="225" t="s">
        <v>355</v>
      </c>
      <c r="V94" s="226" t="s">
        <v>355</v>
      </c>
      <c r="W94" s="203" t="s">
        <v>32</v>
      </c>
      <c r="X94" s="204"/>
      <c r="Y94" s="182">
        <f>IF(L94=0,0,IF(L94=1,X94+#REF!,IF(L94=2,X94+$Z$36,IF(L94=3,X94+$Z$35,IF(L94=4,X94+#REF!,0)))))</f>
        <v>0</v>
      </c>
      <c r="Z94" s="249"/>
      <c r="AA94" s="250"/>
      <c r="AB94" s="250"/>
      <c r="AC94" s="250"/>
      <c r="AD94" s="250"/>
      <c r="AE94" s="250"/>
      <c r="AF94" s="250"/>
    </row>
    <row r="95" spans="2:32" x14ac:dyDescent="0.25">
      <c r="B95" s="192">
        <v>9</v>
      </c>
      <c r="C95" s="192">
        <v>5</v>
      </c>
      <c r="D95" s="7" t="s">
        <v>212</v>
      </c>
      <c r="E95" s="7" t="s">
        <v>312</v>
      </c>
      <c r="F95" s="95" t="s">
        <v>30</v>
      </c>
      <c r="G95" s="129" t="s">
        <v>336</v>
      </c>
      <c r="H95" s="200" t="s">
        <v>222</v>
      </c>
      <c r="I95" s="202" t="s">
        <v>194</v>
      </c>
      <c r="J95" s="172" t="str">
        <f t="shared" si="5"/>
        <v>R</v>
      </c>
      <c r="K95" s="202"/>
      <c r="L95" s="174">
        <v>0</v>
      </c>
      <c r="M95" s="152"/>
      <c r="N95" s="150"/>
      <c r="O95" s="150"/>
      <c r="P95" s="197"/>
      <c r="Q95" s="152"/>
      <c r="R95" s="152"/>
      <c r="S95" s="152"/>
      <c r="T95" s="152"/>
      <c r="U95" s="225" t="s">
        <v>355</v>
      </c>
      <c r="V95" s="226" t="s">
        <v>355</v>
      </c>
      <c r="W95" s="203">
        <v>3.472222222222222E-3</v>
      </c>
      <c r="X95" s="204"/>
      <c r="Y95" s="182">
        <f>IF(L95=0,0,IF(L95=1,X95+#REF!,IF(L95=2,X95+$Z$36,IF(L95=3,X95+$Z$35,IF(L95=4,X95+#REF!,0)))))</f>
        <v>0</v>
      </c>
      <c r="Z95" s="157"/>
      <c r="AA95" s="143"/>
      <c r="AB95" s="143"/>
      <c r="AC95" s="143"/>
      <c r="AD95" s="143"/>
      <c r="AE95" s="143"/>
      <c r="AF95" s="143"/>
    </row>
    <row r="96" spans="2:32" ht="15.75" thickBot="1" x14ac:dyDescent="0.3">
      <c r="B96" s="100">
        <v>8</v>
      </c>
      <c r="C96" s="192">
        <v>6</v>
      </c>
      <c r="D96" s="7" t="s">
        <v>212</v>
      </c>
      <c r="E96" s="7" t="s">
        <v>313</v>
      </c>
      <c r="F96" s="95" t="s">
        <v>31</v>
      </c>
      <c r="G96" s="129" t="s">
        <v>336</v>
      </c>
      <c r="H96" s="200" t="s">
        <v>222</v>
      </c>
      <c r="I96" s="202" t="s">
        <v>194</v>
      </c>
      <c r="J96" s="172" t="str">
        <f t="shared" si="5"/>
        <v>R</v>
      </c>
      <c r="K96" s="202"/>
      <c r="L96" s="174">
        <v>0</v>
      </c>
      <c r="M96" s="152"/>
      <c r="N96" s="150"/>
      <c r="O96" s="150"/>
      <c r="P96" s="197"/>
      <c r="Q96" s="152"/>
      <c r="R96" s="152"/>
      <c r="S96" s="152"/>
      <c r="T96" s="152"/>
      <c r="U96" s="225" t="s">
        <v>355</v>
      </c>
      <c r="V96" s="226" t="s">
        <v>355</v>
      </c>
      <c r="W96" s="203">
        <v>6.9444444444444441E-3</v>
      </c>
      <c r="X96" s="204"/>
      <c r="Y96" s="182">
        <f>IF(L96=0,0,IF(L96=1,X96+#REF!,IF(L96=2,X96+$Z$36,IF(L96=3,X96+$Z$35,IF(L96=4,X96+#REF!,0)))))</f>
        <v>0</v>
      </c>
      <c r="Z96" s="157"/>
      <c r="AA96" s="143"/>
      <c r="AB96" s="143"/>
      <c r="AC96" s="143"/>
      <c r="AD96" s="143"/>
      <c r="AE96" s="143"/>
      <c r="AF96" s="143"/>
    </row>
    <row r="97" spans="2:32" s="3" customFormat="1" ht="15.75" thickBot="1" x14ac:dyDescent="0.3">
      <c r="B97" s="111"/>
      <c r="C97" s="100">
        <v>7</v>
      </c>
      <c r="D97" s="100" t="s">
        <v>212</v>
      </c>
      <c r="E97" s="100" t="s">
        <v>314</v>
      </c>
      <c r="F97" s="96" t="s">
        <v>230</v>
      </c>
      <c r="G97" s="130" t="s">
        <v>336</v>
      </c>
      <c r="H97" s="205" t="s">
        <v>222</v>
      </c>
      <c r="I97" s="206" t="s">
        <v>194</v>
      </c>
      <c r="J97" s="207" t="str">
        <f t="shared" ref="J97" si="6">IF(X97&gt;0,IF(Y97-X97&gt;0,"I","R"),"R")</f>
        <v>R</v>
      </c>
      <c r="K97" s="207"/>
      <c r="L97" s="208">
        <v>0</v>
      </c>
      <c r="M97" s="152"/>
      <c r="N97" s="150"/>
      <c r="O97" s="150"/>
      <c r="P97" s="197"/>
      <c r="Q97" s="152"/>
      <c r="R97" s="152"/>
      <c r="S97" s="152"/>
      <c r="T97" s="152"/>
      <c r="U97" s="227" t="s">
        <v>355</v>
      </c>
      <c r="V97" s="228" t="s">
        <v>355</v>
      </c>
      <c r="W97" s="209">
        <v>1.0416666666666666E-2</v>
      </c>
      <c r="X97" s="210"/>
      <c r="Y97" s="211">
        <f>IF(L97=0,0,IF(L97=1,X97+#REF!,IF(L97=2,X97+$Z$36,IF(L97=3,X97+$Z$35,IF(L97=4,X97+#REF!,0)))))</f>
        <v>0</v>
      </c>
      <c r="Z97" s="157"/>
      <c r="AA97" s="157"/>
      <c r="AB97" s="157"/>
      <c r="AC97" s="157"/>
      <c r="AD97" s="157"/>
      <c r="AE97" s="157"/>
      <c r="AF97" s="157"/>
    </row>
    <row r="98" spans="2:32" s="3" customFormat="1" x14ac:dyDescent="0.25">
      <c r="B98" s="123"/>
      <c r="C98" s="123"/>
      <c r="D98" s="111"/>
      <c r="E98" s="111"/>
      <c r="F98" s="136"/>
      <c r="G98" s="131"/>
      <c r="H98" s="123"/>
      <c r="I98" s="112"/>
      <c r="J98" s="114"/>
      <c r="K98" s="113"/>
      <c r="L98" s="114"/>
      <c r="M98" s="121"/>
      <c r="N98" s="8"/>
      <c r="O98" s="8"/>
      <c r="P98" s="69"/>
      <c r="Q98" s="121"/>
      <c r="R98" s="121"/>
      <c r="S98" s="121"/>
      <c r="T98" s="121"/>
      <c r="U98" s="98"/>
      <c r="V98" s="142"/>
      <c r="W98" s="117"/>
      <c r="X98" s="98"/>
      <c r="Y98" s="99"/>
      <c r="Z98" s="120"/>
      <c r="AA98" s="120"/>
      <c r="AB98" s="120"/>
      <c r="AC98" s="120"/>
      <c r="AD98" s="120"/>
      <c r="AE98" s="120"/>
      <c r="AF98" s="120"/>
    </row>
    <row r="99" spans="2:32" x14ac:dyDescent="0.25">
      <c r="C99" s="123"/>
      <c r="D99" s="111"/>
      <c r="E99" s="111"/>
      <c r="F99" s="136"/>
      <c r="G99" s="131"/>
      <c r="H99" s="123"/>
      <c r="I99" s="113"/>
      <c r="J99" s="112"/>
      <c r="K99" s="114"/>
      <c r="L99" s="114"/>
      <c r="M99" s="121"/>
      <c r="N99" s="8"/>
      <c r="O99" s="8"/>
      <c r="P99" s="69"/>
      <c r="U99" s="98"/>
      <c r="V99" s="142"/>
      <c r="W99" s="117"/>
      <c r="X99" s="98"/>
      <c r="Y99" s="99"/>
      <c r="Z99" s="6"/>
      <c r="AA99" s="6"/>
      <c r="AB99" s="6"/>
      <c r="AC99" s="6"/>
      <c r="AD99" s="6"/>
      <c r="AE99" s="6"/>
    </row>
  </sheetData>
  <mergeCells count="23">
    <mergeCell ref="Z93:AF94"/>
    <mergeCell ref="B11:B12"/>
    <mergeCell ref="D11:D12"/>
    <mergeCell ref="K11:K12"/>
    <mergeCell ref="L11:L12"/>
    <mergeCell ref="Z11:Z12"/>
    <mergeCell ref="G11:G12"/>
    <mergeCell ref="V18:V31"/>
    <mergeCell ref="V47:V50"/>
    <mergeCell ref="C10:F10"/>
    <mergeCell ref="H11:H12"/>
    <mergeCell ref="W11:W12"/>
    <mergeCell ref="X11:Y11"/>
    <mergeCell ref="P11:R11"/>
    <mergeCell ref="M11:N11"/>
    <mergeCell ref="U11:V11"/>
    <mergeCell ref="C11:C12"/>
    <mergeCell ref="S11:T11"/>
    <mergeCell ref="M10:T10"/>
    <mergeCell ref="U10:Z10"/>
    <mergeCell ref="G10:L10"/>
    <mergeCell ref="E11:E12"/>
    <mergeCell ref="F11:F12"/>
  </mergeCells>
  <phoneticPr fontId="15" type="noConversion"/>
  <pageMargins left="0.7" right="0.7" top="0.75" bottom="0.75" header="0.3" footer="0.3"/>
  <pageSetup paperSize="9" scale="48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Q17"/>
  <sheetViews>
    <sheetView zoomScaleNormal="100" workbookViewId="0">
      <selection activeCell="H21" sqref="H21"/>
    </sheetView>
  </sheetViews>
  <sheetFormatPr defaultRowHeight="15" x14ac:dyDescent="0.25"/>
  <cols>
    <col min="1" max="2" width="9.140625" style="16"/>
    <col min="3" max="3" width="3.5703125" style="16" bestFit="1" customWidth="1"/>
    <col min="4" max="4" width="7" style="16" bestFit="1" customWidth="1"/>
    <col min="5" max="5" width="5.5703125" style="16" bestFit="1" customWidth="1"/>
    <col min="6" max="16384" width="9.140625" style="16"/>
  </cols>
  <sheetData>
    <row r="1" spans="2:17" ht="15.75" thickBot="1" x14ac:dyDescent="0.3">
      <c r="B1" s="264" t="s">
        <v>137</v>
      </c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</row>
    <row r="2" spans="2:17" x14ac:dyDescent="0.25">
      <c r="B2" s="265" t="s">
        <v>96</v>
      </c>
      <c r="C2" s="266"/>
      <c r="D2" s="266"/>
      <c r="E2" s="266"/>
      <c r="F2" s="266"/>
      <c r="G2" s="266"/>
      <c r="H2" s="266"/>
      <c r="I2" s="266"/>
      <c r="J2" s="267"/>
      <c r="K2" s="265" t="s">
        <v>97</v>
      </c>
      <c r="L2" s="266"/>
      <c r="M2" s="266"/>
      <c r="N2" s="266"/>
      <c r="O2" s="266"/>
      <c r="P2" s="266"/>
      <c r="Q2" s="267"/>
    </row>
    <row r="3" spans="2:17" ht="15.75" thickBot="1" x14ac:dyDescent="0.3">
      <c r="B3" s="271"/>
      <c r="C3" s="272"/>
      <c r="D3" s="272"/>
      <c r="E3" s="272"/>
      <c r="F3" s="272"/>
      <c r="G3" s="272"/>
      <c r="H3" s="272"/>
      <c r="I3" s="272"/>
      <c r="J3" s="273"/>
      <c r="K3" s="268"/>
      <c r="L3" s="269"/>
      <c r="M3" s="269"/>
      <c r="N3" s="269"/>
      <c r="O3" s="269"/>
      <c r="P3" s="269"/>
      <c r="Q3" s="270"/>
    </row>
    <row r="4" spans="2:17" ht="210" x14ac:dyDescent="0.25">
      <c r="B4" s="48"/>
      <c r="C4" s="49" t="s">
        <v>98</v>
      </c>
      <c r="D4" s="50" t="s">
        <v>99</v>
      </c>
      <c r="E4" s="50"/>
      <c r="F4" s="50"/>
      <c r="G4" s="274" t="s">
        <v>100</v>
      </c>
      <c r="H4" s="274"/>
      <c r="I4" s="274"/>
      <c r="J4" s="51"/>
      <c r="K4" s="52" t="s">
        <v>101</v>
      </c>
      <c r="L4" s="50" t="s">
        <v>99</v>
      </c>
      <c r="M4" s="49"/>
      <c r="N4" s="49"/>
      <c r="O4" s="49" t="s">
        <v>102</v>
      </c>
      <c r="P4" s="50" t="s">
        <v>99</v>
      </c>
      <c r="Q4" s="53"/>
    </row>
    <row r="5" spans="2:17" ht="15.75" thickBot="1" x14ac:dyDescent="0.3">
      <c r="B5" s="54"/>
      <c r="C5" s="15"/>
      <c r="D5" s="15"/>
      <c r="E5" s="15"/>
      <c r="F5" s="15"/>
      <c r="G5" s="15"/>
      <c r="H5" s="15"/>
      <c r="I5" s="15"/>
      <c r="J5" s="55"/>
      <c r="K5" s="56"/>
      <c r="L5" s="15"/>
      <c r="M5" s="15"/>
      <c r="N5" s="15"/>
      <c r="O5" s="15"/>
      <c r="P5" s="15"/>
      <c r="Q5" s="55"/>
    </row>
    <row r="6" spans="2:17" ht="15.75" thickBot="1" x14ac:dyDescent="0.3">
      <c r="B6" s="275" t="s">
        <v>48</v>
      </c>
      <c r="C6" s="15" t="s">
        <v>103</v>
      </c>
      <c r="D6" s="57">
        <v>10</v>
      </c>
      <c r="E6" s="15" t="s">
        <v>104</v>
      </c>
      <c r="F6" s="15"/>
      <c r="G6" s="67">
        <f>(D6/24)*H6</f>
        <v>0.41666666666666669</v>
      </c>
      <c r="H6" s="58" t="s">
        <v>105</v>
      </c>
      <c r="I6" s="59" t="s">
        <v>106</v>
      </c>
      <c r="J6" s="55"/>
      <c r="K6" s="56" t="s">
        <v>107</v>
      </c>
      <c r="L6" s="15">
        <v>0.5</v>
      </c>
      <c r="M6" s="15"/>
      <c r="N6" s="15"/>
      <c r="O6" s="15" t="s">
        <v>108</v>
      </c>
      <c r="P6" s="15">
        <v>1</v>
      </c>
      <c r="Q6" s="55"/>
    </row>
    <row r="7" spans="2:17" x14ac:dyDescent="0.25">
      <c r="B7" s="275"/>
      <c r="C7" s="15" t="s">
        <v>109</v>
      </c>
      <c r="D7" s="15">
        <v>2</v>
      </c>
      <c r="E7" s="15"/>
      <c r="F7" s="15"/>
      <c r="G7" s="14">
        <f>(D9/24)*H7</f>
        <v>0.10416666666666667</v>
      </c>
      <c r="H7" s="58" t="s">
        <v>110</v>
      </c>
      <c r="I7" s="59" t="s">
        <v>111</v>
      </c>
      <c r="J7" s="55"/>
      <c r="K7" s="56" t="s">
        <v>112</v>
      </c>
      <c r="L7" s="15">
        <v>1</v>
      </c>
      <c r="M7" s="15"/>
      <c r="N7" s="15"/>
      <c r="O7" s="15" t="s">
        <v>113</v>
      </c>
      <c r="P7" s="15">
        <v>0.2</v>
      </c>
      <c r="Q7" s="55"/>
    </row>
    <row r="8" spans="2:17" x14ac:dyDescent="0.25">
      <c r="B8" s="275"/>
      <c r="C8" s="15" t="s">
        <v>114</v>
      </c>
      <c r="D8" s="15">
        <v>4</v>
      </c>
      <c r="E8" s="15"/>
      <c r="F8" s="15"/>
      <c r="G8" s="14">
        <f>(D8/24)*H8</f>
        <v>-8.3333333333333329E-2</v>
      </c>
      <c r="H8" s="58" t="s">
        <v>115</v>
      </c>
      <c r="I8" s="59" t="s">
        <v>116</v>
      </c>
      <c r="J8" s="55"/>
      <c r="K8" s="56" t="s">
        <v>117</v>
      </c>
      <c r="L8" s="15">
        <v>0.9</v>
      </c>
      <c r="M8" s="15"/>
      <c r="N8" s="15"/>
      <c r="O8" s="15" t="s">
        <v>118</v>
      </c>
      <c r="P8" s="15">
        <v>0.7</v>
      </c>
      <c r="Q8" s="55"/>
    </row>
    <row r="9" spans="2:17" x14ac:dyDescent="0.25">
      <c r="B9" s="275"/>
      <c r="C9" s="15" t="s">
        <v>119</v>
      </c>
      <c r="D9" s="15">
        <v>5</v>
      </c>
      <c r="E9" s="15"/>
      <c r="F9" s="15"/>
      <c r="G9" s="14">
        <f>(D7/24)*H9</f>
        <v>-8.3333333333333329E-2</v>
      </c>
      <c r="H9" s="58" t="s">
        <v>120</v>
      </c>
      <c r="I9" s="59" t="s">
        <v>121</v>
      </c>
      <c r="J9" s="55"/>
      <c r="K9" s="56" t="s">
        <v>122</v>
      </c>
      <c r="L9" s="15">
        <v>1</v>
      </c>
      <c r="M9" s="15"/>
      <c r="N9" s="15"/>
      <c r="O9" s="15" t="s">
        <v>123</v>
      </c>
      <c r="P9" s="15">
        <v>1</v>
      </c>
      <c r="Q9" s="55"/>
    </row>
    <row r="10" spans="2:17" x14ac:dyDescent="0.25">
      <c r="B10" s="56"/>
      <c r="C10" s="15"/>
      <c r="D10" s="15"/>
      <c r="E10" s="15"/>
      <c r="F10" s="15"/>
      <c r="G10" s="15"/>
      <c r="H10" s="15"/>
      <c r="I10" s="15"/>
      <c r="J10" s="55"/>
      <c r="K10" s="60" t="s">
        <v>124</v>
      </c>
      <c r="L10" s="61">
        <f>SUM(L6:L9)/4</f>
        <v>0.85</v>
      </c>
      <c r="M10" s="15" t="s">
        <v>125</v>
      </c>
      <c r="N10" s="15"/>
      <c r="O10" s="61" t="s">
        <v>126</v>
      </c>
      <c r="P10" s="61">
        <f>SUM(P6:P9)/4</f>
        <v>0.72499999999999998</v>
      </c>
      <c r="Q10" s="55" t="s">
        <v>125</v>
      </c>
    </row>
    <row r="11" spans="2:17" ht="15.75" thickBot="1" x14ac:dyDescent="0.3">
      <c r="B11" s="56"/>
      <c r="C11" s="15"/>
      <c r="D11" s="15"/>
      <c r="E11" s="15"/>
      <c r="F11" s="15"/>
      <c r="G11" s="15"/>
      <c r="H11" s="15"/>
      <c r="I11" s="15"/>
      <c r="J11" s="55"/>
      <c r="K11" s="56" t="s">
        <v>127</v>
      </c>
      <c r="L11" s="15">
        <v>10</v>
      </c>
      <c r="M11" s="15"/>
      <c r="N11" s="15"/>
      <c r="O11" s="15" t="s">
        <v>127</v>
      </c>
      <c r="P11" s="15">
        <v>6</v>
      </c>
      <c r="Q11" s="55"/>
    </row>
    <row r="12" spans="2:17" ht="15.75" thickBot="1" x14ac:dyDescent="0.3">
      <c r="B12" s="56"/>
      <c r="C12" s="15"/>
      <c r="D12" s="15"/>
      <c r="E12" s="15"/>
      <c r="F12" s="15"/>
      <c r="G12" s="15"/>
      <c r="H12" s="15"/>
      <c r="I12" s="15"/>
      <c r="J12" s="55"/>
      <c r="K12" s="56" t="s">
        <v>128</v>
      </c>
      <c r="L12" s="68">
        <f>L10/L11/60</f>
        <v>1.4166666666666666E-3</v>
      </c>
      <c r="M12" s="15" t="s">
        <v>129</v>
      </c>
      <c r="N12" s="15"/>
      <c r="O12" s="15" t="s">
        <v>128</v>
      </c>
      <c r="P12" s="68">
        <f>P10/P11/60</f>
        <v>2.0138888888888888E-3</v>
      </c>
      <c r="Q12" s="55" t="s">
        <v>129</v>
      </c>
    </row>
    <row r="13" spans="2:17" ht="15.75" thickBot="1" x14ac:dyDescent="0.3">
      <c r="B13" s="62"/>
      <c r="C13" s="13"/>
      <c r="D13" s="13"/>
      <c r="E13" s="13"/>
      <c r="F13" s="13"/>
      <c r="G13" s="13"/>
      <c r="H13" s="13"/>
      <c r="I13" s="13"/>
      <c r="J13" s="63"/>
      <c r="K13" s="62"/>
      <c r="L13" s="13"/>
      <c r="M13" s="13"/>
      <c r="N13" s="13"/>
      <c r="O13" s="13"/>
      <c r="P13" s="13"/>
      <c r="Q13" s="63"/>
    </row>
    <row r="14" spans="2:17" ht="15.75" thickBot="1" x14ac:dyDescent="0.3"/>
    <row r="15" spans="2:17" x14ac:dyDescent="0.25">
      <c r="C15" s="262" t="s">
        <v>38</v>
      </c>
      <c r="D15" s="276" t="s">
        <v>1</v>
      </c>
      <c r="E15" s="276" t="s">
        <v>195</v>
      </c>
      <c r="F15" s="278" t="s">
        <v>130</v>
      </c>
      <c r="G15" s="279"/>
      <c r="H15" s="280"/>
      <c r="I15" s="278" t="s">
        <v>131</v>
      </c>
      <c r="J15" s="279"/>
      <c r="K15" s="279"/>
      <c r="L15" s="279"/>
      <c r="M15" s="280"/>
      <c r="N15" s="276" t="s">
        <v>323</v>
      </c>
    </row>
    <row r="16" spans="2:17" ht="15.75" thickBot="1" x14ac:dyDescent="0.3">
      <c r="C16" s="263"/>
      <c r="D16" s="277"/>
      <c r="E16" s="277"/>
      <c r="F16" s="82" t="s">
        <v>132</v>
      </c>
      <c r="G16" s="83" t="s">
        <v>133</v>
      </c>
      <c r="H16" s="84" t="s">
        <v>134</v>
      </c>
      <c r="I16" s="85" t="s">
        <v>197</v>
      </c>
      <c r="J16" s="86" t="s">
        <v>198</v>
      </c>
      <c r="K16" s="86" t="s">
        <v>199</v>
      </c>
      <c r="L16" s="86" t="s">
        <v>200</v>
      </c>
      <c r="M16" s="87" t="s">
        <v>201</v>
      </c>
      <c r="N16" s="277"/>
    </row>
    <row r="17" spans="3:14" ht="15.75" thickBot="1" x14ac:dyDescent="0.3">
      <c r="C17" s="88">
        <v>1</v>
      </c>
      <c r="D17" s="89" t="s">
        <v>196</v>
      </c>
      <c r="E17" s="89" t="s">
        <v>202</v>
      </c>
      <c r="F17" s="64">
        <v>0</v>
      </c>
      <c r="G17" s="10">
        <v>0</v>
      </c>
      <c r="H17" s="11">
        <v>0</v>
      </c>
      <c r="I17" s="64">
        <v>0</v>
      </c>
      <c r="J17" s="12">
        <v>0</v>
      </c>
      <c r="K17" s="65">
        <v>0</v>
      </c>
      <c r="L17" s="12">
        <v>0</v>
      </c>
      <c r="M17" s="66">
        <v>0</v>
      </c>
      <c r="N17" s="89">
        <v>0</v>
      </c>
    </row>
  </sheetData>
  <mergeCells count="11">
    <mergeCell ref="C15:C16"/>
    <mergeCell ref="B1:Q1"/>
    <mergeCell ref="K2:Q3"/>
    <mergeCell ref="B2:J3"/>
    <mergeCell ref="G4:I4"/>
    <mergeCell ref="B6:B9"/>
    <mergeCell ref="N15:N16"/>
    <mergeCell ref="D15:D16"/>
    <mergeCell ref="E15:E16"/>
    <mergeCell ref="F15:H15"/>
    <mergeCell ref="I15:M15"/>
  </mergeCells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2:S1020"/>
  <sheetViews>
    <sheetView showGridLines="0" zoomScale="85" zoomScaleNormal="85" zoomScalePageLayoutView="80" workbookViewId="0">
      <selection activeCell="G22" sqref="G22"/>
    </sheetView>
  </sheetViews>
  <sheetFormatPr defaultColWidth="8.85546875" defaultRowHeight="15" x14ac:dyDescent="0.25"/>
  <cols>
    <col min="1" max="1" width="8.85546875" style="17"/>
    <col min="2" max="2" width="8.85546875" style="17" bestFit="1" customWidth="1"/>
    <col min="3" max="3" width="5.5703125" style="17" bestFit="1" customWidth="1"/>
    <col min="4" max="4" width="20.7109375" style="17" customWidth="1"/>
    <col min="5" max="5" width="22.85546875" style="17" customWidth="1"/>
    <col min="6" max="6" width="28.28515625" style="17" customWidth="1"/>
    <col min="7" max="7" width="30.42578125" style="17" customWidth="1"/>
    <col min="8" max="8" width="22.7109375" style="17" customWidth="1"/>
    <col min="9" max="9" width="24.7109375" style="17" customWidth="1"/>
    <col min="10" max="10" width="12.7109375" style="17" customWidth="1"/>
    <col min="11" max="11" width="14.85546875" style="17" customWidth="1"/>
    <col min="12" max="12" width="23" style="17" customWidth="1"/>
    <col min="13" max="13" width="25" style="17" customWidth="1"/>
    <col min="14" max="14" width="23.42578125" style="17" customWidth="1"/>
    <col min="15" max="15" width="25.5703125" style="17" customWidth="1"/>
    <col min="16" max="16" width="11.85546875" style="17" customWidth="1"/>
    <col min="17" max="17" width="14" style="17" customWidth="1"/>
    <col min="18" max="18" width="13.42578125" style="17" customWidth="1"/>
    <col min="19" max="19" width="15.42578125" style="17" customWidth="1"/>
    <col min="20" max="20" width="7.28515625" style="17" customWidth="1"/>
    <col min="21" max="16384" width="8.85546875" style="17"/>
  </cols>
  <sheetData>
    <row r="2" spans="2:19" s="9" customFormat="1" ht="28.35" customHeight="1" x14ac:dyDescent="0.25">
      <c r="B2" s="286" t="s">
        <v>39</v>
      </c>
      <c r="C2" s="286" t="s">
        <v>1</v>
      </c>
      <c r="D2" s="283" t="s">
        <v>40</v>
      </c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5"/>
    </row>
    <row r="3" spans="2:19" s="19" customFormat="1" ht="15.75" customHeight="1" x14ac:dyDescent="0.25">
      <c r="B3" s="287"/>
      <c r="C3" s="287"/>
      <c r="D3" s="289" t="s">
        <v>41</v>
      </c>
      <c r="E3" s="290"/>
      <c r="F3" s="289" t="s">
        <v>42</v>
      </c>
      <c r="G3" s="290"/>
      <c r="H3" s="281" t="s">
        <v>43</v>
      </c>
      <c r="I3" s="282"/>
      <c r="J3" s="281" t="s">
        <v>135</v>
      </c>
      <c r="K3" s="282"/>
      <c r="L3" s="289" t="s">
        <v>44</v>
      </c>
      <c r="M3" s="290"/>
      <c r="N3" s="289" t="s">
        <v>45</v>
      </c>
      <c r="O3" s="290"/>
      <c r="P3" s="281" t="s">
        <v>46</v>
      </c>
      <c r="Q3" s="282"/>
      <c r="R3" s="289" t="s">
        <v>47</v>
      </c>
      <c r="S3" s="290"/>
    </row>
    <row r="4" spans="2:19" s="19" customFormat="1" x14ac:dyDescent="0.25">
      <c r="B4" s="288"/>
      <c r="C4" s="288"/>
      <c r="D4" s="18" t="s">
        <v>143</v>
      </c>
      <c r="E4" s="18" t="s">
        <v>144</v>
      </c>
      <c r="F4" s="18" t="s">
        <v>145</v>
      </c>
      <c r="G4" s="18" t="s">
        <v>146</v>
      </c>
      <c r="H4" s="18" t="s">
        <v>147</v>
      </c>
      <c r="I4" s="18" t="s">
        <v>148</v>
      </c>
      <c r="J4" s="18" t="s">
        <v>149</v>
      </c>
      <c r="K4" s="18" t="s">
        <v>150</v>
      </c>
      <c r="L4" s="18" t="s">
        <v>151</v>
      </c>
      <c r="M4" s="18" t="s">
        <v>152</v>
      </c>
      <c r="N4" s="18" t="s">
        <v>153</v>
      </c>
      <c r="O4" s="18" t="s">
        <v>154</v>
      </c>
      <c r="P4" s="18" t="s">
        <v>155</v>
      </c>
      <c r="Q4" s="18" t="s">
        <v>156</v>
      </c>
      <c r="R4" s="18" t="s">
        <v>157</v>
      </c>
      <c r="S4" s="18" t="s">
        <v>158</v>
      </c>
    </row>
    <row r="5" spans="2:19" ht="15.75" customHeight="1" x14ac:dyDescent="0.25">
      <c r="B5" s="23" t="s">
        <v>48</v>
      </c>
      <c r="C5" s="23" t="s">
        <v>49</v>
      </c>
      <c r="D5" s="27">
        <f>60/10</f>
        <v>6</v>
      </c>
      <c r="E5" s="28">
        <f>60/10/60</f>
        <v>0.1</v>
      </c>
      <c r="F5" s="20"/>
      <c r="G5" s="22"/>
      <c r="H5" s="22">
        <f>10/12</f>
        <v>0.83333333333333337</v>
      </c>
      <c r="I5" s="22">
        <f>10/12/60</f>
        <v>1.388888888888889E-2</v>
      </c>
      <c r="J5" s="22">
        <f>10/16</f>
        <v>0.625</v>
      </c>
      <c r="K5" s="22">
        <f>10/16/60</f>
        <v>1.0416666666666666E-2</v>
      </c>
      <c r="L5" s="22">
        <f>10/6</f>
        <v>1.6666666666666667</v>
      </c>
      <c r="M5" s="22">
        <f>10/6/60</f>
        <v>2.777777777777778E-2</v>
      </c>
      <c r="N5" s="22">
        <f>10/3</f>
        <v>3.3333333333333335</v>
      </c>
      <c r="O5" s="22">
        <f>10/3/60</f>
        <v>5.5555555555555559E-2</v>
      </c>
      <c r="P5" s="22">
        <f>10/8</f>
        <v>1.25</v>
      </c>
      <c r="Q5" s="22">
        <f>10/8/60</f>
        <v>2.0833333333333332E-2</v>
      </c>
      <c r="R5" s="22">
        <f>10/8</f>
        <v>1.25</v>
      </c>
      <c r="S5" s="22">
        <f>10/8/60</f>
        <v>2.0833333333333332E-2</v>
      </c>
    </row>
    <row r="6" spans="2:19" s="24" customFormat="1" x14ac:dyDescent="0.25">
      <c r="C6" s="25"/>
      <c r="D6" s="18" t="s">
        <v>159</v>
      </c>
      <c r="E6" s="18" t="s">
        <v>160</v>
      </c>
      <c r="F6" s="18" t="s">
        <v>161</v>
      </c>
      <c r="G6" s="18" t="s">
        <v>162</v>
      </c>
      <c r="H6" s="18" t="s">
        <v>163</v>
      </c>
      <c r="I6" s="18" t="s">
        <v>164</v>
      </c>
      <c r="J6" s="17"/>
      <c r="K6" s="17"/>
      <c r="L6" s="18" t="s">
        <v>165</v>
      </c>
      <c r="M6" s="18" t="s">
        <v>166</v>
      </c>
      <c r="N6" s="18" t="s">
        <v>167</v>
      </c>
      <c r="O6" s="18" t="s">
        <v>168</v>
      </c>
    </row>
    <row r="7" spans="2:19" ht="15.75" thickBot="1" x14ac:dyDescent="0.3">
      <c r="B7" s="26"/>
      <c r="C7" s="26"/>
      <c r="D7" s="27">
        <f>100/10</f>
        <v>10</v>
      </c>
      <c r="E7" s="28">
        <f>100/10/60</f>
        <v>0.16666666666666666</v>
      </c>
      <c r="F7" s="20"/>
      <c r="G7" s="22"/>
      <c r="H7" s="22">
        <f>10</f>
        <v>10</v>
      </c>
      <c r="I7" s="22">
        <f>10/60</f>
        <v>0.16666666666666666</v>
      </c>
      <c r="L7" s="22">
        <f>L5/2</f>
        <v>0.83333333333333337</v>
      </c>
      <c r="M7" s="22">
        <f>M5/2</f>
        <v>1.388888888888889E-2</v>
      </c>
      <c r="N7" s="22">
        <f>N5/2</f>
        <v>1.6666666666666667</v>
      </c>
      <c r="O7" s="22">
        <f>N7/60</f>
        <v>2.777777777777778E-2</v>
      </c>
    </row>
    <row r="8" spans="2:19" x14ac:dyDescent="0.25">
      <c r="B8" s="26"/>
      <c r="C8" s="26"/>
      <c r="D8" s="293" t="s">
        <v>142</v>
      </c>
      <c r="E8" s="294"/>
      <c r="F8" s="18" t="s">
        <v>169</v>
      </c>
      <c r="G8" s="18" t="s">
        <v>170</v>
      </c>
      <c r="H8" s="18" t="s">
        <v>171</v>
      </c>
      <c r="I8" s="18" t="s">
        <v>172</v>
      </c>
      <c r="L8" s="18" t="s">
        <v>173</v>
      </c>
      <c r="M8" s="18" t="s">
        <v>174</v>
      </c>
      <c r="N8" s="18" t="s">
        <v>175</v>
      </c>
      <c r="O8" s="18" t="s">
        <v>176</v>
      </c>
    </row>
    <row r="9" spans="2:19" x14ac:dyDescent="0.25">
      <c r="B9" s="26"/>
      <c r="C9" s="26"/>
      <c r="D9" s="30" t="s">
        <v>61</v>
      </c>
      <c r="E9" s="291" t="s">
        <v>62</v>
      </c>
      <c r="F9" s="20"/>
      <c r="G9" s="22"/>
      <c r="H9" s="22">
        <f>8</f>
        <v>8</v>
      </c>
      <c r="I9" s="22">
        <f>8/60</f>
        <v>0.13333333333333333</v>
      </c>
      <c r="L9" s="22">
        <f>10</f>
        <v>10</v>
      </c>
      <c r="M9" s="22">
        <f>10/60</f>
        <v>0.16666666666666666</v>
      </c>
      <c r="N9" s="22">
        <f>10</f>
        <v>10</v>
      </c>
      <c r="O9" s="22">
        <f>10/60</f>
        <v>0.16666666666666666</v>
      </c>
    </row>
    <row r="10" spans="2:19" ht="30" x14ac:dyDescent="0.25">
      <c r="B10" s="26"/>
      <c r="C10" s="26"/>
      <c r="D10" s="70" t="s">
        <v>71</v>
      </c>
      <c r="E10" s="291"/>
      <c r="F10" s="18" t="s">
        <v>177</v>
      </c>
      <c r="G10" s="18" t="s">
        <v>178</v>
      </c>
      <c r="L10" s="18" t="s">
        <v>179</v>
      </c>
      <c r="M10" s="18" t="s">
        <v>180</v>
      </c>
      <c r="N10" s="18" t="s">
        <v>181</v>
      </c>
      <c r="O10" s="18" t="s">
        <v>182</v>
      </c>
    </row>
    <row r="11" spans="2:19" x14ac:dyDescent="0.25">
      <c r="B11" s="26"/>
      <c r="C11" s="26"/>
      <c r="D11" s="42">
        <v>320</v>
      </c>
      <c r="E11" s="43" t="s">
        <v>73</v>
      </c>
      <c r="F11" s="20"/>
      <c r="G11" s="22"/>
      <c r="L11" s="22">
        <f>8</f>
        <v>8</v>
      </c>
      <c r="M11" s="22">
        <f>8/60</f>
        <v>0.13333333333333333</v>
      </c>
      <c r="N11" s="22">
        <f>8</f>
        <v>8</v>
      </c>
      <c r="O11" s="22">
        <f>8/60</f>
        <v>0.13333333333333333</v>
      </c>
    </row>
    <row r="12" spans="2:19" ht="15.75" thickBot="1" x14ac:dyDescent="0.3">
      <c r="B12" s="26"/>
      <c r="C12" s="26"/>
      <c r="D12" s="72" t="s">
        <v>76</v>
      </c>
      <c r="E12" s="73">
        <f>D11+E11</f>
        <v>420</v>
      </c>
      <c r="F12" s="18" t="s">
        <v>138</v>
      </c>
      <c r="G12" s="18" t="s">
        <v>139</v>
      </c>
    </row>
    <row r="13" spans="2:19" x14ac:dyDescent="0.25">
      <c r="B13" s="26"/>
      <c r="C13" s="26"/>
      <c r="D13" s="26"/>
      <c r="F13" s="20"/>
      <c r="G13" s="22"/>
    </row>
    <row r="14" spans="2:19" ht="15" customHeight="1" x14ac:dyDescent="0.25">
      <c r="B14" s="26"/>
      <c r="C14" s="26"/>
      <c r="D14" s="26"/>
      <c r="F14" s="18" t="s">
        <v>183</v>
      </c>
      <c r="G14" s="18" t="s">
        <v>184</v>
      </c>
    </row>
    <row r="15" spans="2:19" x14ac:dyDescent="0.25">
      <c r="B15" s="26"/>
      <c r="C15" s="26"/>
      <c r="D15" s="26"/>
      <c r="F15" s="20"/>
      <c r="G15" s="22"/>
    </row>
    <row r="16" spans="2:19" x14ac:dyDescent="0.25">
      <c r="B16" s="26"/>
      <c r="C16" s="26"/>
      <c r="D16" s="26"/>
      <c r="F16" s="18" t="s">
        <v>185</v>
      </c>
      <c r="G16" s="18" t="s">
        <v>186</v>
      </c>
    </row>
    <row r="17" spans="2:7" ht="15.75" thickBot="1" x14ac:dyDescent="0.3">
      <c r="B17" s="26"/>
      <c r="C17" s="26"/>
      <c r="D17" s="26"/>
      <c r="F17" s="20"/>
      <c r="G17" s="22"/>
    </row>
    <row r="18" spans="2:7" x14ac:dyDescent="0.25">
      <c r="B18" s="26"/>
      <c r="C18" s="26"/>
      <c r="F18" s="293" t="s">
        <v>142</v>
      </c>
      <c r="G18" s="294"/>
    </row>
    <row r="19" spans="2:7" x14ac:dyDescent="0.25">
      <c r="B19" s="26"/>
      <c r="C19" s="26"/>
      <c r="F19" s="32" t="s">
        <v>63</v>
      </c>
      <c r="G19" s="292" t="s">
        <v>64</v>
      </c>
    </row>
    <row r="20" spans="2:7" x14ac:dyDescent="0.25">
      <c r="B20" s="26"/>
      <c r="C20" s="26"/>
      <c r="F20" s="71" t="s">
        <v>72</v>
      </c>
      <c r="G20" s="292"/>
    </row>
    <row r="21" spans="2:7" x14ac:dyDescent="0.25">
      <c r="B21" s="26"/>
      <c r="C21" s="26"/>
      <c r="F21" s="21">
        <v>850</v>
      </c>
      <c r="G21" s="44" t="s">
        <v>74</v>
      </c>
    </row>
    <row r="22" spans="2:7" ht="15.75" thickBot="1" x14ac:dyDescent="0.3">
      <c r="B22" s="26"/>
      <c r="C22" s="26"/>
      <c r="F22" s="73" t="s">
        <v>76</v>
      </c>
      <c r="G22" s="36">
        <f>F21+G21</f>
        <v>1150</v>
      </c>
    </row>
    <row r="23" spans="2:7" x14ac:dyDescent="0.25">
      <c r="B23" s="26"/>
      <c r="C23" s="26"/>
      <c r="D23" s="26"/>
    </row>
    <row r="24" spans="2:7" x14ac:dyDescent="0.25">
      <c r="B24" s="26"/>
      <c r="C24" s="26"/>
    </row>
    <row r="25" spans="2:7" x14ac:dyDescent="0.25">
      <c r="B25" s="26"/>
      <c r="C25" s="26"/>
    </row>
    <row r="26" spans="2:7" x14ac:dyDescent="0.25">
      <c r="B26" s="26"/>
      <c r="C26" s="26"/>
    </row>
    <row r="27" spans="2:7" x14ac:dyDescent="0.25">
      <c r="B27" s="26"/>
      <c r="C27" s="26"/>
    </row>
    <row r="28" spans="2:7" x14ac:dyDescent="0.25">
      <c r="B28" s="26"/>
      <c r="C28" s="26"/>
    </row>
    <row r="29" spans="2:7" x14ac:dyDescent="0.25">
      <c r="B29" s="26"/>
      <c r="C29" s="26"/>
      <c r="D29" s="26"/>
    </row>
    <row r="30" spans="2:7" x14ac:dyDescent="0.25">
      <c r="B30" s="26"/>
      <c r="C30" s="26"/>
      <c r="D30" s="26"/>
    </row>
    <row r="31" spans="2:7" x14ac:dyDescent="0.25">
      <c r="B31" s="26"/>
      <c r="C31" s="26"/>
      <c r="D31" s="26"/>
    </row>
    <row r="32" spans="2:7" x14ac:dyDescent="0.25">
      <c r="B32" s="26"/>
      <c r="C32" s="26"/>
      <c r="D32" s="26"/>
    </row>
    <row r="33" spans="2:4" x14ac:dyDescent="0.25">
      <c r="B33" s="26"/>
      <c r="C33" s="26"/>
      <c r="D33" s="26"/>
    </row>
    <row r="34" spans="2:4" x14ac:dyDescent="0.25">
      <c r="B34" s="26"/>
      <c r="C34" s="26"/>
      <c r="D34" s="26"/>
    </row>
    <row r="35" spans="2:4" x14ac:dyDescent="0.25">
      <c r="B35" s="26"/>
      <c r="C35" s="26"/>
      <c r="D35" s="26"/>
    </row>
    <row r="36" spans="2:4" x14ac:dyDescent="0.25">
      <c r="B36" s="26"/>
      <c r="C36" s="26"/>
      <c r="D36" s="26"/>
    </row>
    <row r="37" spans="2:4" x14ac:dyDescent="0.25">
      <c r="B37" s="26"/>
      <c r="C37" s="26"/>
      <c r="D37" s="26"/>
    </row>
    <row r="38" spans="2:4" x14ac:dyDescent="0.25">
      <c r="B38" s="26"/>
      <c r="C38" s="26"/>
      <c r="D38" s="26"/>
    </row>
    <row r="39" spans="2:4" x14ac:dyDescent="0.25">
      <c r="B39" s="26"/>
      <c r="C39" s="26"/>
      <c r="D39" s="26"/>
    </row>
    <row r="40" spans="2:4" x14ac:dyDescent="0.25">
      <c r="B40" s="26"/>
      <c r="C40" s="26"/>
      <c r="D40" s="26"/>
    </row>
    <row r="41" spans="2:4" x14ac:dyDescent="0.25">
      <c r="B41" s="26"/>
      <c r="C41" s="26"/>
      <c r="D41" s="26"/>
    </row>
    <row r="42" spans="2:4" x14ac:dyDescent="0.25">
      <c r="B42" s="26"/>
      <c r="C42" s="26"/>
      <c r="D42" s="26"/>
    </row>
    <row r="43" spans="2:4" x14ac:dyDescent="0.25">
      <c r="B43" s="26"/>
      <c r="C43" s="26"/>
      <c r="D43" s="26"/>
    </row>
    <row r="44" spans="2:4" x14ac:dyDescent="0.25">
      <c r="B44" s="26"/>
      <c r="C44" s="26"/>
      <c r="D44" s="26"/>
    </row>
    <row r="45" spans="2:4" x14ac:dyDescent="0.25">
      <c r="B45" s="26"/>
      <c r="C45" s="26"/>
      <c r="D45" s="26"/>
    </row>
    <row r="46" spans="2:4" x14ac:dyDescent="0.25">
      <c r="B46" s="26"/>
      <c r="C46" s="26"/>
      <c r="D46" s="26"/>
    </row>
    <row r="47" spans="2:4" x14ac:dyDescent="0.25">
      <c r="B47" s="26"/>
      <c r="C47" s="26"/>
      <c r="D47" s="26"/>
    </row>
    <row r="48" spans="2:4" x14ac:dyDescent="0.25">
      <c r="B48" s="26"/>
      <c r="C48" s="26"/>
      <c r="D48" s="26"/>
    </row>
    <row r="49" spans="2:4" x14ac:dyDescent="0.25">
      <c r="B49" s="26"/>
      <c r="C49" s="26"/>
      <c r="D49" s="26"/>
    </row>
    <row r="50" spans="2:4" x14ac:dyDescent="0.25">
      <c r="B50" s="26"/>
      <c r="C50" s="26"/>
      <c r="D50" s="26"/>
    </row>
    <row r="51" spans="2:4" x14ac:dyDescent="0.25">
      <c r="B51" s="26"/>
      <c r="C51" s="26"/>
      <c r="D51" s="26"/>
    </row>
    <row r="52" spans="2:4" x14ac:dyDescent="0.25">
      <c r="B52" s="26"/>
      <c r="C52" s="26"/>
      <c r="D52" s="26"/>
    </row>
    <row r="53" spans="2:4" x14ac:dyDescent="0.25">
      <c r="B53" s="26"/>
      <c r="C53" s="26"/>
      <c r="D53" s="26"/>
    </row>
    <row r="54" spans="2:4" x14ac:dyDescent="0.25">
      <c r="B54" s="26"/>
      <c r="C54" s="26"/>
      <c r="D54" s="26"/>
    </row>
    <row r="55" spans="2:4" x14ac:dyDescent="0.25">
      <c r="B55" s="26"/>
      <c r="C55" s="26"/>
      <c r="D55" s="26"/>
    </row>
    <row r="56" spans="2:4" x14ac:dyDescent="0.25">
      <c r="B56" s="26"/>
      <c r="C56" s="26"/>
      <c r="D56" s="26"/>
    </row>
    <row r="57" spans="2:4" x14ac:dyDescent="0.25">
      <c r="B57" s="26"/>
      <c r="C57" s="26"/>
      <c r="D57" s="26"/>
    </row>
    <row r="58" spans="2:4" x14ac:dyDescent="0.25">
      <c r="B58" s="26"/>
      <c r="C58" s="26"/>
      <c r="D58" s="26"/>
    </row>
    <row r="59" spans="2:4" x14ac:dyDescent="0.25">
      <c r="B59" s="26"/>
      <c r="C59" s="26"/>
      <c r="D59" s="26"/>
    </row>
    <row r="60" spans="2:4" x14ac:dyDescent="0.25">
      <c r="B60" s="26"/>
      <c r="C60" s="26"/>
      <c r="D60" s="26"/>
    </row>
    <row r="61" spans="2:4" x14ac:dyDescent="0.25">
      <c r="B61" s="26"/>
      <c r="C61" s="26"/>
      <c r="D61" s="26"/>
    </row>
    <row r="62" spans="2:4" x14ac:dyDescent="0.25">
      <c r="B62" s="26"/>
      <c r="C62" s="26"/>
      <c r="D62" s="26"/>
    </row>
    <row r="63" spans="2:4" x14ac:dyDescent="0.25">
      <c r="B63" s="26"/>
      <c r="C63" s="26"/>
      <c r="D63" s="26"/>
    </row>
    <row r="64" spans="2:4" x14ac:dyDescent="0.25">
      <c r="B64" s="26"/>
      <c r="C64" s="26"/>
      <c r="D64" s="26"/>
    </row>
    <row r="65" spans="2:4" x14ac:dyDescent="0.25">
      <c r="B65" s="26"/>
      <c r="C65" s="26"/>
      <c r="D65" s="26"/>
    </row>
    <row r="66" spans="2:4" x14ac:dyDescent="0.25">
      <c r="B66" s="26"/>
      <c r="C66" s="26"/>
      <c r="D66" s="26"/>
    </row>
    <row r="67" spans="2:4" x14ac:dyDescent="0.25">
      <c r="B67" s="26"/>
      <c r="C67" s="26"/>
      <c r="D67" s="26"/>
    </row>
    <row r="68" spans="2:4" x14ac:dyDescent="0.25">
      <c r="B68" s="26"/>
      <c r="C68" s="26"/>
      <c r="D68" s="26"/>
    </row>
    <row r="69" spans="2:4" x14ac:dyDescent="0.25">
      <c r="B69" s="26"/>
      <c r="C69" s="26"/>
      <c r="D69" s="26"/>
    </row>
    <row r="70" spans="2:4" x14ac:dyDescent="0.25">
      <c r="B70" s="26"/>
      <c r="C70" s="26"/>
      <c r="D70" s="26"/>
    </row>
    <row r="71" spans="2:4" x14ac:dyDescent="0.25">
      <c r="B71" s="26"/>
      <c r="C71" s="26"/>
      <c r="D71" s="26"/>
    </row>
    <row r="72" spans="2:4" x14ac:dyDescent="0.25">
      <c r="B72" s="26"/>
      <c r="C72" s="26"/>
      <c r="D72" s="26"/>
    </row>
    <row r="73" spans="2:4" x14ac:dyDescent="0.25">
      <c r="B73" s="26"/>
      <c r="C73" s="26"/>
      <c r="D73" s="26"/>
    </row>
    <row r="74" spans="2:4" x14ac:dyDescent="0.25">
      <c r="B74" s="26"/>
      <c r="C74" s="26"/>
      <c r="D74" s="26"/>
    </row>
    <row r="75" spans="2:4" x14ac:dyDescent="0.25">
      <c r="B75" s="26"/>
      <c r="C75" s="26"/>
      <c r="D75" s="26"/>
    </row>
    <row r="76" spans="2:4" x14ac:dyDescent="0.25">
      <c r="B76" s="26"/>
      <c r="C76" s="26"/>
      <c r="D76" s="26"/>
    </row>
    <row r="77" spans="2:4" x14ac:dyDescent="0.25">
      <c r="B77" s="26"/>
      <c r="C77" s="26"/>
      <c r="D77" s="26"/>
    </row>
    <row r="78" spans="2:4" x14ac:dyDescent="0.25">
      <c r="B78" s="26"/>
      <c r="C78" s="26"/>
      <c r="D78" s="26"/>
    </row>
    <row r="79" spans="2:4" x14ac:dyDescent="0.25">
      <c r="B79" s="26"/>
      <c r="C79" s="26"/>
      <c r="D79" s="26"/>
    </row>
    <row r="80" spans="2:4" x14ac:dyDescent="0.25">
      <c r="B80" s="26"/>
      <c r="C80" s="26"/>
      <c r="D80" s="26"/>
    </row>
    <row r="81" spans="2:4" x14ac:dyDescent="0.25">
      <c r="B81" s="26"/>
      <c r="C81" s="26"/>
      <c r="D81" s="26"/>
    </row>
    <row r="82" spans="2:4" x14ac:dyDescent="0.25">
      <c r="B82" s="26"/>
      <c r="C82" s="26"/>
      <c r="D82" s="26"/>
    </row>
    <row r="83" spans="2:4" x14ac:dyDescent="0.25">
      <c r="B83" s="26"/>
      <c r="C83" s="26"/>
      <c r="D83" s="26"/>
    </row>
    <row r="84" spans="2:4" x14ac:dyDescent="0.25">
      <c r="B84" s="26"/>
      <c r="C84" s="26"/>
      <c r="D84" s="26"/>
    </row>
    <row r="85" spans="2:4" x14ac:dyDescent="0.25">
      <c r="B85" s="26"/>
      <c r="C85" s="26"/>
      <c r="D85" s="26"/>
    </row>
    <row r="86" spans="2:4" x14ac:dyDescent="0.25">
      <c r="B86" s="26"/>
      <c r="C86" s="26"/>
      <c r="D86" s="26"/>
    </row>
    <row r="87" spans="2:4" x14ac:dyDescent="0.25">
      <c r="B87" s="26"/>
      <c r="C87" s="26"/>
      <c r="D87" s="26"/>
    </row>
    <row r="88" spans="2:4" x14ac:dyDescent="0.25">
      <c r="B88" s="26"/>
      <c r="C88" s="26"/>
      <c r="D88" s="26"/>
    </row>
    <row r="89" spans="2:4" x14ac:dyDescent="0.25">
      <c r="B89" s="26"/>
      <c r="C89" s="26"/>
      <c r="D89" s="26"/>
    </row>
    <row r="90" spans="2:4" x14ac:dyDescent="0.25">
      <c r="B90" s="26"/>
      <c r="C90" s="26"/>
      <c r="D90" s="26"/>
    </row>
    <row r="91" spans="2:4" x14ac:dyDescent="0.25">
      <c r="B91" s="26"/>
      <c r="C91" s="26"/>
      <c r="D91" s="26"/>
    </row>
    <row r="92" spans="2:4" x14ac:dyDescent="0.25">
      <c r="B92" s="26"/>
      <c r="C92" s="26"/>
      <c r="D92" s="26"/>
    </row>
    <row r="93" spans="2:4" x14ac:dyDescent="0.25">
      <c r="B93" s="26"/>
      <c r="C93" s="26"/>
      <c r="D93" s="26"/>
    </row>
    <row r="94" spans="2:4" x14ac:dyDescent="0.25">
      <c r="B94" s="26"/>
      <c r="C94" s="26"/>
      <c r="D94" s="26"/>
    </row>
    <row r="95" spans="2:4" x14ac:dyDescent="0.25">
      <c r="B95" s="26"/>
      <c r="C95" s="26"/>
      <c r="D95" s="26"/>
    </row>
    <row r="96" spans="2:4" x14ac:dyDescent="0.25">
      <c r="B96" s="26"/>
      <c r="C96" s="26"/>
      <c r="D96" s="26"/>
    </row>
    <row r="97" spans="2:4" x14ac:dyDescent="0.25">
      <c r="B97" s="26"/>
      <c r="C97" s="26"/>
      <c r="D97" s="26"/>
    </row>
    <row r="98" spans="2:4" x14ac:dyDescent="0.25">
      <c r="B98" s="26"/>
      <c r="C98" s="26"/>
      <c r="D98" s="26"/>
    </row>
    <row r="99" spans="2:4" x14ac:dyDescent="0.25">
      <c r="B99" s="26"/>
      <c r="C99" s="26"/>
      <c r="D99" s="26"/>
    </row>
    <row r="100" spans="2:4" x14ac:dyDescent="0.25">
      <c r="B100" s="26"/>
      <c r="C100" s="26"/>
      <c r="D100" s="26"/>
    </row>
    <row r="101" spans="2:4" x14ac:dyDescent="0.25">
      <c r="B101" s="26"/>
      <c r="C101" s="26"/>
      <c r="D101" s="26"/>
    </row>
    <row r="102" spans="2:4" x14ac:dyDescent="0.25">
      <c r="B102" s="26"/>
      <c r="C102" s="26"/>
      <c r="D102" s="26"/>
    </row>
    <row r="103" spans="2:4" x14ac:dyDescent="0.25">
      <c r="B103" s="26"/>
      <c r="C103" s="26"/>
      <c r="D103" s="26"/>
    </row>
    <row r="104" spans="2:4" x14ac:dyDescent="0.25">
      <c r="B104" s="26"/>
      <c r="C104" s="26"/>
      <c r="D104" s="26"/>
    </row>
    <row r="105" spans="2:4" x14ac:dyDescent="0.25">
      <c r="B105" s="26"/>
      <c r="C105" s="26"/>
      <c r="D105" s="26"/>
    </row>
    <row r="106" spans="2:4" x14ac:dyDescent="0.25">
      <c r="B106" s="26"/>
      <c r="C106" s="26"/>
      <c r="D106" s="26"/>
    </row>
    <row r="107" spans="2:4" x14ac:dyDescent="0.25">
      <c r="B107" s="26"/>
      <c r="C107" s="26"/>
      <c r="D107" s="26"/>
    </row>
    <row r="108" spans="2:4" x14ac:dyDescent="0.25">
      <c r="B108" s="26"/>
      <c r="C108" s="26"/>
      <c r="D108" s="26"/>
    </row>
    <row r="109" spans="2:4" x14ac:dyDescent="0.25">
      <c r="B109" s="26"/>
      <c r="C109" s="26"/>
      <c r="D109" s="26"/>
    </row>
    <row r="110" spans="2:4" x14ac:dyDescent="0.25">
      <c r="B110" s="26"/>
      <c r="C110" s="26"/>
      <c r="D110" s="26"/>
    </row>
    <row r="111" spans="2:4" x14ac:dyDescent="0.25">
      <c r="B111" s="26"/>
      <c r="C111" s="26"/>
      <c r="D111" s="26"/>
    </row>
    <row r="112" spans="2:4" x14ac:dyDescent="0.25">
      <c r="B112" s="26"/>
      <c r="C112" s="26"/>
      <c r="D112" s="26"/>
    </row>
    <row r="113" spans="2:4" x14ac:dyDescent="0.25">
      <c r="B113" s="26"/>
      <c r="C113" s="26"/>
      <c r="D113" s="26"/>
    </row>
    <row r="114" spans="2:4" x14ac:dyDescent="0.25">
      <c r="B114" s="26"/>
      <c r="C114" s="26"/>
      <c r="D114" s="26"/>
    </row>
    <row r="115" spans="2:4" x14ac:dyDescent="0.25">
      <c r="B115" s="26"/>
      <c r="C115" s="26"/>
      <c r="D115" s="26"/>
    </row>
    <row r="116" spans="2:4" x14ac:dyDescent="0.25">
      <c r="B116" s="26"/>
      <c r="C116" s="26"/>
      <c r="D116" s="26"/>
    </row>
    <row r="117" spans="2:4" x14ac:dyDescent="0.25">
      <c r="B117" s="26"/>
      <c r="C117" s="26"/>
      <c r="D117" s="26"/>
    </row>
    <row r="118" spans="2:4" x14ac:dyDescent="0.25">
      <c r="B118" s="26"/>
      <c r="C118" s="26"/>
      <c r="D118" s="26"/>
    </row>
    <row r="119" spans="2:4" x14ac:dyDescent="0.25">
      <c r="B119" s="26"/>
      <c r="C119" s="26"/>
      <c r="D119" s="26"/>
    </row>
    <row r="120" spans="2:4" x14ac:dyDescent="0.25">
      <c r="B120" s="26"/>
      <c r="C120" s="26"/>
      <c r="D120" s="26"/>
    </row>
    <row r="121" spans="2:4" x14ac:dyDescent="0.25">
      <c r="B121" s="26"/>
      <c r="C121" s="26"/>
      <c r="D121" s="26"/>
    </row>
    <row r="122" spans="2:4" x14ac:dyDescent="0.25">
      <c r="B122" s="26"/>
      <c r="C122" s="26"/>
      <c r="D122" s="26"/>
    </row>
    <row r="123" spans="2:4" x14ac:dyDescent="0.25">
      <c r="B123" s="26"/>
      <c r="C123" s="26"/>
      <c r="D123" s="26"/>
    </row>
    <row r="124" spans="2:4" x14ac:dyDescent="0.25">
      <c r="B124" s="26"/>
      <c r="C124" s="26"/>
      <c r="D124" s="26"/>
    </row>
    <row r="125" spans="2:4" x14ac:dyDescent="0.25">
      <c r="B125" s="26"/>
      <c r="C125" s="26"/>
      <c r="D125" s="26"/>
    </row>
    <row r="126" spans="2:4" x14ac:dyDescent="0.25">
      <c r="B126" s="26"/>
      <c r="C126" s="26"/>
      <c r="D126" s="26"/>
    </row>
    <row r="127" spans="2:4" x14ac:dyDescent="0.25">
      <c r="B127" s="26"/>
      <c r="C127" s="26"/>
      <c r="D127" s="26"/>
    </row>
    <row r="128" spans="2:4" x14ac:dyDescent="0.25">
      <c r="B128" s="26"/>
      <c r="C128" s="26"/>
      <c r="D128" s="26"/>
    </row>
    <row r="129" spans="2:4" x14ac:dyDescent="0.25">
      <c r="B129" s="26"/>
      <c r="C129" s="26"/>
      <c r="D129" s="26"/>
    </row>
    <row r="130" spans="2:4" x14ac:dyDescent="0.25">
      <c r="B130" s="26"/>
      <c r="C130" s="26"/>
      <c r="D130" s="26"/>
    </row>
    <row r="131" spans="2:4" x14ac:dyDescent="0.25">
      <c r="B131" s="26"/>
      <c r="C131" s="26"/>
      <c r="D131" s="26"/>
    </row>
    <row r="132" spans="2:4" x14ac:dyDescent="0.25">
      <c r="B132" s="26"/>
      <c r="C132" s="26"/>
      <c r="D132" s="26"/>
    </row>
    <row r="133" spans="2:4" x14ac:dyDescent="0.25">
      <c r="B133" s="26"/>
      <c r="C133" s="26"/>
      <c r="D133" s="26"/>
    </row>
    <row r="134" spans="2:4" x14ac:dyDescent="0.25">
      <c r="B134" s="26"/>
      <c r="C134" s="26"/>
      <c r="D134" s="26"/>
    </row>
    <row r="135" spans="2:4" x14ac:dyDescent="0.25">
      <c r="B135" s="26"/>
      <c r="C135" s="26"/>
      <c r="D135" s="26"/>
    </row>
    <row r="136" spans="2:4" x14ac:dyDescent="0.25">
      <c r="B136" s="26"/>
      <c r="C136" s="26"/>
      <c r="D136" s="26"/>
    </row>
    <row r="137" spans="2:4" x14ac:dyDescent="0.25">
      <c r="B137" s="26"/>
      <c r="C137" s="26"/>
      <c r="D137" s="26"/>
    </row>
    <row r="138" spans="2:4" x14ac:dyDescent="0.25">
      <c r="B138" s="26"/>
      <c r="C138" s="26"/>
      <c r="D138" s="26"/>
    </row>
    <row r="139" spans="2:4" x14ac:dyDescent="0.25">
      <c r="B139" s="26"/>
      <c r="C139" s="26"/>
      <c r="D139" s="26"/>
    </row>
    <row r="140" spans="2:4" x14ac:dyDescent="0.25">
      <c r="B140" s="26"/>
      <c r="C140" s="26"/>
      <c r="D140" s="26"/>
    </row>
    <row r="141" spans="2:4" x14ac:dyDescent="0.25">
      <c r="B141" s="26"/>
      <c r="C141" s="26"/>
      <c r="D141" s="26"/>
    </row>
    <row r="142" spans="2:4" x14ac:dyDescent="0.25">
      <c r="B142" s="26"/>
      <c r="C142" s="26"/>
      <c r="D142" s="26"/>
    </row>
    <row r="143" spans="2:4" x14ac:dyDescent="0.25">
      <c r="B143" s="26"/>
      <c r="C143" s="26"/>
      <c r="D143" s="26"/>
    </row>
    <row r="144" spans="2:4" x14ac:dyDescent="0.25">
      <c r="B144" s="26"/>
      <c r="C144" s="26"/>
      <c r="D144" s="26"/>
    </row>
    <row r="145" spans="2:4" x14ac:dyDescent="0.25">
      <c r="B145" s="26"/>
      <c r="C145" s="26"/>
      <c r="D145" s="26"/>
    </row>
    <row r="146" spans="2:4" x14ac:dyDescent="0.25">
      <c r="B146" s="26"/>
      <c r="C146" s="26"/>
      <c r="D146" s="26"/>
    </row>
    <row r="147" spans="2:4" x14ac:dyDescent="0.25">
      <c r="B147" s="26"/>
      <c r="C147" s="26"/>
      <c r="D147" s="26"/>
    </row>
    <row r="148" spans="2:4" x14ac:dyDescent="0.25">
      <c r="B148" s="26"/>
      <c r="C148" s="26"/>
      <c r="D148" s="26"/>
    </row>
    <row r="149" spans="2:4" x14ac:dyDescent="0.25">
      <c r="B149" s="26"/>
      <c r="C149" s="26"/>
      <c r="D149" s="26"/>
    </row>
    <row r="150" spans="2:4" x14ac:dyDescent="0.25">
      <c r="B150" s="26"/>
      <c r="C150" s="26"/>
      <c r="D150" s="26"/>
    </row>
    <row r="151" spans="2:4" x14ac:dyDescent="0.25">
      <c r="B151" s="26"/>
      <c r="C151" s="26"/>
      <c r="D151" s="26"/>
    </row>
    <row r="152" spans="2:4" x14ac:dyDescent="0.25">
      <c r="B152" s="26"/>
      <c r="C152" s="26"/>
      <c r="D152" s="26"/>
    </row>
    <row r="153" spans="2:4" x14ac:dyDescent="0.25">
      <c r="B153" s="26"/>
      <c r="C153" s="26"/>
      <c r="D153" s="26"/>
    </row>
    <row r="154" spans="2:4" x14ac:dyDescent="0.25">
      <c r="B154" s="26"/>
      <c r="C154" s="26"/>
      <c r="D154" s="26"/>
    </row>
    <row r="155" spans="2:4" x14ac:dyDescent="0.25">
      <c r="B155" s="26"/>
      <c r="C155" s="26"/>
      <c r="D155" s="26"/>
    </row>
    <row r="156" spans="2:4" x14ac:dyDescent="0.25">
      <c r="B156" s="26"/>
      <c r="C156" s="26"/>
      <c r="D156" s="26"/>
    </row>
    <row r="157" spans="2:4" x14ac:dyDescent="0.25">
      <c r="B157" s="26"/>
      <c r="C157" s="26"/>
      <c r="D157" s="26"/>
    </row>
    <row r="158" spans="2:4" x14ac:dyDescent="0.25">
      <c r="B158" s="26"/>
      <c r="C158" s="26"/>
      <c r="D158" s="26"/>
    </row>
    <row r="159" spans="2:4" x14ac:dyDescent="0.25">
      <c r="B159" s="26"/>
      <c r="C159" s="26"/>
      <c r="D159" s="26"/>
    </row>
    <row r="160" spans="2:4" x14ac:dyDescent="0.25">
      <c r="B160" s="26"/>
      <c r="C160" s="26"/>
      <c r="D160" s="26"/>
    </row>
    <row r="161" spans="2:4" x14ac:dyDescent="0.25">
      <c r="B161" s="26"/>
      <c r="C161" s="26"/>
      <c r="D161" s="26"/>
    </row>
    <row r="162" spans="2:4" x14ac:dyDescent="0.25">
      <c r="B162" s="26"/>
      <c r="C162" s="26"/>
      <c r="D162" s="26"/>
    </row>
    <row r="163" spans="2:4" x14ac:dyDescent="0.25">
      <c r="B163" s="26"/>
      <c r="C163" s="26"/>
      <c r="D163" s="26"/>
    </row>
    <row r="164" spans="2:4" x14ac:dyDescent="0.25">
      <c r="B164" s="26"/>
      <c r="C164" s="26"/>
      <c r="D164" s="26"/>
    </row>
    <row r="165" spans="2:4" x14ac:dyDescent="0.25">
      <c r="B165" s="26"/>
      <c r="C165" s="26"/>
      <c r="D165" s="26"/>
    </row>
    <row r="166" spans="2:4" x14ac:dyDescent="0.25">
      <c r="B166" s="26"/>
      <c r="C166" s="26"/>
      <c r="D166" s="26"/>
    </row>
    <row r="167" spans="2:4" x14ac:dyDescent="0.25">
      <c r="B167" s="26"/>
      <c r="C167" s="26"/>
      <c r="D167" s="26"/>
    </row>
    <row r="168" spans="2:4" x14ac:dyDescent="0.25">
      <c r="B168" s="26"/>
      <c r="C168" s="26"/>
      <c r="D168" s="26"/>
    </row>
    <row r="169" spans="2:4" x14ac:dyDescent="0.25">
      <c r="B169" s="26"/>
      <c r="C169" s="26"/>
      <c r="D169" s="26"/>
    </row>
    <row r="170" spans="2:4" x14ac:dyDescent="0.25">
      <c r="B170" s="26"/>
      <c r="C170" s="26"/>
      <c r="D170" s="26"/>
    </row>
    <row r="171" spans="2:4" x14ac:dyDescent="0.25">
      <c r="B171" s="26"/>
      <c r="C171" s="26"/>
      <c r="D171" s="26"/>
    </row>
    <row r="172" spans="2:4" x14ac:dyDescent="0.25">
      <c r="B172" s="26"/>
      <c r="C172" s="26"/>
      <c r="D172" s="26"/>
    </row>
    <row r="173" spans="2:4" x14ac:dyDescent="0.25">
      <c r="B173" s="26"/>
      <c r="C173" s="26"/>
      <c r="D173" s="26"/>
    </row>
    <row r="174" spans="2:4" x14ac:dyDescent="0.25">
      <c r="B174" s="26"/>
      <c r="C174" s="26"/>
      <c r="D174" s="26"/>
    </row>
    <row r="175" spans="2:4" x14ac:dyDescent="0.25">
      <c r="B175" s="26"/>
      <c r="C175" s="26"/>
      <c r="D175" s="26"/>
    </row>
    <row r="176" spans="2:4" x14ac:dyDescent="0.25">
      <c r="B176" s="26"/>
      <c r="C176" s="26"/>
      <c r="D176" s="26"/>
    </row>
    <row r="177" spans="2:4" x14ac:dyDescent="0.25">
      <c r="B177" s="26"/>
      <c r="C177" s="26"/>
      <c r="D177" s="26"/>
    </row>
    <row r="178" spans="2:4" x14ac:dyDescent="0.25">
      <c r="B178" s="26"/>
      <c r="C178" s="26"/>
      <c r="D178" s="26"/>
    </row>
    <row r="179" spans="2:4" x14ac:dyDescent="0.25">
      <c r="B179" s="26"/>
      <c r="C179" s="26"/>
      <c r="D179" s="26"/>
    </row>
    <row r="180" spans="2:4" x14ac:dyDescent="0.25">
      <c r="B180" s="26"/>
      <c r="C180" s="26"/>
      <c r="D180" s="26"/>
    </row>
    <row r="181" spans="2:4" x14ac:dyDescent="0.25">
      <c r="B181" s="26"/>
      <c r="C181" s="26"/>
      <c r="D181" s="26"/>
    </row>
    <row r="182" spans="2:4" x14ac:dyDescent="0.25">
      <c r="B182" s="26"/>
      <c r="C182" s="26"/>
      <c r="D182" s="26"/>
    </row>
    <row r="183" spans="2:4" x14ac:dyDescent="0.25">
      <c r="B183" s="26"/>
      <c r="C183" s="26"/>
      <c r="D183" s="26"/>
    </row>
    <row r="184" spans="2:4" x14ac:dyDescent="0.25">
      <c r="B184" s="26"/>
      <c r="C184" s="26"/>
      <c r="D184" s="26"/>
    </row>
    <row r="185" spans="2:4" x14ac:dyDescent="0.25">
      <c r="B185" s="26"/>
      <c r="C185" s="26"/>
      <c r="D185" s="26"/>
    </row>
    <row r="186" spans="2:4" x14ac:dyDescent="0.25">
      <c r="B186" s="26"/>
      <c r="C186" s="26"/>
      <c r="D186" s="26"/>
    </row>
    <row r="187" spans="2:4" x14ac:dyDescent="0.25">
      <c r="B187" s="26"/>
      <c r="C187" s="26"/>
      <c r="D187" s="26"/>
    </row>
    <row r="188" spans="2:4" x14ac:dyDescent="0.25">
      <c r="B188" s="26"/>
      <c r="C188" s="26"/>
      <c r="D188" s="26"/>
    </row>
    <row r="189" spans="2:4" x14ac:dyDescent="0.25">
      <c r="B189" s="26"/>
      <c r="C189" s="26"/>
      <c r="D189" s="26"/>
    </row>
    <row r="190" spans="2:4" x14ac:dyDescent="0.25">
      <c r="B190" s="26"/>
      <c r="C190" s="26"/>
      <c r="D190" s="26"/>
    </row>
    <row r="191" spans="2:4" x14ac:dyDescent="0.25">
      <c r="B191" s="26"/>
      <c r="C191" s="26"/>
      <c r="D191" s="26"/>
    </row>
    <row r="192" spans="2:4" x14ac:dyDescent="0.25">
      <c r="B192" s="26"/>
      <c r="C192" s="26"/>
      <c r="D192" s="26"/>
    </row>
    <row r="193" spans="2:4" x14ac:dyDescent="0.25">
      <c r="B193" s="26"/>
      <c r="C193" s="26"/>
      <c r="D193" s="26"/>
    </row>
    <row r="194" spans="2:4" x14ac:dyDescent="0.25">
      <c r="B194" s="26"/>
      <c r="C194" s="26"/>
      <c r="D194" s="26"/>
    </row>
    <row r="195" spans="2:4" x14ac:dyDescent="0.25">
      <c r="B195" s="26"/>
      <c r="C195" s="26"/>
      <c r="D195" s="26"/>
    </row>
    <row r="196" spans="2:4" x14ac:dyDescent="0.25">
      <c r="B196" s="26"/>
      <c r="C196" s="26"/>
      <c r="D196" s="26"/>
    </row>
    <row r="197" spans="2:4" x14ac:dyDescent="0.25">
      <c r="B197" s="26"/>
      <c r="C197" s="26"/>
      <c r="D197" s="26"/>
    </row>
    <row r="198" spans="2:4" x14ac:dyDescent="0.25">
      <c r="B198" s="26"/>
      <c r="C198" s="26"/>
      <c r="D198" s="26"/>
    </row>
    <row r="199" spans="2:4" x14ac:dyDescent="0.25">
      <c r="B199" s="26"/>
      <c r="C199" s="26"/>
      <c r="D199" s="26"/>
    </row>
    <row r="200" spans="2:4" x14ac:dyDescent="0.25">
      <c r="B200" s="26"/>
      <c r="C200" s="26"/>
      <c r="D200" s="26"/>
    </row>
    <row r="201" spans="2:4" x14ac:dyDescent="0.25">
      <c r="B201" s="26"/>
      <c r="C201" s="26"/>
      <c r="D201" s="26"/>
    </row>
    <row r="202" spans="2:4" x14ac:dyDescent="0.25">
      <c r="B202" s="26"/>
      <c r="C202" s="26"/>
      <c r="D202" s="26"/>
    </row>
    <row r="203" spans="2:4" x14ac:dyDescent="0.25">
      <c r="B203" s="26"/>
      <c r="C203" s="26"/>
      <c r="D203" s="26"/>
    </row>
    <row r="204" spans="2:4" x14ac:dyDescent="0.25">
      <c r="B204" s="26"/>
      <c r="C204" s="26"/>
      <c r="D204" s="26"/>
    </row>
    <row r="205" spans="2:4" x14ac:dyDescent="0.25">
      <c r="B205" s="26"/>
      <c r="C205" s="26"/>
      <c r="D205" s="26"/>
    </row>
    <row r="206" spans="2:4" x14ac:dyDescent="0.25">
      <c r="B206" s="26"/>
      <c r="C206" s="26"/>
      <c r="D206" s="26"/>
    </row>
    <row r="207" spans="2:4" x14ac:dyDescent="0.25">
      <c r="B207" s="26"/>
      <c r="C207" s="26"/>
      <c r="D207" s="26"/>
    </row>
    <row r="208" spans="2:4" x14ac:dyDescent="0.25">
      <c r="B208" s="26"/>
      <c r="C208" s="26"/>
      <c r="D208" s="26"/>
    </row>
    <row r="209" spans="2:4" x14ac:dyDescent="0.25">
      <c r="B209" s="26"/>
      <c r="C209" s="26"/>
      <c r="D209" s="26"/>
    </row>
    <row r="210" spans="2:4" x14ac:dyDescent="0.25">
      <c r="B210" s="26"/>
      <c r="C210" s="26"/>
      <c r="D210" s="26"/>
    </row>
    <row r="211" spans="2:4" x14ac:dyDescent="0.25">
      <c r="B211" s="26"/>
      <c r="C211" s="26"/>
      <c r="D211" s="26"/>
    </row>
    <row r="212" spans="2:4" x14ac:dyDescent="0.25">
      <c r="B212" s="26"/>
      <c r="C212" s="26"/>
      <c r="D212" s="26"/>
    </row>
    <row r="213" spans="2:4" x14ac:dyDescent="0.25">
      <c r="B213" s="26"/>
      <c r="C213" s="26"/>
      <c r="D213" s="26"/>
    </row>
    <row r="214" spans="2:4" x14ac:dyDescent="0.25">
      <c r="B214" s="26"/>
      <c r="C214" s="26"/>
      <c r="D214" s="26"/>
    </row>
    <row r="215" spans="2:4" x14ac:dyDescent="0.25">
      <c r="B215" s="26"/>
      <c r="C215" s="26"/>
      <c r="D215" s="26"/>
    </row>
    <row r="216" spans="2:4" x14ac:dyDescent="0.25">
      <c r="B216" s="26"/>
      <c r="C216" s="26"/>
      <c r="D216" s="26"/>
    </row>
    <row r="217" spans="2:4" x14ac:dyDescent="0.25">
      <c r="B217" s="26"/>
      <c r="C217" s="26"/>
      <c r="D217" s="26"/>
    </row>
    <row r="218" spans="2:4" x14ac:dyDescent="0.25">
      <c r="B218" s="26"/>
      <c r="C218" s="26"/>
      <c r="D218" s="26"/>
    </row>
    <row r="219" spans="2:4" x14ac:dyDescent="0.25">
      <c r="B219" s="26"/>
      <c r="C219" s="26"/>
      <c r="D219" s="26"/>
    </row>
    <row r="220" spans="2:4" x14ac:dyDescent="0.25">
      <c r="B220" s="26"/>
      <c r="C220" s="26"/>
      <c r="D220" s="26"/>
    </row>
    <row r="221" spans="2:4" x14ac:dyDescent="0.25">
      <c r="B221" s="26"/>
      <c r="C221" s="26"/>
      <c r="D221" s="26"/>
    </row>
    <row r="222" spans="2:4" x14ac:dyDescent="0.25">
      <c r="B222" s="26"/>
      <c r="C222" s="26"/>
      <c r="D222" s="26"/>
    </row>
    <row r="223" spans="2:4" x14ac:dyDescent="0.25">
      <c r="B223" s="26"/>
      <c r="C223" s="26"/>
      <c r="D223" s="26"/>
    </row>
    <row r="224" spans="2:4" x14ac:dyDescent="0.25">
      <c r="B224" s="26"/>
      <c r="C224" s="26"/>
      <c r="D224" s="26"/>
    </row>
    <row r="225" spans="2:4" x14ac:dyDescent="0.25">
      <c r="B225" s="26"/>
      <c r="C225" s="26"/>
      <c r="D225" s="26"/>
    </row>
    <row r="226" spans="2:4" x14ac:dyDescent="0.25">
      <c r="B226" s="26"/>
      <c r="C226" s="26"/>
      <c r="D226" s="26"/>
    </row>
    <row r="227" spans="2:4" x14ac:dyDescent="0.25">
      <c r="B227" s="26"/>
      <c r="C227" s="26"/>
      <c r="D227" s="26"/>
    </row>
    <row r="228" spans="2:4" x14ac:dyDescent="0.25">
      <c r="B228" s="26"/>
      <c r="C228" s="26"/>
      <c r="D228" s="26"/>
    </row>
    <row r="229" spans="2:4" x14ac:dyDescent="0.25">
      <c r="B229" s="26"/>
      <c r="C229" s="26"/>
      <c r="D229" s="26"/>
    </row>
    <row r="230" spans="2:4" x14ac:dyDescent="0.25">
      <c r="B230" s="26"/>
      <c r="C230" s="26"/>
      <c r="D230" s="26"/>
    </row>
    <row r="231" spans="2:4" x14ac:dyDescent="0.25">
      <c r="B231" s="26"/>
      <c r="C231" s="26"/>
      <c r="D231" s="26"/>
    </row>
    <row r="232" spans="2:4" x14ac:dyDescent="0.25">
      <c r="B232" s="26"/>
      <c r="C232" s="26"/>
      <c r="D232" s="26"/>
    </row>
    <row r="233" spans="2:4" x14ac:dyDescent="0.25">
      <c r="B233" s="26"/>
      <c r="C233" s="26"/>
      <c r="D233" s="26"/>
    </row>
    <row r="234" spans="2:4" x14ac:dyDescent="0.25">
      <c r="B234" s="26"/>
      <c r="C234" s="26"/>
      <c r="D234" s="26"/>
    </row>
    <row r="235" spans="2:4" x14ac:dyDescent="0.25">
      <c r="B235" s="26"/>
      <c r="C235" s="26"/>
      <c r="D235" s="26"/>
    </row>
    <row r="236" spans="2:4" x14ac:dyDescent="0.25">
      <c r="B236" s="26"/>
      <c r="C236" s="26"/>
      <c r="D236" s="26"/>
    </row>
    <row r="237" spans="2:4" x14ac:dyDescent="0.25">
      <c r="B237" s="26"/>
      <c r="C237" s="26"/>
      <c r="D237" s="26"/>
    </row>
    <row r="238" spans="2:4" x14ac:dyDescent="0.25">
      <c r="B238" s="26"/>
      <c r="C238" s="26"/>
      <c r="D238" s="26"/>
    </row>
    <row r="239" spans="2:4" x14ac:dyDescent="0.25">
      <c r="B239" s="26"/>
      <c r="C239" s="26"/>
      <c r="D239" s="26"/>
    </row>
    <row r="240" spans="2:4" x14ac:dyDescent="0.25">
      <c r="B240" s="26"/>
      <c r="C240" s="26"/>
      <c r="D240" s="26"/>
    </row>
    <row r="241" spans="2:4" x14ac:dyDescent="0.25">
      <c r="B241" s="26"/>
      <c r="C241" s="26"/>
      <c r="D241" s="26"/>
    </row>
    <row r="242" spans="2:4" x14ac:dyDescent="0.25">
      <c r="B242" s="26"/>
      <c r="C242" s="26"/>
      <c r="D242" s="26"/>
    </row>
    <row r="243" spans="2:4" x14ac:dyDescent="0.25">
      <c r="B243" s="26"/>
      <c r="C243" s="26"/>
      <c r="D243" s="26"/>
    </row>
    <row r="244" spans="2:4" x14ac:dyDescent="0.25">
      <c r="B244" s="26"/>
      <c r="C244" s="26"/>
      <c r="D244" s="26"/>
    </row>
    <row r="245" spans="2:4" x14ac:dyDescent="0.25">
      <c r="B245" s="26"/>
      <c r="C245" s="26"/>
      <c r="D245" s="26"/>
    </row>
    <row r="246" spans="2:4" x14ac:dyDescent="0.25">
      <c r="B246" s="26"/>
      <c r="C246" s="26"/>
      <c r="D246" s="26"/>
    </row>
    <row r="247" spans="2:4" x14ac:dyDescent="0.25">
      <c r="B247" s="26"/>
      <c r="C247" s="26"/>
      <c r="D247" s="26"/>
    </row>
    <row r="248" spans="2:4" x14ac:dyDescent="0.25">
      <c r="B248" s="26"/>
      <c r="C248" s="26"/>
      <c r="D248" s="26"/>
    </row>
    <row r="249" spans="2:4" x14ac:dyDescent="0.25">
      <c r="B249" s="26"/>
      <c r="C249" s="26"/>
      <c r="D249" s="26"/>
    </row>
    <row r="250" spans="2:4" x14ac:dyDescent="0.25">
      <c r="B250" s="26"/>
      <c r="C250" s="26"/>
      <c r="D250" s="26"/>
    </row>
    <row r="251" spans="2:4" x14ac:dyDescent="0.25">
      <c r="B251" s="26"/>
      <c r="C251" s="26"/>
      <c r="D251" s="26"/>
    </row>
    <row r="252" spans="2:4" x14ac:dyDescent="0.25">
      <c r="B252" s="26"/>
      <c r="C252" s="26"/>
      <c r="D252" s="26"/>
    </row>
    <row r="253" spans="2:4" x14ac:dyDescent="0.25">
      <c r="B253" s="26"/>
      <c r="C253" s="26"/>
      <c r="D253" s="26"/>
    </row>
    <row r="254" spans="2:4" x14ac:dyDescent="0.25">
      <c r="B254" s="26"/>
      <c r="C254" s="26"/>
      <c r="D254" s="26"/>
    </row>
    <row r="255" spans="2:4" x14ac:dyDescent="0.25">
      <c r="B255" s="26"/>
      <c r="C255" s="26"/>
      <c r="D255" s="26"/>
    </row>
    <row r="256" spans="2:4" x14ac:dyDescent="0.25">
      <c r="B256" s="26"/>
      <c r="C256" s="26"/>
      <c r="D256" s="26"/>
    </row>
    <row r="257" spans="2:4" x14ac:dyDescent="0.25">
      <c r="B257" s="26"/>
      <c r="C257" s="26"/>
      <c r="D257" s="26"/>
    </row>
    <row r="258" spans="2:4" x14ac:dyDescent="0.25">
      <c r="B258" s="26"/>
      <c r="C258" s="26"/>
      <c r="D258" s="26"/>
    </row>
    <row r="259" spans="2:4" x14ac:dyDescent="0.25">
      <c r="B259" s="26"/>
      <c r="C259" s="26"/>
      <c r="D259" s="26"/>
    </row>
    <row r="260" spans="2:4" x14ac:dyDescent="0.25">
      <c r="B260" s="26"/>
      <c r="C260" s="26"/>
      <c r="D260" s="26"/>
    </row>
    <row r="261" spans="2:4" x14ac:dyDescent="0.25">
      <c r="B261" s="26"/>
      <c r="C261" s="26"/>
      <c r="D261" s="26"/>
    </row>
    <row r="262" spans="2:4" x14ac:dyDescent="0.25">
      <c r="B262" s="26"/>
      <c r="C262" s="26"/>
      <c r="D262" s="26"/>
    </row>
    <row r="263" spans="2:4" x14ac:dyDescent="0.25">
      <c r="B263" s="26"/>
      <c r="C263" s="26"/>
      <c r="D263" s="26"/>
    </row>
    <row r="264" spans="2:4" x14ac:dyDescent="0.25">
      <c r="B264" s="26"/>
      <c r="C264" s="26"/>
      <c r="D264" s="26"/>
    </row>
    <row r="265" spans="2:4" x14ac:dyDescent="0.25">
      <c r="B265" s="26"/>
      <c r="C265" s="26"/>
      <c r="D265" s="26"/>
    </row>
    <row r="266" spans="2:4" x14ac:dyDescent="0.25">
      <c r="B266" s="26"/>
      <c r="C266" s="26"/>
      <c r="D266" s="26"/>
    </row>
    <row r="267" spans="2:4" x14ac:dyDescent="0.25">
      <c r="B267" s="26"/>
      <c r="C267" s="26"/>
      <c r="D267" s="26"/>
    </row>
    <row r="268" spans="2:4" x14ac:dyDescent="0.25">
      <c r="B268" s="26"/>
      <c r="C268" s="26"/>
      <c r="D268" s="26"/>
    </row>
    <row r="269" spans="2:4" x14ac:dyDescent="0.25">
      <c r="B269" s="26"/>
      <c r="C269" s="26"/>
      <c r="D269" s="26"/>
    </row>
    <row r="270" spans="2:4" x14ac:dyDescent="0.25">
      <c r="B270" s="26"/>
      <c r="C270" s="26"/>
      <c r="D270" s="26"/>
    </row>
    <row r="271" spans="2:4" x14ac:dyDescent="0.25">
      <c r="B271" s="26"/>
      <c r="C271" s="26"/>
      <c r="D271" s="26"/>
    </row>
    <row r="272" spans="2:4" x14ac:dyDescent="0.25">
      <c r="B272" s="26"/>
      <c r="C272" s="26"/>
      <c r="D272" s="26"/>
    </row>
    <row r="273" spans="2:4" x14ac:dyDescent="0.25">
      <c r="B273" s="26"/>
      <c r="C273" s="26"/>
      <c r="D273" s="26"/>
    </row>
    <row r="274" spans="2:4" x14ac:dyDescent="0.25">
      <c r="B274" s="26"/>
      <c r="C274" s="26"/>
      <c r="D274" s="26"/>
    </row>
    <row r="275" spans="2:4" x14ac:dyDescent="0.25">
      <c r="B275" s="26"/>
      <c r="C275" s="26"/>
      <c r="D275" s="26"/>
    </row>
    <row r="276" spans="2:4" x14ac:dyDescent="0.25">
      <c r="B276" s="26"/>
      <c r="C276" s="26"/>
      <c r="D276" s="26"/>
    </row>
    <row r="277" spans="2:4" x14ac:dyDescent="0.25">
      <c r="B277" s="26"/>
      <c r="C277" s="26"/>
      <c r="D277" s="26"/>
    </row>
    <row r="278" spans="2:4" x14ac:dyDescent="0.25">
      <c r="B278" s="26"/>
      <c r="C278" s="26"/>
      <c r="D278" s="26"/>
    </row>
    <row r="279" spans="2:4" x14ac:dyDescent="0.25">
      <c r="B279" s="26"/>
      <c r="C279" s="26"/>
      <c r="D279" s="26"/>
    </row>
    <row r="280" spans="2:4" x14ac:dyDescent="0.25">
      <c r="B280" s="26"/>
      <c r="C280" s="26"/>
      <c r="D280" s="26"/>
    </row>
    <row r="281" spans="2:4" x14ac:dyDescent="0.25">
      <c r="B281" s="26"/>
      <c r="C281" s="26"/>
      <c r="D281" s="26"/>
    </row>
    <row r="282" spans="2:4" x14ac:dyDescent="0.25">
      <c r="B282" s="26"/>
      <c r="C282" s="26"/>
      <c r="D282" s="26"/>
    </row>
    <row r="283" spans="2:4" x14ac:dyDescent="0.25">
      <c r="B283" s="26"/>
      <c r="C283" s="26"/>
      <c r="D283" s="26"/>
    </row>
    <row r="284" spans="2:4" x14ac:dyDescent="0.25">
      <c r="B284" s="26"/>
      <c r="C284" s="26"/>
      <c r="D284" s="26"/>
    </row>
    <row r="285" spans="2:4" x14ac:dyDescent="0.25">
      <c r="B285" s="26"/>
      <c r="C285" s="26"/>
      <c r="D285" s="26"/>
    </row>
    <row r="286" spans="2:4" x14ac:dyDescent="0.25">
      <c r="B286" s="26"/>
      <c r="C286" s="26"/>
      <c r="D286" s="26"/>
    </row>
    <row r="287" spans="2:4" x14ac:dyDescent="0.25">
      <c r="B287" s="26"/>
      <c r="C287" s="26"/>
      <c r="D287" s="26"/>
    </row>
    <row r="288" spans="2:4" x14ac:dyDescent="0.25">
      <c r="B288" s="26"/>
      <c r="C288" s="26"/>
      <c r="D288" s="26"/>
    </row>
    <row r="289" spans="2:4" x14ac:dyDescent="0.25">
      <c r="B289" s="26"/>
      <c r="C289" s="26"/>
      <c r="D289" s="26"/>
    </row>
    <row r="290" spans="2:4" x14ac:dyDescent="0.25">
      <c r="B290" s="26"/>
      <c r="C290" s="26"/>
      <c r="D290" s="26"/>
    </row>
    <row r="291" spans="2:4" x14ac:dyDescent="0.25">
      <c r="B291" s="26"/>
      <c r="C291" s="26"/>
      <c r="D291" s="26"/>
    </row>
    <row r="292" spans="2:4" x14ac:dyDescent="0.25">
      <c r="B292" s="26"/>
      <c r="C292" s="26"/>
      <c r="D292" s="26"/>
    </row>
    <row r="293" spans="2:4" x14ac:dyDescent="0.25">
      <c r="B293" s="26"/>
      <c r="C293" s="26"/>
      <c r="D293" s="26"/>
    </row>
    <row r="294" spans="2:4" x14ac:dyDescent="0.25">
      <c r="B294" s="26"/>
      <c r="C294" s="26"/>
      <c r="D294" s="26"/>
    </row>
    <row r="295" spans="2:4" x14ac:dyDescent="0.25">
      <c r="B295" s="26"/>
      <c r="C295" s="26"/>
      <c r="D295" s="26"/>
    </row>
    <row r="296" spans="2:4" x14ac:dyDescent="0.25">
      <c r="B296" s="26"/>
      <c r="C296" s="26"/>
      <c r="D296" s="26"/>
    </row>
    <row r="297" spans="2:4" x14ac:dyDescent="0.25">
      <c r="B297" s="26"/>
      <c r="C297" s="26"/>
      <c r="D297" s="26"/>
    </row>
    <row r="298" spans="2:4" x14ac:dyDescent="0.25">
      <c r="B298" s="26"/>
      <c r="C298" s="26"/>
      <c r="D298" s="26"/>
    </row>
    <row r="299" spans="2:4" x14ac:dyDescent="0.25">
      <c r="B299" s="26"/>
      <c r="C299" s="26"/>
      <c r="D299" s="26"/>
    </row>
    <row r="300" spans="2:4" x14ac:dyDescent="0.25">
      <c r="B300" s="26"/>
      <c r="C300" s="26"/>
      <c r="D300" s="26"/>
    </row>
    <row r="301" spans="2:4" x14ac:dyDescent="0.25">
      <c r="B301" s="26"/>
      <c r="C301" s="26"/>
      <c r="D301" s="26"/>
    </row>
    <row r="302" spans="2:4" x14ac:dyDescent="0.25">
      <c r="B302" s="26"/>
      <c r="C302" s="26"/>
      <c r="D302" s="26"/>
    </row>
    <row r="303" spans="2:4" x14ac:dyDescent="0.25">
      <c r="B303" s="26"/>
      <c r="C303" s="26"/>
      <c r="D303" s="26"/>
    </row>
    <row r="304" spans="2:4" x14ac:dyDescent="0.25">
      <c r="B304" s="26"/>
      <c r="C304" s="26"/>
      <c r="D304" s="26"/>
    </row>
    <row r="305" spans="2:4" x14ac:dyDescent="0.25">
      <c r="B305" s="26"/>
      <c r="C305" s="26"/>
      <c r="D305" s="26"/>
    </row>
    <row r="306" spans="2:4" x14ac:dyDescent="0.25">
      <c r="B306" s="26"/>
      <c r="C306" s="26"/>
      <c r="D306" s="26"/>
    </row>
    <row r="307" spans="2:4" x14ac:dyDescent="0.25">
      <c r="B307" s="26"/>
      <c r="C307" s="26"/>
      <c r="D307" s="26"/>
    </row>
    <row r="308" spans="2:4" x14ac:dyDescent="0.25">
      <c r="B308" s="26"/>
      <c r="C308" s="26"/>
      <c r="D308" s="26"/>
    </row>
    <row r="309" spans="2:4" x14ac:dyDescent="0.25">
      <c r="B309" s="26"/>
      <c r="C309" s="26"/>
      <c r="D309" s="26"/>
    </row>
    <row r="310" spans="2:4" x14ac:dyDescent="0.25">
      <c r="B310" s="26"/>
      <c r="C310" s="26"/>
      <c r="D310" s="26"/>
    </row>
    <row r="311" spans="2:4" x14ac:dyDescent="0.25">
      <c r="B311" s="26"/>
      <c r="C311" s="26"/>
      <c r="D311" s="26"/>
    </row>
    <row r="312" spans="2:4" x14ac:dyDescent="0.25">
      <c r="B312" s="26"/>
      <c r="C312" s="26"/>
      <c r="D312" s="26"/>
    </row>
    <row r="313" spans="2:4" x14ac:dyDescent="0.25">
      <c r="B313" s="26"/>
      <c r="C313" s="26"/>
      <c r="D313" s="26"/>
    </row>
    <row r="314" spans="2:4" x14ac:dyDescent="0.25">
      <c r="B314" s="26"/>
      <c r="C314" s="26"/>
      <c r="D314" s="26"/>
    </row>
    <row r="315" spans="2:4" x14ac:dyDescent="0.25">
      <c r="B315" s="26"/>
      <c r="C315" s="26"/>
      <c r="D315" s="26"/>
    </row>
    <row r="316" spans="2:4" x14ac:dyDescent="0.25">
      <c r="B316" s="26"/>
      <c r="C316" s="26"/>
      <c r="D316" s="26"/>
    </row>
    <row r="317" spans="2:4" x14ac:dyDescent="0.25">
      <c r="B317" s="26"/>
      <c r="C317" s="26"/>
      <c r="D317" s="26"/>
    </row>
    <row r="318" spans="2:4" x14ac:dyDescent="0.25">
      <c r="B318" s="26"/>
      <c r="C318" s="26"/>
      <c r="D318" s="26"/>
    </row>
    <row r="319" spans="2:4" x14ac:dyDescent="0.25">
      <c r="B319" s="26"/>
      <c r="C319" s="26"/>
      <c r="D319" s="26"/>
    </row>
    <row r="320" spans="2:4" x14ac:dyDescent="0.25">
      <c r="B320" s="26"/>
      <c r="C320" s="26"/>
      <c r="D320" s="26"/>
    </row>
    <row r="321" spans="2:4" x14ac:dyDescent="0.25">
      <c r="B321" s="26"/>
      <c r="C321" s="26"/>
      <c r="D321" s="26"/>
    </row>
    <row r="322" spans="2:4" x14ac:dyDescent="0.25">
      <c r="B322" s="26"/>
      <c r="C322" s="26"/>
      <c r="D322" s="26"/>
    </row>
    <row r="323" spans="2:4" x14ac:dyDescent="0.25">
      <c r="B323" s="26"/>
      <c r="C323" s="26"/>
      <c r="D323" s="26"/>
    </row>
    <row r="324" spans="2:4" x14ac:dyDescent="0.25">
      <c r="B324" s="26"/>
      <c r="C324" s="26"/>
      <c r="D324" s="26"/>
    </row>
    <row r="325" spans="2:4" x14ac:dyDescent="0.25">
      <c r="B325" s="26"/>
      <c r="C325" s="26"/>
      <c r="D325" s="26"/>
    </row>
    <row r="326" spans="2:4" x14ac:dyDescent="0.25">
      <c r="B326" s="26"/>
      <c r="C326" s="26"/>
      <c r="D326" s="26"/>
    </row>
    <row r="327" spans="2:4" x14ac:dyDescent="0.25">
      <c r="B327" s="26"/>
      <c r="C327" s="26"/>
      <c r="D327" s="26"/>
    </row>
    <row r="328" spans="2:4" x14ac:dyDescent="0.25">
      <c r="B328" s="26"/>
      <c r="C328" s="26"/>
      <c r="D328" s="26"/>
    </row>
    <row r="329" spans="2:4" x14ac:dyDescent="0.25">
      <c r="B329" s="26"/>
      <c r="C329" s="26"/>
      <c r="D329" s="26"/>
    </row>
    <row r="330" spans="2:4" x14ac:dyDescent="0.25">
      <c r="B330" s="26"/>
      <c r="C330" s="26"/>
      <c r="D330" s="26"/>
    </row>
    <row r="331" spans="2:4" x14ac:dyDescent="0.25">
      <c r="B331" s="26"/>
      <c r="C331" s="26"/>
      <c r="D331" s="26"/>
    </row>
    <row r="332" spans="2:4" x14ac:dyDescent="0.25">
      <c r="B332" s="26"/>
      <c r="C332" s="26"/>
      <c r="D332" s="26"/>
    </row>
    <row r="333" spans="2:4" x14ac:dyDescent="0.25">
      <c r="B333" s="26"/>
      <c r="C333" s="26"/>
      <c r="D333" s="26"/>
    </row>
    <row r="334" spans="2:4" x14ac:dyDescent="0.25">
      <c r="B334" s="26"/>
      <c r="C334" s="26"/>
      <c r="D334" s="26"/>
    </row>
    <row r="335" spans="2:4" x14ac:dyDescent="0.25">
      <c r="B335" s="26"/>
      <c r="C335" s="26"/>
      <c r="D335" s="26"/>
    </row>
    <row r="336" spans="2:4" x14ac:dyDescent="0.25">
      <c r="B336" s="26"/>
      <c r="C336" s="26"/>
      <c r="D336" s="26"/>
    </row>
    <row r="337" spans="2:4" x14ac:dyDescent="0.25">
      <c r="B337" s="26"/>
      <c r="C337" s="26"/>
      <c r="D337" s="26"/>
    </row>
    <row r="338" spans="2:4" x14ac:dyDescent="0.25">
      <c r="B338" s="26"/>
      <c r="C338" s="26"/>
      <c r="D338" s="26"/>
    </row>
    <row r="339" spans="2:4" x14ac:dyDescent="0.25">
      <c r="B339" s="26"/>
      <c r="C339" s="26"/>
      <c r="D339" s="26"/>
    </row>
    <row r="340" spans="2:4" x14ac:dyDescent="0.25">
      <c r="B340" s="26"/>
      <c r="C340" s="26"/>
      <c r="D340" s="26"/>
    </row>
    <row r="341" spans="2:4" x14ac:dyDescent="0.25">
      <c r="B341" s="26"/>
      <c r="C341" s="26"/>
      <c r="D341" s="26"/>
    </row>
    <row r="342" spans="2:4" x14ac:dyDescent="0.25">
      <c r="B342" s="26"/>
      <c r="C342" s="26"/>
      <c r="D342" s="26"/>
    </row>
    <row r="343" spans="2:4" x14ac:dyDescent="0.25">
      <c r="B343" s="26"/>
      <c r="C343" s="26"/>
      <c r="D343" s="26"/>
    </row>
    <row r="344" spans="2:4" x14ac:dyDescent="0.25">
      <c r="B344" s="26"/>
      <c r="C344" s="26"/>
      <c r="D344" s="26"/>
    </row>
    <row r="345" spans="2:4" x14ac:dyDescent="0.25">
      <c r="B345" s="26"/>
      <c r="C345" s="26"/>
      <c r="D345" s="26"/>
    </row>
    <row r="346" spans="2:4" x14ac:dyDescent="0.25">
      <c r="B346" s="26"/>
      <c r="C346" s="26"/>
      <c r="D346" s="26"/>
    </row>
    <row r="347" spans="2:4" x14ac:dyDescent="0.25">
      <c r="B347" s="26"/>
      <c r="C347" s="26"/>
      <c r="D347" s="26"/>
    </row>
    <row r="348" spans="2:4" x14ac:dyDescent="0.25">
      <c r="B348" s="26"/>
      <c r="C348" s="26"/>
      <c r="D348" s="26"/>
    </row>
    <row r="349" spans="2:4" x14ac:dyDescent="0.25">
      <c r="B349" s="26"/>
      <c r="C349" s="26"/>
      <c r="D349" s="26"/>
    </row>
    <row r="350" spans="2:4" x14ac:dyDescent="0.25">
      <c r="B350" s="26"/>
      <c r="C350" s="26"/>
      <c r="D350" s="26"/>
    </row>
    <row r="351" spans="2:4" x14ac:dyDescent="0.25">
      <c r="B351" s="26"/>
      <c r="C351" s="26"/>
      <c r="D351" s="26"/>
    </row>
    <row r="352" spans="2:4" x14ac:dyDescent="0.25">
      <c r="B352" s="26"/>
      <c r="C352" s="26"/>
      <c r="D352" s="26"/>
    </row>
    <row r="353" spans="2:4" x14ac:dyDescent="0.25">
      <c r="B353" s="26"/>
      <c r="C353" s="26"/>
      <c r="D353" s="26"/>
    </row>
    <row r="354" spans="2:4" x14ac:dyDescent="0.25">
      <c r="B354" s="26"/>
      <c r="C354" s="26"/>
      <c r="D354" s="26"/>
    </row>
    <row r="355" spans="2:4" x14ac:dyDescent="0.25">
      <c r="B355" s="26"/>
      <c r="C355" s="26"/>
      <c r="D355" s="26"/>
    </row>
    <row r="356" spans="2:4" x14ac:dyDescent="0.25">
      <c r="B356" s="26"/>
      <c r="C356" s="26"/>
      <c r="D356" s="26"/>
    </row>
    <row r="357" spans="2:4" x14ac:dyDescent="0.25">
      <c r="B357" s="26"/>
      <c r="C357" s="26"/>
      <c r="D357" s="26"/>
    </row>
    <row r="358" spans="2:4" x14ac:dyDescent="0.25">
      <c r="B358" s="26"/>
      <c r="C358" s="26"/>
      <c r="D358" s="26"/>
    </row>
    <row r="359" spans="2:4" x14ac:dyDescent="0.25">
      <c r="B359" s="26"/>
      <c r="C359" s="26"/>
      <c r="D359" s="26"/>
    </row>
    <row r="360" spans="2:4" x14ac:dyDescent="0.25">
      <c r="B360" s="26"/>
      <c r="C360" s="26"/>
      <c r="D360" s="26"/>
    </row>
    <row r="361" spans="2:4" x14ac:dyDescent="0.25">
      <c r="B361" s="26"/>
      <c r="C361" s="26"/>
      <c r="D361" s="26"/>
    </row>
    <row r="362" spans="2:4" x14ac:dyDescent="0.25">
      <c r="B362" s="26"/>
      <c r="C362" s="26"/>
      <c r="D362" s="26"/>
    </row>
    <row r="363" spans="2:4" x14ac:dyDescent="0.25">
      <c r="B363" s="26"/>
      <c r="C363" s="26"/>
      <c r="D363" s="26"/>
    </row>
    <row r="364" spans="2:4" x14ac:dyDescent="0.25">
      <c r="B364" s="26"/>
      <c r="C364" s="26"/>
      <c r="D364" s="26"/>
    </row>
    <row r="365" spans="2:4" x14ac:dyDescent="0.25">
      <c r="B365" s="26"/>
      <c r="C365" s="26"/>
      <c r="D365" s="26"/>
    </row>
    <row r="366" spans="2:4" x14ac:dyDescent="0.25">
      <c r="B366" s="26"/>
      <c r="C366" s="26"/>
      <c r="D366" s="26"/>
    </row>
    <row r="367" spans="2:4" x14ac:dyDescent="0.25">
      <c r="B367" s="26"/>
      <c r="C367" s="26"/>
      <c r="D367" s="26"/>
    </row>
    <row r="368" spans="2:4" x14ac:dyDescent="0.25">
      <c r="B368" s="26"/>
      <c r="C368" s="26"/>
      <c r="D368" s="26"/>
    </row>
    <row r="369" spans="2:4" x14ac:dyDescent="0.25">
      <c r="B369" s="26"/>
      <c r="C369" s="26"/>
      <c r="D369" s="26"/>
    </row>
    <row r="370" spans="2:4" x14ac:dyDescent="0.25">
      <c r="B370" s="26"/>
      <c r="C370" s="26"/>
      <c r="D370" s="26"/>
    </row>
    <row r="371" spans="2:4" x14ac:dyDescent="0.25">
      <c r="B371" s="26"/>
      <c r="C371" s="26"/>
      <c r="D371" s="26"/>
    </row>
    <row r="372" spans="2:4" x14ac:dyDescent="0.25">
      <c r="B372" s="26"/>
      <c r="C372" s="26"/>
      <c r="D372" s="26"/>
    </row>
    <row r="373" spans="2:4" x14ac:dyDescent="0.25">
      <c r="B373" s="26"/>
      <c r="C373" s="26"/>
      <c r="D373" s="26"/>
    </row>
    <row r="374" spans="2:4" x14ac:dyDescent="0.25">
      <c r="B374" s="26"/>
      <c r="C374" s="26"/>
      <c r="D374" s="26"/>
    </row>
    <row r="375" spans="2:4" x14ac:dyDescent="0.25">
      <c r="B375" s="26"/>
      <c r="C375" s="26"/>
      <c r="D375" s="26"/>
    </row>
    <row r="376" spans="2:4" x14ac:dyDescent="0.25">
      <c r="B376" s="26"/>
      <c r="C376" s="26"/>
      <c r="D376" s="26"/>
    </row>
    <row r="377" spans="2:4" x14ac:dyDescent="0.25">
      <c r="B377" s="26"/>
      <c r="C377" s="26"/>
      <c r="D377" s="26"/>
    </row>
    <row r="378" spans="2:4" x14ac:dyDescent="0.25">
      <c r="B378" s="26"/>
      <c r="C378" s="26"/>
      <c r="D378" s="26"/>
    </row>
    <row r="379" spans="2:4" x14ac:dyDescent="0.25">
      <c r="B379" s="26"/>
      <c r="C379" s="26"/>
      <c r="D379" s="26"/>
    </row>
    <row r="380" spans="2:4" x14ac:dyDescent="0.25">
      <c r="B380" s="26"/>
      <c r="C380" s="26"/>
      <c r="D380" s="26"/>
    </row>
    <row r="381" spans="2:4" x14ac:dyDescent="0.25">
      <c r="B381" s="26"/>
      <c r="C381" s="26"/>
      <c r="D381" s="26"/>
    </row>
    <row r="382" spans="2:4" x14ac:dyDescent="0.25">
      <c r="B382" s="26"/>
      <c r="C382" s="26"/>
      <c r="D382" s="26"/>
    </row>
    <row r="383" spans="2:4" x14ac:dyDescent="0.25">
      <c r="B383" s="26"/>
      <c r="C383" s="26"/>
      <c r="D383" s="26"/>
    </row>
    <row r="384" spans="2:4" x14ac:dyDescent="0.25">
      <c r="B384" s="26"/>
      <c r="C384" s="26"/>
      <c r="D384" s="26"/>
    </row>
    <row r="385" spans="2:4" x14ac:dyDescent="0.25">
      <c r="B385" s="26"/>
      <c r="C385" s="26"/>
      <c r="D385" s="26"/>
    </row>
    <row r="386" spans="2:4" x14ac:dyDescent="0.25">
      <c r="B386" s="26"/>
      <c r="C386" s="26"/>
      <c r="D386" s="26"/>
    </row>
    <row r="387" spans="2:4" x14ac:dyDescent="0.25">
      <c r="B387" s="26"/>
      <c r="C387" s="26"/>
      <c r="D387" s="26"/>
    </row>
    <row r="388" spans="2:4" x14ac:dyDescent="0.25">
      <c r="B388" s="26"/>
      <c r="C388" s="26"/>
      <c r="D388" s="26"/>
    </row>
    <row r="389" spans="2:4" x14ac:dyDescent="0.25">
      <c r="B389" s="26"/>
      <c r="C389" s="26"/>
      <c r="D389" s="26"/>
    </row>
    <row r="390" spans="2:4" x14ac:dyDescent="0.25">
      <c r="B390" s="26"/>
      <c r="C390" s="26"/>
      <c r="D390" s="26"/>
    </row>
    <row r="391" spans="2:4" x14ac:dyDescent="0.25">
      <c r="B391" s="26"/>
      <c r="C391" s="26"/>
      <c r="D391" s="26"/>
    </row>
    <row r="392" spans="2:4" x14ac:dyDescent="0.25">
      <c r="B392" s="26"/>
      <c r="C392" s="26"/>
      <c r="D392" s="26"/>
    </row>
    <row r="393" spans="2:4" x14ac:dyDescent="0.25">
      <c r="B393" s="26"/>
      <c r="C393" s="26"/>
      <c r="D393" s="26"/>
    </row>
    <row r="394" spans="2:4" x14ac:dyDescent="0.25">
      <c r="B394" s="26"/>
      <c r="C394" s="26"/>
      <c r="D394" s="26"/>
    </row>
    <row r="395" spans="2:4" x14ac:dyDescent="0.25">
      <c r="B395" s="26"/>
      <c r="C395" s="26"/>
      <c r="D395" s="26"/>
    </row>
    <row r="396" spans="2:4" x14ac:dyDescent="0.25">
      <c r="B396" s="26"/>
      <c r="C396" s="26"/>
      <c r="D396" s="26"/>
    </row>
    <row r="397" spans="2:4" x14ac:dyDescent="0.25">
      <c r="B397" s="26"/>
      <c r="C397" s="26"/>
      <c r="D397" s="26"/>
    </row>
    <row r="398" spans="2:4" x14ac:dyDescent="0.25">
      <c r="B398" s="26"/>
      <c r="C398" s="26"/>
      <c r="D398" s="26"/>
    </row>
    <row r="399" spans="2:4" x14ac:dyDescent="0.25">
      <c r="B399" s="26"/>
      <c r="C399" s="26"/>
      <c r="D399" s="26"/>
    </row>
    <row r="400" spans="2:4" x14ac:dyDescent="0.25">
      <c r="B400" s="26"/>
      <c r="C400" s="26"/>
      <c r="D400" s="26"/>
    </row>
    <row r="401" spans="2:4" x14ac:dyDescent="0.25">
      <c r="B401" s="26"/>
      <c r="C401" s="26"/>
      <c r="D401" s="26"/>
    </row>
    <row r="402" spans="2:4" x14ac:dyDescent="0.25">
      <c r="B402" s="26"/>
      <c r="C402" s="26"/>
      <c r="D402" s="26"/>
    </row>
    <row r="403" spans="2:4" x14ac:dyDescent="0.25">
      <c r="B403" s="26"/>
      <c r="C403" s="26"/>
      <c r="D403" s="26"/>
    </row>
    <row r="404" spans="2:4" x14ac:dyDescent="0.25">
      <c r="B404" s="26"/>
      <c r="C404" s="26"/>
      <c r="D404" s="26"/>
    </row>
    <row r="405" spans="2:4" x14ac:dyDescent="0.25">
      <c r="B405" s="26"/>
      <c r="C405" s="26"/>
      <c r="D405" s="26"/>
    </row>
    <row r="406" spans="2:4" x14ac:dyDescent="0.25">
      <c r="B406" s="26"/>
      <c r="C406" s="26"/>
      <c r="D406" s="26"/>
    </row>
    <row r="407" spans="2:4" x14ac:dyDescent="0.25">
      <c r="B407" s="26"/>
      <c r="C407" s="26"/>
      <c r="D407" s="26"/>
    </row>
    <row r="408" spans="2:4" x14ac:dyDescent="0.25">
      <c r="B408" s="26"/>
      <c r="C408" s="26"/>
      <c r="D408" s="26"/>
    </row>
    <row r="409" spans="2:4" x14ac:dyDescent="0.25">
      <c r="B409" s="26"/>
      <c r="C409" s="26"/>
      <c r="D409" s="26"/>
    </row>
    <row r="410" spans="2:4" x14ac:dyDescent="0.25">
      <c r="B410" s="26"/>
      <c r="C410" s="26"/>
      <c r="D410" s="26"/>
    </row>
    <row r="411" spans="2:4" x14ac:dyDescent="0.25">
      <c r="B411" s="26"/>
      <c r="C411" s="26"/>
      <c r="D411" s="26"/>
    </row>
    <row r="412" spans="2:4" x14ac:dyDescent="0.25">
      <c r="B412" s="26"/>
      <c r="C412" s="26"/>
      <c r="D412" s="26"/>
    </row>
    <row r="413" spans="2:4" x14ac:dyDescent="0.25">
      <c r="B413" s="26"/>
      <c r="C413" s="26"/>
      <c r="D413" s="26"/>
    </row>
    <row r="414" spans="2:4" x14ac:dyDescent="0.25">
      <c r="B414" s="26"/>
      <c r="C414" s="26"/>
      <c r="D414" s="26"/>
    </row>
    <row r="415" spans="2:4" x14ac:dyDescent="0.25">
      <c r="B415" s="26"/>
      <c r="C415" s="26"/>
      <c r="D415" s="26"/>
    </row>
    <row r="416" spans="2:4" x14ac:dyDescent="0.25">
      <c r="B416" s="26"/>
      <c r="C416" s="26"/>
      <c r="D416" s="26"/>
    </row>
    <row r="417" spans="2:4" x14ac:dyDescent="0.25">
      <c r="B417" s="26"/>
      <c r="C417" s="26"/>
      <c r="D417" s="26"/>
    </row>
    <row r="418" spans="2:4" x14ac:dyDescent="0.25">
      <c r="B418" s="26"/>
      <c r="C418" s="26"/>
      <c r="D418" s="26"/>
    </row>
    <row r="419" spans="2:4" x14ac:dyDescent="0.25">
      <c r="B419" s="26"/>
      <c r="C419" s="26"/>
      <c r="D419" s="26"/>
    </row>
    <row r="420" spans="2:4" x14ac:dyDescent="0.25">
      <c r="B420" s="26"/>
      <c r="C420" s="26"/>
      <c r="D420" s="26"/>
    </row>
    <row r="421" spans="2:4" x14ac:dyDescent="0.25">
      <c r="B421" s="26"/>
      <c r="C421" s="26"/>
      <c r="D421" s="26"/>
    </row>
    <row r="422" spans="2:4" x14ac:dyDescent="0.25">
      <c r="B422" s="26"/>
      <c r="C422" s="26"/>
      <c r="D422" s="26"/>
    </row>
    <row r="423" spans="2:4" x14ac:dyDescent="0.25">
      <c r="B423" s="26"/>
      <c r="C423" s="26"/>
      <c r="D423" s="26"/>
    </row>
    <row r="424" spans="2:4" x14ac:dyDescent="0.25">
      <c r="B424" s="26"/>
      <c r="C424" s="26"/>
      <c r="D424" s="26"/>
    </row>
    <row r="425" spans="2:4" x14ac:dyDescent="0.25">
      <c r="B425" s="26"/>
      <c r="C425" s="26"/>
      <c r="D425" s="26"/>
    </row>
    <row r="426" spans="2:4" x14ac:dyDescent="0.25">
      <c r="B426" s="26"/>
      <c r="C426" s="26"/>
      <c r="D426" s="26"/>
    </row>
    <row r="427" spans="2:4" x14ac:dyDescent="0.25">
      <c r="B427" s="26"/>
      <c r="C427" s="26"/>
      <c r="D427" s="26"/>
    </row>
    <row r="428" spans="2:4" x14ac:dyDescent="0.25">
      <c r="B428" s="26"/>
      <c r="C428" s="26"/>
      <c r="D428" s="26"/>
    </row>
    <row r="429" spans="2:4" x14ac:dyDescent="0.25">
      <c r="B429" s="26"/>
      <c r="C429" s="26"/>
      <c r="D429" s="26"/>
    </row>
    <row r="430" spans="2:4" x14ac:dyDescent="0.25">
      <c r="B430" s="26"/>
      <c r="C430" s="26"/>
      <c r="D430" s="26"/>
    </row>
    <row r="431" spans="2:4" x14ac:dyDescent="0.25">
      <c r="B431" s="26"/>
      <c r="C431" s="26"/>
      <c r="D431" s="26"/>
    </row>
    <row r="432" spans="2:4" x14ac:dyDescent="0.25">
      <c r="B432" s="26"/>
      <c r="C432" s="26"/>
      <c r="D432" s="26"/>
    </row>
    <row r="433" spans="2:4" x14ac:dyDescent="0.25">
      <c r="B433" s="26"/>
      <c r="C433" s="26"/>
      <c r="D433" s="26"/>
    </row>
    <row r="434" spans="2:4" x14ac:dyDescent="0.25">
      <c r="B434" s="26"/>
      <c r="C434" s="26"/>
      <c r="D434" s="26"/>
    </row>
    <row r="435" spans="2:4" x14ac:dyDescent="0.25">
      <c r="B435" s="26"/>
      <c r="C435" s="26"/>
      <c r="D435" s="26"/>
    </row>
    <row r="436" spans="2:4" x14ac:dyDescent="0.25">
      <c r="B436" s="26"/>
      <c r="C436" s="26"/>
      <c r="D436" s="26"/>
    </row>
    <row r="437" spans="2:4" x14ac:dyDescent="0.25">
      <c r="B437" s="26"/>
      <c r="C437" s="26"/>
      <c r="D437" s="26"/>
    </row>
    <row r="438" spans="2:4" x14ac:dyDescent="0.25">
      <c r="B438" s="26"/>
      <c r="C438" s="26"/>
      <c r="D438" s="26"/>
    </row>
    <row r="439" spans="2:4" x14ac:dyDescent="0.25">
      <c r="B439" s="26"/>
      <c r="C439" s="26"/>
      <c r="D439" s="26"/>
    </row>
    <row r="440" spans="2:4" x14ac:dyDescent="0.25">
      <c r="B440" s="26"/>
      <c r="C440" s="26"/>
      <c r="D440" s="26"/>
    </row>
    <row r="441" spans="2:4" x14ac:dyDescent="0.25">
      <c r="B441" s="26"/>
      <c r="C441" s="26"/>
      <c r="D441" s="26"/>
    </row>
    <row r="442" spans="2:4" x14ac:dyDescent="0.25">
      <c r="B442" s="26"/>
      <c r="C442" s="26"/>
      <c r="D442" s="26"/>
    </row>
    <row r="443" spans="2:4" x14ac:dyDescent="0.25">
      <c r="B443" s="26"/>
      <c r="C443" s="26"/>
      <c r="D443" s="26"/>
    </row>
    <row r="444" spans="2:4" x14ac:dyDescent="0.25">
      <c r="B444" s="26"/>
      <c r="C444" s="26"/>
      <c r="D444" s="26"/>
    </row>
    <row r="445" spans="2:4" x14ac:dyDescent="0.25">
      <c r="B445" s="26"/>
      <c r="C445" s="26"/>
      <c r="D445" s="26"/>
    </row>
    <row r="446" spans="2:4" x14ac:dyDescent="0.25">
      <c r="B446" s="26"/>
      <c r="C446" s="26"/>
      <c r="D446" s="26"/>
    </row>
    <row r="447" spans="2:4" x14ac:dyDescent="0.25">
      <c r="B447" s="26"/>
      <c r="C447" s="26"/>
      <c r="D447" s="26"/>
    </row>
    <row r="448" spans="2:4" x14ac:dyDescent="0.25">
      <c r="B448" s="26"/>
      <c r="C448" s="26"/>
      <c r="D448" s="26"/>
    </row>
    <row r="449" spans="2:4" x14ac:dyDescent="0.25">
      <c r="B449" s="26"/>
      <c r="C449" s="26"/>
      <c r="D449" s="26"/>
    </row>
    <row r="450" spans="2:4" x14ac:dyDescent="0.25">
      <c r="B450" s="26"/>
      <c r="C450" s="26"/>
      <c r="D450" s="26"/>
    </row>
    <row r="451" spans="2:4" x14ac:dyDescent="0.25">
      <c r="B451" s="26"/>
      <c r="C451" s="26"/>
      <c r="D451" s="26"/>
    </row>
    <row r="452" spans="2:4" x14ac:dyDescent="0.25">
      <c r="B452" s="26"/>
      <c r="C452" s="26"/>
      <c r="D452" s="26"/>
    </row>
    <row r="453" spans="2:4" x14ac:dyDescent="0.25">
      <c r="B453" s="26"/>
      <c r="C453" s="26"/>
      <c r="D453" s="26"/>
    </row>
    <row r="454" spans="2:4" x14ac:dyDescent="0.25">
      <c r="B454" s="26"/>
      <c r="C454" s="26"/>
      <c r="D454" s="26"/>
    </row>
    <row r="455" spans="2:4" x14ac:dyDescent="0.25">
      <c r="B455" s="26"/>
      <c r="C455" s="26"/>
      <c r="D455" s="26"/>
    </row>
    <row r="456" spans="2:4" x14ac:dyDescent="0.25">
      <c r="B456" s="26"/>
      <c r="C456" s="26"/>
      <c r="D456" s="26"/>
    </row>
    <row r="457" spans="2:4" x14ac:dyDescent="0.25">
      <c r="B457" s="26"/>
      <c r="C457" s="26"/>
      <c r="D457" s="26"/>
    </row>
    <row r="458" spans="2:4" x14ac:dyDescent="0.25">
      <c r="B458" s="26"/>
      <c r="C458" s="26"/>
      <c r="D458" s="26"/>
    </row>
    <row r="459" spans="2:4" x14ac:dyDescent="0.25">
      <c r="B459" s="26"/>
      <c r="C459" s="26"/>
      <c r="D459" s="26"/>
    </row>
    <row r="460" spans="2:4" x14ac:dyDescent="0.25">
      <c r="B460" s="26"/>
      <c r="C460" s="26"/>
      <c r="D460" s="26"/>
    </row>
    <row r="461" spans="2:4" x14ac:dyDescent="0.25">
      <c r="B461" s="26"/>
      <c r="C461" s="26"/>
      <c r="D461" s="26"/>
    </row>
    <row r="462" spans="2:4" x14ac:dyDescent="0.25">
      <c r="B462" s="26"/>
      <c r="C462" s="26"/>
      <c r="D462" s="26"/>
    </row>
    <row r="463" spans="2:4" x14ac:dyDescent="0.25">
      <c r="B463" s="26"/>
      <c r="C463" s="26"/>
      <c r="D463" s="26"/>
    </row>
    <row r="464" spans="2:4" x14ac:dyDescent="0.25">
      <c r="B464" s="26"/>
      <c r="C464" s="26"/>
      <c r="D464" s="26"/>
    </row>
    <row r="465" spans="2:4" x14ac:dyDescent="0.25">
      <c r="B465" s="26"/>
      <c r="C465" s="26"/>
      <c r="D465" s="26"/>
    </row>
    <row r="466" spans="2:4" x14ac:dyDescent="0.25">
      <c r="B466" s="26"/>
      <c r="C466" s="26"/>
      <c r="D466" s="26"/>
    </row>
    <row r="467" spans="2:4" x14ac:dyDescent="0.25">
      <c r="B467" s="26"/>
      <c r="C467" s="26"/>
      <c r="D467" s="26"/>
    </row>
    <row r="468" spans="2:4" x14ac:dyDescent="0.25">
      <c r="B468" s="26"/>
      <c r="C468" s="26"/>
      <c r="D468" s="26"/>
    </row>
    <row r="469" spans="2:4" x14ac:dyDescent="0.25">
      <c r="B469" s="26"/>
      <c r="C469" s="26"/>
      <c r="D469" s="26"/>
    </row>
    <row r="470" spans="2:4" x14ac:dyDescent="0.25">
      <c r="B470" s="26"/>
      <c r="C470" s="26"/>
      <c r="D470" s="26"/>
    </row>
    <row r="471" spans="2:4" x14ac:dyDescent="0.25">
      <c r="B471" s="26"/>
      <c r="C471" s="26"/>
      <c r="D471" s="26"/>
    </row>
    <row r="472" spans="2:4" x14ac:dyDescent="0.25">
      <c r="B472" s="26"/>
      <c r="C472" s="26"/>
      <c r="D472" s="26"/>
    </row>
    <row r="473" spans="2:4" x14ac:dyDescent="0.25">
      <c r="B473" s="26"/>
      <c r="C473" s="26"/>
      <c r="D473" s="26"/>
    </row>
    <row r="474" spans="2:4" x14ac:dyDescent="0.25">
      <c r="B474" s="26"/>
      <c r="C474" s="26"/>
      <c r="D474" s="26"/>
    </row>
    <row r="475" spans="2:4" x14ac:dyDescent="0.25">
      <c r="B475" s="26"/>
      <c r="C475" s="26"/>
      <c r="D475" s="26"/>
    </row>
    <row r="476" spans="2:4" x14ac:dyDescent="0.25">
      <c r="B476" s="26"/>
      <c r="C476" s="26"/>
      <c r="D476" s="26"/>
    </row>
    <row r="477" spans="2:4" x14ac:dyDescent="0.25">
      <c r="B477" s="26"/>
      <c r="C477" s="26"/>
      <c r="D477" s="26"/>
    </row>
    <row r="478" spans="2:4" x14ac:dyDescent="0.25">
      <c r="B478" s="26"/>
      <c r="C478" s="26"/>
      <c r="D478" s="26"/>
    </row>
    <row r="479" spans="2:4" x14ac:dyDescent="0.25">
      <c r="B479" s="26"/>
      <c r="C479" s="26"/>
      <c r="D479" s="26"/>
    </row>
    <row r="480" spans="2:4" x14ac:dyDescent="0.25">
      <c r="B480" s="26"/>
      <c r="C480" s="26"/>
      <c r="D480" s="26"/>
    </row>
    <row r="481" spans="2:4" x14ac:dyDescent="0.25">
      <c r="B481" s="26"/>
      <c r="C481" s="26"/>
      <c r="D481" s="26"/>
    </row>
    <row r="482" spans="2:4" x14ac:dyDescent="0.25">
      <c r="B482" s="26"/>
      <c r="C482" s="26"/>
      <c r="D482" s="26"/>
    </row>
    <row r="483" spans="2:4" x14ac:dyDescent="0.25">
      <c r="B483" s="26"/>
      <c r="C483" s="26"/>
      <c r="D483" s="26"/>
    </row>
    <row r="484" spans="2:4" x14ac:dyDescent="0.25">
      <c r="B484" s="26"/>
      <c r="C484" s="26"/>
      <c r="D484" s="26"/>
    </row>
    <row r="485" spans="2:4" x14ac:dyDescent="0.25">
      <c r="B485" s="26"/>
      <c r="C485" s="26"/>
      <c r="D485" s="26"/>
    </row>
    <row r="486" spans="2:4" x14ac:dyDescent="0.25">
      <c r="B486" s="26"/>
      <c r="C486" s="26"/>
      <c r="D486" s="26"/>
    </row>
    <row r="487" spans="2:4" x14ac:dyDescent="0.25">
      <c r="B487" s="26"/>
      <c r="C487" s="26"/>
      <c r="D487" s="26"/>
    </row>
    <row r="488" spans="2:4" x14ac:dyDescent="0.25">
      <c r="B488" s="26"/>
      <c r="C488" s="26"/>
      <c r="D488" s="26"/>
    </row>
    <row r="489" spans="2:4" x14ac:dyDescent="0.25">
      <c r="B489" s="26"/>
      <c r="C489" s="26"/>
      <c r="D489" s="26"/>
    </row>
    <row r="490" spans="2:4" x14ac:dyDescent="0.25">
      <c r="B490" s="26"/>
      <c r="C490" s="26"/>
      <c r="D490" s="26"/>
    </row>
    <row r="491" spans="2:4" x14ac:dyDescent="0.25">
      <c r="B491" s="26"/>
      <c r="C491" s="26"/>
      <c r="D491" s="26"/>
    </row>
    <row r="492" spans="2:4" x14ac:dyDescent="0.25">
      <c r="B492" s="26"/>
      <c r="C492" s="26"/>
      <c r="D492" s="26"/>
    </row>
    <row r="493" spans="2:4" x14ac:dyDescent="0.25">
      <c r="B493" s="26"/>
      <c r="C493" s="26"/>
      <c r="D493" s="26"/>
    </row>
    <row r="494" spans="2:4" x14ac:dyDescent="0.25">
      <c r="B494" s="26"/>
      <c r="C494" s="26"/>
      <c r="D494" s="26"/>
    </row>
    <row r="495" spans="2:4" x14ac:dyDescent="0.25">
      <c r="B495" s="26"/>
      <c r="C495" s="26"/>
      <c r="D495" s="26"/>
    </row>
    <row r="496" spans="2:4" x14ac:dyDescent="0.25">
      <c r="B496" s="26"/>
      <c r="C496" s="26"/>
      <c r="D496" s="26"/>
    </row>
    <row r="497" spans="2:4" x14ac:dyDescent="0.25">
      <c r="B497" s="26"/>
      <c r="C497" s="26"/>
      <c r="D497" s="26"/>
    </row>
    <row r="498" spans="2:4" x14ac:dyDescent="0.25">
      <c r="B498" s="26"/>
      <c r="C498" s="26"/>
      <c r="D498" s="26"/>
    </row>
    <row r="499" spans="2:4" x14ac:dyDescent="0.25">
      <c r="B499" s="26"/>
      <c r="C499" s="26"/>
      <c r="D499" s="26"/>
    </row>
    <row r="500" spans="2:4" x14ac:dyDescent="0.25">
      <c r="B500" s="26"/>
      <c r="C500" s="26"/>
      <c r="D500" s="26"/>
    </row>
    <row r="501" spans="2:4" x14ac:dyDescent="0.25">
      <c r="B501" s="26"/>
      <c r="C501" s="26"/>
      <c r="D501" s="26"/>
    </row>
    <row r="502" spans="2:4" x14ac:dyDescent="0.25">
      <c r="B502" s="26"/>
      <c r="C502" s="26"/>
      <c r="D502" s="26"/>
    </row>
    <row r="503" spans="2:4" x14ac:dyDescent="0.25">
      <c r="B503" s="26"/>
      <c r="C503" s="26"/>
      <c r="D503" s="26"/>
    </row>
    <row r="504" spans="2:4" x14ac:dyDescent="0.25">
      <c r="B504" s="26"/>
      <c r="C504" s="26"/>
      <c r="D504" s="26"/>
    </row>
    <row r="505" spans="2:4" x14ac:dyDescent="0.25">
      <c r="B505" s="26"/>
      <c r="C505" s="26"/>
      <c r="D505" s="26"/>
    </row>
    <row r="506" spans="2:4" x14ac:dyDescent="0.25">
      <c r="B506" s="26"/>
      <c r="C506" s="26"/>
      <c r="D506" s="26"/>
    </row>
    <row r="507" spans="2:4" x14ac:dyDescent="0.25">
      <c r="B507" s="26"/>
      <c r="C507" s="26"/>
      <c r="D507" s="26"/>
    </row>
    <row r="508" spans="2:4" x14ac:dyDescent="0.25">
      <c r="B508" s="26"/>
      <c r="C508" s="26"/>
      <c r="D508" s="26"/>
    </row>
    <row r="509" spans="2:4" x14ac:dyDescent="0.25">
      <c r="B509" s="26"/>
      <c r="C509" s="26"/>
      <c r="D509" s="26"/>
    </row>
    <row r="510" spans="2:4" x14ac:dyDescent="0.25">
      <c r="B510" s="26"/>
      <c r="C510" s="26"/>
      <c r="D510" s="26"/>
    </row>
    <row r="511" spans="2:4" x14ac:dyDescent="0.25">
      <c r="B511" s="26"/>
      <c r="C511" s="26"/>
      <c r="D511" s="26"/>
    </row>
    <row r="512" spans="2:4" x14ac:dyDescent="0.25">
      <c r="B512" s="26"/>
      <c r="C512" s="26"/>
      <c r="D512" s="26"/>
    </row>
    <row r="513" spans="2:4" x14ac:dyDescent="0.25">
      <c r="B513" s="26"/>
      <c r="C513" s="26"/>
      <c r="D513" s="26"/>
    </row>
    <row r="514" spans="2:4" x14ac:dyDescent="0.25">
      <c r="B514" s="26"/>
      <c r="C514" s="26"/>
      <c r="D514" s="26"/>
    </row>
    <row r="515" spans="2:4" x14ac:dyDescent="0.25">
      <c r="B515" s="26"/>
      <c r="C515" s="26"/>
      <c r="D515" s="26"/>
    </row>
    <row r="516" spans="2:4" x14ac:dyDescent="0.25">
      <c r="B516" s="26"/>
      <c r="C516" s="26"/>
      <c r="D516" s="26"/>
    </row>
    <row r="517" spans="2:4" x14ac:dyDescent="0.25">
      <c r="B517" s="26"/>
      <c r="C517" s="26"/>
      <c r="D517" s="26"/>
    </row>
    <row r="518" spans="2:4" x14ac:dyDescent="0.25">
      <c r="B518" s="26"/>
      <c r="C518" s="26"/>
      <c r="D518" s="26"/>
    </row>
    <row r="519" spans="2:4" x14ac:dyDescent="0.25">
      <c r="B519" s="26"/>
      <c r="C519" s="26"/>
      <c r="D519" s="26"/>
    </row>
    <row r="520" spans="2:4" x14ac:dyDescent="0.25">
      <c r="B520" s="26"/>
      <c r="C520" s="26"/>
      <c r="D520" s="26"/>
    </row>
    <row r="521" spans="2:4" x14ac:dyDescent="0.25">
      <c r="B521" s="26"/>
      <c r="C521" s="26"/>
      <c r="D521" s="26"/>
    </row>
    <row r="522" spans="2:4" x14ac:dyDescent="0.25">
      <c r="B522" s="26"/>
      <c r="C522" s="26"/>
      <c r="D522" s="26"/>
    </row>
    <row r="523" spans="2:4" x14ac:dyDescent="0.25">
      <c r="B523" s="26"/>
      <c r="C523" s="26"/>
      <c r="D523" s="26"/>
    </row>
    <row r="524" spans="2:4" x14ac:dyDescent="0.25">
      <c r="B524" s="26"/>
      <c r="C524" s="26"/>
      <c r="D524" s="26"/>
    </row>
    <row r="525" spans="2:4" x14ac:dyDescent="0.25">
      <c r="B525" s="26"/>
      <c r="C525" s="26"/>
      <c r="D525" s="26"/>
    </row>
    <row r="526" spans="2:4" x14ac:dyDescent="0.25">
      <c r="B526" s="26"/>
      <c r="C526" s="26"/>
      <c r="D526" s="26"/>
    </row>
    <row r="527" spans="2:4" x14ac:dyDescent="0.25">
      <c r="B527" s="26"/>
      <c r="C527" s="26"/>
      <c r="D527" s="26"/>
    </row>
    <row r="528" spans="2:4" x14ac:dyDescent="0.25">
      <c r="B528" s="26"/>
      <c r="C528" s="26"/>
      <c r="D528" s="26"/>
    </row>
    <row r="529" spans="2:4" x14ac:dyDescent="0.25">
      <c r="B529" s="26"/>
      <c r="C529" s="26"/>
      <c r="D529" s="26"/>
    </row>
    <row r="530" spans="2:4" x14ac:dyDescent="0.25">
      <c r="B530" s="26"/>
      <c r="C530" s="26"/>
      <c r="D530" s="26"/>
    </row>
    <row r="531" spans="2:4" x14ac:dyDescent="0.25">
      <c r="B531" s="26"/>
      <c r="C531" s="26"/>
      <c r="D531" s="26"/>
    </row>
    <row r="532" spans="2:4" x14ac:dyDescent="0.25">
      <c r="B532" s="26"/>
      <c r="C532" s="26"/>
      <c r="D532" s="26"/>
    </row>
    <row r="533" spans="2:4" x14ac:dyDescent="0.25">
      <c r="B533" s="26"/>
      <c r="C533" s="26"/>
      <c r="D533" s="26"/>
    </row>
    <row r="534" spans="2:4" x14ac:dyDescent="0.25">
      <c r="B534" s="26"/>
      <c r="C534" s="26"/>
      <c r="D534" s="26"/>
    </row>
    <row r="535" spans="2:4" x14ac:dyDescent="0.25">
      <c r="B535" s="26"/>
      <c r="C535" s="26"/>
      <c r="D535" s="26"/>
    </row>
    <row r="536" spans="2:4" x14ac:dyDescent="0.25">
      <c r="B536" s="26"/>
      <c r="C536" s="26"/>
      <c r="D536" s="26"/>
    </row>
    <row r="537" spans="2:4" x14ac:dyDescent="0.25">
      <c r="B537" s="26"/>
      <c r="C537" s="26"/>
      <c r="D537" s="26"/>
    </row>
    <row r="538" spans="2:4" x14ac:dyDescent="0.25">
      <c r="B538" s="26"/>
      <c r="C538" s="26"/>
      <c r="D538" s="26"/>
    </row>
    <row r="539" spans="2:4" x14ac:dyDescent="0.25">
      <c r="B539" s="26"/>
      <c r="C539" s="26"/>
      <c r="D539" s="26"/>
    </row>
    <row r="540" spans="2:4" x14ac:dyDescent="0.25">
      <c r="B540" s="26"/>
      <c r="C540" s="26"/>
      <c r="D540" s="26"/>
    </row>
    <row r="541" spans="2:4" x14ac:dyDescent="0.25">
      <c r="B541" s="26"/>
      <c r="C541" s="26"/>
      <c r="D541" s="26"/>
    </row>
    <row r="542" spans="2:4" x14ac:dyDescent="0.25">
      <c r="B542" s="26"/>
      <c r="C542" s="26"/>
      <c r="D542" s="26"/>
    </row>
    <row r="543" spans="2:4" x14ac:dyDescent="0.25">
      <c r="B543" s="26"/>
      <c r="C543" s="26"/>
      <c r="D543" s="26"/>
    </row>
    <row r="544" spans="2:4" x14ac:dyDescent="0.25">
      <c r="B544" s="26"/>
      <c r="C544" s="26"/>
      <c r="D544" s="26"/>
    </row>
    <row r="545" spans="2:4" x14ac:dyDescent="0.25">
      <c r="B545" s="26"/>
      <c r="C545" s="26"/>
      <c r="D545" s="26"/>
    </row>
    <row r="546" spans="2:4" x14ac:dyDescent="0.25">
      <c r="B546" s="26"/>
      <c r="C546" s="26"/>
      <c r="D546" s="26"/>
    </row>
    <row r="547" spans="2:4" x14ac:dyDescent="0.25">
      <c r="B547" s="26"/>
      <c r="C547" s="26"/>
      <c r="D547" s="26"/>
    </row>
    <row r="548" spans="2:4" x14ac:dyDescent="0.25">
      <c r="B548" s="26"/>
      <c r="C548" s="26"/>
      <c r="D548" s="26"/>
    </row>
    <row r="549" spans="2:4" x14ac:dyDescent="0.25">
      <c r="B549" s="26"/>
      <c r="C549" s="26"/>
      <c r="D549" s="26"/>
    </row>
    <row r="550" spans="2:4" x14ac:dyDescent="0.25">
      <c r="B550" s="26"/>
      <c r="C550" s="26"/>
      <c r="D550" s="26"/>
    </row>
    <row r="551" spans="2:4" x14ac:dyDescent="0.25">
      <c r="B551" s="26"/>
      <c r="C551" s="26"/>
      <c r="D551" s="26"/>
    </row>
    <row r="552" spans="2:4" x14ac:dyDescent="0.25">
      <c r="B552" s="26"/>
      <c r="C552" s="26"/>
      <c r="D552" s="26"/>
    </row>
    <row r="553" spans="2:4" x14ac:dyDescent="0.25">
      <c r="B553" s="26"/>
      <c r="C553" s="26"/>
      <c r="D553" s="26"/>
    </row>
    <row r="554" spans="2:4" x14ac:dyDescent="0.25">
      <c r="B554" s="26"/>
      <c r="C554" s="26"/>
      <c r="D554" s="26"/>
    </row>
    <row r="555" spans="2:4" x14ac:dyDescent="0.25">
      <c r="B555" s="26"/>
      <c r="C555" s="26"/>
      <c r="D555" s="26"/>
    </row>
    <row r="556" spans="2:4" x14ac:dyDescent="0.25">
      <c r="B556" s="26"/>
      <c r="C556" s="26"/>
      <c r="D556" s="26"/>
    </row>
    <row r="557" spans="2:4" x14ac:dyDescent="0.25">
      <c r="B557" s="26"/>
      <c r="C557" s="26"/>
      <c r="D557" s="26"/>
    </row>
    <row r="558" spans="2:4" x14ac:dyDescent="0.25">
      <c r="B558" s="26"/>
      <c r="C558" s="26"/>
      <c r="D558" s="26"/>
    </row>
    <row r="559" spans="2:4" x14ac:dyDescent="0.25">
      <c r="B559" s="26"/>
      <c r="C559" s="26"/>
      <c r="D559" s="26"/>
    </row>
    <row r="560" spans="2:4" x14ac:dyDescent="0.25">
      <c r="B560" s="26"/>
      <c r="C560" s="26"/>
      <c r="D560" s="26"/>
    </row>
    <row r="561" spans="2:4" x14ac:dyDescent="0.25">
      <c r="B561" s="26"/>
      <c r="C561" s="26"/>
      <c r="D561" s="26"/>
    </row>
    <row r="562" spans="2:4" x14ac:dyDescent="0.25">
      <c r="B562" s="26"/>
      <c r="C562" s="26"/>
      <c r="D562" s="26"/>
    </row>
    <row r="563" spans="2:4" x14ac:dyDescent="0.25">
      <c r="B563" s="26"/>
      <c r="C563" s="26"/>
      <c r="D563" s="26"/>
    </row>
    <row r="564" spans="2:4" x14ac:dyDescent="0.25">
      <c r="B564" s="26"/>
      <c r="C564" s="26"/>
      <c r="D564" s="26"/>
    </row>
    <row r="565" spans="2:4" x14ac:dyDescent="0.25">
      <c r="B565" s="26"/>
      <c r="C565" s="26"/>
      <c r="D565" s="26"/>
    </row>
    <row r="566" spans="2:4" x14ac:dyDescent="0.25">
      <c r="B566" s="26"/>
      <c r="C566" s="26"/>
      <c r="D566" s="26"/>
    </row>
    <row r="567" spans="2:4" x14ac:dyDescent="0.25">
      <c r="B567" s="26"/>
      <c r="C567" s="26"/>
      <c r="D567" s="26"/>
    </row>
    <row r="568" spans="2:4" x14ac:dyDescent="0.25">
      <c r="B568" s="26"/>
      <c r="C568" s="26"/>
      <c r="D568" s="26"/>
    </row>
    <row r="569" spans="2:4" x14ac:dyDescent="0.25">
      <c r="B569" s="26"/>
      <c r="C569" s="26"/>
      <c r="D569" s="26"/>
    </row>
    <row r="570" spans="2:4" x14ac:dyDescent="0.25">
      <c r="B570" s="26"/>
      <c r="C570" s="26"/>
      <c r="D570" s="26"/>
    </row>
    <row r="571" spans="2:4" x14ac:dyDescent="0.25">
      <c r="B571" s="26"/>
      <c r="C571" s="26"/>
      <c r="D571" s="26"/>
    </row>
    <row r="572" spans="2:4" x14ac:dyDescent="0.25">
      <c r="B572" s="26"/>
      <c r="C572" s="26"/>
      <c r="D572" s="26"/>
    </row>
    <row r="573" spans="2:4" x14ac:dyDescent="0.25">
      <c r="B573" s="26"/>
      <c r="C573" s="26"/>
      <c r="D573" s="26"/>
    </row>
    <row r="574" spans="2:4" x14ac:dyDescent="0.25">
      <c r="B574" s="26"/>
      <c r="C574" s="26"/>
      <c r="D574" s="26"/>
    </row>
    <row r="575" spans="2:4" x14ac:dyDescent="0.25">
      <c r="B575" s="26"/>
      <c r="C575" s="26"/>
      <c r="D575" s="26"/>
    </row>
    <row r="576" spans="2:4" x14ac:dyDescent="0.25">
      <c r="B576" s="26"/>
      <c r="C576" s="26"/>
      <c r="D576" s="26"/>
    </row>
    <row r="577" spans="2:4" x14ac:dyDescent="0.25">
      <c r="B577" s="26"/>
      <c r="C577" s="26"/>
      <c r="D577" s="26"/>
    </row>
    <row r="578" spans="2:4" x14ac:dyDescent="0.25">
      <c r="B578" s="26"/>
      <c r="C578" s="26"/>
      <c r="D578" s="26"/>
    </row>
    <row r="579" spans="2:4" x14ac:dyDescent="0.25">
      <c r="B579" s="26"/>
      <c r="C579" s="26"/>
      <c r="D579" s="26"/>
    </row>
    <row r="580" spans="2:4" x14ac:dyDescent="0.25">
      <c r="B580" s="26"/>
      <c r="C580" s="26"/>
      <c r="D580" s="26"/>
    </row>
    <row r="581" spans="2:4" x14ac:dyDescent="0.25">
      <c r="B581" s="26"/>
      <c r="C581" s="26"/>
      <c r="D581" s="26"/>
    </row>
    <row r="582" spans="2:4" x14ac:dyDescent="0.25">
      <c r="B582" s="26"/>
      <c r="C582" s="26"/>
      <c r="D582" s="26"/>
    </row>
    <row r="583" spans="2:4" x14ac:dyDescent="0.25">
      <c r="B583" s="26"/>
      <c r="C583" s="26"/>
      <c r="D583" s="26"/>
    </row>
    <row r="584" spans="2:4" x14ac:dyDescent="0.25">
      <c r="B584" s="26"/>
      <c r="C584" s="26"/>
      <c r="D584" s="26"/>
    </row>
    <row r="585" spans="2:4" x14ac:dyDescent="0.25">
      <c r="B585" s="26"/>
      <c r="C585" s="26"/>
      <c r="D585" s="26"/>
    </row>
    <row r="586" spans="2:4" x14ac:dyDescent="0.25">
      <c r="B586" s="26"/>
      <c r="C586" s="26"/>
      <c r="D586" s="26"/>
    </row>
    <row r="587" spans="2:4" x14ac:dyDescent="0.25">
      <c r="B587" s="26"/>
      <c r="C587" s="26"/>
      <c r="D587" s="26"/>
    </row>
    <row r="588" spans="2:4" x14ac:dyDescent="0.25">
      <c r="B588" s="26"/>
      <c r="C588" s="26"/>
      <c r="D588" s="26"/>
    </row>
    <row r="589" spans="2:4" x14ac:dyDescent="0.25">
      <c r="B589" s="26"/>
      <c r="C589" s="26"/>
      <c r="D589" s="26"/>
    </row>
    <row r="590" spans="2:4" x14ac:dyDescent="0.25">
      <c r="B590" s="26"/>
      <c r="C590" s="26"/>
      <c r="D590" s="26"/>
    </row>
    <row r="591" spans="2:4" x14ac:dyDescent="0.25">
      <c r="B591" s="26"/>
      <c r="C591" s="26"/>
      <c r="D591" s="26"/>
    </row>
    <row r="592" spans="2:4" x14ac:dyDescent="0.25">
      <c r="B592" s="26"/>
      <c r="C592" s="26"/>
      <c r="D592" s="26"/>
    </row>
    <row r="593" spans="2:4" x14ac:dyDescent="0.25">
      <c r="B593" s="26"/>
      <c r="C593" s="26"/>
      <c r="D593" s="26"/>
    </row>
    <row r="594" spans="2:4" x14ac:dyDescent="0.25">
      <c r="B594" s="26"/>
      <c r="C594" s="26"/>
      <c r="D594" s="26"/>
    </row>
    <row r="595" spans="2:4" x14ac:dyDescent="0.25">
      <c r="B595" s="26"/>
      <c r="C595" s="26"/>
      <c r="D595" s="26"/>
    </row>
    <row r="596" spans="2:4" x14ac:dyDescent="0.25">
      <c r="B596" s="26"/>
      <c r="C596" s="26"/>
      <c r="D596" s="26"/>
    </row>
    <row r="597" spans="2:4" x14ac:dyDescent="0.25">
      <c r="B597" s="26"/>
      <c r="C597" s="26"/>
      <c r="D597" s="26"/>
    </row>
    <row r="598" spans="2:4" x14ac:dyDescent="0.25">
      <c r="B598" s="26"/>
      <c r="C598" s="26"/>
      <c r="D598" s="26"/>
    </row>
    <row r="599" spans="2:4" x14ac:dyDescent="0.25">
      <c r="B599" s="26"/>
      <c r="C599" s="26"/>
      <c r="D599" s="26"/>
    </row>
    <row r="600" spans="2:4" x14ac:dyDescent="0.25">
      <c r="B600" s="26"/>
      <c r="C600" s="26"/>
      <c r="D600" s="26"/>
    </row>
    <row r="601" spans="2:4" x14ac:dyDescent="0.25">
      <c r="B601" s="26"/>
      <c r="C601" s="26"/>
      <c r="D601" s="26"/>
    </row>
    <row r="602" spans="2:4" x14ac:dyDescent="0.25">
      <c r="B602" s="26"/>
      <c r="C602" s="26"/>
      <c r="D602" s="26"/>
    </row>
    <row r="603" spans="2:4" x14ac:dyDescent="0.25">
      <c r="B603" s="26"/>
      <c r="C603" s="26"/>
      <c r="D603" s="26"/>
    </row>
    <row r="604" spans="2:4" x14ac:dyDescent="0.25">
      <c r="B604" s="26"/>
      <c r="C604" s="26"/>
      <c r="D604" s="26"/>
    </row>
    <row r="605" spans="2:4" x14ac:dyDescent="0.25">
      <c r="B605" s="26"/>
      <c r="C605" s="26"/>
      <c r="D605" s="26"/>
    </row>
    <row r="606" spans="2:4" x14ac:dyDescent="0.25">
      <c r="B606" s="26"/>
      <c r="C606" s="26"/>
      <c r="D606" s="26"/>
    </row>
    <row r="607" spans="2:4" x14ac:dyDescent="0.25">
      <c r="B607" s="26"/>
      <c r="C607" s="26"/>
      <c r="D607" s="26"/>
    </row>
    <row r="608" spans="2:4" x14ac:dyDescent="0.25">
      <c r="B608" s="26"/>
      <c r="C608" s="26"/>
      <c r="D608" s="26"/>
    </row>
    <row r="609" spans="2:4" x14ac:dyDescent="0.25">
      <c r="B609" s="26"/>
      <c r="C609" s="26"/>
      <c r="D609" s="26"/>
    </row>
    <row r="610" spans="2:4" x14ac:dyDescent="0.25">
      <c r="B610" s="26"/>
      <c r="C610" s="26"/>
      <c r="D610" s="26"/>
    </row>
    <row r="611" spans="2:4" x14ac:dyDescent="0.25">
      <c r="B611" s="26"/>
      <c r="C611" s="26"/>
      <c r="D611" s="26"/>
    </row>
    <row r="612" spans="2:4" x14ac:dyDescent="0.25">
      <c r="B612" s="26"/>
      <c r="C612" s="26"/>
      <c r="D612" s="26"/>
    </row>
    <row r="613" spans="2:4" x14ac:dyDescent="0.25">
      <c r="B613" s="26"/>
      <c r="C613" s="26"/>
      <c r="D613" s="26"/>
    </row>
    <row r="614" spans="2:4" x14ac:dyDescent="0.25">
      <c r="B614" s="26"/>
      <c r="C614" s="26"/>
      <c r="D614" s="26"/>
    </row>
    <row r="615" spans="2:4" x14ac:dyDescent="0.25">
      <c r="B615" s="26"/>
      <c r="C615" s="26"/>
      <c r="D615" s="26"/>
    </row>
    <row r="616" spans="2:4" x14ac:dyDescent="0.25">
      <c r="B616" s="26"/>
      <c r="C616" s="26"/>
      <c r="D616" s="26"/>
    </row>
    <row r="617" spans="2:4" x14ac:dyDescent="0.25">
      <c r="B617" s="26"/>
      <c r="C617" s="26"/>
      <c r="D617" s="26"/>
    </row>
    <row r="618" spans="2:4" x14ac:dyDescent="0.25">
      <c r="B618" s="26"/>
      <c r="C618" s="26"/>
      <c r="D618" s="26"/>
    </row>
    <row r="619" spans="2:4" x14ac:dyDescent="0.25">
      <c r="B619" s="26"/>
      <c r="C619" s="26"/>
      <c r="D619" s="26"/>
    </row>
    <row r="620" spans="2:4" x14ac:dyDescent="0.25">
      <c r="B620" s="26"/>
      <c r="C620" s="26"/>
      <c r="D620" s="26"/>
    </row>
    <row r="621" spans="2:4" x14ac:dyDescent="0.25">
      <c r="B621" s="26"/>
      <c r="C621" s="26"/>
      <c r="D621" s="26"/>
    </row>
    <row r="622" spans="2:4" x14ac:dyDescent="0.25">
      <c r="B622" s="26"/>
      <c r="C622" s="26"/>
      <c r="D622" s="26"/>
    </row>
    <row r="623" spans="2:4" x14ac:dyDescent="0.25">
      <c r="B623" s="26"/>
      <c r="C623" s="26"/>
      <c r="D623" s="26"/>
    </row>
    <row r="624" spans="2:4" x14ac:dyDescent="0.25">
      <c r="B624" s="26"/>
      <c r="C624" s="26"/>
      <c r="D624" s="26"/>
    </row>
    <row r="625" spans="2:4" x14ac:dyDescent="0.25">
      <c r="B625" s="26"/>
      <c r="C625" s="26"/>
      <c r="D625" s="26"/>
    </row>
    <row r="626" spans="2:4" x14ac:dyDescent="0.25">
      <c r="B626" s="26"/>
      <c r="C626" s="26"/>
      <c r="D626" s="26"/>
    </row>
    <row r="627" spans="2:4" x14ac:dyDescent="0.25">
      <c r="B627" s="26"/>
      <c r="C627" s="26"/>
      <c r="D627" s="26"/>
    </row>
    <row r="628" spans="2:4" x14ac:dyDescent="0.25">
      <c r="B628" s="26"/>
      <c r="C628" s="26"/>
      <c r="D628" s="26"/>
    </row>
    <row r="629" spans="2:4" x14ac:dyDescent="0.25">
      <c r="B629" s="26"/>
      <c r="C629" s="26"/>
      <c r="D629" s="26"/>
    </row>
    <row r="630" spans="2:4" x14ac:dyDescent="0.25">
      <c r="B630" s="26"/>
      <c r="C630" s="26"/>
      <c r="D630" s="26"/>
    </row>
    <row r="631" spans="2:4" x14ac:dyDescent="0.25">
      <c r="B631" s="26"/>
      <c r="C631" s="26"/>
      <c r="D631" s="26"/>
    </row>
    <row r="632" spans="2:4" x14ac:dyDescent="0.25">
      <c r="B632" s="26"/>
      <c r="C632" s="26"/>
      <c r="D632" s="26"/>
    </row>
    <row r="633" spans="2:4" x14ac:dyDescent="0.25">
      <c r="B633" s="26"/>
      <c r="C633" s="26"/>
      <c r="D633" s="26"/>
    </row>
    <row r="634" spans="2:4" x14ac:dyDescent="0.25">
      <c r="B634" s="26"/>
      <c r="C634" s="26"/>
      <c r="D634" s="26"/>
    </row>
    <row r="635" spans="2:4" x14ac:dyDescent="0.25">
      <c r="B635" s="26"/>
      <c r="C635" s="26"/>
      <c r="D635" s="26"/>
    </row>
    <row r="636" spans="2:4" x14ac:dyDescent="0.25">
      <c r="B636" s="26"/>
      <c r="C636" s="26"/>
      <c r="D636" s="26"/>
    </row>
    <row r="637" spans="2:4" x14ac:dyDescent="0.25">
      <c r="B637" s="26"/>
      <c r="C637" s="26"/>
      <c r="D637" s="26"/>
    </row>
    <row r="638" spans="2:4" x14ac:dyDescent="0.25">
      <c r="B638" s="26"/>
      <c r="C638" s="26"/>
      <c r="D638" s="26"/>
    </row>
    <row r="639" spans="2:4" x14ac:dyDescent="0.25">
      <c r="B639" s="26"/>
      <c r="C639" s="26"/>
      <c r="D639" s="26"/>
    </row>
    <row r="640" spans="2:4" x14ac:dyDescent="0.25">
      <c r="B640" s="26"/>
      <c r="C640" s="26"/>
      <c r="D640" s="26"/>
    </row>
    <row r="641" spans="2:4" x14ac:dyDescent="0.25">
      <c r="B641" s="26"/>
      <c r="C641" s="26"/>
      <c r="D641" s="26"/>
    </row>
    <row r="642" spans="2:4" x14ac:dyDescent="0.25">
      <c r="B642" s="26"/>
      <c r="C642" s="26"/>
      <c r="D642" s="26"/>
    </row>
    <row r="643" spans="2:4" x14ac:dyDescent="0.25">
      <c r="B643" s="26"/>
      <c r="C643" s="26"/>
      <c r="D643" s="26"/>
    </row>
    <row r="644" spans="2:4" x14ac:dyDescent="0.25">
      <c r="B644" s="26"/>
      <c r="C644" s="26"/>
      <c r="D644" s="26"/>
    </row>
    <row r="645" spans="2:4" x14ac:dyDescent="0.25">
      <c r="B645" s="26"/>
      <c r="C645" s="26"/>
      <c r="D645" s="26"/>
    </row>
    <row r="646" spans="2:4" x14ac:dyDescent="0.25">
      <c r="B646" s="26"/>
      <c r="C646" s="26"/>
      <c r="D646" s="26"/>
    </row>
    <row r="647" spans="2:4" x14ac:dyDescent="0.25">
      <c r="B647" s="26"/>
      <c r="C647" s="26"/>
      <c r="D647" s="26"/>
    </row>
    <row r="648" spans="2:4" x14ac:dyDescent="0.25">
      <c r="B648" s="26"/>
      <c r="C648" s="26"/>
      <c r="D648" s="26"/>
    </row>
    <row r="649" spans="2:4" x14ac:dyDescent="0.25">
      <c r="B649" s="26"/>
      <c r="C649" s="26"/>
      <c r="D649" s="26"/>
    </row>
    <row r="650" spans="2:4" x14ac:dyDescent="0.25">
      <c r="B650" s="26"/>
      <c r="C650" s="26"/>
      <c r="D650" s="26"/>
    </row>
    <row r="651" spans="2:4" x14ac:dyDescent="0.25">
      <c r="B651" s="26"/>
      <c r="C651" s="26"/>
      <c r="D651" s="26"/>
    </row>
    <row r="652" spans="2:4" x14ac:dyDescent="0.25">
      <c r="B652" s="26"/>
      <c r="C652" s="26"/>
      <c r="D652" s="26"/>
    </row>
    <row r="653" spans="2:4" x14ac:dyDescent="0.25">
      <c r="B653" s="26"/>
      <c r="C653" s="26"/>
      <c r="D653" s="26"/>
    </row>
    <row r="654" spans="2:4" x14ac:dyDescent="0.25">
      <c r="B654" s="26"/>
      <c r="C654" s="26"/>
      <c r="D654" s="26"/>
    </row>
    <row r="655" spans="2:4" x14ac:dyDescent="0.25">
      <c r="B655" s="26"/>
      <c r="C655" s="26"/>
      <c r="D655" s="26"/>
    </row>
    <row r="656" spans="2:4" x14ac:dyDescent="0.25">
      <c r="B656" s="26"/>
      <c r="C656" s="26"/>
      <c r="D656" s="26"/>
    </row>
    <row r="657" spans="2:4" x14ac:dyDescent="0.25">
      <c r="B657" s="26"/>
      <c r="C657" s="26"/>
      <c r="D657" s="26"/>
    </row>
    <row r="658" spans="2:4" x14ac:dyDescent="0.25">
      <c r="B658" s="26"/>
      <c r="C658" s="26"/>
      <c r="D658" s="26"/>
    </row>
    <row r="659" spans="2:4" x14ac:dyDescent="0.25">
      <c r="B659" s="26"/>
      <c r="C659" s="26"/>
      <c r="D659" s="26"/>
    </row>
    <row r="660" spans="2:4" x14ac:dyDescent="0.25">
      <c r="B660" s="26"/>
      <c r="C660" s="26"/>
      <c r="D660" s="26"/>
    </row>
    <row r="661" spans="2:4" x14ac:dyDescent="0.25">
      <c r="B661" s="26"/>
      <c r="C661" s="26"/>
      <c r="D661" s="26"/>
    </row>
    <row r="662" spans="2:4" x14ac:dyDescent="0.25">
      <c r="B662" s="26"/>
      <c r="C662" s="26"/>
      <c r="D662" s="26"/>
    </row>
    <row r="663" spans="2:4" x14ac:dyDescent="0.25">
      <c r="B663" s="26"/>
      <c r="C663" s="26"/>
      <c r="D663" s="26"/>
    </row>
    <row r="664" spans="2:4" x14ac:dyDescent="0.25">
      <c r="B664" s="26"/>
      <c r="C664" s="26"/>
      <c r="D664" s="26"/>
    </row>
    <row r="665" spans="2:4" x14ac:dyDescent="0.25">
      <c r="B665" s="26"/>
      <c r="C665" s="26"/>
      <c r="D665" s="26"/>
    </row>
    <row r="666" spans="2:4" x14ac:dyDescent="0.25">
      <c r="B666" s="26"/>
      <c r="C666" s="26"/>
      <c r="D666" s="26"/>
    </row>
    <row r="667" spans="2:4" x14ac:dyDescent="0.25">
      <c r="B667" s="26"/>
      <c r="C667" s="26"/>
      <c r="D667" s="26"/>
    </row>
    <row r="668" spans="2:4" x14ac:dyDescent="0.25">
      <c r="B668" s="26"/>
      <c r="C668" s="26"/>
      <c r="D668" s="26"/>
    </row>
    <row r="669" spans="2:4" x14ac:dyDescent="0.25">
      <c r="B669" s="26"/>
      <c r="C669" s="26"/>
      <c r="D669" s="26"/>
    </row>
    <row r="670" spans="2:4" x14ac:dyDescent="0.25">
      <c r="B670" s="26"/>
      <c r="C670" s="26"/>
      <c r="D670" s="26"/>
    </row>
    <row r="671" spans="2:4" x14ac:dyDescent="0.25">
      <c r="B671" s="26"/>
      <c r="C671" s="26"/>
      <c r="D671" s="26"/>
    </row>
    <row r="672" spans="2:4" x14ac:dyDescent="0.25">
      <c r="B672" s="26"/>
      <c r="C672" s="26"/>
      <c r="D672" s="26"/>
    </row>
    <row r="673" spans="2:4" x14ac:dyDescent="0.25">
      <c r="B673" s="26"/>
      <c r="C673" s="26"/>
      <c r="D673" s="26"/>
    </row>
    <row r="674" spans="2:4" x14ac:dyDescent="0.25">
      <c r="B674" s="26"/>
      <c r="C674" s="26"/>
      <c r="D674" s="26"/>
    </row>
    <row r="675" spans="2:4" x14ac:dyDescent="0.25">
      <c r="B675" s="26"/>
      <c r="C675" s="26"/>
      <c r="D675" s="26"/>
    </row>
    <row r="676" spans="2:4" x14ac:dyDescent="0.25">
      <c r="B676" s="26"/>
      <c r="C676" s="26"/>
      <c r="D676" s="26"/>
    </row>
    <row r="677" spans="2:4" x14ac:dyDescent="0.25">
      <c r="B677" s="26"/>
      <c r="C677" s="26"/>
      <c r="D677" s="26"/>
    </row>
    <row r="678" spans="2:4" x14ac:dyDescent="0.25">
      <c r="B678" s="26"/>
      <c r="C678" s="26"/>
      <c r="D678" s="26"/>
    </row>
    <row r="679" spans="2:4" x14ac:dyDescent="0.25">
      <c r="B679" s="26"/>
      <c r="C679" s="26"/>
      <c r="D679" s="26"/>
    </row>
    <row r="680" spans="2:4" x14ac:dyDescent="0.25">
      <c r="B680" s="26"/>
      <c r="C680" s="26"/>
      <c r="D680" s="26"/>
    </row>
    <row r="681" spans="2:4" x14ac:dyDescent="0.25">
      <c r="B681" s="26"/>
      <c r="C681" s="26"/>
      <c r="D681" s="26"/>
    </row>
    <row r="682" spans="2:4" x14ac:dyDescent="0.25">
      <c r="B682" s="26"/>
      <c r="C682" s="26"/>
      <c r="D682" s="26"/>
    </row>
    <row r="683" spans="2:4" x14ac:dyDescent="0.25">
      <c r="B683" s="26"/>
      <c r="C683" s="26"/>
      <c r="D683" s="26"/>
    </row>
    <row r="684" spans="2:4" x14ac:dyDescent="0.25">
      <c r="B684" s="26"/>
      <c r="C684" s="26"/>
      <c r="D684" s="26"/>
    </row>
    <row r="685" spans="2:4" x14ac:dyDescent="0.25">
      <c r="B685" s="26"/>
      <c r="C685" s="26"/>
      <c r="D685" s="26"/>
    </row>
    <row r="686" spans="2:4" x14ac:dyDescent="0.25">
      <c r="B686" s="26"/>
      <c r="C686" s="26"/>
      <c r="D686" s="26"/>
    </row>
    <row r="687" spans="2:4" x14ac:dyDescent="0.25">
      <c r="B687" s="26"/>
      <c r="C687" s="26"/>
      <c r="D687" s="26"/>
    </row>
    <row r="688" spans="2:4" x14ac:dyDescent="0.25">
      <c r="B688" s="26"/>
      <c r="C688" s="26"/>
      <c r="D688" s="26"/>
    </row>
    <row r="689" spans="2:4" x14ac:dyDescent="0.25">
      <c r="B689" s="26"/>
      <c r="C689" s="26"/>
      <c r="D689" s="26"/>
    </row>
    <row r="690" spans="2:4" x14ac:dyDescent="0.25">
      <c r="B690" s="26"/>
      <c r="C690" s="26"/>
      <c r="D690" s="26"/>
    </row>
    <row r="691" spans="2:4" x14ac:dyDescent="0.25">
      <c r="B691" s="26"/>
      <c r="C691" s="26"/>
      <c r="D691" s="26"/>
    </row>
    <row r="692" spans="2:4" x14ac:dyDescent="0.25">
      <c r="B692" s="26"/>
      <c r="C692" s="26"/>
      <c r="D692" s="26"/>
    </row>
    <row r="693" spans="2:4" x14ac:dyDescent="0.25">
      <c r="B693" s="26"/>
      <c r="C693" s="26"/>
      <c r="D693" s="26"/>
    </row>
    <row r="694" spans="2:4" x14ac:dyDescent="0.25">
      <c r="B694" s="26"/>
      <c r="C694" s="26"/>
      <c r="D694" s="26"/>
    </row>
    <row r="695" spans="2:4" x14ac:dyDescent="0.25">
      <c r="B695" s="26"/>
      <c r="C695" s="26"/>
      <c r="D695" s="26"/>
    </row>
    <row r="696" spans="2:4" x14ac:dyDescent="0.25">
      <c r="B696" s="26"/>
      <c r="C696" s="26"/>
      <c r="D696" s="26"/>
    </row>
    <row r="697" spans="2:4" x14ac:dyDescent="0.25">
      <c r="B697" s="26"/>
      <c r="C697" s="26"/>
      <c r="D697" s="26"/>
    </row>
    <row r="698" spans="2:4" x14ac:dyDescent="0.25">
      <c r="B698" s="26"/>
      <c r="C698" s="26"/>
      <c r="D698" s="26"/>
    </row>
    <row r="699" spans="2:4" x14ac:dyDescent="0.25">
      <c r="B699" s="26"/>
      <c r="C699" s="26"/>
      <c r="D699" s="26"/>
    </row>
    <row r="700" spans="2:4" x14ac:dyDescent="0.25">
      <c r="B700" s="26"/>
      <c r="C700" s="26"/>
      <c r="D700" s="26"/>
    </row>
    <row r="701" spans="2:4" x14ac:dyDescent="0.25">
      <c r="B701" s="26"/>
      <c r="C701" s="26"/>
      <c r="D701" s="26"/>
    </row>
    <row r="702" spans="2:4" x14ac:dyDescent="0.25">
      <c r="B702" s="26"/>
      <c r="C702" s="26"/>
      <c r="D702" s="26"/>
    </row>
    <row r="703" spans="2:4" x14ac:dyDescent="0.25">
      <c r="B703" s="26"/>
      <c r="C703" s="26"/>
      <c r="D703" s="26"/>
    </row>
    <row r="704" spans="2:4" x14ac:dyDescent="0.25">
      <c r="B704" s="26"/>
      <c r="C704" s="26"/>
      <c r="D704" s="26"/>
    </row>
    <row r="705" spans="2:4" x14ac:dyDescent="0.25">
      <c r="B705" s="26"/>
      <c r="C705" s="26"/>
      <c r="D705" s="26"/>
    </row>
    <row r="706" spans="2:4" x14ac:dyDescent="0.25">
      <c r="B706" s="26"/>
      <c r="C706" s="26"/>
      <c r="D706" s="26"/>
    </row>
    <row r="707" spans="2:4" x14ac:dyDescent="0.25">
      <c r="B707" s="26"/>
      <c r="C707" s="26"/>
      <c r="D707" s="26"/>
    </row>
    <row r="708" spans="2:4" x14ac:dyDescent="0.25">
      <c r="B708" s="26"/>
      <c r="C708" s="26"/>
      <c r="D708" s="26"/>
    </row>
    <row r="709" spans="2:4" x14ac:dyDescent="0.25">
      <c r="B709" s="26"/>
      <c r="C709" s="26"/>
      <c r="D709" s="26"/>
    </row>
    <row r="710" spans="2:4" x14ac:dyDescent="0.25">
      <c r="B710" s="26"/>
      <c r="C710" s="26"/>
      <c r="D710" s="26"/>
    </row>
    <row r="711" spans="2:4" x14ac:dyDescent="0.25">
      <c r="B711" s="26"/>
      <c r="C711" s="26"/>
      <c r="D711" s="26"/>
    </row>
    <row r="712" spans="2:4" x14ac:dyDescent="0.25">
      <c r="B712" s="26"/>
      <c r="C712" s="26"/>
      <c r="D712" s="26"/>
    </row>
    <row r="713" spans="2:4" x14ac:dyDescent="0.25">
      <c r="B713" s="26"/>
      <c r="C713" s="26"/>
      <c r="D713" s="26"/>
    </row>
    <row r="714" spans="2:4" x14ac:dyDescent="0.25">
      <c r="B714" s="26"/>
      <c r="C714" s="26"/>
      <c r="D714" s="26"/>
    </row>
    <row r="715" spans="2:4" x14ac:dyDescent="0.25">
      <c r="B715" s="26"/>
      <c r="C715" s="26"/>
      <c r="D715" s="26"/>
    </row>
    <row r="716" spans="2:4" x14ac:dyDescent="0.25">
      <c r="B716" s="26"/>
      <c r="C716" s="26"/>
      <c r="D716" s="26"/>
    </row>
    <row r="717" spans="2:4" x14ac:dyDescent="0.25">
      <c r="B717" s="26"/>
      <c r="C717" s="26"/>
      <c r="D717" s="26"/>
    </row>
    <row r="718" spans="2:4" x14ac:dyDescent="0.25">
      <c r="B718" s="26"/>
      <c r="C718" s="26"/>
      <c r="D718" s="26"/>
    </row>
    <row r="719" spans="2:4" x14ac:dyDescent="0.25">
      <c r="B719" s="26"/>
      <c r="C719" s="26"/>
      <c r="D719" s="26"/>
    </row>
    <row r="720" spans="2:4" x14ac:dyDescent="0.25">
      <c r="B720" s="26"/>
      <c r="C720" s="26"/>
      <c r="D720" s="26"/>
    </row>
    <row r="721" spans="2:4" x14ac:dyDescent="0.25">
      <c r="B721" s="26"/>
      <c r="C721" s="26"/>
      <c r="D721" s="26"/>
    </row>
    <row r="722" spans="2:4" x14ac:dyDescent="0.25">
      <c r="B722" s="26"/>
      <c r="C722" s="26"/>
      <c r="D722" s="26"/>
    </row>
    <row r="723" spans="2:4" x14ac:dyDescent="0.25">
      <c r="B723" s="26"/>
      <c r="C723" s="26"/>
      <c r="D723" s="26"/>
    </row>
    <row r="724" spans="2:4" x14ac:dyDescent="0.25">
      <c r="B724" s="26"/>
      <c r="C724" s="26"/>
      <c r="D724" s="26"/>
    </row>
    <row r="725" spans="2:4" x14ac:dyDescent="0.25">
      <c r="B725" s="26"/>
      <c r="C725" s="26"/>
      <c r="D725" s="26"/>
    </row>
    <row r="726" spans="2:4" x14ac:dyDescent="0.25">
      <c r="B726" s="26"/>
      <c r="C726" s="26"/>
      <c r="D726" s="26"/>
    </row>
    <row r="727" spans="2:4" x14ac:dyDescent="0.25">
      <c r="B727" s="26"/>
      <c r="C727" s="26"/>
      <c r="D727" s="26"/>
    </row>
    <row r="728" spans="2:4" x14ac:dyDescent="0.25">
      <c r="B728" s="26"/>
      <c r="C728" s="26"/>
      <c r="D728" s="26"/>
    </row>
    <row r="729" spans="2:4" x14ac:dyDescent="0.25">
      <c r="B729" s="26"/>
      <c r="C729" s="26"/>
      <c r="D729" s="26"/>
    </row>
    <row r="730" spans="2:4" x14ac:dyDescent="0.25">
      <c r="B730" s="26"/>
      <c r="C730" s="26"/>
      <c r="D730" s="26"/>
    </row>
    <row r="731" spans="2:4" x14ac:dyDescent="0.25">
      <c r="B731" s="26"/>
      <c r="C731" s="26"/>
      <c r="D731" s="26"/>
    </row>
    <row r="732" spans="2:4" x14ac:dyDescent="0.25">
      <c r="B732" s="26"/>
      <c r="C732" s="26"/>
      <c r="D732" s="26"/>
    </row>
    <row r="733" spans="2:4" x14ac:dyDescent="0.25">
      <c r="B733" s="26"/>
      <c r="C733" s="26"/>
      <c r="D733" s="26"/>
    </row>
    <row r="734" spans="2:4" x14ac:dyDescent="0.25">
      <c r="B734" s="26"/>
      <c r="C734" s="26"/>
      <c r="D734" s="26"/>
    </row>
    <row r="735" spans="2:4" x14ac:dyDescent="0.25">
      <c r="B735" s="26"/>
      <c r="C735" s="26"/>
      <c r="D735" s="26"/>
    </row>
    <row r="736" spans="2:4" x14ac:dyDescent="0.25">
      <c r="B736" s="26"/>
      <c r="C736" s="26"/>
      <c r="D736" s="26"/>
    </row>
    <row r="737" spans="2:4" x14ac:dyDescent="0.25">
      <c r="B737" s="26"/>
      <c r="C737" s="26"/>
      <c r="D737" s="26"/>
    </row>
    <row r="738" spans="2:4" x14ac:dyDescent="0.25">
      <c r="B738" s="26"/>
      <c r="C738" s="26"/>
      <c r="D738" s="26"/>
    </row>
    <row r="739" spans="2:4" x14ac:dyDescent="0.25">
      <c r="B739" s="26"/>
      <c r="C739" s="26"/>
      <c r="D739" s="26"/>
    </row>
    <row r="740" spans="2:4" x14ac:dyDescent="0.25">
      <c r="B740" s="26"/>
      <c r="C740" s="26"/>
      <c r="D740" s="26"/>
    </row>
    <row r="741" spans="2:4" x14ac:dyDescent="0.25">
      <c r="B741" s="26"/>
      <c r="C741" s="26"/>
      <c r="D741" s="26"/>
    </row>
    <row r="742" spans="2:4" x14ac:dyDescent="0.25">
      <c r="B742" s="26"/>
      <c r="C742" s="26"/>
      <c r="D742" s="26"/>
    </row>
    <row r="743" spans="2:4" x14ac:dyDescent="0.25">
      <c r="B743" s="26"/>
      <c r="C743" s="26"/>
      <c r="D743" s="26"/>
    </row>
    <row r="744" spans="2:4" x14ac:dyDescent="0.25">
      <c r="B744" s="26"/>
      <c r="C744" s="26"/>
      <c r="D744" s="26"/>
    </row>
    <row r="745" spans="2:4" x14ac:dyDescent="0.25">
      <c r="B745" s="26"/>
      <c r="C745" s="26"/>
      <c r="D745" s="26"/>
    </row>
    <row r="746" spans="2:4" x14ac:dyDescent="0.25">
      <c r="B746" s="26"/>
      <c r="C746" s="26"/>
      <c r="D746" s="26"/>
    </row>
    <row r="747" spans="2:4" x14ac:dyDescent="0.25">
      <c r="B747" s="26"/>
      <c r="C747" s="26"/>
      <c r="D747" s="26"/>
    </row>
    <row r="748" spans="2:4" x14ac:dyDescent="0.25">
      <c r="B748" s="26"/>
      <c r="C748" s="26"/>
      <c r="D748" s="26"/>
    </row>
    <row r="749" spans="2:4" x14ac:dyDescent="0.25">
      <c r="B749" s="26"/>
      <c r="C749" s="26"/>
      <c r="D749" s="26"/>
    </row>
    <row r="750" spans="2:4" x14ac:dyDescent="0.25">
      <c r="B750" s="26"/>
      <c r="C750" s="26"/>
      <c r="D750" s="26"/>
    </row>
    <row r="751" spans="2:4" x14ac:dyDescent="0.25">
      <c r="B751" s="26"/>
      <c r="C751" s="26"/>
      <c r="D751" s="26"/>
    </row>
    <row r="752" spans="2:4" x14ac:dyDescent="0.25">
      <c r="B752" s="26"/>
      <c r="C752" s="26"/>
      <c r="D752" s="26"/>
    </row>
    <row r="753" spans="2:4" x14ac:dyDescent="0.25">
      <c r="B753" s="26"/>
      <c r="C753" s="26"/>
      <c r="D753" s="26"/>
    </row>
    <row r="754" spans="2:4" x14ac:dyDescent="0.25">
      <c r="B754" s="26"/>
      <c r="C754" s="26"/>
      <c r="D754" s="26"/>
    </row>
    <row r="755" spans="2:4" x14ac:dyDescent="0.25">
      <c r="B755" s="26"/>
      <c r="C755" s="26"/>
      <c r="D755" s="26"/>
    </row>
    <row r="756" spans="2:4" x14ac:dyDescent="0.25">
      <c r="B756" s="26"/>
      <c r="C756" s="26"/>
      <c r="D756" s="26"/>
    </row>
    <row r="757" spans="2:4" x14ac:dyDescent="0.25">
      <c r="B757" s="26"/>
      <c r="C757" s="26"/>
      <c r="D757" s="26"/>
    </row>
    <row r="758" spans="2:4" x14ac:dyDescent="0.25">
      <c r="B758" s="26"/>
      <c r="C758" s="26"/>
      <c r="D758" s="26"/>
    </row>
    <row r="759" spans="2:4" x14ac:dyDescent="0.25">
      <c r="B759" s="26"/>
      <c r="C759" s="26"/>
      <c r="D759" s="26"/>
    </row>
    <row r="760" spans="2:4" x14ac:dyDescent="0.25">
      <c r="B760" s="26"/>
      <c r="C760" s="26"/>
      <c r="D760" s="26"/>
    </row>
    <row r="761" spans="2:4" x14ac:dyDescent="0.25">
      <c r="B761" s="26"/>
      <c r="C761" s="26"/>
      <c r="D761" s="26"/>
    </row>
    <row r="762" spans="2:4" x14ac:dyDescent="0.25">
      <c r="B762" s="26"/>
      <c r="C762" s="26"/>
      <c r="D762" s="26"/>
    </row>
    <row r="763" spans="2:4" x14ac:dyDescent="0.25">
      <c r="B763" s="26"/>
      <c r="C763" s="26"/>
      <c r="D763" s="26"/>
    </row>
    <row r="764" spans="2:4" x14ac:dyDescent="0.25">
      <c r="B764" s="26"/>
      <c r="C764" s="26"/>
      <c r="D764" s="26"/>
    </row>
    <row r="765" spans="2:4" x14ac:dyDescent="0.25">
      <c r="B765" s="26"/>
      <c r="C765" s="26"/>
      <c r="D765" s="26"/>
    </row>
    <row r="766" spans="2:4" x14ac:dyDescent="0.25">
      <c r="B766" s="26"/>
      <c r="C766" s="26"/>
      <c r="D766" s="26"/>
    </row>
    <row r="767" spans="2:4" x14ac:dyDescent="0.25">
      <c r="B767" s="26"/>
      <c r="C767" s="26"/>
      <c r="D767" s="26"/>
    </row>
    <row r="768" spans="2:4" x14ac:dyDescent="0.25">
      <c r="B768" s="26"/>
      <c r="C768" s="26"/>
      <c r="D768" s="26"/>
    </row>
    <row r="769" spans="2:4" x14ac:dyDescent="0.25">
      <c r="B769" s="26"/>
      <c r="C769" s="26"/>
      <c r="D769" s="26"/>
    </row>
    <row r="770" spans="2:4" x14ac:dyDescent="0.25">
      <c r="B770" s="26"/>
      <c r="C770" s="26"/>
      <c r="D770" s="26"/>
    </row>
    <row r="771" spans="2:4" x14ac:dyDescent="0.25">
      <c r="B771" s="26"/>
      <c r="C771" s="26"/>
      <c r="D771" s="26"/>
    </row>
    <row r="772" spans="2:4" x14ac:dyDescent="0.25">
      <c r="B772" s="26"/>
      <c r="C772" s="26"/>
      <c r="D772" s="26"/>
    </row>
    <row r="773" spans="2:4" x14ac:dyDescent="0.25">
      <c r="B773" s="26"/>
      <c r="C773" s="26"/>
      <c r="D773" s="26"/>
    </row>
    <row r="774" spans="2:4" x14ac:dyDescent="0.25">
      <c r="B774" s="26"/>
      <c r="C774" s="26"/>
      <c r="D774" s="26"/>
    </row>
    <row r="775" spans="2:4" x14ac:dyDescent="0.25">
      <c r="B775" s="26"/>
      <c r="C775" s="26"/>
      <c r="D775" s="26"/>
    </row>
    <row r="776" spans="2:4" x14ac:dyDescent="0.25">
      <c r="B776" s="26"/>
      <c r="C776" s="26"/>
      <c r="D776" s="26"/>
    </row>
    <row r="777" spans="2:4" x14ac:dyDescent="0.25">
      <c r="B777" s="26"/>
      <c r="C777" s="26"/>
      <c r="D777" s="26"/>
    </row>
    <row r="778" spans="2:4" x14ac:dyDescent="0.25">
      <c r="B778" s="26"/>
      <c r="C778" s="26"/>
      <c r="D778" s="26"/>
    </row>
    <row r="779" spans="2:4" x14ac:dyDescent="0.25">
      <c r="B779" s="26"/>
      <c r="C779" s="26"/>
      <c r="D779" s="26"/>
    </row>
    <row r="780" spans="2:4" x14ac:dyDescent="0.25">
      <c r="B780" s="26"/>
      <c r="C780" s="26"/>
      <c r="D780" s="26"/>
    </row>
    <row r="781" spans="2:4" x14ac:dyDescent="0.25">
      <c r="B781" s="26"/>
      <c r="C781" s="26"/>
      <c r="D781" s="26"/>
    </row>
    <row r="782" spans="2:4" x14ac:dyDescent="0.25">
      <c r="B782" s="26"/>
      <c r="C782" s="26"/>
      <c r="D782" s="26"/>
    </row>
    <row r="783" spans="2:4" x14ac:dyDescent="0.25">
      <c r="B783" s="26"/>
      <c r="C783" s="26"/>
      <c r="D783" s="26"/>
    </row>
    <row r="784" spans="2:4" x14ac:dyDescent="0.25">
      <c r="B784" s="26"/>
      <c r="C784" s="26"/>
      <c r="D784" s="26"/>
    </row>
    <row r="785" spans="2:4" x14ac:dyDescent="0.25">
      <c r="B785" s="26"/>
      <c r="C785" s="26"/>
      <c r="D785" s="26"/>
    </row>
    <row r="786" spans="2:4" x14ac:dyDescent="0.25">
      <c r="B786" s="26"/>
      <c r="C786" s="26"/>
      <c r="D786" s="26"/>
    </row>
    <row r="787" spans="2:4" x14ac:dyDescent="0.25">
      <c r="B787" s="26"/>
      <c r="C787" s="26"/>
      <c r="D787" s="26"/>
    </row>
    <row r="788" spans="2:4" x14ac:dyDescent="0.25">
      <c r="B788" s="26"/>
      <c r="C788" s="26"/>
      <c r="D788" s="26"/>
    </row>
    <row r="789" spans="2:4" x14ac:dyDescent="0.25">
      <c r="B789" s="26"/>
      <c r="C789" s="26"/>
      <c r="D789" s="26"/>
    </row>
    <row r="790" spans="2:4" x14ac:dyDescent="0.25">
      <c r="B790" s="26"/>
      <c r="C790" s="26"/>
      <c r="D790" s="26"/>
    </row>
    <row r="791" spans="2:4" x14ac:dyDescent="0.25">
      <c r="B791" s="26"/>
      <c r="C791" s="26"/>
      <c r="D791" s="26"/>
    </row>
    <row r="792" spans="2:4" x14ac:dyDescent="0.25">
      <c r="B792" s="26"/>
      <c r="C792" s="26"/>
      <c r="D792" s="26"/>
    </row>
    <row r="793" spans="2:4" x14ac:dyDescent="0.25">
      <c r="B793" s="26"/>
      <c r="C793" s="26"/>
      <c r="D793" s="26"/>
    </row>
    <row r="794" spans="2:4" x14ac:dyDescent="0.25">
      <c r="B794" s="26"/>
      <c r="C794" s="26"/>
      <c r="D794" s="26"/>
    </row>
    <row r="795" spans="2:4" x14ac:dyDescent="0.25">
      <c r="B795" s="26"/>
      <c r="C795" s="26"/>
      <c r="D795" s="26"/>
    </row>
    <row r="796" spans="2:4" x14ac:dyDescent="0.25">
      <c r="B796" s="26"/>
      <c r="C796" s="26"/>
      <c r="D796" s="26"/>
    </row>
    <row r="797" spans="2:4" x14ac:dyDescent="0.25">
      <c r="B797" s="26"/>
      <c r="C797" s="26"/>
      <c r="D797" s="26"/>
    </row>
    <row r="798" spans="2:4" x14ac:dyDescent="0.25">
      <c r="B798" s="26"/>
      <c r="C798" s="26"/>
      <c r="D798" s="26"/>
    </row>
    <row r="799" spans="2:4" x14ac:dyDescent="0.25">
      <c r="B799" s="26"/>
      <c r="C799" s="26"/>
      <c r="D799" s="26"/>
    </row>
    <row r="800" spans="2:4" x14ac:dyDescent="0.25">
      <c r="B800" s="26"/>
      <c r="C800" s="26"/>
      <c r="D800" s="26"/>
    </row>
    <row r="801" spans="2:4" x14ac:dyDescent="0.25">
      <c r="B801" s="26"/>
      <c r="C801" s="26"/>
      <c r="D801" s="26"/>
    </row>
    <row r="802" spans="2:4" x14ac:dyDescent="0.25">
      <c r="B802" s="26"/>
      <c r="C802" s="26"/>
      <c r="D802" s="26"/>
    </row>
    <row r="803" spans="2:4" x14ac:dyDescent="0.25">
      <c r="B803" s="26"/>
      <c r="C803" s="26"/>
      <c r="D803" s="26"/>
    </row>
    <row r="804" spans="2:4" x14ac:dyDescent="0.25">
      <c r="B804" s="26"/>
      <c r="C804" s="26"/>
      <c r="D804" s="26"/>
    </row>
    <row r="805" spans="2:4" x14ac:dyDescent="0.25">
      <c r="B805" s="26"/>
      <c r="C805" s="26"/>
      <c r="D805" s="26"/>
    </row>
    <row r="806" spans="2:4" x14ac:dyDescent="0.25">
      <c r="B806" s="26"/>
      <c r="C806" s="26"/>
      <c r="D806" s="26"/>
    </row>
    <row r="807" spans="2:4" x14ac:dyDescent="0.25">
      <c r="B807" s="26"/>
      <c r="C807" s="26"/>
      <c r="D807" s="26"/>
    </row>
    <row r="808" spans="2:4" x14ac:dyDescent="0.25">
      <c r="B808" s="26"/>
      <c r="C808" s="26"/>
      <c r="D808" s="26"/>
    </row>
    <row r="809" spans="2:4" x14ac:dyDescent="0.25">
      <c r="B809" s="26"/>
      <c r="C809" s="26"/>
      <c r="D809" s="26"/>
    </row>
    <row r="810" spans="2:4" x14ac:dyDescent="0.25">
      <c r="B810" s="26"/>
      <c r="C810" s="26"/>
      <c r="D810" s="26"/>
    </row>
    <row r="811" spans="2:4" x14ac:dyDescent="0.25">
      <c r="B811" s="26"/>
      <c r="C811" s="26"/>
      <c r="D811" s="26"/>
    </row>
    <row r="812" spans="2:4" x14ac:dyDescent="0.25">
      <c r="B812" s="26"/>
      <c r="C812" s="26"/>
      <c r="D812" s="26"/>
    </row>
    <row r="813" spans="2:4" x14ac:dyDescent="0.25">
      <c r="B813" s="26"/>
      <c r="C813" s="26"/>
      <c r="D813" s="26"/>
    </row>
    <row r="814" spans="2:4" x14ac:dyDescent="0.25">
      <c r="B814" s="26"/>
      <c r="C814" s="26"/>
      <c r="D814" s="26"/>
    </row>
    <row r="815" spans="2:4" x14ac:dyDescent="0.25">
      <c r="B815" s="26"/>
      <c r="C815" s="26"/>
      <c r="D815" s="26"/>
    </row>
    <row r="816" spans="2:4" x14ac:dyDescent="0.25">
      <c r="B816" s="26"/>
      <c r="C816" s="26"/>
      <c r="D816" s="26"/>
    </row>
    <row r="817" spans="2:4" x14ac:dyDescent="0.25">
      <c r="B817" s="26"/>
      <c r="C817" s="26"/>
      <c r="D817" s="26"/>
    </row>
    <row r="818" spans="2:4" x14ac:dyDescent="0.25">
      <c r="B818" s="26"/>
      <c r="C818" s="26"/>
      <c r="D818" s="26"/>
    </row>
    <row r="819" spans="2:4" x14ac:dyDescent="0.25">
      <c r="B819" s="26"/>
      <c r="C819" s="26"/>
      <c r="D819" s="26"/>
    </row>
    <row r="820" spans="2:4" x14ac:dyDescent="0.25">
      <c r="B820" s="26"/>
      <c r="C820" s="26"/>
      <c r="D820" s="26"/>
    </row>
    <row r="821" spans="2:4" x14ac:dyDescent="0.25">
      <c r="B821" s="26"/>
      <c r="C821" s="26"/>
      <c r="D821" s="26"/>
    </row>
    <row r="822" spans="2:4" x14ac:dyDescent="0.25">
      <c r="B822" s="26"/>
      <c r="C822" s="26"/>
      <c r="D822" s="26"/>
    </row>
    <row r="823" spans="2:4" x14ac:dyDescent="0.25">
      <c r="B823" s="26"/>
      <c r="C823" s="26"/>
      <c r="D823" s="26"/>
    </row>
    <row r="824" spans="2:4" x14ac:dyDescent="0.25">
      <c r="B824" s="26"/>
      <c r="C824" s="26"/>
      <c r="D824" s="26"/>
    </row>
    <row r="825" spans="2:4" x14ac:dyDescent="0.25">
      <c r="B825" s="26"/>
      <c r="C825" s="26"/>
      <c r="D825" s="26"/>
    </row>
    <row r="826" spans="2:4" x14ac:dyDescent="0.25">
      <c r="B826" s="26"/>
      <c r="C826" s="26"/>
      <c r="D826" s="26"/>
    </row>
    <row r="827" spans="2:4" x14ac:dyDescent="0.25">
      <c r="B827" s="26"/>
      <c r="C827" s="26"/>
      <c r="D827" s="26"/>
    </row>
    <row r="828" spans="2:4" x14ac:dyDescent="0.25">
      <c r="B828" s="26"/>
      <c r="C828" s="26"/>
      <c r="D828" s="26"/>
    </row>
    <row r="829" spans="2:4" x14ac:dyDescent="0.25">
      <c r="B829" s="26"/>
      <c r="C829" s="26"/>
      <c r="D829" s="26"/>
    </row>
    <row r="830" spans="2:4" x14ac:dyDescent="0.25">
      <c r="B830" s="26"/>
      <c r="C830" s="26"/>
      <c r="D830" s="26"/>
    </row>
    <row r="831" spans="2:4" x14ac:dyDescent="0.25">
      <c r="B831" s="26"/>
      <c r="C831" s="26"/>
      <c r="D831" s="26"/>
    </row>
    <row r="832" spans="2:4" x14ac:dyDescent="0.25">
      <c r="B832" s="26"/>
      <c r="C832" s="26"/>
      <c r="D832" s="26"/>
    </row>
    <row r="833" spans="2:4" x14ac:dyDescent="0.25">
      <c r="B833" s="26"/>
      <c r="C833" s="26"/>
      <c r="D833" s="26"/>
    </row>
    <row r="834" spans="2:4" x14ac:dyDescent="0.25">
      <c r="B834" s="26"/>
      <c r="C834" s="26"/>
      <c r="D834" s="26"/>
    </row>
    <row r="835" spans="2:4" x14ac:dyDescent="0.25">
      <c r="B835" s="26"/>
      <c r="C835" s="26"/>
      <c r="D835" s="26"/>
    </row>
    <row r="836" spans="2:4" x14ac:dyDescent="0.25">
      <c r="B836" s="26"/>
      <c r="C836" s="26"/>
      <c r="D836" s="26"/>
    </row>
    <row r="837" spans="2:4" x14ac:dyDescent="0.25">
      <c r="B837" s="26"/>
      <c r="C837" s="26"/>
      <c r="D837" s="26"/>
    </row>
    <row r="838" spans="2:4" x14ac:dyDescent="0.25">
      <c r="B838" s="26"/>
      <c r="C838" s="26"/>
      <c r="D838" s="26"/>
    </row>
    <row r="839" spans="2:4" x14ac:dyDescent="0.25">
      <c r="B839" s="26"/>
      <c r="C839" s="26"/>
      <c r="D839" s="26"/>
    </row>
    <row r="840" spans="2:4" x14ac:dyDescent="0.25">
      <c r="B840" s="26"/>
      <c r="C840" s="26"/>
      <c r="D840" s="26"/>
    </row>
    <row r="841" spans="2:4" x14ac:dyDescent="0.25">
      <c r="B841" s="26"/>
      <c r="C841" s="26"/>
      <c r="D841" s="26"/>
    </row>
    <row r="842" spans="2:4" x14ac:dyDescent="0.25">
      <c r="B842" s="26"/>
      <c r="C842" s="26"/>
      <c r="D842" s="26"/>
    </row>
    <row r="843" spans="2:4" x14ac:dyDescent="0.25">
      <c r="B843" s="26"/>
      <c r="C843" s="26"/>
      <c r="D843" s="26"/>
    </row>
    <row r="844" spans="2:4" x14ac:dyDescent="0.25">
      <c r="B844" s="26"/>
      <c r="C844" s="26"/>
      <c r="D844" s="26"/>
    </row>
    <row r="845" spans="2:4" x14ac:dyDescent="0.25">
      <c r="B845" s="26"/>
      <c r="C845" s="26"/>
      <c r="D845" s="26"/>
    </row>
    <row r="846" spans="2:4" x14ac:dyDescent="0.25">
      <c r="B846" s="26"/>
      <c r="C846" s="26"/>
      <c r="D846" s="26"/>
    </row>
    <row r="847" spans="2:4" x14ac:dyDescent="0.25">
      <c r="B847" s="26"/>
      <c r="C847" s="26"/>
      <c r="D847" s="26"/>
    </row>
    <row r="848" spans="2:4" x14ac:dyDescent="0.25">
      <c r="B848" s="26"/>
      <c r="C848" s="26"/>
      <c r="D848" s="26"/>
    </row>
    <row r="849" spans="2:4" x14ac:dyDescent="0.25">
      <c r="B849" s="26"/>
      <c r="C849" s="26"/>
      <c r="D849" s="26"/>
    </row>
    <row r="850" spans="2:4" x14ac:dyDescent="0.25">
      <c r="B850" s="26"/>
      <c r="C850" s="26"/>
      <c r="D850" s="26"/>
    </row>
    <row r="851" spans="2:4" x14ac:dyDescent="0.25">
      <c r="B851" s="26"/>
      <c r="C851" s="26"/>
      <c r="D851" s="26"/>
    </row>
    <row r="852" spans="2:4" x14ac:dyDescent="0.25">
      <c r="B852" s="26"/>
      <c r="C852" s="26"/>
      <c r="D852" s="26"/>
    </row>
    <row r="853" spans="2:4" x14ac:dyDescent="0.25">
      <c r="B853" s="26"/>
      <c r="C853" s="26"/>
      <c r="D853" s="26"/>
    </row>
    <row r="854" spans="2:4" x14ac:dyDescent="0.25">
      <c r="B854" s="26"/>
      <c r="C854" s="26"/>
      <c r="D854" s="26"/>
    </row>
    <row r="855" spans="2:4" x14ac:dyDescent="0.25">
      <c r="B855" s="26"/>
      <c r="C855" s="26"/>
      <c r="D855" s="26"/>
    </row>
    <row r="856" spans="2:4" x14ac:dyDescent="0.25">
      <c r="B856" s="26"/>
      <c r="C856" s="26"/>
      <c r="D856" s="26"/>
    </row>
    <row r="857" spans="2:4" x14ac:dyDescent="0.25">
      <c r="B857" s="26"/>
      <c r="C857" s="26"/>
      <c r="D857" s="26"/>
    </row>
    <row r="858" spans="2:4" x14ac:dyDescent="0.25">
      <c r="B858" s="26"/>
      <c r="C858" s="26"/>
      <c r="D858" s="26"/>
    </row>
    <row r="859" spans="2:4" x14ac:dyDescent="0.25">
      <c r="B859" s="26"/>
      <c r="C859" s="26"/>
      <c r="D859" s="26"/>
    </row>
    <row r="860" spans="2:4" x14ac:dyDescent="0.25">
      <c r="B860" s="26"/>
      <c r="C860" s="26"/>
      <c r="D860" s="26"/>
    </row>
    <row r="861" spans="2:4" x14ac:dyDescent="0.25">
      <c r="B861" s="26"/>
      <c r="C861" s="26"/>
      <c r="D861" s="26"/>
    </row>
    <row r="862" spans="2:4" x14ac:dyDescent="0.25">
      <c r="B862" s="26"/>
      <c r="C862" s="26"/>
      <c r="D862" s="26"/>
    </row>
    <row r="863" spans="2:4" x14ac:dyDescent="0.25">
      <c r="B863" s="26"/>
      <c r="C863" s="26"/>
      <c r="D863" s="26"/>
    </row>
    <row r="864" spans="2:4" x14ac:dyDescent="0.25">
      <c r="B864" s="26"/>
      <c r="C864" s="26"/>
      <c r="D864" s="26"/>
    </row>
    <row r="865" spans="2:4" x14ac:dyDescent="0.25">
      <c r="B865" s="26"/>
      <c r="C865" s="26"/>
      <c r="D865" s="26"/>
    </row>
    <row r="866" spans="2:4" x14ac:dyDescent="0.25">
      <c r="B866" s="26"/>
      <c r="C866" s="26"/>
      <c r="D866" s="26"/>
    </row>
    <row r="867" spans="2:4" x14ac:dyDescent="0.25">
      <c r="B867" s="26"/>
      <c r="C867" s="26"/>
      <c r="D867" s="26"/>
    </row>
    <row r="868" spans="2:4" x14ac:dyDescent="0.25">
      <c r="B868" s="26"/>
      <c r="C868" s="26"/>
      <c r="D868" s="26"/>
    </row>
    <row r="869" spans="2:4" x14ac:dyDescent="0.25">
      <c r="B869" s="26"/>
      <c r="C869" s="26"/>
      <c r="D869" s="26"/>
    </row>
    <row r="870" spans="2:4" x14ac:dyDescent="0.25">
      <c r="B870" s="26"/>
      <c r="C870" s="26"/>
      <c r="D870" s="26"/>
    </row>
    <row r="871" spans="2:4" x14ac:dyDescent="0.25">
      <c r="B871" s="26"/>
      <c r="C871" s="26"/>
      <c r="D871" s="26"/>
    </row>
    <row r="872" spans="2:4" x14ac:dyDescent="0.25">
      <c r="B872" s="26"/>
      <c r="C872" s="26"/>
      <c r="D872" s="26"/>
    </row>
    <row r="873" spans="2:4" x14ac:dyDescent="0.25">
      <c r="B873" s="26"/>
      <c r="C873" s="26"/>
      <c r="D873" s="26"/>
    </row>
    <row r="874" spans="2:4" x14ac:dyDescent="0.25">
      <c r="B874" s="26"/>
      <c r="C874" s="26"/>
      <c r="D874" s="26"/>
    </row>
    <row r="875" spans="2:4" x14ac:dyDescent="0.25">
      <c r="B875" s="26"/>
      <c r="C875" s="26"/>
      <c r="D875" s="26"/>
    </row>
    <row r="876" spans="2:4" x14ac:dyDescent="0.25">
      <c r="B876" s="26"/>
      <c r="C876" s="26"/>
      <c r="D876" s="26"/>
    </row>
    <row r="877" spans="2:4" x14ac:dyDescent="0.25">
      <c r="B877" s="26"/>
      <c r="C877" s="26"/>
      <c r="D877" s="26"/>
    </row>
    <row r="878" spans="2:4" x14ac:dyDescent="0.25">
      <c r="B878" s="26"/>
      <c r="C878" s="26"/>
      <c r="D878" s="26"/>
    </row>
    <row r="879" spans="2:4" x14ac:dyDescent="0.25">
      <c r="B879" s="26"/>
      <c r="C879" s="26"/>
      <c r="D879" s="26"/>
    </row>
    <row r="880" spans="2:4" x14ac:dyDescent="0.25">
      <c r="B880" s="26"/>
      <c r="C880" s="26"/>
      <c r="D880" s="26"/>
    </row>
    <row r="881" spans="2:4" x14ac:dyDescent="0.25">
      <c r="B881" s="26"/>
      <c r="C881" s="26"/>
      <c r="D881" s="26"/>
    </row>
    <row r="882" spans="2:4" x14ac:dyDescent="0.25">
      <c r="B882" s="26"/>
      <c r="C882" s="26"/>
      <c r="D882" s="26"/>
    </row>
    <row r="883" spans="2:4" x14ac:dyDescent="0.25">
      <c r="B883" s="26"/>
      <c r="C883" s="26"/>
      <c r="D883" s="26"/>
    </row>
    <row r="884" spans="2:4" x14ac:dyDescent="0.25">
      <c r="B884" s="26"/>
      <c r="C884" s="26"/>
      <c r="D884" s="26"/>
    </row>
    <row r="885" spans="2:4" x14ac:dyDescent="0.25">
      <c r="B885" s="26"/>
      <c r="C885" s="26"/>
      <c r="D885" s="26"/>
    </row>
    <row r="886" spans="2:4" x14ac:dyDescent="0.25">
      <c r="B886" s="26"/>
      <c r="C886" s="26"/>
      <c r="D886" s="26"/>
    </row>
    <row r="887" spans="2:4" x14ac:dyDescent="0.25">
      <c r="B887" s="26"/>
      <c r="C887" s="26"/>
      <c r="D887" s="26"/>
    </row>
    <row r="888" spans="2:4" x14ac:dyDescent="0.25">
      <c r="B888" s="26"/>
      <c r="C888" s="26"/>
      <c r="D888" s="26"/>
    </row>
    <row r="889" spans="2:4" x14ac:dyDescent="0.25">
      <c r="B889" s="26"/>
      <c r="C889" s="26"/>
      <c r="D889" s="26"/>
    </row>
    <row r="890" spans="2:4" x14ac:dyDescent="0.25">
      <c r="B890" s="26"/>
      <c r="C890" s="26"/>
      <c r="D890" s="26"/>
    </row>
    <row r="891" spans="2:4" x14ac:dyDescent="0.25">
      <c r="B891" s="26"/>
      <c r="C891" s="26"/>
      <c r="D891" s="26"/>
    </row>
    <row r="892" spans="2:4" x14ac:dyDescent="0.25">
      <c r="B892" s="26"/>
      <c r="C892" s="26"/>
      <c r="D892" s="26"/>
    </row>
    <row r="893" spans="2:4" x14ac:dyDescent="0.25">
      <c r="B893" s="26"/>
      <c r="C893" s="26"/>
      <c r="D893" s="26"/>
    </row>
    <row r="894" spans="2:4" x14ac:dyDescent="0.25">
      <c r="B894" s="26"/>
      <c r="C894" s="26"/>
      <c r="D894" s="26"/>
    </row>
    <row r="895" spans="2:4" x14ac:dyDescent="0.25">
      <c r="B895" s="26"/>
      <c r="C895" s="26"/>
      <c r="D895" s="26"/>
    </row>
    <row r="896" spans="2:4" x14ac:dyDescent="0.25">
      <c r="B896" s="26"/>
      <c r="C896" s="26"/>
      <c r="D896" s="26"/>
    </row>
    <row r="897" spans="2:4" x14ac:dyDescent="0.25">
      <c r="B897" s="26"/>
      <c r="C897" s="26"/>
      <c r="D897" s="26"/>
    </row>
    <row r="898" spans="2:4" x14ac:dyDescent="0.25">
      <c r="B898" s="26"/>
      <c r="C898" s="26"/>
      <c r="D898" s="26"/>
    </row>
    <row r="899" spans="2:4" x14ac:dyDescent="0.25">
      <c r="B899" s="26"/>
      <c r="C899" s="26"/>
      <c r="D899" s="26"/>
    </row>
    <row r="900" spans="2:4" x14ac:dyDescent="0.25">
      <c r="B900" s="26"/>
      <c r="C900" s="26"/>
      <c r="D900" s="26"/>
    </row>
    <row r="901" spans="2:4" x14ac:dyDescent="0.25">
      <c r="B901" s="26"/>
      <c r="C901" s="26"/>
      <c r="D901" s="26"/>
    </row>
    <row r="902" spans="2:4" x14ac:dyDescent="0.25">
      <c r="B902" s="26"/>
      <c r="C902" s="26"/>
      <c r="D902" s="26"/>
    </row>
    <row r="903" spans="2:4" x14ac:dyDescent="0.25">
      <c r="B903" s="26"/>
      <c r="C903" s="26"/>
      <c r="D903" s="26"/>
    </row>
    <row r="904" spans="2:4" x14ac:dyDescent="0.25">
      <c r="B904" s="26"/>
      <c r="C904" s="26"/>
      <c r="D904" s="26"/>
    </row>
    <row r="905" spans="2:4" x14ac:dyDescent="0.25">
      <c r="B905" s="26"/>
      <c r="C905" s="26"/>
      <c r="D905" s="26"/>
    </row>
    <row r="906" spans="2:4" x14ac:dyDescent="0.25">
      <c r="B906" s="26"/>
      <c r="C906" s="26"/>
      <c r="D906" s="26"/>
    </row>
    <row r="907" spans="2:4" x14ac:dyDescent="0.25">
      <c r="B907" s="26"/>
      <c r="C907" s="26"/>
      <c r="D907" s="26"/>
    </row>
    <row r="908" spans="2:4" x14ac:dyDescent="0.25">
      <c r="B908" s="26"/>
      <c r="C908" s="26"/>
      <c r="D908" s="26"/>
    </row>
    <row r="909" spans="2:4" x14ac:dyDescent="0.25">
      <c r="B909" s="26"/>
      <c r="C909" s="26"/>
      <c r="D909" s="26"/>
    </row>
    <row r="910" spans="2:4" x14ac:dyDescent="0.25">
      <c r="B910" s="26"/>
      <c r="C910" s="26"/>
      <c r="D910" s="26"/>
    </row>
    <row r="911" spans="2:4" x14ac:dyDescent="0.25">
      <c r="B911" s="26"/>
      <c r="C911" s="26"/>
      <c r="D911" s="26"/>
    </row>
    <row r="912" spans="2:4" x14ac:dyDescent="0.25">
      <c r="B912" s="26"/>
      <c r="C912" s="26"/>
      <c r="D912" s="26"/>
    </row>
    <row r="913" spans="2:4" x14ac:dyDescent="0.25">
      <c r="B913" s="26"/>
      <c r="C913" s="26"/>
      <c r="D913" s="26"/>
    </row>
    <row r="914" spans="2:4" x14ac:dyDescent="0.25">
      <c r="B914" s="26"/>
      <c r="C914" s="26"/>
      <c r="D914" s="26"/>
    </row>
    <row r="915" spans="2:4" x14ac:dyDescent="0.25">
      <c r="B915" s="26"/>
      <c r="C915" s="26"/>
      <c r="D915" s="26"/>
    </row>
    <row r="916" spans="2:4" x14ac:dyDescent="0.25">
      <c r="B916" s="26"/>
      <c r="C916" s="26"/>
      <c r="D916" s="26"/>
    </row>
    <row r="917" spans="2:4" x14ac:dyDescent="0.25">
      <c r="B917" s="26"/>
      <c r="C917" s="26"/>
      <c r="D917" s="26"/>
    </row>
    <row r="918" spans="2:4" x14ac:dyDescent="0.25">
      <c r="B918" s="26"/>
      <c r="C918" s="26"/>
      <c r="D918" s="26"/>
    </row>
    <row r="919" spans="2:4" x14ac:dyDescent="0.25">
      <c r="B919" s="26"/>
      <c r="C919" s="26"/>
      <c r="D919" s="26"/>
    </row>
    <row r="920" spans="2:4" x14ac:dyDescent="0.25">
      <c r="B920" s="26"/>
      <c r="C920" s="26"/>
      <c r="D920" s="26"/>
    </row>
    <row r="921" spans="2:4" x14ac:dyDescent="0.25">
      <c r="B921" s="26"/>
      <c r="C921" s="26"/>
      <c r="D921" s="26"/>
    </row>
    <row r="922" spans="2:4" x14ac:dyDescent="0.25">
      <c r="B922" s="26"/>
      <c r="C922" s="26"/>
      <c r="D922" s="26"/>
    </row>
    <row r="923" spans="2:4" x14ac:dyDescent="0.25">
      <c r="B923" s="26"/>
      <c r="C923" s="26"/>
      <c r="D923" s="26"/>
    </row>
    <row r="924" spans="2:4" x14ac:dyDescent="0.25">
      <c r="B924" s="26"/>
      <c r="C924" s="26"/>
      <c r="D924" s="26"/>
    </row>
    <row r="925" spans="2:4" x14ac:dyDescent="0.25">
      <c r="B925" s="26"/>
      <c r="C925" s="26"/>
      <c r="D925" s="26"/>
    </row>
    <row r="926" spans="2:4" x14ac:dyDescent="0.25">
      <c r="B926" s="26"/>
      <c r="C926" s="26"/>
      <c r="D926" s="26"/>
    </row>
    <row r="927" spans="2:4" x14ac:dyDescent="0.25">
      <c r="B927" s="26"/>
      <c r="C927" s="26"/>
      <c r="D927" s="26"/>
    </row>
    <row r="928" spans="2:4" x14ac:dyDescent="0.25">
      <c r="B928" s="26"/>
      <c r="C928" s="26"/>
      <c r="D928" s="26"/>
    </row>
    <row r="929" spans="2:4" x14ac:dyDescent="0.25">
      <c r="B929" s="26"/>
      <c r="C929" s="26"/>
      <c r="D929" s="26"/>
    </row>
    <row r="930" spans="2:4" x14ac:dyDescent="0.25">
      <c r="B930" s="26"/>
      <c r="C930" s="26"/>
      <c r="D930" s="26"/>
    </row>
    <row r="931" spans="2:4" x14ac:dyDescent="0.25">
      <c r="B931" s="26"/>
      <c r="C931" s="26"/>
      <c r="D931" s="26"/>
    </row>
    <row r="932" spans="2:4" x14ac:dyDescent="0.25">
      <c r="B932" s="26"/>
      <c r="C932" s="26"/>
      <c r="D932" s="26"/>
    </row>
    <row r="933" spans="2:4" x14ac:dyDescent="0.25">
      <c r="B933" s="26"/>
      <c r="C933" s="26"/>
      <c r="D933" s="26"/>
    </row>
    <row r="934" spans="2:4" x14ac:dyDescent="0.25">
      <c r="B934" s="26"/>
      <c r="C934" s="26"/>
      <c r="D934" s="26"/>
    </row>
    <row r="935" spans="2:4" x14ac:dyDescent="0.25">
      <c r="B935" s="26"/>
      <c r="C935" s="26"/>
      <c r="D935" s="26"/>
    </row>
    <row r="936" spans="2:4" x14ac:dyDescent="0.25">
      <c r="B936" s="26"/>
      <c r="C936" s="26"/>
      <c r="D936" s="26"/>
    </row>
    <row r="937" spans="2:4" x14ac:dyDescent="0.25">
      <c r="B937" s="26"/>
      <c r="C937" s="26"/>
      <c r="D937" s="26"/>
    </row>
    <row r="938" spans="2:4" x14ac:dyDescent="0.25">
      <c r="B938" s="26"/>
      <c r="C938" s="26"/>
      <c r="D938" s="26"/>
    </row>
    <row r="939" spans="2:4" x14ac:dyDescent="0.25">
      <c r="B939" s="26"/>
      <c r="C939" s="26"/>
      <c r="D939" s="26"/>
    </row>
    <row r="940" spans="2:4" x14ac:dyDescent="0.25">
      <c r="B940" s="26"/>
      <c r="C940" s="26"/>
      <c r="D940" s="26"/>
    </row>
    <row r="941" spans="2:4" x14ac:dyDescent="0.25">
      <c r="B941" s="26"/>
      <c r="C941" s="26"/>
      <c r="D941" s="26"/>
    </row>
    <row r="942" spans="2:4" x14ac:dyDescent="0.25">
      <c r="B942" s="26"/>
      <c r="C942" s="26"/>
      <c r="D942" s="26"/>
    </row>
    <row r="943" spans="2:4" x14ac:dyDescent="0.25">
      <c r="B943" s="26"/>
      <c r="C943" s="26"/>
      <c r="D943" s="26"/>
    </row>
    <row r="944" spans="2:4" x14ac:dyDescent="0.25">
      <c r="B944" s="26"/>
      <c r="C944" s="26"/>
      <c r="D944" s="26"/>
    </row>
    <row r="945" spans="2:4" x14ac:dyDescent="0.25">
      <c r="B945" s="26"/>
      <c r="C945" s="26"/>
      <c r="D945" s="26"/>
    </row>
    <row r="946" spans="2:4" x14ac:dyDescent="0.25">
      <c r="B946" s="26"/>
      <c r="C946" s="26"/>
      <c r="D946" s="26"/>
    </row>
    <row r="947" spans="2:4" x14ac:dyDescent="0.25">
      <c r="B947" s="26"/>
      <c r="C947" s="26"/>
      <c r="D947" s="26"/>
    </row>
    <row r="948" spans="2:4" x14ac:dyDescent="0.25">
      <c r="B948" s="26"/>
      <c r="C948" s="26"/>
      <c r="D948" s="26"/>
    </row>
    <row r="949" spans="2:4" x14ac:dyDescent="0.25">
      <c r="B949" s="26"/>
      <c r="C949" s="26"/>
      <c r="D949" s="26"/>
    </row>
    <row r="950" spans="2:4" x14ac:dyDescent="0.25">
      <c r="B950" s="26"/>
      <c r="C950" s="26"/>
      <c r="D950" s="26"/>
    </row>
    <row r="951" spans="2:4" x14ac:dyDescent="0.25">
      <c r="B951" s="26"/>
      <c r="C951" s="26"/>
      <c r="D951" s="26"/>
    </row>
    <row r="952" spans="2:4" x14ac:dyDescent="0.25">
      <c r="B952" s="26"/>
      <c r="C952" s="26"/>
      <c r="D952" s="26"/>
    </row>
    <row r="953" spans="2:4" x14ac:dyDescent="0.25">
      <c r="B953" s="26"/>
      <c r="C953" s="26"/>
      <c r="D953" s="26"/>
    </row>
    <row r="954" spans="2:4" x14ac:dyDescent="0.25">
      <c r="B954" s="26"/>
      <c r="C954" s="26"/>
      <c r="D954" s="26"/>
    </row>
    <row r="955" spans="2:4" x14ac:dyDescent="0.25">
      <c r="B955" s="26"/>
      <c r="C955" s="26"/>
      <c r="D955" s="26"/>
    </row>
    <row r="956" spans="2:4" x14ac:dyDescent="0.25">
      <c r="B956" s="26"/>
      <c r="C956" s="26"/>
      <c r="D956" s="26"/>
    </row>
    <row r="957" spans="2:4" x14ac:dyDescent="0.25">
      <c r="B957" s="26"/>
      <c r="C957" s="26"/>
      <c r="D957" s="26"/>
    </row>
    <row r="958" spans="2:4" x14ac:dyDescent="0.25">
      <c r="B958" s="26"/>
      <c r="C958" s="26"/>
      <c r="D958" s="26"/>
    </row>
    <row r="959" spans="2:4" x14ac:dyDescent="0.25">
      <c r="B959" s="26"/>
      <c r="C959" s="26"/>
      <c r="D959" s="26"/>
    </row>
    <row r="960" spans="2:4" x14ac:dyDescent="0.25">
      <c r="B960" s="26"/>
      <c r="C960" s="26"/>
      <c r="D960" s="26"/>
    </row>
    <row r="961" spans="2:4" x14ac:dyDescent="0.25">
      <c r="B961" s="26"/>
      <c r="C961" s="26"/>
      <c r="D961" s="26"/>
    </row>
    <row r="962" spans="2:4" x14ac:dyDescent="0.25">
      <c r="B962" s="26"/>
      <c r="C962" s="26"/>
      <c r="D962" s="26"/>
    </row>
    <row r="963" spans="2:4" x14ac:dyDescent="0.25">
      <c r="B963" s="26"/>
      <c r="C963" s="26"/>
      <c r="D963" s="26"/>
    </row>
    <row r="964" spans="2:4" x14ac:dyDescent="0.25">
      <c r="B964" s="26"/>
      <c r="C964" s="26"/>
      <c r="D964" s="26"/>
    </row>
    <row r="965" spans="2:4" x14ac:dyDescent="0.25">
      <c r="B965" s="26"/>
      <c r="C965" s="26"/>
      <c r="D965" s="26"/>
    </row>
    <row r="966" spans="2:4" x14ac:dyDescent="0.25">
      <c r="B966" s="26"/>
      <c r="C966" s="26"/>
      <c r="D966" s="26"/>
    </row>
    <row r="967" spans="2:4" x14ac:dyDescent="0.25">
      <c r="B967" s="26"/>
      <c r="C967" s="26"/>
      <c r="D967" s="26"/>
    </row>
    <row r="968" spans="2:4" x14ac:dyDescent="0.25">
      <c r="B968" s="26"/>
      <c r="C968" s="26"/>
      <c r="D968" s="26"/>
    </row>
    <row r="969" spans="2:4" x14ac:dyDescent="0.25">
      <c r="B969" s="26"/>
      <c r="C969" s="26"/>
      <c r="D969" s="26"/>
    </row>
    <row r="970" spans="2:4" x14ac:dyDescent="0.25">
      <c r="B970" s="26"/>
      <c r="C970" s="26"/>
      <c r="D970" s="26"/>
    </row>
    <row r="971" spans="2:4" x14ac:dyDescent="0.25">
      <c r="B971" s="26"/>
      <c r="C971" s="26"/>
      <c r="D971" s="26"/>
    </row>
    <row r="972" spans="2:4" x14ac:dyDescent="0.25">
      <c r="B972" s="26"/>
      <c r="C972" s="26"/>
      <c r="D972" s="26"/>
    </row>
    <row r="973" spans="2:4" x14ac:dyDescent="0.25">
      <c r="B973" s="26"/>
      <c r="C973" s="26"/>
      <c r="D973" s="26"/>
    </row>
    <row r="974" spans="2:4" x14ac:dyDescent="0.25">
      <c r="B974" s="26"/>
      <c r="C974" s="26"/>
      <c r="D974" s="26"/>
    </row>
    <row r="975" spans="2:4" x14ac:dyDescent="0.25">
      <c r="B975" s="26"/>
      <c r="C975" s="26"/>
      <c r="D975" s="26"/>
    </row>
    <row r="976" spans="2:4" x14ac:dyDescent="0.25">
      <c r="B976" s="26"/>
      <c r="C976" s="26"/>
      <c r="D976" s="26"/>
    </row>
    <row r="977" spans="2:4" x14ac:dyDescent="0.25">
      <c r="B977" s="26"/>
      <c r="C977" s="26"/>
      <c r="D977" s="26"/>
    </row>
    <row r="978" spans="2:4" x14ac:dyDescent="0.25">
      <c r="B978" s="26"/>
      <c r="C978" s="26"/>
      <c r="D978" s="26"/>
    </row>
    <row r="979" spans="2:4" x14ac:dyDescent="0.25">
      <c r="B979" s="26"/>
      <c r="C979" s="26"/>
      <c r="D979" s="26"/>
    </row>
    <row r="980" spans="2:4" x14ac:dyDescent="0.25">
      <c r="B980" s="26"/>
      <c r="C980" s="26"/>
      <c r="D980" s="26"/>
    </row>
    <row r="981" spans="2:4" x14ac:dyDescent="0.25">
      <c r="B981" s="26"/>
      <c r="C981" s="26"/>
      <c r="D981" s="26"/>
    </row>
    <row r="982" spans="2:4" x14ac:dyDescent="0.25">
      <c r="B982" s="26"/>
      <c r="C982" s="26"/>
      <c r="D982" s="26"/>
    </row>
    <row r="983" spans="2:4" x14ac:dyDescent="0.25">
      <c r="B983" s="26"/>
      <c r="C983" s="26"/>
      <c r="D983" s="26"/>
    </row>
    <row r="984" spans="2:4" x14ac:dyDescent="0.25">
      <c r="B984" s="26"/>
      <c r="C984" s="26"/>
      <c r="D984" s="26"/>
    </row>
    <row r="985" spans="2:4" x14ac:dyDescent="0.25">
      <c r="B985" s="26"/>
      <c r="C985" s="26"/>
      <c r="D985" s="26"/>
    </row>
    <row r="986" spans="2:4" x14ac:dyDescent="0.25">
      <c r="B986" s="26"/>
      <c r="C986" s="26"/>
      <c r="D986" s="26"/>
    </row>
    <row r="987" spans="2:4" x14ac:dyDescent="0.25">
      <c r="B987" s="26"/>
      <c r="C987" s="26"/>
      <c r="D987" s="26"/>
    </row>
    <row r="988" spans="2:4" x14ac:dyDescent="0.25">
      <c r="B988" s="26"/>
      <c r="C988" s="26"/>
      <c r="D988" s="26"/>
    </row>
    <row r="989" spans="2:4" x14ac:dyDescent="0.25">
      <c r="B989" s="26"/>
      <c r="C989" s="26"/>
      <c r="D989" s="26"/>
    </row>
    <row r="990" spans="2:4" x14ac:dyDescent="0.25">
      <c r="B990" s="26"/>
      <c r="C990" s="26"/>
      <c r="D990" s="26"/>
    </row>
    <row r="991" spans="2:4" x14ac:dyDescent="0.25">
      <c r="B991" s="26"/>
      <c r="C991" s="26"/>
      <c r="D991" s="26"/>
    </row>
    <row r="992" spans="2:4" x14ac:dyDescent="0.25">
      <c r="B992" s="26"/>
      <c r="C992" s="26"/>
      <c r="D992" s="26"/>
    </row>
    <row r="993" spans="2:4" x14ac:dyDescent="0.25">
      <c r="B993" s="26"/>
      <c r="C993" s="26"/>
      <c r="D993" s="26"/>
    </row>
    <row r="994" spans="2:4" x14ac:dyDescent="0.25">
      <c r="B994" s="26"/>
      <c r="C994" s="26"/>
      <c r="D994" s="26"/>
    </row>
    <row r="995" spans="2:4" x14ac:dyDescent="0.25">
      <c r="B995" s="26"/>
      <c r="C995" s="26"/>
      <c r="D995" s="26"/>
    </row>
    <row r="996" spans="2:4" x14ac:dyDescent="0.25">
      <c r="B996" s="26"/>
      <c r="C996" s="26"/>
      <c r="D996" s="26"/>
    </row>
    <row r="997" spans="2:4" x14ac:dyDescent="0.25">
      <c r="B997" s="26"/>
      <c r="C997" s="26"/>
      <c r="D997" s="26"/>
    </row>
    <row r="998" spans="2:4" x14ac:dyDescent="0.25">
      <c r="B998" s="26"/>
      <c r="C998" s="26"/>
      <c r="D998" s="26"/>
    </row>
    <row r="999" spans="2:4" x14ac:dyDescent="0.25">
      <c r="B999" s="26"/>
      <c r="C999" s="26"/>
      <c r="D999" s="26"/>
    </row>
    <row r="1000" spans="2:4" x14ac:dyDescent="0.25">
      <c r="B1000" s="26"/>
      <c r="C1000" s="26"/>
      <c r="D1000" s="26"/>
    </row>
    <row r="1001" spans="2:4" x14ac:dyDescent="0.25">
      <c r="B1001" s="26"/>
      <c r="C1001" s="26"/>
      <c r="D1001" s="26"/>
    </row>
    <row r="1002" spans="2:4" x14ac:dyDescent="0.25">
      <c r="B1002" s="26"/>
      <c r="C1002" s="26"/>
      <c r="D1002" s="26"/>
    </row>
    <row r="1003" spans="2:4" x14ac:dyDescent="0.25">
      <c r="B1003" s="26"/>
      <c r="C1003" s="26"/>
      <c r="D1003" s="26"/>
    </row>
    <row r="1004" spans="2:4" x14ac:dyDescent="0.25">
      <c r="B1004" s="26"/>
      <c r="C1004" s="26"/>
      <c r="D1004" s="26"/>
    </row>
    <row r="1005" spans="2:4" x14ac:dyDescent="0.25">
      <c r="B1005" s="26"/>
      <c r="C1005" s="26"/>
      <c r="D1005" s="26"/>
    </row>
    <row r="1006" spans="2:4" x14ac:dyDescent="0.25">
      <c r="B1006" s="26"/>
      <c r="C1006" s="26"/>
      <c r="D1006" s="26"/>
    </row>
    <row r="1007" spans="2:4" x14ac:dyDescent="0.25">
      <c r="B1007" s="26"/>
      <c r="C1007" s="26"/>
      <c r="D1007" s="26"/>
    </row>
    <row r="1008" spans="2:4" x14ac:dyDescent="0.25">
      <c r="B1008" s="26"/>
      <c r="C1008" s="26"/>
      <c r="D1008" s="26"/>
    </row>
    <row r="1009" spans="2:4" x14ac:dyDescent="0.25">
      <c r="B1009" s="26"/>
      <c r="C1009" s="26"/>
      <c r="D1009" s="26"/>
    </row>
    <row r="1010" spans="2:4" x14ac:dyDescent="0.25">
      <c r="B1010" s="26"/>
      <c r="C1010" s="26"/>
      <c r="D1010" s="26"/>
    </row>
    <row r="1011" spans="2:4" x14ac:dyDescent="0.25">
      <c r="B1011" s="26"/>
      <c r="C1011" s="26"/>
      <c r="D1011" s="26"/>
    </row>
    <row r="1012" spans="2:4" x14ac:dyDescent="0.25">
      <c r="B1012" s="26"/>
      <c r="C1012" s="26"/>
      <c r="D1012" s="26"/>
    </row>
    <row r="1013" spans="2:4" x14ac:dyDescent="0.25">
      <c r="B1013" s="26"/>
      <c r="C1013" s="26"/>
      <c r="D1013" s="26"/>
    </row>
    <row r="1014" spans="2:4" x14ac:dyDescent="0.25">
      <c r="B1014" s="26"/>
      <c r="C1014" s="26"/>
      <c r="D1014" s="26"/>
    </row>
    <row r="1015" spans="2:4" x14ac:dyDescent="0.25">
      <c r="B1015" s="26"/>
      <c r="C1015" s="26"/>
      <c r="D1015" s="26"/>
    </row>
    <row r="1016" spans="2:4" x14ac:dyDescent="0.25">
      <c r="B1016" s="26"/>
      <c r="C1016" s="26"/>
      <c r="D1016" s="26"/>
    </row>
    <row r="1017" spans="2:4" x14ac:dyDescent="0.25">
      <c r="B1017" s="26"/>
      <c r="C1017" s="26"/>
      <c r="D1017" s="26"/>
    </row>
    <row r="1018" spans="2:4" x14ac:dyDescent="0.25">
      <c r="B1018" s="26"/>
      <c r="C1018" s="26"/>
      <c r="D1018" s="26"/>
    </row>
    <row r="1019" spans="2:4" x14ac:dyDescent="0.25">
      <c r="B1019" s="26"/>
      <c r="C1019" s="26"/>
    </row>
    <row r="1020" spans="2:4" x14ac:dyDescent="0.25">
      <c r="B1020" s="26"/>
      <c r="C1020" s="26"/>
    </row>
  </sheetData>
  <mergeCells count="15">
    <mergeCell ref="E9:E10"/>
    <mergeCell ref="G19:G20"/>
    <mergeCell ref="D8:E8"/>
    <mergeCell ref="F18:G18"/>
    <mergeCell ref="L3:M3"/>
    <mergeCell ref="P3:Q3"/>
    <mergeCell ref="D2:S2"/>
    <mergeCell ref="C2:C4"/>
    <mergeCell ref="B2:B4"/>
    <mergeCell ref="R3:S3"/>
    <mergeCell ref="H3:I3"/>
    <mergeCell ref="N3:O3"/>
    <mergeCell ref="D3:E3"/>
    <mergeCell ref="F3:G3"/>
    <mergeCell ref="J3:K3"/>
  </mergeCells>
  <pageMargins left="0.23622047244094491" right="0.23622047244094491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&amp;14REAKSI BIOLOGIS</oddHeader>
  </headerFooter>
  <ignoredErrors>
    <ignoredError sqref="G21 E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B2:R43"/>
  <sheetViews>
    <sheetView topLeftCell="D1" zoomScaleNormal="100" workbookViewId="0">
      <selection activeCell="I9" sqref="I9"/>
    </sheetView>
  </sheetViews>
  <sheetFormatPr defaultRowHeight="15" x14ac:dyDescent="0.25"/>
  <cols>
    <col min="1" max="1" width="9.140625" style="3"/>
    <col min="2" max="2" width="3.5703125" style="3" bestFit="1" customWidth="1"/>
    <col min="3" max="3" width="8.85546875" style="3" bestFit="1" customWidth="1"/>
    <col min="4" max="4" width="5.5703125" style="3" bestFit="1" customWidth="1"/>
    <col min="5" max="5" width="6" style="3" customWidth="1"/>
    <col min="6" max="6" width="6.7109375" style="3" customWidth="1"/>
    <col min="7" max="7" width="6" style="3" customWidth="1"/>
    <col min="8" max="8" width="8.140625" style="3" customWidth="1"/>
    <col min="9" max="9" width="7.140625" style="3" customWidth="1"/>
    <col min="10" max="10" width="12" style="3" customWidth="1"/>
    <col min="11" max="11" width="7.5703125" style="3" bestFit="1" customWidth="1"/>
    <col min="12" max="12" width="7" style="3" customWidth="1"/>
    <col min="13" max="13" width="7.5703125" style="3" customWidth="1"/>
    <col min="14" max="14" width="10.85546875" style="3" customWidth="1"/>
    <col min="15" max="15" width="7.5703125" style="3" customWidth="1"/>
    <col min="16" max="16" width="11.42578125" style="3" customWidth="1"/>
    <col min="17" max="17" width="15.42578125" style="3" customWidth="1"/>
    <col min="18" max="18" width="11.85546875" style="3" customWidth="1"/>
    <col min="19" max="16384" width="9.140625" style="3"/>
  </cols>
  <sheetData>
    <row r="2" spans="2:18" x14ac:dyDescent="0.25">
      <c r="B2" s="331" t="s">
        <v>136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</row>
    <row r="3" spans="2:18" x14ac:dyDescent="0.25">
      <c r="B3" s="29" t="s">
        <v>50</v>
      </c>
    </row>
    <row r="4" spans="2:18" x14ac:dyDescent="0.25">
      <c r="B4" s="29" t="s">
        <v>51</v>
      </c>
    </row>
    <row r="5" spans="2:18" ht="15.75" thickBot="1" x14ac:dyDescent="0.3">
      <c r="B5" s="29" t="s">
        <v>52</v>
      </c>
    </row>
    <row r="6" spans="2:18" x14ac:dyDescent="0.25">
      <c r="B6" s="303" t="s">
        <v>38</v>
      </c>
      <c r="C6" s="305" t="s">
        <v>39</v>
      </c>
      <c r="D6" s="307" t="s">
        <v>1</v>
      </c>
      <c r="E6" s="305" t="s">
        <v>189</v>
      </c>
      <c r="F6" s="305" t="s">
        <v>190</v>
      </c>
      <c r="G6" s="305" t="s">
        <v>191</v>
      </c>
      <c r="H6" s="317" t="s">
        <v>207</v>
      </c>
      <c r="I6" s="315" t="s">
        <v>206</v>
      </c>
      <c r="J6" s="309" t="s">
        <v>53</v>
      </c>
      <c r="K6" s="309"/>
      <c r="L6" s="309"/>
      <c r="M6" s="309"/>
      <c r="N6" s="309"/>
      <c r="O6" s="309"/>
      <c r="P6" s="310"/>
      <c r="Q6" s="295" t="s">
        <v>54</v>
      </c>
      <c r="R6" s="296"/>
    </row>
    <row r="7" spans="2:18" x14ac:dyDescent="0.25">
      <c r="B7" s="304"/>
      <c r="C7" s="306"/>
      <c r="D7" s="308"/>
      <c r="E7" s="306"/>
      <c r="F7" s="306"/>
      <c r="G7" s="306"/>
      <c r="H7" s="318"/>
      <c r="I7" s="316"/>
      <c r="J7" s="297" t="s">
        <v>55</v>
      </c>
      <c r="K7" s="299" t="s">
        <v>56</v>
      </c>
      <c r="L7" s="300"/>
      <c r="M7" s="299" t="s">
        <v>57</v>
      </c>
      <c r="N7" s="300"/>
      <c r="O7" s="299" t="s">
        <v>58</v>
      </c>
      <c r="P7" s="301"/>
      <c r="Q7" s="30" t="s">
        <v>59</v>
      </c>
      <c r="R7" s="33" t="s">
        <v>60</v>
      </c>
    </row>
    <row r="8" spans="2:18" x14ac:dyDescent="0.25">
      <c r="B8" s="304"/>
      <c r="C8" s="306"/>
      <c r="D8" s="308"/>
      <c r="E8" s="306"/>
      <c r="F8" s="306"/>
      <c r="G8" s="306"/>
      <c r="H8" s="319"/>
      <c r="I8" s="316"/>
      <c r="J8" s="298"/>
      <c r="K8" s="79" t="s">
        <v>65</v>
      </c>
      <c r="L8" s="79" t="s">
        <v>66</v>
      </c>
      <c r="M8" s="79" t="s">
        <v>65</v>
      </c>
      <c r="N8" s="80" t="s">
        <v>67</v>
      </c>
      <c r="O8" s="80" t="s">
        <v>65</v>
      </c>
      <c r="P8" s="33" t="s">
        <v>68</v>
      </c>
      <c r="Q8" s="70" t="s">
        <v>69</v>
      </c>
      <c r="R8" s="92" t="s">
        <v>70</v>
      </c>
    </row>
    <row r="9" spans="2:18" ht="15.75" thickBot="1" x14ac:dyDescent="0.3">
      <c r="B9" s="34"/>
      <c r="C9" s="35" t="s">
        <v>48</v>
      </c>
      <c r="D9" s="41" t="s">
        <v>49</v>
      </c>
      <c r="E9" s="35">
        <v>52</v>
      </c>
      <c r="F9" s="35">
        <v>156</v>
      </c>
      <c r="G9" s="35">
        <v>60</v>
      </c>
      <c r="H9" s="35">
        <v>1.4</v>
      </c>
      <c r="I9" s="74">
        <f>((8.7*G9)+829)*H9</f>
        <v>1891.3999999999999</v>
      </c>
      <c r="J9" s="81">
        <v>1.6</v>
      </c>
      <c r="K9" s="74">
        <v>0.9</v>
      </c>
      <c r="L9" s="75"/>
      <c r="M9" s="74">
        <v>1</v>
      </c>
      <c r="N9" s="75"/>
      <c r="O9" s="76">
        <v>1</v>
      </c>
      <c r="P9" s="77"/>
      <c r="Q9" s="34">
        <v>100</v>
      </c>
      <c r="R9" s="36">
        <v>25</v>
      </c>
    </row>
    <row r="10" spans="2:18" x14ac:dyDescent="0.25">
      <c r="B10" s="311" t="s">
        <v>208</v>
      </c>
      <c r="C10" s="311"/>
      <c r="D10" s="311"/>
      <c r="E10" s="78"/>
      <c r="F10" s="78"/>
      <c r="G10" s="78"/>
      <c r="H10" s="78"/>
      <c r="I10" s="90"/>
      <c r="J10" s="312">
        <f>10-(J9+K9+M9+O9)/4</f>
        <v>8.875</v>
      </c>
      <c r="K10" s="313"/>
      <c r="L10" s="313"/>
      <c r="M10" s="313"/>
      <c r="N10" s="313"/>
      <c r="O10" s="313"/>
      <c r="P10" s="313"/>
    </row>
    <row r="11" spans="2:18" x14ac:dyDescent="0.25">
      <c r="B11" s="3" t="s">
        <v>77</v>
      </c>
    </row>
    <row r="13" spans="2:18" ht="15" customHeight="1" x14ac:dyDescent="0.25">
      <c r="B13" s="314" t="s">
        <v>187</v>
      </c>
      <c r="C13" s="314"/>
      <c r="D13" s="314"/>
      <c r="E13" s="314"/>
      <c r="F13" s="314"/>
      <c r="G13" s="314"/>
      <c r="H13" s="314"/>
      <c r="I13" s="314"/>
      <c r="J13" s="314"/>
      <c r="K13" s="314"/>
      <c r="L13" s="314"/>
    </row>
    <row r="14" spans="2:18" x14ac:dyDescent="0.25"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</row>
    <row r="15" spans="2:18" x14ac:dyDescent="0.25">
      <c r="B15" s="29" t="s">
        <v>188</v>
      </c>
      <c r="P15" s="3" t="s">
        <v>78</v>
      </c>
    </row>
    <row r="16" spans="2:18" x14ac:dyDescent="0.25">
      <c r="B16" s="29" t="s">
        <v>79</v>
      </c>
      <c r="P16" s="3" t="s">
        <v>80</v>
      </c>
    </row>
    <row r="17" spans="2:17" x14ac:dyDescent="0.25">
      <c r="B17" s="29" t="s">
        <v>81</v>
      </c>
      <c r="Q17" s="3" t="s">
        <v>82</v>
      </c>
    </row>
    <row r="18" spans="2:17" x14ac:dyDescent="0.25">
      <c r="B18" s="3" t="s">
        <v>83</v>
      </c>
      <c r="Q18" s="3" t="s">
        <v>84</v>
      </c>
    </row>
    <row r="19" spans="2:17" x14ac:dyDescent="0.25">
      <c r="B19" s="29" t="s">
        <v>85</v>
      </c>
    </row>
    <row r="20" spans="2:17" x14ac:dyDescent="0.25">
      <c r="B20" s="29" t="s">
        <v>86</v>
      </c>
    </row>
    <row r="21" spans="2:17" ht="15" customHeight="1" x14ac:dyDescent="0.25">
      <c r="B21" s="302" t="s">
        <v>87</v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</row>
    <row r="22" spans="2:17" x14ac:dyDescent="0.25">
      <c r="B22" s="302"/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45"/>
      <c r="N22" s="45"/>
    </row>
    <row r="23" spans="2:17" x14ac:dyDescent="0.25">
      <c r="B23" s="46"/>
      <c r="C23" s="46"/>
      <c r="D23" s="46"/>
      <c r="E23" s="46"/>
      <c r="K23" s="45"/>
      <c r="L23" s="45"/>
      <c r="M23" s="45"/>
      <c r="N23" s="45"/>
    </row>
    <row r="24" spans="2:17" ht="15.75" thickBot="1" x14ac:dyDescent="0.3">
      <c r="B24" s="29" t="s">
        <v>88</v>
      </c>
      <c r="K24" s="45"/>
      <c r="L24" s="45"/>
      <c r="M24" s="45"/>
      <c r="N24" s="45"/>
    </row>
    <row r="25" spans="2:17" x14ac:dyDescent="0.25">
      <c r="B25" s="320" t="s">
        <v>38</v>
      </c>
      <c r="C25" s="320" t="s">
        <v>39</v>
      </c>
      <c r="D25" s="321" t="s">
        <v>1</v>
      </c>
      <c r="E25" s="322" t="s">
        <v>53</v>
      </c>
      <c r="F25" s="323"/>
      <c r="G25" s="323"/>
      <c r="H25" s="323"/>
      <c r="I25" s="323"/>
      <c r="J25" s="323"/>
      <c r="K25" s="323"/>
      <c r="L25" s="324"/>
    </row>
    <row r="26" spans="2:17" x14ac:dyDescent="0.25">
      <c r="B26" s="320"/>
      <c r="C26" s="320"/>
      <c r="D26" s="321"/>
      <c r="E26" s="325" t="s">
        <v>55</v>
      </c>
      <c r="F26" s="299" t="s">
        <v>56</v>
      </c>
      <c r="G26" s="300"/>
      <c r="H26" s="299" t="s">
        <v>89</v>
      </c>
      <c r="I26" s="327"/>
      <c r="J26" s="300"/>
      <c r="K26" s="299" t="s">
        <v>58</v>
      </c>
      <c r="L26" s="301"/>
    </row>
    <row r="27" spans="2:17" x14ac:dyDescent="0.25">
      <c r="B27" s="320"/>
      <c r="C27" s="320"/>
      <c r="D27" s="321"/>
      <c r="E27" s="326"/>
      <c r="F27" s="32" t="s">
        <v>65</v>
      </c>
      <c r="G27" s="32" t="s">
        <v>66</v>
      </c>
      <c r="H27" s="32" t="s">
        <v>65</v>
      </c>
      <c r="I27" s="91"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="B28" s="21"/>
      <c r="C28" s="21" t="s">
        <v>48</v>
      </c>
      <c r="D28" s="47" t="s">
        <v>49</v>
      </c>
      <c r="E28" s="37">
        <f>10-H28-K28-F28</f>
        <v>10</v>
      </c>
      <c r="F28" s="35">
        <v>0</v>
      </c>
      <c r="G28" s="38">
        <f>F28-(F28/10)</f>
        <v>0</v>
      </c>
      <c r="H28" s="35">
        <v>0</v>
      </c>
      <c r="I28" s="41"/>
      <c r="J28" s="38">
        <f>H28-(H28/1)</f>
        <v>0</v>
      </c>
      <c r="K28" s="39">
        <v>0</v>
      </c>
      <c r="L28" s="40">
        <f>K28/403200</f>
        <v>0</v>
      </c>
    </row>
    <row r="29" spans="2:17" x14ac:dyDescent="0.25">
      <c r="B29" s="328" t="s">
        <v>75</v>
      </c>
      <c r="C29" s="328"/>
      <c r="D29" s="328"/>
      <c r="E29" s="329">
        <f>(E28+F28+H28+K28)-(F28+G28)-(H28+J28)+(K28+L28)</f>
        <v>10</v>
      </c>
      <c r="F29" s="330"/>
      <c r="G29" s="330"/>
      <c r="H29" s="330"/>
      <c r="I29" s="330"/>
      <c r="J29" s="330"/>
      <c r="K29" s="330"/>
      <c r="L29" s="330"/>
    </row>
    <row r="31" spans="2:17" ht="15.75" thickBot="1" x14ac:dyDescent="0.3">
      <c r="B31" s="29" t="s">
        <v>90</v>
      </c>
      <c r="K31" s="45"/>
      <c r="L31" s="45"/>
    </row>
    <row r="32" spans="2:17" x14ac:dyDescent="0.25">
      <c r="B32" s="320" t="s">
        <v>38</v>
      </c>
      <c r="C32" s="320" t="s">
        <v>39</v>
      </c>
      <c r="D32" s="321" t="s">
        <v>1</v>
      </c>
      <c r="E32" s="322" t="s">
        <v>53</v>
      </c>
      <c r="F32" s="323"/>
      <c r="G32" s="323"/>
      <c r="H32" s="323"/>
      <c r="I32" s="323"/>
      <c r="J32" s="323"/>
      <c r="K32" s="323"/>
      <c r="L32" s="324"/>
    </row>
    <row r="33" spans="2:14" x14ac:dyDescent="0.25">
      <c r="B33" s="320"/>
      <c r="C33" s="320"/>
      <c r="D33" s="321"/>
      <c r="E33" s="325" t="s">
        <v>55</v>
      </c>
      <c r="F33" s="299" t="s">
        <v>56</v>
      </c>
      <c r="G33" s="300"/>
      <c r="H33" s="299" t="s">
        <v>89</v>
      </c>
      <c r="I33" s="327"/>
      <c r="J33" s="300"/>
      <c r="K33" s="299" t="s">
        <v>58</v>
      </c>
      <c r="L33" s="301"/>
      <c r="N33" s="3" t="s">
        <v>91</v>
      </c>
    </row>
    <row r="34" spans="2:14" x14ac:dyDescent="0.25">
      <c r="B34" s="320"/>
      <c r="C34" s="320"/>
      <c r="D34" s="321"/>
      <c r="E34" s="326"/>
      <c r="F34" s="32" t="s">
        <v>65</v>
      </c>
      <c r="G34" s="32" t="s">
        <v>66</v>
      </c>
      <c r="H34" s="32" t="s">
        <v>65</v>
      </c>
      <c r="I34" s="91"/>
      <c r="J34" s="31" t="s">
        <v>67</v>
      </c>
      <c r="K34" s="31" t="s">
        <v>65</v>
      </c>
      <c r="L34" s="33" t="s">
        <v>68</v>
      </c>
      <c r="N34" s="3" t="s">
        <v>92</v>
      </c>
    </row>
    <row r="35" spans="2:14" ht="15.75" thickBot="1" x14ac:dyDescent="0.3">
      <c r="B35" s="21"/>
      <c r="C35" s="21" t="s">
        <v>48</v>
      </c>
      <c r="D35" s="47" t="s">
        <v>49</v>
      </c>
      <c r="E35" s="37">
        <f>10-H35-K35-F35</f>
        <v>2</v>
      </c>
      <c r="F35" s="35">
        <v>8</v>
      </c>
      <c r="G35" s="38">
        <v>0</v>
      </c>
      <c r="H35" s="35">
        <v>0</v>
      </c>
      <c r="I35" s="41"/>
      <c r="J35" s="38">
        <f>H35-(H35/1)</f>
        <v>0</v>
      </c>
      <c r="K35" s="39">
        <v>0</v>
      </c>
      <c r="L35" s="40">
        <f>K35/403200</f>
        <v>0</v>
      </c>
    </row>
    <row r="36" spans="2:14" x14ac:dyDescent="0.25">
      <c r="B36" s="328" t="s">
        <v>75</v>
      </c>
      <c r="C36" s="328"/>
      <c r="D36" s="328"/>
      <c r="E36" s="329">
        <f>(E35+F35+H35+K35)-(F35+G35)-(H35+J35)+(K35+L35)</f>
        <v>2</v>
      </c>
      <c r="F36" s="330"/>
      <c r="G36" s="330"/>
      <c r="H36" s="330"/>
      <c r="I36" s="330"/>
      <c r="J36" s="330"/>
      <c r="K36" s="330"/>
      <c r="L36" s="330"/>
    </row>
    <row r="38" spans="2:14" ht="15.75" thickBot="1" x14ac:dyDescent="0.3">
      <c r="B38" s="29" t="s">
        <v>93</v>
      </c>
      <c r="K38" s="45"/>
      <c r="L38" s="45"/>
    </row>
    <row r="39" spans="2:14" x14ac:dyDescent="0.25">
      <c r="B39" s="320" t="s">
        <v>38</v>
      </c>
      <c r="C39" s="320" t="s">
        <v>39</v>
      </c>
      <c r="D39" s="321" t="s">
        <v>1</v>
      </c>
      <c r="E39" s="322" t="s">
        <v>53</v>
      </c>
      <c r="F39" s="323"/>
      <c r="G39" s="323"/>
      <c r="H39" s="323"/>
      <c r="I39" s="323"/>
      <c r="J39" s="323"/>
      <c r="K39" s="323"/>
      <c r="L39" s="324"/>
    </row>
    <row r="40" spans="2:14" x14ac:dyDescent="0.25">
      <c r="B40" s="320"/>
      <c r="C40" s="320"/>
      <c r="D40" s="321"/>
      <c r="E40" s="325" t="s">
        <v>55</v>
      </c>
      <c r="F40" s="299" t="s">
        <v>56</v>
      </c>
      <c r="G40" s="300"/>
      <c r="H40" s="299" t="s">
        <v>89</v>
      </c>
      <c r="I40" s="327"/>
      <c r="J40" s="300"/>
      <c r="K40" s="299" t="s">
        <v>58</v>
      </c>
      <c r="L40" s="301"/>
      <c r="N40" s="3" t="s">
        <v>94</v>
      </c>
    </row>
    <row r="41" spans="2:14" x14ac:dyDescent="0.25">
      <c r="B41" s="320"/>
      <c r="C41" s="320"/>
      <c r="D41" s="321"/>
      <c r="E41" s="326"/>
      <c r="F41" s="32" t="s">
        <v>65</v>
      </c>
      <c r="G41" s="32" t="s">
        <v>66</v>
      </c>
      <c r="H41" s="32" t="s">
        <v>65</v>
      </c>
      <c r="I41" s="91"/>
      <c r="J41" s="31" t="s">
        <v>67</v>
      </c>
      <c r="K41" s="31" t="s">
        <v>65</v>
      </c>
      <c r="L41" s="33" t="s">
        <v>68</v>
      </c>
      <c r="N41" s="3" t="s">
        <v>95</v>
      </c>
    </row>
    <row r="42" spans="2:14" ht="15.75" thickBot="1" x14ac:dyDescent="0.3">
      <c r="B42" s="21"/>
      <c r="C42" s="21" t="s">
        <v>48</v>
      </c>
      <c r="D42" s="47" t="s">
        <v>49</v>
      </c>
      <c r="E42" s="37">
        <f>10-H42-K42-F42</f>
        <v>8</v>
      </c>
      <c r="F42" s="35">
        <v>1</v>
      </c>
      <c r="G42" s="38">
        <f>F42-(F42/10)</f>
        <v>0.9</v>
      </c>
      <c r="H42" s="35">
        <v>1</v>
      </c>
      <c r="I42" s="41"/>
      <c r="J42" s="38">
        <f>H42-(H42/1)</f>
        <v>0</v>
      </c>
      <c r="K42" s="39">
        <v>0</v>
      </c>
      <c r="L42" s="40">
        <f>K42/403200</f>
        <v>0</v>
      </c>
    </row>
    <row r="43" spans="2:14" x14ac:dyDescent="0.25">
      <c r="B43" s="328" t="s">
        <v>75</v>
      </c>
      <c r="C43" s="328"/>
      <c r="D43" s="328"/>
      <c r="E43" s="329">
        <f>(E42+F42+H42+K42)-(F42+G42)-(H42+J42)+(K42+L42)</f>
        <v>7.1</v>
      </c>
      <c r="F43" s="330"/>
      <c r="G43" s="330"/>
      <c r="H43" s="330"/>
      <c r="I43" s="330"/>
      <c r="J43" s="330"/>
      <c r="K43" s="330"/>
      <c r="L43" s="330"/>
    </row>
  </sheetData>
  <mergeCells count="49">
    <mergeCell ref="B43:D43"/>
    <mergeCell ref="E43:L43"/>
    <mergeCell ref="B2:R2"/>
    <mergeCell ref="B36:D36"/>
    <mergeCell ref="E36:L36"/>
    <mergeCell ref="B39:B41"/>
    <mergeCell ref="C39:C41"/>
    <mergeCell ref="D39:D41"/>
    <mergeCell ref="E39:L39"/>
    <mergeCell ref="E40:E41"/>
    <mergeCell ref="F40:G40"/>
    <mergeCell ref="H40:J40"/>
    <mergeCell ref="K40:L40"/>
    <mergeCell ref="B29:D29"/>
    <mergeCell ref="E29:L29"/>
    <mergeCell ref="B32:B34"/>
    <mergeCell ref="C32:C34"/>
    <mergeCell ref="D32:D34"/>
    <mergeCell ref="E32:L32"/>
    <mergeCell ref="E33:E34"/>
    <mergeCell ref="F33:G33"/>
    <mergeCell ref="H33:J33"/>
    <mergeCell ref="K33:L33"/>
    <mergeCell ref="B25:B27"/>
    <mergeCell ref="C25:C27"/>
    <mergeCell ref="D25:D27"/>
    <mergeCell ref="E25:L25"/>
    <mergeCell ref="E26:E27"/>
    <mergeCell ref="F26:G26"/>
    <mergeCell ref="H26:J26"/>
    <mergeCell ref="K26:L26"/>
    <mergeCell ref="B21:L22"/>
    <mergeCell ref="B6:B8"/>
    <mergeCell ref="C6:C8"/>
    <mergeCell ref="D6:D8"/>
    <mergeCell ref="J6:P6"/>
    <mergeCell ref="B10:D10"/>
    <mergeCell ref="J10:P10"/>
    <mergeCell ref="B13:L14"/>
    <mergeCell ref="E6:E8"/>
    <mergeCell ref="F6:F8"/>
    <mergeCell ref="G6:G8"/>
    <mergeCell ref="I6:I8"/>
    <mergeCell ref="H6:H8"/>
    <mergeCell ref="Q6:R6"/>
    <mergeCell ref="J7:J8"/>
    <mergeCell ref="K7:L7"/>
    <mergeCell ref="M7:N7"/>
    <mergeCell ref="O7:P7"/>
  </mergeCells>
  <pageMargins left="0.7" right="0.7" top="0.75" bottom="0.75" header="0.3" footer="0.3"/>
  <pageSetup paperSize="8" scale="9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Aktivitas</vt:lpstr>
      <vt:lpstr>Data Emosi</vt:lpstr>
      <vt:lpstr>Data Fisiologi</vt:lpstr>
      <vt:lpstr>Data Fisik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cp:lastPrinted>2021-03-29T11:37:07Z</cp:lastPrinted>
  <dcterms:created xsi:type="dcterms:W3CDTF">2021-03-29T09:53:50Z</dcterms:created>
  <dcterms:modified xsi:type="dcterms:W3CDTF">2021-09-24T02:55:41Z</dcterms:modified>
</cp:coreProperties>
</file>