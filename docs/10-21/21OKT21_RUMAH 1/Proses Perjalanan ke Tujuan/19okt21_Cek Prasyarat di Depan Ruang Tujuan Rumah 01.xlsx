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Rumah 01\"/>
    </mc:Choice>
  </mc:AlternateContent>
  <xr:revisionPtr revIDLastSave="0" documentId="13_ncr:1_{2B61F7E3-0476-4780-9D1B-816DBA63CD5A}" xr6:coauthVersionLast="47" xr6:coauthVersionMax="47" xr10:uidLastSave="{00000000-0000-0000-0000-000000000000}"/>
  <bookViews>
    <workbookView xWindow="9885" yWindow="1605" windowWidth="10725" windowHeight="6000" xr2:uid="{00000000-000D-0000-FFFF-FFFF00000000}"/>
  </bookViews>
  <sheets>
    <sheet name="Prasyarat 3-Agen di depan ruang" sheetId="1" r:id="rId1"/>
    <sheet name="Aktivitas Pendukung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0" i="1" l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252" i="1"/>
  <c r="J251" i="1"/>
  <c r="J250" i="1"/>
  <c r="J252" i="1"/>
  <c r="K251" i="1"/>
  <c r="K250" i="1"/>
  <c r="K247" i="1"/>
  <c r="K248" i="1"/>
  <c r="J248" i="1"/>
  <c r="K246" i="1"/>
  <c r="J245" i="1"/>
  <c r="K244" i="1"/>
  <c r="J244" i="1"/>
  <c r="K243" i="1"/>
  <c r="J243" i="1"/>
  <c r="K242" i="1"/>
  <c r="J242" i="1"/>
  <c r="K241" i="1"/>
  <c r="J241" i="1"/>
  <c r="K240" i="1"/>
  <c r="J240" i="1"/>
  <c r="K239" i="1"/>
  <c r="J239" i="1"/>
  <c r="K238" i="1"/>
  <c r="J238" i="1"/>
  <c r="K237" i="1"/>
  <c r="J237" i="1"/>
  <c r="K236" i="1"/>
  <c r="J236" i="1"/>
  <c r="J172" i="1"/>
  <c r="J171" i="1"/>
  <c r="K143" i="1"/>
  <c r="J143" i="1"/>
  <c r="J115" i="1"/>
  <c r="J137" i="1"/>
  <c r="J119" i="1"/>
  <c r="K77" i="1"/>
  <c r="J78" i="1"/>
  <c r="J77" i="1"/>
  <c r="K78" i="1"/>
  <c r="J187" i="1"/>
  <c r="J188" i="1"/>
  <c r="K188" i="1"/>
  <c r="K187" i="1"/>
  <c r="J50" i="1"/>
  <c r="J49" i="1"/>
  <c r="J48" i="1"/>
  <c r="K50" i="1"/>
  <c r="K49" i="1"/>
  <c r="K48" i="1"/>
  <c r="K47" i="1"/>
  <c r="J47" i="1"/>
  <c r="K46" i="1"/>
  <c r="J46" i="1"/>
  <c r="K45" i="1"/>
  <c r="J45" i="1"/>
  <c r="K44" i="1"/>
  <c r="J44" i="1"/>
  <c r="K19" i="1" l="1"/>
  <c r="J19" i="1"/>
  <c r="K211" i="1"/>
  <c r="J183" i="1"/>
  <c r="K183" i="1"/>
  <c r="J211" i="1"/>
  <c r="K223" i="1"/>
  <c r="K221" i="1"/>
  <c r="K219" i="1"/>
  <c r="K217" i="1"/>
  <c r="K194" i="1"/>
  <c r="K190" i="1"/>
  <c r="K170" i="1"/>
  <c r="K165" i="1"/>
  <c r="K161" i="1"/>
  <c r="K155" i="1"/>
  <c r="K151" i="1"/>
  <c r="K149" i="1"/>
  <c r="K123" i="1"/>
  <c r="K121" i="1"/>
  <c r="K118" i="1"/>
  <c r="K108" i="1"/>
  <c r="K103" i="1"/>
  <c r="K97" i="1"/>
  <c r="K88" i="1"/>
  <c r="K79" i="1"/>
  <c r="K75" i="1"/>
  <c r="K66" i="1"/>
  <c r="K63" i="1"/>
  <c r="K53" i="1"/>
  <c r="K42" i="1"/>
  <c r="K16" i="1"/>
  <c r="K22" i="1"/>
  <c r="K25" i="1"/>
  <c r="K28" i="1"/>
  <c r="K31" i="1"/>
  <c r="J223" i="1"/>
  <c r="K222" i="1"/>
  <c r="J222" i="1"/>
  <c r="J221" i="1"/>
  <c r="J219" i="1"/>
  <c r="J217" i="1"/>
  <c r="J161" i="1"/>
  <c r="J20" i="1"/>
  <c r="J253" i="1"/>
  <c r="K249" i="1"/>
  <c r="J234" i="1"/>
  <c r="J233" i="1"/>
  <c r="K227" i="1"/>
  <c r="J227" i="1"/>
  <c r="K216" i="1"/>
  <c r="J216" i="1"/>
  <c r="K218" i="1"/>
  <c r="J218" i="1"/>
  <c r="J220" i="1"/>
  <c r="K215" i="1"/>
  <c r="K203" i="1"/>
  <c r="J194" i="1"/>
  <c r="J184" i="1"/>
  <c r="J182" i="1"/>
  <c r="K181" i="1"/>
  <c r="K180" i="1"/>
  <c r="K178" i="1"/>
  <c r="K177" i="1"/>
  <c r="J167" i="1"/>
  <c r="J150" i="1"/>
  <c r="J148" i="1"/>
  <c r="K147" i="1"/>
  <c r="J147" i="1"/>
  <c r="K146" i="1"/>
  <c r="J146" i="1"/>
  <c r="K145" i="1"/>
  <c r="J145" i="1"/>
  <c r="K144" i="1"/>
  <c r="J144" i="1"/>
  <c r="K142" i="1"/>
  <c r="J142" i="1"/>
  <c r="K141" i="1"/>
  <c r="J141" i="1"/>
  <c r="K140" i="1"/>
  <c r="J140" i="1"/>
  <c r="K139" i="1"/>
  <c r="J139" i="1"/>
  <c r="K138" i="1"/>
  <c r="J138" i="1"/>
  <c r="K129" i="1"/>
  <c r="J83" i="1"/>
  <c r="J80" i="1"/>
  <c r="J58" i="1"/>
  <c r="J55" i="1"/>
  <c r="J15" i="1"/>
  <c r="J224" i="1"/>
  <c r="K210" i="1"/>
  <c r="J195" i="1"/>
  <c r="K235" i="1"/>
  <c r="J235" i="1"/>
  <c r="K229" i="1"/>
  <c r="J101" i="1"/>
  <c r="K101" i="1"/>
  <c r="J175" i="1"/>
  <c r="K175" i="1"/>
  <c r="K196" i="1"/>
  <c r="J196" i="1"/>
  <c r="K226" i="1"/>
  <c r="J226" i="1"/>
  <c r="J125" i="1"/>
  <c r="J152" i="1"/>
  <c r="J51" i="1"/>
  <c r="K253" i="1"/>
  <c r="J249" i="1"/>
  <c r="K245" i="1"/>
  <c r="K233" i="1"/>
  <c r="K231" i="1"/>
  <c r="J231" i="1"/>
  <c r="K224" i="1"/>
  <c r="K220" i="1"/>
  <c r="J215" i="1"/>
  <c r="J213" i="1"/>
  <c r="K213" i="1"/>
  <c r="K212" i="1"/>
  <c r="K207" i="1"/>
  <c r="K204" i="1"/>
  <c r="K200" i="1"/>
  <c r="K197" i="1"/>
  <c r="K193" i="1"/>
  <c r="J192" i="1"/>
  <c r="K189" i="1"/>
  <c r="K184" i="1"/>
  <c r="K179" i="1"/>
  <c r="K173" i="1"/>
  <c r="K171" i="1"/>
  <c r="K169" i="1"/>
  <c r="K164" i="1"/>
  <c r="K160" i="1"/>
  <c r="K156" i="1"/>
  <c r="K154" i="1"/>
  <c r="K150" i="1"/>
  <c r="K148" i="1"/>
  <c r="K135" i="1"/>
  <c r="K131" i="1"/>
  <c r="K127" i="1"/>
  <c r="K122" i="1"/>
  <c r="K119" i="1"/>
  <c r="K116" i="1"/>
  <c r="K113" i="1"/>
  <c r="J109" i="1"/>
  <c r="K109" i="1"/>
  <c r="K102" i="1"/>
  <c r="K99" i="1"/>
  <c r="K96" i="1"/>
  <c r="K94" i="1"/>
  <c r="K92" i="1"/>
  <c r="K90" i="1"/>
  <c r="K87" i="1"/>
  <c r="K85" i="1"/>
  <c r="K83" i="1"/>
  <c r="K80" i="1"/>
  <c r="K74" i="1"/>
  <c r="K72" i="1"/>
  <c r="K70" i="1"/>
  <c r="K68" i="1"/>
  <c r="K65" i="1"/>
  <c r="K62" i="1"/>
  <c r="K60" i="1"/>
  <c r="K58" i="1"/>
  <c r="K55" i="1"/>
  <c r="K41" i="1"/>
  <c r="K30" i="1"/>
  <c r="K27" i="1"/>
  <c r="K24" i="1"/>
  <c r="K21" i="1"/>
  <c r="K20" i="1"/>
  <c r="K13" i="1"/>
  <c r="K10" i="1"/>
  <c r="K7" i="1"/>
  <c r="K3" i="1"/>
  <c r="J60" i="1"/>
  <c r="J3" i="1"/>
  <c r="J4" i="1"/>
  <c r="K4" i="1"/>
  <c r="J5" i="1"/>
  <c r="K5" i="1"/>
  <c r="J6" i="1"/>
  <c r="K6" i="1"/>
  <c r="J7" i="1"/>
  <c r="J8" i="1"/>
  <c r="K8" i="1"/>
  <c r="J9" i="1"/>
  <c r="K9" i="1"/>
  <c r="J10" i="1"/>
  <c r="J11" i="1"/>
  <c r="K11" i="1"/>
  <c r="J12" i="1"/>
  <c r="K12" i="1"/>
  <c r="J13" i="1"/>
  <c r="J14" i="1"/>
  <c r="K14" i="1"/>
  <c r="K15" i="1"/>
  <c r="J16" i="1"/>
  <c r="J17" i="1"/>
  <c r="K17" i="1"/>
  <c r="J18" i="1"/>
  <c r="K18" i="1"/>
  <c r="J21" i="1"/>
  <c r="J22" i="1"/>
  <c r="J23" i="1"/>
  <c r="K23" i="1"/>
  <c r="J24" i="1"/>
  <c r="J25" i="1"/>
  <c r="J26" i="1"/>
  <c r="K26" i="1"/>
  <c r="J27" i="1"/>
  <c r="J28" i="1"/>
  <c r="J29" i="1"/>
  <c r="K29" i="1"/>
  <c r="J30" i="1"/>
  <c r="J31" i="1"/>
  <c r="J32" i="1"/>
  <c r="K32" i="1"/>
  <c r="J41" i="1"/>
  <c r="J42" i="1"/>
  <c r="J43" i="1"/>
  <c r="K43" i="1"/>
  <c r="K51" i="1"/>
  <c r="J52" i="1"/>
  <c r="K52" i="1"/>
  <c r="J53" i="1"/>
  <c r="J54" i="1"/>
  <c r="K54" i="1"/>
  <c r="J56" i="1"/>
  <c r="K56" i="1"/>
  <c r="J57" i="1"/>
  <c r="K57" i="1"/>
  <c r="J59" i="1"/>
  <c r="K59" i="1"/>
  <c r="J61" i="1"/>
  <c r="K61" i="1"/>
  <c r="J62" i="1"/>
  <c r="J63" i="1"/>
  <c r="J64" i="1"/>
  <c r="K64" i="1"/>
  <c r="J65" i="1"/>
  <c r="J66" i="1"/>
  <c r="J67" i="1"/>
  <c r="K67" i="1"/>
  <c r="J68" i="1"/>
  <c r="J69" i="1"/>
  <c r="K69" i="1"/>
  <c r="J70" i="1"/>
  <c r="J71" i="1"/>
  <c r="K71" i="1"/>
  <c r="J72" i="1"/>
  <c r="J73" i="1"/>
  <c r="K73" i="1"/>
  <c r="J74" i="1"/>
  <c r="J75" i="1"/>
  <c r="J76" i="1"/>
  <c r="K76" i="1"/>
  <c r="J79" i="1"/>
  <c r="J81" i="1"/>
  <c r="K81" i="1"/>
  <c r="J82" i="1"/>
  <c r="K82" i="1"/>
  <c r="J84" i="1"/>
  <c r="K84" i="1"/>
  <c r="J85" i="1"/>
  <c r="J86" i="1"/>
  <c r="K86" i="1"/>
  <c r="J87" i="1"/>
  <c r="J88" i="1"/>
  <c r="J89" i="1"/>
  <c r="K89" i="1"/>
  <c r="J90" i="1"/>
  <c r="J91" i="1"/>
  <c r="K91" i="1"/>
  <c r="J92" i="1"/>
  <c r="J93" i="1"/>
  <c r="K93" i="1"/>
  <c r="J94" i="1"/>
  <c r="J95" i="1"/>
  <c r="K95" i="1"/>
  <c r="J96" i="1"/>
  <c r="J97" i="1"/>
  <c r="J98" i="1"/>
  <c r="K98" i="1"/>
  <c r="J99" i="1"/>
  <c r="J100" i="1"/>
  <c r="K100" i="1"/>
  <c r="J102" i="1"/>
  <c r="J103" i="1"/>
  <c r="J104" i="1"/>
  <c r="K104" i="1"/>
  <c r="J105" i="1"/>
  <c r="K105" i="1"/>
  <c r="J106" i="1"/>
  <c r="K106" i="1"/>
  <c r="J107" i="1"/>
  <c r="K107" i="1"/>
  <c r="J108" i="1"/>
  <c r="J110" i="1"/>
  <c r="K110" i="1"/>
  <c r="J111" i="1"/>
  <c r="K111" i="1"/>
  <c r="J112" i="1"/>
  <c r="K112" i="1"/>
  <c r="J113" i="1"/>
  <c r="J114" i="1"/>
  <c r="K114" i="1"/>
  <c r="K115" i="1"/>
  <c r="J116" i="1"/>
  <c r="J117" i="1"/>
  <c r="K117" i="1"/>
  <c r="J118" i="1"/>
  <c r="J120" i="1"/>
  <c r="K120" i="1"/>
  <c r="J121" i="1"/>
  <c r="J122" i="1"/>
  <c r="J123" i="1"/>
  <c r="J124" i="1"/>
  <c r="K124" i="1"/>
  <c r="K125" i="1"/>
  <c r="J126" i="1"/>
  <c r="K126" i="1"/>
  <c r="J127" i="1"/>
  <c r="J128" i="1"/>
  <c r="K128" i="1"/>
  <c r="J129" i="1"/>
  <c r="J130" i="1"/>
  <c r="K130" i="1"/>
  <c r="J131" i="1"/>
  <c r="J132" i="1"/>
  <c r="K132" i="1"/>
  <c r="J133" i="1"/>
  <c r="K133" i="1"/>
  <c r="J134" i="1"/>
  <c r="K134" i="1"/>
  <c r="J135" i="1"/>
  <c r="J136" i="1"/>
  <c r="K136" i="1"/>
  <c r="K137" i="1"/>
  <c r="J149" i="1"/>
  <c r="J151" i="1"/>
  <c r="K152" i="1"/>
  <c r="J153" i="1"/>
  <c r="K153" i="1"/>
  <c r="J154" i="1"/>
  <c r="J155" i="1"/>
  <c r="J156" i="1"/>
  <c r="J157" i="1"/>
  <c r="K157" i="1"/>
  <c r="J158" i="1"/>
  <c r="K158" i="1"/>
  <c r="J159" i="1"/>
  <c r="K159" i="1"/>
  <c r="J160" i="1"/>
  <c r="J162" i="1"/>
  <c r="K162" i="1"/>
  <c r="J163" i="1"/>
  <c r="K163" i="1"/>
  <c r="J164" i="1"/>
  <c r="J165" i="1"/>
  <c r="J166" i="1"/>
  <c r="K166" i="1"/>
  <c r="J168" i="1"/>
  <c r="K168" i="1"/>
  <c r="K167" i="1"/>
  <c r="J169" i="1"/>
  <c r="J170" i="1"/>
  <c r="K172" i="1"/>
  <c r="J173" i="1"/>
  <c r="J174" i="1"/>
  <c r="K174" i="1"/>
  <c r="J177" i="1"/>
  <c r="J178" i="1"/>
  <c r="J176" i="1"/>
  <c r="K176" i="1"/>
  <c r="J179" i="1"/>
  <c r="J180" i="1"/>
  <c r="J181" i="1"/>
  <c r="K182" i="1"/>
  <c r="J185" i="1"/>
  <c r="K185" i="1"/>
  <c r="J186" i="1"/>
  <c r="K186" i="1"/>
  <c r="J189" i="1"/>
  <c r="J190" i="1"/>
  <c r="J191" i="1"/>
  <c r="K191" i="1"/>
  <c r="K192" i="1"/>
  <c r="J193" i="1"/>
  <c r="K195" i="1"/>
  <c r="J197" i="1"/>
  <c r="J198" i="1"/>
  <c r="K198" i="1"/>
  <c r="J199" i="1"/>
  <c r="K199" i="1"/>
  <c r="J200" i="1"/>
  <c r="J201" i="1"/>
  <c r="K201" i="1"/>
  <c r="J202" i="1"/>
  <c r="K202" i="1"/>
  <c r="J203" i="1"/>
  <c r="J204" i="1"/>
  <c r="J205" i="1"/>
  <c r="K205" i="1"/>
  <c r="J206" i="1"/>
  <c r="K206" i="1"/>
  <c r="J207" i="1"/>
  <c r="J208" i="1"/>
  <c r="K208" i="1"/>
  <c r="J209" i="1"/>
  <c r="K209" i="1"/>
  <c r="J210" i="1"/>
  <c r="J212" i="1"/>
  <c r="J214" i="1"/>
  <c r="K214" i="1"/>
  <c r="J225" i="1"/>
  <c r="K225" i="1"/>
  <c r="J228" i="1"/>
  <c r="K228" i="1"/>
  <c r="J229" i="1"/>
  <c r="J230" i="1"/>
  <c r="K230" i="1"/>
  <c r="J232" i="1"/>
  <c r="K232" i="1"/>
  <c r="K234" i="1"/>
  <c r="J246" i="1"/>
  <c r="J247" i="1"/>
  <c r="J254" i="1"/>
  <c r="K254" i="1"/>
  <c r="J255" i="1"/>
  <c r="K255" i="1"/>
</calcChain>
</file>

<file path=xl/sharedStrings.xml><?xml version="1.0" encoding="utf-8"?>
<sst xmlns="http://schemas.openxmlformats.org/spreadsheetml/2006/main" count="1279" uniqueCount="351">
  <si>
    <t>Kondisi Terkini</t>
  </si>
  <si>
    <t>Batas</t>
  </si>
  <si>
    <t>APST</t>
  </si>
  <si>
    <t>Objek</t>
  </si>
  <si>
    <t>Kode</t>
  </si>
  <si>
    <t>Pintu</t>
  </si>
  <si>
    <t>Terbuka</t>
  </si>
  <si>
    <t>Kursi</t>
  </si>
  <si>
    <t>Kosong</t>
  </si>
  <si>
    <t>Terisi</t>
  </si>
  <si>
    <t>Aktivitas Utama</t>
  </si>
  <si>
    <t>Nama Ruang</t>
  </si>
  <si>
    <t>Prasyarat</t>
  </si>
  <si>
    <t>Keterangan</t>
  </si>
  <si>
    <t>Cek cahaya</t>
  </si>
  <si>
    <t>Ada</t>
  </si>
  <si>
    <t>Tidak Ada</t>
  </si>
  <si>
    <t>RDP01</t>
  </si>
  <si>
    <t>RHD01</t>
  </si>
  <si>
    <t>Mati</t>
  </si>
  <si>
    <t>Cek sumber daya</t>
  </si>
  <si>
    <t>Lampu</t>
  </si>
  <si>
    <t xml:space="preserve">Tujuan IF terpenuhi </t>
  </si>
  <si>
    <t xml:space="preserve">Tujuan IF tidak terpenuhi </t>
  </si>
  <si>
    <t>RKG01</t>
  </si>
  <si>
    <t>Sofa</t>
  </si>
  <si>
    <t>Makan</t>
  </si>
  <si>
    <t>Minum</t>
  </si>
  <si>
    <t>Cek device</t>
  </si>
  <si>
    <t>Tidur</t>
  </si>
  <si>
    <t>RTU01</t>
  </si>
  <si>
    <t>Tempat tidur</t>
  </si>
  <si>
    <t>BAK</t>
  </si>
  <si>
    <t>Terkunci</t>
  </si>
  <si>
    <t>BAB</t>
  </si>
  <si>
    <t>Mandi</t>
  </si>
  <si>
    <t>Menyapu Ruang Keluarga</t>
  </si>
  <si>
    <t>Menyapu Ruang Tamu</t>
  </si>
  <si>
    <t>RTM01</t>
  </si>
  <si>
    <t>Menyapu Teras</t>
  </si>
  <si>
    <t>RTS01</t>
  </si>
  <si>
    <t>Mengepel Ruang Keluarga</t>
  </si>
  <si>
    <t>Mengepel Ruang Tamu</t>
  </si>
  <si>
    <t>Mengepel Teras</t>
  </si>
  <si>
    <t>Menyapu Ruang Tidur Utama 1</t>
  </si>
  <si>
    <t>Menyapu Ruang Tidur Utama 2</t>
  </si>
  <si>
    <t>RTU02</t>
  </si>
  <si>
    <t>Mengepel Ruang Tidur Utama 1</t>
  </si>
  <si>
    <t>Mengepel Ruang Tidur Utama 2</t>
  </si>
  <si>
    <t>Hidup</t>
  </si>
  <si>
    <t>Gas</t>
  </si>
  <si>
    <t>Belanja</t>
  </si>
  <si>
    <t>Mesin cuci</t>
  </si>
  <si>
    <t>Menyetrika pakaian</t>
  </si>
  <si>
    <t>Setrika</t>
  </si>
  <si>
    <t>Membaca</t>
  </si>
  <si>
    <t>Bersantai</t>
  </si>
  <si>
    <t>Cek agen</t>
  </si>
  <si>
    <t>Makanan</t>
  </si>
  <si>
    <t>Air minum</t>
  </si>
  <si>
    <t>Jumlah &amp; status</t>
  </si>
  <si>
    <t>Air</t>
  </si>
  <si>
    <t>Kompor</t>
  </si>
  <si>
    <t>TV</t>
  </si>
  <si>
    <t>Kipas Angin</t>
  </si>
  <si>
    <t>Asumsi alat kebersihan selalu tersedia</t>
  </si>
  <si>
    <t>batal = cek aktivitas urut 2</t>
  </si>
  <si>
    <t>Jumlah &amp; Status Agen</t>
  </si>
  <si>
    <r>
      <t xml:space="preserve">Cek cahaya </t>
    </r>
    <r>
      <rPr>
        <i/>
        <sz val="11"/>
        <color rgb="FFFF0000"/>
        <rFont val="Calibri"/>
        <family val="2"/>
        <scheme val="minor"/>
      </rPr>
      <t>(i)</t>
    </r>
  </si>
  <si>
    <r>
      <t xml:space="preserve">Cek device </t>
    </r>
    <r>
      <rPr>
        <i/>
        <sz val="11"/>
        <color rgb="FFFF0000"/>
        <rFont val="Calibri"/>
        <family val="2"/>
        <scheme val="minor"/>
      </rPr>
      <t>(ii)</t>
    </r>
  </si>
  <si>
    <t>Rumus</t>
  </si>
  <si>
    <t>Asumsi kondisi peralatan listrik baik, dan tidak ada mati listrik, sehingga tidak ada batal karena listrik</t>
  </si>
  <si>
    <t xml:space="preserve">Cek agen </t>
  </si>
  <si>
    <t>IF Kondisi terkini&lt;Batas (0.5),"RTU01","Batal"</t>
  </si>
  <si>
    <t>IF Kondisi terkini (Tempat tidur)=Batas (Kosong),"Tempat tidur","Batal"</t>
  </si>
  <si>
    <t>IF Kondisi terkini (Pintu)=Batas (Terbuka),"Bak mandi","Batal"</t>
  </si>
  <si>
    <t>IF Kondisi terkini (Pintu)=Batas (Terbuka),"RTU01","Batal"</t>
  </si>
  <si>
    <t>IF Kondisi terkini&lt;=Batas (0),"Pintu","Batal"</t>
  </si>
  <si>
    <t>IF Kondisi terkini&lt;Batas (0.2),"RTU01","Batal"</t>
  </si>
  <si>
    <t>IF Kondisi terkini (Pintu)=Batas (Terbuka),"RTU02","Batal"</t>
  </si>
  <si>
    <t>***Mematikan lampu hanya jika di ruang tidak ada agen lain</t>
  </si>
  <si>
    <t>IF Kondisi terkini&lt;Batas (0.5),"Tempat sampah","Batal"</t>
  </si>
  <si>
    <t>IF Kondisi terkini (Pintu)=Batas (Terbuka),"RHD01","Batal"</t>
  </si>
  <si>
    <t>IF Kondisi terkini&lt;=Batas (1),"Kran air","Batal"</t>
  </si>
  <si>
    <t>IF Kondisi terkini=Batas (Ada),"Kompor","Batal"</t>
  </si>
  <si>
    <t>IF Kondisi terkini&lt;=Batas (2),"Bak cuci piring","Batal"</t>
  </si>
  <si>
    <t>B3</t>
  </si>
  <si>
    <t>IF Kondisi terkini (Pintu)=Batas (Terbuka),"Pintu","Batal"</t>
  </si>
  <si>
    <t>IF Kondisi terkini&lt;=Batas (1),"Tempat tidur","Batal"</t>
  </si>
  <si>
    <t>IF Kondisi terkini (Sofa)=Batas (Kosong),"Sofa","RTM01"</t>
  </si>
  <si>
    <t>IF Kondisi terkini&lt;=Batas (0.6),"Sofa","RTM01"</t>
  </si>
  <si>
    <t>IF Kondisi terkini&lt;=Batas (0.4),"Sofa","Batal"</t>
  </si>
  <si>
    <t>IF Kondisi terkini (Sofa)=Batas (Kosong),"Sofa","Batal"</t>
  </si>
  <si>
    <t>IF Kondisi terkini (Sofa)=Batas (Kosong),"Sofa","RTU01"</t>
  </si>
  <si>
    <t>IF Kondisi terkini&lt;=Batas (1),"Sofa","RTU01"</t>
  </si>
  <si>
    <t>IF Kondisi terkini&lt;=Batas (0.4),"Tempat tidur","Batal"</t>
  </si>
  <si>
    <t>Pergi memasukan laundry</t>
  </si>
  <si>
    <t>Pergi mengambil laundry</t>
  </si>
  <si>
    <t>Berangkat kerja</t>
  </si>
  <si>
    <t>Agen berada di RTS01, cek lampu teras</t>
  </si>
  <si>
    <t>D2</t>
  </si>
  <si>
    <t>Asumsi alat kebersihan selalu tersedia atau dalam agen mengambil alat kebersihan di ruang lain, dan selama aktivitas bersih-bersih, peralatan selalu ada pada agen</t>
  </si>
  <si>
    <t>Bahan makanan</t>
  </si>
  <si>
    <t>Menghidupkan lampu garasi di sore hari</t>
  </si>
  <si>
    <t>Mematikan lampu garasi di pagi hari</t>
  </si>
  <si>
    <t>A4</t>
  </si>
  <si>
    <t>A8</t>
  </si>
  <si>
    <t>A10</t>
  </si>
  <si>
    <t>A12</t>
  </si>
  <si>
    <t>A15</t>
  </si>
  <si>
    <t>A16</t>
  </si>
  <si>
    <t>A18</t>
  </si>
  <si>
    <t>A19</t>
  </si>
  <si>
    <t>A20</t>
  </si>
  <si>
    <t>A21</t>
  </si>
  <si>
    <t>A25</t>
  </si>
  <si>
    <t>A26</t>
  </si>
  <si>
    <t>A36</t>
  </si>
  <si>
    <t>A43</t>
  </si>
  <si>
    <t>A44</t>
  </si>
  <si>
    <t>A65</t>
  </si>
  <si>
    <t>A70</t>
  </si>
  <si>
    <t>A72</t>
  </si>
  <si>
    <t>A74</t>
  </si>
  <si>
    <t>B2</t>
  </si>
  <si>
    <t>B4</t>
  </si>
  <si>
    <t>B5</t>
  </si>
  <si>
    <t>B6</t>
  </si>
  <si>
    <t>B7</t>
  </si>
  <si>
    <t>Mencuci baju konvensional</t>
  </si>
  <si>
    <t>Mencuci dengan mesin cuci</t>
  </si>
  <si>
    <t>Menjemur pakaian</t>
  </si>
  <si>
    <t>No</t>
  </si>
  <si>
    <t>L1</t>
  </si>
  <si>
    <t>A3</t>
  </si>
  <si>
    <t>L2</t>
  </si>
  <si>
    <t>Menghidupkan lampu</t>
  </si>
  <si>
    <t>RDP02</t>
  </si>
  <si>
    <t>IF Kondisi terkini (Kursi random)=Batas (Kosong),"Kursi (random)","RTM01"</t>
  </si>
  <si>
    <t>RBK01</t>
  </si>
  <si>
    <t>IF Kondisi terkini&lt;=Batas (2),"RBK01","Batal"</t>
  </si>
  <si>
    <t>RKM02</t>
  </si>
  <si>
    <t>IF Kondisi terkini (Pintu)=Batas (Terbuka),"Bak mandi","RKM03"</t>
  </si>
  <si>
    <t>RKM03</t>
  </si>
  <si>
    <t>Menyapu Ruang Kerja</t>
  </si>
  <si>
    <t>Menyapu Ruang Belakang</t>
  </si>
  <si>
    <t>Menyapu Dapur Kotor</t>
  </si>
  <si>
    <t>Menyapu Dapur Bersih</t>
  </si>
  <si>
    <t>Mengepel Ruang Kerja</t>
  </si>
  <si>
    <t>Mengepel Dapur Kotor</t>
  </si>
  <si>
    <t>Mengepel Dapur Bersih</t>
  </si>
  <si>
    <t>Memasak makan dengan rice cooker</t>
  </si>
  <si>
    <t>Membangunkan anak di pagi hari</t>
  </si>
  <si>
    <t>Membuat susu anak</t>
  </si>
  <si>
    <t>Membuang Sampah</t>
  </si>
  <si>
    <t>Membakar Sampah</t>
  </si>
  <si>
    <t>Membuat minuman herbal</t>
  </si>
  <si>
    <t>Menjahit</t>
  </si>
  <si>
    <t>Pergi jalan ke luar rumah di akhir pekan</t>
  </si>
  <si>
    <t>Mematikan rice cooker</t>
  </si>
  <si>
    <t>A5</t>
  </si>
  <si>
    <t>A6</t>
  </si>
  <si>
    <t>A7</t>
  </si>
  <si>
    <t>A9</t>
  </si>
  <si>
    <t>A11</t>
  </si>
  <si>
    <t>A13</t>
  </si>
  <si>
    <t>A14</t>
  </si>
  <si>
    <t>RKJ01</t>
  </si>
  <si>
    <t>A17</t>
  </si>
  <si>
    <t>Memasak makan pagi/ siang/ malam dengan kompor gas</t>
  </si>
  <si>
    <t>A24/A49/A63</t>
  </si>
  <si>
    <t>A27</t>
  </si>
  <si>
    <t>A28</t>
  </si>
  <si>
    <t>Memasak air untuk mandi pagi/ sore</t>
  </si>
  <si>
    <t>A29/A58</t>
  </si>
  <si>
    <t>Memandikan anak pagi/ sore</t>
  </si>
  <si>
    <t>A30/A59</t>
  </si>
  <si>
    <t>Menyuapi anak makan pagi/siang/malam</t>
  </si>
  <si>
    <t>Menyiram tanaman pagi/sore</t>
  </si>
  <si>
    <t>A34/A55</t>
  </si>
  <si>
    <t>A37/A38/A39/A40</t>
  </si>
  <si>
    <t>A41</t>
  </si>
  <si>
    <t>A42</t>
  </si>
  <si>
    <t>Menonton TV siang/malam</t>
  </si>
  <si>
    <t>A46/A66</t>
  </si>
  <si>
    <t>A57</t>
  </si>
  <si>
    <t>Mencuci piring dan alat masak pagi/siang/malam</t>
  </si>
  <si>
    <t>A76</t>
  </si>
  <si>
    <t>A77</t>
  </si>
  <si>
    <t>A61</t>
  </si>
  <si>
    <t>A33</t>
  </si>
  <si>
    <t>A79</t>
  </si>
  <si>
    <t>Menerima tamu</t>
  </si>
  <si>
    <t>IF Kondisi terkini=Batas (Kosong),"Sofa","Batal"</t>
  </si>
  <si>
    <t>IF Kondisi terkini&lt;=Batas (1),"RTM01","Batal"</t>
  </si>
  <si>
    <t>A78</t>
  </si>
  <si>
    <t>Mengoperasikan gadget</t>
  </si>
  <si>
    <t>A71</t>
  </si>
  <si>
    <t>Menyiapkan kasur &amp; karpet tidur</t>
  </si>
  <si>
    <t>Menggunakan printer</t>
  </si>
  <si>
    <t>Rice cooker</t>
  </si>
  <si>
    <t>IF Kondisi terkini&gt;Batas,"Printer","Batal")</t>
  </si>
  <si>
    <t>Printer</t>
  </si>
  <si>
    <t>A69</t>
  </si>
  <si>
    <t>Bekerja menggunakan komputer</t>
  </si>
  <si>
    <t>Komputer</t>
  </si>
  <si>
    <t>Bekerja di luar rumah</t>
  </si>
  <si>
    <t>RGS01</t>
  </si>
  <si>
    <t>IF Kondisi terkini (Pintu)&gt;Batas (Terbuka),"RGS01","Batal"</t>
  </si>
  <si>
    <t>IF Kondisi terkini (Sofa random)&lt;Batas (Kosong),"Sofa (random)","Batal"</t>
  </si>
  <si>
    <t>IF Kondisi terkini&lt;Batas (1),"RKG01","Batal"</t>
  </si>
  <si>
    <t>IF Kondisi terkini&lt;Batas (1),"RDP02","Batal"</t>
  </si>
  <si>
    <t>IF Kondisi terkini (makanan)=Batas (Ada),"RKG01","RDP02"</t>
  </si>
  <si>
    <t>IF Kondisi terkini (makanan)=Batas (Ada),"RKG01","Batal"</t>
  </si>
  <si>
    <t>IF Kondisi terkini&lt;Batas (1),RDP02","Batal"</t>
  </si>
  <si>
    <t>Kembali ke RKG01 untuk cek device (ii), tetapi sampai di ruang cek mulai dari (i), batal = cek aktivitas urut 2</t>
  </si>
  <si>
    <t>IF Kondisi terkini&lt;Batas (1),"RTM01","Batal"</t>
  </si>
  <si>
    <t>IF Kondisi terkini&lt;Batas (0.8),"RTS01","Batal"</t>
  </si>
  <si>
    <t>IF Kondisi terkini&lt;Batas (0.8),"RTM01","Batal"</t>
  </si>
  <si>
    <t>IF Kondisi terkini&lt;Batas (0.8),"RKG01","Batal"</t>
  </si>
  <si>
    <t>IF Kondisi terkini&lt;Batas (0.8),"RDP01","Batal"</t>
  </si>
  <si>
    <t>IF Kondisi terkini&lt;Batas (1),"RTS01","Batal"</t>
  </si>
  <si>
    <t>IF Kondisi terkini&lt;Batas (1),"RDP01","Batal"</t>
  </si>
  <si>
    <t>IF Kondisi terkini&lt;Batas (0.5),"RTU02","Batal"</t>
  </si>
  <si>
    <t>IF Kondisi terkini&lt;Batas (1),"RBK01","Batal"</t>
  </si>
  <si>
    <t>IF Kondisi terkini&lt;Batas (1),"RKJ01","Batal"</t>
  </si>
  <si>
    <t>IF Kondisi terkini&lt;Batas (0.8),"RKJ01","Batal"</t>
  </si>
  <si>
    <t>IF Kondisi terkini&lt;Batas (0.8),"RDP02","Batal"</t>
  </si>
  <si>
    <t>IF Kondisi terkini&lt;Batas (2),"RDP02","Batal"</t>
  </si>
  <si>
    <t>Off</t>
  </si>
  <si>
    <t>E1</t>
  </si>
  <si>
    <t>E2</t>
  </si>
  <si>
    <t>IF Kondisi terkini&lt;=Batas (2),"RDP01","Batal"</t>
  </si>
  <si>
    <t>IF Kondisi terkini&gt;=Batas(5),"RDP01","Batal"</t>
  </si>
  <si>
    <t>IF Kondisi terkini&lt;Batas (25),"RTU01","E1"</t>
  </si>
  <si>
    <t>D1</t>
  </si>
  <si>
    <t>Menghidupkan objek dinamis</t>
  </si>
  <si>
    <t>Mematikan objek dinamis</t>
  </si>
  <si>
    <t>IF Kondisi terkini=Batas (Off),"D1","Batal"</t>
  </si>
  <si>
    <t>IF Kondisi terkini&lt;Batas (24),"E2","0"</t>
  </si>
  <si>
    <t>IF Kondisi terkini (Tempat tidur)=Batas (Terisi),"Tempat tidur","Batal"</t>
  </si>
  <si>
    <t>IF Kondisi terkini&lt;=Batas (2),"RDP02","Batal"</t>
  </si>
  <si>
    <t>Cek Iklim ruang</t>
  </si>
  <si>
    <t>A75</t>
  </si>
  <si>
    <t>Berdandan setelah mandi</t>
  </si>
  <si>
    <t>A22/ A47/ A60</t>
  </si>
  <si>
    <t>A32/A50/ A64</t>
  </si>
  <si>
    <t>A31 / A32</t>
  </si>
  <si>
    <t>A35/ A52/ A67</t>
  </si>
  <si>
    <t>Mengangkat jemuran</t>
  </si>
  <si>
    <t>A56</t>
  </si>
  <si>
    <t>A23/ A48/ A62</t>
  </si>
  <si>
    <t>Pergi membeli makan pagi/ siang/ malam ke luar rumah</t>
  </si>
  <si>
    <t>IF Kondisi terkini&gt;=Batas (90),"Bak mandi","D1"</t>
  </si>
  <si>
    <t>IF Kondisi terkini&gt;=Batas (15),"Kloset","D1"</t>
  </si>
  <si>
    <t>IF Kondisi terkini (kran air)=Batas (Mati),"D1","Batal"</t>
  </si>
  <si>
    <t>IF Kondisi terkini (Air)=Batas (160),"D1","Batal"</t>
  </si>
  <si>
    <t>IF Kondisi terkini (Mesin cuci)=Batas (Mati),"E1","Batal"</t>
  </si>
  <si>
    <t>IF Kondisi terkini (Air)=Batas (250),"D1","Batal"</t>
  </si>
  <si>
    <t>Bermain dengan anak pagi/ siang/ malam</t>
  </si>
  <si>
    <t>IF Kondisi terkini (2)&lt;=Batas,"RGS01",0)</t>
  </si>
  <si>
    <t>IF Kondisi terkini (Air)=Batas (15),"D1","Batal"</t>
  </si>
  <si>
    <t>Cek air di ruang. Jika air tidak cukup, maka membuka kran dan menunggu di ruang atau jika waktu tunggu &gt;= 15 menit, melakukan aktivitas 2</t>
  </si>
  <si>
    <t>Cek air di tandon. Jika air tidak cukup, maka batal.</t>
  </si>
  <si>
    <t>Cek air di ruang. Jika air tidak cukup, maka batal.</t>
  </si>
  <si>
    <t>Menghidupkan peralatan listrik, selain lampu</t>
  </si>
  <si>
    <t>Mematikan peralatan listrik, selain lampu</t>
  </si>
  <si>
    <t>IF Kondisi terkini&gt;=Batas (150),"RDP02","L1"</t>
  </si>
  <si>
    <t>IF Kondisi terkini (Komputer)=Batas (Hidup),"Komputer","E1"</t>
  </si>
  <si>
    <t>IF Kondisi terkini (Setrika)=Batas (Mati),"Setrika","E1"</t>
  </si>
  <si>
    <t>IF Kondisi terkini (TV)=Batas (Mati),"Sofa/ Kursi","E1"</t>
  </si>
  <si>
    <t>IF Kondisi terkini (Rice cooker)=Batas (Mati),"RDP02","E1"</t>
  </si>
  <si>
    <t>IF Kondisi terkini (Printer)=Batas (Hidup),"Printer","E1"</t>
  </si>
  <si>
    <t>IF Kondisi terkini&lt;=Batas (24),"Tempat tidur","E1"</t>
  </si>
  <si>
    <t>L2 ; D2</t>
  </si>
  <si>
    <t>L2 ; E2</t>
  </si>
  <si>
    <t>jika ada makanan, semua kursi terisi, pindah ke ruang RTM01</t>
  </si>
  <si>
    <t>IF Kondisi terkini&gt;=Batas (150),"RKG01","L1"</t>
  </si>
  <si>
    <t>IF Kondisi terkini&gt;=Batas (150),"RTM01","L1"</t>
  </si>
  <si>
    <t>IF Kondisi terkini&gt;=Batas (150),"Pintu","L1"</t>
  </si>
  <si>
    <t>IF Kondisi terkini&gt;Batas (60),"L2","Batal"</t>
  </si>
  <si>
    <t>IF Kondisi terkini&gt;=Batas (150),"RTU01","L1"</t>
  </si>
  <si>
    <t>IF Kondisi terkini&gt;=Batas (150),"RTU02","L1"</t>
  </si>
  <si>
    <t>IF Kondisi terkini&gt;=Batas (150),"RKJ01","L1"</t>
  </si>
  <si>
    <t>IF Kondisi terkini&gt;=Batas (150),"RDP01","L1"</t>
  </si>
  <si>
    <t>IF Kondisi terkini&gt;=Batas (150),"L2","L1"</t>
  </si>
  <si>
    <t>IF Kondisi terkini&gt;=Batas (100),"RDP01","L1"</t>
  </si>
  <si>
    <t>IF Kondisi terkini&gt;=Batas (150),"RGS01","L1"</t>
  </si>
  <si>
    <t>IF Kondisi terkini&lt;Batas (60),"L1","Batal"</t>
  </si>
  <si>
    <t>IF Kondisi terkini&lt;=Batas (25),"Sofa","E1"</t>
  </si>
  <si>
    <t>IF Kondisi terkini&gt;Batas,"Kursi","Batal"</t>
  </si>
  <si>
    <t>IF Kondisi terkini=Batas (Ada),"RDP02","Batal"</t>
  </si>
  <si>
    <t>IF Kondisi terkini=Batas (100),"RTS01","Batal"</t>
  </si>
  <si>
    <t>IF Kondisi terkini&lt;=Batas (1),"Sofa/ Kursi","Batal"</t>
  </si>
  <si>
    <t>IF Kondisi terkini&lt;=Batas (25),"Sofa/ Kursi","E1"</t>
  </si>
  <si>
    <t>IF Kondisi terkini (Kursi)=Batas (Kosong),"Kursi","Batal"</t>
  </si>
  <si>
    <t>IF Kondisi terkini (Sofa)=Batas (Kosong),"Sofa","Kursi"</t>
  </si>
  <si>
    <t>IF Kondisi terkini=Batas (Kosong),"Sofa","RTU01"</t>
  </si>
  <si>
    <t>IF Kondisi terkini&lt;=Batas (25),"Tempat tidur","E1"</t>
  </si>
  <si>
    <t>IF Kondisi terkini&lt;=Batas (1),"RGD01","Batal"</t>
  </si>
  <si>
    <t>IF Kondisi terkini&lt;=Batas (150),"RKJ01","L1"</t>
  </si>
  <si>
    <t>IF Kondisi terkini&lt;=Batas (150),"RDP02","L1"</t>
  </si>
  <si>
    <t>IF Kondisi terkini (2)&lt;=Batas,"Rice cooker","Batal")</t>
  </si>
  <si>
    <t>IF Kondisi terkini (Makanan)=Batas (Hidup),"Rice cooker","E2"</t>
  </si>
  <si>
    <t>IF Kondisi terkini&lt;=Batas (1),"Sofa","RKG01"</t>
  </si>
  <si>
    <t>Menutup pintu</t>
  </si>
  <si>
    <t>R1</t>
  </si>
  <si>
    <t>R2</t>
  </si>
  <si>
    <t>Membuka pintu</t>
  </si>
  <si>
    <r>
      <t xml:space="preserve">Mematikan lampu </t>
    </r>
    <r>
      <rPr>
        <sz val="11"/>
        <color rgb="FFFF0000"/>
        <rFont val="Calibri"/>
        <family val="2"/>
        <scheme val="minor"/>
      </rPr>
      <t>(hanya jika di ruang tidak ada agen lain)</t>
    </r>
  </si>
  <si>
    <t>IF Kondisi terkini&lt;=Batas (50),"Tempat tidur","L2"</t>
  </si>
  <si>
    <t>L2 ; D2 ; R2</t>
  </si>
  <si>
    <t>L2 ; R2</t>
  </si>
  <si>
    <t>L2 ; E2 ; R2</t>
  </si>
  <si>
    <t>L2 ; E2 ;R2</t>
  </si>
  <si>
    <t>IF Kondisi terkini (Pintu)=Batas (Terbuka),"RDP01","R1"</t>
  </si>
  <si>
    <t>IF Kondisi terkini (Pintu)=Batas (Terbuka),"RTS01","R1"</t>
  </si>
  <si>
    <t>IF Kondisi terkini (Pintu)=Batas (Terbuka),"RBK01","R1"</t>
  </si>
  <si>
    <t>IF Kondisi terkini&gt;=Batas (150),"RDP01","R1"</t>
  </si>
  <si>
    <t>IF Kondisi terkini (Pintu)=Batas (Terbuka),"RTU01","R1"</t>
  </si>
  <si>
    <t>IF Kondisi terkini (Pintu)=Batas (Terbuka),"RHD01","R1"</t>
  </si>
  <si>
    <t>IF Kondisi terkini (Pintu)=Batas (Terbuka),"RGS01","R1"</t>
  </si>
  <si>
    <t>IF Kondisi terkini (Pintu)=Batas (Terbuka),"RGD01","R1"</t>
  </si>
  <si>
    <t>IF Kondisi terkini (Tempat tidur)&lt;Batas (3),"Tempat tidur","Batal"</t>
  </si>
  <si>
    <t>IF Kondisi terkini&gt;=Batas (10),"Kloset","D1"</t>
  </si>
  <si>
    <t>RKM01/ RKM02/ RKM03/ RKM04</t>
  </si>
  <si>
    <t>Membersihkan KM Dalam/ KM Tengah/ KM Belakang/ KM Lt. 2</t>
  </si>
  <si>
    <t>A1</t>
  </si>
  <si>
    <t>Membereskan kasur &amp; karpet tidur di pagi hari</t>
  </si>
  <si>
    <t>A2</t>
  </si>
  <si>
    <t>Mengisi ulang daya gadget</t>
  </si>
  <si>
    <t>IF Kondisi terkini&lt;Batas (0.2),"RKG01","Batal"</t>
  </si>
  <si>
    <t>IF Kondisi terkini&lt;Batas (0.2),"RDP02","Batal"</t>
  </si>
  <si>
    <t>IF Kondisi terkini&lt;Batas (1),"RTU01","Batal"</t>
  </si>
  <si>
    <t>A54</t>
  </si>
  <si>
    <t>Pergi jalan ke luar rumah di siang hari</t>
  </si>
  <si>
    <t>IF Kondisi terkini&gt;=Batas (150),"RHD01","L1"</t>
  </si>
  <si>
    <t>A80</t>
  </si>
  <si>
    <t>Menyapu Halaman Depan</t>
  </si>
  <si>
    <t>IF Kondisi terkini&lt;Batas (1),"RHD01","Batal"</t>
  </si>
  <si>
    <t>IF Kondisi terkini&gt;=Batas (100),"RHD01","Batal"</t>
  </si>
  <si>
    <t>RKM04</t>
  </si>
  <si>
    <t>IF Kondisi terkini&lt;=Batas (200),"RDP02","Batal"</t>
  </si>
  <si>
    <t>IF Kondisi terkini&lt;=Batas (1),"RKJ01","Batal"</t>
  </si>
  <si>
    <t>A73</t>
  </si>
  <si>
    <t>Membereskan mainan anak</t>
  </si>
  <si>
    <t>IF Kondisi terkini&lt;=Batas (1),"Sofa","RKJ01"</t>
  </si>
  <si>
    <t>IF Kondisi terkini (Sofa)=Batas (Kosong),"Kursi","Batal"</t>
  </si>
  <si>
    <t>IF Kondisi terkini&gt;=Batas (150),"RTS01","L1"</t>
  </si>
  <si>
    <t>IF Kondisi terkini&lt;=Batas (1),"RTS01","Batal"</t>
  </si>
  <si>
    <t>IF Kondisi terkini=Batas (Kosong),"Sofa","RTM01"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</si>
</sst>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i/>
      <sz val="11"/>
      <color rgb="FFFF000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0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5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0" borderId="11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18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6" xfId="0" applyBorder="1" applyAlignment="1">
      <alignment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6" fillId="0" borderId="17" xfId="0" applyFont="1" applyBorder="1" applyAlignment="1">
      <alignment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8" xfId="0" applyFont="1" applyBorder="1" applyAlignment="1">
      <alignment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7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3" xfId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6" fillId="0" borderId="11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5" fillId="0" borderId="17" xfId="0" applyFont="1" applyFill="1" applyBorder="1" applyAlignment="1">
      <alignment horizontal="left" vertical="center" wrapText="1"/>
    </xf>
    <xf numFmtId="0" fontId="5" fillId="0" borderId="14" xfId="0" applyFont="1" applyFill="1" applyBorder="1" applyAlignment="1">
      <alignment horizontal="left" vertical="center" wrapText="1"/>
    </xf>
    <xf numFmtId="0" fontId="5" fillId="0" borderId="18" xfId="0" applyFont="1" applyFill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13" xfId="0" applyFont="1" applyFill="1" applyBorder="1" applyAlignment="1">
      <alignment horizontal="left" vertical="center" wrapText="1"/>
    </xf>
    <xf numFmtId="0" fontId="5" fillId="0" borderId="15" xfId="0" applyFont="1" applyFill="1" applyBorder="1" applyAlignment="1">
      <alignment horizontal="left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3" xfId="1" applyFont="1" applyBorder="1" applyAlignment="1">
      <alignment horizontal="center" vertical="center" wrapText="1"/>
    </xf>
    <xf numFmtId="0" fontId="0" fillId="0" borderId="15" xfId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7" fillId="0" borderId="13" xfId="1" applyFont="1" applyBorder="1" applyAlignment="1">
      <alignment horizontal="left" vertical="center" wrapText="1"/>
    </xf>
    <xf numFmtId="0" fontId="7" fillId="0" borderId="12" xfId="1" applyFont="1" applyBorder="1" applyAlignment="1">
      <alignment horizontal="left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3" xfId="0" applyFont="1" applyBorder="1" applyAlignment="1">
      <alignment vertical="center" wrapText="1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8" xfId="1" applyFont="1" applyBorder="1" applyAlignment="1">
      <alignment horizontal="center" vertical="center" wrapText="1"/>
    </xf>
    <xf numFmtId="0" fontId="0" fillId="0" borderId="17" xfId="1" applyFont="1" applyBorder="1" applyAlignment="1">
      <alignment horizontal="center" vertical="center" wrapText="1"/>
    </xf>
    <xf numFmtId="0" fontId="0" fillId="0" borderId="16" xfId="1" applyFont="1" applyBorder="1" applyAlignment="1">
      <alignment horizontal="center" vertical="center" wrapText="1"/>
    </xf>
    <xf numFmtId="0" fontId="0" fillId="0" borderId="13" xfId="1" applyFont="1" applyBorder="1" applyAlignment="1">
      <alignment horizontal="center" vertical="center"/>
    </xf>
    <xf numFmtId="0" fontId="0" fillId="0" borderId="14" xfId="1" applyFont="1" applyBorder="1" applyAlignment="1">
      <alignment horizontal="center" vertical="center"/>
    </xf>
    <xf numFmtId="0" fontId="0" fillId="0" borderId="15" xfId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7" fillId="0" borderId="13" xfId="1" applyFont="1" applyBorder="1" applyAlignment="1">
      <alignment vertical="center" wrapText="1"/>
    </xf>
    <xf numFmtId="0" fontId="7" fillId="0" borderId="14" xfId="1" applyFont="1" applyBorder="1" applyAlignment="1">
      <alignment vertical="center" wrapText="1"/>
    </xf>
    <xf numFmtId="0" fontId="7" fillId="0" borderId="15" xfId="1" applyFont="1" applyBorder="1" applyAlignment="1">
      <alignment vertical="center" wrapText="1"/>
    </xf>
    <xf numFmtId="0" fontId="0" fillId="0" borderId="14" xfId="1" applyFont="1" applyBorder="1" applyAlignment="1">
      <alignment horizontal="center" vertical="center" wrapText="1"/>
    </xf>
    <xf numFmtId="0" fontId="1" fillId="0" borderId="18" xfId="1" applyFont="1" applyBorder="1" applyAlignment="1">
      <alignment horizontal="center" vertical="center" wrapText="1"/>
    </xf>
    <xf numFmtId="0" fontId="1" fillId="0" borderId="17" xfId="1" applyFont="1" applyBorder="1" applyAlignment="1">
      <alignment horizontal="center" vertical="center" wrapText="1"/>
    </xf>
    <xf numFmtId="0" fontId="1" fillId="0" borderId="16" xfId="1" applyFont="1" applyBorder="1" applyAlignment="1">
      <alignment horizontal="center" vertical="center" wrapText="1"/>
    </xf>
    <xf numFmtId="0" fontId="0" fillId="0" borderId="10" xfId="1" applyFont="1" applyBorder="1" applyAlignment="1">
      <alignment horizontal="center" vertical="center" wrapText="1"/>
    </xf>
    <xf numFmtId="0" fontId="0" fillId="0" borderId="11" xfId="1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1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1" fillId="0" borderId="13" xfId="1" applyFont="1" applyBorder="1" applyAlignment="1">
      <alignment horizontal="center" vertical="center" wrapText="1"/>
    </xf>
    <xf numFmtId="0" fontId="1" fillId="0" borderId="14" xfId="1" applyFont="1" applyBorder="1" applyAlignment="1">
      <alignment horizontal="center" vertical="center" wrapText="1"/>
    </xf>
    <xf numFmtId="0" fontId="1" fillId="0" borderId="15" xfId="1" applyFont="1" applyBorder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14" xfId="1" applyFont="1" applyBorder="1" applyAlignment="1">
      <alignment horizontal="center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2" borderId="17" xfId="0" applyFont="1" applyFill="1" applyBorder="1" applyAlignment="1">
      <alignment horizontal="left" vertical="center" wrapText="1"/>
    </xf>
    <xf numFmtId="0" fontId="0" fillId="0" borderId="0" xfId="0" applyFill="1" applyAlignment="1">
      <alignment wrapText="1"/>
    </xf>
    <xf numFmtId="0" fontId="0" fillId="0" borderId="0" xfId="0" applyFill="1"/>
    <xf numFmtId="0" fontId="2" fillId="0" borderId="23" xfId="0" applyFont="1" applyFill="1" applyBorder="1" applyAlignment="1">
      <alignment horizontal="center" vertical="center" wrapText="1"/>
    </xf>
    <xf numFmtId="0" fontId="0" fillId="0" borderId="16" xfId="0" applyFill="1" applyBorder="1" applyAlignment="1">
      <alignment vertical="center" wrapText="1"/>
    </xf>
    <xf numFmtId="0" fontId="0" fillId="0" borderId="17" xfId="0" applyFill="1" applyBorder="1" applyAlignment="1">
      <alignment vertical="center" wrapText="1"/>
    </xf>
    <xf numFmtId="0" fontId="0" fillId="0" borderId="10" xfId="0" applyFill="1" applyBorder="1" applyAlignment="1">
      <alignment vertical="center" wrapText="1"/>
    </xf>
    <xf numFmtId="0" fontId="6" fillId="2" borderId="16" xfId="0" applyFont="1" applyFill="1" applyBorder="1" applyAlignment="1">
      <alignment horizontal="left" vertical="center" wrapText="1"/>
    </xf>
    <xf numFmtId="0" fontId="0" fillId="2" borderId="13" xfId="0" applyFill="1" applyBorder="1" applyAlignment="1">
      <alignment vertical="center" wrapText="1"/>
    </xf>
    <xf numFmtId="0" fontId="0" fillId="2" borderId="13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0" fillId="2" borderId="13" xfId="1" applyFont="1" applyFill="1" applyBorder="1" applyAlignment="1">
      <alignment horizontal="center" vertical="center"/>
    </xf>
    <xf numFmtId="0" fontId="0" fillId="2" borderId="11" xfId="0" applyFill="1" applyBorder="1" applyAlignment="1">
      <alignment horizontal="left" vertical="center" wrapText="1"/>
    </xf>
    <xf numFmtId="0" fontId="6" fillId="2" borderId="11" xfId="0" applyFont="1" applyFill="1" applyBorder="1" applyAlignment="1">
      <alignment horizontal="left" vertical="center" wrapText="1"/>
    </xf>
    <xf numFmtId="0" fontId="0" fillId="2" borderId="14" xfId="1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7" xfId="0" applyFill="1" applyBorder="1" applyAlignment="1">
      <alignment horizontal="left" vertical="center" wrapText="1"/>
    </xf>
    <xf numFmtId="0" fontId="0" fillId="2" borderId="14" xfId="0" applyFill="1" applyBorder="1" applyAlignment="1">
      <alignment horizontal="center" vertical="center"/>
    </xf>
    <xf numFmtId="0" fontId="0" fillId="2" borderId="15" xfId="1" applyFon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8" xfId="0" applyFill="1" applyBorder="1" applyAlignment="1">
      <alignment horizontal="left" vertical="center" wrapText="1"/>
    </xf>
    <xf numFmtId="0" fontId="6" fillId="2" borderId="18" xfId="0" applyFont="1" applyFill="1" applyBorder="1" applyAlignment="1">
      <alignment horizontal="left" vertical="center" wrapText="1"/>
    </xf>
    <xf numFmtId="0" fontId="0" fillId="2" borderId="16" xfId="0" applyFill="1" applyBorder="1" applyAlignment="1">
      <alignment horizontal="left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left" vertical="center" wrapText="1"/>
    </xf>
    <xf numFmtId="0" fontId="6" fillId="2" borderId="15" xfId="0" applyFont="1" applyFill="1" applyBorder="1" applyAlignment="1">
      <alignment horizontal="left" vertical="center" wrapText="1"/>
    </xf>
    <xf numFmtId="0" fontId="0" fillId="2" borderId="31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32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left" vertical="center" wrapText="1"/>
    </xf>
    <xf numFmtId="0" fontId="5" fillId="2" borderId="16" xfId="0" applyFont="1" applyFill="1" applyBorder="1" applyAlignment="1">
      <alignment horizontal="left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18" xfId="0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18" xfId="0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7" xfId="0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7" xfId="0" applyFill="1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16" xfId="0" applyFill="1" applyBorder="1" applyAlignment="1">
      <alignment horizontal="left" vertical="center"/>
    </xf>
    <xf numFmtId="0" fontId="0" fillId="0" borderId="24" xfId="0" applyFill="1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5" fillId="0" borderId="18" xfId="0" applyFont="1" applyBorder="1" applyAlignment="1">
      <alignment vertical="center" wrapText="1"/>
    </xf>
    <xf numFmtId="0" fontId="5" fillId="0" borderId="16" xfId="0" applyFont="1" applyBorder="1" applyAlignment="1">
      <alignment vertical="center" wrapText="1"/>
    </xf>
    <xf numFmtId="0" fontId="0" fillId="2" borderId="17" xfId="0" applyFill="1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11" xfId="0" applyFill="1" applyBorder="1" applyAlignment="1">
      <alignment horizontal="left" vertical="center"/>
    </xf>
    <xf numFmtId="0" fontId="0" fillId="0" borderId="5" xfId="0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11" xfId="0" applyFill="1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  <xf numFmtId="0" fontId="0" fillId="0" borderId="16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18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20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 wrapText="1"/>
    </xf>
    <xf numFmtId="0" fontId="0" fillId="2" borderId="21" xfId="0" applyFill="1" applyBorder="1" applyAlignment="1">
      <alignment horizontal="left" vertical="center" wrapText="1"/>
    </xf>
    <xf numFmtId="0" fontId="0" fillId="2" borderId="24" xfId="0" applyFill="1" applyBorder="1" applyAlignment="1">
      <alignment horizontal="left" vertical="center" wrapText="1"/>
    </xf>
    <xf numFmtId="0" fontId="0" fillId="2" borderId="16" xfId="0" applyFill="1" applyBorder="1" applyAlignment="1">
      <alignment horizontal="left" vertical="center"/>
    </xf>
    <xf numFmtId="0" fontId="0" fillId="2" borderId="28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0" fillId="2" borderId="26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 wrapText="1"/>
    </xf>
    <xf numFmtId="0" fontId="0" fillId="0" borderId="18" xfId="0" applyFill="1" applyBorder="1" applyAlignment="1">
      <alignment vertical="center" wrapText="1"/>
    </xf>
    <xf numFmtId="0" fontId="5" fillId="2" borderId="18" xfId="0" applyFont="1" applyFill="1" applyBorder="1" applyAlignment="1">
      <alignment vertical="center" wrapText="1"/>
    </xf>
    <xf numFmtId="0" fontId="5" fillId="2" borderId="16" xfId="0" applyFont="1" applyFill="1" applyBorder="1" applyAlignment="1">
      <alignment vertical="center" wrapText="1"/>
    </xf>
    <xf numFmtId="0" fontId="8" fillId="0" borderId="16" xfId="0" applyFont="1" applyBorder="1" applyAlignment="1">
      <alignment vertical="center" wrapText="1"/>
    </xf>
    <xf numFmtId="0" fontId="0" fillId="0" borderId="19" xfId="0" applyBorder="1" applyAlignment="1">
      <alignment horizontal="left" vertical="center" wrapText="1"/>
    </xf>
    <xf numFmtId="0" fontId="0" fillId="0" borderId="15" xfId="0" applyFill="1" applyBorder="1" applyAlignment="1">
      <alignment horizontal="left" vertical="center"/>
    </xf>
    <xf numFmtId="0" fontId="0" fillId="0" borderId="19" xfId="0" applyFill="1" applyBorder="1" applyAlignment="1">
      <alignment horizontal="left" vertical="center" wrapText="1"/>
    </xf>
    <xf numFmtId="0" fontId="0" fillId="0" borderId="15" xfId="0" applyFill="1" applyBorder="1" applyAlignment="1">
      <alignment horizontal="left" vertical="center" wrapText="1"/>
    </xf>
    <xf numFmtId="0" fontId="5" fillId="0" borderId="15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0" fillId="0" borderId="25" xfId="0" applyBorder="1" applyAlignment="1">
      <alignment horizontal="left" vertical="center" wrapText="1"/>
    </xf>
    <xf numFmtId="0" fontId="0" fillId="0" borderId="10" xfId="0" applyFill="1" applyBorder="1" applyAlignment="1">
      <alignment horizontal="left" vertical="center"/>
    </xf>
    <xf numFmtId="0" fontId="0" fillId="0" borderId="25" xfId="0" applyFill="1" applyBorder="1" applyAlignment="1">
      <alignment horizontal="left" vertical="center" wrapText="1"/>
    </xf>
    <xf numFmtId="0" fontId="0" fillId="0" borderId="30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8" xfId="0" applyFill="1" applyBorder="1" applyAlignment="1">
      <alignment vertical="center" wrapText="1"/>
    </xf>
    <xf numFmtId="0" fontId="0" fillId="2" borderId="28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left" vertical="center" wrapText="1"/>
    </xf>
    <xf numFmtId="0" fontId="0" fillId="2" borderId="15" xfId="0" applyFill="1" applyBorder="1" applyAlignment="1">
      <alignment horizontal="left" vertical="center"/>
    </xf>
    <xf numFmtId="0" fontId="0" fillId="2" borderId="29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5" fillId="2" borderId="11" xfId="0" applyFont="1" applyFill="1" applyBorder="1" applyAlignment="1">
      <alignment vertical="center" wrapText="1"/>
    </xf>
    <xf numFmtId="0" fontId="0" fillId="0" borderId="11" xfId="0" applyFill="1" applyBorder="1" applyAlignment="1">
      <alignment vertical="center" wrapText="1"/>
    </xf>
    <xf numFmtId="0" fontId="0" fillId="0" borderId="29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5" fillId="0" borderId="13" xfId="0" applyFont="1" applyBorder="1" applyAlignment="1">
      <alignment vertical="center" wrapText="1"/>
    </xf>
    <xf numFmtId="0" fontId="5" fillId="2" borderId="14" xfId="0" applyFont="1" applyFill="1" applyBorder="1" applyAlignment="1">
      <alignment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7" xfId="0" applyFill="1" applyBorder="1" applyAlignment="1">
      <alignment vertical="center" wrapText="1"/>
    </xf>
    <xf numFmtId="0" fontId="0" fillId="2" borderId="16" xfId="0" applyFill="1" applyBorder="1" applyAlignment="1">
      <alignment vertical="center" wrapText="1"/>
    </xf>
    <xf numFmtId="0" fontId="0" fillId="2" borderId="14" xfId="0" applyFill="1" applyBorder="1" applyAlignment="1">
      <alignment vertical="center" wrapText="1"/>
    </xf>
    <xf numFmtId="0" fontId="1" fillId="2" borderId="17" xfId="1" applyFont="1" applyFill="1" applyBorder="1" applyAlignment="1">
      <alignment horizontal="center" vertical="center" wrapText="1"/>
    </xf>
    <xf numFmtId="0" fontId="0" fillId="2" borderId="13" xfId="0" applyFont="1" applyFill="1" applyBorder="1" applyAlignment="1">
      <alignment vertical="center" wrapText="1"/>
    </xf>
    <xf numFmtId="0" fontId="1" fillId="2" borderId="18" xfId="1" applyFont="1" applyFill="1" applyBorder="1" applyAlignment="1">
      <alignment horizontal="center" vertical="center" wrapText="1"/>
    </xf>
    <xf numFmtId="0" fontId="1" fillId="2" borderId="16" xfId="1" applyFont="1" applyFill="1" applyBorder="1" applyAlignment="1">
      <alignment horizontal="center" vertical="center" wrapText="1"/>
    </xf>
    <xf numFmtId="0" fontId="0" fillId="2" borderId="12" xfId="0" applyFont="1" applyFill="1" applyBorder="1" applyAlignment="1">
      <alignment vertical="center" wrapText="1"/>
    </xf>
    <xf numFmtId="0" fontId="0" fillId="2" borderId="16" xfId="0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O255"/>
  <sheetViews>
    <sheetView tabSelected="1" topLeftCell="A20" zoomScale="90" zoomScaleNormal="90" workbookViewId="0">
      <selection activeCell="F26" sqref="F26"/>
    </sheetView>
  </sheetViews>
  <sheetFormatPr defaultRowHeight="15" x14ac:dyDescent="0.25"/>
  <cols>
    <col min="1" max="2" width="2.28515625" customWidth="1"/>
    <col min="3" max="3" width="5.5703125" style="9" bestFit="1" customWidth="1"/>
    <col min="4" max="4" width="17.85546875" style="2" customWidth="1"/>
    <col min="5" max="5" width="8.42578125" style="4" customWidth="1"/>
    <col min="6" max="6" width="15.7109375" style="2" customWidth="1"/>
    <col min="7" max="7" width="10.7109375" style="5" customWidth="1"/>
    <col min="8" max="8" width="10.7109375" style="87" customWidth="1"/>
    <col min="9" max="9" width="10.7109375" style="88" customWidth="1"/>
    <col min="10" max="11" width="10.7109375" style="1" customWidth="1"/>
    <col min="12" max="12" width="10.7109375" style="87" customWidth="1"/>
    <col min="13" max="13" width="40.7109375" style="1" customWidth="1"/>
    <col min="14" max="14" width="40.7109375" style="2" customWidth="1"/>
    <col min="15" max="15" width="30.7109375" style="3" customWidth="1"/>
    <col min="16" max="16" width="30.7109375" customWidth="1"/>
    <col min="17" max="18" width="9.140625" customWidth="1"/>
    <col min="19" max="19" width="6.28515625" customWidth="1"/>
    <col min="20" max="20" width="10.140625" customWidth="1"/>
    <col min="21" max="22" width="8.5703125" customWidth="1"/>
    <col min="23" max="23" width="7.5703125" customWidth="1"/>
    <col min="24" max="24" width="5.5703125" customWidth="1"/>
    <col min="25" max="25" width="9.140625" customWidth="1"/>
    <col min="26" max="26" width="6.140625" customWidth="1"/>
    <col min="27" max="27" width="5.5703125" customWidth="1"/>
    <col min="28" max="28" width="9.140625" customWidth="1"/>
    <col min="29" max="29" width="9.7109375" customWidth="1"/>
    <col min="30" max="31" width="7.28515625" customWidth="1"/>
    <col min="32" max="32" width="6.7109375" customWidth="1"/>
  </cols>
  <sheetData>
    <row r="1" spans="3:15" ht="15.75" thickBot="1" x14ac:dyDescent="0.3"/>
    <row r="2" spans="3:15" s="22" customFormat="1" ht="45.75" thickBot="1" x14ac:dyDescent="0.3">
      <c r="C2" s="6" t="s">
        <v>4</v>
      </c>
      <c r="D2" s="13" t="s">
        <v>10</v>
      </c>
      <c r="E2" s="6" t="s">
        <v>11</v>
      </c>
      <c r="F2" s="6" t="s">
        <v>12</v>
      </c>
      <c r="G2" s="13" t="s">
        <v>3</v>
      </c>
      <c r="H2" s="14" t="s">
        <v>1</v>
      </c>
      <c r="I2" s="89" t="s">
        <v>0</v>
      </c>
      <c r="J2" s="29" t="s">
        <v>22</v>
      </c>
      <c r="K2" s="30" t="s">
        <v>23</v>
      </c>
      <c r="L2" s="14" t="s">
        <v>2</v>
      </c>
      <c r="M2" s="14" t="s">
        <v>70</v>
      </c>
      <c r="N2" s="14" t="s">
        <v>13</v>
      </c>
    </row>
    <row r="3" spans="3:15" ht="39" thickBot="1" x14ac:dyDescent="0.3">
      <c r="C3" s="78" t="s">
        <v>124</v>
      </c>
      <c r="D3" s="53" t="s">
        <v>26</v>
      </c>
      <c r="E3" s="46" t="s">
        <v>24</v>
      </c>
      <c r="F3" s="10" t="s">
        <v>68</v>
      </c>
      <c r="G3" s="123" t="s">
        <v>21</v>
      </c>
      <c r="H3" s="124">
        <v>150</v>
      </c>
      <c r="I3" s="125">
        <v>100</v>
      </c>
      <c r="J3" s="126">
        <f>IF(I3&gt;=H3,"RKG01",0)</f>
        <v>0</v>
      </c>
      <c r="K3" s="127" t="str">
        <f>IF(I3&lt;H3,"L1",0)</f>
        <v>L1</v>
      </c>
      <c r="L3" s="128"/>
      <c r="M3" s="15" t="s">
        <v>277</v>
      </c>
      <c r="N3" s="37" t="s">
        <v>71</v>
      </c>
      <c r="O3"/>
    </row>
    <row r="4" spans="3:15" ht="45.75" thickBot="1" x14ac:dyDescent="0.3">
      <c r="C4" s="79"/>
      <c r="D4" s="53"/>
      <c r="E4" s="46"/>
      <c r="F4" s="23" t="s">
        <v>57</v>
      </c>
      <c r="G4" s="129" t="s">
        <v>67</v>
      </c>
      <c r="H4" s="130">
        <v>1</v>
      </c>
      <c r="I4" s="131">
        <v>1</v>
      </c>
      <c r="J4" s="132">
        <f>IF(I4&lt;H4,"RKG01",0)</f>
        <v>0</v>
      </c>
      <c r="K4" s="133" t="str">
        <f>IF(I4&gt;=H4,"Batal",0)</f>
        <v>Batal</v>
      </c>
      <c r="L4" s="134"/>
      <c r="M4" s="16" t="s">
        <v>210</v>
      </c>
      <c r="N4" s="38" t="s">
        <v>66</v>
      </c>
      <c r="O4"/>
    </row>
    <row r="5" spans="3:15" ht="30.75" thickBot="1" x14ac:dyDescent="0.3">
      <c r="C5" s="79"/>
      <c r="D5" s="53"/>
      <c r="E5" s="46"/>
      <c r="F5" s="23" t="s">
        <v>20</v>
      </c>
      <c r="G5" s="129" t="s">
        <v>58</v>
      </c>
      <c r="H5" s="134" t="s">
        <v>15</v>
      </c>
      <c r="I5" s="131" t="s">
        <v>16</v>
      </c>
      <c r="J5" s="132">
        <f>IF(I5=H5,"RKG01",0)</f>
        <v>0</v>
      </c>
      <c r="K5" s="133" t="str">
        <f>IF(I5=H5,0,"RDP02")</f>
        <v>RDP02</v>
      </c>
      <c r="L5" s="134"/>
      <c r="M5" s="17" t="s">
        <v>212</v>
      </c>
      <c r="N5" s="32"/>
      <c r="O5"/>
    </row>
    <row r="6" spans="3:15" ht="26.25" thickBot="1" x14ac:dyDescent="0.3">
      <c r="C6" s="79"/>
      <c r="D6" s="53"/>
      <c r="E6" s="46"/>
      <c r="F6" s="23" t="s">
        <v>69</v>
      </c>
      <c r="G6" s="129" t="s">
        <v>7</v>
      </c>
      <c r="H6" s="130" t="s">
        <v>8</v>
      </c>
      <c r="I6" s="131" t="s">
        <v>9</v>
      </c>
      <c r="J6" s="132">
        <f t="shared" ref="J6" si="0">IF(I6=H6,"Kursi",0)</f>
        <v>0</v>
      </c>
      <c r="K6" s="133" t="str">
        <f>IF(I6=H6,0,"RTM01")</f>
        <v>RTM01</v>
      </c>
      <c r="L6" s="134"/>
      <c r="M6" s="16" t="s">
        <v>138</v>
      </c>
      <c r="N6" s="33" t="s">
        <v>276</v>
      </c>
      <c r="O6"/>
    </row>
    <row r="7" spans="3:15" ht="15.75" thickBot="1" x14ac:dyDescent="0.3">
      <c r="C7" s="79"/>
      <c r="D7" s="53"/>
      <c r="E7" s="49" t="s">
        <v>137</v>
      </c>
      <c r="F7" s="23" t="s">
        <v>14</v>
      </c>
      <c r="G7" s="129" t="s">
        <v>21</v>
      </c>
      <c r="H7" s="130">
        <v>150</v>
      </c>
      <c r="I7" s="131">
        <v>100</v>
      </c>
      <c r="J7" s="132">
        <f>IF(I7&gt;=H7,"RDP02",0)</f>
        <v>0</v>
      </c>
      <c r="K7" s="133" t="str">
        <f>IF(I7&lt;H7,"L1",0)</f>
        <v>L1</v>
      </c>
      <c r="L7" s="134"/>
      <c r="M7" s="16" t="s">
        <v>267</v>
      </c>
      <c r="N7" s="33"/>
      <c r="O7"/>
    </row>
    <row r="8" spans="3:15" ht="45.75" thickBot="1" x14ac:dyDescent="0.3">
      <c r="C8" s="79"/>
      <c r="D8" s="53"/>
      <c r="E8" s="49"/>
      <c r="F8" s="23" t="s">
        <v>57</v>
      </c>
      <c r="G8" s="129" t="s">
        <v>67</v>
      </c>
      <c r="H8" s="130">
        <v>1</v>
      </c>
      <c r="I8" s="131">
        <v>0.8</v>
      </c>
      <c r="J8" s="132" t="str">
        <f>IF(I8&lt;H8,"RDP02",0)</f>
        <v>RDP02</v>
      </c>
      <c r="K8" s="133">
        <f>IF(I8&gt;=H8,"Batal",0)</f>
        <v>0</v>
      </c>
      <c r="L8" s="134"/>
      <c r="M8" s="16" t="s">
        <v>211</v>
      </c>
      <c r="N8" s="38" t="s">
        <v>66</v>
      </c>
      <c r="O8"/>
    </row>
    <row r="9" spans="3:15" ht="39" thickBot="1" x14ac:dyDescent="0.3">
      <c r="C9" s="79"/>
      <c r="D9" s="53"/>
      <c r="E9" s="49"/>
      <c r="F9" s="23" t="s">
        <v>20</v>
      </c>
      <c r="G9" s="129" t="s">
        <v>58</v>
      </c>
      <c r="H9" s="134" t="s">
        <v>15</v>
      </c>
      <c r="I9" s="131" t="s">
        <v>16</v>
      </c>
      <c r="J9" s="132">
        <f>IF(I9=H9,"RKG01",0)</f>
        <v>0</v>
      </c>
      <c r="K9" s="133" t="str">
        <f>IF(I9=H9,0,"Batal")</f>
        <v>Batal</v>
      </c>
      <c r="L9" s="134"/>
      <c r="M9" s="17" t="s">
        <v>213</v>
      </c>
      <c r="N9" s="33" t="s">
        <v>215</v>
      </c>
      <c r="O9"/>
    </row>
    <row r="10" spans="3:15" ht="15.75" thickBot="1" x14ac:dyDescent="0.3">
      <c r="C10" s="79"/>
      <c r="D10" s="53"/>
      <c r="E10" s="49" t="s">
        <v>38</v>
      </c>
      <c r="F10" s="23" t="s">
        <v>14</v>
      </c>
      <c r="G10" s="129" t="s">
        <v>21</v>
      </c>
      <c r="H10" s="130">
        <v>150</v>
      </c>
      <c r="I10" s="131">
        <v>100</v>
      </c>
      <c r="J10" s="132">
        <f>IF(I10&gt;=H10,"RTM01",0)</f>
        <v>0</v>
      </c>
      <c r="K10" s="133" t="str">
        <f>IF(I10&lt;H10,"L1",0)</f>
        <v>L1</v>
      </c>
      <c r="L10" s="134"/>
      <c r="M10" s="16" t="s">
        <v>278</v>
      </c>
      <c r="N10" s="33"/>
      <c r="O10"/>
    </row>
    <row r="11" spans="3:15" ht="45.75" thickBot="1" x14ac:dyDescent="0.3">
      <c r="C11" s="79"/>
      <c r="D11" s="53"/>
      <c r="E11" s="49"/>
      <c r="F11" s="23" t="s">
        <v>72</v>
      </c>
      <c r="G11" s="129" t="s">
        <v>67</v>
      </c>
      <c r="H11" s="130">
        <v>1</v>
      </c>
      <c r="I11" s="131">
        <v>1</v>
      </c>
      <c r="J11" s="132">
        <f>IF(I11&lt;H11,"RTM01",0)</f>
        <v>0</v>
      </c>
      <c r="K11" s="133" t="str">
        <f>IF(I11&gt;=H11,"Batal",0)</f>
        <v>Batal</v>
      </c>
      <c r="L11" s="134"/>
      <c r="M11" s="16" t="s">
        <v>216</v>
      </c>
      <c r="N11" s="33" t="s">
        <v>66</v>
      </c>
      <c r="O11"/>
    </row>
    <row r="12" spans="3:15" ht="26.25" thickBot="1" x14ac:dyDescent="0.3">
      <c r="C12" s="79"/>
      <c r="D12" s="53"/>
      <c r="E12" s="49"/>
      <c r="F12" s="11" t="s">
        <v>28</v>
      </c>
      <c r="G12" s="135" t="s">
        <v>25</v>
      </c>
      <c r="H12" s="136" t="s">
        <v>8</v>
      </c>
      <c r="I12" s="137" t="s">
        <v>9</v>
      </c>
      <c r="J12" s="138">
        <f>IF(I12=H12,"Sofa",0)</f>
        <v>0</v>
      </c>
      <c r="K12" s="139" t="str">
        <f>IF(I12=H12,0,"Batal")</f>
        <v>Batal</v>
      </c>
      <c r="L12" s="90"/>
      <c r="M12" s="18" t="s">
        <v>209</v>
      </c>
      <c r="N12" s="34" t="s">
        <v>66</v>
      </c>
      <c r="O12"/>
    </row>
    <row r="13" spans="3:15" ht="15.75" thickBot="1" x14ac:dyDescent="0.3">
      <c r="C13" s="200" t="s">
        <v>86</v>
      </c>
      <c r="D13" s="199" t="s">
        <v>27</v>
      </c>
      <c r="E13" s="95" t="s">
        <v>137</v>
      </c>
      <c r="F13" s="23" t="s">
        <v>14</v>
      </c>
      <c r="G13" s="129" t="s">
        <v>21</v>
      </c>
      <c r="H13" s="130">
        <v>150</v>
      </c>
      <c r="I13" s="131">
        <v>100</v>
      </c>
      <c r="J13" s="132">
        <f>IF(I13&gt;=H13,"RDP02",0)</f>
        <v>0</v>
      </c>
      <c r="K13" s="133" t="str">
        <f>IF(I13&lt;H13,"L1",0)</f>
        <v>L1</v>
      </c>
      <c r="L13" s="134"/>
      <c r="M13" s="16" t="s">
        <v>267</v>
      </c>
      <c r="N13" s="37"/>
      <c r="O13"/>
    </row>
    <row r="14" spans="3:15" ht="30.75" thickBot="1" x14ac:dyDescent="0.3">
      <c r="C14" s="198"/>
      <c r="D14" s="199"/>
      <c r="E14" s="119"/>
      <c r="F14" s="23" t="s">
        <v>57</v>
      </c>
      <c r="G14" s="129" t="s">
        <v>60</v>
      </c>
      <c r="H14" s="130">
        <v>1.5</v>
      </c>
      <c r="I14" s="131">
        <v>1.7</v>
      </c>
      <c r="J14" s="132">
        <f>IF(I14&lt;H14,"RDP02",0)</f>
        <v>0</v>
      </c>
      <c r="K14" s="133" t="str">
        <f>IF(I14&gt;=H14,"Batal",0)</f>
        <v>Batal</v>
      </c>
      <c r="L14" s="134"/>
      <c r="M14" s="16" t="s">
        <v>214</v>
      </c>
      <c r="N14" s="32"/>
      <c r="O14"/>
    </row>
    <row r="15" spans="3:15" ht="30.75" thickBot="1" x14ac:dyDescent="0.3">
      <c r="C15" s="201"/>
      <c r="D15" s="202"/>
      <c r="E15" s="203"/>
      <c r="F15" s="23" t="s">
        <v>20</v>
      </c>
      <c r="G15" s="129" t="s">
        <v>59</v>
      </c>
      <c r="H15" s="134" t="s">
        <v>15</v>
      </c>
      <c r="I15" s="131" t="s">
        <v>16</v>
      </c>
      <c r="J15" s="132">
        <f>IF(I15=H15,"RDP02",0)</f>
        <v>0</v>
      </c>
      <c r="K15" s="133" t="str">
        <f>IF(I15=H15,0,"Batal")</f>
        <v>Batal</v>
      </c>
      <c r="L15" s="91"/>
      <c r="M15" s="16" t="s">
        <v>291</v>
      </c>
      <c r="N15" s="39" t="s">
        <v>264</v>
      </c>
      <c r="O15"/>
    </row>
    <row r="16" spans="3:15" ht="26.25" thickBot="1" x14ac:dyDescent="0.3">
      <c r="C16" s="69" t="s">
        <v>125</v>
      </c>
      <c r="D16" s="54" t="s">
        <v>29</v>
      </c>
      <c r="E16" s="46" t="s">
        <v>30</v>
      </c>
      <c r="F16" s="10" t="s">
        <v>28</v>
      </c>
      <c r="G16" s="123" t="s">
        <v>5</v>
      </c>
      <c r="H16" s="124" t="s">
        <v>6</v>
      </c>
      <c r="I16" s="125" t="s">
        <v>33</v>
      </c>
      <c r="J16" s="126">
        <f>IF(I16=H16,"RTU01",0)</f>
        <v>0</v>
      </c>
      <c r="K16" s="127" t="str">
        <f>IF(I16=H16,0,"Batal")</f>
        <v>Batal</v>
      </c>
      <c r="L16" s="128"/>
      <c r="M16" s="15" t="s">
        <v>76</v>
      </c>
      <c r="N16" s="35"/>
      <c r="O16"/>
    </row>
    <row r="17" spans="3:15" ht="30.75" thickBot="1" x14ac:dyDescent="0.3">
      <c r="C17" s="70"/>
      <c r="D17" s="54"/>
      <c r="E17" s="46"/>
      <c r="F17" s="23" t="s">
        <v>57</v>
      </c>
      <c r="G17" s="129" t="s">
        <v>60</v>
      </c>
      <c r="H17" s="130">
        <v>0.5</v>
      </c>
      <c r="I17" s="131">
        <v>0.2</v>
      </c>
      <c r="J17" s="132" t="str">
        <f>IF(I17&lt;H17,"RTU01",0)</f>
        <v>RTU01</v>
      </c>
      <c r="K17" s="133">
        <f>IF(I17&gt;=H17,"Batal",0)</f>
        <v>0</v>
      </c>
      <c r="L17" s="134" t="s">
        <v>307</v>
      </c>
      <c r="M17" s="16" t="s">
        <v>73</v>
      </c>
      <c r="N17" s="32"/>
      <c r="O17"/>
    </row>
    <row r="18" spans="3:15" ht="30.75" thickBot="1" x14ac:dyDescent="0.3">
      <c r="C18" s="70"/>
      <c r="D18" s="54"/>
      <c r="E18" s="46"/>
      <c r="F18" s="23" t="s">
        <v>242</v>
      </c>
      <c r="G18" s="129" t="s">
        <v>64</v>
      </c>
      <c r="H18" s="130">
        <v>25</v>
      </c>
      <c r="I18" s="131">
        <v>28</v>
      </c>
      <c r="J18" s="132">
        <f>IF(I18&lt;H18,"RTU01",0)</f>
        <v>0</v>
      </c>
      <c r="K18" s="133" t="str">
        <f>IF(I18&gt;H18,"E1",0)</f>
        <v>E1</v>
      </c>
      <c r="L18" s="134"/>
      <c r="M18" s="16" t="s">
        <v>234</v>
      </c>
      <c r="N18" s="32"/>
      <c r="O18"/>
    </row>
    <row r="19" spans="3:15" ht="30.75" thickBot="1" x14ac:dyDescent="0.3">
      <c r="C19" s="70"/>
      <c r="D19" s="54"/>
      <c r="E19" s="46"/>
      <c r="F19" s="23" t="s">
        <v>28</v>
      </c>
      <c r="G19" s="129" t="s">
        <v>31</v>
      </c>
      <c r="H19" s="142">
        <v>3</v>
      </c>
      <c r="I19" s="131">
        <v>2</v>
      </c>
      <c r="J19" s="132" t="str">
        <f>IF(I19&lt;H19,"Tempat tidur",0)</f>
        <v>Tempat tidur</v>
      </c>
      <c r="K19" s="133">
        <f>IF(I19&lt;H19,0,"Batal")</f>
        <v>0</v>
      </c>
      <c r="L19" s="134"/>
      <c r="M19" s="86" t="s">
        <v>323</v>
      </c>
      <c r="N19" s="32"/>
      <c r="O19"/>
    </row>
    <row r="20" spans="3:15" ht="15.75" thickBot="1" x14ac:dyDescent="0.3">
      <c r="C20" s="71"/>
      <c r="D20" s="54"/>
      <c r="E20" s="46"/>
      <c r="F20" s="7" t="s">
        <v>14</v>
      </c>
      <c r="G20" s="143" t="s">
        <v>21</v>
      </c>
      <c r="H20" s="144">
        <v>50</v>
      </c>
      <c r="I20" s="145">
        <v>150</v>
      </c>
      <c r="J20" s="146">
        <f>IF(I20&lt;=H20,"Tempat tidur",0)</f>
        <v>0</v>
      </c>
      <c r="K20" s="147" t="str">
        <f>IF(I20&gt;H20,"L2",0)</f>
        <v>L2</v>
      </c>
      <c r="L20" s="148" t="s">
        <v>133</v>
      </c>
      <c r="M20" s="21" t="s">
        <v>310</v>
      </c>
      <c r="N20" s="149"/>
      <c r="O20"/>
    </row>
    <row r="21" spans="3:15" ht="15.75" thickBot="1" x14ac:dyDescent="0.3">
      <c r="C21" s="69" t="s">
        <v>126</v>
      </c>
      <c r="D21" s="48" t="s">
        <v>32</v>
      </c>
      <c r="E21" s="46" t="s">
        <v>141</v>
      </c>
      <c r="F21" s="10" t="s">
        <v>14</v>
      </c>
      <c r="G21" s="123" t="s">
        <v>21</v>
      </c>
      <c r="H21" s="124">
        <v>150</v>
      </c>
      <c r="I21" s="125">
        <v>100</v>
      </c>
      <c r="J21" s="126">
        <f>IF(I21&gt;=H21,"Pintu",0)</f>
        <v>0</v>
      </c>
      <c r="K21" s="127" t="str">
        <f>IF(I21&lt;H21,"L1",0)</f>
        <v>L1</v>
      </c>
      <c r="L21" s="128"/>
      <c r="M21" s="15" t="s">
        <v>279</v>
      </c>
      <c r="N21" s="140"/>
      <c r="O21"/>
    </row>
    <row r="22" spans="3:15" ht="26.25" thickBot="1" x14ac:dyDescent="0.3">
      <c r="C22" s="70"/>
      <c r="D22" s="48"/>
      <c r="E22" s="46"/>
      <c r="F22" s="23" t="s">
        <v>28</v>
      </c>
      <c r="G22" s="129" t="s">
        <v>5</v>
      </c>
      <c r="H22" s="130" t="s">
        <v>6</v>
      </c>
      <c r="I22" s="131" t="s">
        <v>33</v>
      </c>
      <c r="J22" s="132">
        <f>IF(I22=H22,"Bak mandi",0)</f>
        <v>0</v>
      </c>
      <c r="K22" s="133" t="str">
        <f>IF(I22=H22,0,"RKM03")</f>
        <v>RKM03</v>
      </c>
      <c r="L22" s="134" t="s">
        <v>307</v>
      </c>
      <c r="M22" s="16" t="s">
        <v>142</v>
      </c>
      <c r="N22" s="32"/>
      <c r="O22"/>
    </row>
    <row r="23" spans="3:15" ht="39" thickBot="1" x14ac:dyDescent="0.3">
      <c r="C23" s="70"/>
      <c r="D23" s="48"/>
      <c r="E23" s="46"/>
      <c r="F23" s="23" t="s">
        <v>20</v>
      </c>
      <c r="G23" s="129" t="s">
        <v>61</v>
      </c>
      <c r="H23" s="105">
        <v>10</v>
      </c>
      <c r="I23" s="131">
        <v>10</v>
      </c>
      <c r="J23" s="132" t="str">
        <f>IF(I23&gt;=H23,"Kloset",0)</f>
        <v>Kloset</v>
      </c>
      <c r="K23" s="133">
        <f>IF(I23&gt;=H23,0,"D1")</f>
        <v>0</v>
      </c>
      <c r="L23" s="134" t="s">
        <v>311</v>
      </c>
      <c r="M23" s="86" t="s">
        <v>324</v>
      </c>
      <c r="N23" s="38" t="s">
        <v>262</v>
      </c>
      <c r="O23"/>
    </row>
    <row r="24" spans="3:15" ht="15.75" thickBot="1" x14ac:dyDescent="0.3">
      <c r="C24" s="70"/>
      <c r="D24" s="48"/>
      <c r="E24" s="49" t="s">
        <v>143</v>
      </c>
      <c r="F24" s="23" t="s">
        <v>14</v>
      </c>
      <c r="G24" s="129" t="s">
        <v>21</v>
      </c>
      <c r="H24" s="130">
        <v>150</v>
      </c>
      <c r="I24" s="131">
        <v>100</v>
      </c>
      <c r="J24" s="132">
        <f>IF(I24&gt;=H24,"Pintu",0)</f>
        <v>0</v>
      </c>
      <c r="K24" s="133" t="str">
        <f>IF(I24&lt;H24,"L1",0)</f>
        <v>L1</v>
      </c>
      <c r="L24" s="134"/>
      <c r="M24" s="16" t="s">
        <v>279</v>
      </c>
      <c r="N24" s="38"/>
      <c r="O24"/>
    </row>
    <row r="25" spans="3:15" ht="26.25" thickBot="1" x14ac:dyDescent="0.3">
      <c r="C25" s="70"/>
      <c r="D25" s="48"/>
      <c r="E25" s="49"/>
      <c r="F25" s="23" t="s">
        <v>28</v>
      </c>
      <c r="G25" s="129" t="s">
        <v>5</v>
      </c>
      <c r="H25" s="130" t="s">
        <v>6</v>
      </c>
      <c r="I25" s="131" t="s">
        <v>33</v>
      </c>
      <c r="J25" s="132">
        <f>IF(I25=H25,"Bak mandi",0)</f>
        <v>0</v>
      </c>
      <c r="K25" s="133" t="str">
        <f>IF(I25=H25,0,"Batal")</f>
        <v>Batal</v>
      </c>
      <c r="L25" s="134" t="s">
        <v>307</v>
      </c>
      <c r="M25" s="16" t="s">
        <v>75</v>
      </c>
      <c r="N25" s="38"/>
      <c r="O25"/>
    </row>
    <row r="26" spans="3:15" ht="39" thickBot="1" x14ac:dyDescent="0.3">
      <c r="C26" s="71"/>
      <c r="D26" s="48"/>
      <c r="E26" s="49"/>
      <c r="F26" s="11" t="s">
        <v>20</v>
      </c>
      <c r="G26" s="135" t="s">
        <v>61</v>
      </c>
      <c r="H26" s="111">
        <v>10</v>
      </c>
      <c r="I26" s="137">
        <v>10</v>
      </c>
      <c r="J26" s="138" t="str">
        <f>IF(I26&gt;=H26,"Kloset",0)</f>
        <v>Kloset</v>
      </c>
      <c r="K26" s="139">
        <f>IF(I26&gt;=H26,0,"D1")</f>
        <v>0</v>
      </c>
      <c r="L26" s="150" t="s">
        <v>311</v>
      </c>
      <c r="M26" s="93" t="s">
        <v>324</v>
      </c>
      <c r="N26" s="38" t="s">
        <v>262</v>
      </c>
      <c r="O26"/>
    </row>
    <row r="27" spans="3:15" ht="15.75" thickBot="1" x14ac:dyDescent="0.3">
      <c r="C27" s="69" t="s">
        <v>127</v>
      </c>
      <c r="D27" s="48" t="s">
        <v>34</v>
      </c>
      <c r="E27" s="46" t="s">
        <v>141</v>
      </c>
      <c r="F27" s="10" t="s">
        <v>14</v>
      </c>
      <c r="G27" s="123" t="s">
        <v>21</v>
      </c>
      <c r="H27" s="124">
        <v>150</v>
      </c>
      <c r="I27" s="125">
        <v>100</v>
      </c>
      <c r="J27" s="126">
        <f>IF(I27&gt;=H27,"Pintu",0)</f>
        <v>0</v>
      </c>
      <c r="K27" s="127" t="str">
        <f>IF(I27&lt;H27,"L1",0)</f>
        <v>L1</v>
      </c>
      <c r="L27" s="128"/>
      <c r="M27" s="15" t="s">
        <v>279</v>
      </c>
      <c r="N27" s="140"/>
      <c r="O27"/>
    </row>
    <row r="28" spans="3:15" ht="26.25" thickBot="1" x14ac:dyDescent="0.3">
      <c r="C28" s="70"/>
      <c r="D28" s="56"/>
      <c r="E28" s="46"/>
      <c r="F28" s="23" t="s">
        <v>28</v>
      </c>
      <c r="G28" s="129" t="s">
        <v>5</v>
      </c>
      <c r="H28" s="130" t="s">
        <v>6</v>
      </c>
      <c r="I28" s="131" t="s">
        <v>33</v>
      </c>
      <c r="J28" s="132">
        <f>IF(I28=H28,"Bak mandi",0)</f>
        <v>0</v>
      </c>
      <c r="K28" s="133" t="str">
        <f>IF(I28=H28,0,"RKM03")</f>
        <v>RKM03</v>
      </c>
      <c r="L28" s="134" t="s">
        <v>307</v>
      </c>
      <c r="M28" s="16" t="s">
        <v>142</v>
      </c>
      <c r="N28" s="32"/>
      <c r="O28"/>
    </row>
    <row r="29" spans="3:15" ht="38.25" x14ac:dyDescent="0.25">
      <c r="C29" s="70"/>
      <c r="D29" s="56"/>
      <c r="E29" s="46"/>
      <c r="F29" s="23" t="s">
        <v>20</v>
      </c>
      <c r="G29" s="129" t="s">
        <v>61</v>
      </c>
      <c r="H29" s="134">
        <v>15</v>
      </c>
      <c r="I29" s="131">
        <v>5</v>
      </c>
      <c r="J29" s="132">
        <f>IF(I29&gt;=H29,"Kloset",0)</f>
        <v>0</v>
      </c>
      <c r="K29" s="133" t="str">
        <f>IF(I29&gt;=H29,0,"D1")</f>
        <v>D1</v>
      </c>
      <c r="L29" s="134" t="s">
        <v>311</v>
      </c>
      <c r="M29" s="16" t="s">
        <v>254</v>
      </c>
      <c r="N29" s="38" t="s">
        <v>262</v>
      </c>
      <c r="O29"/>
    </row>
    <row r="30" spans="3:15" x14ac:dyDescent="0.25">
      <c r="C30" s="70"/>
      <c r="D30" s="56"/>
      <c r="E30" s="49" t="s">
        <v>143</v>
      </c>
      <c r="F30" s="23" t="s">
        <v>14</v>
      </c>
      <c r="G30" s="129" t="s">
        <v>21</v>
      </c>
      <c r="H30" s="130">
        <v>150</v>
      </c>
      <c r="I30" s="131">
        <v>100</v>
      </c>
      <c r="J30" s="146">
        <f>IF(I30&gt;=H30,"Pintu",0)</f>
        <v>0</v>
      </c>
      <c r="K30" s="147" t="str">
        <f>IF(I30&lt;H30,"L1",0)</f>
        <v>L1</v>
      </c>
      <c r="L30" s="134"/>
      <c r="M30" s="16" t="s">
        <v>279</v>
      </c>
      <c r="N30" s="38"/>
      <c r="O30"/>
    </row>
    <row r="31" spans="3:15" ht="25.5" x14ac:dyDescent="0.25">
      <c r="C31" s="70"/>
      <c r="D31" s="56"/>
      <c r="E31" s="55"/>
      <c r="F31" s="23" t="s">
        <v>28</v>
      </c>
      <c r="G31" s="129" t="s">
        <v>5</v>
      </c>
      <c r="H31" s="130" t="s">
        <v>6</v>
      </c>
      <c r="I31" s="131" t="s">
        <v>33</v>
      </c>
      <c r="J31" s="132">
        <f>IF(I31=H31,"Bak mandi",0)</f>
        <v>0</v>
      </c>
      <c r="K31" s="133" t="str">
        <f>IF(I31=H31,0,"Batal")</f>
        <v>Batal</v>
      </c>
      <c r="L31" s="134" t="s">
        <v>307</v>
      </c>
      <c r="M31" s="16" t="s">
        <v>75</v>
      </c>
      <c r="N31" s="38"/>
      <c r="O31"/>
    </row>
    <row r="32" spans="3:15" ht="39" thickBot="1" x14ac:dyDescent="0.3">
      <c r="C32" s="71"/>
      <c r="D32" s="57"/>
      <c r="E32" s="47"/>
      <c r="F32" s="11" t="s">
        <v>20</v>
      </c>
      <c r="G32" s="135" t="s">
        <v>61</v>
      </c>
      <c r="H32" s="150">
        <v>15</v>
      </c>
      <c r="I32" s="137">
        <v>5</v>
      </c>
      <c r="J32" s="138">
        <f>IF(I32&gt;=H32,"Kloset",0)</f>
        <v>0</v>
      </c>
      <c r="K32" s="139" t="str">
        <f>IF(I32&gt;=H32,0,"D1")</f>
        <v>D1</v>
      </c>
      <c r="L32" s="150" t="s">
        <v>311</v>
      </c>
      <c r="M32" s="18" t="s">
        <v>254</v>
      </c>
      <c r="N32" s="39" t="s">
        <v>262</v>
      </c>
      <c r="O32"/>
    </row>
    <row r="33" spans="3:15" x14ac:dyDescent="0.25">
      <c r="C33" s="78" t="s">
        <v>128</v>
      </c>
      <c r="D33" s="42" t="s">
        <v>35</v>
      </c>
      <c r="E33" s="46" t="s">
        <v>141</v>
      </c>
      <c r="F33" s="10" t="s">
        <v>14</v>
      </c>
      <c r="G33" s="123" t="s">
        <v>21</v>
      </c>
      <c r="H33" s="124">
        <v>150</v>
      </c>
      <c r="I33" s="125">
        <v>100</v>
      </c>
      <c r="J33" s="126">
        <f>IF(I33&gt;=H33,"Pintu",0)</f>
        <v>0</v>
      </c>
      <c r="K33" s="127" t="str">
        <f>IF(I33&lt;H33,"L1",0)</f>
        <v>L1</v>
      </c>
      <c r="L33" s="128"/>
      <c r="M33" s="15" t="s">
        <v>279</v>
      </c>
      <c r="N33" s="140"/>
      <c r="O33"/>
    </row>
    <row r="34" spans="3:15" ht="30" x14ac:dyDescent="0.25">
      <c r="C34" s="79"/>
      <c r="D34" s="74"/>
      <c r="E34" s="55"/>
      <c r="F34" s="23" t="s">
        <v>57</v>
      </c>
      <c r="G34" s="129" t="s">
        <v>60</v>
      </c>
      <c r="H34" s="130">
        <v>0</v>
      </c>
      <c r="I34" s="131">
        <v>0.2</v>
      </c>
      <c r="J34" s="132">
        <f>IF(I34&lt;=H34,"Pintu",0)</f>
        <v>0</v>
      </c>
      <c r="K34" s="133" t="str">
        <f>IF(I34&gt;H34,"Batal",0)</f>
        <v>Batal</v>
      </c>
      <c r="L34" s="134"/>
      <c r="M34" s="16" t="s">
        <v>77</v>
      </c>
      <c r="N34" s="32"/>
      <c r="O34"/>
    </row>
    <row r="35" spans="3:15" ht="25.5" x14ac:dyDescent="0.25">
      <c r="C35" s="79"/>
      <c r="D35" s="74"/>
      <c r="E35" s="55"/>
      <c r="F35" s="23" t="s">
        <v>28</v>
      </c>
      <c r="G35" s="129" t="s">
        <v>5</v>
      </c>
      <c r="H35" s="130" t="s">
        <v>6</v>
      </c>
      <c r="I35" s="131" t="s">
        <v>33</v>
      </c>
      <c r="J35" s="132">
        <f>IF(I35=H35,"Bak mandi",0)</f>
        <v>0</v>
      </c>
      <c r="K35" s="133" t="str">
        <f>IF(I35=H35,0,"RMK03")</f>
        <v>RMK03</v>
      </c>
      <c r="L35" s="134" t="s">
        <v>307</v>
      </c>
      <c r="M35" s="16" t="s">
        <v>142</v>
      </c>
      <c r="N35" s="32"/>
      <c r="O35"/>
    </row>
    <row r="36" spans="3:15" ht="38.25" x14ac:dyDescent="0.25">
      <c r="C36" s="79"/>
      <c r="D36" s="74"/>
      <c r="E36" s="64"/>
      <c r="F36" s="23" t="s">
        <v>20</v>
      </c>
      <c r="G36" s="129" t="s">
        <v>61</v>
      </c>
      <c r="H36" s="134">
        <v>90</v>
      </c>
      <c r="I36" s="131">
        <v>10</v>
      </c>
      <c r="J36" s="132">
        <f>IF(I36&gt;=H36,"Bak mandi",0)</f>
        <v>0</v>
      </c>
      <c r="K36" s="133" t="str">
        <f>IF(I36&gt;=H36,0,"D1")</f>
        <v>D1</v>
      </c>
      <c r="L36" s="134" t="s">
        <v>311</v>
      </c>
      <c r="M36" s="16" t="s">
        <v>253</v>
      </c>
      <c r="N36" s="38" t="s">
        <v>262</v>
      </c>
      <c r="O36"/>
    </row>
    <row r="37" spans="3:15" x14ac:dyDescent="0.25">
      <c r="C37" s="79"/>
      <c r="D37" s="74"/>
      <c r="E37" s="119" t="s">
        <v>341</v>
      </c>
      <c r="F37" s="105" t="s">
        <v>14</v>
      </c>
      <c r="G37" s="163" t="s">
        <v>21</v>
      </c>
      <c r="H37" s="142">
        <v>150</v>
      </c>
      <c r="I37" s="163">
        <v>100</v>
      </c>
      <c r="J37" s="164">
        <f>IF(I37&gt;=H37,"Pintu",0)</f>
        <v>0</v>
      </c>
      <c r="K37" s="165" t="str">
        <f>IF(I37&lt;H37,"L1",0)</f>
        <v>L1</v>
      </c>
      <c r="L37" s="105"/>
      <c r="M37" s="86" t="s">
        <v>279</v>
      </c>
      <c r="N37" s="120"/>
      <c r="O37"/>
    </row>
    <row r="38" spans="3:15" ht="30" x14ac:dyDescent="0.25">
      <c r="C38" s="79"/>
      <c r="D38" s="74"/>
      <c r="E38" s="119"/>
      <c r="F38" s="105" t="s">
        <v>57</v>
      </c>
      <c r="G38" s="163" t="s">
        <v>60</v>
      </c>
      <c r="H38" s="142">
        <v>0</v>
      </c>
      <c r="I38" s="163">
        <v>0.2</v>
      </c>
      <c r="J38" s="164">
        <f>IF(I38&lt;=H38,"Pintu",0)</f>
        <v>0</v>
      </c>
      <c r="K38" s="165" t="str">
        <f>IF(I38&gt;H38,"Batal",0)</f>
        <v>Batal</v>
      </c>
      <c r="L38" s="105"/>
      <c r="M38" s="86" t="s">
        <v>77</v>
      </c>
      <c r="N38" s="120"/>
      <c r="O38"/>
    </row>
    <row r="39" spans="3:15" ht="25.5" x14ac:dyDescent="0.25">
      <c r="C39" s="79"/>
      <c r="D39" s="74"/>
      <c r="E39" s="119"/>
      <c r="F39" s="105" t="s">
        <v>28</v>
      </c>
      <c r="G39" s="163" t="s">
        <v>5</v>
      </c>
      <c r="H39" s="142" t="s">
        <v>6</v>
      </c>
      <c r="I39" s="163" t="s">
        <v>33</v>
      </c>
      <c r="J39" s="164">
        <f>IF(I39=H39,"Bak mandi",0)</f>
        <v>0</v>
      </c>
      <c r="K39" s="165" t="str">
        <f>IF(I39=H39,0,"Batal")</f>
        <v>Batal</v>
      </c>
      <c r="L39" s="105" t="s">
        <v>307</v>
      </c>
      <c r="M39" s="86" t="s">
        <v>75</v>
      </c>
      <c r="N39" s="120"/>
      <c r="O39"/>
    </row>
    <row r="40" spans="3:15" ht="39" thickBot="1" x14ac:dyDescent="0.3">
      <c r="C40" s="80"/>
      <c r="D40" s="43"/>
      <c r="E40" s="119"/>
      <c r="F40" s="105" t="s">
        <v>20</v>
      </c>
      <c r="G40" s="163" t="s">
        <v>61</v>
      </c>
      <c r="H40" s="105">
        <v>90</v>
      </c>
      <c r="I40" s="163">
        <v>10</v>
      </c>
      <c r="J40" s="164">
        <f>IF(I40&gt;=H40,"Bak mandi",0)</f>
        <v>0</v>
      </c>
      <c r="K40" s="165" t="str">
        <f>IF(I40&gt;=H40,0,"D1")</f>
        <v>D1</v>
      </c>
      <c r="L40" s="105" t="s">
        <v>311</v>
      </c>
      <c r="M40" s="86" t="s">
        <v>253</v>
      </c>
      <c r="N40" s="121" t="s">
        <v>262</v>
      </c>
      <c r="O40"/>
    </row>
    <row r="41" spans="3:15" ht="15" customHeight="1" x14ac:dyDescent="0.25">
      <c r="C41" s="44" t="s">
        <v>243</v>
      </c>
      <c r="D41" s="48" t="s">
        <v>244</v>
      </c>
      <c r="E41" s="46" t="s">
        <v>30</v>
      </c>
      <c r="F41" s="10" t="s">
        <v>14</v>
      </c>
      <c r="G41" s="123" t="s">
        <v>21</v>
      </c>
      <c r="H41" s="124">
        <v>150</v>
      </c>
      <c r="I41" s="125">
        <v>100</v>
      </c>
      <c r="J41" s="126">
        <f>IF(I41&gt;=H41,"Pintu",0)</f>
        <v>0</v>
      </c>
      <c r="K41" s="127" t="str">
        <f>IF(I41&lt;H41,"L1",0)</f>
        <v>L1</v>
      </c>
      <c r="L41" s="128"/>
      <c r="M41" s="15" t="s">
        <v>279</v>
      </c>
      <c r="N41" s="140"/>
      <c r="O41"/>
    </row>
    <row r="42" spans="3:15" ht="25.5" x14ac:dyDescent="0.25">
      <c r="C42" s="68"/>
      <c r="D42" s="56"/>
      <c r="E42" s="55"/>
      <c r="F42" s="7" t="s">
        <v>28</v>
      </c>
      <c r="G42" s="143" t="s">
        <v>5</v>
      </c>
      <c r="H42" s="144" t="s">
        <v>6</v>
      </c>
      <c r="I42" s="145" t="s">
        <v>33</v>
      </c>
      <c r="J42" s="146">
        <f>IF(I42=H42,"RTU01",0)</f>
        <v>0</v>
      </c>
      <c r="K42" s="147" t="str">
        <f>IF(I42=H42,0,"Batal")</f>
        <v>Batal</v>
      </c>
      <c r="L42" s="148"/>
      <c r="M42" s="21" t="s">
        <v>76</v>
      </c>
      <c r="N42" s="36"/>
      <c r="O42"/>
    </row>
    <row r="43" spans="3:15" ht="30.75" thickBot="1" x14ac:dyDescent="0.3">
      <c r="C43" s="45"/>
      <c r="D43" s="57"/>
      <c r="E43" s="47"/>
      <c r="F43" s="23" t="s">
        <v>57</v>
      </c>
      <c r="G43" s="129" t="s">
        <v>60</v>
      </c>
      <c r="H43" s="130">
        <v>0.5</v>
      </c>
      <c r="I43" s="131">
        <v>0.2</v>
      </c>
      <c r="J43" s="132" t="str">
        <f>IF(I43&lt;H43,"RTU01",0)</f>
        <v>RTU01</v>
      </c>
      <c r="K43" s="133">
        <f>IF(I43&gt;=H43,"Batal",0)</f>
        <v>0</v>
      </c>
      <c r="L43" s="134" t="s">
        <v>312</v>
      </c>
      <c r="M43" s="16" t="s">
        <v>78</v>
      </c>
      <c r="N43" s="32"/>
      <c r="O43"/>
    </row>
    <row r="44" spans="3:15" ht="45" customHeight="1" x14ac:dyDescent="0.25">
      <c r="C44" s="100" t="s">
        <v>327</v>
      </c>
      <c r="D44" s="97" t="s">
        <v>328</v>
      </c>
      <c r="E44" s="95" t="s">
        <v>30</v>
      </c>
      <c r="F44" s="109" t="s">
        <v>14</v>
      </c>
      <c r="G44" s="151" t="s">
        <v>21</v>
      </c>
      <c r="H44" s="152">
        <v>150</v>
      </c>
      <c r="I44" s="151">
        <v>100</v>
      </c>
      <c r="J44" s="153">
        <f>IF(I44&gt;=H44,"Pintu",0)</f>
        <v>0</v>
      </c>
      <c r="K44" s="154" t="str">
        <f>IF(I44&lt;H44,"L1",0)</f>
        <v>L1</v>
      </c>
      <c r="L44" s="109"/>
      <c r="M44" s="110" t="s">
        <v>279</v>
      </c>
      <c r="N44" s="140"/>
      <c r="O44"/>
    </row>
    <row r="45" spans="3:15" ht="25.5" x14ac:dyDescent="0.25">
      <c r="C45" s="103"/>
      <c r="D45" s="98"/>
      <c r="E45" s="106"/>
      <c r="F45" s="101" t="s">
        <v>28</v>
      </c>
      <c r="G45" s="155" t="s">
        <v>5</v>
      </c>
      <c r="H45" s="156" t="s">
        <v>6</v>
      </c>
      <c r="I45" s="155" t="s">
        <v>33</v>
      </c>
      <c r="J45" s="157">
        <f>IF(I45=H45,"RTU01",0)</f>
        <v>0</v>
      </c>
      <c r="K45" s="158" t="str">
        <f>IF(I45=H45,0,"Batal")</f>
        <v>Batal</v>
      </c>
      <c r="L45" s="101"/>
      <c r="M45" s="102" t="s">
        <v>76</v>
      </c>
      <c r="N45" s="36"/>
      <c r="O45"/>
    </row>
    <row r="46" spans="3:15" ht="30.75" thickBot="1" x14ac:dyDescent="0.3">
      <c r="C46" s="107"/>
      <c r="D46" s="99"/>
      <c r="E46" s="108"/>
      <c r="F46" s="111" t="s">
        <v>57</v>
      </c>
      <c r="G46" s="159" t="s">
        <v>60</v>
      </c>
      <c r="H46" s="160">
        <v>1</v>
      </c>
      <c r="I46" s="159">
        <v>0.2</v>
      </c>
      <c r="J46" s="161" t="str">
        <f>IF(I46&lt;H46,"RTU01",0)</f>
        <v>RTU01</v>
      </c>
      <c r="K46" s="162">
        <f>IF(I46&gt;=H46,"Batal",0)</f>
        <v>0</v>
      </c>
      <c r="L46" s="111" t="s">
        <v>312</v>
      </c>
      <c r="M46" s="93" t="s">
        <v>333</v>
      </c>
      <c r="N46" s="141"/>
      <c r="O46"/>
    </row>
    <row r="47" spans="3:15" ht="30" customHeight="1" x14ac:dyDescent="0.25">
      <c r="C47" s="100" t="s">
        <v>329</v>
      </c>
      <c r="D47" s="97" t="s">
        <v>330</v>
      </c>
      <c r="E47" s="95" t="s">
        <v>24</v>
      </c>
      <c r="F47" s="101" t="s">
        <v>14</v>
      </c>
      <c r="G47" s="155" t="s">
        <v>21</v>
      </c>
      <c r="H47" s="156">
        <v>150</v>
      </c>
      <c r="I47" s="155">
        <v>100</v>
      </c>
      <c r="J47" s="157">
        <f>IF(I47&gt;=H47,"Pintu",0)</f>
        <v>0</v>
      </c>
      <c r="K47" s="158" t="str">
        <f>IF(I47&lt;H47,"L1",0)</f>
        <v>L1</v>
      </c>
      <c r="L47" s="101"/>
      <c r="M47" s="102" t="s">
        <v>279</v>
      </c>
      <c r="N47" s="149"/>
      <c r="O47"/>
    </row>
    <row r="48" spans="3:15" ht="30" x14ac:dyDescent="0.25">
      <c r="C48" s="103"/>
      <c r="D48" s="98"/>
      <c r="E48" s="104"/>
      <c r="F48" s="105" t="s">
        <v>57</v>
      </c>
      <c r="G48" s="163" t="s">
        <v>60</v>
      </c>
      <c r="H48" s="142">
        <v>1</v>
      </c>
      <c r="I48" s="163">
        <v>0.2</v>
      </c>
      <c r="J48" s="164" t="str">
        <f>IF(I48&lt;H48,"RKG01",0)</f>
        <v>RKG01</v>
      </c>
      <c r="K48" s="165">
        <f>IF(I48&gt;=H48,"Batal",0)</f>
        <v>0</v>
      </c>
      <c r="L48" s="105" t="s">
        <v>135</v>
      </c>
      <c r="M48" s="86" t="s">
        <v>331</v>
      </c>
      <c r="N48" s="32"/>
      <c r="O48"/>
    </row>
    <row r="49" spans="3:15" x14ac:dyDescent="0.25">
      <c r="C49" s="103"/>
      <c r="D49" s="98"/>
      <c r="E49" s="106" t="s">
        <v>137</v>
      </c>
      <c r="F49" s="101" t="s">
        <v>14</v>
      </c>
      <c r="G49" s="155" t="s">
        <v>21</v>
      </c>
      <c r="H49" s="156">
        <v>150</v>
      </c>
      <c r="I49" s="155">
        <v>100</v>
      </c>
      <c r="J49" s="157">
        <f>IF(I49&gt;=H49,"RDP02",0)</f>
        <v>0</v>
      </c>
      <c r="K49" s="158" t="str">
        <f>IF(I49&lt;H49,"L1",0)</f>
        <v>L1</v>
      </c>
      <c r="L49" s="101"/>
      <c r="M49" s="102" t="s">
        <v>267</v>
      </c>
      <c r="N49" s="149"/>
      <c r="O49"/>
    </row>
    <row r="50" spans="3:15" ht="30.75" thickBot="1" x14ac:dyDescent="0.3">
      <c r="C50" s="107"/>
      <c r="D50" s="99"/>
      <c r="E50" s="108"/>
      <c r="F50" s="105" t="s">
        <v>57</v>
      </c>
      <c r="G50" s="163" t="s">
        <v>60</v>
      </c>
      <c r="H50" s="142">
        <v>1</v>
      </c>
      <c r="I50" s="163">
        <v>0.2</v>
      </c>
      <c r="J50" s="164" t="str">
        <f>IF(I50&lt;H50,"RDP02",0)</f>
        <v>RDP02</v>
      </c>
      <c r="K50" s="165">
        <f>IF(I50&gt;=H50,"Batal",0)</f>
        <v>0</v>
      </c>
      <c r="L50" s="105" t="s">
        <v>135</v>
      </c>
      <c r="M50" s="86" t="s">
        <v>332</v>
      </c>
      <c r="N50" s="32"/>
      <c r="O50"/>
    </row>
    <row r="51" spans="3:15" ht="30.75" thickBot="1" x14ac:dyDescent="0.3">
      <c r="C51" s="27" t="s">
        <v>134</v>
      </c>
      <c r="D51" s="26" t="s">
        <v>104</v>
      </c>
      <c r="E51" s="112" t="s">
        <v>207</v>
      </c>
      <c r="F51" s="10" t="s">
        <v>14</v>
      </c>
      <c r="G51" s="123" t="s">
        <v>21</v>
      </c>
      <c r="H51" s="124">
        <v>60</v>
      </c>
      <c r="I51" s="125">
        <v>100</v>
      </c>
      <c r="J51" s="126" t="str">
        <f>IF(I51&gt;H51,"L2",0)</f>
        <v>L2</v>
      </c>
      <c r="K51" s="127">
        <f>IF(I51&lt;=H51,"Batal",0)</f>
        <v>0</v>
      </c>
      <c r="L51" s="166"/>
      <c r="M51" s="15" t="s">
        <v>280</v>
      </c>
      <c r="N51" s="140"/>
      <c r="O51"/>
    </row>
    <row r="52" spans="3:15" x14ac:dyDescent="0.25">
      <c r="C52" s="81" t="s">
        <v>105</v>
      </c>
      <c r="D52" s="48" t="s">
        <v>51</v>
      </c>
      <c r="E52" s="46" t="s">
        <v>40</v>
      </c>
      <c r="F52" s="10" t="s">
        <v>14</v>
      </c>
      <c r="G52" s="123" t="s">
        <v>21</v>
      </c>
      <c r="H52" s="124">
        <v>100</v>
      </c>
      <c r="I52" s="125">
        <v>60</v>
      </c>
      <c r="J52" s="126">
        <f>IF(I52&gt;=H52,"RTS01",0)</f>
        <v>0</v>
      </c>
      <c r="K52" s="127" t="str">
        <f>IF(I52&lt;H52,"Batal",0)</f>
        <v>Batal</v>
      </c>
      <c r="L52" s="128"/>
      <c r="M52" s="19" t="s">
        <v>292</v>
      </c>
      <c r="N52" s="140"/>
      <c r="O52"/>
    </row>
    <row r="53" spans="3:15" ht="26.25" thickBot="1" x14ac:dyDescent="0.3">
      <c r="C53" s="82"/>
      <c r="D53" s="57"/>
      <c r="E53" s="47"/>
      <c r="F53" s="23" t="s">
        <v>28</v>
      </c>
      <c r="G53" s="129" t="s">
        <v>5</v>
      </c>
      <c r="H53" s="130" t="s">
        <v>6</v>
      </c>
      <c r="I53" s="131" t="s">
        <v>33</v>
      </c>
      <c r="J53" s="132">
        <f>IF(I53=H53,"RTS01",0)</f>
        <v>0</v>
      </c>
      <c r="K53" s="133" t="str">
        <f>IF(I53=H53,0,"R1")</f>
        <v>R1</v>
      </c>
      <c r="L53" s="134" t="s">
        <v>307</v>
      </c>
      <c r="M53" s="16" t="s">
        <v>316</v>
      </c>
      <c r="N53" s="32"/>
      <c r="O53"/>
    </row>
    <row r="54" spans="3:15" ht="25.5" x14ac:dyDescent="0.25">
      <c r="C54" s="58" t="s">
        <v>160</v>
      </c>
      <c r="D54" s="48" t="s">
        <v>44</v>
      </c>
      <c r="E54" s="46" t="s">
        <v>30</v>
      </c>
      <c r="F54" s="10" t="s">
        <v>28</v>
      </c>
      <c r="G54" s="123" t="s">
        <v>5</v>
      </c>
      <c r="H54" s="124" t="s">
        <v>6</v>
      </c>
      <c r="I54" s="125" t="s">
        <v>33</v>
      </c>
      <c r="J54" s="126">
        <f>IF(I54=H54,"RTU01",0)</f>
        <v>0</v>
      </c>
      <c r="K54" s="127" t="str">
        <f>IF(I54=H54,0,"Batal")</f>
        <v>Batal</v>
      </c>
      <c r="L54" s="128"/>
      <c r="M54" s="15" t="s">
        <v>76</v>
      </c>
      <c r="N54" s="140"/>
      <c r="O54"/>
    </row>
    <row r="55" spans="3:15" x14ac:dyDescent="0.25">
      <c r="C55" s="59"/>
      <c r="D55" s="56"/>
      <c r="E55" s="55"/>
      <c r="F55" s="23" t="s">
        <v>14</v>
      </c>
      <c r="G55" s="129" t="s">
        <v>21</v>
      </c>
      <c r="H55" s="130">
        <v>150</v>
      </c>
      <c r="I55" s="131">
        <v>100</v>
      </c>
      <c r="J55" s="132">
        <f>IF(I55&gt;=H55,"RTU01",0)</f>
        <v>0</v>
      </c>
      <c r="K55" s="133" t="str">
        <f>IF(I55&lt;H55,"L1",0)</f>
        <v>L1</v>
      </c>
      <c r="L55" s="134"/>
      <c r="M55" s="16" t="s">
        <v>281</v>
      </c>
      <c r="N55" s="32"/>
      <c r="O55"/>
    </row>
    <row r="56" spans="3:15" ht="30.75" thickBot="1" x14ac:dyDescent="0.3">
      <c r="C56" s="60"/>
      <c r="D56" s="57"/>
      <c r="E56" s="47"/>
      <c r="F56" s="11" t="s">
        <v>57</v>
      </c>
      <c r="G56" s="135" t="s">
        <v>60</v>
      </c>
      <c r="H56" s="136">
        <v>0.5</v>
      </c>
      <c r="I56" s="137">
        <v>0.2</v>
      </c>
      <c r="J56" s="138" t="str">
        <f>IF(I56&lt;H56,"RTU01",0)</f>
        <v>RTU01</v>
      </c>
      <c r="K56" s="139">
        <f>IF(I56&gt;=H56,"Batal",0)</f>
        <v>0</v>
      </c>
      <c r="L56" s="150"/>
      <c r="M56" s="18" t="s">
        <v>73</v>
      </c>
      <c r="N56" s="141" t="s">
        <v>65</v>
      </c>
      <c r="O56"/>
    </row>
    <row r="57" spans="3:15" ht="25.5" x14ac:dyDescent="0.25">
      <c r="C57" s="58" t="s">
        <v>161</v>
      </c>
      <c r="D57" s="48" t="s">
        <v>45</v>
      </c>
      <c r="E57" s="46" t="s">
        <v>46</v>
      </c>
      <c r="F57" s="10" t="s">
        <v>28</v>
      </c>
      <c r="G57" s="123" t="s">
        <v>5</v>
      </c>
      <c r="H57" s="124" t="s">
        <v>6</v>
      </c>
      <c r="I57" s="125" t="s">
        <v>33</v>
      </c>
      <c r="J57" s="126">
        <f>IF(I57=H57,"RTU02",0)</f>
        <v>0</v>
      </c>
      <c r="K57" s="127" t="str">
        <f>IF(I57=H57,0,"Batal")</f>
        <v>Batal</v>
      </c>
      <c r="L57" s="128"/>
      <c r="M57" s="15" t="s">
        <v>79</v>
      </c>
      <c r="N57" s="140"/>
      <c r="O57"/>
    </row>
    <row r="58" spans="3:15" x14ac:dyDescent="0.25">
      <c r="C58" s="59"/>
      <c r="D58" s="56"/>
      <c r="E58" s="55"/>
      <c r="F58" s="23" t="s">
        <v>14</v>
      </c>
      <c r="G58" s="129" t="s">
        <v>21</v>
      </c>
      <c r="H58" s="130">
        <v>150</v>
      </c>
      <c r="I58" s="131">
        <v>100</v>
      </c>
      <c r="J58" s="132">
        <f>IF(I58&gt;=H58,"RTU02",0)</f>
        <v>0</v>
      </c>
      <c r="K58" s="133" t="str">
        <f>IF(I58&lt;H58,"L1",0)</f>
        <v>L1</v>
      </c>
      <c r="L58" s="134"/>
      <c r="M58" s="16" t="s">
        <v>282</v>
      </c>
      <c r="N58" s="32"/>
      <c r="O58"/>
    </row>
    <row r="59" spans="3:15" ht="30.75" thickBot="1" x14ac:dyDescent="0.3">
      <c r="C59" s="60"/>
      <c r="D59" s="57"/>
      <c r="E59" s="47"/>
      <c r="F59" s="11" t="s">
        <v>57</v>
      </c>
      <c r="G59" s="135" t="s">
        <v>60</v>
      </c>
      <c r="H59" s="136">
        <v>0.5</v>
      </c>
      <c r="I59" s="137">
        <v>1</v>
      </c>
      <c r="J59" s="138">
        <f>IF(I59&lt;H59,"RTU02",0)</f>
        <v>0</v>
      </c>
      <c r="K59" s="139" t="str">
        <f>IF(I59&gt;=H59,"Batal",0)</f>
        <v>Batal</v>
      </c>
      <c r="L59" s="150"/>
      <c r="M59" s="18" t="s">
        <v>223</v>
      </c>
      <c r="N59" s="141" t="s">
        <v>65</v>
      </c>
      <c r="O59"/>
    </row>
    <row r="60" spans="3:15" x14ac:dyDescent="0.25">
      <c r="C60" s="58" t="s">
        <v>162</v>
      </c>
      <c r="D60" s="48" t="s">
        <v>144</v>
      </c>
      <c r="E60" s="46" t="s">
        <v>167</v>
      </c>
      <c r="F60" s="10" t="s">
        <v>14</v>
      </c>
      <c r="G60" s="123" t="s">
        <v>21</v>
      </c>
      <c r="H60" s="124">
        <v>150</v>
      </c>
      <c r="I60" s="125">
        <v>100</v>
      </c>
      <c r="J60" s="126">
        <f>IF(I60&gt;=H60,"RKJ01",0)</f>
        <v>0</v>
      </c>
      <c r="K60" s="127" t="str">
        <f>IF(I60&lt;H60,"L1",0)</f>
        <v>L1</v>
      </c>
      <c r="L60" s="128"/>
      <c r="M60" s="15" t="s">
        <v>283</v>
      </c>
      <c r="N60" s="140"/>
      <c r="O60"/>
    </row>
    <row r="61" spans="3:15" ht="30.75" thickBot="1" x14ac:dyDescent="0.3">
      <c r="C61" s="59"/>
      <c r="D61" s="57"/>
      <c r="E61" s="47"/>
      <c r="F61" s="11" t="s">
        <v>57</v>
      </c>
      <c r="G61" s="135" t="s">
        <v>60</v>
      </c>
      <c r="H61" s="136">
        <v>1</v>
      </c>
      <c r="I61" s="137">
        <v>1</v>
      </c>
      <c r="J61" s="138">
        <f>IF(I61&lt;H61,"RKJ1",0)</f>
        <v>0</v>
      </c>
      <c r="K61" s="139" t="str">
        <f>IF(I61&gt;=H61,"Batal",0)</f>
        <v>Batal</v>
      </c>
      <c r="L61" s="150"/>
      <c r="M61" s="18" t="s">
        <v>225</v>
      </c>
      <c r="N61" s="141" t="s">
        <v>65</v>
      </c>
      <c r="O61"/>
    </row>
    <row r="62" spans="3:15" x14ac:dyDescent="0.25">
      <c r="C62" s="58" t="s">
        <v>106</v>
      </c>
      <c r="D62" s="48" t="s">
        <v>145</v>
      </c>
      <c r="E62" s="46" t="s">
        <v>139</v>
      </c>
      <c r="F62" s="10" t="s">
        <v>14</v>
      </c>
      <c r="G62" s="123" t="s">
        <v>21</v>
      </c>
      <c r="H62" s="124">
        <v>150</v>
      </c>
      <c r="I62" s="125">
        <v>100</v>
      </c>
      <c r="J62" s="126">
        <f>IF(I62&gt;=H62,"Pintu",0)</f>
        <v>0</v>
      </c>
      <c r="K62" s="127" t="str">
        <f>IF(I62&lt;H62,"L1",0)</f>
        <v>L1</v>
      </c>
      <c r="L62" s="128"/>
      <c r="M62" s="15" t="s">
        <v>279</v>
      </c>
      <c r="N62" s="83" t="s">
        <v>101</v>
      </c>
      <c r="O62"/>
    </row>
    <row r="63" spans="3:15" ht="25.5" x14ac:dyDescent="0.25">
      <c r="C63" s="59"/>
      <c r="D63" s="56"/>
      <c r="E63" s="55"/>
      <c r="F63" s="23" t="s">
        <v>28</v>
      </c>
      <c r="G63" s="129" t="s">
        <v>5</v>
      </c>
      <c r="H63" s="130" t="s">
        <v>6</v>
      </c>
      <c r="I63" s="131" t="s">
        <v>6</v>
      </c>
      <c r="J63" s="132" t="str">
        <f>IF(I63=H63,"RBK01",0)</f>
        <v>RBK01</v>
      </c>
      <c r="K63" s="133">
        <f>IF(I63=H63,0,"R1")</f>
        <v>0</v>
      </c>
      <c r="L63" s="134"/>
      <c r="M63" s="16" t="s">
        <v>317</v>
      </c>
      <c r="N63" s="84"/>
      <c r="O63"/>
    </row>
    <row r="64" spans="3:15" ht="30.75" thickBot="1" x14ac:dyDescent="0.3">
      <c r="C64" s="60"/>
      <c r="D64" s="57"/>
      <c r="E64" s="47"/>
      <c r="F64" s="11" t="s">
        <v>57</v>
      </c>
      <c r="G64" s="135" t="s">
        <v>60</v>
      </c>
      <c r="H64" s="136">
        <v>1</v>
      </c>
      <c r="I64" s="137">
        <v>0.5</v>
      </c>
      <c r="J64" s="138" t="str">
        <f>IF(I64&lt;H64,"RBK01",0)</f>
        <v>RBK01</v>
      </c>
      <c r="K64" s="139">
        <f>IF(I64&gt;=H64,"Batal",0)</f>
        <v>0</v>
      </c>
      <c r="L64" s="150"/>
      <c r="M64" s="18" t="s">
        <v>224</v>
      </c>
      <c r="N64" s="85"/>
      <c r="O64"/>
    </row>
    <row r="65" spans="3:15" x14ac:dyDescent="0.25">
      <c r="C65" s="58" t="s">
        <v>163</v>
      </c>
      <c r="D65" s="48" t="s">
        <v>146</v>
      </c>
      <c r="E65" s="46" t="s">
        <v>17</v>
      </c>
      <c r="F65" s="10" t="s">
        <v>14</v>
      </c>
      <c r="G65" s="123" t="s">
        <v>21</v>
      </c>
      <c r="H65" s="124">
        <v>150</v>
      </c>
      <c r="I65" s="125">
        <v>150</v>
      </c>
      <c r="J65" s="126" t="str">
        <f>IF(I65&gt;=H65,"RDP01",0)</f>
        <v>RDP01</v>
      </c>
      <c r="K65" s="127">
        <f>IF(I65&lt;H65,"L1",0)</f>
        <v>0</v>
      </c>
      <c r="L65" s="128"/>
      <c r="M65" s="15" t="s">
        <v>284</v>
      </c>
      <c r="N65" s="140"/>
      <c r="O65"/>
    </row>
    <row r="66" spans="3:15" ht="25.5" x14ac:dyDescent="0.25">
      <c r="C66" s="59"/>
      <c r="D66" s="56"/>
      <c r="E66" s="55"/>
      <c r="F66" s="23" t="s">
        <v>28</v>
      </c>
      <c r="G66" s="129" t="s">
        <v>5</v>
      </c>
      <c r="H66" s="130" t="s">
        <v>6</v>
      </c>
      <c r="I66" s="131" t="s">
        <v>6</v>
      </c>
      <c r="J66" s="132" t="str">
        <f>IF(I66=H66,"RDP01",0)</f>
        <v>RDP01</v>
      </c>
      <c r="K66" s="133">
        <f>IF(I66=H66,0,"R1")</f>
        <v>0</v>
      </c>
      <c r="L66" s="134"/>
      <c r="M66" s="16" t="s">
        <v>315</v>
      </c>
      <c r="N66" s="32"/>
      <c r="O66"/>
    </row>
    <row r="67" spans="3:15" ht="30.75" thickBot="1" x14ac:dyDescent="0.3">
      <c r="C67" s="60"/>
      <c r="D67" s="57"/>
      <c r="E67" s="47"/>
      <c r="F67" s="11" t="s">
        <v>57</v>
      </c>
      <c r="G67" s="135" t="s">
        <v>60</v>
      </c>
      <c r="H67" s="136">
        <v>1</v>
      </c>
      <c r="I67" s="137">
        <v>1</v>
      </c>
      <c r="J67" s="138">
        <f>IF(I67&lt;H67,"RDP01",0)</f>
        <v>0</v>
      </c>
      <c r="K67" s="139" t="str">
        <f>IF(I67&gt;=H67,"Batal",0)</f>
        <v>Batal</v>
      </c>
      <c r="L67" s="150"/>
      <c r="M67" s="18" t="s">
        <v>222</v>
      </c>
      <c r="N67" s="141" t="s">
        <v>65</v>
      </c>
      <c r="O67"/>
    </row>
    <row r="68" spans="3:15" x14ac:dyDescent="0.25">
      <c r="C68" s="58" t="s">
        <v>107</v>
      </c>
      <c r="D68" s="48" t="s">
        <v>147</v>
      </c>
      <c r="E68" s="46" t="s">
        <v>137</v>
      </c>
      <c r="F68" s="10" t="s">
        <v>14</v>
      </c>
      <c r="G68" s="123" t="s">
        <v>21</v>
      </c>
      <c r="H68" s="124">
        <v>150</v>
      </c>
      <c r="I68" s="125">
        <v>150</v>
      </c>
      <c r="J68" s="126" t="str">
        <f>IF(I68&gt;=H68,"RDP02",0)</f>
        <v>RDP02</v>
      </c>
      <c r="K68" s="127">
        <f>IF(I68&lt;H68,"L1",0)</f>
        <v>0</v>
      </c>
      <c r="L68" s="128"/>
      <c r="M68" s="15" t="s">
        <v>267</v>
      </c>
      <c r="N68" s="140"/>
      <c r="O68"/>
    </row>
    <row r="69" spans="3:15" ht="30.75" thickBot="1" x14ac:dyDescent="0.3">
      <c r="C69" s="60"/>
      <c r="D69" s="57"/>
      <c r="E69" s="47"/>
      <c r="F69" s="11" t="s">
        <v>57</v>
      </c>
      <c r="G69" s="135" t="s">
        <v>60</v>
      </c>
      <c r="H69" s="136">
        <v>1</v>
      </c>
      <c r="I69" s="137">
        <v>0.8</v>
      </c>
      <c r="J69" s="138" t="str">
        <f>IF(I69&lt;H69,"RDP02",0)</f>
        <v>RDP02</v>
      </c>
      <c r="K69" s="139">
        <f>IF(I69&gt;=H69,"Batal",0)</f>
        <v>0</v>
      </c>
      <c r="L69" s="150"/>
      <c r="M69" s="18" t="s">
        <v>211</v>
      </c>
      <c r="N69" s="141" t="s">
        <v>65</v>
      </c>
      <c r="O69"/>
    </row>
    <row r="70" spans="3:15" x14ac:dyDescent="0.25">
      <c r="C70" s="58" t="s">
        <v>164</v>
      </c>
      <c r="D70" s="48" t="s">
        <v>36</v>
      </c>
      <c r="E70" s="46" t="s">
        <v>24</v>
      </c>
      <c r="F70" s="10" t="s">
        <v>14</v>
      </c>
      <c r="G70" s="123" t="s">
        <v>21</v>
      </c>
      <c r="H70" s="124">
        <v>150</v>
      </c>
      <c r="I70" s="125">
        <v>100</v>
      </c>
      <c r="J70" s="126">
        <f>IF(I70&gt;=H70,"RKG01",0)</f>
        <v>0</v>
      </c>
      <c r="K70" s="127" t="str">
        <f>IF(I70&lt;H70,"L1",0)</f>
        <v>L1</v>
      </c>
      <c r="L70" s="128"/>
      <c r="M70" s="15" t="s">
        <v>277</v>
      </c>
      <c r="N70" s="140"/>
      <c r="O70"/>
    </row>
    <row r="71" spans="3:15" ht="30.75" thickBot="1" x14ac:dyDescent="0.3">
      <c r="C71" s="60"/>
      <c r="D71" s="57"/>
      <c r="E71" s="47"/>
      <c r="F71" s="11" t="s">
        <v>57</v>
      </c>
      <c r="G71" s="135" t="s">
        <v>60</v>
      </c>
      <c r="H71" s="136">
        <v>1</v>
      </c>
      <c r="I71" s="137">
        <v>0.8</v>
      </c>
      <c r="J71" s="138" t="str">
        <f>IF(I71&lt;H71,"RKG01",0)</f>
        <v>RKG01</v>
      </c>
      <c r="K71" s="139">
        <f>IF(I71&gt;=H71,"Batal",0)</f>
        <v>0</v>
      </c>
      <c r="L71" s="150"/>
      <c r="M71" s="18" t="s">
        <v>210</v>
      </c>
      <c r="N71" s="141" t="s">
        <v>65</v>
      </c>
      <c r="O71"/>
    </row>
    <row r="72" spans="3:15" x14ac:dyDescent="0.25">
      <c r="C72" s="58" t="s">
        <v>108</v>
      </c>
      <c r="D72" s="48" t="s">
        <v>37</v>
      </c>
      <c r="E72" s="46" t="s">
        <v>38</v>
      </c>
      <c r="F72" s="10" t="s">
        <v>14</v>
      </c>
      <c r="G72" s="123" t="s">
        <v>21</v>
      </c>
      <c r="H72" s="124">
        <v>150</v>
      </c>
      <c r="I72" s="125">
        <v>100</v>
      </c>
      <c r="J72" s="126">
        <f>IF(I72&gt;=H72,"RTM01",0)</f>
        <v>0</v>
      </c>
      <c r="K72" s="127" t="str">
        <f>IF(I72&lt;H72,"L1",0)</f>
        <v>L1</v>
      </c>
      <c r="L72" s="128"/>
      <c r="M72" s="15" t="s">
        <v>278</v>
      </c>
      <c r="N72" s="140"/>
      <c r="O72"/>
    </row>
    <row r="73" spans="3:15" ht="30.75" thickBot="1" x14ac:dyDescent="0.3">
      <c r="C73" s="60"/>
      <c r="D73" s="57"/>
      <c r="E73" s="47"/>
      <c r="F73" s="11" t="s">
        <v>57</v>
      </c>
      <c r="G73" s="135" t="s">
        <v>60</v>
      </c>
      <c r="H73" s="136">
        <v>1</v>
      </c>
      <c r="I73" s="137">
        <v>1</v>
      </c>
      <c r="J73" s="138">
        <f>IF(I73&lt;H73,"RTM01",0)</f>
        <v>0</v>
      </c>
      <c r="K73" s="139" t="str">
        <f>IF(I73&gt;=H73,"Batal",0)</f>
        <v>Batal</v>
      </c>
      <c r="L73" s="150"/>
      <c r="M73" s="18" t="s">
        <v>216</v>
      </c>
      <c r="N73" s="141" t="s">
        <v>65</v>
      </c>
      <c r="O73"/>
    </row>
    <row r="74" spans="3:15" x14ac:dyDescent="0.25">
      <c r="C74" s="58" t="s">
        <v>165</v>
      </c>
      <c r="D74" s="48" t="s">
        <v>39</v>
      </c>
      <c r="E74" s="46" t="s">
        <v>40</v>
      </c>
      <c r="F74" s="10" t="s">
        <v>14</v>
      </c>
      <c r="G74" s="123" t="s">
        <v>21</v>
      </c>
      <c r="H74" s="124">
        <v>150</v>
      </c>
      <c r="I74" s="125">
        <v>100</v>
      </c>
      <c r="J74" s="126">
        <f>IF(I74&gt;=H74,"Pintu",0)</f>
        <v>0</v>
      </c>
      <c r="K74" s="127" t="str">
        <f>IF(I74&lt;H74,"L1",0)</f>
        <v>L1</v>
      </c>
      <c r="L74" s="128"/>
      <c r="M74" s="15" t="s">
        <v>279</v>
      </c>
      <c r="N74" s="140"/>
      <c r="O74"/>
    </row>
    <row r="75" spans="3:15" ht="26.25" thickBot="1" x14ac:dyDescent="0.3">
      <c r="C75" s="59"/>
      <c r="D75" s="56"/>
      <c r="E75" s="55"/>
      <c r="F75" s="23" t="s">
        <v>28</v>
      </c>
      <c r="G75" s="129" t="s">
        <v>5</v>
      </c>
      <c r="H75" s="130" t="s">
        <v>6</v>
      </c>
      <c r="I75" s="131" t="s">
        <v>33</v>
      </c>
      <c r="J75" s="132">
        <f>IF(I75=H75,"RTS01",0)</f>
        <v>0</v>
      </c>
      <c r="K75" s="133" t="str">
        <f>IF(I75=H75,0,"R1")</f>
        <v>R1</v>
      </c>
      <c r="L75" s="134"/>
      <c r="M75" s="16" t="s">
        <v>316</v>
      </c>
      <c r="N75" s="141" t="s">
        <v>65</v>
      </c>
      <c r="O75"/>
    </row>
    <row r="76" spans="3:15" ht="30.75" thickBot="1" x14ac:dyDescent="0.3">
      <c r="C76" s="60"/>
      <c r="D76" s="57"/>
      <c r="E76" s="47"/>
      <c r="F76" s="11" t="s">
        <v>57</v>
      </c>
      <c r="G76" s="135" t="s">
        <v>60</v>
      </c>
      <c r="H76" s="136">
        <v>1</v>
      </c>
      <c r="I76" s="137">
        <v>0.8</v>
      </c>
      <c r="J76" s="138" t="str">
        <f>IF(I76&lt;H76,"RTS01",0)</f>
        <v>RTS01</v>
      </c>
      <c r="K76" s="139">
        <f>IF(I76&gt;=H76,"Batal",0)</f>
        <v>0</v>
      </c>
      <c r="L76" s="150"/>
      <c r="M76" s="18" t="s">
        <v>221</v>
      </c>
      <c r="N76" s="141" t="s">
        <v>65</v>
      </c>
      <c r="O76"/>
    </row>
    <row r="77" spans="3:15" ht="31.5" customHeight="1" x14ac:dyDescent="0.25">
      <c r="C77" s="96" t="s">
        <v>337</v>
      </c>
      <c r="D77" s="96" t="s">
        <v>338</v>
      </c>
      <c r="E77" s="116" t="s">
        <v>18</v>
      </c>
      <c r="F77" s="109" t="s">
        <v>14</v>
      </c>
      <c r="G77" s="151" t="s">
        <v>21</v>
      </c>
      <c r="H77" s="152">
        <v>100</v>
      </c>
      <c r="I77" s="151">
        <v>100</v>
      </c>
      <c r="J77" s="153" t="str">
        <f>IF(I77&gt;=H77,"RHD01",0)</f>
        <v>RHD01</v>
      </c>
      <c r="K77" s="154">
        <f>IF(I77&lt;H77,"Batal",0)</f>
        <v>0</v>
      </c>
      <c r="L77" s="109"/>
      <c r="M77" s="110" t="s">
        <v>340</v>
      </c>
      <c r="N77" s="167"/>
      <c r="O77"/>
    </row>
    <row r="78" spans="3:15" ht="30.75" thickBot="1" x14ac:dyDescent="0.3">
      <c r="C78" s="117"/>
      <c r="D78" s="117"/>
      <c r="E78" s="118"/>
      <c r="F78" s="111" t="s">
        <v>57</v>
      </c>
      <c r="G78" s="159" t="s">
        <v>60</v>
      </c>
      <c r="H78" s="160">
        <v>1</v>
      </c>
      <c r="I78" s="159">
        <v>1</v>
      </c>
      <c r="J78" s="161">
        <f>IF(I78&lt;H78,"RHD01",0)</f>
        <v>0</v>
      </c>
      <c r="K78" s="162" t="str">
        <f>IF(I78&gt;=H78,"Batal",0)</f>
        <v>Batal</v>
      </c>
      <c r="L78" s="111"/>
      <c r="M78" s="93" t="s">
        <v>339</v>
      </c>
      <c r="N78" s="168" t="s">
        <v>65</v>
      </c>
      <c r="O78"/>
    </row>
    <row r="79" spans="3:15" ht="25.5" x14ac:dyDescent="0.25">
      <c r="C79" s="58" t="s">
        <v>166</v>
      </c>
      <c r="D79" s="48" t="s">
        <v>47</v>
      </c>
      <c r="E79" s="46" t="s">
        <v>30</v>
      </c>
      <c r="F79" s="10" t="s">
        <v>28</v>
      </c>
      <c r="G79" s="123" t="s">
        <v>5</v>
      </c>
      <c r="H79" s="124" t="s">
        <v>6</v>
      </c>
      <c r="I79" s="125" t="s">
        <v>33</v>
      </c>
      <c r="J79" s="126">
        <f>IF(I79=H79,"RTS01",0)</f>
        <v>0</v>
      </c>
      <c r="K79" s="127" t="str">
        <f>IF(I79=H79,0,"Batal")</f>
        <v>Batal</v>
      </c>
      <c r="L79" s="128"/>
      <c r="M79" s="15" t="s">
        <v>76</v>
      </c>
      <c r="N79" s="140"/>
      <c r="O79"/>
    </row>
    <row r="80" spans="3:15" x14ac:dyDescent="0.25">
      <c r="C80" s="59"/>
      <c r="D80" s="56"/>
      <c r="E80" s="55"/>
      <c r="F80" s="23" t="s">
        <v>14</v>
      </c>
      <c r="G80" s="129" t="s">
        <v>21</v>
      </c>
      <c r="H80" s="130">
        <v>150</v>
      </c>
      <c r="I80" s="131">
        <v>100</v>
      </c>
      <c r="J80" s="132">
        <f>IF(I80&gt;=H80,"RTU01",0)</f>
        <v>0</v>
      </c>
      <c r="K80" s="133" t="str">
        <f>IF(I80&lt;H80,"L1",0)</f>
        <v>L1</v>
      </c>
      <c r="L80" s="134"/>
      <c r="M80" s="16" t="s">
        <v>281</v>
      </c>
      <c r="N80" s="32"/>
      <c r="O80"/>
    </row>
    <row r="81" spans="3:15" ht="30.75" thickBot="1" x14ac:dyDescent="0.3">
      <c r="C81" s="60"/>
      <c r="D81" s="57"/>
      <c r="E81" s="47"/>
      <c r="F81" s="11" t="s">
        <v>57</v>
      </c>
      <c r="G81" s="135" t="s">
        <v>60</v>
      </c>
      <c r="H81" s="136">
        <v>0.5</v>
      </c>
      <c r="I81" s="137">
        <v>1</v>
      </c>
      <c r="J81" s="138">
        <f>IF(I81&lt;H81,"RTU01",0)</f>
        <v>0</v>
      </c>
      <c r="K81" s="139" t="str">
        <f>IF(I81&gt;=H81,"Batal",0)</f>
        <v>Batal</v>
      </c>
      <c r="L81" s="150" t="s">
        <v>312</v>
      </c>
      <c r="M81" s="18" t="s">
        <v>73</v>
      </c>
      <c r="N81" s="141"/>
      <c r="O81"/>
    </row>
    <row r="82" spans="3:15" ht="25.5" x14ac:dyDescent="0.25">
      <c r="C82" s="58" t="s">
        <v>109</v>
      </c>
      <c r="D82" s="48" t="s">
        <v>48</v>
      </c>
      <c r="E82" s="46" t="s">
        <v>46</v>
      </c>
      <c r="F82" s="10" t="s">
        <v>28</v>
      </c>
      <c r="G82" s="123" t="s">
        <v>5</v>
      </c>
      <c r="H82" s="124" t="s">
        <v>6</v>
      </c>
      <c r="I82" s="125" t="s">
        <v>6</v>
      </c>
      <c r="J82" s="126" t="str">
        <f>IF(I82=H82,"RTU02",0)</f>
        <v>RTU02</v>
      </c>
      <c r="K82" s="127">
        <f>IF(I82=H82,0,"Batal")</f>
        <v>0</v>
      </c>
      <c r="L82" s="128"/>
      <c r="M82" s="15" t="s">
        <v>79</v>
      </c>
      <c r="N82" s="140"/>
      <c r="O82"/>
    </row>
    <row r="83" spans="3:15" x14ac:dyDescent="0.25">
      <c r="C83" s="59"/>
      <c r="D83" s="56"/>
      <c r="E83" s="55"/>
      <c r="F83" s="23" t="s">
        <v>14</v>
      </c>
      <c r="G83" s="129" t="s">
        <v>21</v>
      </c>
      <c r="H83" s="130">
        <v>150</v>
      </c>
      <c r="I83" s="131">
        <v>100</v>
      </c>
      <c r="J83" s="132">
        <f>IF(I83&gt;=H83,"RTU02",0)</f>
        <v>0</v>
      </c>
      <c r="K83" s="133" t="str">
        <f>IF(I83&lt;H83,"L1",0)</f>
        <v>L1</v>
      </c>
      <c r="L83" s="134"/>
      <c r="M83" s="16" t="s">
        <v>282</v>
      </c>
      <c r="N83" s="32"/>
      <c r="O83"/>
    </row>
    <row r="84" spans="3:15" ht="30.75" thickBot="1" x14ac:dyDescent="0.3">
      <c r="C84" s="60"/>
      <c r="D84" s="57"/>
      <c r="E84" s="47"/>
      <c r="F84" s="11" t="s">
        <v>57</v>
      </c>
      <c r="G84" s="135" t="s">
        <v>60</v>
      </c>
      <c r="H84" s="136">
        <v>0.5</v>
      </c>
      <c r="I84" s="137">
        <v>0.2</v>
      </c>
      <c r="J84" s="138" t="str">
        <f>IF(I84&lt;H84,"RTU02",0)</f>
        <v>RTU02</v>
      </c>
      <c r="K84" s="139">
        <f>IF(I84&gt;=H84,"Batal",0)</f>
        <v>0</v>
      </c>
      <c r="L84" s="150" t="s">
        <v>312</v>
      </c>
      <c r="M84" s="18" t="s">
        <v>223</v>
      </c>
      <c r="N84" s="141"/>
      <c r="O84"/>
    </row>
    <row r="85" spans="3:15" x14ac:dyDescent="0.25">
      <c r="C85" s="58" t="s">
        <v>110</v>
      </c>
      <c r="D85" s="48" t="s">
        <v>148</v>
      </c>
      <c r="E85" s="46" t="s">
        <v>167</v>
      </c>
      <c r="F85" s="10" t="s">
        <v>14</v>
      </c>
      <c r="G85" s="123" t="s">
        <v>21</v>
      </c>
      <c r="H85" s="124">
        <v>150</v>
      </c>
      <c r="I85" s="125">
        <v>100</v>
      </c>
      <c r="J85" s="126">
        <f>IF(I85&gt;=H85,"RKJ01",0)</f>
        <v>0</v>
      </c>
      <c r="K85" s="127" t="str">
        <f>IF(I85&lt;H85,"L1",0)</f>
        <v>L1</v>
      </c>
      <c r="L85" s="128"/>
      <c r="M85" s="16" t="s">
        <v>283</v>
      </c>
      <c r="N85" s="140"/>
      <c r="O85"/>
    </row>
    <row r="86" spans="3:15" ht="30.75" thickBot="1" x14ac:dyDescent="0.3">
      <c r="C86" s="60"/>
      <c r="D86" s="57"/>
      <c r="E86" s="47"/>
      <c r="F86" s="11" t="s">
        <v>57</v>
      </c>
      <c r="G86" s="135" t="s">
        <v>60</v>
      </c>
      <c r="H86" s="136">
        <v>0.8</v>
      </c>
      <c r="I86" s="137">
        <v>1</v>
      </c>
      <c r="J86" s="138">
        <f>IF(I86&lt;H86,"RKJ01",0)</f>
        <v>0</v>
      </c>
      <c r="K86" s="139" t="str">
        <f>IF(I86&gt;=H86,"Batal",0)</f>
        <v>Batal</v>
      </c>
      <c r="L86" s="150" t="s">
        <v>135</v>
      </c>
      <c r="M86" s="18" t="s">
        <v>226</v>
      </c>
      <c r="N86" s="141"/>
      <c r="O86"/>
    </row>
    <row r="87" spans="3:15" x14ac:dyDescent="0.25">
      <c r="C87" s="58" t="s">
        <v>168</v>
      </c>
      <c r="D87" s="48" t="s">
        <v>149</v>
      </c>
      <c r="E87" s="46" t="s">
        <v>17</v>
      </c>
      <c r="F87" s="10" t="s">
        <v>14</v>
      </c>
      <c r="G87" s="123" t="s">
        <v>21</v>
      </c>
      <c r="H87" s="124">
        <v>150</v>
      </c>
      <c r="I87" s="125">
        <v>150</v>
      </c>
      <c r="J87" s="126" t="str">
        <f>IF(I87&gt;=H87,"RDP01",0)</f>
        <v>RDP01</v>
      </c>
      <c r="K87" s="127">
        <f>IF(I87&lt;H87,"L1",0)</f>
        <v>0</v>
      </c>
      <c r="L87" s="128"/>
      <c r="M87" s="15" t="s">
        <v>284</v>
      </c>
      <c r="N87" s="140"/>
      <c r="O87"/>
    </row>
    <row r="88" spans="3:15" x14ac:dyDescent="0.25">
      <c r="C88" s="59"/>
      <c r="D88" s="56"/>
      <c r="E88" s="55"/>
      <c r="F88" s="23" t="s">
        <v>28</v>
      </c>
      <c r="G88" s="129" t="s">
        <v>5</v>
      </c>
      <c r="H88" s="130" t="s">
        <v>6</v>
      </c>
      <c r="I88" s="131" t="s">
        <v>33</v>
      </c>
      <c r="J88" s="132">
        <f>IF(I88=H88,"RDP01",0)</f>
        <v>0</v>
      </c>
      <c r="K88" s="133" t="str">
        <f>IF(I88=H88,0,"R1")</f>
        <v>R1</v>
      </c>
      <c r="L88" s="134"/>
      <c r="M88" s="16" t="s">
        <v>318</v>
      </c>
      <c r="N88" s="32"/>
      <c r="O88"/>
    </row>
    <row r="89" spans="3:15" ht="30.75" thickBot="1" x14ac:dyDescent="0.3">
      <c r="C89" s="60"/>
      <c r="D89" s="57"/>
      <c r="E89" s="47"/>
      <c r="F89" s="11" t="s">
        <v>57</v>
      </c>
      <c r="G89" s="135" t="s">
        <v>60</v>
      </c>
      <c r="H89" s="136">
        <v>0.8</v>
      </c>
      <c r="I89" s="137">
        <v>1</v>
      </c>
      <c r="J89" s="138">
        <f>IF(I89&lt;H89,"RDP01",0)</f>
        <v>0</v>
      </c>
      <c r="K89" s="139" t="str">
        <f>IF(I89&gt;=H89,"Batal",0)</f>
        <v>Batal</v>
      </c>
      <c r="L89" s="150" t="s">
        <v>135</v>
      </c>
      <c r="M89" s="18" t="s">
        <v>220</v>
      </c>
      <c r="N89" s="141" t="s">
        <v>65</v>
      </c>
      <c r="O89"/>
    </row>
    <row r="90" spans="3:15" x14ac:dyDescent="0.25">
      <c r="C90" s="58" t="s">
        <v>111</v>
      </c>
      <c r="D90" s="48" t="s">
        <v>150</v>
      </c>
      <c r="E90" s="46" t="s">
        <v>137</v>
      </c>
      <c r="F90" s="10" t="s">
        <v>14</v>
      </c>
      <c r="G90" s="123" t="s">
        <v>21</v>
      </c>
      <c r="H90" s="124">
        <v>150</v>
      </c>
      <c r="I90" s="125">
        <v>100</v>
      </c>
      <c r="J90" s="126">
        <f>IF(I90&gt;=H90,"RDP02",0)</f>
        <v>0</v>
      </c>
      <c r="K90" s="127" t="str">
        <f>IF(I90&lt;H90,"L1",0)</f>
        <v>L1</v>
      </c>
      <c r="L90" s="128"/>
      <c r="M90" s="15" t="s">
        <v>267</v>
      </c>
      <c r="N90" s="140"/>
      <c r="O90"/>
    </row>
    <row r="91" spans="3:15" ht="30.75" thickBot="1" x14ac:dyDescent="0.3">
      <c r="C91" s="60"/>
      <c r="D91" s="57"/>
      <c r="E91" s="47"/>
      <c r="F91" s="11" t="s">
        <v>57</v>
      </c>
      <c r="G91" s="135" t="s">
        <v>60</v>
      </c>
      <c r="H91" s="136">
        <v>0.8</v>
      </c>
      <c r="I91" s="137">
        <v>1</v>
      </c>
      <c r="J91" s="138">
        <f>IF(I91&lt;H91,"RDP02",0)</f>
        <v>0</v>
      </c>
      <c r="K91" s="139" t="str">
        <f>IF(I91&gt;=H91,"Batal",0)</f>
        <v>Batal</v>
      </c>
      <c r="L91" s="150" t="s">
        <v>135</v>
      </c>
      <c r="M91" s="18" t="s">
        <v>227</v>
      </c>
      <c r="N91" s="141" t="s">
        <v>65</v>
      </c>
      <c r="O91"/>
    </row>
    <row r="92" spans="3:15" x14ac:dyDescent="0.25">
      <c r="C92" s="58" t="s">
        <v>112</v>
      </c>
      <c r="D92" s="48" t="s">
        <v>41</v>
      </c>
      <c r="E92" s="46" t="s">
        <v>24</v>
      </c>
      <c r="F92" s="10" t="s">
        <v>14</v>
      </c>
      <c r="G92" s="123" t="s">
        <v>21</v>
      </c>
      <c r="H92" s="124">
        <v>150</v>
      </c>
      <c r="I92" s="125">
        <v>100</v>
      </c>
      <c r="J92" s="126">
        <f>IF(I92&gt;=H92,"RKG01",0)</f>
        <v>0</v>
      </c>
      <c r="K92" s="127" t="str">
        <f>IF(I92&lt;H92,"L1",0)</f>
        <v>L1</v>
      </c>
      <c r="L92" s="128"/>
      <c r="M92" s="15" t="s">
        <v>277</v>
      </c>
      <c r="N92" s="140"/>
      <c r="O92"/>
    </row>
    <row r="93" spans="3:15" ht="30.75" thickBot="1" x14ac:dyDescent="0.3">
      <c r="C93" s="60"/>
      <c r="D93" s="57"/>
      <c r="E93" s="47"/>
      <c r="F93" s="11" t="s">
        <v>57</v>
      </c>
      <c r="G93" s="135" t="s">
        <v>60</v>
      </c>
      <c r="H93" s="136">
        <v>0.8</v>
      </c>
      <c r="I93" s="137">
        <v>0.5</v>
      </c>
      <c r="J93" s="138" t="str">
        <f>IF(I93&lt;H93,"RKG01",0)</f>
        <v>RKG01</v>
      </c>
      <c r="K93" s="139">
        <f>IF(I93&gt;=H93,"Batal",0)</f>
        <v>0</v>
      </c>
      <c r="L93" s="150" t="s">
        <v>135</v>
      </c>
      <c r="M93" s="18" t="s">
        <v>219</v>
      </c>
      <c r="N93" s="141"/>
      <c r="O93"/>
    </row>
    <row r="94" spans="3:15" x14ac:dyDescent="0.25">
      <c r="C94" s="58" t="s">
        <v>113</v>
      </c>
      <c r="D94" s="48" t="s">
        <v>42</v>
      </c>
      <c r="E94" s="46" t="s">
        <v>38</v>
      </c>
      <c r="F94" s="10" t="s">
        <v>14</v>
      </c>
      <c r="G94" s="123" t="s">
        <v>21</v>
      </c>
      <c r="H94" s="124">
        <v>150</v>
      </c>
      <c r="I94" s="125">
        <v>100</v>
      </c>
      <c r="J94" s="126">
        <f>IF(I94&gt;=H94,"RTM01",0)</f>
        <v>0</v>
      </c>
      <c r="K94" s="127" t="str">
        <f>IF(I94&lt;H94,"L1",0)</f>
        <v>L1</v>
      </c>
      <c r="L94" s="128"/>
      <c r="M94" s="15" t="s">
        <v>278</v>
      </c>
      <c r="N94" s="140"/>
      <c r="O94"/>
    </row>
    <row r="95" spans="3:15" ht="30.75" thickBot="1" x14ac:dyDescent="0.3">
      <c r="C95" s="60"/>
      <c r="D95" s="57"/>
      <c r="E95" s="47"/>
      <c r="F95" s="11" t="s">
        <v>57</v>
      </c>
      <c r="G95" s="135" t="s">
        <v>60</v>
      </c>
      <c r="H95" s="136">
        <v>0.8</v>
      </c>
      <c r="I95" s="137">
        <v>1</v>
      </c>
      <c r="J95" s="138">
        <f>IF(I95&lt;H95,"RTM01",0)</f>
        <v>0</v>
      </c>
      <c r="K95" s="139" t="str">
        <f>IF(I95&gt;=H95,"Batal",0)</f>
        <v>Batal</v>
      </c>
      <c r="L95" s="150" t="s">
        <v>135</v>
      </c>
      <c r="M95" s="18" t="s">
        <v>218</v>
      </c>
      <c r="N95" s="141"/>
      <c r="O95"/>
    </row>
    <row r="96" spans="3:15" x14ac:dyDescent="0.25">
      <c r="C96" s="58" t="s">
        <v>114</v>
      </c>
      <c r="D96" s="48" t="s">
        <v>43</v>
      </c>
      <c r="E96" s="46" t="s">
        <v>40</v>
      </c>
      <c r="F96" s="10" t="s">
        <v>14</v>
      </c>
      <c r="G96" s="123" t="s">
        <v>21</v>
      </c>
      <c r="H96" s="124">
        <v>150</v>
      </c>
      <c r="I96" s="125">
        <v>100</v>
      </c>
      <c r="J96" s="126">
        <f>IF(I96&gt;=H96,"Pintu",0)</f>
        <v>0</v>
      </c>
      <c r="K96" s="127" t="str">
        <f>IF(I96&lt;H96,"L1",0)</f>
        <v>L1</v>
      </c>
      <c r="L96" s="128"/>
      <c r="M96" s="15" t="s">
        <v>279</v>
      </c>
      <c r="N96" s="140"/>
      <c r="O96"/>
    </row>
    <row r="97" spans="3:15" ht="25.5" x14ac:dyDescent="0.25">
      <c r="C97" s="59"/>
      <c r="D97" s="56"/>
      <c r="E97" s="55"/>
      <c r="F97" s="23" t="s">
        <v>28</v>
      </c>
      <c r="G97" s="129" t="s">
        <v>5</v>
      </c>
      <c r="H97" s="130" t="s">
        <v>6</v>
      </c>
      <c r="I97" s="131" t="s">
        <v>33</v>
      </c>
      <c r="J97" s="132">
        <f>IF(I97=H97,"RTS01",0)</f>
        <v>0</v>
      </c>
      <c r="K97" s="133" t="str">
        <f>IF(I97=H97,0,"R1")</f>
        <v>R1</v>
      </c>
      <c r="L97" s="134"/>
      <c r="M97" s="16" t="s">
        <v>316</v>
      </c>
      <c r="N97" s="32"/>
      <c r="O97"/>
    </row>
    <row r="98" spans="3:15" ht="30.75" thickBot="1" x14ac:dyDescent="0.3">
      <c r="C98" s="60"/>
      <c r="D98" s="57"/>
      <c r="E98" s="47"/>
      <c r="F98" s="11" t="s">
        <v>57</v>
      </c>
      <c r="G98" s="135" t="s">
        <v>60</v>
      </c>
      <c r="H98" s="136">
        <v>0.8</v>
      </c>
      <c r="I98" s="137">
        <v>1</v>
      </c>
      <c r="J98" s="138">
        <f>IF(I98&lt;H98,"RTS01",0)</f>
        <v>0</v>
      </c>
      <c r="K98" s="139" t="str">
        <f>IF(I98&gt;=H98,"Batal",0)</f>
        <v>Batal</v>
      </c>
      <c r="L98" s="150" t="s">
        <v>312</v>
      </c>
      <c r="M98" s="18" t="s">
        <v>217</v>
      </c>
      <c r="N98" s="169" t="s">
        <v>80</v>
      </c>
      <c r="O98"/>
    </row>
    <row r="99" spans="3:15" x14ac:dyDescent="0.25">
      <c r="C99" s="58" t="s">
        <v>245</v>
      </c>
      <c r="D99" s="48" t="s">
        <v>151</v>
      </c>
      <c r="E99" s="46" t="s">
        <v>137</v>
      </c>
      <c r="F99" s="10" t="s">
        <v>14</v>
      </c>
      <c r="G99" s="123" t="s">
        <v>21</v>
      </c>
      <c r="H99" s="124">
        <v>150</v>
      </c>
      <c r="I99" s="125">
        <v>100</v>
      </c>
      <c r="J99" s="126">
        <f>IF(I99&gt;=H99,"RDP02",0)</f>
        <v>0</v>
      </c>
      <c r="K99" s="127" t="str">
        <f>IF(I99&lt;H99,"L1",0)</f>
        <v>L1</v>
      </c>
      <c r="L99" s="128"/>
      <c r="M99" s="15" t="s">
        <v>267</v>
      </c>
      <c r="N99" s="140"/>
      <c r="O99"/>
    </row>
    <row r="100" spans="3:15" ht="30" x14ac:dyDescent="0.25">
      <c r="C100" s="59"/>
      <c r="D100" s="56"/>
      <c r="E100" s="55"/>
      <c r="F100" s="23" t="s">
        <v>57</v>
      </c>
      <c r="G100" s="129" t="s">
        <v>60</v>
      </c>
      <c r="H100" s="130">
        <v>2</v>
      </c>
      <c r="I100" s="131">
        <v>1</v>
      </c>
      <c r="J100" s="132" t="str">
        <f>IF(I100&lt;H100,"RDP02",0)</f>
        <v>RDP02</v>
      </c>
      <c r="K100" s="133">
        <f>IF(I100&gt;=H100,"Batal",0)</f>
        <v>0</v>
      </c>
      <c r="L100" s="134"/>
      <c r="M100" s="16" t="s">
        <v>228</v>
      </c>
      <c r="N100" s="32" t="s">
        <v>65</v>
      </c>
      <c r="O100"/>
    </row>
    <row r="101" spans="3:15" ht="30.75" thickBot="1" x14ac:dyDescent="0.3">
      <c r="C101" s="60"/>
      <c r="D101" s="57"/>
      <c r="E101" s="47"/>
      <c r="F101" s="12" t="s">
        <v>28</v>
      </c>
      <c r="G101" s="129" t="s">
        <v>200</v>
      </c>
      <c r="H101" s="130" t="s">
        <v>49</v>
      </c>
      <c r="I101" s="131" t="s">
        <v>19</v>
      </c>
      <c r="J101" s="132">
        <f>IF(I101=H101,"RDP02",0)</f>
        <v>0</v>
      </c>
      <c r="K101" s="133" t="str">
        <f>IF(I101=H101,0,"E1")</f>
        <v>E1</v>
      </c>
      <c r="L101" s="134"/>
      <c r="M101" s="16" t="s">
        <v>271</v>
      </c>
      <c r="N101" s="141"/>
      <c r="O101"/>
    </row>
    <row r="102" spans="3:15" x14ac:dyDescent="0.25">
      <c r="C102" s="58" t="s">
        <v>170</v>
      </c>
      <c r="D102" s="48" t="s">
        <v>169</v>
      </c>
      <c r="E102" s="46" t="s">
        <v>17</v>
      </c>
      <c r="F102" s="10" t="s">
        <v>14</v>
      </c>
      <c r="G102" s="123" t="s">
        <v>21</v>
      </c>
      <c r="H102" s="124">
        <v>150</v>
      </c>
      <c r="I102" s="125">
        <v>100</v>
      </c>
      <c r="J102" s="126">
        <f>IF(I102&gt;=H102,"RDP01",0)</f>
        <v>0</v>
      </c>
      <c r="K102" s="127" t="str">
        <f>IF(I102&lt;H102,"L1",0)</f>
        <v>L1</v>
      </c>
      <c r="L102" s="128"/>
      <c r="M102" s="15" t="s">
        <v>284</v>
      </c>
      <c r="N102" s="140"/>
      <c r="O102"/>
    </row>
    <row r="103" spans="3:15" ht="31.5" customHeight="1" x14ac:dyDescent="0.25">
      <c r="C103" s="59"/>
      <c r="D103" s="56"/>
      <c r="E103" s="55"/>
      <c r="F103" s="23" t="s">
        <v>28</v>
      </c>
      <c r="G103" s="129" t="s">
        <v>5</v>
      </c>
      <c r="H103" s="130" t="s">
        <v>6</v>
      </c>
      <c r="I103" s="131" t="s">
        <v>6</v>
      </c>
      <c r="J103" s="132" t="str">
        <f>IF(I103=H103,"RDP01",0)</f>
        <v>RDP01</v>
      </c>
      <c r="K103" s="133">
        <f>IF(I103=H103,0,"R1")</f>
        <v>0</v>
      </c>
      <c r="L103" s="134"/>
      <c r="M103" s="16" t="s">
        <v>315</v>
      </c>
      <c r="N103" s="32"/>
      <c r="O103"/>
    </row>
    <row r="104" spans="3:15" ht="31.5" customHeight="1" x14ac:dyDescent="0.25">
      <c r="C104" s="59"/>
      <c r="D104" s="56"/>
      <c r="E104" s="55"/>
      <c r="F104" s="23" t="s">
        <v>57</v>
      </c>
      <c r="G104" s="129" t="s">
        <v>60</v>
      </c>
      <c r="H104" s="130">
        <v>2</v>
      </c>
      <c r="I104" s="131">
        <v>1</v>
      </c>
      <c r="J104" s="132" t="str">
        <f>IF(I104&lt;=H104,"RDP01",0)</f>
        <v>RDP01</v>
      </c>
      <c r="K104" s="133">
        <f>IF(I104&gt;H104,"Batal",0)</f>
        <v>0</v>
      </c>
      <c r="L104" s="134"/>
      <c r="M104" s="16" t="s">
        <v>232</v>
      </c>
      <c r="N104" s="32"/>
      <c r="O104"/>
    </row>
    <row r="105" spans="3:15" ht="30" customHeight="1" x14ac:dyDescent="0.25">
      <c r="C105" s="59"/>
      <c r="D105" s="56"/>
      <c r="E105" s="55"/>
      <c r="F105" s="77" t="s">
        <v>20</v>
      </c>
      <c r="G105" s="129" t="s">
        <v>102</v>
      </c>
      <c r="H105" s="130">
        <v>5</v>
      </c>
      <c r="I105" s="131">
        <v>5</v>
      </c>
      <c r="J105" s="132" t="str">
        <f>IF(I105&gt;=H105,"RDP01",0)</f>
        <v>RDP01</v>
      </c>
      <c r="K105" s="133">
        <f>IF(I105&gt;=H105,0,"Batal")</f>
        <v>0</v>
      </c>
      <c r="L105" s="134"/>
      <c r="M105" s="16" t="s">
        <v>233</v>
      </c>
      <c r="N105" s="32"/>
      <c r="O105"/>
    </row>
    <row r="106" spans="3:15" x14ac:dyDescent="0.25">
      <c r="C106" s="59"/>
      <c r="D106" s="56"/>
      <c r="E106" s="55"/>
      <c r="F106" s="75"/>
      <c r="G106" s="129" t="s">
        <v>50</v>
      </c>
      <c r="H106" s="134" t="s">
        <v>15</v>
      </c>
      <c r="I106" s="131" t="s">
        <v>15</v>
      </c>
      <c r="J106" s="132" t="str">
        <f>IF(I106=H106,"Kompor",0)</f>
        <v>Kompor</v>
      </c>
      <c r="K106" s="133">
        <f>IF(I106=H106,0,"Batal")</f>
        <v>0</v>
      </c>
      <c r="L106" s="134"/>
      <c r="M106" s="16" t="s">
        <v>84</v>
      </c>
      <c r="N106" s="32"/>
      <c r="O106"/>
    </row>
    <row r="107" spans="3:15" ht="15.75" thickBot="1" x14ac:dyDescent="0.3">
      <c r="C107" s="59"/>
      <c r="D107" s="57"/>
      <c r="E107" s="47"/>
      <c r="F107" s="12" t="s">
        <v>28</v>
      </c>
      <c r="G107" s="135" t="s">
        <v>62</v>
      </c>
      <c r="H107" s="136" t="s">
        <v>229</v>
      </c>
      <c r="I107" s="137" t="s">
        <v>229</v>
      </c>
      <c r="J107" s="138" t="str">
        <f>IF(I107=H107,"D1",0)</f>
        <v>D1</v>
      </c>
      <c r="K107" s="139">
        <f>IF(I107=H107,0,"Batal")</f>
        <v>0</v>
      </c>
      <c r="L107" s="150" t="s">
        <v>100</v>
      </c>
      <c r="M107" s="18" t="s">
        <v>238</v>
      </c>
      <c r="N107" s="141"/>
      <c r="O107"/>
    </row>
    <row r="108" spans="3:15" ht="25.5" x14ac:dyDescent="0.25">
      <c r="C108" s="58" t="s">
        <v>115</v>
      </c>
      <c r="D108" s="48" t="s">
        <v>152</v>
      </c>
      <c r="E108" s="46" t="s">
        <v>30</v>
      </c>
      <c r="F108" s="10" t="s">
        <v>28</v>
      </c>
      <c r="G108" s="123" t="s">
        <v>5</v>
      </c>
      <c r="H108" s="124" t="s">
        <v>6</v>
      </c>
      <c r="I108" s="125" t="s">
        <v>6</v>
      </c>
      <c r="J108" s="126" t="str">
        <f>IF(I108=H108,"RTU01",0)</f>
        <v>RTU01</v>
      </c>
      <c r="K108" s="127">
        <f>IF(I108=H108,0,"R1")</f>
        <v>0</v>
      </c>
      <c r="L108" s="128"/>
      <c r="M108" s="15" t="s">
        <v>319</v>
      </c>
      <c r="N108" s="35"/>
      <c r="O108"/>
    </row>
    <row r="109" spans="3:15" ht="30" customHeight="1" x14ac:dyDescent="0.25">
      <c r="C109" s="59"/>
      <c r="D109" s="56"/>
      <c r="E109" s="55"/>
      <c r="F109" s="23" t="s">
        <v>14</v>
      </c>
      <c r="G109" s="129" t="s">
        <v>21</v>
      </c>
      <c r="H109" s="130">
        <v>150</v>
      </c>
      <c r="I109" s="131">
        <v>80</v>
      </c>
      <c r="J109" s="132">
        <f>IF(I109&gt;=H109,"L2",0)</f>
        <v>0</v>
      </c>
      <c r="K109" s="133" t="str">
        <f>IF(I109&gt;=H109,0,"L1")</f>
        <v>L1</v>
      </c>
      <c r="L109" s="134"/>
      <c r="M109" s="16" t="s">
        <v>285</v>
      </c>
      <c r="N109" s="32"/>
      <c r="O109"/>
    </row>
    <row r="110" spans="3:15" ht="30" x14ac:dyDescent="0.25">
      <c r="C110" s="59"/>
      <c r="D110" s="56"/>
      <c r="E110" s="55"/>
      <c r="F110" s="23" t="s">
        <v>57</v>
      </c>
      <c r="G110" s="129" t="s">
        <v>60</v>
      </c>
      <c r="H110" s="130">
        <v>0.5</v>
      </c>
      <c r="I110" s="131">
        <v>0.2</v>
      </c>
      <c r="J110" s="132" t="str">
        <f>IF(I110&lt;H110,"RTU01",0)</f>
        <v>RTU01</v>
      </c>
      <c r="K110" s="133">
        <f>IF(I110&gt;=H110,"Batal",0)</f>
        <v>0</v>
      </c>
      <c r="L110" s="134"/>
      <c r="M110" s="16" t="s">
        <v>73</v>
      </c>
      <c r="N110" s="32"/>
      <c r="O110"/>
    </row>
    <row r="111" spans="3:15" ht="30" x14ac:dyDescent="0.25">
      <c r="C111" s="59"/>
      <c r="D111" s="56"/>
      <c r="E111" s="55"/>
      <c r="F111" s="23" t="s">
        <v>242</v>
      </c>
      <c r="G111" s="129" t="s">
        <v>64</v>
      </c>
      <c r="H111" s="130">
        <v>24</v>
      </c>
      <c r="I111" s="131">
        <v>24</v>
      </c>
      <c r="J111" s="132" t="str">
        <f>IF(I111&lt;=H111,"E2",0)</f>
        <v>E2</v>
      </c>
      <c r="K111" s="133">
        <f>IF(I111&lt;=H111,0,0)</f>
        <v>0</v>
      </c>
      <c r="L111" s="134"/>
      <c r="M111" s="16" t="s">
        <v>239</v>
      </c>
      <c r="N111" s="32"/>
      <c r="O111"/>
    </row>
    <row r="112" spans="3:15" ht="30.75" thickBot="1" x14ac:dyDescent="0.3">
      <c r="C112" s="60"/>
      <c r="D112" s="57"/>
      <c r="E112" s="47"/>
      <c r="F112" s="11" t="s">
        <v>28</v>
      </c>
      <c r="G112" s="135" t="s">
        <v>31</v>
      </c>
      <c r="H112" s="136" t="s">
        <v>9</v>
      </c>
      <c r="I112" s="137" t="s">
        <v>9</v>
      </c>
      <c r="J112" s="138" t="str">
        <f>IF(I112=H112,"Tempat tidur",0)</f>
        <v>Tempat tidur</v>
      </c>
      <c r="K112" s="139">
        <f>IF(I112=H112,0,"Batal")</f>
        <v>0</v>
      </c>
      <c r="L112" s="150" t="s">
        <v>312</v>
      </c>
      <c r="M112" s="18" t="s">
        <v>240</v>
      </c>
      <c r="N112" s="141"/>
      <c r="O112"/>
    </row>
    <row r="113" spans="3:15" x14ac:dyDescent="0.25">
      <c r="C113" s="58" t="s">
        <v>116</v>
      </c>
      <c r="D113" s="48" t="s">
        <v>153</v>
      </c>
      <c r="E113" s="46" t="s">
        <v>137</v>
      </c>
      <c r="F113" s="10" t="s">
        <v>14</v>
      </c>
      <c r="G113" s="123" t="s">
        <v>21</v>
      </c>
      <c r="H113" s="124">
        <v>150</v>
      </c>
      <c r="I113" s="125">
        <v>100</v>
      </c>
      <c r="J113" s="126">
        <f>IF(I113&gt;=H113,"RDP02",0)</f>
        <v>0</v>
      </c>
      <c r="K113" s="127" t="str">
        <f>IF(I113&lt;H113,"L1",0)</f>
        <v>L1</v>
      </c>
      <c r="L113" s="128"/>
      <c r="M113" s="15" t="s">
        <v>267</v>
      </c>
      <c r="N113" s="140"/>
      <c r="O113"/>
    </row>
    <row r="114" spans="3:15" ht="30" x14ac:dyDescent="0.25">
      <c r="C114" s="68"/>
      <c r="D114" s="56"/>
      <c r="E114" s="55"/>
      <c r="F114" s="23" t="s">
        <v>57</v>
      </c>
      <c r="G114" s="129" t="s">
        <v>60</v>
      </c>
      <c r="H114" s="130">
        <v>2</v>
      </c>
      <c r="I114" s="131">
        <v>1</v>
      </c>
      <c r="J114" s="132" t="str">
        <f>IF(I114&lt;=H114,"RDP02",0)</f>
        <v>RDP02</v>
      </c>
      <c r="K114" s="133">
        <f>IF(I114&gt;H114,"Batal",0)</f>
        <v>0</v>
      </c>
      <c r="L114" s="134"/>
      <c r="M114" s="16" t="s">
        <v>241</v>
      </c>
      <c r="N114" s="32"/>
      <c r="O114"/>
    </row>
    <row r="115" spans="3:15" ht="30.75" thickBot="1" x14ac:dyDescent="0.3">
      <c r="C115" s="60"/>
      <c r="D115" s="57"/>
      <c r="E115" s="47"/>
      <c r="F115" s="24" t="s">
        <v>20</v>
      </c>
      <c r="G115" s="170" t="s">
        <v>59</v>
      </c>
      <c r="H115" s="171">
        <v>200</v>
      </c>
      <c r="I115" s="172">
        <v>1000</v>
      </c>
      <c r="J115" s="132" t="str">
        <f>IF(I115&gt;=H115,"RDP02",0)</f>
        <v>RDP02</v>
      </c>
      <c r="K115" s="133">
        <f>IF(I115&lt;H115,"Batal",0)</f>
        <v>0</v>
      </c>
      <c r="L115" s="173" t="s">
        <v>135</v>
      </c>
      <c r="M115" s="16" t="s">
        <v>342</v>
      </c>
      <c r="N115" s="174" t="s">
        <v>264</v>
      </c>
      <c r="O115"/>
    </row>
    <row r="116" spans="3:15" x14ac:dyDescent="0.25">
      <c r="C116" s="58" t="s">
        <v>171</v>
      </c>
      <c r="D116" s="48" t="s">
        <v>154</v>
      </c>
      <c r="E116" s="46" t="s">
        <v>17</v>
      </c>
      <c r="F116" s="10" t="s">
        <v>14</v>
      </c>
      <c r="G116" s="123" t="s">
        <v>21</v>
      </c>
      <c r="H116" s="124">
        <v>100</v>
      </c>
      <c r="I116" s="125">
        <v>80</v>
      </c>
      <c r="J116" s="126">
        <f>IF(I116&gt;=H116,"RDP01",0)</f>
        <v>0</v>
      </c>
      <c r="K116" s="127" t="str">
        <f>IF(I116&lt;H116,"L1",0)</f>
        <v>L1</v>
      </c>
      <c r="L116" s="128"/>
      <c r="M116" s="15" t="s">
        <v>286</v>
      </c>
      <c r="N116" s="140"/>
      <c r="O116"/>
    </row>
    <row r="117" spans="3:15" ht="30" x14ac:dyDescent="0.25">
      <c r="C117" s="59"/>
      <c r="D117" s="56"/>
      <c r="E117" s="55"/>
      <c r="F117" s="23" t="s">
        <v>57</v>
      </c>
      <c r="G117" s="129" t="s">
        <v>60</v>
      </c>
      <c r="H117" s="130">
        <v>0.5</v>
      </c>
      <c r="I117" s="131">
        <v>0.3</v>
      </c>
      <c r="J117" s="132" t="str">
        <f>IF(I117&lt;H117,"Tempat sampah",0)</f>
        <v>Tempat sampah</v>
      </c>
      <c r="K117" s="133">
        <f>IF(I117&gt;=H117,"Batal",0)</f>
        <v>0</v>
      </c>
      <c r="L117" s="134"/>
      <c r="M117" s="16" t="s">
        <v>81</v>
      </c>
      <c r="N117" s="32"/>
      <c r="O117"/>
    </row>
    <row r="118" spans="3:15" ht="26.25" thickBot="1" x14ac:dyDescent="0.3">
      <c r="C118" s="60"/>
      <c r="D118" s="57"/>
      <c r="E118" s="47"/>
      <c r="F118" s="11" t="s">
        <v>28</v>
      </c>
      <c r="G118" s="135" t="s">
        <v>5</v>
      </c>
      <c r="H118" s="136" t="s">
        <v>6</v>
      </c>
      <c r="I118" s="137" t="s">
        <v>6</v>
      </c>
      <c r="J118" s="138" t="str">
        <f>IF(I118=H118,"RHD01",0)</f>
        <v>RHD01</v>
      </c>
      <c r="K118" s="139">
        <f>IF(I118=H118,0,"R1")</f>
        <v>0</v>
      </c>
      <c r="L118" s="150" t="s">
        <v>307</v>
      </c>
      <c r="M118" s="18" t="s">
        <v>320</v>
      </c>
      <c r="N118" s="141"/>
      <c r="O118"/>
    </row>
    <row r="119" spans="3:15" x14ac:dyDescent="0.25">
      <c r="C119" s="58" t="s">
        <v>172</v>
      </c>
      <c r="D119" s="48" t="s">
        <v>155</v>
      </c>
      <c r="E119" s="46" t="s">
        <v>18</v>
      </c>
      <c r="F119" s="10" t="s">
        <v>14</v>
      </c>
      <c r="G119" s="123" t="s">
        <v>21</v>
      </c>
      <c r="H119" s="124">
        <v>100</v>
      </c>
      <c r="I119" s="125">
        <v>80</v>
      </c>
      <c r="J119" s="126">
        <f>IF(I119&gt;=H119,"RDP01",0)</f>
        <v>0</v>
      </c>
      <c r="K119" s="127" t="str">
        <f>IF(I119&lt;H119,"L1",0)</f>
        <v>L1</v>
      </c>
      <c r="L119" s="128"/>
      <c r="M119" s="15" t="s">
        <v>286</v>
      </c>
      <c r="N119" s="140"/>
      <c r="O119"/>
    </row>
    <row r="120" spans="3:15" ht="30" x14ac:dyDescent="0.25">
      <c r="C120" s="59"/>
      <c r="D120" s="56"/>
      <c r="E120" s="55"/>
      <c r="F120" s="23" t="s">
        <v>57</v>
      </c>
      <c r="G120" s="129" t="s">
        <v>60</v>
      </c>
      <c r="H120" s="130">
        <v>0.5</v>
      </c>
      <c r="I120" s="131">
        <v>0.2</v>
      </c>
      <c r="J120" s="132" t="str">
        <f>IF(I120&lt;H120,"Tempat sampah",0)</f>
        <v>Tempat sampah</v>
      </c>
      <c r="K120" s="133">
        <f>IF(I120&gt;=H120,"Batal",0)</f>
        <v>0</v>
      </c>
      <c r="L120" s="134"/>
      <c r="M120" s="16" t="s">
        <v>81</v>
      </c>
      <c r="N120" s="32"/>
      <c r="O120"/>
    </row>
    <row r="121" spans="3:15" ht="26.25" thickBot="1" x14ac:dyDescent="0.3">
      <c r="C121" s="60"/>
      <c r="D121" s="57"/>
      <c r="E121" s="47"/>
      <c r="F121" s="11" t="s">
        <v>28</v>
      </c>
      <c r="G121" s="135" t="s">
        <v>5</v>
      </c>
      <c r="H121" s="136" t="s">
        <v>6</v>
      </c>
      <c r="I121" s="137" t="s">
        <v>6</v>
      </c>
      <c r="J121" s="138" t="str">
        <f>IF(I121=H121,"RHD01",0)</f>
        <v>RHD01</v>
      </c>
      <c r="K121" s="139">
        <f>IF(I121=H121,0,"R1")</f>
        <v>0</v>
      </c>
      <c r="L121" s="150" t="s">
        <v>307</v>
      </c>
      <c r="M121" s="18" t="s">
        <v>320</v>
      </c>
      <c r="N121" s="141"/>
      <c r="O121"/>
    </row>
    <row r="122" spans="3:15" x14ac:dyDescent="0.25">
      <c r="C122" s="58" t="s">
        <v>174</v>
      </c>
      <c r="D122" s="48" t="s">
        <v>173</v>
      </c>
      <c r="E122" s="46" t="s">
        <v>17</v>
      </c>
      <c r="F122" s="10" t="s">
        <v>14</v>
      </c>
      <c r="G122" s="123" t="s">
        <v>21</v>
      </c>
      <c r="H122" s="124">
        <v>150</v>
      </c>
      <c r="I122" s="125">
        <v>100</v>
      </c>
      <c r="J122" s="126">
        <f>IF(I122&gt;=H122,"RDP01",0)</f>
        <v>0</v>
      </c>
      <c r="K122" s="127" t="str">
        <f>IF(I122&lt;H122,"L1",0)</f>
        <v>L1</v>
      </c>
      <c r="L122" s="128"/>
      <c r="M122" s="15" t="s">
        <v>284</v>
      </c>
      <c r="N122" s="140"/>
      <c r="O122"/>
    </row>
    <row r="123" spans="3:15" ht="25.5" x14ac:dyDescent="0.25">
      <c r="C123" s="59"/>
      <c r="D123" s="56"/>
      <c r="E123" s="55"/>
      <c r="F123" s="23" t="s">
        <v>28</v>
      </c>
      <c r="G123" s="129" t="s">
        <v>5</v>
      </c>
      <c r="H123" s="130" t="s">
        <v>6</v>
      </c>
      <c r="I123" s="131" t="s">
        <v>6</v>
      </c>
      <c r="J123" s="132" t="str">
        <f>IF(I123=H123,"RDP01",0)</f>
        <v>RDP01</v>
      </c>
      <c r="K123" s="133">
        <f>IF(I123=H123,0,"R1")</f>
        <v>0</v>
      </c>
      <c r="L123" s="134"/>
      <c r="M123" s="16" t="s">
        <v>315</v>
      </c>
      <c r="N123" s="32"/>
      <c r="O123"/>
    </row>
    <row r="124" spans="3:15" ht="30" x14ac:dyDescent="0.25">
      <c r="C124" s="59"/>
      <c r="D124" s="56"/>
      <c r="E124" s="55"/>
      <c r="F124" s="23" t="s">
        <v>57</v>
      </c>
      <c r="G124" s="129" t="s">
        <v>60</v>
      </c>
      <c r="H124" s="130">
        <v>2</v>
      </c>
      <c r="I124" s="131">
        <v>2</v>
      </c>
      <c r="J124" s="132" t="str">
        <f>IF(I124&lt;=H124,"RDP01",0)</f>
        <v>RDP01</v>
      </c>
      <c r="K124" s="133">
        <f>IF(I124&gt;H124,"Batal",0)</f>
        <v>0</v>
      </c>
      <c r="L124" s="134"/>
      <c r="M124" s="16" t="s">
        <v>232</v>
      </c>
      <c r="N124" s="32"/>
      <c r="O124"/>
    </row>
    <row r="125" spans="3:15" ht="30" x14ac:dyDescent="0.25">
      <c r="C125" s="59"/>
      <c r="D125" s="56"/>
      <c r="E125" s="55"/>
      <c r="F125" s="25" t="s">
        <v>20</v>
      </c>
      <c r="G125" s="129" t="s">
        <v>50</v>
      </c>
      <c r="H125" s="134" t="s">
        <v>15</v>
      </c>
      <c r="I125" s="131" t="s">
        <v>15</v>
      </c>
      <c r="J125" s="132" t="str">
        <f>IF(I125=H125,"Kompor",0)</f>
        <v>Kompor</v>
      </c>
      <c r="K125" s="133">
        <f>IF(I125=H125,0,"Batal")</f>
        <v>0</v>
      </c>
      <c r="L125" s="134"/>
      <c r="M125" s="16" t="s">
        <v>84</v>
      </c>
      <c r="N125" s="32"/>
      <c r="O125"/>
    </row>
    <row r="126" spans="3:15" ht="15.75" thickBot="1" x14ac:dyDescent="0.3">
      <c r="C126" s="60"/>
      <c r="D126" s="57"/>
      <c r="E126" s="47"/>
      <c r="F126" s="12" t="s">
        <v>28</v>
      </c>
      <c r="G126" s="135" t="s">
        <v>62</v>
      </c>
      <c r="H126" s="136" t="s">
        <v>229</v>
      </c>
      <c r="I126" s="137" t="s">
        <v>229</v>
      </c>
      <c r="J126" s="138" t="str">
        <f>IF(I126=H126,"D1",0)</f>
        <v>D1</v>
      </c>
      <c r="K126" s="139">
        <f>IF(I126=H126,0,"Batal")</f>
        <v>0</v>
      </c>
      <c r="L126" s="150" t="s">
        <v>100</v>
      </c>
      <c r="M126" s="18" t="s">
        <v>238</v>
      </c>
      <c r="N126" s="141"/>
      <c r="O126"/>
    </row>
    <row r="127" spans="3:15" ht="15.75" thickBot="1" x14ac:dyDescent="0.3">
      <c r="C127" s="58" t="s">
        <v>176</v>
      </c>
      <c r="D127" s="48" t="s">
        <v>175</v>
      </c>
      <c r="E127" s="46" t="s">
        <v>141</v>
      </c>
      <c r="F127" s="10" t="s">
        <v>14</v>
      </c>
      <c r="G127" s="123" t="s">
        <v>21</v>
      </c>
      <c r="H127" s="124">
        <v>150</v>
      </c>
      <c r="I127" s="125">
        <v>100</v>
      </c>
      <c r="J127" s="126">
        <f>IF(I127&gt;=H127,"Pintu",0)</f>
        <v>0</v>
      </c>
      <c r="K127" s="127" t="str">
        <f>IF(I127&lt;H127,"L1",0)</f>
        <v>L1</v>
      </c>
      <c r="L127" s="128"/>
      <c r="M127" s="15" t="s">
        <v>279</v>
      </c>
      <c r="N127" s="140"/>
      <c r="O127"/>
    </row>
    <row r="128" spans="3:15" ht="30.75" thickBot="1" x14ac:dyDescent="0.3">
      <c r="C128" s="59"/>
      <c r="D128" s="48"/>
      <c r="E128" s="55"/>
      <c r="F128" s="23" t="s">
        <v>57</v>
      </c>
      <c r="G128" s="129" t="s">
        <v>60</v>
      </c>
      <c r="H128" s="130">
        <v>0</v>
      </c>
      <c r="I128" s="131">
        <v>0.2</v>
      </c>
      <c r="J128" s="132">
        <f>IF(I128&lt;=H128,"Pintu",0)</f>
        <v>0</v>
      </c>
      <c r="K128" s="133" t="str">
        <f>IF(I128&gt;H128,"Batal",0)</f>
        <v>Batal</v>
      </c>
      <c r="L128" s="134"/>
      <c r="M128" s="16" t="s">
        <v>77</v>
      </c>
      <c r="N128" s="32"/>
      <c r="O128"/>
    </row>
    <row r="129" spans="3:15" ht="26.25" thickBot="1" x14ac:dyDescent="0.3">
      <c r="C129" s="59"/>
      <c r="D129" s="48"/>
      <c r="E129" s="55"/>
      <c r="F129" s="23" t="s">
        <v>28</v>
      </c>
      <c r="G129" s="129" t="s">
        <v>5</v>
      </c>
      <c r="H129" s="130" t="s">
        <v>6</v>
      </c>
      <c r="I129" s="131" t="s">
        <v>33</v>
      </c>
      <c r="J129" s="132">
        <f>IF(I129=H129,"Bak mandi",0)</f>
        <v>0</v>
      </c>
      <c r="K129" s="133" t="str">
        <f>IF(I129=H129,0,"RMK03")</f>
        <v>RMK03</v>
      </c>
      <c r="L129" s="134" t="s">
        <v>307</v>
      </c>
      <c r="M129" s="16" t="s">
        <v>142</v>
      </c>
      <c r="N129" s="32"/>
      <c r="O129"/>
    </row>
    <row r="130" spans="3:15" ht="39" thickBot="1" x14ac:dyDescent="0.3">
      <c r="C130" s="59"/>
      <c r="D130" s="48"/>
      <c r="E130" s="64"/>
      <c r="F130" s="23" t="s">
        <v>20</v>
      </c>
      <c r="G130" s="129" t="s">
        <v>61</v>
      </c>
      <c r="H130" s="134">
        <v>90</v>
      </c>
      <c r="I130" s="131">
        <v>10</v>
      </c>
      <c r="J130" s="132">
        <f>IF(I130&gt;=H130,"Bak mandi",0)</f>
        <v>0</v>
      </c>
      <c r="K130" s="133" t="str">
        <f>IF(I130&gt;=H130,0,"D1")</f>
        <v>D1</v>
      </c>
      <c r="L130" s="134" t="s">
        <v>311</v>
      </c>
      <c r="M130" s="16" t="s">
        <v>253</v>
      </c>
      <c r="N130" s="38" t="s">
        <v>262</v>
      </c>
      <c r="O130"/>
    </row>
    <row r="131" spans="3:15" ht="15.75" thickBot="1" x14ac:dyDescent="0.3">
      <c r="C131" s="59"/>
      <c r="D131" s="48"/>
      <c r="E131" s="119" t="s">
        <v>341</v>
      </c>
      <c r="F131" s="105" t="s">
        <v>14</v>
      </c>
      <c r="G131" s="163" t="s">
        <v>21</v>
      </c>
      <c r="H131" s="142">
        <v>150</v>
      </c>
      <c r="I131" s="163">
        <v>100</v>
      </c>
      <c r="J131" s="164">
        <f>IF(I131&gt;=H131,"Pintu",0)</f>
        <v>0</v>
      </c>
      <c r="K131" s="165" t="str">
        <f>IF(I131&lt;H131,"L1",0)</f>
        <v>L1</v>
      </c>
      <c r="L131" s="105"/>
      <c r="M131" s="86" t="s">
        <v>279</v>
      </c>
      <c r="N131" s="120"/>
      <c r="O131"/>
    </row>
    <row r="132" spans="3:15" ht="30.75" thickBot="1" x14ac:dyDescent="0.3">
      <c r="C132" s="59"/>
      <c r="D132" s="48"/>
      <c r="E132" s="119"/>
      <c r="F132" s="105" t="s">
        <v>57</v>
      </c>
      <c r="G132" s="163" t="s">
        <v>60</v>
      </c>
      <c r="H132" s="142">
        <v>0</v>
      </c>
      <c r="I132" s="163">
        <v>0.2</v>
      </c>
      <c r="J132" s="164">
        <f>IF(I132&lt;=H132,"Pintu",0)</f>
        <v>0</v>
      </c>
      <c r="K132" s="165" t="str">
        <f>IF(I132&gt;H132,"Batal",0)</f>
        <v>Batal</v>
      </c>
      <c r="L132" s="105"/>
      <c r="M132" s="86" t="s">
        <v>77</v>
      </c>
      <c r="N132" s="120"/>
      <c r="O132"/>
    </row>
    <row r="133" spans="3:15" ht="26.25" thickBot="1" x14ac:dyDescent="0.3">
      <c r="C133" s="59"/>
      <c r="D133" s="48"/>
      <c r="E133" s="119"/>
      <c r="F133" s="105" t="s">
        <v>28</v>
      </c>
      <c r="G133" s="163" t="s">
        <v>5</v>
      </c>
      <c r="H133" s="142" t="s">
        <v>6</v>
      </c>
      <c r="I133" s="163" t="s">
        <v>33</v>
      </c>
      <c r="J133" s="164">
        <f>IF(I133=H133,"Bak mandi",0)</f>
        <v>0</v>
      </c>
      <c r="K133" s="165" t="str">
        <f>IF(I133=H133,0,"Batal")</f>
        <v>Batal</v>
      </c>
      <c r="L133" s="105" t="s">
        <v>307</v>
      </c>
      <c r="M133" s="86" t="s">
        <v>75</v>
      </c>
      <c r="N133" s="120"/>
      <c r="O133"/>
    </row>
    <row r="134" spans="3:15" ht="39" thickBot="1" x14ac:dyDescent="0.3">
      <c r="C134" s="60"/>
      <c r="D134" s="48"/>
      <c r="E134" s="119"/>
      <c r="F134" s="105" t="s">
        <v>20</v>
      </c>
      <c r="G134" s="163" t="s">
        <v>61</v>
      </c>
      <c r="H134" s="105">
        <v>90</v>
      </c>
      <c r="I134" s="163">
        <v>10</v>
      </c>
      <c r="J134" s="164">
        <f>IF(I134&gt;=H134,"Bak mandi",0)</f>
        <v>0</v>
      </c>
      <c r="K134" s="165" t="str">
        <f>IF(I134&gt;=H134,0,"D1")</f>
        <v>D1</v>
      </c>
      <c r="L134" s="105" t="s">
        <v>311</v>
      </c>
      <c r="M134" s="86" t="s">
        <v>253</v>
      </c>
      <c r="N134" s="121" t="s">
        <v>262</v>
      </c>
      <c r="O134"/>
    </row>
    <row r="135" spans="3:15" x14ac:dyDescent="0.25">
      <c r="C135" s="58" t="s">
        <v>247</v>
      </c>
      <c r="D135" s="48" t="s">
        <v>156</v>
      </c>
      <c r="E135" s="46" t="s">
        <v>137</v>
      </c>
      <c r="F135" s="10" t="s">
        <v>14</v>
      </c>
      <c r="G135" s="123" t="s">
        <v>21</v>
      </c>
      <c r="H135" s="124">
        <v>150</v>
      </c>
      <c r="I135" s="125">
        <v>100</v>
      </c>
      <c r="J135" s="126">
        <f>IF(I135&gt;=H135,"RDP02",0)</f>
        <v>0</v>
      </c>
      <c r="K135" s="127" t="str">
        <f>IF(I135&lt;H135,"L1",0)</f>
        <v>L1</v>
      </c>
      <c r="L135" s="128"/>
      <c r="M135" s="15" t="s">
        <v>267</v>
      </c>
      <c r="N135" s="140"/>
      <c r="O135"/>
    </row>
    <row r="136" spans="3:15" ht="30" x14ac:dyDescent="0.25">
      <c r="C136" s="68"/>
      <c r="D136" s="56"/>
      <c r="E136" s="55"/>
      <c r="F136" s="23" t="s">
        <v>57</v>
      </c>
      <c r="G136" s="129" t="s">
        <v>60</v>
      </c>
      <c r="H136" s="130">
        <v>2</v>
      </c>
      <c r="I136" s="131">
        <v>1</v>
      </c>
      <c r="J136" s="132" t="str">
        <f>IF(I136&lt;=H136,"RDP02",0)</f>
        <v>RDP02</v>
      </c>
      <c r="K136" s="133">
        <f>IF(I136&gt;H136,"Batal",0)</f>
        <v>0</v>
      </c>
      <c r="L136" s="134"/>
      <c r="M136" s="16" t="s">
        <v>241</v>
      </c>
      <c r="N136" s="175"/>
      <c r="O136"/>
    </row>
    <row r="137" spans="3:15" ht="30.75" thickBot="1" x14ac:dyDescent="0.3">
      <c r="C137" s="60"/>
      <c r="D137" s="57"/>
      <c r="E137" s="47"/>
      <c r="F137" s="24" t="s">
        <v>20</v>
      </c>
      <c r="G137" s="170" t="s">
        <v>59</v>
      </c>
      <c r="H137" s="171">
        <v>200</v>
      </c>
      <c r="I137" s="172">
        <v>1000</v>
      </c>
      <c r="J137" s="132" t="str">
        <f>IF(I137&gt;=H137,"RDP02",0)</f>
        <v>RDP02</v>
      </c>
      <c r="K137" s="133">
        <f>IF(I137&lt;H137,"Batal",0)</f>
        <v>0</v>
      </c>
      <c r="L137" s="173"/>
      <c r="M137" s="16" t="s">
        <v>342</v>
      </c>
      <c r="N137" s="141" t="s">
        <v>264</v>
      </c>
      <c r="O137"/>
    </row>
    <row r="138" spans="3:15" ht="39" thickBot="1" x14ac:dyDescent="0.3">
      <c r="C138" s="58" t="s">
        <v>246</v>
      </c>
      <c r="D138" s="65" t="s">
        <v>177</v>
      </c>
      <c r="E138" s="46" t="s">
        <v>24</v>
      </c>
      <c r="F138" s="10" t="s">
        <v>68</v>
      </c>
      <c r="G138" s="123" t="s">
        <v>21</v>
      </c>
      <c r="H138" s="124">
        <v>150</v>
      </c>
      <c r="I138" s="125">
        <v>100</v>
      </c>
      <c r="J138" s="126">
        <f>IF(I138&gt;=H138,"RKG01",0)</f>
        <v>0</v>
      </c>
      <c r="K138" s="127" t="str">
        <f>IF(I138&lt;H138,"L1",0)</f>
        <v>L1</v>
      </c>
      <c r="L138" s="128"/>
      <c r="M138" s="15" t="s">
        <v>277</v>
      </c>
      <c r="N138" s="37" t="s">
        <v>71</v>
      </c>
      <c r="O138"/>
    </row>
    <row r="139" spans="3:15" ht="45.75" thickBot="1" x14ac:dyDescent="0.3">
      <c r="C139" s="59"/>
      <c r="D139" s="66"/>
      <c r="E139" s="46"/>
      <c r="F139" s="23" t="s">
        <v>57</v>
      </c>
      <c r="G139" s="129" t="s">
        <v>67</v>
      </c>
      <c r="H139" s="130">
        <v>1</v>
      </c>
      <c r="I139" s="131">
        <v>1</v>
      </c>
      <c r="J139" s="132">
        <f>IF(I139&lt;H139,"RKG01",0)</f>
        <v>0</v>
      </c>
      <c r="K139" s="133" t="str">
        <f>IF(I139&gt;=H139,"Batal",0)</f>
        <v>Batal</v>
      </c>
      <c r="L139" s="134"/>
      <c r="M139" s="16" t="s">
        <v>210</v>
      </c>
      <c r="N139" s="38" t="s">
        <v>66</v>
      </c>
      <c r="O139"/>
    </row>
    <row r="140" spans="3:15" ht="30.75" thickBot="1" x14ac:dyDescent="0.3">
      <c r="C140" s="59"/>
      <c r="D140" s="66"/>
      <c r="E140" s="46"/>
      <c r="F140" s="23" t="s">
        <v>20</v>
      </c>
      <c r="G140" s="129" t="s">
        <v>58</v>
      </c>
      <c r="H140" s="134" t="s">
        <v>15</v>
      </c>
      <c r="I140" s="131" t="s">
        <v>16</v>
      </c>
      <c r="J140" s="132">
        <f>IF(I140=H140,"RKG01",0)</f>
        <v>0</v>
      </c>
      <c r="K140" s="133" t="str">
        <f>IF(I140=H140,0,"RDP02")</f>
        <v>RDP02</v>
      </c>
      <c r="L140" s="134"/>
      <c r="M140" s="17" t="s">
        <v>212</v>
      </c>
      <c r="N140" s="32"/>
      <c r="O140"/>
    </row>
    <row r="141" spans="3:15" ht="25.5" x14ac:dyDescent="0.25">
      <c r="C141" s="59"/>
      <c r="D141" s="66"/>
      <c r="E141" s="46"/>
      <c r="F141" s="23" t="s">
        <v>69</v>
      </c>
      <c r="G141" s="129" t="s">
        <v>7</v>
      </c>
      <c r="H141" s="130" t="s">
        <v>8</v>
      </c>
      <c r="I141" s="131" t="s">
        <v>9</v>
      </c>
      <c r="J141" s="132">
        <f t="shared" ref="J141" si="1">IF(I141=H141,"Kursi",0)</f>
        <v>0</v>
      </c>
      <c r="K141" s="133" t="str">
        <f>IF(I141=H141,0,"RTM01")</f>
        <v>RTM01</v>
      </c>
      <c r="L141" s="134" t="s">
        <v>135</v>
      </c>
      <c r="M141" s="16" t="s">
        <v>138</v>
      </c>
      <c r="N141" s="33" t="s">
        <v>276</v>
      </c>
      <c r="O141"/>
    </row>
    <row r="142" spans="3:15" x14ac:dyDescent="0.25">
      <c r="C142" s="59"/>
      <c r="D142" s="66"/>
      <c r="E142" s="49" t="s">
        <v>137</v>
      </c>
      <c r="F142" s="23" t="s">
        <v>14</v>
      </c>
      <c r="G142" s="129" t="s">
        <v>21</v>
      </c>
      <c r="H142" s="130">
        <v>150</v>
      </c>
      <c r="I142" s="131">
        <v>100</v>
      </c>
      <c r="J142" s="132">
        <f>IF(I142&gt;=H142,"RDP02",0)</f>
        <v>0</v>
      </c>
      <c r="K142" s="133" t="str">
        <f>IF(I142&lt;H142,"L1",0)</f>
        <v>L1</v>
      </c>
      <c r="L142" s="134"/>
      <c r="M142" s="16" t="s">
        <v>267</v>
      </c>
      <c r="N142" s="33"/>
      <c r="O142"/>
    </row>
    <row r="143" spans="3:15" ht="45" x14ac:dyDescent="0.25">
      <c r="C143" s="59"/>
      <c r="D143" s="66"/>
      <c r="E143" s="49"/>
      <c r="F143" s="23" t="s">
        <v>57</v>
      </c>
      <c r="G143" s="129" t="s">
        <v>67</v>
      </c>
      <c r="H143" s="130">
        <v>1</v>
      </c>
      <c r="I143" s="131">
        <v>0.8</v>
      </c>
      <c r="J143" s="164" t="str">
        <f>IF(I143&lt;H143,"RKG01",0)</f>
        <v>RKG01</v>
      </c>
      <c r="K143" s="165">
        <f>IF(I143&gt;=H143,"RTM01",0)</f>
        <v>0</v>
      </c>
      <c r="L143" s="134"/>
      <c r="M143" s="86" t="s">
        <v>216</v>
      </c>
      <c r="N143" s="38" t="s">
        <v>66</v>
      </c>
      <c r="O143"/>
    </row>
    <row r="144" spans="3:15" ht="38.25" x14ac:dyDescent="0.25">
      <c r="C144" s="59"/>
      <c r="D144" s="66"/>
      <c r="E144" s="49"/>
      <c r="F144" s="23" t="s">
        <v>20</v>
      </c>
      <c r="G144" s="129" t="s">
        <v>58</v>
      </c>
      <c r="H144" s="134" t="s">
        <v>15</v>
      </c>
      <c r="I144" s="131" t="s">
        <v>16</v>
      </c>
      <c r="J144" s="132">
        <f>IF(I144=H144,"RKG01",0)</f>
        <v>0</v>
      </c>
      <c r="K144" s="133" t="str">
        <f>IF(I144=H144,0,"Batal")</f>
        <v>Batal</v>
      </c>
      <c r="L144" s="134"/>
      <c r="M144" s="17" t="s">
        <v>213</v>
      </c>
      <c r="N144" s="33" t="s">
        <v>215</v>
      </c>
      <c r="O144"/>
    </row>
    <row r="145" spans="3:15" x14ac:dyDescent="0.25">
      <c r="C145" s="59"/>
      <c r="D145" s="66"/>
      <c r="E145" s="49" t="s">
        <v>38</v>
      </c>
      <c r="F145" s="23" t="s">
        <v>14</v>
      </c>
      <c r="G145" s="129" t="s">
        <v>21</v>
      </c>
      <c r="H145" s="130">
        <v>150</v>
      </c>
      <c r="I145" s="131">
        <v>100</v>
      </c>
      <c r="J145" s="132">
        <f>IF(I145&gt;=H145,"RTM01",0)</f>
        <v>0</v>
      </c>
      <c r="K145" s="133" t="str">
        <f>IF(I145&lt;H145,"L1",0)</f>
        <v>L1</v>
      </c>
      <c r="L145" s="134"/>
      <c r="M145" s="16" t="s">
        <v>278</v>
      </c>
      <c r="N145" s="33"/>
      <c r="O145"/>
    </row>
    <row r="146" spans="3:15" ht="45" x14ac:dyDescent="0.25">
      <c r="C146" s="72"/>
      <c r="D146" s="66"/>
      <c r="E146" s="49"/>
      <c r="F146" s="23" t="s">
        <v>72</v>
      </c>
      <c r="G146" s="129" t="s">
        <v>67</v>
      </c>
      <c r="H146" s="130">
        <v>1</v>
      </c>
      <c r="I146" s="131">
        <v>1</v>
      </c>
      <c r="J146" s="132">
        <f>IF(I146&lt;H146,"RTM01",0)</f>
        <v>0</v>
      </c>
      <c r="K146" s="133" t="str">
        <f>IF(I146&gt;=H146,"Batal",0)</f>
        <v>Batal</v>
      </c>
      <c r="L146" s="134"/>
      <c r="M146" s="16" t="s">
        <v>216</v>
      </c>
      <c r="N146" s="33" t="s">
        <v>66</v>
      </c>
      <c r="O146"/>
    </row>
    <row r="147" spans="3:15" ht="26.25" thickBot="1" x14ac:dyDescent="0.3">
      <c r="C147" s="72"/>
      <c r="D147" s="66"/>
      <c r="E147" s="49"/>
      <c r="F147" s="8" t="s">
        <v>28</v>
      </c>
      <c r="G147" s="176" t="s">
        <v>25</v>
      </c>
      <c r="H147" s="177" t="s">
        <v>8</v>
      </c>
      <c r="I147" s="178" t="s">
        <v>9</v>
      </c>
      <c r="J147" s="179">
        <f>IF(I147=H147,"Sofa",0)</f>
        <v>0</v>
      </c>
      <c r="K147" s="180" t="str">
        <f>IF(I147=H147,0,"Batal")</f>
        <v>Batal</v>
      </c>
      <c r="L147" s="92" t="s">
        <v>135</v>
      </c>
      <c r="M147" s="20" t="s">
        <v>209</v>
      </c>
      <c r="N147" s="34" t="s">
        <v>66</v>
      </c>
      <c r="O147"/>
    </row>
    <row r="148" spans="3:15" ht="26.25" thickBot="1" x14ac:dyDescent="0.3">
      <c r="C148" s="44" t="s">
        <v>190</v>
      </c>
      <c r="D148" s="51" t="s">
        <v>206</v>
      </c>
      <c r="E148" s="46" t="s">
        <v>207</v>
      </c>
      <c r="F148" s="10" t="s">
        <v>14</v>
      </c>
      <c r="G148" s="123" t="s">
        <v>21</v>
      </c>
      <c r="H148" s="124">
        <v>120</v>
      </c>
      <c r="I148" s="125">
        <v>100</v>
      </c>
      <c r="J148" s="126">
        <f>IF(I148&gt;=H148,"RG01",0)</f>
        <v>0</v>
      </c>
      <c r="K148" s="127" t="str">
        <f>IF(I148&lt;H148,"L1",0)</f>
        <v>L1</v>
      </c>
      <c r="L148" s="128"/>
      <c r="M148" s="19" t="s">
        <v>208</v>
      </c>
      <c r="N148" s="40"/>
      <c r="O148"/>
    </row>
    <row r="149" spans="3:15" ht="26.25" thickBot="1" x14ac:dyDescent="0.3">
      <c r="C149" s="45"/>
      <c r="D149" s="52"/>
      <c r="E149" s="50"/>
      <c r="F149" s="11" t="s">
        <v>28</v>
      </c>
      <c r="G149" s="135" t="s">
        <v>5</v>
      </c>
      <c r="H149" s="136" t="s">
        <v>6</v>
      </c>
      <c r="I149" s="137" t="s">
        <v>6</v>
      </c>
      <c r="J149" s="138" t="str">
        <f>IF(I149=H149,"RGS01",0)</f>
        <v>RGS01</v>
      </c>
      <c r="K149" s="139">
        <f>IF(I149=H149,0,"R1")</f>
        <v>0</v>
      </c>
      <c r="L149" s="150" t="s">
        <v>307</v>
      </c>
      <c r="M149" s="18" t="s">
        <v>321</v>
      </c>
      <c r="N149" s="41"/>
      <c r="O149"/>
    </row>
    <row r="150" spans="3:15" ht="25.5" x14ac:dyDescent="0.25">
      <c r="C150" s="73" t="s">
        <v>179</v>
      </c>
      <c r="D150" s="56" t="s">
        <v>178</v>
      </c>
      <c r="E150" s="55" t="s">
        <v>18</v>
      </c>
      <c r="F150" s="7" t="s">
        <v>14</v>
      </c>
      <c r="G150" s="143" t="s">
        <v>21</v>
      </c>
      <c r="H150" s="144">
        <v>80</v>
      </c>
      <c r="I150" s="145">
        <v>100</v>
      </c>
      <c r="J150" s="146" t="str">
        <f>IF(I150&gt;=H150,"RHD01",0)</f>
        <v>RHD01</v>
      </c>
      <c r="K150" s="147">
        <f>IF(I150&lt;H150,"L1",0)</f>
        <v>0</v>
      </c>
      <c r="L150" s="148"/>
      <c r="M150" s="31" t="s">
        <v>82</v>
      </c>
      <c r="N150" s="149"/>
      <c r="O150"/>
    </row>
    <row r="151" spans="3:15" ht="25.5" x14ac:dyDescent="0.25">
      <c r="C151" s="59"/>
      <c r="D151" s="56"/>
      <c r="E151" s="55"/>
      <c r="F151" s="23" t="s">
        <v>28</v>
      </c>
      <c r="G151" s="129" t="s">
        <v>5</v>
      </c>
      <c r="H151" s="130" t="s">
        <v>6</v>
      </c>
      <c r="I151" s="131" t="s">
        <v>6</v>
      </c>
      <c r="J151" s="132" t="str">
        <f>IF(I151=H151,"RHD01",0)</f>
        <v>RHD01</v>
      </c>
      <c r="K151" s="133">
        <f>IF(I151=H151,0,"R1")</f>
        <v>0</v>
      </c>
      <c r="L151" s="134"/>
      <c r="M151" s="16" t="s">
        <v>320</v>
      </c>
      <c r="N151" s="32"/>
      <c r="O151"/>
    </row>
    <row r="152" spans="3:15" ht="30" x14ac:dyDescent="0.25">
      <c r="C152" s="59"/>
      <c r="D152" s="56"/>
      <c r="E152" s="55"/>
      <c r="F152" s="23" t="s">
        <v>57</v>
      </c>
      <c r="G152" s="129" t="s">
        <v>60</v>
      </c>
      <c r="H152" s="130">
        <v>1</v>
      </c>
      <c r="I152" s="131">
        <v>0.8</v>
      </c>
      <c r="J152" s="132" t="str">
        <f>IF(I152&lt;=H152,"Kran air",0)</f>
        <v>Kran air</v>
      </c>
      <c r="K152" s="133">
        <f>IF(I152&gt;H152,"Batal",0)</f>
        <v>0</v>
      </c>
      <c r="L152" s="134"/>
      <c r="M152" s="16" t="s">
        <v>83</v>
      </c>
      <c r="N152" s="32"/>
      <c r="O152"/>
    </row>
    <row r="153" spans="3:15" ht="30.75" thickBot="1" x14ac:dyDescent="0.3">
      <c r="C153" s="59"/>
      <c r="D153" s="57"/>
      <c r="E153" s="47"/>
      <c r="F153" s="23" t="s">
        <v>20</v>
      </c>
      <c r="G153" s="129" t="s">
        <v>61</v>
      </c>
      <c r="H153" s="134">
        <v>30</v>
      </c>
      <c r="I153" s="131">
        <v>10</v>
      </c>
      <c r="J153" s="132">
        <f>IF(I153&gt;=H153,"D1",0)</f>
        <v>0</v>
      </c>
      <c r="K153" s="133" t="str">
        <f>IF(I153&gt;=H153,0,"Batal")</f>
        <v>Batal</v>
      </c>
      <c r="L153" s="134" t="s">
        <v>100</v>
      </c>
      <c r="M153" s="16" t="s">
        <v>255</v>
      </c>
      <c r="N153" s="32" t="s">
        <v>263</v>
      </c>
      <c r="O153"/>
    </row>
    <row r="154" spans="3:15" x14ac:dyDescent="0.25">
      <c r="C154" s="58" t="s">
        <v>117</v>
      </c>
      <c r="D154" s="48" t="s">
        <v>158</v>
      </c>
      <c r="E154" s="95" t="s">
        <v>207</v>
      </c>
      <c r="F154" s="10" t="s">
        <v>14</v>
      </c>
      <c r="G154" s="123" t="s">
        <v>21</v>
      </c>
      <c r="H154" s="124">
        <v>150</v>
      </c>
      <c r="I154" s="125">
        <v>150</v>
      </c>
      <c r="J154" s="126" t="str">
        <f>IF(I154&gt;=H154,"RGS01",0)</f>
        <v>RGS01</v>
      </c>
      <c r="K154" s="127">
        <f>IF(I154&lt;H154,"L1",0)</f>
        <v>0</v>
      </c>
      <c r="L154" s="128"/>
      <c r="M154" s="15" t="s">
        <v>287</v>
      </c>
      <c r="N154" s="140" t="s">
        <v>99</v>
      </c>
      <c r="O154"/>
    </row>
    <row r="155" spans="3:15" ht="26.25" thickBot="1" x14ac:dyDescent="0.3">
      <c r="C155" s="59"/>
      <c r="D155" s="57"/>
      <c r="E155" s="108"/>
      <c r="F155" s="23" t="s">
        <v>28</v>
      </c>
      <c r="G155" s="129" t="s">
        <v>5</v>
      </c>
      <c r="H155" s="130" t="s">
        <v>6</v>
      </c>
      <c r="I155" s="131" t="s">
        <v>6</v>
      </c>
      <c r="J155" s="132" t="str">
        <f>IF(I155=H155,"RGS01",0)</f>
        <v>RGS01</v>
      </c>
      <c r="K155" s="133">
        <f>IF(I155=H155,0,"R1")</f>
        <v>0</v>
      </c>
      <c r="L155" s="134" t="s">
        <v>307</v>
      </c>
      <c r="M155" s="16" t="s">
        <v>321</v>
      </c>
      <c r="N155" s="32"/>
      <c r="O155"/>
    </row>
    <row r="156" spans="3:15" ht="15.75" customHeight="1" thickBot="1" x14ac:dyDescent="0.3">
      <c r="C156" s="58" t="s">
        <v>180</v>
      </c>
      <c r="D156" s="94" t="s">
        <v>326</v>
      </c>
      <c r="E156" s="96" t="s">
        <v>325</v>
      </c>
      <c r="F156" s="10" t="s">
        <v>14</v>
      </c>
      <c r="G156" s="123" t="s">
        <v>21</v>
      </c>
      <c r="H156" s="124">
        <v>150</v>
      </c>
      <c r="I156" s="125">
        <v>100</v>
      </c>
      <c r="J156" s="126">
        <f>IF(I156&gt;=H156,"Pintu",0)</f>
        <v>0</v>
      </c>
      <c r="K156" s="127" t="str">
        <f>IF(I156&lt;H156,"L1",0)</f>
        <v>L1</v>
      </c>
      <c r="L156" s="128"/>
      <c r="M156" s="15" t="s">
        <v>279</v>
      </c>
      <c r="N156" s="140"/>
      <c r="O156"/>
    </row>
    <row r="157" spans="3:15" ht="30.75" thickBot="1" x14ac:dyDescent="0.3">
      <c r="C157" s="59"/>
      <c r="D157" s="94"/>
      <c r="E157" s="96"/>
      <c r="F157" s="23" t="s">
        <v>57</v>
      </c>
      <c r="G157" s="129" t="s">
        <v>60</v>
      </c>
      <c r="H157" s="130">
        <v>0</v>
      </c>
      <c r="I157" s="131">
        <v>0</v>
      </c>
      <c r="J157" s="132" t="str">
        <f>IF(I157&lt;=H157,"Pintu",0)</f>
        <v>Pintu</v>
      </c>
      <c r="K157" s="133">
        <f>IF(I157&gt;H157,"Batal",0)</f>
        <v>0</v>
      </c>
      <c r="L157" s="134"/>
      <c r="M157" s="16" t="s">
        <v>77</v>
      </c>
      <c r="N157" s="32"/>
      <c r="O157"/>
    </row>
    <row r="158" spans="3:15" ht="26.25" thickBot="1" x14ac:dyDescent="0.3">
      <c r="C158" s="59"/>
      <c r="D158" s="94"/>
      <c r="E158" s="96"/>
      <c r="F158" s="23" t="s">
        <v>28</v>
      </c>
      <c r="G158" s="129" t="s">
        <v>5</v>
      </c>
      <c r="H158" s="130" t="s">
        <v>6</v>
      </c>
      <c r="I158" s="131" t="s">
        <v>6</v>
      </c>
      <c r="J158" s="132" t="str">
        <f>IF(I158=H158,"Bak mandi",0)</f>
        <v>Bak mandi</v>
      </c>
      <c r="K158" s="133">
        <f>IF(I158=H158,0,"Batal")</f>
        <v>0</v>
      </c>
      <c r="L158" s="134" t="s">
        <v>307</v>
      </c>
      <c r="M158" s="16" t="s">
        <v>75</v>
      </c>
      <c r="N158" s="32"/>
      <c r="O158"/>
    </row>
    <row r="159" spans="3:15" ht="39" thickBot="1" x14ac:dyDescent="0.3">
      <c r="C159" s="60"/>
      <c r="D159" s="94"/>
      <c r="E159" s="96"/>
      <c r="F159" s="11" t="s">
        <v>20</v>
      </c>
      <c r="G159" s="135" t="s">
        <v>61</v>
      </c>
      <c r="H159" s="150">
        <v>120</v>
      </c>
      <c r="I159" s="137">
        <v>100</v>
      </c>
      <c r="J159" s="138">
        <f>IF(I159&gt;=H159,"Bak mandi",0)</f>
        <v>0</v>
      </c>
      <c r="K159" s="139" t="str">
        <f>IF(I159&gt;=H159,0,"D1")</f>
        <v>D1</v>
      </c>
      <c r="L159" s="150" t="s">
        <v>311</v>
      </c>
      <c r="M159" s="18" t="s">
        <v>253</v>
      </c>
      <c r="N159" s="39" t="s">
        <v>262</v>
      </c>
      <c r="O159"/>
    </row>
    <row r="160" spans="3:15" x14ac:dyDescent="0.25">
      <c r="C160" s="58" t="s">
        <v>181</v>
      </c>
      <c r="D160" s="48" t="s">
        <v>129</v>
      </c>
      <c r="E160" s="46" t="s">
        <v>139</v>
      </c>
      <c r="F160" s="10" t="s">
        <v>14</v>
      </c>
      <c r="G160" s="123" t="s">
        <v>21</v>
      </c>
      <c r="H160" s="124">
        <v>150</v>
      </c>
      <c r="I160" s="125">
        <v>150</v>
      </c>
      <c r="J160" s="126" t="str">
        <f>IF(I160&gt;=H160,"Pintu",0)</f>
        <v>Pintu</v>
      </c>
      <c r="K160" s="127">
        <f>IF(I160&lt;H160,"L1",0)</f>
        <v>0</v>
      </c>
      <c r="L160" s="128"/>
      <c r="M160" s="15" t="s">
        <v>279</v>
      </c>
      <c r="N160" s="140"/>
      <c r="O160"/>
    </row>
    <row r="161" spans="3:15" ht="25.5" x14ac:dyDescent="0.25">
      <c r="C161" s="73"/>
      <c r="D161" s="56"/>
      <c r="E161" s="55"/>
      <c r="F161" s="23" t="s">
        <v>28</v>
      </c>
      <c r="G161" s="129" t="s">
        <v>5</v>
      </c>
      <c r="H161" s="130" t="s">
        <v>6</v>
      </c>
      <c r="I161" s="131" t="s">
        <v>6</v>
      </c>
      <c r="J161" s="132" t="str">
        <f>IF(I161=H161,"RBK01",0)</f>
        <v>RBK01</v>
      </c>
      <c r="K161" s="133">
        <f>IF(I161=H161,0,"R1")</f>
        <v>0</v>
      </c>
      <c r="L161" s="134"/>
      <c r="M161" s="16" t="s">
        <v>317</v>
      </c>
      <c r="N161" s="32"/>
      <c r="O161"/>
    </row>
    <row r="162" spans="3:15" ht="30" x14ac:dyDescent="0.25">
      <c r="C162" s="59"/>
      <c r="D162" s="56"/>
      <c r="E162" s="55"/>
      <c r="F162" s="23" t="s">
        <v>57</v>
      </c>
      <c r="G162" s="129" t="s">
        <v>60</v>
      </c>
      <c r="H162" s="130">
        <v>2</v>
      </c>
      <c r="I162" s="131">
        <v>1</v>
      </c>
      <c r="J162" s="132" t="str">
        <f>IF(I162&lt;=H162,"RBK01",0)</f>
        <v>RBK01</v>
      </c>
      <c r="K162" s="133">
        <f>IF(I162&gt;H162,"Batal",0)</f>
        <v>0</v>
      </c>
      <c r="L162" s="134"/>
      <c r="M162" s="16" t="s">
        <v>140</v>
      </c>
      <c r="N162" s="32"/>
      <c r="O162"/>
    </row>
    <row r="163" spans="3:15" ht="30.75" thickBot="1" x14ac:dyDescent="0.3">
      <c r="C163" s="60"/>
      <c r="D163" s="57"/>
      <c r="E163" s="47"/>
      <c r="F163" s="11" t="s">
        <v>20</v>
      </c>
      <c r="G163" s="135" t="s">
        <v>61</v>
      </c>
      <c r="H163" s="150">
        <v>250</v>
      </c>
      <c r="I163" s="137">
        <v>300</v>
      </c>
      <c r="J163" s="138" t="str">
        <f>IF(I163&gt;=H163,"D1",0)</f>
        <v>D1</v>
      </c>
      <c r="K163" s="139">
        <f>IF(I163&gt;=H163,0,"Batal")</f>
        <v>0</v>
      </c>
      <c r="L163" s="150" t="s">
        <v>274</v>
      </c>
      <c r="M163" s="18" t="s">
        <v>258</v>
      </c>
      <c r="N163" s="141" t="s">
        <v>263</v>
      </c>
      <c r="O163"/>
    </row>
    <row r="164" spans="3:15" x14ac:dyDescent="0.25">
      <c r="C164" s="58" t="s">
        <v>182</v>
      </c>
      <c r="D164" s="48" t="s">
        <v>130</v>
      </c>
      <c r="E164" s="46" t="s">
        <v>139</v>
      </c>
      <c r="F164" s="10" t="s">
        <v>14</v>
      </c>
      <c r="G164" s="123" t="s">
        <v>21</v>
      </c>
      <c r="H164" s="124">
        <v>150</v>
      </c>
      <c r="I164" s="125">
        <v>100</v>
      </c>
      <c r="J164" s="126">
        <f>IF(I164&gt;=H164,"Pintu",0)</f>
        <v>0</v>
      </c>
      <c r="K164" s="127" t="str">
        <f>IF(I164&lt;H164,"L1",0)</f>
        <v>L1</v>
      </c>
      <c r="L164" s="128"/>
      <c r="M164" s="15" t="s">
        <v>279</v>
      </c>
      <c r="N164" s="140"/>
      <c r="O164"/>
    </row>
    <row r="165" spans="3:15" ht="25.5" x14ac:dyDescent="0.25">
      <c r="C165" s="59"/>
      <c r="D165" s="56"/>
      <c r="E165" s="55"/>
      <c r="F165" s="23" t="s">
        <v>28</v>
      </c>
      <c r="G165" s="129" t="s">
        <v>5</v>
      </c>
      <c r="H165" s="130" t="s">
        <v>6</v>
      </c>
      <c r="I165" s="131" t="s">
        <v>6</v>
      </c>
      <c r="J165" s="132" t="str">
        <f>IF(I165=H165,"RBK01",0)</f>
        <v>RBK01</v>
      </c>
      <c r="K165" s="133">
        <f>IF(I165=H165,0,"R1")</f>
        <v>0</v>
      </c>
      <c r="L165" s="134"/>
      <c r="M165" s="16" t="s">
        <v>317</v>
      </c>
      <c r="N165" s="32"/>
      <c r="O165"/>
    </row>
    <row r="166" spans="3:15" ht="30" x14ac:dyDescent="0.25">
      <c r="C166" s="59"/>
      <c r="D166" s="56"/>
      <c r="E166" s="55"/>
      <c r="F166" s="23" t="s">
        <v>57</v>
      </c>
      <c r="G166" s="129" t="s">
        <v>60</v>
      </c>
      <c r="H166" s="130">
        <v>2</v>
      </c>
      <c r="I166" s="131">
        <v>0.4</v>
      </c>
      <c r="J166" s="132" t="str">
        <f>IF(I166&lt;=H166,"RBK01",0)</f>
        <v>RBK01</v>
      </c>
      <c r="K166" s="133">
        <f>IF(I166&gt;H166,"Batal",0)</f>
        <v>0</v>
      </c>
      <c r="L166" s="134"/>
      <c r="M166" s="16" t="s">
        <v>140</v>
      </c>
      <c r="N166" s="32"/>
      <c r="O166"/>
    </row>
    <row r="167" spans="3:15" ht="30" x14ac:dyDescent="0.25">
      <c r="C167" s="59"/>
      <c r="D167" s="56"/>
      <c r="E167" s="55"/>
      <c r="F167" s="7" t="s">
        <v>20</v>
      </c>
      <c r="G167" s="143" t="s">
        <v>61</v>
      </c>
      <c r="H167" s="148">
        <v>160</v>
      </c>
      <c r="I167" s="145">
        <v>100</v>
      </c>
      <c r="J167" s="132">
        <f>IF(I167&gt;=H167,"D1",0)</f>
        <v>0</v>
      </c>
      <c r="K167" s="133" t="str">
        <f>IF(I167&gt;=H167,0,"Batal")</f>
        <v>Batal</v>
      </c>
      <c r="L167" s="134"/>
      <c r="M167" s="16" t="s">
        <v>256</v>
      </c>
      <c r="N167" s="149" t="s">
        <v>263</v>
      </c>
      <c r="O167"/>
    </row>
    <row r="168" spans="3:15" ht="26.25" thickBot="1" x14ac:dyDescent="0.3">
      <c r="C168" s="60"/>
      <c r="D168" s="57"/>
      <c r="E168" s="47"/>
      <c r="F168" s="23" t="s">
        <v>28</v>
      </c>
      <c r="G168" s="129" t="s">
        <v>52</v>
      </c>
      <c r="H168" s="130" t="s">
        <v>19</v>
      </c>
      <c r="I168" s="131" t="s">
        <v>19</v>
      </c>
      <c r="J168" s="146" t="str">
        <f>IF(I168=H168,"E1",0)</f>
        <v>E1</v>
      </c>
      <c r="K168" s="147">
        <f>IF(I168=H168,0,"Batal")</f>
        <v>0</v>
      </c>
      <c r="L168" s="148" t="s">
        <v>312</v>
      </c>
      <c r="M168" s="21" t="s">
        <v>257</v>
      </c>
      <c r="N168" s="32"/>
      <c r="O168"/>
    </row>
    <row r="169" spans="3:15" x14ac:dyDescent="0.25">
      <c r="C169" s="58" t="s">
        <v>118</v>
      </c>
      <c r="D169" s="48" t="s">
        <v>131</v>
      </c>
      <c r="E169" s="46" t="s">
        <v>139</v>
      </c>
      <c r="F169" s="10" t="s">
        <v>14</v>
      </c>
      <c r="G169" s="123" t="s">
        <v>21</v>
      </c>
      <c r="H169" s="124">
        <v>150</v>
      </c>
      <c r="I169" s="125">
        <v>100</v>
      </c>
      <c r="J169" s="126">
        <f>IF(I169&gt;=H169,"Pintu",0)</f>
        <v>0</v>
      </c>
      <c r="K169" s="127" t="str">
        <f>IF(I169&lt;H169,"L1",0)</f>
        <v>L1</v>
      </c>
      <c r="L169" s="128"/>
      <c r="M169" s="15" t="s">
        <v>279</v>
      </c>
      <c r="N169" s="140"/>
      <c r="O169"/>
    </row>
    <row r="170" spans="3:15" ht="26.25" thickBot="1" x14ac:dyDescent="0.3">
      <c r="C170" s="60"/>
      <c r="D170" s="57"/>
      <c r="E170" s="47"/>
      <c r="F170" s="11" t="s">
        <v>28</v>
      </c>
      <c r="G170" s="135" t="s">
        <v>5</v>
      </c>
      <c r="H170" s="136" t="s">
        <v>6</v>
      </c>
      <c r="I170" s="137" t="s">
        <v>6</v>
      </c>
      <c r="J170" s="138" t="str">
        <f>IF(I170=H170,"RBK01",0)</f>
        <v>RBK01</v>
      </c>
      <c r="K170" s="139">
        <f>IF(I170=H170,0,"R1")</f>
        <v>0</v>
      </c>
      <c r="L170" s="148" t="s">
        <v>312</v>
      </c>
      <c r="M170" s="18" t="s">
        <v>317</v>
      </c>
      <c r="N170" s="141"/>
      <c r="O170"/>
    </row>
    <row r="171" spans="3:15" ht="15.75" thickBot="1" x14ac:dyDescent="0.3">
      <c r="C171" s="58" t="s">
        <v>119</v>
      </c>
      <c r="D171" s="48" t="s">
        <v>157</v>
      </c>
      <c r="E171" s="95" t="s">
        <v>167</v>
      </c>
      <c r="F171" s="10" t="s">
        <v>14</v>
      </c>
      <c r="G171" s="123" t="s">
        <v>21</v>
      </c>
      <c r="H171" s="124">
        <v>150</v>
      </c>
      <c r="I171" s="125">
        <v>100</v>
      </c>
      <c r="J171" s="126">
        <f>IF(I171&gt;=H171,"RKJ01",0)</f>
        <v>0</v>
      </c>
      <c r="K171" s="127" t="str">
        <f>IF(I171&lt;H171,"L1",0)</f>
        <v>L1</v>
      </c>
      <c r="L171" s="166"/>
      <c r="M171" s="15" t="s">
        <v>283</v>
      </c>
      <c r="N171" s="140"/>
      <c r="O171"/>
    </row>
    <row r="172" spans="3:15" ht="30.75" thickBot="1" x14ac:dyDescent="0.3">
      <c r="C172" s="59"/>
      <c r="D172" s="57"/>
      <c r="E172" s="95"/>
      <c r="F172" s="23" t="s">
        <v>57</v>
      </c>
      <c r="G172" s="129" t="s">
        <v>60</v>
      </c>
      <c r="H172" s="130">
        <v>2</v>
      </c>
      <c r="I172" s="131">
        <v>1</v>
      </c>
      <c r="J172" s="132" t="str">
        <f>IF(I172&lt;=H172,"RKJ01",0)</f>
        <v>RKJ01</v>
      </c>
      <c r="K172" s="133">
        <f>IF(I172&gt;H172,"Batal",0)</f>
        <v>0</v>
      </c>
      <c r="L172" s="134" t="s">
        <v>135</v>
      </c>
      <c r="M172" s="16" t="s">
        <v>343</v>
      </c>
      <c r="N172" s="32"/>
      <c r="O172"/>
    </row>
    <row r="173" spans="3:15" x14ac:dyDescent="0.25">
      <c r="C173" s="58" t="s">
        <v>184</v>
      </c>
      <c r="D173" s="48" t="s">
        <v>183</v>
      </c>
      <c r="E173" s="46" t="s">
        <v>24</v>
      </c>
      <c r="F173" s="10" t="s">
        <v>14</v>
      </c>
      <c r="G173" s="123" t="s">
        <v>21</v>
      </c>
      <c r="H173" s="124">
        <v>150</v>
      </c>
      <c r="I173" s="125">
        <v>100</v>
      </c>
      <c r="J173" s="126">
        <f>IF(I173&gt;=H173,"RKG01",0)</f>
        <v>0</v>
      </c>
      <c r="K173" s="127" t="str">
        <f>IF(I173&lt;H173,"L1",0)</f>
        <v>L1</v>
      </c>
      <c r="L173" s="166"/>
      <c r="M173" s="15" t="s">
        <v>277</v>
      </c>
      <c r="N173" s="140"/>
      <c r="O173"/>
    </row>
    <row r="174" spans="3:15" ht="30" x14ac:dyDescent="0.25">
      <c r="C174" s="59"/>
      <c r="D174" s="56"/>
      <c r="E174" s="55"/>
      <c r="F174" s="23" t="s">
        <v>57</v>
      </c>
      <c r="G174" s="129" t="s">
        <v>60</v>
      </c>
      <c r="H174" s="130">
        <v>1</v>
      </c>
      <c r="I174" s="131">
        <v>1</v>
      </c>
      <c r="J174" s="132" t="str">
        <f>IF(I174&lt;=H174,"Sofa/ Kursi",0)</f>
        <v>Sofa/ Kursi</v>
      </c>
      <c r="K174" s="133">
        <f>IF(I174&gt;H174,"Batal",0)</f>
        <v>0</v>
      </c>
      <c r="L174" s="134"/>
      <c r="M174" s="16" t="s">
        <v>293</v>
      </c>
      <c r="N174" s="32"/>
      <c r="O174"/>
    </row>
    <row r="175" spans="3:15" ht="30.75" customHeight="1" x14ac:dyDescent="0.25">
      <c r="C175" s="59"/>
      <c r="D175" s="56"/>
      <c r="E175" s="55"/>
      <c r="F175" s="77" t="s">
        <v>28</v>
      </c>
      <c r="G175" s="129" t="s">
        <v>63</v>
      </c>
      <c r="H175" s="130" t="s">
        <v>49</v>
      </c>
      <c r="I175" s="131" t="s">
        <v>19</v>
      </c>
      <c r="J175" s="132">
        <f>IF(I175=H175,"Sofa/ Kursi",0)</f>
        <v>0</v>
      </c>
      <c r="K175" s="133" t="str">
        <f>IF(I175=H175,0,"E1")</f>
        <v>E1</v>
      </c>
      <c r="L175" s="134"/>
      <c r="M175" s="16" t="s">
        <v>270</v>
      </c>
      <c r="N175" s="32"/>
      <c r="O175"/>
    </row>
    <row r="176" spans="3:15" ht="30" x14ac:dyDescent="0.25">
      <c r="C176" s="59"/>
      <c r="D176" s="56"/>
      <c r="E176" s="55"/>
      <c r="F176" s="75"/>
      <c r="G176" s="129" t="s">
        <v>64</v>
      </c>
      <c r="H176" s="130">
        <v>25</v>
      </c>
      <c r="I176" s="131">
        <v>26</v>
      </c>
      <c r="J176" s="132">
        <f>IF(I176&lt;=H176,"Sofa/ Kursi",0)</f>
        <v>0</v>
      </c>
      <c r="K176" s="133" t="str">
        <f>IF(I176&gt;H176,"E1",0)</f>
        <v>E1</v>
      </c>
      <c r="L176" s="91"/>
      <c r="M176" s="16" t="s">
        <v>294</v>
      </c>
      <c r="N176" s="32"/>
      <c r="O176"/>
    </row>
    <row r="177" spans="3:15" ht="25.5" x14ac:dyDescent="0.25">
      <c r="C177" s="59"/>
      <c r="D177" s="56"/>
      <c r="E177" s="55"/>
      <c r="F177" s="74" t="s">
        <v>28</v>
      </c>
      <c r="G177" s="129" t="s">
        <v>25</v>
      </c>
      <c r="H177" s="130" t="s">
        <v>8</v>
      </c>
      <c r="I177" s="131" t="s">
        <v>8</v>
      </c>
      <c r="J177" s="132" t="str">
        <f>IF(I177=H177,"Sofa",0)</f>
        <v>Sofa</v>
      </c>
      <c r="K177" s="133">
        <f>IF(I177=H177,0,"Kursi")</f>
        <v>0</v>
      </c>
      <c r="L177" s="91"/>
      <c r="M177" s="16" t="s">
        <v>296</v>
      </c>
      <c r="N177" s="32"/>
      <c r="O177"/>
    </row>
    <row r="178" spans="3:15" ht="26.25" thickBot="1" x14ac:dyDescent="0.3">
      <c r="C178" s="59"/>
      <c r="D178" s="57"/>
      <c r="E178" s="47"/>
      <c r="F178" s="75"/>
      <c r="G178" s="129" t="s">
        <v>7</v>
      </c>
      <c r="H178" s="130" t="s">
        <v>8</v>
      </c>
      <c r="I178" s="131" t="s">
        <v>8</v>
      </c>
      <c r="J178" s="132" t="str">
        <f>IF(I178=H178,"Kursi",0)</f>
        <v>Kursi</v>
      </c>
      <c r="K178" s="133">
        <f>IF(I178=H178,0,"Batal")</f>
        <v>0</v>
      </c>
      <c r="L178" s="91" t="s">
        <v>275</v>
      </c>
      <c r="M178" s="16" t="s">
        <v>295</v>
      </c>
      <c r="N178" s="32"/>
      <c r="O178"/>
    </row>
    <row r="179" spans="3:15" ht="30" customHeight="1" x14ac:dyDescent="0.25">
      <c r="C179" s="58" t="s">
        <v>248</v>
      </c>
      <c r="D179" s="48" t="s">
        <v>259</v>
      </c>
      <c r="E179" s="46" t="s">
        <v>24</v>
      </c>
      <c r="F179" s="10" t="s">
        <v>14</v>
      </c>
      <c r="G179" s="123" t="s">
        <v>21</v>
      </c>
      <c r="H179" s="124">
        <v>150</v>
      </c>
      <c r="I179" s="125">
        <v>100</v>
      </c>
      <c r="J179" s="126">
        <f>IF(I179&gt;=H179,"RKG01",0)</f>
        <v>0</v>
      </c>
      <c r="K179" s="127" t="str">
        <f>IF(I179&lt;H179,"L1",0)</f>
        <v>L1</v>
      </c>
      <c r="L179" s="166"/>
      <c r="M179" s="15" t="s">
        <v>277</v>
      </c>
      <c r="N179" s="140"/>
      <c r="O179"/>
    </row>
    <row r="180" spans="3:15" ht="30" x14ac:dyDescent="0.25">
      <c r="C180" s="59"/>
      <c r="D180" s="56"/>
      <c r="E180" s="55"/>
      <c r="F180" s="23" t="s">
        <v>57</v>
      </c>
      <c r="G180" s="129" t="s">
        <v>60</v>
      </c>
      <c r="H180" s="130">
        <v>2</v>
      </c>
      <c r="I180" s="131">
        <v>1</v>
      </c>
      <c r="J180" s="132" t="str">
        <f>IF(I180&lt;=H180,"Sofa",0)</f>
        <v>Sofa</v>
      </c>
      <c r="K180" s="133">
        <f>IF(I180&gt;H180,"RTU01",0)</f>
        <v>0</v>
      </c>
      <c r="L180" s="134"/>
      <c r="M180" s="16" t="s">
        <v>94</v>
      </c>
      <c r="N180" s="32"/>
      <c r="O180"/>
    </row>
    <row r="181" spans="3:15" x14ac:dyDescent="0.25">
      <c r="C181" s="59"/>
      <c r="D181" s="56"/>
      <c r="E181" s="55"/>
      <c r="F181" s="23" t="s">
        <v>28</v>
      </c>
      <c r="G181" s="129" t="s">
        <v>25</v>
      </c>
      <c r="H181" s="130" t="s">
        <v>8</v>
      </c>
      <c r="I181" s="131" t="s">
        <v>8</v>
      </c>
      <c r="J181" s="132" t="str">
        <f>IF(I181=H181,"Sofa",0)</f>
        <v>Sofa</v>
      </c>
      <c r="K181" s="133">
        <f>IF(I181=H181,0,"RTU01")</f>
        <v>0</v>
      </c>
      <c r="L181" s="91"/>
      <c r="M181" s="16" t="s">
        <v>297</v>
      </c>
      <c r="N181" s="32"/>
      <c r="O181"/>
    </row>
    <row r="182" spans="3:15" ht="30" x14ac:dyDescent="0.25">
      <c r="C182" s="59"/>
      <c r="D182" s="56"/>
      <c r="E182" s="64"/>
      <c r="F182" s="23" t="s">
        <v>242</v>
      </c>
      <c r="G182" s="129" t="s">
        <v>64</v>
      </c>
      <c r="H182" s="130">
        <v>25</v>
      </c>
      <c r="I182" s="131">
        <v>26</v>
      </c>
      <c r="J182" s="132">
        <f>IF(I182&lt;=H182,"Sofa",0)</f>
        <v>0</v>
      </c>
      <c r="K182" s="133" t="str">
        <f>IF(I182&gt;H182,"E1",0)</f>
        <v>E1</v>
      </c>
      <c r="L182" s="91" t="s">
        <v>275</v>
      </c>
      <c r="M182" s="16" t="s">
        <v>289</v>
      </c>
      <c r="N182" s="32"/>
      <c r="O182"/>
    </row>
    <row r="183" spans="3:15" ht="25.5" x14ac:dyDescent="0.25">
      <c r="C183" s="59"/>
      <c r="D183" s="56"/>
      <c r="E183" s="49" t="s">
        <v>30</v>
      </c>
      <c r="F183" s="23" t="s">
        <v>28</v>
      </c>
      <c r="G183" s="129" t="s">
        <v>5</v>
      </c>
      <c r="H183" s="130" t="s">
        <v>6</v>
      </c>
      <c r="I183" s="131" t="s">
        <v>33</v>
      </c>
      <c r="J183" s="132">
        <f>IF(I183=H183,"RTU01",0)</f>
        <v>0</v>
      </c>
      <c r="K183" s="133" t="str">
        <f>IF(I183=H183,0,"Batal")</f>
        <v>Batal</v>
      </c>
      <c r="L183" s="134" t="s">
        <v>307</v>
      </c>
      <c r="M183" s="16" t="s">
        <v>76</v>
      </c>
      <c r="N183" s="32"/>
      <c r="O183"/>
    </row>
    <row r="184" spans="3:15" x14ac:dyDescent="0.25">
      <c r="C184" s="59"/>
      <c r="D184" s="56"/>
      <c r="E184" s="55"/>
      <c r="F184" s="23" t="s">
        <v>14</v>
      </c>
      <c r="G184" s="129" t="s">
        <v>21</v>
      </c>
      <c r="H184" s="130">
        <v>150</v>
      </c>
      <c r="I184" s="131">
        <v>150</v>
      </c>
      <c r="J184" s="132" t="str">
        <f>IF(I184&gt;=H184,"RTU01",0)</f>
        <v>RTU01</v>
      </c>
      <c r="K184" s="133">
        <f>IF(I184&lt;H184,"L1",0)</f>
        <v>0</v>
      </c>
      <c r="L184" s="91"/>
      <c r="M184" s="16" t="s">
        <v>281</v>
      </c>
      <c r="N184" s="32"/>
      <c r="O184"/>
    </row>
    <row r="185" spans="3:15" ht="30" x14ac:dyDescent="0.25">
      <c r="C185" s="59"/>
      <c r="D185" s="56"/>
      <c r="E185" s="55"/>
      <c r="F185" s="23" t="s">
        <v>57</v>
      </c>
      <c r="G185" s="129" t="s">
        <v>60</v>
      </c>
      <c r="H185" s="130">
        <v>1</v>
      </c>
      <c r="I185" s="131">
        <v>0.5</v>
      </c>
      <c r="J185" s="132" t="str">
        <f>IF(I185&lt;=H185,"Tempat tidur",0)</f>
        <v>Tempat tidur</v>
      </c>
      <c r="K185" s="133">
        <f>IF(I185&gt;H185,"Batal",0)</f>
        <v>0</v>
      </c>
      <c r="L185" s="134"/>
      <c r="M185" s="16" t="s">
        <v>88</v>
      </c>
      <c r="N185" s="32"/>
      <c r="O185"/>
    </row>
    <row r="186" spans="3:15" ht="30.75" thickBot="1" x14ac:dyDescent="0.3">
      <c r="C186" s="72"/>
      <c r="D186" s="56"/>
      <c r="E186" s="55"/>
      <c r="F186" s="23" t="s">
        <v>242</v>
      </c>
      <c r="G186" s="129" t="s">
        <v>64</v>
      </c>
      <c r="H186" s="130">
        <v>25</v>
      </c>
      <c r="I186" s="131">
        <v>27</v>
      </c>
      <c r="J186" s="132">
        <f>IF(I186&lt;=H186,"Tempat tidur",0)</f>
        <v>0</v>
      </c>
      <c r="K186" s="133" t="str">
        <f>IF(I186&gt;H186,"E1",0)</f>
        <v>E1</v>
      </c>
      <c r="L186" s="91" t="s">
        <v>313</v>
      </c>
      <c r="M186" s="16" t="s">
        <v>298</v>
      </c>
      <c r="N186" s="32"/>
      <c r="O186"/>
    </row>
    <row r="187" spans="3:15" ht="45" customHeight="1" x14ac:dyDescent="0.25">
      <c r="C187" s="181" t="s">
        <v>334</v>
      </c>
      <c r="D187" s="113" t="s">
        <v>335</v>
      </c>
      <c r="E187" s="113" t="s">
        <v>18</v>
      </c>
      <c r="F187" s="109" t="s">
        <v>14</v>
      </c>
      <c r="G187" s="151" t="s">
        <v>21</v>
      </c>
      <c r="H187" s="152">
        <v>150</v>
      </c>
      <c r="I187" s="151">
        <v>100</v>
      </c>
      <c r="J187" s="153">
        <f>IF(I187&gt;=H187,"RHD01",0)</f>
        <v>0</v>
      </c>
      <c r="K187" s="154" t="str">
        <f>IF(I187&lt;H187,"L1",0)</f>
        <v>L1</v>
      </c>
      <c r="L187" s="182"/>
      <c r="M187" s="110" t="s">
        <v>336</v>
      </c>
      <c r="N187" s="167"/>
      <c r="O187"/>
    </row>
    <row r="188" spans="3:15" ht="26.25" thickBot="1" x14ac:dyDescent="0.3">
      <c r="C188" s="183"/>
      <c r="D188" s="122"/>
      <c r="E188" s="122"/>
      <c r="F188" s="114" t="s">
        <v>28</v>
      </c>
      <c r="G188" s="184" t="s">
        <v>5</v>
      </c>
      <c r="H188" s="185" t="s">
        <v>6</v>
      </c>
      <c r="I188" s="184" t="s">
        <v>6</v>
      </c>
      <c r="J188" s="186" t="str">
        <f>IF(I188=H188,"RHD01",0)</f>
        <v>RHD01</v>
      </c>
      <c r="K188" s="187">
        <f>IF(I188=H188,0,"R1")</f>
        <v>0</v>
      </c>
      <c r="L188" s="114" t="s">
        <v>312</v>
      </c>
      <c r="M188" s="115" t="s">
        <v>320</v>
      </c>
      <c r="N188" s="188"/>
      <c r="O188"/>
    </row>
    <row r="189" spans="3:15" x14ac:dyDescent="0.25">
      <c r="C189" s="73" t="s">
        <v>250</v>
      </c>
      <c r="D189" s="56" t="s">
        <v>249</v>
      </c>
      <c r="E189" s="55" t="s">
        <v>139</v>
      </c>
      <c r="F189" s="10" t="s">
        <v>14</v>
      </c>
      <c r="G189" s="123" t="s">
        <v>21</v>
      </c>
      <c r="H189" s="124">
        <v>150</v>
      </c>
      <c r="I189" s="125">
        <v>100</v>
      </c>
      <c r="J189" s="126">
        <f>IF(I189&gt;=H189,"Pintu",0)</f>
        <v>0</v>
      </c>
      <c r="K189" s="127" t="str">
        <f>IF(I189&lt;H189,"L1",0)</f>
        <v>L1</v>
      </c>
      <c r="L189" s="128"/>
      <c r="M189" s="15" t="s">
        <v>279</v>
      </c>
      <c r="N189" s="140"/>
      <c r="O189"/>
    </row>
    <row r="190" spans="3:15" ht="26.25" thickBot="1" x14ac:dyDescent="0.3">
      <c r="C190" s="60"/>
      <c r="D190" s="57"/>
      <c r="E190" s="47"/>
      <c r="F190" s="11" t="s">
        <v>28</v>
      </c>
      <c r="G190" s="135" t="s">
        <v>5</v>
      </c>
      <c r="H190" s="136" t="s">
        <v>6</v>
      </c>
      <c r="I190" s="137" t="s">
        <v>6</v>
      </c>
      <c r="J190" s="138" t="str">
        <f>IF(I190=H190,"RBK01",0)</f>
        <v>RBK01</v>
      </c>
      <c r="K190" s="139">
        <f>IF(I190=H190,0,"R1")</f>
        <v>0</v>
      </c>
      <c r="L190" s="150" t="s">
        <v>312</v>
      </c>
      <c r="M190" s="18" t="s">
        <v>317</v>
      </c>
      <c r="N190" s="141"/>
      <c r="O190"/>
    </row>
    <row r="191" spans="3:15" ht="30" x14ac:dyDescent="0.25">
      <c r="C191" s="68" t="s">
        <v>185</v>
      </c>
      <c r="D191" s="48" t="s">
        <v>103</v>
      </c>
      <c r="E191" s="96" t="s">
        <v>207</v>
      </c>
      <c r="F191" s="23" t="s">
        <v>57</v>
      </c>
      <c r="G191" s="129" t="s">
        <v>60</v>
      </c>
      <c r="H191" s="130">
        <v>2</v>
      </c>
      <c r="I191" s="131">
        <v>1</v>
      </c>
      <c r="J191" s="132" t="str">
        <f>IF(I191&lt;=H191,"RGS01",0)</f>
        <v>RGS01</v>
      </c>
      <c r="K191" s="133">
        <f>IF(I191&gt;H191,"Batal",0)</f>
        <v>0</v>
      </c>
      <c r="L191" s="91"/>
      <c r="M191" s="16" t="s">
        <v>260</v>
      </c>
      <c r="N191" s="149"/>
      <c r="O191"/>
    </row>
    <row r="192" spans="3:15" ht="15.75" thickBot="1" x14ac:dyDescent="0.3">
      <c r="C192" s="68"/>
      <c r="D192" s="57"/>
      <c r="E192" s="117"/>
      <c r="F192" s="7" t="s">
        <v>14</v>
      </c>
      <c r="G192" s="143" t="s">
        <v>21</v>
      </c>
      <c r="H192" s="144">
        <v>80</v>
      </c>
      <c r="I192" s="145">
        <v>60</v>
      </c>
      <c r="J192" s="146" t="str">
        <f>IF(I192&lt;H192,"L1",0)</f>
        <v>L1</v>
      </c>
      <c r="K192" s="147">
        <f>IF(I192&gt;H192,"Batal",0)</f>
        <v>0</v>
      </c>
      <c r="L192" s="189"/>
      <c r="M192" s="21" t="s">
        <v>288</v>
      </c>
      <c r="N192" s="32"/>
      <c r="O192"/>
    </row>
    <row r="193" spans="3:15" x14ac:dyDescent="0.25">
      <c r="C193" s="58" t="s">
        <v>120</v>
      </c>
      <c r="D193" s="48" t="s">
        <v>53</v>
      </c>
      <c r="E193" s="95" t="s">
        <v>167</v>
      </c>
      <c r="F193" s="10" t="s">
        <v>14</v>
      </c>
      <c r="G193" s="123" t="s">
        <v>21</v>
      </c>
      <c r="H193" s="124">
        <v>150</v>
      </c>
      <c r="I193" s="125">
        <v>100</v>
      </c>
      <c r="J193" s="126">
        <f>IF(I193&gt;=H193,"Pintu",0)</f>
        <v>0</v>
      </c>
      <c r="K193" s="127" t="str">
        <f>IF(I193&lt;H193,"L1",0)</f>
        <v>L1</v>
      </c>
      <c r="L193" s="128"/>
      <c r="M193" s="15" t="s">
        <v>279</v>
      </c>
      <c r="N193" s="140"/>
      <c r="O193"/>
    </row>
    <row r="194" spans="3:15" ht="25.5" x14ac:dyDescent="0.25">
      <c r="C194" s="59"/>
      <c r="D194" s="56"/>
      <c r="E194" s="106"/>
      <c r="F194" s="23" t="s">
        <v>28</v>
      </c>
      <c r="G194" s="129" t="s">
        <v>5</v>
      </c>
      <c r="H194" s="130" t="s">
        <v>6</v>
      </c>
      <c r="I194" s="131" t="s">
        <v>6</v>
      </c>
      <c r="J194" s="132" t="str">
        <f>IF(I194=H194,"RGD01",0)</f>
        <v>RGD01</v>
      </c>
      <c r="K194" s="133">
        <f>IF(I194=H194,0,"R1")</f>
        <v>0</v>
      </c>
      <c r="L194" s="134"/>
      <c r="M194" s="16" t="s">
        <v>322</v>
      </c>
      <c r="N194" s="32"/>
      <c r="O194"/>
    </row>
    <row r="195" spans="3:15" ht="30" x14ac:dyDescent="0.25">
      <c r="C195" s="59"/>
      <c r="D195" s="56"/>
      <c r="E195" s="106"/>
      <c r="F195" s="23" t="s">
        <v>57</v>
      </c>
      <c r="G195" s="129" t="s">
        <v>60</v>
      </c>
      <c r="H195" s="130">
        <v>1</v>
      </c>
      <c r="I195" s="131">
        <v>1</v>
      </c>
      <c r="J195" s="132" t="str">
        <f>IF(I195&lt;=H195,"RGD01",0)</f>
        <v>RGD01</v>
      </c>
      <c r="K195" s="133">
        <f>IF(I195&gt;H195,"Batal",0)</f>
        <v>0</v>
      </c>
      <c r="L195" s="134"/>
      <c r="M195" s="16" t="s">
        <v>299</v>
      </c>
      <c r="N195" s="32"/>
      <c r="O195"/>
    </row>
    <row r="196" spans="3:15" ht="26.25" thickBot="1" x14ac:dyDescent="0.3">
      <c r="C196" s="59"/>
      <c r="D196" s="57"/>
      <c r="E196" s="108"/>
      <c r="F196" s="23" t="s">
        <v>28</v>
      </c>
      <c r="G196" s="129" t="s">
        <v>54</v>
      </c>
      <c r="H196" s="130" t="s">
        <v>49</v>
      </c>
      <c r="I196" s="131" t="s">
        <v>19</v>
      </c>
      <c r="J196" s="132">
        <f>IF(I196=H196,"Setrika",0)</f>
        <v>0</v>
      </c>
      <c r="K196" s="133" t="str">
        <f>IF(I196=H196,0,"E1")</f>
        <v>E1</v>
      </c>
      <c r="L196" s="134" t="s">
        <v>314</v>
      </c>
      <c r="M196" s="16" t="s">
        <v>269</v>
      </c>
      <c r="N196" s="32"/>
      <c r="O196"/>
    </row>
    <row r="197" spans="3:15" x14ac:dyDescent="0.25">
      <c r="C197" s="58" t="s">
        <v>123</v>
      </c>
      <c r="D197" s="48" t="s">
        <v>186</v>
      </c>
      <c r="E197" s="46" t="s">
        <v>17</v>
      </c>
      <c r="F197" s="10" t="s">
        <v>14</v>
      </c>
      <c r="G197" s="123" t="s">
        <v>21</v>
      </c>
      <c r="H197" s="124">
        <v>150</v>
      </c>
      <c r="I197" s="125">
        <v>100</v>
      </c>
      <c r="J197" s="126">
        <f>IF(I197&gt;=H197,"RDP01",0)</f>
        <v>0</v>
      </c>
      <c r="K197" s="127" t="str">
        <f>IF(I197&lt;H197,"L1",0)</f>
        <v>L1</v>
      </c>
      <c r="L197" s="128"/>
      <c r="M197" s="15" t="s">
        <v>284</v>
      </c>
      <c r="N197" s="140"/>
      <c r="O197"/>
    </row>
    <row r="198" spans="3:15" ht="30" x14ac:dyDescent="0.25">
      <c r="C198" s="59"/>
      <c r="D198" s="56"/>
      <c r="E198" s="55"/>
      <c r="F198" s="23" t="s">
        <v>57</v>
      </c>
      <c r="G198" s="129" t="s">
        <v>60</v>
      </c>
      <c r="H198" s="130">
        <v>2</v>
      </c>
      <c r="I198" s="131">
        <v>2</v>
      </c>
      <c r="J198" s="132" t="str">
        <f>IF(I198&lt;=H198,"Bak cuci piring",0)</f>
        <v>Bak cuci piring</v>
      </c>
      <c r="K198" s="133">
        <f>IF(I198&gt;H198,"Batal",0)</f>
        <v>0</v>
      </c>
      <c r="L198" s="134"/>
      <c r="M198" s="16" t="s">
        <v>85</v>
      </c>
      <c r="N198" s="32"/>
      <c r="O198"/>
    </row>
    <row r="199" spans="3:15" ht="30.75" thickBot="1" x14ac:dyDescent="0.3">
      <c r="C199" s="59"/>
      <c r="D199" s="57"/>
      <c r="E199" s="47"/>
      <c r="F199" s="23" t="s">
        <v>20</v>
      </c>
      <c r="G199" s="135" t="s">
        <v>61</v>
      </c>
      <c r="H199" s="150">
        <v>15</v>
      </c>
      <c r="I199" s="137">
        <v>100</v>
      </c>
      <c r="J199" s="138" t="str">
        <f>IF(I199&gt;=H199,"D1",0)</f>
        <v>D1</v>
      </c>
      <c r="K199" s="139">
        <f>IF(I199&gt;=H199,0,"Batal")</f>
        <v>0</v>
      </c>
      <c r="L199" s="150" t="s">
        <v>274</v>
      </c>
      <c r="M199" s="18" t="s">
        <v>261</v>
      </c>
      <c r="N199" s="32" t="s">
        <v>263</v>
      </c>
      <c r="O199"/>
    </row>
    <row r="200" spans="3:15" x14ac:dyDescent="0.25">
      <c r="C200" s="58" t="s">
        <v>187</v>
      </c>
      <c r="D200" s="48" t="s">
        <v>55</v>
      </c>
      <c r="E200" s="46" t="s">
        <v>24</v>
      </c>
      <c r="F200" s="10" t="s">
        <v>14</v>
      </c>
      <c r="G200" s="123" t="s">
        <v>21</v>
      </c>
      <c r="H200" s="124">
        <v>150</v>
      </c>
      <c r="I200" s="125">
        <v>100</v>
      </c>
      <c r="J200" s="126">
        <f>IF(I200&gt;=H200,"RKG01",0)</f>
        <v>0</v>
      </c>
      <c r="K200" s="127" t="str">
        <f>IF(I200&lt;H200,"L1",0)</f>
        <v>L1</v>
      </c>
      <c r="L200" s="166"/>
      <c r="M200" s="15" t="s">
        <v>277</v>
      </c>
      <c r="N200" s="140"/>
      <c r="O200"/>
    </row>
    <row r="201" spans="3:15" ht="30" x14ac:dyDescent="0.25">
      <c r="C201" s="59"/>
      <c r="D201" s="56"/>
      <c r="E201" s="55"/>
      <c r="F201" s="23" t="s">
        <v>57</v>
      </c>
      <c r="G201" s="129" t="s">
        <v>60</v>
      </c>
      <c r="H201" s="130">
        <v>0.6</v>
      </c>
      <c r="I201" s="131">
        <v>1.2</v>
      </c>
      <c r="J201" s="132">
        <f>IF(I201&lt;H201,"Sofa",0)</f>
        <v>0</v>
      </c>
      <c r="K201" s="133" t="str">
        <f>IF(I201&gt;=H201,"RTM01",0)</f>
        <v>RTM01</v>
      </c>
      <c r="L201" s="134"/>
      <c r="M201" s="16" t="s">
        <v>90</v>
      </c>
      <c r="N201" s="32"/>
      <c r="O201"/>
    </row>
    <row r="202" spans="3:15" ht="25.5" x14ac:dyDescent="0.25">
      <c r="C202" s="59"/>
      <c r="D202" s="56"/>
      <c r="E202" s="55"/>
      <c r="F202" s="23" t="s">
        <v>28</v>
      </c>
      <c r="G202" s="129" t="s">
        <v>25</v>
      </c>
      <c r="H202" s="130" t="s">
        <v>8</v>
      </c>
      <c r="I202" s="131" t="s">
        <v>9</v>
      </c>
      <c r="J202" s="132">
        <f>IF(I202=H202,"Sofa",0)</f>
        <v>0</v>
      </c>
      <c r="K202" s="133" t="str">
        <f>IF(I202=H202,0,"RTM01")</f>
        <v>RTM01</v>
      </c>
      <c r="L202" s="91"/>
      <c r="M202" s="16" t="s">
        <v>89</v>
      </c>
      <c r="N202" s="32"/>
      <c r="O202"/>
    </row>
    <row r="203" spans="3:15" ht="30" x14ac:dyDescent="0.25">
      <c r="C203" s="59"/>
      <c r="D203" s="56"/>
      <c r="E203" s="64"/>
      <c r="F203" s="23" t="s">
        <v>242</v>
      </c>
      <c r="G203" s="129" t="s">
        <v>64</v>
      </c>
      <c r="H203" s="130">
        <v>25</v>
      </c>
      <c r="I203" s="131">
        <v>25</v>
      </c>
      <c r="J203" s="132" t="str">
        <f>IF(I203&lt;=H203,"Sofa",0)</f>
        <v>Sofa</v>
      </c>
      <c r="K203" s="133">
        <f>IF(I203&gt;H203,"E1",0)</f>
        <v>0</v>
      </c>
      <c r="L203" s="91" t="s">
        <v>275</v>
      </c>
      <c r="M203" s="16" t="s">
        <v>289</v>
      </c>
      <c r="N203" s="32"/>
      <c r="O203"/>
    </row>
    <row r="204" spans="3:15" x14ac:dyDescent="0.25">
      <c r="C204" s="59"/>
      <c r="D204" s="56"/>
      <c r="E204" s="49" t="s">
        <v>38</v>
      </c>
      <c r="F204" s="23" t="s">
        <v>14</v>
      </c>
      <c r="G204" s="129" t="s">
        <v>21</v>
      </c>
      <c r="H204" s="130">
        <v>150</v>
      </c>
      <c r="I204" s="131">
        <v>150</v>
      </c>
      <c r="J204" s="132" t="str">
        <f>IF(I204&gt;=H204,"RTM01",0)</f>
        <v>RTM01</v>
      </c>
      <c r="K204" s="133">
        <f>IF(I204&lt;H204,"L1",0)</f>
        <v>0</v>
      </c>
      <c r="L204" s="91"/>
      <c r="M204" s="16" t="s">
        <v>278</v>
      </c>
      <c r="N204" s="32"/>
      <c r="O204"/>
    </row>
    <row r="205" spans="3:15" ht="30" x14ac:dyDescent="0.25">
      <c r="C205" s="59"/>
      <c r="D205" s="56"/>
      <c r="E205" s="55"/>
      <c r="F205" s="23" t="s">
        <v>57</v>
      </c>
      <c r="G205" s="129" t="s">
        <v>60</v>
      </c>
      <c r="H205" s="130">
        <v>0.4</v>
      </c>
      <c r="I205" s="131">
        <v>0.2</v>
      </c>
      <c r="J205" s="132" t="str">
        <f>IF(I205&lt;H205,"Sofa",0)</f>
        <v>Sofa</v>
      </c>
      <c r="K205" s="133">
        <f>IF(I205&gt;=H205,"Batal",0)</f>
        <v>0</v>
      </c>
      <c r="L205" s="134"/>
      <c r="M205" s="16" t="s">
        <v>91</v>
      </c>
      <c r="N205" s="32"/>
      <c r="O205"/>
    </row>
    <row r="206" spans="3:15" ht="26.25" thickBot="1" x14ac:dyDescent="0.3">
      <c r="C206" s="59"/>
      <c r="D206" s="56"/>
      <c r="E206" s="55"/>
      <c r="F206" s="23" t="s">
        <v>28</v>
      </c>
      <c r="G206" s="129" t="s">
        <v>25</v>
      </c>
      <c r="H206" s="130" t="s">
        <v>8</v>
      </c>
      <c r="I206" s="131" t="s">
        <v>8</v>
      </c>
      <c r="J206" s="132" t="str">
        <f>IF(I206=H206,"Sofa",0)</f>
        <v>Sofa</v>
      </c>
      <c r="K206" s="133">
        <f>IF(I206=H206,0,"Batal")</f>
        <v>0</v>
      </c>
      <c r="L206" s="134" t="s">
        <v>135</v>
      </c>
      <c r="M206" s="16" t="s">
        <v>92</v>
      </c>
      <c r="N206" s="32"/>
      <c r="O206"/>
    </row>
    <row r="207" spans="3:15" x14ac:dyDescent="0.25">
      <c r="C207" s="58" t="s">
        <v>188</v>
      </c>
      <c r="D207" s="48" t="s">
        <v>56</v>
      </c>
      <c r="E207" s="46" t="s">
        <v>24</v>
      </c>
      <c r="F207" s="10" t="s">
        <v>14</v>
      </c>
      <c r="G207" s="123" t="s">
        <v>21</v>
      </c>
      <c r="H207" s="124">
        <v>150</v>
      </c>
      <c r="I207" s="125">
        <v>100</v>
      </c>
      <c r="J207" s="126">
        <f>IF(I207&gt;=H207,"RKG01",0)</f>
        <v>0</v>
      </c>
      <c r="K207" s="127" t="str">
        <f>IF(I207&lt;H207,"L1",0)</f>
        <v>L1</v>
      </c>
      <c r="L207" s="166"/>
      <c r="M207" s="15" t="s">
        <v>277</v>
      </c>
      <c r="N207" s="140"/>
      <c r="O207"/>
    </row>
    <row r="208" spans="3:15" ht="30" x14ac:dyDescent="0.25">
      <c r="C208" s="59"/>
      <c r="D208" s="56"/>
      <c r="E208" s="55"/>
      <c r="F208" s="23" t="s">
        <v>57</v>
      </c>
      <c r="G208" s="129" t="s">
        <v>60</v>
      </c>
      <c r="H208" s="130">
        <v>1</v>
      </c>
      <c r="I208" s="131">
        <v>1.2</v>
      </c>
      <c r="J208" s="132">
        <f>IF(I208&lt;H208,"Sofa",0)</f>
        <v>0</v>
      </c>
      <c r="K208" s="133" t="str">
        <f>IF(I208&gt;=H208,"RTU01",0)</f>
        <v>RTU01</v>
      </c>
      <c r="L208" s="134"/>
      <c r="M208" s="16" t="s">
        <v>94</v>
      </c>
      <c r="N208" s="32"/>
      <c r="O208"/>
    </row>
    <row r="209" spans="3:15" ht="25.5" x14ac:dyDescent="0.25">
      <c r="C209" s="59"/>
      <c r="D209" s="56"/>
      <c r="E209" s="55"/>
      <c r="F209" s="23" t="s">
        <v>28</v>
      </c>
      <c r="G209" s="129" t="s">
        <v>25</v>
      </c>
      <c r="H209" s="130" t="s">
        <v>8</v>
      </c>
      <c r="I209" s="131" t="s">
        <v>9</v>
      </c>
      <c r="J209" s="132">
        <f>IF(I209=H209,"Sofa",0)</f>
        <v>0</v>
      </c>
      <c r="K209" s="133" t="str">
        <f>IF(I209=H209,0,"RTU01")</f>
        <v>RTU01</v>
      </c>
      <c r="L209" s="91"/>
      <c r="M209" s="16" t="s">
        <v>93</v>
      </c>
      <c r="N209" s="32"/>
      <c r="O209"/>
    </row>
    <row r="210" spans="3:15" ht="30" x14ac:dyDescent="0.25">
      <c r="C210" s="59"/>
      <c r="D210" s="56"/>
      <c r="E210" s="64"/>
      <c r="F210" s="23" t="s">
        <v>242</v>
      </c>
      <c r="G210" s="129" t="s">
        <v>64</v>
      </c>
      <c r="H210" s="130">
        <v>25</v>
      </c>
      <c r="I210" s="131">
        <v>26</v>
      </c>
      <c r="J210" s="132">
        <f>IF(I210&lt;=H210,"Sofa",0)</f>
        <v>0</v>
      </c>
      <c r="K210" s="133" t="str">
        <f>IF(I210&gt;H210,"E1",0)</f>
        <v>E1</v>
      </c>
      <c r="L210" s="91" t="s">
        <v>275</v>
      </c>
      <c r="M210" s="16" t="s">
        <v>289</v>
      </c>
      <c r="N210" s="32"/>
      <c r="O210"/>
    </row>
    <row r="211" spans="3:15" ht="25.5" x14ac:dyDescent="0.25">
      <c r="C211" s="59"/>
      <c r="D211" s="56"/>
      <c r="E211" s="49" t="s">
        <v>30</v>
      </c>
      <c r="F211" s="23" t="s">
        <v>28</v>
      </c>
      <c r="G211" s="129" t="s">
        <v>5</v>
      </c>
      <c r="H211" s="130" t="s">
        <v>6</v>
      </c>
      <c r="I211" s="131" t="s">
        <v>33</v>
      </c>
      <c r="J211" s="132">
        <f>IF(I211=H211,"RTU01",0)</f>
        <v>0</v>
      </c>
      <c r="K211" s="133" t="str">
        <f>IF(I211=H211,0,"Batal")</f>
        <v>Batal</v>
      </c>
      <c r="L211" s="134"/>
      <c r="M211" s="16" t="s">
        <v>76</v>
      </c>
      <c r="N211" s="32"/>
      <c r="O211"/>
    </row>
    <row r="212" spans="3:15" x14ac:dyDescent="0.25">
      <c r="C212" s="59"/>
      <c r="D212" s="56"/>
      <c r="E212" s="55"/>
      <c r="F212" s="23" t="s">
        <v>14</v>
      </c>
      <c r="G212" s="129" t="s">
        <v>21</v>
      </c>
      <c r="H212" s="130">
        <v>150</v>
      </c>
      <c r="I212" s="131">
        <v>100</v>
      </c>
      <c r="J212" s="132">
        <f>IF(I212&gt;=H212,"RTU01",0)</f>
        <v>0</v>
      </c>
      <c r="K212" s="133" t="str">
        <f>IF(I212&lt;H212,"L1",0)</f>
        <v>L1</v>
      </c>
      <c r="L212" s="91" t="s">
        <v>307</v>
      </c>
      <c r="M212" s="16" t="s">
        <v>281</v>
      </c>
      <c r="N212" s="32"/>
      <c r="O212"/>
    </row>
    <row r="213" spans="3:15" ht="30" x14ac:dyDescent="0.25">
      <c r="C213" s="59"/>
      <c r="D213" s="56"/>
      <c r="E213" s="55"/>
      <c r="F213" s="23" t="s">
        <v>57</v>
      </c>
      <c r="G213" s="129" t="s">
        <v>60</v>
      </c>
      <c r="H213" s="130">
        <v>0.4</v>
      </c>
      <c r="I213" s="131">
        <v>1</v>
      </c>
      <c r="J213" s="132">
        <f>IF(I213&lt;H213,"Tempat tidur",0)</f>
        <v>0</v>
      </c>
      <c r="K213" s="133" t="str">
        <f>IF(I213&gt;=H213,"Batal",0)</f>
        <v>Batal</v>
      </c>
      <c r="L213" s="91"/>
      <c r="M213" s="16" t="s">
        <v>95</v>
      </c>
      <c r="N213" s="32"/>
      <c r="O213"/>
    </row>
    <row r="214" spans="3:15" ht="30.75" customHeight="1" x14ac:dyDescent="0.25">
      <c r="C214" s="59"/>
      <c r="D214" s="56"/>
      <c r="E214" s="55"/>
      <c r="F214" s="23" t="s">
        <v>28</v>
      </c>
      <c r="G214" s="129" t="s">
        <v>31</v>
      </c>
      <c r="H214" s="130" t="s">
        <v>8</v>
      </c>
      <c r="I214" s="131" t="s">
        <v>9</v>
      </c>
      <c r="J214" s="132">
        <f>IF(I214=H214,"Tempat tidur",0)</f>
        <v>0</v>
      </c>
      <c r="K214" s="133" t="str">
        <f>IF(I214=H214,0,"Batal")</f>
        <v>Batal</v>
      </c>
      <c r="L214" s="91"/>
      <c r="M214" s="16" t="s">
        <v>74</v>
      </c>
      <c r="N214" s="32"/>
      <c r="O214"/>
    </row>
    <row r="215" spans="3:15" ht="30.75" thickBot="1" x14ac:dyDescent="0.3">
      <c r="C215" s="59"/>
      <c r="D215" s="57"/>
      <c r="E215" s="55"/>
      <c r="F215" s="8" t="s">
        <v>242</v>
      </c>
      <c r="G215" s="176" t="s">
        <v>64</v>
      </c>
      <c r="H215" s="177">
        <v>24</v>
      </c>
      <c r="I215" s="178">
        <v>25</v>
      </c>
      <c r="J215" s="179">
        <f>IF(I215&lt;=H215,"Tempat tidur",0)</f>
        <v>0</v>
      </c>
      <c r="K215" s="180" t="str">
        <f>IF(I215&gt;H215,"E1",0)</f>
        <v>E1</v>
      </c>
      <c r="L215" s="92" t="s">
        <v>313</v>
      </c>
      <c r="M215" s="20" t="s">
        <v>273</v>
      </c>
      <c r="N215" s="32"/>
      <c r="O215"/>
    </row>
    <row r="216" spans="3:15" ht="30.75" customHeight="1" x14ac:dyDescent="0.25">
      <c r="C216" s="44" t="s">
        <v>190</v>
      </c>
      <c r="D216" s="42" t="s">
        <v>96</v>
      </c>
      <c r="E216" s="46" t="s">
        <v>207</v>
      </c>
      <c r="F216" s="10" t="s">
        <v>14</v>
      </c>
      <c r="G216" s="123" t="s">
        <v>21</v>
      </c>
      <c r="H216" s="124">
        <v>150</v>
      </c>
      <c r="I216" s="125">
        <v>100</v>
      </c>
      <c r="J216" s="126">
        <f>IF(I216&gt;=H216,"RGS01",0)</f>
        <v>0</v>
      </c>
      <c r="K216" s="127" t="str">
        <f>IF(I216&lt;H216,"L1",0)</f>
        <v>L1</v>
      </c>
      <c r="L216" s="166" t="s">
        <v>307</v>
      </c>
      <c r="M216" s="15" t="s">
        <v>287</v>
      </c>
      <c r="N216" s="140"/>
      <c r="O216"/>
    </row>
    <row r="217" spans="3:15" ht="26.25" thickBot="1" x14ac:dyDescent="0.3">
      <c r="C217" s="45"/>
      <c r="D217" s="43"/>
      <c r="E217" s="47"/>
      <c r="F217" s="24" t="s">
        <v>28</v>
      </c>
      <c r="G217" s="170" t="s">
        <v>5</v>
      </c>
      <c r="H217" s="171" t="s">
        <v>6</v>
      </c>
      <c r="I217" s="172" t="s">
        <v>6</v>
      </c>
      <c r="J217" s="190" t="str">
        <f>IF(I217=H217,"RGS01",0)</f>
        <v>RGS01</v>
      </c>
      <c r="K217" s="191">
        <f>IF(I217=H217,0,"R1")</f>
        <v>0</v>
      </c>
      <c r="L217" s="173" t="s">
        <v>312</v>
      </c>
      <c r="M217" s="28" t="s">
        <v>321</v>
      </c>
      <c r="N217" s="149"/>
      <c r="O217"/>
    </row>
    <row r="218" spans="3:15" x14ac:dyDescent="0.25">
      <c r="C218" s="44" t="s">
        <v>189</v>
      </c>
      <c r="D218" s="42" t="s">
        <v>97</v>
      </c>
      <c r="E218" s="46" t="s">
        <v>207</v>
      </c>
      <c r="F218" s="10" t="s">
        <v>14</v>
      </c>
      <c r="G218" s="123" t="s">
        <v>21</v>
      </c>
      <c r="H218" s="124">
        <v>150</v>
      </c>
      <c r="I218" s="125">
        <v>100</v>
      </c>
      <c r="J218" s="126">
        <f>IF(I218&gt;=H218,"RGS01",0)</f>
        <v>0</v>
      </c>
      <c r="K218" s="127" t="str">
        <f>IF(I218&lt;H218,"L1",0)</f>
        <v>L1</v>
      </c>
      <c r="L218" s="166"/>
      <c r="M218" s="15" t="s">
        <v>287</v>
      </c>
      <c r="N218" s="140"/>
      <c r="O218"/>
    </row>
    <row r="219" spans="3:15" ht="26.25" thickBot="1" x14ac:dyDescent="0.3">
      <c r="C219" s="45"/>
      <c r="D219" s="43"/>
      <c r="E219" s="47"/>
      <c r="F219" s="24" t="s">
        <v>28</v>
      </c>
      <c r="G219" s="170" t="s">
        <v>5</v>
      </c>
      <c r="H219" s="171" t="s">
        <v>6</v>
      </c>
      <c r="I219" s="172" t="s">
        <v>6</v>
      </c>
      <c r="J219" s="190" t="str">
        <f>IF(I219=H219,"RGS01",0)</f>
        <v>RGS01</v>
      </c>
      <c r="K219" s="191">
        <f>IF(I219=H219,0,"R1")</f>
        <v>0</v>
      </c>
      <c r="L219" s="173" t="s">
        <v>312</v>
      </c>
      <c r="M219" s="28" t="s">
        <v>321</v>
      </c>
      <c r="N219" s="149"/>
      <c r="O219"/>
    </row>
    <row r="220" spans="3:15" ht="60.75" customHeight="1" x14ac:dyDescent="0.25">
      <c r="C220" s="44" t="s">
        <v>117</v>
      </c>
      <c r="D220" s="42" t="s">
        <v>98</v>
      </c>
      <c r="E220" s="46" t="s">
        <v>207</v>
      </c>
      <c r="F220" s="10" t="s">
        <v>14</v>
      </c>
      <c r="G220" s="123" t="s">
        <v>21</v>
      </c>
      <c r="H220" s="124">
        <v>150</v>
      </c>
      <c r="I220" s="125">
        <v>100</v>
      </c>
      <c r="J220" s="126">
        <f>IF(I220&gt;=H220,"RGS01",0)</f>
        <v>0</v>
      </c>
      <c r="K220" s="127" t="str">
        <f>IF(I220&lt;H220,"L1",0)</f>
        <v>L1</v>
      </c>
      <c r="L220" s="166"/>
      <c r="M220" s="15" t="s">
        <v>287</v>
      </c>
      <c r="N220" s="140"/>
      <c r="O220"/>
    </row>
    <row r="221" spans="3:15" ht="26.25" thickBot="1" x14ac:dyDescent="0.3">
      <c r="C221" s="45"/>
      <c r="D221" s="43"/>
      <c r="E221" s="47"/>
      <c r="F221" s="24" t="s">
        <v>28</v>
      </c>
      <c r="G221" s="170" t="s">
        <v>5</v>
      </c>
      <c r="H221" s="171" t="s">
        <v>6</v>
      </c>
      <c r="I221" s="172" t="s">
        <v>6</v>
      </c>
      <c r="J221" s="190" t="str">
        <f>IF(I221=H221,"RGS01",0)</f>
        <v>RGS01</v>
      </c>
      <c r="K221" s="191">
        <f>IF(I221=H221,0,"R1")</f>
        <v>0</v>
      </c>
      <c r="L221" s="173" t="s">
        <v>312</v>
      </c>
      <c r="M221" s="28" t="s">
        <v>321</v>
      </c>
      <c r="N221" s="175"/>
      <c r="O221"/>
    </row>
    <row r="222" spans="3:15" x14ac:dyDescent="0.25">
      <c r="C222" s="44" t="s">
        <v>251</v>
      </c>
      <c r="D222" s="42" t="s">
        <v>252</v>
      </c>
      <c r="E222" s="46" t="s">
        <v>207</v>
      </c>
      <c r="F222" s="10" t="s">
        <v>14</v>
      </c>
      <c r="G222" s="123" t="s">
        <v>21</v>
      </c>
      <c r="H222" s="124">
        <v>150</v>
      </c>
      <c r="I222" s="125">
        <v>100</v>
      </c>
      <c r="J222" s="126">
        <f>IF(I222&gt;=H222,"RGS01",0)</f>
        <v>0</v>
      </c>
      <c r="K222" s="127" t="str">
        <f>IF(I222&lt;H222,"L1",0)</f>
        <v>L1</v>
      </c>
      <c r="L222" s="166"/>
      <c r="M222" s="15" t="s">
        <v>287</v>
      </c>
      <c r="N222" s="140"/>
      <c r="O222"/>
    </row>
    <row r="223" spans="3:15" ht="26.25" thickBot="1" x14ac:dyDescent="0.3">
      <c r="C223" s="45"/>
      <c r="D223" s="43"/>
      <c r="E223" s="47"/>
      <c r="F223" s="24" t="s">
        <v>28</v>
      </c>
      <c r="G223" s="170" t="s">
        <v>5</v>
      </c>
      <c r="H223" s="171" t="s">
        <v>6</v>
      </c>
      <c r="I223" s="172" t="s">
        <v>6</v>
      </c>
      <c r="J223" s="190" t="str">
        <f>IF(I223=H223,"RGS01",0)</f>
        <v>RGS01</v>
      </c>
      <c r="K223" s="191">
        <f>IF(I223=H223,0,"R1")</f>
        <v>0</v>
      </c>
      <c r="L223" s="173" t="s">
        <v>312</v>
      </c>
      <c r="M223" s="28" t="s">
        <v>321</v>
      </c>
      <c r="N223" s="175"/>
      <c r="O223"/>
    </row>
    <row r="224" spans="3:15" ht="15.75" thickBot="1" x14ac:dyDescent="0.3">
      <c r="C224" s="61" t="s">
        <v>203</v>
      </c>
      <c r="D224" s="65" t="s">
        <v>204</v>
      </c>
      <c r="E224" s="61" t="s">
        <v>167</v>
      </c>
      <c r="F224" s="10" t="s">
        <v>14</v>
      </c>
      <c r="G224" s="123" t="s">
        <v>21</v>
      </c>
      <c r="H224" s="124">
        <v>150</v>
      </c>
      <c r="I224" s="125">
        <v>100</v>
      </c>
      <c r="J224" s="126">
        <f>IF(I224&gt;=H224,"RKJ01",0)</f>
        <v>0</v>
      </c>
      <c r="K224" s="127" t="str">
        <f>IF(I224&lt;H224,"L1",0)</f>
        <v>L1</v>
      </c>
      <c r="L224" s="166"/>
      <c r="M224" s="15" t="s">
        <v>300</v>
      </c>
      <c r="N224" s="192"/>
      <c r="O224"/>
    </row>
    <row r="225" spans="3:15" ht="30.75" thickBot="1" x14ac:dyDescent="0.3">
      <c r="C225" s="62"/>
      <c r="D225" s="65"/>
      <c r="E225" s="61"/>
      <c r="F225" s="23" t="s">
        <v>57</v>
      </c>
      <c r="G225" s="129" t="s">
        <v>60</v>
      </c>
      <c r="H225" s="130">
        <v>2</v>
      </c>
      <c r="I225" s="131">
        <v>1</v>
      </c>
      <c r="J225" s="132" t="str">
        <f>IF(I225&lt;=H225,"Kursi",0)</f>
        <v>Kursi</v>
      </c>
      <c r="K225" s="133">
        <f>IF(I225&gt;H225,"Batal",0)</f>
        <v>0</v>
      </c>
      <c r="L225" s="91"/>
      <c r="M225" s="16" t="s">
        <v>290</v>
      </c>
      <c r="N225" s="175"/>
      <c r="O225"/>
    </row>
    <row r="226" spans="3:15" ht="26.25" thickBot="1" x14ac:dyDescent="0.3">
      <c r="C226" s="63"/>
      <c r="D226" s="65"/>
      <c r="E226" s="76"/>
      <c r="F226" s="11" t="s">
        <v>28</v>
      </c>
      <c r="G226" s="135" t="s">
        <v>205</v>
      </c>
      <c r="H226" s="136" t="s">
        <v>49</v>
      </c>
      <c r="I226" s="137" t="s">
        <v>19</v>
      </c>
      <c r="J226" s="138">
        <f>IF(I226=H226,"Komputer",0)</f>
        <v>0</v>
      </c>
      <c r="K226" s="139" t="str">
        <f>IF(I226=H226,0,"E1")</f>
        <v>E1</v>
      </c>
      <c r="L226" s="90" t="s">
        <v>275</v>
      </c>
      <c r="M226" s="18" t="s">
        <v>268</v>
      </c>
      <c r="N226" s="174"/>
      <c r="O226"/>
    </row>
    <row r="227" spans="3:15" x14ac:dyDescent="0.25">
      <c r="C227" s="61" t="s">
        <v>121</v>
      </c>
      <c r="D227" s="65" t="s">
        <v>199</v>
      </c>
      <c r="E227" s="61" t="s">
        <v>167</v>
      </c>
      <c r="F227" s="10" t="s">
        <v>14</v>
      </c>
      <c r="G227" s="129" t="s">
        <v>21</v>
      </c>
      <c r="H227" s="130">
        <v>150</v>
      </c>
      <c r="I227" s="131">
        <v>100</v>
      </c>
      <c r="J227" s="126">
        <f>IF(I227&gt;=H227,"RKJ01",0)</f>
        <v>0</v>
      </c>
      <c r="K227" s="127" t="str">
        <f>IF(I227&lt;H227,"L1",0)</f>
        <v>L1</v>
      </c>
      <c r="L227" s="166"/>
      <c r="M227" s="15" t="s">
        <v>300</v>
      </c>
      <c r="N227" s="140"/>
      <c r="O227"/>
    </row>
    <row r="228" spans="3:15" ht="30" x14ac:dyDescent="0.25">
      <c r="C228" s="62"/>
      <c r="D228" s="66"/>
      <c r="E228" s="62"/>
      <c r="F228" s="23" t="s">
        <v>57</v>
      </c>
      <c r="G228" s="129" t="s">
        <v>60</v>
      </c>
      <c r="H228" s="130">
        <v>2</v>
      </c>
      <c r="I228" s="131">
        <v>1</v>
      </c>
      <c r="J228" s="132" t="str">
        <f>IF(I228&lt;=H228,"Printer",0)</f>
        <v>Printer</v>
      </c>
      <c r="K228" s="133">
        <f>IF(I228&gt;H228,"Batal",0)</f>
        <v>0</v>
      </c>
      <c r="L228" s="91"/>
      <c r="M228" s="16" t="s">
        <v>201</v>
      </c>
      <c r="N228" s="32"/>
      <c r="O228"/>
    </row>
    <row r="229" spans="3:15" ht="26.25" thickBot="1" x14ac:dyDescent="0.3">
      <c r="C229" s="63"/>
      <c r="D229" s="67"/>
      <c r="E229" s="63"/>
      <c r="F229" s="11" t="s">
        <v>28</v>
      </c>
      <c r="G229" s="135" t="s">
        <v>202</v>
      </c>
      <c r="H229" s="136" t="s">
        <v>49</v>
      </c>
      <c r="I229" s="137" t="s">
        <v>19</v>
      </c>
      <c r="J229" s="138">
        <f>IF(I229=H229,"Printer",0)</f>
        <v>0</v>
      </c>
      <c r="K229" s="139" t="str">
        <f>IF(I229=H229,0,"E1")</f>
        <v>E1</v>
      </c>
      <c r="L229" s="90" t="s">
        <v>275</v>
      </c>
      <c r="M229" s="18" t="s">
        <v>272</v>
      </c>
      <c r="N229" s="141"/>
      <c r="O229"/>
    </row>
    <row r="230" spans="3:15" ht="25.5" x14ac:dyDescent="0.25">
      <c r="C230" s="61" t="s">
        <v>197</v>
      </c>
      <c r="D230" s="65" t="s">
        <v>198</v>
      </c>
      <c r="E230" s="61" t="s">
        <v>30</v>
      </c>
      <c r="F230" s="10" t="s">
        <v>28</v>
      </c>
      <c r="G230" s="123" t="s">
        <v>5</v>
      </c>
      <c r="H230" s="124" t="s">
        <v>6</v>
      </c>
      <c r="I230" s="125" t="s">
        <v>33</v>
      </c>
      <c r="J230" s="126">
        <f>IF(I230=H230,"Pintu",0)</f>
        <v>0</v>
      </c>
      <c r="K230" s="127" t="str">
        <f>IF(I230=H230,0,"Batal")</f>
        <v>Batal</v>
      </c>
      <c r="L230" s="128" t="s">
        <v>307</v>
      </c>
      <c r="M230" s="15" t="s">
        <v>87</v>
      </c>
      <c r="N230" s="192"/>
      <c r="O230"/>
    </row>
    <row r="231" spans="3:15" x14ac:dyDescent="0.25">
      <c r="C231" s="62"/>
      <c r="D231" s="66"/>
      <c r="E231" s="62"/>
      <c r="F231" s="23" t="s">
        <v>14</v>
      </c>
      <c r="G231" s="129" t="s">
        <v>21</v>
      </c>
      <c r="H231" s="130">
        <v>150</v>
      </c>
      <c r="I231" s="131">
        <v>100</v>
      </c>
      <c r="J231" s="132">
        <f>IF(I231&gt;=H231,"RTU01",0)</f>
        <v>0</v>
      </c>
      <c r="K231" s="133" t="str">
        <f>IF(I231&lt;H231,"L1",0)</f>
        <v>L1</v>
      </c>
      <c r="L231" s="91"/>
      <c r="M231" s="16" t="s">
        <v>281</v>
      </c>
      <c r="N231" s="175"/>
      <c r="O231"/>
    </row>
    <row r="232" spans="3:15" ht="30.75" thickBot="1" x14ac:dyDescent="0.3">
      <c r="C232" s="63"/>
      <c r="D232" s="67"/>
      <c r="E232" s="63"/>
      <c r="F232" s="11" t="s">
        <v>57</v>
      </c>
      <c r="G232" s="135" t="s">
        <v>60</v>
      </c>
      <c r="H232" s="136">
        <v>0.4</v>
      </c>
      <c r="I232" s="137">
        <v>1</v>
      </c>
      <c r="J232" s="138">
        <f>IF(I232&lt;H232,"Tempat tidur",0)</f>
        <v>0</v>
      </c>
      <c r="K232" s="139" t="str">
        <f>IF(I232&gt;=H232,"Batal",0)</f>
        <v>Batal</v>
      </c>
      <c r="L232" s="90" t="s">
        <v>307</v>
      </c>
      <c r="M232" s="18" t="s">
        <v>95</v>
      </c>
      <c r="N232" s="174"/>
      <c r="O232"/>
    </row>
    <row r="233" spans="3:15" x14ac:dyDescent="0.25">
      <c r="C233" s="61" t="s">
        <v>122</v>
      </c>
      <c r="D233" s="56" t="s">
        <v>159</v>
      </c>
      <c r="E233" s="74" t="s">
        <v>137</v>
      </c>
      <c r="F233" s="7" t="s">
        <v>14</v>
      </c>
      <c r="G233" s="143" t="s">
        <v>21</v>
      </c>
      <c r="H233" s="144">
        <v>150</v>
      </c>
      <c r="I233" s="145">
        <v>100</v>
      </c>
      <c r="J233" s="146">
        <f>IF(I233&gt;=H233,"RDP02",0)</f>
        <v>0</v>
      </c>
      <c r="K233" s="147" t="str">
        <f>IF(I233&lt;H233,"L1",0)</f>
        <v>L1</v>
      </c>
      <c r="L233" s="189"/>
      <c r="M233" s="21" t="s">
        <v>301</v>
      </c>
      <c r="N233" s="149"/>
      <c r="O233"/>
    </row>
    <row r="234" spans="3:15" ht="30" x14ac:dyDescent="0.25">
      <c r="C234" s="62"/>
      <c r="D234" s="56"/>
      <c r="E234" s="74"/>
      <c r="F234" s="23" t="s">
        <v>57</v>
      </c>
      <c r="G234" s="129" t="s">
        <v>60</v>
      </c>
      <c r="H234" s="130">
        <v>2</v>
      </c>
      <c r="I234" s="131">
        <v>2</v>
      </c>
      <c r="J234" s="132" t="str">
        <f>IF(I234&lt;=H234,"Rice cooker",0)</f>
        <v>Rice cooker</v>
      </c>
      <c r="K234" s="133">
        <f>IF(I234&gt;H234,"Batal",0)</f>
        <v>0</v>
      </c>
      <c r="L234" s="91"/>
      <c r="M234" s="16" t="s">
        <v>302</v>
      </c>
      <c r="N234" s="32"/>
      <c r="O234"/>
    </row>
    <row r="235" spans="3:15" ht="30.75" thickBot="1" x14ac:dyDescent="0.3">
      <c r="C235" s="63"/>
      <c r="D235" s="57"/>
      <c r="E235" s="43"/>
      <c r="F235" s="11" t="s">
        <v>28</v>
      </c>
      <c r="G235" s="135" t="s">
        <v>200</v>
      </c>
      <c r="H235" s="136" t="s">
        <v>19</v>
      </c>
      <c r="I235" s="137" t="s">
        <v>49</v>
      </c>
      <c r="J235" s="138">
        <f>IF(I235=H235,"RDP02",0)</f>
        <v>0</v>
      </c>
      <c r="K235" s="139" t="str">
        <f>IF(I235=H235,0,"E2")</f>
        <v>E2</v>
      </c>
      <c r="L235" s="90" t="s">
        <v>135</v>
      </c>
      <c r="M235" s="18" t="s">
        <v>303</v>
      </c>
      <c r="N235" s="141"/>
      <c r="O235"/>
    </row>
    <row r="236" spans="3:15" ht="30" customHeight="1" x14ac:dyDescent="0.25">
      <c r="C236" s="100" t="s">
        <v>344</v>
      </c>
      <c r="D236" s="96" t="s">
        <v>345</v>
      </c>
      <c r="E236" s="95" t="s">
        <v>24</v>
      </c>
      <c r="F236" s="109" t="s">
        <v>14</v>
      </c>
      <c r="G236" s="151" t="s">
        <v>21</v>
      </c>
      <c r="H236" s="152">
        <v>150</v>
      </c>
      <c r="I236" s="151">
        <v>100</v>
      </c>
      <c r="J236" s="153">
        <f>IF(I236&gt;=H236,"RKG01",0)</f>
        <v>0</v>
      </c>
      <c r="K236" s="154" t="str">
        <f>IF(I236&lt;H236,"L1",0)</f>
        <v>L1</v>
      </c>
      <c r="L236" s="182"/>
      <c r="M236" s="110" t="s">
        <v>277</v>
      </c>
      <c r="N236" s="193"/>
      <c r="O236"/>
    </row>
    <row r="237" spans="3:15" ht="30" x14ac:dyDescent="0.25">
      <c r="C237" s="103"/>
      <c r="D237" s="194"/>
      <c r="E237" s="106"/>
      <c r="F237" s="105" t="s">
        <v>57</v>
      </c>
      <c r="G237" s="163" t="s">
        <v>60</v>
      </c>
      <c r="H237" s="142">
        <v>1</v>
      </c>
      <c r="I237" s="163">
        <v>0.6</v>
      </c>
      <c r="J237" s="164" t="str">
        <f>IF(I237&lt;H237,"Sofa",0)</f>
        <v>Sofa</v>
      </c>
      <c r="K237" s="165">
        <f>IF(I237&gt;=H237,"RKG01",0)</f>
        <v>0</v>
      </c>
      <c r="L237" s="105"/>
      <c r="M237" s="86" t="s">
        <v>304</v>
      </c>
      <c r="N237" s="193"/>
      <c r="O237"/>
    </row>
    <row r="238" spans="3:15" ht="25.5" x14ac:dyDescent="0.25">
      <c r="C238" s="103"/>
      <c r="D238" s="194"/>
      <c r="E238" s="106"/>
      <c r="F238" s="105" t="s">
        <v>28</v>
      </c>
      <c r="G238" s="163" t="s">
        <v>25</v>
      </c>
      <c r="H238" s="142" t="s">
        <v>8</v>
      </c>
      <c r="I238" s="163" t="s">
        <v>8</v>
      </c>
      <c r="J238" s="164" t="str">
        <f>IF(I238=H238,"Sofa",0)</f>
        <v>Sofa</v>
      </c>
      <c r="K238" s="165">
        <f>IF(I238=H238,0,"RTU01")</f>
        <v>0</v>
      </c>
      <c r="L238" s="195"/>
      <c r="M238" s="86" t="s">
        <v>93</v>
      </c>
      <c r="N238" s="193"/>
      <c r="O238"/>
    </row>
    <row r="239" spans="3:15" ht="30" x14ac:dyDescent="0.25">
      <c r="C239" s="103"/>
      <c r="D239" s="194"/>
      <c r="E239" s="104"/>
      <c r="F239" s="105" t="s">
        <v>242</v>
      </c>
      <c r="G239" s="163" t="s">
        <v>64</v>
      </c>
      <c r="H239" s="142">
        <v>25</v>
      </c>
      <c r="I239" s="163">
        <v>25</v>
      </c>
      <c r="J239" s="164" t="str">
        <f>IF(I239&lt;=H239,"Sofa",0)</f>
        <v>Sofa</v>
      </c>
      <c r="K239" s="165">
        <f>IF(I239&gt;H239,"E1",0)</f>
        <v>0</v>
      </c>
      <c r="L239" s="195" t="s">
        <v>275</v>
      </c>
      <c r="M239" s="86" t="s">
        <v>289</v>
      </c>
      <c r="N239" s="193"/>
      <c r="O239"/>
    </row>
    <row r="240" spans="3:15" ht="25.5" x14ac:dyDescent="0.25">
      <c r="C240" s="103"/>
      <c r="D240" s="194"/>
      <c r="E240" s="119" t="s">
        <v>30</v>
      </c>
      <c r="F240" s="105" t="s">
        <v>28</v>
      </c>
      <c r="G240" s="163" t="s">
        <v>5</v>
      </c>
      <c r="H240" s="142" t="s">
        <v>6</v>
      </c>
      <c r="I240" s="163" t="s">
        <v>6</v>
      </c>
      <c r="J240" s="164" t="str">
        <f>IF(I240=H240,"Pintu",0)</f>
        <v>Pintu</v>
      </c>
      <c r="K240" s="165">
        <f>IF(I240=H240,0,"Batal")</f>
        <v>0</v>
      </c>
      <c r="L240" s="105"/>
      <c r="M240" s="86" t="s">
        <v>87</v>
      </c>
      <c r="N240" s="193"/>
      <c r="O240"/>
    </row>
    <row r="241" spans="3:15" x14ac:dyDescent="0.25">
      <c r="C241" s="103"/>
      <c r="D241" s="194"/>
      <c r="E241" s="106"/>
      <c r="F241" s="105" t="s">
        <v>14</v>
      </c>
      <c r="G241" s="163" t="s">
        <v>21</v>
      </c>
      <c r="H241" s="142">
        <v>150</v>
      </c>
      <c r="I241" s="163">
        <v>100</v>
      </c>
      <c r="J241" s="164">
        <f>IF(I241&gt;=H241,"RTU01",0)</f>
        <v>0</v>
      </c>
      <c r="K241" s="165" t="str">
        <f>IF(I241&lt;H241,"L1",0)</f>
        <v>L1</v>
      </c>
      <c r="L241" s="195"/>
      <c r="M241" s="86" t="s">
        <v>281</v>
      </c>
      <c r="N241" s="193"/>
      <c r="O241"/>
    </row>
    <row r="242" spans="3:15" ht="30" x14ac:dyDescent="0.25">
      <c r="C242" s="103"/>
      <c r="D242" s="194"/>
      <c r="E242" s="106"/>
      <c r="F242" s="105" t="s">
        <v>57</v>
      </c>
      <c r="G242" s="163" t="s">
        <v>60</v>
      </c>
      <c r="H242" s="142">
        <v>1</v>
      </c>
      <c r="I242" s="163">
        <v>0.2</v>
      </c>
      <c r="J242" s="164" t="str">
        <f>IF(I242&lt;H242,"Tempat tidur",0)</f>
        <v>Tempat tidur</v>
      </c>
      <c r="K242" s="165">
        <f>IF(I242&gt;=H242,"Batal",0)</f>
        <v>0</v>
      </c>
      <c r="L242" s="195"/>
      <c r="M242" s="86" t="s">
        <v>95</v>
      </c>
      <c r="N242" s="193"/>
      <c r="O242"/>
    </row>
    <row r="243" spans="3:15" ht="30" x14ac:dyDescent="0.25">
      <c r="C243" s="103"/>
      <c r="D243" s="194"/>
      <c r="E243" s="106"/>
      <c r="F243" s="105" t="s">
        <v>28</v>
      </c>
      <c r="G243" s="163" t="s">
        <v>31</v>
      </c>
      <c r="H243" s="142" t="s">
        <v>8</v>
      </c>
      <c r="I243" s="163" t="s">
        <v>8</v>
      </c>
      <c r="J243" s="164" t="str">
        <f>IF(I243=H243,"Tempat tidur",0)</f>
        <v>Tempat tidur</v>
      </c>
      <c r="K243" s="165">
        <f>IF(I243=H243,0,"Batal")</f>
        <v>0</v>
      </c>
      <c r="L243" s="195"/>
      <c r="M243" s="86" t="s">
        <v>74</v>
      </c>
      <c r="N243" s="193"/>
      <c r="O243"/>
    </row>
    <row r="244" spans="3:15" ht="30.75" thickBot="1" x14ac:dyDescent="0.3">
      <c r="C244" s="107"/>
      <c r="D244" s="117"/>
      <c r="E244" s="108"/>
      <c r="F244" s="111" t="s">
        <v>242</v>
      </c>
      <c r="G244" s="159" t="s">
        <v>64</v>
      </c>
      <c r="H244" s="160">
        <v>24</v>
      </c>
      <c r="I244" s="159">
        <v>25</v>
      </c>
      <c r="J244" s="161">
        <f>IF(I244&lt;=H244,"Tempat tidur",0)</f>
        <v>0</v>
      </c>
      <c r="K244" s="162" t="str">
        <f>IF(I244&gt;H244,"E1",0)</f>
        <v>E1</v>
      </c>
      <c r="L244" s="196" t="s">
        <v>275</v>
      </c>
      <c r="M244" s="93" t="s">
        <v>273</v>
      </c>
      <c r="N244" s="193"/>
      <c r="O244"/>
    </row>
    <row r="245" spans="3:15" x14ac:dyDescent="0.25">
      <c r="C245" s="61" t="s">
        <v>195</v>
      </c>
      <c r="D245" s="94" t="s">
        <v>196</v>
      </c>
      <c r="E245" s="46" t="s">
        <v>167</v>
      </c>
      <c r="F245" s="10" t="s">
        <v>14</v>
      </c>
      <c r="G245" s="123" t="s">
        <v>21</v>
      </c>
      <c r="H245" s="124">
        <v>150</v>
      </c>
      <c r="I245" s="125">
        <v>100</v>
      </c>
      <c r="J245" s="126">
        <f>IF(I245&gt;=H245,"RKJ01",0)</f>
        <v>0</v>
      </c>
      <c r="K245" s="127" t="str">
        <f>IF(I245&lt;H245,"L1",0)</f>
        <v>L1</v>
      </c>
      <c r="L245" s="166"/>
      <c r="M245" s="15" t="s">
        <v>283</v>
      </c>
      <c r="N245" s="149"/>
      <c r="O245"/>
    </row>
    <row r="246" spans="3:15" ht="30" x14ac:dyDescent="0.25">
      <c r="C246" s="62"/>
      <c r="D246" s="197"/>
      <c r="E246" s="55"/>
      <c r="F246" s="23" t="s">
        <v>57</v>
      </c>
      <c r="G246" s="129" t="s">
        <v>60</v>
      </c>
      <c r="H246" s="130">
        <v>1</v>
      </c>
      <c r="I246" s="131">
        <v>0.6</v>
      </c>
      <c r="J246" s="132" t="str">
        <f>IF(I246&lt;H246,"Sofa",0)</f>
        <v>Sofa</v>
      </c>
      <c r="K246" s="133">
        <f>IF(I246&gt;=H246,"RKJ01",0)</f>
        <v>0</v>
      </c>
      <c r="L246" s="134"/>
      <c r="M246" s="16" t="s">
        <v>346</v>
      </c>
      <c r="N246" s="32"/>
      <c r="O246"/>
    </row>
    <row r="247" spans="3:15" ht="25.5" x14ac:dyDescent="0.25">
      <c r="C247" s="62"/>
      <c r="D247" s="197"/>
      <c r="E247" s="55"/>
      <c r="F247" s="77" t="s">
        <v>28</v>
      </c>
      <c r="G247" s="129" t="s">
        <v>25</v>
      </c>
      <c r="H247" s="130" t="s">
        <v>8</v>
      </c>
      <c r="I247" s="131" t="s">
        <v>8</v>
      </c>
      <c r="J247" s="132" t="str">
        <f>IF(I247=H247,"Sofa",0)</f>
        <v>Sofa</v>
      </c>
      <c r="K247" s="133">
        <f>IF(I247=H247,0,"Kursi")</f>
        <v>0</v>
      </c>
      <c r="L247" s="91"/>
      <c r="M247" s="16" t="s">
        <v>296</v>
      </c>
      <c r="N247" s="32"/>
      <c r="O247"/>
    </row>
    <row r="248" spans="3:15" ht="25.5" x14ac:dyDescent="0.25">
      <c r="C248" s="62"/>
      <c r="D248" s="197"/>
      <c r="E248" s="55"/>
      <c r="F248" s="75"/>
      <c r="G248" s="163" t="s">
        <v>7</v>
      </c>
      <c r="H248" s="142" t="s">
        <v>8</v>
      </c>
      <c r="I248" s="163" t="s">
        <v>8</v>
      </c>
      <c r="J248" s="164" t="str">
        <f>IF(I248=H248,"Kursi",0)</f>
        <v>Kursi</v>
      </c>
      <c r="K248" s="165">
        <f>IF(I248=H248,0,"Batal")</f>
        <v>0</v>
      </c>
      <c r="L248" s="195"/>
      <c r="M248" s="86" t="s">
        <v>347</v>
      </c>
      <c r="N248" s="32"/>
      <c r="O248"/>
    </row>
    <row r="249" spans="3:15" ht="30.75" thickBot="1" x14ac:dyDescent="0.3">
      <c r="C249" s="62"/>
      <c r="D249" s="197"/>
      <c r="E249" s="55"/>
      <c r="F249" s="8" t="s">
        <v>242</v>
      </c>
      <c r="G249" s="176" t="s">
        <v>64</v>
      </c>
      <c r="H249" s="177">
        <v>25</v>
      </c>
      <c r="I249" s="178">
        <v>25</v>
      </c>
      <c r="J249" s="179" t="str">
        <f>IF(I249&lt;=H249,"Sofa",0)</f>
        <v>Sofa</v>
      </c>
      <c r="K249" s="180">
        <f>IF(I249&gt;H249,"E1",0)</f>
        <v>0</v>
      </c>
      <c r="L249" s="92" t="s">
        <v>275</v>
      </c>
      <c r="M249" s="20" t="s">
        <v>289</v>
      </c>
      <c r="N249" s="32"/>
      <c r="O249"/>
    </row>
    <row r="250" spans="3:15" x14ac:dyDescent="0.25">
      <c r="C250" s="44" t="s">
        <v>191</v>
      </c>
      <c r="D250" s="96" t="s">
        <v>192</v>
      </c>
      <c r="E250" s="96" t="s">
        <v>40</v>
      </c>
      <c r="F250" s="10" t="s">
        <v>14</v>
      </c>
      <c r="G250" s="123" t="s">
        <v>21</v>
      </c>
      <c r="H250" s="124">
        <v>150</v>
      </c>
      <c r="I250" s="125">
        <v>100</v>
      </c>
      <c r="J250" s="126">
        <f>IF(I250&gt;=H250,"RTS01",0)</f>
        <v>0</v>
      </c>
      <c r="K250" s="127" t="str">
        <f>IF(I250&lt;H250,"L1",0)</f>
        <v>L1</v>
      </c>
      <c r="L250" s="166"/>
      <c r="M250" s="15" t="s">
        <v>348</v>
      </c>
      <c r="N250" s="149"/>
      <c r="O250"/>
    </row>
    <row r="251" spans="3:15" ht="30" x14ac:dyDescent="0.25">
      <c r="C251" s="68"/>
      <c r="D251" s="194"/>
      <c r="E251" s="194"/>
      <c r="F251" s="23" t="s">
        <v>57</v>
      </c>
      <c r="G251" s="129" t="s">
        <v>60</v>
      </c>
      <c r="H251" s="130">
        <v>3</v>
      </c>
      <c r="I251" s="131">
        <v>1</v>
      </c>
      <c r="J251" s="132" t="str">
        <f>IF(I251&lt;=H251,"RTS01",0)</f>
        <v>RTS01</v>
      </c>
      <c r="K251" s="133">
        <f>IF(I251&gt;H251,"Batal",0)</f>
        <v>0</v>
      </c>
      <c r="L251" s="134"/>
      <c r="M251" s="16" t="s">
        <v>349</v>
      </c>
      <c r="N251" s="149"/>
      <c r="O251"/>
    </row>
    <row r="252" spans="3:15" ht="15.75" thickBot="1" x14ac:dyDescent="0.3">
      <c r="C252" s="68"/>
      <c r="D252" s="194"/>
      <c r="E252" s="117"/>
      <c r="F252" s="11" t="s">
        <v>28</v>
      </c>
      <c r="G252" s="135" t="s">
        <v>25</v>
      </c>
      <c r="H252" s="136" t="s">
        <v>8</v>
      </c>
      <c r="I252" s="137" t="s">
        <v>8</v>
      </c>
      <c r="J252" s="138" t="str">
        <f>IF(I252=H252,"Sofa",0)</f>
        <v>Sofa</v>
      </c>
      <c r="K252" s="139">
        <f>IF(I252=H252,0,"RTM01")</f>
        <v>0</v>
      </c>
      <c r="L252" s="90" t="s">
        <v>135</v>
      </c>
      <c r="M252" s="18" t="s">
        <v>350</v>
      </c>
      <c r="N252" s="149"/>
      <c r="O252"/>
    </row>
    <row r="253" spans="3:15" x14ac:dyDescent="0.25">
      <c r="C253" s="68"/>
      <c r="D253" s="194"/>
      <c r="E253" s="194" t="s">
        <v>38</v>
      </c>
      <c r="F253" s="7" t="s">
        <v>14</v>
      </c>
      <c r="G253" s="143" t="s">
        <v>21</v>
      </c>
      <c r="H253" s="144">
        <v>150</v>
      </c>
      <c r="I253" s="145">
        <v>100</v>
      </c>
      <c r="J253" s="146">
        <f>IF(I253&gt;=H253,"RTM01",0)</f>
        <v>0</v>
      </c>
      <c r="K253" s="147" t="str">
        <f>IF(I253&lt;H253,"L1",0)</f>
        <v>L1</v>
      </c>
      <c r="L253" s="189"/>
      <c r="M253" s="21" t="s">
        <v>278</v>
      </c>
      <c r="N253" s="140"/>
      <c r="O253"/>
    </row>
    <row r="254" spans="3:15" ht="30" x14ac:dyDescent="0.25">
      <c r="C254" s="68"/>
      <c r="D254" s="194"/>
      <c r="E254" s="194"/>
      <c r="F254" s="23" t="s">
        <v>57</v>
      </c>
      <c r="G254" s="129" t="s">
        <v>60</v>
      </c>
      <c r="H254" s="130">
        <v>3</v>
      </c>
      <c r="I254" s="131">
        <v>1</v>
      </c>
      <c r="J254" s="132" t="str">
        <f>IF(I254&lt;=H254,"RTM01",0)</f>
        <v>RTM01</v>
      </c>
      <c r="K254" s="133">
        <f>IF(I254&gt;H254,"Batal",0)</f>
        <v>0</v>
      </c>
      <c r="L254" s="134"/>
      <c r="M254" s="16" t="s">
        <v>194</v>
      </c>
      <c r="N254" s="32"/>
    </row>
    <row r="255" spans="3:15" ht="15.75" thickBot="1" x14ac:dyDescent="0.3">
      <c r="C255" s="45"/>
      <c r="D255" s="117"/>
      <c r="E255" s="117"/>
      <c r="F255" s="11" t="s">
        <v>28</v>
      </c>
      <c r="G255" s="135" t="s">
        <v>25</v>
      </c>
      <c r="H255" s="136" t="s">
        <v>8</v>
      </c>
      <c r="I255" s="137" t="s">
        <v>8</v>
      </c>
      <c r="J255" s="138" t="str">
        <f>IF(I255=H255,"Sofa",0)</f>
        <v>Sofa</v>
      </c>
      <c r="K255" s="139">
        <f>IF(I255=H255,0,"Batal")</f>
        <v>0</v>
      </c>
      <c r="L255" s="90" t="s">
        <v>135</v>
      </c>
      <c r="M255" s="18" t="s">
        <v>193</v>
      </c>
      <c r="N255" s="141"/>
    </row>
  </sheetData>
  <mergeCells count="217">
    <mergeCell ref="E236:E239"/>
    <mergeCell ref="E240:E244"/>
    <mergeCell ref="D236:D244"/>
    <mergeCell ref="C236:C244"/>
    <mergeCell ref="F247:F248"/>
    <mergeCell ref="E250:E252"/>
    <mergeCell ref="D250:D255"/>
    <mergeCell ref="C250:C255"/>
    <mergeCell ref="E33:E36"/>
    <mergeCell ref="E37:E40"/>
    <mergeCell ref="D33:D40"/>
    <mergeCell ref="C33:C40"/>
    <mergeCell ref="F105:F106"/>
    <mergeCell ref="D233:D235"/>
    <mergeCell ref="E233:E235"/>
    <mergeCell ref="C233:C235"/>
    <mergeCell ref="N62:N64"/>
    <mergeCell ref="D191:D192"/>
    <mergeCell ref="E191:E192"/>
    <mergeCell ref="D154:D155"/>
    <mergeCell ref="E154:E155"/>
    <mergeCell ref="D171:D172"/>
    <mergeCell ref="D193:D196"/>
    <mergeCell ref="E193:E196"/>
    <mergeCell ref="D164:D168"/>
    <mergeCell ref="D62:D64"/>
    <mergeCell ref="E62:E64"/>
    <mergeCell ref="C187:C188"/>
    <mergeCell ref="D187:D188"/>
    <mergeCell ref="E187:E188"/>
    <mergeCell ref="C77:C78"/>
    <mergeCell ref="D77:D78"/>
    <mergeCell ref="E77:E78"/>
    <mergeCell ref="E127:E130"/>
    <mergeCell ref="D90:D91"/>
    <mergeCell ref="E122:E126"/>
    <mergeCell ref="D85:D86"/>
    <mergeCell ref="E85:E86"/>
    <mergeCell ref="D41:D43"/>
    <mergeCell ref="E41:E43"/>
    <mergeCell ref="D72:D73"/>
    <mergeCell ref="E72:E73"/>
    <mergeCell ref="D74:D76"/>
    <mergeCell ref="E74:E76"/>
    <mergeCell ref="D99:D101"/>
    <mergeCell ref="D57:D59"/>
    <mergeCell ref="E87:E89"/>
    <mergeCell ref="D70:D71"/>
    <mergeCell ref="D44:D46"/>
    <mergeCell ref="E44:E46"/>
    <mergeCell ref="E47:E48"/>
    <mergeCell ref="E49:E50"/>
    <mergeCell ref="D47:D50"/>
    <mergeCell ref="C21:C26"/>
    <mergeCell ref="C13:C15"/>
    <mergeCell ref="C16:C20"/>
    <mergeCell ref="C3:C12"/>
    <mergeCell ref="D87:D89"/>
    <mergeCell ref="E164:E168"/>
    <mergeCell ref="D52:D53"/>
    <mergeCell ref="E52:E53"/>
    <mergeCell ref="D179:D186"/>
    <mergeCell ref="E183:E186"/>
    <mergeCell ref="E70:E71"/>
    <mergeCell ref="E60:E61"/>
    <mergeCell ref="E102:E107"/>
    <mergeCell ref="D122:D126"/>
    <mergeCell ref="C113:C115"/>
    <mergeCell ref="D102:D107"/>
    <mergeCell ref="C99:C101"/>
    <mergeCell ref="C122:C126"/>
    <mergeCell ref="C116:C118"/>
    <mergeCell ref="C52:C53"/>
    <mergeCell ref="C54:C56"/>
    <mergeCell ref="C74:C76"/>
    <mergeCell ref="E30:E32"/>
    <mergeCell ref="D27:D32"/>
    <mergeCell ref="E138:E141"/>
    <mergeCell ref="E142:E144"/>
    <mergeCell ref="D60:D61"/>
    <mergeCell ref="D65:D67"/>
    <mergeCell ref="E65:E67"/>
    <mergeCell ref="C65:C67"/>
    <mergeCell ref="C68:C69"/>
    <mergeCell ref="E54:E56"/>
    <mergeCell ref="D92:D93"/>
    <mergeCell ref="E92:E93"/>
    <mergeCell ref="D82:D84"/>
    <mergeCell ref="E82:E84"/>
    <mergeCell ref="D79:D81"/>
    <mergeCell ref="E79:E81"/>
    <mergeCell ref="D54:D56"/>
    <mergeCell ref="C57:C59"/>
    <mergeCell ref="D116:D118"/>
    <mergeCell ref="E116:E118"/>
    <mergeCell ref="D68:D69"/>
    <mergeCell ref="E68:E69"/>
    <mergeCell ref="D138:D147"/>
    <mergeCell ref="C44:C46"/>
    <mergeCell ref="C41:C43"/>
    <mergeCell ref="C62:C64"/>
    <mergeCell ref="D96:D98"/>
    <mergeCell ref="E96:E98"/>
    <mergeCell ref="C92:C93"/>
    <mergeCell ref="C94:C95"/>
    <mergeCell ref="C96:C98"/>
    <mergeCell ref="E57:E59"/>
    <mergeCell ref="D94:D95"/>
    <mergeCell ref="E94:E95"/>
    <mergeCell ref="C47:C50"/>
    <mergeCell ref="F177:F178"/>
    <mergeCell ref="E224:E226"/>
    <mergeCell ref="D224:D226"/>
    <mergeCell ref="D156:D159"/>
    <mergeCell ref="E156:E159"/>
    <mergeCell ref="F175:F176"/>
    <mergeCell ref="D220:D221"/>
    <mergeCell ref="D218:D219"/>
    <mergeCell ref="E220:E221"/>
    <mergeCell ref="E218:E219"/>
    <mergeCell ref="E216:E217"/>
    <mergeCell ref="D207:D215"/>
    <mergeCell ref="E211:E215"/>
    <mergeCell ref="E207:E210"/>
    <mergeCell ref="C60:C61"/>
    <mergeCell ref="C85:C86"/>
    <mergeCell ref="C138:C147"/>
    <mergeCell ref="C154:C155"/>
    <mergeCell ref="C193:C196"/>
    <mergeCell ref="C179:C186"/>
    <mergeCell ref="C173:C178"/>
    <mergeCell ref="C191:C192"/>
    <mergeCell ref="C150:C153"/>
    <mergeCell ref="C169:C170"/>
    <mergeCell ref="C160:C163"/>
    <mergeCell ref="C189:C190"/>
    <mergeCell ref="C156:C159"/>
    <mergeCell ref="C102:C107"/>
    <mergeCell ref="C224:C226"/>
    <mergeCell ref="C148:C149"/>
    <mergeCell ref="C171:C172"/>
    <mergeCell ref="C220:C221"/>
    <mergeCell ref="C218:C219"/>
    <mergeCell ref="E253:E255"/>
    <mergeCell ref="D245:D249"/>
    <mergeCell ref="E245:E249"/>
    <mergeCell ref="C245:C249"/>
    <mergeCell ref="C230:C232"/>
    <mergeCell ref="D230:D232"/>
    <mergeCell ref="E230:E232"/>
    <mergeCell ref="E227:E229"/>
    <mergeCell ref="D227:D229"/>
    <mergeCell ref="C227:C229"/>
    <mergeCell ref="D197:D199"/>
    <mergeCell ref="E197:E199"/>
    <mergeCell ref="C207:C215"/>
    <mergeCell ref="C197:C199"/>
    <mergeCell ref="C164:C168"/>
    <mergeCell ref="E179:E182"/>
    <mergeCell ref="E27:E29"/>
    <mergeCell ref="E145:E147"/>
    <mergeCell ref="E99:E101"/>
    <mergeCell ref="E90:E91"/>
    <mergeCell ref="E108:E112"/>
    <mergeCell ref="D108:D112"/>
    <mergeCell ref="C108:C112"/>
    <mergeCell ref="C119:C121"/>
    <mergeCell ref="D119:D121"/>
    <mergeCell ref="E119:E121"/>
    <mergeCell ref="D113:D115"/>
    <mergeCell ref="E113:E115"/>
    <mergeCell ref="C135:C137"/>
    <mergeCell ref="D135:D137"/>
    <mergeCell ref="E135:E137"/>
    <mergeCell ref="C27:C32"/>
    <mergeCell ref="C127:C134"/>
    <mergeCell ref="C79:C81"/>
    <mergeCell ref="C82:C84"/>
    <mergeCell ref="C90:C91"/>
    <mergeCell ref="C70:C71"/>
    <mergeCell ref="C72:C73"/>
    <mergeCell ref="C87:C89"/>
    <mergeCell ref="E3:E6"/>
    <mergeCell ref="D3:D12"/>
    <mergeCell ref="E10:E12"/>
    <mergeCell ref="D21:D26"/>
    <mergeCell ref="E24:E26"/>
    <mergeCell ref="E16:E20"/>
    <mergeCell ref="D16:D20"/>
    <mergeCell ref="E21:E23"/>
    <mergeCell ref="E7:E9"/>
    <mergeCell ref="D13:D15"/>
    <mergeCell ref="E13:E15"/>
    <mergeCell ref="D216:D217"/>
    <mergeCell ref="C216:C217"/>
    <mergeCell ref="E222:E223"/>
    <mergeCell ref="D222:D223"/>
    <mergeCell ref="C222:C223"/>
    <mergeCell ref="D127:D134"/>
    <mergeCell ref="E131:E134"/>
    <mergeCell ref="E171:E172"/>
    <mergeCell ref="E148:E149"/>
    <mergeCell ref="D148:D149"/>
    <mergeCell ref="D169:D170"/>
    <mergeCell ref="E169:E170"/>
    <mergeCell ref="D189:D190"/>
    <mergeCell ref="E189:E190"/>
    <mergeCell ref="D160:D163"/>
    <mergeCell ref="E160:E163"/>
    <mergeCell ref="E204:E206"/>
    <mergeCell ref="E200:E203"/>
    <mergeCell ref="D200:D206"/>
    <mergeCell ref="E173:E178"/>
    <mergeCell ref="D173:D178"/>
    <mergeCell ref="C200:C206"/>
    <mergeCell ref="E150:E153"/>
    <mergeCell ref="D150:D153"/>
  </mergeCells>
  <phoneticPr fontId="10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179DF-AE77-438F-859C-5ECEE5E997EA}">
  <dimension ref="B2:D10"/>
  <sheetViews>
    <sheetView workbookViewId="0">
      <selection activeCell="D14" sqref="D14"/>
    </sheetView>
  </sheetViews>
  <sheetFormatPr defaultRowHeight="15" x14ac:dyDescent="0.25"/>
  <cols>
    <col min="2" max="2" width="3.5703125" bestFit="1" customWidth="1"/>
    <col min="3" max="3" width="5.5703125" bestFit="1" customWidth="1"/>
  </cols>
  <sheetData>
    <row r="2" spans="2:4" x14ac:dyDescent="0.25">
      <c r="B2" t="s">
        <v>132</v>
      </c>
      <c r="C2" t="s">
        <v>4</v>
      </c>
      <c r="D2" t="s">
        <v>13</v>
      </c>
    </row>
    <row r="3" spans="2:4" x14ac:dyDescent="0.25">
      <c r="C3" t="s">
        <v>230</v>
      </c>
      <c r="D3" t="s">
        <v>265</v>
      </c>
    </row>
    <row r="4" spans="2:4" x14ac:dyDescent="0.25">
      <c r="C4" t="s">
        <v>231</v>
      </c>
      <c r="D4" t="s">
        <v>266</v>
      </c>
    </row>
    <row r="5" spans="2:4" x14ac:dyDescent="0.25">
      <c r="C5" t="s">
        <v>133</v>
      </c>
      <c r="D5" t="s">
        <v>136</v>
      </c>
    </row>
    <row r="6" spans="2:4" x14ac:dyDescent="0.25">
      <c r="C6" t="s">
        <v>135</v>
      </c>
      <c r="D6" t="s">
        <v>309</v>
      </c>
    </row>
    <row r="7" spans="2:4" x14ac:dyDescent="0.25">
      <c r="C7" t="s">
        <v>235</v>
      </c>
      <c r="D7" t="s">
        <v>236</v>
      </c>
    </row>
    <row r="8" spans="2:4" x14ac:dyDescent="0.25">
      <c r="C8" t="s">
        <v>100</v>
      </c>
      <c r="D8" t="s">
        <v>237</v>
      </c>
    </row>
    <row r="9" spans="2:4" x14ac:dyDescent="0.25">
      <c r="C9" t="s">
        <v>306</v>
      </c>
      <c r="D9" t="s">
        <v>308</v>
      </c>
    </row>
    <row r="10" spans="2:4" x14ac:dyDescent="0.25">
      <c r="C10" t="s">
        <v>307</v>
      </c>
      <c r="D10" t="s">
        <v>305</v>
      </c>
    </row>
  </sheetData>
  <phoneticPr fontId="10" type="noConversion"/>
  <pageMargins left="0.7" right="0.7" top="0.75" bottom="0.75" header="0.3" footer="0.3"/>
  <pageSetup paperSize="8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Prasyarat 3-Agen di depan ruang</vt:lpstr>
      <vt:lpstr>Aktivitas Pendukung</vt:lpstr>
    </vt:vector>
  </TitlesOfParts>
  <Company>VCP Studio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ii</cp:lastModifiedBy>
  <dcterms:created xsi:type="dcterms:W3CDTF">2021-08-05T03:22:25Z</dcterms:created>
  <dcterms:modified xsi:type="dcterms:W3CDTF">2021-10-19T10:09:04Z</dcterms:modified>
</cp:coreProperties>
</file>