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360" windowWidth="20730" windowHeight="11280" tabRatio="944" activeTab="9"/>
  </bookViews>
  <sheets>
    <sheet name="Psi&amp;Fis_IC" sheetId="11" r:id="rId1"/>
    <sheet name="Bio_IC" sheetId="2" r:id="rId2"/>
    <sheet name="Kebiasaan_IC" sheetId="3" r:id="rId3"/>
    <sheet name="Peralatan_IC" sheetId="4" r:id="rId4"/>
    <sheet name="Mesin_IC" sheetId="5" r:id="rId5"/>
    <sheet name="Lampu_IC" sheetId="6" r:id="rId6"/>
    <sheet name="Dinamis_IC" sheetId="7" r:id="rId7"/>
    <sheet name="Statis_IC" sheetId="8" r:id="rId8"/>
    <sheet name="Utilitas_IC" sheetId="9" r:id="rId9"/>
    <sheet name="Data Lingkungan_IC" sheetId="10" r:id="rId10"/>
  </sheets>
  <definedNames>
    <definedName name="_xlnm.Print_Titles" localSheetId="3">Peralatan_IC!$8:$9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L95" i="10" l="1"/>
  <c r="DL92" i="10"/>
  <c r="BA90" i="10"/>
  <c r="BA70" i="10" s="1"/>
  <c r="W147" i="8" s="1"/>
  <c r="DL89" i="10"/>
  <c r="BA87" i="10"/>
  <c r="DL86" i="10"/>
  <c r="BS84" i="10"/>
  <c r="BA84" i="10"/>
  <c r="BJ82" i="10"/>
  <c r="BJ65" i="10" s="1"/>
  <c r="W178" i="8" s="1"/>
  <c r="BS81" i="10"/>
  <c r="DK82" i="10"/>
  <c r="F39" i="9" s="1"/>
  <c r="F38" i="9" s="1"/>
  <c r="BJ79" i="10"/>
  <c r="AF77" i="10"/>
  <c r="AX75" i="10"/>
  <c r="BP74" i="10"/>
  <c r="BG70" i="10"/>
  <c r="H68" i="10"/>
  <c r="AI66" i="10"/>
  <c r="K54" i="8" s="1"/>
  <c r="DB65" i="10"/>
  <c r="AC120" i="5" s="1"/>
  <c r="AC122" i="5" s="1"/>
  <c r="BR64" i="10"/>
  <c r="H64" i="10"/>
  <c r="CS62" i="10"/>
  <c r="Q90" i="5" s="1"/>
  <c r="Q91" i="5" s="1"/>
  <c r="Z41" i="10"/>
  <c r="E22" i="7" s="1"/>
  <c r="E21" i="7" s="1"/>
  <c r="Z38" i="10"/>
  <c r="Z21" i="10" s="1"/>
  <c r="E23" i="7" s="1"/>
  <c r="H35" i="10"/>
  <c r="I24" i="10" s="1"/>
  <c r="H24" i="10" s="1"/>
  <c r="G24" i="10" s="1"/>
  <c r="AR33" i="10"/>
  <c r="AR20" i="10" s="1"/>
  <c r="H32" i="10"/>
  <c r="I22" i="10" s="1"/>
  <c r="H22" i="10" s="1"/>
  <c r="G22" i="10" s="1"/>
  <c r="Z30" i="10"/>
  <c r="AO25" i="10"/>
  <c r="Y21" i="10"/>
  <c r="G21" i="10"/>
  <c r="AS19" i="10"/>
  <c r="AP19" i="10"/>
  <c r="K271" i="8"/>
  <c r="E271" i="8"/>
  <c r="K270" i="8"/>
  <c r="E270" i="8"/>
  <c r="K266" i="8"/>
  <c r="E266" i="8"/>
  <c r="K265" i="8"/>
  <c r="E265" i="8"/>
  <c r="K240" i="8"/>
  <c r="E240" i="8"/>
  <c r="K239" i="8"/>
  <c r="E239" i="8"/>
  <c r="E238" i="8" s="1"/>
  <c r="AJ72" i="10" s="1"/>
  <c r="K238" i="8"/>
  <c r="K235" i="8"/>
  <c r="E235" i="8"/>
  <c r="K234" i="8"/>
  <c r="E234" i="8"/>
  <c r="Q209" i="8"/>
  <c r="K209" i="8"/>
  <c r="E209" i="8"/>
  <c r="W208" i="8"/>
  <c r="Q208" i="8"/>
  <c r="K208" i="8"/>
  <c r="E208" i="8"/>
  <c r="W204" i="8"/>
  <c r="Q204" i="8"/>
  <c r="K204" i="8"/>
  <c r="E204" i="8"/>
  <c r="W203" i="8"/>
  <c r="W207" i="8" s="1"/>
  <c r="BT67" i="10" s="1"/>
  <c r="Q203" i="8"/>
  <c r="Q207" i="8" s="1"/>
  <c r="AS69" i="10" s="1"/>
  <c r="K203" i="8"/>
  <c r="K207" i="8" s="1"/>
  <c r="AJ71" i="10" s="1"/>
  <c r="E203" i="8"/>
  <c r="E207" i="8" s="1"/>
  <c r="AS71" i="10" s="1"/>
  <c r="Q178" i="8"/>
  <c r="K178" i="8"/>
  <c r="E178" i="8"/>
  <c r="W177" i="8"/>
  <c r="Q177" i="8"/>
  <c r="K177" i="8"/>
  <c r="E177" i="8"/>
  <c r="E174" i="8"/>
  <c r="W173" i="8"/>
  <c r="Q173" i="8"/>
  <c r="K173" i="8"/>
  <c r="W172" i="8"/>
  <c r="W176" i="8" s="1"/>
  <c r="BK65" i="10" s="1"/>
  <c r="Q172" i="8"/>
  <c r="Q176" i="8" s="1"/>
  <c r="K172" i="8"/>
  <c r="K176" i="8" s="1"/>
  <c r="AJ70" i="10" s="1"/>
  <c r="E172" i="8"/>
  <c r="Q147" i="8"/>
  <c r="K147" i="8"/>
  <c r="E147" i="8"/>
  <c r="W146" i="8"/>
  <c r="Q146" i="8"/>
  <c r="K146" i="8"/>
  <c r="E146" i="8"/>
  <c r="W142" i="8"/>
  <c r="Q142" i="8"/>
  <c r="K142" i="8"/>
  <c r="E142" i="8"/>
  <c r="W141" i="8"/>
  <c r="W145" i="8" s="1"/>
  <c r="BB70" i="10" s="1"/>
  <c r="Q141" i="8"/>
  <c r="Q145" i="8" s="1"/>
  <c r="CU64" i="10" s="1"/>
  <c r="K141" i="8"/>
  <c r="K145" i="8" s="1"/>
  <c r="AJ69" i="10" s="1"/>
  <c r="E141" i="8"/>
  <c r="E145" i="8" s="1"/>
  <c r="W116" i="8"/>
  <c r="Q116" i="8"/>
  <c r="K116" i="8"/>
  <c r="E116" i="8"/>
  <c r="W115" i="8"/>
  <c r="Q115" i="8"/>
  <c r="K115" i="8"/>
  <c r="E115" i="8"/>
  <c r="W111" i="8"/>
  <c r="Q111" i="8"/>
  <c r="K111" i="8"/>
  <c r="E111" i="8"/>
  <c r="W110" i="8"/>
  <c r="W114" i="8" s="1"/>
  <c r="DD69" i="10" s="1"/>
  <c r="Q110" i="8"/>
  <c r="Q114" i="8" s="1"/>
  <c r="DD72" i="10" s="1"/>
  <c r="K110" i="8"/>
  <c r="K114" i="8" s="1"/>
  <c r="AJ68" i="10" s="1"/>
  <c r="E110" i="8"/>
  <c r="E114" i="8" s="1"/>
  <c r="DM69" i="10" s="1"/>
  <c r="W85" i="8"/>
  <c r="Q85" i="8"/>
  <c r="K85" i="8"/>
  <c r="E85" i="8"/>
  <c r="W84" i="8"/>
  <c r="Q84" i="8"/>
  <c r="K84" i="8"/>
  <c r="E84" i="8"/>
  <c r="W80" i="8"/>
  <c r="Q80" i="8"/>
  <c r="K80" i="8"/>
  <c r="E80" i="8"/>
  <c r="W79" i="8"/>
  <c r="W83" i="8" s="1"/>
  <c r="CU65" i="10" s="1"/>
  <c r="Q79" i="8"/>
  <c r="Q83" i="8" s="1"/>
  <c r="DD71" i="10" s="1"/>
  <c r="K79" i="8"/>
  <c r="K83" i="8" s="1"/>
  <c r="AJ67" i="10" s="1"/>
  <c r="E79" i="8"/>
  <c r="E83" i="8" s="1"/>
  <c r="DM68" i="10" s="1"/>
  <c r="W54" i="8"/>
  <c r="Q54" i="8"/>
  <c r="E54" i="8"/>
  <c r="W53" i="8"/>
  <c r="K53" i="8"/>
  <c r="E53" i="8"/>
  <c r="W49" i="8"/>
  <c r="Q49" i="8"/>
  <c r="K49" i="8"/>
  <c r="E49" i="8"/>
  <c r="W48" i="8"/>
  <c r="Q48" i="8"/>
  <c r="K48" i="8"/>
  <c r="K52" i="8" s="1"/>
  <c r="AJ66" i="10" s="1"/>
  <c r="E48" i="8"/>
  <c r="E52" i="8" s="1"/>
  <c r="DM67" i="10" s="1"/>
  <c r="E18" i="8"/>
  <c r="E17" i="8"/>
  <c r="E21" i="8" s="1"/>
  <c r="K240" i="7"/>
  <c r="K239" i="7"/>
  <c r="K238" i="7" s="1"/>
  <c r="CU63" i="10" s="1"/>
  <c r="K235" i="7"/>
  <c r="K234" i="7"/>
  <c r="K209" i="7"/>
  <c r="E209" i="7"/>
  <c r="K208" i="7"/>
  <c r="K207" i="7" s="1"/>
  <c r="CC63" i="10" s="1"/>
  <c r="E208" i="7"/>
  <c r="K204" i="7"/>
  <c r="E204" i="7"/>
  <c r="K203" i="7"/>
  <c r="E203" i="7"/>
  <c r="K178" i="7"/>
  <c r="E178" i="7"/>
  <c r="K177" i="7"/>
  <c r="E177" i="7"/>
  <c r="E176" i="7" s="1"/>
  <c r="BT65" i="10" s="1"/>
  <c r="K173" i="7"/>
  <c r="E173" i="7"/>
  <c r="K172" i="7"/>
  <c r="K176" i="7" s="1"/>
  <c r="DV66" i="10" s="1"/>
  <c r="E172" i="7"/>
  <c r="K147" i="7"/>
  <c r="E147" i="7"/>
  <c r="K146" i="7"/>
  <c r="K145" i="7" s="1"/>
  <c r="DD68" i="10" s="1"/>
  <c r="E146" i="7"/>
  <c r="K142" i="7"/>
  <c r="E142" i="7"/>
  <c r="K141" i="7"/>
  <c r="E141" i="7"/>
  <c r="E145" i="7" s="1"/>
  <c r="BK64" i="10" s="1"/>
  <c r="W116" i="7"/>
  <c r="Q116" i="7"/>
  <c r="K116" i="7"/>
  <c r="E116" i="7"/>
  <c r="W115" i="7"/>
  <c r="Q115" i="7"/>
  <c r="K115" i="7"/>
  <c r="E115" i="7"/>
  <c r="W111" i="7"/>
  <c r="Q111" i="7"/>
  <c r="K111" i="7"/>
  <c r="E111" i="7"/>
  <c r="W110" i="7"/>
  <c r="W114" i="7" s="1"/>
  <c r="DM66" i="10" s="1"/>
  <c r="Q110" i="7"/>
  <c r="Q114" i="7" s="1"/>
  <c r="I63" i="10" s="1"/>
  <c r="K110" i="7"/>
  <c r="K114" i="7" s="1"/>
  <c r="BT66" i="10" s="1"/>
  <c r="E110" i="7"/>
  <c r="E114" i="7" s="1"/>
  <c r="W85" i="7"/>
  <c r="Q85" i="7"/>
  <c r="K85" i="7"/>
  <c r="E85" i="7"/>
  <c r="W84" i="7"/>
  <c r="Q84" i="7"/>
  <c r="K84" i="7"/>
  <c r="E84" i="7"/>
  <c r="W80" i="7"/>
  <c r="Q80" i="7"/>
  <c r="K80" i="7"/>
  <c r="E80" i="7"/>
  <c r="W79" i="7"/>
  <c r="W83" i="7" s="1"/>
  <c r="DV65" i="10" s="1"/>
  <c r="Q79" i="7"/>
  <c r="Q83" i="7" s="1"/>
  <c r="BK66" i="10" s="1"/>
  <c r="K79" i="7"/>
  <c r="K83" i="7" s="1"/>
  <c r="BB69" i="10" s="1"/>
  <c r="E79" i="7"/>
  <c r="E83" i="7" s="1"/>
  <c r="AJ64" i="10" s="1"/>
  <c r="W54" i="7"/>
  <c r="Q54" i="7"/>
  <c r="K54" i="7"/>
  <c r="E54" i="7"/>
  <c r="Q53" i="7"/>
  <c r="K53" i="7"/>
  <c r="E53" i="7"/>
  <c r="W49" i="7"/>
  <c r="Q49" i="7"/>
  <c r="K49" i="7"/>
  <c r="E49" i="7"/>
  <c r="W48" i="7"/>
  <c r="Q48" i="7"/>
  <c r="K48" i="7"/>
  <c r="K52" i="7" s="1"/>
  <c r="AJ65" i="10" s="1"/>
  <c r="E48" i="7"/>
  <c r="E52" i="7" s="1"/>
  <c r="R63" i="10" s="1"/>
  <c r="E17" i="7"/>
  <c r="K268" i="6"/>
  <c r="E268" i="6"/>
  <c r="K261" i="6"/>
  <c r="K258" i="6"/>
  <c r="E258" i="6"/>
  <c r="K257" i="6"/>
  <c r="K260" i="6" s="1"/>
  <c r="K264" i="6" s="1"/>
  <c r="E257" i="6"/>
  <c r="E261" i="6" s="1"/>
  <c r="K238" i="6"/>
  <c r="E238" i="6"/>
  <c r="E231" i="6"/>
  <c r="K228" i="6"/>
  <c r="E228" i="6"/>
  <c r="K227" i="6"/>
  <c r="K231" i="6" s="1"/>
  <c r="E227" i="6"/>
  <c r="E230" i="6" s="1"/>
  <c r="E234" i="6" s="1"/>
  <c r="K208" i="6"/>
  <c r="E208" i="6"/>
  <c r="K198" i="6"/>
  <c r="E198" i="6"/>
  <c r="K197" i="6"/>
  <c r="E197" i="6"/>
  <c r="K178" i="6"/>
  <c r="E178" i="6"/>
  <c r="K171" i="6"/>
  <c r="E171" i="6"/>
  <c r="K168" i="6"/>
  <c r="E168" i="6"/>
  <c r="K167" i="6"/>
  <c r="K170" i="6" s="1"/>
  <c r="K174" i="6" s="1"/>
  <c r="E167" i="6"/>
  <c r="E170" i="6" s="1"/>
  <c r="E174" i="6" s="1"/>
  <c r="K148" i="6"/>
  <c r="E148" i="6"/>
  <c r="K138" i="6"/>
  <c r="E138" i="6"/>
  <c r="K137" i="6"/>
  <c r="E137" i="6"/>
  <c r="K118" i="6"/>
  <c r="E118" i="6"/>
  <c r="K111" i="6"/>
  <c r="E111" i="6"/>
  <c r="K108" i="6"/>
  <c r="E108" i="6"/>
  <c r="K107" i="6"/>
  <c r="K110" i="6" s="1"/>
  <c r="K114" i="6" s="1"/>
  <c r="E107" i="6"/>
  <c r="E110" i="6" s="1"/>
  <c r="E114" i="6" s="1"/>
  <c r="K88" i="6"/>
  <c r="E88" i="6"/>
  <c r="K78" i="6"/>
  <c r="E78" i="6"/>
  <c r="K77" i="6"/>
  <c r="E77" i="6"/>
  <c r="K58" i="6"/>
  <c r="E58" i="6"/>
  <c r="K51" i="6"/>
  <c r="E51" i="6"/>
  <c r="K48" i="6"/>
  <c r="E48" i="6"/>
  <c r="K47" i="6"/>
  <c r="K50" i="6" s="1"/>
  <c r="K54" i="6" s="1"/>
  <c r="E47" i="6"/>
  <c r="E50" i="6" s="1"/>
  <c r="E54" i="6" s="1"/>
  <c r="Q28" i="6"/>
  <c r="K28" i="6"/>
  <c r="E28" i="6"/>
  <c r="E21" i="6"/>
  <c r="E20" i="6" s="1"/>
  <c r="E24" i="6" s="1"/>
  <c r="Q18" i="6"/>
  <c r="K18" i="6"/>
  <c r="E18" i="6"/>
  <c r="Q17" i="6"/>
  <c r="K17" i="6"/>
  <c r="K21" i="6" s="1"/>
  <c r="E17" i="6"/>
  <c r="K182" i="5"/>
  <c r="K183" i="5" s="1"/>
  <c r="K176" i="5"/>
  <c r="K171" i="5"/>
  <c r="K170" i="5"/>
  <c r="K174" i="5" s="1"/>
  <c r="AC152" i="5"/>
  <c r="AC153" i="5" s="1"/>
  <c r="W151" i="5"/>
  <c r="Q151" i="5"/>
  <c r="E151" i="5"/>
  <c r="AC146" i="5"/>
  <c r="W146" i="5"/>
  <c r="Q146" i="5"/>
  <c r="K146" i="5"/>
  <c r="E146" i="5"/>
  <c r="AC141" i="5"/>
  <c r="W141" i="5"/>
  <c r="Q141" i="5"/>
  <c r="K141" i="5"/>
  <c r="E141" i="5"/>
  <c r="AC140" i="5"/>
  <c r="AC144" i="5" s="1"/>
  <c r="DD63" i="10" s="1"/>
  <c r="W140" i="5"/>
  <c r="Q140" i="5"/>
  <c r="Q144" i="5" s="1"/>
  <c r="K140" i="5"/>
  <c r="K144" i="5" s="1"/>
  <c r="DV63" i="10" s="1"/>
  <c r="E140" i="5"/>
  <c r="E144" i="5" s="1"/>
  <c r="DD66" i="10" s="1"/>
  <c r="W120" i="5"/>
  <c r="AC115" i="5"/>
  <c r="AC112" i="5" s="1"/>
  <c r="AC116" i="5" s="1"/>
  <c r="DA65" i="10" s="1"/>
  <c r="W115" i="5"/>
  <c r="AC113" i="5"/>
  <c r="DD65" i="10" s="1"/>
  <c r="E113" i="5"/>
  <c r="BB65" i="10" s="1"/>
  <c r="E112" i="5"/>
  <c r="E116" i="5" s="1"/>
  <c r="AY65" i="10" s="1"/>
  <c r="AC110" i="5"/>
  <c r="W110" i="5"/>
  <c r="Q110" i="5"/>
  <c r="K110" i="5"/>
  <c r="E110" i="5"/>
  <c r="AC109" i="5"/>
  <c r="W109" i="5"/>
  <c r="W113" i="5" s="1"/>
  <c r="BT63" i="10" s="1"/>
  <c r="Q109" i="5"/>
  <c r="Q113" i="5" s="1"/>
  <c r="BB67" i="10" s="1"/>
  <c r="K109" i="5"/>
  <c r="K113" i="5" s="1"/>
  <c r="E109" i="5"/>
  <c r="AI89" i="5"/>
  <c r="AC89" i="5"/>
  <c r="W89" i="5"/>
  <c r="Q89" i="5"/>
  <c r="K89" i="5"/>
  <c r="E89" i="5"/>
  <c r="AI84" i="5"/>
  <c r="AC84" i="5"/>
  <c r="W84" i="5"/>
  <c r="Q84" i="5"/>
  <c r="E84" i="5"/>
  <c r="AI82" i="5"/>
  <c r="DD64" i="10" s="1"/>
  <c r="K82" i="5"/>
  <c r="AJ63" i="10" s="1"/>
  <c r="AI79" i="5"/>
  <c r="AC79" i="5"/>
  <c r="W79" i="5"/>
  <c r="Q79" i="5"/>
  <c r="E79" i="5"/>
  <c r="AI78" i="5"/>
  <c r="AI81" i="5" s="1"/>
  <c r="AI85" i="5" s="1"/>
  <c r="DA64" i="10" s="1"/>
  <c r="AC78" i="5"/>
  <c r="AC82" i="5" s="1"/>
  <c r="W78" i="5"/>
  <c r="Q78" i="5"/>
  <c r="Q82" i="5" s="1"/>
  <c r="CU62" i="10" s="1"/>
  <c r="K78" i="5"/>
  <c r="K81" i="5" s="1"/>
  <c r="K85" i="5" s="1"/>
  <c r="E78" i="5"/>
  <c r="E82" i="5" s="1"/>
  <c r="AC59" i="5"/>
  <c r="K59" i="5"/>
  <c r="K60" i="5" s="1"/>
  <c r="AI58" i="5"/>
  <c r="AC58" i="5"/>
  <c r="Q58" i="5"/>
  <c r="K58" i="5"/>
  <c r="E58" i="5"/>
  <c r="AI53" i="5"/>
  <c r="AC53" i="5"/>
  <c r="W53" i="5"/>
  <c r="Q53" i="5"/>
  <c r="K53" i="5"/>
  <c r="E53" i="5"/>
  <c r="AI51" i="5"/>
  <c r="DM63" i="10" s="1"/>
  <c r="Q51" i="5"/>
  <c r="BB64" i="10" s="1"/>
  <c r="K51" i="5"/>
  <c r="AS65" i="10" s="1"/>
  <c r="AI48" i="5"/>
  <c r="AC48" i="5"/>
  <c r="W48" i="5"/>
  <c r="Q48" i="5"/>
  <c r="K48" i="5"/>
  <c r="E48" i="5"/>
  <c r="AI47" i="5"/>
  <c r="AC47" i="5"/>
  <c r="W47" i="5"/>
  <c r="Q47" i="5"/>
  <c r="K47" i="5"/>
  <c r="E47" i="5"/>
  <c r="E29" i="5"/>
  <c r="E30" i="5" s="1"/>
  <c r="E31" i="5" s="1"/>
  <c r="E18" i="5"/>
  <c r="E17" i="5"/>
  <c r="E21" i="5" s="1"/>
  <c r="AA21" i="10" s="1"/>
  <c r="I70" i="4"/>
  <c r="Y60" i="10" s="1"/>
  <c r="K29" i="6" s="1"/>
  <c r="K30" i="6" s="1"/>
  <c r="K31" i="6" s="1"/>
  <c r="H70" i="4"/>
  <c r="H69" i="4"/>
  <c r="I69" i="4" s="1"/>
  <c r="P62" i="10" s="1"/>
  <c r="W152" i="5" s="1"/>
  <c r="I67" i="4"/>
  <c r="P60" i="10" s="1"/>
  <c r="E29" i="6" s="1"/>
  <c r="E30" i="6" s="1"/>
  <c r="E31" i="6" s="1"/>
  <c r="H67" i="4"/>
  <c r="H66" i="4"/>
  <c r="I66" i="4" s="1"/>
  <c r="DT63" i="10" s="1"/>
  <c r="K152" i="5" s="1"/>
  <c r="K153" i="5" s="1"/>
  <c r="I65" i="4"/>
  <c r="DT61" i="10" s="1"/>
  <c r="K269" i="6" s="1"/>
  <c r="K270" i="6" s="1"/>
  <c r="K271" i="6" s="1"/>
  <c r="H65" i="4"/>
  <c r="H64" i="4"/>
  <c r="I64" i="4" s="1"/>
  <c r="DT60" i="10" s="1"/>
  <c r="E269" i="6" s="1"/>
  <c r="E270" i="6" s="1"/>
  <c r="E271" i="6" s="1"/>
  <c r="I62" i="4"/>
  <c r="DK64" i="10" s="1"/>
  <c r="Q152" i="5" s="1"/>
  <c r="Q153" i="5" s="1"/>
  <c r="H62" i="4"/>
  <c r="H61" i="4"/>
  <c r="I61" i="4" s="1"/>
  <c r="DK63" i="10" s="1"/>
  <c r="AI59" i="5" s="1"/>
  <c r="AI60" i="5" s="1"/>
  <c r="I59" i="4"/>
  <c r="DK61" i="10" s="1"/>
  <c r="K239" i="6" s="1"/>
  <c r="K240" i="6" s="1"/>
  <c r="K241" i="6" s="1"/>
  <c r="H59" i="4"/>
  <c r="H58" i="4"/>
  <c r="I58" i="4" s="1"/>
  <c r="DK60" i="10" s="1"/>
  <c r="E239" i="6" s="1"/>
  <c r="E240" i="6" s="1"/>
  <c r="E241" i="6" s="1"/>
  <c r="I55" i="4"/>
  <c r="DB62" i="10" s="1"/>
  <c r="AC90" i="5" s="1"/>
  <c r="AC91" i="5" s="1"/>
  <c r="H55" i="4"/>
  <c r="H54" i="4"/>
  <c r="I54" i="4" s="1"/>
  <c r="DB66" i="10" s="1"/>
  <c r="E152" i="5" s="1"/>
  <c r="E153" i="5" s="1"/>
  <c r="I53" i="4"/>
  <c r="DB64" i="10" s="1"/>
  <c r="AI90" i="5" s="1"/>
  <c r="AI91" i="5" s="1"/>
  <c r="H53" i="4"/>
  <c r="H51" i="4"/>
  <c r="I51" i="4" s="1"/>
  <c r="DB60" i="10" s="1"/>
  <c r="K209" i="6" s="1"/>
  <c r="K210" i="6" s="1"/>
  <c r="K211" i="6" s="1"/>
  <c r="I47" i="4"/>
  <c r="CS60" i="10" s="1"/>
  <c r="E209" i="6" s="1"/>
  <c r="E210" i="6" s="1"/>
  <c r="E211" i="6" s="1"/>
  <c r="H47" i="4"/>
  <c r="H44" i="4"/>
  <c r="I44" i="4" s="1"/>
  <c r="CA60" i="10" s="1"/>
  <c r="K179" i="6" s="1"/>
  <c r="K180" i="6" s="1"/>
  <c r="K181" i="6" s="1"/>
  <c r="I41" i="4"/>
  <c r="CJ60" i="10" s="1"/>
  <c r="E179" i="6" s="1"/>
  <c r="E180" i="6" s="1"/>
  <c r="E181" i="6" s="1"/>
  <c r="H41" i="4"/>
  <c r="H39" i="4"/>
  <c r="I39" i="4" s="1"/>
  <c r="BR63" i="10" s="1"/>
  <c r="W121" i="5" s="1"/>
  <c r="W122" i="5" s="1"/>
  <c r="I36" i="4"/>
  <c r="BR61" i="10" s="1"/>
  <c r="K149" i="6" s="1"/>
  <c r="K150" i="6" s="1"/>
  <c r="K151" i="6" s="1"/>
  <c r="H36" i="4"/>
  <c r="H35" i="4"/>
  <c r="I35" i="4" s="1"/>
  <c r="BR60" i="10" s="1"/>
  <c r="E149" i="6" s="1"/>
  <c r="E150" i="6" s="1"/>
  <c r="E151" i="6" s="1"/>
  <c r="I33" i="4"/>
  <c r="BI61" i="10" s="1"/>
  <c r="K119" i="6" s="1"/>
  <c r="K120" i="6" s="1"/>
  <c r="K121" i="6" s="1"/>
  <c r="H33" i="4"/>
  <c r="H32" i="4"/>
  <c r="I32" i="4" s="1"/>
  <c r="BI60" i="10" s="1"/>
  <c r="E119" i="6" s="1"/>
  <c r="E120" i="6" s="1"/>
  <c r="E121" i="6" s="1"/>
  <c r="I30" i="4"/>
  <c r="AZ67" i="10" s="1"/>
  <c r="Q121" i="5" s="1"/>
  <c r="Q122" i="5" s="1"/>
  <c r="H30" i="4"/>
  <c r="H29" i="4"/>
  <c r="I29" i="4" s="1"/>
  <c r="AZ66" i="10" s="1"/>
  <c r="K121" i="5" s="1"/>
  <c r="K122" i="5" s="1"/>
  <c r="I28" i="4"/>
  <c r="AZ65" i="10" s="1"/>
  <c r="E121" i="5" s="1"/>
  <c r="E122" i="5" s="1"/>
  <c r="H28" i="4"/>
  <c r="H27" i="4"/>
  <c r="I27" i="4" s="1"/>
  <c r="AZ63" i="10" s="1"/>
  <c r="W90" i="5" s="1"/>
  <c r="W91" i="5" s="1"/>
  <c r="I26" i="4"/>
  <c r="AZ64" i="10" s="1"/>
  <c r="Q59" i="5" s="1"/>
  <c r="Q60" i="5" s="1"/>
  <c r="H26" i="4"/>
  <c r="H24" i="4"/>
  <c r="I24" i="4" s="1"/>
  <c r="AZ61" i="10" s="1"/>
  <c r="K59" i="6" s="1"/>
  <c r="K60" i="6" s="1"/>
  <c r="K61" i="6" s="1"/>
  <c r="I23" i="4"/>
  <c r="AZ60" i="10" s="1"/>
  <c r="E59" i="6" s="1"/>
  <c r="E60" i="6" s="1"/>
  <c r="E61" i="6" s="1"/>
  <c r="H23" i="4"/>
  <c r="H21" i="4"/>
  <c r="I21" i="4" s="1"/>
  <c r="AQ66" i="10" s="1"/>
  <c r="E90" i="5" s="1"/>
  <c r="E91" i="5" s="1"/>
  <c r="I19" i="4"/>
  <c r="AQ64" i="10" s="1"/>
  <c r="E59" i="5" s="1"/>
  <c r="E60" i="5" s="1"/>
  <c r="H19" i="4"/>
  <c r="H18" i="4"/>
  <c r="I18" i="4" s="1"/>
  <c r="AQ63" i="10" s="1"/>
  <c r="W59" i="5" s="1"/>
  <c r="W60" i="5" s="1"/>
  <c r="I16" i="4"/>
  <c r="AQ60" i="10" s="1"/>
  <c r="E89" i="6" s="1"/>
  <c r="E90" i="6" s="1"/>
  <c r="E91" i="6" s="1"/>
  <c r="H16" i="4"/>
  <c r="H15" i="4"/>
  <c r="I15" i="4" s="1"/>
  <c r="AQ61" i="10" s="1"/>
  <c r="K89" i="6" s="1"/>
  <c r="K90" i="6" s="1"/>
  <c r="K91" i="6" s="1"/>
  <c r="I13" i="4"/>
  <c r="H13" i="4"/>
  <c r="H11" i="4"/>
  <c r="I11" i="4" s="1"/>
  <c r="K237" i="8" l="1"/>
  <c r="K241" i="8" s="1"/>
  <c r="BQ68" i="10" s="1"/>
  <c r="Q52" i="7"/>
  <c r="BB71" i="10" s="1"/>
  <c r="BS67" i="10"/>
  <c r="W209" i="8" s="1"/>
  <c r="E23" i="8"/>
  <c r="W52" i="8"/>
  <c r="AJ73" i="10" s="1"/>
  <c r="E207" i="7"/>
  <c r="DD67" i="10" s="1"/>
  <c r="E237" i="8"/>
  <c r="E241" i="8" s="1"/>
  <c r="AG72" i="10" s="1"/>
  <c r="AS20" i="10"/>
  <c r="E20" i="7"/>
  <c r="E24" i="7" s="1"/>
  <c r="AC60" i="5"/>
  <c r="AI50" i="5"/>
  <c r="AI54" i="5" s="1"/>
  <c r="DJ63" i="10" s="1"/>
  <c r="E20" i="8"/>
  <c r="E24" i="8" s="1"/>
  <c r="E23" i="5"/>
  <c r="K206" i="7"/>
  <c r="K210" i="7" s="1"/>
  <c r="BZ63" i="10" s="1"/>
  <c r="K50" i="5"/>
  <c r="K54" i="5" s="1"/>
  <c r="AP65" i="10" s="1"/>
  <c r="Q50" i="5"/>
  <c r="Q54" i="5" s="1"/>
  <c r="AY64" i="10" s="1"/>
  <c r="K144" i="7"/>
  <c r="K148" i="7" s="1"/>
  <c r="DA68" i="10" s="1"/>
  <c r="E175" i="7"/>
  <c r="E179" i="7" s="1"/>
  <c r="BQ65" i="10" s="1"/>
  <c r="E176" i="8"/>
  <c r="AS70" i="10" s="1"/>
  <c r="W153" i="5"/>
  <c r="AH60" i="10"/>
  <c r="Q29" i="6" s="1"/>
  <c r="Q30" i="6" s="1"/>
  <c r="Q31" i="6" s="1"/>
  <c r="AH63" i="10"/>
  <c r="K90" i="5" s="1"/>
  <c r="K91" i="5" s="1"/>
  <c r="AS66" i="10"/>
  <c r="E81" i="5"/>
  <c r="E85" i="5" s="1"/>
  <c r="AP66" i="10" s="1"/>
  <c r="DD62" i="10"/>
  <c r="AC81" i="5"/>
  <c r="AC85" i="5" s="1"/>
  <c r="DA62" i="10" s="1"/>
  <c r="DM64" i="10"/>
  <c r="Q143" i="5"/>
  <c r="Q147" i="5" s="1"/>
  <c r="DJ64" i="10" s="1"/>
  <c r="BB66" i="10"/>
  <c r="K112" i="5"/>
  <c r="K116" i="5" s="1"/>
  <c r="AY66" i="10" s="1"/>
  <c r="DV64" i="10"/>
  <c r="K173" i="5"/>
  <c r="K177" i="5" s="1"/>
  <c r="DS64" i="10" s="1"/>
  <c r="E20" i="5"/>
  <c r="E24" i="5" s="1"/>
  <c r="X21" i="10" s="1"/>
  <c r="W51" i="5"/>
  <c r="AS63" i="10" s="1"/>
  <c r="W82" i="5"/>
  <c r="BB63" i="10" s="1"/>
  <c r="Q112" i="5"/>
  <c r="Q116" i="5" s="1"/>
  <c r="AY67" i="10" s="1"/>
  <c r="E143" i="5"/>
  <c r="E147" i="5" s="1"/>
  <c r="DA66" i="10" s="1"/>
  <c r="AC143" i="5"/>
  <c r="AC147" i="5" s="1"/>
  <c r="DA63" i="10" s="1"/>
  <c r="W144" i="5"/>
  <c r="R62" i="10" s="1"/>
  <c r="K20" i="6"/>
  <c r="K24" i="6" s="1"/>
  <c r="Q21" i="6"/>
  <c r="Q20" i="6" s="1"/>
  <c r="Q24" i="6" s="1"/>
  <c r="E81" i="6"/>
  <c r="E80" i="6" s="1"/>
  <c r="E84" i="6" s="1"/>
  <c r="E141" i="6"/>
  <c r="E140" i="6" s="1"/>
  <c r="E144" i="6" s="1"/>
  <c r="E201" i="6"/>
  <c r="E200" i="6" s="1"/>
  <c r="E204" i="6" s="1"/>
  <c r="BB68" i="10"/>
  <c r="BT69" i="10"/>
  <c r="DD70" i="10"/>
  <c r="AS68" i="10"/>
  <c r="E51" i="5"/>
  <c r="AS64" i="10" s="1"/>
  <c r="AC51" i="5"/>
  <c r="BT64" i="10" s="1"/>
  <c r="Q81" i="5"/>
  <c r="Q85" i="5" s="1"/>
  <c r="CR62" i="10" s="1"/>
  <c r="W112" i="5"/>
  <c r="W116" i="5" s="1"/>
  <c r="BQ63" i="10" s="1"/>
  <c r="K143" i="5"/>
  <c r="K147" i="5" s="1"/>
  <c r="DS63" i="10" s="1"/>
  <c r="K81" i="6"/>
  <c r="K80" i="6" s="1"/>
  <c r="K84" i="6" s="1"/>
  <c r="K141" i="6"/>
  <c r="K140" i="6" s="1"/>
  <c r="K144" i="6" s="1"/>
  <c r="K201" i="6"/>
  <c r="K200" i="6" s="1"/>
  <c r="K204" i="6" s="1"/>
  <c r="K230" i="6"/>
  <c r="K234" i="6" s="1"/>
  <c r="E260" i="6"/>
  <c r="E264" i="6" s="1"/>
  <c r="W82" i="7"/>
  <c r="W86" i="7" s="1"/>
  <c r="DS65" i="10" s="1"/>
  <c r="W113" i="7"/>
  <c r="W117" i="7" s="1"/>
  <c r="DJ66" i="10" s="1"/>
  <c r="K175" i="7"/>
  <c r="K179" i="7" s="1"/>
  <c r="DS66" i="10" s="1"/>
  <c r="E51" i="8"/>
  <c r="E55" i="8" s="1"/>
  <c r="DJ67" i="10" s="1"/>
  <c r="E82" i="8"/>
  <c r="E86" i="8" s="1"/>
  <c r="DJ68" i="10" s="1"/>
  <c r="E113" i="8"/>
  <c r="E117" i="8" s="1"/>
  <c r="DJ69" i="10" s="1"/>
  <c r="E144" i="8"/>
  <c r="E148" i="8" s="1"/>
  <c r="BQ69" i="10" s="1"/>
  <c r="E206" i="8"/>
  <c r="E210" i="8" s="1"/>
  <c r="AP71" i="10" s="1"/>
  <c r="E269" i="8"/>
  <c r="CC65" i="10" s="1"/>
  <c r="E51" i="7"/>
  <c r="E55" i="7" s="1"/>
  <c r="E82" i="7"/>
  <c r="E86" i="7" s="1"/>
  <c r="AG64" i="10" s="1"/>
  <c r="E113" i="7"/>
  <c r="E117" i="7" s="1"/>
  <c r="AY68" i="10" s="1"/>
  <c r="E144" i="7"/>
  <c r="E148" i="7" s="1"/>
  <c r="BH64" i="10" s="1"/>
  <c r="K237" i="7"/>
  <c r="K241" i="7" s="1"/>
  <c r="CR63" i="10" s="1"/>
  <c r="K51" i="8"/>
  <c r="K55" i="8" s="1"/>
  <c r="AG66" i="10" s="1"/>
  <c r="K82" i="8"/>
  <c r="K86" i="8" s="1"/>
  <c r="AG67" i="10" s="1"/>
  <c r="K113" i="8"/>
  <c r="K117" i="8" s="1"/>
  <c r="AG68" i="10" s="1"/>
  <c r="K144" i="8"/>
  <c r="K148" i="8" s="1"/>
  <c r="AG69" i="10" s="1"/>
  <c r="K175" i="8"/>
  <c r="K179" i="8" s="1"/>
  <c r="AG70" i="10" s="1"/>
  <c r="K206" i="8"/>
  <c r="K210" i="8" s="1"/>
  <c r="AG71" i="10" s="1"/>
  <c r="K269" i="8"/>
  <c r="DM70" i="10" s="1"/>
  <c r="K51" i="7"/>
  <c r="K55" i="7" s="1"/>
  <c r="AG65" i="10" s="1"/>
  <c r="K82" i="7"/>
  <c r="K86" i="7" s="1"/>
  <c r="AY69" i="10" s="1"/>
  <c r="K113" i="7"/>
  <c r="K117" i="7" s="1"/>
  <c r="BQ66" i="10" s="1"/>
  <c r="Q82" i="8"/>
  <c r="Q86" i="8" s="1"/>
  <c r="DA71" i="10" s="1"/>
  <c r="Q113" i="8"/>
  <c r="Q117" i="8" s="1"/>
  <c r="DA72" i="10" s="1"/>
  <c r="Q144" i="8"/>
  <c r="Q148" i="8" s="1"/>
  <c r="CR64" i="10" s="1"/>
  <c r="Q175" i="8"/>
  <c r="Q179" i="8" s="1"/>
  <c r="Q206" i="8"/>
  <c r="Q210" i="8" s="1"/>
  <c r="AP69" i="10" s="1"/>
  <c r="Q51" i="7"/>
  <c r="Q55" i="7" s="1"/>
  <c r="AY71" i="10" s="1"/>
  <c r="Q82" i="7"/>
  <c r="Q86" i="7" s="1"/>
  <c r="BH66" i="10" s="1"/>
  <c r="Q113" i="7"/>
  <c r="Q117" i="7" s="1"/>
  <c r="F63" i="10" s="1"/>
  <c r="W82" i="8"/>
  <c r="W86" i="8" s="1"/>
  <c r="CR65" i="10" s="1"/>
  <c r="W113" i="8"/>
  <c r="W117" i="8" s="1"/>
  <c r="DA69" i="10" s="1"/>
  <c r="W144" i="8"/>
  <c r="W148" i="8" s="1"/>
  <c r="AY70" i="10" s="1"/>
  <c r="W175" i="8"/>
  <c r="W179" i="8" s="1"/>
  <c r="BH65" i="10" s="1"/>
  <c r="W206" i="8"/>
  <c r="W210" i="8" s="1"/>
  <c r="BQ67" i="10" s="1"/>
  <c r="W51" i="8" l="1"/>
  <c r="W55" i="8" s="1"/>
  <c r="AG73" i="10" s="1"/>
  <c r="E175" i="8"/>
  <c r="E179" i="8" s="1"/>
  <c r="AP70" i="10" s="1"/>
  <c r="E206" i="7"/>
  <c r="E210" i="7" s="1"/>
  <c r="DA67" i="10" s="1"/>
  <c r="K268" i="8"/>
  <c r="K272" i="8" s="1"/>
  <c r="DJ70" i="10" s="1"/>
  <c r="Q53" i="8"/>
  <c r="Q52" i="8" s="1"/>
  <c r="Q51" i="8" s="1"/>
  <c r="Q55" i="8" s="1"/>
  <c r="W53" i="7"/>
  <c r="W52" i="7" s="1"/>
  <c r="E268" i="8"/>
  <c r="E272" i="8" s="1"/>
  <c r="BZ65" i="10" s="1"/>
  <c r="W50" i="5"/>
  <c r="W54" i="5" s="1"/>
  <c r="AP63" i="10" s="1"/>
  <c r="W143" i="5"/>
  <c r="W147" i="5" s="1"/>
  <c r="O62" i="10" s="1"/>
  <c r="AC50" i="5"/>
  <c r="AC54" i="5" s="1"/>
  <c r="BQ64" i="10" s="1"/>
  <c r="W81" i="5"/>
  <c r="W85" i="5" s="1"/>
  <c r="AY63" i="10" s="1"/>
  <c r="DA70" i="10"/>
  <c r="AP68" i="10"/>
  <c r="O63" i="10"/>
  <c r="AP20" i="10"/>
  <c r="E50" i="5"/>
  <c r="E54" i="5" s="1"/>
  <c r="AP64" i="10" s="1"/>
  <c r="CC64" i="10" l="1"/>
  <c r="W51" i="7"/>
  <c r="W55" i="7" s="1"/>
  <c r="BZ64" i="10" s="1"/>
</calcChain>
</file>

<file path=xl/sharedStrings.xml><?xml version="1.0" encoding="utf-8"?>
<sst xmlns="http://schemas.openxmlformats.org/spreadsheetml/2006/main" count="6815" uniqueCount="662">
  <si>
    <t>1 Sheet untuk masing-masing rumah</t>
  </si>
  <si>
    <t>NO</t>
  </si>
  <si>
    <t>PERAN</t>
  </si>
  <si>
    <t>KONDISI PSIKOLOGIS</t>
  </si>
  <si>
    <t>KONDISI FISIK</t>
  </si>
  <si>
    <t>EMOSI</t>
  </si>
  <si>
    <t>SUASANA HATI</t>
  </si>
  <si>
    <t>STRES</t>
  </si>
  <si>
    <t>KESEPIAN</t>
  </si>
  <si>
    <t>KEMAMPUAN</t>
  </si>
  <si>
    <r>
      <t xml:space="preserve">TINGKAT </t>
    </r>
    <r>
      <rPr>
        <b/>
        <sz val="12"/>
        <color theme="1"/>
        <rFont val="Calibri"/>
        <family val="2"/>
        <scheme val="minor"/>
      </rPr>
      <t>(√)</t>
    </r>
  </si>
  <si>
    <r>
      <rPr>
        <sz val="9"/>
        <color theme="1"/>
        <rFont val="Calibri"/>
        <family val="2"/>
        <scheme val="minor"/>
      </rPr>
      <t>KEMUDAHAN BERAKTIVITAS</t>
    </r>
    <r>
      <rPr>
        <b/>
        <sz val="9"/>
        <color theme="1"/>
        <rFont val="Calibri"/>
        <family val="2"/>
        <scheme val="minor"/>
      </rPr>
      <t xml:space="preserve"> (√)</t>
    </r>
  </si>
  <si>
    <r>
      <rPr>
        <sz val="9"/>
        <color theme="1"/>
        <rFont val="Calibri"/>
        <family val="2"/>
        <scheme val="minor"/>
      </rPr>
      <t xml:space="preserve">KEMAMPUAN CAPAIAN FISIK </t>
    </r>
    <r>
      <rPr>
        <b/>
        <sz val="9"/>
        <color theme="1"/>
        <rFont val="Calibri"/>
        <family val="2"/>
        <scheme val="minor"/>
      </rPr>
      <t>(√)</t>
    </r>
  </si>
  <si>
    <t>-6</t>
  </si>
  <si>
    <t>-4</t>
  </si>
  <si>
    <t>-2</t>
  </si>
  <si>
    <t>+2</t>
  </si>
  <si>
    <t>+4</t>
  </si>
  <si>
    <t>+6</t>
  </si>
  <si>
    <t>-1</t>
  </si>
  <si>
    <t>-0,8</t>
  </si>
  <si>
    <t>-0,6</t>
  </si>
  <si>
    <t>-0,4</t>
  </si>
  <si>
    <t>0,2</t>
  </si>
  <si>
    <t>AYAH</t>
  </si>
  <si>
    <t>√</t>
  </si>
  <si>
    <t>IBU</t>
  </si>
  <si>
    <t>ADIK</t>
  </si>
  <si>
    <t>KAKAK</t>
  </si>
  <si>
    <t>NENEK</t>
  </si>
  <si>
    <t>KONDISI BIOLOGIS</t>
  </si>
  <si>
    <t>KANDUNG KEMIH</t>
  </si>
  <si>
    <t>USUS BESAR</t>
  </si>
  <si>
    <t>KOTOR</t>
  </si>
  <si>
    <t>ENERGI</t>
  </si>
  <si>
    <t>LAPAR</t>
  </si>
  <si>
    <t>KEHAUSAN</t>
  </si>
  <si>
    <t>KELELAHAN</t>
  </si>
  <si>
    <t>MENGANTUK</t>
  </si>
  <si>
    <r>
      <t xml:space="preserve">TINGKAT SEBELUM TIDUR </t>
    </r>
    <r>
      <rPr>
        <b/>
        <sz val="12"/>
        <color theme="1"/>
        <rFont val="Calibri"/>
        <family val="2"/>
        <scheme val="minor"/>
      </rPr>
      <t>(√)</t>
    </r>
  </si>
  <si>
    <r>
      <t xml:space="preserve">AKTIVITAS </t>
    </r>
    <r>
      <rPr>
        <b/>
        <sz val="9"/>
        <color theme="1"/>
        <rFont val="Calibri"/>
        <family val="2"/>
        <scheme val="minor"/>
      </rPr>
      <t>(√)</t>
    </r>
  </si>
  <si>
    <t>WAKTU (00.00-23.59)</t>
  </si>
  <si>
    <r>
      <t>KUANTITAS BAK/BAB</t>
    </r>
    <r>
      <rPr>
        <b/>
        <sz val="9"/>
        <color theme="1"/>
        <rFont val="Calibri"/>
        <family val="2"/>
        <scheme val="minor"/>
      </rPr>
      <t>(√)</t>
    </r>
  </si>
  <si>
    <t>JUMLAH PORSI</t>
  </si>
  <si>
    <t>BAK</t>
  </si>
  <si>
    <t>BAB</t>
  </si>
  <si>
    <t>MANDI</t>
  </si>
  <si>
    <t>JAM</t>
  </si>
  <si>
    <t>DURASI</t>
  </si>
  <si>
    <t>SANGAT BANYAK</t>
  </si>
  <si>
    <t>BANYAK</t>
  </si>
  <si>
    <t>CUKUP</t>
  </si>
  <si>
    <t>SEDIKIT</t>
  </si>
  <si>
    <t>SANGAT SEDIKIT</t>
  </si>
  <si>
    <t>MAKAN</t>
  </si>
  <si>
    <t>MINUM</t>
  </si>
  <si>
    <t>PORSI</t>
  </si>
  <si>
    <t>07.00</t>
  </si>
  <si>
    <t>06.30</t>
  </si>
  <si>
    <t>06.00</t>
  </si>
  <si>
    <t>09.00</t>
  </si>
  <si>
    <t>1 PRG</t>
  </si>
  <si>
    <t>08.30</t>
  </si>
  <si>
    <t>1/2 PRG</t>
  </si>
  <si>
    <t>07.30</t>
  </si>
  <si>
    <t>08.00</t>
  </si>
  <si>
    <t>13.00</t>
  </si>
  <si>
    <t>14.00</t>
  </si>
  <si>
    <t>11.00</t>
  </si>
  <si>
    <t>10.00</t>
  </si>
  <si>
    <t>18.30</t>
  </si>
  <si>
    <t>15.00</t>
  </si>
  <si>
    <t>1/4 PRG</t>
  </si>
  <si>
    <t>12.00</t>
  </si>
  <si>
    <t>12.30</t>
  </si>
  <si>
    <t>14.30</t>
  </si>
  <si>
    <t>…PRG</t>
  </si>
  <si>
    <t>1 GLS</t>
  </si>
  <si>
    <t>16.00</t>
  </si>
  <si>
    <t>16.15</t>
  </si>
  <si>
    <t>1/2 GLS</t>
  </si>
  <si>
    <t>18.00</t>
  </si>
  <si>
    <t>17.30</t>
  </si>
  <si>
    <t>17.00</t>
  </si>
  <si>
    <t>19.00</t>
  </si>
  <si>
    <t>18.45</t>
  </si>
  <si>
    <t>20.00</t>
  </si>
  <si>
    <t>20.30</t>
  </si>
  <si>
    <t>21.00</t>
  </si>
  <si>
    <t>1/4 GLS</t>
  </si>
  <si>
    <t>13.30</t>
  </si>
  <si>
    <t>03.00</t>
  </si>
  <si>
    <t>16.30</t>
  </si>
  <si>
    <t>10.15</t>
  </si>
  <si>
    <t>07.45</t>
  </si>
  <si>
    <t>23.00</t>
  </si>
  <si>
    <t>11.30</t>
  </si>
  <si>
    <t>17.20</t>
  </si>
  <si>
    <t>15.30</t>
  </si>
  <si>
    <t xml:space="preserve">anak dan Ibu terakhir BAB jumat malam </t>
  </si>
  <si>
    <t xml:space="preserve">ayah tidur jam 22.00 malam, bangun jam 03.00 untuk berdoa dan BAK, lalu tidur kembali dan jam 6 bangun </t>
  </si>
  <si>
    <t>ibu tidur jam 23.30, karena harus mencari data bangun jam 5.30</t>
  </si>
  <si>
    <t>anak 1 tidur jam 22.00 bangun jam 07.00</t>
  </si>
  <si>
    <t>anak 2 tidur jam 19.00 bangun jam 07.00</t>
  </si>
  <si>
    <t xml:space="preserve">nenek tidur jam 21.00 jam 23.00 terbangun karena rasa sesak dan ke toilet, lalu tidur kembali dan jam 05.00 bangun </t>
  </si>
  <si>
    <t>Pada hari sabtu pergi ayah ibu kakak adik pada siang hari kira-kira jam 11.00-14.00</t>
  </si>
  <si>
    <t>pada hari minggu ayah ibu kakak adik pergi pada siang hari kira-kira jam 11.00-14.30</t>
  </si>
  <si>
    <t>Ruang dan alat listrik bisa ditambah/ diperbaiki</t>
  </si>
  <si>
    <t>No</t>
  </si>
  <si>
    <t xml:space="preserve">Ruang </t>
  </si>
  <si>
    <t xml:space="preserve">Alat </t>
  </si>
  <si>
    <t xml:space="preserve">Jumlah </t>
  </si>
  <si>
    <t xml:space="preserve">Waktu </t>
  </si>
  <si>
    <t>Durasi (jam)</t>
  </si>
  <si>
    <t>Durasi (menit)</t>
  </si>
  <si>
    <t>Daya (Watt)</t>
  </si>
  <si>
    <t xml:space="preserve">Keterangan </t>
  </si>
  <si>
    <t>Nyala</t>
  </si>
  <si>
    <t xml:space="preserve">Mati </t>
  </si>
  <si>
    <t>Rg. Tamu</t>
  </si>
  <si>
    <t xml:space="preserve">Lampu </t>
  </si>
  <si>
    <t>Laptop</t>
  </si>
  <si>
    <t>Rg. Keluarga</t>
  </si>
  <si>
    <t>Kipas</t>
  </si>
  <si>
    <t>TV</t>
  </si>
  <si>
    <t>Radio</t>
  </si>
  <si>
    <t>TV Kabel</t>
  </si>
  <si>
    <t xml:space="preserve"> </t>
  </si>
  <si>
    <t>Kamar Depan</t>
  </si>
  <si>
    <t>AC</t>
  </si>
  <si>
    <t>HP</t>
  </si>
  <si>
    <t>Dimatikan 2-3x (10-20 menit)</t>
  </si>
  <si>
    <t>Kamar Tengah 1</t>
  </si>
  <si>
    <t>Kamar Tengah 2</t>
  </si>
  <si>
    <t>Lampu</t>
  </si>
  <si>
    <t>dimana TV03?</t>
  </si>
  <si>
    <t>Standby power/tidak nyala</t>
  </si>
  <si>
    <t>Catokan</t>
  </si>
  <si>
    <t>Koridor</t>
  </si>
  <si>
    <t>WC</t>
  </si>
  <si>
    <t>Gudang</t>
  </si>
  <si>
    <t>Setrika</t>
  </si>
  <si>
    <t>Rg. Makan</t>
  </si>
  <si>
    <t>Kulkas</t>
  </si>
  <si>
    <t>Rice Cooker</t>
  </si>
  <si>
    <t>Blender</t>
  </si>
  <si>
    <t>Pompa</t>
  </si>
  <si>
    <t>Dapur</t>
  </si>
  <si>
    <t>Rg. Cuci</t>
  </si>
  <si>
    <t>Mesin Cuci</t>
  </si>
  <si>
    <t>Garasi</t>
  </si>
  <si>
    <t>Teras</t>
  </si>
  <si>
    <t xml:space="preserve">CONTOH </t>
  </si>
  <si>
    <t>COMPONENTS</t>
  </si>
  <si>
    <t>AGENT</t>
  </si>
  <si>
    <t>MACHINES :</t>
  </si>
  <si>
    <t>Variable i</t>
  </si>
  <si>
    <t>Variable ii</t>
  </si>
  <si>
    <t xml:space="preserve">Parameter </t>
  </si>
  <si>
    <t>Note</t>
  </si>
  <si>
    <t>A. Machine Attribute</t>
  </si>
  <si>
    <t>Name</t>
  </si>
  <si>
    <t>Code</t>
  </si>
  <si>
    <t>RCC01-WM01</t>
  </si>
  <si>
    <t>Nama objek pada sheet Current State didahului dengan nama ruang: RCC01-WM01 (Ruang belakang 1 - Mesin Cuci 1)</t>
  </si>
  <si>
    <t>Appearance</t>
  </si>
  <si>
    <t>Color</t>
  </si>
  <si>
    <t>Reflectivity</t>
  </si>
  <si>
    <t>%</t>
  </si>
  <si>
    <t>Date Created</t>
  </si>
  <si>
    <t>tanggal dibeli</t>
  </si>
  <si>
    <t>Tanggal diproduksi menentukan umur objek</t>
  </si>
  <si>
    <t>Life Spand</t>
  </si>
  <si>
    <t>hari</t>
  </si>
  <si>
    <t>Masa pemakaian yang disarankan sesuai spesifikasi produk. Tahun dikonversi ke hari</t>
  </si>
  <si>
    <t>Status</t>
  </si>
  <si>
    <r>
      <t xml:space="preserve">Status on/off replace setiap digunakan dari sheet </t>
    </r>
    <r>
      <rPr>
        <b/>
        <sz val="12"/>
        <color theme="1"/>
        <rFont val="Calibri"/>
        <family val="2"/>
        <scheme val="minor"/>
      </rPr>
      <t>Current State, setiap "on"</t>
    </r>
    <r>
      <rPr>
        <sz val="12"/>
        <color theme="1"/>
        <rFont val="Calibri"/>
        <family val="2"/>
        <scheme val="minor"/>
      </rPr>
      <t xml:space="preserve"> akan menambah 1 poin ke baris Age kolom Parameter</t>
    </r>
  </si>
  <si>
    <t>Age</t>
  </si>
  <si>
    <r>
      <t>Tambahan 1 poin, replace setiap digunakan</t>
    </r>
    <r>
      <rPr>
        <b/>
        <sz val="12"/>
        <color theme="1"/>
        <rFont val="Calibri"/>
        <family val="2"/>
        <scheme val="minor"/>
      </rPr>
      <t xml:space="preserve"> "on" dari sheet Current State</t>
    </r>
  </si>
  <si>
    <t>Sisa Umur</t>
  </si>
  <si>
    <t>Sisa umur = Life Spand - Age - (Cumulative Maintenance + Cleanliness level)/2 X 10</t>
  </si>
  <si>
    <t>Maintenance</t>
  </si>
  <si>
    <t>Current State</t>
  </si>
  <si>
    <t>level</t>
  </si>
  <si>
    <t>Tingkat perlu maintance berkala. Contoh setiap 120 hari (4 bulan) atau 45 kali maintenance dalam 15 tahun = ((Age/Life Spand) x Jumlah maintenance yang disarankan selama life spand - Sub kumulatif maintenance dilakukan)</t>
  </si>
  <si>
    <t>Cumulative</t>
  </si>
  <si>
    <t>kumulatif maintenance</t>
  </si>
  <si>
    <r>
      <t>Jumlah maintenance yang dilakukan. Setiap maintenance</t>
    </r>
    <r>
      <rPr>
        <b/>
        <sz val="12"/>
        <color theme="1"/>
        <rFont val="Calibri"/>
        <family val="2"/>
        <scheme val="minor"/>
      </rPr>
      <t xml:space="preserve"> tambah 1 poin dari Current State</t>
    </r>
  </si>
  <si>
    <t>Cleanliness</t>
  </si>
  <si>
    <r>
      <t xml:space="preserve">Tingkat kotor </t>
    </r>
    <r>
      <rPr>
        <b/>
        <sz val="12"/>
        <color theme="1"/>
        <rFont val="Calibri"/>
        <family val="2"/>
        <scheme val="minor"/>
      </rPr>
      <t>replace dari sheet Current State</t>
    </r>
    <r>
      <rPr>
        <sz val="12"/>
        <color theme="1"/>
        <rFont val="Calibri"/>
        <family val="2"/>
        <scheme val="minor"/>
      </rPr>
      <t xml:space="preserve">. Setiap kali digunakan mendapat 0.1 poin. </t>
    </r>
    <r>
      <rPr>
        <b/>
        <sz val="12"/>
        <color theme="1"/>
        <rFont val="Calibri"/>
        <family val="2"/>
        <scheme val="minor"/>
      </rPr>
      <t>Jika ada aktivitas membersihkan</t>
    </r>
    <r>
      <rPr>
        <sz val="12"/>
        <color theme="1"/>
        <rFont val="Calibri"/>
        <family val="2"/>
        <scheme val="minor"/>
      </rPr>
      <t>, poin berkurang = 0 (bersih)</t>
    </r>
  </si>
  <si>
    <t>Condition</t>
  </si>
  <si>
    <t>rusak, kurang bagus, bagus, sangat bagus</t>
  </si>
  <si>
    <t>Skala kondisi = Rusak &lt; 0.25 &lt; Kurang bagus &lt; 0.5 &lt; Bagus &lt; 0.75 &lt; Sangat bagus &lt; 1 = Sisa Umur/Life Spand</t>
  </si>
  <si>
    <t>Machine</t>
  </si>
  <si>
    <t>Function</t>
  </si>
  <si>
    <t>Komputasi</t>
  </si>
  <si>
    <t>Energy Type</t>
  </si>
  <si>
    <t>Listrik</t>
  </si>
  <si>
    <t>Energy Consumption</t>
  </si>
  <si>
    <t>kw/j</t>
  </si>
  <si>
    <t>Survei alat (sudah disurvei)</t>
  </si>
  <si>
    <t>Consumption Time</t>
  </si>
  <si>
    <t>jam</t>
  </si>
  <si>
    <t>Replace dari sheet Current State</t>
  </si>
  <si>
    <t>Sub Cumulative Con.</t>
  </si>
  <si>
    <t>Consumption Time x Energy Consumption</t>
  </si>
  <si>
    <t>kumulatif konsumsi energi</t>
  </si>
  <si>
    <t>Penjumlahan Sub Cumulative</t>
  </si>
  <si>
    <t>Capacity</t>
  </si>
  <si>
    <t>btu/jam</t>
  </si>
  <si>
    <t>Jika tidak ada = 0</t>
  </si>
  <si>
    <t>ABM</t>
  </si>
  <si>
    <t>Kipas Angin</t>
  </si>
  <si>
    <t>Hair Straightener</t>
  </si>
  <si>
    <t>Refrigerator</t>
  </si>
  <si>
    <t>RKG01-TV01</t>
  </si>
  <si>
    <t>RTU02-RA01</t>
  </si>
  <si>
    <t>RTU01-AC01</t>
  </si>
  <si>
    <t>RKG01-KP01</t>
  </si>
  <si>
    <t>RTU02-HS01</t>
  </si>
  <si>
    <t>RDP01-RE01</t>
  </si>
  <si>
    <t>TV Kabel (Indovision)</t>
  </si>
  <si>
    <t>Dry Iron</t>
  </si>
  <si>
    <t>RTU02-TV02</t>
  </si>
  <si>
    <t>LP01</t>
  </si>
  <si>
    <t>RGD01-IR01</t>
  </si>
  <si>
    <t>RTU01-KP02</t>
  </si>
  <si>
    <t>RMK01-BL01</t>
  </si>
  <si>
    <t>RMK01-RE02</t>
  </si>
  <si>
    <t>on</t>
  </si>
  <si>
    <t>Pompa Air</t>
  </si>
  <si>
    <t>HP01</t>
  </si>
  <si>
    <t>HP02</t>
  </si>
  <si>
    <t>HP03</t>
  </si>
  <si>
    <t>RTU02-KP03</t>
  </si>
  <si>
    <t>RMK01-WP02</t>
  </si>
  <si>
    <t>Washing Machine</t>
  </si>
  <si>
    <t>Dispenser</t>
  </si>
  <si>
    <t>RMK01-RC02</t>
  </si>
  <si>
    <t>RDP01-RC01</t>
  </si>
  <si>
    <t>RGS01-WP01</t>
  </si>
  <si>
    <t>RMK01-DP01</t>
  </si>
  <si>
    <t>RCC01-WM02</t>
  </si>
  <si>
    <t>LA01</t>
  </si>
  <si>
    <t>LA02</t>
  </si>
  <si>
    <t>LA04</t>
  </si>
  <si>
    <t>RGS01-LA01</t>
  </si>
  <si>
    <t>RTS01-LA02</t>
  </si>
  <si>
    <t>RTM01-LA04</t>
  </si>
  <si>
    <t>cool daylight</t>
  </si>
  <si>
    <t>LA03</t>
  </si>
  <si>
    <t>LA18</t>
  </si>
  <si>
    <t>RTU01-LA03</t>
  </si>
  <si>
    <t>RTU01-LA18</t>
  </si>
  <si>
    <t>LA05</t>
  </si>
  <si>
    <t>LA06</t>
  </si>
  <si>
    <t>RKG01-LA05</t>
  </si>
  <si>
    <t>RKG01-LA06</t>
  </si>
  <si>
    <t>LA07</t>
  </si>
  <si>
    <t>LA17</t>
  </si>
  <si>
    <t>RTA01-LA07</t>
  </si>
  <si>
    <t>RTA01-LA017</t>
  </si>
  <si>
    <t>LA08</t>
  </si>
  <si>
    <t>LA16</t>
  </si>
  <si>
    <t>RTU02-LA08</t>
  </si>
  <si>
    <t>RTU02-LA016</t>
  </si>
  <si>
    <t>LA19</t>
  </si>
  <si>
    <t>LA10</t>
  </si>
  <si>
    <t>RKD01-LA19</t>
  </si>
  <si>
    <t>RKM01-LA10</t>
  </si>
  <si>
    <t>LA09</t>
  </si>
  <si>
    <t>LA11</t>
  </si>
  <si>
    <t>RGD01-LA09</t>
  </si>
  <si>
    <t>RMK01-LA11</t>
  </si>
  <si>
    <t>LA12</t>
  </si>
  <si>
    <t>LA14</t>
  </si>
  <si>
    <t>RDP01-LA12</t>
  </si>
  <si>
    <t>RDP01-LA14</t>
  </si>
  <si>
    <t>LA13</t>
  </si>
  <si>
    <t>LA15</t>
  </si>
  <si>
    <t>RCC01-LA13</t>
  </si>
  <si>
    <t>RCC01-LA15</t>
  </si>
  <si>
    <t>Object</t>
  </si>
  <si>
    <t>Dynamic</t>
  </si>
  <si>
    <t>A. Dynamic Object Attribute</t>
  </si>
  <si>
    <t>Pintu Garasi</t>
  </si>
  <si>
    <t>PT13</t>
  </si>
  <si>
    <t>Size</t>
  </si>
  <si>
    <t>P</t>
  </si>
  <si>
    <t>cm</t>
  </si>
  <si>
    <t>L</t>
  </si>
  <si>
    <t>T</t>
  </si>
  <si>
    <t>Mechanic</t>
  </si>
  <si>
    <t xml:space="preserve">Status </t>
  </si>
  <si>
    <t>tertutup</t>
  </si>
  <si>
    <t>tertutup/terbuka</t>
  </si>
  <si>
    <t>Lubang sirkulasi</t>
  </si>
  <si>
    <t>Time for Op</t>
  </si>
  <si>
    <t>menit/aksi</t>
  </si>
  <si>
    <t>Condition 01</t>
  </si>
  <si>
    <t>bagus</t>
  </si>
  <si>
    <t>rusak, kurag bagus, bagus, sangat bagus</t>
  </si>
  <si>
    <t>Compliment</t>
  </si>
  <si>
    <t>kunci</t>
  </si>
  <si>
    <t>Status compliment</t>
  </si>
  <si>
    <t>terkunci</t>
  </si>
  <si>
    <t>Jendela Ruang Tamu</t>
  </si>
  <si>
    <t>Lemari Kamar Tidur 1</t>
  </si>
  <si>
    <t>Kran Kamar Mandi</t>
  </si>
  <si>
    <t>JD01</t>
  </si>
  <si>
    <t>RTU01-LM01</t>
  </si>
  <si>
    <t>RKM01-WT03</t>
  </si>
  <si>
    <t>terkunci, tak terkunci</t>
  </si>
  <si>
    <t>Pintu Ruang Tamu</t>
  </si>
  <si>
    <t>Jendela Kamar Tidur 1</t>
  </si>
  <si>
    <t>Lemari Kamar Tidur 2</t>
  </si>
  <si>
    <t>Kran Ruang Belakang</t>
  </si>
  <si>
    <t>PT01</t>
  </si>
  <si>
    <t>JD04</t>
  </si>
  <si>
    <t>RTA01-LM02</t>
  </si>
  <si>
    <t>Pintu Kamar Tidur 1</t>
  </si>
  <si>
    <t>Jendela Kamar Tidur 3</t>
  </si>
  <si>
    <t>Kran Halaman</t>
  </si>
  <si>
    <t>Kran Cuci Piring</t>
  </si>
  <si>
    <t>PT04</t>
  </si>
  <si>
    <t>JD06</t>
  </si>
  <si>
    <t>RHD01-WT04</t>
  </si>
  <si>
    <t>RDP01-WT01</t>
  </si>
  <si>
    <t>Pintu Kamar Tidur 2</t>
  </si>
  <si>
    <t>Jendela Ruang Makan</t>
  </si>
  <si>
    <t>PT05</t>
  </si>
  <si>
    <t>JD11</t>
  </si>
  <si>
    <t>Pintu Kamar Tidur 3</t>
  </si>
  <si>
    <t>Pintu Ruang Belakang</t>
  </si>
  <si>
    <t>PT06</t>
  </si>
  <si>
    <t>PT12</t>
  </si>
  <si>
    <t>Pintu Ruang Makan</t>
  </si>
  <si>
    <t>Pintu Kamar Mandi</t>
  </si>
  <si>
    <t>PT11</t>
  </si>
  <si>
    <t>PT08</t>
  </si>
  <si>
    <t>Pintu Gudang</t>
  </si>
  <si>
    <t>PT09</t>
  </si>
  <si>
    <t>Static</t>
  </si>
  <si>
    <t>A. Static Object Attribute</t>
  </si>
  <si>
    <t>Sofa Ruang Tamu</t>
  </si>
  <si>
    <t>SF01</t>
  </si>
  <si>
    <t>warna dominan / kombinasi</t>
  </si>
  <si>
    <t>sangat bersih, bersih, cukup bersih, kotor, sangat kotor</t>
  </si>
  <si>
    <t>Bouven Dapur</t>
  </si>
  <si>
    <t>Kursi Ruang Makan</t>
  </si>
  <si>
    <t>Meja Ruang Tamu</t>
  </si>
  <si>
    <t>BV02</t>
  </si>
  <si>
    <t>RTM01-SF01</t>
  </si>
  <si>
    <t>RMK01-KU01</t>
  </si>
  <si>
    <t>RTM01-MJ01</t>
  </si>
  <si>
    <t>Meja Setrika</t>
  </si>
  <si>
    <t>BV03</t>
  </si>
  <si>
    <t>RTM01-SF02</t>
  </si>
  <si>
    <t>RMK01-KU02</t>
  </si>
  <si>
    <t>RGD01-MJ02</t>
  </si>
  <si>
    <t>Meja Makan</t>
  </si>
  <si>
    <t>BV04</t>
  </si>
  <si>
    <t>RTM01-SF03</t>
  </si>
  <si>
    <t>RMK01-KU03</t>
  </si>
  <si>
    <t>RMK01-MJ03</t>
  </si>
  <si>
    <t>Bouven Kamar Tidur 3</t>
  </si>
  <si>
    <t>Kursi Gudang</t>
  </si>
  <si>
    <t>Tempat Tidur Kamar Tidur 1</t>
  </si>
  <si>
    <t>BV05</t>
  </si>
  <si>
    <t>RTM01-SF04</t>
  </si>
  <si>
    <t>RGD01-KU04</t>
  </si>
  <si>
    <t>RTU01-TD01</t>
  </si>
  <si>
    <t>Sofa Ruang Keluarga</t>
  </si>
  <si>
    <t>Karpet Ruang Keluarga</t>
  </si>
  <si>
    <t>Tempat Tidur Kamar Tidur 2</t>
  </si>
  <si>
    <t>RKG01-SF09</t>
  </si>
  <si>
    <t>RTM01-SF05</t>
  </si>
  <si>
    <t>RKG01-KR01</t>
  </si>
  <si>
    <t>RTA01-TD02</t>
  </si>
  <si>
    <t>Tempat Tidur Kamar Tidur 3</t>
  </si>
  <si>
    <t>RKG01-SF10</t>
  </si>
  <si>
    <t>RTM01-SF06</t>
  </si>
  <si>
    <t>RKG01-Sf08</t>
  </si>
  <si>
    <t>RTU02-TD03</t>
  </si>
  <si>
    <t>Rak</t>
  </si>
  <si>
    <t>RKG01-SF07</t>
  </si>
  <si>
    <t>RTU02-RK01</t>
  </si>
  <si>
    <t>Kloset Duduk</t>
  </si>
  <si>
    <t>Tempat Sampah</t>
  </si>
  <si>
    <t>RKM01-KL01</t>
  </si>
  <si>
    <t>RDP01-TS01</t>
  </si>
  <si>
    <t>ENVIRONMENT</t>
  </si>
  <si>
    <t>BUILDING</t>
  </si>
  <si>
    <t>UTILITIES</t>
  </si>
  <si>
    <t>Variable iii</t>
  </si>
  <si>
    <t>A. Power Meter</t>
  </si>
  <si>
    <t>Basic</t>
  </si>
  <si>
    <t>Power Supply</t>
  </si>
  <si>
    <t>watt</t>
  </si>
  <si>
    <t>Price</t>
  </si>
  <si>
    <t>rp/kwh</t>
  </si>
  <si>
    <t>Current Power Consumption</t>
  </si>
  <si>
    <t>Power Cost</t>
  </si>
  <si>
    <t>Availability</t>
  </si>
  <si>
    <t>B. Water Tank</t>
  </si>
  <si>
    <t>Water Supply</t>
  </si>
  <si>
    <t>m3</t>
  </si>
  <si>
    <t>Water Backup</t>
  </si>
  <si>
    <t>IC</t>
  </si>
  <si>
    <t>volume bak mandi?</t>
  </si>
  <si>
    <t>IC bak mandi penuh (malam hari bak diisi hingga penuh)</t>
  </si>
  <si>
    <t>Current Water</t>
  </si>
  <si>
    <t>Water Consumption</t>
  </si>
  <si>
    <t>Current Water Backup</t>
  </si>
  <si>
    <t>Water Backup Consumption</t>
  </si>
  <si>
    <t>C. Gas</t>
  </si>
  <si>
    <t>Gas Supply</t>
  </si>
  <si>
    <t>Kg</t>
  </si>
  <si>
    <t>rp</t>
  </si>
  <si>
    <t>Current Power</t>
  </si>
  <si>
    <t>Power Consumption</t>
  </si>
  <si>
    <t>Current Backup</t>
  </si>
  <si>
    <t>Power Backup Consumption</t>
  </si>
  <si>
    <t>DATA LINGKUNGAN TERKINI</t>
  </si>
  <si>
    <t>Perawatan: ada aktivitas membersihkan (mengurangi nilai kotor)</t>
  </si>
  <si>
    <t>Pemakaian: pada lantai=berpa kali ruang digunakan +1 setiap kali ada agen masuk ruang. Pada lanskap: waktu berjalan 24 jam, maks kotor 1=kering &gt;&gt; urgensi menyiram tanaman tinggi</t>
  </si>
  <si>
    <t>Kotor: Kondisi terkini=Pemakaian x 1 /10</t>
  </si>
  <si>
    <t>Jenis komponen</t>
  </si>
  <si>
    <r>
      <t xml:space="preserve">Status </t>
    </r>
    <r>
      <rPr>
        <b/>
        <sz val="10"/>
        <color theme="1"/>
        <rFont val="Calibri"/>
        <family val="2"/>
        <scheme val="minor"/>
      </rPr>
      <t>"on"</t>
    </r>
    <r>
      <rPr>
        <sz val="10"/>
        <color theme="1"/>
        <rFont val="Calibri"/>
        <family val="2"/>
        <scheme val="minor"/>
      </rPr>
      <t xml:space="preserve"> jika digunakan, </t>
    </r>
    <r>
      <rPr>
        <b/>
        <sz val="10"/>
        <color theme="1"/>
        <rFont val="Calibri"/>
        <family val="2"/>
        <scheme val="minor"/>
      </rPr>
      <t>"off"</t>
    </r>
    <r>
      <rPr>
        <sz val="10"/>
        <color theme="1"/>
        <rFont val="Calibri"/>
        <family val="2"/>
        <scheme val="minor"/>
      </rPr>
      <t xml:space="preserve"> jika tidak digunakan</t>
    </r>
  </si>
  <si>
    <r>
      <t xml:space="preserve">Kondisi = </t>
    </r>
    <r>
      <rPr>
        <b/>
        <sz val="10"/>
        <color theme="1"/>
        <rFont val="Calibri"/>
        <family val="2"/>
        <scheme val="minor"/>
      </rPr>
      <t>replace</t>
    </r>
    <r>
      <rPr>
        <sz val="10"/>
        <color theme="1"/>
        <rFont val="Calibri"/>
        <family val="2"/>
        <scheme val="minor"/>
      </rPr>
      <t xml:space="preserve"> dari Machine/ Dynamic/ Static/ Utility dalam skala angka/huruf</t>
    </r>
  </si>
  <si>
    <t>Mesin/ Dinamis/Intensitas Cahaya/ Utilitas (waktu berjalan); Statis/ Lantai (kali pemakaian: 1 kali agen duduk, 1 kali agen masuk ruang)</t>
  </si>
  <si>
    <t>Setiap pemakaian +0.1 poin replace ke Machine/ Dynamic/ Static/ Utility</t>
  </si>
  <si>
    <r>
      <t xml:space="preserve">Perawatan = </t>
    </r>
    <r>
      <rPr>
        <b/>
        <sz val="10"/>
        <color theme="1"/>
        <rFont val="Calibri"/>
        <family val="2"/>
        <scheme val="minor"/>
      </rPr>
      <t>replace</t>
    </r>
    <r>
      <rPr>
        <sz val="10"/>
        <color theme="1"/>
        <rFont val="Calibri"/>
        <family val="2"/>
        <scheme val="minor"/>
      </rPr>
      <t xml:space="preserve"> dari </t>
    </r>
    <r>
      <rPr>
        <b/>
        <sz val="10"/>
        <color theme="1"/>
        <rFont val="Calibri"/>
        <family val="2"/>
        <scheme val="minor"/>
      </rPr>
      <t>Maintenance</t>
    </r>
    <r>
      <rPr>
        <sz val="10"/>
        <color theme="1"/>
        <rFont val="Calibri"/>
        <family val="2"/>
        <scheme val="minor"/>
      </rPr>
      <t xml:space="preserve"> Machine/ Dynamic/ Static/ Utility</t>
    </r>
  </si>
  <si>
    <r>
      <t xml:space="preserve">Kondisi = </t>
    </r>
    <r>
      <rPr>
        <b/>
        <sz val="10"/>
        <color theme="1"/>
        <rFont val="Calibri"/>
        <family val="2"/>
        <scheme val="minor"/>
      </rPr>
      <t>replace</t>
    </r>
    <r>
      <rPr>
        <sz val="10"/>
        <color theme="1"/>
        <rFont val="Calibri"/>
        <family val="2"/>
        <scheme val="minor"/>
      </rPr>
      <t xml:space="preserve"> dari Machine/ Dynamic/ Static/ Utility dalam skala angka/ huruf</t>
    </r>
  </si>
  <si>
    <t>CONTOH</t>
  </si>
  <si>
    <t>Ruang Halaman Depan 1 (RHD01)</t>
  </si>
  <si>
    <t>Ruang Garasi 1 (RGS01)</t>
  </si>
  <si>
    <t>OUTDOOR CLIMATE</t>
  </si>
  <si>
    <t>INDOOR CLIMATE</t>
  </si>
  <si>
    <t>Variabel</t>
  </si>
  <si>
    <t>Jenis</t>
  </si>
  <si>
    <t>Kondisi</t>
  </si>
  <si>
    <t>Pemakaian</t>
  </si>
  <si>
    <t>Kotor</t>
  </si>
  <si>
    <t>Respon ke Lingkungan</t>
  </si>
  <si>
    <t>Perawatan</t>
  </si>
  <si>
    <t xml:space="preserve">A. </t>
  </si>
  <si>
    <t>Iklim</t>
  </si>
  <si>
    <t>Temperatur</t>
  </si>
  <si>
    <t>replace data suhu luar ruang terkini</t>
  </si>
  <si>
    <t>Intensitas Cahaya</t>
  </si>
  <si>
    <t>replace data intensitas luar ruang terkini</t>
  </si>
  <si>
    <t>Kelembaban</t>
  </si>
  <si>
    <t>replace data kelembaban luar ruang terkini</t>
  </si>
  <si>
    <t>B.</t>
  </si>
  <si>
    <t>Interior</t>
  </si>
  <si>
    <t>Lanskap</t>
  </si>
  <si>
    <t>Mesin</t>
  </si>
  <si>
    <t>Pompa Air 1 (RGS01-WP01)</t>
  </si>
  <si>
    <t>off</t>
  </si>
  <si>
    <t>jika di luar ruang tidak ada mesin</t>
  </si>
  <si>
    <t>Dinamis</t>
  </si>
  <si>
    <t>Pintu 13 (RGS01-PT13)</t>
  </si>
  <si>
    <t>Kran 4 (RHD01-WT04)</t>
  </si>
  <si>
    <t>jika di luar ruang ada objek dinamis</t>
  </si>
  <si>
    <t>aktivitas menggunakan mesin setiap 1 cycle selesai akan mereplace +0.1 poin ke cleanliness sheet machine</t>
  </si>
  <si>
    <t>Statis</t>
  </si>
  <si>
    <t>Tanaman</t>
  </si>
  <si>
    <r>
      <rPr>
        <b/>
        <sz val="10"/>
        <color theme="1"/>
        <rFont val="Calibri"/>
        <family val="2"/>
        <scheme val="minor"/>
      </rPr>
      <t>sangat kering</t>
    </r>
    <r>
      <rPr>
        <sz val="10"/>
        <color theme="1"/>
        <rFont val="Calibri"/>
        <family val="2"/>
        <scheme val="minor"/>
      </rPr>
      <t>, kering, basah, sangat basah</t>
    </r>
  </si>
  <si>
    <t>setelah selesai disiram, kotor = 0, perawatan = 0, waktu kembali mundur ke 0, jika baru 0.5, tetap dianggap belum selesai menyiram</t>
  </si>
  <si>
    <t>C.</t>
  </si>
  <si>
    <t>Konstruksi</t>
  </si>
  <si>
    <t>Plafond</t>
  </si>
  <si>
    <t>Lantai</t>
  </si>
  <si>
    <t>Lantai 14 (RHD01-LT14)</t>
  </si>
  <si>
    <t>Lantai pada halaman/ taman berkaitan dg kecepatan angin. Sementara kecepatan angin tidak dipakai, hanya +1 poin setiap agen beraktivitas di halaman/taman</t>
  </si>
  <si>
    <t>Dinding</t>
  </si>
  <si>
    <t>D.</t>
  </si>
  <si>
    <t>Utilitas</t>
  </si>
  <si>
    <t>Lantai 13 (RGS01-LT13)</t>
  </si>
  <si>
    <t>Air</t>
  </si>
  <si>
    <t/>
  </si>
  <si>
    <t>Gas</t>
  </si>
  <si>
    <t>E.</t>
  </si>
  <si>
    <t>Aktifitas</t>
  </si>
  <si>
    <t>Jenis Aktifitas</t>
  </si>
  <si>
    <t>menyiram tanaman</t>
  </si>
  <si>
    <t>Siapa terlibat</t>
  </si>
  <si>
    <t>IB21</t>
  </si>
  <si>
    <t>Memarkir kendaraan</t>
  </si>
  <si>
    <t>waktu aktifitas berjalan</t>
  </si>
  <si>
    <t>Ayah (AY21)</t>
  </si>
  <si>
    <t>menyapu halaman</t>
  </si>
  <si>
    <t>NK21</t>
  </si>
  <si>
    <t>waktu yang diperlukan replace dari aktivitas yang terpilih dan akan dijalankan</t>
  </si>
  <si>
    <t>waktu berjalan</t>
  </si>
  <si>
    <t>% akt = waktu berjalan/waktu yang diperlukan</t>
  </si>
  <si>
    <t>Mencuci pakaian</t>
  </si>
  <si>
    <t>aktivitas menggunakan mesin setiap 1 cycle selesai akan +1 poin ke kotor</t>
  </si>
  <si>
    <t xml:space="preserve">Membersihkan mesin cuci </t>
  </si>
  <si>
    <t>aktivitas membersihkan (perawatan) setiap 1 cycle selesai akan +1 poin ke cumulative maintenance sheet machine</t>
  </si>
  <si>
    <t>AY21</t>
  </si>
  <si>
    <t>Current State IC (sebelum tidur malam) setiap ruang di Rumah 2</t>
  </si>
  <si>
    <t>Ruang Teras 1 (RTS01)</t>
  </si>
  <si>
    <t>Ruang Tamu 1 (RTM01)</t>
  </si>
  <si>
    <t>Ruang Keluarga 1 (RKG01)</t>
  </si>
  <si>
    <t>Ruang Tidur Utama 1 (RTU01)</t>
  </si>
  <si>
    <t>Ruang Tidur Anak 1 (RTA01)</t>
  </si>
  <si>
    <t>Ruang Tidur Utama 2 (RTU02)</t>
  </si>
  <si>
    <t>Ruang Kamar Mandi 1 (RKM01)</t>
  </si>
  <si>
    <t>Ruang Koridor 1 (RKD01)</t>
  </si>
  <si>
    <t>Ruang Gudang 1 (RGD01)</t>
  </si>
  <si>
    <t>Ruang Makan 1 (RMK01)</t>
  </si>
  <si>
    <t>Ruang Dapur 1 (RDP01)</t>
  </si>
  <si>
    <t>Ruang Cuci 1 (RCC01)</t>
  </si>
  <si>
    <t>Lampu 1 (RGS01-LA01)</t>
  </si>
  <si>
    <t>Lampu 2 (RTS01-LA02)</t>
  </si>
  <si>
    <t>Lampu 4 (RTM01-LA04)</t>
  </si>
  <si>
    <t>Lampu 5 (RKG01-LA05)</t>
  </si>
  <si>
    <t>Lampu 3 (RTU01-LA03)</t>
  </si>
  <si>
    <t>Lampu 7 (RTA01-LA07)</t>
  </si>
  <si>
    <t>Lampu 8 (RTU02-LA08)</t>
  </si>
  <si>
    <t>Lampu 10 (RKM01-LA10)</t>
  </si>
  <si>
    <t>Lampu 19 (RKD01-LA19)</t>
  </si>
  <si>
    <t>Lampu 9 (RGD01-LA09)</t>
  </si>
  <si>
    <t>Lampu 11 (RMK01-LA11)</t>
  </si>
  <si>
    <t>Lampu 12 (RDP01-LA12)</t>
  </si>
  <si>
    <t>Lampu 6 (RKG01-LA06)</t>
  </si>
  <si>
    <t>Lampu 18 (RTU01-LA18)</t>
  </si>
  <si>
    <t>Lampu 17 (RTA01-LA17)</t>
  </si>
  <si>
    <t>Lampu 16 (RTU02-LA16)</t>
  </si>
  <si>
    <t>Lampu 14 (RDP01-LA14)</t>
  </si>
  <si>
    <t>Setrika 1 (RGD01-IR01)</t>
  </si>
  <si>
    <t>Blender 1 (RMK01-BL01)</t>
  </si>
  <si>
    <t>Laptop (RTM01-LP01)</t>
  </si>
  <si>
    <t>Kipas 1 (RKG01-KP01)</t>
  </si>
  <si>
    <t>Kipas 2 (RTU01-KP02)</t>
  </si>
  <si>
    <t>Kipas 3 (RTU02-KP03)</t>
  </si>
  <si>
    <t>Pintu 8 (RKM01-PT08)</t>
  </si>
  <si>
    <t>Pintu 9 (RGD01-PT09)</t>
  </si>
  <si>
    <t>Dispenser 1 (RMK01-DP01)</t>
  </si>
  <si>
    <t>Kulkas 1 (RDP01-RE01)</t>
  </si>
  <si>
    <t>Pintu 1 (RTM01-PT01)</t>
  </si>
  <si>
    <t>TV 1 (RKG01-TV01)</t>
  </si>
  <si>
    <t>AC 1 (RTU01-AC01)</t>
  </si>
  <si>
    <t>Pintu 5 (RTA01-PT05)</t>
  </si>
  <si>
    <t>Catokan 1 (RTU02-HS01)</t>
  </si>
  <si>
    <t>Kran 3 (RKM01-WT03)</t>
  </si>
  <si>
    <t>Kursi 4 (RGD01-KU04)</t>
  </si>
  <si>
    <t>Kulkas 2 (RMK01-RE02)</t>
  </si>
  <si>
    <t>Rice Cooker 1 (RDP01-RC01)</t>
  </si>
  <si>
    <t>Jendela 1(RTM01-JD01)</t>
  </si>
  <si>
    <t>Radio 1 (RKG01-RA01)</t>
  </si>
  <si>
    <t>HP 1 (RTU01-HP01)</t>
  </si>
  <si>
    <t>Tempat Tidur 2 (RTA01-TD02)</t>
  </si>
  <si>
    <t>Pintu 6 (RTU02-PT06)</t>
  </si>
  <si>
    <t>Kloset 1 (RKM01-KL01)</t>
  </si>
  <si>
    <t>Meja 2 (RGD01-MJ02)</t>
  </si>
  <si>
    <t>Pompa Air 2 (RMK01-WP02)</t>
  </si>
  <si>
    <t>Kran 1 (RDP01-WT01)</t>
  </si>
  <si>
    <t>Sofa 1 (RTM01-SF01)</t>
  </si>
  <si>
    <t>TV 2 (RKG01-TV02)</t>
  </si>
  <si>
    <t>HP 2 (RTU01-HP02)</t>
  </si>
  <si>
    <t>Lemari 2 (RTA01-LM02)</t>
  </si>
  <si>
    <t>Jendela 6 (RTU02-JD06)</t>
  </si>
  <si>
    <t>Rice Cooker 2 (RMK01-RC02)</t>
  </si>
  <si>
    <t>Bouven 2 (RDP01-BV02)</t>
  </si>
  <si>
    <t>Dinding 1 (RTS01-D01)</t>
  </si>
  <si>
    <t>Sofa 2 (RTM01-SF02)</t>
  </si>
  <si>
    <t>HP 3 (RTU01-HP03)</t>
  </si>
  <si>
    <t>Tempat Tidur 3 (RTU02-TD03)</t>
  </si>
  <si>
    <t>Dinding 5 (RKD01-D05)</t>
  </si>
  <si>
    <t>Pintu 11 (RMK01-PT11)</t>
  </si>
  <si>
    <t>Bouven 3 (RDP01-BV03)</t>
  </si>
  <si>
    <t>Lantai 1 (RTS01-LT01)</t>
  </si>
  <si>
    <t>Sofa 3 (RTM01-SF03)</t>
  </si>
  <si>
    <t>Karpet 1 (RKG01-KR01)</t>
  </si>
  <si>
    <t>Pintu 4 (RTU01-PT04)</t>
  </si>
  <si>
    <t>Rak 1 (RTU02-RK01)</t>
  </si>
  <si>
    <t>Dinding 8 (RKM01-D08)</t>
  </si>
  <si>
    <t>Dinding 6 (RKD01-D06)</t>
  </si>
  <si>
    <t>Dinding 9 (RGD01-D09)</t>
  </si>
  <si>
    <t>Jendela 11 (RMK01-JD11)</t>
  </si>
  <si>
    <t>Bouven 4 (RDP01-BV04)</t>
  </si>
  <si>
    <t>Sofa 4 (RTM01-SF04)</t>
  </si>
  <si>
    <t>Sofa 8 (RKG01-SF08)</t>
  </si>
  <si>
    <t>Jendela 4 (RTU01-JD04)</t>
  </si>
  <si>
    <t>Dinding 5 (RTA01-D05)</t>
  </si>
  <si>
    <t>Bouven 5 (RTU02-BV05)</t>
  </si>
  <si>
    <t>Lantai 8 (RKM01-LA08)</t>
  </si>
  <si>
    <t>Dinding 9 (RKD01-D09)</t>
  </si>
  <si>
    <t>Dinding 5 (RGD01-D05)</t>
  </si>
  <si>
    <t>Meja 3 (RMK01-MJ03)</t>
  </si>
  <si>
    <t>Tempat Sampah 1 (RDP01-TS01)</t>
  </si>
  <si>
    <t>Saklar 1 (RTS01-SK01)</t>
  </si>
  <si>
    <t>Sofa 5 (RTM01-SF05)</t>
  </si>
  <si>
    <t>Sofa 9 (RKG01-SF09)</t>
  </si>
  <si>
    <t>Tempat Tidur 1 (RTU01-TD01)</t>
  </si>
  <si>
    <t>Lantai 5 (RTA01-LT05)</t>
  </si>
  <si>
    <t>Lantai 9 (RGD01-LT09)</t>
  </si>
  <si>
    <t>Kursi 1 (RMK01-KU01)</t>
  </si>
  <si>
    <t>Saklar 2 (RTS01-SK02)</t>
  </si>
  <si>
    <t>Sofa 6 (RTM01-SF06)</t>
  </si>
  <si>
    <t>Sofa 10 (RKG01-SF10)</t>
  </si>
  <si>
    <t>Lemari 1 (RTU01-LM01)</t>
  </si>
  <si>
    <t>Kursi 2 (RMK01-KU02)</t>
  </si>
  <si>
    <t>Sofa 7 (RTM01-SF07)</t>
  </si>
  <si>
    <t>Saklar 8 (RTA01-SK08)</t>
  </si>
  <si>
    <t>Dinding 6 (RTU02-D06)</t>
  </si>
  <si>
    <t>Bak Mandi 1 (RKM01-BM01)</t>
  </si>
  <si>
    <t>Saklar 12 (RKD01-SK12)</t>
  </si>
  <si>
    <t>Saklar 14 (RGD01-SK14)</t>
  </si>
  <si>
    <t>Kursi 3 (RMK01-KU03)</t>
  </si>
  <si>
    <t>Dinding 8 (RDP01-D08)</t>
  </si>
  <si>
    <t>Meja 1 (RTM01-MJ01)</t>
  </si>
  <si>
    <t>Saklar 9 (RTA01-SK09)</t>
  </si>
  <si>
    <t>Dinding 8 (RTU02-D08)</t>
  </si>
  <si>
    <t>Saklar 13 (RKD01-SK13)</t>
  </si>
  <si>
    <t>Dinding 10 (RDP01-D10)</t>
  </si>
  <si>
    <t>Dinding 6 (RKG01-D06)</t>
  </si>
  <si>
    <t>Dinding 4 (RTU01-D04)</t>
  </si>
  <si>
    <t>Lantai 6 (RTU02-LT06)</t>
  </si>
  <si>
    <t>Dinding 11 (RDP01-D11)</t>
  </si>
  <si>
    <t>Dinding 7 (RKG01-D07)</t>
  </si>
  <si>
    <t>Lantai 4 (RTU01-LT04)</t>
  </si>
  <si>
    <t>Dinding 11 (RMK01-D11)</t>
  </si>
  <si>
    <t>Lantai 10 (RDP01-LT10)</t>
  </si>
  <si>
    <t>Dinding 2 (RTM01-D02)</t>
  </si>
  <si>
    <t>Lantai 7 (RKG01-LT07)</t>
  </si>
  <si>
    <t>Lantai 11 (RMK01-LT11)</t>
  </si>
  <si>
    <t>Lantai 2 (RTM01-LT02)</t>
  </si>
  <si>
    <t>Saklar 6 (RTU01-SK06)</t>
  </si>
  <si>
    <t>Tidur</t>
  </si>
  <si>
    <t>Saklar 16 (RDP01-SK16)</t>
  </si>
  <si>
    <t>Saklar 5 (RKG01-SK05)</t>
  </si>
  <si>
    <t>Saklar 7 (RTU01-SK07)</t>
  </si>
  <si>
    <t>AN21</t>
  </si>
  <si>
    <t>Saklar 15 (RMK01-SK15)</t>
  </si>
  <si>
    <t>Saklar 17 (RDP01-SK17)</t>
  </si>
  <si>
    <t>Saklar 3 (RTM01-SK03)</t>
  </si>
  <si>
    <t>Galon 1 (RMK01-GL01)</t>
  </si>
  <si>
    <t>Saklar 4 (RTM01-SK04)</t>
  </si>
  <si>
    <t>NE21</t>
  </si>
  <si>
    <t>Gas 1 (RDP01-GS01)</t>
  </si>
  <si>
    <t>AN22</t>
  </si>
  <si>
    <t>Memasak di pagi hari</t>
  </si>
  <si>
    <t>Nenek (NK21)</t>
  </si>
  <si>
    <t>RCC01-WT02</t>
  </si>
  <si>
    <t>Ruang Belakang (RCC01)</t>
  </si>
  <si>
    <t>Lampu 13 (RCC01-LA13)</t>
  </si>
  <si>
    <t>Lampu 15 (RCC01-LA15)</t>
  </si>
  <si>
    <t>Mesin Cuci 1 (RCC01-WM01)</t>
  </si>
  <si>
    <t>Mesin Cuci 2 (RCC01-WM02)</t>
  </si>
  <si>
    <t>Kran 2 (RCC01-WT02)</t>
  </si>
  <si>
    <t>Pintu 12 (RCC01-PT12)</t>
  </si>
  <si>
    <t>Dinding 10 (RCC01-D10)</t>
  </si>
  <si>
    <t>Dinding 11 (RCC01-D11)</t>
  </si>
  <si>
    <t>Lantai 12 (RCC01-LT12)</t>
  </si>
  <si>
    <t>Saklar 18 (RCC01-SK18)</t>
  </si>
  <si>
    <t>Gas 2 (RCC01-GS02)</t>
  </si>
  <si>
    <t>Kompor Gas 1 (RDP01-ST01)</t>
  </si>
  <si>
    <t>Bak Cuci Piring (RDP01-SK01)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</si>
</sst>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h\.mm"/>
    <numFmt numFmtId="165" formatCode="0.0"/>
    <numFmt numFmtId="166" formatCode="0.0000"/>
    <numFmt numFmtId="167" formatCode="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name val="Arial Narrow"/>
      <family val="2"/>
    </font>
    <font>
      <b/>
      <sz val="8"/>
      <color theme="1"/>
      <name val="Arial Narrow"/>
      <family val="2"/>
    </font>
    <font>
      <b/>
      <sz val="10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sz val="6"/>
      <color theme="1"/>
      <name val="Arial Narrow"/>
      <family val="2"/>
    </font>
    <font>
      <sz val="8"/>
      <color theme="1"/>
      <name val="Arial Narrow"/>
      <family val="2"/>
    </font>
    <font>
      <b/>
      <i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66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473">
    <xf numFmtId="0" fontId="0" fillId="0" borderId="0" xfId="0"/>
    <xf numFmtId="0" fontId="5" fillId="0" borderId="0" xfId="1" applyFont="1"/>
    <xf numFmtId="0" fontId="5" fillId="2" borderId="0" xfId="1" applyFont="1" applyFill="1"/>
    <xf numFmtId="0" fontId="1" fillId="0" borderId="0" xfId="1" applyFont="1" applyAlignment="1">
      <alignment horizontal="left"/>
    </xf>
    <xf numFmtId="0" fontId="9" fillId="5" borderId="11" xfId="1" quotePrefix="1" applyFont="1" applyFill="1" applyBorder="1" applyAlignment="1">
      <alignment horizontal="center" vertical="center"/>
    </xf>
    <xf numFmtId="0" fontId="9" fillId="5" borderId="12" xfId="1" quotePrefix="1" applyFont="1" applyFill="1" applyBorder="1" applyAlignment="1">
      <alignment horizontal="center" vertical="center"/>
    </xf>
    <xf numFmtId="0" fontId="9" fillId="5" borderId="13" xfId="1" quotePrefix="1" applyFont="1" applyFill="1" applyBorder="1" applyAlignment="1">
      <alignment horizontal="center" vertical="center"/>
    </xf>
    <xf numFmtId="0" fontId="9" fillId="5" borderId="14" xfId="1" quotePrefix="1" applyFont="1" applyFill="1" applyBorder="1" applyAlignment="1">
      <alignment horizontal="center" vertical="center"/>
    </xf>
    <xf numFmtId="0" fontId="9" fillId="5" borderId="15" xfId="1" quotePrefix="1" applyFont="1" applyFill="1" applyBorder="1" applyAlignment="1">
      <alignment horizontal="center" vertical="center"/>
    </xf>
    <xf numFmtId="0" fontId="9" fillId="5" borderId="16" xfId="1" quotePrefix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" fillId="5" borderId="18" xfId="1" quotePrefix="1" applyFont="1" applyFill="1" applyBorder="1" applyAlignment="1">
      <alignment horizontal="center" vertical="center"/>
    </xf>
    <xf numFmtId="0" fontId="1" fillId="5" borderId="19" xfId="1" quotePrefix="1" applyFont="1" applyFill="1" applyBorder="1" applyAlignment="1">
      <alignment horizontal="center" vertical="center"/>
    </xf>
    <xf numFmtId="0" fontId="1" fillId="5" borderId="20" xfId="1" quotePrefix="1" applyFont="1" applyFill="1" applyBorder="1" applyAlignment="1">
      <alignment horizontal="center" vertical="center"/>
    </xf>
    <xf numFmtId="0" fontId="1" fillId="0" borderId="18" xfId="1" quotePrefix="1" applyFont="1" applyBorder="1" applyAlignment="1">
      <alignment horizontal="center" vertical="center"/>
    </xf>
    <xf numFmtId="0" fontId="1" fillId="0" borderId="19" xfId="1" quotePrefix="1" applyFont="1" applyBorder="1" applyAlignment="1">
      <alignment horizontal="center" vertical="center"/>
    </xf>
    <xf numFmtId="0" fontId="1" fillId="0" borderId="20" xfId="1" quotePrefix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" fillId="5" borderId="23" xfId="1" quotePrefix="1" applyFont="1" applyFill="1" applyBorder="1" applyAlignment="1">
      <alignment horizontal="center" vertical="center"/>
    </xf>
    <xf numFmtId="0" fontId="1" fillId="5" borderId="24" xfId="1" quotePrefix="1" applyFont="1" applyFill="1" applyBorder="1" applyAlignment="1">
      <alignment horizontal="center" vertical="center"/>
    </xf>
    <xf numFmtId="0" fontId="1" fillId="5" borderId="25" xfId="1" quotePrefix="1" applyFont="1" applyFill="1" applyBorder="1" applyAlignment="1">
      <alignment horizontal="center" vertical="center"/>
    </xf>
    <xf numFmtId="0" fontId="1" fillId="0" borderId="23" xfId="1" quotePrefix="1" applyFont="1" applyBorder="1" applyAlignment="1">
      <alignment horizontal="center" vertical="center"/>
    </xf>
    <xf numFmtId="0" fontId="1" fillId="0" borderId="24" xfId="1" quotePrefix="1" applyFont="1" applyBorder="1" applyAlignment="1">
      <alignment horizontal="center" vertical="center"/>
    </xf>
    <xf numFmtId="0" fontId="1" fillId="0" borderId="25" xfId="1" quotePrefix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/>
    <xf numFmtId="0" fontId="1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5" borderId="11" xfId="1" quotePrefix="1" applyFont="1" applyFill="1" applyBorder="1" applyAlignment="1">
      <alignment horizontal="center" vertical="center"/>
    </xf>
    <xf numFmtId="0" fontId="6" fillId="5" borderId="12" xfId="1" quotePrefix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center" vertical="center"/>
    </xf>
    <xf numFmtId="0" fontId="6" fillId="5" borderId="26" xfId="1" quotePrefix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center" vertical="center"/>
    </xf>
    <xf numFmtId="0" fontId="6" fillId="0" borderId="18" xfId="1" quotePrefix="1" applyFont="1" applyBorder="1" applyAlignment="1">
      <alignment horizontal="center" vertical="center"/>
    </xf>
    <xf numFmtId="0" fontId="6" fillId="0" borderId="19" xfId="1" quotePrefix="1" applyFont="1" applyBorder="1" applyAlignment="1">
      <alignment horizontal="center" vertical="center"/>
    </xf>
    <xf numFmtId="0" fontId="11" fillId="0" borderId="19" xfId="1" quotePrefix="1" applyFont="1" applyBorder="1" applyAlignment="1">
      <alignment horizontal="center" vertical="center"/>
    </xf>
    <xf numFmtId="0" fontId="6" fillId="0" borderId="20" xfId="1" quotePrefix="1" applyFont="1" applyBorder="1" applyAlignment="1">
      <alignment horizontal="center" vertical="center"/>
    </xf>
    <xf numFmtId="0" fontId="6" fillId="5" borderId="18" xfId="1" quotePrefix="1" applyFont="1" applyFill="1" applyBorder="1" applyAlignment="1">
      <alignment horizontal="center" vertical="center"/>
    </xf>
    <xf numFmtId="0" fontId="11" fillId="5" borderId="19" xfId="1" quotePrefix="1" applyFont="1" applyFill="1" applyBorder="1" applyAlignment="1">
      <alignment horizontal="center" vertical="center"/>
    </xf>
    <xf numFmtId="0" fontId="6" fillId="0" borderId="24" xfId="1" quotePrefix="1" applyFont="1" applyBorder="1" applyAlignment="1">
      <alignment horizontal="center" vertical="center"/>
    </xf>
    <xf numFmtId="0" fontId="12" fillId="0" borderId="19" xfId="1" quotePrefix="1" applyFont="1" applyBorder="1" applyAlignment="1">
      <alignment horizontal="center" vertical="center"/>
    </xf>
    <xf numFmtId="0" fontId="3" fillId="0" borderId="21" xfId="1" applyFont="1" applyBorder="1" applyAlignment="1">
      <alignment horizontal="left" vertical="center"/>
    </xf>
    <xf numFmtId="0" fontId="3" fillId="0" borderId="22" xfId="1" applyFont="1" applyBorder="1" applyAlignment="1">
      <alignment horizontal="left" vertical="center"/>
    </xf>
    <xf numFmtId="0" fontId="6" fillId="5" borderId="23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center"/>
    </xf>
    <xf numFmtId="0" fontId="6" fillId="5" borderId="25" xfId="1" quotePrefix="1" applyFont="1" applyFill="1" applyBorder="1" applyAlignment="1">
      <alignment horizontal="center" vertical="center"/>
    </xf>
    <xf numFmtId="0" fontId="6" fillId="0" borderId="23" xfId="1" quotePrefix="1" applyFont="1" applyBorder="1" applyAlignment="1">
      <alignment horizontal="center" vertical="center"/>
    </xf>
    <xf numFmtId="0" fontId="6" fillId="0" borderId="25" xfId="1" quotePrefix="1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4" fillId="0" borderId="0" xfId="1"/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7" borderId="30" xfId="1" applyFont="1" applyFill="1" applyBorder="1" applyAlignment="1">
      <alignment horizontal="center" vertical="center"/>
    </xf>
    <xf numFmtId="0" fontId="14" fillId="8" borderId="31" xfId="1" applyFont="1" applyFill="1" applyBorder="1" applyAlignment="1">
      <alignment horizontal="center" vertical="center"/>
    </xf>
    <xf numFmtId="0" fontId="14" fillId="5" borderId="32" xfId="1" applyFont="1" applyFill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5" fillId="9" borderId="23" xfId="1" applyFont="1" applyFill="1" applyBorder="1" applyAlignment="1">
      <alignment horizontal="center" vertical="center" wrapText="1"/>
    </xf>
    <xf numFmtId="0" fontId="16" fillId="0" borderId="24" xfId="1" applyFont="1" applyBorder="1" applyAlignment="1">
      <alignment horizontal="center" vertical="center" wrapText="1"/>
    </xf>
    <xf numFmtId="0" fontId="16" fillId="9" borderId="24" xfId="1" applyFont="1" applyFill="1" applyBorder="1" applyAlignment="1">
      <alignment horizontal="center" vertical="center" wrapText="1"/>
    </xf>
    <xf numFmtId="0" fontId="16" fillId="9" borderId="25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4" fillId="0" borderId="23" xfId="1" applyFont="1" applyBorder="1" applyAlignment="1">
      <alignment horizontal="center" vertical="center"/>
    </xf>
    <xf numFmtId="0" fontId="13" fillId="10" borderId="23" xfId="1" applyFont="1" applyFill="1" applyBorder="1" applyAlignment="1">
      <alignment horizontal="center" vertical="center"/>
    </xf>
    <xf numFmtId="0" fontId="13" fillId="5" borderId="22" xfId="1" applyFont="1" applyFill="1" applyBorder="1" applyAlignment="1">
      <alignment horizontal="center" vertical="center"/>
    </xf>
    <xf numFmtId="0" fontId="17" fillId="0" borderId="23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center" vertical="center" wrapText="1"/>
    </xf>
    <xf numFmtId="0" fontId="14" fillId="7" borderId="34" xfId="1" applyFont="1" applyFill="1" applyBorder="1" applyAlignment="1">
      <alignment horizontal="center" vertical="center"/>
    </xf>
    <xf numFmtId="0" fontId="14" fillId="8" borderId="35" xfId="1" applyFont="1" applyFill="1" applyBorder="1" applyAlignment="1">
      <alignment horizontal="center" vertical="center"/>
    </xf>
    <xf numFmtId="0" fontId="14" fillId="5" borderId="36" xfId="1" applyFont="1" applyFill="1" applyBorder="1" applyAlignment="1">
      <alignment horizontal="center" vertical="center"/>
    </xf>
    <xf numFmtId="0" fontId="18" fillId="0" borderId="37" xfId="1" applyFont="1" applyBorder="1" applyAlignment="1">
      <alignment horizontal="center" vertical="center"/>
    </xf>
    <xf numFmtId="0" fontId="18" fillId="0" borderId="36" xfId="1" applyFont="1" applyBorder="1" applyAlignment="1">
      <alignment horizontal="center" vertical="center"/>
    </xf>
    <xf numFmtId="0" fontId="18" fillId="9" borderId="34" xfId="1" applyFont="1" applyFill="1" applyBorder="1"/>
    <xf numFmtId="0" fontId="18" fillId="0" borderId="38" xfId="1" applyFont="1" applyBorder="1"/>
    <xf numFmtId="0" fontId="18" fillId="9" borderId="38" xfId="1" applyFont="1" applyFill="1" applyBorder="1" applyAlignment="1">
      <alignment horizontal="center"/>
    </xf>
    <xf numFmtId="0" fontId="18" fillId="9" borderId="36" xfId="1" applyFont="1" applyFill="1" applyBorder="1"/>
    <xf numFmtId="0" fontId="18" fillId="0" borderId="0" xfId="1" applyFont="1"/>
    <xf numFmtId="0" fontId="14" fillId="7" borderId="27" xfId="1" applyFont="1" applyFill="1" applyBorder="1" applyAlignment="1">
      <alignment horizontal="center" vertical="center"/>
    </xf>
    <xf numFmtId="0" fontId="14" fillId="8" borderId="39" xfId="1" applyFont="1" applyFill="1" applyBorder="1" applyAlignment="1">
      <alignment horizontal="center" vertical="center"/>
    </xf>
    <xf numFmtId="0" fontId="14" fillId="5" borderId="40" xfId="1" applyFont="1" applyFill="1" applyBorder="1" applyAlignment="1">
      <alignment horizontal="center" vertical="center"/>
    </xf>
    <xf numFmtId="0" fontId="18" fillId="0" borderId="41" xfId="1" applyFont="1" applyBorder="1" applyAlignment="1">
      <alignment horizontal="center" vertical="center"/>
    </xf>
    <xf numFmtId="0" fontId="18" fillId="0" borderId="40" xfId="1" applyFont="1" applyBorder="1" applyAlignment="1">
      <alignment horizontal="center" vertical="center"/>
    </xf>
    <xf numFmtId="0" fontId="19" fillId="10" borderId="34" xfId="1" applyFont="1" applyFill="1" applyBorder="1" applyAlignment="1">
      <alignment horizontal="center" vertical="center"/>
    </xf>
    <xf numFmtId="0" fontId="19" fillId="5" borderId="42" xfId="1" applyFont="1" applyFill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20" fillId="0" borderId="27" xfId="1" applyFont="1" applyBorder="1" applyAlignment="1">
      <alignment horizontal="right"/>
    </xf>
    <xf numFmtId="0" fontId="20" fillId="0" borderId="29" xfId="1" applyFont="1" applyBorder="1" applyAlignment="1">
      <alignment horizontal="right"/>
    </xf>
    <xf numFmtId="0" fontId="18" fillId="0" borderId="27" xfId="1" applyFont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4" fillId="7" borderId="41" xfId="1" applyFont="1" applyFill="1" applyBorder="1" applyAlignment="1">
      <alignment horizontal="center" vertical="center"/>
    </xf>
    <xf numFmtId="0" fontId="14" fillId="8" borderId="43" xfId="1" applyFont="1" applyFill="1" applyBorder="1" applyAlignment="1">
      <alignment horizontal="center" vertical="center"/>
    </xf>
    <xf numFmtId="0" fontId="18" fillId="0" borderId="44" xfId="1" applyFont="1" applyBorder="1" applyAlignment="1">
      <alignment horizontal="center" vertical="center"/>
    </xf>
    <xf numFmtId="0" fontId="18" fillId="9" borderId="41" xfId="1" applyFont="1" applyFill="1" applyBorder="1"/>
    <xf numFmtId="0" fontId="18" fillId="0" borderId="45" xfId="1" applyFont="1" applyBorder="1"/>
    <xf numFmtId="0" fontId="18" fillId="9" borderId="40" xfId="1" applyFont="1" applyFill="1" applyBorder="1"/>
    <xf numFmtId="0" fontId="19" fillId="10" borderId="41" xfId="1" applyFont="1" applyFill="1" applyBorder="1" applyAlignment="1">
      <alignment horizontal="center" vertical="center"/>
    </xf>
    <xf numFmtId="0" fontId="19" fillId="5" borderId="46" xfId="1" applyFont="1" applyFill="1" applyBorder="1" applyAlignment="1">
      <alignment horizontal="center" vertical="center"/>
    </xf>
    <xf numFmtId="0" fontId="20" fillId="0" borderId="41" xfId="1" applyFont="1" applyBorder="1" applyAlignment="1">
      <alignment horizontal="right"/>
    </xf>
    <xf numFmtId="0" fontId="20" fillId="0" borderId="36" xfId="1" applyFont="1" applyBorder="1" applyAlignment="1">
      <alignment horizontal="right"/>
    </xf>
    <xf numFmtId="0" fontId="20" fillId="0" borderId="34" xfId="1" applyFont="1" applyBorder="1" applyAlignment="1">
      <alignment horizontal="right"/>
    </xf>
    <xf numFmtId="0" fontId="21" fillId="0" borderId="36" xfId="1" applyFont="1" applyBorder="1" applyAlignment="1">
      <alignment horizontal="right"/>
    </xf>
    <xf numFmtId="0" fontId="14" fillId="5" borderId="13" xfId="1" applyFont="1" applyFill="1" applyBorder="1" applyAlignment="1">
      <alignment horizontal="center" vertical="center"/>
    </xf>
    <xf numFmtId="0" fontId="18" fillId="9" borderId="45" xfId="1" applyFont="1" applyFill="1" applyBorder="1"/>
    <xf numFmtId="0" fontId="18" fillId="9" borderId="45" xfId="1" applyFont="1" applyFill="1" applyBorder="1" applyAlignment="1">
      <alignment horizontal="center"/>
    </xf>
    <xf numFmtId="0" fontId="18" fillId="0" borderId="11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4" fillId="7" borderId="11" xfId="1" applyFont="1" applyFill="1" applyBorder="1" applyAlignment="1">
      <alignment horizontal="center" vertical="center"/>
    </xf>
    <xf numFmtId="0" fontId="14" fillId="8" borderId="47" xfId="1" applyFont="1" applyFill="1" applyBorder="1" applyAlignment="1">
      <alignment horizontal="center" vertical="center"/>
    </xf>
    <xf numFmtId="0" fontId="18" fillId="9" borderId="11" xfId="1" applyFont="1" applyFill="1" applyBorder="1"/>
    <xf numFmtId="0" fontId="18" fillId="0" borderId="12" xfId="1" applyFont="1" applyBorder="1"/>
    <xf numFmtId="0" fontId="18" fillId="9" borderId="12" xfId="1" applyFont="1" applyFill="1" applyBorder="1" applyAlignment="1">
      <alignment horizontal="center"/>
    </xf>
    <xf numFmtId="0" fontId="18" fillId="9" borderId="13" xfId="1" applyFont="1" applyFill="1" applyBorder="1"/>
    <xf numFmtId="0" fontId="19" fillId="10" borderId="11" xfId="1" applyFont="1" applyFill="1" applyBorder="1" applyAlignment="1">
      <alignment horizontal="center" vertical="center"/>
    </xf>
    <xf numFmtId="0" fontId="19" fillId="5" borderId="48" xfId="1" applyFont="1" applyFill="1" applyBorder="1" applyAlignment="1">
      <alignment horizontal="center" vertical="center"/>
    </xf>
    <xf numFmtId="0" fontId="20" fillId="0" borderId="14" xfId="1" applyFont="1" applyBorder="1" applyAlignment="1">
      <alignment horizontal="right"/>
    </xf>
    <xf numFmtId="0" fontId="21" fillId="0" borderId="16" xfId="1" applyFont="1" applyBorder="1" applyAlignment="1">
      <alignment horizontal="right"/>
    </xf>
    <xf numFmtId="0" fontId="4" fillId="0" borderId="41" xfId="1" applyBorder="1"/>
    <xf numFmtId="0" fontId="4" fillId="0" borderId="40" xfId="1" applyBorder="1"/>
    <xf numFmtId="0" fontId="18" fillId="0" borderId="49" xfId="1" applyFont="1" applyBorder="1" applyAlignment="1">
      <alignment horizontal="center" vertical="center"/>
    </xf>
    <xf numFmtId="0" fontId="18" fillId="9" borderId="12" xfId="1" applyFont="1" applyFill="1" applyBorder="1"/>
    <xf numFmtId="0" fontId="18" fillId="0" borderId="14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9" borderId="30" xfId="1" applyFont="1" applyFill="1" applyBorder="1"/>
    <xf numFmtId="0" fontId="18" fillId="0" borderId="26" xfId="1" applyFont="1" applyBorder="1"/>
    <xf numFmtId="0" fontId="18" fillId="9" borderId="26" xfId="1" applyFont="1" applyFill="1" applyBorder="1" applyAlignment="1">
      <alignment horizontal="center"/>
    </xf>
    <xf numFmtId="0" fontId="18" fillId="9" borderId="32" xfId="1" applyFont="1" applyFill="1" applyBorder="1"/>
    <xf numFmtId="0" fontId="19" fillId="10" borderId="30" xfId="1" applyFont="1" applyFill="1" applyBorder="1" applyAlignment="1">
      <alignment horizontal="center" vertical="center"/>
    </xf>
    <xf numFmtId="0" fontId="19" fillId="5" borderId="50" xfId="1" applyFont="1" applyFill="1" applyBorder="1" applyAlignment="1">
      <alignment horizontal="center" vertical="center"/>
    </xf>
    <xf numFmtId="0" fontId="20" fillId="0" borderId="23" xfId="1" applyFont="1" applyBorder="1" applyAlignment="1">
      <alignment horizontal="right"/>
    </xf>
    <xf numFmtId="0" fontId="21" fillId="0" borderId="25" xfId="1" applyFont="1" applyBorder="1" applyAlignment="1">
      <alignment horizontal="right"/>
    </xf>
    <xf numFmtId="0" fontId="18" fillId="0" borderId="51" xfId="1" applyFont="1" applyBorder="1" applyAlignment="1">
      <alignment horizontal="center" vertical="center"/>
    </xf>
    <xf numFmtId="0" fontId="18" fillId="9" borderId="26" xfId="1" applyFont="1" applyFill="1" applyBorder="1"/>
    <xf numFmtId="0" fontId="20" fillId="0" borderId="32" xfId="1" applyFont="1" applyBorder="1" applyAlignment="1">
      <alignment horizontal="right"/>
    </xf>
    <xf numFmtId="0" fontId="20" fillId="0" borderId="36" xfId="1" applyFont="1" applyBorder="1" applyAlignment="1">
      <alignment horizontal="center"/>
    </xf>
    <xf numFmtId="0" fontId="20" fillId="0" borderId="40" xfId="1" applyFont="1" applyBorder="1" applyAlignment="1">
      <alignment horizontal="right"/>
    </xf>
    <xf numFmtId="0" fontId="20" fillId="0" borderId="16" xfId="1" applyFont="1" applyBorder="1" applyAlignment="1">
      <alignment horizontal="right"/>
    </xf>
    <xf numFmtId="0" fontId="20" fillId="0" borderId="25" xfId="1" applyFont="1" applyBorder="1" applyAlignment="1">
      <alignment horizontal="right"/>
    </xf>
    <xf numFmtId="0" fontId="4" fillId="0" borderId="0" xfId="1" applyAlignment="1">
      <alignment horizontal="center"/>
    </xf>
    <xf numFmtId="0" fontId="4" fillId="0" borderId="0" xfId="1" applyAlignment="1">
      <alignment horizontal="center" vertical="center"/>
    </xf>
    <xf numFmtId="0" fontId="4" fillId="0" borderId="22" xfId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52" xfId="1" applyBorder="1" applyAlignment="1">
      <alignment horizontal="center"/>
    </xf>
    <xf numFmtId="0" fontId="4" fillId="0" borderId="52" xfId="1" applyBorder="1"/>
    <xf numFmtId="0" fontId="4" fillId="0" borderId="52" xfId="1" applyBorder="1" applyAlignment="1">
      <alignment horizontal="center" vertical="center"/>
    </xf>
    <xf numFmtId="164" fontId="4" fillId="0" borderId="52" xfId="1" applyNumberFormat="1" applyBorder="1" applyAlignment="1">
      <alignment horizontal="center" vertical="center"/>
    </xf>
    <xf numFmtId="0" fontId="4" fillId="0" borderId="53" xfId="1" applyBorder="1" applyAlignment="1">
      <alignment horizontal="center"/>
    </xf>
    <xf numFmtId="0" fontId="4" fillId="0" borderId="53" xfId="1" applyBorder="1" applyAlignment="1">
      <alignment horizontal="left"/>
    </xf>
    <xf numFmtId="0" fontId="4" fillId="11" borderId="53" xfId="1" applyFill="1" applyBorder="1" applyAlignment="1">
      <alignment horizontal="left"/>
    </xf>
    <xf numFmtId="0" fontId="4" fillId="11" borderId="53" xfId="1" applyFill="1" applyBorder="1" applyAlignment="1">
      <alignment horizontal="center"/>
    </xf>
    <xf numFmtId="20" fontId="4" fillId="11" borderId="53" xfId="1" applyNumberFormat="1" applyFill="1" applyBorder="1" applyAlignment="1">
      <alignment horizontal="center" vertical="center"/>
    </xf>
    <xf numFmtId="1" fontId="4" fillId="11" borderId="53" xfId="1" applyNumberFormat="1" applyFill="1" applyBorder="1" applyAlignment="1">
      <alignment horizontal="center" vertical="center"/>
    </xf>
    <xf numFmtId="0" fontId="4" fillId="11" borderId="53" xfId="1" applyFill="1" applyBorder="1" applyAlignment="1">
      <alignment horizontal="center" vertical="center"/>
    </xf>
    <xf numFmtId="0" fontId="4" fillId="0" borderId="53" xfId="1" applyBorder="1" applyAlignment="1">
      <alignment horizontal="center" vertical="center"/>
    </xf>
    <xf numFmtId="0" fontId="4" fillId="0" borderId="54" xfId="1" applyBorder="1" applyAlignment="1">
      <alignment horizontal="center"/>
    </xf>
    <xf numFmtId="0" fontId="4" fillId="0" borderId="54" xfId="1" applyBorder="1" applyAlignment="1">
      <alignment horizontal="left"/>
    </xf>
    <xf numFmtId="0" fontId="4" fillId="12" borderId="54" xfId="1" applyFill="1" applyBorder="1" applyAlignment="1">
      <alignment horizontal="left"/>
    </xf>
    <xf numFmtId="0" fontId="4" fillId="12" borderId="54" xfId="1" applyFill="1" applyBorder="1" applyAlignment="1">
      <alignment horizontal="center"/>
    </xf>
    <xf numFmtId="20" fontId="4" fillId="12" borderId="54" xfId="1" applyNumberFormat="1" applyFill="1" applyBorder="1" applyAlignment="1">
      <alignment horizontal="center" vertical="center"/>
    </xf>
    <xf numFmtId="1" fontId="4" fillId="12" borderId="53" xfId="1" applyNumberFormat="1" applyFill="1" applyBorder="1" applyAlignment="1">
      <alignment horizontal="center" vertical="center"/>
    </xf>
    <xf numFmtId="0" fontId="4" fillId="12" borderId="54" xfId="1" applyFill="1" applyBorder="1" applyAlignment="1">
      <alignment horizontal="center" vertical="center"/>
    </xf>
    <xf numFmtId="0" fontId="4" fillId="0" borderId="54" xfId="1" applyBorder="1" applyAlignment="1">
      <alignment horizontal="center" vertical="center"/>
    </xf>
    <xf numFmtId="0" fontId="4" fillId="0" borderId="55" xfId="1" applyBorder="1" applyAlignment="1">
      <alignment horizontal="center"/>
    </xf>
    <xf numFmtId="0" fontId="4" fillId="0" borderId="55" xfId="1" applyBorder="1" applyAlignment="1">
      <alignment horizontal="left"/>
    </xf>
    <xf numFmtId="20" fontId="4" fillId="0" borderId="55" xfId="1" applyNumberFormat="1" applyBorder="1" applyAlignment="1">
      <alignment horizontal="center" vertical="center"/>
    </xf>
    <xf numFmtId="0" fontId="4" fillId="0" borderId="55" xfId="1" applyBorder="1" applyAlignment="1">
      <alignment horizontal="center" vertical="center"/>
    </xf>
    <xf numFmtId="0" fontId="4" fillId="11" borderId="52" xfId="1" applyFill="1" applyBorder="1"/>
    <xf numFmtId="0" fontId="4" fillId="11" borderId="52" xfId="1" applyFill="1" applyBorder="1" applyAlignment="1">
      <alignment horizontal="center"/>
    </xf>
    <xf numFmtId="20" fontId="4" fillId="11" borderId="56" xfId="1" applyNumberFormat="1" applyFill="1" applyBorder="1" applyAlignment="1">
      <alignment horizontal="center" vertical="center"/>
    </xf>
    <xf numFmtId="1" fontId="4" fillId="11" borderId="56" xfId="1" applyNumberFormat="1" applyFill="1" applyBorder="1" applyAlignment="1">
      <alignment horizontal="center" vertical="center"/>
    </xf>
    <xf numFmtId="0" fontId="4" fillId="11" borderId="56" xfId="1" applyFill="1" applyBorder="1" applyAlignment="1">
      <alignment horizontal="center" vertical="center"/>
    </xf>
    <xf numFmtId="0" fontId="4" fillId="0" borderId="56" xfId="1" applyBorder="1" applyAlignment="1">
      <alignment horizontal="center" vertical="center"/>
    </xf>
    <xf numFmtId="0" fontId="4" fillId="0" borderId="56" xfId="1" applyBorder="1" applyAlignment="1">
      <alignment horizontal="center"/>
    </xf>
    <xf numFmtId="0" fontId="4" fillId="0" borderId="56" xfId="1" applyBorder="1"/>
    <xf numFmtId="0" fontId="4" fillId="11" borderId="56" xfId="1" applyFill="1" applyBorder="1"/>
    <xf numFmtId="0" fontId="4" fillId="11" borderId="56" xfId="1" applyFill="1" applyBorder="1" applyAlignment="1">
      <alignment horizontal="center"/>
    </xf>
    <xf numFmtId="20" fontId="4" fillId="0" borderId="56" xfId="1" applyNumberFormat="1" applyBorder="1" applyAlignment="1">
      <alignment horizontal="center" vertical="center"/>
    </xf>
    <xf numFmtId="1" fontId="4" fillId="0" borderId="56" xfId="1" applyNumberFormat="1" applyBorder="1" applyAlignment="1">
      <alignment horizontal="center" vertical="center"/>
    </xf>
    <xf numFmtId="0" fontId="4" fillId="0" borderId="53" xfId="1" applyBorder="1"/>
    <xf numFmtId="0" fontId="4" fillId="13" borderId="53" xfId="1" applyFill="1" applyBorder="1"/>
    <xf numFmtId="0" fontId="4" fillId="13" borderId="53" xfId="1" applyFill="1" applyBorder="1" applyAlignment="1">
      <alignment horizontal="center"/>
    </xf>
    <xf numFmtId="20" fontId="4" fillId="13" borderId="53" xfId="1" applyNumberFormat="1" applyFill="1" applyBorder="1" applyAlignment="1">
      <alignment horizontal="center" vertical="center"/>
    </xf>
    <xf numFmtId="1" fontId="4" fillId="13" borderId="53" xfId="1" applyNumberFormat="1" applyFill="1" applyBorder="1" applyAlignment="1">
      <alignment horizontal="center" vertical="center"/>
    </xf>
    <xf numFmtId="0" fontId="4" fillId="13" borderId="53" xfId="1" applyFill="1" applyBorder="1" applyAlignment="1">
      <alignment horizontal="center" vertical="center"/>
    </xf>
    <xf numFmtId="0" fontId="4" fillId="12" borderId="53" xfId="1" applyFill="1" applyBorder="1"/>
    <xf numFmtId="0" fontId="4" fillId="12" borderId="53" xfId="1" applyFill="1" applyBorder="1" applyAlignment="1">
      <alignment horizontal="center"/>
    </xf>
    <xf numFmtId="20" fontId="4" fillId="12" borderId="53" xfId="1" applyNumberFormat="1" applyFill="1" applyBorder="1" applyAlignment="1">
      <alignment horizontal="center" vertical="center"/>
    </xf>
    <xf numFmtId="0" fontId="4" fillId="12" borderId="53" xfId="1" applyFill="1" applyBorder="1" applyAlignment="1">
      <alignment horizontal="center" vertical="center"/>
    </xf>
    <xf numFmtId="0" fontId="4" fillId="0" borderId="54" xfId="1" applyBorder="1"/>
    <xf numFmtId="0" fontId="4" fillId="12" borderId="54" xfId="1" applyFill="1" applyBorder="1"/>
    <xf numFmtId="1" fontId="4" fillId="12" borderId="54" xfId="1" applyNumberFormat="1" applyFill="1" applyBorder="1" applyAlignment="1">
      <alignment horizontal="center" vertical="center"/>
    </xf>
    <xf numFmtId="0" fontId="4" fillId="0" borderId="55" xfId="1" applyBorder="1"/>
    <xf numFmtId="1" fontId="4" fillId="0" borderId="55" xfId="1" applyNumberFormat="1" applyBorder="1" applyAlignment="1">
      <alignment horizontal="center" vertical="center"/>
    </xf>
    <xf numFmtId="20" fontId="4" fillId="11" borderId="52" xfId="1" applyNumberFormat="1" applyFill="1" applyBorder="1" applyAlignment="1">
      <alignment horizontal="center" vertical="center"/>
    </xf>
    <xf numFmtId="1" fontId="4" fillId="11" borderId="52" xfId="1" applyNumberFormat="1" applyFill="1" applyBorder="1" applyAlignment="1">
      <alignment horizontal="center" vertical="center"/>
    </xf>
    <xf numFmtId="0" fontId="4" fillId="11" borderId="52" xfId="1" applyFill="1" applyBorder="1" applyAlignment="1">
      <alignment horizontal="center" vertical="center"/>
    </xf>
    <xf numFmtId="0" fontId="4" fillId="0" borderId="5" xfId="1" applyBorder="1" applyAlignment="1">
      <alignment horizontal="center"/>
    </xf>
    <xf numFmtId="0" fontId="4" fillId="0" borderId="5" xfId="1" applyBorder="1"/>
    <xf numFmtId="0" fontId="4" fillId="11" borderId="5" xfId="1" applyFill="1" applyBorder="1"/>
    <xf numFmtId="0" fontId="4" fillId="11" borderId="5" xfId="1" applyFill="1" applyBorder="1" applyAlignment="1">
      <alignment horizontal="center"/>
    </xf>
    <xf numFmtId="0" fontId="4" fillId="0" borderId="5" xfId="1" applyBorder="1" applyAlignment="1">
      <alignment horizontal="center" vertical="center"/>
    </xf>
    <xf numFmtId="0" fontId="23" fillId="0" borderId="56" xfId="1" applyFont="1" applyBorder="1" applyAlignment="1">
      <alignment horizontal="right"/>
    </xf>
    <xf numFmtId="0" fontId="24" fillId="12" borderId="56" xfId="1" applyFont="1" applyFill="1" applyBorder="1"/>
    <xf numFmtId="0" fontId="24" fillId="12" borderId="56" xfId="1" applyFont="1" applyFill="1" applyBorder="1" applyAlignment="1">
      <alignment horizontal="center"/>
    </xf>
    <xf numFmtId="20" fontId="24" fillId="12" borderId="56" xfId="1" applyNumberFormat="1" applyFont="1" applyFill="1" applyBorder="1" applyAlignment="1">
      <alignment horizontal="center" vertical="center"/>
    </xf>
    <xf numFmtId="1" fontId="24" fillId="12" borderId="56" xfId="1" applyNumberFormat="1" applyFont="1" applyFill="1" applyBorder="1" applyAlignment="1">
      <alignment horizontal="center" vertical="center"/>
    </xf>
    <xf numFmtId="0" fontId="24" fillId="12" borderId="56" xfId="1" applyFont="1" applyFill="1" applyBorder="1" applyAlignment="1">
      <alignment horizontal="center" vertical="center"/>
    </xf>
    <xf numFmtId="0" fontId="4" fillId="12" borderId="56" xfId="1" applyFill="1" applyBorder="1" applyAlignment="1">
      <alignment horizontal="center" vertical="center"/>
    </xf>
    <xf numFmtId="0" fontId="4" fillId="13" borderId="56" xfId="1" applyFill="1" applyBorder="1"/>
    <xf numFmtId="0" fontId="4" fillId="13" borderId="56" xfId="1" applyFill="1" applyBorder="1" applyAlignment="1">
      <alignment horizontal="center"/>
    </xf>
    <xf numFmtId="20" fontId="4" fillId="13" borderId="56" xfId="1" applyNumberFormat="1" applyFill="1" applyBorder="1" applyAlignment="1">
      <alignment horizontal="center" vertical="center"/>
    </xf>
    <xf numFmtId="1" fontId="4" fillId="13" borderId="56" xfId="1" applyNumberFormat="1" applyFill="1" applyBorder="1" applyAlignment="1">
      <alignment horizontal="center" vertical="center"/>
    </xf>
    <xf numFmtId="0" fontId="4" fillId="13" borderId="56" xfId="1" applyFill="1" applyBorder="1" applyAlignment="1">
      <alignment horizontal="center" vertical="center"/>
    </xf>
    <xf numFmtId="0" fontId="24" fillId="12" borderId="55" xfId="1" applyFont="1" applyFill="1" applyBorder="1"/>
    <xf numFmtId="0" fontId="24" fillId="12" borderId="55" xfId="1" applyFont="1" applyFill="1" applyBorder="1" applyAlignment="1">
      <alignment horizontal="center"/>
    </xf>
    <xf numFmtId="20" fontId="24" fillId="12" borderId="55" xfId="1" applyNumberFormat="1" applyFont="1" applyFill="1" applyBorder="1" applyAlignment="1">
      <alignment horizontal="center" vertical="center"/>
    </xf>
    <xf numFmtId="1" fontId="24" fillId="12" borderId="55" xfId="1" applyNumberFormat="1" applyFont="1" applyFill="1" applyBorder="1" applyAlignment="1">
      <alignment horizontal="center" vertical="center"/>
    </xf>
    <xf numFmtId="0" fontId="24" fillId="12" borderId="55" xfId="1" applyFont="1" applyFill="1" applyBorder="1" applyAlignment="1">
      <alignment horizontal="center" vertical="center"/>
    </xf>
    <xf numFmtId="0" fontId="24" fillId="0" borderId="55" xfId="1" applyFont="1" applyBorder="1" applyAlignment="1">
      <alignment horizontal="center" vertical="center"/>
    </xf>
    <xf numFmtId="0" fontId="4" fillId="0" borderId="21" xfId="1" applyBorder="1" applyAlignment="1">
      <alignment horizontal="center"/>
    </xf>
    <xf numFmtId="0" fontId="4" fillId="0" borderId="21" xfId="1" applyBorder="1"/>
    <xf numFmtId="20" fontId="4" fillId="0" borderId="21" xfId="1" applyNumberFormat="1" applyBorder="1" applyAlignment="1">
      <alignment horizontal="center" vertical="center"/>
    </xf>
    <xf numFmtId="1" fontId="4" fillId="0" borderId="21" xfId="1" applyNumberFormat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11" borderId="53" xfId="1" applyFill="1" applyBorder="1"/>
    <xf numFmtId="20" fontId="4" fillId="0" borderId="53" xfId="1" applyNumberFormat="1" applyBorder="1" applyAlignment="1">
      <alignment horizontal="center" vertical="center"/>
    </xf>
    <xf numFmtId="0" fontId="25" fillId="11" borderId="54" xfId="1" applyFont="1" applyFill="1" applyBorder="1"/>
    <xf numFmtId="0" fontId="4" fillId="11" borderId="54" xfId="1" applyFill="1" applyBorder="1" applyAlignment="1">
      <alignment horizontal="center"/>
    </xf>
    <xf numFmtId="20" fontId="4" fillId="11" borderId="54" xfId="1" applyNumberFormat="1" applyFill="1" applyBorder="1" applyAlignment="1">
      <alignment horizontal="center" vertical="center"/>
    </xf>
    <xf numFmtId="0" fontId="4" fillId="11" borderId="54" xfId="1" applyFill="1" applyBorder="1" applyAlignment="1">
      <alignment horizontal="center" vertical="center"/>
    </xf>
    <xf numFmtId="0" fontId="4" fillId="11" borderId="54" xfId="1" applyFill="1" applyBorder="1"/>
    <xf numFmtId="20" fontId="4" fillId="11" borderId="1" xfId="1" applyNumberFormat="1" applyFill="1" applyBorder="1" applyAlignment="1">
      <alignment horizontal="center" vertical="center"/>
    </xf>
    <xf numFmtId="1" fontId="4" fillId="11" borderId="1" xfId="1" applyNumberFormat="1" applyFill="1" applyBorder="1" applyAlignment="1">
      <alignment horizontal="center" vertical="center"/>
    </xf>
    <xf numFmtId="0" fontId="25" fillId="12" borderId="56" xfId="1" applyFont="1" applyFill="1" applyBorder="1"/>
    <xf numFmtId="0" fontId="4" fillId="12" borderId="56" xfId="1" applyFill="1" applyBorder="1" applyAlignment="1">
      <alignment horizontal="center"/>
    </xf>
    <xf numFmtId="20" fontId="4" fillId="12" borderId="56" xfId="1" applyNumberFormat="1" applyFill="1" applyBorder="1" applyAlignment="1">
      <alignment horizontal="center" vertical="center"/>
    </xf>
    <xf numFmtId="1" fontId="4" fillId="12" borderId="56" xfId="1" applyNumberFormat="1" applyFill="1" applyBorder="1" applyAlignment="1">
      <alignment horizontal="center" vertical="center"/>
    </xf>
    <xf numFmtId="0" fontId="4" fillId="12" borderId="56" xfId="1" applyFill="1" applyBorder="1"/>
    <xf numFmtId="0" fontId="4" fillId="11" borderId="1" xfId="1" applyFill="1" applyBorder="1" applyAlignment="1">
      <alignment horizontal="center" vertical="center"/>
    </xf>
    <xf numFmtId="0" fontId="4" fillId="12" borderId="55" xfId="1" applyFill="1" applyBorder="1"/>
    <xf numFmtId="0" fontId="4" fillId="12" borderId="55" xfId="1" applyFill="1" applyBorder="1" applyAlignment="1">
      <alignment horizontal="center"/>
    </xf>
    <xf numFmtId="20" fontId="4" fillId="12" borderId="55" xfId="1" applyNumberFormat="1" applyFill="1" applyBorder="1" applyAlignment="1">
      <alignment horizontal="center" vertical="center"/>
    </xf>
    <xf numFmtId="1" fontId="4" fillId="12" borderId="55" xfId="1" applyNumberFormat="1" applyFill="1" applyBorder="1" applyAlignment="1">
      <alignment horizontal="center" vertical="center"/>
    </xf>
    <xf numFmtId="0" fontId="4" fillId="12" borderId="55" xfId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41" xfId="0" applyBorder="1"/>
    <xf numFmtId="0" fontId="0" fillId="0" borderId="45" xfId="0" applyBorder="1" applyAlignment="1">
      <alignment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0" fontId="26" fillId="0" borderId="0" xfId="0" applyFont="1"/>
    <xf numFmtId="14" fontId="0" fillId="0" borderId="45" xfId="0" applyNumberFormat="1" applyBorder="1" applyAlignment="1">
      <alignment horizontal="center" vertical="center" wrapText="1"/>
    </xf>
    <xf numFmtId="0" fontId="0" fillId="14" borderId="41" xfId="0" applyFill="1" applyBorder="1"/>
    <xf numFmtId="0" fontId="0" fillId="14" borderId="45" xfId="0" applyFill="1" applyBorder="1" applyAlignment="1">
      <alignment vertical="center" wrapText="1"/>
    </xf>
    <xf numFmtId="0" fontId="0" fillId="14" borderId="45" xfId="0" applyFill="1" applyBorder="1" applyAlignment="1">
      <alignment horizontal="center" vertical="center" wrapText="1"/>
    </xf>
    <xf numFmtId="0" fontId="0" fillId="14" borderId="40" xfId="0" applyFill="1" applyBorder="1" applyAlignment="1">
      <alignment vertical="center" wrapText="1"/>
    </xf>
    <xf numFmtId="1" fontId="0" fillId="0" borderId="45" xfId="0" applyNumberFormat="1" applyBorder="1" applyAlignment="1">
      <alignment horizontal="center" vertical="center" wrapText="1"/>
    </xf>
    <xf numFmtId="165" fontId="0" fillId="0" borderId="45" xfId="0" applyNumberFormat="1" applyBorder="1" applyAlignment="1">
      <alignment vertical="center"/>
    </xf>
    <xf numFmtId="0" fontId="0" fillId="0" borderId="45" xfId="0" applyBorder="1" applyAlignment="1">
      <alignment horizontal="left" vertical="center" wrapText="1"/>
    </xf>
    <xf numFmtId="0" fontId="0" fillId="0" borderId="45" xfId="0" applyBorder="1" applyAlignment="1">
      <alignment vertical="center"/>
    </xf>
    <xf numFmtId="2" fontId="0" fillId="0" borderId="45" xfId="0" applyNumberFormat="1" applyBorder="1" applyAlignment="1">
      <alignment horizontal="center" vertical="center" wrapText="1"/>
    </xf>
    <xf numFmtId="0" fontId="7" fillId="0" borderId="0" xfId="0" applyFont="1"/>
    <xf numFmtId="0" fontId="0" fillId="0" borderId="45" xfId="0" quotePrefix="1" applyBorder="1" applyAlignment="1">
      <alignment horizontal="center" vertical="center" wrapText="1"/>
    </xf>
    <xf numFmtId="0" fontId="0" fillId="0" borderId="30" xfId="0" applyBorder="1"/>
    <xf numFmtId="0" fontId="0" fillId="0" borderId="26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166" fontId="0" fillId="0" borderId="45" xfId="0" applyNumberFormat="1" applyBorder="1" applyAlignment="1">
      <alignment horizontal="center" vertical="center" wrapText="1"/>
    </xf>
    <xf numFmtId="166" fontId="0" fillId="0" borderId="45" xfId="0" quotePrefix="1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2" fontId="0" fillId="0" borderId="45" xfId="0" quotePrefix="1" applyNumberFormat="1" applyBorder="1" applyAlignment="1">
      <alignment horizontal="center" vertical="center" wrapText="1"/>
    </xf>
    <xf numFmtId="0" fontId="5" fillId="2" borderId="0" xfId="1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0" fontId="0" fillId="14" borderId="45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0" xfId="0" applyBorder="1"/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62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7" xfId="0" applyBorder="1"/>
    <xf numFmtId="0" fontId="0" fillId="0" borderId="45" xfId="0" applyBorder="1"/>
    <xf numFmtId="0" fontId="0" fillId="0" borderId="26" xfId="0" applyBorder="1"/>
    <xf numFmtId="0" fontId="0" fillId="0" borderId="32" xfId="0" applyBorder="1"/>
    <xf numFmtId="0" fontId="9" fillId="0" borderId="0" xfId="0" applyFont="1" applyAlignment="1">
      <alignment vertical="top" wrapText="1"/>
    </xf>
    <xf numFmtId="3" fontId="0" fillId="0" borderId="45" xfId="0" applyNumberFormat="1" applyBorder="1"/>
    <xf numFmtId="0" fontId="5" fillId="0" borderId="0" xfId="0" applyFont="1"/>
    <xf numFmtId="0" fontId="3" fillId="0" borderId="0" xfId="0" applyFont="1"/>
    <xf numFmtId="0" fontId="27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28" xfId="0" applyBorder="1"/>
    <xf numFmtId="0" fontId="0" fillId="0" borderId="39" xfId="0" applyBorder="1"/>
    <xf numFmtId="0" fontId="0" fillId="0" borderId="29" xfId="0" applyBorder="1"/>
    <xf numFmtId="0" fontId="0" fillId="0" borderId="43" xfId="0" applyBorder="1"/>
    <xf numFmtId="0" fontId="0" fillId="0" borderId="34" xfId="0" applyBorder="1"/>
    <xf numFmtId="0" fontId="0" fillId="0" borderId="38" xfId="0" applyBorder="1"/>
    <xf numFmtId="0" fontId="0" fillId="0" borderId="35" xfId="0" applyBorder="1"/>
    <xf numFmtId="2" fontId="0" fillId="0" borderId="35" xfId="0" applyNumberFormat="1" applyBorder="1"/>
    <xf numFmtId="0" fontId="0" fillId="0" borderId="36" xfId="0" applyBorder="1"/>
    <xf numFmtId="2" fontId="0" fillId="0" borderId="43" xfId="0" applyNumberFormat="1" applyBorder="1"/>
    <xf numFmtId="0" fontId="0" fillId="0" borderId="43" xfId="0" applyBorder="1" applyAlignment="1">
      <alignment wrapText="1"/>
    </xf>
    <xf numFmtId="0" fontId="0" fillId="0" borderId="0" xfId="0" applyAlignment="1">
      <alignment horizontal="left" vertical="top" wrapText="1"/>
    </xf>
    <xf numFmtId="0" fontId="9" fillId="0" borderId="47" xfId="0" applyFont="1" applyBorder="1" applyAlignment="1">
      <alignment wrapText="1"/>
    </xf>
    <xf numFmtId="0" fontId="0" fillId="0" borderId="47" xfId="0" applyBorder="1"/>
    <xf numFmtId="0" fontId="0" fillId="0" borderId="0" xfId="0" applyAlignment="1">
      <alignment horizontal="left" wrapText="1"/>
    </xf>
    <xf numFmtId="0" fontId="0" fillId="0" borderId="58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0" fillId="0" borderId="43" xfId="0" quotePrefix="1" applyBorder="1"/>
    <xf numFmtId="0" fontId="0" fillId="0" borderId="31" xfId="0" applyBorder="1"/>
    <xf numFmtId="0" fontId="0" fillId="0" borderId="0" xfId="0" applyAlignment="1">
      <alignment vertical="top"/>
    </xf>
    <xf numFmtId="0" fontId="29" fillId="2" borderId="0" xfId="0" applyFont="1" applyFill="1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1" fontId="0" fillId="0" borderId="43" xfId="0" applyNumberFormat="1" applyBorder="1"/>
    <xf numFmtId="0" fontId="0" fillId="0" borderId="15" xfId="0" applyBorder="1"/>
    <xf numFmtId="0" fontId="0" fillId="0" borderId="71" xfId="0" applyBorder="1"/>
    <xf numFmtId="1" fontId="0" fillId="0" borderId="71" xfId="0" applyNumberFormat="1" applyBorder="1"/>
    <xf numFmtId="0" fontId="0" fillId="0" borderId="16" xfId="0" applyBorder="1"/>
    <xf numFmtId="1" fontId="0" fillId="0" borderId="35" xfId="0" applyNumberFormat="1" applyBorder="1"/>
    <xf numFmtId="1" fontId="0" fillId="0" borderId="47" xfId="0" applyNumberFormat="1" applyBorder="1"/>
    <xf numFmtId="0" fontId="2" fillId="0" borderId="38" xfId="0" applyFont="1" applyBorder="1"/>
    <xf numFmtId="0" fontId="0" fillId="2" borderId="45" xfId="0" applyFill="1" applyBorder="1"/>
    <xf numFmtId="0" fontId="0" fillId="2" borderId="43" xfId="0" applyFill="1" applyBorder="1"/>
    <xf numFmtId="0" fontId="0" fillId="2" borderId="47" xfId="0" applyFill="1" applyBorder="1"/>
    <xf numFmtId="0" fontId="0" fillId="2" borderId="40" xfId="0" applyFill="1" applyBorder="1"/>
    <xf numFmtId="2" fontId="0" fillId="0" borderId="36" xfId="0" applyNumberFormat="1" applyBorder="1"/>
    <xf numFmtId="167" fontId="0" fillId="0" borderId="40" xfId="0" applyNumberFormat="1" applyBorder="1"/>
    <xf numFmtId="2" fontId="0" fillId="0" borderId="71" xfId="0" applyNumberFormat="1" applyBorder="1"/>
    <xf numFmtId="0" fontId="0" fillId="16" borderId="30" xfId="0" applyFill="1" applyBorder="1"/>
    <xf numFmtId="0" fontId="0" fillId="16" borderId="26" xfId="0" applyFill="1" applyBorder="1"/>
    <xf numFmtId="0" fontId="0" fillId="16" borderId="31" xfId="0" applyFill="1" applyBorder="1"/>
    <xf numFmtId="0" fontId="0" fillId="16" borderId="32" xfId="0" applyFill="1" applyBorder="1"/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1" fillId="3" borderId="6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4" borderId="6" xfId="1" applyFont="1" applyFill="1" applyBorder="1" applyAlignment="1">
      <alignment horizontal="center" vertical="center"/>
    </xf>
    <xf numFmtId="0" fontId="1" fillId="4" borderId="7" xfId="1" applyFont="1" applyFill="1" applyBorder="1" applyAlignment="1">
      <alignment horizontal="center" vertical="center"/>
    </xf>
    <xf numFmtId="0" fontId="1" fillId="4" borderId="2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/>
    </xf>
    <xf numFmtId="0" fontId="1" fillId="4" borderId="4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13" fillId="6" borderId="2" xfId="1" applyFont="1" applyFill="1" applyBorder="1" applyAlignment="1">
      <alignment horizontal="center" vertical="center"/>
    </xf>
    <xf numFmtId="0" fontId="13" fillId="6" borderId="3" xfId="1" applyFont="1" applyFill="1" applyBorder="1" applyAlignment="1">
      <alignment horizontal="center" vertical="center"/>
    </xf>
    <xf numFmtId="0" fontId="13" fillId="6" borderId="4" xfId="1" applyFont="1" applyFill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17" xfId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9" xfId="0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11" borderId="60" xfId="0" applyFill="1" applyBorder="1" applyAlignment="1">
      <alignment horizontal="left"/>
    </xf>
    <xf numFmtId="0" fontId="0" fillId="11" borderId="50" xfId="0" applyFill="1" applyBorder="1" applyAlignment="1">
      <alignment horizontal="left"/>
    </xf>
    <xf numFmtId="0" fontId="0" fillId="11" borderId="31" xfId="0" applyFill="1" applyBorder="1" applyAlignment="1">
      <alignment horizontal="center"/>
    </xf>
    <xf numFmtId="0" fontId="0" fillId="11" borderId="50" xfId="0" applyFill="1" applyBorder="1" applyAlignment="1">
      <alignment horizontal="center"/>
    </xf>
    <xf numFmtId="0" fontId="0" fillId="11" borderId="61" xfId="0" applyFill="1" applyBorder="1" applyAlignment="1">
      <alignment horizontal="center"/>
    </xf>
    <xf numFmtId="0" fontId="0" fillId="10" borderId="34" xfId="0" applyFill="1" applyBorder="1" applyAlignment="1">
      <alignment horizontal="left"/>
    </xf>
    <xf numFmtId="0" fontId="0" fillId="10" borderId="38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0" fontId="26" fillId="0" borderId="0" xfId="0" applyFont="1" applyAlignment="1">
      <alignment horizontal="left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9" xfId="0" applyBorder="1" applyAlignment="1">
      <alignment horizontal="center"/>
    </xf>
    <xf numFmtId="0" fontId="0" fillId="11" borderId="51" xfId="0" applyFill="1" applyBorder="1" applyAlignment="1">
      <alignment horizontal="left"/>
    </xf>
    <xf numFmtId="0" fontId="0" fillId="10" borderId="64" xfId="0" applyFill="1" applyBorder="1" applyAlignment="1">
      <alignment horizontal="left"/>
    </xf>
    <xf numFmtId="0" fontId="0" fillId="10" borderId="42" xfId="0" applyFill="1" applyBorder="1" applyAlignment="1">
      <alignment horizontal="left"/>
    </xf>
    <xf numFmtId="0" fontId="0" fillId="10" borderId="65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0" fontId="0" fillId="10" borderId="9" xfId="0" applyFill="1" applyBorder="1" applyAlignment="1">
      <alignment horizontal="left"/>
    </xf>
    <xf numFmtId="0" fontId="0" fillId="10" borderId="10" xfId="0" applyFill="1" applyBorder="1" applyAlignment="1">
      <alignment horizontal="left"/>
    </xf>
    <xf numFmtId="0" fontId="0" fillId="15" borderId="39" xfId="0" applyFill="1" applyBorder="1" applyAlignment="1">
      <alignment horizontal="left"/>
    </xf>
    <xf numFmtId="0" fontId="0" fillId="15" borderId="9" xfId="0" applyFill="1" applyBorder="1" applyAlignment="1">
      <alignment horizontal="left"/>
    </xf>
    <xf numFmtId="0" fontId="0" fillId="15" borderId="10" xfId="0" applyFill="1" applyBorder="1" applyAlignment="1">
      <alignment horizontal="left"/>
    </xf>
    <xf numFmtId="0" fontId="0" fillId="11" borderId="18" xfId="0" applyFill="1" applyBorder="1" applyAlignment="1">
      <alignment horizontal="left"/>
    </xf>
    <xf numFmtId="0" fontId="0" fillId="11" borderId="19" xfId="0" applyFill="1" applyBorder="1" applyAlignment="1">
      <alignment horizontal="left"/>
    </xf>
    <xf numFmtId="0" fontId="0" fillId="11" borderId="20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0" fillId="0" borderId="5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6" xfId="0" applyFill="1" applyBorder="1" applyAlignment="1">
      <alignment horizontal="left"/>
    </xf>
    <xf numFmtId="0" fontId="11" fillId="0" borderId="45" xfId="0" applyFont="1" applyBorder="1"/>
    <xf numFmtId="0" fontId="11" fillId="0" borderId="35" xfId="0" applyFont="1" applyBorder="1"/>
    <xf numFmtId="2" fontId="11" fillId="0" borderId="43" xfId="0" applyNumberFormat="1" applyFont="1" applyBorder="1"/>
    <xf numFmtId="0" fontId="11" fillId="0" borderId="43" xfId="0" applyFont="1" applyBorder="1"/>
    <xf numFmtId="0" fontId="11" fillId="0" borderId="40" xfId="0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71" xfId="0" applyFont="1" applyBorder="1"/>
    <xf numFmtId="2" fontId="11" fillId="0" borderId="71" xfId="0" applyNumberFormat="1" applyFont="1" applyBorder="1"/>
    <xf numFmtId="0" fontId="11" fillId="0" borderId="16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  <pageSetUpPr fitToPage="1"/>
  </sheetPr>
  <dimension ref="A2:AS1031"/>
  <sheetViews>
    <sheetView view="pageLayout" topLeftCell="A4" zoomScaleNormal="80" workbookViewId="0">
      <selection activeCell="AL52" sqref="AL52:BB90"/>
    </sheetView>
  </sheetViews>
  <sheetFormatPr defaultColWidth="6.5703125" defaultRowHeight="22.5" customHeight="1" x14ac:dyDescent="0.25"/>
  <cols>
    <col min="1" max="1" width="3.85546875" style="26" bestFit="1" customWidth="1"/>
    <col min="2" max="2" width="7.5703125" style="27" bestFit="1" customWidth="1"/>
    <col min="3" max="9" width="3.5703125" style="28" customWidth="1"/>
    <col min="10" max="30" width="3.5703125" style="27" customWidth="1"/>
    <col min="31" max="31" width="1" style="27" customWidth="1"/>
    <col min="32" max="32" width="3.85546875" style="27" bestFit="1" customWidth="1"/>
    <col min="33" max="33" width="7.5703125" style="27" bestFit="1" customWidth="1"/>
    <col min="34" max="58" width="3.5703125" style="27" customWidth="1"/>
    <col min="59" max="16384" width="6.5703125" style="27"/>
  </cols>
  <sheetData>
    <row r="2" spans="1:45" s="1" customFormat="1" ht="21" x14ac:dyDescent="0.35"/>
    <row r="3" spans="1:45" s="2" customFormat="1" ht="21" x14ac:dyDescent="0.35">
      <c r="B3" s="2" t="s">
        <v>0</v>
      </c>
    </row>
    <row r="4" spans="1:45" s="1" customFormat="1" ht="21" x14ac:dyDescent="0.35"/>
    <row r="5" spans="1:45" s="1" customFormat="1" ht="21.75" thickBot="1" x14ac:dyDescent="0.4"/>
    <row r="6" spans="1:45" s="3" customFormat="1" ht="22.5" customHeight="1" thickBot="1" x14ac:dyDescent="0.3">
      <c r="A6" s="368" t="s">
        <v>1</v>
      </c>
      <c r="B6" s="368" t="s">
        <v>2</v>
      </c>
      <c r="C6" s="370" t="s">
        <v>3</v>
      </c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  <c r="AA6" s="371"/>
      <c r="AB6" s="371"/>
      <c r="AC6" s="371"/>
      <c r="AD6" s="372"/>
      <c r="AF6" s="368" t="s">
        <v>1</v>
      </c>
      <c r="AG6" s="368" t="s">
        <v>2</v>
      </c>
      <c r="AH6" s="370" t="s">
        <v>4</v>
      </c>
      <c r="AI6" s="371"/>
      <c r="AJ6" s="371"/>
      <c r="AK6" s="371"/>
      <c r="AL6" s="371"/>
      <c r="AM6" s="371"/>
      <c r="AN6" s="371"/>
      <c r="AO6" s="371"/>
      <c r="AP6" s="371"/>
      <c r="AQ6" s="371"/>
      <c r="AR6" s="371"/>
      <c r="AS6" s="372"/>
    </row>
    <row r="7" spans="1:45" s="3" customFormat="1" ht="22.5" customHeight="1" thickBot="1" x14ac:dyDescent="0.3">
      <c r="A7" s="369"/>
      <c r="B7" s="369"/>
      <c r="C7" s="376" t="s">
        <v>5</v>
      </c>
      <c r="D7" s="377"/>
      <c r="E7" s="377"/>
      <c r="F7" s="377"/>
      <c r="G7" s="377"/>
      <c r="H7" s="377"/>
      <c r="I7" s="377"/>
      <c r="J7" s="376" t="s">
        <v>6</v>
      </c>
      <c r="K7" s="377"/>
      <c r="L7" s="377"/>
      <c r="M7" s="377"/>
      <c r="N7" s="377"/>
      <c r="O7" s="377"/>
      <c r="P7" s="377"/>
      <c r="Q7" s="378" t="s">
        <v>7</v>
      </c>
      <c r="R7" s="379"/>
      <c r="S7" s="379"/>
      <c r="T7" s="379"/>
      <c r="U7" s="379"/>
      <c r="V7" s="379"/>
      <c r="W7" s="379"/>
      <c r="X7" s="380" t="s">
        <v>8</v>
      </c>
      <c r="Y7" s="381"/>
      <c r="Z7" s="381"/>
      <c r="AA7" s="381"/>
      <c r="AB7" s="381"/>
      <c r="AC7" s="381"/>
      <c r="AD7" s="382"/>
      <c r="AF7" s="369"/>
      <c r="AG7" s="369"/>
      <c r="AH7" s="362" t="s">
        <v>9</v>
      </c>
      <c r="AI7" s="363"/>
      <c r="AJ7" s="363"/>
      <c r="AK7" s="363"/>
      <c r="AL7" s="363"/>
      <c r="AM7" s="363"/>
      <c r="AN7" s="363"/>
      <c r="AO7" s="363"/>
      <c r="AP7" s="363"/>
      <c r="AQ7" s="363"/>
      <c r="AR7" s="363"/>
      <c r="AS7" s="364"/>
    </row>
    <row r="8" spans="1:45" s="3" customFormat="1" ht="22.5" customHeight="1" thickBot="1" x14ac:dyDescent="0.3">
      <c r="A8" s="369"/>
      <c r="B8" s="369"/>
      <c r="C8" s="373" t="s">
        <v>10</v>
      </c>
      <c r="D8" s="374"/>
      <c r="E8" s="374"/>
      <c r="F8" s="374"/>
      <c r="G8" s="374"/>
      <c r="H8" s="374"/>
      <c r="I8" s="375"/>
      <c r="J8" s="373" t="s">
        <v>10</v>
      </c>
      <c r="K8" s="374"/>
      <c r="L8" s="374"/>
      <c r="M8" s="374"/>
      <c r="N8" s="374"/>
      <c r="O8" s="374"/>
      <c r="P8" s="375"/>
      <c r="Q8" s="373" t="s">
        <v>10</v>
      </c>
      <c r="R8" s="374"/>
      <c r="S8" s="374"/>
      <c r="T8" s="374"/>
      <c r="U8" s="374"/>
      <c r="V8" s="374"/>
      <c r="W8" s="375"/>
      <c r="X8" s="373" t="s">
        <v>10</v>
      </c>
      <c r="Y8" s="374"/>
      <c r="Z8" s="374"/>
      <c r="AA8" s="374"/>
      <c r="AB8" s="374"/>
      <c r="AC8" s="374"/>
      <c r="AD8" s="375"/>
      <c r="AF8" s="369"/>
      <c r="AG8" s="369"/>
      <c r="AH8" s="365" t="s">
        <v>11</v>
      </c>
      <c r="AI8" s="366"/>
      <c r="AJ8" s="366"/>
      <c r="AK8" s="366"/>
      <c r="AL8" s="366"/>
      <c r="AM8" s="367"/>
      <c r="AN8" s="365" t="s">
        <v>12</v>
      </c>
      <c r="AO8" s="366"/>
      <c r="AP8" s="366"/>
      <c r="AQ8" s="366"/>
      <c r="AR8" s="366"/>
      <c r="AS8" s="367"/>
    </row>
    <row r="9" spans="1:45" s="3" customFormat="1" ht="22.5" customHeight="1" thickBot="1" x14ac:dyDescent="0.3">
      <c r="A9" s="369"/>
      <c r="B9" s="369"/>
      <c r="C9" s="4" t="s">
        <v>13</v>
      </c>
      <c r="D9" s="5" t="s">
        <v>14</v>
      </c>
      <c r="E9" s="5" t="s">
        <v>15</v>
      </c>
      <c r="F9" s="5">
        <v>0</v>
      </c>
      <c r="G9" s="5" t="s">
        <v>16</v>
      </c>
      <c r="H9" s="5" t="s">
        <v>17</v>
      </c>
      <c r="I9" s="6" t="s">
        <v>18</v>
      </c>
      <c r="J9" s="4" t="s">
        <v>13</v>
      </c>
      <c r="K9" s="5" t="s">
        <v>14</v>
      </c>
      <c r="L9" s="5" t="s">
        <v>15</v>
      </c>
      <c r="M9" s="5">
        <v>0</v>
      </c>
      <c r="N9" s="5" t="s">
        <v>16</v>
      </c>
      <c r="O9" s="5" t="s">
        <v>17</v>
      </c>
      <c r="P9" s="6" t="s">
        <v>18</v>
      </c>
      <c r="Q9" s="4" t="s">
        <v>13</v>
      </c>
      <c r="R9" s="5" t="s">
        <v>14</v>
      </c>
      <c r="S9" s="5" t="s">
        <v>15</v>
      </c>
      <c r="T9" s="5">
        <v>0</v>
      </c>
      <c r="U9" s="5" t="s">
        <v>16</v>
      </c>
      <c r="V9" s="5" t="s">
        <v>17</v>
      </c>
      <c r="W9" s="6" t="s">
        <v>18</v>
      </c>
      <c r="X9" s="4" t="s">
        <v>13</v>
      </c>
      <c r="Y9" s="5" t="s">
        <v>14</v>
      </c>
      <c r="Z9" s="5" t="s">
        <v>15</v>
      </c>
      <c r="AA9" s="5">
        <v>0</v>
      </c>
      <c r="AB9" s="5" t="s">
        <v>16</v>
      </c>
      <c r="AC9" s="5" t="s">
        <v>17</v>
      </c>
      <c r="AD9" s="6" t="s">
        <v>18</v>
      </c>
      <c r="AF9" s="369"/>
      <c r="AG9" s="369"/>
      <c r="AH9" s="7">
        <v>0</v>
      </c>
      <c r="AI9" s="8">
        <v>2</v>
      </c>
      <c r="AJ9" s="8">
        <v>4</v>
      </c>
      <c r="AK9" s="8">
        <v>6</v>
      </c>
      <c r="AL9" s="8">
        <v>8</v>
      </c>
      <c r="AM9" s="8">
        <v>10</v>
      </c>
      <c r="AN9" s="7" t="s">
        <v>19</v>
      </c>
      <c r="AO9" s="8" t="s">
        <v>20</v>
      </c>
      <c r="AP9" s="8" t="s">
        <v>21</v>
      </c>
      <c r="AQ9" s="8" t="s">
        <v>22</v>
      </c>
      <c r="AR9" s="8" t="s">
        <v>23</v>
      </c>
      <c r="AS9" s="9">
        <v>0</v>
      </c>
    </row>
    <row r="10" spans="1:45" s="3" customFormat="1" ht="22.5" customHeight="1" thickBot="1" x14ac:dyDescent="0.3">
      <c r="A10" s="10">
        <v>1</v>
      </c>
      <c r="B10" s="11" t="s">
        <v>24</v>
      </c>
      <c r="C10" s="12"/>
      <c r="D10" s="13"/>
      <c r="E10" s="13"/>
      <c r="F10" s="13" t="s">
        <v>25</v>
      </c>
      <c r="G10" s="13"/>
      <c r="H10" s="13"/>
      <c r="I10" s="14"/>
      <c r="J10" s="15"/>
      <c r="K10" s="16"/>
      <c r="L10" s="16"/>
      <c r="M10" s="16" t="s">
        <v>25</v>
      </c>
      <c r="N10" s="16"/>
      <c r="O10" s="16"/>
      <c r="P10" s="17"/>
      <c r="Q10" s="12"/>
      <c r="R10" s="13"/>
      <c r="S10" s="13"/>
      <c r="T10" s="13" t="s">
        <v>25</v>
      </c>
      <c r="U10" s="13"/>
      <c r="V10" s="13"/>
      <c r="W10" s="14"/>
      <c r="X10" s="15"/>
      <c r="Y10" s="16"/>
      <c r="Z10" s="16"/>
      <c r="AA10" s="16" t="s">
        <v>25</v>
      </c>
      <c r="AB10" s="16"/>
      <c r="AC10" s="16"/>
      <c r="AD10" s="17"/>
      <c r="AF10" s="10">
        <v>1</v>
      </c>
      <c r="AG10" s="11" t="s">
        <v>24</v>
      </c>
      <c r="AH10" s="12"/>
      <c r="AI10" s="13"/>
      <c r="AJ10" s="13"/>
      <c r="AK10" s="13"/>
      <c r="AL10" s="13" t="s">
        <v>25</v>
      </c>
      <c r="AM10" s="13"/>
      <c r="AN10" s="15"/>
      <c r="AO10" s="16"/>
      <c r="AP10" s="16"/>
      <c r="AQ10" s="16"/>
      <c r="AR10" s="16"/>
      <c r="AS10" s="17" t="s">
        <v>25</v>
      </c>
    </row>
    <row r="11" spans="1:45" s="3" customFormat="1" ht="22.5" customHeight="1" thickBot="1" x14ac:dyDescent="0.3">
      <c r="A11" s="10">
        <v>2</v>
      </c>
      <c r="B11" s="11" t="s">
        <v>26</v>
      </c>
      <c r="C11" s="12"/>
      <c r="D11" s="13"/>
      <c r="E11" s="13"/>
      <c r="F11" s="13" t="s">
        <v>25</v>
      </c>
      <c r="G11" s="13"/>
      <c r="H11" s="13"/>
      <c r="I11" s="14"/>
      <c r="J11" s="15"/>
      <c r="K11" s="16"/>
      <c r="L11" s="16"/>
      <c r="M11" s="16" t="s">
        <v>25</v>
      </c>
      <c r="N11" s="16"/>
      <c r="O11" s="16"/>
      <c r="P11" s="17"/>
      <c r="Q11" s="12"/>
      <c r="R11" s="13"/>
      <c r="S11" s="13"/>
      <c r="T11" s="13"/>
      <c r="U11" s="13" t="s">
        <v>25</v>
      </c>
      <c r="V11" s="13"/>
      <c r="W11" s="14"/>
      <c r="X11" s="15"/>
      <c r="Y11" s="16"/>
      <c r="Z11" s="16"/>
      <c r="AA11" s="16" t="s">
        <v>25</v>
      </c>
      <c r="AB11" s="16"/>
      <c r="AC11" s="16"/>
      <c r="AD11" s="17"/>
      <c r="AF11" s="10">
        <v>2</v>
      </c>
      <c r="AG11" s="11" t="s">
        <v>26</v>
      </c>
      <c r="AH11" s="12"/>
      <c r="AI11" s="13"/>
      <c r="AJ11" s="13"/>
      <c r="AK11" s="13"/>
      <c r="AL11" s="13" t="s">
        <v>25</v>
      </c>
      <c r="AM11" s="13"/>
      <c r="AN11" s="15"/>
      <c r="AO11" s="16"/>
      <c r="AP11" s="16"/>
      <c r="AQ11" s="16"/>
      <c r="AR11" s="16"/>
      <c r="AS11" s="17" t="s">
        <v>25</v>
      </c>
    </row>
    <row r="12" spans="1:45" s="3" customFormat="1" ht="22.5" customHeight="1" thickBot="1" x14ac:dyDescent="0.3">
      <c r="A12" s="10">
        <v>3</v>
      </c>
      <c r="B12" s="11" t="s">
        <v>27</v>
      </c>
      <c r="C12" s="12"/>
      <c r="D12" s="13"/>
      <c r="E12" s="13"/>
      <c r="F12" s="13" t="s">
        <v>25</v>
      </c>
      <c r="G12" s="13"/>
      <c r="H12" s="13"/>
      <c r="I12" s="14"/>
      <c r="J12" s="15"/>
      <c r="K12" s="16"/>
      <c r="L12" s="16"/>
      <c r="M12" s="16" t="s">
        <v>25</v>
      </c>
      <c r="N12" s="16"/>
      <c r="O12" s="16"/>
      <c r="P12" s="17"/>
      <c r="Q12" s="12"/>
      <c r="R12" s="13"/>
      <c r="S12" s="13"/>
      <c r="T12" s="13" t="s">
        <v>25</v>
      </c>
      <c r="U12" s="13"/>
      <c r="V12" s="13"/>
      <c r="W12" s="14"/>
      <c r="X12" s="15"/>
      <c r="Y12" s="16"/>
      <c r="Z12" s="16"/>
      <c r="AA12" s="16" t="s">
        <v>25</v>
      </c>
      <c r="AB12" s="16"/>
      <c r="AC12" s="16"/>
      <c r="AD12" s="17"/>
      <c r="AF12" s="10">
        <v>3</v>
      </c>
      <c r="AG12" s="11" t="s">
        <v>27</v>
      </c>
      <c r="AH12" s="12"/>
      <c r="AI12" s="13"/>
      <c r="AJ12" s="13"/>
      <c r="AK12" s="13"/>
      <c r="AL12" s="13" t="s">
        <v>25</v>
      </c>
      <c r="AM12" s="13"/>
      <c r="AN12" s="15"/>
      <c r="AO12" s="16"/>
      <c r="AP12" s="16"/>
      <c r="AQ12" s="16"/>
      <c r="AR12" s="16"/>
      <c r="AS12" s="17" t="s">
        <v>25</v>
      </c>
    </row>
    <row r="13" spans="1:45" s="3" customFormat="1" ht="22.5" customHeight="1" thickBot="1" x14ac:dyDescent="0.3">
      <c r="A13" s="10">
        <v>4</v>
      </c>
      <c r="B13" s="11" t="s">
        <v>28</v>
      </c>
      <c r="C13" s="12"/>
      <c r="D13" s="13"/>
      <c r="E13" s="13"/>
      <c r="F13" s="13" t="s">
        <v>25</v>
      </c>
      <c r="G13" s="13"/>
      <c r="H13" s="13"/>
      <c r="I13" s="14"/>
      <c r="J13" s="15"/>
      <c r="K13" s="16"/>
      <c r="L13" s="16"/>
      <c r="M13" s="16" t="s">
        <v>25</v>
      </c>
      <c r="N13" s="16"/>
      <c r="O13" s="16"/>
      <c r="P13" s="17"/>
      <c r="Q13" s="12"/>
      <c r="R13" s="13"/>
      <c r="S13" s="13"/>
      <c r="T13" s="13" t="s">
        <v>25</v>
      </c>
      <c r="U13" s="13"/>
      <c r="V13" s="13"/>
      <c r="W13" s="14"/>
      <c r="X13" s="15"/>
      <c r="Y13" s="16"/>
      <c r="Z13" s="16"/>
      <c r="AA13" s="16" t="s">
        <v>25</v>
      </c>
      <c r="AB13" s="16"/>
      <c r="AC13" s="16"/>
      <c r="AD13" s="17"/>
      <c r="AF13" s="10">
        <v>4</v>
      </c>
      <c r="AG13" s="11" t="s">
        <v>28</v>
      </c>
      <c r="AH13" s="12"/>
      <c r="AI13" s="13"/>
      <c r="AJ13" s="13"/>
      <c r="AK13" s="13"/>
      <c r="AL13" s="13" t="s">
        <v>25</v>
      </c>
      <c r="AM13" s="13"/>
      <c r="AN13" s="15"/>
      <c r="AO13" s="16"/>
      <c r="AP13" s="16"/>
      <c r="AQ13" s="16"/>
      <c r="AR13" s="17" t="s">
        <v>25</v>
      </c>
      <c r="AS13" s="17"/>
    </row>
    <row r="14" spans="1:45" s="3" customFormat="1" ht="22.5" customHeight="1" thickBot="1" x14ac:dyDescent="0.3">
      <c r="A14" s="18">
        <v>5</v>
      </c>
      <c r="B14" s="19" t="s">
        <v>29</v>
      </c>
      <c r="C14" s="20"/>
      <c r="D14" s="21"/>
      <c r="E14" s="21"/>
      <c r="F14" s="21" t="s">
        <v>25</v>
      </c>
      <c r="G14" s="21"/>
      <c r="H14" s="21"/>
      <c r="I14" s="22"/>
      <c r="J14" s="23"/>
      <c r="K14" s="24"/>
      <c r="L14" s="24"/>
      <c r="M14" s="24" t="s">
        <v>25</v>
      </c>
      <c r="N14" s="24"/>
      <c r="O14" s="24"/>
      <c r="P14" s="25"/>
      <c r="Q14" s="20"/>
      <c r="R14" s="21"/>
      <c r="S14" s="21"/>
      <c r="T14" s="21" t="s">
        <v>25</v>
      </c>
      <c r="U14" s="21"/>
      <c r="V14" s="21"/>
      <c r="W14" s="22"/>
      <c r="X14" s="23"/>
      <c r="Y14" s="24"/>
      <c r="Z14" s="24"/>
      <c r="AA14" s="24" t="s">
        <v>25</v>
      </c>
      <c r="AB14" s="24"/>
      <c r="AC14" s="24"/>
      <c r="AD14" s="25"/>
      <c r="AF14" s="18">
        <v>5</v>
      </c>
      <c r="AG14" s="19" t="s">
        <v>29</v>
      </c>
      <c r="AH14" s="20"/>
      <c r="AI14" s="21"/>
      <c r="AJ14" s="13" t="s">
        <v>25</v>
      </c>
      <c r="AK14" s="21"/>
      <c r="AL14" s="21"/>
      <c r="AM14" s="21"/>
      <c r="AN14" s="23"/>
      <c r="AO14" s="24"/>
      <c r="AP14" s="24" t="s">
        <v>25</v>
      </c>
      <c r="AQ14" s="24"/>
      <c r="AR14" s="24"/>
      <c r="AS14" s="25"/>
    </row>
    <row r="15" spans="1:45" s="3" customFormat="1" ht="5.85" customHeight="1" x14ac:dyDescent="0.25">
      <c r="AF15" s="26"/>
      <c r="AG15" s="27"/>
      <c r="AH15" s="28"/>
      <c r="AI15" s="28"/>
      <c r="AJ15" s="28"/>
      <c r="AK15" s="28"/>
      <c r="AL15" s="28"/>
      <c r="AM15" s="28"/>
      <c r="AN15" s="28"/>
    </row>
    <row r="16" spans="1:45" s="3" customFormat="1" ht="22.5" customHeight="1" x14ac:dyDescent="0.25">
      <c r="A16" s="26"/>
      <c r="B16" s="27"/>
      <c r="C16" s="28"/>
      <c r="D16" s="28"/>
      <c r="E16" s="28"/>
      <c r="F16" s="28"/>
      <c r="G16" s="28"/>
      <c r="H16" s="28"/>
      <c r="I16" s="28"/>
    </row>
    <row r="17" spans="1:9" s="3" customFormat="1" ht="22.5" customHeight="1" x14ac:dyDescent="0.25">
      <c r="A17" s="26"/>
      <c r="B17" s="27"/>
      <c r="C17" s="28"/>
      <c r="D17" s="28"/>
      <c r="E17" s="28"/>
      <c r="F17" s="28"/>
      <c r="G17" s="28"/>
      <c r="H17" s="28"/>
      <c r="I17" s="28"/>
    </row>
    <row r="18" spans="1:9" s="3" customFormat="1" ht="22.5" customHeight="1" x14ac:dyDescent="0.25">
      <c r="A18" s="26"/>
      <c r="B18" s="27"/>
      <c r="C18" s="28"/>
      <c r="D18" s="28"/>
      <c r="E18" s="28"/>
      <c r="F18" s="28"/>
      <c r="G18" s="28"/>
      <c r="H18" s="28"/>
      <c r="I18" s="28"/>
    </row>
    <row r="19" spans="1:9" s="3" customFormat="1" ht="22.5" customHeight="1" x14ac:dyDescent="0.25">
      <c r="A19" s="26"/>
      <c r="B19" s="27"/>
      <c r="C19" s="28"/>
      <c r="D19" s="28"/>
      <c r="E19" s="28"/>
      <c r="F19" s="28"/>
      <c r="G19" s="28"/>
      <c r="H19" s="28"/>
      <c r="I19" s="28"/>
    </row>
    <row r="20" spans="1:9" s="3" customFormat="1" ht="22.5" customHeight="1" x14ac:dyDescent="0.25">
      <c r="A20" s="26"/>
      <c r="B20" s="27"/>
      <c r="C20" s="28"/>
      <c r="D20" s="28"/>
      <c r="E20" s="28"/>
      <c r="F20" s="28"/>
      <c r="G20" s="28"/>
      <c r="H20" s="28"/>
      <c r="I20" s="28"/>
    </row>
    <row r="21" spans="1:9" s="3" customFormat="1" ht="22.5" customHeight="1" x14ac:dyDescent="0.25">
      <c r="A21" s="26"/>
      <c r="B21" s="27"/>
      <c r="C21" s="28"/>
      <c r="D21" s="28"/>
      <c r="E21" s="28"/>
      <c r="F21" s="28"/>
      <c r="G21" s="28"/>
      <c r="H21" s="28"/>
      <c r="I21" s="28"/>
    </row>
    <row r="22" spans="1:9" s="3" customFormat="1" ht="22.5" customHeight="1" x14ac:dyDescent="0.25">
      <c r="A22" s="26"/>
      <c r="B22" s="27"/>
      <c r="C22" s="28"/>
      <c r="D22" s="28"/>
      <c r="E22" s="28"/>
      <c r="F22" s="28"/>
      <c r="G22" s="28"/>
      <c r="H22" s="28"/>
      <c r="I22" s="28"/>
    </row>
    <row r="23" spans="1:9" s="3" customFormat="1" ht="22.5" customHeight="1" x14ac:dyDescent="0.25">
      <c r="A23" s="26"/>
      <c r="B23" s="27"/>
      <c r="C23" s="28"/>
      <c r="D23" s="28"/>
      <c r="E23" s="28"/>
      <c r="F23" s="28"/>
      <c r="G23" s="28"/>
      <c r="H23" s="28"/>
      <c r="I23" s="28"/>
    </row>
    <row r="24" spans="1:9" s="3" customFormat="1" ht="22.5" customHeight="1" x14ac:dyDescent="0.25">
      <c r="A24" s="26"/>
      <c r="B24" s="27"/>
      <c r="C24" s="28"/>
      <c r="D24" s="28"/>
      <c r="E24" s="28"/>
      <c r="F24" s="28"/>
      <c r="G24" s="28"/>
      <c r="H24" s="28"/>
      <c r="I24" s="28"/>
    </row>
    <row r="25" spans="1:9" s="3" customFormat="1" ht="22.5" customHeight="1" x14ac:dyDescent="0.25">
      <c r="A25" s="26"/>
      <c r="B25" s="27"/>
      <c r="C25" s="28"/>
      <c r="D25" s="28"/>
      <c r="E25" s="28"/>
      <c r="F25" s="28"/>
      <c r="G25" s="28"/>
      <c r="H25" s="28"/>
      <c r="I25" s="28"/>
    </row>
    <row r="26" spans="1:9" s="3" customFormat="1" ht="22.5" customHeight="1" x14ac:dyDescent="0.25">
      <c r="A26" s="26"/>
      <c r="B26" s="27"/>
      <c r="C26" s="28"/>
      <c r="D26" s="28"/>
      <c r="E26" s="28"/>
      <c r="F26" s="28"/>
      <c r="G26" s="28"/>
      <c r="H26" s="28"/>
      <c r="I26" s="28"/>
    </row>
    <row r="27" spans="1:9" s="3" customFormat="1" ht="22.5" customHeight="1" x14ac:dyDescent="0.25">
      <c r="A27" s="26"/>
      <c r="B27" s="27"/>
      <c r="C27" s="28"/>
      <c r="D27" s="28"/>
      <c r="E27" s="28"/>
      <c r="F27" s="28"/>
      <c r="G27" s="28"/>
      <c r="H27" s="28"/>
      <c r="I27" s="28"/>
    </row>
    <row r="28" spans="1:9" s="3" customFormat="1" ht="22.5" customHeight="1" x14ac:dyDescent="0.25">
      <c r="A28" s="26"/>
      <c r="B28" s="27"/>
      <c r="C28" s="28"/>
      <c r="D28" s="28"/>
      <c r="E28" s="28"/>
      <c r="F28" s="28"/>
      <c r="G28" s="28"/>
      <c r="H28" s="28"/>
      <c r="I28" s="28"/>
    </row>
    <row r="29" spans="1:9" s="3" customFormat="1" ht="22.5" customHeight="1" x14ac:dyDescent="0.25">
      <c r="A29" s="26"/>
      <c r="B29" s="27"/>
      <c r="C29" s="28"/>
      <c r="D29" s="28"/>
      <c r="E29" s="28"/>
      <c r="F29" s="28"/>
      <c r="G29" s="28"/>
      <c r="H29" s="28"/>
      <c r="I29" s="28"/>
    </row>
    <row r="30" spans="1:9" s="3" customFormat="1" ht="22.5" customHeight="1" x14ac:dyDescent="0.25">
      <c r="A30" s="26"/>
      <c r="B30" s="27"/>
      <c r="C30" s="28"/>
      <c r="D30" s="28"/>
      <c r="E30" s="28"/>
      <c r="F30" s="28"/>
      <c r="G30" s="28"/>
      <c r="H30" s="28"/>
      <c r="I30" s="28"/>
    </row>
    <row r="31" spans="1:9" s="3" customFormat="1" ht="22.5" customHeight="1" x14ac:dyDescent="0.25">
      <c r="A31" s="26"/>
      <c r="B31" s="27"/>
      <c r="C31" s="28"/>
      <c r="D31" s="28"/>
      <c r="E31" s="28"/>
      <c r="F31" s="28"/>
      <c r="G31" s="28"/>
      <c r="H31" s="28"/>
      <c r="I31" s="28"/>
    </row>
    <row r="32" spans="1:9" s="3" customFormat="1" ht="22.5" customHeight="1" x14ac:dyDescent="0.25">
      <c r="A32" s="26"/>
      <c r="B32" s="27"/>
      <c r="C32" s="28"/>
      <c r="D32" s="28"/>
      <c r="E32" s="28"/>
      <c r="F32" s="28"/>
      <c r="G32" s="28"/>
      <c r="H32" s="28"/>
      <c r="I32" s="28"/>
    </row>
    <row r="33" spans="1:9" s="3" customFormat="1" ht="22.5" customHeight="1" x14ac:dyDescent="0.25">
      <c r="A33" s="26"/>
      <c r="B33" s="27"/>
      <c r="C33" s="28"/>
      <c r="D33" s="28"/>
      <c r="E33" s="28"/>
      <c r="F33" s="28"/>
      <c r="G33" s="28"/>
      <c r="H33" s="28"/>
      <c r="I33" s="28"/>
    </row>
    <row r="34" spans="1:9" s="3" customFormat="1" ht="22.5" customHeight="1" x14ac:dyDescent="0.25">
      <c r="A34" s="26"/>
      <c r="B34" s="27"/>
      <c r="C34" s="28"/>
      <c r="D34" s="28"/>
      <c r="E34" s="28"/>
      <c r="F34" s="28"/>
      <c r="G34" s="28"/>
      <c r="H34" s="28"/>
      <c r="I34" s="28"/>
    </row>
    <row r="35" spans="1:9" s="3" customFormat="1" ht="22.5" customHeight="1" x14ac:dyDescent="0.25">
      <c r="A35" s="26"/>
      <c r="B35" s="27"/>
      <c r="C35" s="28"/>
      <c r="D35" s="28"/>
      <c r="E35" s="28"/>
      <c r="F35" s="28"/>
      <c r="G35" s="28"/>
      <c r="H35" s="28"/>
      <c r="I35" s="28"/>
    </row>
    <row r="36" spans="1:9" s="3" customFormat="1" ht="22.5" customHeight="1" x14ac:dyDescent="0.25">
      <c r="A36" s="26"/>
      <c r="B36" s="27"/>
      <c r="C36" s="28"/>
      <c r="D36" s="28"/>
      <c r="E36" s="28"/>
      <c r="F36" s="28"/>
      <c r="G36" s="28"/>
      <c r="H36" s="28"/>
      <c r="I36" s="28"/>
    </row>
    <row r="37" spans="1:9" s="3" customFormat="1" ht="22.5" customHeight="1" x14ac:dyDescent="0.25">
      <c r="A37" s="26"/>
      <c r="B37" s="27"/>
      <c r="C37" s="28"/>
      <c r="D37" s="28"/>
      <c r="E37" s="28"/>
      <c r="F37" s="28"/>
      <c r="G37" s="28"/>
      <c r="H37" s="28"/>
      <c r="I37" s="28"/>
    </row>
    <row r="38" spans="1:9" s="3" customFormat="1" ht="22.5" customHeight="1" x14ac:dyDescent="0.25">
      <c r="A38" s="26"/>
      <c r="B38" s="27"/>
      <c r="C38" s="28"/>
      <c r="D38" s="28"/>
      <c r="E38" s="28"/>
      <c r="F38" s="28"/>
      <c r="G38" s="28"/>
      <c r="H38" s="28"/>
      <c r="I38" s="28"/>
    </row>
    <row r="39" spans="1:9" s="3" customFormat="1" ht="22.5" customHeight="1" x14ac:dyDescent="0.25">
      <c r="A39" s="26"/>
      <c r="B39" s="27"/>
      <c r="C39" s="28"/>
      <c r="D39" s="28"/>
      <c r="E39" s="28"/>
      <c r="F39" s="28"/>
      <c r="G39" s="28"/>
      <c r="H39" s="28"/>
      <c r="I39" s="28"/>
    </row>
    <row r="40" spans="1:9" s="3" customFormat="1" ht="22.5" customHeight="1" x14ac:dyDescent="0.25">
      <c r="A40" s="26"/>
      <c r="B40" s="27"/>
      <c r="C40" s="28"/>
      <c r="D40" s="28"/>
      <c r="E40" s="28"/>
      <c r="F40" s="28"/>
      <c r="G40" s="28"/>
      <c r="H40" s="28"/>
      <c r="I40" s="28"/>
    </row>
    <row r="41" spans="1:9" s="3" customFormat="1" ht="22.5" customHeight="1" x14ac:dyDescent="0.25">
      <c r="A41" s="26"/>
      <c r="B41" s="27"/>
      <c r="C41" s="28"/>
      <c r="D41" s="28"/>
      <c r="E41" s="28"/>
      <c r="F41" s="28"/>
      <c r="G41" s="28"/>
      <c r="H41" s="28"/>
      <c r="I41" s="28"/>
    </row>
    <row r="42" spans="1:9" s="3" customFormat="1" ht="22.5" customHeight="1" x14ac:dyDescent="0.25">
      <c r="A42" s="26"/>
      <c r="B42" s="27"/>
      <c r="C42" s="28"/>
      <c r="D42" s="28"/>
      <c r="E42" s="28"/>
      <c r="F42" s="28"/>
      <c r="G42" s="28"/>
      <c r="H42" s="28"/>
      <c r="I42" s="28"/>
    </row>
    <row r="43" spans="1:9" s="3" customFormat="1" ht="22.5" customHeight="1" x14ac:dyDescent="0.25">
      <c r="A43" s="26"/>
      <c r="B43" s="27"/>
      <c r="C43" s="28"/>
      <c r="D43" s="28"/>
      <c r="E43" s="28"/>
      <c r="F43" s="28"/>
      <c r="G43" s="28"/>
      <c r="H43" s="28"/>
      <c r="I43" s="28"/>
    </row>
    <row r="44" spans="1:9" s="3" customFormat="1" ht="22.5" customHeight="1" x14ac:dyDescent="0.25">
      <c r="A44" s="26"/>
      <c r="B44" s="27"/>
      <c r="C44" s="28"/>
      <c r="D44" s="28"/>
      <c r="E44" s="28"/>
      <c r="F44" s="28"/>
      <c r="G44" s="28"/>
      <c r="H44" s="28"/>
      <c r="I44" s="28"/>
    </row>
    <row r="45" spans="1:9" s="3" customFormat="1" ht="22.5" customHeight="1" x14ac:dyDescent="0.25">
      <c r="A45" s="26"/>
      <c r="B45" s="27"/>
      <c r="C45" s="28"/>
      <c r="D45" s="28"/>
      <c r="E45" s="28"/>
      <c r="F45" s="28"/>
      <c r="G45" s="28"/>
      <c r="H45" s="28"/>
      <c r="I45" s="28"/>
    </row>
    <row r="46" spans="1:9" s="3" customFormat="1" ht="22.5" customHeight="1" x14ac:dyDescent="0.25">
      <c r="A46" s="26"/>
      <c r="B46" s="27"/>
      <c r="C46" s="28"/>
      <c r="D46" s="28"/>
      <c r="E46" s="28"/>
      <c r="F46" s="28"/>
      <c r="G46" s="28"/>
      <c r="H46" s="28"/>
      <c r="I46" s="28"/>
    </row>
    <row r="47" spans="1:9" s="3" customFormat="1" ht="22.5" customHeight="1" x14ac:dyDescent="0.25">
      <c r="A47" s="26"/>
      <c r="B47" s="27"/>
      <c r="C47" s="28"/>
      <c r="D47" s="28"/>
      <c r="E47" s="28"/>
      <c r="F47" s="28"/>
      <c r="G47" s="28"/>
      <c r="H47" s="28"/>
      <c r="I47" s="28"/>
    </row>
    <row r="48" spans="1:9" s="3" customFormat="1" ht="22.5" customHeight="1" x14ac:dyDescent="0.25">
      <c r="A48" s="26"/>
      <c r="B48" s="27"/>
      <c r="C48" s="28"/>
      <c r="D48" s="28"/>
      <c r="E48" s="28"/>
      <c r="F48" s="28"/>
      <c r="G48" s="28"/>
      <c r="H48" s="28"/>
      <c r="I48" s="28"/>
    </row>
    <row r="49" spans="1:9" s="3" customFormat="1" ht="22.5" customHeight="1" x14ac:dyDescent="0.25">
      <c r="A49" s="26"/>
      <c r="B49" s="27"/>
      <c r="C49" s="28"/>
      <c r="D49" s="28"/>
      <c r="E49" s="28"/>
      <c r="F49" s="28"/>
      <c r="G49" s="28"/>
      <c r="H49" s="28"/>
      <c r="I49" s="28"/>
    </row>
    <row r="50" spans="1:9" s="3" customFormat="1" ht="22.5" customHeight="1" x14ac:dyDescent="0.25">
      <c r="A50" s="26"/>
      <c r="B50" s="27"/>
      <c r="C50" s="28"/>
      <c r="D50" s="28"/>
      <c r="E50" s="28"/>
      <c r="F50" s="28"/>
      <c r="G50" s="28"/>
      <c r="H50" s="28"/>
      <c r="I50" s="28"/>
    </row>
    <row r="51" spans="1:9" s="3" customFormat="1" ht="22.5" customHeight="1" x14ac:dyDescent="0.25">
      <c r="A51" s="26"/>
      <c r="B51" s="27"/>
      <c r="C51" s="28"/>
      <c r="D51" s="28"/>
      <c r="E51" s="28"/>
      <c r="F51" s="28"/>
      <c r="G51" s="28"/>
      <c r="H51" s="28"/>
      <c r="I51" s="28"/>
    </row>
    <row r="52" spans="1:9" s="3" customFormat="1" ht="22.5" customHeight="1" x14ac:dyDescent="0.25">
      <c r="A52" s="26"/>
      <c r="B52" s="27"/>
      <c r="C52" s="28"/>
      <c r="D52" s="28"/>
      <c r="E52" s="28"/>
      <c r="F52" s="28"/>
      <c r="G52" s="28"/>
      <c r="H52" s="28"/>
      <c r="I52" s="28"/>
    </row>
    <row r="53" spans="1:9" s="3" customFormat="1" ht="22.5" customHeight="1" x14ac:dyDescent="0.25">
      <c r="A53" s="26"/>
      <c r="B53" s="27"/>
      <c r="C53" s="28"/>
      <c r="D53" s="28"/>
      <c r="E53" s="28"/>
      <c r="F53" s="28"/>
      <c r="G53" s="28"/>
      <c r="H53" s="28"/>
      <c r="I53" s="28"/>
    </row>
    <row r="54" spans="1:9" s="3" customFormat="1" ht="22.5" customHeight="1" x14ac:dyDescent="0.25">
      <c r="A54" s="26"/>
      <c r="B54" s="27"/>
      <c r="C54" s="28"/>
      <c r="D54" s="28"/>
      <c r="E54" s="28"/>
      <c r="F54" s="28"/>
      <c r="G54" s="28"/>
      <c r="H54" s="28"/>
      <c r="I54" s="28"/>
    </row>
    <row r="55" spans="1:9" s="3" customFormat="1" ht="22.5" customHeight="1" x14ac:dyDescent="0.25">
      <c r="A55" s="26"/>
      <c r="B55" s="27"/>
      <c r="C55" s="28"/>
      <c r="D55" s="28"/>
      <c r="E55" s="28"/>
      <c r="F55" s="28"/>
      <c r="G55" s="28"/>
      <c r="H55" s="28"/>
      <c r="I55" s="28"/>
    </row>
    <row r="56" spans="1:9" s="3" customFormat="1" ht="22.5" customHeight="1" x14ac:dyDescent="0.25">
      <c r="A56" s="26"/>
      <c r="B56" s="27"/>
      <c r="C56" s="28"/>
      <c r="D56" s="28"/>
      <c r="E56" s="28"/>
      <c r="F56" s="28"/>
      <c r="G56" s="28"/>
      <c r="H56" s="28"/>
      <c r="I56" s="28"/>
    </row>
    <row r="57" spans="1:9" s="3" customFormat="1" ht="22.5" customHeight="1" x14ac:dyDescent="0.25">
      <c r="A57" s="26"/>
      <c r="B57" s="27"/>
      <c r="C57" s="28"/>
      <c r="D57" s="28"/>
      <c r="E57" s="28"/>
      <c r="F57" s="28"/>
      <c r="G57" s="28"/>
      <c r="H57" s="28"/>
      <c r="I57" s="28"/>
    </row>
    <row r="58" spans="1:9" s="3" customFormat="1" ht="22.5" customHeight="1" x14ac:dyDescent="0.25">
      <c r="A58" s="26"/>
      <c r="B58" s="27"/>
      <c r="C58" s="28"/>
      <c r="D58" s="28"/>
      <c r="E58" s="28"/>
      <c r="F58" s="28"/>
      <c r="G58" s="28"/>
      <c r="H58" s="28"/>
      <c r="I58" s="28"/>
    </row>
    <row r="59" spans="1:9" s="3" customFormat="1" ht="22.5" customHeight="1" x14ac:dyDescent="0.25">
      <c r="A59" s="26"/>
      <c r="B59" s="27"/>
      <c r="C59" s="28"/>
      <c r="D59" s="28"/>
      <c r="E59" s="28"/>
      <c r="F59" s="28"/>
      <c r="G59" s="28"/>
      <c r="H59" s="28"/>
      <c r="I59" s="28"/>
    </row>
    <row r="60" spans="1:9" s="3" customFormat="1" ht="22.5" customHeight="1" x14ac:dyDescent="0.25">
      <c r="A60" s="26"/>
      <c r="B60" s="27"/>
      <c r="C60" s="28"/>
      <c r="D60" s="28"/>
      <c r="E60" s="28"/>
      <c r="F60" s="28"/>
      <c r="G60" s="28"/>
      <c r="H60" s="28"/>
      <c r="I60" s="28"/>
    </row>
    <row r="61" spans="1:9" s="3" customFormat="1" ht="22.5" customHeight="1" x14ac:dyDescent="0.25">
      <c r="A61" s="26"/>
      <c r="B61" s="27"/>
      <c r="C61" s="28"/>
      <c r="D61" s="28"/>
      <c r="E61" s="28"/>
      <c r="F61" s="28"/>
      <c r="G61" s="28"/>
      <c r="H61" s="28"/>
      <c r="I61" s="28"/>
    </row>
    <row r="62" spans="1:9" s="3" customFormat="1" ht="22.5" customHeight="1" x14ac:dyDescent="0.25">
      <c r="A62" s="26"/>
      <c r="B62" s="27"/>
      <c r="C62" s="28"/>
      <c r="D62" s="28"/>
      <c r="E62" s="28"/>
      <c r="F62" s="28"/>
      <c r="G62" s="28"/>
      <c r="H62" s="28"/>
      <c r="I62" s="28"/>
    </row>
    <row r="63" spans="1:9" s="3" customFormat="1" ht="22.5" customHeight="1" x14ac:dyDescent="0.25">
      <c r="A63" s="26"/>
      <c r="B63" s="27"/>
      <c r="C63" s="28"/>
      <c r="D63" s="28"/>
      <c r="E63" s="28"/>
      <c r="F63" s="28"/>
      <c r="G63" s="28"/>
      <c r="H63" s="28"/>
      <c r="I63" s="28"/>
    </row>
    <row r="64" spans="1:9" s="3" customFormat="1" ht="22.5" customHeight="1" x14ac:dyDescent="0.25">
      <c r="A64" s="26"/>
      <c r="B64" s="27"/>
      <c r="C64" s="28"/>
      <c r="D64" s="28"/>
      <c r="E64" s="28"/>
      <c r="F64" s="28"/>
      <c r="G64" s="28"/>
      <c r="H64" s="28"/>
      <c r="I64" s="28"/>
    </row>
    <row r="65" spans="1:9" s="3" customFormat="1" ht="22.5" customHeight="1" x14ac:dyDescent="0.25">
      <c r="A65" s="26"/>
      <c r="B65" s="27"/>
      <c r="C65" s="28"/>
      <c r="D65" s="28"/>
      <c r="E65" s="28"/>
      <c r="F65" s="28"/>
      <c r="G65" s="28"/>
      <c r="H65" s="28"/>
      <c r="I65" s="28"/>
    </row>
    <row r="66" spans="1:9" s="3" customFormat="1" ht="22.5" customHeight="1" x14ac:dyDescent="0.25">
      <c r="A66" s="26"/>
      <c r="B66" s="27"/>
      <c r="C66" s="28"/>
      <c r="D66" s="28"/>
      <c r="E66" s="28"/>
      <c r="F66" s="28"/>
      <c r="G66" s="28"/>
      <c r="H66" s="28"/>
      <c r="I66" s="28"/>
    </row>
    <row r="67" spans="1:9" s="3" customFormat="1" ht="22.5" customHeight="1" x14ac:dyDescent="0.25">
      <c r="A67" s="26"/>
      <c r="B67" s="27"/>
      <c r="C67" s="28"/>
      <c r="D67" s="28"/>
      <c r="E67" s="28"/>
      <c r="F67" s="28"/>
      <c r="G67" s="28"/>
      <c r="H67" s="28"/>
      <c r="I67" s="28"/>
    </row>
    <row r="68" spans="1:9" s="3" customFormat="1" ht="22.5" customHeight="1" x14ac:dyDescent="0.25">
      <c r="A68" s="26"/>
      <c r="B68" s="27"/>
      <c r="C68" s="28"/>
      <c r="D68" s="28"/>
      <c r="E68" s="28"/>
      <c r="F68" s="28"/>
      <c r="G68" s="28"/>
      <c r="H68" s="28"/>
      <c r="I68" s="28"/>
    </row>
    <row r="69" spans="1:9" s="3" customFormat="1" ht="22.5" customHeight="1" x14ac:dyDescent="0.25">
      <c r="A69" s="26"/>
      <c r="B69" s="27"/>
      <c r="C69" s="28"/>
      <c r="D69" s="28"/>
      <c r="E69" s="28"/>
      <c r="F69" s="28"/>
      <c r="G69" s="28"/>
      <c r="H69" s="28"/>
      <c r="I69" s="28"/>
    </row>
    <row r="70" spans="1:9" s="3" customFormat="1" ht="22.5" customHeight="1" x14ac:dyDescent="0.25">
      <c r="A70" s="26"/>
      <c r="B70" s="27"/>
      <c r="C70" s="28"/>
      <c r="D70" s="28"/>
      <c r="E70" s="28"/>
      <c r="F70" s="28"/>
      <c r="G70" s="28"/>
      <c r="H70" s="28"/>
      <c r="I70" s="28"/>
    </row>
    <row r="71" spans="1:9" s="3" customFormat="1" ht="22.5" customHeight="1" x14ac:dyDescent="0.25">
      <c r="A71" s="26"/>
      <c r="B71" s="27"/>
      <c r="C71" s="28"/>
      <c r="D71" s="28"/>
      <c r="E71" s="28"/>
      <c r="F71" s="28"/>
      <c r="G71" s="28"/>
      <c r="H71" s="28"/>
      <c r="I71" s="28"/>
    </row>
    <row r="72" spans="1:9" s="3" customFormat="1" ht="22.5" customHeight="1" x14ac:dyDescent="0.25">
      <c r="A72" s="26"/>
      <c r="B72" s="27"/>
      <c r="C72" s="28"/>
      <c r="D72" s="28"/>
      <c r="E72" s="28"/>
      <c r="F72" s="28"/>
      <c r="G72" s="28"/>
      <c r="H72" s="28"/>
      <c r="I72" s="28"/>
    </row>
    <row r="73" spans="1:9" s="3" customFormat="1" ht="22.5" customHeight="1" x14ac:dyDescent="0.25">
      <c r="A73" s="26"/>
      <c r="B73" s="27"/>
      <c r="C73" s="28"/>
      <c r="D73" s="28"/>
      <c r="E73" s="28"/>
      <c r="F73" s="28"/>
      <c r="G73" s="28"/>
      <c r="H73" s="28"/>
      <c r="I73" s="28"/>
    </row>
    <row r="74" spans="1:9" s="3" customFormat="1" ht="22.5" customHeight="1" x14ac:dyDescent="0.25">
      <c r="A74" s="26"/>
      <c r="B74" s="27"/>
      <c r="C74" s="28"/>
      <c r="D74" s="28"/>
      <c r="E74" s="28"/>
      <c r="F74" s="28"/>
      <c r="G74" s="28"/>
      <c r="H74" s="28"/>
      <c r="I74" s="28"/>
    </row>
    <row r="75" spans="1:9" s="3" customFormat="1" ht="22.5" customHeight="1" x14ac:dyDescent="0.25">
      <c r="A75" s="26"/>
      <c r="B75" s="27"/>
      <c r="C75" s="28"/>
      <c r="D75" s="28"/>
      <c r="E75" s="28"/>
      <c r="F75" s="28"/>
      <c r="G75" s="28"/>
      <c r="H75" s="28"/>
      <c r="I75" s="28"/>
    </row>
    <row r="76" spans="1:9" s="3" customFormat="1" ht="22.5" customHeight="1" x14ac:dyDescent="0.25">
      <c r="A76" s="26"/>
      <c r="B76" s="27"/>
      <c r="C76" s="28"/>
      <c r="D76" s="28"/>
      <c r="E76" s="28"/>
      <c r="F76" s="28"/>
      <c r="G76" s="28"/>
      <c r="H76" s="28"/>
      <c r="I76" s="28"/>
    </row>
    <row r="77" spans="1:9" s="3" customFormat="1" ht="22.5" customHeight="1" x14ac:dyDescent="0.25">
      <c r="A77" s="26"/>
      <c r="B77" s="27"/>
      <c r="C77" s="28"/>
      <c r="D77" s="28"/>
      <c r="E77" s="28"/>
      <c r="F77" s="28"/>
      <c r="G77" s="28"/>
      <c r="H77" s="28"/>
      <c r="I77" s="28"/>
    </row>
    <row r="78" spans="1:9" s="3" customFormat="1" ht="22.5" customHeight="1" x14ac:dyDescent="0.25">
      <c r="A78" s="26"/>
      <c r="B78" s="27"/>
      <c r="C78" s="28"/>
      <c r="D78" s="28"/>
      <c r="E78" s="28"/>
      <c r="F78" s="28"/>
      <c r="G78" s="28"/>
      <c r="H78" s="28"/>
      <c r="I78" s="28"/>
    </row>
    <row r="79" spans="1:9" s="3" customFormat="1" ht="22.5" customHeight="1" x14ac:dyDescent="0.25">
      <c r="A79" s="26"/>
      <c r="B79" s="27"/>
      <c r="C79" s="28"/>
      <c r="D79" s="28"/>
      <c r="E79" s="28"/>
      <c r="F79" s="28"/>
      <c r="G79" s="28"/>
      <c r="H79" s="28"/>
      <c r="I79" s="28"/>
    </row>
    <row r="80" spans="1:9" s="3" customFormat="1" ht="22.5" customHeight="1" x14ac:dyDescent="0.25">
      <c r="A80" s="26"/>
      <c r="B80" s="27"/>
      <c r="C80" s="28"/>
      <c r="D80" s="28"/>
      <c r="E80" s="28"/>
      <c r="F80" s="28"/>
      <c r="G80" s="28"/>
      <c r="H80" s="28"/>
      <c r="I80" s="28"/>
    </row>
    <row r="81" spans="1:9" s="3" customFormat="1" ht="22.5" customHeight="1" x14ac:dyDescent="0.25">
      <c r="A81" s="26"/>
      <c r="B81" s="27"/>
      <c r="C81" s="28"/>
      <c r="D81" s="28"/>
      <c r="E81" s="28"/>
      <c r="F81" s="28"/>
      <c r="G81" s="28"/>
      <c r="H81" s="28"/>
      <c r="I81" s="28"/>
    </row>
    <row r="82" spans="1:9" s="3" customFormat="1" ht="22.5" customHeight="1" x14ac:dyDescent="0.25">
      <c r="A82" s="26"/>
      <c r="B82" s="27"/>
      <c r="C82" s="28"/>
      <c r="D82" s="28"/>
      <c r="E82" s="28"/>
      <c r="F82" s="28"/>
      <c r="G82" s="28"/>
      <c r="H82" s="28"/>
      <c r="I82" s="28"/>
    </row>
    <row r="83" spans="1:9" s="3" customFormat="1" ht="22.5" customHeight="1" x14ac:dyDescent="0.25">
      <c r="A83" s="26"/>
      <c r="B83" s="27"/>
      <c r="C83" s="28"/>
      <c r="D83" s="28"/>
      <c r="E83" s="28"/>
      <c r="F83" s="28"/>
      <c r="G83" s="28"/>
      <c r="H83" s="28"/>
      <c r="I83" s="28"/>
    </row>
    <row r="84" spans="1:9" s="3" customFormat="1" ht="22.5" customHeight="1" x14ac:dyDescent="0.25">
      <c r="A84" s="26"/>
      <c r="B84" s="27"/>
      <c r="C84" s="28"/>
      <c r="D84" s="28"/>
      <c r="E84" s="28"/>
      <c r="F84" s="28"/>
      <c r="G84" s="28"/>
      <c r="H84" s="28"/>
      <c r="I84" s="28"/>
    </row>
    <row r="85" spans="1:9" s="3" customFormat="1" ht="22.5" customHeight="1" x14ac:dyDescent="0.25">
      <c r="A85" s="26"/>
      <c r="B85" s="27"/>
      <c r="C85" s="28"/>
      <c r="D85" s="28"/>
      <c r="E85" s="28"/>
      <c r="F85" s="28"/>
      <c r="G85" s="28"/>
      <c r="H85" s="28"/>
      <c r="I85" s="28"/>
    </row>
    <row r="86" spans="1:9" s="3" customFormat="1" ht="22.5" customHeight="1" x14ac:dyDescent="0.25">
      <c r="A86" s="26"/>
      <c r="B86" s="27"/>
      <c r="C86" s="28"/>
      <c r="D86" s="28"/>
      <c r="E86" s="28"/>
      <c r="F86" s="28"/>
      <c r="G86" s="28"/>
      <c r="H86" s="28"/>
      <c r="I86" s="28"/>
    </row>
    <row r="87" spans="1:9" s="3" customFormat="1" ht="22.5" customHeight="1" x14ac:dyDescent="0.25">
      <c r="A87" s="26"/>
      <c r="B87" s="27"/>
      <c r="C87" s="28"/>
      <c r="D87" s="28"/>
      <c r="E87" s="28"/>
      <c r="F87" s="28"/>
      <c r="G87" s="28"/>
      <c r="H87" s="28"/>
      <c r="I87" s="28"/>
    </row>
    <row r="88" spans="1:9" s="3" customFormat="1" ht="22.5" customHeight="1" x14ac:dyDescent="0.25">
      <c r="A88" s="26"/>
      <c r="B88" s="27"/>
      <c r="C88" s="28"/>
      <c r="D88" s="28"/>
      <c r="E88" s="28"/>
      <c r="F88" s="28"/>
      <c r="G88" s="28"/>
      <c r="H88" s="28"/>
      <c r="I88" s="28"/>
    </row>
    <row r="89" spans="1:9" s="3" customFormat="1" ht="22.5" customHeight="1" x14ac:dyDescent="0.25">
      <c r="A89" s="26"/>
      <c r="B89" s="27"/>
      <c r="C89" s="28"/>
      <c r="D89" s="28"/>
      <c r="E89" s="28"/>
      <c r="F89" s="28"/>
      <c r="G89" s="28"/>
      <c r="H89" s="28"/>
      <c r="I89" s="28"/>
    </row>
    <row r="90" spans="1:9" s="3" customFormat="1" ht="22.5" customHeight="1" x14ac:dyDescent="0.25">
      <c r="A90" s="26"/>
      <c r="B90" s="27"/>
      <c r="C90" s="28"/>
      <c r="D90" s="28"/>
      <c r="E90" s="28"/>
      <c r="F90" s="28"/>
      <c r="G90" s="28"/>
      <c r="H90" s="28"/>
      <c r="I90" s="28"/>
    </row>
    <row r="91" spans="1:9" s="3" customFormat="1" ht="22.5" customHeight="1" x14ac:dyDescent="0.25">
      <c r="A91" s="26"/>
      <c r="B91" s="27"/>
      <c r="C91" s="28"/>
      <c r="D91" s="28"/>
      <c r="E91" s="28"/>
      <c r="F91" s="28"/>
      <c r="G91" s="28"/>
      <c r="H91" s="28"/>
      <c r="I91" s="28"/>
    </row>
    <row r="92" spans="1:9" s="3" customFormat="1" ht="22.5" customHeight="1" x14ac:dyDescent="0.25">
      <c r="A92" s="26"/>
      <c r="B92" s="27"/>
      <c r="C92" s="28"/>
      <c r="D92" s="28"/>
      <c r="E92" s="28"/>
      <c r="F92" s="28"/>
      <c r="G92" s="28"/>
      <c r="H92" s="28"/>
      <c r="I92" s="28"/>
    </row>
    <row r="93" spans="1:9" s="3" customFormat="1" ht="22.5" customHeight="1" x14ac:dyDescent="0.25">
      <c r="A93" s="26"/>
      <c r="B93" s="27"/>
      <c r="C93" s="28"/>
      <c r="D93" s="28"/>
      <c r="E93" s="28"/>
      <c r="F93" s="28"/>
      <c r="G93" s="28"/>
      <c r="H93" s="28"/>
      <c r="I93" s="28"/>
    </row>
    <row r="94" spans="1:9" s="3" customFormat="1" ht="22.5" customHeight="1" x14ac:dyDescent="0.25">
      <c r="A94" s="26"/>
      <c r="B94" s="27"/>
      <c r="C94" s="28"/>
      <c r="D94" s="28"/>
      <c r="E94" s="28"/>
      <c r="F94" s="28"/>
      <c r="G94" s="28"/>
      <c r="H94" s="28"/>
      <c r="I94" s="28"/>
    </row>
    <row r="95" spans="1:9" s="3" customFormat="1" ht="22.5" customHeight="1" x14ac:dyDescent="0.25">
      <c r="A95" s="26"/>
      <c r="B95" s="27"/>
      <c r="C95" s="28"/>
      <c r="D95" s="28"/>
      <c r="E95" s="28"/>
      <c r="F95" s="28"/>
      <c r="G95" s="28"/>
      <c r="H95" s="28"/>
      <c r="I95" s="28"/>
    </row>
    <row r="96" spans="1:9" s="3" customFormat="1" ht="22.5" customHeight="1" x14ac:dyDescent="0.25">
      <c r="A96" s="26"/>
      <c r="B96" s="27"/>
      <c r="C96" s="28"/>
      <c r="D96" s="28"/>
      <c r="E96" s="28"/>
      <c r="F96" s="28"/>
      <c r="G96" s="28"/>
      <c r="H96" s="28"/>
      <c r="I96" s="28"/>
    </row>
    <row r="97" spans="1:9" s="3" customFormat="1" ht="22.5" customHeight="1" x14ac:dyDescent="0.25">
      <c r="A97" s="26"/>
      <c r="B97" s="27"/>
      <c r="C97" s="28"/>
      <c r="D97" s="28"/>
      <c r="E97" s="28"/>
      <c r="F97" s="28"/>
      <c r="G97" s="28"/>
      <c r="H97" s="28"/>
      <c r="I97" s="28"/>
    </row>
    <row r="98" spans="1:9" s="3" customFormat="1" ht="22.5" customHeight="1" x14ac:dyDescent="0.25">
      <c r="A98" s="26"/>
      <c r="B98" s="27"/>
      <c r="C98" s="28"/>
      <c r="D98" s="28"/>
      <c r="E98" s="28"/>
      <c r="F98" s="28"/>
      <c r="G98" s="28"/>
      <c r="H98" s="28"/>
      <c r="I98" s="28"/>
    </row>
    <row r="99" spans="1:9" s="3" customFormat="1" ht="22.5" customHeight="1" x14ac:dyDescent="0.25">
      <c r="A99" s="26"/>
      <c r="B99" s="27"/>
      <c r="C99" s="28"/>
      <c r="D99" s="28"/>
      <c r="E99" s="28"/>
      <c r="F99" s="28"/>
      <c r="G99" s="28"/>
      <c r="H99" s="28"/>
      <c r="I99" s="28"/>
    </row>
    <row r="100" spans="1:9" s="3" customFormat="1" ht="22.5" customHeight="1" x14ac:dyDescent="0.25">
      <c r="A100" s="26"/>
      <c r="B100" s="27"/>
      <c r="C100" s="28"/>
      <c r="D100" s="28"/>
      <c r="E100" s="28"/>
      <c r="F100" s="28"/>
      <c r="G100" s="28"/>
      <c r="H100" s="28"/>
      <c r="I100" s="28"/>
    </row>
    <row r="101" spans="1:9" s="3" customFormat="1" ht="22.5" customHeight="1" x14ac:dyDescent="0.25">
      <c r="A101" s="26"/>
      <c r="B101" s="27"/>
      <c r="C101" s="28"/>
      <c r="D101" s="28"/>
      <c r="E101" s="28"/>
      <c r="F101" s="28"/>
      <c r="G101" s="28"/>
      <c r="H101" s="28"/>
      <c r="I101" s="28"/>
    </row>
    <row r="102" spans="1:9" s="3" customFormat="1" ht="22.5" customHeight="1" x14ac:dyDescent="0.25">
      <c r="A102" s="26"/>
      <c r="B102" s="27"/>
      <c r="C102" s="28"/>
      <c r="D102" s="28"/>
      <c r="E102" s="28"/>
      <c r="F102" s="28"/>
      <c r="G102" s="28"/>
      <c r="H102" s="28"/>
      <c r="I102" s="28"/>
    </row>
    <row r="103" spans="1:9" s="3" customFormat="1" ht="22.5" customHeight="1" x14ac:dyDescent="0.25">
      <c r="A103" s="26"/>
      <c r="B103" s="27"/>
      <c r="C103" s="28"/>
      <c r="D103" s="28"/>
      <c r="E103" s="28"/>
      <c r="F103" s="28"/>
      <c r="G103" s="28"/>
      <c r="H103" s="28"/>
      <c r="I103" s="28"/>
    </row>
    <row r="104" spans="1:9" s="3" customFormat="1" ht="22.5" customHeight="1" x14ac:dyDescent="0.25">
      <c r="A104" s="26"/>
      <c r="B104" s="27"/>
      <c r="C104" s="28"/>
      <c r="D104" s="28"/>
      <c r="E104" s="28"/>
      <c r="F104" s="28"/>
      <c r="G104" s="28"/>
      <c r="H104" s="28"/>
      <c r="I104" s="28"/>
    </row>
    <row r="105" spans="1:9" s="3" customFormat="1" ht="22.5" customHeight="1" x14ac:dyDescent="0.25">
      <c r="A105" s="26"/>
      <c r="B105" s="27"/>
      <c r="C105" s="28"/>
      <c r="D105" s="28"/>
      <c r="E105" s="28"/>
      <c r="F105" s="28"/>
      <c r="G105" s="28"/>
      <c r="H105" s="28"/>
      <c r="I105" s="28"/>
    </row>
    <row r="106" spans="1:9" s="3" customFormat="1" ht="22.5" customHeight="1" x14ac:dyDescent="0.25">
      <c r="A106" s="26"/>
      <c r="B106" s="27"/>
      <c r="C106" s="28"/>
      <c r="D106" s="28"/>
      <c r="E106" s="28"/>
      <c r="F106" s="28"/>
      <c r="G106" s="28"/>
      <c r="H106" s="28"/>
      <c r="I106" s="28"/>
    </row>
    <row r="107" spans="1:9" s="3" customFormat="1" ht="22.5" customHeight="1" x14ac:dyDescent="0.25">
      <c r="A107" s="26"/>
      <c r="B107" s="27"/>
      <c r="C107" s="28"/>
      <c r="D107" s="28"/>
      <c r="E107" s="28"/>
      <c r="F107" s="28"/>
      <c r="G107" s="28"/>
      <c r="H107" s="28"/>
      <c r="I107" s="28"/>
    </row>
    <row r="108" spans="1:9" s="3" customFormat="1" ht="22.5" customHeight="1" x14ac:dyDescent="0.25">
      <c r="A108" s="26"/>
      <c r="B108" s="27"/>
      <c r="C108" s="28"/>
      <c r="D108" s="28"/>
      <c r="E108" s="28"/>
      <c r="F108" s="28"/>
      <c r="G108" s="28"/>
      <c r="H108" s="28"/>
      <c r="I108" s="28"/>
    </row>
    <row r="109" spans="1:9" s="3" customFormat="1" ht="22.5" customHeight="1" x14ac:dyDescent="0.25">
      <c r="A109" s="26"/>
      <c r="B109" s="27"/>
      <c r="C109" s="28"/>
      <c r="D109" s="28"/>
      <c r="E109" s="28"/>
      <c r="F109" s="28"/>
      <c r="G109" s="28"/>
      <c r="H109" s="28"/>
      <c r="I109" s="28"/>
    </row>
    <row r="110" spans="1:9" s="3" customFormat="1" ht="22.5" customHeight="1" x14ac:dyDescent="0.25">
      <c r="A110" s="26"/>
      <c r="B110" s="27"/>
      <c r="C110" s="28"/>
      <c r="D110" s="28"/>
      <c r="E110" s="28"/>
      <c r="F110" s="28"/>
      <c r="G110" s="28"/>
      <c r="H110" s="28"/>
      <c r="I110" s="28"/>
    </row>
    <row r="111" spans="1:9" s="3" customFormat="1" ht="22.5" customHeight="1" x14ac:dyDescent="0.25">
      <c r="A111" s="26"/>
      <c r="B111" s="27"/>
      <c r="C111" s="28"/>
      <c r="D111" s="28"/>
      <c r="E111" s="28"/>
      <c r="F111" s="28"/>
      <c r="G111" s="28"/>
      <c r="H111" s="28"/>
      <c r="I111" s="28"/>
    </row>
    <row r="112" spans="1:9" s="3" customFormat="1" ht="22.5" customHeight="1" x14ac:dyDescent="0.25">
      <c r="A112" s="26"/>
      <c r="B112" s="27"/>
      <c r="C112" s="28"/>
      <c r="D112" s="28"/>
      <c r="E112" s="28"/>
      <c r="F112" s="28"/>
      <c r="G112" s="28"/>
      <c r="H112" s="28"/>
      <c r="I112" s="28"/>
    </row>
    <row r="113" spans="1:9" s="3" customFormat="1" ht="22.5" customHeight="1" x14ac:dyDescent="0.25">
      <c r="A113" s="26"/>
      <c r="B113" s="27"/>
      <c r="C113" s="28"/>
      <c r="D113" s="28"/>
      <c r="E113" s="28"/>
      <c r="F113" s="28"/>
      <c r="G113" s="28"/>
      <c r="H113" s="28"/>
      <c r="I113" s="28"/>
    </row>
    <row r="114" spans="1:9" s="3" customFormat="1" ht="22.5" customHeight="1" x14ac:dyDescent="0.25">
      <c r="A114" s="26"/>
      <c r="B114" s="27"/>
      <c r="C114" s="28"/>
      <c r="D114" s="28"/>
      <c r="E114" s="28"/>
      <c r="F114" s="28"/>
      <c r="G114" s="28"/>
      <c r="H114" s="28"/>
      <c r="I114" s="28"/>
    </row>
    <row r="115" spans="1:9" s="3" customFormat="1" ht="22.5" customHeight="1" x14ac:dyDescent="0.25">
      <c r="A115" s="26"/>
      <c r="B115" s="27"/>
      <c r="C115" s="28"/>
      <c r="D115" s="28"/>
      <c r="E115" s="28"/>
      <c r="F115" s="28"/>
      <c r="G115" s="28"/>
      <c r="H115" s="28"/>
      <c r="I115" s="28"/>
    </row>
    <row r="116" spans="1:9" s="3" customFormat="1" ht="22.5" customHeight="1" x14ac:dyDescent="0.25">
      <c r="A116" s="26"/>
      <c r="B116" s="27"/>
      <c r="C116" s="28"/>
      <c r="D116" s="28"/>
      <c r="E116" s="28"/>
      <c r="F116" s="28"/>
      <c r="G116" s="28"/>
      <c r="H116" s="28"/>
      <c r="I116" s="28"/>
    </row>
    <row r="117" spans="1:9" s="3" customFormat="1" ht="22.5" customHeight="1" x14ac:dyDescent="0.25">
      <c r="A117" s="26"/>
      <c r="B117" s="27"/>
      <c r="C117" s="28"/>
      <c r="D117" s="28"/>
      <c r="E117" s="28"/>
      <c r="F117" s="28"/>
      <c r="G117" s="28"/>
      <c r="H117" s="28"/>
      <c r="I117" s="28"/>
    </row>
    <row r="118" spans="1:9" s="3" customFormat="1" ht="22.5" customHeight="1" x14ac:dyDescent="0.25">
      <c r="A118" s="26"/>
      <c r="B118" s="27"/>
      <c r="C118" s="28"/>
      <c r="D118" s="28"/>
      <c r="E118" s="28"/>
      <c r="F118" s="28"/>
      <c r="G118" s="28"/>
      <c r="H118" s="28"/>
      <c r="I118" s="28"/>
    </row>
    <row r="119" spans="1:9" s="3" customFormat="1" ht="22.5" customHeight="1" x14ac:dyDescent="0.25">
      <c r="A119" s="26"/>
      <c r="B119" s="27"/>
      <c r="C119" s="28"/>
      <c r="D119" s="28"/>
      <c r="E119" s="28"/>
      <c r="F119" s="28"/>
      <c r="G119" s="28"/>
      <c r="H119" s="28"/>
      <c r="I119" s="28"/>
    </row>
    <row r="120" spans="1:9" s="3" customFormat="1" ht="22.5" customHeight="1" x14ac:dyDescent="0.25">
      <c r="A120" s="26"/>
      <c r="B120" s="27"/>
      <c r="C120" s="28"/>
      <c r="D120" s="28"/>
      <c r="E120" s="28"/>
      <c r="F120" s="28"/>
      <c r="G120" s="28"/>
      <c r="H120" s="28"/>
      <c r="I120" s="28"/>
    </row>
    <row r="121" spans="1:9" s="3" customFormat="1" ht="22.5" customHeight="1" x14ac:dyDescent="0.25">
      <c r="A121" s="26"/>
      <c r="B121" s="27"/>
      <c r="C121" s="28"/>
      <c r="D121" s="28"/>
      <c r="E121" s="28"/>
      <c r="F121" s="28"/>
      <c r="G121" s="28"/>
      <c r="H121" s="28"/>
      <c r="I121" s="28"/>
    </row>
    <row r="122" spans="1:9" s="3" customFormat="1" ht="22.5" customHeight="1" x14ac:dyDescent="0.25">
      <c r="A122" s="26"/>
      <c r="B122" s="27"/>
      <c r="C122" s="28"/>
      <c r="D122" s="28"/>
      <c r="E122" s="28"/>
      <c r="F122" s="28"/>
      <c r="G122" s="28"/>
      <c r="H122" s="28"/>
      <c r="I122" s="28"/>
    </row>
    <row r="123" spans="1:9" s="3" customFormat="1" ht="22.5" customHeight="1" x14ac:dyDescent="0.25">
      <c r="A123" s="26"/>
      <c r="B123" s="27"/>
      <c r="C123" s="28"/>
      <c r="D123" s="28"/>
      <c r="E123" s="28"/>
      <c r="F123" s="28"/>
      <c r="G123" s="28"/>
      <c r="H123" s="28"/>
      <c r="I123" s="28"/>
    </row>
    <row r="124" spans="1:9" s="3" customFormat="1" ht="22.5" customHeight="1" x14ac:dyDescent="0.25">
      <c r="A124" s="26"/>
      <c r="B124" s="27"/>
      <c r="C124" s="28"/>
      <c r="D124" s="28"/>
      <c r="E124" s="28"/>
      <c r="F124" s="28"/>
      <c r="G124" s="28"/>
      <c r="H124" s="28"/>
      <c r="I124" s="28"/>
    </row>
    <row r="125" spans="1:9" s="3" customFormat="1" ht="22.5" customHeight="1" x14ac:dyDescent="0.25">
      <c r="A125" s="26"/>
      <c r="B125" s="27"/>
      <c r="C125" s="28"/>
      <c r="D125" s="28"/>
      <c r="E125" s="28"/>
      <c r="F125" s="28"/>
      <c r="G125" s="28"/>
      <c r="H125" s="28"/>
      <c r="I125" s="28"/>
    </row>
    <row r="126" spans="1:9" s="3" customFormat="1" ht="22.5" customHeight="1" x14ac:dyDescent="0.25">
      <c r="A126" s="26"/>
      <c r="B126" s="27"/>
      <c r="C126" s="28"/>
      <c r="D126" s="28"/>
      <c r="E126" s="28"/>
      <c r="F126" s="28"/>
      <c r="G126" s="28"/>
      <c r="H126" s="28"/>
      <c r="I126" s="28"/>
    </row>
    <row r="127" spans="1:9" s="3" customFormat="1" ht="22.5" customHeight="1" x14ac:dyDescent="0.25">
      <c r="A127" s="26"/>
      <c r="B127" s="27"/>
      <c r="C127" s="28"/>
      <c r="D127" s="28"/>
      <c r="E127" s="28"/>
      <c r="F127" s="28"/>
      <c r="G127" s="28"/>
      <c r="H127" s="28"/>
      <c r="I127" s="28"/>
    </row>
    <row r="128" spans="1:9" s="3" customFormat="1" ht="22.5" customHeight="1" x14ac:dyDescent="0.25">
      <c r="A128" s="26"/>
      <c r="B128" s="27"/>
      <c r="C128" s="28"/>
      <c r="D128" s="28"/>
      <c r="E128" s="28"/>
      <c r="F128" s="28"/>
      <c r="G128" s="28"/>
      <c r="H128" s="28"/>
      <c r="I128" s="28"/>
    </row>
    <row r="129" spans="1:9" s="3" customFormat="1" ht="22.5" customHeight="1" x14ac:dyDescent="0.25">
      <c r="A129" s="26"/>
      <c r="B129" s="27"/>
      <c r="C129" s="28"/>
      <c r="D129" s="28"/>
      <c r="E129" s="28"/>
      <c r="F129" s="28"/>
      <c r="G129" s="28"/>
      <c r="H129" s="28"/>
      <c r="I129" s="28"/>
    </row>
    <row r="130" spans="1:9" s="3" customFormat="1" ht="22.5" customHeight="1" x14ac:dyDescent="0.25">
      <c r="A130" s="26"/>
      <c r="B130" s="27"/>
      <c r="C130" s="28"/>
      <c r="D130" s="28"/>
      <c r="E130" s="28"/>
      <c r="F130" s="28"/>
      <c r="G130" s="28"/>
      <c r="H130" s="28"/>
      <c r="I130" s="28"/>
    </row>
    <row r="131" spans="1:9" s="3" customFormat="1" ht="22.5" customHeight="1" x14ac:dyDescent="0.25">
      <c r="A131" s="26"/>
      <c r="B131" s="27"/>
      <c r="C131" s="28"/>
      <c r="D131" s="28"/>
      <c r="E131" s="28"/>
      <c r="F131" s="28"/>
      <c r="G131" s="28"/>
      <c r="H131" s="28"/>
      <c r="I131" s="28"/>
    </row>
    <row r="132" spans="1:9" s="3" customFormat="1" ht="22.5" customHeight="1" x14ac:dyDescent="0.25">
      <c r="A132" s="26"/>
      <c r="B132" s="27"/>
      <c r="C132" s="28"/>
      <c r="D132" s="28"/>
      <c r="E132" s="28"/>
      <c r="F132" s="28"/>
      <c r="G132" s="28"/>
      <c r="H132" s="28"/>
      <c r="I132" s="28"/>
    </row>
    <row r="133" spans="1:9" s="3" customFormat="1" ht="22.5" customHeight="1" x14ac:dyDescent="0.25">
      <c r="A133" s="26"/>
      <c r="B133" s="27"/>
      <c r="C133" s="28"/>
      <c r="D133" s="28"/>
      <c r="E133" s="28"/>
      <c r="F133" s="28"/>
      <c r="G133" s="28"/>
      <c r="H133" s="28"/>
      <c r="I133" s="28"/>
    </row>
    <row r="134" spans="1:9" s="3" customFormat="1" ht="22.5" customHeight="1" x14ac:dyDescent="0.25">
      <c r="A134" s="26"/>
      <c r="B134" s="27"/>
      <c r="C134" s="28"/>
      <c r="D134" s="28"/>
      <c r="E134" s="28"/>
      <c r="F134" s="28"/>
      <c r="G134" s="28"/>
      <c r="H134" s="28"/>
      <c r="I134" s="28"/>
    </row>
    <row r="135" spans="1:9" s="3" customFormat="1" ht="22.5" customHeight="1" x14ac:dyDescent="0.25">
      <c r="A135" s="26"/>
      <c r="B135" s="27"/>
      <c r="C135" s="28"/>
      <c r="D135" s="28"/>
      <c r="E135" s="28"/>
      <c r="F135" s="28"/>
      <c r="G135" s="28"/>
      <c r="H135" s="28"/>
      <c r="I135" s="28"/>
    </row>
    <row r="136" spans="1:9" s="3" customFormat="1" ht="22.5" customHeight="1" x14ac:dyDescent="0.25">
      <c r="A136" s="26"/>
      <c r="B136" s="27"/>
      <c r="C136" s="28"/>
      <c r="D136" s="28"/>
      <c r="E136" s="28"/>
      <c r="F136" s="28"/>
      <c r="G136" s="28"/>
      <c r="H136" s="28"/>
      <c r="I136" s="28"/>
    </row>
    <row r="137" spans="1:9" s="3" customFormat="1" ht="22.5" customHeight="1" x14ac:dyDescent="0.25">
      <c r="A137" s="26"/>
      <c r="B137" s="27"/>
      <c r="C137" s="28"/>
      <c r="D137" s="28"/>
      <c r="E137" s="28"/>
      <c r="F137" s="28"/>
      <c r="G137" s="28"/>
      <c r="H137" s="28"/>
      <c r="I137" s="28"/>
    </row>
    <row r="138" spans="1:9" s="3" customFormat="1" ht="22.5" customHeight="1" x14ac:dyDescent="0.25">
      <c r="A138" s="26"/>
      <c r="B138" s="27"/>
      <c r="C138" s="28"/>
      <c r="D138" s="28"/>
      <c r="E138" s="28"/>
      <c r="F138" s="28"/>
      <c r="G138" s="28"/>
      <c r="H138" s="28"/>
      <c r="I138" s="28"/>
    </row>
    <row r="139" spans="1:9" s="3" customFormat="1" ht="22.5" customHeight="1" x14ac:dyDescent="0.25">
      <c r="A139" s="26"/>
      <c r="B139" s="27"/>
      <c r="C139" s="28"/>
      <c r="D139" s="28"/>
      <c r="E139" s="28"/>
      <c r="F139" s="28"/>
      <c r="G139" s="28"/>
      <c r="H139" s="28"/>
      <c r="I139" s="28"/>
    </row>
    <row r="140" spans="1:9" s="3" customFormat="1" ht="22.5" customHeight="1" x14ac:dyDescent="0.25">
      <c r="A140" s="26"/>
      <c r="B140" s="27"/>
      <c r="C140" s="28"/>
      <c r="D140" s="28"/>
      <c r="E140" s="28"/>
      <c r="F140" s="28"/>
      <c r="G140" s="28"/>
      <c r="H140" s="28"/>
      <c r="I140" s="28"/>
    </row>
    <row r="141" spans="1:9" s="3" customFormat="1" ht="22.5" customHeight="1" x14ac:dyDescent="0.25">
      <c r="A141" s="26"/>
      <c r="B141" s="27"/>
      <c r="C141" s="28"/>
      <c r="D141" s="28"/>
      <c r="E141" s="28"/>
      <c r="F141" s="28"/>
      <c r="G141" s="28"/>
      <c r="H141" s="28"/>
      <c r="I141" s="28"/>
    </row>
    <row r="142" spans="1:9" s="3" customFormat="1" ht="22.5" customHeight="1" x14ac:dyDescent="0.25">
      <c r="A142" s="26"/>
      <c r="B142" s="27"/>
      <c r="C142" s="28"/>
      <c r="D142" s="28"/>
      <c r="E142" s="28"/>
      <c r="F142" s="28"/>
      <c r="G142" s="28"/>
      <c r="H142" s="28"/>
      <c r="I142" s="28"/>
    </row>
    <row r="143" spans="1:9" s="3" customFormat="1" ht="22.5" customHeight="1" x14ac:dyDescent="0.25">
      <c r="A143" s="26"/>
      <c r="B143" s="27"/>
      <c r="C143" s="28"/>
      <c r="D143" s="28"/>
      <c r="E143" s="28"/>
      <c r="F143" s="28"/>
      <c r="G143" s="28"/>
      <c r="H143" s="28"/>
      <c r="I143" s="28"/>
    </row>
    <row r="144" spans="1:9" s="3" customFormat="1" ht="22.5" customHeight="1" x14ac:dyDescent="0.25">
      <c r="A144" s="26"/>
      <c r="B144" s="27"/>
      <c r="C144" s="28"/>
      <c r="D144" s="28"/>
      <c r="E144" s="28"/>
      <c r="F144" s="28"/>
      <c r="G144" s="28"/>
      <c r="H144" s="28"/>
      <c r="I144" s="28"/>
    </row>
    <row r="145" spans="1:9" s="3" customFormat="1" ht="22.5" customHeight="1" x14ac:dyDescent="0.25">
      <c r="A145" s="26"/>
      <c r="B145" s="27"/>
      <c r="C145" s="28"/>
      <c r="D145" s="28"/>
      <c r="E145" s="28"/>
      <c r="F145" s="28"/>
      <c r="G145" s="28"/>
      <c r="H145" s="28"/>
      <c r="I145" s="28"/>
    </row>
    <row r="146" spans="1:9" s="3" customFormat="1" ht="22.5" customHeight="1" x14ac:dyDescent="0.25">
      <c r="A146" s="26"/>
      <c r="B146" s="27"/>
      <c r="C146" s="28"/>
      <c r="D146" s="28"/>
      <c r="E146" s="28"/>
      <c r="F146" s="28"/>
      <c r="G146" s="28"/>
      <c r="H146" s="28"/>
      <c r="I146" s="28"/>
    </row>
    <row r="147" spans="1:9" s="3" customFormat="1" ht="22.5" customHeight="1" x14ac:dyDescent="0.25">
      <c r="A147" s="26"/>
      <c r="B147" s="27"/>
      <c r="C147" s="28"/>
      <c r="D147" s="28"/>
      <c r="E147" s="28"/>
      <c r="F147" s="28"/>
      <c r="G147" s="28"/>
      <c r="H147" s="28"/>
      <c r="I147" s="28"/>
    </row>
    <row r="148" spans="1:9" s="3" customFormat="1" ht="22.5" customHeight="1" x14ac:dyDescent="0.25">
      <c r="A148" s="26"/>
      <c r="B148" s="27"/>
      <c r="C148" s="28"/>
      <c r="D148" s="28"/>
      <c r="E148" s="28"/>
      <c r="F148" s="28"/>
      <c r="G148" s="28"/>
      <c r="H148" s="28"/>
      <c r="I148" s="28"/>
    </row>
    <row r="149" spans="1:9" s="3" customFormat="1" ht="22.5" customHeight="1" x14ac:dyDescent="0.25">
      <c r="A149" s="26"/>
      <c r="B149" s="27"/>
      <c r="C149" s="28"/>
      <c r="D149" s="28"/>
      <c r="E149" s="28"/>
      <c r="F149" s="28"/>
      <c r="G149" s="28"/>
      <c r="H149" s="28"/>
      <c r="I149" s="28"/>
    </row>
    <row r="150" spans="1:9" s="3" customFormat="1" ht="22.5" customHeight="1" x14ac:dyDescent="0.25">
      <c r="A150" s="26"/>
      <c r="B150" s="27"/>
      <c r="C150" s="28"/>
      <c r="D150" s="28"/>
      <c r="E150" s="28"/>
      <c r="F150" s="28"/>
      <c r="G150" s="28"/>
      <c r="H150" s="28"/>
      <c r="I150" s="28"/>
    </row>
    <row r="151" spans="1:9" s="3" customFormat="1" ht="22.5" customHeight="1" x14ac:dyDescent="0.25">
      <c r="A151" s="26"/>
      <c r="B151" s="27"/>
      <c r="C151" s="28"/>
      <c r="D151" s="28"/>
      <c r="E151" s="28"/>
      <c r="F151" s="28"/>
      <c r="G151" s="28"/>
      <c r="H151" s="28"/>
      <c r="I151" s="28"/>
    </row>
    <row r="152" spans="1:9" s="3" customFormat="1" ht="22.5" customHeight="1" x14ac:dyDescent="0.25">
      <c r="A152" s="26"/>
      <c r="B152" s="27"/>
      <c r="C152" s="28"/>
      <c r="D152" s="28"/>
      <c r="E152" s="28"/>
      <c r="F152" s="28"/>
      <c r="G152" s="28"/>
      <c r="H152" s="28"/>
      <c r="I152" s="28"/>
    </row>
    <row r="153" spans="1:9" s="3" customFormat="1" ht="22.5" customHeight="1" x14ac:dyDescent="0.25">
      <c r="A153" s="26"/>
      <c r="B153" s="27"/>
      <c r="C153" s="28"/>
      <c r="D153" s="28"/>
      <c r="E153" s="28"/>
      <c r="F153" s="28"/>
      <c r="G153" s="28"/>
      <c r="H153" s="28"/>
      <c r="I153" s="28"/>
    </row>
    <row r="154" spans="1:9" s="3" customFormat="1" ht="22.5" customHeight="1" x14ac:dyDescent="0.25">
      <c r="A154" s="26"/>
      <c r="B154" s="27"/>
      <c r="C154" s="28"/>
      <c r="D154" s="28"/>
      <c r="E154" s="28"/>
      <c r="F154" s="28"/>
      <c r="G154" s="28"/>
      <c r="H154" s="28"/>
      <c r="I154" s="28"/>
    </row>
    <row r="155" spans="1:9" s="3" customFormat="1" ht="22.5" customHeight="1" x14ac:dyDescent="0.25">
      <c r="A155" s="26"/>
      <c r="B155" s="27"/>
      <c r="C155" s="28"/>
      <c r="D155" s="28"/>
      <c r="E155" s="28"/>
      <c r="F155" s="28"/>
      <c r="G155" s="28"/>
      <c r="H155" s="28"/>
      <c r="I155" s="28"/>
    </row>
    <row r="156" spans="1:9" s="3" customFormat="1" ht="22.5" customHeight="1" x14ac:dyDescent="0.25">
      <c r="A156" s="26"/>
      <c r="B156" s="27"/>
      <c r="C156" s="28"/>
      <c r="D156" s="28"/>
      <c r="E156" s="28"/>
      <c r="F156" s="28"/>
      <c r="G156" s="28"/>
      <c r="H156" s="28"/>
      <c r="I156" s="28"/>
    </row>
    <row r="157" spans="1:9" s="3" customFormat="1" ht="22.5" customHeight="1" x14ac:dyDescent="0.25">
      <c r="A157" s="26"/>
      <c r="B157" s="27"/>
      <c r="C157" s="28"/>
      <c r="D157" s="28"/>
      <c r="E157" s="28"/>
      <c r="F157" s="28"/>
      <c r="G157" s="28"/>
      <c r="H157" s="28"/>
      <c r="I157" s="28"/>
    </row>
    <row r="158" spans="1:9" s="3" customFormat="1" ht="22.5" customHeight="1" x14ac:dyDescent="0.25">
      <c r="A158" s="26"/>
      <c r="B158" s="27"/>
      <c r="C158" s="28"/>
      <c r="D158" s="28"/>
      <c r="E158" s="28"/>
      <c r="F158" s="28"/>
      <c r="G158" s="28"/>
      <c r="H158" s="28"/>
      <c r="I158" s="28"/>
    </row>
    <row r="159" spans="1:9" s="3" customFormat="1" ht="22.5" customHeight="1" x14ac:dyDescent="0.25">
      <c r="A159" s="26"/>
      <c r="B159" s="27"/>
      <c r="C159" s="28"/>
      <c r="D159" s="28"/>
      <c r="E159" s="28"/>
      <c r="F159" s="28"/>
      <c r="G159" s="28"/>
      <c r="H159" s="28"/>
      <c r="I159" s="28"/>
    </row>
    <row r="160" spans="1:9" s="3" customFormat="1" ht="22.5" customHeight="1" x14ac:dyDescent="0.25">
      <c r="A160" s="26"/>
      <c r="B160" s="27"/>
      <c r="C160" s="28"/>
      <c r="D160" s="28"/>
      <c r="E160" s="28"/>
      <c r="F160" s="28"/>
      <c r="G160" s="28"/>
      <c r="H160" s="28"/>
      <c r="I160" s="28"/>
    </row>
    <row r="161" spans="1:9" s="3" customFormat="1" ht="22.5" customHeight="1" x14ac:dyDescent="0.25">
      <c r="A161" s="26"/>
      <c r="B161" s="27"/>
      <c r="C161" s="28"/>
      <c r="D161" s="28"/>
      <c r="E161" s="28"/>
      <c r="F161" s="28"/>
      <c r="G161" s="28"/>
      <c r="H161" s="28"/>
      <c r="I161" s="28"/>
    </row>
    <row r="162" spans="1:9" s="3" customFormat="1" ht="22.5" customHeight="1" x14ac:dyDescent="0.25">
      <c r="A162" s="26"/>
      <c r="B162" s="27"/>
      <c r="C162" s="28"/>
      <c r="D162" s="28"/>
      <c r="E162" s="28"/>
      <c r="F162" s="28"/>
      <c r="G162" s="28"/>
      <c r="H162" s="28"/>
      <c r="I162" s="28"/>
    </row>
    <row r="163" spans="1:9" s="3" customFormat="1" ht="22.5" customHeight="1" x14ac:dyDescent="0.25">
      <c r="A163" s="26"/>
      <c r="B163" s="27"/>
      <c r="C163" s="28"/>
      <c r="D163" s="28"/>
      <c r="E163" s="28"/>
      <c r="F163" s="28"/>
      <c r="G163" s="28"/>
      <c r="H163" s="28"/>
      <c r="I163" s="28"/>
    </row>
    <row r="164" spans="1:9" s="3" customFormat="1" ht="22.5" customHeight="1" x14ac:dyDescent="0.25">
      <c r="A164" s="26"/>
      <c r="B164" s="27"/>
      <c r="C164" s="28"/>
      <c r="D164" s="28"/>
      <c r="E164" s="28"/>
      <c r="F164" s="28"/>
      <c r="G164" s="28"/>
      <c r="H164" s="28"/>
      <c r="I164" s="28"/>
    </row>
    <row r="165" spans="1:9" s="3" customFormat="1" ht="22.5" customHeight="1" x14ac:dyDescent="0.25">
      <c r="A165" s="26"/>
      <c r="B165" s="27"/>
      <c r="C165" s="28"/>
      <c r="D165" s="28"/>
      <c r="E165" s="28"/>
      <c r="F165" s="28"/>
      <c r="G165" s="28"/>
      <c r="H165" s="28"/>
      <c r="I165" s="28"/>
    </row>
    <row r="166" spans="1:9" s="3" customFormat="1" ht="22.5" customHeight="1" x14ac:dyDescent="0.25">
      <c r="A166" s="26"/>
      <c r="B166" s="27"/>
      <c r="C166" s="28"/>
      <c r="D166" s="28"/>
      <c r="E166" s="28"/>
      <c r="F166" s="28"/>
      <c r="G166" s="28"/>
      <c r="H166" s="28"/>
      <c r="I166" s="28"/>
    </row>
    <row r="167" spans="1:9" s="3" customFormat="1" ht="22.5" customHeight="1" x14ac:dyDescent="0.25">
      <c r="A167" s="26"/>
      <c r="B167" s="27"/>
      <c r="C167" s="28"/>
      <c r="D167" s="28"/>
      <c r="E167" s="28"/>
      <c r="F167" s="28"/>
      <c r="G167" s="28"/>
      <c r="H167" s="28"/>
      <c r="I167" s="28"/>
    </row>
    <row r="168" spans="1:9" s="3" customFormat="1" ht="22.5" customHeight="1" x14ac:dyDescent="0.25">
      <c r="A168" s="26"/>
      <c r="B168" s="27"/>
      <c r="C168" s="28"/>
      <c r="D168" s="28"/>
      <c r="E168" s="28"/>
      <c r="F168" s="28"/>
      <c r="G168" s="28"/>
      <c r="H168" s="28"/>
      <c r="I168" s="28"/>
    </row>
    <row r="169" spans="1:9" s="3" customFormat="1" ht="22.5" customHeight="1" x14ac:dyDescent="0.25">
      <c r="A169" s="26"/>
      <c r="B169" s="27"/>
      <c r="C169" s="28"/>
      <c r="D169" s="28"/>
      <c r="E169" s="28"/>
      <c r="F169" s="28"/>
      <c r="G169" s="28"/>
      <c r="H169" s="28"/>
      <c r="I169" s="28"/>
    </row>
    <row r="170" spans="1:9" s="3" customFormat="1" ht="22.5" customHeight="1" x14ac:dyDescent="0.25">
      <c r="A170" s="26"/>
      <c r="B170" s="27"/>
      <c r="C170" s="28"/>
      <c r="D170" s="28"/>
      <c r="E170" s="28"/>
      <c r="F170" s="28"/>
      <c r="G170" s="28"/>
      <c r="H170" s="28"/>
      <c r="I170" s="28"/>
    </row>
    <row r="171" spans="1:9" s="3" customFormat="1" ht="22.5" customHeight="1" x14ac:dyDescent="0.25">
      <c r="A171" s="26"/>
      <c r="B171" s="27"/>
      <c r="C171" s="28"/>
      <c r="D171" s="28"/>
      <c r="E171" s="28"/>
      <c r="F171" s="28"/>
      <c r="G171" s="28"/>
      <c r="H171" s="28"/>
      <c r="I171" s="28"/>
    </row>
    <row r="172" spans="1:9" s="3" customFormat="1" ht="22.5" customHeight="1" x14ac:dyDescent="0.25">
      <c r="A172" s="26"/>
      <c r="B172" s="27"/>
      <c r="C172" s="28"/>
      <c r="D172" s="28"/>
      <c r="E172" s="28"/>
      <c r="F172" s="28"/>
      <c r="G172" s="28"/>
      <c r="H172" s="28"/>
      <c r="I172" s="28"/>
    </row>
    <row r="173" spans="1:9" s="3" customFormat="1" ht="22.5" customHeight="1" x14ac:dyDescent="0.25">
      <c r="A173" s="26"/>
      <c r="B173" s="27"/>
      <c r="C173" s="28"/>
      <c r="D173" s="28"/>
      <c r="E173" s="28"/>
      <c r="F173" s="28"/>
      <c r="G173" s="28"/>
      <c r="H173" s="28"/>
      <c r="I173" s="28"/>
    </row>
    <row r="174" spans="1:9" s="3" customFormat="1" ht="22.5" customHeight="1" x14ac:dyDescent="0.25">
      <c r="A174" s="26"/>
      <c r="B174" s="27"/>
      <c r="C174" s="28"/>
      <c r="D174" s="28"/>
      <c r="E174" s="28"/>
      <c r="F174" s="28"/>
      <c r="G174" s="28"/>
      <c r="H174" s="28"/>
      <c r="I174" s="28"/>
    </row>
    <row r="175" spans="1:9" s="3" customFormat="1" ht="22.5" customHeight="1" x14ac:dyDescent="0.25">
      <c r="A175" s="26"/>
      <c r="B175" s="27"/>
      <c r="C175" s="28"/>
      <c r="D175" s="28"/>
      <c r="E175" s="28"/>
      <c r="F175" s="28"/>
      <c r="G175" s="28"/>
      <c r="H175" s="28"/>
      <c r="I175" s="28"/>
    </row>
    <row r="176" spans="1:9" s="3" customFormat="1" ht="22.5" customHeight="1" x14ac:dyDescent="0.25">
      <c r="A176" s="26"/>
      <c r="B176" s="27"/>
      <c r="C176" s="28"/>
      <c r="D176" s="28"/>
      <c r="E176" s="28"/>
      <c r="F176" s="28"/>
      <c r="G176" s="28"/>
      <c r="H176" s="28"/>
      <c r="I176" s="28"/>
    </row>
    <row r="177" spans="1:9" s="3" customFormat="1" ht="22.5" customHeight="1" x14ac:dyDescent="0.25">
      <c r="A177" s="26"/>
      <c r="B177" s="27"/>
      <c r="C177" s="28"/>
      <c r="D177" s="28"/>
      <c r="E177" s="28"/>
      <c r="F177" s="28"/>
      <c r="G177" s="28"/>
      <c r="H177" s="28"/>
      <c r="I177" s="28"/>
    </row>
    <row r="178" spans="1:9" s="3" customFormat="1" ht="22.5" customHeight="1" x14ac:dyDescent="0.25">
      <c r="A178" s="26"/>
      <c r="B178" s="27"/>
      <c r="C178" s="28"/>
      <c r="D178" s="28"/>
      <c r="E178" s="28"/>
      <c r="F178" s="28"/>
      <c r="G178" s="28"/>
      <c r="H178" s="28"/>
      <c r="I178" s="28"/>
    </row>
    <row r="179" spans="1:9" s="3" customFormat="1" ht="22.5" customHeight="1" x14ac:dyDescent="0.25">
      <c r="A179" s="26"/>
      <c r="B179" s="27"/>
      <c r="C179" s="28"/>
      <c r="D179" s="28"/>
      <c r="E179" s="28"/>
      <c r="F179" s="28"/>
      <c r="G179" s="28"/>
      <c r="H179" s="28"/>
      <c r="I179" s="28"/>
    </row>
    <row r="180" spans="1:9" s="3" customFormat="1" ht="22.5" customHeight="1" x14ac:dyDescent="0.25">
      <c r="A180" s="26"/>
      <c r="B180" s="27"/>
      <c r="C180" s="28"/>
      <c r="D180" s="28"/>
      <c r="E180" s="28"/>
      <c r="F180" s="28"/>
      <c r="G180" s="28"/>
      <c r="H180" s="28"/>
      <c r="I180" s="28"/>
    </row>
    <row r="181" spans="1:9" s="3" customFormat="1" ht="22.5" customHeight="1" x14ac:dyDescent="0.25">
      <c r="A181" s="26"/>
      <c r="B181" s="27"/>
      <c r="C181" s="28"/>
      <c r="D181" s="28"/>
      <c r="E181" s="28"/>
      <c r="F181" s="28"/>
      <c r="G181" s="28"/>
      <c r="H181" s="28"/>
      <c r="I181" s="28"/>
    </row>
    <row r="182" spans="1:9" s="3" customFormat="1" ht="22.5" customHeight="1" x14ac:dyDescent="0.25">
      <c r="A182" s="26"/>
      <c r="B182" s="27"/>
      <c r="C182" s="28"/>
      <c r="D182" s="28"/>
      <c r="E182" s="28"/>
      <c r="F182" s="28"/>
      <c r="G182" s="28"/>
      <c r="H182" s="28"/>
      <c r="I182" s="28"/>
    </row>
    <row r="183" spans="1:9" s="3" customFormat="1" ht="22.5" customHeight="1" x14ac:dyDescent="0.25">
      <c r="A183" s="26"/>
      <c r="B183" s="27"/>
      <c r="C183" s="28"/>
      <c r="D183" s="28"/>
      <c r="E183" s="28"/>
      <c r="F183" s="28"/>
      <c r="G183" s="28"/>
      <c r="H183" s="28"/>
      <c r="I183" s="28"/>
    </row>
    <row r="184" spans="1:9" s="3" customFormat="1" ht="22.5" customHeight="1" x14ac:dyDescent="0.25">
      <c r="A184" s="26"/>
      <c r="B184" s="27"/>
      <c r="C184" s="28"/>
      <c r="D184" s="28"/>
      <c r="E184" s="28"/>
      <c r="F184" s="28"/>
      <c r="G184" s="28"/>
      <c r="H184" s="28"/>
      <c r="I184" s="28"/>
    </row>
    <row r="185" spans="1:9" s="3" customFormat="1" ht="22.5" customHeight="1" x14ac:dyDescent="0.25">
      <c r="A185" s="26"/>
      <c r="B185" s="27"/>
      <c r="C185" s="28"/>
      <c r="D185" s="28"/>
      <c r="E185" s="28"/>
      <c r="F185" s="28"/>
      <c r="G185" s="28"/>
      <c r="H185" s="28"/>
      <c r="I185" s="28"/>
    </row>
    <row r="186" spans="1:9" s="3" customFormat="1" ht="22.5" customHeight="1" x14ac:dyDescent="0.25">
      <c r="A186" s="26"/>
      <c r="B186" s="27"/>
      <c r="C186" s="28"/>
      <c r="D186" s="28"/>
      <c r="E186" s="28"/>
      <c r="F186" s="28"/>
      <c r="G186" s="28"/>
      <c r="H186" s="28"/>
      <c r="I186" s="28"/>
    </row>
    <row r="187" spans="1:9" s="3" customFormat="1" ht="22.5" customHeight="1" x14ac:dyDescent="0.25">
      <c r="A187" s="26"/>
      <c r="B187" s="27"/>
      <c r="C187" s="28"/>
      <c r="D187" s="28"/>
      <c r="E187" s="28"/>
      <c r="F187" s="28"/>
      <c r="G187" s="28"/>
      <c r="H187" s="28"/>
      <c r="I187" s="28"/>
    </row>
    <row r="188" spans="1:9" s="3" customFormat="1" ht="22.5" customHeight="1" x14ac:dyDescent="0.25">
      <c r="A188" s="26"/>
      <c r="B188" s="27"/>
      <c r="C188" s="28"/>
      <c r="D188" s="28"/>
      <c r="E188" s="28"/>
      <c r="F188" s="28"/>
      <c r="G188" s="28"/>
      <c r="H188" s="28"/>
      <c r="I188" s="28"/>
    </row>
    <row r="189" spans="1:9" s="3" customFormat="1" ht="22.5" customHeight="1" x14ac:dyDescent="0.25">
      <c r="A189" s="26"/>
      <c r="B189" s="27"/>
      <c r="C189" s="28"/>
      <c r="D189" s="28"/>
      <c r="E189" s="28"/>
      <c r="F189" s="28"/>
      <c r="G189" s="28"/>
      <c r="H189" s="28"/>
      <c r="I189" s="28"/>
    </row>
    <row r="190" spans="1:9" s="3" customFormat="1" ht="22.5" customHeight="1" x14ac:dyDescent="0.25">
      <c r="A190" s="26"/>
      <c r="B190" s="27"/>
      <c r="C190" s="28"/>
      <c r="D190" s="28"/>
      <c r="E190" s="28"/>
      <c r="F190" s="28"/>
      <c r="G190" s="28"/>
      <c r="H190" s="28"/>
      <c r="I190" s="28"/>
    </row>
    <row r="191" spans="1:9" s="3" customFormat="1" ht="22.5" customHeight="1" x14ac:dyDescent="0.25">
      <c r="A191" s="26"/>
      <c r="B191" s="27"/>
      <c r="C191" s="28"/>
      <c r="D191" s="28"/>
      <c r="E191" s="28"/>
      <c r="F191" s="28"/>
      <c r="G191" s="28"/>
      <c r="H191" s="28"/>
      <c r="I191" s="28"/>
    </row>
    <row r="192" spans="1:9" s="3" customFormat="1" ht="22.5" customHeight="1" x14ac:dyDescent="0.25">
      <c r="A192" s="26"/>
      <c r="B192" s="27"/>
      <c r="C192" s="28"/>
      <c r="D192" s="28"/>
      <c r="E192" s="28"/>
      <c r="F192" s="28"/>
      <c r="G192" s="28"/>
      <c r="H192" s="28"/>
      <c r="I192" s="28"/>
    </row>
    <row r="193" spans="1:9" s="3" customFormat="1" ht="22.5" customHeight="1" x14ac:dyDescent="0.25">
      <c r="A193" s="26"/>
      <c r="B193" s="27"/>
      <c r="C193" s="28"/>
      <c r="D193" s="28"/>
      <c r="E193" s="28"/>
      <c r="F193" s="28"/>
      <c r="G193" s="28"/>
      <c r="H193" s="28"/>
      <c r="I193" s="28"/>
    </row>
    <row r="194" spans="1:9" s="3" customFormat="1" ht="22.5" customHeight="1" x14ac:dyDescent="0.25">
      <c r="A194" s="26"/>
      <c r="B194" s="27"/>
      <c r="C194" s="28"/>
      <c r="D194" s="28"/>
      <c r="E194" s="28"/>
      <c r="F194" s="28"/>
      <c r="G194" s="28"/>
      <c r="H194" s="28"/>
      <c r="I194" s="28"/>
    </row>
    <row r="195" spans="1:9" s="3" customFormat="1" ht="22.5" customHeight="1" x14ac:dyDescent="0.25">
      <c r="A195" s="26"/>
      <c r="B195" s="27"/>
      <c r="C195" s="28"/>
      <c r="D195" s="28"/>
      <c r="E195" s="28"/>
      <c r="F195" s="28"/>
      <c r="G195" s="28"/>
      <c r="H195" s="28"/>
      <c r="I195" s="28"/>
    </row>
    <row r="196" spans="1:9" s="3" customFormat="1" ht="22.5" customHeight="1" x14ac:dyDescent="0.25">
      <c r="A196" s="26"/>
      <c r="B196" s="27"/>
      <c r="C196" s="28"/>
      <c r="D196" s="28"/>
      <c r="E196" s="28"/>
      <c r="F196" s="28"/>
      <c r="G196" s="28"/>
      <c r="H196" s="28"/>
      <c r="I196" s="28"/>
    </row>
    <row r="197" spans="1:9" s="3" customFormat="1" ht="22.5" customHeight="1" x14ac:dyDescent="0.25">
      <c r="A197" s="26"/>
      <c r="B197" s="27"/>
      <c r="C197" s="28"/>
      <c r="D197" s="28"/>
      <c r="E197" s="28"/>
      <c r="F197" s="28"/>
      <c r="G197" s="28"/>
      <c r="H197" s="28"/>
      <c r="I197" s="28"/>
    </row>
    <row r="198" spans="1:9" s="3" customFormat="1" ht="22.5" customHeight="1" x14ac:dyDescent="0.25">
      <c r="A198" s="26"/>
      <c r="B198" s="27"/>
      <c r="C198" s="28"/>
      <c r="D198" s="28"/>
      <c r="E198" s="28"/>
      <c r="F198" s="28"/>
      <c r="G198" s="28"/>
      <c r="H198" s="28"/>
      <c r="I198" s="28"/>
    </row>
    <row r="199" spans="1:9" s="3" customFormat="1" ht="22.5" customHeight="1" x14ac:dyDescent="0.25">
      <c r="A199" s="26"/>
      <c r="B199" s="27"/>
      <c r="C199" s="28"/>
      <c r="D199" s="28"/>
      <c r="E199" s="28"/>
      <c r="F199" s="28"/>
      <c r="G199" s="28"/>
      <c r="H199" s="28"/>
      <c r="I199" s="28"/>
    </row>
    <row r="200" spans="1:9" s="3" customFormat="1" ht="22.5" customHeight="1" x14ac:dyDescent="0.25">
      <c r="A200" s="26"/>
      <c r="B200" s="27"/>
      <c r="C200" s="28"/>
      <c r="D200" s="28"/>
      <c r="E200" s="28"/>
      <c r="F200" s="28"/>
      <c r="G200" s="28"/>
      <c r="H200" s="28"/>
      <c r="I200" s="28"/>
    </row>
    <row r="201" spans="1:9" s="3" customFormat="1" ht="22.5" customHeight="1" x14ac:dyDescent="0.25">
      <c r="A201" s="26"/>
      <c r="B201" s="27"/>
      <c r="C201" s="28"/>
      <c r="D201" s="28"/>
      <c r="E201" s="28"/>
      <c r="F201" s="28"/>
      <c r="G201" s="28"/>
      <c r="H201" s="28"/>
      <c r="I201" s="28"/>
    </row>
    <row r="202" spans="1:9" s="3" customFormat="1" ht="22.5" customHeight="1" x14ac:dyDescent="0.25">
      <c r="A202" s="26"/>
      <c r="B202" s="27"/>
      <c r="C202" s="28"/>
      <c r="D202" s="28"/>
      <c r="E202" s="28"/>
      <c r="F202" s="28"/>
      <c r="G202" s="28"/>
      <c r="H202" s="28"/>
      <c r="I202" s="28"/>
    </row>
    <row r="203" spans="1:9" s="3" customFormat="1" ht="22.5" customHeight="1" x14ac:dyDescent="0.25">
      <c r="A203" s="26"/>
      <c r="B203" s="27"/>
      <c r="C203" s="28"/>
      <c r="D203" s="28"/>
      <c r="E203" s="28"/>
      <c r="F203" s="28"/>
      <c r="G203" s="28"/>
      <c r="H203" s="28"/>
      <c r="I203" s="28"/>
    </row>
    <row r="204" spans="1:9" s="3" customFormat="1" ht="22.5" customHeight="1" x14ac:dyDescent="0.25">
      <c r="A204" s="26"/>
      <c r="B204" s="27"/>
      <c r="C204" s="28"/>
      <c r="D204" s="28"/>
      <c r="E204" s="28"/>
      <c r="F204" s="28"/>
      <c r="G204" s="28"/>
      <c r="H204" s="28"/>
      <c r="I204" s="28"/>
    </row>
    <row r="205" spans="1:9" s="3" customFormat="1" ht="22.5" customHeight="1" x14ac:dyDescent="0.25">
      <c r="A205" s="26"/>
      <c r="B205" s="27"/>
      <c r="C205" s="28"/>
      <c r="D205" s="28"/>
      <c r="E205" s="28"/>
      <c r="F205" s="28"/>
      <c r="G205" s="28"/>
      <c r="H205" s="28"/>
      <c r="I205" s="28"/>
    </row>
    <row r="206" spans="1:9" s="3" customFormat="1" ht="22.5" customHeight="1" x14ac:dyDescent="0.25">
      <c r="A206" s="26"/>
      <c r="B206" s="27"/>
      <c r="C206" s="28"/>
      <c r="D206" s="28"/>
      <c r="E206" s="28"/>
      <c r="F206" s="28"/>
      <c r="G206" s="28"/>
      <c r="H206" s="28"/>
      <c r="I206" s="28"/>
    </row>
    <row r="207" spans="1:9" s="3" customFormat="1" ht="22.5" customHeight="1" x14ac:dyDescent="0.25">
      <c r="A207" s="26"/>
      <c r="B207" s="27"/>
      <c r="C207" s="28"/>
      <c r="D207" s="28"/>
      <c r="E207" s="28"/>
      <c r="F207" s="28"/>
      <c r="G207" s="28"/>
      <c r="H207" s="28"/>
      <c r="I207" s="28"/>
    </row>
    <row r="208" spans="1:9" s="3" customFormat="1" ht="22.5" customHeight="1" x14ac:dyDescent="0.25">
      <c r="A208" s="26"/>
      <c r="B208" s="27"/>
      <c r="C208" s="28"/>
      <c r="D208" s="28"/>
      <c r="E208" s="28"/>
      <c r="F208" s="28"/>
      <c r="G208" s="28"/>
      <c r="H208" s="28"/>
      <c r="I208" s="28"/>
    </row>
    <row r="209" spans="1:9" s="3" customFormat="1" ht="22.5" customHeight="1" x14ac:dyDescent="0.25">
      <c r="A209" s="26"/>
      <c r="B209" s="27"/>
      <c r="C209" s="28"/>
      <c r="D209" s="28"/>
      <c r="E209" s="28"/>
      <c r="F209" s="28"/>
      <c r="G209" s="28"/>
      <c r="H209" s="28"/>
      <c r="I209" s="28"/>
    </row>
    <row r="210" spans="1:9" s="3" customFormat="1" ht="22.5" customHeight="1" x14ac:dyDescent="0.25">
      <c r="A210" s="26"/>
      <c r="B210" s="27"/>
      <c r="C210" s="28"/>
      <c r="D210" s="28"/>
      <c r="E210" s="28"/>
      <c r="F210" s="28"/>
      <c r="G210" s="28"/>
      <c r="H210" s="28"/>
      <c r="I210" s="28"/>
    </row>
    <row r="211" spans="1:9" s="3" customFormat="1" ht="22.5" customHeight="1" x14ac:dyDescent="0.25">
      <c r="A211" s="26"/>
      <c r="B211" s="27"/>
      <c r="C211" s="28"/>
      <c r="D211" s="28"/>
      <c r="E211" s="28"/>
      <c r="F211" s="28"/>
      <c r="G211" s="28"/>
      <c r="H211" s="28"/>
      <c r="I211" s="28"/>
    </row>
    <row r="212" spans="1:9" s="3" customFormat="1" ht="22.5" customHeight="1" x14ac:dyDescent="0.25">
      <c r="A212" s="26"/>
      <c r="B212" s="27"/>
      <c r="C212" s="28"/>
      <c r="D212" s="28"/>
      <c r="E212" s="28"/>
      <c r="F212" s="28"/>
      <c r="G212" s="28"/>
      <c r="H212" s="28"/>
      <c r="I212" s="28"/>
    </row>
    <row r="213" spans="1:9" s="3" customFormat="1" ht="22.5" customHeight="1" x14ac:dyDescent="0.25">
      <c r="A213" s="26"/>
      <c r="B213" s="27"/>
      <c r="C213" s="28"/>
      <c r="D213" s="28"/>
      <c r="E213" s="28"/>
      <c r="F213" s="28"/>
      <c r="G213" s="28"/>
      <c r="H213" s="28"/>
      <c r="I213" s="28"/>
    </row>
    <row r="214" spans="1:9" s="3" customFormat="1" ht="22.5" customHeight="1" x14ac:dyDescent="0.25">
      <c r="A214" s="26"/>
      <c r="B214" s="27"/>
      <c r="C214" s="28"/>
      <c r="D214" s="28"/>
      <c r="E214" s="28"/>
      <c r="F214" s="28"/>
      <c r="G214" s="28"/>
      <c r="H214" s="28"/>
      <c r="I214" s="28"/>
    </row>
    <row r="215" spans="1:9" s="3" customFormat="1" ht="22.5" customHeight="1" x14ac:dyDescent="0.25">
      <c r="A215" s="26"/>
      <c r="B215" s="27"/>
      <c r="C215" s="28"/>
      <c r="D215" s="28"/>
      <c r="E215" s="28"/>
      <c r="F215" s="28"/>
      <c r="G215" s="28"/>
      <c r="H215" s="28"/>
      <c r="I215" s="28"/>
    </row>
    <row r="216" spans="1:9" s="3" customFormat="1" ht="22.5" customHeight="1" x14ac:dyDescent="0.25">
      <c r="A216" s="26"/>
      <c r="B216" s="27"/>
      <c r="C216" s="28"/>
      <c r="D216" s="28"/>
      <c r="E216" s="28"/>
      <c r="F216" s="28"/>
      <c r="G216" s="28"/>
      <c r="H216" s="28"/>
      <c r="I216" s="28"/>
    </row>
    <row r="217" spans="1:9" s="3" customFormat="1" ht="22.5" customHeight="1" x14ac:dyDescent="0.25">
      <c r="A217" s="26"/>
      <c r="B217" s="27"/>
      <c r="C217" s="28"/>
      <c r="D217" s="28"/>
      <c r="E217" s="28"/>
      <c r="F217" s="28"/>
      <c r="G217" s="28"/>
      <c r="H217" s="28"/>
      <c r="I217" s="28"/>
    </row>
    <row r="218" spans="1:9" s="3" customFormat="1" ht="22.5" customHeight="1" x14ac:dyDescent="0.25">
      <c r="A218" s="26"/>
      <c r="B218" s="27"/>
      <c r="C218" s="28"/>
      <c r="D218" s="28"/>
      <c r="E218" s="28"/>
      <c r="F218" s="28"/>
      <c r="G218" s="28"/>
      <c r="H218" s="28"/>
      <c r="I218" s="28"/>
    </row>
    <row r="219" spans="1:9" s="3" customFormat="1" ht="22.5" customHeight="1" x14ac:dyDescent="0.25">
      <c r="A219" s="26"/>
      <c r="B219" s="27"/>
      <c r="C219" s="28"/>
      <c r="D219" s="28"/>
      <c r="E219" s="28"/>
      <c r="F219" s="28"/>
      <c r="G219" s="28"/>
      <c r="H219" s="28"/>
      <c r="I219" s="28"/>
    </row>
    <row r="220" spans="1:9" s="3" customFormat="1" ht="22.5" customHeight="1" x14ac:dyDescent="0.25">
      <c r="A220" s="26"/>
      <c r="B220" s="27"/>
      <c r="C220" s="28"/>
      <c r="D220" s="28"/>
      <c r="E220" s="28"/>
      <c r="F220" s="28"/>
      <c r="G220" s="28"/>
      <c r="H220" s="28"/>
      <c r="I220" s="28"/>
    </row>
    <row r="221" spans="1:9" s="3" customFormat="1" ht="22.5" customHeight="1" x14ac:dyDescent="0.25">
      <c r="A221" s="26"/>
      <c r="B221" s="27"/>
      <c r="C221" s="28"/>
      <c r="D221" s="28"/>
      <c r="E221" s="28"/>
      <c r="F221" s="28"/>
      <c r="G221" s="28"/>
      <c r="H221" s="28"/>
      <c r="I221" s="28"/>
    </row>
    <row r="222" spans="1:9" s="3" customFormat="1" ht="22.5" customHeight="1" x14ac:dyDescent="0.25">
      <c r="A222" s="26"/>
      <c r="B222" s="27"/>
      <c r="C222" s="28"/>
      <c r="D222" s="28"/>
      <c r="E222" s="28"/>
      <c r="F222" s="28"/>
      <c r="G222" s="28"/>
      <c r="H222" s="28"/>
      <c r="I222" s="28"/>
    </row>
    <row r="223" spans="1:9" s="3" customFormat="1" ht="22.5" customHeight="1" x14ac:dyDescent="0.25">
      <c r="A223" s="26"/>
      <c r="B223" s="27"/>
      <c r="C223" s="28"/>
      <c r="D223" s="28"/>
      <c r="E223" s="28"/>
      <c r="F223" s="28"/>
      <c r="G223" s="28"/>
      <c r="H223" s="28"/>
      <c r="I223" s="28"/>
    </row>
    <row r="224" spans="1:9" s="3" customFormat="1" ht="22.5" customHeight="1" x14ac:dyDescent="0.25">
      <c r="A224" s="26"/>
      <c r="B224" s="27"/>
      <c r="C224" s="28"/>
      <c r="D224" s="28"/>
      <c r="E224" s="28"/>
      <c r="F224" s="28"/>
      <c r="G224" s="28"/>
      <c r="H224" s="28"/>
      <c r="I224" s="28"/>
    </row>
    <row r="225" spans="1:9" s="3" customFormat="1" ht="22.5" customHeight="1" x14ac:dyDescent="0.25">
      <c r="A225" s="26"/>
      <c r="B225" s="27"/>
      <c r="C225" s="28"/>
      <c r="D225" s="28"/>
      <c r="E225" s="28"/>
      <c r="F225" s="28"/>
      <c r="G225" s="28"/>
      <c r="H225" s="28"/>
      <c r="I225" s="28"/>
    </row>
    <row r="226" spans="1:9" s="3" customFormat="1" ht="22.5" customHeight="1" x14ac:dyDescent="0.25">
      <c r="A226" s="26"/>
      <c r="B226" s="27"/>
      <c r="C226" s="28"/>
      <c r="D226" s="28"/>
      <c r="E226" s="28"/>
      <c r="F226" s="28"/>
      <c r="G226" s="28"/>
      <c r="H226" s="28"/>
      <c r="I226" s="28"/>
    </row>
    <row r="227" spans="1:9" s="3" customFormat="1" ht="22.5" customHeight="1" x14ac:dyDescent="0.25">
      <c r="A227" s="26"/>
      <c r="B227" s="27"/>
      <c r="C227" s="28"/>
      <c r="D227" s="28"/>
      <c r="E227" s="28"/>
      <c r="F227" s="28"/>
      <c r="G227" s="28"/>
      <c r="H227" s="28"/>
      <c r="I227" s="28"/>
    </row>
    <row r="228" spans="1:9" s="3" customFormat="1" ht="22.5" customHeight="1" x14ac:dyDescent="0.25">
      <c r="A228" s="26"/>
      <c r="B228" s="27"/>
      <c r="C228" s="28"/>
      <c r="D228" s="28"/>
      <c r="E228" s="28"/>
      <c r="F228" s="28"/>
      <c r="G228" s="28"/>
      <c r="H228" s="28"/>
      <c r="I228" s="28"/>
    </row>
    <row r="229" spans="1:9" s="3" customFormat="1" ht="22.5" customHeight="1" x14ac:dyDescent="0.25">
      <c r="A229" s="26"/>
      <c r="B229" s="27"/>
      <c r="C229" s="28"/>
      <c r="D229" s="28"/>
      <c r="E229" s="28"/>
      <c r="F229" s="28"/>
      <c r="G229" s="28"/>
      <c r="H229" s="28"/>
      <c r="I229" s="28"/>
    </row>
    <row r="230" spans="1:9" s="3" customFormat="1" ht="22.5" customHeight="1" x14ac:dyDescent="0.25">
      <c r="A230" s="26"/>
      <c r="B230" s="27"/>
      <c r="C230" s="28"/>
      <c r="D230" s="28"/>
      <c r="E230" s="28"/>
      <c r="F230" s="28"/>
      <c r="G230" s="28"/>
      <c r="H230" s="28"/>
      <c r="I230" s="28"/>
    </row>
    <row r="231" spans="1:9" s="3" customFormat="1" ht="22.5" customHeight="1" x14ac:dyDescent="0.25">
      <c r="A231" s="26"/>
      <c r="B231" s="27"/>
      <c r="C231" s="28"/>
      <c r="D231" s="28"/>
      <c r="E231" s="28"/>
      <c r="F231" s="28"/>
      <c r="G231" s="28"/>
      <c r="H231" s="28"/>
      <c r="I231" s="28"/>
    </row>
    <row r="232" spans="1:9" s="3" customFormat="1" ht="22.5" customHeight="1" x14ac:dyDescent="0.25">
      <c r="A232" s="26"/>
      <c r="B232" s="27"/>
      <c r="C232" s="28"/>
      <c r="D232" s="28"/>
      <c r="E232" s="28"/>
      <c r="F232" s="28"/>
      <c r="G232" s="28"/>
      <c r="H232" s="28"/>
      <c r="I232" s="28"/>
    </row>
    <row r="233" spans="1:9" s="3" customFormat="1" ht="22.5" customHeight="1" x14ac:dyDescent="0.25">
      <c r="A233" s="26"/>
      <c r="B233" s="27"/>
      <c r="C233" s="28"/>
      <c r="D233" s="28"/>
      <c r="E233" s="28"/>
      <c r="F233" s="28"/>
      <c r="G233" s="28"/>
      <c r="H233" s="28"/>
      <c r="I233" s="28"/>
    </row>
    <row r="234" spans="1:9" s="3" customFormat="1" ht="22.5" customHeight="1" x14ac:dyDescent="0.25">
      <c r="A234" s="26"/>
      <c r="B234" s="27"/>
      <c r="C234" s="28"/>
      <c r="D234" s="28"/>
      <c r="E234" s="28"/>
      <c r="F234" s="28"/>
      <c r="G234" s="28"/>
      <c r="H234" s="28"/>
      <c r="I234" s="28"/>
    </row>
    <row r="235" spans="1:9" s="3" customFormat="1" ht="22.5" customHeight="1" x14ac:dyDescent="0.25">
      <c r="A235" s="26"/>
      <c r="B235" s="27"/>
      <c r="C235" s="28"/>
      <c r="D235" s="28"/>
      <c r="E235" s="28"/>
      <c r="F235" s="28"/>
      <c r="G235" s="28"/>
      <c r="H235" s="28"/>
      <c r="I235" s="28"/>
    </row>
    <row r="236" spans="1:9" s="3" customFormat="1" ht="22.5" customHeight="1" x14ac:dyDescent="0.25">
      <c r="A236" s="26"/>
      <c r="B236" s="27"/>
      <c r="C236" s="28"/>
      <c r="D236" s="28"/>
      <c r="E236" s="28"/>
      <c r="F236" s="28"/>
      <c r="G236" s="28"/>
      <c r="H236" s="28"/>
      <c r="I236" s="28"/>
    </row>
    <row r="237" spans="1:9" s="3" customFormat="1" ht="22.5" customHeight="1" x14ac:dyDescent="0.25">
      <c r="A237" s="26"/>
      <c r="B237" s="27"/>
      <c r="C237" s="28"/>
      <c r="D237" s="28"/>
      <c r="E237" s="28"/>
      <c r="F237" s="28"/>
      <c r="G237" s="28"/>
      <c r="H237" s="28"/>
      <c r="I237" s="28"/>
    </row>
    <row r="238" spans="1:9" s="3" customFormat="1" ht="22.5" customHeight="1" x14ac:dyDescent="0.25">
      <c r="A238" s="26"/>
      <c r="B238" s="27"/>
      <c r="C238" s="28"/>
      <c r="D238" s="28"/>
      <c r="E238" s="28"/>
      <c r="F238" s="28"/>
      <c r="G238" s="28"/>
      <c r="H238" s="28"/>
      <c r="I238" s="28"/>
    </row>
    <row r="239" spans="1:9" s="3" customFormat="1" ht="22.5" customHeight="1" x14ac:dyDescent="0.25">
      <c r="A239" s="26"/>
      <c r="B239" s="27"/>
      <c r="C239" s="28"/>
      <c r="D239" s="28"/>
      <c r="E239" s="28"/>
      <c r="F239" s="28"/>
      <c r="G239" s="28"/>
      <c r="H239" s="28"/>
      <c r="I239" s="28"/>
    </row>
    <row r="240" spans="1:9" s="3" customFormat="1" ht="22.5" customHeight="1" x14ac:dyDescent="0.25">
      <c r="A240" s="26"/>
      <c r="B240" s="27"/>
      <c r="C240" s="28"/>
      <c r="D240" s="28"/>
      <c r="E240" s="28"/>
      <c r="F240" s="28"/>
      <c r="G240" s="28"/>
      <c r="H240" s="28"/>
      <c r="I240" s="28"/>
    </row>
    <row r="241" spans="1:9" s="3" customFormat="1" ht="22.5" customHeight="1" x14ac:dyDescent="0.25">
      <c r="A241" s="26"/>
      <c r="B241" s="27"/>
      <c r="C241" s="28"/>
      <c r="D241" s="28"/>
      <c r="E241" s="28"/>
      <c r="F241" s="28"/>
      <c r="G241" s="28"/>
      <c r="H241" s="28"/>
      <c r="I241" s="28"/>
    </row>
    <row r="242" spans="1:9" s="3" customFormat="1" ht="22.5" customHeight="1" x14ac:dyDescent="0.25">
      <c r="A242" s="26"/>
      <c r="B242" s="27"/>
      <c r="C242" s="28"/>
      <c r="D242" s="28"/>
      <c r="E242" s="28"/>
      <c r="F242" s="28"/>
      <c r="G242" s="28"/>
      <c r="H242" s="28"/>
      <c r="I242" s="28"/>
    </row>
    <row r="243" spans="1:9" s="3" customFormat="1" ht="22.5" customHeight="1" x14ac:dyDescent="0.25">
      <c r="A243" s="26"/>
      <c r="B243" s="27"/>
      <c r="C243" s="28"/>
      <c r="D243" s="28"/>
      <c r="E243" s="28"/>
      <c r="F243" s="28"/>
      <c r="G243" s="28"/>
      <c r="H243" s="28"/>
      <c r="I243" s="28"/>
    </row>
    <row r="244" spans="1:9" s="3" customFormat="1" ht="22.5" customHeight="1" x14ac:dyDescent="0.25">
      <c r="A244" s="26"/>
      <c r="B244" s="27"/>
      <c r="C244" s="28"/>
      <c r="D244" s="28"/>
      <c r="E244" s="28"/>
      <c r="F244" s="28"/>
      <c r="G244" s="28"/>
      <c r="H244" s="28"/>
      <c r="I244" s="28"/>
    </row>
    <row r="245" spans="1:9" s="3" customFormat="1" ht="22.5" customHeight="1" x14ac:dyDescent="0.25">
      <c r="A245" s="26"/>
      <c r="B245" s="27"/>
      <c r="C245" s="28"/>
      <c r="D245" s="28"/>
      <c r="E245" s="28"/>
      <c r="F245" s="28"/>
      <c r="G245" s="28"/>
      <c r="H245" s="28"/>
      <c r="I245" s="28"/>
    </row>
    <row r="246" spans="1:9" s="3" customFormat="1" ht="22.5" customHeight="1" x14ac:dyDescent="0.25">
      <c r="A246" s="26"/>
      <c r="B246" s="27"/>
      <c r="C246" s="28"/>
      <c r="D246" s="28"/>
      <c r="E246" s="28"/>
      <c r="F246" s="28"/>
      <c r="G246" s="28"/>
      <c r="H246" s="28"/>
      <c r="I246" s="28"/>
    </row>
    <row r="247" spans="1:9" s="3" customFormat="1" ht="22.5" customHeight="1" x14ac:dyDescent="0.25">
      <c r="A247" s="26"/>
      <c r="B247" s="27"/>
      <c r="C247" s="28"/>
      <c r="D247" s="28"/>
      <c r="E247" s="28"/>
      <c r="F247" s="28"/>
      <c r="G247" s="28"/>
      <c r="H247" s="28"/>
      <c r="I247" s="28"/>
    </row>
    <row r="248" spans="1:9" s="3" customFormat="1" ht="22.5" customHeight="1" x14ac:dyDescent="0.25">
      <c r="A248" s="26"/>
      <c r="B248" s="27"/>
      <c r="C248" s="28"/>
      <c r="D248" s="28"/>
      <c r="E248" s="28"/>
      <c r="F248" s="28"/>
      <c r="G248" s="28"/>
      <c r="H248" s="28"/>
      <c r="I248" s="28"/>
    </row>
    <row r="249" spans="1:9" s="3" customFormat="1" ht="22.5" customHeight="1" x14ac:dyDescent="0.25">
      <c r="A249" s="26"/>
      <c r="B249" s="27"/>
      <c r="C249" s="28"/>
      <c r="D249" s="28"/>
      <c r="E249" s="28"/>
      <c r="F249" s="28"/>
      <c r="G249" s="28"/>
      <c r="H249" s="28"/>
      <c r="I249" s="28"/>
    </row>
    <row r="250" spans="1:9" s="3" customFormat="1" ht="22.5" customHeight="1" x14ac:dyDescent="0.25">
      <c r="A250" s="26"/>
      <c r="B250" s="27"/>
      <c r="C250" s="28"/>
      <c r="D250" s="28"/>
      <c r="E250" s="28"/>
      <c r="F250" s="28"/>
      <c r="G250" s="28"/>
      <c r="H250" s="28"/>
      <c r="I250" s="28"/>
    </row>
    <row r="251" spans="1:9" s="3" customFormat="1" ht="22.5" customHeight="1" x14ac:dyDescent="0.25">
      <c r="A251" s="26"/>
      <c r="B251" s="27"/>
      <c r="C251" s="28"/>
      <c r="D251" s="28"/>
      <c r="E251" s="28"/>
      <c r="F251" s="28"/>
      <c r="G251" s="28"/>
      <c r="H251" s="28"/>
      <c r="I251" s="28"/>
    </row>
    <row r="252" spans="1:9" s="3" customFormat="1" ht="22.5" customHeight="1" x14ac:dyDescent="0.25">
      <c r="A252" s="26"/>
      <c r="B252" s="27"/>
      <c r="C252" s="28"/>
      <c r="D252" s="28"/>
      <c r="E252" s="28"/>
      <c r="F252" s="28"/>
      <c r="G252" s="28"/>
      <c r="H252" s="28"/>
      <c r="I252" s="28"/>
    </row>
    <row r="253" spans="1:9" s="3" customFormat="1" ht="22.5" customHeight="1" x14ac:dyDescent="0.25">
      <c r="A253" s="26"/>
      <c r="B253" s="27"/>
      <c r="C253" s="28"/>
      <c r="D253" s="28"/>
      <c r="E253" s="28"/>
      <c r="F253" s="28"/>
      <c r="G253" s="28"/>
      <c r="H253" s="28"/>
      <c r="I253" s="28"/>
    </row>
    <row r="254" spans="1:9" s="3" customFormat="1" ht="22.5" customHeight="1" x14ac:dyDescent="0.25">
      <c r="A254" s="26"/>
      <c r="B254" s="27"/>
      <c r="C254" s="28"/>
      <c r="D254" s="28"/>
      <c r="E254" s="28"/>
      <c r="F254" s="28"/>
      <c r="G254" s="28"/>
      <c r="H254" s="28"/>
      <c r="I254" s="28"/>
    </row>
    <row r="255" spans="1:9" s="3" customFormat="1" ht="22.5" customHeight="1" x14ac:dyDescent="0.25">
      <c r="A255" s="26"/>
      <c r="B255" s="27"/>
      <c r="C255" s="28"/>
      <c r="D255" s="28"/>
      <c r="E255" s="28"/>
      <c r="F255" s="28"/>
      <c r="G255" s="28"/>
      <c r="H255" s="28"/>
      <c r="I255" s="28"/>
    </row>
    <row r="256" spans="1:9" s="3" customFormat="1" ht="22.5" customHeight="1" x14ac:dyDescent="0.25">
      <c r="A256" s="26"/>
      <c r="B256" s="27"/>
      <c r="C256" s="28"/>
      <c r="D256" s="28"/>
      <c r="E256" s="28"/>
      <c r="F256" s="28"/>
      <c r="G256" s="28"/>
      <c r="H256" s="28"/>
      <c r="I256" s="28"/>
    </row>
    <row r="257" spans="1:9" s="3" customFormat="1" ht="22.5" customHeight="1" x14ac:dyDescent="0.25">
      <c r="A257" s="26"/>
      <c r="B257" s="27"/>
      <c r="C257" s="28"/>
      <c r="D257" s="28"/>
      <c r="E257" s="28"/>
      <c r="F257" s="28"/>
      <c r="G257" s="28"/>
      <c r="H257" s="28"/>
      <c r="I257" s="28"/>
    </row>
    <row r="258" spans="1:9" s="3" customFormat="1" ht="22.5" customHeight="1" x14ac:dyDescent="0.25">
      <c r="A258" s="26"/>
      <c r="B258" s="27"/>
      <c r="C258" s="28"/>
      <c r="D258" s="28"/>
      <c r="E258" s="28"/>
      <c r="F258" s="28"/>
      <c r="G258" s="28"/>
      <c r="H258" s="28"/>
      <c r="I258" s="28"/>
    </row>
    <row r="259" spans="1:9" s="3" customFormat="1" ht="22.5" customHeight="1" x14ac:dyDescent="0.25">
      <c r="A259" s="26"/>
      <c r="B259" s="27"/>
      <c r="C259" s="28"/>
      <c r="D259" s="28"/>
      <c r="E259" s="28"/>
      <c r="F259" s="28"/>
      <c r="G259" s="28"/>
      <c r="H259" s="28"/>
      <c r="I259" s="28"/>
    </row>
    <row r="260" spans="1:9" s="3" customFormat="1" ht="22.5" customHeight="1" x14ac:dyDescent="0.25">
      <c r="A260" s="26"/>
      <c r="B260" s="27"/>
      <c r="C260" s="28"/>
      <c r="D260" s="28"/>
      <c r="E260" s="28"/>
      <c r="F260" s="28"/>
      <c r="G260" s="28"/>
      <c r="H260" s="28"/>
      <c r="I260" s="28"/>
    </row>
    <row r="261" spans="1:9" s="3" customFormat="1" ht="22.5" customHeight="1" x14ac:dyDescent="0.25">
      <c r="A261" s="26"/>
      <c r="B261" s="27"/>
      <c r="C261" s="28"/>
      <c r="D261" s="28"/>
      <c r="E261" s="28"/>
      <c r="F261" s="28"/>
      <c r="G261" s="28"/>
      <c r="H261" s="28"/>
      <c r="I261" s="28"/>
    </row>
    <row r="262" spans="1:9" s="3" customFormat="1" ht="22.5" customHeight="1" x14ac:dyDescent="0.25">
      <c r="A262" s="26"/>
      <c r="B262" s="27"/>
      <c r="C262" s="28"/>
      <c r="D262" s="28"/>
      <c r="E262" s="28"/>
      <c r="F262" s="28"/>
      <c r="G262" s="28"/>
      <c r="H262" s="28"/>
      <c r="I262" s="28"/>
    </row>
    <row r="263" spans="1:9" s="3" customFormat="1" ht="22.5" customHeight="1" x14ac:dyDescent="0.25">
      <c r="A263" s="26"/>
      <c r="B263" s="27"/>
      <c r="C263" s="28"/>
      <c r="D263" s="28"/>
      <c r="E263" s="28"/>
      <c r="F263" s="28"/>
      <c r="G263" s="28"/>
      <c r="H263" s="28"/>
      <c r="I263" s="28"/>
    </row>
    <row r="264" spans="1:9" s="3" customFormat="1" ht="22.5" customHeight="1" x14ac:dyDescent="0.25">
      <c r="A264" s="26"/>
      <c r="B264" s="27"/>
      <c r="C264" s="28"/>
      <c r="D264" s="28"/>
      <c r="E264" s="28"/>
      <c r="F264" s="28"/>
      <c r="G264" s="28"/>
      <c r="H264" s="28"/>
      <c r="I264" s="28"/>
    </row>
    <row r="265" spans="1:9" s="3" customFormat="1" ht="22.5" customHeight="1" x14ac:dyDescent="0.25">
      <c r="A265" s="26"/>
      <c r="B265" s="27"/>
      <c r="C265" s="28"/>
      <c r="D265" s="28"/>
      <c r="E265" s="28"/>
      <c r="F265" s="28"/>
      <c r="G265" s="28"/>
      <c r="H265" s="28"/>
      <c r="I265" s="28"/>
    </row>
    <row r="266" spans="1:9" s="3" customFormat="1" ht="22.5" customHeight="1" x14ac:dyDescent="0.25">
      <c r="A266" s="26"/>
      <c r="B266" s="27"/>
      <c r="C266" s="28"/>
      <c r="D266" s="28"/>
      <c r="E266" s="28"/>
      <c r="F266" s="28"/>
      <c r="G266" s="28"/>
      <c r="H266" s="28"/>
      <c r="I266" s="28"/>
    </row>
    <row r="267" spans="1:9" s="3" customFormat="1" ht="22.5" customHeight="1" x14ac:dyDescent="0.25">
      <c r="A267" s="26"/>
      <c r="B267" s="27"/>
      <c r="C267" s="28"/>
      <c r="D267" s="28"/>
      <c r="E267" s="28"/>
      <c r="F267" s="28"/>
      <c r="G267" s="28"/>
      <c r="H267" s="28"/>
      <c r="I267" s="28"/>
    </row>
    <row r="268" spans="1:9" s="3" customFormat="1" ht="22.5" customHeight="1" x14ac:dyDescent="0.25">
      <c r="A268" s="26"/>
      <c r="B268" s="27"/>
      <c r="C268" s="28"/>
      <c r="D268" s="28"/>
      <c r="E268" s="28"/>
      <c r="F268" s="28"/>
      <c r="G268" s="28"/>
      <c r="H268" s="28"/>
      <c r="I268" s="28"/>
    </row>
    <row r="269" spans="1:9" s="3" customFormat="1" ht="22.5" customHeight="1" x14ac:dyDescent="0.25">
      <c r="A269" s="26"/>
      <c r="B269" s="27"/>
      <c r="C269" s="28"/>
      <c r="D269" s="28"/>
      <c r="E269" s="28"/>
      <c r="F269" s="28"/>
      <c r="G269" s="28"/>
      <c r="H269" s="28"/>
      <c r="I269" s="28"/>
    </row>
    <row r="270" spans="1:9" s="3" customFormat="1" ht="22.5" customHeight="1" x14ac:dyDescent="0.25">
      <c r="A270" s="26"/>
      <c r="B270" s="27"/>
      <c r="C270" s="28"/>
      <c r="D270" s="28"/>
      <c r="E270" s="28"/>
      <c r="F270" s="28"/>
      <c r="G270" s="28"/>
      <c r="H270" s="28"/>
      <c r="I270" s="28"/>
    </row>
    <row r="271" spans="1:9" s="3" customFormat="1" ht="22.5" customHeight="1" x14ac:dyDescent="0.25">
      <c r="A271" s="26"/>
      <c r="B271" s="27"/>
      <c r="C271" s="28"/>
      <c r="D271" s="28"/>
      <c r="E271" s="28"/>
      <c r="F271" s="28"/>
      <c r="G271" s="28"/>
      <c r="H271" s="28"/>
      <c r="I271" s="28"/>
    </row>
    <row r="272" spans="1:9" s="3" customFormat="1" ht="22.5" customHeight="1" x14ac:dyDescent="0.25">
      <c r="A272" s="26"/>
      <c r="B272" s="27"/>
      <c r="C272" s="28"/>
      <c r="D272" s="28"/>
      <c r="E272" s="28"/>
      <c r="F272" s="28"/>
      <c r="G272" s="28"/>
      <c r="H272" s="28"/>
      <c r="I272" s="28"/>
    </row>
    <row r="273" spans="1:9" s="3" customFormat="1" ht="22.5" customHeight="1" x14ac:dyDescent="0.25">
      <c r="A273" s="26"/>
      <c r="B273" s="27"/>
      <c r="C273" s="28"/>
      <c r="D273" s="28"/>
      <c r="E273" s="28"/>
      <c r="F273" s="28"/>
      <c r="G273" s="28"/>
      <c r="H273" s="28"/>
      <c r="I273" s="28"/>
    </row>
    <row r="274" spans="1:9" s="3" customFormat="1" ht="22.5" customHeight="1" x14ac:dyDescent="0.25">
      <c r="A274" s="26"/>
      <c r="B274" s="27"/>
      <c r="C274" s="28"/>
      <c r="D274" s="28"/>
      <c r="E274" s="28"/>
      <c r="F274" s="28"/>
      <c r="G274" s="28"/>
      <c r="H274" s="28"/>
      <c r="I274" s="28"/>
    </row>
    <row r="275" spans="1:9" s="3" customFormat="1" ht="22.5" customHeight="1" x14ac:dyDescent="0.25">
      <c r="A275" s="26"/>
      <c r="B275" s="27"/>
      <c r="C275" s="28"/>
      <c r="D275" s="28"/>
      <c r="E275" s="28"/>
      <c r="F275" s="28"/>
      <c r="G275" s="28"/>
      <c r="H275" s="28"/>
      <c r="I275" s="28"/>
    </row>
    <row r="276" spans="1:9" s="3" customFormat="1" ht="22.5" customHeight="1" x14ac:dyDescent="0.25">
      <c r="A276" s="26"/>
      <c r="B276" s="27"/>
      <c r="C276" s="28"/>
      <c r="D276" s="28"/>
      <c r="E276" s="28"/>
      <c r="F276" s="28"/>
      <c r="G276" s="28"/>
      <c r="H276" s="28"/>
      <c r="I276" s="28"/>
    </row>
    <row r="277" spans="1:9" s="3" customFormat="1" ht="22.5" customHeight="1" x14ac:dyDescent="0.25">
      <c r="A277" s="26"/>
      <c r="B277" s="27"/>
      <c r="C277" s="28"/>
      <c r="D277" s="28"/>
      <c r="E277" s="28"/>
      <c r="F277" s="28"/>
      <c r="G277" s="28"/>
      <c r="H277" s="28"/>
      <c r="I277" s="28"/>
    </row>
    <row r="278" spans="1:9" s="3" customFormat="1" ht="22.5" customHeight="1" x14ac:dyDescent="0.25">
      <c r="A278" s="26"/>
      <c r="B278" s="27"/>
      <c r="C278" s="28"/>
      <c r="D278" s="28"/>
      <c r="E278" s="28"/>
      <c r="F278" s="28"/>
      <c r="G278" s="28"/>
      <c r="H278" s="28"/>
      <c r="I278" s="28"/>
    </row>
    <row r="279" spans="1:9" s="3" customFormat="1" ht="22.5" customHeight="1" x14ac:dyDescent="0.25">
      <c r="A279" s="26"/>
      <c r="B279" s="27"/>
      <c r="C279" s="28"/>
      <c r="D279" s="28"/>
      <c r="E279" s="28"/>
      <c r="F279" s="28"/>
      <c r="G279" s="28"/>
      <c r="H279" s="28"/>
      <c r="I279" s="28"/>
    </row>
    <row r="280" spans="1:9" s="3" customFormat="1" ht="22.5" customHeight="1" x14ac:dyDescent="0.25">
      <c r="A280" s="26"/>
      <c r="B280" s="27"/>
      <c r="C280" s="28"/>
      <c r="D280" s="28"/>
      <c r="E280" s="28"/>
      <c r="F280" s="28"/>
      <c r="G280" s="28"/>
      <c r="H280" s="28"/>
      <c r="I280" s="28"/>
    </row>
    <row r="281" spans="1:9" s="3" customFormat="1" ht="22.5" customHeight="1" x14ac:dyDescent="0.25">
      <c r="A281" s="26"/>
      <c r="B281" s="27"/>
      <c r="C281" s="28"/>
      <c r="D281" s="28"/>
      <c r="E281" s="28"/>
      <c r="F281" s="28"/>
      <c r="G281" s="28"/>
      <c r="H281" s="28"/>
      <c r="I281" s="28"/>
    </row>
    <row r="282" spans="1:9" s="3" customFormat="1" ht="22.5" customHeight="1" x14ac:dyDescent="0.25">
      <c r="A282" s="26"/>
      <c r="B282" s="27"/>
      <c r="C282" s="28"/>
      <c r="D282" s="28"/>
      <c r="E282" s="28"/>
      <c r="F282" s="28"/>
      <c r="G282" s="28"/>
      <c r="H282" s="28"/>
      <c r="I282" s="28"/>
    </row>
    <row r="283" spans="1:9" s="3" customFormat="1" ht="22.5" customHeight="1" x14ac:dyDescent="0.25">
      <c r="A283" s="26"/>
      <c r="B283" s="27"/>
      <c r="C283" s="28"/>
      <c r="D283" s="28"/>
      <c r="E283" s="28"/>
      <c r="F283" s="28"/>
      <c r="G283" s="28"/>
      <c r="H283" s="28"/>
      <c r="I283" s="28"/>
    </row>
    <row r="284" spans="1:9" s="3" customFormat="1" ht="22.5" customHeight="1" x14ac:dyDescent="0.25">
      <c r="A284" s="26"/>
      <c r="B284" s="27"/>
      <c r="C284" s="28"/>
      <c r="D284" s="28"/>
      <c r="E284" s="28"/>
      <c r="F284" s="28"/>
      <c r="G284" s="28"/>
      <c r="H284" s="28"/>
      <c r="I284" s="28"/>
    </row>
    <row r="285" spans="1:9" s="3" customFormat="1" ht="22.5" customHeight="1" x14ac:dyDescent="0.25">
      <c r="A285" s="26"/>
      <c r="B285" s="27"/>
      <c r="C285" s="28"/>
      <c r="D285" s="28"/>
      <c r="E285" s="28"/>
      <c r="F285" s="28"/>
      <c r="G285" s="28"/>
      <c r="H285" s="28"/>
      <c r="I285" s="28"/>
    </row>
    <row r="286" spans="1:9" s="3" customFormat="1" ht="22.5" customHeight="1" x14ac:dyDescent="0.25">
      <c r="A286" s="26"/>
      <c r="B286" s="27"/>
      <c r="C286" s="28"/>
      <c r="D286" s="28"/>
      <c r="E286" s="28"/>
      <c r="F286" s="28"/>
      <c r="G286" s="28"/>
      <c r="H286" s="28"/>
      <c r="I286" s="28"/>
    </row>
    <row r="287" spans="1:9" s="3" customFormat="1" ht="22.5" customHeight="1" x14ac:dyDescent="0.25">
      <c r="A287" s="26"/>
      <c r="B287" s="27"/>
      <c r="C287" s="28"/>
      <c r="D287" s="28"/>
      <c r="E287" s="28"/>
      <c r="F287" s="28"/>
      <c r="G287" s="28"/>
      <c r="H287" s="28"/>
      <c r="I287" s="28"/>
    </row>
    <row r="288" spans="1:9" s="3" customFormat="1" ht="22.5" customHeight="1" x14ac:dyDescent="0.25">
      <c r="A288" s="26"/>
      <c r="B288" s="27"/>
      <c r="C288" s="28"/>
      <c r="D288" s="28"/>
      <c r="E288" s="28"/>
      <c r="F288" s="28"/>
      <c r="G288" s="28"/>
      <c r="H288" s="28"/>
      <c r="I288" s="28"/>
    </row>
    <row r="289" spans="1:9" s="3" customFormat="1" ht="22.5" customHeight="1" x14ac:dyDescent="0.25">
      <c r="A289" s="26"/>
      <c r="B289" s="27"/>
      <c r="C289" s="28"/>
      <c r="D289" s="28"/>
      <c r="E289" s="28"/>
      <c r="F289" s="28"/>
      <c r="G289" s="28"/>
      <c r="H289" s="28"/>
      <c r="I289" s="28"/>
    </row>
    <row r="290" spans="1:9" s="3" customFormat="1" ht="22.5" customHeight="1" x14ac:dyDescent="0.25">
      <c r="A290" s="26"/>
      <c r="B290" s="27"/>
      <c r="C290" s="28"/>
      <c r="D290" s="28"/>
      <c r="E290" s="28"/>
      <c r="F290" s="28"/>
      <c r="G290" s="28"/>
      <c r="H290" s="28"/>
      <c r="I290" s="28"/>
    </row>
    <row r="291" spans="1:9" s="3" customFormat="1" ht="22.5" customHeight="1" x14ac:dyDescent="0.25">
      <c r="A291" s="26"/>
      <c r="B291" s="27"/>
      <c r="C291" s="28"/>
      <c r="D291" s="28"/>
      <c r="E291" s="28"/>
      <c r="F291" s="28"/>
      <c r="G291" s="28"/>
      <c r="H291" s="28"/>
      <c r="I291" s="28"/>
    </row>
    <row r="292" spans="1:9" s="3" customFormat="1" ht="22.5" customHeight="1" x14ac:dyDescent="0.25">
      <c r="A292" s="26"/>
      <c r="B292" s="27"/>
      <c r="C292" s="28"/>
      <c r="D292" s="28"/>
      <c r="E292" s="28"/>
      <c r="F292" s="28"/>
      <c r="G292" s="28"/>
      <c r="H292" s="28"/>
      <c r="I292" s="28"/>
    </row>
    <row r="293" spans="1:9" s="3" customFormat="1" ht="22.5" customHeight="1" x14ac:dyDescent="0.25">
      <c r="A293" s="26"/>
      <c r="B293" s="27"/>
      <c r="C293" s="28"/>
      <c r="D293" s="28"/>
      <c r="E293" s="28"/>
      <c r="F293" s="28"/>
      <c r="G293" s="28"/>
      <c r="H293" s="28"/>
      <c r="I293" s="28"/>
    </row>
    <row r="294" spans="1:9" s="3" customFormat="1" ht="22.5" customHeight="1" x14ac:dyDescent="0.25">
      <c r="A294" s="26"/>
      <c r="B294" s="27"/>
      <c r="C294" s="28"/>
      <c r="D294" s="28"/>
      <c r="E294" s="28"/>
      <c r="F294" s="28"/>
      <c r="G294" s="28"/>
      <c r="H294" s="28"/>
      <c r="I294" s="28"/>
    </row>
    <row r="295" spans="1:9" s="3" customFormat="1" ht="22.5" customHeight="1" x14ac:dyDescent="0.25">
      <c r="A295" s="26"/>
      <c r="B295" s="27"/>
      <c r="C295" s="28"/>
      <c r="D295" s="28"/>
      <c r="E295" s="28"/>
      <c r="F295" s="28"/>
      <c r="G295" s="28"/>
      <c r="H295" s="28"/>
      <c r="I295" s="28"/>
    </row>
    <row r="296" spans="1:9" s="3" customFormat="1" ht="22.5" customHeight="1" x14ac:dyDescent="0.25">
      <c r="A296" s="26"/>
      <c r="B296" s="27"/>
      <c r="C296" s="28"/>
      <c r="D296" s="28"/>
      <c r="E296" s="28"/>
      <c r="F296" s="28"/>
      <c r="G296" s="28"/>
      <c r="H296" s="28"/>
      <c r="I296" s="28"/>
    </row>
    <row r="297" spans="1:9" s="3" customFormat="1" ht="22.5" customHeight="1" x14ac:dyDescent="0.25">
      <c r="A297" s="26"/>
      <c r="B297" s="27"/>
      <c r="C297" s="28"/>
      <c r="D297" s="28"/>
      <c r="E297" s="28"/>
      <c r="F297" s="28"/>
      <c r="G297" s="28"/>
      <c r="H297" s="28"/>
      <c r="I297" s="28"/>
    </row>
    <row r="298" spans="1:9" s="3" customFormat="1" ht="22.5" customHeight="1" x14ac:dyDescent="0.25">
      <c r="A298" s="26"/>
      <c r="B298" s="27"/>
      <c r="C298" s="28"/>
      <c r="D298" s="28"/>
      <c r="E298" s="28"/>
      <c r="F298" s="28"/>
      <c r="G298" s="28"/>
      <c r="H298" s="28"/>
      <c r="I298" s="28"/>
    </row>
    <row r="299" spans="1:9" s="3" customFormat="1" ht="22.5" customHeight="1" x14ac:dyDescent="0.25">
      <c r="A299" s="26"/>
      <c r="B299" s="27"/>
      <c r="C299" s="28"/>
      <c r="D299" s="28"/>
      <c r="E299" s="28"/>
      <c r="F299" s="28"/>
      <c r="G299" s="28"/>
      <c r="H299" s="28"/>
      <c r="I299" s="28"/>
    </row>
    <row r="300" spans="1:9" s="3" customFormat="1" ht="22.5" customHeight="1" x14ac:dyDescent="0.25">
      <c r="A300" s="26"/>
      <c r="B300" s="27"/>
      <c r="C300" s="28"/>
      <c r="D300" s="28"/>
      <c r="E300" s="28"/>
      <c r="F300" s="28"/>
      <c r="G300" s="28"/>
      <c r="H300" s="28"/>
      <c r="I300" s="28"/>
    </row>
    <row r="301" spans="1:9" s="3" customFormat="1" ht="22.5" customHeight="1" x14ac:dyDescent="0.25">
      <c r="A301" s="26"/>
      <c r="B301" s="27"/>
      <c r="C301" s="28"/>
      <c r="D301" s="28"/>
      <c r="E301" s="28"/>
      <c r="F301" s="28"/>
      <c r="G301" s="28"/>
      <c r="H301" s="28"/>
      <c r="I301" s="28"/>
    </row>
    <row r="302" spans="1:9" s="3" customFormat="1" ht="22.5" customHeight="1" x14ac:dyDescent="0.25">
      <c r="A302" s="26"/>
      <c r="B302" s="27"/>
      <c r="C302" s="28"/>
      <c r="D302" s="28"/>
      <c r="E302" s="28"/>
      <c r="F302" s="28"/>
      <c r="G302" s="28"/>
      <c r="H302" s="28"/>
      <c r="I302" s="28"/>
    </row>
    <row r="303" spans="1:9" s="3" customFormat="1" ht="22.5" customHeight="1" x14ac:dyDescent="0.25">
      <c r="A303" s="26"/>
      <c r="B303" s="27"/>
      <c r="C303" s="28"/>
      <c r="D303" s="28"/>
      <c r="E303" s="28"/>
      <c r="F303" s="28"/>
      <c r="G303" s="28"/>
      <c r="H303" s="28"/>
      <c r="I303" s="28"/>
    </row>
    <row r="304" spans="1:9" s="3" customFormat="1" ht="22.5" customHeight="1" x14ac:dyDescent="0.25">
      <c r="A304" s="26"/>
      <c r="B304" s="27"/>
      <c r="C304" s="28"/>
      <c r="D304" s="28"/>
      <c r="E304" s="28"/>
      <c r="F304" s="28"/>
      <c r="G304" s="28"/>
      <c r="H304" s="28"/>
      <c r="I304" s="28"/>
    </row>
    <row r="305" spans="1:9" s="3" customFormat="1" ht="22.5" customHeight="1" x14ac:dyDescent="0.25">
      <c r="A305" s="26"/>
      <c r="B305" s="27"/>
      <c r="C305" s="28"/>
      <c r="D305" s="28"/>
      <c r="E305" s="28"/>
      <c r="F305" s="28"/>
      <c r="G305" s="28"/>
      <c r="H305" s="28"/>
      <c r="I305" s="28"/>
    </row>
    <row r="306" spans="1:9" s="3" customFormat="1" ht="22.5" customHeight="1" x14ac:dyDescent="0.25">
      <c r="A306" s="26"/>
      <c r="B306" s="27"/>
      <c r="C306" s="28"/>
      <c r="D306" s="28"/>
      <c r="E306" s="28"/>
      <c r="F306" s="28"/>
      <c r="G306" s="28"/>
      <c r="H306" s="28"/>
      <c r="I306" s="28"/>
    </row>
    <row r="307" spans="1:9" s="3" customFormat="1" ht="22.5" customHeight="1" x14ac:dyDescent="0.25">
      <c r="A307" s="26"/>
      <c r="B307" s="27"/>
      <c r="C307" s="28"/>
      <c r="D307" s="28"/>
      <c r="E307" s="28"/>
      <c r="F307" s="28"/>
      <c r="G307" s="28"/>
      <c r="H307" s="28"/>
      <c r="I307" s="28"/>
    </row>
    <row r="308" spans="1:9" s="3" customFormat="1" ht="22.5" customHeight="1" x14ac:dyDescent="0.25">
      <c r="A308" s="26"/>
      <c r="B308" s="27"/>
      <c r="C308" s="28"/>
      <c r="D308" s="28"/>
      <c r="E308" s="28"/>
      <c r="F308" s="28"/>
      <c r="G308" s="28"/>
      <c r="H308" s="28"/>
      <c r="I308" s="28"/>
    </row>
    <row r="309" spans="1:9" s="3" customFormat="1" ht="22.5" customHeight="1" x14ac:dyDescent="0.25">
      <c r="A309" s="26"/>
      <c r="B309" s="27"/>
      <c r="C309" s="28"/>
      <c r="D309" s="28"/>
      <c r="E309" s="28"/>
      <c r="F309" s="28"/>
      <c r="G309" s="28"/>
      <c r="H309" s="28"/>
      <c r="I309" s="28"/>
    </row>
    <row r="310" spans="1:9" s="3" customFormat="1" ht="22.5" customHeight="1" x14ac:dyDescent="0.25">
      <c r="A310" s="26"/>
      <c r="B310" s="27"/>
      <c r="C310" s="28"/>
      <c r="D310" s="28"/>
      <c r="E310" s="28"/>
      <c r="F310" s="28"/>
      <c r="G310" s="28"/>
      <c r="H310" s="28"/>
      <c r="I310" s="28"/>
    </row>
    <row r="311" spans="1:9" s="3" customFormat="1" ht="22.5" customHeight="1" x14ac:dyDescent="0.25">
      <c r="A311" s="26"/>
      <c r="B311" s="27"/>
      <c r="C311" s="28"/>
      <c r="D311" s="28"/>
      <c r="E311" s="28"/>
      <c r="F311" s="28"/>
      <c r="G311" s="28"/>
      <c r="H311" s="28"/>
      <c r="I311" s="28"/>
    </row>
    <row r="312" spans="1:9" s="3" customFormat="1" ht="22.5" customHeight="1" x14ac:dyDescent="0.25">
      <c r="A312" s="26"/>
      <c r="B312" s="27"/>
      <c r="C312" s="28"/>
      <c r="D312" s="28"/>
      <c r="E312" s="28"/>
      <c r="F312" s="28"/>
      <c r="G312" s="28"/>
      <c r="H312" s="28"/>
      <c r="I312" s="28"/>
    </row>
    <row r="313" spans="1:9" s="3" customFormat="1" ht="22.5" customHeight="1" x14ac:dyDescent="0.25">
      <c r="A313" s="26"/>
      <c r="B313" s="27"/>
      <c r="C313" s="28"/>
      <c r="D313" s="28"/>
      <c r="E313" s="28"/>
      <c r="F313" s="28"/>
      <c r="G313" s="28"/>
      <c r="H313" s="28"/>
      <c r="I313" s="28"/>
    </row>
    <row r="314" spans="1:9" s="3" customFormat="1" ht="22.5" customHeight="1" x14ac:dyDescent="0.25">
      <c r="A314" s="26"/>
      <c r="B314" s="27"/>
      <c r="C314" s="28"/>
      <c r="D314" s="28"/>
      <c r="E314" s="28"/>
      <c r="F314" s="28"/>
      <c r="G314" s="28"/>
      <c r="H314" s="28"/>
      <c r="I314" s="28"/>
    </row>
    <row r="315" spans="1:9" s="3" customFormat="1" ht="22.5" customHeight="1" x14ac:dyDescent="0.25">
      <c r="A315" s="26"/>
      <c r="B315" s="27"/>
      <c r="C315" s="28"/>
      <c r="D315" s="28"/>
      <c r="E315" s="28"/>
      <c r="F315" s="28"/>
      <c r="G315" s="28"/>
      <c r="H315" s="28"/>
      <c r="I315" s="28"/>
    </row>
    <row r="316" spans="1:9" s="3" customFormat="1" ht="22.5" customHeight="1" x14ac:dyDescent="0.25">
      <c r="A316" s="26"/>
      <c r="B316" s="27"/>
      <c r="C316" s="28"/>
      <c r="D316" s="28"/>
      <c r="E316" s="28"/>
      <c r="F316" s="28"/>
      <c r="G316" s="28"/>
      <c r="H316" s="28"/>
      <c r="I316" s="28"/>
    </row>
    <row r="317" spans="1:9" s="3" customFormat="1" ht="22.5" customHeight="1" x14ac:dyDescent="0.25">
      <c r="A317" s="26"/>
      <c r="B317" s="27"/>
      <c r="C317" s="28"/>
      <c r="D317" s="28"/>
      <c r="E317" s="28"/>
      <c r="F317" s="28"/>
      <c r="G317" s="28"/>
      <c r="H317" s="28"/>
      <c r="I317" s="28"/>
    </row>
    <row r="318" spans="1:9" s="3" customFormat="1" ht="22.5" customHeight="1" x14ac:dyDescent="0.25">
      <c r="A318" s="26"/>
      <c r="B318" s="27"/>
      <c r="C318" s="28"/>
      <c r="D318" s="28"/>
      <c r="E318" s="28"/>
      <c r="F318" s="28"/>
      <c r="G318" s="28"/>
      <c r="H318" s="28"/>
      <c r="I318" s="28"/>
    </row>
    <row r="319" spans="1:9" s="3" customFormat="1" ht="22.5" customHeight="1" x14ac:dyDescent="0.25">
      <c r="A319" s="26"/>
      <c r="B319" s="27"/>
      <c r="C319" s="28"/>
      <c r="D319" s="28"/>
      <c r="E319" s="28"/>
      <c r="F319" s="28"/>
      <c r="G319" s="28"/>
      <c r="H319" s="28"/>
      <c r="I319" s="28"/>
    </row>
    <row r="320" spans="1:9" s="3" customFormat="1" ht="22.5" customHeight="1" x14ac:dyDescent="0.25">
      <c r="A320" s="26"/>
      <c r="B320" s="27"/>
      <c r="C320" s="28"/>
      <c r="D320" s="28"/>
      <c r="E320" s="28"/>
      <c r="F320" s="28"/>
      <c r="G320" s="28"/>
      <c r="H320" s="28"/>
      <c r="I320" s="28"/>
    </row>
    <row r="321" spans="1:9" s="3" customFormat="1" ht="22.5" customHeight="1" x14ac:dyDescent="0.25">
      <c r="A321" s="26"/>
      <c r="B321" s="27"/>
      <c r="C321" s="28"/>
      <c r="D321" s="28"/>
      <c r="E321" s="28"/>
      <c r="F321" s="28"/>
      <c r="G321" s="28"/>
      <c r="H321" s="28"/>
      <c r="I321" s="28"/>
    </row>
    <row r="322" spans="1:9" s="3" customFormat="1" ht="22.5" customHeight="1" x14ac:dyDescent="0.25">
      <c r="A322" s="26"/>
      <c r="B322" s="27"/>
      <c r="C322" s="28"/>
      <c r="D322" s="28"/>
      <c r="E322" s="28"/>
      <c r="F322" s="28"/>
      <c r="G322" s="28"/>
      <c r="H322" s="28"/>
      <c r="I322" s="28"/>
    </row>
    <row r="323" spans="1:9" s="3" customFormat="1" ht="22.5" customHeight="1" x14ac:dyDescent="0.25">
      <c r="A323" s="26"/>
      <c r="B323" s="27"/>
      <c r="C323" s="28"/>
      <c r="D323" s="28"/>
      <c r="E323" s="28"/>
      <c r="F323" s="28"/>
      <c r="G323" s="28"/>
      <c r="H323" s="28"/>
      <c r="I323" s="28"/>
    </row>
    <row r="324" spans="1:9" s="3" customFormat="1" ht="22.5" customHeight="1" x14ac:dyDescent="0.25">
      <c r="A324" s="26"/>
      <c r="B324" s="27"/>
      <c r="C324" s="28"/>
      <c r="D324" s="28"/>
      <c r="E324" s="28"/>
      <c r="F324" s="28"/>
      <c r="G324" s="28"/>
      <c r="H324" s="28"/>
      <c r="I324" s="28"/>
    </row>
    <row r="325" spans="1:9" s="3" customFormat="1" ht="22.5" customHeight="1" x14ac:dyDescent="0.25">
      <c r="A325" s="26"/>
      <c r="B325" s="27"/>
      <c r="C325" s="28"/>
      <c r="D325" s="28"/>
      <c r="E325" s="28"/>
      <c r="F325" s="28"/>
      <c r="G325" s="28"/>
      <c r="H325" s="28"/>
      <c r="I325" s="28"/>
    </row>
    <row r="326" spans="1:9" s="3" customFormat="1" ht="22.5" customHeight="1" x14ac:dyDescent="0.25">
      <c r="A326" s="26"/>
      <c r="B326" s="27"/>
      <c r="C326" s="28"/>
      <c r="D326" s="28"/>
      <c r="E326" s="28"/>
      <c r="F326" s="28"/>
      <c r="G326" s="28"/>
      <c r="H326" s="28"/>
      <c r="I326" s="28"/>
    </row>
    <row r="327" spans="1:9" s="3" customFormat="1" ht="22.5" customHeight="1" x14ac:dyDescent="0.25">
      <c r="A327" s="26"/>
      <c r="B327" s="27"/>
      <c r="C327" s="28"/>
      <c r="D327" s="28"/>
      <c r="E327" s="28"/>
      <c r="F327" s="28"/>
      <c r="G327" s="28"/>
      <c r="H327" s="28"/>
      <c r="I327" s="28"/>
    </row>
    <row r="328" spans="1:9" s="3" customFormat="1" ht="22.5" customHeight="1" x14ac:dyDescent="0.25">
      <c r="A328" s="26"/>
      <c r="B328" s="27"/>
      <c r="C328" s="28"/>
      <c r="D328" s="28"/>
      <c r="E328" s="28"/>
      <c r="F328" s="28"/>
      <c r="G328" s="28"/>
      <c r="H328" s="28"/>
      <c r="I328" s="28"/>
    </row>
    <row r="329" spans="1:9" s="3" customFormat="1" ht="22.5" customHeight="1" x14ac:dyDescent="0.25">
      <c r="A329" s="26"/>
      <c r="B329" s="27"/>
      <c r="C329" s="28"/>
      <c r="D329" s="28"/>
      <c r="E329" s="28"/>
      <c r="F329" s="28"/>
      <c r="G329" s="28"/>
      <c r="H329" s="28"/>
      <c r="I329" s="28"/>
    </row>
    <row r="330" spans="1:9" s="3" customFormat="1" ht="22.5" customHeight="1" x14ac:dyDescent="0.25">
      <c r="A330" s="26"/>
      <c r="B330" s="27"/>
      <c r="C330" s="28"/>
      <c r="D330" s="28"/>
      <c r="E330" s="28"/>
      <c r="F330" s="28"/>
      <c r="G330" s="28"/>
      <c r="H330" s="28"/>
      <c r="I330" s="28"/>
    </row>
    <row r="331" spans="1:9" s="3" customFormat="1" ht="22.5" customHeight="1" x14ac:dyDescent="0.25">
      <c r="A331" s="26"/>
      <c r="B331" s="27"/>
      <c r="C331" s="28"/>
      <c r="D331" s="28"/>
      <c r="E331" s="28"/>
      <c r="F331" s="28"/>
      <c r="G331" s="28"/>
      <c r="H331" s="28"/>
      <c r="I331" s="28"/>
    </row>
    <row r="332" spans="1:9" s="3" customFormat="1" ht="22.5" customHeight="1" x14ac:dyDescent="0.25">
      <c r="A332" s="26"/>
      <c r="B332" s="27"/>
      <c r="C332" s="28"/>
      <c r="D332" s="28"/>
      <c r="E332" s="28"/>
      <c r="F332" s="28"/>
      <c r="G332" s="28"/>
      <c r="H332" s="28"/>
      <c r="I332" s="28"/>
    </row>
    <row r="333" spans="1:9" s="3" customFormat="1" ht="22.5" customHeight="1" x14ac:dyDescent="0.25">
      <c r="A333" s="26"/>
      <c r="B333" s="27"/>
      <c r="C333" s="28"/>
      <c r="D333" s="28"/>
      <c r="E333" s="28"/>
      <c r="F333" s="28"/>
      <c r="G333" s="28"/>
      <c r="H333" s="28"/>
      <c r="I333" s="28"/>
    </row>
    <row r="334" spans="1:9" s="3" customFormat="1" ht="22.5" customHeight="1" x14ac:dyDescent="0.25">
      <c r="A334" s="26"/>
      <c r="B334" s="27"/>
      <c r="C334" s="28"/>
      <c r="D334" s="28"/>
      <c r="E334" s="28"/>
      <c r="F334" s="28"/>
      <c r="G334" s="28"/>
      <c r="H334" s="28"/>
      <c r="I334" s="28"/>
    </row>
    <row r="335" spans="1:9" s="3" customFormat="1" ht="22.5" customHeight="1" x14ac:dyDescent="0.25">
      <c r="A335" s="26"/>
      <c r="B335" s="27"/>
      <c r="C335" s="28"/>
      <c r="D335" s="28"/>
      <c r="E335" s="28"/>
      <c r="F335" s="28"/>
      <c r="G335" s="28"/>
      <c r="H335" s="28"/>
      <c r="I335" s="28"/>
    </row>
    <row r="336" spans="1:9" s="3" customFormat="1" ht="22.5" customHeight="1" x14ac:dyDescent="0.25">
      <c r="A336" s="26"/>
      <c r="B336" s="27"/>
      <c r="C336" s="28"/>
      <c r="D336" s="28"/>
      <c r="E336" s="28"/>
      <c r="F336" s="28"/>
      <c r="G336" s="28"/>
      <c r="H336" s="28"/>
      <c r="I336" s="28"/>
    </row>
    <row r="337" spans="1:9" s="3" customFormat="1" ht="22.5" customHeight="1" x14ac:dyDescent="0.25">
      <c r="A337" s="26"/>
      <c r="B337" s="27"/>
      <c r="C337" s="28"/>
      <c r="D337" s="28"/>
      <c r="E337" s="28"/>
      <c r="F337" s="28"/>
      <c r="G337" s="28"/>
      <c r="H337" s="28"/>
      <c r="I337" s="28"/>
    </row>
    <row r="338" spans="1:9" s="3" customFormat="1" ht="22.5" customHeight="1" x14ac:dyDescent="0.25">
      <c r="A338" s="26"/>
      <c r="B338" s="27"/>
      <c r="C338" s="28"/>
      <c r="D338" s="28"/>
      <c r="E338" s="28"/>
      <c r="F338" s="28"/>
      <c r="G338" s="28"/>
      <c r="H338" s="28"/>
      <c r="I338" s="28"/>
    </row>
    <row r="339" spans="1:9" s="3" customFormat="1" ht="22.5" customHeight="1" x14ac:dyDescent="0.25">
      <c r="A339" s="26"/>
      <c r="B339" s="27"/>
      <c r="C339" s="28"/>
      <c r="D339" s="28"/>
      <c r="E339" s="28"/>
      <c r="F339" s="28"/>
      <c r="G339" s="28"/>
      <c r="H339" s="28"/>
      <c r="I339" s="28"/>
    </row>
    <row r="340" spans="1:9" s="3" customFormat="1" ht="22.5" customHeight="1" x14ac:dyDescent="0.25">
      <c r="A340" s="26"/>
      <c r="B340" s="27"/>
      <c r="C340" s="28"/>
      <c r="D340" s="28"/>
      <c r="E340" s="28"/>
      <c r="F340" s="28"/>
      <c r="G340" s="28"/>
      <c r="H340" s="28"/>
      <c r="I340" s="28"/>
    </row>
    <row r="341" spans="1:9" s="3" customFormat="1" ht="22.5" customHeight="1" x14ac:dyDescent="0.25">
      <c r="A341" s="26"/>
      <c r="B341" s="27"/>
      <c r="C341" s="28"/>
      <c r="D341" s="28"/>
      <c r="E341" s="28"/>
      <c r="F341" s="28"/>
      <c r="G341" s="28"/>
      <c r="H341" s="28"/>
      <c r="I341" s="28"/>
    </row>
    <row r="342" spans="1:9" s="3" customFormat="1" ht="22.5" customHeight="1" x14ac:dyDescent="0.25">
      <c r="A342" s="26"/>
      <c r="B342" s="27"/>
      <c r="C342" s="28"/>
      <c r="D342" s="28"/>
      <c r="E342" s="28"/>
      <c r="F342" s="28"/>
      <c r="G342" s="28"/>
      <c r="H342" s="28"/>
      <c r="I342" s="28"/>
    </row>
    <row r="343" spans="1:9" s="3" customFormat="1" ht="22.5" customHeight="1" x14ac:dyDescent="0.25">
      <c r="A343" s="26"/>
      <c r="B343" s="27"/>
      <c r="C343" s="28"/>
      <c r="D343" s="28"/>
      <c r="E343" s="28"/>
      <c r="F343" s="28"/>
      <c r="G343" s="28"/>
      <c r="H343" s="28"/>
      <c r="I343" s="28"/>
    </row>
    <row r="344" spans="1:9" s="3" customFormat="1" ht="22.5" customHeight="1" x14ac:dyDescent="0.25">
      <c r="A344" s="26"/>
      <c r="B344" s="27"/>
      <c r="C344" s="28"/>
      <c r="D344" s="28"/>
      <c r="E344" s="28"/>
      <c r="F344" s="28"/>
      <c r="G344" s="28"/>
      <c r="H344" s="28"/>
      <c r="I344" s="28"/>
    </row>
    <row r="345" spans="1:9" s="3" customFormat="1" ht="22.5" customHeight="1" x14ac:dyDescent="0.25">
      <c r="A345" s="26"/>
      <c r="B345" s="27"/>
      <c r="C345" s="28"/>
      <c r="D345" s="28"/>
      <c r="E345" s="28"/>
      <c r="F345" s="28"/>
      <c r="G345" s="28"/>
      <c r="H345" s="28"/>
      <c r="I345" s="28"/>
    </row>
    <row r="346" spans="1:9" s="3" customFormat="1" ht="22.5" customHeight="1" x14ac:dyDescent="0.25">
      <c r="A346" s="26"/>
      <c r="B346" s="27"/>
      <c r="C346" s="28"/>
      <c r="D346" s="28"/>
      <c r="E346" s="28"/>
      <c r="F346" s="28"/>
      <c r="G346" s="28"/>
      <c r="H346" s="28"/>
      <c r="I346" s="28"/>
    </row>
    <row r="347" spans="1:9" s="3" customFormat="1" ht="22.5" customHeight="1" x14ac:dyDescent="0.25">
      <c r="A347" s="26"/>
      <c r="B347" s="27"/>
      <c r="C347" s="28"/>
      <c r="D347" s="28"/>
      <c r="E347" s="28"/>
      <c r="F347" s="28"/>
      <c r="G347" s="28"/>
      <c r="H347" s="28"/>
      <c r="I347" s="28"/>
    </row>
    <row r="348" spans="1:9" s="3" customFormat="1" ht="22.5" customHeight="1" x14ac:dyDescent="0.25">
      <c r="A348" s="26"/>
      <c r="B348" s="27"/>
      <c r="C348" s="28"/>
      <c r="D348" s="28"/>
      <c r="E348" s="28"/>
      <c r="F348" s="28"/>
      <c r="G348" s="28"/>
      <c r="H348" s="28"/>
      <c r="I348" s="28"/>
    </row>
    <row r="349" spans="1:9" s="3" customFormat="1" ht="22.5" customHeight="1" x14ac:dyDescent="0.25">
      <c r="A349" s="26"/>
      <c r="B349" s="27"/>
      <c r="C349" s="28"/>
      <c r="D349" s="28"/>
      <c r="E349" s="28"/>
      <c r="F349" s="28"/>
      <c r="G349" s="28"/>
      <c r="H349" s="28"/>
      <c r="I349" s="28"/>
    </row>
    <row r="350" spans="1:9" s="3" customFormat="1" ht="22.5" customHeight="1" x14ac:dyDescent="0.25">
      <c r="A350" s="26"/>
      <c r="B350" s="27"/>
      <c r="C350" s="28"/>
      <c r="D350" s="28"/>
      <c r="E350" s="28"/>
      <c r="F350" s="28"/>
      <c r="G350" s="28"/>
      <c r="H350" s="28"/>
      <c r="I350" s="28"/>
    </row>
    <row r="351" spans="1:9" s="3" customFormat="1" ht="22.5" customHeight="1" x14ac:dyDescent="0.25">
      <c r="A351" s="26"/>
      <c r="B351" s="27"/>
      <c r="C351" s="28"/>
      <c r="D351" s="28"/>
      <c r="E351" s="28"/>
      <c r="F351" s="28"/>
      <c r="G351" s="28"/>
      <c r="H351" s="28"/>
      <c r="I351" s="28"/>
    </row>
    <row r="352" spans="1:9" s="3" customFormat="1" ht="22.5" customHeight="1" x14ac:dyDescent="0.25">
      <c r="A352" s="26"/>
      <c r="B352" s="27"/>
      <c r="C352" s="28"/>
      <c r="D352" s="28"/>
      <c r="E352" s="28"/>
      <c r="F352" s="28"/>
      <c r="G352" s="28"/>
      <c r="H352" s="28"/>
      <c r="I352" s="28"/>
    </row>
    <row r="353" spans="1:9" s="3" customFormat="1" ht="22.5" customHeight="1" x14ac:dyDescent="0.25">
      <c r="A353" s="26"/>
      <c r="B353" s="27"/>
      <c r="C353" s="28"/>
      <c r="D353" s="28"/>
      <c r="E353" s="28"/>
      <c r="F353" s="28"/>
      <c r="G353" s="28"/>
      <c r="H353" s="28"/>
      <c r="I353" s="28"/>
    </row>
    <row r="354" spans="1:9" s="3" customFormat="1" ht="22.5" customHeight="1" x14ac:dyDescent="0.25">
      <c r="A354" s="26"/>
      <c r="B354" s="27"/>
      <c r="C354" s="28"/>
      <c r="D354" s="28"/>
      <c r="E354" s="28"/>
      <c r="F354" s="28"/>
      <c r="G354" s="28"/>
      <c r="H354" s="28"/>
      <c r="I354" s="28"/>
    </row>
    <row r="355" spans="1:9" s="3" customFormat="1" ht="22.5" customHeight="1" x14ac:dyDescent="0.25">
      <c r="A355" s="26"/>
      <c r="B355" s="27"/>
      <c r="C355" s="28"/>
      <c r="D355" s="28"/>
      <c r="E355" s="28"/>
      <c r="F355" s="28"/>
      <c r="G355" s="28"/>
      <c r="H355" s="28"/>
      <c r="I355" s="28"/>
    </row>
    <row r="356" spans="1:9" s="3" customFormat="1" ht="22.5" customHeight="1" x14ac:dyDescent="0.25">
      <c r="A356" s="26"/>
      <c r="B356" s="27"/>
      <c r="C356" s="28"/>
      <c r="D356" s="28"/>
      <c r="E356" s="28"/>
      <c r="F356" s="28"/>
      <c r="G356" s="28"/>
      <c r="H356" s="28"/>
      <c r="I356" s="28"/>
    </row>
    <row r="357" spans="1:9" s="3" customFormat="1" ht="22.5" customHeight="1" x14ac:dyDescent="0.25">
      <c r="A357" s="26"/>
      <c r="B357" s="27"/>
      <c r="C357" s="28"/>
      <c r="D357" s="28"/>
      <c r="E357" s="28"/>
      <c r="F357" s="28"/>
      <c r="G357" s="28"/>
      <c r="H357" s="28"/>
      <c r="I357" s="28"/>
    </row>
    <row r="358" spans="1:9" s="3" customFormat="1" ht="22.5" customHeight="1" x14ac:dyDescent="0.25">
      <c r="A358" s="26"/>
      <c r="B358" s="27"/>
      <c r="C358" s="28"/>
      <c r="D358" s="28"/>
      <c r="E358" s="28"/>
      <c r="F358" s="28"/>
      <c r="G358" s="28"/>
      <c r="H358" s="28"/>
      <c r="I358" s="28"/>
    </row>
    <row r="359" spans="1:9" s="3" customFormat="1" ht="22.5" customHeight="1" x14ac:dyDescent="0.25">
      <c r="A359" s="26"/>
      <c r="B359" s="27"/>
      <c r="C359" s="28"/>
      <c r="D359" s="28"/>
      <c r="E359" s="28"/>
      <c r="F359" s="28"/>
      <c r="G359" s="28"/>
      <c r="H359" s="28"/>
      <c r="I359" s="28"/>
    </row>
    <row r="360" spans="1:9" s="3" customFormat="1" ht="22.5" customHeight="1" x14ac:dyDescent="0.25">
      <c r="A360" s="26"/>
      <c r="B360" s="27"/>
      <c r="C360" s="28"/>
      <c r="D360" s="28"/>
      <c r="E360" s="28"/>
      <c r="F360" s="28"/>
      <c r="G360" s="28"/>
      <c r="H360" s="28"/>
      <c r="I360" s="28"/>
    </row>
    <row r="361" spans="1:9" s="3" customFormat="1" ht="22.5" customHeight="1" x14ac:dyDescent="0.25">
      <c r="A361" s="26"/>
      <c r="B361" s="27"/>
      <c r="C361" s="28"/>
      <c r="D361" s="28"/>
      <c r="E361" s="28"/>
      <c r="F361" s="28"/>
      <c r="G361" s="28"/>
      <c r="H361" s="28"/>
      <c r="I361" s="28"/>
    </row>
    <row r="362" spans="1:9" s="3" customFormat="1" ht="22.5" customHeight="1" x14ac:dyDescent="0.25">
      <c r="A362" s="26"/>
      <c r="B362" s="27"/>
      <c r="C362" s="28"/>
      <c r="D362" s="28"/>
      <c r="E362" s="28"/>
      <c r="F362" s="28"/>
      <c r="G362" s="28"/>
      <c r="H362" s="28"/>
      <c r="I362" s="28"/>
    </row>
    <row r="363" spans="1:9" s="3" customFormat="1" ht="22.5" customHeight="1" x14ac:dyDescent="0.25">
      <c r="A363" s="26"/>
      <c r="B363" s="27"/>
      <c r="C363" s="28"/>
      <c r="D363" s="28"/>
      <c r="E363" s="28"/>
      <c r="F363" s="28"/>
      <c r="G363" s="28"/>
      <c r="H363" s="28"/>
      <c r="I363" s="28"/>
    </row>
    <row r="364" spans="1:9" s="3" customFormat="1" ht="22.5" customHeight="1" x14ac:dyDescent="0.25">
      <c r="A364" s="26"/>
      <c r="B364" s="27"/>
      <c r="C364" s="28"/>
      <c r="D364" s="28"/>
      <c r="E364" s="28"/>
      <c r="F364" s="28"/>
      <c r="G364" s="28"/>
      <c r="H364" s="28"/>
      <c r="I364" s="28"/>
    </row>
    <row r="365" spans="1:9" s="3" customFormat="1" ht="22.5" customHeight="1" x14ac:dyDescent="0.25">
      <c r="A365" s="26"/>
      <c r="B365" s="27"/>
      <c r="C365" s="28"/>
      <c r="D365" s="28"/>
      <c r="E365" s="28"/>
      <c r="F365" s="28"/>
      <c r="G365" s="28"/>
      <c r="H365" s="28"/>
      <c r="I365" s="28"/>
    </row>
    <row r="366" spans="1:9" s="3" customFormat="1" ht="22.5" customHeight="1" x14ac:dyDescent="0.25">
      <c r="A366" s="26"/>
      <c r="B366" s="27"/>
      <c r="C366" s="28"/>
      <c r="D366" s="28"/>
      <c r="E366" s="28"/>
      <c r="F366" s="28"/>
      <c r="G366" s="28"/>
      <c r="H366" s="28"/>
      <c r="I366" s="28"/>
    </row>
    <row r="367" spans="1:9" s="3" customFormat="1" ht="22.5" customHeight="1" x14ac:dyDescent="0.25">
      <c r="A367" s="26"/>
      <c r="B367" s="27"/>
      <c r="C367" s="28"/>
      <c r="D367" s="28"/>
      <c r="E367" s="28"/>
      <c r="F367" s="28"/>
      <c r="G367" s="28"/>
      <c r="H367" s="28"/>
      <c r="I367" s="28"/>
    </row>
    <row r="368" spans="1:9" s="3" customFormat="1" ht="22.5" customHeight="1" x14ac:dyDescent="0.25">
      <c r="A368" s="26"/>
      <c r="B368" s="27"/>
      <c r="C368" s="28"/>
      <c r="D368" s="28"/>
      <c r="E368" s="28"/>
      <c r="F368" s="28"/>
      <c r="G368" s="28"/>
      <c r="H368" s="28"/>
      <c r="I368" s="28"/>
    </row>
    <row r="369" spans="1:9" s="3" customFormat="1" ht="22.5" customHeight="1" x14ac:dyDescent="0.25">
      <c r="A369" s="26"/>
      <c r="B369" s="27"/>
      <c r="C369" s="28"/>
      <c r="D369" s="28"/>
      <c r="E369" s="28"/>
      <c r="F369" s="28"/>
      <c r="G369" s="28"/>
      <c r="H369" s="28"/>
      <c r="I369" s="28"/>
    </row>
    <row r="370" spans="1:9" s="3" customFormat="1" ht="22.5" customHeight="1" x14ac:dyDescent="0.25">
      <c r="A370" s="26"/>
      <c r="B370" s="27"/>
      <c r="C370" s="28"/>
      <c r="D370" s="28"/>
      <c r="E370" s="28"/>
      <c r="F370" s="28"/>
      <c r="G370" s="28"/>
      <c r="H370" s="28"/>
      <c r="I370" s="28"/>
    </row>
    <row r="371" spans="1:9" s="3" customFormat="1" ht="22.5" customHeight="1" x14ac:dyDescent="0.25">
      <c r="A371" s="26"/>
      <c r="B371" s="27"/>
      <c r="C371" s="28"/>
      <c r="D371" s="28"/>
      <c r="E371" s="28"/>
      <c r="F371" s="28"/>
      <c r="G371" s="28"/>
      <c r="H371" s="28"/>
      <c r="I371" s="28"/>
    </row>
    <row r="372" spans="1:9" s="3" customFormat="1" ht="22.5" customHeight="1" x14ac:dyDescent="0.25">
      <c r="A372" s="26"/>
      <c r="B372" s="27"/>
      <c r="C372" s="28"/>
      <c r="D372" s="28"/>
      <c r="E372" s="28"/>
      <c r="F372" s="28"/>
      <c r="G372" s="28"/>
      <c r="H372" s="28"/>
      <c r="I372" s="28"/>
    </row>
    <row r="373" spans="1:9" s="3" customFormat="1" ht="22.5" customHeight="1" x14ac:dyDescent="0.25">
      <c r="A373" s="26"/>
      <c r="B373" s="27"/>
      <c r="C373" s="28"/>
      <c r="D373" s="28"/>
      <c r="E373" s="28"/>
      <c r="F373" s="28"/>
      <c r="G373" s="28"/>
      <c r="H373" s="28"/>
      <c r="I373" s="28"/>
    </row>
    <row r="374" spans="1:9" s="3" customFormat="1" ht="22.5" customHeight="1" x14ac:dyDescent="0.25">
      <c r="A374" s="26"/>
      <c r="B374" s="27"/>
      <c r="C374" s="28"/>
      <c r="D374" s="28"/>
      <c r="E374" s="28"/>
      <c r="F374" s="28"/>
      <c r="G374" s="28"/>
      <c r="H374" s="28"/>
      <c r="I374" s="28"/>
    </row>
    <row r="375" spans="1:9" s="3" customFormat="1" ht="22.5" customHeight="1" x14ac:dyDescent="0.25">
      <c r="A375" s="26"/>
      <c r="B375" s="27"/>
      <c r="C375" s="28"/>
      <c r="D375" s="28"/>
      <c r="E375" s="28"/>
      <c r="F375" s="28"/>
      <c r="G375" s="28"/>
      <c r="H375" s="28"/>
      <c r="I375" s="28"/>
    </row>
    <row r="376" spans="1:9" s="3" customFormat="1" ht="22.5" customHeight="1" x14ac:dyDescent="0.25">
      <c r="A376" s="26"/>
      <c r="B376" s="27"/>
      <c r="C376" s="28"/>
      <c r="D376" s="28"/>
      <c r="E376" s="28"/>
      <c r="F376" s="28"/>
      <c r="G376" s="28"/>
      <c r="H376" s="28"/>
      <c r="I376" s="28"/>
    </row>
    <row r="377" spans="1:9" s="3" customFormat="1" ht="22.5" customHeight="1" x14ac:dyDescent="0.25">
      <c r="A377" s="26"/>
      <c r="B377" s="27"/>
      <c r="C377" s="28"/>
      <c r="D377" s="28"/>
      <c r="E377" s="28"/>
      <c r="F377" s="28"/>
      <c r="G377" s="28"/>
      <c r="H377" s="28"/>
      <c r="I377" s="28"/>
    </row>
    <row r="378" spans="1:9" s="3" customFormat="1" ht="22.5" customHeight="1" x14ac:dyDescent="0.25">
      <c r="A378" s="26"/>
      <c r="B378" s="27"/>
      <c r="C378" s="28"/>
      <c r="D378" s="28"/>
      <c r="E378" s="28"/>
      <c r="F378" s="28"/>
      <c r="G378" s="28"/>
      <c r="H378" s="28"/>
      <c r="I378" s="28"/>
    </row>
    <row r="379" spans="1:9" s="3" customFormat="1" ht="22.5" customHeight="1" x14ac:dyDescent="0.25">
      <c r="A379" s="26"/>
      <c r="B379" s="27"/>
      <c r="C379" s="28"/>
      <c r="D379" s="28"/>
      <c r="E379" s="28"/>
      <c r="F379" s="28"/>
      <c r="G379" s="28"/>
      <c r="H379" s="28"/>
      <c r="I379" s="28"/>
    </row>
    <row r="380" spans="1:9" s="3" customFormat="1" ht="22.5" customHeight="1" x14ac:dyDescent="0.25">
      <c r="A380" s="26"/>
      <c r="B380" s="27"/>
      <c r="C380" s="28"/>
      <c r="D380" s="28"/>
      <c r="E380" s="28"/>
      <c r="F380" s="28"/>
      <c r="G380" s="28"/>
      <c r="H380" s="28"/>
      <c r="I380" s="28"/>
    </row>
    <row r="381" spans="1:9" s="3" customFormat="1" ht="22.5" customHeight="1" x14ac:dyDescent="0.25">
      <c r="A381" s="26"/>
      <c r="B381" s="27"/>
      <c r="C381" s="28"/>
      <c r="D381" s="28"/>
      <c r="E381" s="28"/>
      <c r="F381" s="28"/>
      <c r="G381" s="28"/>
      <c r="H381" s="28"/>
      <c r="I381" s="28"/>
    </row>
    <row r="382" spans="1:9" s="3" customFormat="1" ht="22.5" customHeight="1" x14ac:dyDescent="0.25">
      <c r="A382" s="26"/>
      <c r="B382" s="27"/>
      <c r="C382" s="28"/>
      <c r="D382" s="28"/>
      <c r="E382" s="28"/>
      <c r="F382" s="28"/>
      <c r="G382" s="28"/>
      <c r="H382" s="28"/>
      <c r="I382" s="28"/>
    </row>
    <row r="383" spans="1:9" s="3" customFormat="1" ht="22.5" customHeight="1" x14ac:dyDescent="0.25">
      <c r="A383" s="26"/>
      <c r="B383" s="27"/>
      <c r="C383" s="28"/>
      <c r="D383" s="28"/>
      <c r="E383" s="28"/>
      <c r="F383" s="28"/>
      <c r="G383" s="28"/>
      <c r="H383" s="28"/>
      <c r="I383" s="28"/>
    </row>
    <row r="384" spans="1:9" s="3" customFormat="1" ht="22.5" customHeight="1" x14ac:dyDescent="0.25">
      <c r="A384" s="26"/>
      <c r="B384" s="27"/>
      <c r="C384" s="28"/>
      <c r="D384" s="28"/>
      <c r="E384" s="28"/>
      <c r="F384" s="28"/>
      <c r="G384" s="28"/>
      <c r="H384" s="28"/>
      <c r="I384" s="28"/>
    </row>
    <row r="385" spans="1:9" s="3" customFormat="1" ht="22.5" customHeight="1" x14ac:dyDescent="0.25">
      <c r="A385" s="26"/>
      <c r="B385" s="27"/>
      <c r="C385" s="28"/>
      <c r="D385" s="28"/>
      <c r="E385" s="28"/>
      <c r="F385" s="28"/>
      <c r="G385" s="28"/>
      <c r="H385" s="28"/>
      <c r="I385" s="28"/>
    </row>
    <row r="386" spans="1:9" s="3" customFormat="1" ht="22.5" customHeight="1" x14ac:dyDescent="0.25">
      <c r="A386" s="26"/>
      <c r="B386" s="27"/>
      <c r="C386" s="28"/>
      <c r="D386" s="28"/>
      <c r="E386" s="28"/>
      <c r="F386" s="28"/>
      <c r="G386" s="28"/>
      <c r="H386" s="28"/>
      <c r="I386" s="28"/>
    </row>
    <row r="387" spans="1:9" s="3" customFormat="1" ht="22.5" customHeight="1" x14ac:dyDescent="0.25">
      <c r="A387" s="26"/>
      <c r="B387" s="27"/>
      <c r="C387" s="28"/>
      <c r="D387" s="28"/>
      <c r="E387" s="28"/>
      <c r="F387" s="28"/>
      <c r="G387" s="28"/>
      <c r="H387" s="28"/>
      <c r="I387" s="28"/>
    </row>
    <row r="388" spans="1:9" s="3" customFormat="1" ht="22.5" customHeight="1" x14ac:dyDescent="0.25">
      <c r="A388" s="26"/>
      <c r="B388" s="27"/>
      <c r="C388" s="28"/>
      <c r="D388" s="28"/>
      <c r="E388" s="28"/>
      <c r="F388" s="28"/>
      <c r="G388" s="28"/>
      <c r="H388" s="28"/>
      <c r="I388" s="28"/>
    </row>
    <row r="389" spans="1:9" s="3" customFormat="1" ht="22.5" customHeight="1" x14ac:dyDescent="0.25">
      <c r="A389" s="26"/>
      <c r="B389" s="27"/>
      <c r="C389" s="28"/>
      <c r="D389" s="28"/>
      <c r="E389" s="28"/>
      <c r="F389" s="28"/>
      <c r="G389" s="28"/>
      <c r="H389" s="28"/>
      <c r="I389" s="28"/>
    </row>
    <row r="390" spans="1:9" s="3" customFormat="1" ht="22.5" customHeight="1" x14ac:dyDescent="0.25">
      <c r="A390" s="26"/>
      <c r="B390" s="27"/>
      <c r="C390" s="28"/>
      <c r="D390" s="28"/>
      <c r="E390" s="28"/>
      <c r="F390" s="28"/>
      <c r="G390" s="28"/>
      <c r="H390" s="28"/>
      <c r="I390" s="28"/>
    </row>
    <row r="391" spans="1:9" s="3" customFormat="1" ht="22.5" customHeight="1" x14ac:dyDescent="0.25">
      <c r="A391" s="26"/>
      <c r="B391" s="27"/>
      <c r="C391" s="28"/>
      <c r="D391" s="28"/>
      <c r="E391" s="28"/>
      <c r="F391" s="28"/>
      <c r="G391" s="28"/>
      <c r="H391" s="28"/>
      <c r="I391" s="28"/>
    </row>
    <row r="392" spans="1:9" s="3" customFormat="1" ht="22.5" customHeight="1" x14ac:dyDescent="0.25">
      <c r="A392" s="26"/>
      <c r="B392" s="27"/>
      <c r="C392" s="28"/>
      <c r="D392" s="28"/>
      <c r="E392" s="28"/>
      <c r="F392" s="28"/>
      <c r="G392" s="28"/>
      <c r="H392" s="28"/>
      <c r="I392" s="28"/>
    </row>
    <row r="393" spans="1:9" s="3" customFormat="1" ht="22.5" customHeight="1" x14ac:dyDescent="0.25">
      <c r="A393" s="26"/>
      <c r="B393" s="27"/>
      <c r="C393" s="28"/>
      <c r="D393" s="28"/>
      <c r="E393" s="28"/>
      <c r="F393" s="28"/>
      <c r="G393" s="28"/>
      <c r="H393" s="28"/>
      <c r="I393" s="28"/>
    </row>
    <row r="394" spans="1:9" s="3" customFormat="1" ht="22.5" customHeight="1" x14ac:dyDescent="0.25">
      <c r="A394" s="26"/>
      <c r="B394" s="27"/>
      <c r="C394" s="28"/>
      <c r="D394" s="28"/>
      <c r="E394" s="28"/>
      <c r="F394" s="28"/>
      <c r="G394" s="28"/>
      <c r="H394" s="28"/>
      <c r="I394" s="28"/>
    </row>
    <row r="395" spans="1:9" s="3" customFormat="1" ht="22.5" customHeight="1" x14ac:dyDescent="0.25">
      <c r="A395" s="26"/>
      <c r="B395" s="27"/>
      <c r="C395" s="28"/>
      <c r="D395" s="28"/>
      <c r="E395" s="28"/>
      <c r="F395" s="28"/>
      <c r="G395" s="28"/>
      <c r="H395" s="28"/>
      <c r="I395" s="28"/>
    </row>
    <row r="396" spans="1:9" s="3" customFormat="1" ht="22.5" customHeight="1" x14ac:dyDescent="0.25">
      <c r="A396" s="26"/>
      <c r="B396" s="27"/>
      <c r="C396" s="28"/>
      <c r="D396" s="28"/>
      <c r="E396" s="28"/>
      <c r="F396" s="28"/>
      <c r="G396" s="28"/>
      <c r="H396" s="28"/>
      <c r="I396" s="28"/>
    </row>
    <row r="397" spans="1:9" s="3" customFormat="1" ht="22.5" customHeight="1" x14ac:dyDescent="0.25">
      <c r="A397" s="26"/>
      <c r="B397" s="27"/>
      <c r="C397" s="28"/>
      <c r="D397" s="28"/>
      <c r="E397" s="28"/>
      <c r="F397" s="28"/>
      <c r="G397" s="28"/>
      <c r="H397" s="28"/>
      <c r="I397" s="28"/>
    </row>
    <row r="398" spans="1:9" s="3" customFormat="1" ht="22.5" customHeight="1" x14ac:dyDescent="0.25">
      <c r="A398" s="26"/>
      <c r="B398" s="27"/>
      <c r="C398" s="28"/>
      <c r="D398" s="28"/>
      <c r="E398" s="28"/>
      <c r="F398" s="28"/>
      <c r="G398" s="28"/>
      <c r="H398" s="28"/>
      <c r="I398" s="28"/>
    </row>
    <row r="399" spans="1:9" s="3" customFormat="1" ht="22.5" customHeight="1" x14ac:dyDescent="0.25">
      <c r="A399" s="26"/>
      <c r="B399" s="27"/>
      <c r="C399" s="28"/>
      <c r="D399" s="28"/>
      <c r="E399" s="28"/>
      <c r="F399" s="28"/>
      <c r="G399" s="28"/>
      <c r="H399" s="28"/>
      <c r="I399" s="28"/>
    </row>
    <row r="400" spans="1:9" s="3" customFormat="1" ht="22.5" customHeight="1" x14ac:dyDescent="0.25">
      <c r="A400" s="26"/>
      <c r="B400" s="27"/>
      <c r="C400" s="28"/>
      <c r="D400" s="28"/>
      <c r="E400" s="28"/>
      <c r="F400" s="28"/>
      <c r="G400" s="28"/>
      <c r="H400" s="28"/>
      <c r="I400" s="28"/>
    </row>
    <row r="401" spans="1:9" s="3" customFormat="1" ht="22.5" customHeight="1" x14ac:dyDescent="0.25">
      <c r="A401" s="26"/>
      <c r="B401" s="27"/>
      <c r="C401" s="28"/>
      <c r="D401" s="28"/>
      <c r="E401" s="28"/>
      <c r="F401" s="28"/>
      <c r="G401" s="28"/>
      <c r="H401" s="28"/>
      <c r="I401" s="28"/>
    </row>
    <row r="402" spans="1:9" s="3" customFormat="1" ht="22.5" customHeight="1" x14ac:dyDescent="0.25">
      <c r="A402" s="26"/>
      <c r="B402" s="27"/>
      <c r="C402" s="28"/>
      <c r="D402" s="28"/>
      <c r="E402" s="28"/>
      <c r="F402" s="28"/>
      <c r="G402" s="28"/>
      <c r="H402" s="28"/>
      <c r="I402" s="28"/>
    </row>
    <row r="403" spans="1:9" s="3" customFormat="1" ht="22.5" customHeight="1" x14ac:dyDescent="0.25">
      <c r="A403" s="26"/>
      <c r="B403" s="27"/>
      <c r="C403" s="28"/>
      <c r="D403" s="28"/>
      <c r="E403" s="28"/>
      <c r="F403" s="28"/>
      <c r="G403" s="28"/>
      <c r="H403" s="28"/>
      <c r="I403" s="28"/>
    </row>
    <row r="404" spans="1:9" s="3" customFormat="1" ht="22.5" customHeight="1" x14ac:dyDescent="0.25">
      <c r="A404" s="26"/>
      <c r="B404" s="27"/>
      <c r="C404" s="28"/>
      <c r="D404" s="28"/>
      <c r="E404" s="28"/>
      <c r="F404" s="28"/>
      <c r="G404" s="28"/>
      <c r="H404" s="28"/>
      <c r="I404" s="28"/>
    </row>
    <row r="405" spans="1:9" s="3" customFormat="1" ht="22.5" customHeight="1" x14ac:dyDescent="0.25">
      <c r="A405" s="26"/>
      <c r="B405" s="27"/>
      <c r="C405" s="28"/>
      <c r="D405" s="28"/>
      <c r="E405" s="28"/>
      <c r="F405" s="28"/>
      <c r="G405" s="28"/>
      <c r="H405" s="28"/>
      <c r="I405" s="28"/>
    </row>
    <row r="406" spans="1:9" s="3" customFormat="1" ht="22.5" customHeight="1" x14ac:dyDescent="0.25">
      <c r="A406" s="26"/>
      <c r="B406" s="27"/>
      <c r="C406" s="28"/>
      <c r="D406" s="28"/>
      <c r="E406" s="28"/>
      <c r="F406" s="28"/>
      <c r="G406" s="28"/>
      <c r="H406" s="28"/>
      <c r="I406" s="28"/>
    </row>
    <row r="407" spans="1:9" s="3" customFormat="1" ht="22.5" customHeight="1" x14ac:dyDescent="0.25">
      <c r="A407" s="26"/>
      <c r="B407" s="27"/>
      <c r="C407" s="28"/>
      <c r="D407" s="28"/>
      <c r="E407" s="28"/>
      <c r="F407" s="28"/>
      <c r="G407" s="28"/>
      <c r="H407" s="28"/>
      <c r="I407" s="28"/>
    </row>
    <row r="408" spans="1:9" s="3" customFormat="1" ht="22.5" customHeight="1" x14ac:dyDescent="0.25">
      <c r="A408" s="26"/>
      <c r="B408" s="27"/>
      <c r="C408" s="28"/>
      <c r="D408" s="28"/>
      <c r="E408" s="28"/>
      <c r="F408" s="28"/>
      <c r="G408" s="28"/>
      <c r="H408" s="28"/>
      <c r="I408" s="28"/>
    </row>
    <row r="409" spans="1:9" s="3" customFormat="1" ht="22.5" customHeight="1" x14ac:dyDescent="0.25">
      <c r="A409" s="26"/>
      <c r="B409" s="27"/>
      <c r="C409" s="28"/>
      <c r="D409" s="28"/>
      <c r="E409" s="28"/>
      <c r="F409" s="28"/>
      <c r="G409" s="28"/>
      <c r="H409" s="28"/>
      <c r="I409" s="28"/>
    </row>
    <row r="410" spans="1:9" s="3" customFormat="1" ht="22.5" customHeight="1" x14ac:dyDescent="0.25">
      <c r="A410" s="26"/>
      <c r="B410" s="27"/>
      <c r="C410" s="28"/>
      <c r="D410" s="28"/>
      <c r="E410" s="28"/>
      <c r="F410" s="28"/>
      <c r="G410" s="28"/>
      <c r="H410" s="28"/>
      <c r="I410" s="28"/>
    </row>
    <row r="411" spans="1:9" s="3" customFormat="1" ht="22.5" customHeight="1" x14ac:dyDescent="0.25">
      <c r="A411" s="26"/>
      <c r="B411" s="27"/>
      <c r="C411" s="28"/>
      <c r="D411" s="28"/>
      <c r="E411" s="28"/>
      <c r="F411" s="28"/>
      <c r="G411" s="28"/>
      <c r="H411" s="28"/>
      <c r="I411" s="28"/>
    </row>
    <row r="412" spans="1:9" s="3" customFormat="1" ht="22.5" customHeight="1" x14ac:dyDescent="0.25">
      <c r="A412" s="26"/>
      <c r="B412" s="27"/>
      <c r="C412" s="28"/>
      <c r="D412" s="28"/>
      <c r="E412" s="28"/>
      <c r="F412" s="28"/>
      <c r="G412" s="28"/>
      <c r="H412" s="28"/>
      <c r="I412" s="28"/>
    </row>
    <row r="413" spans="1:9" s="3" customFormat="1" ht="22.5" customHeight="1" x14ac:dyDescent="0.25">
      <c r="A413" s="26"/>
      <c r="B413" s="27"/>
      <c r="C413" s="28"/>
      <c r="D413" s="28"/>
      <c r="E413" s="28"/>
      <c r="F413" s="28"/>
      <c r="G413" s="28"/>
      <c r="H413" s="28"/>
      <c r="I413" s="28"/>
    </row>
    <row r="414" spans="1:9" s="3" customFormat="1" ht="22.5" customHeight="1" x14ac:dyDescent="0.25">
      <c r="A414" s="26"/>
      <c r="B414" s="27"/>
      <c r="C414" s="28"/>
      <c r="D414" s="28"/>
      <c r="E414" s="28"/>
      <c r="F414" s="28"/>
      <c r="G414" s="28"/>
      <c r="H414" s="28"/>
      <c r="I414" s="28"/>
    </row>
    <row r="415" spans="1:9" s="3" customFormat="1" ht="22.5" customHeight="1" x14ac:dyDescent="0.25">
      <c r="A415" s="26"/>
      <c r="B415" s="27"/>
      <c r="C415" s="28"/>
      <c r="D415" s="28"/>
      <c r="E415" s="28"/>
      <c r="F415" s="28"/>
      <c r="G415" s="28"/>
      <c r="H415" s="28"/>
      <c r="I415" s="28"/>
    </row>
    <row r="416" spans="1:9" s="3" customFormat="1" ht="22.5" customHeight="1" x14ac:dyDescent="0.25">
      <c r="A416" s="26"/>
      <c r="B416" s="27"/>
      <c r="C416" s="28"/>
      <c r="D416" s="28"/>
      <c r="E416" s="28"/>
      <c r="F416" s="28"/>
      <c r="G416" s="28"/>
      <c r="H416" s="28"/>
      <c r="I416" s="28"/>
    </row>
    <row r="417" spans="1:9" s="3" customFormat="1" ht="22.5" customHeight="1" x14ac:dyDescent="0.25">
      <c r="A417" s="26"/>
      <c r="B417" s="27"/>
      <c r="C417" s="28"/>
      <c r="D417" s="28"/>
      <c r="E417" s="28"/>
      <c r="F417" s="28"/>
      <c r="G417" s="28"/>
      <c r="H417" s="28"/>
      <c r="I417" s="28"/>
    </row>
    <row r="418" spans="1:9" s="3" customFormat="1" ht="22.5" customHeight="1" x14ac:dyDescent="0.25">
      <c r="A418" s="26"/>
      <c r="B418" s="27"/>
      <c r="C418" s="28"/>
      <c r="D418" s="28"/>
      <c r="E418" s="28"/>
      <c r="F418" s="28"/>
      <c r="G418" s="28"/>
      <c r="H418" s="28"/>
      <c r="I418" s="28"/>
    </row>
    <row r="419" spans="1:9" s="3" customFormat="1" ht="22.5" customHeight="1" x14ac:dyDescent="0.25">
      <c r="A419" s="26"/>
      <c r="B419" s="27"/>
      <c r="C419" s="28"/>
      <c r="D419" s="28"/>
      <c r="E419" s="28"/>
      <c r="F419" s="28"/>
      <c r="G419" s="28"/>
      <c r="H419" s="28"/>
      <c r="I419" s="28"/>
    </row>
    <row r="420" spans="1:9" s="3" customFormat="1" ht="22.5" customHeight="1" x14ac:dyDescent="0.25">
      <c r="A420" s="26"/>
      <c r="B420" s="27"/>
      <c r="C420" s="28"/>
      <c r="D420" s="28"/>
      <c r="E420" s="28"/>
      <c r="F420" s="28"/>
      <c r="G420" s="28"/>
      <c r="H420" s="28"/>
      <c r="I420" s="28"/>
    </row>
    <row r="421" spans="1:9" s="3" customFormat="1" ht="22.5" customHeight="1" x14ac:dyDescent="0.25">
      <c r="A421" s="26"/>
      <c r="B421" s="27"/>
      <c r="C421" s="28"/>
      <c r="D421" s="28"/>
      <c r="E421" s="28"/>
      <c r="F421" s="28"/>
      <c r="G421" s="28"/>
      <c r="H421" s="28"/>
      <c r="I421" s="28"/>
    </row>
    <row r="422" spans="1:9" s="3" customFormat="1" ht="22.5" customHeight="1" x14ac:dyDescent="0.25">
      <c r="A422" s="26"/>
      <c r="B422" s="27"/>
      <c r="C422" s="28"/>
      <c r="D422" s="28"/>
      <c r="E422" s="28"/>
      <c r="F422" s="28"/>
      <c r="G422" s="28"/>
      <c r="H422" s="28"/>
      <c r="I422" s="28"/>
    </row>
    <row r="423" spans="1:9" s="3" customFormat="1" ht="22.5" customHeight="1" x14ac:dyDescent="0.25">
      <c r="A423" s="26"/>
      <c r="B423" s="27"/>
      <c r="C423" s="28"/>
      <c r="D423" s="28"/>
      <c r="E423" s="28"/>
      <c r="F423" s="28"/>
      <c r="G423" s="28"/>
      <c r="H423" s="28"/>
      <c r="I423" s="28"/>
    </row>
    <row r="424" spans="1:9" s="3" customFormat="1" ht="22.5" customHeight="1" x14ac:dyDescent="0.25">
      <c r="A424" s="26"/>
      <c r="B424" s="27"/>
      <c r="C424" s="28"/>
      <c r="D424" s="28"/>
      <c r="E424" s="28"/>
      <c r="F424" s="28"/>
      <c r="G424" s="28"/>
      <c r="H424" s="28"/>
      <c r="I424" s="28"/>
    </row>
    <row r="425" spans="1:9" s="3" customFormat="1" ht="22.5" customHeight="1" x14ac:dyDescent="0.25">
      <c r="A425" s="26"/>
      <c r="B425" s="27"/>
      <c r="C425" s="28"/>
      <c r="D425" s="28"/>
      <c r="E425" s="28"/>
      <c r="F425" s="28"/>
      <c r="G425" s="28"/>
      <c r="H425" s="28"/>
      <c r="I425" s="28"/>
    </row>
    <row r="426" spans="1:9" s="3" customFormat="1" ht="22.5" customHeight="1" x14ac:dyDescent="0.25">
      <c r="A426" s="26"/>
      <c r="B426" s="27"/>
      <c r="C426" s="28"/>
      <c r="D426" s="28"/>
      <c r="E426" s="28"/>
      <c r="F426" s="28"/>
      <c r="G426" s="28"/>
      <c r="H426" s="28"/>
      <c r="I426" s="28"/>
    </row>
    <row r="427" spans="1:9" s="3" customFormat="1" ht="22.5" customHeight="1" x14ac:dyDescent="0.25">
      <c r="A427" s="26"/>
      <c r="B427" s="27"/>
      <c r="C427" s="28"/>
      <c r="D427" s="28"/>
      <c r="E427" s="28"/>
      <c r="F427" s="28"/>
      <c r="G427" s="28"/>
      <c r="H427" s="28"/>
      <c r="I427" s="28"/>
    </row>
    <row r="428" spans="1:9" s="3" customFormat="1" ht="22.5" customHeight="1" x14ac:dyDescent="0.25">
      <c r="A428" s="26"/>
      <c r="B428" s="27"/>
      <c r="C428" s="28"/>
      <c r="D428" s="28"/>
      <c r="E428" s="28"/>
      <c r="F428" s="28"/>
      <c r="G428" s="28"/>
      <c r="H428" s="28"/>
      <c r="I428" s="28"/>
    </row>
    <row r="429" spans="1:9" s="3" customFormat="1" ht="22.5" customHeight="1" x14ac:dyDescent="0.25">
      <c r="A429" s="26"/>
      <c r="B429" s="27"/>
      <c r="C429" s="28"/>
      <c r="D429" s="28"/>
      <c r="E429" s="28"/>
      <c r="F429" s="28"/>
      <c r="G429" s="28"/>
      <c r="H429" s="28"/>
      <c r="I429" s="28"/>
    </row>
    <row r="430" spans="1:9" s="3" customFormat="1" ht="22.5" customHeight="1" x14ac:dyDescent="0.25">
      <c r="A430" s="26"/>
      <c r="B430" s="27"/>
      <c r="C430" s="28"/>
      <c r="D430" s="28"/>
      <c r="E430" s="28"/>
      <c r="F430" s="28"/>
      <c r="G430" s="28"/>
      <c r="H430" s="28"/>
      <c r="I430" s="28"/>
    </row>
    <row r="431" spans="1:9" s="3" customFormat="1" ht="22.5" customHeight="1" x14ac:dyDescent="0.25">
      <c r="A431" s="26"/>
      <c r="B431" s="27"/>
      <c r="C431" s="28"/>
      <c r="D431" s="28"/>
      <c r="E431" s="28"/>
      <c r="F431" s="28"/>
      <c r="G431" s="28"/>
      <c r="H431" s="28"/>
      <c r="I431" s="28"/>
    </row>
    <row r="432" spans="1:9" s="3" customFormat="1" ht="22.5" customHeight="1" x14ac:dyDescent="0.25">
      <c r="A432" s="26"/>
      <c r="B432" s="27"/>
      <c r="C432" s="28"/>
      <c r="D432" s="28"/>
      <c r="E432" s="28"/>
      <c r="F432" s="28"/>
      <c r="G432" s="28"/>
      <c r="H432" s="28"/>
      <c r="I432" s="28"/>
    </row>
    <row r="433" spans="1:9" s="3" customFormat="1" ht="22.5" customHeight="1" x14ac:dyDescent="0.25">
      <c r="A433" s="26"/>
      <c r="B433" s="27"/>
      <c r="C433" s="28"/>
      <c r="D433" s="28"/>
      <c r="E433" s="28"/>
      <c r="F433" s="28"/>
      <c r="G433" s="28"/>
      <c r="H433" s="28"/>
      <c r="I433" s="28"/>
    </row>
    <row r="434" spans="1:9" s="3" customFormat="1" ht="22.5" customHeight="1" x14ac:dyDescent="0.25">
      <c r="A434" s="26"/>
      <c r="B434" s="27"/>
      <c r="C434" s="28"/>
      <c r="D434" s="28"/>
      <c r="E434" s="28"/>
      <c r="F434" s="28"/>
      <c r="G434" s="28"/>
      <c r="H434" s="28"/>
      <c r="I434" s="28"/>
    </row>
    <row r="435" spans="1:9" s="3" customFormat="1" ht="22.5" customHeight="1" x14ac:dyDescent="0.25">
      <c r="A435" s="26"/>
      <c r="B435" s="27"/>
      <c r="C435" s="28"/>
      <c r="D435" s="28"/>
      <c r="E435" s="28"/>
      <c r="F435" s="28"/>
      <c r="G435" s="28"/>
      <c r="H435" s="28"/>
      <c r="I435" s="28"/>
    </row>
    <row r="436" spans="1:9" s="3" customFormat="1" ht="22.5" customHeight="1" x14ac:dyDescent="0.25">
      <c r="A436" s="26"/>
      <c r="B436" s="27"/>
      <c r="C436" s="28"/>
      <c r="D436" s="28"/>
      <c r="E436" s="28"/>
      <c r="F436" s="28"/>
      <c r="G436" s="28"/>
      <c r="H436" s="28"/>
      <c r="I436" s="28"/>
    </row>
    <row r="437" spans="1:9" s="3" customFormat="1" ht="22.5" customHeight="1" x14ac:dyDescent="0.25">
      <c r="A437" s="26"/>
      <c r="B437" s="27"/>
      <c r="C437" s="28"/>
      <c r="D437" s="28"/>
      <c r="E437" s="28"/>
      <c r="F437" s="28"/>
      <c r="G437" s="28"/>
      <c r="H437" s="28"/>
      <c r="I437" s="28"/>
    </row>
    <row r="438" spans="1:9" s="3" customFormat="1" ht="22.5" customHeight="1" x14ac:dyDescent="0.25">
      <c r="A438" s="26"/>
      <c r="B438" s="27"/>
      <c r="C438" s="28"/>
      <c r="D438" s="28"/>
      <c r="E438" s="28"/>
      <c r="F438" s="28"/>
      <c r="G438" s="28"/>
      <c r="H438" s="28"/>
      <c r="I438" s="28"/>
    </row>
    <row r="439" spans="1:9" s="3" customFormat="1" ht="22.5" customHeight="1" x14ac:dyDescent="0.25">
      <c r="A439" s="26"/>
      <c r="B439" s="27"/>
      <c r="C439" s="28"/>
      <c r="D439" s="28"/>
      <c r="E439" s="28"/>
      <c r="F439" s="28"/>
      <c r="G439" s="28"/>
      <c r="H439" s="28"/>
      <c r="I439" s="28"/>
    </row>
    <row r="440" spans="1:9" s="3" customFormat="1" ht="22.5" customHeight="1" x14ac:dyDescent="0.25">
      <c r="A440" s="26"/>
      <c r="B440" s="27"/>
      <c r="C440" s="28"/>
      <c r="D440" s="28"/>
      <c r="E440" s="28"/>
      <c r="F440" s="28"/>
      <c r="G440" s="28"/>
      <c r="H440" s="28"/>
      <c r="I440" s="28"/>
    </row>
    <row r="441" spans="1:9" s="3" customFormat="1" ht="22.5" customHeight="1" x14ac:dyDescent="0.25">
      <c r="A441" s="26"/>
      <c r="B441" s="27"/>
      <c r="C441" s="28"/>
      <c r="D441" s="28"/>
      <c r="E441" s="28"/>
      <c r="F441" s="28"/>
      <c r="G441" s="28"/>
      <c r="H441" s="28"/>
      <c r="I441" s="28"/>
    </row>
    <row r="442" spans="1:9" s="3" customFormat="1" ht="22.5" customHeight="1" x14ac:dyDescent="0.25">
      <c r="A442" s="26"/>
      <c r="B442" s="27"/>
      <c r="C442" s="28"/>
      <c r="D442" s="28"/>
      <c r="E442" s="28"/>
      <c r="F442" s="28"/>
      <c r="G442" s="28"/>
      <c r="H442" s="28"/>
      <c r="I442" s="28"/>
    </row>
    <row r="443" spans="1:9" s="3" customFormat="1" ht="22.5" customHeight="1" x14ac:dyDescent="0.25">
      <c r="A443" s="26"/>
      <c r="B443" s="27"/>
      <c r="C443" s="28"/>
      <c r="D443" s="28"/>
      <c r="E443" s="28"/>
      <c r="F443" s="28"/>
      <c r="G443" s="28"/>
      <c r="H443" s="28"/>
      <c r="I443" s="28"/>
    </row>
    <row r="444" spans="1:9" s="3" customFormat="1" ht="22.5" customHeight="1" x14ac:dyDescent="0.25">
      <c r="A444" s="26"/>
      <c r="B444" s="27"/>
      <c r="C444" s="28"/>
      <c r="D444" s="28"/>
      <c r="E444" s="28"/>
      <c r="F444" s="28"/>
      <c r="G444" s="28"/>
      <c r="H444" s="28"/>
      <c r="I444" s="28"/>
    </row>
    <row r="445" spans="1:9" s="3" customFormat="1" ht="22.5" customHeight="1" x14ac:dyDescent="0.25">
      <c r="A445" s="26"/>
      <c r="B445" s="27"/>
      <c r="C445" s="28"/>
      <c r="D445" s="28"/>
      <c r="E445" s="28"/>
      <c r="F445" s="28"/>
      <c r="G445" s="28"/>
      <c r="H445" s="28"/>
      <c r="I445" s="28"/>
    </row>
    <row r="446" spans="1:9" s="3" customFormat="1" ht="22.5" customHeight="1" x14ac:dyDescent="0.25">
      <c r="A446" s="26"/>
      <c r="B446" s="27"/>
      <c r="C446" s="28"/>
      <c r="D446" s="28"/>
      <c r="E446" s="28"/>
      <c r="F446" s="28"/>
      <c r="G446" s="28"/>
      <c r="H446" s="28"/>
      <c r="I446" s="28"/>
    </row>
    <row r="447" spans="1:9" s="3" customFormat="1" ht="22.5" customHeight="1" x14ac:dyDescent="0.25">
      <c r="A447" s="26"/>
      <c r="B447" s="27"/>
      <c r="C447" s="28"/>
      <c r="D447" s="28"/>
      <c r="E447" s="28"/>
      <c r="F447" s="28"/>
      <c r="G447" s="28"/>
      <c r="H447" s="28"/>
      <c r="I447" s="28"/>
    </row>
    <row r="448" spans="1:9" s="3" customFormat="1" ht="22.5" customHeight="1" x14ac:dyDescent="0.25">
      <c r="A448" s="26"/>
      <c r="B448" s="27"/>
      <c r="C448" s="28"/>
      <c r="D448" s="28"/>
      <c r="E448" s="28"/>
      <c r="F448" s="28"/>
      <c r="G448" s="28"/>
      <c r="H448" s="28"/>
      <c r="I448" s="28"/>
    </row>
    <row r="449" spans="1:9" s="3" customFormat="1" ht="22.5" customHeight="1" x14ac:dyDescent="0.25">
      <c r="A449" s="26"/>
      <c r="B449" s="27"/>
      <c r="C449" s="28"/>
      <c r="D449" s="28"/>
      <c r="E449" s="28"/>
      <c r="F449" s="28"/>
      <c r="G449" s="28"/>
      <c r="H449" s="28"/>
      <c r="I449" s="28"/>
    </row>
    <row r="450" spans="1:9" s="3" customFormat="1" ht="22.5" customHeight="1" x14ac:dyDescent="0.25">
      <c r="A450" s="26"/>
      <c r="B450" s="27"/>
      <c r="C450" s="28"/>
      <c r="D450" s="28"/>
      <c r="E450" s="28"/>
      <c r="F450" s="28"/>
      <c r="G450" s="28"/>
      <c r="H450" s="28"/>
      <c r="I450" s="28"/>
    </row>
    <row r="451" spans="1:9" s="3" customFormat="1" ht="22.5" customHeight="1" x14ac:dyDescent="0.25">
      <c r="A451" s="26"/>
      <c r="B451" s="27"/>
      <c r="C451" s="28"/>
      <c r="D451" s="28"/>
      <c r="E451" s="28"/>
      <c r="F451" s="28"/>
      <c r="G451" s="28"/>
      <c r="H451" s="28"/>
      <c r="I451" s="28"/>
    </row>
    <row r="452" spans="1:9" s="3" customFormat="1" ht="22.5" customHeight="1" x14ac:dyDescent="0.25">
      <c r="A452" s="26"/>
      <c r="B452" s="27"/>
      <c r="C452" s="28"/>
      <c r="D452" s="28"/>
      <c r="E452" s="28"/>
      <c r="F452" s="28"/>
      <c r="G452" s="28"/>
      <c r="H452" s="28"/>
      <c r="I452" s="28"/>
    </row>
    <row r="453" spans="1:9" s="3" customFormat="1" ht="22.5" customHeight="1" x14ac:dyDescent="0.25">
      <c r="A453" s="26"/>
      <c r="B453" s="27"/>
      <c r="C453" s="28"/>
      <c r="D453" s="28"/>
      <c r="E453" s="28"/>
      <c r="F453" s="28"/>
      <c r="G453" s="28"/>
      <c r="H453" s="28"/>
      <c r="I453" s="28"/>
    </row>
    <row r="454" spans="1:9" s="3" customFormat="1" ht="22.5" customHeight="1" x14ac:dyDescent="0.25">
      <c r="A454" s="26"/>
      <c r="B454" s="27"/>
      <c r="C454" s="28"/>
      <c r="D454" s="28"/>
      <c r="E454" s="28"/>
      <c r="F454" s="28"/>
      <c r="G454" s="28"/>
      <c r="H454" s="28"/>
      <c r="I454" s="28"/>
    </row>
    <row r="455" spans="1:9" s="3" customFormat="1" ht="22.5" customHeight="1" x14ac:dyDescent="0.25">
      <c r="A455" s="26"/>
      <c r="B455" s="27"/>
      <c r="C455" s="28"/>
      <c r="D455" s="28"/>
      <c r="E455" s="28"/>
      <c r="F455" s="28"/>
      <c r="G455" s="28"/>
      <c r="H455" s="28"/>
      <c r="I455" s="28"/>
    </row>
    <row r="456" spans="1:9" s="3" customFormat="1" ht="22.5" customHeight="1" x14ac:dyDescent="0.25">
      <c r="A456" s="26"/>
      <c r="B456" s="27"/>
      <c r="C456" s="28"/>
      <c r="D456" s="28"/>
      <c r="E456" s="28"/>
      <c r="F456" s="28"/>
      <c r="G456" s="28"/>
      <c r="H456" s="28"/>
      <c r="I456" s="28"/>
    </row>
    <row r="457" spans="1:9" s="3" customFormat="1" ht="22.5" customHeight="1" x14ac:dyDescent="0.25">
      <c r="A457" s="26"/>
      <c r="B457" s="27"/>
      <c r="C457" s="28"/>
      <c r="D457" s="28"/>
      <c r="E457" s="28"/>
      <c r="F457" s="28"/>
      <c r="G457" s="28"/>
      <c r="H457" s="28"/>
      <c r="I457" s="28"/>
    </row>
    <row r="458" spans="1:9" s="3" customFormat="1" ht="22.5" customHeight="1" x14ac:dyDescent="0.25">
      <c r="A458" s="26"/>
      <c r="B458" s="27"/>
      <c r="C458" s="28"/>
      <c r="D458" s="28"/>
      <c r="E458" s="28"/>
      <c r="F458" s="28"/>
      <c r="G458" s="28"/>
      <c r="H458" s="28"/>
      <c r="I458" s="28"/>
    </row>
    <row r="459" spans="1:9" s="3" customFormat="1" ht="22.5" customHeight="1" x14ac:dyDescent="0.25">
      <c r="A459" s="26"/>
      <c r="B459" s="27"/>
      <c r="C459" s="28"/>
      <c r="D459" s="28"/>
      <c r="E459" s="28"/>
      <c r="F459" s="28"/>
      <c r="G459" s="28"/>
      <c r="H459" s="28"/>
      <c r="I459" s="28"/>
    </row>
    <row r="460" spans="1:9" s="3" customFormat="1" ht="22.5" customHeight="1" x14ac:dyDescent="0.25">
      <c r="A460" s="26"/>
      <c r="B460" s="27"/>
      <c r="C460" s="28"/>
      <c r="D460" s="28"/>
      <c r="E460" s="28"/>
      <c r="F460" s="28"/>
      <c r="G460" s="28"/>
      <c r="H460" s="28"/>
      <c r="I460" s="28"/>
    </row>
    <row r="461" spans="1:9" s="3" customFormat="1" ht="22.5" customHeight="1" x14ac:dyDescent="0.25">
      <c r="A461" s="26"/>
      <c r="B461" s="27"/>
      <c r="C461" s="28"/>
      <c r="D461" s="28"/>
      <c r="E461" s="28"/>
      <c r="F461" s="28"/>
      <c r="G461" s="28"/>
      <c r="H461" s="28"/>
      <c r="I461" s="28"/>
    </row>
    <row r="462" spans="1:9" s="3" customFormat="1" ht="22.5" customHeight="1" x14ac:dyDescent="0.25">
      <c r="A462" s="26"/>
      <c r="B462" s="27"/>
      <c r="C462" s="28"/>
      <c r="D462" s="28"/>
      <c r="E462" s="28"/>
      <c r="F462" s="28"/>
      <c r="G462" s="28"/>
      <c r="H462" s="28"/>
      <c r="I462" s="28"/>
    </row>
    <row r="463" spans="1:9" s="3" customFormat="1" ht="22.5" customHeight="1" x14ac:dyDescent="0.25">
      <c r="A463" s="26"/>
      <c r="B463" s="27"/>
      <c r="C463" s="28"/>
      <c r="D463" s="28"/>
      <c r="E463" s="28"/>
      <c r="F463" s="28"/>
      <c r="G463" s="28"/>
      <c r="H463" s="28"/>
      <c r="I463" s="28"/>
    </row>
    <row r="464" spans="1:9" s="3" customFormat="1" ht="22.5" customHeight="1" x14ac:dyDescent="0.25">
      <c r="A464" s="26"/>
      <c r="B464" s="27"/>
      <c r="C464" s="28"/>
      <c r="D464" s="28"/>
      <c r="E464" s="28"/>
      <c r="F464" s="28"/>
      <c r="G464" s="28"/>
      <c r="H464" s="28"/>
      <c r="I464" s="28"/>
    </row>
    <row r="465" spans="1:9" s="3" customFormat="1" ht="22.5" customHeight="1" x14ac:dyDescent="0.25">
      <c r="A465" s="26"/>
      <c r="B465" s="27"/>
      <c r="C465" s="28"/>
      <c r="D465" s="28"/>
      <c r="E465" s="28"/>
      <c r="F465" s="28"/>
      <c r="G465" s="28"/>
      <c r="H465" s="28"/>
      <c r="I465" s="28"/>
    </row>
    <row r="466" spans="1:9" s="3" customFormat="1" ht="22.5" customHeight="1" x14ac:dyDescent="0.25">
      <c r="A466" s="26"/>
      <c r="B466" s="27"/>
      <c r="C466" s="28"/>
      <c r="D466" s="28"/>
      <c r="E466" s="28"/>
      <c r="F466" s="28"/>
      <c r="G466" s="28"/>
      <c r="H466" s="28"/>
      <c r="I466" s="28"/>
    </row>
    <row r="467" spans="1:9" s="3" customFormat="1" ht="22.5" customHeight="1" x14ac:dyDescent="0.25">
      <c r="A467" s="26"/>
      <c r="B467" s="27"/>
      <c r="C467" s="28"/>
      <c r="D467" s="28"/>
      <c r="E467" s="28"/>
      <c r="F467" s="28"/>
      <c r="G467" s="28"/>
      <c r="H467" s="28"/>
      <c r="I467" s="28"/>
    </row>
    <row r="468" spans="1:9" s="3" customFormat="1" ht="22.5" customHeight="1" x14ac:dyDescent="0.25">
      <c r="A468" s="26"/>
      <c r="B468" s="27"/>
      <c r="C468" s="28"/>
      <c r="D468" s="28"/>
      <c r="E468" s="28"/>
      <c r="F468" s="28"/>
      <c r="G468" s="28"/>
      <c r="H468" s="28"/>
      <c r="I468" s="28"/>
    </row>
    <row r="469" spans="1:9" s="3" customFormat="1" ht="22.5" customHeight="1" x14ac:dyDescent="0.25">
      <c r="A469" s="26"/>
      <c r="B469" s="27"/>
      <c r="C469" s="28"/>
      <c r="D469" s="28"/>
      <c r="E469" s="28"/>
      <c r="F469" s="28"/>
      <c r="G469" s="28"/>
      <c r="H469" s="28"/>
      <c r="I469" s="28"/>
    </row>
    <row r="470" spans="1:9" s="3" customFormat="1" ht="22.5" customHeight="1" x14ac:dyDescent="0.25">
      <c r="A470" s="26"/>
      <c r="B470" s="27"/>
      <c r="C470" s="28"/>
      <c r="D470" s="28"/>
      <c r="E470" s="28"/>
      <c r="F470" s="28"/>
      <c r="G470" s="28"/>
      <c r="H470" s="28"/>
      <c r="I470" s="28"/>
    </row>
    <row r="471" spans="1:9" s="3" customFormat="1" ht="22.5" customHeight="1" x14ac:dyDescent="0.25">
      <c r="A471" s="26"/>
      <c r="B471" s="27"/>
      <c r="C471" s="28"/>
      <c r="D471" s="28"/>
      <c r="E471" s="28"/>
      <c r="F471" s="28"/>
      <c r="G471" s="28"/>
      <c r="H471" s="28"/>
      <c r="I471" s="28"/>
    </row>
    <row r="472" spans="1:9" s="3" customFormat="1" ht="22.5" customHeight="1" x14ac:dyDescent="0.25">
      <c r="A472" s="26"/>
      <c r="B472" s="27"/>
      <c r="C472" s="28"/>
      <c r="D472" s="28"/>
      <c r="E472" s="28"/>
      <c r="F472" s="28"/>
      <c r="G472" s="28"/>
      <c r="H472" s="28"/>
      <c r="I472" s="28"/>
    </row>
    <row r="473" spans="1:9" s="3" customFormat="1" ht="22.5" customHeight="1" x14ac:dyDescent="0.25">
      <c r="A473" s="26"/>
      <c r="B473" s="27"/>
      <c r="C473" s="28"/>
      <c r="D473" s="28"/>
      <c r="E473" s="28"/>
      <c r="F473" s="28"/>
      <c r="G473" s="28"/>
      <c r="H473" s="28"/>
      <c r="I473" s="28"/>
    </row>
    <row r="474" spans="1:9" s="3" customFormat="1" ht="22.5" customHeight="1" x14ac:dyDescent="0.25">
      <c r="A474" s="26"/>
      <c r="B474" s="27"/>
      <c r="C474" s="28"/>
      <c r="D474" s="28"/>
      <c r="E474" s="28"/>
      <c r="F474" s="28"/>
      <c r="G474" s="28"/>
      <c r="H474" s="28"/>
      <c r="I474" s="28"/>
    </row>
    <row r="475" spans="1:9" s="3" customFormat="1" ht="22.5" customHeight="1" x14ac:dyDescent="0.25">
      <c r="A475" s="26"/>
      <c r="B475" s="27"/>
      <c r="C475" s="28"/>
      <c r="D475" s="28"/>
      <c r="E475" s="28"/>
      <c r="F475" s="28"/>
      <c r="G475" s="28"/>
      <c r="H475" s="28"/>
      <c r="I475" s="28"/>
    </row>
    <row r="476" spans="1:9" s="3" customFormat="1" ht="22.5" customHeight="1" x14ac:dyDescent="0.25">
      <c r="A476" s="26"/>
      <c r="B476" s="27"/>
      <c r="C476" s="28"/>
      <c r="D476" s="28"/>
      <c r="E476" s="28"/>
      <c r="F476" s="28"/>
      <c r="G476" s="28"/>
      <c r="H476" s="28"/>
      <c r="I476" s="28"/>
    </row>
    <row r="477" spans="1:9" s="3" customFormat="1" ht="22.5" customHeight="1" x14ac:dyDescent="0.25">
      <c r="A477" s="26"/>
      <c r="B477" s="27"/>
      <c r="C477" s="28"/>
      <c r="D477" s="28"/>
      <c r="E477" s="28"/>
      <c r="F477" s="28"/>
      <c r="G477" s="28"/>
      <c r="H477" s="28"/>
      <c r="I477" s="28"/>
    </row>
    <row r="478" spans="1:9" s="3" customFormat="1" ht="22.5" customHeight="1" x14ac:dyDescent="0.25">
      <c r="A478" s="26"/>
      <c r="B478" s="27"/>
      <c r="C478" s="28"/>
      <c r="D478" s="28"/>
      <c r="E478" s="28"/>
      <c r="F478" s="28"/>
      <c r="G478" s="28"/>
      <c r="H478" s="28"/>
      <c r="I478" s="28"/>
    </row>
    <row r="479" spans="1:9" s="3" customFormat="1" ht="22.5" customHeight="1" x14ac:dyDescent="0.25">
      <c r="A479" s="26"/>
      <c r="B479" s="27"/>
      <c r="C479" s="28"/>
      <c r="D479" s="28"/>
      <c r="E479" s="28"/>
      <c r="F479" s="28"/>
      <c r="G479" s="28"/>
      <c r="H479" s="28"/>
      <c r="I479" s="28"/>
    </row>
    <row r="480" spans="1:9" s="3" customFormat="1" ht="22.5" customHeight="1" x14ac:dyDescent="0.25">
      <c r="A480" s="26"/>
      <c r="B480" s="27"/>
      <c r="C480" s="28"/>
      <c r="D480" s="28"/>
      <c r="E480" s="28"/>
      <c r="F480" s="28"/>
      <c r="G480" s="28"/>
      <c r="H480" s="28"/>
      <c r="I480" s="28"/>
    </row>
    <row r="481" spans="1:9" s="3" customFormat="1" ht="22.5" customHeight="1" x14ac:dyDescent="0.25">
      <c r="A481" s="26"/>
      <c r="B481" s="27"/>
      <c r="C481" s="28"/>
      <c r="D481" s="28"/>
      <c r="E481" s="28"/>
      <c r="F481" s="28"/>
      <c r="G481" s="28"/>
      <c r="H481" s="28"/>
      <c r="I481" s="28"/>
    </row>
    <row r="482" spans="1:9" s="3" customFormat="1" ht="22.5" customHeight="1" x14ac:dyDescent="0.25">
      <c r="A482" s="26"/>
      <c r="B482" s="27"/>
      <c r="C482" s="28"/>
      <c r="D482" s="28"/>
      <c r="E482" s="28"/>
      <c r="F482" s="28"/>
      <c r="G482" s="28"/>
      <c r="H482" s="28"/>
      <c r="I482" s="28"/>
    </row>
    <row r="483" spans="1:9" s="3" customFormat="1" ht="22.5" customHeight="1" x14ac:dyDescent="0.25">
      <c r="A483" s="26"/>
      <c r="B483" s="27"/>
      <c r="C483" s="28"/>
      <c r="D483" s="28"/>
      <c r="E483" s="28"/>
      <c r="F483" s="28"/>
      <c r="G483" s="28"/>
      <c r="H483" s="28"/>
      <c r="I483" s="28"/>
    </row>
    <row r="484" spans="1:9" s="3" customFormat="1" ht="22.5" customHeight="1" x14ac:dyDescent="0.25">
      <c r="A484" s="26"/>
      <c r="B484" s="27"/>
      <c r="C484" s="28"/>
      <c r="D484" s="28"/>
      <c r="E484" s="28"/>
      <c r="F484" s="28"/>
      <c r="G484" s="28"/>
      <c r="H484" s="28"/>
      <c r="I484" s="28"/>
    </row>
    <row r="485" spans="1:9" s="3" customFormat="1" ht="22.5" customHeight="1" x14ac:dyDescent="0.25">
      <c r="A485" s="26"/>
      <c r="B485" s="27"/>
      <c r="C485" s="28"/>
      <c r="D485" s="28"/>
      <c r="E485" s="28"/>
      <c r="F485" s="28"/>
      <c r="G485" s="28"/>
      <c r="H485" s="28"/>
      <c r="I485" s="28"/>
    </row>
    <row r="486" spans="1:9" s="3" customFormat="1" ht="22.5" customHeight="1" x14ac:dyDescent="0.25">
      <c r="A486" s="26"/>
      <c r="B486" s="27"/>
      <c r="C486" s="28"/>
      <c r="D486" s="28"/>
      <c r="E486" s="28"/>
      <c r="F486" s="28"/>
      <c r="G486" s="28"/>
      <c r="H486" s="28"/>
      <c r="I486" s="28"/>
    </row>
    <row r="487" spans="1:9" s="3" customFormat="1" ht="22.5" customHeight="1" x14ac:dyDescent="0.25">
      <c r="A487" s="26"/>
      <c r="B487" s="27"/>
      <c r="C487" s="28"/>
      <c r="D487" s="28"/>
      <c r="E487" s="28"/>
      <c r="F487" s="28"/>
      <c r="G487" s="28"/>
      <c r="H487" s="28"/>
      <c r="I487" s="28"/>
    </row>
    <row r="488" spans="1:9" s="3" customFormat="1" ht="22.5" customHeight="1" x14ac:dyDescent="0.25">
      <c r="A488" s="26"/>
      <c r="B488" s="27"/>
      <c r="C488" s="28"/>
      <c r="D488" s="28"/>
      <c r="E488" s="28"/>
      <c r="F488" s="28"/>
      <c r="G488" s="28"/>
      <c r="H488" s="28"/>
      <c r="I488" s="28"/>
    </row>
    <row r="489" spans="1:9" s="3" customFormat="1" ht="22.5" customHeight="1" x14ac:dyDescent="0.25">
      <c r="A489" s="26"/>
      <c r="B489" s="27"/>
      <c r="C489" s="28"/>
      <c r="D489" s="28"/>
      <c r="E489" s="28"/>
      <c r="F489" s="28"/>
      <c r="G489" s="28"/>
      <c r="H489" s="28"/>
      <c r="I489" s="28"/>
    </row>
    <row r="490" spans="1:9" s="3" customFormat="1" ht="22.5" customHeight="1" x14ac:dyDescent="0.25">
      <c r="A490" s="26"/>
      <c r="B490" s="27"/>
      <c r="C490" s="28"/>
      <c r="D490" s="28"/>
      <c r="E490" s="28"/>
      <c r="F490" s="28"/>
      <c r="G490" s="28"/>
      <c r="H490" s="28"/>
      <c r="I490" s="28"/>
    </row>
    <row r="491" spans="1:9" s="3" customFormat="1" ht="22.5" customHeight="1" x14ac:dyDescent="0.25">
      <c r="A491" s="26"/>
      <c r="B491" s="27"/>
      <c r="C491" s="28"/>
      <c r="D491" s="28"/>
      <c r="E491" s="28"/>
      <c r="F491" s="28"/>
      <c r="G491" s="28"/>
      <c r="H491" s="28"/>
      <c r="I491" s="28"/>
    </row>
    <row r="492" spans="1:9" s="3" customFormat="1" ht="22.5" customHeight="1" x14ac:dyDescent="0.25">
      <c r="A492" s="26"/>
      <c r="B492" s="27"/>
      <c r="C492" s="28"/>
      <c r="D492" s="28"/>
      <c r="E492" s="28"/>
      <c r="F492" s="28"/>
      <c r="G492" s="28"/>
      <c r="H492" s="28"/>
      <c r="I492" s="28"/>
    </row>
    <row r="493" spans="1:9" s="3" customFormat="1" ht="22.5" customHeight="1" x14ac:dyDescent="0.25">
      <c r="A493" s="26"/>
      <c r="B493" s="27"/>
      <c r="C493" s="28"/>
      <c r="D493" s="28"/>
      <c r="E493" s="28"/>
      <c r="F493" s="28"/>
      <c r="G493" s="28"/>
      <c r="H493" s="28"/>
      <c r="I493" s="28"/>
    </row>
    <row r="494" spans="1:9" s="3" customFormat="1" ht="22.5" customHeight="1" x14ac:dyDescent="0.25">
      <c r="A494" s="26"/>
      <c r="B494" s="27"/>
      <c r="C494" s="28"/>
      <c r="D494" s="28"/>
      <c r="E494" s="28"/>
      <c r="F494" s="28"/>
      <c r="G494" s="28"/>
      <c r="H494" s="28"/>
      <c r="I494" s="28"/>
    </row>
    <row r="495" spans="1:9" s="3" customFormat="1" ht="22.5" customHeight="1" x14ac:dyDescent="0.25">
      <c r="A495" s="26"/>
      <c r="B495" s="27"/>
      <c r="C495" s="28"/>
      <c r="D495" s="28"/>
      <c r="E495" s="28"/>
      <c r="F495" s="28"/>
      <c r="G495" s="28"/>
      <c r="H495" s="28"/>
      <c r="I495" s="28"/>
    </row>
    <row r="496" spans="1:9" s="3" customFormat="1" ht="22.5" customHeight="1" x14ac:dyDescent="0.25">
      <c r="A496" s="26"/>
      <c r="B496" s="27"/>
      <c r="C496" s="28"/>
      <c r="D496" s="28"/>
      <c r="E496" s="28"/>
      <c r="F496" s="28"/>
      <c r="G496" s="28"/>
      <c r="H496" s="28"/>
      <c r="I496" s="28"/>
    </row>
    <row r="497" spans="1:9" s="3" customFormat="1" ht="22.5" customHeight="1" x14ac:dyDescent="0.25">
      <c r="A497" s="26"/>
      <c r="B497" s="27"/>
      <c r="C497" s="28"/>
      <c r="D497" s="28"/>
      <c r="E497" s="28"/>
      <c r="F497" s="28"/>
      <c r="G497" s="28"/>
      <c r="H497" s="28"/>
      <c r="I497" s="28"/>
    </row>
    <row r="498" spans="1:9" s="3" customFormat="1" ht="22.5" customHeight="1" x14ac:dyDescent="0.25">
      <c r="A498" s="26"/>
      <c r="B498" s="27"/>
      <c r="C498" s="28"/>
      <c r="D498" s="28"/>
      <c r="E498" s="28"/>
      <c r="F498" s="28"/>
      <c r="G498" s="28"/>
      <c r="H498" s="28"/>
      <c r="I498" s="28"/>
    </row>
    <row r="499" spans="1:9" s="3" customFormat="1" ht="22.5" customHeight="1" x14ac:dyDescent="0.25">
      <c r="A499" s="26"/>
      <c r="B499" s="27"/>
      <c r="C499" s="28"/>
      <c r="D499" s="28"/>
      <c r="E499" s="28"/>
      <c r="F499" s="28"/>
      <c r="G499" s="28"/>
      <c r="H499" s="28"/>
      <c r="I499" s="28"/>
    </row>
    <row r="500" spans="1:9" s="3" customFormat="1" ht="22.5" customHeight="1" x14ac:dyDescent="0.25">
      <c r="A500" s="26"/>
      <c r="B500" s="27"/>
      <c r="C500" s="28"/>
      <c r="D500" s="28"/>
      <c r="E500" s="28"/>
      <c r="F500" s="28"/>
      <c r="G500" s="28"/>
      <c r="H500" s="28"/>
      <c r="I500" s="28"/>
    </row>
    <row r="501" spans="1:9" s="3" customFormat="1" ht="22.5" customHeight="1" x14ac:dyDescent="0.25">
      <c r="A501" s="26"/>
      <c r="B501" s="27"/>
      <c r="C501" s="28"/>
      <c r="D501" s="28"/>
      <c r="E501" s="28"/>
      <c r="F501" s="28"/>
      <c r="G501" s="28"/>
      <c r="H501" s="28"/>
      <c r="I501" s="28"/>
    </row>
    <row r="502" spans="1:9" s="3" customFormat="1" ht="22.5" customHeight="1" x14ac:dyDescent="0.25">
      <c r="A502" s="26"/>
      <c r="B502" s="27"/>
      <c r="C502" s="28"/>
      <c r="D502" s="28"/>
      <c r="E502" s="28"/>
      <c r="F502" s="28"/>
      <c r="G502" s="28"/>
      <c r="H502" s="28"/>
      <c r="I502" s="28"/>
    </row>
    <row r="503" spans="1:9" s="3" customFormat="1" ht="22.5" customHeight="1" x14ac:dyDescent="0.25">
      <c r="A503" s="26"/>
      <c r="B503" s="27"/>
      <c r="C503" s="28"/>
      <c r="D503" s="28"/>
      <c r="E503" s="28"/>
      <c r="F503" s="28"/>
      <c r="G503" s="28"/>
      <c r="H503" s="28"/>
      <c r="I503" s="28"/>
    </row>
    <row r="504" spans="1:9" s="3" customFormat="1" ht="22.5" customHeight="1" x14ac:dyDescent="0.25">
      <c r="A504" s="26"/>
      <c r="B504" s="27"/>
      <c r="C504" s="28"/>
      <c r="D504" s="28"/>
      <c r="E504" s="28"/>
      <c r="F504" s="28"/>
      <c r="G504" s="28"/>
      <c r="H504" s="28"/>
      <c r="I504" s="28"/>
    </row>
    <row r="505" spans="1:9" s="3" customFormat="1" ht="22.5" customHeight="1" x14ac:dyDescent="0.25">
      <c r="A505" s="26"/>
      <c r="B505" s="27"/>
      <c r="C505" s="28"/>
      <c r="D505" s="28"/>
      <c r="E505" s="28"/>
      <c r="F505" s="28"/>
      <c r="G505" s="28"/>
      <c r="H505" s="28"/>
      <c r="I505" s="28"/>
    </row>
    <row r="506" spans="1:9" s="3" customFormat="1" ht="22.5" customHeight="1" x14ac:dyDescent="0.25">
      <c r="A506" s="26"/>
      <c r="B506" s="27"/>
      <c r="C506" s="28"/>
      <c r="D506" s="28"/>
      <c r="E506" s="28"/>
      <c r="F506" s="28"/>
      <c r="G506" s="28"/>
      <c r="H506" s="28"/>
      <c r="I506" s="28"/>
    </row>
    <row r="507" spans="1:9" s="3" customFormat="1" ht="22.5" customHeight="1" x14ac:dyDescent="0.25">
      <c r="A507" s="26"/>
      <c r="B507" s="27"/>
      <c r="C507" s="28"/>
      <c r="D507" s="28"/>
      <c r="E507" s="28"/>
      <c r="F507" s="28"/>
      <c r="G507" s="28"/>
      <c r="H507" s="28"/>
      <c r="I507" s="28"/>
    </row>
    <row r="508" spans="1:9" s="3" customFormat="1" ht="22.5" customHeight="1" x14ac:dyDescent="0.25">
      <c r="A508" s="26"/>
      <c r="B508" s="27"/>
      <c r="C508" s="28"/>
      <c r="D508" s="28"/>
      <c r="E508" s="28"/>
      <c r="F508" s="28"/>
      <c r="G508" s="28"/>
      <c r="H508" s="28"/>
      <c r="I508" s="28"/>
    </row>
    <row r="509" spans="1:9" s="3" customFormat="1" ht="22.5" customHeight="1" x14ac:dyDescent="0.25">
      <c r="A509" s="26"/>
      <c r="B509" s="27"/>
      <c r="C509" s="28"/>
      <c r="D509" s="28"/>
      <c r="E509" s="28"/>
      <c r="F509" s="28"/>
      <c r="G509" s="28"/>
      <c r="H509" s="28"/>
      <c r="I509" s="28"/>
    </row>
    <row r="510" spans="1:9" s="3" customFormat="1" ht="22.5" customHeight="1" x14ac:dyDescent="0.25">
      <c r="A510" s="26"/>
      <c r="B510" s="27"/>
      <c r="C510" s="28"/>
      <c r="D510" s="28"/>
      <c r="E510" s="28"/>
      <c r="F510" s="28"/>
      <c r="G510" s="28"/>
      <c r="H510" s="28"/>
      <c r="I510" s="28"/>
    </row>
    <row r="511" spans="1:9" s="3" customFormat="1" ht="22.5" customHeight="1" x14ac:dyDescent="0.25">
      <c r="A511" s="26"/>
      <c r="B511" s="27"/>
      <c r="C511" s="28"/>
      <c r="D511" s="28"/>
      <c r="E511" s="28"/>
      <c r="F511" s="28"/>
      <c r="G511" s="28"/>
      <c r="H511" s="28"/>
      <c r="I511" s="28"/>
    </row>
    <row r="512" spans="1:9" s="3" customFormat="1" ht="22.5" customHeight="1" x14ac:dyDescent="0.25">
      <c r="A512" s="26"/>
      <c r="B512" s="27"/>
      <c r="C512" s="28"/>
      <c r="D512" s="28"/>
      <c r="E512" s="28"/>
      <c r="F512" s="28"/>
      <c r="G512" s="28"/>
      <c r="H512" s="28"/>
      <c r="I512" s="28"/>
    </row>
    <row r="513" spans="1:9" s="3" customFormat="1" ht="22.5" customHeight="1" x14ac:dyDescent="0.25">
      <c r="A513" s="26"/>
      <c r="B513" s="27"/>
      <c r="C513" s="28"/>
      <c r="D513" s="28"/>
      <c r="E513" s="28"/>
      <c r="F513" s="28"/>
      <c r="G513" s="28"/>
      <c r="H513" s="28"/>
      <c r="I513" s="28"/>
    </row>
    <row r="514" spans="1:9" s="3" customFormat="1" ht="22.5" customHeight="1" x14ac:dyDescent="0.25">
      <c r="A514" s="26"/>
      <c r="B514" s="27"/>
      <c r="C514" s="28"/>
      <c r="D514" s="28"/>
      <c r="E514" s="28"/>
      <c r="F514" s="28"/>
      <c r="G514" s="28"/>
      <c r="H514" s="28"/>
      <c r="I514" s="28"/>
    </row>
    <row r="515" spans="1:9" s="3" customFormat="1" ht="22.5" customHeight="1" x14ac:dyDescent="0.25">
      <c r="A515" s="26"/>
      <c r="B515" s="27"/>
      <c r="C515" s="28"/>
      <c r="D515" s="28"/>
      <c r="E515" s="28"/>
      <c r="F515" s="28"/>
      <c r="G515" s="28"/>
      <c r="H515" s="28"/>
      <c r="I515" s="28"/>
    </row>
    <row r="516" spans="1:9" s="3" customFormat="1" ht="22.5" customHeight="1" x14ac:dyDescent="0.25">
      <c r="A516" s="26"/>
      <c r="B516" s="27"/>
      <c r="C516" s="28"/>
      <c r="D516" s="28"/>
      <c r="E516" s="28"/>
      <c r="F516" s="28"/>
      <c r="G516" s="28"/>
      <c r="H516" s="28"/>
      <c r="I516" s="28"/>
    </row>
    <row r="517" spans="1:9" s="3" customFormat="1" ht="22.5" customHeight="1" x14ac:dyDescent="0.25">
      <c r="A517" s="26"/>
      <c r="B517" s="27"/>
      <c r="C517" s="28"/>
      <c r="D517" s="28"/>
      <c r="E517" s="28"/>
      <c r="F517" s="28"/>
      <c r="G517" s="28"/>
      <c r="H517" s="28"/>
      <c r="I517" s="28"/>
    </row>
    <row r="518" spans="1:9" s="3" customFormat="1" ht="22.5" customHeight="1" x14ac:dyDescent="0.25">
      <c r="A518" s="26"/>
      <c r="B518" s="27"/>
      <c r="C518" s="28"/>
      <c r="D518" s="28"/>
      <c r="E518" s="28"/>
      <c r="F518" s="28"/>
      <c r="G518" s="28"/>
      <c r="H518" s="28"/>
      <c r="I518" s="28"/>
    </row>
    <row r="519" spans="1:9" s="3" customFormat="1" ht="22.5" customHeight="1" x14ac:dyDescent="0.25">
      <c r="A519" s="26"/>
      <c r="B519" s="27"/>
      <c r="C519" s="28"/>
      <c r="D519" s="28"/>
      <c r="E519" s="28"/>
      <c r="F519" s="28"/>
      <c r="G519" s="28"/>
      <c r="H519" s="28"/>
      <c r="I519" s="28"/>
    </row>
    <row r="520" spans="1:9" s="3" customFormat="1" ht="22.5" customHeight="1" x14ac:dyDescent="0.25">
      <c r="A520" s="26"/>
      <c r="B520" s="27"/>
      <c r="C520" s="28"/>
      <c r="D520" s="28"/>
      <c r="E520" s="28"/>
      <c r="F520" s="28"/>
      <c r="G520" s="28"/>
      <c r="H520" s="28"/>
      <c r="I520" s="28"/>
    </row>
    <row r="521" spans="1:9" s="3" customFormat="1" ht="22.5" customHeight="1" x14ac:dyDescent="0.25">
      <c r="A521" s="26"/>
      <c r="B521" s="27"/>
      <c r="C521" s="28"/>
      <c r="D521" s="28"/>
      <c r="E521" s="28"/>
      <c r="F521" s="28"/>
      <c r="G521" s="28"/>
      <c r="H521" s="28"/>
      <c r="I521" s="28"/>
    </row>
    <row r="522" spans="1:9" s="3" customFormat="1" ht="22.5" customHeight="1" x14ac:dyDescent="0.25">
      <c r="A522" s="26"/>
      <c r="B522" s="27"/>
      <c r="C522" s="28"/>
      <c r="D522" s="28"/>
      <c r="E522" s="28"/>
      <c r="F522" s="28"/>
      <c r="G522" s="28"/>
      <c r="H522" s="28"/>
      <c r="I522" s="28"/>
    </row>
    <row r="523" spans="1:9" s="3" customFormat="1" ht="22.5" customHeight="1" x14ac:dyDescent="0.25">
      <c r="A523" s="26"/>
      <c r="B523" s="27"/>
      <c r="C523" s="28"/>
      <c r="D523" s="28"/>
      <c r="E523" s="28"/>
      <c r="F523" s="28"/>
      <c r="G523" s="28"/>
      <c r="H523" s="28"/>
      <c r="I523" s="28"/>
    </row>
    <row r="524" spans="1:9" s="3" customFormat="1" ht="22.5" customHeight="1" x14ac:dyDescent="0.25">
      <c r="A524" s="26"/>
      <c r="B524" s="27"/>
      <c r="C524" s="28"/>
      <c r="D524" s="28"/>
      <c r="E524" s="28"/>
      <c r="F524" s="28"/>
      <c r="G524" s="28"/>
      <c r="H524" s="28"/>
      <c r="I524" s="28"/>
    </row>
    <row r="525" spans="1:9" s="3" customFormat="1" ht="22.5" customHeight="1" x14ac:dyDescent="0.25">
      <c r="A525" s="26"/>
      <c r="B525" s="27"/>
      <c r="C525" s="28"/>
      <c r="D525" s="28"/>
      <c r="E525" s="28"/>
      <c r="F525" s="28"/>
      <c r="G525" s="28"/>
      <c r="H525" s="28"/>
      <c r="I525" s="28"/>
    </row>
    <row r="526" spans="1:9" s="3" customFormat="1" ht="22.5" customHeight="1" x14ac:dyDescent="0.25">
      <c r="A526" s="26"/>
      <c r="B526" s="27"/>
      <c r="C526" s="28"/>
      <c r="D526" s="28"/>
      <c r="E526" s="28"/>
      <c r="F526" s="28"/>
      <c r="G526" s="28"/>
      <c r="H526" s="28"/>
      <c r="I526" s="28"/>
    </row>
    <row r="527" spans="1:9" s="3" customFormat="1" ht="22.5" customHeight="1" x14ac:dyDescent="0.25">
      <c r="A527" s="26"/>
      <c r="B527" s="27"/>
      <c r="C527" s="28"/>
      <c r="D527" s="28"/>
      <c r="E527" s="28"/>
      <c r="F527" s="28"/>
      <c r="G527" s="28"/>
      <c r="H527" s="28"/>
      <c r="I527" s="28"/>
    </row>
    <row r="528" spans="1:9" s="3" customFormat="1" ht="22.5" customHeight="1" x14ac:dyDescent="0.25">
      <c r="A528" s="26"/>
      <c r="B528" s="27"/>
      <c r="C528" s="28"/>
      <c r="D528" s="28"/>
      <c r="E528" s="28"/>
      <c r="F528" s="28"/>
      <c r="G528" s="28"/>
      <c r="H528" s="28"/>
      <c r="I528" s="28"/>
    </row>
    <row r="529" spans="1:9" s="3" customFormat="1" ht="22.5" customHeight="1" x14ac:dyDescent="0.25">
      <c r="A529" s="26"/>
      <c r="B529" s="27"/>
      <c r="C529" s="28"/>
      <c r="D529" s="28"/>
      <c r="E529" s="28"/>
      <c r="F529" s="28"/>
      <c r="G529" s="28"/>
      <c r="H529" s="28"/>
      <c r="I529" s="28"/>
    </row>
    <row r="530" spans="1:9" s="3" customFormat="1" ht="22.5" customHeight="1" x14ac:dyDescent="0.25">
      <c r="A530" s="26"/>
      <c r="B530" s="27"/>
      <c r="C530" s="28"/>
      <c r="D530" s="28"/>
      <c r="E530" s="28"/>
      <c r="F530" s="28"/>
      <c r="G530" s="28"/>
      <c r="H530" s="28"/>
      <c r="I530" s="28"/>
    </row>
    <row r="531" spans="1:9" s="3" customFormat="1" ht="22.5" customHeight="1" x14ac:dyDescent="0.25">
      <c r="A531" s="26"/>
      <c r="B531" s="27"/>
      <c r="C531" s="28"/>
      <c r="D531" s="28"/>
      <c r="E531" s="28"/>
      <c r="F531" s="28"/>
      <c r="G531" s="28"/>
      <c r="H531" s="28"/>
      <c r="I531" s="28"/>
    </row>
    <row r="532" spans="1:9" s="3" customFormat="1" ht="22.5" customHeight="1" x14ac:dyDescent="0.25">
      <c r="A532" s="26"/>
      <c r="B532" s="27"/>
      <c r="C532" s="28"/>
      <c r="D532" s="28"/>
      <c r="E532" s="28"/>
      <c r="F532" s="28"/>
      <c r="G532" s="28"/>
      <c r="H532" s="28"/>
      <c r="I532" s="28"/>
    </row>
    <row r="533" spans="1:9" s="3" customFormat="1" ht="22.5" customHeight="1" x14ac:dyDescent="0.25">
      <c r="A533" s="26"/>
      <c r="B533" s="27"/>
      <c r="C533" s="28"/>
      <c r="D533" s="28"/>
      <c r="E533" s="28"/>
      <c r="F533" s="28"/>
      <c r="G533" s="28"/>
      <c r="H533" s="28"/>
      <c r="I533" s="28"/>
    </row>
    <row r="534" spans="1:9" s="3" customFormat="1" ht="22.5" customHeight="1" x14ac:dyDescent="0.25">
      <c r="A534" s="26"/>
      <c r="B534" s="27"/>
      <c r="C534" s="28"/>
      <c r="D534" s="28"/>
      <c r="E534" s="28"/>
      <c r="F534" s="28"/>
      <c r="G534" s="28"/>
      <c r="H534" s="28"/>
      <c r="I534" s="28"/>
    </row>
    <row r="535" spans="1:9" s="3" customFormat="1" ht="22.5" customHeight="1" x14ac:dyDescent="0.25">
      <c r="A535" s="26"/>
      <c r="B535" s="27"/>
      <c r="C535" s="28"/>
      <c r="D535" s="28"/>
      <c r="E535" s="28"/>
      <c r="F535" s="28"/>
      <c r="G535" s="28"/>
      <c r="H535" s="28"/>
      <c r="I535" s="28"/>
    </row>
    <row r="536" spans="1:9" s="3" customFormat="1" ht="22.5" customHeight="1" x14ac:dyDescent="0.25">
      <c r="A536" s="26"/>
      <c r="B536" s="27"/>
      <c r="C536" s="28"/>
      <c r="D536" s="28"/>
      <c r="E536" s="28"/>
      <c r="F536" s="28"/>
      <c r="G536" s="28"/>
      <c r="H536" s="28"/>
      <c r="I536" s="28"/>
    </row>
    <row r="537" spans="1:9" s="3" customFormat="1" ht="22.5" customHeight="1" x14ac:dyDescent="0.25">
      <c r="A537" s="26"/>
      <c r="B537" s="27"/>
      <c r="C537" s="28"/>
      <c r="D537" s="28"/>
      <c r="E537" s="28"/>
      <c r="F537" s="28"/>
      <c r="G537" s="28"/>
      <c r="H537" s="28"/>
      <c r="I537" s="28"/>
    </row>
    <row r="538" spans="1:9" s="3" customFormat="1" ht="22.5" customHeight="1" x14ac:dyDescent="0.25">
      <c r="A538" s="26"/>
      <c r="B538" s="27"/>
      <c r="C538" s="28"/>
      <c r="D538" s="28"/>
      <c r="E538" s="28"/>
      <c r="F538" s="28"/>
      <c r="G538" s="28"/>
      <c r="H538" s="28"/>
      <c r="I538" s="28"/>
    </row>
    <row r="539" spans="1:9" s="3" customFormat="1" ht="22.5" customHeight="1" x14ac:dyDescent="0.25">
      <c r="A539" s="26"/>
      <c r="B539" s="27"/>
      <c r="C539" s="28"/>
      <c r="D539" s="28"/>
      <c r="E539" s="28"/>
      <c r="F539" s="28"/>
      <c r="G539" s="28"/>
      <c r="H539" s="28"/>
      <c r="I539" s="28"/>
    </row>
    <row r="540" spans="1:9" s="3" customFormat="1" ht="22.5" customHeight="1" x14ac:dyDescent="0.25">
      <c r="A540" s="26"/>
      <c r="B540" s="27"/>
      <c r="C540" s="28"/>
      <c r="D540" s="28"/>
      <c r="E540" s="28"/>
      <c r="F540" s="28"/>
      <c r="G540" s="28"/>
      <c r="H540" s="28"/>
      <c r="I540" s="28"/>
    </row>
    <row r="541" spans="1:9" s="3" customFormat="1" ht="22.5" customHeight="1" x14ac:dyDescent="0.25">
      <c r="A541" s="26"/>
      <c r="B541" s="27"/>
      <c r="C541" s="28"/>
      <c r="D541" s="28"/>
      <c r="E541" s="28"/>
      <c r="F541" s="28"/>
      <c r="G541" s="28"/>
      <c r="H541" s="28"/>
      <c r="I541" s="28"/>
    </row>
    <row r="542" spans="1:9" s="3" customFormat="1" ht="22.5" customHeight="1" x14ac:dyDescent="0.25">
      <c r="A542" s="26"/>
      <c r="B542" s="27"/>
      <c r="C542" s="28"/>
      <c r="D542" s="28"/>
      <c r="E542" s="28"/>
      <c r="F542" s="28"/>
      <c r="G542" s="28"/>
      <c r="H542" s="28"/>
      <c r="I542" s="28"/>
    </row>
    <row r="543" spans="1:9" s="3" customFormat="1" ht="22.5" customHeight="1" x14ac:dyDescent="0.25">
      <c r="A543" s="26"/>
      <c r="B543" s="27"/>
      <c r="C543" s="28"/>
      <c r="D543" s="28"/>
      <c r="E543" s="28"/>
      <c r="F543" s="28"/>
      <c r="G543" s="28"/>
      <c r="H543" s="28"/>
      <c r="I543" s="28"/>
    </row>
    <row r="544" spans="1:9" s="3" customFormat="1" ht="22.5" customHeight="1" x14ac:dyDescent="0.25">
      <c r="A544" s="26"/>
      <c r="B544" s="27"/>
      <c r="C544" s="28"/>
      <c r="D544" s="28"/>
      <c r="E544" s="28"/>
      <c r="F544" s="28"/>
      <c r="G544" s="28"/>
      <c r="H544" s="28"/>
      <c r="I544" s="28"/>
    </row>
    <row r="545" spans="1:9" s="3" customFormat="1" ht="22.5" customHeight="1" x14ac:dyDescent="0.25">
      <c r="A545" s="26"/>
      <c r="B545" s="27"/>
      <c r="C545" s="28"/>
      <c r="D545" s="28"/>
      <c r="E545" s="28"/>
      <c r="F545" s="28"/>
      <c r="G545" s="28"/>
      <c r="H545" s="28"/>
      <c r="I545" s="28"/>
    </row>
    <row r="546" spans="1:9" s="3" customFormat="1" ht="22.5" customHeight="1" x14ac:dyDescent="0.25">
      <c r="A546" s="26"/>
      <c r="B546" s="27"/>
      <c r="C546" s="28"/>
      <c r="D546" s="28"/>
      <c r="E546" s="28"/>
      <c r="F546" s="28"/>
      <c r="G546" s="28"/>
      <c r="H546" s="28"/>
      <c r="I546" s="28"/>
    </row>
    <row r="547" spans="1:9" s="3" customFormat="1" ht="22.5" customHeight="1" x14ac:dyDescent="0.25">
      <c r="A547" s="26"/>
      <c r="B547" s="27"/>
      <c r="C547" s="28"/>
      <c r="D547" s="28"/>
      <c r="E547" s="28"/>
      <c r="F547" s="28"/>
      <c r="G547" s="28"/>
      <c r="H547" s="28"/>
      <c r="I547" s="28"/>
    </row>
    <row r="548" spans="1:9" s="3" customFormat="1" ht="22.5" customHeight="1" x14ac:dyDescent="0.25">
      <c r="A548" s="26"/>
      <c r="B548" s="27"/>
      <c r="C548" s="28"/>
      <c r="D548" s="28"/>
      <c r="E548" s="28"/>
      <c r="F548" s="28"/>
      <c r="G548" s="28"/>
      <c r="H548" s="28"/>
      <c r="I548" s="28"/>
    </row>
    <row r="549" spans="1:9" s="3" customFormat="1" ht="22.5" customHeight="1" x14ac:dyDescent="0.25">
      <c r="A549" s="26"/>
      <c r="B549" s="27"/>
      <c r="C549" s="28"/>
      <c r="D549" s="28"/>
      <c r="E549" s="28"/>
      <c r="F549" s="28"/>
      <c r="G549" s="28"/>
      <c r="H549" s="28"/>
      <c r="I549" s="28"/>
    </row>
    <row r="550" spans="1:9" s="3" customFormat="1" ht="22.5" customHeight="1" x14ac:dyDescent="0.25">
      <c r="A550" s="26"/>
      <c r="B550" s="27"/>
      <c r="C550" s="28"/>
      <c r="D550" s="28"/>
      <c r="E550" s="28"/>
      <c r="F550" s="28"/>
      <c r="G550" s="28"/>
      <c r="H550" s="28"/>
      <c r="I550" s="28"/>
    </row>
    <row r="551" spans="1:9" s="3" customFormat="1" ht="22.5" customHeight="1" x14ac:dyDescent="0.25">
      <c r="A551" s="26"/>
      <c r="B551" s="27"/>
      <c r="C551" s="28"/>
      <c r="D551" s="28"/>
      <c r="E551" s="28"/>
      <c r="F551" s="28"/>
      <c r="G551" s="28"/>
      <c r="H551" s="28"/>
      <c r="I551" s="28"/>
    </row>
    <row r="552" spans="1:9" s="3" customFormat="1" ht="22.5" customHeight="1" x14ac:dyDescent="0.25">
      <c r="A552" s="26"/>
      <c r="B552" s="27"/>
      <c r="C552" s="28"/>
      <c r="D552" s="28"/>
      <c r="E552" s="28"/>
      <c r="F552" s="28"/>
      <c r="G552" s="28"/>
      <c r="H552" s="28"/>
      <c r="I552" s="28"/>
    </row>
    <row r="553" spans="1:9" s="3" customFormat="1" ht="22.5" customHeight="1" x14ac:dyDescent="0.25">
      <c r="A553" s="26"/>
      <c r="B553" s="27"/>
      <c r="C553" s="28"/>
      <c r="D553" s="28"/>
      <c r="E553" s="28"/>
      <c r="F553" s="28"/>
      <c r="G553" s="28"/>
      <c r="H553" s="28"/>
      <c r="I553" s="28"/>
    </row>
    <row r="554" spans="1:9" s="3" customFormat="1" ht="22.5" customHeight="1" x14ac:dyDescent="0.25">
      <c r="A554" s="26"/>
      <c r="B554" s="27"/>
      <c r="C554" s="28"/>
      <c r="D554" s="28"/>
      <c r="E554" s="28"/>
      <c r="F554" s="28"/>
      <c r="G554" s="28"/>
      <c r="H554" s="28"/>
      <c r="I554" s="28"/>
    </row>
    <row r="555" spans="1:9" s="3" customFormat="1" ht="22.5" customHeight="1" x14ac:dyDescent="0.25">
      <c r="A555" s="26"/>
      <c r="B555" s="27"/>
      <c r="C555" s="28"/>
      <c r="D555" s="28"/>
      <c r="E555" s="28"/>
      <c r="F555" s="28"/>
      <c r="G555" s="28"/>
      <c r="H555" s="28"/>
      <c r="I555" s="28"/>
    </row>
    <row r="556" spans="1:9" s="3" customFormat="1" ht="22.5" customHeight="1" x14ac:dyDescent="0.25">
      <c r="A556" s="26"/>
      <c r="B556" s="27"/>
      <c r="C556" s="28"/>
      <c r="D556" s="28"/>
      <c r="E556" s="28"/>
      <c r="F556" s="28"/>
      <c r="G556" s="28"/>
      <c r="H556" s="28"/>
      <c r="I556" s="28"/>
    </row>
    <row r="557" spans="1:9" s="3" customFormat="1" ht="22.5" customHeight="1" x14ac:dyDescent="0.25">
      <c r="A557" s="26"/>
      <c r="B557" s="27"/>
      <c r="C557" s="28"/>
      <c r="D557" s="28"/>
      <c r="E557" s="28"/>
      <c r="F557" s="28"/>
      <c r="G557" s="28"/>
      <c r="H557" s="28"/>
      <c r="I557" s="28"/>
    </row>
    <row r="558" spans="1:9" s="3" customFormat="1" ht="22.5" customHeight="1" x14ac:dyDescent="0.25">
      <c r="A558" s="26"/>
      <c r="B558" s="27"/>
      <c r="C558" s="28"/>
      <c r="D558" s="28"/>
      <c r="E558" s="28"/>
      <c r="F558" s="28"/>
      <c r="G558" s="28"/>
      <c r="H558" s="28"/>
      <c r="I558" s="28"/>
    </row>
    <row r="559" spans="1:9" s="3" customFormat="1" ht="22.5" customHeight="1" x14ac:dyDescent="0.25">
      <c r="A559" s="26"/>
      <c r="B559" s="27"/>
      <c r="C559" s="28"/>
      <c r="D559" s="28"/>
      <c r="E559" s="28"/>
      <c r="F559" s="28"/>
      <c r="G559" s="28"/>
      <c r="H559" s="28"/>
      <c r="I559" s="28"/>
    </row>
    <row r="560" spans="1:9" s="3" customFormat="1" ht="22.5" customHeight="1" x14ac:dyDescent="0.25">
      <c r="A560" s="26"/>
      <c r="B560" s="27"/>
      <c r="C560" s="28"/>
      <c r="D560" s="28"/>
      <c r="E560" s="28"/>
      <c r="F560" s="28"/>
      <c r="G560" s="28"/>
      <c r="H560" s="28"/>
      <c r="I560" s="28"/>
    </row>
    <row r="561" spans="1:9" s="3" customFormat="1" ht="22.5" customHeight="1" x14ac:dyDescent="0.25">
      <c r="A561" s="26"/>
      <c r="B561" s="27"/>
      <c r="C561" s="28"/>
      <c r="D561" s="28"/>
      <c r="E561" s="28"/>
      <c r="F561" s="28"/>
      <c r="G561" s="28"/>
      <c r="H561" s="28"/>
      <c r="I561" s="28"/>
    </row>
    <row r="562" spans="1:9" s="3" customFormat="1" ht="22.5" customHeight="1" x14ac:dyDescent="0.25">
      <c r="A562" s="26"/>
      <c r="B562" s="27"/>
      <c r="C562" s="28"/>
      <c r="D562" s="28"/>
      <c r="E562" s="28"/>
      <c r="F562" s="28"/>
      <c r="G562" s="28"/>
      <c r="H562" s="28"/>
      <c r="I562" s="28"/>
    </row>
    <row r="563" spans="1:9" s="3" customFormat="1" ht="22.5" customHeight="1" x14ac:dyDescent="0.25">
      <c r="A563" s="26"/>
      <c r="B563" s="27"/>
      <c r="C563" s="28"/>
      <c r="D563" s="28"/>
      <c r="E563" s="28"/>
      <c r="F563" s="28"/>
      <c r="G563" s="28"/>
      <c r="H563" s="28"/>
      <c r="I563" s="28"/>
    </row>
    <row r="564" spans="1:9" s="3" customFormat="1" ht="22.5" customHeight="1" x14ac:dyDescent="0.25">
      <c r="A564" s="26"/>
      <c r="B564" s="27"/>
      <c r="C564" s="28"/>
      <c r="D564" s="28"/>
      <c r="E564" s="28"/>
      <c r="F564" s="28"/>
      <c r="G564" s="28"/>
      <c r="H564" s="28"/>
      <c r="I564" s="28"/>
    </row>
    <row r="565" spans="1:9" s="3" customFormat="1" ht="22.5" customHeight="1" x14ac:dyDescent="0.25">
      <c r="A565" s="26"/>
      <c r="B565" s="27"/>
      <c r="C565" s="28"/>
      <c r="D565" s="28"/>
      <c r="E565" s="28"/>
      <c r="F565" s="28"/>
      <c r="G565" s="28"/>
      <c r="H565" s="28"/>
      <c r="I565" s="28"/>
    </row>
    <row r="566" spans="1:9" s="3" customFormat="1" ht="22.5" customHeight="1" x14ac:dyDescent="0.25">
      <c r="A566" s="26"/>
      <c r="B566" s="27"/>
      <c r="C566" s="28"/>
      <c r="D566" s="28"/>
      <c r="E566" s="28"/>
      <c r="F566" s="28"/>
      <c r="G566" s="28"/>
      <c r="H566" s="28"/>
      <c r="I566" s="28"/>
    </row>
    <row r="567" spans="1:9" s="3" customFormat="1" ht="22.5" customHeight="1" x14ac:dyDescent="0.25">
      <c r="A567" s="26"/>
      <c r="B567" s="27"/>
      <c r="C567" s="28"/>
      <c r="D567" s="28"/>
      <c r="E567" s="28"/>
      <c r="F567" s="28"/>
      <c r="G567" s="28"/>
      <c r="H567" s="28"/>
      <c r="I567" s="28"/>
    </row>
    <row r="568" spans="1:9" s="3" customFormat="1" ht="22.5" customHeight="1" x14ac:dyDescent="0.25">
      <c r="A568" s="26"/>
      <c r="B568" s="27"/>
      <c r="C568" s="28"/>
      <c r="D568" s="28"/>
      <c r="E568" s="28"/>
      <c r="F568" s="28"/>
      <c r="G568" s="28"/>
      <c r="H568" s="28"/>
      <c r="I568" s="28"/>
    </row>
    <row r="569" spans="1:9" s="3" customFormat="1" ht="22.5" customHeight="1" x14ac:dyDescent="0.25">
      <c r="A569" s="26"/>
      <c r="B569" s="27"/>
      <c r="C569" s="28"/>
      <c r="D569" s="28"/>
      <c r="E569" s="28"/>
      <c r="F569" s="28"/>
      <c r="G569" s="28"/>
      <c r="H569" s="28"/>
      <c r="I569" s="28"/>
    </row>
    <row r="570" spans="1:9" s="3" customFormat="1" ht="22.5" customHeight="1" x14ac:dyDescent="0.25">
      <c r="A570" s="26"/>
      <c r="B570" s="27"/>
      <c r="C570" s="28"/>
      <c r="D570" s="28"/>
      <c r="E570" s="28"/>
      <c r="F570" s="28"/>
      <c r="G570" s="28"/>
      <c r="H570" s="28"/>
      <c r="I570" s="28"/>
    </row>
    <row r="571" spans="1:9" s="3" customFormat="1" ht="22.5" customHeight="1" x14ac:dyDescent="0.25">
      <c r="A571" s="26"/>
      <c r="B571" s="27"/>
      <c r="C571" s="28"/>
      <c r="D571" s="28"/>
      <c r="E571" s="28"/>
      <c r="F571" s="28"/>
      <c r="G571" s="28"/>
      <c r="H571" s="28"/>
      <c r="I571" s="28"/>
    </row>
    <row r="572" spans="1:9" s="3" customFormat="1" ht="22.5" customHeight="1" x14ac:dyDescent="0.25">
      <c r="A572" s="26"/>
      <c r="B572" s="27"/>
      <c r="C572" s="28"/>
      <c r="D572" s="28"/>
      <c r="E572" s="28"/>
      <c r="F572" s="28"/>
      <c r="G572" s="28"/>
      <c r="H572" s="28"/>
      <c r="I572" s="28"/>
    </row>
    <row r="573" spans="1:9" s="3" customFormat="1" ht="22.5" customHeight="1" x14ac:dyDescent="0.25">
      <c r="A573" s="26"/>
      <c r="B573" s="27"/>
      <c r="C573" s="28"/>
      <c r="D573" s="28"/>
      <c r="E573" s="28"/>
      <c r="F573" s="28"/>
      <c r="G573" s="28"/>
      <c r="H573" s="28"/>
      <c r="I573" s="28"/>
    </row>
    <row r="574" spans="1:9" s="3" customFormat="1" ht="22.5" customHeight="1" x14ac:dyDescent="0.25">
      <c r="A574" s="26"/>
      <c r="B574" s="27"/>
      <c r="C574" s="28"/>
      <c r="D574" s="28"/>
      <c r="E574" s="28"/>
      <c r="F574" s="28"/>
      <c r="G574" s="28"/>
      <c r="H574" s="28"/>
      <c r="I574" s="28"/>
    </row>
    <row r="575" spans="1:9" s="3" customFormat="1" ht="22.5" customHeight="1" x14ac:dyDescent="0.25">
      <c r="A575" s="26"/>
      <c r="B575" s="27"/>
      <c r="C575" s="28"/>
      <c r="D575" s="28"/>
      <c r="E575" s="28"/>
      <c r="F575" s="28"/>
      <c r="G575" s="28"/>
      <c r="H575" s="28"/>
      <c r="I575" s="28"/>
    </row>
    <row r="576" spans="1:9" s="3" customFormat="1" ht="22.5" customHeight="1" x14ac:dyDescent="0.25">
      <c r="A576" s="26"/>
      <c r="B576" s="27"/>
      <c r="C576" s="28"/>
      <c r="D576" s="28"/>
      <c r="E576" s="28"/>
      <c r="F576" s="28"/>
      <c r="G576" s="28"/>
      <c r="H576" s="28"/>
      <c r="I576" s="28"/>
    </row>
    <row r="577" spans="1:9" s="3" customFormat="1" ht="22.5" customHeight="1" x14ac:dyDescent="0.25">
      <c r="A577" s="26"/>
      <c r="B577" s="27"/>
      <c r="C577" s="28"/>
      <c r="D577" s="28"/>
      <c r="E577" s="28"/>
      <c r="F577" s="28"/>
      <c r="G577" s="28"/>
      <c r="H577" s="28"/>
      <c r="I577" s="28"/>
    </row>
    <row r="578" spans="1:9" s="3" customFormat="1" ht="22.5" customHeight="1" x14ac:dyDescent="0.25">
      <c r="A578" s="26"/>
      <c r="B578" s="27"/>
      <c r="C578" s="28"/>
      <c r="D578" s="28"/>
      <c r="E578" s="28"/>
      <c r="F578" s="28"/>
      <c r="G578" s="28"/>
      <c r="H578" s="28"/>
      <c r="I578" s="28"/>
    </row>
    <row r="579" spans="1:9" s="3" customFormat="1" ht="22.5" customHeight="1" x14ac:dyDescent="0.25">
      <c r="A579" s="26"/>
      <c r="B579" s="27"/>
      <c r="C579" s="28"/>
      <c r="D579" s="28"/>
      <c r="E579" s="28"/>
      <c r="F579" s="28"/>
      <c r="G579" s="28"/>
      <c r="H579" s="28"/>
      <c r="I579" s="28"/>
    </row>
    <row r="580" spans="1:9" s="3" customFormat="1" ht="22.5" customHeight="1" x14ac:dyDescent="0.25">
      <c r="A580" s="26"/>
      <c r="B580" s="27"/>
      <c r="C580" s="28"/>
      <c r="D580" s="28"/>
      <c r="E580" s="28"/>
      <c r="F580" s="28"/>
      <c r="G580" s="28"/>
      <c r="H580" s="28"/>
      <c r="I580" s="28"/>
    </row>
    <row r="581" spans="1:9" s="3" customFormat="1" ht="22.5" customHeight="1" x14ac:dyDescent="0.25">
      <c r="A581" s="26"/>
      <c r="B581" s="27"/>
      <c r="C581" s="28"/>
      <c r="D581" s="28"/>
      <c r="E581" s="28"/>
      <c r="F581" s="28"/>
      <c r="G581" s="28"/>
      <c r="H581" s="28"/>
      <c r="I581" s="28"/>
    </row>
    <row r="582" spans="1:9" s="3" customFormat="1" ht="22.5" customHeight="1" x14ac:dyDescent="0.25">
      <c r="A582" s="26"/>
      <c r="B582" s="27"/>
      <c r="C582" s="28"/>
      <c r="D582" s="28"/>
      <c r="E582" s="28"/>
      <c r="F582" s="28"/>
      <c r="G582" s="28"/>
      <c r="H582" s="28"/>
      <c r="I582" s="28"/>
    </row>
    <row r="583" spans="1:9" s="3" customFormat="1" ht="22.5" customHeight="1" x14ac:dyDescent="0.25">
      <c r="A583" s="26"/>
      <c r="B583" s="27"/>
      <c r="C583" s="28"/>
      <c r="D583" s="28"/>
      <c r="E583" s="28"/>
      <c r="F583" s="28"/>
      <c r="G583" s="28"/>
      <c r="H583" s="28"/>
      <c r="I583" s="28"/>
    </row>
    <row r="584" spans="1:9" s="3" customFormat="1" ht="22.5" customHeight="1" x14ac:dyDescent="0.25">
      <c r="A584" s="26"/>
      <c r="B584" s="27"/>
      <c r="C584" s="28"/>
      <c r="D584" s="28"/>
      <c r="E584" s="28"/>
      <c r="F584" s="28"/>
      <c r="G584" s="28"/>
      <c r="H584" s="28"/>
      <c r="I584" s="28"/>
    </row>
    <row r="585" spans="1:9" s="3" customFormat="1" ht="22.5" customHeight="1" x14ac:dyDescent="0.25">
      <c r="A585" s="26"/>
      <c r="B585" s="27"/>
      <c r="C585" s="28"/>
      <c r="D585" s="28"/>
      <c r="E585" s="28"/>
      <c r="F585" s="28"/>
      <c r="G585" s="28"/>
      <c r="H585" s="28"/>
      <c r="I585" s="28"/>
    </row>
    <row r="586" spans="1:9" s="3" customFormat="1" ht="22.5" customHeight="1" x14ac:dyDescent="0.25">
      <c r="A586" s="26"/>
      <c r="B586" s="27"/>
      <c r="C586" s="28"/>
      <c r="D586" s="28"/>
      <c r="E586" s="28"/>
      <c r="F586" s="28"/>
      <c r="G586" s="28"/>
      <c r="H586" s="28"/>
      <c r="I586" s="28"/>
    </row>
    <row r="587" spans="1:9" s="3" customFormat="1" ht="22.5" customHeight="1" x14ac:dyDescent="0.25">
      <c r="A587" s="26"/>
      <c r="B587" s="27"/>
      <c r="C587" s="28"/>
      <c r="D587" s="28"/>
      <c r="E587" s="28"/>
      <c r="F587" s="28"/>
      <c r="G587" s="28"/>
      <c r="H587" s="28"/>
      <c r="I587" s="28"/>
    </row>
    <row r="588" spans="1:9" s="3" customFormat="1" ht="22.5" customHeight="1" x14ac:dyDescent="0.25">
      <c r="A588" s="26"/>
      <c r="B588" s="27"/>
      <c r="C588" s="28"/>
      <c r="D588" s="28"/>
      <c r="E588" s="28"/>
      <c r="F588" s="28"/>
      <c r="G588" s="28"/>
      <c r="H588" s="28"/>
      <c r="I588" s="28"/>
    </row>
    <row r="589" spans="1:9" s="3" customFormat="1" ht="22.5" customHeight="1" x14ac:dyDescent="0.25">
      <c r="A589" s="26"/>
      <c r="B589" s="27"/>
      <c r="C589" s="28"/>
      <c r="D589" s="28"/>
      <c r="E589" s="28"/>
      <c r="F589" s="28"/>
      <c r="G589" s="28"/>
      <c r="H589" s="28"/>
      <c r="I589" s="28"/>
    </row>
    <row r="590" spans="1:9" s="3" customFormat="1" ht="22.5" customHeight="1" x14ac:dyDescent="0.25">
      <c r="A590" s="26"/>
      <c r="B590" s="27"/>
      <c r="C590" s="28"/>
      <c r="D590" s="28"/>
      <c r="E590" s="28"/>
      <c r="F590" s="28"/>
      <c r="G590" s="28"/>
      <c r="H590" s="28"/>
      <c r="I590" s="28"/>
    </row>
    <row r="591" spans="1:9" s="3" customFormat="1" ht="22.5" customHeight="1" x14ac:dyDescent="0.25">
      <c r="A591" s="26"/>
      <c r="B591" s="27"/>
      <c r="C591" s="28"/>
      <c r="D591" s="28"/>
      <c r="E591" s="28"/>
      <c r="F591" s="28"/>
      <c r="G591" s="28"/>
      <c r="H591" s="28"/>
      <c r="I591" s="28"/>
    </row>
    <row r="592" spans="1:9" s="3" customFormat="1" ht="22.5" customHeight="1" x14ac:dyDescent="0.25">
      <c r="A592" s="26"/>
      <c r="B592" s="27"/>
      <c r="C592" s="28"/>
      <c r="D592" s="28"/>
      <c r="E592" s="28"/>
      <c r="F592" s="28"/>
      <c r="G592" s="28"/>
      <c r="H592" s="28"/>
      <c r="I592" s="28"/>
    </row>
    <row r="593" spans="1:9" s="3" customFormat="1" ht="22.5" customHeight="1" x14ac:dyDescent="0.25">
      <c r="A593" s="26"/>
      <c r="B593" s="27"/>
      <c r="C593" s="28"/>
      <c r="D593" s="28"/>
      <c r="E593" s="28"/>
      <c r="F593" s="28"/>
      <c r="G593" s="28"/>
      <c r="H593" s="28"/>
      <c r="I593" s="28"/>
    </row>
    <row r="594" spans="1:9" s="3" customFormat="1" ht="22.5" customHeight="1" x14ac:dyDescent="0.25">
      <c r="A594" s="26"/>
      <c r="B594" s="27"/>
      <c r="C594" s="28"/>
      <c r="D594" s="28"/>
      <c r="E594" s="28"/>
      <c r="F594" s="28"/>
      <c r="G594" s="28"/>
      <c r="H594" s="28"/>
      <c r="I594" s="28"/>
    </row>
    <row r="595" spans="1:9" s="3" customFormat="1" ht="22.5" customHeight="1" x14ac:dyDescent="0.25">
      <c r="A595" s="26"/>
      <c r="B595" s="27"/>
      <c r="C595" s="28"/>
      <c r="D595" s="28"/>
      <c r="E595" s="28"/>
      <c r="F595" s="28"/>
      <c r="G595" s="28"/>
      <c r="H595" s="28"/>
      <c r="I595" s="28"/>
    </row>
    <row r="596" spans="1:9" s="3" customFormat="1" ht="22.5" customHeight="1" x14ac:dyDescent="0.25">
      <c r="A596" s="26"/>
      <c r="B596" s="27"/>
      <c r="C596" s="28"/>
      <c r="D596" s="28"/>
      <c r="E596" s="28"/>
      <c r="F596" s="28"/>
      <c r="G596" s="28"/>
      <c r="H596" s="28"/>
      <c r="I596" s="28"/>
    </row>
    <row r="597" spans="1:9" s="3" customFormat="1" ht="22.5" customHeight="1" x14ac:dyDescent="0.25">
      <c r="A597" s="26"/>
      <c r="B597" s="27"/>
      <c r="C597" s="28"/>
      <c r="D597" s="28"/>
      <c r="E597" s="28"/>
      <c r="F597" s="28"/>
      <c r="G597" s="28"/>
      <c r="H597" s="28"/>
      <c r="I597" s="28"/>
    </row>
    <row r="598" spans="1:9" s="3" customFormat="1" ht="22.5" customHeight="1" x14ac:dyDescent="0.25">
      <c r="A598" s="26"/>
      <c r="B598" s="27"/>
      <c r="C598" s="28"/>
      <c r="D598" s="28"/>
      <c r="E598" s="28"/>
      <c r="F598" s="28"/>
      <c r="G598" s="28"/>
      <c r="H598" s="28"/>
      <c r="I598" s="28"/>
    </row>
    <row r="599" spans="1:9" s="3" customFormat="1" ht="22.5" customHeight="1" x14ac:dyDescent="0.25">
      <c r="A599" s="26"/>
      <c r="B599" s="27"/>
      <c r="C599" s="28"/>
      <c r="D599" s="28"/>
      <c r="E599" s="28"/>
      <c r="F599" s="28"/>
      <c r="G599" s="28"/>
      <c r="H599" s="28"/>
      <c r="I599" s="28"/>
    </row>
    <row r="600" spans="1:9" s="3" customFormat="1" ht="22.5" customHeight="1" x14ac:dyDescent="0.25">
      <c r="A600" s="26"/>
      <c r="B600" s="27"/>
      <c r="C600" s="28"/>
      <c r="D600" s="28"/>
      <c r="E600" s="28"/>
      <c r="F600" s="28"/>
      <c r="G600" s="28"/>
      <c r="H600" s="28"/>
      <c r="I600" s="28"/>
    </row>
    <row r="601" spans="1:9" s="3" customFormat="1" ht="22.5" customHeight="1" x14ac:dyDescent="0.25">
      <c r="A601" s="26"/>
      <c r="B601" s="27"/>
      <c r="C601" s="28"/>
      <c r="D601" s="28"/>
      <c r="E601" s="28"/>
      <c r="F601" s="28"/>
      <c r="G601" s="28"/>
      <c r="H601" s="28"/>
      <c r="I601" s="28"/>
    </row>
    <row r="602" spans="1:9" s="3" customFormat="1" ht="22.5" customHeight="1" x14ac:dyDescent="0.25">
      <c r="A602" s="26"/>
      <c r="B602" s="27"/>
      <c r="C602" s="28"/>
      <c r="D602" s="28"/>
      <c r="E602" s="28"/>
      <c r="F602" s="28"/>
      <c r="G602" s="28"/>
      <c r="H602" s="28"/>
      <c r="I602" s="28"/>
    </row>
    <row r="603" spans="1:9" s="3" customFormat="1" ht="22.5" customHeight="1" x14ac:dyDescent="0.25">
      <c r="A603" s="26"/>
      <c r="B603" s="27"/>
      <c r="C603" s="28"/>
      <c r="D603" s="28"/>
      <c r="E603" s="28"/>
      <c r="F603" s="28"/>
      <c r="G603" s="28"/>
      <c r="H603" s="28"/>
      <c r="I603" s="28"/>
    </row>
    <row r="604" spans="1:9" s="3" customFormat="1" ht="22.5" customHeight="1" x14ac:dyDescent="0.25">
      <c r="A604" s="26"/>
      <c r="B604" s="27"/>
      <c r="C604" s="28"/>
      <c r="D604" s="28"/>
      <c r="E604" s="28"/>
      <c r="F604" s="28"/>
      <c r="G604" s="28"/>
      <c r="H604" s="28"/>
      <c r="I604" s="28"/>
    </row>
    <row r="605" spans="1:9" s="3" customFormat="1" ht="22.5" customHeight="1" x14ac:dyDescent="0.25">
      <c r="A605" s="26"/>
      <c r="B605" s="27"/>
      <c r="C605" s="28"/>
      <c r="D605" s="28"/>
      <c r="E605" s="28"/>
      <c r="F605" s="28"/>
      <c r="G605" s="28"/>
      <c r="H605" s="28"/>
      <c r="I605" s="28"/>
    </row>
    <row r="606" spans="1:9" s="3" customFormat="1" ht="22.5" customHeight="1" x14ac:dyDescent="0.25">
      <c r="A606" s="26"/>
      <c r="B606" s="27"/>
      <c r="C606" s="28"/>
      <c r="D606" s="28"/>
      <c r="E606" s="28"/>
      <c r="F606" s="28"/>
      <c r="G606" s="28"/>
      <c r="H606" s="28"/>
      <c r="I606" s="28"/>
    </row>
    <row r="607" spans="1:9" s="3" customFormat="1" ht="22.5" customHeight="1" x14ac:dyDescent="0.25">
      <c r="A607" s="26"/>
      <c r="B607" s="27"/>
      <c r="C607" s="28"/>
      <c r="D607" s="28"/>
      <c r="E607" s="28"/>
      <c r="F607" s="28"/>
      <c r="G607" s="28"/>
      <c r="H607" s="28"/>
      <c r="I607" s="28"/>
    </row>
    <row r="608" spans="1:9" s="3" customFormat="1" ht="22.5" customHeight="1" x14ac:dyDescent="0.25">
      <c r="A608" s="26"/>
      <c r="B608" s="27"/>
      <c r="C608" s="28"/>
      <c r="D608" s="28"/>
      <c r="E608" s="28"/>
      <c r="F608" s="28"/>
      <c r="G608" s="28"/>
      <c r="H608" s="28"/>
      <c r="I608" s="28"/>
    </row>
    <row r="609" spans="1:9" s="3" customFormat="1" ht="22.5" customHeight="1" x14ac:dyDescent="0.25">
      <c r="A609" s="26"/>
      <c r="B609" s="27"/>
      <c r="C609" s="28"/>
      <c r="D609" s="28"/>
      <c r="E609" s="28"/>
      <c r="F609" s="28"/>
      <c r="G609" s="28"/>
      <c r="H609" s="28"/>
      <c r="I609" s="28"/>
    </row>
    <row r="610" spans="1:9" s="3" customFormat="1" ht="22.5" customHeight="1" x14ac:dyDescent="0.25">
      <c r="A610" s="26"/>
      <c r="B610" s="27"/>
      <c r="C610" s="28"/>
      <c r="D610" s="28"/>
      <c r="E610" s="28"/>
      <c r="F610" s="28"/>
      <c r="G610" s="28"/>
      <c r="H610" s="28"/>
      <c r="I610" s="28"/>
    </row>
    <row r="611" spans="1:9" s="3" customFormat="1" ht="22.5" customHeight="1" x14ac:dyDescent="0.25">
      <c r="A611" s="26"/>
      <c r="B611" s="27"/>
      <c r="C611" s="28"/>
      <c r="D611" s="28"/>
      <c r="E611" s="28"/>
      <c r="F611" s="28"/>
      <c r="G611" s="28"/>
      <c r="H611" s="28"/>
      <c r="I611" s="28"/>
    </row>
    <row r="612" spans="1:9" s="3" customFormat="1" ht="22.5" customHeight="1" x14ac:dyDescent="0.25">
      <c r="A612" s="26"/>
      <c r="B612" s="27"/>
      <c r="C612" s="28"/>
      <c r="D612" s="28"/>
      <c r="E612" s="28"/>
      <c r="F612" s="28"/>
      <c r="G612" s="28"/>
      <c r="H612" s="28"/>
      <c r="I612" s="28"/>
    </row>
    <row r="613" spans="1:9" s="3" customFormat="1" ht="22.5" customHeight="1" x14ac:dyDescent="0.25">
      <c r="A613" s="26"/>
      <c r="B613" s="27"/>
      <c r="C613" s="28"/>
      <c r="D613" s="28"/>
      <c r="E613" s="28"/>
      <c r="F613" s="28"/>
      <c r="G613" s="28"/>
      <c r="H613" s="28"/>
      <c r="I613" s="28"/>
    </row>
    <row r="614" spans="1:9" s="3" customFormat="1" ht="22.5" customHeight="1" x14ac:dyDescent="0.25">
      <c r="A614" s="26"/>
      <c r="B614" s="27"/>
      <c r="C614" s="28"/>
      <c r="D614" s="28"/>
      <c r="E614" s="28"/>
      <c r="F614" s="28"/>
      <c r="G614" s="28"/>
      <c r="H614" s="28"/>
      <c r="I614" s="28"/>
    </row>
    <row r="615" spans="1:9" s="3" customFormat="1" ht="22.5" customHeight="1" x14ac:dyDescent="0.25">
      <c r="A615" s="26"/>
      <c r="B615" s="27"/>
      <c r="C615" s="28"/>
      <c r="D615" s="28"/>
      <c r="E615" s="28"/>
      <c r="F615" s="28"/>
      <c r="G615" s="28"/>
      <c r="H615" s="28"/>
      <c r="I615" s="28"/>
    </row>
    <row r="616" spans="1:9" s="3" customFormat="1" ht="22.5" customHeight="1" x14ac:dyDescent="0.25">
      <c r="A616" s="26"/>
      <c r="B616" s="27"/>
      <c r="C616" s="28"/>
      <c r="D616" s="28"/>
      <c r="E616" s="28"/>
      <c r="F616" s="28"/>
      <c r="G616" s="28"/>
      <c r="H616" s="28"/>
      <c r="I616" s="28"/>
    </row>
    <row r="617" spans="1:9" s="3" customFormat="1" ht="22.5" customHeight="1" x14ac:dyDescent="0.25">
      <c r="A617" s="26"/>
      <c r="B617" s="27"/>
      <c r="C617" s="28"/>
      <c r="D617" s="28"/>
      <c r="E617" s="28"/>
      <c r="F617" s="28"/>
      <c r="G617" s="28"/>
      <c r="H617" s="28"/>
      <c r="I617" s="28"/>
    </row>
    <row r="618" spans="1:9" s="3" customFormat="1" ht="22.5" customHeight="1" x14ac:dyDescent="0.25">
      <c r="A618" s="26"/>
      <c r="B618" s="27"/>
      <c r="C618" s="28"/>
      <c r="D618" s="28"/>
      <c r="E618" s="28"/>
      <c r="F618" s="28"/>
      <c r="G618" s="28"/>
      <c r="H618" s="28"/>
      <c r="I618" s="28"/>
    </row>
    <row r="619" spans="1:9" s="3" customFormat="1" ht="22.5" customHeight="1" x14ac:dyDescent="0.25">
      <c r="A619" s="26"/>
      <c r="B619" s="27"/>
      <c r="C619" s="28"/>
      <c r="D619" s="28"/>
      <c r="E619" s="28"/>
      <c r="F619" s="28"/>
      <c r="G619" s="28"/>
      <c r="H619" s="28"/>
      <c r="I619" s="28"/>
    </row>
    <row r="620" spans="1:9" s="3" customFormat="1" ht="22.5" customHeight="1" x14ac:dyDescent="0.25">
      <c r="A620" s="26"/>
      <c r="B620" s="27"/>
      <c r="C620" s="28"/>
      <c r="D620" s="28"/>
      <c r="E620" s="28"/>
      <c r="F620" s="28"/>
      <c r="G620" s="28"/>
      <c r="H620" s="28"/>
      <c r="I620" s="28"/>
    </row>
    <row r="621" spans="1:9" s="3" customFormat="1" ht="22.5" customHeight="1" x14ac:dyDescent="0.25">
      <c r="A621" s="26"/>
      <c r="B621" s="27"/>
      <c r="C621" s="28"/>
      <c r="D621" s="28"/>
      <c r="E621" s="28"/>
      <c r="F621" s="28"/>
      <c r="G621" s="28"/>
      <c r="H621" s="28"/>
      <c r="I621" s="28"/>
    </row>
    <row r="622" spans="1:9" s="3" customFormat="1" ht="22.5" customHeight="1" x14ac:dyDescent="0.25">
      <c r="A622" s="26"/>
      <c r="B622" s="27"/>
      <c r="C622" s="28"/>
      <c r="D622" s="28"/>
      <c r="E622" s="28"/>
      <c r="F622" s="28"/>
      <c r="G622" s="28"/>
      <c r="H622" s="28"/>
      <c r="I622" s="28"/>
    </row>
    <row r="623" spans="1:9" s="3" customFormat="1" ht="22.5" customHeight="1" x14ac:dyDescent="0.25">
      <c r="A623" s="26"/>
      <c r="B623" s="27"/>
      <c r="C623" s="28"/>
      <c r="D623" s="28"/>
      <c r="E623" s="28"/>
      <c r="F623" s="28"/>
      <c r="G623" s="28"/>
      <c r="H623" s="28"/>
      <c r="I623" s="28"/>
    </row>
    <row r="624" spans="1:9" s="3" customFormat="1" ht="22.5" customHeight="1" x14ac:dyDescent="0.25">
      <c r="A624" s="26"/>
      <c r="B624" s="27"/>
      <c r="C624" s="28"/>
      <c r="D624" s="28"/>
      <c r="E624" s="28"/>
      <c r="F624" s="28"/>
      <c r="G624" s="28"/>
      <c r="H624" s="28"/>
      <c r="I624" s="28"/>
    </row>
    <row r="625" spans="1:9" s="3" customFormat="1" ht="22.5" customHeight="1" x14ac:dyDescent="0.25">
      <c r="A625" s="26"/>
      <c r="B625" s="27"/>
      <c r="C625" s="28"/>
      <c r="D625" s="28"/>
      <c r="E625" s="28"/>
      <c r="F625" s="28"/>
      <c r="G625" s="28"/>
      <c r="H625" s="28"/>
      <c r="I625" s="28"/>
    </row>
    <row r="626" spans="1:9" s="3" customFormat="1" ht="22.5" customHeight="1" x14ac:dyDescent="0.25">
      <c r="A626" s="26"/>
      <c r="B626" s="27"/>
      <c r="C626" s="28"/>
      <c r="D626" s="28"/>
      <c r="E626" s="28"/>
      <c r="F626" s="28"/>
      <c r="G626" s="28"/>
      <c r="H626" s="28"/>
      <c r="I626" s="28"/>
    </row>
    <row r="627" spans="1:9" s="3" customFormat="1" ht="22.5" customHeight="1" x14ac:dyDescent="0.25">
      <c r="A627" s="26"/>
      <c r="B627" s="27"/>
      <c r="C627" s="28"/>
      <c r="D627" s="28"/>
      <c r="E627" s="28"/>
      <c r="F627" s="28"/>
      <c r="G627" s="28"/>
      <c r="H627" s="28"/>
      <c r="I627" s="28"/>
    </row>
    <row r="628" spans="1:9" s="3" customFormat="1" ht="22.5" customHeight="1" x14ac:dyDescent="0.25">
      <c r="A628" s="26"/>
      <c r="B628" s="27"/>
      <c r="C628" s="28"/>
      <c r="D628" s="28"/>
      <c r="E628" s="28"/>
      <c r="F628" s="28"/>
      <c r="G628" s="28"/>
      <c r="H628" s="28"/>
      <c r="I628" s="28"/>
    </row>
    <row r="629" spans="1:9" s="3" customFormat="1" ht="22.5" customHeight="1" x14ac:dyDescent="0.25">
      <c r="A629" s="26"/>
      <c r="B629" s="27"/>
      <c r="C629" s="28"/>
      <c r="D629" s="28"/>
      <c r="E629" s="28"/>
      <c r="F629" s="28"/>
      <c r="G629" s="28"/>
      <c r="H629" s="28"/>
      <c r="I629" s="28"/>
    </row>
    <row r="630" spans="1:9" s="3" customFormat="1" ht="22.5" customHeight="1" x14ac:dyDescent="0.25">
      <c r="A630" s="26"/>
      <c r="B630" s="27"/>
      <c r="C630" s="28"/>
      <c r="D630" s="28"/>
      <c r="E630" s="28"/>
      <c r="F630" s="28"/>
      <c r="G630" s="28"/>
      <c r="H630" s="28"/>
      <c r="I630" s="28"/>
    </row>
    <row r="631" spans="1:9" s="3" customFormat="1" ht="22.5" customHeight="1" x14ac:dyDescent="0.25">
      <c r="A631" s="26"/>
      <c r="B631" s="27"/>
      <c r="C631" s="28"/>
      <c r="D631" s="28"/>
      <c r="E631" s="28"/>
      <c r="F631" s="28"/>
      <c r="G631" s="28"/>
      <c r="H631" s="28"/>
      <c r="I631" s="28"/>
    </row>
    <row r="632" spans="1:9" s="3" customFormat="1" ht="22.5" customHeight="1" x14ac:dyDescent="0.25">
      <c r="A632" s="26"/>
      <c r="B632" s="27"/>
      <c r="C632" s="28"/>
      <c r="D632" s="28"/>
      <c r="E632" s="28"/>
      <c r="F632" s="28"/>
      <c r="G632" s="28"/>
      <c r="H632" s="28"/>
      <c r="I632" s="28"/>
    </row>
    <row r="633" spans="1:9" s="3" customFormat="1" ht="22.5" customHeight="1" x14ac:dyDescent="0.25">
      <c r="A633" s="26"/>
      <c r="B633" s="27"/>
      <c r="C633" s="28"/>
      <c r="D633" s="28"/>
      <c r="E633" s="28"/>
      <c r="F633" s="28"/>
      <c r="G633" s="28"/>
      <c r="H633" s="28"/>
      <c r="I633" s="28"/>
    </row>
    <row r="634" spans="1:9" s="3" customFormat="1" ht="22.5" customHeight="1" x14ac:dyDescent="0.25">
      <c r="A634" s="26"/>
      <c r="B634" s="27"/>
      <c r="C634" s="28"/>
      <c r="D634" s="28"/>
      <c r="E634" s="28"/>
      <c r="F634" s="28"/>
      <c r="G634" s="28"/>
      <c r="H634" s="28"/>
      <c r="I634" s="28"/>
    </row>
    <row r="635" spans="1:9" s="3" customFormat="1" ht="22.5" customHeight="1" x14ac:dyDescent="0.25">
      <c r="A635" s="26"/>
      <c r="B635" s="27"/>
      <c r="C635" s="28"/>
      <c r="D635" s="28"/>
      <c r="E635" s="28"/>
      <c r="F635" s="28"/>
      <c r="G635" s="28"/>
      <c r="H635" s="28"/>
      <c r="I635" s="28"/>
    </row>
    <row r="636" spans="1:9" s="3" customFormat="1" ht="22.5" customHeight="1" x14ac:dyDescent="0.25">
      <c r="A636" s="26"/>
      <c r="B636" s="27"/>
      <c r="C636" s="28"/>
      <c r="D636" s="28"/>
      <c r="E636" s="28"/>
      <c r="F636" s="28"/>
      <c r="G636" s="28"/>
      <c r="H636" s="28"/>
      <c r="I636" s="28"/>
    </row>
    <row r="637" spans="1:9" s="3" customFormat="1" ht="22.5" customHeight="1" x14ac:dyDescent="0.25">
      <c r="A637" s="26"/>
      <c r="B637" s="27"/>
      <c r="C637" s="28"/>
      <c r="D637" s="28"/>
      <c r="E637" s="28"/>
      <c r="F637" s="28"/>
      <c r="G637" s="28"/>
      <c r="H637" s="28"/>
      <c r="I637" s="28"/>
    </row>
    <row r="638" spans="1:9" s="3" customFormat="1" ht="22.5" customHeight="1" x14ac:dyDescent="0.25">
      <c r="A638" s="26"/>
      <c r="B638" s="27"/>
      <c r="C638" s="28"/>
      <c r="D638" s="28"/>
      <c r="E638" s="28"/>
      <c r="F638" s="28"/>
      <c r="G638" s="28"/>
      <c r="H638" s="28"/>
      <c r="I638" s="28"/>
    </row>
    <row r="639" spans="1:9" s="3" customFormat="1" ht="22.5" customHeight="1" x14ac:dyDescent="0.25">
      <c r="A639" s="26"/>
      <c r="B639" s="27"/>
      <c r="C639" s="28"/>
      <c r="D639" s="28"/>
      <c r="E639" s="28"/>
      <c r="F639" s="28"/>
      <c r="G639" s="28"/>
      <c r="H639" s="28"/>
      <c r="I639" s="28"/>
    </row>
    <row r="640" spans="1:9" s="3" customFormat="1" ht="22.5" customHeight="1" x14ac:dyDescent="0.25">
      <c r="A640" s="26"/>
      <c r="B640" s="27"/>
      <c r="C640" s="28"/>
      <c r="D640" s="28"/>
      <c r="E640" s="28"/>
      <c r="F640" s="28"/>
      <c r="G640" s="28"/>
      <c r="H640" s="28"/>
      <c r="I640" s="28"/>
    </row>
    <row r="641" spans="1:9" s="3" customFormat="1" ht="22.5" customHeight="1" x14ac:dyDescent="0.25">
      <c r="A641" s="26"/>
      <c r="B641" s="27"/>
      <c r="C641" s="28"/>
      <c r="D641" s="28"/>
      <c r="E641" s="28"/>
      <c r="F641" s="28"/>
      <c r="G641" s="28"/>
      <c r="H641" s="28"/>
      <c r="I641" s="28"/>
    </row>
    <row r="642" spans="1:9" s="3" customFormat="1" ht="22.5" customHeight="1" x14ac:dyDescent="0.25">
      <c r="A642" s="26"/>
      <c r="B642" s="27"/>
      <c r="C642" s="28"/>
      <c r="D642" s="28"/>
      <c r="E642" s="28"/>
      <c r="F642" s="28"/>
      <c r="G642" s="28"/>
      <c r="H642" s="28"/>
      <c r="I642" s="28"/>
    </row>
    <row r="643" spans="1:9" s="3" customFormat="1" ht="22.5" customHeight="1" x14ac:dyDescent="0.25">
      <c r="A643" s="26"/>
      <c r="B643" s="27"/>
      <c r="C643" s="28"/>
      <c r="D643" s="28"/>
      <c r="E643" s="28"/>
      <c r="F643" s="28"/>
      <c r="G643" s="28"/>
      <c r="H643" s="28"/>
      <c r="I643" s="28"/>
    </row>
    <row r="644" spans="1:9" s="3" customFormat="1" ht="22.5" customHeight="1" x14ac:dyDescent="0.25">
      <c r="A644" s="26"/>
      <c r="B644" s="27"/>
      <c r="C644" s="28"/>
      <c r="D644" s="28"/>
      <c r="E644" s="28"/>
      <c r="F644" s="28"/>
      <c r="G644" s="28"/>
      <c r="H644" s="28"/>
      <c r="I644" s="28"/>
    </row>
    <row r="645" spans="1:9" s="3" customFormat="1" ht="22.5" customHeight="1" x14ac:dyDescent="0.25">
      <c r="A645" s="26"/>
      <c r="B645" s="27"/>
      <c r="C645" s="28"/>
      <c r="D645" s="28"/>
      <c r="E645" s="28"/>
      <c r="F645" s="28"/>
      <c r="G645" s="28"/>
      <c r="H645" s="28"/>
      <c r="I645" s="28"/>
    </row>
    <row r="646" spans="1:9" s="3" customFormat="1" ht="22.5" customHeight="1" x14ac:dyDescent="0.25">
      <c r="A646" s="26"/>
      <c r="B646" s="27"/>
      <c r="C646" s="28"/>
      <c r="D646" s="28"/>
      <c r="E646" s="28"/>
      <c r="F646" s="28"/>
      <c r="G646" s="28"/>
      <c r="H646" s="28"/>
      <c r="I646" s="28"/>
    </row>
    <row r="647" spans="1:9" s="3" customFormat="1" ht="22.5" customHeight="1" x14ac:dyDescent="0.25">
      <c r="A647" s="26"/>
      <c r="B647" s="27"/>
      <c r="C647" s="28"/>
      <c r="D647" s="28"/>
      <c r="E647" s="28"/>
      <c r="F647" s="28"/>
      <c r="G647" s="28"/>
      <c r="H647" s="28"/>
      <c r="I647" s="28"/>
    </row>
    <row r="648" spans="1:9" s="3" customFormat="1" ht="22.5" customHeight="1" x14ac:dyDescent="0.25">
      <c r="A648" s="26"/>
      <c r="B648" s="27"/>
      <c r="C648" s="28"/>
      <c r="D648" s="28"/>
      <c r="E648" s="28"/>
      <c r="F648" s="28"/>
      <c r="G648" s="28"/>
      <c r="H648" s="28"/>
      <c r="I648" s="28"/>
    </row>
    <row r="649" spans="1:9" s="3" customFormat="1" ht="22.5" customHeight="1" x14ac:dyDescent="0.25">
      <c r="A649" s="26"/>
      <c r="B649" s="27"/>
      <c r="C649" s="28"/>
      <c r="D649" s="28"/>
      <c r="E649" s="28"/>
      <c r="F649" s="28"/>
      <c r="G649" s="28"/>
      <c r="H649" s="28"/>
      <c r="I649" s="28"/>
    </row>
    <row r="650" spans="1:9" s="3" customFormat="1" ht="22.5" customHeight="1" x14ac:dyDescent="0.25">
      <c r="A650" s="26"/>
      <c r="B650" s="27"/>
      <c r="C650" s="28"/>
      <c r="D650" s="28"/>
      <c r="E650" s="28"/>
      <c r="F650" s="28"/>
      <c r="G650" s="28"/>
      <c r="H650" s="28"/>
      <c r="I650" s="28"/>
    </row>
    <row r="651" spans="1:9" s="3" customFormat="1" ht="22.5" customHeight="1" x14ac:dyDescent="0.25">
      <c r="A651" s="26"/>
      <c r="B651" s="27"/>
      <c r="C651" s="28"/>
      <c r="D651" s="28"/>
      <c r="E651" s="28"/>
      <c r="F651" s="28"/>
      <c r="G651" s="28"/>
      <c r="H651" s="28"/>
      <c r="I651" s="28"/>
    </row>
    <row r="652" spans="1:9" s="3" customFormat="1" ht="22.5" customHeight="1" x14ac:dyDescent="0.25">
      <c r="A652" s="26"/>
      <c r="B652" s="27"/>
      <c r="C652" s="28"/>
      <c r="D652" s="28"/>
      <c r="E652" s="28"/>
      <c r="F652" s="28"/>
      <c r="G652" s="28"/>
      <c r="H652" s="28"/>
      <c r="I652" s="28"/>
    </row>
    <row r="653" spans="1:9" s="3" customFormat="1" ht="22.5" customHeight="1" x14ac:dyDescent="0.25">
      <c r="A653" s="26"/>
      <c r="B653" s="27"/>
      <c r="C653" s="28"/>
      <c r="D653" s="28"/>
      <c r="E653" s="28"/>
      <c r="F653" s="28"/>
      <c r="G653" s="28"/>
      <c r="H653" s="28"/>
      <c r="I653" s="28"/>
    </row>
    <row r="654" spans="1:9" s="3" customFormat="1" ht="22.5" customHeight="1" x14ac:dyDescent="0.25">
      <c r="A654" s="26"/>
      <c r="B654" s="27"/>
      <c r="C654" s="28"/>
      <c r="D654" s="28"/>
      <c r="E654" s="28"/>
      <c r="F654" s="28"/>
      <c r="G654" s="28"/>
      <c r="H654" s="28"/>
      <c r="I654" s="28"/>
    </row>
    <row r="655" spans="1:9" s="3" customFormat="1" ht="22.5" customHeight="1" x14ac:dyDescent="0.25">
      <c r="A655" s="26"/>
      <c r="B655" s="27"/>
      <c r="C655" s="28"/>
      <c r="D655" s="28"/>
      <c r="E655" s="28"/>
      <c r="F655" s="28"/>
      <c r="G655" s="28"/>
      <c r="H655" s="28"/>
      <c r="I655" s="28"/>
    </row>
    <row r="656" spans="1:9" s="3" customFormat="1" ht="22.5" customHeight="1" x14ac:dyDescent="0.25">
      <c r="A656" s="26"/>
      <c r="B656" s="27"/>
      <c r="C656" s="28"/>
      <c r="D656" s="28"/>
      <c r="E656" s="28"/>
      <c r="F656" s="28"/>
      <c r="G656" s="28"/>
      <c r="H656" s="28"/>
      <c r="I656" s="28"/>
    </row>
    <row r="657" spans="1:9" s="3" customFormat="1" ht="22.5" customHeight="1" x14ac:dyDescent="0.25">
      <c r="A657" s="26"/>
      <c r="B657" s="27"/>
      <c r="C657" s="28"/>
      <c r="D657" s="28"/>
      <c r="E657" s="28"/>
      <c r="F657" s="28"/>
      <c r="G657" s="28"/>
      <c r="H657" s="28"/>
      <c r="I657" s="28"/>
    </row>
    <row r="658" spans="1:9" s="3" customFormat="1" ht="22.5" customHeight="1" x14ac:dyDescent="0.25">
      <c r="A658" s="26"/>
      <c r="B658" s="27"/>
      <c r="C658" s="28"/>
      <c r="D658" s="28"/>
      <c r="E658" s="28"/>
      <c r="F658" s="28"/>
      <c r="G658" s="28"/>
      <c r="H658" s="28"/>
      <c r="I658" s="28"/>
    </row>
    <row r="659" spans="1:9" s="3" customFormat="1" ht="22.5" customHeight="1" x14ac:dyDescent="0.25">
      <c r="A659" s="26"/>
      <c r="B659" s="27"/>
      <c r="C659" s="28"/>
      <c r="D659" s="28"/>
      <c r="E659" s="28"/>
      <c r="F659" s="28"/>
      <c r="G659" s="28"/>
      <c r="H659" s="28"/>
      <c r="I659" s="28"/>
    </row>
    <row r="660" spans="1:9" s="3" customFormat="1" ht="22.5" customHeight="1" x14ac:dyDescent="0.25">
      <c r="A660" s="26"/>
      <c r="B660" s="27"/>
      <c r="C660" s="28"/>
      <c r="D660" s="28"/>
      <c r="E660" s="28"/>
      <c r="F660" s="28"/>
      <c r="G660" s="28"/>
      <c r="H660" s="28"/>
      <c r="I660" s="28"/>
    </row>
    <row r="661" spans="1:9" s="3" customFormat="1" ht="22.5" customHeight="1" x14ac:dyDescent="0.25">
      <c r="A661" s="26"/>
      <c r="B661" s="27"/>
      <c r="C661" s="28"/>
      <c r="D661" s="28"/>
      <c r="E661" s="28"/>
      <c r="F661" s="28"/>
      <c r="G661" s="28"/>
      <c r="H661" s="28"/>
      <c r="I661" s="28"/>
    </row>
    <row r="662" spans="1:9" s="3" customFormat="1" ht="22.5" customHeight="1" x14ac:dyDescent="0.25">
      <c r="A662" s="26"/>
      <c r="B662" s="27"/>
      <c r="C662" s="28"/>
      <c r="D662" s="28"/>
      <c r="E662" s="28"/>
      <c r="F662" s="28"/>
      <c r="G662" s="28"/>
      <c r="H662" s="28"/>
      <c r="I662" s="28"/>
    </row>
    <row r="663" spans="1:9" s="3" customFormat="1" ht="22.5" customHeight="1" x14ac:dyDescent="0.25">
      <c r="A663" s="26"/>
      <c r="B663" s="27"/>
      <c r="C663" s="28"/>
      <c r="D663" s="28"/>
      <c r="E663" s="28"/>
      <c r="F663" s="28"/>
      <c r="G663" s="28"/>
      <c r="H663" s="28"/>
      <c r="I663" s="28"/>
    </row>
    <row r="664" spans="1:9" s="3" customFormat="1" ht="22.5" customHeight="1" x14ac:dyDescent="0.25">
      <c r="A664" s="26"/>
      <c r="B664" s="27"/>
      <c r="C664" s="28"/>
      <c r="D664" s="28"/>
      <c r="E664" s="28"/>
      <c r="F664" s="28"/>
      <c r="G664" s="28"/>
      <c r="H664" s="28"/>
      <c r="I664" s="28"/>
    </row>
    <row r="665" spans="1:9" s="3" customFormat="1" ht="22.5" customHeight="1" x14ac:dyDescent="0.25">
      <c r="A665" s="26"/>
      <c r="B665" s="27"/>
      <c r="C665" s="28"/>
      <c r="D665" s="28"/>
      <c r="E665" s="28"/>
      <c r="F665" s="28"/>
      <c r="G665" s="28"/>
      <c r="H665" s="28"/>
      <c r="I665" s="28"/>
    </row>
    <row r="666" spans="1:9" s="3" customFormat="1" ht="22.5" customHeight="1" x14ac:dyDescent="0.25">
      <c r="A666" s="26"/>
      <c r="B666" s="27"/>
      <c r="C666" s="28"/>
      <c r="D666" s="28"/>
      <c r="E666" s="28"/>
      <c r="F666" s="28"/>
      <c r="G666" s="28"/>
      <c r="H666" s="28"/>
      <c r="I666" s="28"/>
    </row>
    <row r="667" spans="1:9" s="3" customFormat="1" ht="22.5" customHeight="1" x14ac:dyDescent="0.25">
      <c r="A667" s="26"/>
      <c r="B667" s="27"/>
      <c r="C667" s="28"/>
      <c r="D667" s="28"/>
      <c r="E667" s="28"/>
      <c r="F667" s="28"/>
      <c r="G667" s="28"/>
      <c r="H667" s="28"/>
      <c r="I667" s="28"/>
    </row>
    <row r="668" spans="1:9" s="3" customFormat="1" ht="22.5" customHeight="1" x14ac:dyDescent="0.25">
      <c r="A668" s="26"/>
      <c r="B668" s="27"/>
      <c r="C668" s="28"/>
      <c r="D668" s="28"/>
      <c r="E668" s="28"/>
      <c r="F668" s="28"/>
      <c r="G668" s="28"/>
      <c r="H668" s="28"/>
      <c r="I668" s="28"/>
    </row>
    <row r="669" spans="1:9" s="3" customFormat="1" ht="22.5" customHeight="1" x14ac:dyDescent="0.25">
      <c r="A669" s="26"/>
      <c r="B669" s="27"/>
      <c r="C669" s="28"/>
      <c r="D669" s="28"/>
      <c r="E669" s="28"/>
      <c r="F669" s="28"/>
      <c r="G669" s="28"/>
      <c r="H669" s="28"/>
      <c r="I669" s="28"/>
    </row>
    <row r="670" spans="1:9" s="3" customFormat="1" ht="22.5" customHeight="1" x14ac:dyDescent="0.25">
      <c r="A670" s="26"/>
      <c r="B670" s="27"/>
      <c r="C670" s="28"/>
      <c r="D670" s="28"/>
      <c r="E670" s="28"/>
      <c r="F670" s="28"/>
      <c r="G670" s="28"/>
      <c r="H670" s="28"/>
      <c r="I670" s="28"/>
    </row>
    <row r="671" spans="1:9" s="3" customFormat="1" ht="22.5" customHeight="1" x14ac:dyDescent="0.25">
      <c r="A671" s="26"/>
      <c r="B671" s="27"/>
      <c r="C671" s="28"/>
      <c r="D671" s="28"/>
      <c r="E671" s="28"/>
      <c r="F671" s="28"/>
      <c r="G671" s="28"/>
      <c r="H671" s="28"/>
      <c r="I671" s="28"/>
    </row>
    <row r="672" spans="1:9" s="3" customFormat="1" ht="22.5" customHeight="1" x14ac:dyDescent="0.25">
      <c r="A672" s="26"/>
      <c r="B672" s="27"/>
      <c r="C672" s="28"/>
      <c r="D672" s="28"/>
      <c r="E672" s="28"/>
      <c r="F672" s="28"/>
      <c r="G672" s="28"/>
      <c r="H672" s="28"/>
      <c r="I672" s="28"/>
    </row>
    <row r="673" spans="1:9" s="3" customFormat="1" ht="22.5" customHeight="1" x14ac:dyDescent="0.25">
      <c r="A673" s="26"/>
      <c r="B673" s="27"/>
      <c r="C673" s="28"/>
      <c r="D673" s="28"/>
      <c r="E673" s="28"/>
      <c r="F673" s="28"/>
      <c r="G673" s="28"/>
      <c r="H673" s="28"/>
      <c r="I673" s="28"/>
    </row>
    <row r="674" spans="1:9" s="3" customFormat="1" ht="22.5" customHeight="1" x14ac:dyDescent="0.25">
      <c r="A674" s="26"/>
      <c r="B674" s="27"/>
      <c r="C674" s="28"/>
      <c r="D674" s="28"/>
      <c r="E674" s="28"/>
      <c r="F674" s="28"/>
      <c r="G674" s="28"/>
      <c r="H674" s="28"/>
      <c r="I674" s="28"/>
    </row>
    <row r="675" spans="1:9" s="3" customFormat="1" ht="22.5" customHeight="1" x14ac:dyDescent="0.25">
      <c r="A675" s="26"/>
      <c r="B675" s="27"/>
      <c r="C675" s="28"/>
      <c r="D675" s="28"/>
      <c r="E675" s="28"/>
      <c r="F675" s="28"/>
      <c r="G675" s="28"/>
      <c r="H675" s="28"/>
      <c r="I675" s="28"/>
    </row>
    <row r="676" spans="1:9" s="3" customFormat="1" ht="22.5" customHeight="1" x14ac:dyDescent="0.25">
      <c r="A676" s="26"/>
      <c r="B676" s="27"/>
      <c r="C676" s="28"/>
      <c r="D676" s="28"/>
      <c r="E676" s="28"/>
      <c r="F676" s="28"/>
      <c r="G676" s="28"/>
      <c r="H676" s="28"/>
      <c r="I676" s="28"/>
    </row>
    <row r="677" spans="1:9" s="3" customFormat="1" ht="22.5" customHeight="1" x14ac:dyDescent="0.25">
      <c r="A677" s="26"/>
      <c r="B677" s="27"/>
      <c r="C677" s="28"/>
      <c r="D677" s="28"/>
      <c r="E677" s="28"/>
      <c r="F677" s="28"/>
      <c r="G677" s="28"/>
      <c r="H677" s="28"/>
      <c r="I677" s="28"/>
    </row>
    <row r="678" spans="1:9" s="3" customFormat="1" ht="22.5" customHeight="1" x14ac:dyDescent="0.25">
      <c r="A678" s="26"/>
      <c r="B678" s="27"/>
      <c r="C678" s="28"/>
      <c r="D678" s="28"/>
      <c r="E678" s="28"/>
      <c r="F678" s="28"/>
      <c r="G678" s="28"/>
      <c r="H678" s="28"/>
      <c r="I678" s="28"/>
    </row>
    <row r="679" spans="1:9" s="3" customFormat="1" ht="22.5" customHeight="1" x14ac:dyDescent="0.25">
      <c r="A679" s="26"/>
      <c r="B679" s="27"/>
      <c r="C679" s="28"/>
      <c r="D679" s="28"/>
      <c r="E679" s="28"/>
      <c r="F679" s="28"/>
      <c r="G679" s="28"/>
      <c r="H679" s="28"/>
      <c r="I679" s="28"/>
    </row>
    <row r="680" spans="1:9" s="3" customFormat="1" ht="22.5" customHeight="1" x14ac:dyDescent="0.25">
      <c r="A680" s="26"/>
      <c r="B680" s="27"/>
      <c r="C680" s="28"/>
      <c r="D680" s="28"/>
      <c r="E680" s="28"/>
      <c r="F680" s="28"/>
      <c r="G680" s="28"/>
      <c r="H680" s="28"/>
      <c r="I680" s="28"/>
    </row>
    <row r="681" spans="1:9" s="3" customFormat="1" ht="22.5" customHeight="1" x14ac:dyDescent="0.25">
      <c r="A681" s="26"/>
      <c r="B681" s="27"/>
      <c r="C681" s="28"/>
      <c r="D681" s="28"/>
      <c r="E681" s="28"/>
      <c r="F681" s="28"/>
      <c r="G681" s="28"/>
      <c r="H681" s="28"/>
      <c r="I681" s="28"/>
    </row>
    <row r="682" spans="1:9" s="3" customFormat="1" ht="22.5" customHeight="1" x14ac:dyDescent="0.25">
      <c r="A682" s="26"/>
      <c r="B682" s="27"/>
      <c r="C682" s="28"/>
      <c r="D682" s="28"/>
      <c r="E682" s="28"/>
      <c r="F682" s="28"/>
      <c r="G682" s="28"/>
      <c r="H682" s="28"/>
      <c r="I682" s="28"/>
    </row>
    <row r="683" spans="1:9" s="3" customFormat="1" ht="22.5" customHeight="1" x14ac:dyDescent="0.25">
      <c r="A683" s="26"/>
      <c r="B683" s="27"/>
      <c r="C683" s="28"/>
      <c r="D683" s="28"/>
      <c r="E683" s="28"/>
      <c r="F683" s="28"/>
      <c r="G683" s="28"/>
      <c r="H683" s="28"/>
      <c r="I683" s="28"/>
    </row>
    <row r="684" spans="1:9" s="3" customFormat="1" ht="22.5" customHeight="1" x14ac:dyDescent="0.25">
      <c r="A684" s="26"/>
      <c r="B684" s="27"/>
      <c r="C684" s="28"/>
      <c r="D684" s="28"/>
      <c r="E684" s="28"/>
      <c r="F684" s="28"/>
      <c r="G684" s="28"/>
      <c r="H684" s="28"/>
      <c r="I684" s="28"/>
    </row>
    <row r="685" spans="1:9" s="3" customFormat="1" ht="22.5" customHeight="1" x14ac:dyDescent="0.25">
      <c r="A685" s="26"/>
      <c r="B685" s="27"/>
      <c r="C685" s="28"/>
      <c r="D685" s="28"/>
      <c r="E685" s="28"/>
      <c r="F685" s="28"/>
      <c r="G685" s="28"/>
      <c r="H685" s="28"/>
      <c r="I685" s="28"/>
    </row>
    <row r="686" spans="1:9" s="3" customFormat="1" ht="22.5" customHeight="1" x14ac:dyDescent="0.25">
      <c r="A686" s="26"/>
      <c r="B686" s="27"/>
      <c r="C686" s="28"/>
      <c r="D686" s="28"/>
      <c r="E686" s="28"/>
      <c r="F686" s="28"/>
      <c r="G686" s="28"/>
      <c r="H686" s="28"/>
      <c r="I686" s="28"/>
    </row>
    <row r="687" spans="1:9" s="3" customFormat="1" ht="22.5" customHeight="1" x14ac:dyDescent="0.25">
      <c r="A687" s="26"/>
      <c r="B687" s="27"/>
      <c r="C687" s="28"/>
      <c r="D687" s="28"/>
      <c r="E687" s="28"/>
      <c r="F687" s="28"/>
      <c r="G687" s="28"/>
      <c r="H687" s="28"/>
      <c r="I687" s="28"/>
    </row>
    <row r="688" spans="1:9" s="3" customFormat="1" ht="22.5" customHeight="1" x14ac:dyDescent="0.25">
      <c r="A688" s="26"/>
      <c r="B688" s="27"/>
      <c r="C688" s="28"/>
      <c r="D688" s="28"/>
      <c r="E688" s="28"/>
      <c r="F688" s="28"/>
      <c r="G688" s="28"/>
      <c r="H688" s="28"/>
      <c r="I688" s="28"/>
    </row>
    <row r="689" spans="1:9" s="3" customFormat="1" ht="22.5" customHeight="1" x14ac:dyDescent="0.25">
      <c r="A689" s="26"/>
      <c r="B689" s="27"/>
      <c r="C689" s="28"/>
      <c r="D689" s="28"/>
      <c r="E689" s="28"/>
      <c r="F689" s="28"/>
      <c r="G689" s="28"/>
      <c r="H689" s="28"/>
      <c r="I689" s="28"/>
    </row>
    <row r="690" spans="1:9" s="3" customFormat="1" ht="22.5" customHeight="1" x14ac:dyDescent="0.25">
      <c r="A690" s="26"/>
      <c r="B690" s="27"/>
      <c r="C690" s="28"/>
      <c r="D690" s="28"/>
      <c r="E690" s="28"/>
      <c r="F690" s="28"/>
      <c r="G690" s="28"/>
      <c r="H690" s="28"/>
      <c r="I690" s="28"/>
    </row>
    <row r="691" spans="1:9" s="3" customFormat="1" ht="22.5" customHeight="1" x14ac:dyDescent="0.25">
      <c r="A691" s="26"/>
      <c r="B691" s="27"/>
      <c r="C691" s="28"/>
      <c r="D691" s="28"/>
      <c r="E691" s="28"/>
      <c r="F691" s="28"/>
      <c r="G691" s="28"/>
      <c r="H691" s="28"/>
      <c r="I691" s="28"/>
    </row>
    <row r="692" spans="1:9" s="3" customFormat="1" ht="22.5" customHeight="1" x14ac:dyDescent="0.25">
      <c r="A692" s="26"/>
      <c r="B692" s="27"/>
      <c r="C692" s="28"/>
      <c r="D692" s="28"/>
      <c r="E692" s="28"/>
      <c r="F692" s="28"/>
      <c r="G692" s="28"/>
      <c r="H692" s="28"/>
      <c r="I692" s="28"/>
    </row>
    <row r="693" spans="1:9" s="3" customFormat="1" ht="22.5" customHeight="1" x14ac:dyDescent="0.25">
      <c r="A693" s="26"/>
      <c r="B693" s="27"/>
      <c r="C693" s="28"/>
      <c r="D693" s="28"/>
      <c r="E693" s="28"/>
      <c r="F693" s="28"/>
      <c r="G693" s="28"/>
      <c r="H693" s="28"/>
      <c r="I693" s="28"/>
    </row>
    <row r="694" spans="1:9" s="3" customFormat="1" ht="22.5" customHeight="1" x14ac:dyDescent="0.25">
      <c r="A694" s="26"/>
      <c r="B694" s="27"/>
      <c r="C694" s="28"/>
      <c r="D694" s="28"/>
      <c r="E694" s="28"/>
      <c r="F694" s="28"/>
      <c r="G694" s="28"/>
      <c r="H694" s="28"/>
      <c r="I694" s="28"/>
    </row>
    <row r="695" spans="1:9" s="3" customFormat="1" ht="22.5" customHeight="1" x14ac:dyDescent="0.25">
      <c r="A695" s="26"/>
      <c r="B695" s="27"/>
      <c r="C695" s="28"/>
      <c r="D695" s="28"/>
      <c r="E695" s="28"/>
      <c r="F695" s="28"/>
      <c r="G695" s="28"/>
      <c r="H695" s="28"/>
      <c r="I695" s="28"/>
    </row>
    <row r="696" spans="1:9" s="3" customFormat="1" ht="22.5" customHeight="1" x14ac:dyDescent="0.25">
      <c r="A696" s="26"/>
      <c r="B696" s="27"/>
      <c r="C696" s="28"/>
      <c r="D696" s="28"/>
      <c r="E696" s="28"/>
      <c r="F696" s="28"/>
      <c r="G696" s="28"/>
      <c r="H696" s="28"/>
      <c r="I696" s="28"/>
    </row>
    <row r="697" spans="1:9" s="3" customFormat="1" ht="22.5" customHeight="1" x14ac:dyDescent="0.25">
      <c r="A697" s="26"/>
      <c r="B697" s="27"/>
      <c r="C697" s="28"/>
      <c r="D697" s="28"/>
      <c r="E697" s="28"/>
      <c r="F697" s="28"/>
      <c r="G697" s="28"/>
      <c r="H697" s="28"/>
      <c r="I697" s="28"/>
    </row>
    <row r="698" spans="1:9" s="3" customFormat="1" ht="22.5" customHeight="1" x14ac:dyDescent="0.25">
      <c r="A698" s="26"/>
      <c r="B698" s="27"/>
      <c r="C698" s="28"/>
      <c r="D698" s="28"/>
      <c r="E698" s="28"/>
      <c r="F698" s="28"/>
      <c r="G698" s="28"/>
      <c r="H698" s="28"/>
      <c r="I698" s="28"/>
    </row>
    <row r="699" spans="1:9" s="3" customFormat="1" ht="22.5" customHeight="1" x14ac:dyDescent="0.25">
      <c r="A699" s="26"/>
      <c r="B699" s="27"/>
      <c r="C699" s="28"/>
      <c r="D699" s="28"/>
      <c r="E699" s="28"/>
      <c r="F699" s="28"/>
      <c r="G699" s="28"/>
      <c r="H699" s="28"/>
      <c r="I699" s="28"/>
    </row>
    <row r="700" spans="1:9" s="3" customFormat="1" ht="22.5" customHeight="1" x14ac:dyDescent="0.25">
      <c r="A700" s="26"/>
      <c r="B700" s="27"/>
      <c r="C700" s="28"/>
      <c r="D700" s="28"/>
      <c r="E700" s="28"/>
      <c r="F700" s="28"/>
      <c r="G700" s="28"/>
      <c r="H700" s="28"/>
      <c r="I700" s="28"/>
    </row>
    <row r="701" spans="1:9" s="3" customFormat="1" ht="22.5" customHeight="1" x14ac:dyDescent="0.25">
      <c r="A701" s="26"/>
      <c r="B701" s="27"/>
      <c r="C701" s="28"/>
      <c r="D701" s="28"/>
      <c r="E701" s="28"/>
      <c r="F701" s="28"/>
      <c r="G701" s="28"/>
      <c r="H701" s="28"/>
      <c r="I701" s="28"/>
    </row>
    <row r="702" spans="1:9" s="3" customFormat="1" ht="22.5" customHeight="1" x14ac:dyDescent="0.25">
      <c r="A702" s="26"/>
      <c r="B702" s="27"/>
      <c r="C702" s="28"/>
      <c r="D702" s="28"/>
      <c r="E702" s="28"/>
      <c r="F702" s="28"/>
      <c r="G702" s="28"/>
      <c r="H702" s="28"/>
      <c r="I702" s="28"/>
    </row>
    <row r="703" spans="1:9" s="3" customFormat="1" ht="22.5" customHeight="1" x14ac:dyDescent="0.25">
      <c r="A703" s="26"/>
      <c r="B703" s="27"/>
      <c r="C703" s="28"/>
      <c r="D703" s="28"/>
      <c r="E703" s="28"/>
      <c r="F703" s="28"/>
      <c r="G703" s="28"/>
      <c r="H703" s="28"/>
      <c r="I703" s="28"/>
    </row>
    <row r="704" spans="1:9" s="3" customFormat="1" ht="22.5" customHeight="1" x14ac:dyDescent="0.25">
      <c r="A704" s="26"/>
      <c r="B704" s="27"/>
      <c r="C704" s="28"/>
      <c r="D704" s="28"/>
      <c r="E704" s="28"/>
      <c r="F704" s="28"/>
      <c r="G704" s="28"/>
      <c r="H704" s="28"/>
      <c r="I704" s="28"/>
    </row>
    <row r="705" spans="1:9" s="3" customFormat="1" ht="22.5" customHeight="1" x14ac:dyDescent="0.25">
      <c r="A705" s="26"/>
      <c r="B705" s="27"/>
      <c r="C705" s="28"/>
      <c r="D705" s="28"/>
      <c r="E705" s="28"/>
      <c r="F705" s="28"/>
      <c r="G705" s="28"/>
      <c r="H705" s="28"/>
      <c r="I705" s="28"/>
    </row>
    <row r="706" spans="1:9" s="3" customFormat="1" ht="22.5" customHeight="1" x14ac:dyDescent="0.25">
      <c r="A706" s="26"/>
      <c r="B706" s="27"/>
      <c r="C706" s="28"/>
      <c r="D706" s="28"/>
      <c r="E706" s="28"/>
      <c r="F706" s="28"/>
      <c r="G706" s="28"/>
      <c r="H706" s="28"/>
      <c r="I706" s="28"/>
    </row>
    <row r="707" spans="1:9" s="3" customFormat="1" ht="22.5" customHeight="1" x14ac:dyDescent="0.25">
      <c r="A707" s="26"/>
      <c r="B707" s="27"/>
      <c r="C707" s="28"/>
      <c r="D707" s="28"/>
      <c r="E707" s="28"/>
      <c r="F707" s="28"/>
      <c r="G707" s="28"/>
      <c r="H707" s="28"/>
      <c r="I707" s="28"/>
    </row>
    <row r="708" spans="1:9" s="3" customFormat="1" ht="22.5" customHeight="1" x14ac:dyDescent="0.25">
      <c r="A708" s="26"/>
      <c r="B708" s="27"/>
      <c r="C708" s="28"/>
      <c r="D708" s="28"/>
      <c r="E708" s="28"/>
      <c r="F708" s="28"/>
      <c r="G708" s="28"/>
      <c r="H708" s="28"/>
      <c r="I708" s="28"/>
    </row>
    <row r="709" spans="1:9" s="3" customFormat="1" ht="22.5" customHeight="1" x14ac:dyDescent="0.25">
      <c r="A709" s="26"/>
      <c r="B709" s="27"/>
      <c r="C709" s="28"/>
      <c r="D709" s="28"/>
      <c r="E709" s="28"/>
      <c r="F709" s="28"/>
      <c r="G709" s="28"/>
      <c r="H709" s="28"/>
      <c r="I709" s="28"/>
    </row>
    <row r="710" spans="1:9" s="3" customFormat="1" ht="22.5" customHeight="1" x14ac:dyDescent="0.25">
      <c r="A710" s="26"/>
      <c r="B710" s="27"/>
      <c r="C710" s="28"/>
      <c r="D710" s="28"/>
      <c r="E710" s="28"/>
      <c r="F710" s="28"/>
      <c r="G710" s="28"/>
      <c r="H710" s="28"/>
      <c r="I710" s="28"/>
    </row>
    <row r="711" spans="1:9" s="3" customFormat="1" ht="22.5" customHeight="1" x14ac:dyDescent="0.25">
      <c r="A711" s="26"/>
      <c r="B711" s="27"/>
      <c r="C711" s="28"/>
      <c r="D711" s="28"/>
      <c r="E711" s="28"/>
      <c r="F711" s="28"/>
      <c r="G711" s="28"/>
      <c r="H711" s="28"/>
      <c r="I711" s="28"/>
    </row>
    <row r="712" spans="1:9" s="3" customFormat="1" ht="22.5" customHeight="1" x14ac:dyDescent="0.25">
      <c r="A712" s="26"/>
      <c r="B712" s="27"/>
      <c r="C712" s="28"/>
      <c r="D712" s="28"/>
      <c r="E712" s="28"/>
      <c r="F712" s="28"/>
      <c r="G712" s="28"/>
      <c r="H712" s="28"/>
      <c r="I712" s="28"/>
    </row>
    <row r="713" spans="1:9" s="3" customFormat="1" ht="22.5" customHeight="1" x14ac:dyDescent="0.25">
      <c r="A713" s="26"/>
      <c r="B713" s="27"/>
      <c r="C713" s="28"/>
      <c r="D713" s="28"/>
      <c r="E713" s="28"/>
      <c r="F713" s="28"/>
      <c r="G713" s="28"/>
      <c r="H713" s="28"/>
      <c r="I713" s="28"/>
    </row>
    <row r="714" spans="1:9" s="3" customFormat="1" ht="22.5" customHeight="1" x14ac:dyDescent="0.25">
      <c r="A714" s="26"/>
      <c r="B714" s="27"/>
      <c r="C714" s="28"/>
      <c r="D714" s="28"/>
      <c r="E714" s="28"/>
      <c r="F714" s="28"/>
      <c r="G714" s="28"/>
      <c r="H714" s="28"/>
      <c r="I714" s="28"/>
    </row>
    <row r="715" spans="1:9" s="3" customFormat="1" ht="22.5" customHeight="1" x14ac:dyDescent="0.25">
      <c r="A715" s="26"/>
      <c r="B715" s="27"/>
      <c r="C715" s="28"/>
      <c r="D715" s="28"/>
      <c r="E715" s="28"/>
      <c r="F715" s="28"/>
      <c r="G715" s="28"/>
      <c r="H715" s="28"/>
      <c r="I715" s="28"/>
    </row>
    <row r="716" spans="1:9" s="3" customFormat="1" ht="22.5" customHeight="1" x14ac:dyDescent="0.25">
      <c r="A716" s="26"/>
      <c r="B716" s="27"/>
      <c r="C716" s="28"/>
      <c r="D716" s="28"/>
      <c r="E716" s="28"/>
      <c r="F716" s="28"/>
      <c r="G716" s="28"/>
      <c r="H716" s="28"/>
      <c r="I716" s="28"/>
    </row>
    <row r="717" spans="1:9" s="3" customFormat="1" ht="22.5" customHeight="1" x14ac:dyDescent="0.25">
      <c r="A717" s="26"/>
      <c r="B717" s="27"/>
      <c r="C717" s="28"/>
      <c r="D717" s="28"/>
      <c r="E717" s="28"/>
      <c r="F717" s="28"/>
      <c r="G717" s="28"/>
      <c r="H717" s="28"/>
      <c r="I717" s="28"/>
    </row>
    <row r="718" spans="1:9" s="3" customFormat="1" ht="22.5" customHeight="1" x14ac:dyDescent="0.25">
      <c r="A718" s="26"/>
      <c r="B718" s="27"/>
      <c r="C718" s="28"/>
      <c r="D718" s="28"/>
      <c r="E718" s="28"/>
      <c r="F718" s="28"/>
      <c r="G718" s="28"/>
      <c r="H718" s="28"/>
      <c r="I718" s="28"/>
    </row>
    <row r="719" spans="1:9" s="3" customFormat="1" ht="22.5" customHeight="1" x14ac:dyDescent="0.25">
      <c r="A719" s="26"/>
      <c r="B719" s="27"/>
      <c r="C719" s="28"/>
      <c r="D719" s="28"/>
      <c r="E719" s="28"/>
      <c r="F719" s="28"/>
      <c r="G719" s="28"/>
      <c r="H719" s="28"/>
      <c r="I719" s="28"/>
    </row>
    <row r="720" spans="1:9" s="3" customFormat="1" ht="22.5" customHeight="1" x14ac:dyDescent="0.25">
      <c r="A720" s="26"/>
      <c r="B720" s="27"/>
      <c r="C720" s="28"/>
      <c r="D720" s="28"/>
      <c r="E720" s="28"/>
      <c r="F720" s="28"/>
      <c r="G720" s="28"/>
      <c r="H720" s="28"/>
      <c r="I720" s="28"/>
    </row>
    <row r="721" spans="1:9" s="3" customFormat="1" ht="22.5" customHeight="1" x14ac:dyDescent="0.25">
      <c r="A721" s="26"/>
      <c r="B721" s="27"/>
      <c r="C721" s="28"/>
      <c r="D721" s="28"/>
      <c r="E721" s="28"/>
      <c r="F721" s="28"/>
      <c r="G721" s="28"/>
      <c r="H721" s="28"/>
      <c r="I721" s="28"/>
    </row>
    <row r="722" spans="1:9" s="3" customFormat="1" ht="22.5" customHeight="1" x14ac:dyDescent="0.25">
      <c r="A722" s="26"/>
      <c r="B722" s="27"/>
      <c r="C722" s="28"/>
      <c r="D722" s="28"/>
      <c r="E722" s="28"/>
      <c r="F722" s="28"/>
      <c r="G722" s="28"/>
      <c r="H722" s="28"/>
      <c r="I722" s="28"/>
    </row>
    <row r="723" spans="1:9" s="3" customFormat="1" ht="22.5" customHeight="1" x14ac:dyDescent="0.25">
      <c r="A723" s="26"/>
      <c r="B723" s="27"/>
      <c r="C723" s="28"/>
      <c r="D723" s="28"/>
      <c r="E723" s="28"/>
      <c r="F723" s="28"/>
      <c r="G723" s="28"/>
      <c r="H723" s="28"/>
      <c r="I723" s="28"/>
    </row>
    <row r="724" spans="1:9" s="3" customFormat="1" ht="22.5" customHeight="1" x14ac:dyDescent="0.25">
      <c r="A724" s="26"/>
      <c r="B724" s="27"/>
      <c r="C724" s="28"/>
      <c r="D724" s="28"/>
      <c r="E724" s="28"/>
      <c r="F724" s="28"/>
      <c r="G724" s="28"/>
      <c r="H724" s="28"/>
      <c r="I724" s="28"/>
    </row>
    <row r="725" spans="1:9" s="3" customFormat="1" ht="22.5" customHeight="1" x14ac:dyDescent="0.25">
      <c r="A725" s="26"/>
      <c r="B725" s="27"/>
      <c r="C725" s="28"/>
      <c r="D725" s="28"/>
      <c r="E725" s="28"/>
      <c r="F725" s="28"/>
      <c r="G725" s="28"/>
      <c r="H725" s="28"/>
      <c r="I725" s="28"/>
    </row>
    <row r="726" spans="1:9" s="3" customFormat="1" ht="22.5" customHeight="1" x14ac:dyDescent="0.25">
      <c r="A726" s="26"/>
      <c r="B726" s="27"/>
      <c r="C726" s="28"/>
      <c r="D726" s="28"/>
      <c r="E726" s="28"/>
      <c r="F726" s="28"/>
      <c r="G726" s="28"/>
      <c r="H726" s="28"/>
      <c r="I726" s="28"/>
    </row>
    <row r="727" spans="1:9" s="3" customFormat="1" ht="22.5" customHeight="1" x14ac:dyDescent="0.25">
      <c r="A727" s="26"/>
      <c r="B727" s="27"/>
      <c r="C727" s="28"/>
      <c r="D727" s="28"/>
      <c r="E727" s="28"/>
      <c r="F727" s="28"/>
      <c r="G727" s="28"/>
      <c r="H727" s="28"/>
      <c r="I727" s="28"/>
    </row>
    <row r="728" spans="1:9" s="3" customFormat="1" ht="22.5" customHeight="1" x14ac:dyDescent="0.25">
      <c r="A728" s="26"/>
      <c r="B728" s="27"/>
      <c r="C728" s="28"/>
      <c r="D728" s="28"/>
      <c r="E728" s="28"/>
      <c r="F728" s="28"/>
      <c r="G728" s="28"/>
      <c r="H728" s="28"/>
      <c r="I728" s="28"/>
    </row>
    <row r="729" spans="1:9" s="3" customFormat="1" ht="22.5" customHeight="1" x14ac:dyDescent="0.25">
      <c r="A729" s="26"/>
      <c r="B729" s="27"/>
      <c r="C729" s="28"/>
      <c r="D729" s="28"/>
      <c r="E729" s="28"/>
      <c r="F729" s="28"/>
      <c r="G729" s="28"/>
      <c r="H729" s="28"/>
      <c r="I729" s="28"/>
    </row>
    <row r="730" spans="1:9" s="3" customFormat="1" ht="22.5" customHeight="1" x14ac:dyDescent="0.25">
      <c r="A730" s="26"/>
      <c r="B730" s="27"/>
      <c r="C730" s="28"/>
      <c r="D730" s="28"/>
      <c r="E730" s="28"/>
      <c r="F730" s="28"/>
      <c r="G730" s="28"/>
      <c r="H730" s="28"/>
      <c r="I730" s="28"/>
    </row>
    <row r="731" spans="1:9" s="3" customFormat="1" ht="22.5" customHeight="1" x14ac:dyDescent="0.25">
      <c r="A731" s="26"/>
      <c r="B731" s="27"/>
      <c r="C731" s="28"/>
      <c r="D731" s="28"/>
      <c r="E731" s="28"/>
      <c r="F731" s="28"/>
      <c r="G731" s="28"/>
      <c r="H731" s="28"/>
      <c r="I731" s="28"/>
    </row>
    <row r="732" spans="1:9" s="3" customFormat="1" ht="22.5" customHeight="1" x14ac:dyDescent="0.25">
      <c r="A732" s="26"/>
      <c r="B732" s="27"/>
      <c r="C732" s="28"/>
      <c r="D732" s="28"/>
      <c r="E732" s="28"/>
      <c r="F732" s="28"/>
      <c r="G732" s="28"/>
      <c r="H732" s="28"/>
      <c r="I732" s="28"/>
    </row>
    <row r="733" spans="1:9" s="3" customFormat="1" ht="22.5" customHeight="1" x14ac:dyDescent="0.25">
      <c r="A733" s="26"/>
      <c r="B733" s="27"/>
      <c r="C733" s="28"/>
      <c r="D733" s="28"/>
      <c r="E733" s="28"/>
      <c r="F733" s="28"/>
      <c r="G733" s="28"/>
      <c r="H733" s="28"/>
      <c r="I733" s="28"/>
    </row>
    <row r="734" spans="1:9" s="3" customFormat="1" ht="22.5" customHeight="1" x14ac:dyDescent="0.25">
      <c r="A734" s="26"/>
      <c r="B734" s="27"/>
      <c r="C734" s="28"/>
      <c r="D734" s="28"/>
      <c r="E734" s="28"/>
      <c r="F734" s="28"/>
      <c r="G734" s="28"/>
      <c r="H734" s="28"/>
      <c r="I734" s="28"/>
    </row>
    <row r="735" spans="1:9" s="3" customFormat="1" ht="22.5" customHeight="1" x14ac:dyDescent="0.25">
      <c r="A735" s="26"/>
      <c r="B735" s="27"/>
      <c r="C735" s="28"/>
      <c r="D735" s="28"/>
      <c r="E735" s="28"/>
      <c r="F735" s="28"/>
      <c r="G735" s="28"/>
      <c r="H735" s="28"/>
      <c r="I735" s="28"/>
    </row>
    <row r="736" spans="1:9" s="3" customFormat="1" ht="22.5" customHeight="1" x14ac:dyDescent="0.25">
      <c r="A736" s="26"/>
      <c r="B736" s="27"/>
      <c r="C736" s="28"/>
      <c r="D736" s="28"/>
      <c r="E736" s="28"/>
      <c r="F736" s="28"/>
      <c r="G736" s="28"/>
      <c r="H736" s="28"/>
      <c r="I736" s="28"/>
    </row>
    <row r="737" spans="1:9" s="3" customFormat="1" ht="22.5" customHeight="1" x14ac:dyDescent="0.25">
      <c r="A737" s="26"/>
      <c r="B737" s="27"/>
      <c r="C737" s="28"/>
      <c r="D737" s="28"/>
      <c r="E737" s="28"/>
      <c r="F737" s="28"/>
      <c r="G737" s="28"/>
      <c r="H737" s="28"/>
      <c r="I737" s="28"/>
    </row>
    <row r="738" spans="1:9" s="3" customFormat="1" ht="22.5" customHeight="1" x14ac:dyDescent="0.25">
      <c r="A738" s="26"/>
      <c r="B738" s="27"/>
      <c r="C738" s="28"/>
      <c r="D738" s="28"/>
      <c r="E738" s="28"/>
      <c r="F738" s="28"/>
      <c r="G738" s="28"/>
      <c r="H738" s="28"/>
      <c r="I738" s="28"/>
    </row>
    <row r="739" spans="1:9" s="3" customFormat="1" ht="22.5" customHeight="1" x14ac:dyDescent="0.25">
      <c r="A739" s="26"/>
      <c r="B739" s="27"/>
      <c r="C739" s="28"/>
      <c r="D739" s="28"/>
      <c r="E739" s="28"/>
      <c r="F739" s="28"/>
      <c r="G739" s="28"/>
      <c r="H739" s="28"/>
      <c r="I739" s="28"/>
    </row>
    <row r="740" spans="1:9" s="3" customFormat="1" ht="22.5" customHeight="1" x14ac:dyDescent="0.25">
      <c r="A740" s="26"/>
      <c r="B740" s="27"/>
      <c r="C740" s="28"/>
      <c r="D740" s="28"/>
      <c r="E740" s="28"/>
      <c r="F740" s="28"/>
      <c r="G740" s="28"/>
      <c r="H740" s="28"/>
      <c r="I740" s="28"/>
    </row>
    <row r="741" spans="1:9" s="3" customFormat="1" ht="22.5" customHeight="1" x14ac:dyDescent="0.25">
      <c r="A741" s="26"/>
      <c r="B741" s="27"/>
      <c r="C741" s="28"/>
      <c r="D741" s="28"/>
      <c r="E741" s="28"/>
      <c r="F741" s="28"/>
      <c r="G741" s="28"/>
      <c r="H741" s="28"/>
      <c r="I741" s="28"/>
    </row>
    <row r="742" spans="1:9" s="3" customFormat="1" ht="22.5" customHeight="1" x14ac:dyDescent="0.25">
      <c r="A742" s="26"/>
      <c r="B742" s="27"/>
      <c r="C742" s="28"/>
      <c r="D742" s="28"/>
      <c r="E742" s="28"/>
      <c r="F742" s="28"/>
      <c r="G742" s="28"/>
      <c r="H742" s="28"/>
      <c r="I742" s="28"/>
    </row>
    <row r="743" spans="1:9" s="3" customFormat="1" ht="22.5" customHeight="1" x14ac:dyDescent="0.25">
      <c r="A743" s="26"/>
      <c r="B743" s="27"/>
      <c r="C743" s="28"/>
      <c r="D743" s="28"/>
      <c r="E743" s="28"/>
      <c r="F743" s="28"/>
      <c r="G743" s="28"/>
      <c r="H743" s="28"/>
      <c r="I743" s="28"/>
    </row>
    <row r="744" spans="1:9" s="3" customFormat="1" ht="22.5" customHeight="1" x14ac:dyDescent="0.25">
      <c r="A744" s="26"/>
      <c r="B744" s="27"/>
      <c r="C744" s="28"/>
      <c r="D744" s="28"/>
      <c r="E744" s="28"/>
      <c r="F744" s="28"/>
      <c r="G744" s="28"/>
      <c r="H744" s="28"/>
      <c r="I744" s="28"/>
    </row>
    <row r="745" spans="1:9" s="3" customFormat="1" ht="22.5" customHeight="1" x14ac:dyDescent="0.25">
      <c r="A745" s="26"/>
      <c r="B745" s="27"/>
      <c r="C745" s="28"/>
      <c r="D745" s="28"/>
      <c r="E745" s="28"/>
      <c r="F745" s="28"/>
      <c r="G745" s="28"/>
      <c r="H745" s="28"/>
      <c r="I745" s="28"/>
    </row>
    <row r="746" spans="1:9" s="3" customFormat="1" ht="22.5" customHeight="1" x14ac:dyDescent="0.25">
      <c r="A746" s="26"/>
      <c r="B746" s="27"/>
      <c r="C746" s="28"/>
      <c r="D746" s="28"/>
      <c r="E746" s="28"/>
      <c r="F746" s="28"/>
      <c r="G746" s="28"/>
      <c r="H746" s="28"/>
      <c r="I746" s="28"/>
    </row>
    <row r="747" spans="1:9" s="3" customFormat="1" ht="22.5" customHeight="1" x14ac:dyDescent="0.25">
      <c r="A747" s="26"/>
      <c r="B747" s="27"/>
      <c r="C747" s="28"/>
      <c r="D747" s="28"/>
      <c r="E747" s="28"/>
      <c r="F747" s="28"/>
      <c r="G747" s="28"/>
      <c r="H747" s="28"/>
      <c r="I747" s="28"/>
    </row>
    <row r="748" spans="1:9" s="3" customFormat="1" ht="22.5" customHeight="1" x14ac:dyDescent="0.25">
      <c r="A748" s="26"/>
      <c r="B748" s="27"/>
      <c r="C748" s="28"/>
      <c r="D748" s="28"/>
      <c r="E748" s="28"/>
      <c r="F748" s="28"/>
      <c r="G748" s="28"/>
      <c r="H748" s="28"/>
      <c r="I748" s="28"/>
    </row>
    <row r="749" spans="1:9" s="3" customFormat="1" ht="22.5" customHeight="1" x14ac:dyDescent="0.25">
      <c r="A749" s="26"/>
      <c r="B749" s="27"/>
      <c r="C749" s="28"/>
      <c r="D749" s="28"/>
      <c r="E749" s="28"/>
      <c r="F749" s="28"/>
      <c r="G749" s="28"/>
      <c r="H749" s="28"/>
      <c r="I749" s="28"/>
    </row>
    <row r="750" spans="1:9" s="3" customFormat="1" ht="22.5" customHeight="1" x14ac:dyDescent="0.25">
      <c r="A750" s="26"/>
      <c r="B750" s="27"/>
      <c r="C750" s="28"/>
      <c r="D750" s="28"/>
      <c r="E750" s="28"/>
      <c r="F750" s="28"/>
      <c r="G750" s="28"/>
      <c r="H750" s="28"/>
      <c r="I750" s="28"/>
    </row>
    <row r="751" spans="1:9" s="3" customFormat="1" ht="22.5" customHeight="1" x14ac:dyDescent="0.25">
      <c r="A751" s="26"/>
      <c r="B751" s="27"/>
      <c r="C751" s="28"/>
      <c r="D751" s="28"/>
      <c r="E751" s="28"/>
      <c r="F751" s="28"/>
      <c r="G751" s="28"/>
      <c r="H751" s="28"/>
      <c r="I751" s="28"/>
    </row>
    <row r="752" spans="1:9" s="3" customFormat="1" ht="22.5" customHeight="1" x14ac:dyDescent="0.25">
      <c r="A752" s="26"/>
      <c r="B752" s="27"/>
      <c r="C752" s="28"/>
      <c r="D752" s="28"/>
      <c r="E752" s="28"/>
      <c r="F752" s="28"/>
      <c r="G752" s="28"/>
      <c r="H752" s="28"/>
      <c r="I752" s="28"/>
    </row>
    <row r="753" spans="1:9" s="3" customFormat="1" ht="22.5" customHeight="1" x14ac:dyDescent="0.25">
      <c r="A753" s="26"/>
      <c r="B753" s="27"/>
      <c r="C753" s="28"/>
      <c r="D753" s="28"/>
      <c r="E753" s="28"/>
      <c r="F753" s="28"/>
      <c r="G753" s="28"/>
      <c r="H753" s="28"/>
      <c r="I753" s="28"/>
    </row>
    <row r="754" spans="1:9" s="3" customFormat="1" ht="22.5" customHeight="1" x14ac:dyDescent="0.25">
      <c r="A754" s="26"/>
      <c r="B754" s="27"/>
      <c r="C754" s="28"/>
      <c r="D754" s="28"/>
      <c r="E754" s="28"/>
      <c r="F754" s="28"/>
      <c r="G754" s="28"/>
      <c r="H754" s="28"/>
      <c r="I754" s="28"/>
    </row>
    <row r="755" spans="1:9" s="3" customFormat="1" ht="22.5" customHeight="1" x14ac:dyDescent="0.25">
      <c r="A755" s="26"/>
      <c r="B755" s="27"/>
      <c r="C755" s="28"/>
      <c r="D755" s="28"/>
      <c r="E755" s="28"/>
      <c r="F755" s="28"/>
      <c r="G755" s="28"/>
      <c r="H755" s="28"/>
      <c r="I755" s="28"/>
    </row>
    <row r="756" spans="1:9" s="3" customFormat="1" ht="22.5" customHeight="1" x14ac:dyDescent="0.25">
      <c r="A756" s="26"/>
      <c r="B756" s="27"/>
      <c r="C756" s="28"/>
      <c r="D756" s="28"/>
      <c r="E756" s="28"/>
      <c r="F756" s="28"/>
      <c r="G756" s="28"/>
      <c r="H756" s="28"/>
      <c r="I756" s="28"/>
    </row>
    <row r="757" spans="1:9" s="3" customFormat="1" ht="22.5" customHeight="1" x14ac:dyDescent="0.25">
      <c r="A757" s="26"/>
      <c r="B757" s="27"/>
      <c r="C757" s="28"/>
      <c r="D757" s="28"/>
      <c r="E757" s="28"/>
      <c r="F757" s="28"/>
      <c r="G757" s="28"/>
      <c r="H757" s="28"/>
      <c r="I757" s="28"/>
    </row>
    <row r="758" spans="1:9" s="3" customFormat="1" ht="22.5" customHeight="1" x14ac:dyDescent="0.25">
      <c r="A758" s="26"/>
      <c r="B758" s="27"/>
      <c r="C758" s="28"/>
      <c r="D758" s="28"/>
      <c r="E758" s="28"/>
      <c r="F758" s="28"/>
      <c r="G758" s="28"/>
      <c r="H758" s="28"/>
      <c r="I758" s="28"/>
    </row>
    <row r="759" spans="1:9" s="3" customFormat="1" ht="22.5" customHeight="1" x14ac:dyDescent="0.25">
      <c r="A759" s="26"/>
      <c r="B759" s="27"/>
      <c r="C759" s="28"/>
      <c r="D759" s="28"/>
      <c r="E759" s="28"/>
      <c r="F759" s="28"/>
      <c r="G759" s="28"/>
      <c r="H759" s="28"/>
      <c r="I759" s="28"/>
    </row>
    <row r="760" spans="1:9" s="3" customFormat="1" ht="22.5" customHeight="1" x14ac:dyDescent="0.25">
      <c r="A760" s="26"/>
      <c r="B760" s="27"/>
      <c r="C760" s="28"/>
      <c r="D760" s="28"/>
      <c r="E760" s="28"/>
      <c r="F760" s="28"/>
      <c r="G760" s="28"/>
      <c r="H760" s="28"/>
      <c r="I760" s="28"/>
    </row>
    <row r="761" spans="1:9" s="3" customFormat="1" ht="22.5" customHeight="1" x14ac:dyDescent="0.25">
      <c r="A761" s="26"/>
      <c r="B761" s="27"/>
      <c r="C761" s="28"/>
      <c r="D761" s="28"/>
      <c r="E761" s="28"/>
      <c r="F761" s="28"/>
      <c r="G761" s="28"/>
      <c r="H761" s="28"/>
      <c r="I761" s="28"/>
    </row>
    <row r="762" spans="1:9" s="3" customFormat="1" ht="22.5" customHeight="1" x14ac:dyDescent="0.25">
      <c r="A762" s="26"/>
      <c r="B762" s="27"/>
      <c r="C762" s="28"/>
      <c r="D762" s="28"/>
      <c r="E762" s="28"/>
      <c r="F762" s="28"/>
      <c r="G762" s="28"/>
      <c r="H762" s="28"/>
      <c r="I762" s="28"/>
    </row>
    <row r="763" spans="1:9" s="3" customFormat="1" ht="22.5" customHeight="1" x14ac:dyDescent="0.25">
      <c r="A763" s="26"/>
      <c r="B763" s="27"/>
      <c r="C763" s="28"/>
      <c r="D763" s="28"/>
      <c r="E763" s="28"/>
      <c r="F763" s="28"/>
      <c r="G763" s="28"/>
      <c r="H763" s="28"/>
      <c r="I763" s="28"/>
    </row>
    <row r="764" spans="1:9" s="3" customFormat="1" ht="22.5" customHeight="1" x14ac:dyDescent="0.25">
      <c r="A764" s="26"/>
      <c r="B764" s="27"/>
      <c r="C764" s="28"/>
      <c r="D764" s="28"/>
      <c r="E764" s="28"/>
      <c r="F764" s="28"/>
      <c r="G764" s="28"/>
      <c r="H764" s="28"/>
      <c r="I764" s="28"/>
    </row>
    <row r="765" spans="1:9" s="3" customFormat="1" ht="22.5" customHeight="1" x14ac:dyDescent="0.25">
      <c r="A765" s="26"/>
      <c r="B765" s="27"/>
      <c r="C765" s="28"/>
      <c r="D765" s="28"/>
      <c r="E765" s="28"/>
      <c r="F765" s="28"/>
      <c r="G765" s="28"/>
      <c r="H765" s="28"/>
      <c r="I765" s="28"/>
    </row>
    <row r="766" spans="1:9" s="3" customFormat="1" ht="22.5" customHeight="1" x14ac:dyDescent="0.25">
      <c r="A766" s="26"/>
      <c r="B766" s="27"/>
      <c r="C766" s="28"/>
      <c r="D766" s="28"/>
      <c r="E766" s="28"/>
      <c r="F766" s="28"/>
      <c r="G766" s="28"/>
      <c r="H766" s="28"/>
      <c r="I766" s="28"/>
    </row>
    <row r="767" spans="1:9" s="3" customFormat="1" ht="22.5" customHeight="1" x14ac:dyDescent="0.25">
      <c r="A767" s="26"/>
      <c r="B767" s="27"/>
      <c r="C767" s="28"/>
      <c r="D767" s="28"/>
      <c r="E767" s="28"/>
      <c r="F767" s="28"/>
      <c r="G767" s="28"/>
      <c r="H767" s="28"/>
      <c r="I767" s="28"/>
    </row>
    <row r="768" spans="1:9" s="3" customFormat="1" ht="22.5" customHeight="1" x14ac:dyDescent="0.25">
      <c r="A768" s="26"/>
      <c r="B768" s="27"/>
      <c r="C768" s="28"/>
      <c r="D768" s="28"/>
      <c r="E768" s="28"/>
      <c r="F768" s="28"/>
      <c r="G768" s="28"/>
      <c r="H768" s="28"/>
      <c r="I768" s="28"/>
    </row>
    <row r="769" spans="1:9" s="3" customFormat="1" ht="22.5" customHeight="1" x14ac:dyDescent="0.25">
      <c r="A769" s="26"/>
      <c r="B769" s="27"/>
      <c r="C769" s="28"/>
      <c r="D769" s="28"/>
      <c r="E769" s="28"/>
      <c r="F769" s="28"/>
      <c r="G769" s="28"/>
      <c r="H769" s="28"/>
      <c r="I769" s="28"/>
    </row>
    <row r="770" spans="1:9" s="3" customFormat="1" ht="22.5" customHeight="1" x14ac:dyDescent="0.25">
      <c r="A770" s="26"/>
      <c r="B770" s="27"/>
      <c r="C770" s="28"/>
      <c r="D770" s="28"/>
      <c r="E770" s="28"/>
      <c r="F770" s="28"/>
      <c r="G770" s="28"/>
      <c r="H770" s="28"/>
      <c r="I770" s="28"/>
    </row>
    <row r="771" spans="1:9" s="3" customFormat="1" ht="22.5" customHeight="1" x14ac:dyDescent="0.25">
      <c r="A771" s="26"/>
      <c r="B771" s="27"/>
      <c r="C771" s="28"/>
      <c r="D771" s="28"/>
      <c r="E771" s="28"/>
      <c r="F771" s="28"/>
      <c r="G771" s="28"/>
      <c r="H771" s="28"/>
      <c r="I771" s="28"/>
    </row>
    <row r="772" spans="1:9" s="3" customFormat="1" ht="22.5" customHeight="1" x14ac:dyDescent="0.25">
      <c r="A772" s="26"/>
      <c r="B772" s="27"/>
      <c r="C772" s="28"/>
      <c r="D772" s="28"/>
      <c r="E772" s="28"/>
      <c r="F772" s="28"/>
      <c r="G772" s="28"/>
      <c r="H772" s="28"/>
      <c r="I772" s="28"/>
    </row>
    <row r="773" spans="1:9" s="3" customFormat="1" ht="22.5" customHeight="1" x14ac:dyDescent="0.25">
      <c r="A773" s="26"/>
      <c r="B773" s="27"/>
      <c r="C773" s="28"/>
      <c r="D773" s="28"/>
      <c r="E773" s="28"/>
      <c r="F773" s="28"/>
      <c r="G773" s="28"/>
      <c r="H773" s="28"/>
      <c r="I773" s="28"/>
    </row>
    <row r="774" spans="1:9" s="3" customFormat="1" ht="22.5" customHeight="1" x14ac:dyDescent="0.25">
      <c r="A774" s="26"/>
      <c r="B774" s="27"/>
      <c r="C774" s="28"/>
      <c r="D774" s="28"/>
      <c r="E774" s="28"/>
      <c r="F774" s="28"/>
      <c r="G774" s="28"/>
      <c r="H774" s="28"/>
      <c r="I774" s="28"/>
    </row>
    <row r="775" spans="1:9" s="3" customFormat="1" ht="22.5" customHeight="1" x14ac:dyDescent="0.25">
      <c r="A775" s="26"/>
      <c r="B775" s="27"/>
      <c r="C775" s="28"/>
      <c r="D775" s="28"/>
      <c r="E775" s="28"/>
      <c r="F775" s="28"/>
      <c r="G775" s="28"/>
      <c r="H775" s="28"/>
      <c r="I775" s="28"/>
    </row>
    <row r="776" spans="1:9" s="3" customFormat="1" ht="22.5" customHeight="1" x14ac:dyDescent="0.25">
      <c r="A776" s="26"/>
      <c r="B776" s="27"/>
      <c r="C776" s="28"/>
      <c r="D776" s="28"/>
      <c r="E776" s="28"/>
      <c r="F776" s="28"/>
      <c r="G776" s="28"/>
      <c r="H776" s="28"/>
      <c r="I776" s="28"/>
    </row>
    <row r="777" spans="1:9" s="3" customFormat="1" ht="22.5" customHeight="1" x14ac:dyDescent="0.25">
      <c r="A777" s="26"/>
      <c r="B777" s="27"/>
      <c r="C777" s="28"/>
      <c r="D777" s="28"/>
      <c r="E777" s="28"/>
      <c r="F777" s="28"/>
      <c r="G777" s="28"/>
      <c r="H777" s="28"/>
      <c r="I777" s="28"/>
    </row>
    <row r="778" spans="1:9" s="3" customFormat="1" ht="22.5" customHeight="1" x14ac:dyDescent="0.25">
      <c r="A778" s="26"/>
      <c r="B778" s="27"/>
      <c r="C778" s="28"/>
      <c r="D778" s="28"/>
      <c r="E778" s="28"/>
      <c r="F778" s="28"/>
      <c r="G778" s="28"/>
      <c r="H778" s="28"/>
      <c r="I778" s="28"/>
    </row>
    <row r="779" spans="1:9" s="3" customFormat="1" ht="22.5" customHeight="1" x14ac:dyDescent="0.25">
      <c r="A779" s="26"/>
      <c r="B779" s="27"/>
      <c r="C779" s="28"/>
      <c r="D779" s="28"/>
      <c r="E779" s="28"/>
      <c r="F779" s="28"/>
      <c r="G779" s="28"/>
      <c r="H779" s="28"/>
      <c r="I779" s="28"/>
    </row>
    <row r="780" spans="1:9" s="3" customFormat="1" ht="22.5" customHeight="1" x14ac:dyDescent="0.25">
      <c r="A780" s="26"/>
      <c r="B780" s="27"/>
      <c r="C780" s="28"/>
      <c r="D780" s="28"/>
      <c r="E780" s="28"/>
      <c r="F780" s="28"/>
      <c r="G780" s="28"/>
      <c r="H780" s="28"/>
      <c r="I780" s="28"/>
    </row>
    <row r="781" spans="1:9" s="3" customFormat="1" ht="22.5" customHeight="1" x14ac:dyDescent="0.25">
      <c r="A781" s="26"/>
      <c r="B781" s="27"/>
      <c r="C781" s="28"/>
      <c r="D781" s="28"/>
      <c r="E781" s="28"/>
      <c r="F781" s="28"/>
      <c r="G781" s="28"/>
      <c r="H781" s="28"/>
      <c r="I781" s="28"/>
    </row>
    <row r="782" spans="1:9" s="3" customFormat="1" ht="22.5" customHeight="1" x14ac:dyDescent="0.25">
      <c r="A782" s="26"/>
      <c r="B782" s="27"/>
      <c r="C782" s="28"/>
      <c r="D782" s="28"/>
      <c r="E782" s="28"/>
      <c r="F782" s="28"/>
      <c r="G782" s="28"/>
      <c r="H782" s="28"/>
      <c r="I782" s="28"/>
    </row>
    <row r="783" spans="1:9" s="3" customFormat="1" ht="22.5" customHeight="1" x14ac:dyDescent="0.25">
      <c r="A783" s="26"/>
      <c r="B783" s="27"/>
      <c r="C783" s="28"/>
      <c r="D783" s="28"/>
      <c r="E783" s="28"/>
      <c r="F783" s="28"/>
      <c r="G783" s="28"/>
      <c r="H783" s="28"/>
      <c r="I783" s="28"/>
    </row>
    <row r="784" spans="1:9" s="3" customFormat="1" ht="22.5" customHeight="1" x14ac:dyDescent="0.25">
      <c r="A784" s="26"/>
      <c r="B784" s="27"/>
      <c r="C784" s="28"/>
      <c r="D784" s="28"/>
      <c r="E784" s="28"/>
      <c r="F784" s="28"/>
      <c r="G784" s="28"/>
      <c r="H784" s="28"/>
      <c r="I784" s="28"/>
    </row>
    <row r="785" spans="1:9" s="3" customFormat="1" ht="22.5" customHeight="1" x14ac:dyDescent="0.25">
      <c r="A785" s="26"/>
      <c r="B785" s="27"/>
      <c r="C785" s="28"/>
      <c r="D785" s="28"/>
      <c r="E785" s="28"/>
      <c r="F785" s="28"/>
      <c r="G785" s="28"/>
      <c r="H785" s="28"/>
      <c r="I785" s="28"/>
    </row>
    <row r="786" spans="1:9" s="3" customFormat="1" ht="22.5" customHeight="1" x14ac:dyDescent="0.25">
      <c r="A786" s="26"/>
      <c r="B786" s="27"/>
      <c r="C786" s="28"/>
      <c r="D786" s="28"/>
      <c r="E786" s="28"/>
      <c r="F786" s="28"/>
      <c r="G786" s="28"/>
      <c r="H786" s="28"/>
      <c r="I786" s="28"/>
    </row>
    <row r="787" spans="1:9" s="3" customFormat="1" ht="22.5" customHeight="1" x14ac:dyDescent="0.25">
      <c r="A787" s="26"/>
      <c r="B787" s="27"/>
      <c r="C787" s="28"/>
      <c r="D787" s="28"/>
      <c r="E787" s="28"/>
      <c r="F787" s="28"/>
      <c r="G787" s="28"/>
      <c r="H787" s="28"/>
      <c r="I787" s="28"/>
    </row>
    <row r="788" spans="1:9" s="3" customFormat="1" ht="22.5" customHeight="1" x14ac:dyDescent="0.25">
      <c r="A788" s="26"/>
      <c r="B788" s="27"/>
      <c r="C788" s="28"/>
      <c r="D788" s="28"/>
      <c r="E788" s="28"/>
      <c r="F788" s="28"/>
      <c r="G788" s="28"/>
      <c r="H788" s="28"/>
      <c r="I788" s="28"/>
    </row>
    <row r="789" spans="1:9" s="3" customFormat="1" ht="22.5" customHeight="1" x14ac:dyDescent="0.25">
      <c r="A789" s="26"/>
      <c r="B789" s="27"/>
      <c r="C789" s="28"/>
      <c r="D789" s="28"/>
      <c r="E789" s="28"/>
      <c r="F789" s="28"/>
      <c r="G789" s="28"/>
      <c r="H789" s="28"/>
      <c r="I789" s="28"/>
    </row>
    <row r="790" spans="1:9" s="3" customFormat="1" ht="22.5" customHeight="1" x14ac:dyDescent="0.25">
      <c r="A790" s="26"/>
      <c r="B790" s="27"/>
      <c r="C790" s="28"/>
      <c r="D790" s="28"/>
      <c r="E790" s="28"/>
      <c r="F790" s="28"/>
      <c r="G790" s="28"/>
      <c r="H790" s="28"/>
      <c r="I790" s="28"/>
    </row>
    <row r="791" spans="1:9" s="3" customFormat="1" ht="22.5" customHeight="1" x14ac:dyDescent="0.25">
      <c r="A791" s="26"/>
      <c r="B791" s="27"/>
      <c r="C791" s="28"/>
      <c r="D791" s="28"/>
      <c r="E791" s="28"/>
      <c r="F791" s="28"/>
      <c r="G791" s="28"/>
      <c r="H791" s="28"/>
      <c r="I791" s="28"/>
    </row>
    <row r="792" spans="1:9" s="3" customFormat="1" ht="22.5" customHeight="1" x14ac:dyDescent="0.25">
      <c r="A792" s="26"/>
      <c r="B792" s="27"/>
      <c r="C792" s="28"/>
      <c r="D792" s="28"/>
      <c r="E792" s="28"/>
      <c r="F792" s="28"/>
      <c r="G792" s="28"/>
      <c r="H792" s="28"/>
      <c r="I792" s="28"/>
    </row>
    <row r="793" spans="1:9" s="3" customFormat="1" ht="22.5" customHeight="1" x14ac:dyDescent="0.25">
      <c r="A793" s="26"/>
      <c r="B793" s="27"/>
      <c r="C793" s="28"/>
      <c r="D793" s="28"/>
      <c r="E793" s="28"/>
      <c r="F793" s="28"/>
      <c r="G793" s="28"/>
      <c r="H793" s="28"/>
      <c r="I793" s="28"/>
    </row>
    <row r="794" spans="1:9" s="3" customFormat="1" ht="22.5" customHeight="1" x14ac:dyDescent="0.25">
      <c r="A794" s="26"/>
      <c r="B794" s="27"/>
      <c r="C794" s="28"/>
      <c r="D794" s="28"/>
      <c r="E794" s="28"/>
      <c r="F794" s="28"/>
      <c r="G794" s="28"/>
      <c r="H794" s="28"/>
      <c r="I794" s="28"/>
    </row>
    <row r="795" spans="1:9" s="3" customFormat="1" ht="22.5" customHeight="1" x14ac:dyDescent="0.25">
      <c r="A795" s="26"/>
      <c r="B795" s="27"/>
      <c r="C795" s="28"/>
      <c r="D795" s="28"/>
      <c r="E795" s="28"/>
      <c r="F795" s="28"/>
      <c r="G795" s="28"/>
      <c r="H795" s="28"/>
      <c r="I795" s="28"/>
    </row>
    <row r="796" spans="1:9" s="3" customFormat="1" ht="22.5" customHeight="1" x14ac:dyDescent="0.25">
      <c r="A796" s="26"/>
      <c r="B796" s="27"/>
      <c r="C796" s="28"/>
      <c r="D796" s="28"/>
      <c r="E796" s="28"/>
      <c r="F796" s="28"/>
      <c r="G796" s="28"/>
      <c r="H796" s="28"/>
      <c r="I796" s="28"/>
    </row>
    <row r="797" spans="1:9" s="3" customFormat="1" ht="22.5" customHeight="1" x14ac:dyDescent="0.25">
      <c r="A797" s="26"/>
      <c r="B797" s="27"/>
      <c r="C797" s="28"/>
      <c r="D797" s="28"/>
      <c r="E797" s="28"/>
      <c r="F797" s="28"/>
      <c r="G797" s="28"/>
      <c r="H797" s="28"/>
      <c r="I797" s="28"/>
    </row>
    <row r="798" spans="1:9" s="3" customFormat="1" ht="22.5" customHeight="1" x14ac:dyDescent="0.25">
      <c r="A798" s="26"/>
      <c r="B798" s="27"/>
      <c r="C798" s="28"/>
      <c r="D798" s="28"/>
      <c r="E798" s="28"/>
      <c r="F798" s="28"/>
      <c r="G798" s="28"/>
      <c r="H798" s="28"/>
      <c r="I798" s="28"/>
    </row>
    <row r="799" spans="1:9" s="3" customFormat="1" ht="22.5" customHeight="1" x14ac:dyDescent="0.25">
      <c r="A799" s="26"/>
      <c r="B799" s="27"/>
      <c r="C799" s="28"/>
      <c r="D799" s="28"/>
      <c r="E799" s="28"/>
      <c r="F799" s="28"/>
      <c r="G799" s="28"/>
      <c r="H799" s="28"/>
      <c r="I799" s="28"/>
    </row>
    <row r="800" spans="1:9" s="3" customFormat="1" ht="22.5" customHeight="1" x14ac:dyDescent="0.25">
      <c r="A800" s="26"/>
      <c r="B800" s="27"/>
      <c r="C800" s="28"/>
      <c r="D800" s="28"/>
      <c r="E800" s="28"/>
      <c r="F800" s="28"/>
      <c r="G800" s="28"/>
      <c r="H800" s="28"/>
      <c r="I800" s="28"/>
    </row>
    <row r="801" spans="1:9" s="3" customFormat="1" ht="22.5" customHeight="1" x14ac:dyDescent="0.25">
      <c r="A801" s="26"/>
      <c r="B801" s="27"/>
      <c r="C801" s="28"/>
      <c r="D801" s="28"/>
      <c r="E801" s="28"/>
      <c r="F801" s="28"/>
      <c r="G801" s="28"/>
      <c r="H801" s="28"/>
      <c r="I801" s="28"/>
    </row>
    <row r="802" spans="1:9" s="3" customFormat="1" ht="22.5" customHeight="1" x14ac:dyDescent="0.25">
      <c r="A802" s="26"/>
      <c r="B802" s="27"/>
      <c r="C802" s="28"/>
      <c r="D802" s="28"/>
      <c r="E802" s="28"/>
      <c r="F802" s="28"/>
      <c r="G802" s="28"/>
      <c r="H802" s="28"/>
      <c r="I802" s="28"/>
    </row>
    <row r="803" spans="1:9" s="3" customFormat="1" ht="22.5" customHeight="1" x14ac:dyDescent="0.25">
      <c r="A803" s="26"/>
      <c r="B803" s="27"/>
      <c r="C803" s="28"/>
      <c r="D803" s="28"/>
      <c r="E803" s="28"/>
      <c r="F803" s="28"/>
      <c r="G803" s="28"/>
      <c r="H803" s="28"/>
      <c r="I803" s="28"/>
    </row>
    <row r="804" spans="1:9" s="3" customFormat="1" ht="22.5" customHeight="1" x14ac:dyDescent="0.25">
      <c r="A804" s="26"/>
      <c r="B804" s="27"/>
      <c r="C804" s="28"/>
      <c r="D804" s="28"/>
      <c r="E804" s="28"/>
      <c r="F804" s="28"/>
      <c r="G804" s="28"/>
      <c r="H804" s="28"/>
      <c r="I804" s="28"/>
    </row>
    <row r="805" spans="1:9" s="3" customFormat="1" ht="22.5" customHeight="1" x14ac:dyDescent="0.25">
      <c r="A805" s="26"/>
      <c r="B805" s="27"/>
      <c r="C805" s="28"/>
      <c r="D805" s="28"/>
      <c r="E805" s="28"/>
      <c r="F805" s="28"/>
      <c r="G805" s="28"/>
      <c r="H805" s="28"/>
      <c r="I805" s="28"/>
    </row>
    <row r="806" spans="1:9" s="3" customFormat="1" ht="22.5" customHeight="1" x14ac:dyDescent="0.25">
      <c r="A806" s="26"/>
      <c r="B806" s="27"/>
      <c r="C806" s="28"/>
      <c r="D806" s="28"/>
      <c r="E806" s="28"/>
      <c r="F806" s="28"/>
      <c r="G806" s="28"/>
      <c r="H806" s="28"/>
      <c r="I806" s="28"/>
    </row>
    <row r="807" spans="1:9" s="3" customFormat="1" ht="22.5" customHeight="1" x14ac:dyDescent="0.25">
      <c r="A807" s="26"/>
      <c r="B807" s="27"/>
      <c r="C807" s="28"/>
      <c r="D807" s="28"/>
      <c r="E807" s="28"/>
      <c r="F807" s="28"/>
      <c r="G807" s="28"/>
      <c r="H807" s="28"/>
      <c r="I807" s="28"/>
    </row>
    <row r="808" spans="1:9" s="3" customFormat="1" ht="22.5" customHeight="1" x14ac:dyDescent="0.25">
      <c r="A808" s="26"/>
      <c r="B808" s="27"/>
      <c r="C808" s="28"/>
      <c r="D808" s="28"/>
      <c r="E808" s="28"/>
      <c r="F808" s="28"/>
      <c r="G808" s="28"/>
      <c r="H808" s="28"/>
      <c r="I808" s="28"/>
    </row>
    <row r="809" spans="1:9" s="3" customFormat="1" ht="22.5" customHeight="1" x14ac:dyDescent="0.25">
      <c r="A809" s="26"/>
      <c r="B809" s="27"/>
      <c r="C809" s="28"/>
      <c r="D809" s="28"/>
      <c r="E809" s="28"/>
      <c r="F809" s="28"/>
      <c r="G809" s="28"/>
      <c r="H809" s="28"/>
      <c r="I809" s="28"/>
    </row>
    <row r="810" spans="1:9" s="3" customFormat="1" ht="22.5" customHeight="1" x14ac:dyDescent="0.25">
      <c r="A810" s="26"/>
      <c r="B810" s="27"/>
      <c r="C810" s="28"/>
      <c r="D810" s="28"/>
      <c r="E810" s="28"/>
      <c r="F810" s="28"/>
      <c r="G810" s="28"/>
      <c r="H810" s="28"/>
      <c r="I810" s="28"/>
    </row>
    <row r="811" spans="1:9" s="3" customFormat="1" ht="22.5" customHeight="1" x14ac:dyDescent="0.25">
      <c r="A811" s="26"/>
      <c r="B811" s="27"/>
      <c r="C811" s="28"/>
      <c r="D811" s="28"/>
      <c r="E811" s="28"/>
      <c r="F811" s="28"/>
      <c r="G811" s="28"/>
      <c r="H811" s="28"/>
      <c r="I811" s="28"/>
    </row>
    <row r="812" spans="1:9" s="3" customFormat="1" ht="22.5" customHeight="1" x14ac:dyDescent="0.25">
      <c r="A812" s="26"/>
      <c r="B812" s="27"/>
      <c r="C812" s="28"/>
      <c r="D812" s="28"/>
      <c r="E812" s="28"/>
      <c r="F812" s="28"/>
      <c r="G812" s="28"/>
      <c r="H812" s="28"/>
      <c r="I812" s="28"/>
    </row>
    <row r="813" spans="1:9" s="3" customFormat="1" ht="22.5" customHeight="1" x14ac:dyDescent="0.25">
      <c r="A813" s="26"/>
      <c r="B813" s="27"/>
      <c r="C813" s="28"/>
      <c r="D813" s="28"/>
      <c r="E813" s="28"/>
      <c r="F813" s="28"/>
      <c r="G813" s="28"/>
      <c r="H813" s="28"/>
      <c r="I813" s="28"/>
    </row>
    <row r="814" spans="1:9" s="3" customFormat="1" ht="22.5" customHeight="1" x14ac:dyDescent="0.25">
      <c r="A814" s="26"/>
      <c r="B814" s="27"/>
      <c r="C814" s="28"/>
      <c r="D814" s="28"/>
      <c r="E814" s="28"/>
      <c r="F814" s="28"/>
      <c r="G814" s="28"/>
      <c r="H814" s="28"/>
      <c r="I814" s="28"/>
    </row>
    <row r="815" spans="1:9" s="3" customFormat="1" ht="22.5" customHeight="1" x14ac:dyDescent="0.25">
      <c r="A815" s="26"/>
      <c r="B815" s="27"/>
      <c r="C815" s="28"/>
      <c r="D815" s="28"/>
      <c r="E815" s="28"/>
      <c r="F815" s="28"/>
      <c r="G815" s="28"/>
      <c r="H815" s="28"/>
      <c r="I815" s="28"/>
    </row>
    <row r="816" spans="1:9" s="3" customFormat="1" ht="22.5" customHeight="1" x14ac:dyDescent="0.25">
      <c r="A816" s="26"/>
      <c r="B816" s="27"/>
      <c r="C816" s="28"/>
      <c r="D816" s="28"/>
      <c r="E816" s="28"/>
      <c r="F816" s="28"/>
      <c r="G816" s="28"/>
      <c r="H816" s="28"/>
      <c r="I816" s="28"/>
    </row>
    <row r="817" spans="1:9" s="3" customFormat="1" ht="22.5" customHeight="1" x14ac:dyDescent="0.25">
      <c r="A817" s="26"/>
      <c r="B817" s="27"/>
      <c r="C817" s="28"/>
      <c r="D817" s="28"/>
      <c r="E817" s="28"/>
      <c r="F817" s="28"/>
      <c r="G817" s="28"/>
      <c r="H817" s="28"/>
      <c r="I817" s="28"/>
    </row>
    <row r="818" spans="1:9" s="3" customFormat="1" ht="22.5" customHeight="1" x14ac:dyDescent="0.25">
      <c r="A818" s="26"/>
      <c r="B818" s="27"/>
      <c r="C818" s="28"/>
      <c r="D818" s="28"/>
      <c r="E818" s="28"/>
      <c r="F818" s="28"/>
      <c r="G818" s="28"/>
      <c r="H818" s="28"/>
      <c r="I818" s="28"/>
    </row>
    <row r="819" spans="1:9" s="3" customFormat="1" ht="22.5" customHeight="1" x14ac:dyDescent="0.25">
      <c r="A819" s="26"/>
      <c r="B819" s="27"/>
      <c r="C819" s="28"/>
      <c r="D819" s="28"/>
      <c r="E819" s="28"/>
      <c r="F819" s="28"/>
      <c r="G819" s="28"/>
      <c r="H819" s="28"/>
      <c r="I819" s="28"/>
    </row>
    <row r="820" spans="1:9" s="3" customFormat="1" ht="22.5" customHeight="1" x14ac:dyDescent="0.25">
      <c r="A820" s="26"/>
      <c r="B820" s="27"/>
      <c r="C820" s="28"/>
      <c r="D820" s="28"/>
      <c r="E820" s="28"/>
      <c r="F820" s="28"/>
      <c r="G820" s="28"/>
      <c r="H820" s="28"/>
      <c r="I820" s="28"/>
    </row>
    <row r="821" spans="1:9" s="3" customFormat="1" ht="22.5" customHeight="1" x14ac:dyDescent="0.25">
      <c r="A821" s="26"/>
      <c r="B821" s="27"/>
      <c r="C821" s="28"/>
      <c r="D821" s="28"/>
      <c r="E821" s="28"/>
      <c r="F821" s="28"/>
      <c r="G821" s="28"/>
      <c r="H821" s="28"/>
      <c r="I821" s="28"/>
    </row>
    <row r="822" spans="1:9" s="3" customFormat="1" ht="22.5" customHeight="1" x14ac:dyDescent="0.25">
      <c r="A822" s="26"/>
      <c r="B822" s="27"/>
      <c r="C822" s="28"/>
      <c r="D822" s="28"/>
      <c r="E822" s="28"/>
      <c r="F822" s="28"/>
      <c r="G822" s="28"/>
      <c r="H822" s="28"/>
      <c r="I822" s="28"/>
    </row>
    <row r="823" spans="1:9" s="3" customFormat="1" ht="22.5" customHeight="1" x14ac:dyDescent="0.25">
      <c r="A823" s="26"/>
      <c r="B823" s="27"/>
      <c r="C823" s="28"/>
      <c r="D823" s="28"/>
      <c r="E823" s="28"/>
      <c r="F823" s="28"/>
      <c r="G823" s="28"/>
      <c r="H823" s="28"/>
      <c r="I823" s="28"/>
    </row>
    <row r="824" spans="1:9" s="3" customFormat="1" ht="22.5" customHeight="1" x14ac:dyDescent="0.25">
      <c r="A824" s="26"/>
      <c r="B824" s="27"/>
      <c r="C824" s="28"/>
      <c r="D824" s="28"/>
      <c r="E824" s="28"/>
      <c r="F824" s="28"/>
      <c r="G824" s="28"/>
      <c r="H824" s="28"/>
      <c r="I824" s="28"/>
    </row>
    <row r="825" spans="1:9" s="3" customFormat="1" ht="22.5" customHeight="1" x14ac:dyDescent="0.25">
      <c r="A825" s="26"/>
      <c r="B825" s="27"/>
      <c r="C825" s="28"/>
      <c r="D825" s="28"/>
      <c r="E825" s="28"/>
      <c r="F825" s="28"/>
      <c r="G825" s="28"/>
      <c r="H825" s="28"/>
      <c r="I825" s="28"/>
    </row>
    <row r="826" spans="1:9" s="3" customFormat="1" ht="22.5" customHeight="1" x14ac:dyDescent="0.25">
      <c r="A826" s="26"/>
      <c r="B826" s="27"/>
      <c r="C826" s="28"/>
      <c r="D826" s="28"/>
      <c r="E826" s="28"/>
      <c r="F826" s="28"/>
      <c r="G826" s="28"/>
      <c r="H826" s="28"/>
      <c r="I826" s="28"/>
    </row>
    <row r="827" spans="1:9" s="3" customFormat="1" ht="22.5" customHeight="1" x14ac:dyDescent="0.25">
      <c r="A827" s="26"/>
      <c r="B827" s="27"/>
      <c r="C827" s="28"/>
      <c r="D827" s="28"/>
      <c r="E827" s="28"/>
      <c r="F827" s="28"/>
      <c r="G827" s="28"/>
      <c r="H827" s="28"/>
      <c r="I827" s="28"/>
    </row>
    <row r="828" spans="1:9" s="3" customFormat="1" ht="22.5" customHeight="1" x14ac:dyDescent="0.25">
      <c r="A828" s="26"/>
      <c r="B828" s="27"/>
      <c r="C828" s="28"/>
      <c r="D828" s="28"/>
      <c r="E828" s="28"/>
      <c r="F828" s="28"/>
      <c r="G828" s="28"/>
      <c r="H828" s="28"/>
      <c r="I828" s="28"/>
    </row>
    <row r="829" spans="1:9" s="3" customFormat="1" ht="22.5" customHeight="1" x14ac:dyDescent="0.25">
      <c r="A829" s="26"/>
      <c r="B829" s="27"/>
      <c r="C829" s="28"/>
      <c r="D829" s="28"/>
      <c r="E829" s="28"/>
      <c r="F829" s="28"/>
      <c r="G829" s="28"/>
      <c r="H829" s="28"/>
      <c r="I829" s="28"/>
    </row>
    <row r="830" spans="1:9" s="3" customFormat="1" ht="22.5" customHeight="1" x14ac:dyDescent="0.25">
      <c r="A830" s="26"/>
      <c r="B830" s="27"/>
      <c r="C830" s="28"/>
      <c r="D830" s="28"/>
      <c r="E830" s="28"/>
      <c r="F830" s="28"/>
      <c r="G830" s="28"/>
      <c r="H830" s="28"/>
      <c r="I830" s="28"/>
    </row>
    <row r="831" spans="1:9" s="3" customFormat="1" ht="22.5" customHeight="1" x14ac:dyDescent="0.25">
      <c r="A831" s="26"/>
      <c r="B831" s="27"/>
      <c r="C831" s="28"/>
      <c r="D831" s="28"/>
      <c r="E831" s="28"/>
      <c r="F831" s="28"/>
      <c r="G831" s="28"/>
      <c r="H831" s="28"/>
      <c r="I831" s="28"/>
    </row>
    <row r="832" spans="1:9" s="3" customFormat="1" ht="22.5" customHeight="1" x14ac:dyDescent="0.25">
      <c r="A832" s="26"/>
      <c r="B832" s="27"/>
      <c r="C832" s="28"/>
      <c r="D832" s="28"/>
      <c r="E832" s="28"/>
      <c r="F832" s="28"/>
      <c r="G832" s="28"/>
      <c r="H832" s="28"/>
      <c r="I832" s="28"/>
    </row>
    <row r="833" spans="1:9" s="3" customFormat="1" ht="22.5" customHeight="1" x14ac:dyDescent="0.25">
      <c r="A833" s="26"/>
      <c r="B833" s="27"/>
      <c r="C833" s="28"/>
      <c r="D833" s="28"/>
      <c r="E833" s="28"/>
      <c r="F833" s="28"/>
      <c r="G833" s="28"/>
      <c r="H833" s="28"/>
      <c r="I833" s="28"/>
    </row>
    <row r="834" spans="1:9" s="3" customFormat="1" ht="22.5" customHeight="1" x14ac:dyDescent="0.25">
      <c r="A834" s="26"/>
      <c r="B834" s="27"/>
      <c r="C834" s="28"/>
      <c r="D834" s="28"/>
      <c r="E834" s="28"/>
      <c r="F834" s="28"/>
      <c r="G834" s="28"/>
      <c r="H834" s="28"/>
      <c r="I834" s="28"/>
    </row>
    <row r="835" spans="1:9" s="3" customFormat="1" ht="22.5" customHeight="1" x14ac:dyDescent="0.25">
      <c r="A835" s="26"/>
      <c r="B835" s="27"/>
      <c r="C835" s="28"/>
      <c r="D835" s="28"/>
      <c r="E835" s="28"/>
      <c r="F835" s="28"/>
      <c r="G835" s="28"/>
      <c r="H835" s="28"/>
      <c r="I835" s="28"/>
    </row>
    <row r="836" spans="1:9" s="3" customFormat="1" ht="22.5" customHeight="1" x14ac:dyDescent="0.25">
      <c r="A836" s="26"/>
      <c r="B836" s="27"/>
      <c r="C836" s="28"/>
      <c r="D836" s="28"/>
      <c r="E836" s="28"/>
      <c r="F836" s="28"/>
      <c r="G836" s="28"/>
      <c r="H836" s="28"/>
      <c r="I836" s="28"/>
    </row>
    <row r="837" spans="1:9" s="3" customFormat="1" ht="22.5" customHeight="1" x14ac:dyDescent="0.25">
      <c r="A837" s="26"/>
      <c r="B837" s="27"/>
      <c r="C837" s="28"/>
      <c r="D837" s="28"/>
      <c r="E837" s="28"/>
      <c r="F837" s="28"/>
      <c r="G837" s="28"/>
      <c r="H837" s="28"/>
      <c r="I837" s="28"/>
    </row>
    <row r="838" spans="1:9" s="3" customFormat="1" ht="22.5" customHeight="1" x14ac:dyDescent="0.25">
      <c r="A838" s="26"/>
      <c r="B838" s="27"/>
      <c r="C838" s="28"/>
      <c r="D838" s="28"/>
      <c r="E838" s="28"/>
      <c r="F838" s="28"/>
      <c r="G838" s="28"/>
      <c r="H838" s="28"/>
      <c r="I838" s="28"/>
    </row>
    <row r="839" spans="1:9" s="3" customFormat="1" ht="22.5" customHeight="1" x14ac:dyDescent="0.25">
      <c r="A839" s="26"/>
      <c r="B839" s="27"/>
      <c r="C839" s="28"/>
      <c r="D839" s="28"/>
      <c r="E839" s="28"/>
      <c r="F839" s="28"/>
      <c r="G839" s="28"/>
      <c r="H839" s="28"/>
      <c r="I839" s="28"/>
    </row>
    <row r="840" spans="1:9" s="3" customFormat="1" ht="22.5" customHeight="1" x14ac:dyDescent="0.25">
      <c r="A840" s="26"/>
      <c r="B840" s="27"/>
      <c r="C840" s="28"/>
      <c r="D840" s="28"/>
      <c r="E840" s="28"/>
      <c r="F840" s="28"/>
      <c r="G840" s="28"/>
      <c r="H840" s="28"/>
      <c r="I840" s="28"/>
    </row>
    <row r="841" spans="1:9" s="3" customFormat="1" ht="22.5" customHeight="1" x14ac:dyDescent="0.25">
      <c r="A841" s="26"/>
      <c r="B841" s="27"/>
      <c r="C841" s="28"/>
      <c r="D841" s="28"/>
      <c r="E841" s="28"/>
      <c r="F841" s="28"/>
      <c r="G841" s="28"/>
      <c r="H841" s="28"/>
      <c r="I841" s="28"/>
    </row>
    <row r="842" spans="1:9" s="3" customFormat="1" ht="22.5" customHeight="1" x14ac:dyDescent="0.25">
      <c r="A842" s="26"/>
      <c r="B842" s="27"/>
      <c r="C842" s="28"/>
      <c r="D842" s="28"/>
      <c r="E842" s="28"/>
      <c r="F842" s="28"/>
      <c r="G842" s="28"/>
      <c r="H842" s="28"/>
      <c r="I842" s="28"/>
    </row>
    <row r="843" spans="1:9" s="3" customFormat="1" ht="22.5" customHeight="1" x14ac:dyDescent="0.25">
      <c r="A843" s="26"/>
      <c r="B843" s="27"/>
      <c r="C843" s="28"/>
      <c r="D843" s="28"/>
      <c r="E843" s="28"/>
      <c r="F843" s="28"/>
      <c r="G843" s="28"/>
      <c r="H843" s="28"/>
      <c r="I843" s="28"/>
    </row>
    <row r="844" spans="1:9" s="3" customFormat="1" ht="22.5" customHeight="1" x14ac:dyDescent="0.25">
      <c r="A844" s="26"/>
      <c r="B844" s="27"/>
      <c r="C844" s="28"/>
      <c r="D844" s="28"/>
      <c r="E844" s="28"/>
      <c r="F844" s="28"/>
      <c r="G844" s="28"/>
      <c r="H844" s="28"/>
      <c r="I844" s="28"/>
    </row>
    <row r="845" spans="1:9" s="3" customFormat="1" ht="22.5" customHeight="1" x14ac:dyDescent="0.25">
      <c r="A845" s="26"/>
      <c r="B845" s="27"/>
      <c r="C845" s="28"/>
      <c r="D845" s="28"/>
      <c r="E845" s="28"/>
      <c r="F845" s="28"/>
      <c r="G845" s="28"/>
      <c r="H845" s="28"/>
      <c r="I845" s="28"/>
    </row>
    <row r="846" spans="1:9" s="3" customFormat="1" ht="22.5" customHeight="1" x14ac:dyDescent="0.25">
      <c r="A846" s="26"/>
      <c r="B846" s="27"/>
      <c r="C846" s="28"/>
      <c r="D846" s="28"/>
      <c r="E846" s="28"/>
      <c r="F846" s="28"/>
      <c r="G846" s="28"/>
      <c r="H846" s="28"/>
      <c r="I846" s="28"/>
    </row>
    <row r="847" spans="1:9" s="3" customFormat="1" ht="22.5" customHeight="1" x14ac:dyDescent="0.25">
      <c r="A847" s="26"/>
      <c r="B847" s="27"/>
      <c r="C847" s="28"/>
      <c r="D847" s="28"/>
      <c r="E847" s="28"/>
      <c r="F847" s="28"/>
      <c r="G847" s="28"/>
      <c r="H847" s="28"/>
      <c r="I847" s="28"/>
    </row>
    <row r="848" spans="1:9" s="3" customFormat="1" ht="22.5" customHeight="1" x14ac:dyDescent="0.25">
      <c r="A848" s="26"/>
      <c r="B848" s="27"/>
      <c r="C848" s="28"/>
      <c r="D848" s="28"/>
      <c r="E848" s="28"/>
      <c r="F848" s="28"/>
      <c r="G848" s="28"/>
      <c r="H848" s="28"/>
      <c r="I848" s="28"/>
    </row>
    <row r="849" spans="1:9" s="3" customFormat="1" ht="22.5" customHeight="1" x14ac:dyDescent="0.25">
      <c r="A849" s="26"/>
      <c r="B849" s="27"/>
      <c r="C849" s="28"/>
      <c r="D849" s="28"/>
      <c r="E849" s="28"/>
      <c r="F849" s="28"/>
      <c r="G849" s="28"/>
      <c r="H849" s="28"/>
      <c r="I849" s="28"/>
    </row>
    <row r="850" spans="1:9" s="3" customFormat="1" ht="22.5" customHeight="1" x14ac:dyDescent="0.25">
      <c r="A850" s="26"/>
      <c r="B850" s="27"/>
      <c r="C850" s="28"/>
      <c r="D850" s="28"/>
      <c r="E850" s="28"/>
      <c r="F850" s="28"/>
      <c r="G850" s="28"/>
      <c r="H850" s="28"/>
      <c r="I850" s="28"/>
    </row>
    <row r="851" spans="1:9" s="3" customFormat="1" ht="22.5" customHeight="1" x14ac:dyDescent="0.25">
      <c r="A851" s="26"/>
      <c r="B851" s="27"/>
      <c r="C851" s="28"/>
      <c r="D851" s="28"/>
      <c r="E851" s="28"/>
      <c r="F851" s="28"/>
      <c r="G851" s="28"/>
      <c r="H851" s="28"/>
      <c r="I851" s="28"/>
    </row>
    <row r="852" spans="1:9" s="3" customFormat="1" ht="22.5" customHeight="1" x14ac:dyDescent="0.25">
      <c r="A852" s="26"/>
      <c r="B852" s="27"/>
      <c r="C852" s="28"/>
      <c r="D852" s="28"/>
      <c r="E852" s="28"/>
      <c r="F852" s="28"/>
      <c r="G852" s="28"/>
      <c r="H852" s="28"/>
      <c r="I852" s="28"/>
    </row>
    <row r="853" spans="1:9" s="3" customFormat="1" ht="22.5" customHeight="1" x14ac:dyDescent="0.25">
      <c r="A853" s="26"/>
      <c r="B853" s="27"/>
      <c r="C853" s="28"/>
      <c r="D853" s="28"/>
      <c r="E853" s="28"/>
      <c r="F853" s="28"/>
      <c r="G853" s="28"/>
      <c r="H853" s="28"/>
      <c r="I853" s="28"/>
    </row>
    <row r="854" spans="1:9" s="3" customFormat="1" ht="22.5" customHeight="1" x14ac:dyDescent="0.25">
      <c r="A854" s="26"/>
      <c r="B854" s="27"/>
      <c r="C854" s="28"/>
      <c r="D854" s="28"/>
      <c r="E854" s="28"/>
      <c r="F854" s="28"/>
      <c r="G854" s="28"/>
      <c r="H854" s="28"/>
      <c r="I854" s="28"/>
    </row>
    <row r="855" spans="1:9" s="3" customFormat="1" ht="22.5" customHeight="1" x14ac:dyDescent="0.25">
      <c r="A855" s="26"/>
      <c r="B855" s="27"/>
      <c r="C855" s="28"/>
      <c r="D855" s="28"/>
      <c r="E855" s="28"/>
      <c r="F855" s="28"/>
      <c r="G855" s="28"/>
      <c r="H855" s="28"/>
      <c r="I855" s="28"/>
    </row>
    <row r="856" spans="1:9" s="3" customFormat="1" ht="22.5" customHeight="1" x14ac:dyDescent="0.25">
      <c r="A856" s="26"/>
      <c r="B856" s="27"/>
      <c r="C856" s="28"/>
      <c r="D856" s="28"/>
      <c r="E856" s="28"/>
      <c r="F856" s="28"/>
      <c r="G856" s="28"/>
      <c r="H856" s="28"/>
      <c r="I856" s="28"/>
    </row>
    <row r="857" spans="1:9" s="3" customFormat="1" ht="22.5" customHeight="1" x14ac:dyDescent="0.25">
      <c r="A857" s="26"/>
      <c r="B857" s="27"/>
      <c r="C857" s="28"/>
      <c r="D857" s="28"/>
      <c r="E857" s="28"/>
      <c r="F857" s="28"/>
      <c r="G857" s="28"/>
      <c r="H857" s="28"/>
      <c r="I857" s="28"/>
    </row>
    <row r="858" spans="1:9" s="3" customFormat="1" ht="22.5" customHeight="1" x14ac:dyDescent="0.25">
      <c r="A858" s="26"/>
      <c r="B858" s="27"/>
      <c r="C858" s="28"/>
      <c r="D858" s="28"/>
      <c r="E858" s="28"/>
      <c r="F858" s="28"/>
      <c r="G858" s="28"/>
      <c r="H858" s="28"/>
      <c r="I858" s="28"/>
    </row>
    <row r="859" spans="1:9" s="3" customFormat="1" ht="22.5" customHeight="1" x14ac:dyDescent="0.25">
      <c r="A859" s="26"/>
      <c r="B859" s="27"/>
      <c r="C859" s="28"/>
      <c r="D859" s="28"/>
      <c r="E859" s="28"/>
      <c r="F859" s="28"/>
      <c r="G859" s="28"/>
      <c r="H859" s="28"/>
      <c r="I859" s="28"/>
    </row>
    <row r="860" spans="1:9" s="3" customFormat="1" ht="22.5" customHeight="1" x14ac:dyDescent="0.25">
      <c r="A860" s="26"/>
      <c r="B860" s="27"/>
      <c r="C860" s="28"/>
      <c r="D860" s="28"/>
      <c r="E860" s="28"/>
      <c r="F860" s="28"/>
      <c r="G860" s="28"/>
      <c r="H860" s="28"/>
      <c r="I860" s="28"/>
    </row>
    <row r="861" spans="1:9" s="3" customFormat="1" ht="22.5" customHeight="1" x14ac:dyDescent="0.25">
      <c r="A861" s="26"/>
      <c r="B861" s="27"/>
      <c r="C861" s="28"/>
      <c r="D861" s="28"/>
      <c r="E861" s="28"/>
      <c r="F861" s="28"/>
      <c r="G861" s="28"/>
      <c r="H861" s="28"/>
      <c r="I861" s="28"/>
    </row>
    <row r="862" spans="1:9" s="3" customFormat="1" ht="22.5" customHeight="1" x14ac:dyDescent="0.25">
      <c r="A862" s="26"/>
      <c r="B862" s="27"/>
      <c r="C862" s="28"/>
      <c r="D862" s="28"/>
      <c r="E862" s="28"/>
      <c r="F862" s="28"/>
      <c r="G862" s="28"/>
      <c r="H862" s="28"/>
      <c r="I862" s="28"/>
    </row>
    <row r="863" spans="1:9" s="3" customFormat="1" ht="22.5" customHeight="1" x14ac:dyDescent="0.25">
      <c r="A863" s="26"/>
      <c r="B863" s="27"/>
      <c r="C863" s="28"/>
      <c r="D863" s="28"/>
      <c r="E863" s="28"/>
      <c r="F863" s="28"/>
      <c r="G863" s="28"/>
      <c r="H863" s="28"/>
      <c r="I863" s="28"/>
    </row>
    <row r="864" spans="1:9" s="3" customFormat="1" ht="22.5" customHeight="1" x14ac:dyDescent="0.25">
      <c r="A864" s="26"/>
      <c r="B864" s="27"/>
      <c r="C864" s="28"/>
      <c r="D864" s="28"/>
      <c r="E864" s="28"/>
      <c r="F864" s="28"/>
      <c r="G864" s="28"/>
      <c r="H864" s="28"/>
      <c r="I864" s="28"/>
    </row>
    <row r="865" spans="1:9" s="3" customFormat="1" ht="22.5" customHeight="1" x14ac:dyDescent="0.25">
      <c r="A865" s="26"/>
      <c r="B865" s="27"/>
      <c r="C865" s="28"/>
      <c r="D865" s="28"/>
      <c r="E865" s="28"/>
      <c r="F865" s="28"/>
      <c r="G865" s="28"/>
      <c r="H865" s="28"/>
      <c r="I865" s="28"/>
    </row>
    <row r="866" spans="1:9" s="3" customFormat="1" ht="22.5" customHeight="1" x14ac:dyDescent="0.25">
      <c r="A866" s="26"/>
      <c r="B866" s="27"/>
      <c r="C866" s="28"/>
      <c r="D866" s="28"/>
      <c r="E866" s="28"/>
      <c r="F866" s="28"/>
      <c r="G866" s="28"/>
      <c r="H866" s="28"/>
      <c r="I866" s="28"/>
    </row>
    <row r="867" spans="1:9" s="3" customFormat="1" ht="22.5" customHeight="1" x14ac:dyDescent="0.25">
      <c r="A867" s="26"/>
      <c r="B867" s="27"/>
      <c r="C867" s="28"/>
      <c r="D867" s="28"/>
      <c r="E867" s="28"/>
      <c r="F867" s="28"/>
      <c r="G867" s="28"/>
      <c r="H867" s="28"/>
      <c r="I867" s="28"/>
    </row>
    <row r="868" spans="1:9" s="3" customFormat="1" ht="22.5" customHeight="1" x14ac:dyDescent="0.25">
      <c r="A868" s="26"/>
      <c r="B868" s="27"/>
      <c r="C868" s="28"/>
      <c r="D868" s="28"/>
      <c r="E868" s="28"/>
      <c r="F868" s="28"/>
      <c r="G868" s="28"/>
      <c r="H868" s="28"/>
      <c r="I868" s="28"/>
    </row>
    <row r="869" spans="1:9" s="3" customFormat="1" ht="22.5" customHeight="1" x14ac:dyDescent="0.25">
      <c r="A869" s="26"/>
      <c r="B869" s="27"/>
      <c r="C869" s="28"/>
      <c r="D869" s="28"/>
      <c r="E869" s="28"/>
      <c r="F869" s="28"/>
      <c r="G869" s="28"/>
      <c r="H869" s="28"/>
      <c r="I869" s="28"/>
    </row>
    <row r="870" spans="1:9" s="3" customFormat="1" ht="22.5" customHeight="1" x14ac:dyDescent="0.25">
      <c r="A870" s="26"/>
      <c r="B870" s="27"/>
      <c r="C870" s="28"/>
      <c r="D870" s="28"/>
      <c r="E870" s="28"/>
      <c r="F870" s="28"/>
      <c r="G870" s="28"/>
      <c r="H870" s="28"/>
      <c r="I870" s="28"/>
    </row>
    <row r="871" spans="1:9" s="3" customFormat="1" ht="22.5" customHeight="1" x14ac:dyDescent="0.25">
      <c r="A871" s="26"/>
      <c r="B871" s="27"/>
      <c r="C871" s="28"/>
      <c r="D871" s="28"/>
      <c r="E871" s="28"/>
      <c r="F871" s="28"/>
      <c r="G871" s="28"/>
      <c r="H871" s="28"/>
      <c r="I871" s="28"/>
    </row>
    <row r="872" spans="1:9" s="3" customFormat="1" ht="22.5" customHeight="1" x14ac:dyDescent="0.25">
      <c r="A872" s="26"/>
      <c r="B872" s="27"/>
      <c r="C872" s="28"/>
      <c r="D872" s="28"/>
      <c r="E872" s="28"/>
      <c r="F872" s="28"/>
      <c r="G872" s="28"/>
      <c r="H872" s="28"/>
      <c r="I872" s="28"/>
    </row>
    <row r="873" spans="1:9" s="3" customFormat="1" ht="22.5" customHeight="1" x14ac:dyDescent="0.25">
      <c r="A873" s="26"/>
      <c r="B873" s="27"/>
      <c r="C873" s="28"/>
      <c r="D873" s="28"/>
      <c r="E873" s="28"/>
      <c r="F873" s="28"/>
      <c r="G873" s="28"/>
      <c r="H873" s="28"/>
      <c r="I873" s="28"/>
    </row>
    <row r="874" spans="1:9" s="3" customFormat="1" ht="22.5" customHeight="1" x14ac:dyDescent="0.25">
      <c r="A874" s="26"/>
      <c r="B874" s="27"/>
      <c r="C874" s="28"/>
      <c r="D874" s="28"/>
      <c r="E874" s="28"/>
      <c r="F874" s="28"/>
      <c r="G874" s="28"/>
      <c r="H874" s="28"/>
      <c r="I874" s="28"/>
    </row>
    <row r="875" spans="1:9" s="3" customFormat="1" ht="22.5" customHeight="1" x14ac:dyDescent="0.25">
      <c r="A875" s="26"/>
      <c r="B875" s="27"/>
      <c r="C875" s="28"/>
      <c r="D875" s="28"/>
      <c r="E875" s="28"/>
      <c r="F875" s="28"/>
      <c r="G875" s="28"/>
      <c r="H875" s="28"/>
      <c r="I875" s="28"/>
    </row>
    <row r="876" spans="1:9" s="3" customFormat="1" ht="22.5" customHeight="1" x14ac:dyDescent="0.25">
      <c r="A876" s="26"/>
      <c r="B876" s="27"/>
      <c r="C876" s="28"/>
      <c r="D876" s="28"/>
      <c r="E876" s="28"/>
      <c r="F876" s="28"/>
      <c r="G876" s="28"/>
      <c r="H876" s="28"/>
      <c r="I876" s="28"/>
    </row>
    <row r="877" spans="1:9" s="3" customFormat="1" ht="22.5" customHeight="1" x14ac:dyDescent="0.25">
      <c r="A877" s="26"/>
      <c r="B877" s="27"/>
      <c r="C877" s="28"/>
      <c r="D877" s="28"/>
      <c r="E877" s="28"/>
      <c r="F877" s="28"/>
      <c r="G877" s="28"/>
      <c r="H877" s="28"/>
      <c r="I877" s="28"/>
    </row>
    <row r="878" spans="1:9" s="3" customFormat="1" ht="22.5" customHeight="1" x14ac:dyDescent="0.25">
      <c r="A878" s="26"/>
      <c r="B878" s="27"/>
      <c r="C878" s="28"/>
      <c r="D878" s="28"/>
      <c r="E878" s="28"/>
      <c r="F878" s="28"/>
      <c r="G878" s="28"/>
      <c r="H878" s="28"/>
      <c r="I878" s="28"/>
    </row>
    <row r="879" spans="1:9" s="3" customFormat="1" ht="22.5" customHeight="1" x14ac:dyDescent="0.25">
      <c r="A879" s="26"/>
      <c r="B879" s="27"/>
      <c r="C879" s="28"/>
      <c r="D879" s="28"/>
      <c r="E879" s="28"/>
      <c r="F879" s="28"/>
      <c r="G879" s="28"/>
      <c r="H879" s="28"/>
      <c r="I879" s="28"/>
    </row>
    <row r="880" spans="1:9" s="3" customFormat="1" ht="22.5" customHeight="1" x14ac:dyDescent="0.25">
      <c r="A880" s="26"/>
      <c r="B880" s="27"/>
      <c r="C880" s="28"/>
      <c r="D880" s="28"/>
      <c r="E880" s="28"/>
      <c r="F880" s="28"/>
      <c r="G880" s="28"/>
      <c r="H880" s="28"/>
      <c r="I880" s="28"/>
    </row>
    <row r="881" spans="1:9" s="3" customFormat="1" ht="22.5" customHeight="1" x14ac:dyDescent="0.25">
      <c r="A881" s="26"/>
      <c r="B881" s="27"/>
      <c r="C881" s="28"/>
      <c r="D881" s="28"/>
      <c r="E881" s="28"/>
      <c r="F881" s="28"/>
      <c r="G881" s="28"/>
      <c r="H881" s="28"/>
      <c r="I881" s="28"/>
    </row>
    <row r="882" spans="1:9" s="3" customFormat="1" ht="22.5" customHeight="1" x14ac:dyDescent="0.25">
      <c r="A882" s="26"/>
      <c r="B882" s="27"/>
      <c r="C882" s="28"/>
      <c r="D882" s="28"/>
      <c r="E882" s="28"/>
      <c r="F882" s="28"/>
      <c r="G882" s="28"/>
      <c r="H882" s="28"/>
      <c r="I882" s="28"/>
    </row>
    <row r="883" spans="1:9" s="3" customFormat="1" ht="22.5" customHeight="1" x14ac:dyDescent="0.25">
      <c r="A883" s="26"/>
      <c r="B883" s="27"/>
      <c r="C883" s="28"/>
      <c r="D883" s="28"/>
      <c r="E883" s="28"/>
      <c r="F883" s="28"/>
      <c r="G883" s="28"/>
      <c r="H883" s="28"/>
      <c r="I883" s="28"/>
    </row>
    <row r="884" spans="1:9" s="3" customFormat="1" ht="22.5" customHeight="1" x14ac:dyDescent="0.25">
      <c r="A884" s="26"/>
      <c r="B884" s="27"/>
      <c r="C884" s="28"/>
      <c r="D884" s="28"/>
      <c r="E884" s="28"/>
      <c r="F884" s="28"/>
      <c r="G884" s="28"/>
      <c r="H884" s="28"/>
      <c r="I884" s="28"/>
    </row>
    <row r="885" spans="1:9" s="3" customFormat="1" ht="22.5" customHeight="1" x14ac:dyDescent="0.25">
      <c r="A885" s="26"/>
      <c r="B885" s="27"/>
      <c r="C885" s="28"/>
      <c r="D885" s="28"/>
      <c r="E885" s="28"/>
      <c r="F885" s="28"/>
      <c r="G885" s="28"/>
      <c r="H885" s="28"/>
      <c r="I885" s="28"/>
    </row>
    <row r="886" spans="1:9" s="3" customFormat="1" ht="22.5" customHeight="1" x14ac:dyDescent="0.25">
      <c r="A886" s="26"/>
      <c r="B886" s="27"/>
      <c r="C886" s="28"/>
      <c r="D886" s="28"/>
      <c r="E886" s="28"/>
      <c r="F886" s="28"/>
      <c r="G886" s="28"/>
      <c r="H886" s="28"/>
      <c r="I886" s="28"/>
    </row>
    <row r="887" spans="1:9" s="3" customFormat="1" ht="22.5" customHeight="1" x14ac:dyDescent="0.25">
      <c r="A887" s="26"/>
      <c r="B887" s="27"/>
      <c r="C887" s="28"/>
      <c r="D887" s="28"/>
      <c r="E887" s="28"/>
      <c r="F887" s="28"/>
      <c r="G887" s="28"/>
      <c r="H887" s="28"/>
      <c r="I887" s="28"/>
    </row>
    <row r="888" spans="1:9" s="3" customFormat="1" ht="22.5" customHeight="1" x14ac:dyDescent="0.25">
      <c r="A888" s="26"/>
      <c r="B888" s="27"/>
      <c r="C888" s="28"/>
      <c r="D888" s="28"/>
      <c r="E888" s="28"/>
      <c r="F888" s="28"/>
      <c r="G888" s="28"/>
      <c r="H888" s="28"/>
      <c r="I888" s="28"/>
    </row>
    <row r="889" spans="1:9" s="3" customFormat="1" ht="22.5" customHeight="1" x14ac:dyDescent="0.25">
      <c r="A889" s="26"/>
      <c r="B889" s="27"/>
      <c r="C889" s="28"/>
      <c r="D889" s="28"/>
      <c r="E889" s="28"/>
      <c r="F889" s="28"/>
      <c r="G889" s="28"/>
      <c r="H889" s="28"/>
      <c r="I889" s="28"/>
    </row>
    <row r="890" spans="1:9" s="3" customFormat="1" ht="22.5" customHeight="1" x14ac:dyDescent="0.25">
      <c r="A890" s="26"/>
      <c r="B890" s="27"/>
      <c r="C890" s="28"/>
      <c r="D890" s="28"/>
      <c r="E890" s="28"/>
      <c r="F890" s="28"/>
      <c r="G890" s="28"/>
      <c r="H890" s="28"/>
      <c r="I890" s="28"/>
    </row>
    <row r="891" spans="1:9" s="3" customFormat="1" ht="22.5" customHeight="1" x14ac:dyDescent="0.25">
      <c r="A891" s="26"/>
      <c r="B891" s="27"/>
      <c r="C891" s="28"/>
      <c r="D891" s="28"/>
      <c r="E891" s="28"/>
      <c r="F891" s="28"/>
      <c r="G891" s="28"/>
      <c r="H891" s="28"/>
      <c r="I891" s="28"/>
    </row>
    <row r="892" spans="1:9" s="3" customFormat="1" ht="22.5" customHeight="1" x14ac:dyDescent="0.25">
      <c r="A892" s="26"/>
      <c r="B892" s="27"/>
      <c r="C892" s="28"/>
      <c r="D892" s="28"/>
      <c r="E892" s="28"/>
      <c r="F892" s="28"/>
      <c r="G892" s="28"/>
      <c r="H892" s="28"/>
      <c r="I892" s="28"/>
    </row>
    <row r="893" spans="1:9" s="3" customFormat="1" ht="22.5" customHeight="1" x14ac:dyDescent="0.25">
      <c r="A893" s="26"/>
      <c r="B893" s="27"/>
      <c r="C893" s="28"/>
      <c r="D893" s="28"/>
      <c r="E893" s="28"/>
      <c r="F893" s="28"/>
      <c r="G893" s="28"/>
      <c r="H893" s="28"/>
      <c r="I893" s="28"/>
    </row>
    <row r="894" spans="1:9" s="3" customFormat="1" ht="22.5" customHeight="1" x14ac:dyDescent="0.25">
      <c r="A894" s="26"/>
      <c r="B894" s="27"/>
      <c r="C894" s="28"/>
      <c r="D894" s="28"/>
      <c r="E894" s="28"/>
      <c r="F894" s="28"/>
      <c r="G894" s="28"/>
      <c r="H894" s="28"/>
      <c r="I894" s="28"/>
    </row>
    <row r="895" spans="1:9" s="3" customFormat="1" ht="22.5" customHeight="1" x14ac:dyDescent="0.25">
      <c r="A895" s="26"/>
      <c r="B895" s="27"/>
      <c r="C895" s="28"/>
      <c r="D895" s="28"/>
      <c r="E895" s="28"/>
      <c r="F895" s="28"/>
      <c r="G895" s="28"/>
      <c r="H895" s="28"/>
      <c r="I895" s="28"/>
    </row>
    <row r="896" spans="1:9" s="3" customFormat="1" ht="22.5" customHeight="1" x14ac:dyDescent="0.25">
      <c r="A896" s="26"/>
      <c r="B896" s="27"/>
      <c r="C896" s="28"/>
      <c r="D896" s="28"/>
      <c r="E896" s="28"/>
      <c r="F896" s="28"/>
      <c r="G896" s="28"/>
      <c r="H896" s="28"/>
      <c r="I896" s="28"/>
    </row>
    <row r="897" spans="1:9" s="3" customFormat="1" ht="22.5" customHeight="1" x14ac:dyDescent="0.25">
      <c r="A897" s="26"/>
      <c r="B897" s="27"/>
      <c r="C897" s="28"/>
      <c r="D897" s="28"/>
      <c r="E897" s="28"/>
      <c r="F897" s="28"/>
      <c r="G897" s="28"/>
      <c r="H897" s="28"/>
      <c r="I897" s="28"/>
    </row>
    <row r="898" spans="1:9" s="3" customFormat="1" ht="22.5" customHeight="1" x14ac:dyDescent="0.25">
      <c r="A898" s="26"/>
      <c r="B898" s="27"/>
      <c r="C898" s="28"/>
      <c r="D898" s="28"/>
      <c r="E898" s="28"/>
      <c r="F898" s="28"/>
      <c r="G898" s="28"/>
      <c r="H898" s="28"/>
      <c r="I898" s="28"/>
    </row>
    <row r="899" spans="1:9" s="3" customFormat="1" ht="22.5" customHeight="1" x14ac:dyDescent="0.25">
      <c r="A899" s="26"/>
      <c r="B899" s="27"/>
      <c r="C899" s="28"/>
      <c r="D899" s="28"/>
      <c r="E899" s="28"/>
      <c r="F899" s="28"/>
      <c r="G899" s="28"/>
      <c r="H899" s="28"/>
      <c r="I899" s="28"/>
    </row>
    <row r="900" spans="1:9" s="3" customFormat="1" ht="22.5" customHeight="1" x14ac:dyDescent="0.25">
      <c r="A900" s="26"/>
      <c r="B900" s="27"/>
      <c r="C900" s="28"/>
      <c r="D900" s="28"/>
      <c r="E900" s="28"/>
      <c r="F900" s="28"/>
      <c r="G900" s="28"/>
      <c r="H900" s="28"/>
      <c r="I900" s="28"/>
    </row>
    <row r="901" spans="1:9" s="3" customFormat="1" ht="22.5" customHeight="1" x14ac:dyDescent="0.25">
      <c r="A901" s="26"/>
      <c r="B901" s="27"/>
      <c r="C901" s="28"/>
      <c r="D901" s="28"/>
      <c r="E901" s="28"/>
      <c r="F901" s="28"/>
      <c r="G901" s="28"/>
      <c r="H901" s="28"/>
      <c r="I901" s="28"/>
    </row>
    <row r="902" spans="1:9" s="3" customFormat="1" ht="22.5" customHeight="1" x14ac:dyDescent="0.25">
      <c r="A902" s="26"/>
      <c r="B902" s="27"/>
      <c r="C902" s="28"/>
      <c r="D902" s="28"/>
      <c r="E902" s="28"/>
      <c r="F902" s="28"/>
      <c r="G902" s="28"/>
      <c r="H902" s="28"/>
      <c r="I902" s="28"/>
    </row>
    <row r="903" spans="1:9" s="3" customFormat="1" ht="22.5" customHeight="1" x14ac:dyDescent="0.25">
      <c r="A903" s="26"/>
      <c r="B903" s="27"/>
      <c r="C903" s="28"/>
      <c r="D903" s="28"/>
      <c r="E903" s="28"/>
      <c r="F903" s="28"/>
      <c r="G903" s="28"/>
      <c r="H903" s="28"/>
      <c r="I903" s="28"/>
    </row>
    <row r="904" spans="1:9" s="3" customFormat="1" ht="22.5" customHeight="1" x14ac:dyDescent="0.25">
      <c r="A904" s="26"/>
      <c r="B904" s="27"/>
      <c r="C904" s="28"/>
      <c r="D904" s="28"/>
      <c r="E904" s="28"/>
      <c r="F904" s="28"/>
      <c r="G904" s="28"/>
      <c r="H904" s="28"/>
      <c r="I904" s="28"/>
    </row>
    <row r="905" spans="1:9" s="3" customFormat="1" ht="22.5" customHeight="1" x14ac:dyDescent="0.25">
      <c r="A905" s="26"/>
      <c r="B905" s="27"/>
      <c r="C905" s="28"/>
      <c r="D905" s="28"/>
      <c r="E905" s="28"/>
      <c r="F905" s="28"/>
      <c r="G905" s="28"/>
      <c r="H905" s="28"/>
      <c r="I905" s="28"/>
    </row>
    <row r="906" spans="1:9" s="3" customFormat="1" ht="22.5" customHeight="1" x14ac:dyDescent="0.25">
      <c r="A906" s="26"/>
      <c r="B906" s="27"/>
      <c r="C906" s="28"/>
      <c r="D906" s="28"/>
      <c r="E906" s="28"/>
      <c r="F906" s="28"/>
      <c r="G906" s="28"/>
      <c r="H906" s="28"/>
      <c r="I906" s="28"/>
    </row>
    <row r="907" spans="1:9" s="3" customFormat="1" ht="22.5" customHeight="1" x14ac:dyDescent="0.25">
      <c r="A907" s="26"/>
      <c r="B907" s="27"/>
      <c r="C907" s="28"/>
      <c r="D907" s="28"/>
      <c r="E907" s="28"/>
      <c r="F907" s="28"/>
      <c r="G907" s="28"/>
      <c r="H907" s="28"/>
      <c r="I907" s="28"/>
    </row>
    <row r="908" spans="1:9" s="3" customFormat="1" ht="22.5" customHeight="1" x14ac:dyDescent="0.25">
      <c r="A908" s="26"/>
      <c r="B908" s="27"/>
      <c r="C908" s="28"/>
      <c r="D908" s="28"/>
      <c r="E908" s="28"/>
      <c r="F908" s="28"/>
      <c r="G908" s="28"/>
      <c r="H908" s="28"/>
      <c r="I908" s="28"/>
    </row>
    <row r="909" spans="1:9" s="3" customFormat="1" ht="22.5" customHeight="1" x14ac:dyDescent="0.25">
      <c r="A909" s="26"/>
      <c r="B909" s="27"/>
      <c r="C909" s="28"/>
      <c r="D909" s="28"/>
      <c r="E909" s="28"/>
      <c r="F909" s="28"/>
      <c r="G909" s="28"/>
      <c r="H909" s="28"/>
      <c r="I909" s="28"/>
    </row>
    <row r="910" spans="1:9" s="3" customFormat="1" ht="22.5" customHeight="1" x14ac:dyDescent="0.25">
      <c r="A910" s="26"/>
      <c r="B910" s="27"/>
      <c r="C910" s="28"/>
      <c r="D910" s="28"/>
      <c r="E910" s="28"/>
      <c r="F910" s="28"/>
      <c r="G910" s="28"/>
      <c r="H910" s="28"/>
      <c r="I910" s="28"/>
    </row>
    <row r="911" spans="1:9" s="3" customFormat="1" ht="22.5" customHeight="1" x14ac:dyDescent="0.25">
      <c r="A911" s="26"/>
      <c r="B911" s="27"/>
      <c r="C911" s="28"/>
      <c r="D911" s="28"/>
      <c r="E911" s="28"/>
      <c r="F911" s="28"/>
      <c r="G911" s="28"/>
      <c r="H911" s="28"/>
      <c r="I911" s="28"/>
    </row>
    <row r="912" spans="1:9" s="3" customFormat="1" ht="22.5" customHeight="1" x14ac:dyDescent="0.25">
      <c r="A912" s="26"/>
      <c r="B912" s="27"/>
      <c r="C912" s="28"/>
      <c r="D912" s="28"/>
      <c r="E912" s="28"/>
      <c r="F912" s="28"/>
      <c r="G912" s="28"/>
      <c r="H912" s="28"/>
      <c r="I912" s="28"/>
    </row>
    <row r="913" spans="1:9" s="3" customFormat="1" ht="22.5" customHeight="1" x14ac:dyDescent="0.25">
      <c r="A913" s="26"/>
      <c r="B913" s="27"/>
      <c r="C913" s="28"/>
      <c r="D913" s="28"/>
      <c r="E913" s="28"/>
      <c r="F913" s="28"/>
      <c r="G913" s="28"/>
      <c r="H913" s="28"/>
      <c r="I913" s="28"/>
    </row>
    <row r="914" spans="1:9" s="3" customFormat="1" ht="22.5" customHeight="1" x14ac:dyDescent="0.25">
      <c r="A914" s="26"/>
      <c r="B914" s="27"/>
      <c r="C914" s="28"/>
      <c r="D914" s="28"/>
      <c r="E914" s="28"/>
      <c r="F914" s="28"/>
      <c r="G914" s="28"/>
      <c r="H914" s="28"/>
      <c r="I914" s="28"/>
    </row>
    <row r="915" spans="1:9" s="3" customFormat="1" ht="22.5" customHeight="1" x14ac:dyDescent="0.25">
      <c r="A915" s="26"/>
      <c r="B915" s="27"/>
      <c r="C915" s="28"/>
      <c r="D915" s="28"/>
      <c r="E915" s="28"/>
      <c r="F915" s="28"/>
      <c r="G915" s="28"/>
      <c r="H915" s="28"/>
      <c r="I915" s="28"/>
    </row>
    <row r="916" spans="1:9" s="3" customFormat="1" ht="22.5" customHeight="1" x14ac:dyDescent="0.25">
      <c r="A916" s="26"/>
      <c r="B916" s="27"/>
      <c r="C916" s="28"/>
      <c r="D916" s="28"/>
      <c r="E916" s="28"/>
      <c r="F916" s="28"/>
      <c r="G916" s="28"/>
      <c r="H916" s="28"/>
      <c r="I916" s="28"/>
    </row>
    <row r="917" spans="1:9" s="3" customFormat="1" ht="22.5" customHeight="1" x14ac:dyDescent="0.25">
      <c r="A917" s="26"/>
      <c r="B917" s="27"/>
      <c r="C917" s="28"/>
      <c r="D917" s="28"/>
      <c r="E917" s="28"/>
      <c r="F917" s="28"/>
      <c r="G917" s="28"/>
      <c r="H917" s="28"/>
      <c r="I917" s="28"/>
    </row>
    <row r="918" spans="1:9" s="3" customFormat="1" ht="22.5" customHeight="1" x14ac:dyDescent="0.25">
      <c r="A918" s="26"/>
      <c r="B918" s="27"/>
      <c r="C918" s="28"/>
      <c r="D918" s="28"/>
      <c r="E918" s="28"/>
      <c r="F918" s="28"/>
      <c r="G918" s="28"/>
      <c r="H918" s="28"/>
      <c r="I918" s="28"/>
    </row>
    <row r="919" spans="1:9" s="3" customFormat="1" ht="22.5" customHeight="1" x14ac:dyDescent="0.25">
      <c r="A919" s="26"/>
      <c r="B919" s="27"/>
      <c r="C919" s="28"/>
      <c r="D919" s="28"/>
      <c r="E919" s="28"/>
      <c r="F919" s="28"/>
      <c r="G919" s="28"/>
      <c r="H919" s="28"/>
      <c r="I919" s="28"/>
    </row>
    <row r="920" spans="1:9" s="3" customFormat="1" ht="22.5" customHeight="1" x14ac:dyDescent="0.25">
      <c r="A920" s="26"/>
      <c r="B920" s="27"/>
      <c r="C920" s="28"/>
      <c r="D920" s="28"/>
      <c r="E920" s="28"/>
      <c r="F920" s="28"/>
      <c r="G920" s="28"/>
      <c r="H920" s="28"/>
      <c r="I920" s="28"/>
    </row>
    <row r="921" spans="1:9" s="3" customFormat="1" ht="22.5" customHeight="1" x14ac:dyDescent="0.25">
      <c r="A921" s="26"/>
      <c r="B921" s="27"/>
      <c r="C921" s="28"/>
      <c r="D921" s="28"/>
      <c r="E921" s="28"/>
      <c r="F921" s="28"/>
      <c r="G921" s="28"/>
      <c r="H921" s="28"/>
      <c r="I921" s="28"/>
    </row>
    <row r="922" spans="1:9" s="3" customFormat="1" ht="22.5" customHeight="1" x14ac:dyDescent="0.25">
      <c r="A922" s="26"/>
      <c r="B922" s="27"/>
      <c r="C922" s="28"/>
      <c r="D922" s="28"/>
      <c r="E922" s="28"/>
      <c r="F922" s="28"/>
      <c r="G922" s="28"/>
      <c r="H922" s="28"/>
      <c r="I922" s="28"/>
    </row>
    <row r="923" spans="1:9" s="3" customFormat="1" ht="22.5" customHeight="1" x14ac:dyDescent="0.25">
      <c r="A923" s="26"/>
      <c r="B923" s="27"/>
      <c r="C923" s="28"/>
      <c r="D923" s="28"/>
      <c r="E923" s="28"/>
      <c r="F923" s="28"/>
      <c r="G923" s="28"/>
      <c r="H923" s="28"/>
      <c r="I923" s="28"/>
    </row>
    <row r="924" spans="1:9" s="3" customFormat="1" ht="22.5" customHeight="1" x14ac:dyDescent="0.25">
      <c r="A924" s="26"/>
      <c r="B924" s="27"/>
      <c r="C924" s="28"/>
      <c r="D924" s="28"/>
      <c r="E924" s="28"/>
      <c r="F924" s="28"/>
      <c r="G924" s="28"/>
      <c r="H924" s="28"/>
      <c r="I924" s="28"/>
    </row>
    <row r="925" spans="1:9" s="3" customFormat="1" ht="22.5" customHeight="1" x14ac:dyDescent="0.25">
      <c r="A925" s="26"/>
      <c r="B925" s="27"/>
      <c r="C925" s="28"/>
      <c r="D925" s="28"/>
      <c r="E925" s="28"/>
      <c r="F925" s="28"/>
      <c r="G925" s="28"/>
      <c r="H925" s="28"/>
      <c r="I925" s="28"/>
    </row>
    <row r="926" spans="1:9" s="3" customFormat="1" ht="22.5" customHeight="1" x14ac:dyDescent="0.25">
      <c r="A926" s="26"/>
      <c r="B926" s="27"/>
      <c r="C926" s="28"/>
      <c r="D926" s="28"/>
      <c r="E926" s="28"/>
      <c r="F926" s="28"/>
      <c r="G926" s="28"/>
      <c r="H926" s="28"/>
      <c r="I926" s="28"/>
    </row>
    <row r="927" spans="1:9" s="3" customFormat="1" ht="22.5" customHeight="1" x14ac:dyDescent="0.25">
      <c r="A927" s="26"/>
      <c r="B927" s="27"/>
      <c r="C927" s="28"/>
      <c r="D927" s="28"/>
      <c r="E927" s="28"/>
      <c r="F927" s="28"/>
      <c r="G927" s="28"/>
      <c r="H927" s="28"/>
      <c r="I927" s="28"/>
    </row>
    <row r="928" spans="1:9" s="3" customFormat="1" ht="22.5" customHeight="1" x14ac:dyDescent="0.25">
      <c r="A928" s="26"/>
      <c r="B928" s="27"/>
      <c r="C928" s="28"/>
      <c r="D928" s="28"/>
      <c r="E928" s="28"/>
      <c r="F928" s="28"/>
      <c r="G928" s="28"/>
      <c r="H928" s="28"/>
      <c r="I928" s="28"/>
    </row>
    <row r="929" spans="1:9" s="3" customFormat="1" ht="22.5" customHeight="1" x14ac:dyDescent="0.25">
      <c r="A929" s="26"/>
      <c r="B929" s="27"/>
      <c r="C929" s="28"/>
      <c r="D929" s="28"/>
      <c r="E929" s="28"/>
      <c r="F929" s="28"/>
      <c r="G929" s="28"/>
      <c r="H929" s="28"/>
      <c r="I929" s="28"/>
    </row>
    <row r="930" spans="1:9" s="3" customFormat="1" ht="22.5" customHeight="1" x14ac:dyDescent="0.25">
      <c r="A930" s="26"/>
      <c r="B930" s="27"/>
      <c r="C930" s="28"/>
      <c r="D930" s="28"/>
      <c r="E930" s="28"/>
      <c r="F930" s="28"/>
      <c r="G930" s="28"/>
      <c r="H930" s="28"/>
      <c r="I930" s="28"/>
    </row>
    <row r="931" spans="1:9" s="3" customFormat="1" ht="22.5" customHeight="1" x14ac:dyDescent="0.25">
      <c r="A931" s="26"/>
      <c r="B931" s="27"/>
      <c r="C931" s="28"/>
      <c r="D931" s="28"/>
      <c r="E931" s="28"/>
      <c r="F931" s="28"/>
      <c r="G931" s="28"/>
      <c r="H931" s="28"/>
      <c r="I931" s="28"/>
    </row>
    <row r="932" spans="1:9" s="3" customFormat="1" ht="22.5" customHeight="1" x14ac:dyDescent="0.25">
      <c r="A932" s="26"/>
      <c r="B932" s="27"/>
      <c r="C932" s="28"/>
      <c r="D932" s="28"/>
      <c r="E932" s="28"/>
      <c r="F932" s="28"/>
      <c r="G932" s="28"/>
      <c r="H932" s="28"/>
      <c r="I932" s="28"/>
    </row>
    <row r="933" spans="1:9" s="3" customFormat="1" ht="22.5" customHeight="1" x14ac:dyDescent="0.25">
      <c r="A933" s="26"/>
      <c r="B933" s="27"/>
      <c r="C933" s="28"/>
      <c r="D933" s="28"/>
      <c r="E933" s="28"/>
      <c r="F933" s="28"/>
      <c r="G933" s="28"/>
      <c r="H933" s="28"/>
      <c r="I933" s="28"/>
    </row>
    <row r="934" spans="1:9" s="3" customFormat="1" ht="22.5" customHeight="1" x14ac:dyDescent="0.25">
      <c r="A934" s="26"/>
      <c r="B934" s="27"/>
      <c r="C934" s="28"/>
      <c r="D934" s="28"/>
      <c r="E934" s="28"/>
      <c r="F934" s="28"/>
      <c r="G934" s="28"/>
      <c r="H934" s="28"/>
      <c r="I934" s="28"/>
    </row>
    <row r="935" spans="1:9" s="3" customFormat="1" ht="22.5" customHeight="1" x14ac:dyDescent="0.25">
      <c r="A935" s="26"/>
      <c r="B935" s="27"/>
      <c r="C935" s="28"/>
      <c r="D935" s="28"/>
      <c r="E935" s="28"/>
      <c r="F935" s="28"/>
      <c r="G935" s="28"/>
      <c r="H935" s="28"/>
      <c r="I935" s="28"/>
    </row>
    <row r="936" spans="1:9" s="3" customFormat="1" ht="22.5" customHeight="1" x14ac:dyDescent="0.25">
      <c r="A936" s="26"/>
      <c r="B936" s="27"/>
      <c r="C936" s="28"/>
      <c r="D936" s="28"/>
      <c r="E936" s="28"/>
      <c r="F936" s="28"/>
      <c r="G936" s="28"/>
      <c r="H936" s="28"/>
      <c r="I936" s="28"/>
    </row>
    <row r="937" spans="1:9" s="3" customFormat="1" ht="22.5" customHeight="1" x14ac:dyDescent="0.25">
      <c r="A937" s="26"/>
      <c r="B937" s="27"/>
      <c r="C937" s="28"/>
      <c r="D937" s="28"/>
      <c r="E937" s="28"/>
      <c r="F937" s="28"/>
      <c r="G937" s="28"/>
      <c r="H937" s="28"/>
      <c r="I937" s="28"/>
    </row>
    <row r="938" spans="1:9" s="3" customFormat="1" ht="22.5" customHeight="1" x14ac:dyDescent="0.25">
      <c r="A938" s="26"/>
      <c r="B938" s="27"/>
      <c r="C938" s="28"/>
      <c r="D938" s="28"/>
      <c r="E938" s="28"/>
      <c r="F938" s="28"/>
      <c r="G938" s="28"/>
      <c r="H938" s="28"/>
      <c r="I938" s="28"/>
    </row>
    <row r="939" spans="1:9" s="3" customFormat="1" ht="22.5" customHeight="1" x14ac:dyDescent="0.25">
      <c r="A939" s="26"/>
      <c r="B939" s="27"/>
      <c r="C939" s="28"/>
      <c r="D939" s="28"/>
      <c r="E939" s="28"/>
      <c r="F939" s="28"/>
      <c r="G939" s="28"/>
      <c r="H939" s="28"/>
      <c r="I939" s="28"/>
    </row>
    <row r="940" spans="1:9" s="3" customFormat="1" ht="22.5" customHeight="1" x14ac:dyDescent="0.25">
      <c r="A940" s="26"/>
      <c r="B940" s="27"/>
      <c r="C940" s="28"/>
      <c r="D940" s="28"/>
      <c r="E940" s="28"/>
      <c r="F940" s="28"/>
      <c r="G940" s="28"/>
      <c r="H940" s="28"/>
      <c r="I940" s="28"/>
    </row>
    <row r="941" spans="1:9" s="3" customFormat="1" ht="22.5" customHeight="1" x14ac:dyDescent="0.25">
      <c r="A941" s="26"/>
      <c r="B941" s="27"/>
      <c r="C941" s="28"/>
      <c r="D941" s="28"/>
      <c r="E941" s="28"/>
      <c r="F941" s="28"/>
      <c r="G941" s="28"/>
      <c r="H941" s="28"/>
      <c r="I941" s="28"/>
    </row>
    <row r="942" spans="1:9" s="3" customFormat="1" ht="22.5" customHeight="1" x14ac:dyDescent="0.25">
      <c r="A942" s="26"/>
      <c r="B942" s="27"/>
      <c r="C942" s="28"/>
      <c r="D942" s="28"/>
      <c r="E942" s="28"/>
      <c r="F942" s="28"/>
      <c r="G942" s="28"/>
      <c r="H942" s="28"/>
      <c r="I942" s="28"/>
    </row>
    <row r="943" spans="1:9" s="3" customFormat="1" ht="22.5" customHeight="1" x14ac:dyDescent="0.25">
      <c r="A943" s="26"/>
      <c r="B943" s="27"/>
      <c r="C943" s="28"/>
      <c r="D943" s="28"/>
      <c r="E943" s="28"/>
      <c r="F943" s="28"/>
      <c r="G943" s="28"/>
      <c r="H943" s="28"/>
      <c r="I943" s="28"/>
    </row>
    <row r="944" spans="1:9" s="3" customFormat="1" ht="22.5" customHeight="1" x14ac:dyDescent="0.25">
      <c r="A944" s="26"/>
      <c r="B944" s="27"/>
      <c r="C944" s="28"/>
      <c r="D944" s="28"/>
      <c r="E944" s="28"/>
      <c r="F944" s="28"/>
      <c r="G944" s="28"/>
      <c r="H944" s="28"/>
      <c r="I944" s="28"/>
    </row>
    <row r="945" spans="1:9" s="3" customFormat="1" ht="22.5" customHeight="1" x14ac:dyDescent="0.25">
      <c r="A945" s="26"/>
      <c r="B945" s="27"/>
      <c r="C945" s="28"/>
      <c r="D945" s="28"/>
      <c r="E945" s="28"/>
      <c r="F945" s="28"/>
      <c r="G945" s="28"/>
      <c r="H945" s="28"/>
      <c r="I945" s="28"/>
    </row>
    <row r="946" spans="1:9" s="3" customFormat="1" ht="22.5" customHeight="1" x14ac:dyDescent="0.25">
      <c r="A946" s="26"/>
      <c r="B946" s="27"/>
      <c r="C946" s="28"/>
      <c r="D946" s="28"/>
      <c r="E946" s="28"/>
      <c r="F946" s="28"/>
      <c r="G946" s="28"/>
      <c r="H946" s="28"/>
      <c r="I946" s="28"/>
    </row>
    <row r="947" spans="1:9" s="3" customFormat="1" ht="22.5" customHeight="1" x14ac:dyDescent="0.25">
      <c r="A947" s="26"/>
      <c r="B947" s="27"/>
      <c r="C947" s="28"/>
      <c r="D947" s="28"/>
      <c r="E947" s="28"/>
      <c r="F947" s="28"/>
      <c r="G947" s="28"/>
      <c r="H947" s="28"/>
      <c r="I947" s="28"/>
    </row>
    <row r="948" spans="1:9" s="3" customFormat="1" ht="22.5" customHeight="1" x14ac:dyDescent="0.25">
      <c r="A948" s="26"/>
      <c r="B948" s="27"/>
      <c r="C948" s="28"/>
      <c r="D948" s="28"/>
      <c r="E948" s="28"/>
      <c r="F948" s="28"/>
      <c r="G948" s="28"/>
      <c r="H948" s="28"/>
      <c r="I948" s="28"/>
    </row>
    <row r="949" spans="1:9" s="3" customFormat="1" ht="22.5" customHeight="1" x14ac:dyDescent="0.25">
      <c r="A949" s="26"/>
      <c r="B949" s="27"/>
      <c r="C949" s="28"/>
      <c r="D949" s="28"/>
      <c r="E949" s="28"/>
      <c r="F949" s="28"/>
      <c r="G949" s="28"/>
      <c r="H949" s="28"/>
      <c r="I949" s="28"/>
    </row>
    <row r="950" spans="1:9" s="3" customFormat="1" ht="22.5" customHeight="1" x14ac:dyDescent="0.25">
      <c r="A950" s="26"/>
      <c r="B950" s="27"/>
      <c r="C950" s="28"/>
      <c r="D950" s="28"/>
      <c r="E950" s="28"/>
      <c r="F950" s="28"/>
      <c r="G950" s="28"/>
      <c r="H950" s="28"/>
      <c r="I950" s="28"/>
    </row>
    <row r="951" spans="1:9" s="3" customFormat="1" ht="22.5" customHeight="1" x14ac:dyDescent="0.25">
      <c r="A951" s="26"/>
      <c r="B951" s="27"/>
      <c r="C951" s="28"/>
      <c r="D951" s="28"/>
      <c r="E951" s="28"/>
      <c r="F951" s="28"/>
      <c r="G951" s="28"/>
      <c r="H951" s="28"/>
      <c r="I951" s="28"/>
    </row>
    <row r="952" spans="1:9" s="3" customFormat="1" ht="22.5" customHeight="1" x14ac:dyDescent="0.25">
      <c r="A952" s="26"/>
      <c r="B952" s="27"/>
      <c r="C952" s="28"/>
      <c r="D952" s="28"/>
      <c r="E952" s="28"/>
      <c r="F952" s="28"/>
      <c r="G952" s="28"/>
      <c r="H952" s="28"/>
      <c r="I952" s="28"/>
    </row>
    <row r="953" spans="1:9" s="3" customFormat="1" ht="22.5" customHeight="1" x14ac:dyDescent="0.25">
      <c r="A953" s="26"/>
      <c r="B953" s="27"/>
      <c r="C953" s="28"/>
      <c r="D953" s="28"/>
      <c r="E953" s="28"/>
      <c r="F953" s="28"/>
      <c r="G953" s="28"/>
      <c r="H953" s="28"/>
      <c r="I953" s="28"/>
    </row>
    <row r="954" spans="1:9" s="3" customFormat="1" ht="22.5" customHeight="1" x14ac:dyDescent="0.25">
      <c r="A954" s="26"/>
      <c r="B954" s="27"/>
      <c r="C954" s="28"/>
      <c r="D954" s="28"/>
      <c r="E954" s="28"/>
      <c r="F954" s="28"/>
      <c r="G954" s="28"/>
      <c r="H954" s="28"/>
      <c r="I954" s="28"/>
    </row>
    <row r="955" spans="1:9" s="3" customFormat="1" ht="22.5" customHeight="1" x14ac:dyDescent="0.25">
      <c r="A955" s="26"/>
      <c r="B955" s="27"/>
      <c r="C955" s="28"/>
      <c r="D955" s="28"/>
      <c r="E955" s="28"/>
      <c r="F955" s="28"/>
      <c r="G955" s="28"/>
      <c r="H955" s="28"/>
      <c r="I955" s="28"/>
    </row>
    <row r="956" spans="1:9" s="3" customFormat="1" ht="22.5" customHeight="1" x14ac:dyDescent="0.25">
      <c r="A956" s="26"/>
      <c r="B956" s="27"/>
      <c r="C956" s="28"/>
      <c r="D956" s="28"/>
      <c r="E956" s="28"/>
      <c r="F956" s="28"/>
      <c r="G956" s="28"/>
      <c r="H956" s="28"/>
      <c r="I956" s="28"/>
    </row>
    <row r="957" spans="1:9" s="3" customFormat="1" ht="22.5" customHeight="1" x14ac:dyDescent="0.25">
      <c r="A957" s="26"/>
      <c r="B957" s="27"/>
      <c r="C957" s="28"/>
      <c r="D957" s="28"/>
      <c r="E957" s="28"/>
      <c r="F957" s="28"/>
      <c r="G957" s="28"/>
      <c r="H957" s="28"/>
      <c r="I957" s="28"/>
    </row>
    <row r="958" spans="1:9" s="3" customFormat="1" ht="22.5" customHeight="1" x14ac:dyDescent="0.25">
      <c r="A958" s="26"/>
      <c r="B958" s="27"/>
      <c r="C958" s="28"/>
      <c r="D958" s="28"/>
      <c r="E958" s="28"/>
      <c r="F958" s="28"/>
      <c r="G958" s="28"/>
      <c r="H958" s="28"/>
      <c r="I958" s="28"/>
    </row>
    <row r="959" spans="1:9" s="3" customFormat="1" ht="22.5" customHeight="1" x14ac:dyDescent="0.25">
      <c r="A959" s="26"/>
      <c r="B959" s="27"/>
      <c r="C959" s="28"/>
      <c r="D959" s="28"/>
      <c r="E959" s="28"/>
      <c r="F959" s="28"/>
      <c r="G959" s="28"/>
      <c r="H959" s="28"/>
      <c r="I959" s="28"/>
    </row>
    <row r="960" spans="1:9" s="3" customFormat="1" ht="22.5" customHeight="1" x14ac:dyDescent="0.25">
      <c r="A960" s="26"/>
      <c r="B960" s="27"/>
      <c r="C960" s="28"/>
      <c r="D960" s="28"/>
      <c r="E960" s="28"/>
      <c r="F960" s="28"/>
      <c r="G960" s="28"/>
      <c r="H960" s="28"/>
      <c r="I960" s="28"/>
    </row>
    <row r="961" spans="1:9" s="3" customFormat="1" ht="22.5" customHeight="1" x14ac:dyDescent="0.25">
      <c r="A961" s="26"/>
      <c r="B961" s="27"/>
      <c r="C961" s="28"/>
      <c r="D961" s="28"/>
      <c r="E961" s="28"/>
      <c r="F961" s="28"/>
      <c r="G961" s="28"/>
      <c r="H961" s="28"/>
      <c r="I961" s="28"/>
    </row>
    <row r="962" spans="1:9" s="3" customFormat="1" ht="22.5" customHeight="1" x14ac:dyDescent="0.25">
      <c r="A962" s="26"/>
      <c r="B962" s="27"/>
      <c r="C962" s="28"/>
      <c r="D962" s="28"/>
      <c r="E962" s="28"/>
      <c r="F962" s="28"/>
      <c r="G962" s="28"/>
      <c r="H962" s="28"/>
      <c r="I962" s="28"/>
    </row>
    <row r="963" spans="1:9" s="3" customFormat="1" ht="22.5" customHeight="1" x14ac:dyDescent="0.25">
      <c r="A963" s="26"/>
      <c r="B963" s="27"/>
      <c r="C963" s="28"/>
      <c r="D963" s="28"/>
      <c r="E963" s="28"/>
      <c r="F963" s="28"/>
      <c r="G963" s="28"/>
      <c r="H963" s="28"/>
      <c r="I963" s="28"/>
    </row>
    <row r="964" spans="1:9" s="3" customFormat="1" ht="22.5" customHeight="1" x14ac:dyDescent="0.25">
      <c r="A964" s="26"/>
      <c r="B964" s="27"/>
      <c r="C964" s="28"/>
      <c r="D964" s="28"/>
      <c r="E964" s="28"/>
      <c r="F964" s="28"/>
      <c r="G964" s="28"/>
      <c r="H964" s="28"/>
      <c r="I964" s="28"/>
    </row>
    <row r="965" spans="1:9" s="3" customFormat="1" ht="22.5" customHeight="1" x14ac:dyDescent="0.25">
      <c r="A965" s="26"/>
      <c r="B965" s="27"/>
      <c r="C965" s="28"/>
      <c r="D965" s="28"/>
      <c r="E965" s="28"/>
      <c r="F965" s="28"/>
      <c r="G965" s="28"/>
      <c r="H965" s="28"/>
      <c r="I965" s="28"/>
    </row>
    <row r="966" spans="1:9" s="3" customFormat="1" ht="22.5" customHeight="1" x14ac:dyDescent="0.25">
      <c r="A966" s="26"/>
      <c r="B966" s="27"/>
      <c r="C966" s="28"/>
      <c r="D966" s="28"/>
      <c r="E966" s="28"/>
      <c r="F966" s="28"/>
      <c r="G966" s="28"/>
      <c r="H966" s="28"/>
      <c r="I966" s="28"/>
    </row>
    <row r="967" spans="1:9" s="3" customFormat="1" ht="22.5" customHeight="1" x14ac:dyDescent="0.25">
      <c r="A967" s="26"/>
      <c r="B967" s="27"/>
      <c r="C967" s="28"/>
      <c r="D967" s="28"/>
      <c r="E967" s="28"/>
      <c r="F967" s="28"/>
      <c r="G967" s="28"/>
      <c r="H967" s="28"/>
      <c r="I967" s="28"/>
    </row>
    <row r="968" spans="1:9" s="3" customFormat="1" ht="22.5" customHeight="1" x14ac:dyDescent="0.25">
      <c r="A968" s="26"/>
      <c r="B968" s="27"/>
      <c r="C968" s="28"/>
      <c r="D968" s="28"/>
      <c r="E968" s="28"/>
      <c r="F968" s="28"/>
      <c r="G968" s="28"/>
      <c r="H968" s="28"/>
      <c r="I968" s="28"/>
    </row>
    <row r="969" spans="1:9" s="3" customFormat="1" ht="22.5" customHeight="1" x14ac:dyDescent="0.25">
      <c r="A969" s="26"/>
      <c r="B969" s="27"/>
      <c r="C969" s="28"/>
      <c r="D969" s="28"/>
      <c r="E969" s="28"/>
      <c r="F969" s="28"/>
      <c r="G969" s="28"/>
      <c r="H969" s="28"/>
      <c r="I969" s="28"/>
    </row>
    <row r="970" spans="1:9" s="3" customFormat="1" ht="22.5" customHeight="1" x14ac:dyDescent="0.25">
      <c r="A970" s="26"/>
      <c r="B970" s="27"/>
      <c r="C970" s="28"/>
      <c r="D970" s="28"/>
      <c r="E970" s="28"/>
      <c r="F970" s="28"/>
      <c r="G970" s="28"/>
      <c r="H970" s="28"/>
      <c r="I970" s="28"/>
    </row>
    <row r="971" spans="1:9" s="3" customFormat="1" ht="22.5" customHeight="1" x14ac:dyDescent="0.25">
      <c r="A971" s="26"/>
      <c r="B971" s="27"/>
      <c r="C971" s="28"/>
      <c r="D971" s="28"/>
      <c r="E971" s="28"/>
      <c r="F971" s="28"/>
      <c r="G971" s="28"/>
      <c r="H971" s="28"/>
      <c r="I971" s="28"/>
    </row>
    <row r="972" spans="1:9" s="3" customFormat="1" ht="22.5" customHeight="1" x14ac:dyDescent="0.25">
      <c r="A972" s="26"/>
      <c r="B972" s="27"/>
      <c r="C972" s="28"/>
      <c r="D972" s="28"/>
      <c r="E972" s="28"/>
      <c r="F972" s="28"/>
      <c r="G972" s="28"/>
      <c r="H972" s="28"/>
      <c r="I972" s="28"/>
    </row>
    <row r="973" spans="1:9" s="3" customFormat="1" ht="22.5" customHeight="1" x14ac:dyDescent="0.25">
      <c r="A973" s="26"/>
      <c r="B973" s="27"/>
      <c r="C973" s="28"/>
      <c r="D973" s="28"/>
      <c r="E973" s="28"/>
      <c r="F973" s="28"/>
      <c r="G973" s="28"/>
      <c r="H973" s="28"/>
      <c r="I973" s="28"/>
    </row>
    <row r="974" spans="1:9" s="3" customFormat="1" ht="22.5" customHeight="1" x14ac:dyDescent="0.25">
      <c r="A974" s="26"/>
      <c r="B974" s="27"/>
      <c r="C974" s="28"/>
      <c r="D974" s="28"/>
      <c r="E974" s="28"/>
      <c r="F974" s="28"/>
      <c r="G974" s="28"/>
      <c r="H974" s="28"/>
      <c r="I974" s="28"/>
    </row>
    <row r="975" spans="1:9" s="3" customFormat="1" ht="22.5" customHeight="1" x14ac:dyDescent="0.25">
      <c r="A975" s="26"/>
      <c r="B975" s="27"/>
      <c r="C975" s="28"/>
      <c r="D975" s="28"/>
      <c r="E975" s="28"/>
      <c r="F975" s="28"/>
      <c r="G975" s="28"/>
      <c r="H975" s="28"/>
      <c r="I975" s="28"/>
    </row>
    <row r="976" spans="1:9" s="3" customFormat="1" ht="22.5" customHeight="1" x14ac:dyDescent="0.25">
      <c r="A976" s="26"/>
      <c r="B976" s="27"/>
      <c r="C976" s="28"/>
      <c r="D976" s="28"/>
      <c r="E976" s="28"/>
      <c r="F976" s="28"/>
      <c r="G976" s="28"/>
      <c r="H976" s="28"/>
      <c r="I976" s="28"/>
    </row>
    <row r="977" spans="1:9" s="3" customFormat="1" ht="22.5" customHeight="1" x14ac:dyDescent="0.25">
      <c r="A977" s="26"/>
      <c r="B977" s="27"/>
      <c r="C977" s="28"/>
      <c r="D977" s="28"/>
      <c r="E977" s="28"/>
      <c r="F977" s="28"/>
      <c r="G977" s="28"/>
      <c r="H977" s="28"/>
      <c r="I977" s="28"/>
    </row>
    <row r="978" spans="1:9" s="3" customFormat="1" ht="22.5" customHeight="1" x14ac:dyDescent="0.25">
      <c r="A978" s="26"/>
      <c r="B978" s="27"/>
      <c r="C978" s="28"/>
      <c r="D978" s="28"/>
      <c r="E978" s="28"/>
      <c r="F978" s="28"/>
      <c r="G978" s="28"/>
      <c r="H978" s="28"/>
      <c r="I978" s="28"/>
    </row>
    <row r="979" spans="1:9" s="3" customFormat="1" ht="22.5" customHeight="1" x14ac:dyDescent="0.25">
      <c r="A979" s="26"/>
      <c r="B979" s="27"/>
      <c r="C979" s="28"/>
      <c r="D979" s="28"/>
      <c r="E979" s="28"/>
      <c r="F979" s="28"/>
      <c r="G979" s="28"/>
      <c r="H979" s="28"/>
      <c r="I979" s="28"/>
    </row>
    <row r="980" spans="1:9" s="3" customFormat="1" ht="22.5" customHeight="1" x14ac:dyDescent="0.25">
      <c r="A980" s="26"/>
      <c r="B980" s="27"/>
      <c r="C980" s="28"/>
      <c r="D980" s="28"/>
      <c r="E980" s="28"/>
      <c r="F980" s="28"/>
      <c r="G980" s="28"/>
      <c r="H980" s="28"/>
      <c r="I980" s="28"/>
    </row>
    <row r="981" spans="1:9" s="3" customFormat="1" ht="22.5" customHeight="1" x14ac:dyDescent="0.25">
      <c r="A981" s="26"/>
      <c r="B981" s="27"/>
      <c r="C981" s="28"/>
      <c r="D981" s="28"/>
      <c r="E981" s="28"/>
      <c r="F981" s="28"/>
      <c r="G981" s="28"/>
      <c r="H981" s="28"/>
      <c r="I981" s="28"/>
    </row>
    <row r="982" spans="1:9" s="3" customFormat="1" ht="22.5" customHeight="1" x14ac:dyDescent="0.25">
      <c r="A982" s="26"/>
      <c r="B982" s="27"/>
      <c r="C982" s="28"/>
      <c r="D982" s="28"/>
      <c r="E982" s="28"/>
      <c r="F982" s="28"/>
      <c r="G982" s="28"/>
      <c r="H982" s="28"/>
      <c r="I982" s="28"/>
    </row>
    <row r="983" spans="1:9" s="3" customFormat="1" ht="22.5" customHeight="1" x14ac:dyDescent="0.25">
      <c r="A983" s="26"/>
      <c r="B983" s="27"/>
      <c r="C983" s="28"/>
      <c r="D983" s="28"/>
      <c r="E983" s="28"/>
      <c r="F983" s="28"/>
      <c r="G983" s="28"/>
      <c r="H983" s="28"/>
      <c r="I983" s="28"/>
    </row>
    <row r="984" spans="1:9" s="3" customFormat="1" ht="22.5" customHeight="1" x14ac:dyDescent="0.25">
      <c r="A984" s="26"/>
      <c r="B984" s="27"/>
      <c r="C984" s="28"/>
      <c r="D984" s="28"/>
      <c r="E984" s="28"/>
      <c r="F984" s="28"/>
      <c r="G984" s="28"/>
      <c r="H984" s="28"/>
      <c r="I984" s="28"/>
    </row>
    <row r="985" spans="1:9" s="3" customFormat="1" ht="22.5" customHeight="1" x14ac:dyDescent="0.25">
      <c r="A985" s="26"/>
      <c r="B985" s="27"/>
      <c r="C985" s="28"/>
      <c r="D985" s="28"/>
      <c r="E985" s="28"/>
      <c r="F985" s="28"/>
      <c r="G985" s="28"/>
      <c r="H985" s="28"/>
      <c r="I985" s="28"/>
    </row>
    <row r="986" spans="1:9" s="3" customFormat="1" ht="22.5" customHeight="1" x14ac:dyDescent="0.25">
      <c r="A986" s="26"/>
      <c r="B986" s="27"/>
      <c r="C986" s="28"/>
      <c r="D986" s="28"/>
      <c r="E986" s="28"/>
      <c r="F986" s="28"/>
      <c r="G986" s="28"/>
      <c r="H986" s="28"/>
      <c r="I986" s="28"/>
    </row>
    <row r="987" spans="1:9" s="3" customFormat="1" ht="22.5" customHeight="1" x14ac:dyDescent="0.25">
      <c r="A987" s="26"/>
      <c r="B987" s="27"/>
      <c r="C987" s="28"/>
      <c r="D987" s="28"/>
      <c r="E987" s="28"/>
      <c r="F987" s="28"/>
      <c r="G987" s="28"/>
      <c r="H987" s="28"/>
      <c r="I987" s="28"/>
    </row>
    <row r="988" spans="1:9" s="3" customFormat="1" ht="22.5" customHeight="1" x14ac:dyDescent="0.25">
      <c r="A988" s="26"/>
      <c r="B988" s="27"/>
      <c r="C988" s="28"/>
      <c r="D988" s="28"/>
      <c r="E988" s="28"/>
      <c r="F988" s="28"/>
      <c r="G988" s="28"/>
      <c r="H988" s="28"/>
      <c r="I988" s="28"/>
    </row>
    <row r="989" spans="1:9" s="3" customFormat="1" ht="22.5" customHeight="1" x14ac:dyDescent="0.25">
      <c r="A989" s="26"/>
      <c r="B989" s="27"/>
      <c r="C989" s="28"/>
      <c r="D989" s="28"/>
      <c r="E989" s="28"/>
      <c r="F989" s="28"/>
      <c r="G989" s="28"/>
      <c r="H989" s="28"/>
      <c r="I989" s="28"/>
    </row>
    <row r="990" spans="1:9" s="3" customFormat="1" ht="22.5" customHeight="1" x14ac:dyDescent="0.25">
      <c r="A990" s="26"/>
      <c r="B990" s="27"/>
      <c r="C990" s="28"/>
      <c r="D990" s="28"/>
      <c r="E990" s="28"/>
      <c r="F990" s="28"/>
      <c r="G990" s="28"/>
      <c r="H990" s="28"/>
      <c r="I990" s="28"/>
    </row>
    <row r="991" spans="1:9" s="3" customFormat="1" ht="22.5" customHeight="1" x14ac:dyDescent="0.25">
      <c r="A991" s="26"/>
      <c r="B991" s="27"/>
      <c r="C991" s="28"/>
      <c r="D991" s="28"/>
      <c r="E991" s="28"/>
      <c r="F991" s="28"/>
      <c r="G991" s="28"/>
      <c r="H991" s="28"/>
      <c r="I991" s="28"/>
    </row>
    <row r="992" spans="1:9" s="3" customFormat="1" ht="22.5" customHeight="1" x14ac:dyDescent="0.25">
      <c r="A992" s="26"/>
      <c r="B992" s="27"/>
      <c r="C992" s="28"/>
      <c r="D992" s="28"/>
      <c r="E992" s="28"/>
      <c r="F992" s="28"/>
      <c r="G992" s="28"/>
      <c r="H992" s="28"/>
      <c r="I992" s="28"/>
    </row>
    <row r="993" spans="1:9" s="3" customFormat="1" ht="22.5" customHeight="1" x14ac:dyDescent="0.25">
      <c r="A993" s="26"/>
      <c r="B993" s="27"/>
      <c r="C993" s="28"/>
      <c r="D993" s="28"/>
      <c r="E993" s="28"/>
      <c r="F993" s="28"/>
      <c r="G993" s="28"/>
      <c r="H993" s="28"/>
      <c r="I993" s="28"/>
    </row>
    <row r="994" spans="1:9" s="3" customFormat="1" ht="22.5" customHeight="1" x14ac:dyDescent="0.25">
      <c r="A994" s="26"/>
      <c r="B994" s="27"/>
      <c r="C994" s="28"/>
      <c r="D994" s="28"/>
      <c r="E994" s="28"/>
      <c r="F994" s="28"/>
      <c r="G994" s="28"/>
      <c r="H994" s="28"/>
      <c r="I994" s="28"/>
    </row>
    <row r="995" spans="1:9" s="3" customFormat="1" ht="22.5" customHeight="1" x14ac:dyDescent="0.25">
      <c r="A995" s="26"/>
      <c r="B995" s="27"/>
      <c r="C995" s="28"/>
      <c r="D995" s="28"/>
      <c r="E995" s="28"/>
      <c r="F995" s="28"/>
      <c r="G995" s="28"/>
      <c r="H995" s="28"/>
      <c r="I995" s="28"/>
    </row>
    <row r="996" spans="1:9" s="3" customFormat="1" ht="22.5" customHeight="1" x14ac:dyDescent="0.25">
      <c r="A996" s="26"/>
      <c r="B996" s="27"/>
      <c r="C996" s="28"/>
      <c r="D996" s="28"/>
      <c r="E996" s="28"/>
      <c r="F996" s="28"/>
      <c r="G996" s="28"/>
      <c r="H996" s="28"/>
      <c r="I996" s="28"/>
    </row>
    <row r="997" spans="1:9" s="3" customFormat="1" ht="22.5" customHeight="1" x14ac:dyDescent="0.25">
      <c r="A997" s="26"/>
      <c r="B997" s="27"/>
      <c r="C997" s="28"/>
      <c r="D997" s="28"/>
      <c r="E997" s="28"/>
      <c r="F997" s="28"/>
      <c r="G997" s="28"/>
      <c r="H997" s="28"/>
      <c r="I997" s="28"/>
    </row>
    <row r="998" spans="1:9" s="3" customFormat="1" ht="22.5" customHeight="1" x14ac:dyDescent="0.25">
      <c r="A998" s="26"/>
      <c r="B998" s="27"/>
      <c r="C998" s="28"/>
      <c r="D998" s="28"/>
      <c r="E998" s="28"/>
      <c r="F998" s="28"/>
      <c r="G998" s="28"/>
      <c r="H998" s="28"/>
      <c r="I998" s="28"/>
    </row>
    <row r="999" spans="1:9" s="3" customFormat="1" ht="22.5" customHeight="1" x14ac:dyDescent="0.25">
      <c r="A999" s="26"/>
      <c r="B999" s="27"/>
      <c r="C999" s="28"/>
      <c r="D999" s="28"/>
      <c r="E999" s="28"/>
      <c r="F999" s="28"/>
      <c r="G999" s="28"/>
      <c r="H999" s="28"/>
      <c r="I999" s="28"/>
    </row>
    <row r="1000" spans="1:9" s="3" customFormat="1" ht="22.5" customHeight="1" x14ac:dyDescent="0.25">
      <c r="A1000" s="26"/>
      <c r="B1000" s="27"/>
      <c r="C1000" s="28"/>
      <c r="D1000" s="28"/>
      <c r="E1000" s="28"/>
      <c r="F1000" s="28"/>
      <c r="G1000" s="28"/>
      <c r="H1000" s="28"/>
      <c r="I1000" s="28"/>
    </row>
    <row r="1001" spans="1:9" s="3" customFormat="1" ht="22.5" customHeight="1" x14ac:dyDescent="0.25">
      <c r="A1001" s="26"/>
      <c r="B1001" s="27"/>
      <c r="C1001" s="28"/>
      <c r="D1001" s="28"/>
      <c r="E1001" s="28"/>
      <c r="F1001" s="28"/>
      <c r="G1001" s="28"/>
      <c r="H1001" s="28"/>
      <c r="I1001" s="28"/>
    </row>
    <row r="1002" spans="1:9" s="3" customFormat="1" ht="22.5" customHeight="1" x14ac:dyDescent="0.25">
      <c r="A1002" s="26"/>
      <c r="B1002" s="27"/>
      <c r="C1002" s="28"/>
      <c r="D1002" s="28"/>
      <c r="E1002" s="28"/>
      <c r="F1002" s="28"/>
      <c r="G1002" s="28"/>
      <c r="H1002" s="28"/>
      <c r="I1002" s="28"/>
    </row>
    <row r="1003" spans="1:9" s="3" customFormat="1" ht="22.5" customHeight="1" x14ac:dyDescent="0.25">
      <c r="A1003" s="26"/>
      <c r="B1003" s="27"/>
      <c r="C1003" s="28"/>
      <c r="D1003" s="28"/>
      <c r="E1003" s="28"/>
      <c r="F1003" s="28"/>
      <c r="G1003" s="28"/>
      <c r="H1003" s="28"/>
      <c r="I1003" s="28"/>
    </row>
    <row r="1004" spans="1:9" s="3" customFormat="1" ht="22.5" customHeight="1" x14ac:dyDescent="0.25">
      <c r="A1004" s="26"/>
      <c r="B1004" s="27"/>
      <c r="C1004" s="28"/>
      <c r="D1004" s="28"/>
      <c r="E1004" s="28"/>
      <c r="F1004" s="28"/>
      <c r="G1004" s="28"/>
      <c r="H1004" s="28"/>
      <c r="I1004" s="28"/>
    </row>
    <row r="1005" spans="1:9" s="3" customFormat="1" ht="22.5" customHeight="1" x14ac:dyDescent="0.25">
      <c r="A1005" s="26"/>
      <c r="B1005" s="27"/>
      <c r="C1005" s="28"/>
      <c r="D1005" s="28"/>
      <c r="E1005" s="28"/>
      <c r="F1005" s="28"/>
      <c r="G1005" s="28"/>
      <c r="H1005" s="28"/>
      <c r="I1005" s="28"/>
    </row>
    <row r="1006" spans="1:9" s="3" customFormat="1" ht="22.5" customHeight="1" x14ac:dyDescent="0.25">
      <c r="A1006" s="26"/>
      <c r="B1006" s="27"/>
      <c r="C1006" s="28"/>
      <c r="D1006" s="28"/>
      <c r="E1006" s="28"/>
      <c r="F1006" s="28"/>
      <c r="G1006" s="28"/>
      <c r="H1006" s="28"/>
      <c r="I1006" s="28"/>
    </row>
    <row r="1007" spans="1:9" s="3" customFormat="1" ht="22.5" customHeight="1" x14ac:dyDescent="0.25">
      <c r="A1007" s="26"/>
      <c r="B1007" s="27"/>
      <c r="C1007" s="28"/>
      <c r="D1007" s="28"/>
      <c r="E1007" s="28"/>
      <c r="F1007" s="28"/>
      <c r="G1007" s="28"/>
      <c r="H1007" s="28"/>
      <c r="I1007" s="28"/>
    </row>
    <row r="1008" spans="1:9" s="3" customFormat="1" ht="22.5" customHeight="1" x14ac:dyDescent="0.25">
      <c r="A1008" s="26"/>
      <c r="B1008" s="27"/>
      <c r="C1008" s="28"/>
      <c r="D1008" s="28"/>
      <c r="E1008" s="28"/>
      <c r="F1008" s="28"/>
      <c r="G1008" s="28"/>
      <c r="H1008" s="28"/>
      <c r="I1008" s="28"/>
    </row>
    <row r="1009" spans="1:9" s="3" customFormat="1" ht="22.5" customHeight="1" x14ac:dyDescent="0.25">
      <c r="A1009" s="26"/>
      <c r="B1009" s="27"/>
      <c r="C1009" s="28"/>
      <c r="D1009" s="28"/>
      <c r="E1009" s="28"/>
      <c r="F1009" s="28"/>
      <c r="G1009" s="28"/>
      <c r="H1009" s="28"/>
      <c r="I1009" s="28"/>
    </row>
    <row r="1010" spans="1:9" s="3" customFormat="1" ht="22.5" customHeight="1" x14ac:dyDescent="0.25">
      <c r="A1010" s="26"/>
      <c r="B1010" s="27"/>
      <c r="C1010" s="28"/>
      <c r="D1010" s="28"/>
      <c r="E1010" s="28"/>
      <c r="F1010" s="28"/>
      <c r="G1010" s="28"/>
      <c r="H1010" s="28"/>
      <c r="I1010" s="28"/>
    </row>
    <row r="1011" spans="1:9" s="3" customFormat="1" ht="22.5" customHeight="1" x14ac:dyDescent="0.25">
      <c r="A1011" s="26"/>
      <c r="B1011" s="27"/>
      <c r="C1011" s="28"/>
      <c r="D1011" s="28"/>
      <c r="E1011" s="28"/>
      <c r="F1011" s="28"/>
      <c r="G1011" s="28"/>
      <c r="H1011" s="28"/>
      <c r="I1011" s="28"/>
    </row>
    <row r="1012" spans="1:9" s="3" customFormat="1" ht="22.5" customHeight="1" x14ac:dyDescent="0.25">
      <c r="A1012" s="26"/>
      <c r="B1012" s="27"/>
      <c r="C1012" s="28"/>
      <c r="D1012" s="28"/>
      <c r="E1012" s="28"/>
      <c r="F1012" s="28"/>
      <c r="G1012" s="28"/>
      <c r="H1012" s="28"/>
      <c r="I1012" s="28"/>
    </row>
    <row r="1013" spans="1:9" s="3" customFormat="1" ht="22.5" customHeight="1" x14ac:dyDescent="0.25">
      <c r="A1013" s="26"/>
      <c r="B1013" s="27"/>
      <c r="C1013" s="28"/>
      <c r="D1013" s="28"/>
      <c r="E1013" s="28"/>
      <c r="F1013" s="28"/>
      <c r="G1013" s="28"/>
      <c r="H1013" s="28"/>
      <c r="I1013" s="28"/>
    </row>
    <row r="1014" spans="1:9" s="3" customFormat="1" ht="22.5" customHeight="1" x14ac:dyDescent="0.25">
      <c r="A1014" s="26"/>
      <c r="B1014" s="27"/>
      <c r="C1014" s="28"/>
      <c r="D1014" s="28"/>
      <c r="E1014" s="28"/>
      <c r="F1014" s="28"/>
      <c r="G1014" s="28"/>
      <c r="H1014" s="28"/>
      <c r="I1014" s="28"/>
    </row>
    <row r="1015" spans="1:9" s="3" customFormat="1" ht="22.5" customHeight="1" x14ac:dyDescent="0.25">
      <c r="A1015" s="26"/>
      <c r="B1015" s="27"/>
      <c r="C1015" s="28"/>
      <c r="D1015" s="28"/>
      <c r="E1015" s="28"/>
      <c r="F1015" s="28"/>
      <c r="G1015" s="28"/>
      <c r="H1015" s="28"/>
      <c r="I1015" s="28"/>
    </row>
    <row r="1016" spans="1:9" s="3" customFormat="1" ht="22.5" customHeight="1" x14ac:dyDescent="0.25">
      <c r="A1016" s="26"/>
      <c r="B1016" s="27"/>
      <c r="C1016" s="28"/>
      <c r="D1016" s="28"/>
      <c r="E1016" s="28"/>
      <c r="F1016" s="28"/>
      <c r="G1016" s="28"/>
      <c r="H1016" s="28"/>
      <c r="I1016" s="28"/>
    </row>
    <row r="1017" spans="1:9" s="3" customFormat="1" ht="22.5" customHeight="1" x14ac:dyDescent="0.25">
      <c r="A1017" s="26"/>
      <c r="B1017" s="27"/>
      <c r="C1017" s="28"/>
      <c r="D1017" s="28"/>
      <c r="E1017" s="28"/>
      <c r="F1017" s="28"/>
      <c r="G1017" s="28"/>
      <c r="H1017" s="28"/>
      <c r="I1017" s="28"/>
    </row>
    <row r="1018" spans="1:9" s="3" customFormat="1" ht="22.5" customHeight="1" x14ac:dyDescent="0.25">
      <c r="A1018" s="26"/>
      <c r="B1018" s="27"/>
      <c r="C1018" s="28"/>
      <c r="D1018" s="28"/>
      <c r="E1018" s="28"/>
      <c r="F1018" s="28"/>
      <c r="G1018" s="28"/>
      <c r="H1018" s="28"/>
      <c r="I1018" s="28"/>
    </row>
    <row r="1019" spans="1:9" s="3" customFormat="1" ht="22.5" customHeight="1" x14ac:dyDescent="0.25">
      <c r="A1019" s="26"/>
      <c r="B1019" s="27"/>
      <c r="C1019" s="28"/>
      <c r="D1019" s="28"/>
      <c r="E1019" s="28"/>
      <c r="F1019" s="28"/>
      <c r="G1019" s="28"/>
      <c r="H1019" s="28"/>
      <c r="I1019" s="28"/>
    </row>
    <row r="1020" spans="1:9" s="3" customFormat="1" ht="22.5" customHeight="1" x14ac:dyDescent="0.25">
      <c r="A1020" s="26"/>
      <c r="B1020" s="27"/>
      <c r="C1020" s="28"/>
      <c r="D1020" s="28"/>
      <c r="E1020" s="28"/>
      <c r="F1020" s="28"/>
      <c r="G1020" s="28"/>
      <c r="H1020" s="28"/>
      <c r="I1020" s="28"/>
    </row>
    <row r="1021" spans="1:9" s="3" customFormat="1" ht="22.5" customHeight="1" x14ac:dyDescent="0.25">
      <c r="A1021" s="26"/>
      <c r="B1021" s="27"/>
      <c r="C1021" s="28"/>
      <c r="D1021" s="28"/>
      <c r="E1021" s="28"/>
      <c r="F1021" s="28"/>
      <c r="G1021" s="28"/>
      <c r="H1021" s="28"/>
      <c r="I1021" s="28"/>
    </row>
    <row r="1022" spans="1:9" s="3" customFormat="1" ht="22.5" customHeight="1" x14ac:dyDescent="0.25">
      <c r="A1022" s="26"/>
      <c r="B1022" s="27"/>
      <c r="C1022" s="28"/>
      <c r="D1022" s="28"/>
      <c r="E1022" s="28"/>
      <c r="F1022" s="28"/>
      <c r="G1022" s="28"/>
      <c r="H1022" s="28"/>
      <c r="I1022" s="28"/>
    </row>
    <row r="1023" spans="1:9" s="3" customFormat="1" ht="22.5" customHeight="1" x14ac:dyDescent="0.25">
      <c r="A1023" s="26"/>
      <c r="B1023" s="27"/>
      <c r="C1023" s="28"/>
      <c r="D1023" s="28"/>
      <c r="E1023" s="28"/>
      <c r="F1023" s="28"/>
      <c r="G1023" s="28"/>
      <c r="H1023" s="28"/>
      <c r="I1023" s="28"/>
    </row>
    <row r="1024" spans="1:9" s="3" customFormat="1" ht="22.5" customHeight="1" x14ac:dyDescent="0.25">
      <c r="A1024" s="26"/>
      <c r="B1024" s="27"/>
      <c r="C1024" s="28"/>
      <c r="D1024" s="28"/>
      <c r="E1024" s="28"/>
      <c r="F1024" s="28"/>
      <c r="G1024" s="28"/>
      <c r="H1024" s="28"/>
      <c r="I1024" s="28"/>
    </row>
    <row r="1025" spans="1:32" s="3" customFormat="1" ht="22.5" customHeight="1" x14ac:dyDescent="0.25">
      <c r="A1025" s="26"/>
      <c r="B1025" s="27"/>
      <c r="C1025" s="28"/>
      <c r="D1025" s="28"/>
      <c r="E1025" s="28"/>
      <c r="F1025" s="28"/>
      <c r="G1025" s="28"/>
      <c r="H1025" s="28"/>
      <c r="I1025" s="28"/>
    </row>
    <row r="1026" spans="1:32" s="3" customFormat="1" ht="22.5" customHeight="1" x14ac:dyDescent="0.25">
      <c r="A1026" s="26"/>
      <c r="B1026" s="27"/>
      <c r="C1026" s="28"/>
      <c r="D1026" s="28"/>
      <c r="E1026" s="28"/>
      <c r="F1026" s="28"/>
      <c r="G1026" s="28"/>
      <c r="H1026" s="28"/>
      <c r="I1026" s="28"/>
    </row>
    <row r="1027" spans="1:32" s="3" customFormat="1" ht="22.5" customHeight="1" x14ac:dyDescent="0.25">
      <c r="A1027" s="26"/>
      <c r="B1027" s="27"/>
      <c r="C1027" s="28"/>
      <c r="D1027" s="28"/>
      <c r="E1027" s="28"/>
      <c r="F1027" s="28"/>
      <c r="G1027" s="28"/>
      <c r="H1027" s="28"/>
      <c r="I1027" s="28"/>
    </row>
    <row r="1028" spans="1:32" s="3" customFormat="1" ht="22.5" customHeight="1" x14ac:dyDescent="0.25">
      <c r="A1028" s="26"/>
      <c r="B1028" s="27"/>
      <c r="C1028" s="28"/>
      <c r="D1028" s="28"/>
      <c r="E1028" s="28"/>
      <c r="F1028" s="28"/>
      <c r="G1028" s="28"/>
      <c r="H1028" s="28"/>
      <c r="I1028" s="28"/>
    </row>
    <row r="1029" spans="1:32" s="3" customFormat="1" ht="22.5" customHeight="1" x14ac:dyDescent="0.25">
      <c r="A1029" s="26"/>
      <c r="B1029" s="27"/>
      <c r="C1029" s="28"/>
      <c r="D1029" s="28"/>
      <c r="E1029" s="28"/>
      <c r="F1029" s="28"/>
      <c r="G1029" s="28"/>
      <c r="H1029" s="28"/>
      <c r="I1029" s="28"/>
    </row>
    <row r="1030" spans="1:32" s="3" customFormat="1" ht="22.5" customHeight="1" x14ac:dyDescent="0.25">
      <c r="A1030" s="26"/>
      <c r="B1030" s="27"/>
      <c r="C1030" s="28"/>
      <c r="D1030" s="28"/>
      <c r="E1030" s="28"/>
      <c r="F1030" s="28"/>
      <c r="G1030" s="28"/>
      <c r="H1030" s="28"/>
      <c r="I1030" s="28"/>
      <c r="AE1030" s="27"/>
      <c r="AF1030" s="27"/>
    </row>
    <row r="1031" spans="1:32" s="3" customFormat="1" ht="22.5" customHeight="1" x14ac:dyDescent="0.25">
      <c r="A1031" s="26"/>
      <c r="B1031" s="27"/>
      <c r="C1031" s="28"/>
      <c r="D1031" s="28"/>
      <c r="E1031" s="28"/>
      <c r="F1031" s="28"/>
      <c r="G1031" s="28"/>
      <c r="H1031" s="28"/>
      <c r="I1031" s="28"/>
      <c r="AE1031" s="27"/>
      <c r="AF1031" s="27"/>
    </row>
  </sheetData>
  <mergeCells count="17">
    <mergeCell ref="X7:AD7"/>
    <mergeCell ref="AH7:AS7"/>
    <mergeCell ref="AH8:AM8"/>
    <mergeCell ref="AN8:AS8"/>
    <mergeCell ref="A6:A9"/>
    <mergeCell ref="B6:B9"/>
    <mergeCell ref="C6:AD6"/>
    <mergeCell ref="AF6:AF9"/>
    <mergeCell ref="AG6:AG9"/>
    <mergeCell ref="C8:I8"/>
    <mergeCell ref="J8:P8"/>
    <mergeCell ref="Q8:W8"/>
    <mergeCell ref="X8:AD8"/>
    <mergeCell ref="AH6:AS6"/>
    <mergeCell ref="C7:I7"/>
    <mergeCell ref="J7:P7"/>
    <mergeCell ref="Q7:W7"/>
  </mergeCells>
  <pageMargins left="0" right="0" top="0" bottom="0" header="0" footer="0"/>
  <pageSetup paperSize="8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A1:AX15"/>
  <sheetViews>
    <sheetView topLeftCell="A2" zoomScaleNormal="100" workbookViewId="0">
      <selection activeCell="G16" sqref="G16"/>
    </sheetView>
  </sheetViews>
  <sheetFormatPr defaultColWidth="4.7109375" defaultRowHeight="22.5" customHeight="1" x14ac:dyDescent="0.25"/>
  <cols>
    <col min="1" max="1" width="3" style="53" customWidth="1"/>
    <col min="2" max="2" width="8.7109375" style="53" customWidth="1"/>
    <col min="3" max="50" width="3.5703125" style="29" customWidth="1"/>
    <col min="51" max="16384" width="4.7109375" style="29"/>
  </cols>
  <sheetData>
    <row r="1" spans="1:50" s="27" customFormat="1" ht="22.5" customHeight="1" x14ac:dyDescent="0.25">
      <c r="A1" s="26"/>
      <c r="C1" s="28"/>
      <c r="D1" s="28"/>
      <c r="E1" s="28"/>
      <c r="F1" s="28"/>
      <c r="G1" s="28"/>
      <c r="H1" s="28"/>
      <c r="I1" s="28"/>
    </row>
    <row r="2" spans="1:50" s="1" customFormat="1" ht="21" x14ac:dyDescent="0.35"/>
    <row r="3" spans="1:50" s="2" customFormat="1" ht="21" x14ac:dyDescent="0.35">
      <c r="B3" s="2" t="s">
        <v>0</v>
      </c>
    </row>
    <row r="4" spans="1:50" s="1" customFormat="1" ht="21" x14ac:dyDescent="0.35"/>
    <row r="5" spans="1:50" s="1" customFormat="1" ht="21.75" thickBot="1" x14ac:dyDescent="0.4"/>
    <row r="6" spans="1:50" ht="22.5" customHeight="1" thickBot="1" x14ac:dyDescent="0.3">
      <c r="A6" s="383" t="s">
        <v>1</v>
      </c>
      <c r="B6" s="386" t="s">
        <v>2</v>
      </c>
      <c r="C6" s="389" t="s">
        <v>30</v>
      </c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0"/>
      <c r="AP6" s="390"/>
      <c r="AQ6" s="390"/>
      <c r="AR6" s="390"/>
      <c r="AS6" s="390"/>
      <c r="AT6" s="390"/>
      <c r="AU6" s="390"/>
      <c r="AV6" s="390"/>
      <c r="AW6" s="390"/>
      <c r="AX6" s="391"/>
    </row>
    <row r="7" spans="1:50" ht="22.5" customHeight="1" thickBot="1" x14ac:dyDescent="0.3">
      <c r="A7" s="384"/>
      <c r="B7" s="387"/>
      <c r="C7" s="392" t="s">
        <v>31</v>
      </c>
      <c r="D7" s="393"/>
      <c r="E7" s="393"/>
      <c r="F7" s="393"/>
      <c r="G7" s="393"/>
      <c r="H7" s="394"/>
      <c r="I7" s="392" t="s">
        <v>32</v>
      </c>
      <c r="J7" s="393"/>
      <c r="K7" s="393"/>
      <c r="L7" s="393"/>
      <c r="M7" s="393"/>
      <c r="N7" s="394"/>
      <c r="O7" s="392" t="s">
        <v>33</v>
      </c>
      <c r="P7" s="393"/>
      <c r="Q7" s="393"/>
      <c r="R7" s="393"/>
      <c r="S7" s="393"/>
      <c r="T7" s="394"/>
      <c r="U7" s="392" t="s">
        <v>34</v>
      </c>
      <c r="V7" s="393"/>
      <c r="W7" s="393"/>
      <c r="X7" s="393"/>
      <c r="Y7" s="393"/>
      <c r="Z7" s="394"/>
      <c r="AA7" s="392" t="s">
        <v>35</v>
      </c>
      <c r="AB7" s="393"/>
      <c r="AC7" s="393"/>
      <c r="AD7" s="393"/>
      <c r="AE7" s="393"/>
      <c r="AF7" s="394"/>
      <c r="AG7" s="392" t="s">
        <v>36</v>
      </c>
      <c r="AH7" s="393"/>
      <c r="AI7" s="393"/>
      <c r="AJ7" s="393"/>
      <c r="AK7" s="393"/>
      <c r="AL7" s="394"/>
      <c r="AM7" s="392" t="s">
        <v>37</v>
      </c>
      <c r="AN7" s="393"/>
      <c r="AO7" s="393"/>
      <c r="AP7" s="393"/>
      <c r="AQ7" s="393"/>
      <c r="AR7" s="394"/>
      <c r="AS7" s="392" t="s">
        <v>38</v>
      </c>
      <c r="AT7" s="393"/>
      <c r="AU7" s="393"/>
      <c r="AV7" s="393"/>
      <c r="AW7" s="393"/>
      <c r="AX7" s="394"/>
    </row>
    <row r="8" spans="1:50" ht="25.5" customHeight="1" x14ac:dyDescent="0.25">
      <c r="A8" s="384"/>
      <c r="B8" s="387"/>
      <c r="C8" s="373" t="s">
        <v>39</v>
      </c>
      <c r="D8" s="374"/>
      <c r="E8" s="374"/>
      <c r="F8" s="374"/>
      <c r="G8" s="374"/>
      <c r="H8" s="375"/>
      <c r="I8" s="373" t="s">
        <v>39</v>
      </c>
      <c r="J8" s="374"/>
      <c r="K8" s="374"/>
      <c r="L8" s="374"/>
      <c r="M8" s="374"/>
      <c r="N8" s="375"/>
      <c r="O8" s="373" t="s">
        <v>39</v>
      </c>
      <c r="P8" s="374"/>
      <c r="Q8" s="374"/>
      <c r="R8" s="374"/>
      <c r="S8" s="374"/>
      <c r="T8" s="375"/>
      <c r="U8" s="373" t="s">
        <v>39</v>
      </c>
      <c r="V8" s="374"/>
      <c r="W8" s="374"/>
      <c r="X8" s="374"/>
      <c r="Y8" s="374"/>
      <c r="Z8" s="375"/>
      <c r="AA8" s="373" t="s">
        <v>39</v>
      </c>
      <c r="AB8" s="374"/>
      <c r="AC8" s="374"/>
      <c r="AD8" s="374"/>
      <c r="AE8" s="374"/>
      <c r="AF8" s="375"/>
      <c r="AG8" s="373" t="s">
        <v>39</v>
      </c>
      <c r="AH8" s="374"/>
      <c r="AI8" s="374"/>
      <c r="AJ8" s="374"/>
      <c r="AK8" s="374"/>
      <c r="AL8" s="375"/>
      <c r="AM8" s="373" t="s">
        <v>39</v>
      </c>
      <c r="AN8" s="374"/>
      <c r="AO8" s="374"/>
      <c r="AP8" s="374"/>
      <c r="AQ8" s="374"/>
      <c r="AR8" s="375"/>
      <c r="AS8" s="373" t="s">
        <v>39</v>
      </c>
      <c r="AT8" s="374"/>
      <c r="AU8" s="374"/>
      <c r="AV8" s="374"/>
      <c r="AW8" s="374"/>
      <c r="AX8" s="375"/>
    </row>
    <row r="9" spans="1:50" ht="22.5" customHeight="1" thickBot="1" x14ac:dyDescent="0.3">
      <c r="A9" s="385"/>
      <c r="B9" s="388"/>
      <c r="C9" s="30">
        <v>0</v>
      </c>
      <c r="D9" s="31">
        <v>2</v>
      </c>
      <c r="E9" s="31">
        <v>4</v>
      </c>
      <c r="F9" s="31">
        <v>6</v>
      </c>
      <c r="G9" s="31">
        <v>8</v>
      </c>
      <c r="H9" s="32">
        <v>10</v>
      </c>
      <c r="I9" s="30">
        <v>0</v>
      </c>
      <c r="J9" s="31">
        <v>2</v>
      </c>
      <c r="K9" s="31">
        <v>4</v>
      </c>
      <c r="L9" s="31">
        <v>6</v>
      </c>
      <c r="M9" s="31">
        <v>8</v>
      </c>
      <c r="N9" s="32">
        <v>10</v>
      </c>
      <c r="O9" s="30">
        <v>0</v>
      </c>
      <c r="P9" s="31">
        <v>2</v>
      </c>
      <c r="Q9" s="31">
        <v>4</v>
      </c>
      <c r="R9" s="31">
        <v>6</v>
      </c>
      <c r="S9" s="31">
        <v>8</v>
      </c>
      <c r="T9" s="32">
        <v>10</v>
      </c>
      <c r="U9" s="30">
        <v>0</v>
      </c>
      <c r="V9" s="31">
        <v>2</v>
      </c>
      <c r="W9" s="31">
        <v>4</v>
      </c>
      <c r="X9" s="31">
        <v>6</v>
      </c>
      <c r="Y9" s="31">
        <v>8</v>
      </c>
      <c r="Z9" s="32">
        <v>10</v>
      </c>
      <c r="AA9" s="30">
        <v>0</v>
      </c>
      <c r="AB9" s="31">
        <v>2</v>
      </c>
      <c r="AC9" s="31">
        <v>4</v>
      </c>
      <c r="AD9" s="31">
        <v>6</v>
      </c>
      <c r="AE9" s="31">
        <v>8</v>
      </c>
      <c r="AF9" s="32">
        <v>10</v>
      </c>
      <c r="AG9" s="30">
        <v>0</v>
      </c>
      <c r="AH9" s="31">
        <v>2</v>
      </c>
      <c r="AI9" s="31">
        <v>4</v>
      </c>
      <c r="AJ9" s="31">
        <v>6</v>
      </c>
      <c r="AK9" s="31">
        <v>8</v>
      </c>
      <c r="AL9" s="32">
        <v>10</v>
      </c>
      <c r="AM9" s="30">
        <v>0</v>
      </c>
      <c r="AN9" s="31">
        <v>2</v>
      </c>
      <c r="AO9" s="31">
        <v>4</v>
      </c>
      <c r="AP9" s="31">
        <v>6</v>
      </c>
      <c r="AQ9" s="31">
        <v>8</v>
      </c>
      <c r="AR9" s="32">
        <v>10</v>
      </c>
      <c r="AS9" s="30">
        <v>0</v>
      </c>
      <c r="AT9" s="31">
        <v>2</v>
      </c>
      <c r="AU9" s="31">
        <v>4</v>
      </c>
      <c r="AV9" s="33">
        <v>6</v>
      </c>
      <c r="AW9" s="31">
        <v>8</v>
      </c>
      <c r="AX9" s="32">
        <v>10</v>
      </c>
    </row>
    <row r="10" spans="1:50" ht="22.5" customHeight="1" thickBot="1" x14ac:dyDescent="0.3">
      <c r="A10" s="34">
        <v>1</v>
      </c>
      <c r="B10" s="35" t="s">
        <v>24</v>
      </c>
      <c r="C10" s="13" t="s">
        <v>25</v>
      </c>
      <c r="D10" s="36"/>
      <c r="E10" s="36"/>
      <c r="F10" s="36"/>
      <c r="G10" s="36"/>
      <c r="H10" s="37"/>
      <c r="I10" s="38"/>
      <c r="J10" s="39"/>
      <c r="K10" s="39"/>
      <c r="L10" s="40" t="s">
        <v>25</v>
      </c>
      <c r="M10" s="39"/>
      <c r="N10" s="41"/>
      <c r="O10" s="42"/>
      <c r="P10" s="13" t="s">
        <v>25</v>
      </c>
      <c r="Q10" s="36"/>
      <c r="R10" s="36"/>
      <c r="S10" s="36"/>
      <c r="T10" s="37"/>
      <c r="U10" s="38"/>
      <c r="V10" s="39"/>
      <c r="W10" s="39"/>
      <c r="X10" s="40" t="s">
        <v>25</v>
      </c>
      <c r="Y10" s="39"/>
      <c r="Z10" s="41"/>
      <c r="AA10" s="42"/>
      <c r="AB10" s="43" t="s">
        <v>25</v>
      </c>
      <c r="AC10" s="36"/>
      <c r="AD10" s="36"/>
      <c r="AE10" s="36"/>
      <c r="AF10" s="37"/>
      <c r="AG10" s="38"/>
      <c r="AH10" s="39" t="s">
        <v>25</v>
      </c>
      <c r="AI10" s="39"/>
      <c r="AJ10" s="39"/>
      <c r="AK10" s="39"/>
      <c r="AL10" s="41"/>
      <c r="AM10" s="42"/>
      <c r="AN10" s="36"/>
      <c r="AO10" s="36"/>
      <c r="AP10" s="43" t="s">
        <v>25</v>
      </c>
      <c r="AQ10" s="36"/>
      <c r="AR10" s="37"/>
      <c r="AS10" s="38"/>
      <c r="AT10" s="39"/>
      <c r="AU10" s="39"/>
      <c r="AV10" s="44" t="s">
        <v>25</v>
      </c>
      <c r="AW10" s="39"/>
      <c r="AX10" s="41"/>
    </row>
    <row r="11" spans="1:50" ht="22.5" customHeight="1" thickBot="1" x14ac:dyDescent="0.3">
      <c r="A11" s="34">
        <v>2</v>
      </c>
      <c r="B11" s="35" t="s">
        <v>26</v>
      </c>
      <c r="C11" s="13" t="s">
        <v>25</v>
      </c>
      <c r="D11" s="36"/>
      <c r="E11" s="36"/>
      <c r="F11" s="36"/>
      <c r="G11" s="36"/>
      <c r="H11" s="37"/>
      <c r="I11" s="38"/>
      <c r="J11" s="39"/>
      <c r="K11" s="39"/>
      <c r="L11" s="40" t="s">
        <v>25</v>
      </c>
      <c r="M11" s="39"/>
      <c r="N11" s="41"/>
      <c r="O11" s="42"/>
      <c r="P11" s="13" t="s">
        <v>25</v>
      </c>
      <c r="Q11" s="36"/>
      <c r="R11" s="36"/>
      <c r="S11" s="36"/>
      <c r="T11" s="37"/>
      <c r="U11" s="38"/>
      <c r="V11" s="39"/>
      <c r="W11" s="39"/>
      <c r="X11" s="40" t="s">
        <v>25</v>
      </c>
      <c r="Y11" s="39"/>
      <c r="Z11" s="41"/>
      <c r="AA11" s="42"/>
      <c r="AB11" s="43" t="s">
        <v>25</v>
      </c>
      <c r="AC11" s="36"/>
      <c r="AD11" s="36"/>
      <c r="AE11" s="36"/>
      <c r="AF11" s="37"/>
      <c r="AG11" s="38"/>
      <c r="AH11" s="39" t="s">
        <v>25</v>
      </c>
      <c r="AI11" s="39"/>
      <c r="AJ11" s="39"/>
      <c r="AK11" s="39"/>
      <c r="AL11" s="41"/>
      <c r="AM11" s="42"/>
      <c r="AN11" s="36"/>
      <c r="AO11" s="36"/>
      <c r="AP11" s="43" t="s">
        <v>25</v>
      </c>
      <c r="AQ11" s="36"/>
      <c r="AR11" s="37"/>
      <c r="AS11" s="38"/>
      <c r="AT11" s="39"/>
      <c r="AU11" s="44" t="s">
        <v>25</v>
      </c>
      <c r="AV11" s="39"/>
      <c r="AW11" s="39"/>
      <c r="AX11" s="41"/>
    </row>
    <row r="12" spans="1:50" ht="22.5" customHeight="1" thickBot="1" x14ac:dyDescent="0.3">
      <c r="A12" s="34">
        <v>3</v>
      </c>
      <c r="B12" s="35" t="s">
        <v>28</v>
      </c>
      <c r="C12" s="13" t="s">
        <v>25</v>
      </c>
      <c r="D12" s="36"/>
      <c r="E12" s="36"/>
      <c r="F12" s="36"/>
      <c r="G12" s="36"/>
      <c r="H12" s="37"/>
      <c r="I12" s="38"/>
      <c r="J12" s="40" t="s">
        <v>25</v>
      </c>
      <c r="K12" s="39"/>
      <c r="L12" s="45"/>
      <c r="M12" s="39"/>
      <c r="N12" s="41"/>
      <c r="O12" s="42"/>
      <c r="P12" s="13"/>
      <c r="Q12" s="13" t="s">
        <v>25</v>
      </c>
      <c r="R12" s="36"/>
      <c r="S12" s="36"/>
      <c r="T12" s="37"/>
      <c r="U12" s="38"/>
      <c r="V12" s="39"/>
      <c r="W12" s="39"/>
      <c r="X12" s="39"/>
      <c r="Y12" s="40" t="s">
        <v>25</v>
      </c>
      <c r="Z12" s="41"/>
      <c r="AA12" s="42"/>
      <c r="AB12" s="43" t="s">
        <v>25</v>
      </c>
      <c r="AC12" s="36"/>
      <c r="AD12" s="36"/>
      <c r="AE12" s="36"/>
      <c r="AF12" s="37"/>
      <c r="AG12" s="38"/>
      <c r="AH12" s="39" t="s">
        <v>25</v>
      </c>
      <c r="AI12" s="39"/>
      <c r="AJ12" s="39"/>
      <c r="AK12" s="39"/>
      <c r="AL12" s="41"/>
      <c r="AM12" s="42"/>
      <c r="AN12" s="36"/>
      <c r="AO12" s="36"/>
      <c r="AP12" s="43" t="s">
        <v>25</v>
      </c>
      <c r="AQ12" s="36"/>
      <c r="AR12" s="37"/>
      <c r="AS12" s="38"/>
      <c r="AT12" s="39"/>
      <c r="AU12" s="39"/>
      <c r="AV12" s="44" t="s">
        <v>25</v>
      </c>
      <c r="AW12" s="39"/>
      <c r="AX12" s="41"/>
    </row>
    <row r="13" spans="1:50" ht="22.5" customHeight="1" thickBot="1" x14ac:dyDescent="0.3">
      <c r="A13" s="34">
        <v>4</v>
      </c>
      <c r="B13" s="35" t="s">
        <v>27</v>
      </c>
      <c r="C13" s="13" t="s">
        <v>25</v>
      </c>
      <c r="D13" s="36"/>
      <c r="E13" s="36"/>
      <c r="F13" s="36"/>
      <c r="G13" s="36"/>
      <c r="H13" s="37"/>
      <c r="I13" s="38"/>
      <c r="J13" s="40" t="s">
        <v>25</v>
      </c>
      <c r="K13" s="39"/>
      <c r="L13" s="45"/>
      <c r="M13" s="39"/>
      <c r="N13" s="41"/>
      <c r="O13" s="42"/>
      <c r="P13" s="13"/>
      <c r="Q13" s="13" t="s">
        <v>25</v>
      </c>
      <c r="R13" s="36"/>
      <c r="S13" s="36"/>
      <c r="T13" s="37"/>
      <c r="U13" s="38"/>
      <c r="V13" s="39"/>
      <c r="W13" s="39"/>
      <c r="X13" s="39"/>
      <c r="Y13" s="40" t="s">
        <v>25</v>
      </c>
      <c r="Z13" s="41"/>
      <c r="AA13" s="42"/>
      <c r="AB13" s="43" t="s">
        <v>25</v>
      </c>
      <c r="AC13" s="36"/>
      <c r="AD13" s="36"/>
      <c r="AE13" s="36"/>
      <c r="AF13" s="37"/>
      <c r="AG13" s="38"/>
      <c r="AH13" s="39" t="s">
        <v>25</v>
      </c>
      <c r="AI13" s="39"/>
      <c r="AJ13" s="39"/>
      <c r="AK13" s="39"/>
      <c r="AL13" s="41"/>
      <c r="AM13" s="42"/>
      <c r="AN13" s="36"/>
      <c r="AO13" s="36"/>
      <c r="AP13" s="43" t="s">
        <v>25</v>
      </c>
      <c r="AQ13" s="36"/>
      <c r="AR13" s="37"/>
      <c r="AS13" s="38"/>
      <c r="AT13" s="39"/>
      <c r="AU13" s="39"/>
      <c r="AV13" s="44" t="s">
        <v>25</v>
      </c>
      <c r="AW13" s="39"/>
      <c r="AX13" s="41"/>
    </row>
    <row r="14" spans="1:50" ht="22.5" customHeight="1" thickBot="1" x14ac:dyDescent="0.3">
      <c r="A14" s="46">
        <v>5</v>
      </c>
      <c r="B14" s="47" t="s">
        <v>29</v>
      </c>
      <c r="C14" s="48"/>
      <c r="D14" s="13" t="s">
        <v>25</v>
      </c>
      <c r="E14" s="49"/>
      <c r="F14" s="49"/>
      <c r="G14" s="49"/>
      <c r="H14" s="50"/>
      <c r="I14" s="51"/>
      <c r="J14" s="44"/>
      <c r="K14" s="44"/>
      <c r="L14" s="40" t="s">
        <v>25</v>
      </c>
      <c r="M14" s="44"/>
      <c r="N14" s="52"/>
      <c r="O14" s="48"/>
      <c r="P14" s="13" t="s">
        <v>25</v>
      </c>
      <c r="Q14" s="49"/>
      <c r="R14" s="49"/>
      <c r="S14" s="49"/>
      <c r="T14" s="50"/>
      <c r="U14" s="51"/>
      <c r="V14" s="44"/>
      <c r="W14" s="40" t="s">
        <v>25</v>
      </c>
      <c r="X14" s="44"/>
      <c r="Y14" s="44"/>
      <c r="Z14" s="52"/>
      <c r="AA14" s="48"/>
      <c r="AB14" s="43" t="s">
        <v>25</v>
      </c>
      <c r="AC14" s="49"/>
      <c r="AD14" s="49"/>
      <c r="AE14" s="49"/>
      <c r="AF14" s="50"/>
      <c r="AG14" s="51"/>
      <c r="AH14" s="44" t="s">
        <v>25</v>
      </c>
      <c r="AI14" s="44"/>
      <c r="AJ14" s="44"/>
      <c r="AK14" s="44"/>
      <c r="AL14" s="52"/>
      <c r="AM14" s="48"/>
      <c r="AN14" s="49"/>
      <c r="AO14" s="49"/>
      <c r="AP14" s="49"/>
      <c r="AQ14" s="43" t="s">
        <v>25</v>
      </c>
      <c r="AR14" s="43"/>
      <c r="AS14" s="51"/>
      <c r="AT14" s="44"/>
      <c r="AU14" s="44"/>
      <c r="AV14" s="44"/>
      <c r="AW14" s="44" t="s">
        <v>25</v>
      </c>
      <c r="AX14" s="52"/>
    </row>
    <row r="15" spans="1:50" ht="5.85" customHeight="1" x14ac:dyDescent="0.25"/>
  </sheetData>
  <mergeCells count="19">
    <mergeCell ref="AS8:AX8"/>
    <mergeCell ref="A6:A9"/>
    <mergeCell ref="B6:B9"/>
    <mergeCell ref="C6:AX6"/>
    <mergeCell ref="C7:H7"/>
    <mergeCell ref="I7:N7"/>
    <mergeCell ref="O7:T7"/>
    <mergeCell ref="U7:Z7"/>
    <mergeCell ref="AA7:AF7"/>
    <mergeCell ref="AG7:AL7"/>
    <mergeCell ref="AM7:AR7"/>
    <mergeCell ref="AS7:AX7"/>
    <mergeCell ref="C8:H8"/>
    <mergeCell ref="I8:N8"/>
    <mergeCell ref="O8:T8"/>
    <mergeCell ref="U8:Z8"/>
    <mergeCell ref="AA8:AF8"/>
    <mergeCell ref="AG8:AL8"/>
    <mergeCell ref="AM8:AR8"/>
  </mergeCells>
  <printOptions horizontalCentered="1" verticalCentered="1"/>
  <pageMargins left="0" right="0" top="0" bottom="0" header="0" footer="0"/>
  <pageSetup paperSize="8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A3:BA80"/>
  <sheetViews>
    <sheetView topLeftCell="U38" zoomScaleNormal="100" workbookViewId="0">
      <selection activeCell="AV42" sqref="AV42"/>
    </sheetView>
  </sheetViews>
  <sheetFormatPr defaultColWidth="9" defaultRowHeight="15" x14ac:dyDescent="0.25"/>
  <cols>
    <col min="1" max="3" width="4.5703125" style="54" customWidth="1"/>
    <col min="4" max="10" width="6.7109375" style="54" customWidth="1"/>
    <col min="11" max="11" width="1" style="54" customWidth="1"/>
    <col min="12" max="14" width="4.5703125" style="54" customWidth="1"/>
    <col min="15" max="21" width="6.7109375" style="54" customWidth="1"/>
    <col min="22" max="22" width="1" style="54" customWidth="1"/>
    <col min="23" max="25" width="4.5703125" style="54" customWidth="1"/>
    <col min="26" max="32" width="6.7109375" style="54" customWidth="1"/>
    <col min="33" max="33" width="1" style="54" customWidth="1"/>
    <col min="34" max="35" width="6.140625" style="54" customWidth="1"/>
    <col min="36" max="37" width="6.7109375" style="54" customWidth="1"/>
    <col min="38" max="39" width="6.140625" style="54" customWidth="1"/>
    <col min="40" max="40" width="1" style="54" customWidth="1"/>
    <col min="41" max="42" width="6.140625" style="54" customWidth="1"/>
    <col min="43" max="44" width="6.7109375" style="54" customWidth="1"/>
    <col min="45" max="46" width="6.140625" style="54" customWidth="1"/>
    <col min="47" max="47" width="1" style="54" customWidth="1"/>
    <col min="48" max="49" width="6.140625" style="54" customWidth="1"/>
    <col min="50" max="51" width="6.7109375" style="54" customWidth="1"/>
    <col min="52" max="53" width="6.140625" style="54" customWidth="1"/>
    <col min="54" max="16384" width="9" style="54"/>
  </cols>
  <sheetData>
    <row r="3" spans="1:53" s="2" customFormat="1" ht="21" x14ac:dyDescent="0.35">
      <c r="B3" s="2" t="s">
        <v>0</v>
      </c>
    </row>
    <row r="5" spans="1:53" ht="15.75" thickBot="1" x14ac:dyDescent="0.3"/>
    <row r="6" spans="1:53" ht="15.75" thickBot="1" x14ac:dyDescent="0.3">
      <c r="A6" s="395" t="s">
        <v>24</v>
      </c>
      <c r="B6" s="396"/>
      <c r="C6" s="396"/>
      <c r="D6" s="396"/>
      <c r="E6" s="396"/>
      <c r="F6" s="396"/>
      <c r="G6" s="396"/>
      <c r="H6" s="396"/>
      <c r="I6" s="396"/>
      <c r="J6" s="397"/>
      <c r="K6" s="55"/>
      <c r="L6" s="395" t="s">
        <v>26</v>
      </c>
      <c r="M6" s="396"/>
      <c r="N6" s="396"/>
      <c r="O6" s="396"/>
      <c r="P6" s="396"/>
      <c r="Q6" s="396"/>
      <c r="R6" s="396"/>
      <c r="S6" s="396"/>
      <c r="T6" s="396"/>
      <c r="U6" s="397"/>
      <c r="W6" s="395" t="s">
        <v>27</v>
      </c>
      <c r="X6" s="396"/>
      <c r="Y6" s="396"/>
      <c r="Z6" s="396"/>
      <c r="AA6" s="396"/>
      <c r="AB6" s="396"/>
      <c r="AC6" s="396"/>
      <c r="AD6" s="396"/>
      <c r="AE6" s="396"/>
      <c r="AF6" s="397"/>
      <c r="AH6" s="395" t="s">
        <v>24</v>
      </c>
      <c r="AI6" s="396"/>
      <c r="AJ6" s="396"/>
      <c r="AK6" s="396"/>
      <c r="AL6" s="396"/>
      <c r="AM6" s="397"/>
      <c r="AO6" s="395" t="s">
        <v>26</v>
      </c>
      <c r="AP6" s="396"/>
      <c r="AQ6" s="396"/>
      <c r="AR6" s="396"/>
      <c r="AS6" s="396"/>
      <c r="AT6" s="397"/>
      <c r="AV6" s="395" t="s">
        <v>27</v>
      </c>
      <c r="AW6" s="396"/>
      <c r="AX6" s="396"/>
      <c r="AY6" s="396"/>
      <c r="AZ6" s="396"/>
      <c r="BA6" s="397"/>
    </row>
    <row r="7" spans="1:53" ht="30" customHeight="1" x14ac:dyDescent="0.25">
      <c r="A7" s="401" t="s">
        <v>40</v>
      </c>
      <c r="B7" s="402"/>
      <c r="C7" s="403"/>
      <c r="D7" s="402" t="s">
        <v>41</v>
      </c>
      <c r="E7" s="403"/>
      <c r="F7" s="398" t="s">
        <v>42</v>
      </c>
      <c r="G7" s="399"/>
      <c r="H7" s="399"/>
      <c r="I7" s="399"/>
      <c r="J7" s="400"/>
      <c r="K7" s="56"/>
      <c r="L7" s="401" t="s">
        <v>40</v>
      </c>
      <c r="M7" s="402"/>
      <c r="N7" s="403"/>
      <c r="O7" s="401" t="s">
        <v>41</v>
      </c>
      <c r="P7" s="403"/>
      <c r="Q7" s="398" t="s">
        <v>42</v>
      </c>
      <c r="R7" s="399"/>
      <c r="S7" s="399"/>
      <c r="T7" s="399"/>
      <c r="U7" s="400"/>
      <c r="W7" s="401" t="s">
        <v>40</v>
      </c>
      <c r="X7" s="402"/>
      <c r="Y7" s="403"/>
      <c r="Z7" s="401" t="s">
        <v>41</v>
      </c>
      <c r="AA7" s="403"/>
      <c r="AB7" s="398" t="s">
        <v>42</v>
      </c>
      <c r="AC7" s="399"/>
      <c r="AD7" s="399"/>
      <c r="AE7" s="399"/>
      <c r="AF7" s="400"/>
      <c r="AH7" s="401" t="s">
        <v>40</v>
      </c>
      <c r="AI7" s="403"/>
      <c r="AJ7" s="401" t="s">
        <v>41</v>
      </c>
      <c r="AK7" s="403"/>
      <c r="AL7" s="401" t="s">
        <v>43</v>
      </c>
      <c r="AM7" s="403"/>
      <c r="AO7" s="401" t="s">
        <v>40</v>
      </c>
      <c r="AP7" s="403"/>
      <c r="AQ7" s="401" t="s">
        <v>41</v>
      </c>
      <c r="AR7" s="403"/>
      <c r="AS7" s="401" t="s">
        <v>43</v>
      </c>
      <c r="AT7" s="403"/>
      <c r="AV7" s="401" t="s">
        <v>40</v>
      </c>
      <c r="AW7" s="403"/>
      <c r="AX7" s="401" t="s">
        <v>41</v>
      </c>
      <c r="AY7" s="403"/>
      <c r="AZ7" s="401" t="s">
        <v>43</v>
      </c>
      <c r="BA7" s="403"/>
    </row>
    <row r="8" spans="1:53" ht="30" customHeight="1" thickBot="1" x14ac:dyDescent="0.3">
      <c r="A8" s="57" t="s">
        <v>44</v>
      </c>
      <c r="B8" s="58" t="s">
        <v>45</v>
      </c>
      <c r="C8" s="59" t="s">
        <v>46</v>
      </c>
      <c r="D8" s="60" t="s">
        <v>47</v>
      </c>
      <c r="E8" s="61" t="s">
        <v>48</v>
      </c>
      <c r="F8" s="62" t="s">
        <v>49</v>
      </c>
      <c r="G8" s="63" t="s">
        <v>50</v>
      </c>
      <c r="H8" s="64" t="s">
        <v>51</v>
      </c>
      <c r="I8" s="63" t="s">
        <v>52</v>
      </c>
      <c r="J8" s="65" t="s">
        <v>53</v>
      </c>
      <c r="K8" s="66"/>
      <c r="L8" s="57" t="s">
        <v>44</v>
      </c>
      <c r="M8" s="58" t="s">
        <v>45</v>
      </c>
      <c r="N8" s="59" t="s">
        <v>46</v>
      </c>
      <c r="O8" s="67" t="s">
        <v>47</v>
      </c>
      <c r="P8" s="61" t="s">
        <v>48</v>
      </c>
      <c r="Q8" s="62" t="s">
        <v>49</v>
      </c>
      <c r="R8" s="63" t="s">
        <v>50</v>
      </c>
      <c r="S8" s="64" t="s">
        <v>51</v>
      </c>
      <c r="T8" s="63" t="s">
        <v>52</v>
      </c>
      <c r="U8" s="65" t="s">
        <v>53</v>
      </c>
      <c r="W8" s="57" t="s">
        <v>44</v>
      </c>
      <c r="X8" s="58" t="s">
        <v>45</v>
      </c>
      <c r="Y8" s="59" t="s">
        <v>46</v>
      </c>
      <c r="Z8" s="67" t="s">
        <v>47</v>
      </c>
      <c r="AA8" s="61" t="s">
        <v>48</v>
      </c>
      <c r="AB8" s="62" t="s">
        <v>49</v>
      </c>
      <c r="AC8" s="63" t="s">
        <v>50</v>
      </c>
      <c r="AD8" s="64" t="s">
        <v>51</v>
      </c>
      <c r="AE8" s="63" t="s">
        <v>52</v>
      </c>
      <c r="AF8" s="65" t="s">
        <v>53</v>
      </c>
      <c r="AH8" s="68" t="s">
        <v>54</v>
      </c>
      <c r="AI8" s="69" t="s">
        <v>55</v>
      </c>
      <c r="AJ8" s="67" t="s">
        <v>47</v>
      </c>
      <c r="AK8" s="61" t="s">
        <v>48</v>
      </c>
      <c r="AL8" s="70" t="s">
        <v>56</v>
      </c>
      <c r="AM8" s="71" t="s">
        <v>56</v>
      </c>
      <c r="AO8" s="68" t="s">
        <v>54</v>
      </c>
      <c r="AP8" s="69" t="s">
        <v>55</v>
      </c>
      <c r="AQ8" s="67" t="s">
        <v>47</v>
      </c>
      <c r="AR8" s="61" t="s">
        <v>48</v>
      </c>
      <c r="AS8" s="70" t="s">
        <v>56</v>
      </c>
      <c r="AT8" s="71" t="s">
        <v>56</v>
      </c>
      <c r="AV8" s="68" t="s">
        <v>54</v>
      </c>
      <c r="AW8" s="69" t="s">
        <v>55</v>
      </c>
      <c r="AX8" s="67" t="s">
        <v>47</v>
      </c>
      <c r="AY8" s="61" t="s">
        <v>48</v>
      </c>
      <c r="AZ8" s="70" t="s">
        <v>56</v>
      </c>
      <c r="BA8" s="71" t="s">
        <v>56</v>
      </c>
    </row>
    <row r="9" spans="1:53" ht="17.25" thickBot="1" x14ac:dyDescent="0.3">
      <c r="A9" s="72" t="s">
        <v>25</v>
      </c>
      <c r="B9" s="73"/>
      <c r="C9" s="74" t="s">
        <v>25</v>
      </c>
      <c r="D9" s="75" t="s">
        <v>57</v>
      </c>
      <c r="E9" s="76">
        <v>10</v>
      </c>
      <c r="F9" s="77"/>
      <c r="G9" s="78"/>
      <c r="H9" s="79" t="s">
        <v>25</v>
      </c>
      <c r="I9" s="78"/>
      <c r="J9" s="80"/>
      <c r="K9" s="81"/>
      <c r="L9" s="82"/>
      <c r="M9" s="83"/>
      <c r="N9" s="84" t="s">
        <v>25</v>
      </c>
      <c r="O9" s="85" t="s">
        <v>58</v>
      </c>
      <c r="P9" s="86">
        <v>10</v>
      </c>
      <c r="Q9" s="77"/>
      <c r="R9" s="78"/>
      <c r="S9" s="79" t="s">
        <v>25</v>
      </c>
      <c r="T9" s="78"/>
      <c r="U9" s="80"/>
      <c r="W9" s="72" t="s">
        <v>25</v>
      </c>
      <c r="X9" s="73"/>
      <c r="Y9" s="74"/>
      <c r="Z9" s="75" t="s">
        <v>59</v>
      </c>
      <c r="AA9" s="76"/>
      <c r="AB9" s="77"/>
      <c r="AC9" s="78"/>
      <c r="AD9" s="79" t="s">
        <v>25</v>
      </c>
      <c r="AE9" s="78"/>
      <c r="AF9" s="80"/>
      <c r="AH9" s="87" t="s">
        <v>25</v>
      </c>
      <c r="AI9" s="88"/>
      <c r="AJ9" s="89" t="s">
        <v>60</v>
      </c>
      <c r="AK9" s="76">
        <v>10</v>
      </c>
      <c r="AL9" s="90" t="s">
        <v>61</v>
      </c>
      <c r="AM9" s="91"/>
      <c r="AO9" s="87" t="s">
        <v>25</v>
      </c>
      <c r="AP9" s="88"/>
      <c r="AQ9" s="89" t="s">
        <v>62</v>
      </c>
      <c r="AR9" s="76">
        <v>10</v>
      </c>
      <c r="AS9" s="90" t="s">
        <v>61</v>
      </c>
      <c r="AT9" s="91"/>
      <c r="AV9" s="87" t="s">
        <v>25</v>
      </c>
      <c r="AW9" s="88"/>
      <c r="AX9" s="92" t="s">
        <v>60</v>
      </c>
      <c r="AY9" s="93">
        <v>20</v>
      </c>
      <c r="AZ9" s="90" t="s">
        <v>63</v>
      </c>
      <c r="BA9" s="91"/>
    </row>
    <row r="10" spans="1:53" ht="16.5" x14ac:dyDescent="0.25">
      <c r="A10" s="94" t="s">
        <v>25</v>
      </c>
      <c r="B10" s="95"/>
      <c r="C10" s="84"/>
      <c r="D10" s="96" t="s">
        <v>60</v>
      </c>
      <c r="E10" s="86"/>
      <c r="F10" s="97"/>
      <c r="G10" s="98"/>
      <c r="H10" s="79" t="s">
        <v>25</v>
      </c>
      <c r="I10" s="98"/>
      <c r="J10" s="99"/>
      <c r="K10" s="81"/>
      <c r="L10" s="72" t="s">
        <v>25</v>
      </c>
      <c r="M10" s="73"/>
      <c r="N10" s="74"/>
      <c r="O10" s="89" t="s">
        <v>64</v>
      </c>
      <c r="P10" s="76"/>
      <c r="Q10" s="97"/>
      <c r="R10" s="98"/>
      <c r="S10" s="79" t="s">
        <v>25</v>
      </c>
      <c r="T10" s="98"/>
      <c r="U10" s="99"/>
      <c r="W10" s="94"/>
      <c r="X10" s="95"/>
      <c r="Y10" s="84"/>
      <c r="Z10" s="96" t="s">
        <v>65</v>
      </c>
      <c r="AA10" s="86"/>
      <c r="AB10" s="97"/>
      <c r="AC10" s="98"/>
      <c r="AD10" s="79" t="s">
        <v>25</v>
      </c>
      <c r="AE10" s="98"/>
      <c r="AF10" s="99"/>
      <c r="AH10" s="100"/>
      <c r="AI10" s="101"/>
      <c r="AJ10" s="85" t="s">
        <v>66</v>
      </c>
      <c r="AK10" s="86">
        <v>10</v>
      </c>
      <c r="AL10" s="102" t="s">
        <v>61</v>
      </c>
      <c r="AM10" s="103"/>
      <c r="AO10" s="100"/>
      <c r="AP10" s="101"/>
      <c r="AQ10" s="85" t="s">
        <v>67</v>
      </c>
      <c r="AR10" s="86">
        <v>10</v>
      </c>
      <c r="AS10" s="104" t="s">
        <v>61</v>
      </c>
      <c r="AT10" s="103"/>
      <c r="AV10" s="100"/>
      <c r="AW10" s="101"/>
      <c r="AX10" s="85" t="s">
        <v>66</v>
      </c>
      <c r="AY10" s="86">
        <v>20</v>
      </c>
      <c r="AZ10" s="90" t="s">
        <v>63</v>
      </c>
      <c r="BA10" s="103"/>
    </row>
    <row r="11" spans="1:53" ht="17.25" thickBot="1" x14ac:dyDescent="0.3">
      <c r="A11" s="94" t="s">
        <v>25</v>
      </c>
      <c r="B11" s="95"/>
      <c r="C11" s="84"/>
      <c r="D11" s="96" t="s">
        <v>68</v>
      </c>
      <c r="E11" s="86"/>
      <c r="F11" s="97"/>
      <c r="G11" s="98"/>
      <c r="H11" s="79" t="s">
        <v>25</v>
      </c>
      <c r="I11" s="98"/>
      <c r="J11" s="99"/>
      <c r="K11" s="81"/>
      <c r="L11" s="72" t="s">
        <v>25</v>
      </c>
      <c r="M11" s="95"/>
      <c r="N11" s="84"/>
      <c r="O11" s="85" t="s">
        <v>69</v>
      </c>
      <c r="P11" s="86"/>
      <c r="Q11" s="97"/>
      <c r="R11" s="98"/>
      <c r="S11" s="79" t="s">
        <v>25</v>
      </c>
      <c r="T11" s="98"/>
      <c r="U11" s="99"/>
      <c r="W11" s="94"/>
      <c r="X11" s="95"/>
      <c r="Y11" s="84"/>
      <c r="Z11" s="96" t="s">
        <v>69</v>
      </c>
      <c r="AA11" s="86"/>
      <c r="AB11" s="97"/>
      <c r="AC11" s="98"/>
      <c r="AD11" s="79" t="s">
        <v>25</v>
      </c>
      <c r="AE11" s="98"/>
      <c r="AF11" s="99"/>
      <c r="AH11" s="100"/>
      <c r="AI11" s="101"/>
      <c r="AJ11" s="85" t="s">
        <v>70</v>
      </c>
      <c r="AK11" s="86">
        <v>10</v>
      </c>
      <c r="AL11" s="104" t="s">
        <v>61</v>
      </c>
      <c r="AM11" s="103"/>
      <c r="AO11" s="100"/>
      <c r="AP11" s="101"/>
      <c r="AQ11" s="85" t="s">
        <v>70</v>
      </c>
      <c r="AR11" s="86">
        <v>10</v>
      </c>
      <c r="AS11" s="104" t="s">
        <v>61</v>
      </c>
      <c r="AT11" s="103"/>
      <c r="AV11" s="100"/>
      <c r="AW11" s="101"/>
      <c r="AX11" s="85" t="s">
        <v>71</v>
      </c>
      <c r="AY11" s="86">
        <v>20</v>
      </c>
      <c r="AZ11" s="104" t="s">
        <v>72</v>
      </c>
      <c r="BA11" s="103"/>
    </row>
    <row r="12" spans="1:53" ht="16.5" x14ac:dyDescent="0.25">
      <c r="A12" s="94" t="s">
        <v>25</v>
      </c>
      <c r="B12" s="95"/>
      <c r="C12" s="84"/>
      <c r="D12" s="96" t="s">
        <v>73</v>
      </c>
      <c r="E12" s="86"/>
      <c r="F12" s="97"/>
      <c r="G12" s="98"/>
      <c r="H12" s="79" t="s">
        <v>25</v>
      </c>
      <c r="I12" s="98"/>
      <c r="J12" s="99"/>
      <c r="K12" s="81"/>
      <c r="L12" s="72" t="s">
        <v>25</v>
      </c>
      <c r="M12" s="95"/>
      <c r="N12" s="84"/>
      <c r="O12" s="85" t="s">
        <v>74</v>
      </c>
      <c r="P12" s="86"/>
      <c r="Q12" s="97"/>
      <c r="R12" s="98"/>
      <c r="S12" s="79" t="s">
        <v>25</v>
      </c>
      <c r="T12" s="98"/>
      <c r="U12" s="99"/>
      <c r="W12" s="94"/>
      <c r="X12" s="95"/>
      <c r="Y12" s="84"/>
      <c r="Z12" s="96" t="s">
        <v>73</v>
      </c>
      <c r="AA12" s="86"/>
      <c r="AB12" s="97"/>
      <c r="AC12" s="98"/>
      <c r="AD12" s="79" t="s">
        <v>25</v>
      </c>
      <c r="AE12" s="98"/>
      <c r="AF12" s="99"/>
      <c r="AH12" s="100"/>
      <c r="AI12" s="101"/>
      <c r="AJ12" s="85"/>
      <c r="AK12" s="86"/>
      <c r="AL12" s="104"/>
      <c r="AM12" s="103"/>
      <c r="AO12" s="100"/>
      <c r="AP12" s="101"/>
      <c r="AQ12" s="85"/>
      <c r="AR12" s="86"/>
      <c r="AS12" s="104"/>
      <c r="AT12" s="103"/>
      <c r="AV12" s="100"/>
      <c r="AW12" s="101"/>
      <c r="AX12" s="85" t="s">
        <v>70</v>
      </c>
      <c r="AY12" s="86">
        <v>20</v>
      </c>
      <c r="AZ12" s="90" t="s">
        <v>63</v>
      </c>
      <c r="BA12" s="103"/>
    </row>
    <row r="13" spans="1:53" ht="16.5" x14ac:dyDescent="0.25">
      <c r="A13" s="94" t="s">
        <v>25</v>
      </c>
      <c r="B13" s="95"/>
      <c r="C13" s="84"/>
      <c r="D13" s="96" t="s">
        <v>67</v>
      </c>
      <c r="E13" s="86"/>
      <c r="F13" s="97"/>
      <c r="G13" s="98"/>
      <c r="H13" s="79" t="s">
        <v>25</v>
      </c>
      <c r="I13" s="98"/>
      <c r="J13" s="99"/>
      <c r="K13" s="81"/>
      <c r="L13" s="72" t="s">
        <v>25</v>
      </c>
      <c r="M13" s="95"/>
      <c r="N13" s="84"/>
      <c r="O13" s="85" t="s">
        <v>75</v>
      </c>
      <c r="P13" s="86"/>
      <c r="Q13" s="97"/>
      <c r="R13" s="98"/>
      <c r="S13" s="79" t="s">
        <v>25</v>
      </c>
      <c r="T13" s="98"/>
      <c r="U13" s="99"/>
      <c r="W13" s="94"/>
      <c r="X13" s="95"/>
      <c r="Y13" s="84"/>
      <c r="Z13" s="96" t="s">
        <v>67</v>
      </c>
      <c r="AA13" s="86"/>
      <c r="AB13" s="97"/>
      <c r="AC13" s="98"/>
      <c r="AD13" s="79" t="s">
        <v>25</v>
      </c>
      <c r="AE13" s="98"/>
      <c r="AF13" s="99"/>
      <c r="AH13" s="100"/>
      <c r="AI13" s="101" t="s">
        <v>25</v>
      </c>
      <c r="AJ13" s="85" t="s">
        <v>57</v>
      </c>
      <c r="AK13" s="86"/>
      <c r="AL13" s="104" t="s">
        <v>76</v>
      </c>
      <c r="AM13" s="103" t="s">
        <v>77</v>
      </c>
      <c r="AO13" s="100"/>
      <c r="AP13" s="101" t="s">
        <v>25</v>
      </c>
      <c r="AQ13" s="85" t="s">
        <v>65</v>
      </c>
      <c r="AR13" s="86"/>
      <c r="AS13" s="104" t="s">
        <v>76</v>
      </c>
      <c r="AT13" s="103" t="s">
        <v>77</v>
      </c>
      <c r="AV13" s="100"/>
      <c r="AW13" s="101"/>
      <c r="AX13" s="85"/>
      <c r="AY13" s="86"/>
      <c r="AZ13" s="104"/>
      <c r="BA13" s="103"/>
    </row>
    <row r="14" spans="1:53" ht="16.5" x14ac:dyDescent="0.25">
      <c r="A14" s="94" t="s">
        <v>25</v>
      </c>
      <c r="B14" s="95"/>
      <c r="C14" s="84"/>
      <c r="D14" s="96" t="s">
        <v>78</v>
      </c>
      <c r="E14" s="86"/>
      <c r="F14" s="97"/>
      <c r="G14" s="98"/>
      <c r="H14" s="79" t="s">
        <v>25</v>
      </c>
      <c r="I14" s="98"/>
      <c r="J14" s="99"/>
      <c r="K14" s="81"/>
      <c r="L14" s="72" t="s">
        <v>25</v>
      </c>
      <c r="M14" s="95"/>
      <c r="N14" s="84"/>
      <c r="O14" s="85" t="s">
        <v>79</v>
      </c>
      <c r="P14" s="86"/>
      <c r="Q14" s="97"/>
      <c r="R14" s="98"/>
      <c r="S14" s="79" t="s">
        <v>25</v>
      </c>
      <c r="T14" s="98"/>
      <c r="U14" s="99"/>
      <c r="W14" s="94"/>
      <c r="X14" s="95"/>
      <c r="Y14" s="84"/>
      <c r="Z14" s="96" t="s">
        <v>78</v>
      </c>
      <c r="AA14" s="86"/>
      <c r="AB14" s="97"/>
      <c r="AC14" s="98"/>
      <c r="AD14" s="79" t="s">
        <v>25</v>
      </c>
      <c r="AE14" s="98"/>
      <c r="AF14" s="99"/>
      <c r="AH14" s="100"/>
      <c r="AI14" s="101"/>
      <c r="AJ14" s="85" t="s">
        <v>65</v>
      </c>
      <c r="AK14" s="86"/>
      <c r="AL14" s="104" t="s">
        <v>76</v>
      </c>
      <c r="AM14" s="103" t="s">
        <v>77</v>
      </c>
      <c r="AO14" s="100"/>
      <c r="AP14" s="101"/>
      <c r="AQ14" s="85" t="s">
        <v>60</v>
      </c>
      <c r="AR14" s="86"/>
      <c r="AS14" s="104" t="s">
        <v>76</v>
      </c>
      <c r="AT14" s="103" t="s">
        <v>77</v>
      </c>
      <c r="AV14" s="100"/>
      <c r="AW14" s="101" t="s">
        <v>25</v>
      </c>
      <c r="AX14" s="85" t="s">
        <v>65</v>
      </c>
      <c r="AY14" s="86"/>
      <c r="AZ14" s="104"/>
      <c r="BA14" s="105" t="s">
        <v>80</v>
      </c>
    </row>
    <row r="15" spans="1:53" ht="16.5" x14ac:dyDescent="0.25">
      <c r="A15" s="94" t="s">
        <v>25</v>
      </c>
      <c r="B15" s="95"/>
      <c r="C15" s="106" t="s">
        <v>25</v>
      </c>
      <c r="D15" s="96" t="s">
        <v>81</v>
      </c>
      <c r="E15" s="86">
        <v>10</v>
      </c>
      <c r="F15" s="97"/>
      <c r="G15" s="98"/>
      <c r="H15" s="79" t="s">
        <v>25</v>
      </c>
      <c r="I15" s="98"/>
      <c r="J15" s="99"/>
      <c r="K15" s="81"/>
      <c r="L15" s="72" t="s">
        <v>25</v>
      </c>
      <c r="M15" s="95"/>
      <c r="N15" s="84" t="s">
        <v>25</v>
      </c>
      <c r="O15" s="85" t="s">
        <v>82</v>
      </c>
      <c r="P15" s="86">
        <v>10</v>
      </c>
      <c r="Q15" s="97"/>
      <c r="R15" s="98"/>
      <c r="S15" s="79" t="s">
        <v>25</v>
      </c>
      <c r="T15" s="98"/>
      <c r="U15" s="99"/>
      <c r="W15" s="94"/>
      <c r="X15" s="95"/>
      <c r="Y15" s="84"/>
      <c r="Z15" s="96" t="s">
        <v>83</v>
      </c>
      <c r="AA15" s="86"/>
      <c r="AB15" s="97"/>
      <c r="AC15" s="98"/>
      <c r="AD15" s="79" t="s">
        <v>25</v>
      </c>
      <c r="AE15" s="98"/>
      <c r="AF15" s="99"/>
      <c r="AH15" s="87" t="s">
        <v>25</v>
      </c>
      <c r="AI15" s="88"/>
      <c r="AJ15" s="89" t="s">
        <v>60</v>
      </c>
      <c r="AK15" s="76">
        <v>10</v>
      </c>
      <c r="AL15" s="104" t="s">
        <v>76</v>
      </c>
      <c r="AM15" s="103" t="s">
        <v>77</v>
      </c>
      <c r="AO15" s="100"/>
      <c r="AP15" s="101"/>
      <c r="AQ15" s="85" t="s">
        <v>69</v>
      </c>
      <c r="AR15" s="86"/>
      <c r="AS15" s="104" t="s">
        <v>76</v>
      </c>
      <c r="AT15" s="103" t="s">
        <v>77</v>
      </c>
      <c r="AV15" s="100"/>
      <c r="AW15" s="101"/>
      <c r="AX15" s="85" t="s">
        <v>69</v>
      </c>
      <c r="AY15" s="86"/>
      <c r="AZ15" s="104"/>
      <c r="BA15" s="105" t="s">
        <v>80</v>
      </c>
    </row>
    <row r="16" spans="1:53" ht="16.5" x14ac:dyDescent="0.25">
      <c r="A16" s="94" t="s">
        <v>25</v>
      </c>
      <c r="B16" s="95"/>
      <c r="C16" s="84"/>
      <c r="D16" s="96" t="s">
        <v>84</v>
      </c>
      <c r="E16" s="86"/>
      <c r="F16" s="97"/>
      <c r="G16" s="98"/>
      <c r="H16" s="79" t="s">
        <v>25</v>
      </c>
      <c r="I16" s="98"/>
      <c r="J16" s="99"/>
      <c r="K16" s="81"/>
      <c r="L16" s="72" t="s">
        <v>25</v>
      </c>
      <c r="M16" s="95"/>
      <c r="N16" s="84"/>
      <c r="O16" s="85" t="s">
        <v>85</v>
      </c>
      <c r="P16" s="86"/>
      <c r="Q16" s="97"/>
      <c r="R16" s="98"/>
      <c r="S16" s="79" t="s">
        <v>25</v>
      </c>
      <c r="T16" s="98"/>
      <c r="U16" s="99"/>
      <c r="W16" s="94"/>
      <c r="X16" s="95"/>
      <c r="Y16" s="84"/>
      <c r="Z16" s="96" t="s">
        <v>84</v>
      </c>
      <c r="AA16" s="86"/>
      <c r="AB16" s="97"/>
      <c r="AC16" s="98"/>
      <c r="AD16" s="79" t="s">
        <v>25</v>
      </c>
      <c r="AE16" s="98"/>
      <c r="AF16" s="99"/>
      <c r="AH16" s="100"/>
      <c r="AI16" s="101"/>
      <c r="AJ16" s="85"/>
      <c r="AK16" s="86"/>
      <c r="AL16" s="104"/>
      <c r="AM16" s="103"/>
      <c r="AO16" s="100"/>
      <c r="AP16" s="101"/>
      <c r="AQ16" s="85"/>
      <c r="AR16" s="86"/>
      <c r="AS16" s="104"/>
      <c r="AT16" s="103"/>
      <c r="AV16" s="100"/>
      <c r="AW16" s="101"/>
      <c r="AX16" s="85"/>
      <c r="AY16" s="86"/>
      <c r="AZ16" s="104"/>
      <c r="BA16" s="105"/>
    </row>
    <row r="17" spans="1:53" ht="16.5" x14ac:dyDescent="0.25">
      <c r="A17" s="94" t="s">
        <v>25</v>
      </c>
      <c r="B17" s="95"/>
      <c r="C17" s="84"/>
      <c r="D17" s="96" t="s">
        <v>86</v>
      </c>
      <c r="E17" s="86"/>
      <c r="F17" s="97"/>
      <c r="G17" s="98"/>
      <c r="H17" s="79" t="s">
        <v>25</v>
      </c>
      <c r="I17" s="98"/>
      <c r="J17" s="99"/>
      <c r="K17" s="81"/>
      <c r="L17" s="72" t="s">
        <v>25</v>
      </c>
      <c r="M17" s="95"/>
      <c r="N17" s="84"/>
      <c r="O17" s="85" t="s">
        <v>87</v>
      </c>
      <c r="P17" s="86"/>
      <c r="Q17" s="97"/>
      <c r="R17" s="98"/>
      <c r="S17" s="107"/>
      <c r="T17" s="98"/>
      <c r="U17" s="99"/>
      <c r="W17" s="94"/>
      <c r="X17" s="95"/>
      <c r="Y17" s="84"/>
      <c r="Z17" s="85" t="s">
        <v>88</v>
      </c>
      <c r="AA17" s="86"/>
      <c r="AB17" s="97"/>
      <c r="AC17" s="98"/>
      <c r="AD17" s="79" t="s">
        <v>25</v>
      </c>
      <c r="AE17" s="98"/>
      <c r="AF17" s="99"/>
      <c r="AH17" s="100"/>
      <c r="AI17" s="101"/>
      <c r="AJ17" s="85" t="s">
        <v>69</v>
      </c>
      <c r="AK17" s="86"/>
      <c r="AL17" s="104" t="s">
        <v>76</v>
      </c>
      <c r="AM17" s="103" t="s">
        <v>77</v>
      </c>
      <c r="AO17" s="100"/>
      <c r="AP17" s="101"/>
      <c r="AQ17" s="85" t="s">
        <v>68</v>
      </c>
      <c r="AR17" s="86"/>
      <c r="AS17" s="104" t="s">
        <v>76</v>
      </c>
      <c r="AT17" s="103" t="s">
        <v>77</v>
      </c>
      <c r="AV17" s="100"/>
      <c r="AW17" s="101"/>
      <c r="AX17" s="85" t="s">
        <v>73</v>
      </c>
      <c r="AY17" s="86"/>
      <c r="AZ17" s="104"/>
      <c r="BA17" s="105" t="s">
        <v>89</v>
      </c>
    </row>
    <row r="18" spans="1:53" ht="16.5" x14ac:dyDescent="0.25">
      <c r="A18" s="94"/>
      <c r="B18" s="95" t="s">
        <v>25</v>
      </c>
      <c r="C18" s="84"/>
      <c r="D18" s="96" t="s">
        <v>57</v>
      </c>
      <c r="E18" s="86"/>
      <c r="F18" s="97"/>
      <c r="G18" s="98"/>
      <c r="H18" s="79" t="s">
        <v>25</v>
      </c>
      <c r="I18" s="98"/>
      <c r="J18" s="99"/>
      <c r="K18" s="81"/>
      <c r="L18" s="94"/>
      <c r="M18" s="95"/>
      <c r="N18" s="84"/>
      <c r="O18" s="85"/>
      <c r="P18" s="86"/>
      <c r="Q18" s="97"/>
      <c r="R18" s="98"/>
      <c r="S18" s="107"/>
      <c r="T18" s="98"/>
      <c r="U18" s="99"/>
      <c r="W18" s="94"/>
      <c r="X18" s="95"/>
      <c r="Y18" s="84"/>
      <c r="Z18" s="85"/>
      <c r="AA18" s="86"/>
      <c r="AB18" s="97"/>
      <c r="AC18" s="98"/>
      <c r="AD18" s="79"/>
      <c r="AE18" s="98"/>
      <c r="AF18" s="99"/>
      <c r="AH18" s="100"/>
      <c r="AI18" s="101"/>
      <c r="AJ18" s="85" t="s">
        <v>68</v>
      </c>
      <c r="AK18" s="86"/>
      <c r="AL18" s="104" t="s">
        <v>76</v>
      </c>
      <c r="AM18" s="103" t="s">
        <v>77</v>
      </c>
      <c r="AO18" s="100"/>
      <c r="AP18" s="101"/>
      <c r="AQ18" s="85" t="s">
        <v>73</v>
      </c>
      <c r="AR18" s="86"/>
      <c r="AS18" s="104" t="s">
        <v>76</v>
      </c>
      <c r="AT18" s="103" t="s">
        <v>77</v>
      </c>
      <c r="AV18" s="100"/>
      <c r="AW18" s="101"/>
      <c r="AX18" s="85" t="s">
        <v>90</v>
      </c>
      <c r="AY18" s="86"/>
      <c r="AZ18" s="104"/>
      <c r="BA18" s="105" t="s">
        <v>89</v>
      </c>
    </row>
    <row r="19" spans="1:53" ht="16.5" x14ac:dyDescent="0.25">
      <c r="A19" s="94"/>
      <c r="B19" s="95"/>
      <c r="C19" s="84"/>
      <c r="D19" s="96"/>
      <c r="E19" s="86"/>
      <c r="F19" s="97"/>
      <c r="G19" s="98"/>
      <c r="H19" s="107"/>
      <c r="I19" s="98"/>
      <c r="J19" s="99"/>
      <c r="K19" s="81"/>
      <c r="L19" s="94"/>
      <c r="M19" s="95"/>
      <c r="N19" s="84"/>
      <c r="O19" s="85"/>
      <c r="P19" s="86"/>
      <c r="Q19" s="97"/>
      <c r="R19" s="98"/>
      <c r="S19" s="107"/>
      <c r="T19" s="98"/>
      <c r="U19" s="99"/>
      <c r="W19" s="94"/>
      <c r="X19" s="95"/>
      <c r="Y19" s="84" t="s">
        <v>25</v>
      </c>
      <c r="Z19" s="85" t="s">
        <v>64</v>
      </c>
      <c r="AA19" s="86"/>
      <c r="AB19" s="97"/>
      <c r="AC19" s="98"/>
      <c r="AD19" s="108" t="s">
        <v>25</v>
      </c>
      <c r="AE19" s="98"/>
      <c r="AF19" s="99"/>
      <c r="AH19" s="100"/>
      <c r="AI19" s="101"/>
      <c r="AJ19" s="85" t="s">
        <v>73</v>
      </c>
      <c r="AK19" s="86"/>
      <c r="AL19" s="104" t="s">
        <v>76</v>
      </c>
      <c r="AM19" s="103" t="s">
        <v>77</v>
      </c>
      <c r="AO19" s="100"/>
      <c r="AP19" s="101"/>
      <c r="AQ19" s="85" t="s">
        <v>66</v>
      </c>
      <c r="AR19" s="86"/>
      <c r="AS19" s="104" t="s">
        <v>76</v>
      </c>
      <c r="AT19" s="103" t="s">
        <v>77</v>
      </c>
      <c r="AV19" s="100"/>
      <c r="AW19" s="101"/>
      <c r="AX19" s="109" t="s">
        <v>71</v>
      </c>
      <c r="AY19" s="110"/>
      <c r="AZ19" s="104"/>
      <c r="BA19" s="105" t="s">
        <v>80</v>
      </c>
    </row>
    <row r="20" spans="1:53" ht="16.5" x14ac:dyDescent="0.25">
      <c r="A20" s="72" t="s">
        <v>25</v>
      </c>
      <c r="B20" s="95"/>
      <c r="C20" s="84"/>
      <c r="D20" s="96" t="s">
        <v>91</v>
      </c>
      <c r="E20" s="86"/>
      <c r="F20" s="97"/>
      <c r="G20" s="98"/>
      <c r="H20" s="79" t="s">
        <v>25</v>
      </c>
      <c r="I20" s="98"/>
      <c r="J20" s="99"/>
      <c r="K20" s="81"/>
      <c r="L20" s="94"/>
      <c r="M20" s="95"/>
      <c r="N20" s="84"/>
      <c r="O20" s="85"/>
      <c r="P20" s="86"/>
      <c r="Q20" s="97"/>
      <c r="R20" s="98"/>
      <c r="S20" s="107"/>
      <c r="T20" s="98"/>
      <c r="U20" s="99"/>
      <c r="W20" s="111"/>
      <c r="X20" s="112"/>
      <c r="Y20" s="106" t="s">
        <v>25</v>
      </c>
      <c r="Z20" s="109" t="s">
        <v>78</v>
      </c>
      <c r="AA20" s="110"/>
      <c r="AB20" s="113"/>
      <c r="AC20" s="114"/>
      <c r="AD20" s="115" t="s">
        <v>25</v>
      </c>
      <c r="AE20" s="114"/>
      <c r="AF20" s="116"/>
      <c r="AH20" s="100"/>
      <c r="AI20" s="101"/>
      <c r="AJ20" s="85"/>
      <c r="AK20" s="86"/>
      <c r="AL20" s="104"/>
      <c r="AM20" s="103"/>
      <c r="AO20" s="100"/>
      <c r="AP20" s="101"/>
      <c r="AQ20" s="109"/>
      <c r="AR20" s="86"/>
      <c r="AS20" s="104"/>
      <c r="AT20" s="103"/>
      <c r="AV20" s="117"/>
      <c r="AW20" s="118"/>
      <c r="AX20" s="109" t="s">
        <v>92</v>
      </c>
      <c r="AY20" s="110"/>
      <c r="AZ20" s="104"/>
      <c r="BA20" s="105" t="s">
        <v>80</v>
      </c>
    </row>
    <row r="21" spans="1:53" ht="16.5" x14ac:dyDescent="0.25">
      <c r="A21" s="94"/>
      <c r="B21" s="95"/>
      <c r="C21" s="84"/>
      <c r="D21" s="96"/>
      <c r="E21" s="86"/>
      <c r="F21" s="97"/>
      <c r="G21" s="98"/>
      <c r="H21" s="107"/>
      <c r="I21" s="98"/>
      <c r="J21" s="99"/>
      <c r="K21" s="81"/>
      <c r="L21" s="94"/>
      <c r="M21" s="95"/>
      <c r="N21" s="84"/>
      <c r="O21" s="85"/>
      <c r="P21" s="86"/>
      <c r="Q21" s="97"/>
      <c r="R21" s="98"/>
      <c r="S21" s="107"/>
      <c r="T21" s="98"/>
      <c r="U21" s="99"/>
      <c r="W21" s="111"/>
      <c r="X21" s="112"/>
      <c r="Y21" s="106"/>
      <c r="Z21" s="109"/>
      <c r="AA21" s="110"/>
      <c r="AB21" s="113"/>
      <c r="AC21" s="114"/>
      <c r="AD21" s="115"/>
      <c r="AE21" s="114"/>
      <c r="AF21" s="116"/>
      <c r="AH21" s="100"/>
      <c r="AI21" s="101"/>
      <c r="AJ21" s="85"/>
      <c r="AK21" s="86"/>
      <c r="AL21" s="104"/>
      <c r="AM21" s="103"/>
      <c r="AO21" s="100"/>
      <c r="AP21" s="101"/>
      <c r="AQ21" s="109"/>
      <c r="AR21" s="86"/>
      <c r="AS21" s="104"/>
      <c r="AT21" s="103"/>
      <c r="AV21" s="117"/>
      <c r="AW21" s="118"/>
      <c r="AX21" s="109" t="s">
        <v>81</v>
      </c>
      <c r="AY21" s="110"/>
      <c r="AZ21" s="119"/>
      <c r="BA21" s="120" t="s">
        <v>89</v>
      </c>
    </row>
    <row r="22" spans="1:53" ht="16.5" x14ac:dyDescent="0.25">
      <c r="A22" s="94"/>
      <c r="B22" s="95"/>
      <c r="C22" s="84"/>
      <c r="D22" s="96"/>
      <c r="E22" s="86"/>
      <c r="F22" s="97"/>
      <c r="G22" s="98"/>
      <c r="H22" s="107"/>
      <c r="I22" s="98"/>
      <c r="J22" s="99"/>
      <c r="K22" s="81"/>
      <c r="L22" s="94"/>
      <c r="M22" s="95"/>
      <c r="N22" s="84"/>
      <c r="O22" s="85"/>
      <c r="P22" s="86"/>
      <c r="Q22" s="97"/>
      <c r="R22" s="98"/>
      <c r="S22" s="107"/>
      <c r="T22" s="98"/>
      <c r="U22" s="99"/>
      <c r="W22" s="111"/>
      <c r="X22" s="112"/>
      <c r="Y22" s="106"/>
      <c r="Z22" s="109"/>
      <c r="AA22" s="110"/>
      <c r="AB22" s="113"/>
      <c r="AC22" s="114"/>
      <c r="AD22" s="115"/>
      <c r="AE22" s="114"/>
      <c r="AF22" s="116"/>
      <c r="AH22" s="100"/>
      <c r="AI22" s="101"/>
      <c r="AJ22" s="85" t="s">
        <v>66</v>
      </c>
      <c r="AK22" s="86"/>
      <c r="AL22" s="104" t="s">
        <v>76</v>
      </c>
      <c r="AM22" s="103" t="s">
        <v>77</v>
      </c>
      <c r="AO22" s="100"/>
      <c r="AP22" s="101"/>
      <c r="AQ22" s="109" t="s">
        <v>67</v>
      </c>
      <c r="AR22" s="86"/>
      <c r="AS22" s="104" t="s">
        <v>76</v>
      </c>
      <c r="AT22" s="103" t="s">
        <v>77</v>
      </c>
      <c r="AV22" s="117"/>
      <c r="AW22" s="118"/>
      <c r="AX22" s="121"/>
      <c r="AY22" s="122"/>
      <c r="AZ22" s="121"/>
      <c r="BA22" s="122"/>
    </row>
    <row r="23" spans="1:53" ht="16.5" x14ac:dyDescent="0.25">
      <c r="A23" s="111"/>
      <c r="B23" s="112"/>
      <c r="C23" s="106"/>
      <c r="D23" s="123"/>
      <c r="E23" s="110"/>
      <c r="F23" s="113"/>
      <c r="G23" s="114"/>
      <c r="H23" s="124"/>
      <c r="I23" s="114"/>
      <c r="J23" s="116"/>
      <c r="K23" s="81"/>
      <c r="L23" s="94"/>
      <c r="M23" s="95"/>
      <c r="N23" s="84"/>
      <c r="O23" s="85"/>
      <c r="P23" s="86"/>
      <c r="Q23" s="113"/>
      <c r="R23" s="114"/>
      <c r="S23" s="124"/>
      <c r="T23" s="114"/>
      <c r="U23" s="116"/>
      <c r="W23" s="111"/>
      <c r="X23" s="112"/>
      <c r="Y23" s="106"/>
      <c r="Z23" s="109"/>
      <c r="AA23" s="110"/>
      <c r="AB23" s="113"/>
      <c r="AC23" s="114"/>
      <c r="AD23" s="115"/>
      <c r="AE23" s="114"/>
      <c r="AF23" s="116"/>
      <c r="AH23" s="117"/>
      <c r="AI23" s="118"/>
      <c r="AJ23" s="109" t="s">
        <v>67</v>
      </c>
      <c r="AK23" s="110"/>
      <c r="AL23" s="104" t="s">
        <v>76</v>
      </c>
      <c r="AM23" s="103" t="s">
        <v>77</v>
      </c>
      <c r="AO23" s="117"/>
      <c r="AP23" s="118"/>
      <c r="AQ23" s="109" t="s">
        <v>71</v>
      </c>
      <c r="AR23" s="110"/>
      <c r="AS23" s="104" t="s">
        <v>76</v>
      </c>
      <c r="AT23" s="103" t="s">
        <v>77</v>
      </c>
      <c r="AV23" s="117"/>
      <c r="AW23" s="118"/>
      <c r="AX23" s="125"/>
      <c r="AY23" s="126"/>
      <c r="AZ23" s="104"/>
      <c r="BA23" s="105"/>
    </row>
    <row r="24" spans="1:53" ht="16.5" x14ac:dyDescent="0.25">
      <c r="A24" s="111"/>
      <c r="B24" s="112"/>
      <c r="C24" s="106"/>
      <c r="D24" s="123"/>
      <c r="E24" s="110"/>
      <c r="F24" s="113"/>
      <c r="G24" s="114"/>
      <c r="H24" s="124"/>
      <c r="I24" s="114"/>
      <c r="J24" s="116"/>
      <c r="K24" s="81"/>
      <c r="L24" s="111"/>
      <c r="M24" s="112"/>
      <c r="N24" s="106"/>
      <c r="O24" s="109"/>
      <c r="P24" s="110"/>
      <c r="Q24" s="113"/>
      <c r="R24" s="114"/>
      <c r="S24" s="124"/>
      <c r="T24" s="114"/>
      <c r="U24" s="116"/>
      <c r="W24" s="111"/>
      <c r="X24" s="112"/>
      <c r="Y24" s="106"/>
      <c r="Z24" s="109"/>
      <c r="AA24" s="110"/>
      <c r="AB24" s="113"/>
      <c r="AC24" s="114"/>
      <c r="AD24" s="115"/>
      <c r="AE24" s="114"/>
      <c r="AF24" s="116"/>
      <c r="AH24" s="117"/>
      <c r="AI24" s="118"/>
      <c r="AJ24" s="109" t="s">
        <v>71</v>
      </c>
      <c r="AK24" s="110"/>
      <c r="AL24" s="104" t="s">
        <v>76</v>
      </c>
      <c r="AM24" s="103" t="s">
        <v>77</v>
      </c>
      <c r="AO24" s="117"/>
      <c r="AP24" s="118"/>
      <c r="AQ24" s="109" t="s">
        <v>78</v>
      </c>
      <c r="AR24" s="110"/>
      <c r="AS24" s="104" t="s">
        <v>76</v>
      </c>
      <c r="AT24" s="103" t="s">
        <v>77</v>
      </c>
      <c r="AV24" s="117"/>
      <c r="AW24" s="118"/>
      <c r="AX24" s="109"/>
      <c r="AY24" s="110"/>
      <c r="AZ24" s="104"/>
      <c r="BA24" s="105"/>
    </row>
    <row r="25" spans="1:53" ht="17.25" thickBot="1" x14ac:dyDescent="0.3">
      <c r="A25" s="111"/>
      <c r="B25" s="112"/>
      <c r="C25" s="106"/>
      <c r="D25" s="123"/>
      <c r="E25" s="110"/>
      <c r="F25" s="113"/>
      <c r="G25" s="114"/>
      <c r="H25" s="124"/>
      <c r="I25" s="114"/>
      <c r="J25" s="116"/>
      <c r="K25" s="81"/>
      <c r="L25" s="111"/>
      <c r="M25" s="112"/>
      <c r="N25" s="106"/>
      <c r="O25" s="109"/>
      <c r="P25" s="110"/>
      <c r="Q25" s="113"/>
      <c r="R25" s="114"/>
      <c r="S25" s="124"/>
      <c r="T25" s="114"/>
      <c r="U25" s="116"/>
      <c r="W25" s="57"/>
      <c r="X25" s="58"/>
      <c r="Y25" s="59"/>
      <c r="Z25" s="127"/>
      <c r="AA25" s="128"/>
      <c r="AB25" s="129"/>
      <c r="AC25" s="130"/>
      <c r="AD25" s="131"/>
      <c r="AE25" s="130"/>
      <c r="AF25" s="132"/>
      <c r="AH25" s="117"/>
      <c r="AI25" s="118"/>
      <c r="AJ25" s="109" t="s">
        <v>78</v>
      </c>
      <c r="AK25" s="110"/>
      <c r="AL25" s="104" t="s">
        <v>76</v>
      </c>
      <c r="AM25" s="103" t="s">
        <v>77</v>
      </c>
      <c r="AO25" s="117"/>
      <c r="AP25" s="118"/>
      <c r="AQ25" s="109" t="s">
        <v>83</v>
      </c>
      <c r="AR25" s="110"/>
      <c r="AS25" s="104" t="s">
        <v>76</v>
      </c>
      <c r="AT25" s="103" t="s">
        <v>77</v>
      </c>
      <c r="AV25" s="133"/>
      <c r="AW25" s="134"/>
      <c r="AX25" s="127"/>
      <c r="AY25" s="128"/>
      <c r="AZ25" s="135"/>
      <c r="BA25" s="136"/>
    </row>
    <row r="26" spans="1:53" ht="16.5" x14ac:dyDescent="0.25">
      <c r="A26" s="111"/>
      <c r="B26" s="112"/>
      <c r="C26" s="106"/>
      <c r="D26" s="123"/>
      <c r="E26" s="110"/>
      <c r="F26" s="113"/>
      <c r="G26" s="114"/>
      <c r="H26" s="124"/>
      <c r="I26" s="114"/>
      <c r="J26" s="116"/>
      <c r="K26" s="81"/>
      <c r="L26" s="111"/>
      <c r="M26" s="112"/>
      <c r="N26" s="106"/>
      <c r="O26" s="109"/>
      <c r="P26" s="110"/>
      <c r="Q26" s="113"/>
      <c r="R26" s="114"/>
      <c r="S26" s="124"/>
      <c r="T26" s="114"/>
      <c r="U26" s="116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H26" s="117"/>
      <c r="AI26" s="118"/>
      <c r="AJ26" s="109" t="s">
        <v>83</v>
      </c>
      <c r="AK26" s="110"/>
      <c r="AL26" s="104" t="s">
        <v>76</v>
      </c>
      <c r="AM26" s="103" t="s">
        <v>77</v>
      </c>
      <c r="AO26" s="117"/>
      <c r="AP26" s="118"/>
      <c r="AQ26" s="109"/>
      <c r="AR26" s="110"/>
      <c r="AS26" s="104"/>
      <c r="AT26" s="103"/>
    </row>
    <row r="27" spans="1:53" ht="17.25" thickBot="1" x14ac:dyDescent="0.3">
      <c r="A27" s="57"/>
      <c r="B27" s="58"/>
      <c r="C27" s="59"/>
      <c r="D27" s="137"/>
      <c r="E27" s="128"/>
      <c r="F27" s="129"/>
      <c r="G27" s="130"/>
      <c r="H27" s="138"/>
      <c r="I27" s="130"/>
      <c r="J27" s="132"/>
      <c r="K27" s="81"/>
      <c r="L27" s="57"/>
      <c r="M27" s="58"/>
      <c r="N27" s="59"/>
      <c r="O27" s="127"/>
      <c r="P27" s="128"/>
      <c r="Q27" s="129"/>
      <c r="R27" s="130"/>
      <c r="S27" s="138"/>
      <c r="T27" s="130"/>
      <c r="U27" s="132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H27" s="133"/>
      <c r="AI27" s="134"/>
      <c r="AJ27" s="127" t="s">
        <v>84</v>
      </c>
      <c r="AK27" s="128"/>
      <c r="AL27" s="135" t="s">
        <v>76</v>
      </c>
      <c r="AM27" s="139" t="s">
        <v>77</v>
      </c>
      <c r="AO27" s="133"/>
      <c r="AP27" s="134"/>
      <c r="AQ27" s="127"/>
      <c r="AR27" s="128"/>
      <c r="AS27" s="104"/>
      <c r="AT27" s="103"/>
    </row>
    <row r="28" spans="1:53" ht="5.85" customHeight="1" thickBot="1" x14ac:dyDescent="0.3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</row>
    <row r="29" spans="1:53" ht="15.75" thickBot="1" x14ac:dyDescent="0.3">
      <c r="A29" s="395" t="s">
        <v>28</v>
      </c>
      <c r="B29" s="396"/>
      <c r="C29" s="396"/>
      <c r="D29" s="396"/>
      <c r="E29" s="396"/>
      <c r="F29" s="396"/>
      <c r="G29" s="396"/>
      <c r="H29" s="396"/>
      <c r="I29" s="396"/>
      <c r="J29" s="397"/>
      <c r="K29" s="55"/>
      <c r="L29" s="395" t="s">
        <v>29</v>
      </c>
      <c r="M29" s="396"/>
      <c r="N29" s="396"/>
      <c r="O29" s="396"/>
      <c r="P29" s="396"/>
      <c r="Q29" s="396"/>
      <c r="R29" s="396"/>
      <c r="S29" s="396"/>
      <c r="T29" s="396"/>
      <c r="U29" s="397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H29" s="395" t="s">
        <v>28</v>
      </c>
      <c r="AI29" s="396"/>
      <c r="AJ29" s="396"/>
      <c r="AK29" s="396"/>
      <c r="AL29" s="396"/>
      <c r="AM29" s="397"/>
      <c r="AO29" s="395" t="s">
        <v>29</v>
      </c>
      <c r="AP29" s="396"/>
      <c r="AQ29" s="396"/>
      <c r="AR29" s="396"/>
      <c r="AS29" s="396"/>
      <c r="AT29" s="397"/>
    </row>
    <row r="30" spans="1:53" ht="30" customHeight="1" x14ac:dyDescent="0.25">
      <c r="A30" s="401" t="s">
        <v>40</v>
      </c>
      <c r="B30" s="402"/>
      <c r="C30" s="403"/>
      <c r="D30" s="401" t="s">
        <v>41</v>
      </c>
      <c r="E30" s="403"/>
      <c r="F30" s="398" t="s">
        <v>42</v>
      </c>
      <c r="G30" s="399"/>
      <c r="H30" s="399"/>
      <c r="I30" s="399"/>
      <c r="J30" s="400"/>
      <c r="K30" s="56"/>
      <c r="L30" s="401" t="s">
        <v>40</v>
      </c>
      <c r="M30" s="402"/>
      <c r="N30" s="403"/>
      <c r="O30" s="401" t="s">
        <v>41</v>
      </c>
      <c r="P30" s="403"/>
      <c r="Q30" s="398" t="s">
        <v>42</v>
      </c>
      <c r="R30" s="399"/>
      <c r="S30" s="399"/>
      <c r="T30" s="399"/>
      <c r="U30" s="400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H30" s="401" t="s">
        <v>40</v>
      </c>
      <c r="AI30" s="403"/>
      <c r="AJ30" s="401" t="s">
        <v>41</v>
      </c>
      <c r="AK30" s="403"/>
      <c r="AL30" s="401" t="s">
        <v>43</v>
      </c>
      <c r="AM30" s="403"/>
      <c r="AO30" s="401" t="s">
        <v>40</v>
      </c>
      <c r="AP30" s="403"/>
      <c r="AQ30" s="401" t="s">
        <v>41</v>
      </c>
      <c r="AR30" s="403"/>
      <c r="AS30" s="401" t="s">
        <v>43</v>
      </c>
      <c r="AT30" s="403"/>
    </row>
    <row r="31" spans="1:53" ht="30" customHeight="1" thickBot="1" x14ac:dyDescent="0.3">
      <c r="A31" s="57" t="s">
        <v>44</v>
      </c>
      <c r="B31" s="58" t="s">
        <v>45</v>
      </c>
      <c r="C31" s="59" t="s">
        <v>46</v>
      </c>
      <c r="D31" s="67" t="s">
        <v>47</v>
      </c>
      <c r="E31" s="61" t="s">
        <v>48</v>
      </c>
      <c r="F31" s="62" t="s">
        <v>49</v>
      </c>
      <c r="G31" s="63" t="s">
        <v>50</v>
      </c>
      <c r="H31" s="64" t="s">
        <v>51</v>
      </c>
      <c r="I31" s="63" t="s">
        <v>52</v>
      </c>
      <c r="J31" s="65" t="s">
        <v>53</v>
      </c>
      <c r="K31" s="66"/>
      <c r="L31" s="57" t="s">
        <v>44</v>
      </c>
      <c r="M31" s="58" t="s">
        <v>45</v>
      </c>
      <c r="N31" s="59" t="s">
        <v>46</v>
      </c>
      <c r="O31" s="67" t="s">
        <v>47</v>
      </c>
      <c r="P31" s="61" t="s">
        <v>48</v>
      </c>
      <c r="Q31" s="62" t="s">
        <v>49</v>
      </c>
      <c r="R31" s="63" t="s">
        <v>50</v>
      </c>
      <c r="S31" s="64" t="s">
        <v>51</v>
      </c>
      <c r="T31" s="63" t="s">
        <v>52</v>
      </c>
      <c r="U31" s="65" t="s">
        <v>53</v>
      </c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H31" s="68" t="s">
        <v>54</v>
      </c>
      <c r="AI31" s="69" t="s">
        <v>55</v>
      </c>
      <c r="AJ31" s="67" t="s">
        <v>47</v>
      </c>
      <c r="AK31" s="61" t="s">
        <v>48</v>
      </c>
      <c r="AL31" s="70" t="s">
        <v>56</v>
      </c>
      <c r="AM31" s="71" t="s">
        <v>56</v>
      </c>
      <c r="AO31" s="68" t="s">
        <v>54</v>
      </c>
      <c r="AP31" s="69" t="s">
        <v>55</v>
      </c>
      <c r="AQ31" s="67" t="s">
        <v>47</v>
      </c>
      <c r="AR31" s="61" t="s">
        <v>48</v>
      </c>
      <c r="AS31" s="70" t="s">
        <v>56</v>
      </c>
      <c r="AT31" s="71" t="s">
        <v>56</v>
      </c>
    </row>
    <row r="32" spans="1:53" ht="16.5" x14ac:dyDescent="0.25">
      <c r="A32" s="72" t="s">
        <v>25</v>
      </c>
      <c r="B32" s="73"/>
      <c r="C32" s="74"/>
      <c r="D32" s="75" t="s">
        <v>65</v>
      </c>
      <c r="E32" s="76"/>
      <c r="F32" s="77"/>
      <c r="G32" s="78"/>
      <c r="H32" s="79" t="s">
        <v>25</v>
      </c>
      <c r="I32" s="78"/>
      <c r="J32" s="80"/>
      <c r="K32" s="81"/>
      <c r="L32" s="72" t="s">
        <v>25</v>
      </c>
      <c r="M32" s="73"/>
      <c r="N32" s="74"/>
      <c r="O32" s="89" t="s">
        <v>91</v>
      </c>
      <c r="P32" s="76"/>
      <c r="Q32" s="77"/>
      <c r="R32" s="78"/>
      <c r="S32" s="79" t="s">
        <v>25</v>
      </c>
      <c r="T32" s="78"/>
      <c r="U32" s="80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H32" s="87" t="s">
        <v>25</v>
      </c>
      <c r="AI32" s="88"/>
      <c r="AJ32" s="89" t="s">
        <v>60</v>
      </c>
      <c r="AK32" s="76">
        <v>15</v>
      </c>
      <c r="AL32" s="90" t="s">
        <v>61</v>
      </c>
      <c r="AM32" s="91"/>
      <c r="AO32" s="87" t="s">
        <v>25</v>
      </c>
      <c r="AP32" s="88"/>
      <c r="AQ32" s="89" t="s">
        <v>59</v>
      </c>
      <c r="AR32" s="76">
        <v>10</v>
      </c>
      <c r="AS32" s="90" t="s">
        <v>61</v>
      </c>
      <c r="AT32" s="91"/>
    </row>
    <row r="33" spans="1:46" ht="16.5" x14ac:dyDescent="0.25">
      <c r="A33" s="94"/>
      <c r="B33" s="95"/>
      <c r="C33" s="84"/>
      <c r="D33" s="96" t="s">
        <v>93</v>
      </c>
      <c r="E33" s="86"/>
      <c r="F33" s="97"/>
      <c r="G33" s="98"/>
      <c r="H33" s="108" t="s">
        <v>25</v>
      </c>
      <c r="I33" s="98"/>
      <c r="J33" s="99"/>
      <c r="K33" s="81"/>
      <c r="L33" s="94"/>
      <c r="M33" s="95"/>
      <c r="N33" s="84"/>
      <c r="O33" s="85" t="s">
        <v>59</v>
      </c>
      <c r="P33" s="86"/>
      <c r="Q33" s="97"/>
      <c r="R33" s="98"/>
      <c r="S33" s="108" t="s">
        <v>25</v>
      </c>
      <c r="T33" s="98"/>
      <c r="U33" s="99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H33" s="100"/>
      <c r="AI33" s="101"/>
      <c r="AJ33" s="85" t="s">
        <v>66</v>
      </c>
      <c r="AK33" s="86">
        <v>15</v>
      </c>
      <c r="AL33" s="104" t="s">
        <v>61</v>
      </c>
      <c r="AM33" s="103"/>
      <c r="AO33" s="100"/>
      <c r="AP33" s="101"/>
      <c r="AQ33" s="85" t="s">
        <v>73</v>
      </c>
      <c r="AR33" s="86">
        <v>10</v>
      </c>
      <c r="AS33" s="104" t="s">
        <v>61</v>
      </c>
      <c r="AT33" s="103"/>
    </row>
    <row r="34" spans="1:46" ht="16.5" x14ac:dyDescent="0.25">
      <c r="A34" s="94"/>
      <c r="B34" s="95"/>
      <c r="C34" s="84"/>
      <c r="D34" s="96" t="s">
        <v>68</v>
      </c>
      <c r="E34" s="86"/>
      <c r="F34" s="97"/>
      <c r="G34" s="98"/>
      <c r="H34" s="108" t="s">
        <v>25</v>
      </c>
      <c r="I34" s="98"/>
      <c r="J34" s="99"/>
      <c r="K34" s="81"/>
      <c r="L34" s="94"/>
      <c r="M34" s="95"/>
      <c r="N34" s="84"/>
      <c r="O34" s="85" t="s">
        <v>60</v>
      </c>
      <c r="P34" s="86"/>
      <c r="Q34" s="97"/>
      <c r="R34" s="98"/>
      <c r="S34" s="108" t="s">
        <v>25</v>
      </c>
      <c r="T34" s="98"/>
      <c r="U34" s="99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H34" s="100"/>
      <c r="AI34" s="101"/>
      <c r="AJ34" s="85" t="s">
        <v>71</v>
      </c>
      <c r="AK34" s="86">
        <v>15</v>
      </c>
      <c r="AL34" s="104" t="s">
        <v>61</v>
      </c>
      <c r="AM34" s="103"/>
      <c r="AO34" s="100"/>
      <c r="AP34" s="101"/>
      <c r="AQ34" s="85" t="s">
        <v>70</v>
      </c>
      <c r="AR34" s="86">
        <v>10</v>
      </c>
      <c r="AS34" s="104" t="s">
        <v>61</v>
      </c>
      <c r="AT34" s="103"/>
    </row>
    <row r="35" spans="1:46" ht="16.5" x14ac:dyDescent="0.25">
      <c r="A35" s="94"/>
      <c r="B35" s="95"/>
      <c r="C35" s="84"/>
      <c r="D35" s="96" t="s">
        <v>90</v>
      </c>
      <c r="E35" s="86"/>
      <c r="F35" s="97"/>
      <c r="G35" s="98"/>
      <c r="H35" s="108" t="s">
        <v>25</v>
      </c>
      <c r="I35" s="98"/>
      <c r="J35" s="99"/>
      <c r="K35" s="81"/>
      <c r="L35" s="94"/>
      <c r="M35" s="95"/>
      <c r="N35" s="84"/>
      <c r="O35" s="85" t="s">
        <v>66</v>
      </c>
      <c r="P35" s="86"/>
      <c r="Q35" s="97"/>
      <c r="R35" s="98"/>
      <c r="S35" s="108" t="s">
        <v>25</v>
      </c>
      <c r="T35" s="98"/>
      <c r="U35" s="99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H35" s="100"/>
      <c r="AI35" s="101"/>
      <c r="AJ35" s="85" t="s">
        <v>70</v>
      </c>
      <c r="AK35" s="86">
        <v>15</v>
      </c>
      <c r="AL35" s="104" t="s">
        <v>61</v>
      </c>
      <c r="AM35" s="103"/>
      <c r="AO35" s="100"/>
      <c r="AP35" s="101"/>
      <c r="AQ35" s="85"/>
      <c r="AR35" s="86"/>
      <c r="AS35" s="104"/>
      <c r="AT35" s="103"/>
    </row>
    <row r="36" spans="1:46" ht="16.5" x14ac:dyDescent="0.25">
      <c r="A36" s="94"/>
      <c r="B36" s="95"/>
      <c r="C36" s="84"/>
      <c r="D36" s="96" t="s">
        <v>71</v>
      </c>
      <c r="E36" s="86"/>
      <c r="F36" s="97"/>
      <c r="G36" s="98"/>
      <c r="H36" s="108" t="s">
        <v>25</v>
      </c>
      <c r="I36" s="98"/>
      <c r="J36" s="99"/>
      <c r="K36" s="81"/>
      <c r="L36" s="94"/>
      <c r="M36" s="95"/>
      <c r="N36" s="84"/>
      <c r="O36" s="85" t="s">
        <v>71</v>
      </c>
      <c r="P36" s="86"/>
      <c r="Q36" s="97"/>
      <c r="R36" s="98"/>
      <c r="S36" s="108" t="s">
        <v>25</v>
      </c>
      <c r="T36" s="98"/>
      <c r="U36" s="99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H36" s="100"/>
      <c r="AI36" s="101"/>
      <c r="AJ36" s="85"/>
      <c r="AK36" s="86"/>
      <c r="AL36" s="104"/>
      <c r="AM36" s="103"/>
      <c r="AO36" s="100"/>
      <c r="AP36" s="101"/>
      <c r="AQ36" s="85"/>
      <c r="AR36" s="86"/>
      <c r="AS36" s="104"/>
      <c r="AT36" s="103"/>
    </row>
    <row r="37" spans="1:46" ht="16.5" x14ac:dyDescent="0.25">
      <c r="A37" s="94"/>
      <c r="B37" s="95"/>
      <c r="C37" s="84"/>
      <c r="D37" s="96" t="s">
        <v>82</v>
      </c>
      <c r="E37" s="86"/>
      <c r="F37" s="97"/>
      <c r="G37" s="98"/>
      <c r="H37" s="108" t="s">
        <v>25</v>
      </c>
      <c r="I37" s="98"/>
      <c r="J37" s="99"/>
      <c r="K37" s="81"/>
      <c r="L37" s="94"/>
      <c r="M37" s="95"/>
      <c r="N37" s="84"/>
      <c r="O37" s="85" t="s">
        <v>81</v>
      </c>
      <c r="P37" s="86"/>
      <c r="Q37" s="97"/>
      <c r="R37" s="98"/>
      <c r="S37" s="108" t="s">
        <v>25</v>
      </c>
      <c r="T37" s="98"/>
      <c r="U37" s="99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H37" s="100"/>
      <c r="AI37" s="101" t="s">
        <v>25</v>
      </c>
      <c r="AJ37" s="85" t="s">
        <v>94</v>
      </c>
      <c r="AK37" s="86"/>
      <c r="AL37" s="104"/>
      <c r="AM37" s="140" t="s">
        <v>77</v>
      </c>
      <c r="AO37" s="100"/>
      <c r="AP37" s="101" t="s">
        <v>25</v>
      </c>
      <c r="AQ37" s="85" t="s">
        <v>64</v>
      </c>
      <c r="AR37" s="86"/>
      <c r="AS37" s="104"/>
      <c r="AT37" s="103" t="s">
        <v>77</v>
      </c>
    </row>
    <row r="38" spans="1:46" ht="16.5" x14ac:dyDescent="0.25">
      <c r="A38" s="94"/>
      <c r="B38" s="95"/>
      <c r="C38" s="84"/>
      <c r="D38" s="96" t="s">
        <v>88</v>
      </c>
      <c r="E38" s="86"/>
      <c r="F38" s="97"/>
      <c r="G38" s="98"/>
      <c r="H38" s="108" t="s">
        <v>25</v>
      </c>
      <c r="I38" s="98"/>
      <c r="J38" s="99"/>
      <c r="K38" s="81"/>
      <c r="L38" s="94"/>
      <c r="M38" s="95"/>
      <c r="N38" s="84"/>
      <c r="O38" s="85" t="s">
        <v>95</v>
      </c>
      <c r="P38" s="86"/>
      <c r="Q38" s="97"/>
      <c r="R38" s="98"/>
      <c r="S38" s="108" t="s">
        <v>25</v>
      </c>
      <c r="T38" s="98"/>
      <c r="U38" s="99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H38" s="100"/>
      <c r="AI38" s="101"/>
      <c r="AJ38" s="85" t="s">
        <v>60</v>
      </c>
      <c r="AK38" s="86"/>
      <c r="AL38" s="104"/>
      <c r="AM38" s="140" t="s">
        <v>77</v>
      </c>
      <c r="AO38" s="100"/>
      <c r="AP38" s="101"/>
      <c r="AQ38" s="85" t="s">
        <v>60</v>
      </c>
      <c r="AR38" s="86"/>
      <c r="AS38" s="104"/>
      <c r="AT38" s="103" t="s">
        <v>77</v>
      </c>
    </row>
    <row r="39" spans="1:46" ht="16.5" x14ac:dyDescent="0.25">
      <c r="A39" s="94"/>
      <c r="B39" s="95"/>
      <c r="C39" s="84"/>
      <c r="D39" s="96"/>
      <c r="E39" s="86"/>
      <c r="F39" s="97"/>
      <c r="G39" s="98"/>
      <c r="H39" s="108"/>
      <c r="I39" s="98"/>
      <c r="J39" s="99"/>
      <c r="K39" s="81"/>
      <c r="L39" s="94"/>
      <c r="M39" s="95"/>
      <c r="N39" s="84"/>
      <c r="O39" s="85"/>
      <c r="P39" s="86"/>
      <c r="Q39" s="97"/>
      <c r="R39" s="98"/>
      <c r="S39" s="108"/>
      <c r="T39" s="98"/>
      <c r="U39" s="99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H39" s="100"/>
      <c r="AI39" s="101"/>
      <c r="AJ39" s="85" t="s">
        <v>96</v>
      </c>
      <c r="AK39" s="86"/>
      <c r="AL39" s="104"/>
      <c r="AM39" s="140" t="s">
        <v>77</v>
      </c>
      <c r="AO39" s="100"/>
      <c r="AP39" s="101"/>
      <c r="AQ39" s="85" t="s">
        <v>73</v>
      </c>
      <c r="AR39" s="86"/>
      <c r="AS39" s="104"/>
      <c r="AT39" s="103" t="s">
        <v>77</v>
      </c>
    </row>
    <row r="40" spans="1:46" ht="16.5" x14ac:dyDescent="0.25">
      <c r="A40" s="94"/>
      <c r="B40" s="95"/>
      <c r="C40" s="84" t="s">
        <v>25</v>
      </c>
      <c r="D40" s="96" t="s">
        <v>65</v>
      </c>
      <c r="E40" s="86">
        <v>5</v>
      </c>
      <c r="F40" s="97"/>
      <c r="G40" s="98"/>
      <c r="H40" s="108"/>
      <c r="I40" s="98"/>
      <c r="J40" s="99"/>
      <c r="K40" s="81"/>
      <c r="L40" s="94"/>
      <c r="M40" s="95" t="s">
        <v>25</v>
      </c>
      <c r="N40" s="84"/>
      <c r="O40" s="85" t="s">
        <v>59</v>
      </c>
      <c r="P40" s="86"/>
      <c r="Q40" s="97"/>
      <c r="R40" s="98"/>
      <c r="S40" s="108" t="s">
        <v>25</v>
      </c>
      <c r="T40" s="98"/>
      <c r="U40" s="99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H40" s="100"/>
      <c r="AI40" s="101"/>
      <c r="AJ40" s="85" t="s">
        <v>74</v>
      </c>
      <c r="AK40" s="86"/>
      <c r="AL40" s="104"/>
      <c r="AM40" s="140" t="s">
        <v>77</v>
      </c>
      <c r="AO40" s="100"/>
      <c r="AP40" s="101"/>
      <c r="AQ40" s="85" t="s">
        <v>67</v>
      </c>
      <c r="AR40" s="86"/>
      <c r="AS40" s="104"/>
      <c r="AT40" s="103" t="s">
        <v>77</v>
      </c>
    </row>
    <row r="41" spans="1:46" ht="16.5" x14ac:dyDescent="0.25">
      <c r="A41" s="94"/>
      <c r="B41" s="95"/>
      <c r="C41" s="84" t="s">
        <v>25</v>
      </c>
      <c r="D41" s="96" t="s">
        <v>97</v>
      </c>
      <c r="E41" s="86">
        <v>5</v>
      </c>
      <c r="F41" s="97"/>
      <c r="G41" s="98"/>
      <c r="H41" s="108"/>
      <c r="I41" s="98"/>
      <c r="J41" s="99"/>
      <c r="K41" s="81"/>
      <c r="L41" s="94"/>
      <c r="M41" s="95"/>
      <c r="N41" s="84"/>
      <c r="O41" s="85"/>
      <c r="P41" s="86"/>
      <c r="Q41" s="97"/>
      <c r="R41" s="98"/>
      <c r="S41" s="108"/>
      <c r="T41" s="98"/>
      <c r="U41" s="99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H41" s="100"/>
      <c r="AI41" s="101"/>
      <c r="AJ41" s="85" t="s">
        <v>67</v>
      </c>
      <c r="AK41" s="86"/>
      <c r="AL41" s="104"/>
      <c r="AM41" s="140" t="s">
        <v>77</v>
      </c>
      <c r="AO41" s="100"/>
      <c r="AP41" s="101"/>
      <c r="AQ41" s="85" t="s">
        <v>98</v>
      </c>
      <c r="AR41" s="86"/>
      <c r="AS41" s="104"/>
      <c r="AT41" s="103" t="s">
        <v>77</v>
      </c>
    </row>
    <row r="42" spans="1:46" ht="16.5" x14ac:dyDescent="0.25">
      <c r="A42" s="94"/>
      <c r="B42" s="95"/>
      <c r="C42" s="84"/>
      <c r="D42" s="96"/>
      <c r="E42" s="86"/>
      <c r="F42" s="97"/>
      <c r="G42" s="98"/>
      <c r="H42" s="108"/>
      <c r="I42" s="98"/>
      <c r="J42" s="99"/>
      <c r="K42" s="81"/>
      <c r="L42" s="94"/>
      <c r="M42" s="95"/>
      <c r="N42" s="84" t="s">
        <v>25</v>
      </c>
      <c r="O42" s="85" t="s">
        <v>59</v>
      </c>
      <c r="P42" s="86">
        <v>5</v>
      </c>
      <c r="Q42" s="97"/>
      <c r="R42" s="98"/>
      <c r="S42" s="108" t="s">
        <v>25</v>
      </c>
      <c r="T42" s="98"/>
      <c r="U42" s="99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H42" s="100"/>
      <c r="AI42" s="101"/>
      <c r="AJ42" s="85" t="s">
        <v>98</v>
      </c>
      <c r="AK42" s="86"/>
      <c r="AL42" s="104"/>
      <c r="AM42" s="140" t="s">
        <v>77</v>
      </c>
      <c r="AO42" s="100"/>
      <c r="AP42" s="101"/>
      <c r="AQ42" s="85" t="s">
        <v>92</v>
      </c>
      <c r="AR42" s="86"/>
      <c r="AS42" s="104"/>
      <c r="AT42" s="103" t="s">
        <v>77</v>
      </c>
    </row>
    <row r="43" spans="1:46" ht="16.5" x14ac:dyDescent="0.25">
      <c r="A43" s="94"/>
      <c r="B43" s="95"/>
      <c r="C43" s="84"/>
      <c r="D43" s="96"/>
      <c r="E43" s="86"/>
      <c r="F43" s="97"/>
      <c r="G43" s="98"/>
      <c r="H43" s="108"/>
      <c r="I43" s="98"/>
      <c r="J43" s="99"/>
      <c r="K43" s="81"/>
      <c r="L43" s="94"/>
      <c r="M43" s="95"/>
      <c r="N43" s="84" t="s">
        <v>25</v>
      </c>
      <c r="O43" s="85" t="s">
        <v>92</v>
      </c>
      <c r="P43" s="86">
        <v>5</v>
      </c>
      <c r="Q43" s="97"/>
      <c r="R43" s="98"/>
      <c r="S43" s="108" t="s">
        <v>25</v>
      </c>
      <c r="T43" s="98"/>
      <c r="U43" s="99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H43" s="100"/>
      <c r="AI43" s="101"/>
      <c r="AJ43" s="85" t="s">
        <v>83</v>
      </c>
      <c r="AK43" s="86"/>
      <c r="AL43" s="104"/>
      <c r="AM43" s="140" t="s">
        <v>77</v>
      </c>
      <c r="AO43" s="100"/>
      <c r="AP43" s="101"/>
      <c r="AQ43" s="85" t="s">
        <v>85</v>
      </c>
      <c r="AR43" s="86"/>
      <c r="AS43" s="104"/>
      <c r="AT43" s="103" t="s">
        <v>77</v>
      </c>
    </row>
    <row r="44" spans="1:46" ht="16.5" x14ac:dyDescent="0.25">
      <c r="A44" s="94"/>
      <c r="B44" s="95"/>
      <c r="C44" s="84"/>
      <c r="D44" s="96"/>
      <c r="E44" s="86"/>
      <c r="F44" s="97"/>
      <c r="G44" s="98"/>
      <c r="H44" s="107"/>
      <c r="I44" s="98"/>
      <c r="J44" s="99"/>
      <c r="K44" s="81"/>
      <c r="L44" s="94"/>
      <c r="M44" s="95"/>
      <c r="N44" s="84"/>
      <c r="O44" s="85"/>
      <c r="P44" s="86"/>
      <c r="Q44" s="97"/>
      <c r="R44" s="98"/>
      <c r="S44" s="107"/>
      <c r="T44" s="98"/>
      <c r="U44" s="99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H44" s="100"/>
      <c r="AI44" s="101"/>
      <c r="AJ44" s="85" t="s">
        <v>84</v>
      </c>
      <c r="AK44" s="86"/>
      <c r="AL44" s="104"/>
      <c r="AM44" s="140" t="s">
        <v>77</v>
      </c>
      <c r="AO44" s="100"/>
      <c r="AP44" s="101"/>
      <c r="AQ44" s="85"/>
      <c r="AR44" s="86"/>
      <c r="AS44" s="104"/>
      <c r="AT44" s="103"/>
    </row>
    <row r="45" spans="1:46" ht="16.5" x14ac:dyDescent="0.25">
      <c r="A45" s="94"/>
      <c r="B45" s="95"/>
      <c r="C45" s="84"/>
      <c r="D45" s="85"/>
      <c r="E45" s="86"/>
      <c r="F45" s="97"/>
      <c r="G45" s="98"/>
      <c r="H45" s="107"/>
      <c r="I45" s="98"/>
      <c r="J45" s="99"/>
      <c r="K45" s="81"/>
      <c r="L45" s="94"/>
      <c r="M45" s="95"/>
      <c r="N45" s="84"/>
      <c r="O45" s="85"/>
      <c r="P45" s="86"/>
      <c r="Q45" s="97"/>
      <c r="R45" s="98"/>
      <c r="S45" s="108"/>
      <c r="T45" s="98"/>
      <c r="U45" s="99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H45" s="100"/>
      <c r="AI45" s="101"/>
      <c r="AJ45" s="85"/>
      <c r="AK45" s="86"/>
      <c r="AL45" s="104"/>
      <c r="AM45" s="103"/>
      <c r="AO45" s="100"/>
      <c r="AP45" s="101"/>
      <c r="AQ45" s="85"/>
      <c r="AR45" s="86"/>
      <c r="AS45" s="104"/>
      <c r="AT45" s="103"/>
    </row>
    <row r="46" spans="1:46" ht="16.5" x14ac:dyDescent="0.25">
      <c r="A46" s="94"/>
      <c r="B46" s="95"/>
      <c r="C46" s="84"/>
      <c r="D46" s="85"/>
      <c r="E46" s="86"/>
      <c r="F46" s="97"/>
      <c r="G46" s="98"/>
      <c r="H46" s="107"/>
      <c r="I46" s="98"/>
      <c r="J46" s="99"/>
      <c r="K46" s="81"/>
      <c r="L46" s="94"/>
      <c r="M46" s="95"/>
      <c r="N46" s="84"/>
      <c r="O46" s="85"/>
      <c r="P46" s="86"/>
      <c r="Q46" s="97"/>
      <c r="R46" s="98"/>
      <c r="S46" s="107"/>
      <c r="T46" s="98"/>
      <c r="U46" s="99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H46" s="100"/>
      <c r="AI46" s="101"/>
      <c r="AJ46" s="85"/>
      <c r="AK46" s="86"/>
      <c r="AL46" s="104"/>
      <c r="AM46" s="103"/>
      <c r="AO46" s="100"/>
      <c r="AP46" s="101"/>
      <c r="AQ46" s="85"/>
      <c r="AR46" s="86"/>
      <c r="AS46" s="104"/>
      <c r="AT46" s="103"/>
    </row>
    <row r="47" spans="1:46" ht="16.5" x14ac:dyDescent="0.25">
      <c r="A47" s="111"/>
      <c r="B47" s="112"/>
      <c r="C47" s="106"/>
      <c r="D47" s="109"/>
      <c r="E47" s="110"/>
      <c r="F47" s="113"/>
      <c r="G47" s="114"/>
      <c r="H47" s="124"/>
      <c r="I47" s="114"/>
      <c r="J47" s="116"/>
      <c r="K47" s="81"/>
      <c r="L47" s="111"/>
      <c r="M47" s="112"/>
      <c r="N47" s="106"/>
      <c r="O47" s="109"/>
      <c r="P47" s="110"/>
      <c r="Q47" s="113"/>
      <c r="R47" s="114"/>
      <c r="S47" s="115"/>
      <c r="T47" s="114"/>
      <c r="U47" s="116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H47" s="117"/>
      <c r="AI47" s="118"/>
      <c r="AJ47" s="109"/>
      <c r="AK47" s="110"/>
      <c r="AL47" s="102"/>
      <c r="AM47" s="141"/>
      <c r="AO47" s="117"/>
      <c r="AP47" s="118"/>
      <c r="AQ47" s="109"/>
      <c r="AR47" s="110"/>
      <c r="AS47" s="119"/>
      <c r="AT47" s="142"/>
    </row>
    <row r="48" spans="1:46" ht="17.25" thickBot="1" x14ac:dyDescent="0.3">
      <c r="A48" s="57"/>
      <c r="B48" s="58"/>
      <c r="C48" s="59"/>
      <c r="D48" s="127"/>
      <c r="E48" s="128"/>
      <c r="F48" s="129"/>
      <c r="G48" s="130"/>
      <c r="H48" s="138"/>
      <c r="I48" s="130"/>
      <c r="J48" s="132"/>
      <c r="K48" s="81"/>
      <c r="L48" s="57"/>
      <c r="M48" s="58"/>
      <c r="N48" s="59"/>
      <c r="O48" s="127"/>
      <c r="P48" s="128"/>
      <c r="Q48" s="129"/>
      <c r="R48" s="130"/>
      <c r="S48" s="131"/>
      <c r="T48" s="130"/>
      <c r="U48" s="132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H48" s="133"/>
      <c r="AI48" s="134"/>
      <c r="AJ48" s="127"/>
      <c r="AK48" s="128"/>
      <c r="AL48" s="135"/>
      <c r="AM48" s="143"/>
      <c r="AO48" s="133"/>
      <c r="AP48" s="134"/>
      <c r="AQ48" s="127"/>
      <c r="AR48" s="128"/>
      <c r="AS48" s="135"/>
      <c r="AT48" s="143"/>
    </row>
    <row r="49" spans="1:10" ht="5.85" customHeight="1" thickBot="1" x14ac:dyDescent="0.3"/>
    <row r="50" spans="1:10" ht="15.75" thickBot="1" x14ac:dyDescent="0.3">
      <c r="A50" s="395" t="s">
        <v>27</v>
      </c>
      <c r="B50" s="396"/>
      <c r="C50" s="396"/>
      <c r="D50" s="396"/>
      <c r="E50" s="396"/>
      <c r="F50" s="396"/>
      <c r="G50" s="396"/>
      <c r="H50" s="396"/>
      <c r="I50" s="396"/>
      <c r="J50" s="397"/>
    </row>
    <row r="51" spans="1:10" ht="30" customHeight="1" x14ac:dyDescent="0.25">
      <c r="A51" s="401" t="s">
        <v>40</v>
      </c>
      <c r="B51" s="402"/>
      <c r="C51" s="403"/>
      <c r="D51" s="401" t="s">
        <v>41</v>
      </c>
      <c r="E51" s="403"/>
      <c r="F51" s="398" t="s">
        <v>42</v>
      </c>
      <c r="G51" s="399"/>
      <c r="H51" s="399"/>
      <c r="I51" s="399"/>
      <c r="J51" s="400"/>
    </row>
    <row r="52" spans="1:10" ht="30" customHeight="1" thickBot="1" x14ac:dyDescent="0.3">
      <c r="A52" s="57" t="s">
        <v>44</v>
      </c>
      <c r="B52" s="58" t="s">
        <v>45</v>
      </c>
      <c r="C52" s="59" t="s">
        <v>46</v>
      </c>
      <c r="D52" s="67" t="s">
        <v>47</v>
      </c>
      <c r="E52" s="61" t="s">
        <v>48</v>
      </c>
      <c r="F52" s="62" t="s">
        <v>49</v>
      </c>
      <c r="G52" s="63" t="s">
        <v>50</v>
      </c>
      <c r="H52" s="64" t="s">
        <v>51</v>
      </c>
      <c r="I52" s="63" t="s">
        <v>52</v>
      </c>
      <c r="J52" s="65" t="s">
        <v>53</v>
      </c>
    </row>
    <row r="53" spans="1:10" x14ac:dyDescent="0.25">
      <c r="A53" s="72" t="s">
        <v>25</v>
      </c>
      <c r="B53" s="73"/>
      <c r="C53" s="74"/>
      <c r="D53" s="75" t="s">
        <v>59</v>
      </c>
      <c r="E53" s="76"/>
      <c r="F53" s="77"/>
      <c r="G53" s="78"/>
      <c r="H53" s="79" t="s">
        <v>25</v>
      </c>
      <c r="I53" s="78"/>
      <c r="J53" s="80"/>
    </row>
    <row r="54" spans="1:10" x14ac:dyDescent="0.25">
      <c r="A54" s="94"/>
      <c r="B54" s="95"/>
      <c r="C54" s="84"/>
      <c r="D54" s="96" t="s">
        <v>65</v>
      </c>
      <c r="E54" s="86"/>
      <c r="F54" s="97"/>
      <c r="G54" s="98"/>
      <c r="H54" s="79" t="s">
        <v>25</v>
      </c>
      <c r="I54" s="98"/>
      <c r="J54" s="99"/>
    </row>
    <row r="55" spans="1:10" x14ac:dyDescent="0.25">
      <c r="A55" s="94"/>
      <c r="B55" s="95"/>
      <c r="C55" s="84"/>
      <c r="D55" s="96" t="s">
        <v>69</v>
      </c>
      <c r="E55" s="86"/>
      <c r="F55" s="97"/>
      <c r="G55" s="98"/>
      <c r="H55" s="79" t="s">
        <v>25</v>
      </c>
      <c r="I55" s="98"/>
      <c r="J55" s="99"/>
    </row>
    <row r="56" spans="1:10" x14ac:dyDescent="0.25">
      <c r="A56" s="94"/>
      <c r="B56" s="95"/>
      <c r="C56" s="84"/>
      <c r="D56" s="96" t="s">
        <v>73</v>
      </c>
      <c r="E56" s="86"/>
      <c r="F56" s="97"/>
      <c r="G56" s="98"/>
      <c r="H56" s="79" t="s">
        <v>25</v>
      </c>
      <c r="I56" s="98"/>
      <c r="J56" s="99"/>
    </row>
    <row r="57" spans="1:10" x14ac:dyDescent="0.25">
      <c r="A57" s="94"/>
      <c r="B57" s="95"/>
      <c r="C57" s="84"/>
      <c r="D57" s="96" t="s">
        <v>67</v>
      </c>
      <c r="E57" s="86"/>
      <c r="F57" s="97"/>
      <c r="G57" s="98"/>
      <c r="H57" s="79" t="s">
        <v>25</v>
      </c>
      <c r="I57" s="98"/>
      <c r="J57" s="99"/>
    </row>
    <row r="58" spans="1:10" x14ac:dyDescent="0.25">
      <c r="A58" s="94"/>
      <c r="B58" s="95"/>
      <c r="C58" s="84"/>
      <c r="D58" s="96" t="s">
        <v>78</v>
      </c>
      <c r="E58" s="86"/>
      <c r="F58" s="97"/>
      <c r="G58" s="98"/>
      <c r="H58" s="79" t="s">
        <v>25</v>
      </c>
      <c r="I58" s="98"/>
      <c r="J58" s="99"/>
    </row>
    <row r="59" spans="1:10" x14ac:dyDescent="0.25">
      <c r="A59" s="94"/>
      <c r="B59" s="95"/>
      <c r="C59" s="84"/>
      <c r="D59" s="96" t="s">
        <v>83</v>
      </c>
      <c r="E59" s="86"/>
      <c r="F59" s="97"/>
      <c r="G59" s="98"/>
      <c r="H59" s="79" t="s">
        <v>25</v>
      </c>
      <c r="I59" s="98"/>
      <c r="J59" s="99"/>
    </row>
    <row r="60" spans="1:10" x14ac:dyDescent="0.25">
      <c r="A60" s="94"/>
      <c r="B60" s="95"/>
      <c r="C60" s="84"/>
      <c r="D60" s="96" t="s">
        <v>84</v>
      </c>
      <c r="E60" s="86"/>
      <c r="F60" s="97"/>
      <c r="G60" s="98"/>
      <c r="H60" s="79" t="s">
        <v>25</v>
      </c>
      <c r="I60" s="98"/>
      <c r="J60" s="99"/>
    </row>
    <row r="61" spans="1:10" x14ac:dyDescent="0.25">
      <c r="A61" s="94"/>
      <c r="B61" s="95"/>
      <c r="C61" s="84"/>
      <c r="D61" s="85" t="s">
        <v>88</v>
      </c>
      <c r="E61" s="86"/>
      <c r="F61" s="97"/>
      <c r="G61" s="98"/>
      <c r="H61" s="79" t="s">
        <v>25</v>
      </c>
      <c r="I61" s="98"/>
      <c r="J61" s="99"/>
    </row>
    <row r="62" spans="1:10" x14ac:dyDescent="0.25">
      <c r="A62" s="94"/>
      <c r="B62" s="95"/>
      <c r="C62" s="84"/>
      <c r="D62" s="85"/>
      <c r="E62" s="86"/>
      <c r="F62" s="97"/>
      <c r="G62" s="98"/>
      <c r="H62" s="79"/>
      <c r="I62" s="98"/>
      <c r="J62" s="99"/>
    </row>
    <row r="63" spans="1:10" x14ac:dyDescent="0.25">
      <c r="A63" s="94"/>
      <c r="B63" s="95"/>
      <c r="C63" s="84" t="s">
        <v>25</v>
      </c>
      <c r="D63" s="85" t="s">
        <v>64</v>
      </c>
      <c r="E63" s="86"/>
      <c r="F63" s="97"/>
      <c r="G63" s="98"/>
      <c r="H63" s="108" t="s">
        <v>25</v>
      </c>
      <c r="I63" s="98"/>
      <c r="J63" s="99"/>
    </row>
    <row r="64" spans="1:10" x14ac:dyDescent="0.25">
      <c r="A64" s="111"/>
      <c r="B64" s="112"/>
      <c r="C64" s="106" t="s">
        <v>25</v>
      </c>
      <c r="D64" s="109" t="s">
        <v>78</v>
      </c>
      <c r="E64" s="110"/>
      <c r="F64" s="113"/>
      <c r="G64" s="114"/>
      <c r="H64" s="115" t="s">
        <v>25</v>
      </c>
      <c r="I64" s="114"/>
      <c r="J64" s="116"/>
    </row>
    <row r="65" spans="1:10" x14ac:dyDescent="0.25">
      <c r="A65" s="111"/>
      <c r="B65" s="112"/>
      <c r="C65" s="106"/>
      <c r="D65" s="109"/>
      <c r="E65" s="110"/>
      <c r="F65" s="113"/>
      <c r="G65" s="114"/>
      <c r="H65" s="115"/>
      <c r="I65" s="114"/>
      <c r="J65" s="116"/>
    </row>
    <row r="66" spans="1:10" x14ac:dyDescent="0.25">
      <c r="A66" s="111"/>
      <c r="B66" s="112"/>
      <c r="C66" s="106"/>
      <c r="D66" s="109"/>
      <c r="E66" s="110"/>
      <c r="F66" s="113"/>
      <c r="G66" s="114"/>
      <c r="H66" s="115"/>
      <c r="I66" s="114"/>
      <c r="J66" s="116"/>
    </row>
    <row r="67" spans="1:10" x14ac:dyDescent="0.25">
      <c r="A67" s="111"/>
      <c r="B67" s="112"/>
      <c r="C67" s="106"/>
      <c r="D67" s="109"/>
      <c r="E67" s="110"/>
      <c r="F67" s="113"/>
      <c r="G67" s="114"/>
      <c r="H67" s="115"/>
      <c r="I67" s="114"/>
      <c r="J67" s="116"/>
    </row>
    <row r="68" spans="1:10" x14ac:dyDescent="0.25">
      <c r="A68" s="111"/>
      <c r="B68" s="112"/>
      <c r="C68" s="106"/>
      <c r="D68" s="109"/>
      <c r="E68" s="110"/>
      <c r="F68" s="113"/>
      <c r="G68" s="114"/>
      <c r="H68" s="115"/>
      <c r="I68" s="114"/>
      <c r="J68" s="116"/>
    </row>
    <row r="69" spans="1:10" ht="15.75" thickBot="1" x14ac:dyDescent="0.3">
      <c r="A69" s="57"/>
      <c r="B69" s="58"/>
      <c r="C69" s="59"/>
      <c r="D69" s="127"/>
      <c r="E69" s="128"/>
      <c r="F69" s="129"/>
      <c r="G69" s="130"/>
      <c r="H69" s="131"/>
      <c r="I69" s="130"/>
      <c r="J69" s="132"/>
    </row>
    <row r="72" spans="1:10" ht="30" customHeight="1" x14ac:dyDescent="0.25">
      <c r="B72" s="54" t="s">
        <v>99</v>
      </c>
    </row>
    <row r="73" spans="1:10" x14ac:dyDescent="0.25">
      <c r="B73" s="54" t="s">
        <v>100</v>
      </c>
    </row>
    <row r="74" spans="1:10" x14ac:dyDescent="0.25">
      <c r="B74" s="54" t="s">
        <v>101</v>
      </c>
    </row>
    <row r="75" spans="1:10" x14ac:dyDescent="0.25">
      <c r="B75" s="54" t="s">
        <v>102</v>
      </c>
    </row>
    <row r="76" spans="1:10" x14ac:dyDescent="0.25">
      <c r="B76" s="54" t="s">
        <v>103</v>
      </c>
    </row>
    <row r="77" spans="1:10" x14ac:dyDescent="0.25">
      <c r="B77" s="54" t="s">
        <v>104</v>
      </c>
    </row>
    <row r="79" spans="1:10" x14ac:dyDescent="0.25">
      <c r="B79" s="54" t="s">
        <v>105</v>
      </c>
    </row>
    <row r="80" spans="1:10" x14ac:dyDescent="0.25">
      <c r="B80" s="54" t="s">
        <v>106</v>
      </c>
    </row>
  </sheetData>
  <mergeCells count="44">
    <mergeCell ref="AL30:AM30"/>
    <mergeCell ref="AO30:AP30"/>
    <mergeCell ref="AQ30:AR30"/>
    <mergeCell ref="A50:J50"/>
    <mergeCell ref="A51:C51"/>
    <mergeCell ref="D51:E51"/>
    <mergeCell ref="F51:J51"/>
    <mergeCell ref="AS7:AT7"/>
    <mergeCell ref="AV7:AW7"/>
    <mergeCell ref="AX7:AY7"/>
    <mergeCell ref="AS30:AT30"/>
    <mergeCell ref="A29:J29"/>
    <mergeCell ref="L29:U29"/>
    <mergeCell ref="AH29:AM29"/>
    <mergeCell ref="AO29:AT29"/>
    <mergeCell ref="A30:C30"/>
    <mergeCell ref="D30:E30"/>
    <mergeCell ref="F30:J30"/>
    <mergeCell ref="L30:N30"/>
    <mergeCell ref="O30:P30"/>
    <mergeCell ref="Q30:U30"/>
    <mergeCell ref="AH30:AI30"/>
    <mergeCell ref="AJ30:AK30"/>
    <mergeCell ref="AH7:AI7"/>
    <mergeCell ref="AJ7:AK7"/>
    <mergeCell ref="AL7:AM7"/>
    <mergeCell ref="AO7:AP7"/>
    <mergeCell ref="AQ7:AR7"/>
    <mergeCell ref="AO6:AT6"/>
    <mergeCell ref="AV6:BA6"/>
    <mergeCell ref="Q7:U7"/>
    <mergeCell ref="A6:J6"/>
    <mergeCell ref="L6:U6"/>
    <mergeCell ref="W6:AF6"/>
    <mergeCell ref="AH6:AM6"/>
    <mergeCell ref="A7:C7"/>
    <mergeCell ref="D7:E7"/>
    <mergeCell ref="F7:J7"/>
    <mergeCell ref="L7:N7"/>
    <mergeCell ref="O7:P7"/>
    <mergeCell ref="AZ7:BA7"/>
    <mergeCell ref="W7:Y7"/>
    <mergeCell ref="Z7:AA7"/>
    <mergeCell ref="AB7:AF7"/>
  </mergeCells>
  <pageMargins left="0" right="0" top="0" bottom="0" header="0" footer="0"/>
  <pageSetup paperSize="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  <pageSetUpPr fitToPage="1"/>
  </sheetPr>
  <dimension ref="B3:K72"/>
  <sheetViews>
    <sheetView topLeftCell="A52" zoomScaleNormal="100" workbookViewId="0">
      <selection activeCell="J71" sqref="J71"/>
    </sheetView>
  </sheetViews>
  <sheetFormatPr defaultRowHeight="15" x14ac:dyDescent="0.25"/>
  <cols>
    <col min="1" max="1" width="9.140625" style="54"/>
    <col min="2" max="2" width="5.7109375" style="144" customWidth="1"/>
    <col min="3" max="3" width="22.7109375" style="54" customWidth="1"/>
    <col min="4" max="4" width="16.42578125" style="54" customWidth="1"/>
    <col min="5" max="5" width="7.7109375" style="144" bestFit="1" customWidth="1"/>
    <col min="6" max="7" width="12.7109375" style="145" customWidth="1"/>
    <col min="8" max="10" width="11.7109375" style="145" customWidth="1"/>
    <col min="11" max="11" width="27.7109375" style="145" customWidth="1"/>
    <col min="12" max="16384" width="9.140625" style="54"/>
  </cols>
  <sheetData>
    <row r="3" spans="2:11" s="2" customFormat="1" ht="21" x14ac:dyDescent="0.35">
      <c r="B3" s="2" t="s">
        <v>0</v>
      </c>
    </row>
    <row r="6" spans="2:11" ht="18.75" x14ac:dyDescent="0.25">
      <c r="B6" s="404" t="s">
        <v>107</v>
      </c>
      <c r="C6" s="404"/>
      <c r="D6" s="404"/>
      <c r="E6" s="404"/>
      <c r="F6" s="404"/>
      <c r="G6" s="404"/>
      <c r="H6" s="404"/>
      <c r="I6" s="404"/>
      <c r="J6" s="404"/>
      <c r="K6" s="404"/>
    </row>
    <row r="7" spans="2:11" ht="15.75" thickBot="1" x14ac:dyDescent="0.3">
      <c r="K7" s="146"/>
    </row>
    <row r="8" spans="2:11" ht="15.75" thickBot="1" x14ac:dyDescent="0.3">
      <c r="B8" s="405" t="s">
        <v>108</v>
      </c>
      <c r="C8" s="405" t="s">
        <v>109</v>
      </c>
      <c r="D8" s="405" t="s">
        <v>110</v>
      </c>
      <c r="E8" s="405" t="s">
        <v>111</v>
      </c>
      <c r="F8" s="405" t="s">
        <v>112</v>
      </c>
      <c r="G8" s="405"/>
      <c r="H8" s="405" t="s">
        <v>113</v>
      </c>
      <c r="I8" s="407" t="s">
        <v>114</v>
      </c>
      <c r="J8" s="406" t="s">
        <v>115</v>
      </c>
      <c r="K8" s="406" t="s">
        <v>116</v>
      </c>
    </row>
    <row r="9" spans="2:11" ht="15.75" thickBot="1" x14ac:dyDescent="0.3">
      <c r="B9" s="406"/>
      <c r="C9" s="406"/>
      <c r="D9" s="406"/>
      <c r="E9" s="406"/>
      <c r="F9" s="147" t="s">
        <v>117</v>
      </c>
      <c r="G9" s="147" t="s">
        <v>118</v>
      </c>
      <c r="H9" s="406"/>
      <c r="I9" s="408"/>
      <c r="J9" s="409"/>
      <c r="K9" s="409"/>
    </row>
    <row r="10" spans="2:11" x14ac:dyDescent="0.25">
      <c r="B10" s="148"/>
      <c r="C10" s="149"/>
      <c r="D10" s="149"/>
      <c r="E10" s="148"/>
      <c r="F10" s="150"/>
      <c r="G10" s="151"/>
      <c r="H10" s="150"/>
      <c r="I10" s="150"/>
      <c r="J10" s="150"/>
      <c r="K10" s="150"/>
    </row>
    <row r="11" spans="2:11" x14ac:dyDescent="0.25">
      <c r="B11" s="152">
        <v>1</v>
      </c>
      <c r="C11" s="153" t="s">
        <v>119</v>
      </c>
      <c r="D11" s="154" t="s">
        <v>120</v>
      </c>
      <c r="E11" s="155">
        <v>1</v>
      </c>
      <c r="F11" s="156">
        <v>0.625</v>
      </c>
      <c r="G11" s="156">
        <v>0.91666666666666663</v>
      </c>
      <c r="H11" s="156">
        <f>G11-F11</f>
        <v>0.29166666666666663</v>
      </c>
      <c r="I11" s="157">
        <f>H11*1440</f>
        <v>419.99999999999994</v>
      </c>
      <c r="J11" s="158">
        <v>50</v>
      </c>
      <c r="K11" s="159"/>
    </row>
    <row r="12" spans="2:11" x14ac:dyDescent="0.25">
      <c r="B12" s="152"/>
      <c r="C12" s="153"/>
      <c r="D12" s="154"/>
      <c r="E12" s="155"/>
      <c r="F12" s="156"/>
      <c r="G12" s="156"/>
      <c r="H12" s="158"/>
      <c r="I12" s="158"/>
      <c r="J12" s="158"/>
      <c r="K12" s="159"/>
    </row>
    <row r="13" spans="2:11" x14ac:dyDescent="0.25">
      <c r="B13" s="160"/>
      <c r="C13" s="161"/>
      <c r="D13" s="162" t="s">
        <v>121</v>
      </c>
      <c r="E13" s="163">
        <v>1</v>
      </c>
      <c r="F13" s="164">
        <v>0.70833333333333337</v>
      </c>
      <c r="G13" s="164">
        <v>0.83333333333333337</v>
      </c>
      <c r="H13" s="164">
        <f>G13-F13</f>
        <v>0.125</v>
      </c>
      <c r="I13" s="165">
        <f>H13*1440</f>
        <v>180</v>
      </c>
      <c r="J13" s="166">
        <v>18.8</v>
      </c>
      <c r="K13" s="167"/>
    </row>
    <row r="14" spans="2:11" ht="15.75" thickBot="1" x14ac:dyDescent="0.3">
      <c r="B14" s="168"/>
      <c r="C14" s="169"/>
      <c r="D14" s="169"/>
      <c r="E14" s="168"/>
      <c r="F14" s="170"/>
      <c r="G14" s="170"/>
      <c r="H14" s="171"/>
      <c r="I14" s="171"/>
      <c r="J14" s="171"/>
      <c r="K14" s="171"/>
    </row>
    <row r="15" spans="2:11" x14ac:dyDescent="0.25">
      <c r="B15" s="148">
        <v>2</v>
      </c>
      <c r="C15" s="149" t="s">
        <v>122</v>
      </c>
      <c r="D15" s="172" t="s">
        <v>120</v>
      </c>
      <c r="E15" s="173">
        <v>1</v>
      </c>
      <c r="F15" s="174">
        <v>0.625</v>
      </c>
      <c r="G15" s="174">
        <v>0.91666666666666663</v>
      </c>
      <c r="H15" s="174">
        <f>G15-F15</f>
        <v>0.29166666666666663</v>
      </c>
      <c r="I15" s="175">
        <f>H15*1440</f>
        <v>419.99999999999994</v>
      </c>
      <c r="J15" s="176">
        <v>40</v>
      </c>
      <c r="K15" s="177"/>
    </row>
    <row r="16" spans="2:11" x14ac:dyDescent="0.25">
      <c r="B16" s="178"/>
      <c r="C16" s="179"/>
      <c r="D16" s="180"/>
      <c r="E16" s="181">
        <v>1</v>
      </c>
      <c r="F16" s="174">
        <v>0.29166666666666669</v>
      </c>
      <c r="G16" s="174">
        <v>0.91666666666666663</v>
      </c>
      <c r="H16" s="174">
        <f>G16-F16</f>
        <v>0.625</v>
      </c>
      <c r="I16" s="175">
        <f>H16*1440</f>
        <v>900</v>
      </c>
      <c r="J16" s="176">
        <v>15</v>
      </c>
      <c r="K16" s="177"/>
    </row>
    <row r="17" spans="2:11" x14ac:dyDescent="0.25">
      <c r="B17" s="178"/>
      <c r="C17" s="179"/>
      <c r="D17" s="179"/>
      <c r="E17" s="178"/>
      <c r="F17" s="182"/>
      <c r="G17" s="182"/>
      <c r="H17" s="177"/>
      <c r="I17" s="183"/>
      <c r="J17" s="177"/>
      <c r="K17" s="177"/>
    </row>
    <row r="18" spans="2:11" x14ac:dyDescent="0.25">
      <c r="B18" s="152"/>
      <c r="C18" s="184"/>
      <c r="D18" s="185" t="s">
        <v>123</v>
      </c>
      <c r="E18" s="186">
        <v>1</v>
      </c>
      <c r="F18" s="187">
        <v>0.41666666666666669</v>
      </c>
      <c r="G18" s="187">
        <v>0.91666666666666663</v>
      </c>
      <c r="H18" s="187">
        <f>G18-F18</f>
        <v>0.49999999999999994</v>
      </c>
      <c r="I18" s="188">
        <f>H18*1440</f>
        <v>719.99999999999989</v>
      </c>
      <c r="J18" s="189"/>
      <c r="K18" s="159"/>
    </row>
    <row r="19" spans="2:11" x14ac:dyDescent="0.25">
      <c r="B19" s="152"/>
      <c r="C19" s="184"/>
      <c r="D19" s="190" t="s">
        <v>124</v>
      </c>
      <c r="E19" s="191">
        <v>1</v>
      </c>
      <c r="F19" s="192">
        <v>0.75</v>
      </c>
      <c r="G19" s="192">
        <v>0.91666666666666663</v>
      </c>
      <c r="H19" s="192">
        <f>G19-F19</f>
        <v>0.16666666666666663</v>
      </c>
      <c r="I19" s="165">
        <f>H19*1440</f>
        <v>239.99999999999994</v>
      </c>
      <c r="J19" s="193">
        <v>48.3</v>
      </c>
      <c r="K19" s="159"/>
    </row>
    <row r="20" spans="2:11" x14ac:dyDescent="0.25">
      <c r="B20" s="152"/>
      <c r="C20" s="184"/>
      <c r="D20" s="185" t="s">
        <v>125</v>
      </c>
      <c r="E20" s="186">
        <v>1</v>
      </c>
      <c r="F20" s="187"/>
      <c r="G20" s="187"/>
      <c r="H20" s="189"/>
      <c r="I20" s="188"/>
      <c r="J20" s="189">
        <v>2.9</v>
      </c>
      <c r="K20" s="159"/>
    </row>
    <row r="21" spans="2:11" x14ac:dyDescent="0.25">
      <c r="B21" s="160"/>
      <c r="C21" s="194"/>
      <c r="D21" s="195" t="s">
        <v>126</v>
      </c>
      <c r="E21" s="163">
        <v>1</v>
      </c>
      <c r="F21" s="164">
        <v>0.75</v>
      </c>
      <c r="G21" s="164">
        <v>0.91666666666666663</v>
      </c>
      <c r="H21" s="164">
        <f>G21-F21</f>
        <v>0.16666666666666663</v>
      </c>
      <c r="I21" s="196">
        <f>H21*1440</f>
        <v>239.99999999999994</v>
      </c>
      <c r="J21" s="166">
        <v>7.7</v>
      </c>
      <c r="K21" s="167"/>
    </row>
    <row r="22" spans="2:11" ht="15.75" thickBot="1" x14ac:dyDescent="0.3">
      <c r="B22" s="168"/>
      <c r="C22" s="197"/>
      <c r="D22" s="197"/>
      <c r="E22" s="168" t="s">
        <v>127</v>
      </c>
      <c r="F22" s="170"/>
      <c r="G22" s="170"/>
      <c r="H22" s="171"/>
      <c r="I22" s="198"/>
      <c r="J22" s="171"/>
      <c r="K22" s="171"/>
    </row>
    <row r="23" spans="2:11" x14ac:dyDescent="0.25">
      <c r="B23" s="148">
        <v>3</v>
      </c>
      <c r="C23" s="149" t="s">
        <v>128</v>
      </c>
      <c r="D23" s="172" t="s">
        <v>120</v>
      </c>
      <c r="E23" s="173">
        <v>1</v>
      </c>
      <c r="F23" s="199">
        <v>0.70833333333333337</v>
      </c>
      <c r="G23" s="199">
        <v>0.91666666666666663</v>
      </c>
      <c r="H23" s="199">
        <f>G23-F23</f>
        <v>0.20833333333333326</v>
      </c>
      <c r="I23" s="200">
        <f>H23*1440</f>
        <v>299.99999999999989</v>
      </c>
      <c r="J23" s="201">
        <v>15</v>
      </c>
      <c r="K23" s="150"/>
    </row>
    <row r="24" spans="2:11" x14ac:dyDescent="0.25">
      <c r="B24" s="178"/>
      <c r="C24" s="179"/>
      <c r="D24" s="180"/>
      <c r="E24" s="181">
        <v>1</v>
      </c>
      <c r="F24" s="174">
        <v>0.91666666666666663</v>
      </c>
      <c r="G24" s="174">
        <v>1</v>
      </c>
      <c r="H24" s="174">
        <f>G24-F24</f>
        <v>8.333333333333337E-2</v>
      </c>
      <c r="I24" s="157">
        <f>H24*1440</f>
        <v>120.00000000000006</v>
      </c>
      <c r="J24" s="176">
        <v>5</v>
      </c>
      <c r="K24" s="177"/>
    </row>
    <row r="25" spans="2:11" x14ac:dyDescent="0.25">
      <c r="B25" s="178"/>
      <c r="C25" s="179"/>
      <c r="D25" s="179"/>
      <c r="E25" s="178"/>
      <c r="F25" s="182"/>
      <c r="G25" s="182"/>
      <c r="H25" s="177"/>
      <c r="I25" s="183"/>
      <c r="J25" s="177"/>
      <c r="K25" s="177"/>
    </row>
    <row r="26" spans="2:11" x14ac:dyDescent="0.25">
      <c r="B26" s="152"/>
      <c r="C26" s="184"/>
      <c r="D26" s="190" t="s">
        <v>129</v>
      </c>
      <c r="E26" s="191">
        <v>1</v>
      </c>
      <c r="F26" s="192">
        <v>0.875</v>
      </c>
      <c r="G26" s="192">
        <v>1</v>
      </c>
      <c r="H26" s="192">
        <f>G26-F26</f>
        <v>0.125</v>
      </c>
      <c r="I26" s="165">
        <f>H26*1440</f>
        <v>180</v>
      </c>
      <c r="J26" s="193">
        <v>657.3</v>
      </c>
      <c r="K26" s="159"/>
    </row>
    <row r="27" spans="2:11" x14ac:dyDescent="0.25">
      <c r="B27" s="152"/>
      <c r="C27" s="184"/>
      <c r="D27" s="185" t="s">
        <v>123</v>
      </c>
      <c r="E27" s="186">
        <v>1</v>
      </c>
      <c r="F27" s="187">
        <v>0.33333333333333331</v>
      </c>
      <c r="G27" s="187">
        <v>0.41666666666666669</v>
      </c>
      <c r="H27" s="187">
        <f>G27-F27</f>
        <v>8.333333333333337E-2</v>
      </c>
      <c r="I27" s="188">
        <f>H27*1440</f>
        <v>120.00000000000006</v>
      </c>
      <c r="J27" s="189">
        <v>40.6</v>
      </c>
      <c r="K27" s="159"/>
    </row>
    <row r="28" spans="2:11" x14ac:dyDescent="0.25">
      <c r="B28" s="152"/>
      <c r="C28" s="184"/>
      <c r="D28" s="190" t="s">
        <v>130</v>
      </c>
      <c r="E28" s="191">
        <v>1</v>
      </c>
      <c r="F28" s="192">
        <v>0.70833333333333337</v>
      </c>
      <c r="G28" s="192">
        <v>0.75</v>
      </c>
      <c r="H28" s="192">
        <f>G28-F28</f>
        <v>4.166666666666663E-2</v>
      </c>
      <c r="I28" s="165">
        <f>H28*1440</f>
        <v>59.999999999999943</v>
      </c>
      <c r="J28" s="193">
        <v>2.2999999999999998</v>
      </c>
      <c r="K28" s="159"/>
    </row>
    <row r="29" spans="2:11" x14ac:dyDescent="0.25">
      <c r="B29" s="152"/>
      <c r="C29" s="184"/>
      <c r="D29" s="185" t="s">
        <v>130</v>
      </c>
      <c r="E29" s="186">
        <v>1</v>
      </c>
      <c r="F29" s="187">
        <v>0.75</v>
      </c>
      <c r="G29" s="187">
        <v>0.79166666666666663</v>
      </c>
      <c r="H29" s="187">
        <f t="shared" ref="H29:H70" si="0">G29-F29</f>
        <v>4.166666666666663E-2</v>
      </c>
      <c r="I29" s="188">
        <f t="shared" ref="I29:I70" si="1">H29*1440</f>
        <v>59.999999999999943</v>
      </c>
      <c r="J29" s="189">
        <v>2.4</v>
      </c>
      <c r="K29" s="189" t="s">
        <v>131</v>
      </c>
    </row>
    <row r="30" spans="2:11" x14ac:dyDescent="0.25">
      <c r="B30" s="152"/>
      <c r="C30" s="184"/>
      <c r="D30" s="190" t="s">
        <v>130</v>
      </c>
      <c r="E30" s="191">
        <v>1</v>
      </c>
      <c r="F30" s="192">
        <v>0.79166666666666663</v>
      </c>
      <c r="G30" s="192">
        <v>0.83333333333333337</v>
      </c>
      <c r="H30" s="192">
        <f>G30-F30</f>
        <v>4.1666666666666741E-2</v>
      </c>
      <c r="I30" s="165">
        <f>H30*1440</f>
        <v>60.000000000000107</v>
      </c>
      <c r="J30" s="193">
        <v>2.2999999999999998</v>
      </c>
      <c r="K30" s="159"/>
    </row>
    <row r="31" spans="2:11" ht="15.75" thickBot="1" x14ac:dyDescent="0.3">
      <c r="B31" s="168"/>
      <c r="C31" s="197"/>
      <c r="D31" s="197"/>
      <c r="E31" s="168" t="s">
        <v>127</v>
      </c>
      <c r="F31" s="170"/>
      <c r="G31" s="170"/>
      <c r="H31" s="170"/>
      <c r="I31" s="198"/>
      <c r="J31" s="171"/>
      <c r="K31" s="171"/>
    </row>
    <row r="32" spans="2:11" x14ac:dyDescent="0.25">
      <c r="B32" s="148">
        <v>4</v>
      </c>
      <c r="C32" s="149" t="s">
        <v>132</v>
      </c>
      <c r="D32" s="172" t="s">
        <v>120</v>
      </c>
      <c r="E32" s="173">
        <v>1</v>
      </c>
      <c r="F32" s="199">
        <v>0.70833333333333337</v>
      </c>
      <c r="G32" s="199">
        <v>0.91666666666666663</v>
      </c>
      <c r="H32" s="199">
        <f>G32-F32</f>
        <v>0.20833333333333326</v>
      </c>
      <c r="I32" s="200">
        <f>H32*1440</f>
        <v>299.99999999999989</v>
      </c>
      <c r="J32" s="201">
        <v>15</v>
      </c>
      <c r="K32" s="150"/>
    </row>
    <row r="33" spans="2:11" x14ac:dyDescent="0.25">
      <c r="B33" s="202"/>
      <c r="C33" s="203"/>
      <c r="D33" s="204"/>
      <c r="E33" s="205">
        <v>1</v>
      </c>
      <c r="F33" s="174">
        <v>0.91666666666666663</v>
      </c>
      <c r="G33" s="174">
        <v>1</v>
      </c>
      <c r="H33" s="174">
        <f>G33-F33</f>
        <v>8.333333333333337E-2</v>
      </c>
      <c r="I33" s="157">
        <f>H33*1440</f>
        <v>120.00000000000006</v>
      </c>
      <c r="J33" s="176">
        <v>5</v>
      </c>
      <c r="K33" s="206"/>
    </row>
    <row r="34" spans="2:11" ht="15.75" thickBot="1" x14ac:dyDescent="0.3">
      <c r="B34" s="168"/>
      <c r="C34" s="197"/>
      <c r="D34" s="197"/>
      <c r="E34" s="168"/>
      <c r="F34" s="170"/>
      <c r="G34" s="170"/>
      <c r="H34" s="170"/>
      <c r="I34" s="198"/>
      <c r="J34" s="171"/>
      <c r="K34" s="171"/>
    </row>
    <row r="35" spans="2:11" x14ac:dyDescent="0.25">
      <c r="B35" s="148">
        <v>5</v>
      </c>
      <c r="C35" s="149" t="s">
        <v>133</v>
      </c>
      <c r="D35" s="172" t="s">
        <v>134</v>
      </c>
      <c r="E35" s="173">
        <v>1</v>
      </c>
      <c r="F35" s="199">
        <v>0.70833333333333337</v>
      </c>
      <c r="G35" s="199">
        <v>0.91666666666666663</v>
      </c>
      <c r="H35" s="199">
        <f>G35-F35</f>
        <v>0.20833333333333326</v>
      </c>
      <c r="I35" s="200">
        <f>H35*1440</f>
        <v>299.99999999999989</v>
      </c>
      <c r="J35" s="201">
        <v>15</v>
      </c>
      <c r="K35" s="150"/>
    </row>
    <row r="36" spans="2:11" x14ac:dyDescent="0.25">
      <c r="B36" s="178"/>
      <c r="C36" s="179"/>
      <c r="D36" s="180"/>
      <c r="E36" s="181">
        <v>1</v>
      </c>
      <c r="F36" s="174">
        <v>0.91666666666666663</v>
      </c>
      <c r="G36" s="174">
        <v>1</v>
      </c>
      <c r="H36" s="174">
        <f>G36-F36</f>
        <v>8.333333333333337E-2</v>
      </c>
      <c r="I36" s="157">
        <f>H36*1440</f>
        <v>120.00000000000006</v>
      </c>
      <c r="J36" s="176">
        <v>5</v>
      </c>
      <c r="K36" s="177"/>
    </row>
    <row r="37" spans="2:11" x14ac:dyDescent="0.25">
      <c r="B37" s="178"/>
      <c r="C37" s="179"/>
      <c r="D37" s="179"/>
      <c r="E37" s="178"/>
      <c r="F37" s="182"/>
      <c r="G37" s="182"/>
      <c r="H37" s="182"/>
      <c r="I37" s="183"/>
      <c r="J37" s="177"/>
      <c r="K37" s="177"/>
    </row>
    <row r="38" spans="2:11" x14ac:dyDescent="0.25">
      <c r="B38" s="178"/>
      <c r="C38" s="207" t="s">
        <v>135</v>
      </c>
      <c r="D38" s="208" t="s">
        <v>124</v>
      </c>
      <c r="E38" s="209">
        <v>1</v>
      </c>
      <c r="F38" s="210"/>
      <c r="G38" s="210"/>
      <c r="H38" s="210"/>
      <c r="I38" s="211"/>
      <c r="J38" s="212">
        <v>59.7</v>
      </c>
      <c r="K38" s="213" t="s">
        <v>136</v>
      </c>
    </row>
    <row r="39" spans="2:11" x14ac:dyDescent="0.25">
      <c r="B39" s="178"/>
      <c r="C39" s="179"/>
      <c r="D39" s="214" t="s">
        <v>123</v>
      </c>
      <c r="E39" s="215">
        <v>1</v>
      </c>
      <c r="F39" s="216">
        <v>0.74305555555555547</v>
      </c>
      <c r="G39" s="216">
        <v>0.75694444444444453</v>
      </c>
      <c r="H39" s="216">
        <f>G39-F39</f>
        <v>1.3888888888889062E-2</v>
      </c>
      <c r="I39" s="217">
        <f>H39*1440</f>
        <v>20.000000000000249</v>
      </c>
      <c r="J39" s="218">
        <v>37</v>
      </c>
      <c r="K39" s="177"/>
    </row>
    <row r="40" spans="2:11" ht="15.75" thickBot="1" x14ac:dyDescent="0.3">
      <c r="B40" s="168"/>
      <c r="C40" s="197"/>
      <c r="D40" s="219" t="s">
        <v>137</v>
      </c>
      <c r="E40" s="220">
        <v>1</v>
      </c>
      <c r="F40" s="221"/>
      <c r="G40" s="221"/>
      <c r="H40" s="221"/>
      <c r="I40" s="222"/>
      <c r="J40" s="223">
        <v>81.099999999999994</v>
      </c>
      <c r="K40" s="224"/>
    </row>
    <row r="41" spans="2:11" x14ac:dyDescent="0.25">
      <c r="B41" s="148">
        <v>6</v>
      </c>
      <c r="C41" s="149" t="s">
        <v>138</v>
      </c>
      <c r="D41" s="172" t="s">
        <v>134</v>
      </c>
      <c r="E41" s="173">
        <v>1</v>
      </c>
      <c r="F41" s="199">
        <v>0.71180555555555547</v>
      </c>
      <c r="G41" s="199">
        <v>0.91666666666666663</v>
      </c>
      <c r="H41" s="199">
        <f t="shared" si="0"/>
        <v>0.20486111111111116</v>
      </c>
      <c r="I41" s="200">
        <f t="shared" si="1"/>
        <v>295.00000000000006</v>
      </c>
      <c r="J41" s="201">
        <v>10</v>
      </c>
      <c r="K41" s="150"/>
    </row>
    <row r="42" spans="2:11" x14ac:dyDescent="0.25">
      <c r="B42" s="178"/>
      <c r="C42" s="179"/>
      <c r="D42" s="180"/>
      <c r="E42" s="181"/>
      <c r="F42" s="174"/>
      <c r="G42" s="174"/>
      <c r="H42" s="174"/>
      <c r="I42" s="175"/>
      <c r="J42" s="176"/>
      <c r="K42" s="177"/>
    </row>
    <row r="43" spans="2:11" ht="15.75" thickBot="1" x14ac:dyDescent="0.3">
      <c r="B43" s="225"/>
      <c r="C43" s="226"/>
      <c r="D43" s="226"/>
      <c r="E43" s="225"/>
      <c r="F43" s="227"/>
      <c r="G43" s="227"/>
      <c r="H43" s="227"/>
      <c r="I43" s="228"/>
      <c r="J43" s="229"/>
      <c r="K43" s="229"/>
    </row>
    <row r="44" spans="2:11" x14ac:dyDescent="0.25">
      <c r="B44" s="148">
        <v>7</v>
      </c>
      <c r="C44" s="149" t="s">
        <v>139</v>
      </c>
      <c r="D44" s="172" t="s">
        <v>134</v>
      </c>
      <c r="E44" s="173">
        <v>1</v>
      </c>
      <c r="F44" s="199">
        <v>0.62847222222222221</v>
      </c>
      <c r="G44" s="199">
        <v>0.91666666666666663</v>
      </c>
      <c r="H44" s="199">
        <f t="shared" si="0"/>
        <v>0.28819444444444442</v>
      </c>
      <c r="I44" s="200">
        <f t="shared" si="1"/>
        <v>414.99999999999994</v>
      </c>
      <c r="J44" s="201">
        <v>15</v>
      </c>
      <c r="K44" s="150"/>
    </row>
    <row r="45" spans="2:11" x14ac:dyDescent="0.25">
      <c r="B45" s="152"/>
      <c r="C45" s="184"/>
      <c r="D45" s="230"/>
      <c r="E45" s="155"/>
      <c r="F45" s="156"/>
      <c r="G45" s="156"/>
      <c r="H45" s="156"/>
      <c r="I45" s="157"/>
      <c r="J45" s="158"/>
      <c r="K45" s="159"/>
    </row>
    <row r="46" spans="2:11" ht="15.75" thickBot="1" x14ac:dyDescent="0.3">
      <c r="B46" s="168"/>
      <c r="C46" s="197"/>
      <c r="D46" s="197"/>
      <c r="E46" s="168"/>
      <c r="F46" s="170"/>
      <c r="G46" s="170"/>
      <c r="H46" s="170"/>
      <c r="I46" s="198"/>
      <c r="J46" s="171"/>
      <c r="K46" s="171"/>
    </row>
    <row r="47" spans="2:11" x14ac:dyDescent="0.25">
      <c r="B47" s="148">
        <v>8</v>
      </c>
      <c r="C47" s="149" t="s">
        <v>140</v>
      </c>
      <c r="D47" s="172" t="s">
        <v>120</v>
      </c>
      <c r="E47" s="173">
        <v>1</v>
      </c>
      <c r="F47" s="199">
        <v>0.70833333333333337</v>
      </c>
      <c r="G47" s="199">
        <v>0.91666666666666663</v>
      </c>
      <c r="H47" s="199">
        <f t="shared" si="0"/>
        <v>0.20833333333333326</v>
      </c>
      <c r="I47" s="200">
        <f t="shared" si="1"/>
        <v>299.99999999999989</v>
      </c>
      <c r="J47" s="201">
        <v>10</v>
      </c>
      <c r="K47" s="150"/>
    </row>
    <row r="48" spans="2:11" x14ac:dyDescent="0.25">
      <c r="B48" s="178"/>
      <c r="C48" s="179"/>
      <c r="D48" s="179"/>
      <c r="E48" s="178"/>
      <c r="F48" s="182"/>
      <c r="G48" s="182"/>
      <c r="H48" s="182"/>
      <c r="I48" s="183"/>
      <c r="J48" s="177"/>
      <c r="K48" s="177"/>
    </row>
    <row r="49" spans="2:11" x14ac:dyDescent="0.25">
      <c r="B49" s="178"/>
      <c r="C49" s="179"/>
      <c r="D49" s="208" t="s">
        <v>141</v>
      </c>
      <c r="E49" s="209">
        <v>1</v>
      </c>
      <c r="F49" s="210"/>
      <c r="G49" s="210"/>
      <c r="H49" s="210"/>
      <c r="I49" s="211">
        <v>393</v>
      </c>
      <c r="J49" s="212"/>
      <c r="K49" s="177"/>
    </row>
    <row r="50" spans="2:11" ht="15.75" thickBot="1" x14ac:dyDescent="0.3">
      <c r="B50" s="168"/>
      <c r="C50" s="197"/>
      <c r="D50" s="197"/>
      <c r="E50" s="168"/>
      <c r="F50" s="170"/>
      <c r="G50" s="170"/>
      <c r="H50" s="170"/>
      <c r="I50" s="198"/>
      <c r="J50" s="171"/>
      <c r="K50" s="171"/>
    </row>
    <row r="51" spans="2:11" x14ac:dyDescent="0.25">
      <c r="B51" s="148">
        <v>9</v>
      </c>
      <c r="C51" s="149" t="s">
        <v>142</v>
      </c>
      <c r="D51" s="172" t="s">
        <v>134</v>
      </c>
      <c r="E51" s="173">
        <v>1</v>
      </c>
      <c r="F51" s="199">
        <v>0.70833333333333337</v>
      </c>
      <c r="G51" s="199">
        <v>0.91666666666666663</v>
      </c>
      <c r="H51" s="199">
        <f>G51-F51</f>
        <v>0.20833333333333326</v>
      </c>
      <c r="I51" s="200">
        <f t="shared" si="1"/>
        <v>299.99999999999989</v>
      </c>
      <c r="J51" s="201">
        <v>15</v>
      </c>
      <c r="K51" s="150"/>
    </row>
    <row r="52" spans="2:11" x14ac:dyDescent="0.25">
      <c r="B52" s="152"/>
      <c r="C52" s="184"/>
      <c r="D52" s="184"/>
      <c r="E52" s="152"/>
      <c r="F52" s="231"/>
      <c r="G52" s="231"/>
      <c r="H52" s="182"/>
      <c r="I52" s="183"/>
      <c r="J52" s="159"/>
      <c r="K52" s="159"/>
    </row>
    <row r="53" spans="2:11" x14ac:dyDescent="0.25">
      <c r="B53" s="160"/>
      <c r="C53" s="194"/>
      <c r="D53" s="232" t="s">
        <v>143</v>
      </c>
      <c r="E53" s="233">
        <v>1</v>
      </c>
      <c r="F53" s="234">
        <v>0</v>
      </c>
      <c r="G53" s="234">
        <v>1</v>
      </c>
      <c r="H53" s="174">
        <f>G53-F53</f>
        <v>1</v>
      </c>
      <c r="I53" s="175">
        <f>H53*1440</f>
        <v>1440</v>
      </c>
      <c r="J53" s="235">
        <v>79</v>
      </c>
      <c r="K53" s="167"/>
    </row>
    <row r="54" spans="2:11" x14ac:dyDescent="0.25">
      <c r="B54" s="160"/>
      <c r="C54" s="194"/>
      <c r="D54" s="236" t="s">
        <v>144</v>
      </c>
      <c r="E54" s="233">
        <v>1</v>
      </c>
      <c r="F54" s="234">
        <v>0.20833333333333334</v>
      </c>
      <c r="G54" s="234">
        <v>0.70833333333333337</v>
      </c>
      <c r="H54" s="174">
        <f>G54-F54</f>
        <v>0.5</v>
      </c>
      <c r="I54" s="175">
        <f>H54*1440</f>
        <v>720</v>
      </c>
      <c r="J54" s="235">
        <v>31.6</v>
      </c>
      <c r="K54" s="167"/>
    </row>
    <row r="55" spans="2:11" x14ac:dyDescent="0.25">
      <c r="B55" s="160"/>
      <c r="C55" s="194"/>
      <c r="D55" s="236" t="s">
        <v>145</v>
      </c>
      <c r="E55" s="233">
        <v>1</v>
      </c>
      <c r="F55" s="234">
        <v>0.25</v>
      </c>
      <c r="G55" s="234">
        <v>0.25347222222222221</v>
      </c>
      <c r="H55" s="174">
        <f>G55-F55</f>
        <v>3.4722222222222099E-3</v>
      </c>
      <c r="I55" s="175">
        <f>H55*1440</f>
        <v>4.9999999999999822</v>
      </c>
      <c r="J55" s="235">
        <v>101.5</v>
      </c>
      <c r="K55" s="167"/>
    </row>
    <row r="56" spans="2:11" x14ac:dyDescent="0.25">
      <c r="B56" s="160"/>
      <c r="C56" s="194"/>
      <c r="D56" s="236" t="s">
        <v>146</v>
      </c>
      <c r="E56" s="233">
        <v>1</v>
      </c>
      <c r="F56" s="234"/>
      <c r="G56" s="234"/>
      <c r="H56" s="174"/>
      <c r="I56" s="175"/>
      <c r="J56" s="235">
        <v>125</v>
      </c>
      <c r="K56" s="167"/>
    </row>
    <row r="57" spans="2:11" ht="15.75" thickBot="1" x14ac:dyDescent="0.3">
      <c r="B57" s="168"/>
      <c r="C57" s="197"/>
      <c r="D57" s="197"/>
      <c r="E57" s="168"/>
      <c r="F57" s="170"/>
      <c r="G57" s="170"/>
      <c r="H57" s="170"/>
      <c r="I57" s="198"/>
      <c r="J57" s="171"/>
      <c r="K57" s="171"/>
    </row>
    <row r="58" spans="2:11" x14ac:dyDescent="0.25">
      <c r="B58" s="148">
        <v>10</v>
      </c>
      <c r="C58" s="149" t="s">
        <v>147</v>
      </c>
      <c r="D58" s="172" t="s">
        <v>120</v>
      </c>
      <c r="E58" s="173">
        <v>1</v>
      </c>
      <c r="F58" s="237">
        <v>0</v>
      </c>
      <c r="G58" s="237">
        <v>1</v>
      </c>
      <c r="H58" s="237">
        <f t="shared" si="0"/>
        <v>1</v>
      </c>
      <c r="I58" s="238">
        <f t="shared" si="1"/>
        <v>1440</v>
      </c>
      <c r="J58" s="201">
        <v>10</v>
      </c>
      <c r="K58" s="150"/>
    </row>
    <row r="59" spans="2:11" x14ac:dyDescent="0.25">
      <c r="B59" s="178"/>
      <c r="C59" s="179"/>
      <c r="D59" s="180"/>
      <c r="E59" s="181">
        <v>1</v>
      </c>
      <c r="F59" s="156">
        <v>0</v>
      </c>
      <c r="G59" s="156">
        <v>1</v>
      </c>
      <c r="H59" s="156">
        <f t="shared" si="0"/>
        <v>1</v>
      </c>
      <c r="I59" s="157">
        <f t="shared" si="1"/>
        <v>1440</v>
      </c>
      <c r="J59" s="176">
        <v>10</v>
      </c>
      <c r="K59" s="177"/>
    </row>
    <row r="60" spans="2:11" x14ac:dyDescent="0.25">
      <c r="B60" s="178"/>
      <c r="C60" s="179"/>
      <c r="D60" s="179"/>
      <c r="E60" s="178"/>
      <c r="F60" s="182"/>
      <c r="G60" s="182"/>
      <c r="H60" s="182"/>
      <c r="I60" s="183"/>
      <c r="J60" s="177"/>
      <c r="K60" s="177"/>
    </row>
    <row r="61" spans="2:11" x14ac:dyDescent="0.25">
      <c r="B61" s="178"/>
      <c r="C61" s="179"/>
      <c r="D61" s="239" t="s">
        <v>143</v>
      </c>
      <c r="E61" s="240">
        <v>1</v>
      </c>
      <c r="F61" s="241">
        <v>0</v>
      </c>
      <c r="G61" s="241">
        <v>1</v>
      </c>
      <c r="H61" s="241">
        <f t="shared" si="0"/>
        <v>1</v>
      </c>
      <c r="I61" s="242">
        <f t="shared" si="1"/>
        <v>1440</v>
      </c>
      <c r="J61" s="213">
        <v>78.8</v>
      </c>
      <c r="K61" s="177"/>
    </row>
    <row r="62" spans="2:11" x14ac:dyDescent="0.25">
      <c r="B62" s="178"/>
      <c r="C62" s="179"/>
      <c r="D62" s="243" t="s">
        <v>144</v>
      </c>
      <c r="E62" s="240">
        <v>1</v>
      </c>
      <c r="F62" s="241">
        <v>0.70833333333333337</v>
      </c>
      <c r="G62" s="241">
        <v>0.91666666666666663</v>
      </c>
      <c r="H62" s="241">
        <f t="shared" si="0"/>
        <v>0.20833333333333326</v>
      </c>
      <c r="I62" s="242">
        <f t="shared" si="1"/>
        <v>299.99999999999989</v>
      </c>
      <c r="J62" s="213">
        <v>73.2</v>
      </c>
      <c r="K62" s="177"/>
    </row>
    <row r="63" spans="2:11" ht="15.75" thickBot="1" x14ac:dyDescent="0.3">
      <c r="B63" s="168"/>
      <c r="C63" s="197"/>
      <c r="D63" s="197"/>
      <c r="E63" s="168"/>
      <c r="F63" s="170"/>
      <c r="G63" s="170"/>
      <c r="H63" s="170"/>
      <c r="I63" s="198"/>
      <c r="J63" s="171"/>
      <c r="K63" s="171"/>
    </row>
    <row r="64" spans="2:11" x14ac:dyDescent="0.25">
      <c r="B64" s="148">
        <v>11</v>
      </c>
      <c r="C64" s="149" t="s">
        <v>148</v>
      </c>
      <c r="D64" s="172" t="s">
        <v>134</v>
      </c>
      <c r="E64" s="173">
        <v>1</v>
      </c>
      <c r="F64" s="237">
        <v>0</v>
      </c>
      <c r="G64" s="237">
        <v>1</v>
      </c>
      <c r="H64" s="237">
        <f t="shared" ref="H64:H65" si="2">G64-F64</f>
        <v>1</v>
      </c>
      <c r="I64" s="238">
        <f t="shared" ref="I64:I65" si="3">H64*1440</f>
        <v>1440</v>
      </c>
      <c r="J64" s="244">
        <v>15</v>
      </c>
      <c r="K64" s="150"/>
    </row>
    <row r="65" spans="2:11" x14ac:dyDescent="0.25">
      <c r="B65" s="152"/>
      <c r="C65" s="184"/>
      <c r="D65" s="230"/>
      <c r="E65" s="155"/>
      <c r="F65" s="156">
        <v>0</v>
      </c>
      <c r="G65" s="156">
        <v>1</v>
      </c>
      <c r="H65" s="156">
        <f t="shared" si="2"/>
        <v>1</v>
      </c>
      <c r="I65" s="157">
        <f t="shared" si="3"/>
        <v>1440</v>
      </c>
      <c r="J65" s="158">
        <v>15</v>
      </c>
      <c r="K65" s="159"/>
    </row>
    <row r="66" spans="2:11" ht="15.75" thickBot="1" x14ac:dyDescent="0.3">
      <c r="B66" s="168"/>
      <c r="C66" s="197"/>
      <c r="D66" s="219" t="s">
        <v>149</v>
      </c>
      <c r="E66" s="220">
        <v>1</v>
      </c>
      <c r="F66" s="221">
        <v>0.29166666666666669</v>
      </c>
      <c r="G66" s="221">
        <v>0.375</v>
      </c>
      <c r="H66" s="221">
        <f>G66-F66</f>
        <v>8.3333333333333315E-2</v>
      </c>
      <c r="I66" s="222">
        <f>H66*1440</f>
        <v>119.99999999999997</v>
      </c>
      <c r="J66" s="223"/>
      <c r="K66" s="171"/>
    </row>
    <row r="67" spans="2:11" x14ac:dyDescent="0.25">
      <c r="B67" s="148">
        <v>12</v>
      </c>
      <c r="C67" s="149" t="s">
        <v>150</v>
      </c>
      <c r="D67" s="172" t="s">
        <v>120</v>
      </c>
      <c r="E67" s="173">
        <v>1</v>
      </c>
      <c r="F67" s="199">
        <v>0.875</v>
      </c>
      <c r="G67" s="199">
        <v>1</v>
      </c>
      <c r="H67" s="199">
        <f t="shared" si="0"/>
        <v>0.125</v>
      </c>
      <c r="I67" s="200">
        <f t="shared" si="1"/>
        <v>180</v>
      </c>
      <c r="J67" s="201">
        <v>20</v>
      </c>
      <c r="K67" s="150"/>
    </row>
    <row r="68" spans="2:11" x14ac:dyDescent="0.25">
      <c r="B68" s="152"/>
      <c r="C68" s="184"/>
      <c r="D68" s="230"/>
      <c r="E68" s="155"/>
      <c r="F68" s="174"/>
      <c r="G68" s="174"/>
      <c r="H68" s="174"/>
      <c r="I68" s="175"/>
      <c r="J68" s="176"/>
      <c r="K68" s="159"/>
    </row>
    <row r="69" spans="2:11" ht="15.75" thickBot="1" x14ac:dyDescent="0.3">
      <c r="B69" s="168"/>
      <c r="C69" s="197"/>
      <c r="D69" s="245" t="s">
        <v>146</v>
      </c>
      <c r="E69" s="246">
        <v>1</v>
      </c>
      <c r="F69" s="247">
        <v>0.625</v>
      </c>
      <c r="G69" s="247">
        <v>0.64583333333333337</v>
      </c>
      <c r="H69" s="247">
        <f>G69-F69</f>
        <v>2.083333333333337E-2</v>
      </c>
      <c r="I69" s="248">
        <f>H69*1440</f>
        <v>30.000000000000053</v>
      </c>
      <c r="J69" s="249">
        <v>125</v>
      </c>
      <c r="K69" s="171"/>
    </row>
    <row r="70" spans="2:11" x14ac:dyDescent="0.25">
      <c r="B70" s="148">
        <v>13</v>
      </c>
      <c r="C70" s="149" t="s">
        <v>151</v>
      </c>
      <c r="D70" s="172" t="s">
        <v>120</v>
      </c>
      <c r="E70" s="173">
        <v>1</v>
      </c>
      <c r="F70" s="199">
        <v>0.875</v>
      </c>
      <c r="G70" s="199">
        <v>1</v>
      </c>
      <c r="H70" s="199">
        <f t="shared" si="0"/>
        <v>0.125</v>
      </c>
      <c r="I70" s="200">
        <f t="shared" si="1"/>
        <v>180</v>
      </c>
      <c r="J70" s="201">
        <v>30</v>
      </c>
      <c r="K70" s="150"/>
    </row>
    <row r="71" spans="2:11" x14ac:dyDescent="0.25">
      <c r="B71" s="152"/>
      <c r="C71" s="184"/>
      <c r="D71" s="230"/>
      <c r="E71" s="155"/>
      <c r="F71" s="174"/>
      <c r="G71" s="174"/>
      <c r="H71" s="174"/>
      <c r="I71" s="175"/>
      <c r="J71" s="176"/>
      <c r="K71" s="159"/>
    </row>
    <row r="72" spans="2:11" ht="15.75" thickBot="1" x14ac:dyDescent="0.3">
      <c r="B72" s="168"/>
      <c r="C72" s="197"/>
      <c r="D72" s="197"/>
      <c r="E72" s="168"/>
      <c r="F72" s="170"/>
      <c r="G72" s="170"/>
      <c r="H72" s="170"/>
      <c r="I72" s="198"/>
      <c r="J72" s="171"/>
      <c r="K72" s="171"/>
    </row>
  </sheetData>
  <mergeCells count="10">
    <mergeCell ref="B6:K6"/>
    <mergeCell ref="B8:B9"/>
    <mergeCell ref="C8:C9"/>
    <mergeCell ref="D8:D9"/>
    <mergeCell ref="E8:E9"/>
    <mergeCell ref="F8:G8"/>
    <mergeCell ref="H8:H9"/>
    <mergeCell ref="I8:I9"/>
    <mergeCell ref="J8:J9"/>
    <mergeCell ref="K8:K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B3:AJ199"/>
  <sheetViews>
    <sheetView showGridLines="0" topLeftCell="A31" zoomScale="85" zoomScaleNormal="85" zoomScalePageLayoutView="85" workbookViewId="0">
      <selection activeCell="E48" sqref="E48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7" max="7" width="0.28515625" customWidth="1"/>
    <col min="8" max="8" width="3.42578125" bestFit="1" customWidth="1"/>
    <col min="9" max="12" width="20.7109375" customWidth="1"/>
    <col min="13" max="13" width="0.28515625" customWidth="1"/>
    <col min="14" max="14" width="3.42578125" bestFit="1" customWidth="1"/>
    <col min="15" max="18" width="20.7109375" customWidth="1"/>
    <col min="19" max="19" width="0.28515625" customWidth="1"/>
    <col min="20" max="20" width="3.42578125" bestFit="1" customWidth="1"/>
    <col min="21" max="24" width="20.7109375" customWidth="1"/>
    <col min="25" max="25" width="0.28515625" customWidth="1"/>
    <col min="26" max="26" width="3.42578125" bestFit="1" customWidth="1"/>
    <col min="27" max="30" width="20.7109375" customWidth="1"/>
    <col min="31" max="31" width="0.28515625" customWidth="1"/>
    <col min="32" max="32" width="3.42578125" bestFit="1" customWidth="1"/>
    <col min="33" max="36" width="20.7109375" customWidth="1"/>
    <col min="37" max="37" width="0.28515625" customWidth="1"/>
    <col min="38" max="38" width="3.42578125" bestFit="1" customWidth="1"/>
    <col min="39" max="39" width="0.28515625" customWidth="1"/>
    <col min="40" max="40" width="3.42578125" bestFit="1" customWidth="1"/>
    <col min="41" max="44" width="20.7109375" customWidth="1"/>
    <col min="45" max="45" width="0.28515625" customWidth="1"/>
    <col min="46" max="46" width="3.42578125" bestFit="1" customWidth="1"/>
    <col min="47" max="50" width="20.7109375" customWidth="1"/>
    <col min="51" max="51" width="0.28515625" customWidth="1"/>
    <col min="52" max="52" width="3.42578125" bestFit="1" customWidth="1"/>
    <col min="53" max="56" width="20.7109375" customWidth="1"/>
  </cols>
  <sheetData>
    <row r="3" spans="2:11" s="2" customFormat="1" ht="21" x14ac:dyDescent="0.35">
      <c r="C3" s="2" t="s">
        <v>0</v>
      </c>
    </row>
    <row r="4" spans="2:11" ht="15.75" thickBot="1" x14ac:dyDescent="0.3"/>
    <row r="5" spans="2:11" x14ac:dyDescent="0.25">
      <c r="B5" s="410" t="s">
        <v>152</v>
      </c>
      <c r="C5" s="411"/>
      <c r="D5" s="411"/>
      <c r="E5" s="411"/>
      <c r="F5" s="412"/>
    </row>
    <row r="6" spans="2:11" ht="15.75" thickBot="1" x14ac:dyDescent="0.3">
      <c r="B6" s="413" t="s">
        <v>153</v>
      </c>
      <c r="C6" s="414"/>
      <c r="D6" s="414"/>
      <c r="E6" s="414"/>
      <c r="F6" s="415"/>
    </row>
    <row r="7" spans="2:11" x14ac:dyDescent="0.25">
      <c r="B7" s="416" t="s">
        <v>154</v>
      </c>
      <c r="C7" s="417"/>
      <c r="D7" s="417"/>
      <c r="E7" s="417"/>
      <c r="F7" s="418"/>
    </row>
    <row r="8" spans="2:11" ht="15.75" thickBot="1" x14ac:dyDescent="0.3">
      <c r="B8" s="419" t="s">
        <v>155</v>
      </c>
      <c r="C8" s="420"/>
      <c r="D8" s="421"/>
      <c r="E8" s="422"/>
      <c r="F8" s="423"/>
    </row>
    <row r="9" spans="2:11" ht="15.75" thickBot="1" x14ac:dyDescent="0.3">
      <c r="B9" s="250" t="s">
        <v>108</v>
      </c>
      <c r="C9" s="251" t="s">
        <v>156</v>
      </c>
      <c r="D9" s="251" t="s">
        <v>157</v>
      </c>
      <c r="E9" s="251" t="s">
        <v>158</v>
      </c>
      <c r="F9" s="252" t="s">
        <v>159</v>
      </c>
    </row>
    <row r="10" spans="2:11" x14ac:dyDescent="0.25">
      <c r="B10" s="424" t="s">
        <v>160</v>
      </c>
      <c r="C10" s="425"/>
      <c r="D10" s="425"/>
      <c r="E10" s="425"/>
      <c r="F10" s="426"/>
    </row>
    <row r="11" spans="2:11" x14ac:dyDescent="0.25">
      <c r="B11" s="253"/>
      <c r="C11" s="254" t="s">
        <v>161</v>
      </c>
      <c r="D11" s="254"/>
      <c r="E11" s="255" t="s">
        <v>149</v>
      </c>
      <c r="F11" s="256"/>
    </row>
    <row r="12" spans="2:11" ht="34.5" customHeight="1" x14ac:dyDescent="0.25">
      <c r="B12" s="253"/>
      <c r="C12" s="254" t="s">
        <v>162</v>
      </c>
      <c r="D12" s="254"/>
      <c r="E12" s="257" t="s">
        <v>163</v>
      </c>
      <c r="F12" s="256"/>
      <c r="H12" s="427" t="s">
        <v>164</v>
      </c>
      <c r="I12" s="427"/>
      <c r="J12" s="427"/>
      <c r="K12" s="427"/>
    </row>
    <row r="13" spans="2:11" ht="15.75" x14ac:dyDescent="0.25">
      <c r="B13" s="253"/>
      <c r="C13" s="254" t="s">
        <v>165</v>
      </c>
      <c r="D13" s="254"/>
      <c r="E13" s="257"/>
      <c r="F13" s="256"/>
      <c r="H13" s="258"/>
      <c r="I13" s="258"/>
      <c r="J13" s="258"/>
      <c r="K13" s="258"/>
    </row>
    <row r="14" spans="2:11" ht="15.75" x14ac:dyDescent="0.25">
      <c r="B14" s="253"/>
      <c r="C14" s="254"/>
      <c r="D14" s="254" t="s">
        <v>166</v>
      </c>
      <c r="E14" s="257">
        <v>0</v>
      </c>
      <c r="F14" s="256"/>
      <c r="H14" s="258"/>
      <c r="I14" s="258"/>
      <c r="J14" s="258"/>
      <c r="K14" s="258"/>
    </row>
    <row r="15" spans="2:11" ht="15.75" x14ac:dyDescent="0.25">
      <c r="B15" s="253"/>
      <c r="C15" s="254"/>
      <c r="D15" s="254" t="s">
        <v>167</v>
      </c>
      <c r="E15" s="257">
        <v>0</v>
      </c>
      <c r="F15" s="256" t="s">
        <v>168</v>
      </c>
      <c r="H15" s="258"/>
      <c r="I15" s="258"/>
      <c r="J15" s="258"/>
      <c r="K15" s="258"/>
    </row>
    <row r="16" spans="2:11" ht="15.75" x14ac:dyDescent="0.25">
      <c r="B16" s="253"/>
      <c r="C16" s="254" t="s">
        <v>169</v>
      </c>
      <c r="D16" s="254"/>
      <c r="E16" s="259"/>
      <c r="F16" s="256" t="s">
        <v>170</v>
      </c>
      <c r="H16" s="427" t="s">
        <v>171</v>
      </c>
      <c r="I16" s="427"/>
      <c r="J16" s="427"/>
      <c r="K16" s="427"/>
    </row>
    <row r="17" spans="2:11" ht="30" customHeight="1" x14ac:dyDescent="0.25">
      <c r="B17" s="253"/>
      <c r="C17" s="254" t="s">
        <v>172</v>
      </c>
      <c r="D17" s="254"/>
      <c r="E17" s="257">
        <f>15*12*30</f>
        <v>5400</v>
      </c>
      <c r="F17" s="256" t="s">
        <v>173</v>
      </c>
      <c r="H17" s="427" t="s">
        <v>174</v>
      </c>
      <c r="I17" s="427"/>
      <c r="J17" s="427"/>
      <c r="K17" s="427"/>
    </row>
    <row r="18" spans="2:11" ht="32.25" customHeight="1" x14ac:dyDescent="0.25">
      <c r="B18" s="260"/>
      <c r="C18" s="261" t="s">
        <v>175</v>
      </c>
      <c r="D18" s="261"/>
      <c r="E18" s="262" t="str">
        <f>'Data Lingkungan_IC'!W21</f>
        <v>on</v>
      </c>
      <c r="F18" s="263"/>
      <c r="H18" s="427" t="s">
        <v>176</v>
      </c>
      <c r="I18" s="427"/>
      <c r="J18" s="427"/>
      <c r="K18" s="427"/>
    </row>
    <row r="19" spans="2:11" ht="32.25" customHeight="1" x14ac:dyDescent="0.25">
      <c r="B19" s="253"/>
      <c r="C19" s="254" t="s">
        <v>177</v>
      </c>
      <c r="D19" s="254"/>
      <c r="E19" s="257">
        <v>12</v>
      </c>
      <c r="F19" s="256" t="s">
        <v>173</v>
      </c>
      <c r="H19" s="427" t="s">
        <v>178</v>
      </c>
      <c r="I19" s="427"/>
      <c r="J19" s="427"/>
      <c r="K19" s="427"/>
    </row>
    <row r="20" spans="2:11" ht="30" customHeight="1" x14ac:dyDescent="0.25">
      <c r="B20" s="253"/>
      <c r="C20" s="254" t="s">
        <v>179</v>
      </c>
      <c r="D20" s="254"/>
      <c r="E20" s="264">
        <f>E17-E19-(E21+E23)/2*10</f>
        <v>5387</v>
      </c>
      <c r="F20" s="256" t="s">
        <v>173</v>
      </c>
      <c r="H20" s="427" t="s">
        <v>180</v>
      </c>
      <c r="I20" s="427"/>
      <c r="J20" s="427"/>
      <c r="K20" s="427"/>
    </row>
    <row r="21" spans="2:11" ht="62.25" customHeight="1" x14ac:dyDescent="0.25">
      <c r="B21" s="253"/>
      <c r="C21" s="254" t="s">
        <v>181</v>
      </c>
      <c r="D21" s="254" t="s">
        <v>182</v>
      </c>
      <c r="E21" s="265">
        <f>((E19/E17)*45-E22)</f>
        <v>0.1</v>
      </c>
      <c r="F21" s="256" t="s">
        <v>183</v>
      </c>
      <c r="H21" s="427" t="s">
        <v>184</v>
      </c>
      <c r="I21" s="427"/>
      <c r="J21" s="427"/>
      <c r="K21" s="427"/>
    </row>
    <row r="22" spans="2:11" ht="30" customHeight="1" x14ac:dyDescent="0.25">
      <c r="B22" s="253"/>
      <c r="C22" s="254"/>
      <c r="D22" s="266" t="s">
        <v>185</v>
      </c>
      <c r="E22" s="267">
        <v>0</v>
      </c>
      <c r="F22" s="256" t="s">
        <v>186</v>
      </c>
      <c r="H22" s="427" t="s">
        <v>187</v>
      </c>
      <c r="I22" s="427"/>
      <c r="J22" s="427"/>
      <c r="K22" s="427"/>
    </row>
    <row r="23" spans="2:11" ht="44.25" customHeight="1" x14ac:dyDescent="0.25">
      <c r="B23" s="253"/>
      <c r="C23" s="254" t="s">
        <v>188</v>
      </c>
      <c r="D23" s="254" t="s">
        <v>182</v>
      </c>
      <c r="E23" s="267">
        <f>'Data Lingkungan_IC'!Z21</f>
        <v>0.1</v>
      </c>
      <c r="F23" s="256" t="s">
        <v>183</v>
      </c>
      <c r="H23" s="427" t="s">
        <v>189</v>
      </c>
      <c r="I23" s="427"/>
      <c r="J23" s="427"/>
      <c r="K23" s="427"/>
    </row>
    <row r="24" spans="2:11" ht="30" customHeight="1" x14ac:dyDescent="0.25">
      <c r="B24" s="253"/>
      <c r="C24" s="254" t="s">
        <v>190</v>
      </c>
      <c r="D24" s="254"/>
      <c r="E24" s="268">
        <f>(E20/E17)</f>
        <v>0.99759259259259259</v>
      </c>
      <c r="F24" s="256" t="s">
        <v>191</v>
      </c>
      <c r="H24" s="427" t="s">
        <v>192</v>
      </c>
      <c r="I24" s="427"/>
      <c r="J24" s="427"/>
      <c r="K24" s="427"/>
    </row>
    <row r="25" spans="2:11" ht="15" customHeight="1" x14ac:dyDescent="0.25">
      <c r="B25" s="253"/>
      <c r="C25" s="254" t="s">
        <v>193</v>
      </c>
      <c r="D25" s="254"/>
      <c r="E25" s="257"/>
      <c r="F25" s="256"/>
      <c r="H25" s="258"/>
      <c r="I25" s="258"/>
      <c r="J25" s="258"/>
      <c r="K25" s="258"/>
    </row>
    <row r="26" spans="2:11" ht="15" customHeight="1" x14ac:dyDescent="0.25">
      <c r="B26" s="253"/>
      <c r="C26" s="254"/>
      <c r="D26" s="254" t="s">
        <v>194</v>
      </c>
      <c r="E26" s="257" t="s">
        <v>195</v>
      </c>
      <c r="F26" s="256"/>
      <c r="H26" s="258"/>
      <c r="I26" s="258"/>
      <c r="J26" s="258"/>
      <c r="K26" s="258"/>
    </row>
    <row r="27" spans="2:11" ht="15.75" x14ac:dyDescent="0.25">
      <c r="B27" s="253"/>
      <c r="C27" s="254"/>
      <c r="D27" s="254" t="s">
        <v>196</v>
      </c>
      <c r="E27" s="257" t="s">
        <v>197</v>
      </c>
      <c r="F27" s="256"/>
      <c r="H27" s="258"/>
      <c r="I27" s="258"/>
      <c r="J27" s="258"/>
      <c r="K27" s="258"/>
    </row>
    <row r="28" spans="2:11" ht="15.75" x14ac:dyDescent="0.25">
      <c r="B28" s="253"/>
      <c r="C28" s="257"/>
      <c r="D28" s="266" t="s">
        <v>198</v>
      </c>
      <c r="E28" s="257">
        <v>1.8800000000000001E-2</v>
      </c>
      <c r="F28" s="256" t="s">
        <v>199</v>
      </c>
      <c r="H28" s="258" t="s">
        <v>200</v>
      </c>
      <c r="I28" s="258"/>
      <c r="J28" s="258"/>
      <c r="K28" s="258"/>
    </row>
    <row r="29" spans="2:11" ht="15.75" x14ac:dyDescent="0.25">
      <c r="B29" s="253"/>
      <c r="C29" s="257"/>
      <c r="D29" s="266" t="s">
        <v>201</v>
      </c>
      <c r="E29" s="257">
        <f>'Data Lingkungan_IC'!Y38</f>
        <v>30</v>
      </c>
      <c r="F29" s="256" t="s">
        <v>202</v>
      </c>
      <c r="H29" s="269" t="s">
        <v>203</v>
      </c>
      <c r="I29" s="258"/>
      <c r="J29" s="258"/>
      <c r="K29" s="258"/>
    </row>
    <row r="30" spans="2:11" ht="15.75" x14ac:dyDescent="0.25">
      <c r="B30" s="253"/>
      <c r="C30" s="257"/>
      <c r="D30" s="266" t="s">
        <v>204</v>
      </c>
      <c r="E30" s="270">
        <f>E29*E28</f>
        <v>0.56400000000000006</v>
      </c>
      <c r="F30" s="256"/>
      <c r="H30" s="258" t="s">
        <v>205</v>
      </c>
      <c r="I30" s="258"/>
      <c r="J30" s="258"/>
      <c r="K30" s="258"/>
    </row>
    <row r="31" spans="2:11" ht="30" x14ac:dyDescent="0.25">
      <c r="B31" s="253"/>
      <c r="C31" s="257"/>
      <c r="D31" s="266" t="s">
        <v>185</v>
      </c>
      <c r="E31" s="257">
        <f>E30</f>
        <v>0.56400000000000006</v>
      </c>
      <c r="F31" s="256" t="s">
        <v>206</v>
      </c>
      <c r="H31" s="258" t="s">
        <v>207</v>
      </c>
      <c r="I31" s="258"/>
      <c r="J31" s="258"/>
      <c r="K31" s="258"/>
    </row>
    <row r="32" spans="2:11" ht="15.75" x14ac:dyDescent="0.25">
      <c r="B32" s="253"/>
      <c r="C32" s="257"/>
      <c r="D32" s="266" t="s">
        <v>208</v>
      </c>
      <c r="E32" s="257">
        <v>0</v>
      </c>
      <c r="F32" s="256" t="s">
        <v>209</v>
      </c>
      <c r="H32" s="258" t="s">
        <v>210</v>
      </c>
      <c r="I32" s="258"/>
      <c r="J32" s="258"/>
      <c r="K32" s="258"/>
    </row>
    <row r="33" spans="2:36" ht="15.75" thickBot="1" x14ac:dyDescent="0.3">
      <c r="B33" s="271"/>
      <c r="C33" s="272"/>
      <c r="D33" s="273"/>
      <c r="E33" s="272"/>
      <c r="F33" s="274"/>
    </row>
    <row r="34" spans="2:36" ht="15.75" thickBot="1" x14ac:dyDescent="0.3"/>
    <row r="35" spans="2:36" x14ac:dyDescent="0.25">
      <c r="B35" s="428" t="s">
        <v>211</v>
      </c>
      <c r="C35" s="429"/>
      <c r="D35" s="429"/>
      <c r="E35" s="429"/>
      <c r="F35" s="430"/>
      <c r="H35" s="428" t="s">
        <v>211</v>
      </c>
      <c r="I35" s="429"/>
      <c r="J35" s="429"/>
      <c r="K35" s="429"/>
      <c r="L35" s="430"/>
      <c r="N35" s="428" t="s">
        <v>211</v>
      </c>
      <c r="O35" s="429"/>
      <c r="P35" s="429"/>
      <c r="Q35" s="429"/>
      <c r="R35" s="430"/>
      <c r="T35" s="428" t="s">
        <v>211</v>
      </c>
      <c r="U35" s="429"/>
      <c r="V35" s="429"/>
      <c r="W35" s="429"/>
      <c r="X35" s="430"/>
      <c r="Z35" s="428" t="s">
        <v>211</v>
      </c>
      <c r="AA35" s="429"/>
      <c r="AB35" s="429"/>
      <c r="AC35" s="429"/>
      <c r="AD35" s="430"/>
      <c r="AF35" s="428" t="s">
        <v>211</v>
      </c>
      <c r="AG35" s="429"/>
      <c r="AH35" s="429"/>
      <c r="AI35" s="429"/>
      <c r="AJ35" s="430"/>
    </row>
    <row r="36" spans="2:36" ht="15.75" thickBot="1" x14ac:dyDescent="0.3">
      <c r="B36" s="431" t="s">
        <v>153</v>
      </c>
      <c r="C36" s="432"/>
      <c r="D36" s="432"/>
      <c r="E36" s="432"/>
      <c r="F36" s="433"/>
      <c r="H36" s="434" t="s">
        <v>153</v>
      </c>
      <c r="I36" s="435"/>
      <c r="J36" s="435"/>
      <c r="K36" s="435"/>
      <c r="L36" s="436"/>
      <c r="N36" s="434" t="s">
        <v>153</v>
      </c>
      <c r="O36" s="435"/>
      <c r="P36" s="435"/>
      <c r="Q36" s="435"/>
      <c r="R36" s="436"/>
      <c r="T36" s="434" t="s">
        <v>153</v>
      </c>
      <c r="U36" s="435"/>
      <c r="V36" s="435"/>
      <c r="W36" s="435"/>
      <c r="X36" s="436"/>
      <c r="Z36" s="434" t="s">
        <v>153</v>
      </c>
      <c r="AA36" s="435"/>
      <c r="AB36" s="435"/>
      <c r="AC36" s="435"/>
      <c r="AD36" s="436"/>
      <c r="AF36" s="434" t="s">
        <v>153</v>
      </c>
      <c r="AG36" s="435"/>
      <c r="AH36" s="435"/>
      <c r="AI36" s="435"/>
      <c r="AJ36" s="436"/>
    </row>
    <row r="37" spans="2:36" x14ac:dyDescent="0.25">
      <c r="B37" s="416" t="s">
        <v>154</v>
      </c>
      <c r="C37" s="417"/>
      <c r="D37" s="417"/>
      <c r="E37" s="417"/>
      <c r="F37" s="418"/>
      <c r="H37" s="416" t="s">
        <v>154</v>
      </c>
      <c r="I37" s="417"/>
      <c r="J37" s="417"/>
      <c r="K37" s="417"/>
      <c r="L37" s="418"/>
      <c r="N37" s="416" t="s">
        <v>154</v>
      </c>
      <c r="O37" s="417"/>
      <c r="P37" s="417"/>
      <c r="Q37" s="417"/>
      <c r="R37" s="418"/>
      <c r="T37" s="416" t="s">
        <v>154</v>
      </c>
      <c r="U37" s="417"/>
      <c r="V37" s="417"/>
      <c r="W37" s="417"/>
      <c r="X37" s="418"/>
      <c r="Z37" s="416" t="s">
        <v>154</v>
      </c>
      <c r="AA37" s="417"/>
      <c r="AB37" s="417"/>
      <c r="AC37" s="417"/>
      <c r="AD37" s="418"/>
      <c r="AF37" s="416" t="s">
        <v>154</v>
      </c>
      <c r="AG37" s="417"/>
      <c r="AH37" s="417"/>
      <c r="AI37" s="417"/>
      <c r="AJ37" s="418"/>
    </row>
    <row r="38" spans="2:36" ht="15.75" thickBot="1" x14ac:dyDescent="0.3">
      <c r="B38" s="419" t="s">
        <v>155</v>
      </c>
      <c r="C38" s="420"/>
      <c r="D38" s="421"/>
      <c r="E38" s="422"/>
      <c r="F38" s="423"/>
      <c r="H38" s="419" t="s">
        <v>155</v>
      </c>
      <c r="I38" s="420"/>
      <c r="J38" s="421"/>
      <c r="K38" s="422"/>
      <c r="L38" s="423"/>
      <c r="N38" s="419" t="s">
        <v>155</v>
      </c>
      <c r="O38" s="420"/>
      <c r="P38" s="421"/>
      <c r="Q38" s="422"/>
      <c r="R38" s="423"/>
      <c r="T38" s="419" t="s">
        <v>155</v>
      </c>
      <c r="U38" s="420"/>
      <c r="V38" s="421"/>
      <c r="W38" s="422"/>
      <c r="X38" s="423"/>
      <c r="Z38" s="419" t="s">
        <v>155</v>
      </c>
      <c r="AA38" s="420"/>
      <c r="AB38" s="421"/>
      <c r="AC38" s="422"/>
      <c r="AD38" s="423"/>
      <c r="AF38" s="419" t="s">
        <v>155</v>
      </c>
      <c r="AG38" s="420"/>
      <c r="AH38" s="421"/>
      <c r="AI38" s="422"/>
      <c r="AJ38" s="423"/>
    </row>
    <row r="39" spans="2:36" ht="15.75" thickBot="1" x14ac:dyDescent="0.3">
      <c r="B39" s="250" t="s">
        <v>108</v>
      </c>
      <c r="C39" s="251" t="s">
        <v>156</v>
      </c>
      <c r="D39" s="251" t="s">
        <v>157</v>
      </c>
      <c r="E39" s="251" t="s">
        <v>158</v>
      </c>
      <c r="F39" s="252" t="s">
        <v>159</v>
      </c>
      <c r="H39" s="250" t="s">
        <v>108</v>
      </c>
      <c r="I39" s="251" t="s">
        <v>156</v>
      </c>
      <c r="J39" s="251" t="s">
        <v>157</v>
      </c>
      <c r="K39" s="251" t="s">
        <v>158</v>
      </c>
      <c r="L39" s="252" t="s">
        <v>159</v>
      </c>
      <c r="N39" s="250" t="s">
        <v>108</v>
      </c>
      <c r="O39" s="251" t="s">
        <v>156</v>
      </c>
      <c r="P39" s="251" t="s">
        <v>157</v>
      </c>
      <c r="Q39" s="251" t="s">
        <v>158</v>
      </c>
      <c r="R39" s="252" t="s">
        <v>159</v>
      </c>
      <c r="T39" s="250" t="s">
        <v>108</v>
      </c>
      <c r="U39" s="251" t="s">
        <v>156</v>
      </c>
      <c r="V39" s="251" t="s">
        <v>157</v>
      </c>
      <c r="W39" s="251" t="s">
        <v>158</v>
      </c>
      <c r="X39" s="252" t="s">
        <v>159</v>
      </c>
      <c r="Z39" s="250" t="s">
        <v>108</v>
      </c>
      <c r="AA39" s="251" t="s">
        <v>156</v>
      </c>
      <c r="AB39" s="251" t="s">
        <v>157</v>
      </c>
      <c r="AC39" s="251" t="s">
        <v>158</v>
      </c>
      <c r="AD39" s="252" t="s">
        <v>159</v>
      </c>
      <c r="AF39" s="250" t="s">
        <v>108</v>
      </c>
      <c r="AG39" s="251" t="s">
        <v>156</v>
      </c>
      <c r="AH39" s="251" t="s">
        <v>157</v>
      </c>
      <c r="AI39" s="251" t="s">
        <v>158</v>
      </c>
      <c r="AJ39" s="252" t="s">
        <v>159</v>
      </c>
    </row>
    <row r="40" spans="2:36" x14ac:dyDescent="0.25">
      <c r="B40" s="424" t="s">
        <v>160</v>
      </c>
      <c r="C40" s="425"/>
      <c r="D40" s="425"/>
      <c r="E40" s="425"/>
      <c r="F40" s="426"/>
      <c r="H40" s="424" t="s">
        <v>160</v>
      </c>
      <c r="I40" s="425"/>
      <c r="J40" s="425"/>
      <c r="K40" s="425"/>
      <c r="L40" s="426"/>
      <c r="N40" s="424" t="s">
        <v>160</v>
      </c>
      <c r="O40" s="425"/>
      <c r="P40" s="425"/>
      <c r="Q40" s="425"/>
      <c r="R40" s="426"/>
      <c r="T40" s="424" t="s">
        <v>160</v>
      </c>
      <c r="U40" s="425"/>
      <c r="V40" s="425"/>
      <c r="W40" s="425"/>
      <c r="X40" s="426"/>
      <c r="Z40" s="424" t="s">
        <v>160</v>
      </c>
      <c r="AA40" s="425"/>
      <c r="AB40" s="425"/>
      <c r="AC40" s="425"/>
      <c r="AD40" s="426"/>
      <c r="AF40" s="424" t="s">
        <v>160</v>
      </c>
      <c r="AG40" s="425"/>
      <c r="AH40" s="425"/>
      <c r="AI40" s="425"/>
      <c r="AJ40" s="426"/>
    </row>
    <row r="41" spans="2:36" x14ac:dyDescent="0.25">
      <c r="B41" s="253"/>
      <c r="C41" s="254" t="s">
        <v>161</v>
      </c>
      <c r="D41" s="254"/>
      <c r="E41" s="257" t="s">
        <v>124</v>
      </c>
      <c r="F41" s="256"/>
      <c r="H41" s="253"/>
      <c r="I41" s="254" t="s">
        <v>161</v>
      </c>
      <c r="J41" s="254"/>
      <c r="K41" s="257" t="s">
        <v>125</v>
      </c>
      <c r="L41" s="256"/>
      <c r="N41" s="253"/>
      <c r="O41" s="254" t="s">
        <v>161</v>
      </c>
      <c r="P41" s="254"/>
      <c r="Q41" s="257" t="s">
        <v>129</v>
      </c>
      <c r="R41" s="256"/>
      <c r="T41" s="253"/>
      <c r="U41" s="254" t="s">
        <v>161</v>
      </c>
      <c r="V41" s="254"/>
      <c r="W41" s="257" t="s">
        <v>212</v>
      </c>
      <c r="X41" s="256"/>
      <c r="Z41" s="253"/>
      <c r="AA41" s="254" t="s">
        <v>161</v>
      </c>
      <c r="AB41" s="254"/>
      <c r="AC41" s="257" t="s">
        <v>213</v>
      </c>
      <c r="AD41" s="256"/>
      <c r="AF41" s="253"/>
      <c r="AG41" s="254" t="s">
        <v>161</v>
      </c>
      <c r="AH41" s="254"/>
      <c r="AI41" s="257" t="s">
        <v>214</v>
      </c>
      <c r="AJ41" s="256"/>
    </row>
    <row r="42" spans="2:36" x14ac:dyDescent="0.25">
      <c r="B42" s="253"/>
      <c r="C42" s="254" t="s">
        <v>162</v>
      </c>
      <c r="D42" s="254"/>
      <c r="E42" s="257" t="s">
        <v>215</v>
      </c>
      <c r="F42" s="256"/>
      <c r="H42" s="253"/>
      <c r="I42" s="254" t="s">
        <v>162</v>
      </c>
      <c r="J42" s="254"/>
      <c r="K42" s="257" t="s">
        <v>216</v>
      </c>
      <c r="L42" s="256"/>
      <c r="N42" s="253"/>
      <c r="O42" s="254" t="s">
        <v>162</v>
      </c>
      <c r="P42" s="254"/>
      <c r="Q42" s="257" t="s">
        <v>217</v>
      </c>
      <c r="R42" s="256"/>
      <c r="T42" s="253"/>
      <c r="U42" s="254" t="s">
        <v>162</v>
      </c>
      <c r="V42" s="254"/>
      <c r="W42" s="257" t="s">
        <v>218</v>
      </c>
      <c r="X42" s="256"/>
      <c r="Z42" s="253"/>
      <c r="AA42" s="254" t="s">
        <v>162</v>
      </c>
      <c r="AB42" s="254"/>
      <c r="AC42" s="257" t="s">
        <v>219</v>
      </c>
      <c r="AD42" s="256"/>
      <c r="AF42" s="253"/>
      <c r="AG42" s="254" t="s">
        <v>162</v>
      </c>
      <c r="AH42" s="254"/>
      <c r="AI42" s="257" t="s">
        <v>220</v>
      </c>
      <c r="AJ42" s="256"/>
    </row>
    <row r="43" spans="2:36" x14ac:dyDescent="0.25">
      <c r="B43" s="253"/>
      <c r="C43" s="254" t="s">
        <v>165</v>
      </c>
      <c r="D43" s="254"/>
      <c r="E43" s="257"/>
      <c r="F43" s="256"/>
      <c r="H43" s="253"/>
      <c r="I43" s="254" t="s">
        <v>165</v>
      </c>
      <c r="J43" s="254"/>
      <c r="K43" s="257"/>
      <c r="L43" s="256"/>
      <c r="N43" s="253"/>
      <c r="O43" s="254" t="s">
        <v>165</v>
      </c>
      <c r="P43" s="254"/>
      <c r="Q43" s="257"/>
      <c r="R43" s="256"/>
      <c r="T43" s="253"/>
      <c r="U43" s="254" t="s">
        <v>165</v>
      </c>
      <c r="V43" s="254"/>
      <c r="W43" s="257"/>
      <c r="X43" s="256"/>
      <c r="Z43" s="253"/>
      <c r="AA43" s="254" t="s">
        <v>165</v>
      </c>
      <c r="AB43" s="254"/>
      <c r="AC43" s="257"/>
      <c r="AD43" s="256"/>
      <c r="AF43" s="253"/>
      <c r="AG43" s="254" t="s">
        <v>165</v>
      </c>
      <c r="AH43" s="254"/>
      <c r="AI43" s="257"/>
      <c r="AJ43" s="256"/>
    </row>
    <row r="44" spans="2:36" x14ac:dyDescent="0.25">
      <c r="B44" s="253"/>
      <c r="C44" s="254"/>
      <c r="D44" s="254" t="s">
        <v>166</v>
      </c>
      <c r="E44" s="257"/>
      <c r="F44" s="256"/>
      <c r="H44" s="253"/>
      <c r="I44" s="254"/>
      <c r="J44" s="254" t="s">
        <v>166</v>
      </c>
      <c r="K44" s="257"/>
      <c r="L44" s="256"/>
      <c r="N44" s="253"/>
      <c r="O44" s="254"/>
      <c r="P44" s="254" t="s">
        <v>166</v>
      </c>
      <c r="Q44" s="257"/>
      <c r="R44" s="256"/>
      <c r="T44" s="253"/>
      <c r="U44" s="254"/>
      <c r="V44" s="254" t="s">
        <v>166</v>
      </c>
      <c r="W44" s="257"/>
      <c r="X44" s="256"/>
      <c r="Z44" s="253"/>
      <c r="AA44" s="254"/>
      <c r="AB44" s="254" t="s">
        <v>166</v>
      </c>
      <c r="AC44" s="257"/>
      <c r="AD44" s="256"/>
      <c r="AF44" s="253"/>
      <c r="AG44" s="254"/>
      <c r="AH44" s="254" t="s">
        <v>166</v>
      </c>
      <c r="AI44" s="257"/>
      <c r="AJ44" s="256"/>
    </row>
    <row r="45" spans="2:36" x14ac:dyDescent="0.25">
      <c r="B45" s="253"/>
      <c r="C45" s="254"/>
      <c r="D45" s="254" t="s">
        <v>167</v>
      </c>
      <c r="E45" s="257"/>
      <c r="F45" s="256" t="s">
        <v>168</v>
      </c>
      <c r="H45" s="253"/>
      <c r="I45" s="254"/>
      <c r="J45" s="254" t="s">
        <v>167</v>
      </c>
      <c r="K45" s="257"/>
      <c r="L45" s="256" t="s">
        <v>168</v>
      </c>
      <c r="N45" s="253"/>
      <c r="O45" s="254"/>
      <c r="P45" s="254" t="s">
        <v>167</v>
      </c>
      <c r="Q45" s="257"/>
      <c r="R45" s="256" t="s">
        <v>168</v>
      </c>
      <c r="T45" s="253"/>
      <c r="U45" s="254"/>
      <c r="V45" s="254" t="s">
        <v>167</v>
      </c>
      <c r="W45" s="257"/>
      <c r="X45" s="256" t="s">
        <v>168</v>
      </c>
      <c r="Z45" s="253"/>
      <c r="AA45" s="254"/>
      <c r="AB45" s="254" t="s">
        <v>167</v>
      </c>
      <c r="AC45" s="257"/>
      <c r="AD45" s="256" t="s">
        <v>168</v>
      </c>
      <c r="AF45" s="253"/>
      <c r="AG45" s="254"/>
      <c r="AH45" s="254" t="s">
        <v>167</v>
      </c>
      <c r="AI45" s="257"/>
      <c r="AJ45" s="256" t="s">
        <v>168</v>
      </c>
    </row>
    <row r="46" spans="2:36" x14ac:dyDescent="0.25">
      <c r="B46" s="253"/>
      <c r="C46" s="254" t="s">
        <v>169</v>
      </c>
      <c r="D46" s="254"/>
      <c r="E46" s="259"/>
      <c r="F46" s="256" t="s">
        <v>170</v>
      </c>
      <c r="H46" s="253"/>
      <c r="I46" s="254" t="s">
        <v>169</v>
      </c>
      <c r="J46" s="254"/>
      <c r="K46" s="259"/>
      <c r="L46" s="256" t="s">
        <v>170</v>
      </c>
      <c r="N46" s="253"/>
      <c r="O46" s="254" t="s">
        <v>169</v>
      </c>
      <c r="P46" s="254"/>
      <c r="Q46" s="259"/>
      <c r="R46" s="256" t="s">
        <v>170</v>
      </c>
      <c r="T46" s="253"/>
      <c r="U46" s="254" t="s">
        <v>169</v>
      </c>
      <c r="V46" s="254"/>
      <c r="W46" s="259"/>
      <c r="X46" s="256" t="s">
        <v>170</v>
      </c>
      <c r="Z46" s="253"/>
      <c r="AA46" s="254" t="s">
        <v>169</v>
      </c>
      <c r="AB46" s="254"/>
      <c r="AC46" s="259"/>
      <c r="AD46" s="256" t="s">
        <v>170</v>
      </c>
      <c r="AF46" s="253"/>
      <c r="AG46" s="254" t="s">
        <v>169</v>
      </c>
      <c r="AH46" s="254"/>
      <c r="AI46" s="259"/>
      <c r="AJ46" s="256" t="s">
        <v>170</v>
      </c>
    </row>
    <row r="47" spans="2:36" x14ac:dyDescent="0.25">
      <c r="B47" s="253"/>
      <c r="C47" s="254" t="s">
        <v>172</v>
      </c>
      <c r="D47" s="254"/>
      <c r="E47" s="257">
        <f>5*12*30</f>
        <v>1800</v>
      </c>
      <c r="F47" s="256" t="s">
        <v>173</v>
      </c>
      <c r="H47" s="253"/>
      <c r="I47" s="254" t="s">
        <v>172</v>
      </c>
      <c r="J47" s="254"/>
      <c r="K47" s="257">
        <f>5*12*30</f>
        <v>1800</v>
      </c>
      <c r="L47" s="256" t="s">
        <v>173</v>
      </c>
      <c r="N47" s="253"/>
      <c r="O47" s="254" t="s">
        <v>172</v>
      </c>
      <c r="P47" s="254"/>
      <c r="Q47" s="257">
        <f>5*12*30</f>
        <v>1800</v>
      </c>
      <c r="R47" s="256" t="s">
        <v>173</v>
      </c>
      <c r="T47" s="253"/>
      <c r="U47" s="254" t="s">
        <v>172</v>
      </c>
      <c r="V47" s="254"/>
      <c r="W47" s="257">
        <f>5*12*30</f>
        <v>1800</v>
      </c>
      <c r="X47" s="256" t="s">
        <v>173</v>
      </c>
      <c r="Z47" s="253"/>
      <c r="AA47" s="254" t="s">
        <v>172</v>
      </c>
      <c r="AB47" s="254"/>
      <c r="AC47" s="257">
        <f>5*12*30</f>
        <v>1800</v>
      </c>
      <c r="AD47" s="256" t="s">
        <v>173</v>
      </c>
      <c r="AF47" s="253"/>
      <c r="AG47" s="254" t="s">
        <v>172</v>
      </c>
      <c r="AH47" s="254"/>
      <c r="AI47" s="257">
        <f>5*12*30</f>
        <v>1800</v>
      </c>
      <c r="AJ47" s="256" t="s">
        <v>173</v>
      </c>
    </row>
    <row r="48" spans="2:36" x14ac:dyDescent="0.25">
      <c r="B48" s="260"/>
      <c r="C48" s="261" t="s">
        <v>175</v>
      </c>
      <c r="D48" s="261"/>
      <c r="E48" s="262" t="str">
        <f>'Data Lingkungan_IC'!AO64</f>
        <v>off</v>
      </c>
      <c r="F48" s="263"/>
      <c r="H48" s="260"/>
      <c r="I48" s="261" t="s">
        <v>175</v>
      </c>
      <c r="J48" s="261"/>
      <c r="K48" s="262" t="str">
        <f>'Data Lingkungan_IC'!AO65</f>
        <v>off</v>
      </c>
      <c r="L48" s="263"/>
      <c r="N48" s="260"/>
      <c r="O48" s="261" t="s">
        <v>175</v>
      </c>
      <c r="P48" s="261"/>
      <c r="Q48" s="262" t="str">
        <f>'Data Lingkungan_IC'!AX64</f>
        <v>on</v>
      </c>
      <c r="R48" s="263"/>
      <c r="T48" s="260"/>
      <c r="U48" s="261" t="s">
        <v>175</v>
      </c>
      <c r="V48" s="261"/>
      <c r="W48" s="262" t="str">
        <f>'Data Lingkungan_IC'!AO63</f>
        <v>off</v>
      </c>
      <c r="X48" s="263"/>
      <c r="Z48" s="260"/>
      <c r="AA48" s="261" t="s">
        <v>175</v>
      </c>
      <c r="AB48" s="261"/>
      <c r="AC48" s="262" t="str">
        <f>'Data Lingkungan_IC'!BP64</f>
        <v>off</v>
      </c>
      <c r="AD48" s="263"/>
      <c r="AF48" s="260"/>
      <c r="AG48" s="261" t="s">
        <v>175</v>
      </c>
      <c r="AH48" s="261"/>
      <c r="AI48" s="262" t="str">
        <f>'Data Lingkungan_IC'!DI63</f>
        <v>on</v>
      </c>
      <c r="AJ48" s="263"/>
    </row>
    <row r="49" spans="2:36" x14ac:dyDescent="0.25">
      <c r="B49" s="253"/>
      <c r="C49" s="254" t="s">
        <v>177</v>
      </c>
      <c r="D49" s="254"/>
      <c r="E49" s="257">
        <v>0</v>
      </c>
      <c r="F49" s="256" t="s">
        <v>173</v>
      </c>
      <c r="H49" s="253"/>
      <c r="I49" s="254" t="s">
        <v>177</v>
      </c>
      <c r="J49" s="254"/>
      <c r="K49" s="257">
        <v>0</v>
      </c>
      <c r="L49" s="256" t="s">
        <v>173</v>
      </c>
      <c r="N49" s="253"/>
      <c r="O49" s="254" t="s">
        <v>177</v>
      </c>
      <c r="P49" s="254"/>
      <c r="Q49" s="257">
        <v>0</v>
      </c>
      <c r="R49" s="256" t="s">
        <v>173</v>
      </c>
      <c r="T49" s="253"/>
      <c r="U49" s="254" t="s">
        <v>177</v>
      </c>
      <c r="V49" s="254"/>
      <c r="W49" s="257">
        <v>0</v>
      </c>
      <c r="X49" s="256" t="s">
        <v>173</v>
      </c>
      <c r="Z49" s="253"/>
      <c r="AA49" s="254" t="s">
        <v>177</v>
      </c>
      <c r="AB49" s="254"/>
      <c r="AC49" s="257">
        <v>0</v>
      </c>
      <c r="AD49" s="256" t="s">
        <v>173</v>
      </c>
      <c r="AF49" s="253"/>
      <c r="AG49" s="254" t="s">
        <v>177</v>
      </c>
      <c r="AH49" s="254"/>
      <c r="AI49" s="257">
        <v>0</v>
      </c>
      <c r="AJ49" s="256" t="s">
        <v>173</v>
      </c>
    </row>
    <row r="50" spans="2:36" x14ac:dyDescent="0.25">
      <c r="B50" s="253"/>
      <c r="C50" s="254" t="s">
        <v>179</v>
      </c>
      <c r="D50" s="254"/>
      <c r="E50" s="264">
        <f>E47-E49-(E51+E53)/2*10</f>
        <v>1799.5</v>
      </c>
      <c r="F50" s="256" t="s">
        <v>173</v>
      </c>
      <c r="H50" s="253"/>
      <c r="I50" s="254" t="s">
        <v>179</v>
      </c>
      <c r="J50" s="254"/>
      <c r="K50" s="264">
        <f>K47-K49-(K51+K53)/2*10</f>
        <v>1799.5</v>
      </c>
      <c r="L50" s="256" t="s">
        <v>173</v>
      </c>
      <c r="N50" s="253"/>
      <c r="O50" s="254" t="s">
        <v>179</v>
      </c>
      <c r="P50" s="254"/>
      <c r="Q50" s="264">
        <f>Q47-Q49-(Q51+Q53)/2*10</f>
        <v>1799.5</v>
      </c>
      <c r="R50" s="256" t="s">
        <v>173</v>
      </c>
      <c r="T50" s="253"/>
      <c r="U50" s="254" t="s">
        <v>179</v>
      </c>
      <c r="V50" s="254"/>
      <c r="W50" s="264">
        <f>W47-W49-(W51+W53)/2*10</f>
        <v>1799.5</v>
      </c>
      <c r="X50" s="256" t="s">
        <v>173</v>
      </c>
      <c r="Z50" s="253"/>
      <c r="AA50" s="254" t="s">
        <v>179</v>
      </c>
      <c r="AB50" s="254"/>
      <c r="AC50" s="264">
        <f>AC47-AC49-(AC51+AC53)/2*10</f>
        <v>1800</v>
      </c>
      <c r="AD50" s="256" t="s">
        <v>173</v>
      </c>
      <c r="AF50" s="253"/>
      <c r="AG50" s="254" t="s">
        <v>179</v>
      </c>
      <c r="AH50" s="254"/>
      <c r="AI50" s="264">
        <f>AI47-AI49-(AI51+AI53)/2*10</f>
        <v>1799.5</v>
      </c>
      <c r="AJ50" s="256" t="s">
        <v>173</v>
      </c>
    </row>
    <row r="51" spans="2:36" x14ac:dyDescent="0.25">
      <c r="B51" s="253"/>
      <c r="C51" s="254" t="s">
        <v>181</v>
      </c>
      <c r="D51" s="254" t="s">
        <v>182</v>
      </c>
      <c r="E51" s="265">
        <f>((E49/E47)*10-E52)</f>
        <v>0</v>
      </c>
      <c r="F51" s="256" t="s">
        <v>183</v>
      </c>
      <c r="H51" s="253"/>
      <c r="I51" s="254" t="s">
        <v>181</v>
      </c>
      <c r="J51" s="254" t="s">
        <v>182</v>
      </c>
      <c r="K51" s="265">
        <f>((K49/K47)*10-K52)</f>
        <v>0</v>
      </c>
      <c r="L51" s="256" t="s">
        <v>183</v>
      </c>
      <c r="N51" s="253"/>
      <c r="O51" s="254" t="s">
        <v>181</v>
      </c>
      <c r="P51" s="254" t="s">
        <v>182</v>
      </c>
      <c r="Q51" s="265">
        <f>((Q49/Q47)*10-Q52)</f>
        <v>0</v>
      </c>
      <c r="R51" s="256" t="s">
        <v>183</v>
      </c>
      <c r="T51" s="253"/>
      <c r="U51" s="254" t="s">
        <v>181</v>
      </c>
      <c r="V51" s="254" t="s">
        <v>182</v>
      </c>
      <c r="W51" s="265">
        <f>((W49/W47)*10-W52)</f>
        <v>0</v>
      </c>
      <c r="X51" s="256" t="s">
        <v>183</v>
      </c>
      <c r="Z51" s="253"/>
      <c r="AA51" s="254" t="s">
        <v>181</v>
      </c>
      <c r="AB51" s="254" t="s">
        <v>182</v>
      </c>
      <c r="AC51" s="265">
        <f>((AC49/AC47)*10-AC52)</f>
        <v>0</v>
      </c>
      <c r="AD51" s="256" t="s">
        <v>183</v>
      </c>
      <c r="AF51" s="253"/>
      <c r="AG51" s="254" t="s">
        <v>181</v>
      </c>
      <c r="AH51" s="254" t="s">
        <v>182</v>
      </c>
      <c r="AI51" s="265">
        <f>((AI49/AI47)*10-AI52)</f>
        <v>0</v>
      </c>
      <c r="AJ51" s="256" t="s">
        <v>183</v>
      </c>
    </row>
    <row r="52" spans="2:36" ht="30" x14ac:dyDescent="0.25">
      <c r="B52" s="253"/>
      <c r="C52" s="254"/>
      <c r="D52" s="266" t="s">
        <v>185</v>
      </c>
      <c r="E52" s="267">
        <v>0</v>
      </c>
      <c r="F52" s="256" t="s">
        <v>186</v>
      </c>
      <c r="H52" s="253"/>
      <c r="I52" s="254"/>
      <c r="J52" s="266" t="s">
        <v>185</v>
      </c>
      <c r="K52" s="267">
        <v>0</v>
      </c>
      <c r="L52" s="256" t="s">
        <v>186</v>
      </c>
      <c r="N52" s="253"/>
      <c r="O52" s="254"/>
      <c r="P52" s="266" t="s">
        <v>185</v>
      </c>
      <c r="Q52" s="267">
        <v>0</v>
      </c>
      <c r="R52" s="256" t="s">
        <v>186</v>
      </c>
      <c r="T52" s="253"/>
      <c r="U52" s="254"/>
      <c r="V52" s="266" t="s">
        <v>185</v>
      </c>
      <c r="W52" s="267">
        <v>0</v>
      </c>
      <c r="X52" s="256" t="s">
        <v>186</v>
      </c>
      <c r="Z52" s="253"/>
      <c r="AA52" s="254"/>
      <c r="AB52" s="266" t="s">
        <v>185</v>
      </c>
      <c r="AC52" s="267">
        <v>0</v>
      </c>
      <c r="AD52" s="256" t="s">
        <v>186</v>
      </c>
      <c r="AF52" s="253"/>
      <c r="AG52" s="254"/>
      <c r="AH52" s="266" t="s">
        <v>185</v>
      </c>
      <c r="AI52" s="267">
        <v>0</v>
      </c>
      <c r="AJ52" s="256" t="s">
        <v>186</v>
      </c>
    </row>
    <row r="53" spans="2:36" x14ac:dyDescent="0.25">
      <c r="B53" s="253"/>
      <c r="C53" s="254" t="s">
        <v>188</v>
      </c>
      <c r="D53" s="254" t="s">
        <v>182</v>
      </c>
      <c r="E53" s="267">
        <f>'Data Lingkungan_IC'!AR64</f>
        <v>0.1</v>
      </c>
      <c r="F53" s="256" t="s">
        <v>183</v>
      </c>
      <c r="H53" s="253"/>
      <c r="I53" s="254" t="s">
        <v>188</v>
      </c>
      <c r="J53" s="254" t="s">
        <v>182</v>
      </c>
      <c r="K53" s="267">
        <f>'Data Lingkungan_IC'!AR65</f>
        <v>0.1</v>
      </c>
      <c r="L53" s="256" t="s">
        <v>183</v>
      </c>
      <c r="N53" s="253"/>
      <c r="O53" s="254" t="s">
        <v>188</v>
      </c>
      <c r="P53" s="254" t="s">
        <v>182</v>
      </c>
      <c r="Q53" s="267">
        <f>'Data Lingkungan_IC'!BA64</f>
        <v>0.1</v>
      </c>
      <c r="R53" s="256" t="s">
        <v>183</v>
      </c>
      <c r="T53" s="253"/>
      <c r="U53" s="254" t="s">
        <v>188</v>
      </c>
      <c r="V53" s="254" t="s">
        <v>182</v>
      </c>
      <c r="W53" s="267">
        <f>'Data Lingkungan_IC'!AR63</f>
        <v>0.1</v>
      </c>
      <c r="X53" s="256" t="s">
        <v>183</v>
      </c>
      <c r="Z53" s="253"/>
      <c r="AA53" s="254" t="s">
        <v>188</v>
      </c>
      <c r="AB53" s="254" t="s">
        <v>182</v>
      </c>
      <c r="AC53" s="267">
        <f>'Data Lingkungan_IC'!BS64</f>
        <v>0</v>
      </c>
      <c r="AD53" s="256" t="s">
        <v>183</v>
      </c>
      <c r="AF53" s="253"/>
      <c r="AG53" s="254" t="s">
        <v>188</v>
      </c>
      <c r="AH53" s="254" t="s">
        <v>182</v>
      </c>
      <c r="AI53" s="267">
        <f>'Data Lingkungan_IC'!DL63</f>
        <v>0.1</v>
      </c>
      <c r="AJ53" s="256" t="s">
        <v>183</v>
      </c>
    </row>
    <row r="54" spans="2:36" ht="30" x14ac:dyDescent="0.25">
      <c r="B54" s="253"/>
      <c r="C54" s="254" t="s">
        <v>190</v>
      </c>
      <c r="D54" s="254"/>
      <c r="E54" s="268">
        <f>(E50/E47)</f>
        <v>0.99972222222222218</v>
      </c>
      <c r="F54" s="256" t="s">
        <v>191</v>
      </c>
      <c r="H54" s="253"/>
      <c r="I54" s="254" t="s">
        <v>190</v>
      </c>
      <c r="J54" s="254"/>
      <c r="K54" s="268">
        <f>(K50/K47)</f>
        <v>0.99972222222222218</v>
      </c>
      <c r="L54" s="256" t="s">
        <v>191</v>
      </c>
      <c r="N54" s="253"/>
      <c r="O54" s="254" t="s">
        <v>190</v>
      </c>
      <c r="P54" s="254"/>
      <c r="Q54" s="268">
        <f>(Q50/Q47)</f>
        <v>0.99972222222222218</v>
      </c>
      <c r="R54" s="256" t="s">
        <v>191</v>
      </c>
      <c r="T54" s="253"/>
      <c r="U54" s="254" t="s">
        <v>190</v>
      </c>
      <c r="V54" s="254"/>
      <c r="W54" s="268">
        <f>(W50/W47)</f>
        <v>0.99972222222222218</v>
      </c>
      <c r="X54" s="256" t="s">
        <v>191</v>
      </c>
      <c r="Z54" s="253"/>
      <c r="AA54" s="254" t="s">
        <v>190</v>
      </c>
      <c r="AB54" s="254"/>
      <c r="AC54" s="268">
        <f>(AC50/AC47)</f>
        <v>1</v>
      </c>
      <c r="AD54" s="256" t="s">
        <v>191</v>
      </c>
      <c r="AF54" s="253"/>
      <c r="AG54" s="254" t="s">
        <v>190</v>
      </c>
      <c r="AH54" s="254"/>
      <c r="AI54" s="268">
        <f>(AI50/AI47)</f>
        <v>0.99972222222222218</v>
      </c>
      <c r="AJ54" s="256" t="s">
        <v>191</v>
      </c>
    </row>
    <row r="55" spans="2:36" x14ac:dyDescent="0.25">
      <c r="B55" s="253"/>
      <c r="C55" s="254" t="s">
        <v>193</v>
      </c>
      <c r="D55" s="254"/>
      <c r="E55" s="257"/>
      <c r="F55" s="256"/>
      <c r="H55" s="253"/>
      <c r="I55" s="254" t="s">
        <v>193</v>
      </c>
      <c r="J55" s="254"/>
      <c r="K55" s="257"/>
      <c r="L55" s="256"/>
      <c r="N55" s="253"/>
      <c r="O55" s="254" t="s">
        <v>193</v>
      </c>
      <c r="P55" s="254"/>
      <c r="Q55" s="257"/>
      <c r="R55" s="256"/>
      <c r="T55" s="253"/>
      <c r="U55" s="254" t="s">
        <v>193</v>
      </c>
      <c r="V55" s="254"/>
      <c r="W55" s="257"/>
      <c r="X55" s="256"/>
      <c r="Z55" s="253"/>
      <c r="AA55" s="254" t="s">
        <v>193</v>
      </c>
      <c r="AB55" s="254"/>
      <c r="AC55" s="257"/>
      <c r="AD55" s="256"/>
      <c r="AF55" s="253"/>
      <c r="AG55" s="254" t="s">
        <v>193</v>
      </c>
      <c r="AH55" s="254"/>
      <c r="AI55" s="257"/>
      <c r="AJ55" s="256"/>
    </row>
    <row r="56" spans="2:36" x14ac:dyDescent="0.25">
      <c r="B56" s="253"/>
      <c r="C56" s="254"/>
      <c r="D56" s="254" t="s">
        <v>194</v>
      </c>
      <c r="E56" s="257"/>
      <c r="F56" s="256"/>
      <c r="H56" s="253"/>
      <c r="I56" s="254"/>
      <c r="J56" s="254" t="s">
        <v>194</v>
      </c>
      <c r="K56" s="257"/>
      <c r="L56" s="256"/>
      <c r="N56" s="253"/>
      <c r="O56" s="254"/>
      <c r="P56" s="254" t="s">
        <v>194</v>
      </c>
      <c r="Q56" s="257"/>
      <c r="R56" s="256"/>
      <c r="T56" s="253"/>
      <c r="U56" s="254"/>
      <c r="V56" s="254" t="s">
        <v>194</v>
      </c>
      <c r="W56" s="257"/>
      <c r="X56" s="256"/>
      <c r="Z56" s="253"/>
      <c r="AA56" s="254"/>
      <c r="AB56" s="254" t="s">
        <v>194</v>
      </c>
      <c r="AC56" s="257"/>
      <c r="AD56" s="256"/>
      <c r="AF56" s="253"/>
      <c r="AG56" s="254"/>
      <c r="AH56" s="254" t="s">
        <v>194</v>
      </c>
      <c r="AI56" s="257"/>
      <c r="AJ56" s="256"/>
    </row>
    <row r="57" spans="2:36" x14ac:dyDescent="0.25">
      <c r="B57" s="253"/>
      <c r="C57" s="254"/>
      <c r="D57" s="254" t="s">
        <v>196</v>
      </c>
      <c r="E57" s="257" t="s">
        <v>197</v>
      </c>
      <c r="F57" s="256"/>
      <c r="H57" s="253"/>
      <c r="I57" s="254"/>
      <c r="J57" s="254" t="s">
        <v>196</v>
      </c>
      <c r="K57" s="257" t="s">
        <v>197</v>
      </c>
      <c r="L57" s="256"/>
      <c r="N57" s="253"/>
      <c r="O57" s="254"/>
      <c r="P57" s="254" t="s">
        <v>196</v>
      </c>
      <c r="Q57" s="257" t="s">
        <v>197</v>
      </c>
      <c r="R57" s="256"/>
      <c r="T57" s="253"/>
      <c r="U57" s="254"/>
      <c r="V57" s="254" t="s">
        <v>196</v>
      </c>
      <c r="W57" s="257" t="s">
        <v>197</v>
      </c>
      <c r="X57" s="256"/>
      <c r="Z57" s="253"/>
      <c r="AA57" s="254"/>
      <c r="AB57" s="254" t="s">
        <v>196</v>
      </c>
      <c r="AC57" s="257" t="s">
        <v>197</v>
      </c>
      <c r="AD57" s="256"/>
      <c r="AF57" s="253"/>
      <c r="AG57" s="254"/>
      <c r="AH57" s="254" t="s">
        <v>196</v>
      </c>
      <c r="AI57" s="257" t="s">
        <v>197</v>
      </c>
      <c r="AJ57" s="256"/>
    </row>
    <row r="58" spans="2:36" x14ac:dyDescent="0.25">
      <c r="B58" s="253"/>
      <c r="C58" s="257"/>
      <c r="D58" s="266" t="s">
        <v>198</v>
      </c>
      <c r="E58" s="257">
        <f>Peralatan_IC!J19/1000</f>
        <v>4.8299999999999996E-2</v>
      </c>
      <c r="F58" s="256" t="s">
        <v>199</v>
      </c>
      <c r="H58" s="253"/>
      <c r="I58" s="257"/>
      <c r="J58" s="266" t="s">
        <v>198</v>
      </c>
      <c r="K58" s="257">
        <f>Peralatan_IC!J20/1000</f>
        <v>2.8999999999999998E-3</v>
      </c>
      <c r="L58" s="256" t="s">
        <v>199</v>
      </c>
      <c r="N58" s="253"/>
      <c r="O58" s="257"/>
      <c r="P58" s="266" t="s">
        <v>198</v>
      </c>
      <c r="Q58" s="257">
        <f>Peralatan_IC!J26/1000</f>
        <v>0.6573</v>
      </c>
      <c r="R58" s="256" t="s">
        <v>199</v>
      </c>
      <c r="T58" s="253"/>
      <c r="U58" s="257"/>
      <c r="V58" s="266" t="s">
        <v>198</v>
      </c>
      <c r="W58" s="257">
        <v>4.0599999999999997E-2</v>
      </c>
      <c r="X58" s="256" t="s">
        <v>199</v>
      </c>
      <c r="Z58" s="253"/>
      <c r="AA58" s="257"/>
      <c r="AB58" s="266" t="s">
        <v>198</v>
      </c>
      <c r="AC58" s="257">
        <f>Peralatan_IC!J40/1000</f>
        <v>8.1099999999999992E-2</v>
      </c>
      <c r="AD58" s="256" t="s">
        <v>199</v>
      </c>
      <c r="AF58" s="253"/>
      <c r="AG58" s="257"/>
      <c r="AH58" s="266" t="s">
        <v>198</v>
      </c>
      <c r="AI58" s="257">
        <f>Peralatan_IC!J61/1000</f>
        <v>7.8799999999999995E-2</v>
      </c>
      <c r="AJ58" s="256" t="s">
        <v>199</v>
      </c>
    </row>
    <row r="59" spans="2:36" x14ac:dyDescent="0.25">
      <c r="B59" s="253"/>
      <c r="C59" s="257"/>
      <c r="D59" s="266" t="s">
        <v>201</v>
      </c>
      <c r="E59" s="257">
        <f>'Data Lingkungan_IC'!AQ64/60</f>
        <v>3.9999999999999991</v>
      </c>
      <c r="F59" s="256" t="s">
        <v>202</v>
      </c>
      <c r="H59" s="253"/>
      <c r="I59" s="257"/>
      <c r="J59" s="266" t="s">
        <v>201</v>
      </c>
      <c r="K59" s="257">
        <f>'Data Lingkungan_IC'!AQ65/60</f>
        <v>0</v>
      </c>
      <c r="L59" s="256" t="s">
        <v>202</v>
      </c>
      <c r="N59" s="253"/>
      <c r="O59" s="257"/>
      <c r="P59" s="266" t="s">
        <v>201</v>
      </c>
      <c r="Q59" s="257">
        <f>'Data Lingkungan_IC'!AZ64/60</f>
        <v>3</v>
      </c>
      <c r="R59" s="256" t="s">
        <v>202</v>
      </c>
      <c r="T59" s="253"/>
      <c r="U59" s="257"/>
      <c r="V59" s="266" t="s">
        <v>201</v>
      </c>
      <c r="W59" s="257">
        <f>'Data Lingkungan_IC'!AQ63</f>
        <v>719.99999999999989</v>
      </c>
      <c r="X59" s="256" t="s">
        <v>202</v>
      </c>
      <c r="Z59" s="253"/>
      <c r="AA59" s="257"/>
      <c r="AB59" s="266" t="s">
        <v>201</v>
      </c>
      <c r="AC59" s="257">
        <f>'Data Lingkungan_IC'!BR64/60</f>
        <v>0</v>
      </c>
      <c r="AD59" s="256" t="s">
        <v>202</v>
      </c>
      <c r="AF59" s="253"/>
      <c r="AG59" s="257"/>
      <c r="AH59" s="266" t="s">
        <v>201</v>
      </c>
      <c r="AI59" s="257">
        <f>'Data Lingkungan_IC'!DK63/60</f>
        <v>24</v>
      </c>
      <c r="AJ59" s="256" t="s">
        <v>202</v>
      </c>
    </row>
    <row r="60" spans="2:36" x14ac:dyDescent="0.25">
      <c r="B60" s="253"/>
      <c r="C60" s="257"/>
      <c r="D60" s="266" t="s">
        <v>204</v>
      </c>
      <c r="E60" s="270">
        <f>E59*E58</f>
        <v>0.19319999999999993</v>
      </c>
      <c r="F60" s="256"/>
      <c r="H60" s="275"/>
      <c r="I60" s="276"/>
      <c r="J60" s="266" t="s">
        <v>204</v>
      </c>
      <c r="K60" s="270">
        <f>K59*K58</f>
        <v>0</v>
      </c>
      <c r="L60" s="256"/>
      <c r="N60" s="275"/>
      <c r="O60" s="276"/>
      <c r="P60" s="266" t="s">
        <v>204</v>
      </c>
      <c r="Q60" s="270">
        <f>Q59*Q58</f>
        <v>1.9719</v>
      </c>
      <c r="R60" s="256"/>
      <c r="T60" s="275"/>
      <c r="U60" s="276"/>
      <c r="V60" s="266" t="s">
        <v>204</v>
      </c>
      <c r="W60" s="270">
        <f>W59*W58</f>
        <v>29.231999999999992</v>
      </c>
      <c r="X60" s="256"/>
      <c r="Z60" s="275"/>
      <c r="AA60" s="276"/>
      <c r="AB60" s="266" t="s">
        <v>204</v>
      </c>
      <c r="AC60" s="270">
        <f>AC59*AC58</f>
        <v>0</v>
      </c>
      <c r="AD60" s="256"/>
      <c r="AF60" s="275"/>
      <c r="AG60" s="276"/>
      <c r="AH60" s="266" t="s">
        <v>204</v>
      </c>
      <c r="AI60" s="270">
        <f>AI59*AI58</f>
        <v>1.8912</v>
      </c>
      <c r="AJ60" s="256"/>
    </row>
    <row r="61" spans="2:36" ht="30" x14ac:dyDescent="0.25">
      <c r="B61" s="253"/>
      <c r="C61" s="257"/>
      <c r="D61" s="266" t="s">
        <v>185</v>
      </c>
      <c r="E61" s="257">
        <v>0</v>
      </c>
      <c r="F61" s="256" t="s">
        <v>206</v>
      </c>
      <c r="H61" s="275"/>
      <c r="I61" s="276"/>
      <c r="J61" s="266" t="s">
        <v>185</v>
      </c>
      <c r="K61" s="257">
        <v>0</v>
      </c>
      <c r="L61" s="256" t="s">
        <v>206</v>
      </c>
      <c r="N61" s="275"/>
      <c r="O61" s="276"/>
      <c r="P61" s="266" t="s">
        <v>185</v>
      </c>
      <c r="Q61" s="257">
        <v>0</v>
      </c>
      <c r="R61" s="256" t="s">
        <v>206</v>
      </c>
      <c r="T61" s="275"/>
      <c r="U61" s="276"/>
      <c r="V61" s="266" t="s">
        <v>185</v>
      </c>
      <c r="W61" s="257">
        <v>0</v>
      </c>
      <c r="X61" s="256" t="s">
        <v>206</v>
      </c>
      <c r="Z61" s="275"/>
      <c r="AA61" s="276"/>
      <c r="AB61" s="266" t="s">
        <v>185</v>
      </c>
      <c r="AC61" s="257">
        <v>0</v>
      </c>
      <c r="AD61" s="256" t="s">
        <v>206</v>
      </c>
      <c r="AF61" s="275"/>
      <c r="AG61" s="276"/>
      <c r="AH61" s="266" t="s">
        <v>185</v>
      </c>
      <c r="AI61" s="257">
        <v>0</v>
      </c>
      <c r="AJ61" s="256" t="s">
        <v>206</v>
      </c>
    </row>
    <row r="62" spans="2:36" x14ac:dyDescent="0.25">
      <c r="B62" s="253"/>
      <c r="C62" s="257"/>
      <c r="D62" s="266" t="s">
        <v>208</v>
      </c>
      <c r="E62" s="257">
        <v>0</v>
      </c>
      <c r="F62" s="256" t="s">
        <v>209</v>
      </c>
      <c r="H62" s="275"/>
      <c r="I62" s="276"/>
      <c r="J62" s="266" t="s">
        <v>208</v>
      </c>
      <c r="K62" s="257">
        <v>0</v>
      </c>
      <c r="L62" s="256" t="s">
        <v>209</v>
      </c>
      <c r="N62" s="275"/>
      <c r="O62" s="276"/>
      <c r="P62" s="266" t="s">
        <v>208</v>
      </c>
      <c r="Q62" s="257">
        <v>0</v>
      </c>
      <c r="R62" s="256" t="s">
        <v>209</v>
      </c>
      <c r="T62" s="275"/>
      <c r="U62" s="276"/>
      <c r="V62" s="266" t="s">
        <v>208</v>
      </c>
      <c r="W62" s="257">
        <v>0</v>
      </c>
      <c r="X62" s="256" t="s">
        <v>209</v>
      </c>
      <c r="Z62" s="275"/>
      <c r="AA62" s="276"/>
      <c r="AB62" s="266" t="s">
        <v>208</v>
      </c>
      <c r="AC62" s="257">
        <v>0</v>
      </c>
      <c r="AD62" s="256" t="s">
        <v>209</v>
      </c>
      <c r="AF62" s="275"/>
      <c r="AG62" s="276"/>
      <c r="AH62" s="266" t="s">
        <v>208</v>
      </c>
      <c r="AI62" s="257">
        <v>0</v>
      </c>
      <c r="AJ62" s="256" t="s">
        <v>209</v>
      </c>
    </row>
    <row r="63" spans="2:36" ht="15.75" thickBot="1" x14ac:dyDescent="0.3">
      <c r="B63" s="271"/>
      <c r="C63" s="272"/>
      <c r="D63" s="273"/>
      <c r="E63" s="272"/>
      <c r="F63" s="274"/>
      <c r="H63" s="271"/>
      <c r="I63" s="272"/>
      <c r="J63" s="273"/>
      <c r="K63" s="272"/>
      <c r="L63" s="274"/>
      <c r="N63" s="271"/>
      <c r="O63" s="272"/>
      <c r="P63" s="273"/>
      <c r="Q63" s="272"/>
      <c r="R63" s="274"/>
      <c r="T63" s="271"/>
      <c r="U63" s="272"/>
      <c r="V63" s="273"/>
      <c r="W63" s="272"/>
      <c r="X63" s="274"/>
      <c r="Z63" s="271"/>
      <c r="AA63" s="272"/>
      <c r="AB63" s="273"/>
      <c r="AC63" s="272"/>
      <c r="AD63" s="274"/>
      <c r="AF63" s="271"/>
      <c r="AG63" s="272"/>
      <c r="AH63" s="273"/>
      <c r="AI63" s="272"/>
      <c r="AJ63" s="274"/>
    </row>
    <row r="64" spans="2:36" ht="6" customHeight="1" x14ac:dyDescent="0.25"/>
    <row r="65" spans="2:36" ht="15.75" thickBot="1" x14ac:dyDescent="0.3"/>
    <row r="66" spans="2:36" x14ac:dyDescent="0.25">
      <c r="B66" s="428" t="s">
        <v>211</v>
      </c>
      <c r="C66" s="429"/>
      <c r="D66" s="429"/>
      <c r="E66" s="429"/>
      <c r="F66" s="430"/>
      <c r="H66" s="428" t="s">
        <v>211</v>
      </c>
      <c r="I66" s="429"/>
      <c r="J66" s="429"/>
      <c r="K66" s="429"/>
      <c r="L66" s="430"/>
      <c r="N66" s="428" t="s">
        <v>211</v>
      </c>
      <c r="O66" s="429"/>
      <c r="P66" s="429"/>
      <c r="Q66" s="429"/>
      <c r="R66" s="430"/>
      <c r="T66" s="428" t="s">
        <v>211</v>
      </c>
      <c r="U66" s="429"/>
      <c r="V66" s="429"/>
      <c r="W66" s="429"/>
      <c r="X66" s="430"/>
      <c r="Z66" s="428" t="s">
        <v>211</v>
      </c>
      <c r="AA66" s="429"/>
      <c r="AB66" s="429"/>
      <c r="AC66" s="429"/>
      <c r="AD66" s="430"/>
      <c r="AF66" s="428" t="s">
        <v>211</v>
      </c>
      <c r="AG66" s="429"/>
      <c r="AH66" s="429"/>
      <c r="AI66" s="429"/>
      <c r="AJ66" s="430"/>
    </row>
    <row r="67" spans="2:36" ht="15.75" thickBot="1" x14ac:dyDescent="0.3">
      <c r="B67" s="434" t="s">
        <v>153</v>
      </c>
      <c r="C67" s="435"/>
      <c r="D67" s="435"/>
      <c r="E67" s="435"/>
      <c r="F67" s="436"/>
      <c r="H67" s="434" t="s">
        <v>153</v>
      </c>
      <c r="I67" s="435"/>
      <c r="J67" s="435"/>
      <c r="K67" s="435"/>
      <c r="L67" s="436"/>
      <c r="N67" s="434" t="s">
        <v>153</v>
      </c>
      <c r="O67" s="435"/>
      <c r="P67" s="435"/>
      <c r="Q67" s="435"/>
      <c r="R67" s="436"/>
      <c r="T67" s="434" t="s">
        <v>153</v>
      </c>
      <c r="U67" s="435"/>
      <c r="V67" s="435"/>
      <c r="W67" s="435"/>
      <c r="X67" s="436"/>
      <c r="Z67" s="434" t="s">
        <v>153</v>
      </c>
      <c r="AA67" s="435"/>
      <c r="AB67" s="435"/>
      <c r="AC67" s="435"/>
      <c r="AD67" s="436"/>
      <c r="AF67" s="434" t="s">
        <v>153</v>
      </c>
      <c r="AG67" s="435"/>
      <c r="AH67" s="435"/>
      <c r="AI67" s="435"/>
      <c r="AJ67" s="436"/>
    </row>
    <row r="68" spans="2:36" x14ac:dyDescent="0.25">
      <c r="B68" s="416" t="s">
        <v>154</v>
      </c>
      <c r="C68" s="417"/>
      <c r="D68" s="417"/>
      <c r="E68" s="417"/>
      <c r="F68" s="418"/>
      <c r="H68" s="416" t="s">
        <v>154</v>
      </c>
      <c r="I68" s="417"/>
      <c r="J68" s="417"/>
      <c r="K68" s="417"/>
      <c r="L68" s="418"/>
      <c r="N68" s="416" t="s">
        <v>154</v>
      </c>
      <c r="O68" s="417"/>
      <c r="P68" s="417"/>
      <c r="Q68" s="417"/>
      <c r="R68" s="418"/>
      <c r="T68" s="416" t="s">
        <v>154</v>
      </c>
      <c r="U68" s="417"/>
      <c r="V68" s="417"/>
      <c r="W68" s="417"/>
      <c r="X68" s="418"/>
      <c r="Z68" s="416" t="s">
        <v>154</v>
      </c>
      <c r="AA68" s="417"/>
      <c r="AB68" s="417"/>
      <c r="AC68" s="417"/>
      <c r="AD68" s="418"/>
      <c r="AF68" s="416" t="s">
        <v>154</v>
      </c>
      <c r="AG68" s="417"/>
      <c r="AH68" s="417"/>
      <c r="AI68" s="417"/>
      <c r="AJ68" s="418"/>
    </row>
    <row r="69" spans="2:36" ht="15.75" thickBot="1" x14ac:dyDescent="0.3">
      <c r="B69" s="419" t="s">
        <v>155</v>
      </c>
      <c r="C69" s="420"/>
      <c r="D69" s="421"/>
      <c r="E69" s="422"/>
      <c r="F69" s="423"/>
      <c r="H69" s="419" t="s">
        <v>155</v>
      </c>
      <c r="I69" s="420"/>
      <c r="J69" s="421"/>
      <c r="K69" s="422"/>
      <c r="L69" s="423"/>
      <c r="N69" s="419" t="s">
        <v>155</v>
      </c>
      <c r="O69" s="420"/>
      <c r="P69" s="421"/>
      <c r="Q69" s="422"/>
      <c r="R69" s="423"/>
      <c r="T69" s="419" t="s">
        <v>155</v>
      </c>
      <c r="U69" s="420"/>
      <c r="V69" s="421"/>
      <c r="W69" s="422"/>
      <c r="X69" s="423"/>
      <c r="Z69" s="419" t="s">
        <v>155</v>
      </c>
      <c r="AA69" s="420"/>
      <c r="AB69" s="421"/>
      <c r="AC69" s="422"/>
      <c r="AD69" s="423"/>
      <c r="AF69" s="419" t="s">
        <v>155</v>
      </c>
      <c r="AG69" s="420"/>
      <c r="AH69" s="421"/>
      <c r="AI69" s="422"/>
      <c r="AJ69" s="423"/>
    </row>
    <row r="70" spans="2:36" ht="15.75" thickBot="1" x14ac:dyDescent="0.3">
      <c r="B70" s="250" t="s">
        <v>108</v>
      </c>
      <c r="C70" s="251" t="s">
        <v>156</v>
      </c>
      <c r="D70" s="251" t="s">
        <v>157</v>
      </c>
      <c r="E70" s="251" t="s">
        <v>158</v>
      </c>
      <c r="F70" s="252" t="s">
        <v>159</v>
      </c>
      <c r="H70" s="250" t="s">
        <v>108</v>
      </c>
      <c r="I70" s="251" t="s">
        <v>156</v>
      </c>
      <c r="J70" s="251" t="s">
        <v>157</v>
      </c>
      <c r="K70" s="251" t="s">
        <v>158</v>
      </c>
      <c r="L70" s="252" t="s">
        <v>159</v>
      </c>
      <c r="N70" s="250" t="s">
        <v>108</v>
      </c>
      <c r="O70" s="251" t="s">
        <v>156</v>
      </c>
      <c r="P70" s="251" t="s">
        <v>157</v>
      </c>
      <c r="Q70" s="251" t="s">
        <v>158</v>
      </c>
      <c r="R70" s="252" t="s">
        <v>159</v>
      </c>
      <c r="T70" s="250" t="s">
        <v>108</v>
      </c>
      <c r="U70" s="251" t="s">
        <v>156</v>
      </c>
      <c r="V70" s="251" t="s">
        <v>157</v>
      </c>
      <c r="W70" s="251" t="s">
        <v>158</v>
      </c>
      <c r="X70" s="252" t="s">
        <v>159</v>
      </c>
      <c r="Z70" s="250" t="s">
        <v>108</v>
      </c>
      <c r="AA70" s="251" t="s">
        <v>156</v>
      </c>
      <c r="AB70" s="251" t="s">
        <v>157</v>
      </c>
      <c r="AC70" s="251" t="s">
        <v>158</v>
      </c>
      <c r="AD70" s="252" t="s">
        <v>159</v>
      </c>
      <c r="AF70" s="250" t="s">
        <v>108</v>
      </c>
      <c r="AG70" s="251" t="s">
        <v>156</v>
      </c>
      <c r="AH70" s="251" t="s">
        <v>157</v>
      </c>
      <c r="AI70" s="251" t="s">
        <v>158</v>
      </c>
      <c r="AJ70" s="252" t="s">
        <v>159</v>
      </c>
    </row>
    <row r="71" spans="2:36" x14ac:dyDescent="0.25">
      <c r="B71" s="424" t="s">
        <v>160</v>
      </c>
      <c r="C71" s="425"/>
      <c r="D71" s="425"/>
      <c r="E71" s="425"/>
      <c r="F71" s="426"/>
      <c r="H71" s="424" t="s">
        <v>160</v>
      </c>
      <c r="I71" s="425"/>
      <c r="J71" s="425"/>
      <c r="K71" s="425"/>
      <c r="L71" s="426"/>
      <c r="N71" s="424" t="s">
        <v>160</v>
      </c>
      <c r="O71" s="425"/>
      <c r="P71" s="425"/>
      <c r="Q71" s="425"/>
      <c r="R71" s="426"/>
      <c r="T71" s="424" t="s">
        <v>160</v>
      </c>
      <c r="U71" s="425"/>
      <c r="V71" s="425"/>
      <c r="W71" s="425"/>
      <c r="X71" s="426"/>
      <c r="Z71" s="424" t="s">
        <v>160</v>
      </c>
      <c r="AA71" s="425"/>
      <c r="AB71" s="425"/>
      <c r="AC71" s="425"/>
      <c r="AD71" s="426"/>
      <c r="AF71" s="424" t="s">
        <v>160</v>
      </c>
      <c r="AG71" s="425"/>
      <c r="AH71" s="425"/>
      <c r="AI71" s="425"/>
      <c r="AJ71" s="426"/>
    </row>
    <row r="72" spans="2:36" x14ac:dyDescent="0.25">
      <c r="B72" s="253"/>
      <c r="C72" s="254" t="s">
        <v>161</v>
      </c>
      <c r="D72" s="254"/>
      <c r="E72" s="257" t="s">
        <v>221</v>
      </c>
      <c r="F72" s="256"/>
      <c r="H72" s="253"/>
      <c r="I72" s="254" t="s">
        <v>161</v>
      </c>
      <c r="J72" s="254"/>
      <c r="K72" s="255" t="s">
        <v>121</v>
      </c>
      <c r="L72" s="256"/>
      <c r="N72" s="253"/>
      <c r="O72" s="254" t="s">
        <v>161</v>
      </c>
      <c r="P72" s="254"/>
      <c r="Q72" s="257" t="s">
        <v>222</v>
      </c>
      <c r="R72" s="256"/>
      <c r="T72" s="253"/>
      <c r="U72" s="254" t="s">
        <v>161</v>
      </c>
      <c r="V72" s="254"/>
      <c r="W72" s="257" t="s">
        <v>212</v>
      </c>
      <c r="X72" s="256"/>
      <c r="Z72" s="253"/>
      <c r="AA72" s="254" t="s">
        <v>161</v>
      </c>
      <c r="AB72" s="254"/>
      <c r="AC72" s="257" t="s">
        <v>145</v>
      </c>
      <c r="AD72" s="256"/>
      <c r="AF72" s="253"/>
      <c r="AG72" s="254" t="s">
        <v>161</v>
      </c>
      <c r="AH72" s="254"/>
      <c r="AI72" s="257" t="s">
        <v>214</v>
      </c>
      <c r="AJ72" s="256"/>
    </row>
    <row r="73" spans="2:36" x14ac:dyDescent="0.25">
      <c r="B73" s="253"/>
      <c r="C73" s="254" t="s">
        <v>162</v>
      </c>
      <c r="D73" s="254"/>
      <c r="E73" s="257" t="s">
        <v>223</v>
      </c>
      <c r="F73" s="256"/>
      <c r="H73" s="253"/>
      <c r="I73" s="254" t="s">
        <v>162</v>
      </c>
      <c r="J73" s="254"/>
      <c r="K73" s="257" t="s">
        <v>224</v>
      </c>
      <c r="L73" s="256"/>
      <c r="N73" s="253"/>
      <c r="O73" s="254" t="s">
        <v>162</v>
      </c>
      <c r="P73" s="254"/>
      <c r="Q73" s="257" t="s">
        <v>225</v>
      </c>
      <c r="R73" s="256"/>
      <c r="T73" s="253"/>
      <c r="U73" s="254" t="s">
        <v>162</v>
      </c>
      <c r="V73" s="254"/>
      <c r="W73" s="257" t="s">
        <v>226</v>
      </c>
      <c r="X73" s="256"/>
      <c r="Z73" s="253"/>
      <c r="AA73" s="254" t="s">
        <v>162</v>
      </c>
      <c r="AB73" s="254"/>
      <c r="AC73" s="257" t="s">
        <v>227</v>
      </c>
      <c r="AD73" s="256"/>
      <c r="AF73" s="253"/>
      <c r="AG73" s="254" t="s">
        <v>162</v>
      </c>
      <c r="AH73" s="254"/>
      <c r="AI73" s="257" t="s">
        <v>228</v>
      </c>
      <c r="AJ73" s="256"/>
    </row>
    <row r="74" spans="2:36" x14ac:dyDescent="0.25">
      <c r="B74" s="253"/>
      <c r="C74" s="254" t="s">
        <v>165</v>
      </c>
      <c r="D74" s="254"/>
      <c r="E74" s="257"/>
      <c r="F74" s="256"/>
      <c r="H74" s="253"/>
      <c r="I74" s="254" t="s">
        <v>165</v>
      </c>
      <c r="J74" s="254"/>
      <c r="K74" s="257"/>
      <c r="L74" s="256"/>
      <c r="N74" s="253"/>
      <c r="O74" s="254" t="s">
        <v>165</v>
      </c>
      <c r="P74" s="254"/>
      <c r="Q74" s="257"/>
      <c r="R74" s="256"/>
      <c r="T74" s="253"/>
      <c r="U74" s="254" t="s">
        <v>165</v>
      </c>
      <c r="V74" s="254"/>
      <c r="W74" s="257"/>
      <c r="X74" s="256"/>
      <c r="Z74" s="253"/>
      <c r="AA74" s="254" t="s">
        <v>165</v>
      </c>
      <c r="AB74" s="254"/>
      <c r="AC74" s="257"/>
      <c r="AD74" s="256"/>
      <c r="AF74" s="253"/>
      <c r="AG74" s="254" t="s">
        <v>165</v>
      </c>
      <c r="AH74" s="254"/>
      <c r="AI74" s="257"/>
      <c r="AJ74" s="256"/>
    </row>
    <row r="75" spans="2:36" x14ac:dyDescent="0.25">
      <c r="B75" s="253"/>
      <c r="C75" s="254"/>
      <c r="D75" s="254" t="s">
        <v>166</v>
      </c>
      <c r="E75" s="257"/>
      <c r="F75" s="256"/>
      <c r="H75" s="253"/>
      <c r="I75" s="254"/>
      <c r="J75" s="254" t="s">
        <v>166</v>
      </c>
      <c r="K75" s="257"/>
      <c r="L75" s="256"/>
      <c r="N75" s="253"/>
      <c r="O75" s="254"/>
      <c r="P75" s="254" t="s">
        <v>166</v>
      </c>
      <c r="Q75" s="257"/>
      <c r="R75" s="256"/>
      <c r="T75" s="253"/>
      <c r="U75" s="254"/>
      <c r="V75" s="254" t="s">
        <v>166</v>
      </c>
      <c r="W75" s="257"/>
      <c r="X75" s="256"/>
      <c r="Z75" s="253"/>
      <c r="AA75" s="254"/>
      <c r="AB75" s="254" t="s">
        <v>166</v>
      </c>
      <c r="AC75" s="257"/>
      <c r="AD75" s="256"/>
      <c r="AF75" s="253"/>
      <c r="AG75" s="254"/>
      <c r="AH75" s="254" t="s">
        <v>166</v>
      </c>
      <c r="AI75" s="257"/>
      <c r="AJ75" s="256"/>
    </row>
    <row r="76" spans="2:36" x14ac:dyDescent="0.25">
      <c r="B76" s="253"/>
      <c r="C76" s="254"/>
      <c r="D76" s="254" t="s">
        <v>167</v>
      </c>
      <c r="E76" s="257"/>
      <c r="F76" s="256" t="s">
        <v>168</v>
      </c>
      <c r="H76" s="253"/>
      <c r="I76" s="254"/>
      <c r="J76" s="254" t="s">
        <v>167</v>
      </c>
      <c r="K76" s="257"/>
      <c r="L76" s="256" t="s">
        <v>168</v>
      </c>
      <c r="N76" s="253"/>
      <c r="O76" s="254"/>
      <c r="P76" s="254" t="s">
        <v>167</v>
      </c>
      <c r="Q76" s="257"/>
      <c r="R76" s="256" t="s">
        <v>168</v>
      </c>
      <c r="T76" s="253"/>
      <c r="U76" s="254"/>
      <c r="V76" s="254" t="s">
        <v>167</v>
      </c>
      <c r="W76" s="257"/>
      <c r="X76" s="256" t="s">
        <v>168</v>
      </c>
      <c r="Z76" s="253"/>
      <c r="AA76" s="254"/>
      <c r="AB76" s="254" t="s">
        <v>167</v>
      </c>
      <c r="AC76" s="257"/>
      <c r="AD76" s="256" t="s">
        <v>168</v>
      </c>
      <c r="AF76" s="253"/>
      <c r="AG76" s="254"/>
      <c r="AH76" s="254" t="s">
        <v>167</v>
      </c>
      <c r="AI76" s="257"/>
      <c r="AJ76" s="256" t="s">
        <v>168</v>
      </c>
    </row>
    <row r="77" spans="2:36" x14ac:dyDescent="0.25">
      <c r="B77" s="253"/>
      <c r="C77" s="254" t="s">
        <v>169</v>
      </c>
      <c r="D77" s="254"/>
      <c r="E77" s="259"/>
      <c r="F77" s="256" t="s">
        <v>170</v>
      </c>
      <c r="H77" s="253"/>
      <c r="I77" s="254" t="s">
        <v>169</v>
      </c>
      <c r="J77" s="254"/>
      <c r="K77" s="259"/>
      <c r="L77" s="256" t="s">
        <v>170</v>
      </c>
      <c r="N77" s="253"/>
      <c r="O77" s="254" t="s">
        <v>169</v>
      </c>
      <c r="P77" s="254"/>
      <c r="Q77" s="259"/>
      <c r="R77" s="256" t="s">
        <v>170</v>
      </c>
      <c r="T77" s="253"/>
      <c r="U77" s="254" t="s">
        <v>169</v>
      </c>
      <c r="V77" s="254"/>
      <c r="W77" s="259"/>
      <c r="X77" s="256" t="s">
        <v>170</v>
      </c>
      <c r="Z77" s="253"/>
      <c r="AA77" s="254" t="s">
        <v>169</v>
      </c>
      <c r="AB77" s="254"/>
      <c r="AC77" s="259"/>
      <c r="AD77" s="256" t="s">
        <v>170</v>
      </c>
      <c r="AF77" s="253"/>
      <c r="AG77" s="254" t="s">
        <v>169</v>
      </c>
      <c r="AH77" s="254"/>
      <c r="AI77" s="259"/>
      <c r="AJ77" s="256" t="s">
        <v>170</v>
      </c>
    </row>
    <row r="78" spans="2:36" x14ac:dyDescent="0.25">
      <c r="B78" s="253"/>
      <c r="C78" s="254" t="s">
        <v>172</v>
      </c>
      <c r="D78" s="254"/>
      <c r="E78" s="257">
        <f>5*12*30</f>
        <v>1800</v>
      </c>
      <c r="F78" s="256" t="s">
        <v>173</v>
      </c>
      <c r="H78" s="253"/>
      <c r="I78" s="254" t="s">
        <v>172</v>
      </c>
      <c r="J78" s="254"/>
      <c r="K78" s="257">
        <f>5*12*30</f>
        <v>1800</v>
      </c>
      <c r="L78" s="256" t="s">
        <v>173</v>
      </c>
      <c r="N78" s="253"/>
      <c r="O78" s="254" t="s">
        <v>172</v>
      </c>
      <c r="P78" s="254"/>
      <c r="Q78" s="257">
        <f>5*12*30</f>
        <v>1800</v>
      </c>
      <c r="R78" s="256" t="s">
        <v>173</v>
      </c>
      <c r="T78" s="253"/>
      <c r="U78" s="254" t="s">
        <v>172</v>
      </c>
      <c r="V78" s="254"/>
      <c r="W78" s="257">
        <f>5*12*30</f>
        <v>1800</v>
      </c>
      <c r="X78" s="256" t="s">
        <v>173</v>
      </c>
      <c r="Z78" s="253"/>
      <c r="AA78" s="254" t="s">
        <v>172</v>
      </c>
      <c r="AB78" s="254"/>
      <c r="AC78" s="257">
        <f>5*12*30</f>
        <v>1800</v>
      </c>
      <c r="AD78" s="256" t="s">
        <v>173</v>
      </c>
      <c r="AF78" s="253"/>
      <c r="AG78" s="254" t="s">
        <v>172</v>
      </c>
      <c r="AH78" s="254"/>
      <c r="AI78" s="257">
        <f>5*12*30</f>
        <v>1800</v>
      </c>
      <c r="AJ78" s="256" t="s">
        <v>173</v>
      </c>
    </row>
    <row r="79" spans="2:36" x14ac:dyDescent="0.25">
      <c r="B79" s="260"/>
      <c r="C79" s="261" t="s">
        <v>175</v>
      </c>
      <c r="D79" s="261"/>
      <c r="E79" s="262" t="str">
        <f>'Data Lingkungan_IC'!AO66</f>
        <v>off</v>
      </c>
      <c r="F79" s="263"/>
      <c r="H79" s="260"/>
      <c r="I79" s="261" t="s">
        <v>175</v>
      </c>
      <c r="J79" s="261"/>
      <c r="K79" s="262" t="s">
        <v>229</v>
      </c>
      <c r="L79" s="263"/>
      <c r="N79" s="260"/>
      <c r="O79" s="261" t="s">
        <v>175</v>
      </c>
      <c r="P79" s="261"/>
      <c r="Q79" s="262" t="str">
        <f>'Data Lingkungan_IC'!CQ62</f>
        <v>off</v>
      </c>
      <c r="R79" s="263"/>
      <c r="T79" s="260"/>
      <c r="U79" s="261" t="s">
        <v>175</v>
      </c>
      <c r="V79" s="261"/>
      <c r="W79" s="262" t="str">
        <f>'Data Lingkungan_IC'!AX64</f>
        <v>on</v>
      </c>
      <c r="X79" s="263"/>
      <c r="Z79" s="260"/>
      <c r="AA79" s="261" t="s">
        <v>175</v>
      </c>
      <c r="AB79" s="261"/>
      <c r="AC79" s="262" t="str">
        <f>'Data Lingkungan_IC'!CZ62</f>
        <v>off</v>
      </c>
      <c r="AD79" s="263"/>
      <c r="AF79" s="260"/>
      <c r="AG79" s="261" t="s">
        <v>175</v>
      </c>
      <c r="AH79" s="261"/>
      <c r="AI79" s="262" t="str">
        <f>'Data Lingkungan_IC'!CZ64</f>
        <v>on</v>
      </c>
      <c r="AJ79" s="263"/>
    </row>
    <row r="80" spans="2:36" x14ac:dyDescent="0.25">
      <c r="B80" s="253"/>
      <c r="C80" s="254" t="s">
        <v>177</v>
      </c>
      <c r="D80" s="254"/>
      <c r="E80" s="257">
        <v>0</v>
      </c>
      <c r="F80" s="256" t="s">
        <v>173</v>
      </c>
      <c r="H80" s="253"/>
      <c r="I80" s="254" t="s">
        <v>177</v>
      </c>
      <c r="J80" s="254"/>
      <c r="K80" s="257">
        <v>0</v>
      </c>
      <c r="L80" s="256" t="s">
        <v>173</v>
      </c>
      <c r="N80" s="253"/>
      <c r="O80" s="254" t="s">
        <v>177</v>
      </c>
      <c r="P80" s="254"/>
      <c r="Q80" s="257">
        <v>0</v>
      </c>
      <c r="R80" s="256" t="s">
        <v>173</v>
      </c>
      <c r="T80" s="253"/>
      <c r="U80" s="254" t="s">
        <v>177</v>
      </c>
      <c r="V80" s="254"/>
      <c r="W80" s="257">
        <v>0</v>
      </c>
      <c r="X80" s="256" t="s">
        <v>173</v>
      </c>
      <c r="Z80" s="253"/>
      <c r="AA80" s="254" t="s">
        <v>177</v>
      </c>
      <c r="AB80" s="254"/>
      <c r="AC80" s="257">
        <v>0</v>
      </c>
      <c r="AD80" s="256" t="s">
        <v>173</v>
      </c>
      <c r="AF80" s="253"/>
      <c r="AG80" s="254" t="s">
        <v>177</v>
      </c>
      <c r="AH80" s="254"/>
      <c r="AI80" s="257">
        <v>0</v>
      </c>
      <c r="AJ80" s="256" t="s">
        <v>173</v>
      </c>
    </row>
    <row r="81" spans="2:36" x14ac:dyDescent="0.25">
      <c r="B81" s="253"/>
      <c r="C81" s="254" t="s">
        <v>179</v>
      </c>
      <c r="D81" s="254"/>
      <c r="E81" s="264">
        <f>E78-E80-(E82+E84)/2*10</f>
        <v>1799.5</v>
      </c>
      <c r="F81" s="256" t="s">
        <v>173</v>
      </c>
      <c r="H81" s="253"/>
      <c r="I81" s="254" t="s">
        <v>179</v>
      </c>
      <c r="J81" s="254"/>
      <c r="K81" s="264">
        <f>K78-K80-(K82+K84)/2*10</f>
        <v>1800</v>
      </c>
      <c r="L81" s="256" t="s">
        <v>173</v>
      </c>
      <c r="N81" s="253"/>
      <c r="O81" s="254" t="s">
        <v>179</v>
      </c>
      <c r="P81" s="254"/>
      <c r="Q81" s="264">
        <f>Q78-Q80-(Q82+Q84)/2*10</f>
        <v>1799.5</v>
      </c>
      <c r="R81" s="256" t="s">
        <v>173</v>
      </c>
      <c r="T81" s="253"/>
      <c r="U81" s="254" t="s">
        <v>179</v>
      </c>
      <c r="V81" s="254"/>
      <c r="W81" s="264">
        <f>W78-W80-(W82+W84)/2*10</f>
        <v>1799.5</v>
      </c>
      <c r="X81" s="256" t="s">
        <v>173</v>
      </c>
      <c r="Z81" s="253"/>
      <c r="AA81" s="254" t="s">
        <v>179</v>
      </c>
      <c r="AB81" s="254"/>
      <c r="AC81" s="264">
        <f>AC78-AC80-(AC82+AC84)/2*10</f>
        <v>1799.5</v>
      </c>
      <c r="AD81" s="256" t="s">
        <v>173</v>
      </c>
      <c r="AF81" s="253"/>
      <c r="AG81" s="254" t="s">
        <v>179</v>
      </c>
      <c r="AH81" s="254"/>
      <c r="AI81" s="264">
        <f>AI78-AI80-(AI82+AI84)/2*10</f>
        <v>1799.5</v>
      </c>
      <c r="AJ81" s="256" t="s">
        <v>173</v>
      </c>
    </row>
    <row r="82" spans="2:36" x14ac:dyDescent="0.25">
      <c r="B82" s="253"/>
      <c r="C82" s="254" t="s">
        <v>181</v>
      </c>
      <c r="D82" s="254" t="s">
        <v>182</v>
      </c>
      <c r="E82" s="265">
        <f>((E80/E78)*10-E83)</f>
        <v>0</v>
      </c>
      <c r="F82" s="256" t="s">
        <v>183</v>
      </c>
      <c r="H82" s="253"/>
      <c r="I82" s="254" t="s">
        <v>181</v>
      </c>
      <c r="J82" s="254" t="s">
        <v>182</v>
      </c>
      <c r="K82" s="265">
        <f>((K80/K78)*10-K83)</f>
        <v>0</v>
      </c>
      <c r="L82" s="256" t="s">
        <v>183</v>
      </c>
      <c r="N82" s="253"/>
      <c r="O82" s="254" t="s">
        <v>181</v>
      </c>
      <c r="P82" s="254" t="s">
        <v>182</v>
      </c>
      <c r="Q82" s="265">
        <f>((Q80/Q78)*10-Q83)</f>
        <v>0</v>
      </c>
      <c r="R82" s="256" t="s">
        <v>183</v>
      </c>
      <c r="T82" s="253"/>
      <c r="U82" s="254" t="s">
        <v>181</v>
      </c>
      <c r="V82" s="254" t="s">
        <v>182</v>
      </c>
      <c r="W82" s="265">
        <f>((W80/W78)*10-W83)</f>
        <v>0</v>
      </c>
      <c r="X82" s="256" t="s">
        <v>183</v>
      </c>
      <c r="Z82" s="253"/>
      <c r="AA82" s="254" t="s">
        <v>181</v>
      </c>
      <c r="AB82" s="254" t="s">
        <v>182</v>
      </c>
      <c r="AC82" s="265">
        <f>((AC80/AC78)*10-AC83)</f>
        <v>0</v>
      </c>
      <c r="AD82" s="256" t="s">
        <v>183</v>
      </c>
      <c r="AF82" s="253"/>
      <c r="AG82" s="254" t="s">
        <v>181</v>
      </c>
      <c r="AH82" s="254" t="s">
        <v>182</v>
      </c>
      <c r="AI82" s="265">
        <f>((AI80/AI78)*10-AI83)</f>
        <v>0</v>
      </c>
      <c r="AJ82" s="256" t="s">
        <v>183</v>
      </c>
    </row>
    <row r="83" spans="2:36" ht="30" x14ac:dyDescent="0.25">
      <c r="B83" s="253"/>
      <c r="C83" s="254"/>
      <c r="D83" s="266" t="s">
        <v>185</v>
      </c>
      <c r="E83" s="267">
        <v>0</v>
      </c>
      <c r="F83" s="256" t="s">
        <v>186</v>
      </c>
      <c r="H83" s="253"/>
      <c r="I83" s="254"/>
      <c r="J83" s="266" t="s">
        <v>185</v>
      </c>
      <c r="K83" s="267">
        <v>0</v>
      </c>
      <c r="L83" s="256" t="s">
        <v>186</v>
      </c>
      <c r="N83" s="253"/>
      <c r="O83" s="254"/>
      <c r="P83" s="266" t="s">
        <v>185</v>
      </c>
      <c r="Q83" s="267">
        <v>0</v>
      </c>
      <c r="R83" s="256" t="s">
        <v>186</v>
      </c>
      <c r="T83" s="253"/>
      <c r="U83" s="254"/>
      <c r="V83" s="266" t="s">
        <v>185</v>
      </c>
      <c r="W83" s="267">
        <v>0</v>
      </c>
      <c r="X83" s="256" t="s">
        <v>186</v>
      </c>
      <c r="Z83" s="253"/>
      <c r="AA83" s="254"/>
      <c r="AB83" s="266" t="s">
        <v>185</v>
      </c>
      <c r="AC83" s="267">
        <v>0</v>
      </c>
      <c r="AD83" s="256" t="s">
        <v>186</v>
      </c>
      <c r="AF83" s="253"/>
      <c r="AG83" s="254"/>
      <c r="AH83" s="266" t="s">
        <v>185</v>
      </c>
      <c r="AI83" s="267">
        <v>0</v>
      </c>
      <c r="AJ83" s="256" t="s">
        <v>186</v>
      </c>
    </row>
    <row r="84" spans="2:36" x14ac:dyDescent="0.25">
      <c r="B84" s="253"/>
      <c r="C84" s="254" t="s">
        <v>188</v>
      </c>
      <c r="D84" s="254" t="s">
        <v>182</v>
      </c>
      <c r="E84" s="267">
        <f>'Data Lingkungan_IC'!AR66</f>
        <v>0.1</v>
      </c>
      <c r="F84" s="256" t="s">
        <v>183</v>
      </c>
      <c r="H84" s="253"/>
      <c r="I84" s="254" t="s">
        <v>188</v>
      </c>
      <c r="J84" s="254" t="s">
        <v>182</v>
      </c>
      <c r="K84" s="267">
        <v>0</v>
      </c>
      <c r="L84" s="256" t="s">
        <v>183</v>
      </c>
      <c r="N84" s="253"/>
      <c r="O84" s="254" t="s">
        <v>188</v>
      </c>
      <c r="P84" s="254" t="s">
        <v>182</v>
      </c>
      <c r="Q84" s="267">
        <f>'Data Lingkungan_IC'!CT62</f>
        <v>0.1</v>
      </c>
      <c r="R84" s="256" t="s">
        <v>183</v>
      </c>
      <c r="T84" s="253"/>
      <c r="U84" s="254" t="s">
        <v>188</v>
      </c>
      <c r="V84" s="254" t="s">
        <v>182</v>
      </c>
      <c r="W84" s="267">
        <f>'Data Lingkungan_IC'!BA63</f>
        <v>0.1</v>
      </c>
      <c r="X84" s="256" t="s">
        <v>183</v>
      </c>
      <c r="Z84" s="253"/>
      <c r="AA84" s="254" t="s">
        <v>188</v>
      </c>
      <c r="AB84" s="254" t="s">
        <v>182</v>
      </c>
      <c r="AC84" s="267">
        <f>'Data Lingkungan_IC'!DC62</f>
        <v>0.1</v>
      </c>
      <c r="AD84" s="256" t="s">
        <v>183</v>
      </c>
      <c r="AF84" s="253"/>
      <c r="AG84" s="254" t="s">
        <v>188</v>
      </c>
      <c r="AH84" s="254" t="s">
        <v>182</v>
      </c>
      <c r="AI84" s="267">
        <f>'Data Lingkungan_IC'!DC64</f>
        <v>0.1</v>
      </c>
      <c r="AJ84" s="256" t="s">
        <v>183</v>
      </c>
    </row>
    <row r="85" spans="2:36" ht="30" x14ac:dyDescent="0.25">
      <c r="B85" s="253"/>
      <c r="C85" s="254" t="s">
        <v>190</v>
      </c>
      <c r="D85" s="254"/>
      <c r="E85" s="268">
        <f>(E81/E78)</f>
        <v>0.99972222222222218</v>
      </c>
      <c r="F85" s="256" t="s">
        <v>191</v>
      </c>
      <c r="H85" s="253"/>
      <c r="I85" s="254" t="s">
        <v>190</v>
      </c>
      <c r="J85" s="254"/>
      <c r="K85" s="268">
        <f>(K81/K78)</f>
        <v>1</v>
      </c>
      <c r="L85" s="256" t="s">
        <v>191</v>
      </c>
      <c r="N85" s="253"/>
      <c r="O85" s="254" t="s">
        <v>190</v>
      </c>
      <c r="P85" s="254"/>
      <c r="Q85" s="268">
        <f>(Q81/Q78)</f>
        <v>0.99972222222222218</v>
      </c>
      <c r="R85" s="256" t="s">
        <v>191</v>
      </c>
      <c r="T85" s="253"/>
      <c r="U85" s="254" t="s">
        <v>190</v>
      </c>
      <c r="V85" s="254"/>
      <c r="W85" s="268">
        <f>(W81/W78)</f>
        <v>0.99972222222222218</v>
      </c>
      <c r="X85" s="256" t="s">
        <v>191</v>
      </c>
      <c r="Z85" s="253"/>
      <c r="AA85" s="254" t="s">
        <v>190</v>
      </c>
      <c r="AB85" s="254"/>
      <c r="AC85" s="268">
        <f>(AC81/AC78)</f>
        <v>0.99972222222222218</v>
      </c>
      <c r="AD85" s="256" t="s">
        <v>191</v>
      </c>
      <c r="AF85" s="253"/>
      <c r="AG85" s="254" t="s">
        <v>190</v>
      </c>
      <c r="AH85" s="254"/>
      <c r="AI85" s="268">
        <f>(AI81/AI78)</f>
        <v>0.99972222222222218</v>
      </c>
      <c r="AJ85" s="256" t="s">
        <v>191</v>
      </c>
    </row>
    <row r="86" spans="2:36" x14ac:dyDescent="0.25">
      <c r="B86" s="253"/>
      <c r="C86" s="254" t="s">
        <v>193</v>
      </c>
      <c r="D86" s="254"/>
      <c r="E86" s="257"/>
      <c r="F86" s="256"/>
      <c r="H86" s="253"/>
      <c r="I86" s="254" t="s">
        <v>193</v>
      </c>
      <c r="J86" s="254"/>
      <c r="K86" s="257"/>
      <c r="L86" s="256"/>
      <c r="N86" s="253"/>
      <c r="O86" s="254" t="s">
        <v>193</v>
      </c>
      <c r="P86" s="254"/>
      <c r="Q86" s="257"/>
      <c r="R86" s="256"/>
      <c r="T86" s="253"/>
      <c r="U86" s="254" t="s">
        <v>193</v>
      </c>
      <c r="V86" s="254"/>
      <c r="W86" s="257"/>
      <c r="X86" s="256"/>
      <c r="Z86" s="253"/>
      <c r="AA86" s="254" t="s">
        <v>193</v>
      </c>
      <c r="AB86" s="254"/>
      <c r="AC86" s="257"/>
      <c r="AD86" s="256"/>
      <c r="AF86" s="253"/>
      <c r="AG86" s="254" t="s">
        <v>193</v>
      </c>
      <c r="AH86" s="254"/>
      <c r="AI86" s="257"/>
      <c r="AJ86" s="256"/>
    </row>
    <row r="87" spans="2:36" x14ac:dyDescent="0.25">
      <c r="B87" s="253"/>
      <c r="C87" s="254"/>
      <c r="D87" s="254" t="s">
        <v>194</v>
      </c>
      <c r="E87" s="257"/>
      <c r="F87" s="256"/>
      <c r="H87" s="253"/>
      <c r="I87" s="254"/>
      <c r="J87" s="254" t="s">
        <v>194</v>
      </c>
      <c r="K87" s="257" t="s">
        <v>195</v>
      </c>
      <c r="L87" s="256"/>
      <c r="N87" s="253"/>
      <c r="O87" s="254"/>
      <c r="P87" s="254" t="s">
        <v>194</v>
      </c>
      <c r="Q87" s="257"/>
      <c r="R87" s="256"/>
      <c r="T87" s="253"/>
      <c r="U87" s="254"/>
      <c r="V87" s="254" t="s">
        <v>194</v>
      </c>
      <c r="W87" s="257"/>
      <c r="X87" s="256"/>
      <c r="Z87" s="253"/>
      <c r="AA87" s="254"/>
      <c r="AB87" s="254" t="s">
        <v>194</v>
      </c>
      <c r="AC87" s="257"/>
      <c r="AD87" s="256"/>
      <c r="AF87" s="253"/>
      <c r="AG87" s="254"/>
      <c r="AH87" s="254" t="s">
        <v>194</v>
      </c>
      <c r="AI87" s="257"/>
      <c r="AJ87" s="256"/>
    </row>
    <row r="88" spans="2:36" x14ac:dyDescent="0.25">
      <c r="B88" s="253"/>
      <c r="C88" s="254"/>
      <c r="D88" s="254" t="s">
        <v>196</v>
      </c>
      <c r="E88" s="257" t="s">
        <v>197</v>
      </c>
      <c r="F88" s="256"/>
      <c r="H88" s="253"/>
      <c r="I88" s="254"/>
      <c r="J88" s="254" t="s">
        <v>196</v>
      </c>
      <c r="K88" s="257" t="s">
        <v>197</v>
      </c>
      <c r="L88" s="256"/>
      <c r="N88" s="253"/>
      <c r="O88" s="254"/>
      <c r="P88" s="254" t="s">
        <v>196</v>
      </c>
      <c r="Q88" s="257" t="s">
        <v>197</v>
      </c>
      <c r="R88" s="256"/>
      <c r="T88" s="253"/>
      <c r="U88" s="254"/>
      <c r="V88" s="254" t="s">
        <v>196</v>
      </c>
      <c r="W88" s="257" t="s">
        <v>197</v>
      </c>
      <c r="X88" s="256"/>
      <c r="Z88" s="253"/>
      <c r="AA88" s="254"/>
      <c r="AB88" s="254" t="s">
        <v>196</v>
      </c>
      <c r="AC88" s="257" t="s">
        <v>197</v>
      </c>
      <c r="AD88" s="256"/>
      <c r="AF88" s="253"/>
      <c r="AG88" s="254"/>
      <c r="AH88" s="254" t="s">
        <v>196</v>
      </c>
      <c r="AI88" s="257" t="s">
        <v>197</v>
      </c>
      <c r="AJ88" s="256"/>
    </row>
    <row r="89" spans="2:36" x14ac:dyDescent="0.25">
      <c r="B89" s="253"/>
      <c r="C89" s="257"/>
      <c r="D89" s="266" t="s">
        <v>198</v>
      </c>
      <c r="E89" s="277">
        <f>Peralatan_IC!J21/1000</f>
        <v>7.7000000000000002E-3</v>
      </c>
      <c r="F89" s="256" t="s">
        <v>199</v>
      </c>
      <c r="H89" s="253"/>
      <c r="I89" s="257"/>
      <c r="J89" s="266" t="s">
        <v>198</v>
      </c>
      <c r="K89" s="257">
        <f>Peralatan_IC!J13/1000</f>
        <v>1.8800000000000001E-2</v>
      </c>
      <c r="L89" s="256" t="s">
        <v>199</v>
      </c>
      <c r="N89" s="253"/>
      <c r="O89" s="257"/>
      <c r="P89" s="266" t="s">
        <v>198</v>
      </c>
      <c r="Q89" s="277">
        <f>Peralatan_IC!I49/1000</f>
        <v>0.39300000000000002</v>
      </c>
      <c r="R89" s="256" t="s">
        <v>199</v>
      </c>
      <c r="T89" s="253"/>
      <c r="U89" s="257"/>
      <c r="V89" s="266" t="s">
        <v>198</v>
      </c>
      <c r="W89" s="257">
        <f>Peralatan_IC!J27/1000</f>
        <v>4.0600000000000004E-2</v>
      </c>
      <c r="X89" s="256" t="s">
        <v>199</v>
      </c>
      <c r="Z89" s="253"/>
      <c r="AA89" s="257"/>
      <c r="AB89" s="266" t="s">
        <v>198</v>
      </c>
      <c r="AC89" s="257">
        <f>Peralatan_IC!J55/1000</f>
        <v>0.10150000000000001</v>
      </c>
      <c r="AD89" s="256" t="s">
        <v>199</v>
      </c>
      <c r="AF89" s="253"/>
      <c r="AG89" s="257"/>
      <c r="AH89" s="266" t="s">
        <v>198</v>
      </c>
      <c r="AI89" s="257">
        <f>Peralatan_IC!J53/1000</f>
        <v>7.9000000000000001E-2</v>
      </c>
      <c r="AJ89" s="256" t="s">
        <v>199</v>
      </c>
    </row>
    <row r="90" spans="2:36" x14ac:dyDescent="0.25">
      <c r="B90" s="253"/>
      <c r="C90" s="257"/>
      <c r="D90" s="266" t="s">
        <v>201</v>
      </c>
      <c r="E90" s="257">
        <f>'Data Lingkungan_IC'!AQ66/60</f>
        <v>3.9999999999999991</v>
      </c>
      <c r="F90" s="256" t="s">
        <v>202</v>
      </c>
      <c r="H90" s="253"/>
      <c r="I90" s="257"/>
      <c r="J90" s="266" t="s">
        <v>201</v>
      </c>
      <c r="K90" s="257">
        <f>'Data Lingkungan_IC'!AH63/60</f>
        <v>6.9999999999999991</v>
      </c>
      <c r="L90" s="256" t="s">
        <v>202</v>
      </c>
      <c r="N90" s="253"/>
      <c r="O90" s="257"/>
      <c r="P90" s="266" t="s">
        <v>201</v>
      </c>
      <c r="Q90" s="277">
        <f>'Data Lingkungan_IC'!CS62/60</f>
        <v>6.55</v>
      </c>
      <c r="R90" s="256" t="s">
        <v>202</v>
      </c>
      <c r="T90" s="253"/>
      <c r="U90" s="257"/>
      <c r="V90" s="266" t="s">
        <v>201</v>
      </c>
      <c r="W90" s="257">
        <f>'Data Lingkungan_IC'!AZ63/60</f>
        <v>2.0000000000000009</v>
      </c>
      <c r="X90" s="256" t="s">
        <v>202</v>
      </c>
      <c r="Z90" s="253"/>
      <c r="AA90" s="257"/>
      <c r="AB90" s="266" t="s">
        <v>201</v>
      </c>
      <c r="AC90" s="277">
        <f>'Data Lingkungan_IC'!DB62/60</f>
        <v>8.3333333333333037E-2</v>
      </c>
      <c r="AD90" s="256" t="s">
        <v>202</v>
      </c>
      <c r="AF90" s="253"/>
      <c r="AG90" s="257"/>
      <c r="AH90" s="266" t="s">
        <v>201</v>
      </c>
      <c r="AI90" s="257">
        <f>'Data Lingkungan_IC'!DB64/60</f>
        <v>24</v>
      </c>
      <c r="AJ90" s="256" t="s">
        <v>202</v>
      </c>
    </row>
    <row r="91" spans="2:36" x14ac:dyDescent="0.25">
      <c r="B91" s="253"/>
      <c r="C91" s="257"/>
      <c r="D91" s="266" t="s">
        <v>204</v>
      </c>
      <c r="E91" s="270">
        <f>E90*E89</f>
        <v>3.0799999999999994E-2</v>
      </c>
      <c r="F91" s="256"/>
      <c r="H91" s="253"/>
      <c r="I91" s="257"/>
      <c r="J91" s="266" t="s">
        <v>204</v>
      </c>
      <c r="K91" s="270">
        <f>K90*K89</f>
        <v>0.13159999999999999</v>
      </c>
      <c r="L91" s="256"/>
      <c r="N91" s="253"/>
      <c r="O91" s="257"/>
      <c r="P91" s="266" t="s">
        <v>204</v>
      </c>
      <c r="Q91" s="278">
        <f>Q90*Q89</f>
        <v>2.5741499999999999</v>
      </c>
      <c r="R91" s="256"/>
      <c r="T91" s="253"/>
      <c r="U91" s="257"/>
      <c r="V91" s="266" t="s">
        <v>204</v>
      </c>
      <c r="W91" s="270">
        <f>W90*W89</f>
        <v>8.120000000000005E-2</v>
      </c>
      <c r="X91" s="256"/>
      <c r="Z91" s="253"/>
      <c r="AA91" s="257"/>
      <c r="AB91" s="266" t="s">
        <v>204</v>
      </c>
      <c r="AC91" s="278">
        <f>AC90*AC89</f>
        <v>8.4583333333333038E-3</v>
      </c>
      <c r="AD91" s="256"/>
      <c r="AF91" s="253"/>
      <c r="AG91" s="257"/>
      <c r="AH91" s="266" t="s">
        <v>204</v>
      </c>
      <c r="AI91" s="270">
        <f>AI90*AI89</f>
        <v>1.8959999999999999</v>
      </c>
      <c r="AJ91" s="256"/>
    </row>
    <row r="92" spans="2:36" ht="30" x14ac:dyDescent="0.25">
      <c r="B92" s="253"/>
      <c r="C92" s="257"/>
      <c r="D92" s="266" t="s">
        <v>185</v>
      </c>
      <c r="E92" s="257">
        <v>0</v>
      </c>
      <c r="F92" s="256" t="s">
        <v>206</v>
      </c>
      <c r="H92" s="253"/>
      <c r="I92" s="257"/>
      <c r="J92" s="266" t="s">
        <v>185</v>
      </c>
      <c r="K92" s="257">
        <v>0</v>
      </c>
      <c r="L92" s="256" t="s">
        <v>206</v>
      </c>
      <c r="N92" s="253"/>
      <c r="O92" s="257"/>
      <c r="P92" s="266" t="s">
        <v>185</v>
      </c>
      <c r="Q92" s="257">
        <v>0</v>
      </c>
      <c r="R92" s="256" t="s">
        <v>206</v>
      </c>
      <c r="T92" s="253"/>
      <c r="U92" s="257"/>
      <c r="V92" s="266" t="s">
        <v>185</v>
      </c>
      <c r="W92" s="257">
        <v>0</v>
      </c>
      <c r="X92" s="256" t="s">
        <v>206</v>
      </c>
      <c r="Z92" s="253"/>
      <c r="AA92" s="257"/>
      <c r="AB92" s="266" t="s">
        <v>185</v>
      </c>
      <c r="AC92" s="257">
        <v>0</v>
      </c>
      <c r="AD92" s="256" t="s">
        <v>206</v>
      </c>
      <c r="AF92" s="253"/>
      <c r="AG92" s="257"/>
      <c r="AH92" s="266" t="s">
        <v>185</v>
      </c>
      <c r="AI92" s="257">
        <v>0</v>
      </c>
      <c r="AJ92" s="256" t="s">
        <v>206</v>
      </c>
    </row>
    <row r="93" spans="2:36" x14ac:dyDescent="0.25">
      <c r="B93" s="253"/>
      <c r="C93" s="257"/>
      <c r="D93" s="266" t="s">
        <v>208</v>
      </c>
      <c r="E93" s="257">
        <v>0</v>
      </c>
      <c r="F93" s="256" t="s">
        <v>209</v>
      </c>
      <c r="H93" s="253"/>
      <c r="I93" s="257"/>
      <c r="J93" s="266" t="s">
        <v>208</v>
      </c>
      <c r="K93" s="257">
        <v>0</v>
      </c>
      <c r="L93" s="256" t="s">
        <v>209</v>
      </c>
      <c r="N93" s="253"/>
      <c r="O93" s="257"/>
      <c r="P93" s="266" t="s">
        <v>208</v>
      </c>
      <c r="Q93" s="257">
        <v>0</v>
      </c>
      <c r="R93" s="256" t="s">
        <v>209</v>
      </c>
      <c r="T93" s="253"/>
      <c r="U93" s="257"/>
      <c r="V93" s="266" t="s">
        <v>208</v>
      </c>
      <c r="W93" s="257">
        <v>0</v>
      </c>
      <c r="X93" s="256" t="s">
        <v>209</v>
      </c>
      <c r="Z93" s="253"/>
      <c r="AA93" s="257"/>
      <c r="AB93" s="266" t="s">
        <v>208</v>
      </c>
      <c r="AC93" s="257">
        <v>0</v>
      </c>
      <c r="AD93" s="256" t="s">
        <v>209</v>
      </c>
      <c r="AF93" s="253"/>
      <c r="AG93" s="257"/>
      <c r="AH93" s="266" t="s">
        <v>208</v>
      </c>
      <c r="AI93" s="257">
        <v>0</v>
      </c>
      <c r="AJ93" s="256" t="s">
        <v>209</v>
      </c>
    </row>
    <row r="94" spans="2:36" ht="15.75" thickBot="1" x14ac:dyDescent="0.3">
      <c r="B94" s="271"/>
      <c r="C94" s="272"/>
      <c r="D94" s="273"/>
      <c r="E94" s="272"/>
      <c r="F94" s="274"/>
      <c r="H94" s="271"/>
      <c r="I94" s="272"/>
      <c r="J94" s="273"/>
      <c r="K94" s="272"/>
      <c r="L94" s="274"/>
      <c r="N94" s="271"/>
      <c r="O94" s="272"/>
      <c r="P94" s="273"/>
      <c r="Q94" s="272"/>
      <c r="R94" s="274"/>
      <c r="T94" s="271"/>
      <c r="U94" s="272"/>
      <c r="V94" s="273"/>
      <c r="W94" s="272"/>
      <c r="X94" s="274"/>
      <c r="Z94" s="271"/>
      <c r="AA94" s="272"/>
      <c r="AB94" s="273"/>
      <c r="AC94" s="272"/>
      <c r="AD94" s="274"/>
      <c r="AF94" s="271"/>
      <c r="AG94" s="272"/>
      <c r="AH94" s="273"/>
      <c r="AI94" s="272"/>
      <c r="AJ94" s="274"/>
    </row>
    <row r="95" spans="2:36" x14ac:dyDescent="0.25">
      <c r="C95" s="279"/>
      <c r="D95" s="280"/>
      <c r="E95" s="279"/>
      <c r="F95" s="279"/>
      <c r="U95" s="279"/>
      <c r="V95" s="280"/>
      <c r="W95" s="279"/>
      <c r="X95" s="279"/>
    </row>
    <row r="96" spans="2:36" ht="15.75" thickBot="1" x14ac:dyDescent="0.3"/>
    <row r="97" spans="2:30" x14ac:dyDescent="0.25">
      <c r="B97" s="428" t="s">
        <v>211</v>
      </c>
      <c r="C97" s="429"/>
      <c r="D97" s="429"/>
      <c r="E97" s="429"/>
      <c r="F97" s="430"/>
      <c r="H97" s="428" t="s">
        <v>211</v>
      </c>
      <c r="I97" s="429"/>
      <c r="J97" s="429"/>
      <c r="K97" s="429"/>
      <c r="L97" s="430"/>
      <c r="N97" s="428" t="s">
        <v>211</v>
      </c>
      <c r="O97" s="429"/>
      <c r="P97" s="429"/>
      <c r="Q97" s="429"/>
      <c r="R97" s="430"/>
      <c r="T97" s="428" t="s">
        <v>211</v>
      </c>
      <c r="U97" s="429"/>
      <c r="V97" s="429"/>
      <c r="W97" s="429"/>
      <c r="X97" s="430"/>
      <c r="Z97" s="428" t="s">
        <v>211</v>
      </c>
      <c r="AA97" s="429"/>
      <c r="AB97" s="429"/>
      <c r="AC97" s="429"/>
      <c r="AD97" s="430"/>
    </row>
    <row r="98" spans="2:30" ht="15.75" thickBot="1" x14ac:dyDescent="0.3">
      <c r="B98" s="434" t="s">
        <v>153</v>
      </c>
      <c r="C98" s="435"/>
      <c r="D98" s="435"/>
      <c r="E98" s="435"/>
      <c r="F98" s="436"/>
      <c r="H98" s="431" t="s">
        <v>153</v>
      </c>
      <c r="I98" s="432"/>
      <c r="J98" s="432"/>
      <c r="K98" s="432"/>
      <c r="L98" s="433"/>
      <c r="N98" s="434" t="s">
        <v>153</v>
      </c>
      <c r="O98" s="435"/>
      <c r="P98" s="435"/>
      <c r="Q98" s="435"/>
      <c r="R98" s="436"/>
      <c r="T98" s="434" t="s">
        <v>153</v>
      </c>
      <c r="U98" s="435"/>
      <c r="V98" s="435"/>
      <c r="W98" s="435"/>
      <c r="X98" s="436"/>
      <c r="Z98" s="434" t="s">
        <v>153</v>
      </c>
      <c r="AA98" s="435"/>
      <c r="AB98" s="435"/>
      <c r="AC98" s="435"/>
      <c r="AD98" s="436"/>
    </row>
    <row r="99" spans="2:30" x14ac:dyDescent="0.25">
      <c r="B99" s="416" t="s">
        <v>154</v>
      </c>
      <c r="C99" s="417"/>
      <c r="D99" s="417"/>
      <c r="E99" s="417"/>
      <c r="F99" s="418"/>
      <c r="H99" s="416" t="s">
        <v>154</v>
      </c>
      <c r="I99" s="417"/>
      <c r="J99" s="417"/>
      <c r="K99" s="417"/>
      <c r="L99" s="418"/>
      <c r="N99" s="416" t="s">
        <v>154</v>
      </c>
      <c r="O99" s="417"/>
      <c r="P99" s="417"/>
      <c r="Q99" s="417"/>
      <c r="R99" s="418"/>
      <c r="T99" s="416" t="s">
        <v>154</v>
      </c>
      <c r="U99" s="417"/>
      <c r="V99" s="417"/>
      <c r="W99" s="417"/>
      <c r="X99" s="418"/>
      <c r="Z99" s="416" t="s">
        <v>154</v>
      </c>
      <c r="AA99" s="417"/>
      <c r="AB99" s="417"/>
      <c r="AC99" s="417"/>
      <c r="AD99" s="418"/>
    </row>
    <row r="100" spans="2:30" ht="15.75" thickBot="1" x14ac:dyDescent="0.3">
      <c r="B100" s="419" t="s">
        <v>155</v>
      </c>
      <c r="C100" s="420"/>
      <c r="D100" s="421"/>
      <c r="E100" s="422"/>
      <c r="F100" s="423"/>
      <c r="H100" s="419" t="s">
        <v>155</v>
      </c>
      <c r="I100" s="437"/>
      <c r="J100" s="421"/>
      <c r="K100" s="422"/>
      <c r="L100" s="423"/>
      <c r="N100" s="419" t="s">
        <v>155</v>
      </c>
      <c r="O100" s="420"/>
      <c r="P100" s="421"/>
      <c r="Q100" s="422"/>
      <c r="R100" s="423"/>
      <c r="T100" s="419" t="s">
        <v>155</v>
      </c>
      <c r="U100" s="420"/>
      <c r="V100" s="421"/>
      <c r="W100" s="422"/>
      <c r="X100" s="423"/>
      <c r="Z100" s="419" t="s">
        <v>155</v>
      </c>
      <c r="AA100" s="420"/>
      <c r="AB100" s="421"/>
      <c r="AC100" s="422"/>
      <c r="AD100" s="423"/>
    </row>
    <row r="101" spans="2:30" ht="15.75" thickBot="1" x14ac:dyDescent="0.3">
      <c r="B101" s="250" t="s">
        <v>108</v>
      </c>
      <c r="C101" s="251" t="s">
        <v>156</v>
      </c>
      <c r="D101" s="251" t="s">
        <v>157</v>
      </c>
      <c r="E101" s="251" t="s">
        <v>158</v>
      </c>
      <c r="F101" s="252" t="s">
        <v>159</v>
      </c>
      <c r="H101" s="250" t="s">
        <v>108</v>
      </c>
      <c r="I101" s="251" t="s">
        <v>156</v>
      </c>
      <c r="J101" s="251" t="s">
        <v>157</v>
      </c>
      <c r="K101" s="251" t="s">
        <v>158</v>
      </c>
      <c r="L101" s="252" t="s">
        <v>159</v>
      </c>
      <c r="N101" s="250" t="s">
        <v>108</v>
      </c>
      <c r="O101" s="251" t="s">
        <v>156</v>
      </c>
      <c r="P101" s="251" t="s">
        <v>157</v>
      </c>
      <c r="Q101" s="251" t="s">
        <v>158</v>
      </c>
      <c r="R101" s="252" t="s">
        <v>159</v>
      </c>
      <c r="T101" s="250" t="s">
        <v>108</v>
      </c>
      <c r="U101" s="251" t="s">
        <v>156</v>
      </c>
      <c r="V101" s="251" t="s">
        <v>157</v>
      </c>
      <c r="W101" s="251" t="s">
        <v>158</v>
      </c>
      <c r="X101" s="252" t="s">
        <v>159</v>
      </c>
      <c r="Z101" s="250" t="s">
        <v>108</v>
      </c>
      <c r="AA101" s="251" t="s">
        <v>156</v>
      </c>
      <c r="AB101" s="251" t="s">
        <v>157</v>
      </c>
      <c r="AC101" s="251" t="s">
        <v>158</v>
      </c>
      <c r="AD101" s="252" t="s">
        <v>159</v>
      </c>
    </row>
    <row r="102" spans="2:30" x14ac:dyDescent="0.25">
      <c r="B102" s="424" t="s">
        <v>160</v>
      </c>
      <c r="C102" s="425"/>
      <c r="D102" s="425"/>
      <c r="E102" s="425"/>
      <c r="F102" s="426"/>
      <c r="H102" s="438" t="s">
        <v>160</v>
      </c>
      <c r="I102" s="439"/>
      <c r="J102" s="439"/>
      <c r="K102" s="439"/>
      <c r="L102" s="440"/>
      <c r="N102" s="424" t="s">
        <v>160</v>
      </c>
      <c r="O102" s="425"/>
      <c r="P102" s="425"/>
      <c r="Q102" s="425"/>
      <c r="R102" s="426"/>
      <c r="T102" s="424" t="s">
        <v>160</v>
      </c>
      <c r="U102" s="425"/>
      <c r="V102" s="425"/>
      <c r="W102" s="425"/>
      <c r="X102" s="426"/>
      <c r="Z102" s="424" t="s">
        <v>160</v>
      </c>
      <c r="AA102" s="425"/>
      <c r="AB102" s="425"/>
      <c r="AC102" s="425"/>
      <c r="AD102" s="426"/>
    </row>
    <row r="103" spans="2:30" x14ac:dyDescent="0.25">
      <c r="B103" s="253"/>
      <c r="C103" s="254" t="s">
        <v>161</v>
      </c>
      <c r="D103" s="254"/>
      <c r="E103" s="255" t="s">
        <v>130</v>
      </c>
      <c r="F103" s="256"/>
      <c r="H103" s="253"/>
      <c r="I103" s="254" t="s">
        <v>161</v>
      </c>
      <c r="J103" s="254"/>
      <c r="K103" s="255" t="s">
        <v>130</v>
      </c>
      <c r="L103" s="256"/>
      <c r="N103" s="253"/>
      <c r="O103" s="254" t="s">
        <v>161</v>
      </c>
      <c r="P103" s="254"/>
      <c r="Q103" s="255" t="s">
        <v>130</v>
      </c>
      <c r="R103" s="256"/>
      <c r="T103" s="253"/>
      <c r="U103" s="254" t="s">
        <v>161</v>
      </c>
      <c r="V103" s="254"/>
      <c r="W103" s="257" t="s">
        <v>212</v>
      </c>
      <c r="X103" s="256"/>
      <c r="Z103" s="253"/>
      <c r="AA103" s="254" t="s">
        <v>161</v>
      </c>
      <c r="AB103" s="254"/>
      <c r="AC103" s="257" t="s">
        <v>230</v>
      </c>
      <c r="AD103" s="256"/>
    </row>
    <row r="104" spans="2:30" x14ac:dyDescent="0.25">
      <c r="B104" s="253"/>
      <c r="C104" s="254" t="s">
        <v>162</v>
      </c>
      <c r="D104" s="254"/>
      <c r="E104" s="257" t="s">
        <v>231</v>
      </c>
      <c r="F104" s="256"/>
      <c r="H104" s="253"/>
      <c r="I104" s="254" t="s">
        <v>162</v>
      </c>
      <c r="J104" s="254"/>
      <c r="K104" s="257" t="s">
        <v>232</v>
      </c>
      <c r="L104" s="256"/>
      <c r="N104" s="253"/>
      <c r="O104" s="254" t="s">
        <v>162</v>
      </c>
      <c r="P104" s="254"/>
      <c r="Q104" s="257" t="s">
        <v>233</v>
      </c>
      <c r="R104" s="256"/>
      <c r="T104" s="253"/>
      <c r="U104" s="254" t="s">
        <v>162</v>
      </c>
      <c r="V104" s="254"/>
      <c r="W104" s="257" t="s">
        <v>234</v>
      </c>
      <c r="X104" s="256"/>
      <c r="Z104" s="253"/>
      <c r="AA104" s="254" t="s">
        <v>162</v>
      </c>
      <c r="AB104" s="254"/>
      <c r="AC104" s="257" t="s">
        <v>235</v>
      </c>
      <c r="AD104" s="256"/>
    </row>
    <row r="105" spans="2:30" x14ac:dyDescent="0.25">
      <c r="B105" s="253"/>
      <c r="C105" s="254" t="s">
        <v>165</v>
      </c>
      <c r="D105" s="254"/>
      <c r="E105" s="257"/>
      <c r="F105" s="256"/>
      <c r="H105" s="253"/>
      <c r="I105" s="254" t="s">
        <v>165</v>
      </c>
      <c r="J105" s="254"/>
      <c r="K105" s="257"/>
      <c r="L105" s="256"/>
      <c r="N105" s="253"/>
      <c r="O105" s="254" t="s">
        <v>165</v>
      </c>
      <c r="P105" s="254"/>
      <c r="Q105" s="257"/>
      <c r="R105" s="256"/>
      <c r="T105" s="253"/>
      <c r="U105" s="254" t="s">
        <v>165</v>
      </c>
      <c r="V105" s="254"/>
      <c r="W105" s="257"/>
      <c r="X105" s="256"/>
      <c r="Z105" s="253"/>
      <c r="AA105" s="254" t="s">
        <v>165</v>
      </c>
      <c r="AB105" s="254"/>
      <c r="AC105" s="257"/>
      <c r="AD105" s="256"/>
    </row>
    <row r="106" spans="2:30" x14ac:dyDescent="0.25">
      <c r="B106" s="253"/>
      <c r="C106" s="254"/>
      <c r="D106" s="254" t="s">
        <v>166</v>
      </c>
      <c r="E106" s="257"/>
      <c r="F106" s="256"/>
      <c r="H106" s="253"/>
      <c r="I106" s="254"/>
      <c r="J106" s="254" t="s">
        <v>166</v>
      </c>
      <c r="K106" s="257"/>
      <c r="L106" s="256"/>
      <c r="N106" s="253"/>
      <c r="O106" s="254"/>
      <c r="P106" s="254" t="s">
        <v>166</v>
      </c>
      <c r="Q106" s="257"/>
      <c r="R106" s="256"/>
      <c r="T106" s="253"/>
      <c r="U106" s="254"/>
      <c r="V106" s="254" t="s">
        <v>166</v>
      </c>
      <c r="W106" s="257"/>
      <c r="X106" s="256"/>
      <c r="Z106" s="253"/>
      <c r="AA106" s="254"/>
      <c r="AB106" s="254" t="s">
        <v>166</v>
      </c>
      <c r="AC106" s="257"/>
      <c r="AD106" s="256"/>
    </row>
    <row r="107" spans="2:30" x14ac:dyDescent="0.25">
      <c r="B107" s="253"/>
      <c r="C107" s="254"/>
      <c r="D107" s="254" t="s">
        <v>167</v>
      </c>
      <c r="E107" s="257"/>
      <c r="F107" s="256" t="s">
        <v>168</v>
      </c>
      <c r="H107" s="253"/>
      <c r="I107" s="254"/>
      <c r="J107" s="254" t="s">
        <v>167</v>
      </c>
      <c r="K107" s="257"/>
      <c r="L107" s="256" t="s">
        <v>168</v>
      </c>
      <c r="N107" s="253"/>
      <c r="O107" s="254"/>
      <c r="P107" s="254" t="s">
        <v>167</v>
      </c>
      <c r="Q107" s="257"/>
      <c r="R107" s="256" t="s">
        <v>168</v>
      </c>
      <c r="T107" s="253"/>
      <c r="U107" s="254"/>
      <c r="V107" s="254" t="s">
        <v>167</v>
      </c>
      <c r="W107" s="257"/>
      <c r="X107" s="256" t="s">
        <v>168</v>
      </c>
      <c r="Z107" s="253"/>
      <c r="AA107" s="254"/>
      <c r="AB107" s="254" t="s">
        <v>167</v>
      </c>
      <c r="AC107" s="257"/>
      <c r="AD107" s="256" t="s">
        <v>168</v>
      </c>
    </row>
    <row r="108" spans="2:30" x14ac:dyDescent="0.25">
      <c r="B108" s="253"/>
      <c r="C108" s="254" t="s">
        <v>169</v>
      </c>
      <c r="D108" s="254"/>
      <c r="E108" s="259"/>
      <c r="F108" s="256" t="s">
        <v>170</v>
      </c>
      <c r="H108" s="253"/>
      <c r="I108" s="254" t="s">
        <v>169</v>
      </c>
      <c r="J108" s="254"/>
      <c r="K108" s="259"/>
      <c r="L108" s="256" t="s">
        <v>170</v>
      </c>
      <c r="N108" s="253"/>
      <c r="O108" s="254" t="s">
        <v>169</v>
      </c>
      <c r="P108" s="254"/>
      <c r="Q108" s="259"/>
      <c r="R108" s="256" t="s">
        <v>170</v>
      </c>
      <c r="T108" s="253"/>
      <c r="U108" s="254" t="s">
        <v>169</v>
      </c>
      <c r="V108" s="254"/>
      <c r="W108" s="259"/>
      <c r="X108" s="256" t="s">
        <v>170</v>
      </c>
      <c r="Z108" s="253"/>
      <c r="AA108" s="254" t="s">
        <v>169</v>
      </c>
      <c r="AB108" s="254"/>
      <c r="AC108" s="259"/>
      <c r="AD108" s="256" t="s">
        <v>170</v>
      </c>
    </row>
    <row r="109" spans="2:30" x14ac:dyDescent="0.25">
      <c r="B109" s="253"/>
      <c r="C109" s="254" t="s">
        <v>172</v>
      </c>
      <c r="D109" s="254"/>
      <c r="E109" s="257">
        <f>5*12*30</f>
        <v>1800</v>
      </c>
      <c r="F109" s="256" t="s">
        <v>173</v>
      </c>
      <c r="H109" s="253"/>
      <c r="I109" s="254" t="s">
        <v>172</v>
      </c>
      <c r="J109" s="254"/>
      <c r="K109" s="257">
        <f>5*12*30</f>
        <v>1800</v>
      </c>
      <c r="L109" s="256" t="s">
        <v>173</v>
      </c>
      <c r="N109" s="253"/>
      <c r="O109" s="254" t="s">
        <v>172</v>
      </c>
      <c r="P109" s="254"/>
      <c r="Q109" s="257">
        <f>5*12*30</f>
        <v>1800</v>
      </c>
      <c r="R109" s="256" t="s">
        <v>173</v>
      </c>
      <c r="T109" s="253"/>
      <c r="U109" s="254" t="s">
        <v>172</v>
      </c>
      <c r="V109" s="254"/>
      <c r="W109" s="257">
        <f>5*12*30</f>
        <v>1800</v>
      </c>
      <c r="X109" s="256" t="s">
        <v>173</v>
      </c>
      <c r="Z109" s="253"/>
      <c r="AA109" s="254" t="s">
        <v>172</v>
      </c>
      <c r="AB109" s="254"/>
      <c r="AC109" s="257">
        <f>5*12*30</f>
        <v>1800</v>
      </c>
      <c r="AD109" s="256" t="s">
        <v>173</v>
      </c>
    </row>
    <row r="110" spans="2:30" x14ac:dyDescent="0.25">
      <c r="B110" s="260"/>
      <c r="C110" s="261" t="s">
        <v>175</v>
      </c>
      <c r="D110" s="261"/>
      <c r="E110" s="262" t="str">
        <f>'Data Lingkungan_IC'!AX65</f>
        <v>off</v>
      </c>
      <c r="F110" s="263"/>
      <c r="H110" s="260"/>
      <c r="I110" s="261" t="s">
        <v>175</v>
      </c>
      <c r="J110" s="261"/>
      <c r="K110" s="262" t="str">
        <f>'Data Lingkungan_IC'!AX66</f>
        <v>off</v>
      </c>
      <c r="L110" s="263"/>
      <c r="N110" s="260"/>
      <c r="O110" s="261" t="s">
        <v>175</v>
      </c>
      <c r="P110" s="261"/>
      <c r="Q110" s="262" t="str">
        <f>'Data Lingkungan_IC'!AX67</f>
        <v>off</v>
      </c>
      <c r="R110" s="263"/>
      <c r="T110" s="260"/>
      <c r="U110" s="261" t="s">
        <v>175</v>
      </c>
      <c r="V110" s="261"/>
      <c r="W110" s="262" t="str">
        <f>'Data Lingkungan_IC'!BP63</f>
        <v>off</v>
      </c>
      <c r="X110" s="263"/>
      <c r="Z110" s="260"/>
      <c r="AA110" s="261" t="s">
        <v>175</v>
      </c>
      <c r="AB110" s="261"/>
      <c r="AC110" s="262" t="str">
        <f>'Data Lingkungan_IC'!CZ65</f>
        <v>off</v>
      </c>
      <c r="AD110" s="263"/>
    </row>
    <row r="111" spans="2:30" x14ac:dyDescent="0.25">
      <c r="B111" s="253"/>
      <c r="C111" s="254" t="s">
        <v>177</v>
      </c>
      <c r="D111" s="254"/>
      <c r="E111" s="257">
        <v>0</v>
      </c>
      <c r="F111" s="256" t="s">
        <v>173</v>
      </c>
      <c r="H111" s="253"/>
      <c r="I111" s="254" t="s">
        <v>177</v>
      </c>
      <c r="J111" s="254"/>
      <c r="K111" s="257">
        <v>0</v>
      </c>
      <c r="L111" s="256" t="s">
        <v>173</v>
      </c>
      <c r="N111" s="253"/>
      <c r="O111" s="254" t="s">
        <v>177</v>
      </c>
      <c r="P111" s="254"/>
      <c r="Q111" s="257">
        <v>0</v>
      </c>
      <c r="R111" s="256" t="s">
        <v>173</v>
      </c>
      <c r="T111" s="253"/>
      <c r="U111" s="254" t="s">
        <v>177</v>
      </c>
      <c r="V111" s="254"/>
      <c r="W111" s="257">
        <v>0</v>
      </c>
      <c r="X111" s="256" t="s">
        <v>173</v>
      </c>
      <c r="Z111" s="253"/>
      <c r="AA111" s="254" t="s">
        <v>177</v>
      </c>
      <c r="AB111" s="254"/>
      <c r="AC111" s="257">
        <v>0</v>
      </c>
      <c r="AD111" s="256" t="s">
        <v>173</v>
      </c>
    </row>
    <row r="112" spans="2:30" x14ac:dyDescent="0.25">
      <c r="B112" s="253"/>
      <c r="C112" s="254" t="s">
        <v>179</v>
      </c>
      <c r="D112" s="254"/>
      <c r="E112" s="264">
        <f>E109-E111-(E113+E115)/2*10</f>
        <v>1800</v>
      </c>
      <c r="F112" s="256" t="s">
        <v>173</v>
      </c>
      <c r="H112" s="253"/>
      <c r="I112" s="254" t="s">
        <v>179</v>
      </c>
      <c r="J112" s="254"/>
      <c r="K112" s="264">
        <f>K109-K111-(K113+K115)/2*10</f>
        <v>1800</v>
      </c>
      <c r="L112" s="256" t="s">
        <v>173</v>
      </c>
      <c r="N112" s="253"/>
      <c r="O112" s="254" t="s">
        <v>179</v>
      </c>
      <c r="P112" s="254"/>
      <c r="Q112" s="264">
        <f>Q109-Q111-(Q113+Q115)/2*10</f>
        <v>1800</v>
      </c>
      <c r="R112" s="256" t="s">
        <v>173</v>
      </c>
      <c r="T112" s="253"/>
      <c r="U112" s="254" t="s">
        <v>179</v>
      </c>
      <c r="V112" s="254"/>
      <c r="W112" s="264">
        <f>W109-W111-(W113+W115)/2*10</f>
        <v>1799.5</v>
      </c>
      <c r="X112" s="256" t="s">
        <v>173</v>
      </c>
      <c r="Z112" s="253"/>
      <c r="AA112" s="254" t="s">
        <v>179</v>
      </c>
      <c r="AB112" s="254"/>
      <c r="AC112" s="264">
        <f>AC109-AC111-(AC113+AC115)/2*10</f>
        <v>1799.5</v>
      </c>
      <c r="AD112" s="256" t="s">
        <v>173</v>
      </c>
    </row>
    <row r="113" spans="2:30" x14ac:dyDescent="0.25">
      <c r="B113" s="253"/>
      <c r="C113" s="254" t="s">
        <v>181</v>
      </c>
      <c r="D113" s="254" t="s">
        <v>182</v>
      </c>
      <c r="E113" s="265">
        <f>((E111/E109)*10-E114)</f>
        <v>0</v>
      </c>
      <c r="F113" s="256" t="s">
        <v>183</v>
      </c>
      <c r="H113" s="253"/>
      <c r="I113" s="254" t="s">
        <v>181</v>
      </c>
      <c r="J113" s="254" t="s">
        <v>182</v>
      </c>
      <c r="K113" s="265">
        <f>((K111/K109)*10-K114)</f>
        <v>0</v>
      </c>
      <c r="L113" s="256" t="s">
        <v>183</v>
      </c>
      <c r="N113" s="253"/>
      <c r="O113" s="254" t="s">
        <v>181</v>
      </c>
      <c r="P113" s="254" t="s">
        <v>182</v>
      </c>
      <c r="Q113" s="265">
        <f>((Q111/Q109)*10-Q114)</f>
        <v>0</v>
      </c>
      <c r="R113" s="256" t="s">
        <v>183</v>
      </c>
      <c r="T113" s="253"/>
      <c r="U113" s="254" t="s">
        <v>181</v>
      </c>
      <c r="V113" s="254" t="s">
        <v>182</v>
      </c>
      <c r="W113" s="265">
        <f>((W111/W109)*10-W114)</f>
        <v>0</v>
      </c>
      <c r="X113" s="256" t="s">
        <v>183</v>
      </c>
      <c r="Z113" s="253"/>
      <c r="AA113" s="254" t="s">
        <v>181</v>
      </c>
      <c r="AB113" s="254" t="s">
        <v>182</v>
      </c>
      <c r="AC113" s="265">
        <f>((AC111/AC109)*10-AC114)</f>
        <v>0</v>
      </c>
      <c r="AD113" s="256" t="s">
        <v>183</v>
      </c>
    </row>
    <row r="114" spans="2:30" ht="30" x14ac:dyDescent="0.25">
      <c r="B114" s="253"/>
      <c r="C114" s="254"/>
      <c r="D114" s="266" t="s">
        <v>185</v>
      </c>
      <c r="E114" s="267">
        <v>0</v>
      </c>
      <c r="F114" s="256" t="s">
        <v>186</v>
      </c>
      <c r="H114" s="253"/>
      <c r="I114" s="254"/>
      <c r="J114" s="266" t="s">
        <v>185</v>
      </c>
      <c r="K114" s="267">
        <v>0</v>
      </c>
      <c r="L114" s="256" t="s">
        <v>186</v>
      </c>
      <c r="N114" s="253"/>
      <c r="O114" s="254"/>
      <c r="P114" s="266" t="s">
        <v>185</v>
      </c>
      <c r="Q114" s="267">
        <v>0</v>
      </c>
      <c r="R114" s="256" t="s">
        <v>186</v>
      </c>
      <c r="T114" s="253"/>
      <c r="U114" s="254"/>
      <c r="V114" s="266" t="s">
        <v>185</v>
      </c>
      <c r="W114" s="267">
        <v>0</v>
      </c>
      <c r="X114" s="256" t="s">
        <v>186</v>
      </c>
      <c r="Z114" s="253"/>
      <c r="AA114" s="254"/>
      <c r="AB114" s="266" t="s">
        <v>185</v>
      </c>
      <c r="AC114" s="267">
        <v>0</v>
      </c>
      <c r="AD114" s="256" t="s">
        <v>186</v>
      </c>
    </row>
    <row r="115" spans="2:30" x14ac:dyDescent="0.25">
      <c r="B115" s="253"/>
      <c r="C115" s="254" t="s">
        <v>188</v>
      </c>
      <c r="D115" s="254" t="s">
        <v>182</v>
      </c>
      <c r="E115" s="267">
        <v>0</v>
      </c>
      <c r="F115" s="256" t="s">
        <v>183</v>
      </c>
      <c r="H115" s="253"/>
      <c r="I115" s="254" t="s">
        <v>188</v>
      </c>
      <c r="J115" s="254" t="s">
        <v>182</v>
      </c>
      <c r="K115" s="267">
        <v>0</v>
      </c>
      <c r="L115" s="256" t="s">
        <v>183</v>
      </c>
      <c r="N115" s="253"/>
      <c r="O115" s="254" t="s">
        <v>188</v>
      </c>
      <c r="P115" s="254" t="s">
        <v>182</v>
      </c>
      <c r="Q115" s="267">
        <v>0</v>
      </c>
      <c r="R115" s="256" t="s">
        <v>183</v>
      </c>
      <c r="T115" s="253"/>
      <c r="U115" s="254" t="s">
        <v>188</v>
      </c>
      <c r="V115" s="254" t="s">
        <v>182</v>
      </c>
      <c r="W115" s="267">
        <f>'Data Lingkungan_IC'!BS63</f>
        <v>0.1</v>
      </c>
      <c r="X115" s="256" t="s">
        <v>183</v>
      </c>
      <c r="Z115" s="253"/>
      <c r="AA115" s="254" t="s">
        <v>188</v>
      </c>
      <c r="AB115" s="254" t="s">
        <v>182</v>
      </c>
      <c r="AC115" s="267">
        <f>'Data Lingkungan_IC'!DC65</f>
        <v>0.1</v>
      </c>
      <c r="AD115" s="256" t="s">
        <v>183</v>
      </c>
    </row>
    <row r="116" spans="2:30" ht="30" x14ac:dyDescent="0.25">
      <c r="B116" s="253"/>
      <c r="C116" s="254" t="s">
        <v>190</v>
      </c>
      <c r="D116" s="254"/>
      <c r="E116" s="268">
        <f>(E112/E109)</f>
        <v>1</v>
      </c>
      <c r="F116" s="256" t="s">
        <v>191</v>
      </c>
      <c r="H116" s="253"/>
      <c r="I116" s="254" t="s">
        <v>190</v>
      </c>
      <c r="J116" s="254"/>
      <c r="K116" s="268">
        <f>(K112/K109)</f>
        <v>1</v>
      </c>
      <c r="L116" s="256" t="s">
        <v>191</v>
      </c>
      <c r="N116" s="253"/>
      <c r="O116" s="254" t="s">
        <v>190</v>
      </c>
      <c r="P116" s="254"/>
      <c r="Q116" s="268">
        <f>(Q112/Q109)</f>
        <v>1</v>
      </c>
      <c r="R116" s="256" t="s">
        <v>191</v>
      </c>
      <c r="T116" s="253"/>
      <c r="U116" s="254" t="s">
        <v>190</v>
      </c>
      <c r="V116" s="254"/>
      <c r="W116" s="268">
        <f>(W112/W109)</f>
        <v>0.99972222222222218</v>
      </c>
      <c r="X116" s="256" t="s">
        <v>191</v>
      </c>
      <c r="Z116" s="253"/>
      <c r="AA116" s="254" t="s">
        <v>190</v>
      </c>
      <c r="AB116" s="254"/>
      <c r="AC116" s="268">
        <f>(AC112/AC109)</f>
        <v>0.99972222222222218</v>
      </c>
      <c r="AD116" s="256" t="s">
        <v>191</v>
      </c>
    </row>
    <row r="117" spans="2:30" x14ac:dyDescent="0.25">
      <c r="B117" s="253"/>
      <c r="C117" s="254" t="s">
        <v>193</v>
      </c>
      <c r="D117" s="254"/>
      <c r="E117" s="257"/>
      <c r="F117" s="256"/>
      <c r="H117" s="253"/>
      <c r="I117" s="254" t="s">
        <v>193</v>
      </c>
      <c r="J117" s="254"/>
      <c r="K117" s="257"/>
      <c r="L117" s="256"/>
      <c r="N117" s="253"/>
      <c r="O117" s="254" t="s">
        <v>193</v>
      </c>
      <c r="P117" s="254"/>
      <c r="Q117" s="257"/>
      <c r="R117" s="256"/>
      <c r="T117" s="253"/>
      <c r="U117" s="254" t="s">
        <v>193</v>
      </c>
      <c r="V117" s="254"/>
      <c r="W117" s="257"/>
      <c r="X117" s="256"/>
      <c r="Z117" s="253"/>
      <c r="AA117" s="254" t="s">
        <v>193</v>
      </c>
      <c r="AB117" s="254"/>
      <c r="AC117" s="257"/>
      <c r="AD117" s="256"/>
    </row>
    <row r="118" spans="2:30" x14ac:dyDescent="0.25">
      <c r="B118" s="253"/>
      <c r="C118" s="254"/>
      <c r="D118" s="254" t="s">
        <v>194</v>
      </c>
      <c r="E118" s="257"/>
      <c r="F118" s="256"/>
      <c r="H118" s="253"/>
      <c r="I118" s="254"/>
      <c r="J118" s="254" t="s">
        <v>194</v>
      </c>
      <c r="K118" s="257"/>
      <c r="L118" s="256"/>
      <c r="N118" s="253"/>
      <c r="O118" s="254"/>
      <c r="P118" s="254" t="s">
        <v>194</v>
      </c>
      <c r="Q118" s="257"/>
      <c r="R118" s="256"/>
      <c r="T118" s="253"/>
      <c r="U118" s="254"/>
      <c r="V118" s="254" t="s">
        <v>194</v>
      </c>
      <c r="W118" s="257"/>
      <c r="X118" s="256"/>
      <c r="Z118" s="253"/>
      <c r="AA118" s="254"/>
      <c r="AB118" s="254" t="s">
        <v>194</v>
      </c>
      <c r="AC118" s="257"/>
      <c r="AD118" s="256"/>
    </row>
    <row r="119" spans="2:30" x14ac:dyDescent="0.25">
      <c r="B119" s="253"/>
      <c r="C119" s="254"/>
      <c r="D119" s="254" t="s">
        <v>196</v>
      </c>
      <c r="E119" s="257" t="s">
        <v>197</v>
      </c>
      <c r="F119" s="256"/>
      <c r="H119" s="253"/>
      <c r="I119" s="254"/>
      <c r="J119" s="254" t="s">
        <v>196</v>
      </c>
      <c r="K119" s="257" t="s">
        <v>197</v>
      </c>
      <c r="L119" s="256"/>
      <c r="N119" s="253"/>
      <c r="O119" s="254"/>
      <c r="P119" s="254" t="s">
        <v>196</v>
      </c>
      <c r="Q119" s="257" t="s">
        <v>197</v>
      </c>
      <c r="R119" s="256"/>
      <c r="T119" s="253"/>
      <c r="U119" s="254"/>
      <c r="V119" s="254" t="s">
        <v>196</v>
      </c>
      <c r="W119" s="257" t="s">
        <v>197</v>
      </c>
      <c r="X119" s="256"/>
      <c r="Z119" s="253"/>
      <c r="AA119" s="254"/>
      <c r="AB119" s="254" t="s">
        <v>196</v>
      </c>
      <c r="AC119" s="257" t="s">
        <v>197</v>
      </c>
      <c r="AD119" s="256"/>
    </row>
    <row r="120" spans="2:30" x14ac:dyDescent="0.25">
      <c r="B120" s="253"/>
      <c r="C120" s="257"/>
      <c r="D120" s="266" t="s">
        <v>198</v>
      </c>
      <c r="E120" s="277">
        <v>2.3E-3</v>
      </c>
      <c r="F120" s="256" t="s">
        <v>199</v>
      </c>
      <c r="H120" s="253"/>
      <c r="I120" s="257"/>
      <c r="J120" s="266" t="s">
        <v>198</v>
      </c>
      <c r="K120" s="277">
        <v>2.3999999999999998E-3</v>
      </c>
      <c r="L120" s="256" t="s">
        <v>199</v>
      </c>
      <c r="N120" s="253"/>
      <c r="O120" s="257"/>
      <c r="P120" s="266" t="s">
        <v>198</v>
      </c>
      <c r="Q120" s="277">
        <v>2.3E-3</v>
      </c>
      <c r="R120" s="256" t="s">
        <v>199</v>
      </c>
      <c r="T120" s="253"/>
      <c r="U120" s="257"/>
      <c r="V120" s="266" t="s">
        <v>198</v>
      </c>
      <c r="W120" s="277">
        <f>Peralatan_IC!J39/1000</f>
        <v>3.6999999999999998E-2</v>
      </c>
      <c r="X120" s="256" t="s">
        <v>199</v>
      </c>
      <c r="Z120" s="253"/>
      <c r="AA120" s="257"/>
      <c r="AB120" s="266" t="s">
        <v>198</v>
      </c>
      <c r="AC120" s="277">
        <f>'Data Lingkungan_IC'!DB65</f>
        <v>0</v>
      </c>
      <c r="AD120" s="256" t="s">
        <v>199</v>
      </c>
    </row>
    <row r="121" spans="2:30" x14ac:dyDescent="0.25">
      <c r="B121" s="253"/>
      <c r="C121" s="257"/>
      <c r="D121" s="266" t="s">
        <v>201</v>
      </c>
      <c r="E121" s="257">
        <f>'Data Lingkungan_IC'!AZ65/60</f>
        <v>0.999999999999999</v>
      </c>
      <c r="F121" s="256" t="s">
        <v>202</v>
      </c>
      <c r="H121" s="253"/>
      <c r="I121" s="257"/>
      <c r="J121" s="266" t="s">
        <v>201</v>
      </c>
      <c r="K121" s="257">
        <f>'Data Lingkungan_IC'!AZ66/60</f>
        <v>0.999999999999999</v>
      </c>
      <c r="L121" s="256" t="s">
        <v>202</v>
      </c>
      <c r="N121" s="253"/>
      <c r="O121" s="257"/>
      <c r="P121" s="266" t="s">
        <v>201</v>
      </c>
      <c r="Q121" s="257">
        <f>'Data Lingkungan_IC'!AZ67/60</f>
        <v>1.0000000000000018</v>
      </c>
      <c r="R121" s="256" t="s">
        <v>202</v>
      </c>
      <c r="T121" s="253"/>
      <c r="U121" s="257"/>
      <c r="V121" s="266" t="s">
        <v>201</v>
      </c>
      <c r="W121" s="277">
        <f>'Data Lingkungan_IC'!BR63/60</f>
        <v>0.33333333333333748</v>
      </c>
      <c r="X121" s="256" t="s">
        <v>202</v>
      </c>
      <c r="Z121" s="253"/>
      <c r="AA121" s="257"/>
      <c r="AB121" s="266" t="s">
        <v>201</v>
      </c>
      <c r="AC121" s="257">
        <v>0</v>
      </c>
      <c r="AD121" s="256" t="s">
        <v>202</v>
      </c>
    </row>
    <row r="122" spans="2:30" ht="15" customHeight="1" x14ac:dyDescent="0.25">
      <c r="B122" s="253"/>
      <c r="C122" s="257"/>
      <c r="D122" s="266" t="s">
        <v>204</v>
      </c>
      <c r="E122" s="270">
        <f>E121*E120</f>
        <v>2.2999999999999978E-3</v>
      </c>
      <c r="F122" s="256"/>
      <c r="H122" s="253"/>
      <c r="I122" s="257"/>
      <c r="J122" s="266" t="s">
        <v>204</v>
      </c>
      <c r="K122" s="270">
        <f>K121*K120</f>
        <v>2.3999999999999972E-3</v>
      </c>
      <c r="L122" s="256"/>
      <c r="N122" s="253"/>
      <c r="O122" s="257"/>
      <c r="P122" s="266" t="s">
        <v>204</v>
      </c>
      <c r="Q122" s="270">
        <f>Q121*Q120</f>
        <v>2.3000000000000039E-3</v>
      </c>
      <c r="R122" s="256"/>
      <c r="T122" s="253"/>
      <c r="U122" s="257"/>
      <c r="V122" s="266" t="s">
        <v>204</v>
      </c>
      <c r="W122" s="278">
        <f>W121*W120</f>
        <v>1.2333333333333486E-2</v>
      </c>
      <c r="X122" s="256"/>
      <c r="Z122" s="253"/>
      <c r="AA122" s="257"/>
      <c r="AB122" s="266" t="s">
        <v>204</v>
      </c>
      <c r="AC122" s="270">
        <f>AC121*AC120</f>
        <v>0</v>
      </c>
      <c r="AD122" s="256"/>
    </row>
    <row r="123" spans="2:30" ht="15" customHeight="1" x14ac:dyDescent="0.25">
      <c r="B123" s="253"/>
      <c r="C123" s="257"/>
      <c r="D123" s="266" t="s">
        <v>185</v>
      </c>
      <c r="E123" s="257">
        <v>0</v>
      </c>
      <c r="F123" s="256" t="s">
        <v>206</v>
      </c>
      <c r="H123" s="253"/>
      <c r="I123" s="257"/>
      <c r="J123" s="266" t="s">
        <v>185</v>
      </c>
      <c r="K123" s="257">
        <v>0</v>
      </c>
      <c r="L123" s="256" t="s">
        <v>206</v>
      </c>
      <c r="N123" s="253"/>
      <c r="O123" s="257"/>
      <c r="P123" s="266" t="s">
        <v>185</v>
      </c>
      <c r="Q123" s="257">
        <v>0</v>
      </c>
      <c r="R123" s="256" t="s">
        <v>206</v>
      </c>
      <c r="T123" s="253"/>
      <c r="U123" s="257"/>
      <c r="V123" s="266" t="s">
        <v>185</v>
      </c>
      <c r="W123" s="257">
        <v>0</v>
      </c>
      <c r="X123" s="256" t="s">
        <v>206</v>
      </c>
      <c r="Z123" s="253"/>
      <c r="AA123" s="257"/>
      <c r="AB123" s="266" t="s">
        <v>185</v>
      </c>
      <c r="AC123" s="257">
        <v>0</v>
      </c>
      <c r="AD123" s="256" t="s">
        <v>206</v>
      </c>
    </row>
    <row r="124" spans="2:30" ht="15" customHeight="1" x14ac:dyDescent="0.25">
      <c r="B124" s="253"/>
      <c r="C124" s="257"/>
      <c r="D124" s="266" t="s">
        <v>208</v>
      </c>
      <c r="E124" s="257">
        <v>0</v>
      </c>
      <c r="F124" s="256" t="s">
        <v>209</v>
      </c>
      <c r="H124" s="253"/>
      <c r="I124" s="257"/>
      <c r="J124" s="266" t="s">
        <v>208</v>
      </c>
      <c r="K124" s="257">
        <v>0</v>
      </c>
      <c r="L124" s="256" t="s">
        <v>209</v>
      </c>
      <c r="N124" s="253"/>
      <c r="O124" s="257"/>
      <c r="P124" s="266" t="s">
        <v>208</v>
      </c>
      <c r="Q124" s="257">
        <v>0</v>
      </c>
      <c r="R124" s="256" t="s">
        <v>209</v>
      </c>
      <c r="T124" s="253"/>
      <c r="U124" s="257"/>
      <c r="V124" s="266" t="s">
        <v>208</v>
      </c>
      <c r="W124" s="257">
        <v>0</v>
      </c>
      <c r="X124" s="256" t="s">
        <v>209</v>
      </c>
      <c r="Z124" s="253"/>
      <c r="AA124" s="257"/>
      <c r="AB124" s="266" t="s">
        <v>208</v>
      </c>
      <c r="AC124" s="257">
        <v>0</v>
      </c>
      <c r="AD124" s="256" t="s">
        <v>209</v>
      </c>
    </row>
    <row r="125" spans="2:30" ht="15.75" thickBot="1" x14ac:dyDescent="0.3">
      <c r="B125" s="271"/>
      <c r="C125" s="272"/>
      <c r="D125" s="273"/>
      <c r="E125" s="272"/>
      <c r="F125" s="274"/>
      <c r="H125" s="271"/>
      <c r="I125" s="272"/>
      <c r="J125" s="273"/>
      <c r="K125" s="272"/>
      <c r="L125" s="274"/>
      <c r="N125" s="271"/>
      <c r="O125" s="272"/>
      <c r="P125" s="273"/>
      <c r="Q125" s="272"/>
      <c r="R125" s="274"/>
      <c r="T125" s="271"/>
      <c r="U125" s="272"/>
      <c r="V125" s="273"/>
      <c r="W125" s="272"/>
      <c r="X125" s="274"/>
      <c r="Z125" s="271"/>
      <c r="AA125" s="272"/>
      <c r="AB125" s="273"/>
      <c r="AC125" s="272"/>
      <c r="AD125" s="274"/>
    </row>
    <row r="126" spans="2:30" ht="15" customHeight="1" x14ac:dyDescent="0.25"/>
    <row r="127" spans="2:30" ht="15" customHeight="1" thickBot="1" x14ac:dyDescent="0.3"/>
    <row r="128" spans="2:30" ht="15" customHeight="1" x14ac:dyDescent="0.25">
      <c r="B128" s="428" t="s">
        <v>211</v>
      </c>
      <c r="C128" s="429"/>
      <c r="D128" s="429"/>
      <c r="E128" s="429"/>
      <c r="F128" s="430"/>
      <c r="H128" s="428" t="s">
        <v>211</v>
      </c>
      <c r="I128" s="429"/>
      <c r="J128" s="429"/>
      <c r="K128" s="429"/>
      <c r="L128" s="430"/>
      <c r="N128" s="428" t="s">
        <v>211</v>
      </c>
      <c r="O128" s="429"/>
      <c r="P128" s="429"/>
      <c r="Q128" s="429"/>
      <c r="R128" s="430"/>
      <c r="T128" s="428" t="s">
        <v>211</v>
      </c>
      <c r="U128" s="429"/>
      <c r="V128" s="429"/>
      <c r="W128" s="429"/>
      <c r="X128" s="430"/>
      <c r="Z128" s="428" t="s">
        <v>211</v>
      </c>
      <c r="AA128" s="429"/>
      <c r="AB128" s="429"/>
      <c r="AC128" s="429"/>
      <c r="AD128" s="430"/>
    </row>
    <row r="129" spans="2:30" ht="15" customHeight="1" thickBot="1" x14ac:dyDescent="0.3">
      <c r="B129" s="434" t="s">
        <v>153</v>
      </c>
      <c r="C129" s="435"/>
      <c r="D129" s="435"/>
      <c r="E129" s="435"/>
      <c r="F129" s="436"/>
      <c r="H129" s="434" t="s">
        <v>153</v>
      </c>
      <c r="I129" s="435"/>
      <c r="J129" s="435"/>
      <c r="K129" s="435"/>
      <c r="L129" s="436"/>
      <c r="N129" s="434" t="s">
        <v>153</v>
      </c>
      <c r="O129" s="435"/>
      <c r="P129" s="435"/>
      <c r="Q129" s="435"/>
      <c r="R129" s="436"/>
      <c r="T129" s="434" t="s">
        <v>153</v>
      </c>
      <c r="U129" s="435"/>
      <c r="V129" s="435"/>
      <c r="W129" s="435"/>
      <c r="X129" s="436"/>
      <c r="Z129" s="434" t="s">
        <v>153</v>
      </c>
      <c r="AA129" s="435"/>
      <c r="AB129" s="435"/>
      <c r="AC129" s="435"/>
      <c r="AD129" s="436"/>
    </row>
    <row r="130" spans="2:30" ht="15" customHeight="1" x14ac:dyDescent="0.25">
      <c r="B130" s="416" t="s">
        <v>154</v>
      </c>
      <c r="C130" s="417"/>
      <c r="D130" s="417"/>
      <c r="E130" s="417"/>
      <c r="F130" s="418"/>
      <c r="H130" s="416" t="s">
        <v>154</v>
      </c>
      <c r="I130" s="417"/>
      <c r="J130" s="417"/>
      <c r="K130" s="417"/>
      <c r="L130" s="418"/>
      <c r="N130" s="416" t="s">
        <v>154</v>
      </c>
      <c r="O130" s="417"/>
      <c r="P130" s="417"/>
      <c r="Q130" s="417"/>
      <c r="R130" s="418"/>
      <c r="T130" s="416" t="s">
        <v>154</v>
      </c>
      <c r="U130" s="417"/>
      <c r="V130" s="417"/>
      <c r="W130" s="417"/>
      <c r="X130" s="418"/>
      <c r="Z130" s="416" t="s">
        <v>154</v>
      </c>
      <c r="AA130" s="417"/>
      <c r="AB130" s="417"/>
      <c r="AC130" s="417"/>
      <c r="AD130" s="418"/>
    </row>
    <row r="131" spans="2:30" ht="15" customHeight="1" thickBot="1" x14ac:dyDescent="0.3">
      <c r="B131" s="419" t="s">
        <v>155</v>
      </c>
      <c r="C131" s="420"/>
      <c r="D131" s="421"/>
      <c r="E131" s="422"/>
      <c r="F131" s="423"/>
      <c r="H131" s="419" t="s">
        <v>155</v>
      </c>
      <c r="I131" s="420"/>
      <c r="J131" s="421"/>
      <c r="K131" s="422"/>
      <c r="L131" s="423"/>
      <c r="N131" s="419" t="s">
        <v>155</v>
      </c>
      <c r="O131" s="420"/>
      <c r="P131" s="421"/>
      <c r="Q131" s="422"/>
      <c r="R131" s="423"/>
      <c r="T131" s="419" t="s">
        <v>155</v>
      </c>
      <c r="U131" s="420"/>
      <c r="V131" s="421"/>
      <c r="W131" s="422"/>
      <c r="X131" s="423"/>
      <c r="Z131" s="419" t="s">
        <v>155</v>
      </c>
      <c r="AA131" s="420"/>
      <c r="AB131" s="421"/>
      <c r="AC131" s="422"/>
      <c r="AD131" s="423"/>
    </row>
    <row r="132" spans="2:30" ht="15" customHeight="1" thickBot="1" x14ac:dyDescent="0.3">
      <c r="B132" s="250" t="s">
        <v>108</v>
      </c>
      <c r="C132" s="251" t="s">
        <v>156</v>
      </c>
      <c r="D132" s="251" t="s">
        <v>157</v>
      </c>
      <c r="E132" s="251" t="s">
        <v>158</v>
      </c>
      <c r="F132" s="252" t="s">
        <v>159</v>
      </c>
      <c r="H132" s="250" t="s">
        <v>108</v>
      </c>
      <c r="I132" s="251" t="s">
        <v>156</v>
      </c>
      <c r="J132" s="251" t="s">
        <v>157</v>
      </c>
      <c r="K132" s="251" t="s">
        <v>158</v>
      </c>
      <c r="L132" s="252" t="s">
        <v>159</v>
      </c>
      <c r="N132" s="250" t="s">
        <v>108</v>
      </c>
      <c r="O132" s="251" t="s">
        <v>156</v>
      </c>
      <c r="P132" s="251" t="s">
        <v>157</v>
      </c>
      <c r="Q132" s="251" t="s">
        <v>158</v>
      </c>
      <c r="R132" s="252" t="s">
        <v>159</v>
      </c>
      <c r="T132" s="250" t="s">
        <v>108</v>
      </c>
      <c r="U132" s="251" t="s">
        <v>156</v>
      </c>
      <c r="V132" s="251" t="s">
        <v>157</v>
      </c>
      <c r="W132" s="251" t="s">
        <v>158</v>
      </c>
      <c r="X132" s="252" t="s">
        <v>159</v>
      </c>
      <c r="Z132" s="250" t="s">
        <v>108</v>
      </c>
      <c r="AA132" s="251" t="s">
        <v>156</v>
      </c>
      <c r="AB132" s="251" t="s">
        <v>157</v>
      </c>
      <c r="AC132" s="251" t="s">
        <v>158</v>
      </c>
      <c r="AD132" s="252" t="s">
        <v>159</v>
      </c>
    </row>
    <row r="133" spans="2:30" ht="15" customHeight="1" x14ac:dyDescent="0.25">
      <c r="B133" s="424" t="s">
        <v>160</v>
      </c>
      <c r="C133" s="425"/>
      <c r="D133" s="425"/>
      <c r="E133" s="425"/>
      <c r="F133" s="426"/>
      <c r="H133" s="424" t="s">
        <v>160</v>
      </c>
      <c r="I133" s="425"/>
      <c r="J133" s="425"/>
      <c r="K133" s="425"/>
      <c r="L133" s="426"/>
      <c r="N133" s="424" t="s">
        <v>160</v>
      </c>
      <c r="O133" s="425"/>
      <c r="P133" s="425"/>
      <c r="Q133" s="425"/>
      <c r="R133" s="426"/>
      <c r="T133" s="424" t="s">
        <v>160</v>
      </c>
      <c r="U133" s="425"/>
      <c r="V133" s="425"/>
      <c r="W133" s="425"/>
      <c r="X133" s="426"/>
      <c r="Z133" s="424" t="s">
        <v>160</v>
      </c>
      <c r="AA133" s="425"/>
      <c r="AB133" s="425"/>
      <c r="AC133" s="425"/>
      <c r="AD133" s="426"/>
    </row>
    <row r="134" spans="2:30" ht="15" customHeight="1" x14ac:dyDescent="0.25">
      <c r="B134" s="253"/>
      <c r="C134" s="254" t="s">
        <v>161</v>
      </c>
      <c r="D134" s="254"/>
      <c r="E134" s="257" t="s">
        <v>144</v>
      </c>
      <c r="F134" s="256"/>
      <c r="H134" s="253"/>
      <c r="I134" s="254" t="s">
        <v>161</v>
      </c>
      <c r="J134" s="254"/>
      <c r="K134" s="257" t="s">
        <v>236</v>
      </c>
      <c r="L134" s="256"/>
      <c r="N134" s="253"/>
      <c r="O134" s="254" t="s">
        <v>161</v>
      </c>
      <c r="P134" s="254"/>
      <c r="Q134" s="257" t="s">
        <v>144</v>
      </c>
      <c r="R134" s="256"/>
      <c r="T134" s="253"/>
      <c r="U134" s="254" t="s">
        <v>161</v>
      </c>
      <c r="V134" s="254"/>
      <c r="W134" s="257" t="s">
        <v>230</v>
      </c>
      <c r="X134" s="256"/>
      <c r="Z134" s="253"/>
      <c r="AA134" s="254" t="s">
        <v>161</v>
      </c>
      <c r="AB134" s="254"/>
      <c r="AC134" s="257" t="s">
        <v>237</v>
      </c>
      <c r="AD134" s="256"/>
    </row>
    <row r="135" spans="2:30" ht="15" customHeight="1" x14ac:dyDescent="0.25">
      <c r="B135" s="253"/>
      <c r="C135" s="254" t="s">
        <v>162</v>
      </c>
      <c r="D135" s="254"/>
      <c r="E135" s="257" t="s">
        <v>238</v>
      </c>
      <c r="F135" s="256"/>
      <c r="H135" s="253"/>
      <c r="I135" s="254" t="s">
        <v>162</v>
      </c>
      <c r="J135" s="254"/>
      <c r="K135" s="257" t="s">
        <v>163</v>
      </c>
      <c r="L135" s="256"/>
      <c r="N135" s="253"/>
      <c r="O135" s="254" t="s">
        <v>162</v>
      </c>
      <c r="P135" s="254"/>
      <c r="Q135" s="257" t="s">
        <v>239</v>
      </c>
      <c r="R135" s="256"/>
      <c r="T135" s="253"/>
      <c r="U135" s="254" t="s">
        <v>162</v>
      </c>
      <c r="V135" s="254"/>
      <c r="W135" s="257" t="s">
        <v>240</v>
      </c>
      <c r="X135" s="256"/>
      <c r="Z135" s="253"/>
      <c r="AA135" s="254" t="s">
        <v>162</v>
      </c>
      <c r="AB135" s="254"/>
      <c r="AC135" s="257" t="s">
        <v>241</v>
      </c>
      <c r="AD135" s="256"/>
    </row>
    <row r="136" spans="2:30" ht="15" customHeight="1" x14ac:dyDescent="0.25">
      <c r="B136" s="253"/>
      <c r="C136" s="254" t="s">
        <v>165</v>
      </c>
      <c r="D136" s="254"/>
      <c r="E136" s="257"/>
      <c r="F136" s="256"/>
      <c r="H136" s="253"/>
      <c r="I136" s="254" t="s">
        <v>165</v>
      </c>
      <c r="J136" s="254"/>
      <c r="K136" s="257"/>
      <c r="L136" s="256"/>
      <c r="N136" s="253"/>
      <c r="O136" s="254" t="s">
        <v>165</v>
      </c>
      <c r="P136" s="254"/>
      <c r="Q136" s="257"/>
      <c r="R136" s="256"/>
      <c r="T136" s="253"/>
      <c r="U136" s="254" t="s">
        <v>165</v>
      </c>
      <c r="V136" s="254"/>
      <c r="W136" s="257"/>
      <c r="X136" s="256"/>
      <c r="Z136" s="253"/>
      <c r="AA136" s="254" t="s">
        <v>165</v>
      </c>
      <c r="AB136" s="254"/>
      <c r="AC136" s="257"/>
      <c r="AD136" s="256"/>
    </row>
    <row r="137" spans="2:30" ht="15" customHeight="1" x14ac:dyDescent="0.25">
      <c r="B137" s="253"/>
      <c r="C137" s="254"/>
      <c r="D137" s="254" t="s">
        <v>166</v>
      </c>
      <c r="E137" s="257"/>
      <c r="F137" s="256"/>
      <c r="H137" s="253"/>
      <c r="I137" s="254"/>
      <c r="J137" s="254" t="s">
        <v>166</v>
      </c>
      <c r="K137" s="257"/>
      <c r="L137" s="256"/>
      <c r="N137" s="253"/>
      <c r="O137" s="254"/>
      <c r="P137" s="254" t="s">
        <v>166</v>
      </c>
      <c r="Q137" s="257"/>
      <c r="R137" s="256"/>
      <c r="T137" s="253"/>
      <c r="U137" s="254"/>
      <c r="V137" s="254" t="s">
        <v>166</v>
      </c>
      <c r="W137" s="257"/>
      <c r="X137" s="256"/>
      <c r="Z137" s="253"/>
      <c r="AA137" s="254"/>
      <c r="AB137" s="254" t="s">
        <v>166</v>
      </c>
      <c r="AC137" s="257"/>
      <c r="AD137" s="256"/>
    </row>
    <row r="138" spans="2:30" ht="15" customHeight="1" x14ac:dyDescent="0.25">
      <c r="B138" s="253"/>
      <c r="C138" s="254"/>
      <c r="D138" s="254" t="s">
        <v>167</v>
      </c>
      <c r="E138" s="257"/>
      <c r="F138" s="256" t="s">
        <v>168</v>
      </c>
      <c r="H138" s="253"/>
      <c r="I138" s="254"/>
      <c r="J138" s="254" t="s">
        <v>167</v>
      </c>
      <c r="K138" s="257"/>
      <c r="L138" s="256" t="s">
        <v>168</v>
      </c>
      <c r="N138" s="253"/>
      <c r="O138" s="254"/>
      <c r="P138" s="254" t="s">
        <v>167</v>
      </c>
      <c r="Q138" s="257"/>
      <c r="R138" s="256" t="s">
        <v>168</v>
      </c>
      <c r="T138" s="253"/>
      <c r="U138" s="254"/>
      <c r="V138" s="254" t="s">
        <v>167</v>
      </c>
      <c r="W138" s="257"/>
      <c r="X138" s="256" t="s">
        <v>168</v>
      </c>
      <c r="Z138" s="253"/>
      <c r="AA138" s="254"/>
      <c r="AB138" s="254" t="s">
        <v>167</v>
      </c>
      <c r="AC138" s="257"/>
      <c r="AD138" s="256" t="s">
        <v>168</v>
      </c>
    </row>
    <row r="139" spans="2:30" ht="15" customHeight="1" x14ac:dyDescent="0.25">
      <c r="B139" s="253"/>
      <c r="C139" s="254" t="s">
        <v>169</v>
      </c>
      <c r="D139" s="254"/>
      <c r="E139" s="259"/>
      <c r="F139" s="256" t="s">
        <v>170</v>
      </c>
      <c r="H139" s="253"/>
      <c r="I139" s="254" t="s">
        <v>169</v>
      </c>
      <c r="J139" s="254"/>
      <c r="K139" s="259"/>
      <c r="L139" s="256" t="s">
        <v>170</v>
      </c>
      <c r="N139" s="253"/>
      <c r="O139" s="254" t="s">
        <v>169</v>
      </c>
      <c r="P139" s="254"/>
      <c r="Q139" s="259"/>
      <c r="R139" s="256" t="s">
        <v>170</v>
      </c>
      <c r="T139" s="253"/>
      <c r="U139" s="254" t="s">
        <v>169</v>
      </c>
      <c r="V139" s="254"/>
      <c r="W139" s="259"/>
      <c r="X139" s="256" t="s">
        <v>170</v>
      </c>
      <c r="Z139" s="253"/>
      <c r="AA139" s="254" t="s">
        <v>169</v>
      </c>
      <c r="AB139" s="254"/>
      <c r="AC139" s="259"/>
      <c r="AD139" s="256" t="s">
        <v>170</v>
      </c>
    </row>
    <row r="140" spans="2:30" ht="15" customHeight="1" x14ac:dyDescent="0.25">
      <c r="B140" s="253"/>
      <c r="C140" s="254" t="s">
        <v>172</v>
      </c>
      <c r="D140" s="254"/>
      <c r="E140" s="257">
        <f>5*12*30</f>
        <v>1800</v>
      </c>
      <c r="F140" s="256" t="s">
        <v>173</v>
      </c>
      <c r="H140" s="253"/>
      <c r="I140" s="254" t="s">
        <v>172</v>
      </c>
      <c r="J140" s="254"/>
      <c r="K140" s="257">
        <f>5*12*30</f>
        <v>1800</v>
      </c>
      <c r="L140" s="256" t="s">
        <v>173</v>
      </c>
      <c r="N140" s="253"/>
      <c r="O140" s="254" t="s">
        <v>172</v>
      </c>
      <c r="P140" s="254"/>
      <c r="Q140" s="257">
        <f>5*12*30</f>
        <v>1800</v>
      </c>
      <c r="R140" s="256" t="s">
        <v>173</v>
      </c>
      <c r="T140" s="253"/>
      <c r="U140" s="254" t="s">
        <v>172</v>
      </c>
      <c r="V140" s="254"/>
      <c r="W140" s="257">
        <f>5*12*30</f>
        <v>1800</v>
      </c>
      <c r="X140" s="256" t="s">
        <v>173</v>
      </c>
      <c r="Z140" s="253"/>
      <c r="AA140" s="254" t="s">
        <v>172</v>
      </c>
      <c r="AB140" s="254"/>
      <c r="AC140" s="257">
        <f>5*12*30</f>
        <v>1800</v>
      </c>
      <c r="AD140" s="256" t="s">
        <v>173</v>
      </c>
    </row>
    <row r="141" spans="2:30" ht="15" customHeight="1" x14ac:dyDescent="0.25">
      <c r="B141" s="260"/>
      <c r="C141" s="261" t="s">
        <v>175</v>
      </c>
      <c r="D141" s="261"/>
      <c r="E141" s="262" t="str">
        <f>'Data Lingkungan_IC'!CZ65</f>
        <v>off</v>
      </c>
      <c r="F141" s="263"/>
      <c r="H141" s="260"/>
      <c r="I141" s="261" t="s">
        <v>175</v>
      </c>
      <c r="J141" s="261"/>
      <c r="K141" s="262" t="str">
        <f>'Data Lingkungan_IC'!DR63</f>
        <v>off</v>
      </c>
      <c r="L141" s="263"/>
      <c r="N141" s="260"/>
      <c r="O141" s="261" t="s">
        <v>175</v>
      </c>
      <c r="P141" s="261"/>
      <c r="Q141" s="262" t="str">
        <f>'Data Lingkungan_IC'!DI64</f>
        <v>off</v>
      </c>
      <c r="R141" s="263"/>
      <c r="T141" s="260"/>
      <c r="U141" s="261" t="s">
        <v>175</v>
      </c>
      <c r="V141" s="261"/>
      <c r="W141" s="262" t="str">
        <f>'Data Lingkungan_IC'!N62</f>
        <v>off</v>
      </c>
      <c r="X141" s="263"/>
      <c r="Z141" s="260"/>
      <c r="AA141" s="261" t="s">
        <v>175</v>
      </c>
      <c r="AB141" s="261"/>
      <c r="AC141" s="262" t="str">
        <f>'Data Lingkungan_IC'!CZ63</f>
        <v>on</v>
      </c>
      <c r="AD141" s="263"/>
    </row>
    <row r="142" spans="2:30" x14ac:dyDescent="0.25">
      <c r="B142" s="253"/>
      <c r="C142" s="254" t="s">
        <v>177</v>
      </c>
      <c r="D142" s="254"/>
      <c r="E142" s="257">
        <v>0</v>
      </c>
      <c r="F142" s="256" t="s">
        <v>173</v>
      </c>
      <c r="H142" s="253"/>
      <c r="I142" s="254" t="s">
        <v>177</v>
      </c>
      <c r="J142" s="254"/>
      <c r="K142" s="257">
        <v>0</v>
      </c>
      <c r="L142" s="256" t="s">
        <v>173</v>
      </c>
      <c r="N142" s="253"/>
      <c r="O142" s="254" t="s">
        <v>177</v>
      </c>
      <c r="P142" s="254"/>
      <c r="Q142" s="257">
        <v>0</v>
      </c>
      <c r="R142" s="256" t="s">
        <v>173</v>
      </c>
      <c r="T142" s="253"/>
      <c r="U142" s="254" t="s">
        <v>177</v>
      </c>
      <c r="V142" s="254"/>
      <c r="W142" s="257">
        <v>0</v>
      </c>
      <c r="X142" s="256" t="s">
        <v>173</v>
      </c>
      <c r="Z142" s="253"/>
      <c r="AA142" s="254" t="s">
        <v>177</v>
      </c>
      <c r="AB142" s="254"/>
      <c r="AC142" s="257">
        <v>0</v>
      </c>
      <c r="AD142" s="256" t="s">
        <v>173</v>
      </c>
    </row>
    <row r="143" spans="2:30" x14ac:dyDescent="0.25">
      <c r="B143" s="253"/>
      <c r="C143" s="254" t="s">
        <v>179</v>
      </c>
      <c r="D143" s="254"/>
      <c r="E143" s="264">
        <f>E140-E142-(E144+E146)/2*10</f>
        <v>1799.5</v>
      </c>
      <c r="F143" s="256" t="s">
        <v>173</v>
      </c>
      <c r="H143" s="253"/>
      <c r="I143" s="254" t="s">
        <v>179</v>
      </c>
      <c r="J143" s="254"/>
      <c r="K143" s="264">
        <f>K140-K142-(K144+K146)/2*10</f>
        <v>1798</v>
      </c>
      <c r="L143" s="256" t="s">
        <v>173</v>
      </c>
      <c r="N143" s="253"/>
      <c r="O143" s="254" t="s">
        <v>179</v>
      </c>
      <c r="P143" s="254"/>
      <c r="Q143" s="264">
        <f>Q140-Q142-(Q144+Q146)/2*10</f>
        <v>1799.5</v>
      </c>
      <c r="R143" s="256" t="s">
        <v>173</v>
      </c>
      <c r="T143" s="253"/>
      <c r="U143" s="254" t="s">
        <v>179</v>
      </c>
      <c r="V143" s="254"/>
      <c r="W143" s="264">
        <f>W140-W142-(W144+W146)/2*10</f>
        <v>1799.5</v>
      </c>
      <c r="X143" s="256" t="s">
        <v>173</v>
      </c>
      <c r="Z143" s="253"/>
      <c r="AA143" s="254" t="s">
        <v>179</v>
      </c>
      <c r="AB143" s="254"/>
      <c r="AC143" s="264">
        <f>AC140-AC142-(AC144+AC146)/2*10</f>
        <v>1799.5</v>
      </c>
      <c r="AD143" s="256" t="s">
        <v>173</v>
      </c>
    </row>
    <row r="144" spans="2:30" x14ac:dyDescent="0.25">
      <c r="B144" s="253"/>
      <c r="C144" s="254" t="s">
        <v>181</v>
      </c>
      <c r="D144" s="254" t="s">
        <v>182</v>
      </c>
      <c r="E144" s="265">
        <f>((E142/E140)*10-E145)</f>
        <v>0</v>
      </c>
      <c r="F144" s="256" t="s">
        <v>183</v>
      </c>
      <c r="H144" s="253"/>
      <c r="I144" s="254" t="s">
        <v>181</v>
      </c>
      <c r="J144" s="254" t="s">
        <v>182</v>
      </c>
      <c r="K144" s="265">
        <f>((K142/K140)*10-K145)</f>
        <v>0</v>
      </c>
      <c r="L144" s="256" t="s">
        <v>183</v>
      </c>
      <c r="N144" s="253"/>
      <c r="O144" s="254" t="s">
        <v>181</v>
      </c>
      <c r="P144" s="254" t="s">
        <v>182</v>
      </c>
      <c r="Q144" s="265">
        <f>((Q142/Q140)*10-Q145)</f>
        <v>0</v>
      </c>
      <c r="R144" s="256" t="s">
        <v>183</v>
      </c>
      <c r="T144" s="253"/>
      <c r="U144" s="254" t="s">
        <v>181</v>
      </c>
      <c r="V144" s="254" t="s">
        <v>182</v>
      </c>
      <c r="W144" s="265">
        <f>((W142/W140)*10-W145)</f>
        <v>0</v>
      </c>
      <c r="X144" s="256" t="s">
        <v>183</v>
      </c>
      <c r="Z144" s="253"/>
      <c r="AA144" s="254" t="s">
        <v>181</v>
      </c>
      <c r="AB144" s="254" t="s">
        <v>182</v>
      </c>
      <c r="AC144" s="265">
        <f>((AC142/AC140)*10-AC145)</f>
        <v>0</v>
      </c>
      <c r="AD144" s="256" t="s">
        <v>183</v>
      </c>
    </row>
    <row r="145" spans="2:30" ht="30" x14ac:dyDescent="0.25">
      <c r="B145" s="253"/>
      <c r="C145" s="254"/>
      <c r="D145" s="266" t="s">
        <v>185</v>
      </c>
      <c r="E145" s="267">
        <v>0</v>
      </c>
      <c r="F145" s="256" t="s">
        <v>186</v>
      </c>
      <c r="H145" s="253"/>
      <c r="I145" s="254"/>
      <c r="J145" s="266" t="s">
        <v>185</v>
      </c>
      <c r="K145" s="267">
        <v>0</v>
      </c>
      <c r="L145" s="256" t="s">
        <v>186</v>
      </c>
      <c r="N145" s="253"/>
      <c r="O145" s="254"/>
      <c r="P145" s="266" t="s">
        <v>185</v>
      </c>
      <c r="Q145" s="267">
        <v>0</v>
      </c>
      <c r="R145" s="256" t="s">
        <v>186</v>
      </c>
      <c r="T145" s="253"/>
      <c r="U145" s="254"/>
      <c r="V145" s="266" t="s">
        <v>185</v>
      </c>
      <c r="W145" s="267">
        <v>0</v>
      </c>
      <c r="X145" s="256" t="s">
        <v>186</v>
      </c>
      <c r="Z145" s="253"/>
      <c r="AA145" s="254"/>
      <c r="AB145" s="266" t="s">
        <v>185</v>
      </c>
      <c r="AC145" s="267">
        <v>0</v>
      </c>
      <c r="AD145" s="256" t="s">
        <v>186</v>
      </c>
    </row>
    <row r="146" spans="2:30" x14ac:dyDescent="0.25">
      <c r="B146" s="253"/>
      <c r="C146" s="254" t="s">
        <v>188</v>
      </c>
      <c r="D146" s="254" t="s">
        <v>182</v>
      </c>
      <c r="E146" s="267">
        <f>'Data Lingkungan_IC'!DC66</f>
        <v>0.1</v>
      </c>
      <c r="F146" s="256" t="s">
        <v>183</v>
      </c>
      <c r="H146" s="253"/>
      <c r="I146" s="254" t="s">
        <v>188</v>
      </c>
      <c r="J146" s="254" t="s">
        <v>182</v>
      </c>
      <c r="K146" s="267">
        <f>'Data Lingkungan_IC'!DU63</f>
        <v>0.4</v>
      </c>
      <c r="L146" s="256" t="s">
        <v>183</v>
      </c>
      <c r="N146" s="253"/>
      <c r="O146" s="254" t="s">
        <v>188</v>
      </c>
      <c r="P146" s="254" t="s">
        <v>182</v>
      </c>
      <c r="Q146" s="267">
        <f>'Data Lingkungan_IC'!DL64</f>
        <v>0.1</v>
      </c>
      <c r="R146" s="256" t="s">
        <v>183</v>
      </c>
      <c r="T146" s="253"/>
      <c r="U146" s="254" t="s">
        <v>188</v>
      </c>
      <c r="V146" s="254" t="s">
        <v>182</v>
      </c>
      <c r="W146" s="267">
        <f>'Data Lingkungan_IC'!Q62</f>
        <v>0.1</v>
      </c>
      <c r="X146" s="256" t="s">
        <v>183</v>
      </c>
      <c r="Z146" s="253"/>
      <c r="AA146" s="254" t="s">
        <v>188</v>
      </c>
      <c r="AB146" s="254" t="s">
        <v>182</v>
      </c>
      <c r="AC146" s="267">
        <f>'Data Lingkungan_IC'!DC63</f>
        <v>0.1</v>
      </c>
      <c r="AD146" s="256" t="s">
        <v>183</v>
      </c>
    </row>
    <row r="147" spans="2:30" ht="30" x14ac:dyDescent="0.25">
      <c r="B147" s="253"/>
      <c r="C147" s="254" t="s">
        <v>190</v>
      </c>
      <c r="D147" s="254"/>
      <c r="E147" s="268">
        <f>(E143/E140)</f>
        <v>0.99972222222222218</v>
      </c>
      <c r="F147" s="256" t="s">
        <v>191</v>
      </c>
      <c r="H147" s="253"/>
      <c r="I147" s="254" t="s">
        <v>190</v>
      </c>
      <c r="J147" s="254"/>
      <c r="K147" s="268">
        <f>(K143/K140)</f>
        <v>0.99888888888888894</v>
      </c>
      <c r="L147" s="256" t="s">
        <v>191</v>
      </c>
      <c r="N147" s="253"/>
      <c r="O147" s="254" t="s">
        <v>190</v>
      </c>
      <c r="P147" s="254"/>
      <c r="Q147" s="268">
        <f>(Q143/Q140)</f>
        <v>0.99972222222222218</v>
      </c>
      <c r="R147" s="256" t="s">
        <v>191</v>
      </c>
      <c r="T147" s="253"/>
      <c r="U147" s="254" t="s">
        <v>190</v>
      </c>
      <c r="V147" s="254"/>
      <c r="W147" s="268">
        <f>(W143/W140)</f>
        <v>0.99972222222222218</v>
      </c>
      <c r="X147" s="256" t="s">
        <v>191</v>
      </c>
      <c r="Z147" s="253"/>
      <c r="AA147" s="254" t="s">
        <v>190</v>
      </c>
      <c r="AB147" s="254"/>
      <c r="AC147" s="268">
        <f>(AC143/AC140)</f>
        <v>0.99972222222222218</v>
      </c>
      <c r="AD147" s="256" t="s">
        <v>191</v>
      </c>
    </row>
    <row r="148" spans="2:30" x14ac:dyDescent="0.25">
      <c r="B148" s="253"/>
      <c r="C148" s="254" t="s">
        <v>193</v>
      </c>
      <c r="D148" s="254"/>
      <c r="E148" s="257"/>
      <c r="F148" s="256"/>
      <c r="H148" s="253"/>
      <c r="I148" s="254" t="s">
        <v>193</v>
      </c>
      <c r="J148" s="254"/>
      <c r="K148" s="257"/>
      <c r="L148" s="256"/>
      <c r="N148" s="253"/>
      <c r="O148" s="254" t="s">
        <v>193</v>
      </c>
      <c r="P148" s="254"/>
      <c r="Q148" s="257"/>
      <c r="R148" s="256"/>
      <c r="T148" s="253"/>
      <c r="U148" s="254" t="s">
        <v>193</v>
      </c>
      <c r="V148" s="254"/>
      <c r="W148" s="257"/>
      <c r="X148" s="256"/>
      <c r="Z148" s="253"/>
      <c r="AA148" s="254" t="s">
        <v>193</v>
      </c>
      <c r="AB148" s="254"/>
      <c r="AC148" s="257"/>
      <c r="AD148" s="256"/>
    </row>
    <row r="149" spans="2:30" x14ac:dyDescent="0.25">
      <c r="B149" s="253"/>
      <c r="C149" s="254"/>
      <c r="D149" s="254" t="s">
        <v>194</v>
      </c>
      <c r="E149" s="257"/>
      <c r="F149" s="256"/>
      <c r="H149" s="253"/>
      <c r="I149" s="254"/>
      <c r="J149" s="254" t="s">
        <v>194</v>
      </c>
      <c r="K149" s="257"/>
      <c r="L149" s="256"/>
      <c r="N149" s="253"/>
      <c r="O149" s="254"/>
      <c r="P149" s="254" t="s">
        <v>194</v>
      </c>
      <c r="Q149" s="257"/>
      <c r="R149" s="256"/>
      <c r="T149" s="253"/>
      <c r="U149" s="254"/>
      <c r="V149" s="254" t="s">
        <v>194</v>
      </c>
      <c r="W149" s="257"/>
      <c r="X149" s="256"/>
      <c r="Z149" s="253"/>
      <c r="AA149" s="254"/>
      <c r="AB149" s="254" t="s">
        <v>194</v>
      </c>
      <c r="AC149" s="257"/>
      <c r="AD149" s="256"/>
    </row>
    <row r="150" spans="2:30" x14ac:dyDescent="0.25">
      <c r="B150" s="253"/>
      <c r="C150" s="254"/>
      <c r="D150" s="254" t="s">
        <v>196</v>
      </c>
      <c r="E150" s="257" t="s">
        <v>197</v>
      </c>
      <c r="F150" s="256"/>
      <c r="H150" s="253"/>
      <c r="I150" s="254"/>
      <c r="J150" s="254" t="s">
        <v>196</v>
      </c>
      <c r="K150" s="257" t="s">
        <v>197</v>
      </c>
      <c r="L150" s="256"/>
      <c r="N150" s="253"/>
      <c r="O150" s="254"/>
      <c r="P150" s="254" t="s">
        <v>196</v>
      </c>
      <c r="Q150" s="257" t="s">
        <v>197</v>
      </c>
      <c r="R150" s="256"/>
      <c r="T150" s="253"/>
      <c r="U150" s="254"/>
      <c r="V150" s="254" t="s">
        <v>196</v>
      </c>
      <c r="W150" s="257" t="s">
        <v>197</v>
      </c>
      <c r="X150" s="256"/>
      <c r="Z150" s="253"/>
      <c r="AA150" s="254"/>
      <c r="AB150" s="254" t="s">
        <v>196</v>
      </c>
      <c r="AC150" s="257" t="s">
        <v>197</v>
      </c>
      <c r="AD150" s="256"/>
    </row>
    <row r="151" spans="2:30" ht="15" customHeight="1" x14ac:dyDescent="0.25">
      <c r="B151" s="253"/>
      <c r="C151" s="257"/>
      <c r="D151" s="266" t="s">
        <v>198</v>
      </c>
      <c r="E151" s="257">
        <f>Peralatan_IC!J62/1000</f>
        <v>7.3200000000000001E-2</v>
      </c>
      <c r="F151" s="256" t="s">
        <v>199</v>
      </c>
      <c r="H151" s="253"/>
      <c r="I151" s="257"/>
      <c r="J151" s="266" t="s">
        <v>198</v>
      </c>
      <c r="K151" s="257">
        <v>0.14680000000000001</v>
      </c>
      <c r="L151" s="256" t="s">
        <v>199</v>
      </c>
      <c r="N151" s="253"/>
      <c r="O151" s="257"/>
      <c r="P151" s="266" t="s">
        <v>198</v>
      </c>
      <c r="Q151" s="257">
        <f>Peralatan_IC!J62/1000</f>
        <v>7.3200000000000001E-2</v>
      </c>
      <c r="R151" s="256" t="s">
        <v>199</v>
      </c>
      <c r="T151" s="253"/>
      <c r="U151" s="257"/>
      <c r="V151" s="266" t="s">
        <v>198</v>
      </c>
      <c r="W151" s="277">
        <f>Peralatan_IC!J69/1000</f>
        <v>0.125</v>
      </c>
      <c r="X151" s="256" t="s">
        <v>199</v>
      </c>
      <c r="Z151" s="253"/>
      <c r="AA151" s="257"/>
      <c r="AB151" s="266" t="s">
        <v>198</v>
      </c>
      <c r="AC151" s="277"/>
      <c r="AD151" s="256" t="s">
        <v>199</v>
      </c>
    </row>
    <row r="152" spans="2:30" ht="15" customHeight="1" x14ac:dyDescent="0.25">
      <c r="B152" s="253"/>
      <c r="C152" s="257"/>
      <c r="D152" s="266" t="s">
        <v>201</v>
      </c>
      <c r="E152" s="257">
        <f>'Data Lingkungan_IC'!DB66/60</f>
        <v>12</v>
      </c>
      <c r="F152" s="256" t="s">
        <v>202</v>
      </c>
      <c r="H152" s="253"/>
      <c r="I152" s="257"/>
      <c r="J152" s="266" t="s">
        <v>201</v>
      </c>
      <c r="K152" s="257">
        <f>'Data Lingkungan_IC'!DT63/60</f>
        <v>1.9999999999999996</v>
      </c>
      <c r="L152" s="256" t="s">
        <v>202</v>
      </c>
      <c r="N152" s="253"/>
      <c r="O152" s="257"/>
      <c r="P152" s="266" t="s">
        <v>201</v>
      </c>
      <c r="Q152" s="257">
        <f>'Data Lingkungan_IC'!DK64/60</f>
        <v>4.9999999999999982</v>
      </c>
      <c r="R152" s="256" t="s">
        <v>202</v>
      </c>
      <c r="T152" s="253"/>
      <c r="U152" s="257"/>
      <c r="V152" s="266" t="s">
        <v>201</v>
      </c>
      <c r="W152" s="257">
        <f>'Data Lingkungan_IC'!P62/60</f>
        <v>0.50000000000000089</v>
      </c>
      <c r="X152" s="256" t="s">
        <v>202</v>
      </c>
      <c r="Z152" s="253"/>
      <c r="AA152" s="257"/>
      <c r="AB152" s="266" t="s">
        <v>201</v>
      </c>
      <c r="AC152" s="257">
        <f>'Data Lingkungan_IC'!DB63</f>
        <v>0</v>
      </c>
      <c r="AD152" s="256" t="s">
        <v>202</v>
      </c>
    </row>
    <row r="153" spans="2:30" x14ac:dyDescent="0.25">
      <c r="B153" s="253"/>
      <c r="C153" s="257"/>
      <c r="D153" s="266" t="s">
        <v>204</v>
      </c>
      <c r="E153" s="270">
        <f>E152*E151</f>
        <v>0.87840000000000007</v>
      </c>
      <c r="F153" s="256"/>
      <c r="H153" s="253"/>
      <c r="I153" s="257"/>
      <c r="J153" s="266" t="s">
        <v>204</v>
      </c>
      <c r="K153" s="270">
        <f>K152*K151</f>
        <v>0.29359999999999997</v>
      </c>
      <c r="L153" s="256"/>
      <c r="N153" s="253"/>
      <c r="O153" s="257"/>
      <c r="P153" s="266" t="s">
        <v>204</v>
      </c>
      <c r="Q153" s="270">
        <f>Q152*Q151</f>
        <v>0.36599999999999988</v>
      </c>
      <c r="R153" s="256"/>
      <c r="T153" s="253"/>
      <c r="U153" s="257"/>
      <c r="V153" s="266" t="s">
        <v>204</v>
      </c>
      <c r="W153" s="270">
        <f>W152*W151</f>
        <v>6.2500000000000111E-2</v>
      </c>
      <c r="X153" s="256"/>
      <c r="Z153" s="253"/>
      <c r="AA153" s="257"/>
      <c r="AB153" s="266" t="s">
        <v>204</v>
      </c>
      <c r="AC153" s="270">
        <f>AC152*AC151</f>
        <v>0</v>
      </c>
      <c r="AD153" s="256"/>
    </row>
    <row r="154" spans="2:30" ht="30" x14ac:dyDescent="0.25">
      <c r="B154" s="253"/>
      <c r="C154" s="257"/>
      <c r="D154" s="266" t="s">
        <v>185</v>
      </c>
      <c r="E154" s="257">
        <v>0</v>
      </c>
      <c r="F154" s="256" t="s">
        <v>206</v>
      </c>
      <c r="H154" s="253"/>
      <c r="I154" s="257"/>
      <c r="J154" s="266" t="s">
        <v>185</v>
      </c>
      <c r="K154" s="257">
        <v>0</v>
      </c>
      <c r="L154" s="256" t="s">
        <v>206</v>
      </c>
      <c r="N154" s="253"/>
      <c r="O154" s="257"/>
      <c r="P154" s="266" t="s">
        <v>185</v>
      </c>
      <c r="Q154" s="257">
        <v>0</v>
      </c>
      <c r="R154" s="256" t="s">
        <v>206</v>
      </c>
      <c r="T154" s="253"/>
      <c r="U154" s="257"/>
      <c r="V154" s="266" t="s">
        <v>185</v>
      </c>
      <c r="W154" s="257">
        <v>0</v>
      </c>
      <c r="X154" s="256" t="s">
        <v>206</v>
      </c>
      <c r="Z154" s="253"/>
      <c r="AA154" s="257"/>
      <c r="AB154" s="266" t="s">
        <v>185</v>
      </c>
      <c r="AC154" s="257">
        <v>0</v>
      </c>
      <c r="AD154" s="256" t="s">
        <v>206</v>
      </c>
    </row>
    <row r="155" spans="2:30" x14ac:dyDescent="0.25">
      <c r="B155" s="253"/>
      <c r="C155" s="257"/>
      <c r="D155" s="266" t="s">
        <v>208</v>
      </c>
      <c r="E155" s="257">
        <v>0</v>
      </c>
      <c r="F155" s="256" t="s">
        <v>209</v>
      </c>
      <c r="H155" s="253"/>
      <c r="I155" s="257"/>
      <c r="J155" s="266" t="s">
        <v>208</v>
      </c>
      <c r="K155" s="257">
        <v>0</v>
      </c>
      <c r="L155" s="256" t="s">
        <v>209</v>
      </c>
      <c r="N155" s="253"/>
      <c r="O155" s="257"/>
      <c r="P155" s="266" t="s">
        <v>208</v>
      </c>
      <c r="Q155" s="257">
        <v>0</v>
      </c>
      <c r="R155" s="256" t="s">
        <v>209</v>
      </c>
      <c r="T155" s="253"/>
      <c r="U155" s="257"/>
      <c r="V155" s="266" t="s">
        <v>208</v>
      </c>
      <c r="W155" s="257">
        <v>0</v>
      </c>
      <c r="X155" s="256" t="s">
        <v>209</v>
      </c>
      <c r="Z155" s="253"/>
      <c r="AA155" s="257"/>
      <c r="AB155" s="266" t="s">
        <v>208</v>
      </c>
      <c r="AC155" s="257">
        <v>0</v>
      </c>
      <c r="AD155" s="256" t="s">
        <v>209</v>
      </c>
    </row>
    <row r="156" spans="2:30" ht="15.75" thickBot="1" x14ac:dyDescent="0.3">
      <c r="B156" s="271"/>
      <c r="C156" s="272"/>
      <c r="D156" s="273"/>
      <c r="E156" s="272"/>
      <c r="F156" s="274"/>
      <c r="H156" s="271"/>
      <c r="I156" s="272"/>
      <c r="J156" s="273"/>
      <c r="K156" s="272"/>
      <c r="L156" s="274"/>
      <c r="N156" s="271"/>
      <c r="O156" s="272"/>
      <c r="P156" s="273"/>
      <c r="Q156" s="272"/>
      <c r="R156" s="274"/>
      <c r="T156" s="271"/>
      <c r="U156" s="272"/>
      <c r="V156" s="273"/>
      <c r="W156" s="272"/>
      <c r="X156" s="274"/>
      <c r="Z156" s="271"/>
      <c r="AA156" s="272"/>
      <c r="AB156" s="273"/>
      <c r="AC156" s="272"/>
      <c r="AD156" s="274"/>
    </row>
    <row r="157" spans="2:30" ht="15.75" thickBot="1" x14ac:dyDescent="0.3"/>
    <row r="158" spans="2:30" x14ac:dyDescent="0.25">
      <c r="H158" s="428" t="s">
        <v>211</v>
      </c>
      <c r="I158" s="429"/>
      <c r="J158" s="429"/>
      <c r="K158" s="429"/>
      <c r="L158" s="430"/>
    </row>
    <row r="159" spans="2:30" ht="15.75" thickBot="1" x14ac:dyDescent="0.3">
      <c r="H159" s="434" t="s">
        <v>153</v>
      </c>
      <c r="I159" s="435"/>
      <c r="J159" s="435"/>
      <c r="K159" s="435"/>
      <c r="L159" s="436"/>
    </row>
    <row r="160" spans="2:30" x14ac:dyDescent="0.25">
      <c r="H160" s="416" t="s">
        <v>154</v>
      </c>
      <c r="I160" s="417"/>
      <c r="J160" s="417"/>
      <c r="K160" s="417"/>
      <c r="L160" s="418"/>
    </row>
    <row r="161" spans="8:12" ht="15.75" thickBot="1" x14ac:dyDescent="0.3">
      <c r="H161" s="419" t="s">
        <v>155</v>
      </c>
      <c r="I161" s="420"/>
      <c r="J161" s="421"/>
      <c r="K161" s="422"/>
      <c r="L161" s="423"/>
    </row>
    <row r="162" spans="8:12" ht="15.75" thickBot="1" x14ac:dyDescent="0.3">
      <c r="H162" s="250" t="s">
        <v>108</v>
      </c>
      <c r="I162" s="251" t="s">
        <v>156</v>
      </c>
      <c r="J162" s="251" t="s">
        <v>157</v>
      </c>
      <c r="K162" s="251" t="s">
        <v>158</v>
      </c>
      <c r="L162" s="252" t="s">
        <v>159</v>
      </c>
    </row>
    <row r="163" spans="8:12" x14ac:dyDescent="0.25">
      <c r="H163" s="424" t="s">
        <v>160</v>
      </c>
      <c r="I163" s="425"/>
      <c r="J163" s="425"/>
      <c r="K163" s="425"/>
      <c r="L163" s="426"/>
    </row>
    <row r="164" spans="8:12" x14ac:dyDescent="0.25">
      <c r="H164" s="253"/>
      <c r="I164" s="254" t="s">
        <v>161</v>
      </c>
      <c r="J164" s="254"/>
      <c r="K164" s="257" t="s">
        <v>236</v>
      </c>
      <c r="L164" s="256"/>
    </row>
    <row r="165" spans="8:12" x14ac:dyDescent="0.25">
      <c r="H165" s="253"/>
      <c r="I165" s="254" t="s">
        <v>162</v>
      </c>
      <c r="J165" s="254"/>
      <c r="K165" s="257" t="s">
        <v>242</v>
      </c>
      <c r="L165" s="256"/>
    </row>
    <row r="166" spans="8:12" x14ac:dyDescent="0.25">
      <c r="H166" s="253"/>
      <c r="I166" s="254" t="s">
        <v>165</v>
      </c>
      <c r="J166" s="254"/>
      <c r="K166" s="257"/>
      <c r="L166" s="256"/>
    </row>
    <row r="167" spans="8:12" x14ac:dyDescent="0.25">
      <c r="H167" s="253"/>
      <c r="I167" s="254"/>
      <c r="J167" s="254" t="s">
        <v>166</v>
      </c>
      <c r="K167" s="257"/>
      <c r="L167" s="256"/>
    </row>
    <row r="168" spans="8:12" ht="15" customHeight="1" x14ac:dyDescent="0.25">
      <c r="H168" s="253"/>
      <c r="I168" s="254"/>
      <c r="J168" s="254" t="s">
        <v>167</v>
      </c>
      <c r="K168" s="257"/>
      <c r="L168" s="256" t="s">
        <v>168</v>
      </c>
    </row>
    <row r="169" spans="8:12" ht="15" customHeight="1" x14ac:dyDescent="0.25">
      <c r="H169" s="253"/>
      <c r="I169" s="254" t="s">
        <v>169</v>
      </c>
      <c r="J169" s="254"/>
      <c r="K169" s="259"/>
      <c r="L169" s="256" t="s">
        <v>170</v>
      </c>
    </row>
    <row r="170" spans="8:12" ht="15" customHeight="1" x14ac:dyDescent="0.25">
      <c r="H170" s="253"/>
      <c r="I170" s="254" t="s">
        <v>172</v>
      </c>
      <c r="J170" s="254"/>
      <c r="K170" s="257">
        <f>5*12*30</f>
        <v>1800</v>
      </c>
      <c r="L170" s="256" t="s">
        <v>173</v>
      </c>
    </row>
    <row r="171" spans="8:12" x14ac:dyDescent="0.25">
      <c r="H171" s="260"/>
      <c r="I171" s="261" t="s">
        <v>175</v>
      </c>
      <c r="J171" s="261"/>
      <c r="K171" s="262" t="str">
        <f>'Data Lingkungan_IC'!DR64</f>
        <v>off</v>
      </c>
      <c r="L171" s="263"/>
    </row>
    <row r="172" spans="8:12" ht="15" customHeight="1" x14ac:dyDescent="0.25">
      <c r="H172" s="253"/>
      <c r="I172" s="254" t="s">
        <v>177</v>
      </c>
      <c r="J172" s="254"/>
      <c r="K172" s="257">
        <v>0</v>
      </c>
      <c r="L172" s="256" t="s">
        <v>173</v>
      </c>
    </row>
    <row r="173" spans="8:12" ht="30" customHeight="1" x14ac:dyDescent="0.25">
      <c r="H173" s="253"/>
      <c r="I173" s="254" t="s">
        <v>179</v>
      </c>
      <c r="J173" s="254"/>
      <c r="K173" s="264">
        <f>K170-K172-(K174+K176)/2*10</f>
        <v>1800</v>
      </c>
      <c r="L173" s="256" t="s">
        <v>173</v>
      </c>
    </row>
    <row r="174" spans="8:12" ht="15" customHeight="1" x14ac:dyDescent="0.25">
      <c r="H174" s="253"/>
      <c r="I174" s="254" t="s">
        <v>181</v>
      </c>
      <c r="J174" s="254" t="s">
        <v>182</v>
      </c>
      <c r="K174" s="265">
        <f>((K172/K170)*10-K175)</f>
        <v>0</v>
      </c>
      <c r="L174" s="256" t="s">
        <v>183</v>
      </c>
    </row>
    <row r="175" spans="8:12" ht="15" customHeight="1" x14ac:dyDescent="0.25">
      <c r="H175" s="253"/>
      <c r="I175" s="254"/>
      <c r="J175" s="266" t="s">
        <v>185</v>
      </c>
      <c r="K175" s="267">
        <v>0</v>
      </c>
      <c r="L175" s="256" t="s">
        <v>186</v>
      </c>
    </row>
    <row r="176" spans="8:12" ht="15" customHeight="1" x14ac:dyDescent="0.25">
      <c r="H176" s="253"/>
      <c r="I176" s="254" t="s">
        <v>188</v>
      </c>
      <c r="J176" s="254" t="s">
        <v>182</v>
      </c>
      <c r="K176" s="267">
        <f>'Data Lingkungan_IC'!DU64</f>
        <v>0</v>
      </c>
      <c r="L176" s="256" t="s">
        <v>183</v>
      </c>
    </row>
    <row r="177" spans="8:12" ht="15" customHeight="1" x14ac:dyDescent="0.25">
      <c r="H177" s="253"/>
      <c r="I177" s="254" t="s">
        <v>190</v>
      </c>
      <c r="J177" s="254"/>
      <c r="K177" s="268">
        <f>(K173/K170)</f>
        <v>1</v>
      </c>
      <c r="L177" s="256" t="s">
        <v>191</v>
      </c>
    </row>
    <row r="178" spans="8:12" ht="15" customHeight="1" x14ac:dyDescent="0.25">
      <c r="H178" s="253"/>
      <c r="I178" s="254" t="s">
        <v>193</v>
      </c>
      <c r="J178" s="254"/>
      <c r="K178" s="257"/>
      <c r="L178" s="256"/>
    </row>
    <row r="179" spans="8:12" ht="15" customHeight="1" x14ac:dyDescent="0.25">
      <c r="H179" s="253"/>
      <c r="I179" s="254"/>
      <c r="J179" s="254" t="s">
        <v>194</v>
      </c>
      <c r="K179" s="257"/>
      <c r="L179" s="256"/>
    </row>
    <row r="180" spans="8:12" ht="15" customHeight="1" x14ac:dyDescent="0.25">
      <c r="H180" s="253"/>
      <c r="I180" s="254"/>
      <c r="J180" s="254" t="s">
        <v>196</v>
      </c>
      <c r="K180" s="257" t="s">
        <v>197</v>
      </c>
      <c r="L180" s="256"/>
    </row>
    <row r="181" spans="8:12" ht="15" customHeight="1" x14ac:dyDescent="0.25">
      <c r="H181" s="253"/>
      <c r="I181" s="257"/>
      <c r="J181" s="266" t="s">
        <v>198</v>
      </c>
      <c r="K181" s="257">
        <v>0.14680000000000001</v>
      </c>
      <c r="L181" s="256" t="s">
        <v>199</v>
      </c>
    </row>
    <row r="182" spans="8:12" ht="15" customHeight="1" x14ac:dyDescent="0.25">
      <c r="H182" s="253"/>
      <c r="I182" s="257"/>
      <c r="J182" s="266" t="s">
        <v>201</v>
      </c>
      <c r="K182" s="257">
        <f>'Data Lingkungan_IC'!DT64</f>
        <v>0</v>
      </c>
      <c r="L182" s="256" t="s">
        <v>202</v>
      </c>
    </row>
    <row r="183" spans="8:12" ht="15" customHeight="1" x14ac:dyDescent="0.25">
      <c r="H183" s="253"/>
      <c r="I183" s="257"/>
      <c r="J183" s="266" t="s">
        <v>204</v>
      </c>
      <c r="K183" s="270">
        <f>K182*K181</f>
        <v>0</v>
      </c>
      <c r="L183" s="256"/>
    </row>
    <row r="184" spans="8:12" ht="15" customHeight="1" x14ac:dyDescent="0.25">
      <c r="H184" s="253"/>
      <c r="I184" s="257"/>
      <c r="J184" s="266" t="s">
        <v>185</v>
      </c>
      <c r="K184" s="257">
        <v>0</v>
      </c>
      <c r="L184" s="256" t="s">
        <v>206</v>
      </c>
    </row>
    <row r="185" spans="8:12" ht="15" customHeight="1" x14ac:dyDescent="0.25">
      <c r="H185" s="253"/>
      <c r="I185" s="257"/>
      <c r="J185" s="266" t="s">
        <v>208</v>
      </c>
      <c r="K185" s="257">
        <v>0</v>
      </c>
      <c r="L185" s="256" t="s">
        <v>209</v>
      </c>
    </row>
    <row r="186" spans="8:12" ht="15" customHeight="1" thickBot="1" x14ac:dyDescent="0.3">
      <c r="H186" s="271"/>
      <c r="I186" s="272"/>
      <c r="J186" s="273"/>
      <c r="K186" s="272"/>
      <c r="L186" s="274"/>
    </row>
    <row r="187" spans="8:12" ht="15" customHeight="1" x14ac:dyDescent="0.25"/>
    <row r="197" ht="15" customHeight="1" x14ac:dyDescent="0.25"/>
    <row r="198" ht="15" customHeight="1" x14ac:dyDescent="0.25"/>
    <row r="199" ht="60" customHeight="1" x14ac:dyDescent="0.25"/>
  </sheetData>
  <mergeCells count="154">
    <mergeCell ref="H158:L158"/>
    <mergeCell ref="H159:L159"/>
    <mergeCell ref="H160:L160"/>
    <mergeCell ref="H161:I161"/>
    <mergeCell ref="J161:L161"/>
    <mergeCell ref="H163:L163"/>
    <mergeCell ref="P131:R131"/>
    <mergeCell ref="T131:U131"/>
    <mergeCell ref="V131:X131"/>
    <mergeCell ref="B129:F129"/>
    <mergeCell ref="H129:L129"/>
    <mergeCell ref="N129:R129"/>
    <mergeCell ref="T129:X129"/>
    <mergeCell ref="Z129:AD129"/>
    <mergeCell ref="Z131:AA131"/>
    <mergeCell ref="AB131:AD131"/>
    <mergeCell ref="B133:F133"/>
    <mergeCell ref="H133:L133"/>
    <mergeCell ref="N133:R133"/>
    <mergeCell ref="T133:X133"/>
    <mergeCell ref="Z133:AD133"/>
    <mergeCell ref="B130:F130"/>
    <mergeCell ref="H130:L130"/>
    <mergeCell ref="N130:R130"/>
    <mergeCell ref="T130:X130"/>
    <mergeCell ref="Z130:AD130"/>
    <mergeCell ref="B131:C131"/>
    <mergeCell ref="D131:F131"/>
    <mergeCell ref="H131:I131"/>
    <mergeCell ref="J131:L131"/>
    <mergeCell ref="N131:O131"/>
    <mergeCell ref="B102:F102"/>
    <mergeCell ref="H102:L102"/>
    <mergeCell ref="N102:R102"/>
    <mergeCell ref="T102:X102"/>
    <mergeCell ref="Z102:AD102"/>
    <mergeCell ref="B128:F128"/>
    <mergeCell ref="H128:L128"/>
    <mergeCell ref="N128:R128"/>
    <mergeCell ref="T128:X128"/>
    <mergeCell ref="Z128:AD128"/>
    <mergeCell ref="B99:F99"/>
    <mergeCell ref="H99:L99"/>
    <mergeCell ref="N99:R99"/>
    <mergeCell ref="T99:X99"/>
    <mergeCell ref="Z99:AD99"/>
    <mergeCell ref="B100:C100"/>
    <mergeCell ref="D100:F100"/>
    <mergeCell ref="H100:I100"/>
    <mergeCell ref="J100:L100"/>
    <mergeCell ref="N100:O100"/>
    <mergeCell ref="P100:R100"/>
    <mergeCell ref="T100:U100"/>
    <mergeCell ref="V100:X100"/>
    <mergeCell ref="Z100:AA100"/>
    <mergeCell ref="AB100:AD100"/>
    <mergeCell ref="B97:F97"/>
    <mergeCell ref="H97:L97"/>
    <mergeCell ref="N97:R97"/>
    <mergeCell ref="T97:X97"/>
    <mergeCell ref="Z97:AD97"/>
    <mergeCell ref="B98:F98"/>
    <mergeCell ref="H98:L98"/>
    <mergeCell ref="N98:R98"/>
    <mergeCell ref="T98:X98"/>
    <mergeCell ref="Z98:AD98"/>
    <mergeCell ref="B71:F71"/>
    <mergeCell ref="H71:L71"/>
    <mergeCell ref="N71:R71"/>
    <mergeCell ref="T71:X71"/>
    <mergeCell ref="Z71:AD71"/>
    <mergeCell ref="AF71:AJ71"/>
    <mergeCell ref="T69:U69"/>
    <mergeCell ref="V69:X69"/>
    <mergeCell ref="Z69:AA69"/>
    <mergeCell ref="AB69:AD69"/>
    <mergeCell ref="AF69:AG69"/>
    <mergeCell ref="AH69:AJ69"/>
    <mergeCell ref="B69:C69"/>
    <mergeCell ref="D69:F69"/>
    <mergeCell ref="H69:I69"/>
    <mergeCell ref="J69:L69"/>
    <mergeCell ref="N69:O69"/>
    <mergeCell ref="P69:R69"/>
    <mergeCell ref="B68:F68"/>
    <mergeCell ref="H68:L68"/>
    <mergeCell ref="N68:R68"/>
    <mergeCell ref="T68:X68"/>
    <mergeCell ref="Z68:AD68"/>
    <mergeCell ref="AF68:AJ68"/>
    <mergeCell ref="B67:F67"/>
    <mergeCell ref="H67:L67"/>
    <mergeCell ref="N67:R67"/>
    <mergeCell ref="T67:X67"/>
    <mergeCell ref="Z67:AD67"/>
    <mergeCell ref="AF67:AJ67"/>
    <mergeCell ref="B66:F66"/>
    <mergeCell ref="H66:L66"/>
    <mergeCell ref="N66:R66"/>
    <mergeCell ref="T66:X66"/>
    <mergeCell ref="Z66:AD66"/>
    <mergeCell ref="AF66:AJ66"/>
    <mergeCell ref="B40:F40"/>
    <mergeCell ref="H40:L40"/>
    <mergeCell ref="N40:R40"/>
    <mergeCell ref="T40:X40"/>
    <mergeCell ref="Z40:AD40"/>
    <mergeCell ref="AF40:AJ40"/>
    <mergeCell ref="T38:U38"/>
    <mergeCell ref="V38:X38"/>
    <mergeCell ref="Z38:AA38"/>
    <mergeCell ref="AB38:AD38"/>
    <mergeCell ref="AF38:AG38"/>
    <mergeCell ref="AH38:AJ38"/>
    <mergeCell ref="B38:C38"/>
    <mergeCell ref="D38:F38"/>
    <mergeCell ref="H38:I38"/>
    <mergeCell ref="J38:L38"/>
    <mergeCell ref="N38:O38"/>
    <mergeCell ref="P38:R38"/>
    <mergeCell ref="B37:F37"/>
    <mergeCell ref="H37:L37"/>
    <mergeCell ref="N37:R37"/>
    <mergeCell ref="T37:X37"/>
    <mergeCell ref="Z37:AD37"/>
    <mergeCell ref="AF37:AJ37"/>
    <mergeCell ref="N35:R35"/>
    <mergeCell ref="T35:X35"/>
    <mergeCell ref="Z35:AD35"/>
    <mergeCell ref="AF35:AJ35"/>
    <mergeCell ref="B36:F36"/>
    <mergeCell ref="H36:L36"/>
    <mergeCell ref="N36:R36"/>
    <mergeCell ref="T36:X36"/>
    <mergeCell ref="Z36:AD36"/>
    <mergeCell ref="AF36:AJ36"/>
    <mergeCell ref="H24:K24"/>
    <mergeCell ref="B35:F35"/>
    <mergeCell ref="H35:L35"/>
    <mergeCell ref="H12:K12"/>
    <mergeCell ref="H16:K16"/>
    <mergeCell ref="H17:K17"/>
    <mergeCell ref="H18:K18"/>
    <mergeCell ref="H19:K19"/>
    <mergeCell ref="H20:K20"/>
    <mergeCell ref="B5:F5"/>
    <mergeCell ref="B6:F6"/>
    <mergeCell ref="B7:F7"/>
    <mergeCell ref="B8:C8"/>
    <mergeCell ref="D8:F8"/>
    <mergeCell ref="B10:F10"/>
    <mergeCell ref="H21:K21"/>
    <mergeCell ref="H22:K22"/>
    <mergeCell ref="H23:K23"/>
  </mergeCells>
  <pageMargins left="0.23622047244094491" right="0.23622047244094491" top="0.35433070866141736" bottom="0.15748031496062992" header="0.11811023622047245" footer="0.11811023622047245"/>
  <pageSetup paperSize="8" scale="40" fitToWidth="0" fitToHeight="0" orientation="landscape" horizontalDpi="300" verticalDpi="300" r:id="rId1"/>
  <headerFooter>
    <oddHeader>&amp;L&amp;"-,Bold"&amp;16TABEL SURVEI KOMPONEN EKSTERNAL 
OBYEK MESIN&amp;R&amp;"-,Bold"&amp;14Obyek Survei 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B3:R273"/>
  <sheetViews>
    <sheetView topLeftCell="A182" zoomScale="85" zoomScaleNormal="85" workbookViewId="0">
      <selection activeCell="E194" sqref="E194"/>
    </sheetView>
  </sheetViews>
  <sheetFormatPr defaultRowHeight="15" x14ac:dyDescent="0.25"/>
  <cols>
    <col min="2" max="2" width="3.42578125" bestFit="1" customWidth="1"/>
    <col min="3" max="6" width="20.7109375" customWidth="1"/>
    <col min="7" max="7" width="1.7109375" customWidth="1"/>
    <col min="8" max="8" width="3.42578125" bestFit="1" customWidth="1"/>
    <col min="9" max="12" width="20.7109375" customWidth="1"/>
    <col min="13" max="13" width="1.7109375" customWidth="1"/>
    <col min="14" max="14" width="3.42578125" bestFit="1" customWidth="1"/>
    <col min="15" max="18" width="20.7109375" customWidth="1"/>
  </cols>
  <sheetData>
    <row r="3" spans="2:18" s="2" customFormat="1" ht="21" x14ac:dyDescent="0.35">
      <c r="C3" s="2" t="s">
        <v>0</v>
      </c>
    </row>
    <row r="4" spans="2:18" ht="15.75" thickBot="1" x14ac:dyDescent="0.3"/>
    <row r="5" spans="2:18" x14ac:dyDescent="0.25">
      <c r="B5" s="428" t="s">
        <v>211</v>
      </c>
      <c r="C5" s="429"/>
      <c r="D5" s="429"/>
      <c r="E5" s="429"/>
      <c r="F5" s="430"/>
      <c r="H5" s="428" t="s">
        <v>211</v>
      </c>
      <c r="I5" s="429"/>
      <c r="J5" s="429"/>
      <c r="K5" s="429"/>
      <c r="L5" s="430"/>
      <c r="N5" s="428" t="s">
        <v>211</v>
      </c>
      <c r="O5" s="429"/>
      <c r="P5" s="429"/>
      <c r="Q5" s="429"/>
      <c r="R5" s="430"/>
    </row>
    <row r="6" spans="2:18" ht="15.75" thickBot="1" x14ac:dyDescent="0.3">
      <c r="B6" s="431" t="s">
        <v>153</v>
      </c>
      <c r="C6" s="432"/>
      <c r="D6" s="432"/>
      <c r="E6" s="432"/>
      <c r="F6" s="433"/>
      <c r="H6" s="431" t="s">
        <v>153</v>
      </c>
      <c r="I6" s="432"/>
      <c r="J6" s="432"/>
      <c r="K6" s="432"/>
      <c r="L6" s="433"/>
      <c r="N6" s="431" t="s">
        <v>153</v>
      </c>
      <c r="O6" s="432"/>
      <c r="P6" s="432"/>
      <c r="Q6" s="432"/>
      <c r="R6" s="433"/>
    </row>
    <row r="7" spans="2:18" x14ac:dyDescent="0.25">
      <c r="B7" s="416" t="s">
        <v>154</v>
      </c>
      <c r="C7" s="417"/>
      <c r="D7" s="417"/>
      <c r="E7" s="417"/>
      <c r="F7" s="418"/>
      <c r="H7" s="416" t="s">
        <v>154</v>
      </c>
      <c r="I7" s="417"/>
      <c r="J7" s="417"/>
      <c r="K7" s="417"/>
      <c r="L7" s="418"/>
      <c r="N7" s="416" t="s">
        <v>154</v>
      </c>
      <c r="O7" s="417"/>
      <c r="P7" s="417"/>
      <c r="Q7" s="417"/>
      <c r="R7" s="418"/>
    </row>
    <row r="8" spans="2:18" ht="15.75" thickBot="1" x14ac:dyDescent="0.3">
      <c r="B8" s="419" t="s">
        <v>155</v>
      </c>
      <c r="C8" s="420"/>
      <c r="D8" s="421"/>
      <c r="E8" s="422"/>
      <c r="F8" s="423"/>
      <c r="H8" s="419" t="s">
        <v>155</v>
      </c>
      <c r="I8" s="420"/>
      <c r="J8" s="421"/>
      <c r="K8" s="422"/>
      <c r="L8" s="423"/>
      <c r="N8" s="419" t="s">
        <v>155</v>
      </c>
      <c r="O8" s="420"/>
      <c r="P8" s="421"/>
      <c r="Q8" s="422"/>
      <c r="R8" s="423"/>
    </row>
    <row r="9" spans="2:18" ht="15.75" thickBot="1" x14ac:dyDescent="0.3">
      <c r="B9" s="250" t="s">
        <v>108</v>
      </c>
      <c r="C9" s="251" t="s">
        <v>156</v>
      </c>
      <c r="D9" s="251" t="s">
        <v>157</v>
      </c>
      <c r="E9" s="251" t="s">
        <v>158</v>
      </c>
      <c r="F9" s="252" t="s">
        <v>159</v>
      </c>
      <c r="H9" s="250" t="s">
        <v>108</v>
      </c>
      <c r="I9" s="251" t="s">
        <v>156</v>
      </c>
      <c r="J9" s="251" t="s">
        <v>157</v>
      </c>
      <c r="K9" s="251" t="s">
        <v>158</v>
      </c>
      <c r="L9" s="252" t="s">
        <v>159</v>
      </c>
      <c r="N9" s="250" t="s">
        <v>108</v>
      </c>
      <c r="O9" s="251" t="s">
        <v>156</v>
      </c>
      <c r="P9" s="251" t="s">
        <v>157</v>
      </c>
      <c r="Q9" s="251" t="s">
        <v>158</v>
      </c>
      <c r="R9" s="252" t="s">
        <v>159</v>
      </c>
    </row>
    <row r="10" spans="2:18" x14ac:dyDescent="0.25">
      <c r="B10" s="424" t="s">
        <v>160</v>
      </c>
      <c r="C10" s="425"/>
      <c r="D10" s="425"/>
      <c r="E10" s="425"/>
      <c r="F10" s="426"/>
      <c r="H10" s="424" t="s">
        <v>160</v>
      </c>
      <c r="I10" s="425"/>
      <c r="J10" s="425"/>
      <c r="K10" s="425"/>
      <c r="L10" s="426"/>
      <c r="N10" s="424" t="s">
        <v>160</v>
      </c>
      <c r="O10" s="425"/>
      <c r="P10" s="425"/>
      <c r="Q10" s="425"/>
      <c r="R10" s="426"/>
    </row>
    <row r="11" spans="2:18" x14ac:dyDescent="0.25">
      <c r="B11" s="253"/>
      <c r="C11" s="254" t="s">
        <v>161</v>
      </c>
      <c r="D11" s="254"/>
      <c r="E11" s="257" t="s">
        <v>243</v>
      </c>
      <c r="F11" s="256"/>
      <c r="H11" s="253"/>
      <c r="I11" s="254" t="s">
        <v>161</v>
      </c>
      <c r="J11" s="254"/>
      <c r="K11" s="257" t="s">
        <v>244</v>
      </c>
      <c r="L11" s="256"/>
      <c r="N11" s="253"/>
      <c r="O11" s="254" t="s">
        <v>161</v>
      </c>
      <c r="P11" s="254"/>
      <c r="Q11" s="257" t="s">
        <v>245</v>
      </c>
      <c r="R11" s="256"/>
    </row>
    <row r="12" spans="2:18" x14ac:dyDescent="0.25">
      <c r="B12" s="253"/>
      <c r="C12" s="254" t="s">
        <v>162</v>
      </c>
      <c r="D12" s="254"/>
      <c r="E12" s="257" t="s">
        <v>246</v>
      </c>
      <c r="F12" s="256"/>
      <c r="H12" s="253"/>
      <c r="I12" s="254" t="s">
        <v>162</v>
      </c>
      <c r="J12" s="254"/>
      <c r="K12" s="257" t="s">
        <v>247</v>
      </c>
      <c r="L12" s="256"/>
      <c r="N12" s="253"/>
      <c r="O12" s="254" t="s">
        <v>162</v>
      </c>
      <c r="P12" s="254"/>
      <c r="Q12" s="257" t="s">
        <v>248</v>
      </c>
      <c r="R12" s="256"/>
    </row>
    <row r="13" spans="2:18" x14ac:dyDescent="0.25">
      <c r="B13" s="253"/>
      <c r="C13" s="254" t="s">
        <v>165</v>
      </c>
      <c r="D13" s="254"/>
      <c r="E13" s="257"/>
      <c r="F13" s="256"/>
      <c r="H13" s="253"/>
      <c r="I13" s="254" t="s">
        <v>165</v>
      </c>
      <c r="J13" s="254"/>
      <c r="K13" s="257"/>
      <c r="L13" s="256"/>
      <c r="N13" s="253"/>
      <c r="O13" s="254" t="s">
        <v>165</v>
      </c>
      <c r="P13" s="254"/>
      <c r="Q13" s="257"/>
      <c r="R13" s="256"/>
    </row>
    <row r="14" spans="2:18" x14ac:dyDescent="0.25">
      <c r="B14" s="253"/>
      <c r="C14" s="254"/>
      <c r="D14" s="254" t="s">
        <v>166</v>
      </c>
      <c r="E14" s="257" t="s">
        <v>249</v>
      </c>
      <c r="F14" s="256"/>
      <c r="H14" s="253"/>
      <c r="I14" s="254"/>
      <c r="J14" s="254" t="s">
        <v>166</v>
      </c>
      <c r="K14" s="257" t="s">
        <v>249</v>
      </c>
      <c r="L14" s="256"/>
      <c r="N14" s="253"/>
      <c r="O14" s="254"/>
      <c r="P14" s="254" t="s">
        <v>166</v>
      </c>
      <c r="Q14" s="257" t="s">
        <v>249</v>
      </c>
      <c r="R14" s="256"/>
    </row>
    <row r="15" spans="2:18" x14ac:dyDescent="0.25">
      <c r="B15" s="253"/>
      <c r="C15" s="254"/>
      <c r="D15" s="254" t="s">
        <v>167</v>
      </c>
      <c r="E15" s="257"/>
      <c r="F15" s="256" t="s">
        <v>168</v>
      </c>
      <c r="H15" s="253"/>
      <c r="I15" s="254"/>
      <c r="J15" s="254" t="s">
        <v>167</v>
      </c>
      <c r="K15" s="257"/>
      <c r="L15" s="256" t="s">
        <v>168</v>
      </c>
      <c r="N15" s="253"/>
      <c r="O15" s="254"/>
      <c r="P15" s="254" t="s">
        <v>167</v>
      </c>
      <c r="Q15" s="257"/>
      <c r="R15" s="256" t="s">
        <v>168</v>
      </c>
    </row>
    <row r="16" spans="2:18" x14ac:dyDescent="0.25">
      <c r="B16" s="253"/>
      <c r="C16" s="254" t="s">
        <v>169</v>
      </c>
      <c r="D16" s="254"/>
      <c r="E16" s="259"/>
      <c r="F16" s="256" t="s">
        <v>170</v>
      </c>
      <c r="H16" s="253"/>
      <c r="I16" s="254" t="s">
        <v>169</v>
      </c>
      <c r="J16" s="254"/>
      <c r="K16" s="259"/>
      <c r="L16" s="256" t="s">
        <v>170</v>
      </c>
      <c r="N16" s="253"/>
      <c r="O16" s="254" t="s">
        <v>169</v>
      </c>
      <c r="P16" s="254"/>
      <c r="Q16" s="259"/>
      <c r="R16" s="256" t="s">
        <v>170</v>
      </c>
    </row>
    <row r="17" spans="2:18" x14ac:dyDescent="0.25">
      <c r="B17" s="253"/>
      <c r="C17" s="254" t="s">
        <v>172</v>
      </c>
      <c r="D17" s="254"/>
      <c r="E17" s="257">
        <f>13.5*12*30</f>
        <v>4860</v>
      </c>
      <c r="F17" s="256" t="s">
        <v>173</v>
      </c>
      <c r="H17" s="253"/>
      <c r="I17" s="254" t="s">
        <v>172</v>
      </c>
      <c r="J17" s="254"/>
      <c r="K17" s="257">
        <f>13.5*12*30</f>
        <v>4860</v>
      </c>
      <c r="L17" s="256" t="s">
        <v>173</v>
      </c>
      <c r="N17" s="253"/>
      <c r="O17" s="254" t="s">
        <v>172</v>
      </c>
      <c r="P17" s="254"/>
      <c r="Q17" s="257">
        <f>13.5*12*30</f>
        <v>4860</v>
      </c>
      <c r="R17" s="256" t="s">
        <v>173</v>
      </c>
    </row>
    <row r="18" spans="2:18" x14ac:dyDescent="0.25">
      <c r="B18" s="260"/>
      <c r="C18" s="261" t="s">
        <v>175</v>
      </c>
      <c r="D18" s="261"/>
      <c r="E18" s="262" t="str">
        <f>'Data Lingkungan_IC'!N60</f>
        <v>on</v>
      </c>
      <c r="F18" s="263"/>
      <c r="H18" s="260"/>
      <c r="I18" s="261" t="s">
        <v>175</v>
      </c>
      <c r="J18" s="261"/>
      <c r="K18" s="262" t="str">
        <f>'Data Lingkungan_IC'!N60</f>
        <v>on</v>
      </c>
      <c r="L18" s="263"/>
      <c r="N18" s="260"/>
      <c r="O18" s="261" t="s">
        <v>175</v>
      </c>
      <c r="P18" s="261"/>
      <c r="Q18" s="262">
        <f>'Data Lingkungan_IC'!BA33</f>
        <v>0</v>
      </c>
      <c r="R18" s="263"/>
    </row>
    <row r="19" spans="2:18" x14ac:dyDescent="0.25">
      <c r="B19" s="253"/>
      <c r="C19" s="254" t="s">
        <v>177</v>
      </c>
      <c r="D19" s="254"/>
      <c r="E19" s="257">
        <v>0</v>
      </c>
      <c r="F19" s="256" t="s">
        <v>173</v>
      </c>
      <c r="H19" s="253"/>
      <c r="I19" s="254" t="s">
        <v>177</v>
      </c>
      <c r="J19" s="254"/>
      <c r="K19" s="257">
        <v>0</v>
      </c>
      <c r="L19" s="256" t="s">
        <v>173</v>
      </c>
      <c r="N19" s="253"/>
      <c r="O19" s="254" t="s">
        <v>177</v>
      </c>
      <c r="P19" s="254"/>
      <c r="Q19" s="257">
        <v>0</v>
      </c>
      <c r="R19" s="256" t="s">
        <v>173</v>
      </c>
    </row>
    <row r="20" spans="2:18" x14ac:dyDescent="0.25">
      <c r="B20" s="253"/>
      <c r="C20" s="254" t="s">
        <v>179</v>
      </c>
      <c r="D20" s="254"/>
      <c r="E20" s="264">
        <f>E17-E19-(E21+E23)/2*10</f>
        <v>4860</v>
      </c>
      <c r="F20" s="256" t="s">
        <v>173</v>
      </c>
      <c r="H20" s="253"/>
      <c r="I20" s="254" t="s">
        <v>179</v>
      </c>
      <c r="J20" s="254"/>
      <c r="K20" s="264">
        <f>K17-K19-(K21+K23)/2*10</f>
        <v>4860</v>
      </c>
      <c r="L20" s="256" t="s">
        <v>173</v>
      </c>
      <c r="N20" s="253"/>
      <c r="O20" s="254" t="s">
        <v>179</v>
      </c>
      <c r="P20" s="254"/>
      <c r="Q20" s="264">
        <f>Q17-Q19-(Q21+Q23)/2*10</f>
        <v>4860</v>
      </c>
      <c r="R20" s="256" t="s">
        <v>173</v>
      </c>
    </row>
    <row r="21" spans="2:18" x14ac:dyDescent="0.25">
      <c r="B21" s="253"/>
      <c r="C21" s="254" t="s">
        <v>181</v>
      </c>
      <c r="D21" s="254" t="s">
        <v>182</v>
      </c>
      <c r="E21" s="265">
        <f>((E19/E17)*10-E22)</f>
        <v>0</v>
      </c>
      <c r="F21" s="256" t="s">
        <v>183</v>
      </c>
      <c r="H21" s="253"/>
      <c r="I21" s="254" t="s">
        <v>181</v>
      </c>
      <c r="J21" s="254" t="s">
        <v>182</v>
      </c>
      <c r="K21" s="265">
        <f>((K19/K17)*10-K22)</f>
        <v>0</v>
      </c>
      <c r="L21" s="256" t="s">
        <v>183</v>
      </c>
      <c r="N21" s="253"/>
      <c r="O21" s="254" t="s">
        <v>181</v>
      </c>
      <c r="P21" s="254" t="s">
        <v>182</v>
      </c>
      <c r="Q21" s="265">
        <f>((Q19/Q17)*10-Q22)</f>
        <v>0</v>
      </c>
      <c r="R21" s="256" t="s">
        <v>183</v>
      </c>
    </row>
    <row r="22" spans="2:18" ht="30" x14ac:dyDescent="0.25">
      <c r="B22" s="253"/>
      <c r="C22" s="254"/>
      <c r="D22" s="266" t="s">
        <v>185</v>
      </c>
      <c r="E22" s="267">
        <v>0</v>
      </c>
      <c r="F22" s="256" t="s">
        <v>186</v>
      </c>
      <c r="H22" s="253"/>
      <c r="I22" s="254"/>
      <c r="J22" s="266" t="s">
        <v>185</v>
      </c>
      <c r="K22" s="267">
        <v>0</v>
      </c>
      <c r="L22" s="256" t="s">
        <v>186</v>
      </c>
      <c r="N22" s="253"/>
      <c r="O22" s="254"/>
      <c r="P22" s="266" t="s">
        <v>185</v>
      </c>
      <c r="Q22" s="267">
        <v>0</v>
      </c>
      <c r="R22" s="256" t="s">
        <v>186</v>
      </c>
    </row>
    <row r="23" spans="2:18" x14ac:dyDescent="0.25">
      <c r="B23" s="253"/>
      <c r="C23" s="254" t="s">
        <v>188</v>
      </c>
      <c r="D23" s="254" t="s">
        <v>182</v>
      </c>
      <c r="E23" s="267">
        <v>0</v>
      </c>
      <c r="F23" s="256" t="s">
        <v>183</v>
      </c>
      <c r="H23" s="253"/>
      <c r="I23" s="254" t="s">
        <v>188</v>
      </c>
      <c r="J23" s="254" t="s">
        <v>182</v>
      </c>
      <c r="K23" s="267">
        <v>0</v>
      </c>
      <c r="L23" s="256" t="s">
        <v>183</v>
      </c>
      <c r="N23" s="253"/>
      <c r="O23" s="254" t="s">
        <v>188</v>
      </c>
      <c r="P23" s="254" t="s">
        <v>182</v>
      </c>
      <c r="Q23" s="267">
        <v>0</v>
      </c>
      <c r="R23" s="256" t="s">
        <v>183</v>
      </c>
    </row>
    <row r="24" spans="2:18" ht="30" x14ac:dyDescent="0.25">
      <c r="B24" s="253"/>
      <c r="C24" s="254" t="s">
        <v>190</v>
      </c>
      <c r="D24" s="254"/>
      <c r="E24" s="268">
        <f>(E20/E17)</f>
        <v>1</v>
      </c>
      <c r="F24" s="256" t="s">
        <v>191</v>
      </c>
      <c r="H24" s="253"/>
      <c r="I24" s="254" t="s">
        <v>190</v>
      </c>
      <c r="J24" s="254"/>
      <c r="K24" s="268">
        <f>(K20/K17)</f>
        <v>1</v>
      </c>
      <c r="L24" s="256" t="s">
        <v>191</v>
      </c>
      <c r="N24" s="253"/>
      <c r="O24" s="254" t="s">
        <v>190</v>
      </c>
      <c r="P24" s="254"/>
      <c r="Q24" s="268">
        <f>(Q20/Q17)</f>
        <v>1</v>
      </c>
      <c r="R24" s="256" t="s">
        <v>191</v>
      </c>
    </row>
    <row r="25" spans="2:18" x14ac:dyDescent="0.25">
      <c r="B25" s="253"/>
      <c r="C25" s="254" t="s">
        <v>193</v>
      </c>
      <c r="D25" s="254"/>
      <c r="E25" s="257"/>
      <c r="F25" s="256"/>
      <c r="H25" s="253"/>
      <c r="I25" s="254" t="s">
        <v>193</v>
      </c>
      <c r="J25" s="254"/>
      <c r="K25" s="257"/>
      <c r="L25" s="256"/>
      <c r="N25" s="253"/>
      <c r="O25" s="254" t="s">
        <v>193</v>
      </c>
      <c r="P25" s="254"/>
      <c r="Q25" s="257"/>
      <c r="R25" s="256"/>
    </row>
    <row r="26" spans="2:18" x14ac:dyDescent="0.25">
      <c r="B26" s="253"/>
      <c r="C26" s="254"/>
      <c r="D26" s="254" t="s">
        <v>194</v>
      </c>
      <c r="E26" s="257"/>
      <c r="F26" s="256"/>
      <c r="H26" s="253"/>
      <c r="I26" s="254"/>
      <c r="J26" s="254" t="s">
        <v>194</v>
      </c>
      <c r="K26" s="257"/>
      <c r="L26" s="256"/>
      <c r="N26" s="253"/>
      <c r="O26" s="254"/>
      <c r="P26" s="254" t="s">
        <v>194</v>
      </c>
      <c r="Q26" s="257"/>
      <c r="R26" s="256"/>
    </row>
    <row r="27" spans="2:18" x14ac:dyDescent="0.25">
      <c r="B27" s="253"/>
      <c r="C27" s="254"/>
      <c r="D27" s="254" t="s">
        <v>196</v>
      </c>
      <c r="E27" s="257" t="s">
        <v>197</v>
      </c>
      <c r="F27" s="256"/>
      <c r="H27" s="253"/>
      <c r="I27" s="254"/>
      <c r="J27" s="254" t="s">
        <v>196</v>
      </c>
      <c r="K27" s="257" t="s">
        <v>197</v>
      </c>
      <c r="L27" s="256"/>
      <c r="N27" s="253"/>
      <c r="O27" s="254"/>
      <c r="P27" s="254" t="s">
        <v>196</v>
      </c>
      <c r="Q27" s="257" t="s">
        <v>197</v>
      </c>
      <c r="R27" s="256"/>
    </row>
    <row r="28" spans="2:18" x14ac:dyDescent="0.25">
      <c r="B28" s="253"/>
      <c r="C28" s="257"/>
      <c r="D28" s="266" t="s">
        <v>198</v>
      </c>
      <c r="E28" s="257">
        <f>Peralatan_IC!J67/1000</f>
        <v>0.02</v>
      </c>
      <c r="F28" s="256" t="s">
        <v>199</v>
      </c>
      <c r="H28" s="253"/>
      <c r="I28" s="257"/>
      <c r="J28" s="266" t="s">
        <v>198</v>
      </c>
      <c r="K28" s="257">
        <f>Peralatan_IC!J70/1000</f>
        <v>0.03</v>
      </c>
      <c r="L28" s="256" t="s">
        <v>199</v>
      </c>
      <c r="N28" s="253"/>
      <c r="O28" s="257"/>
      <c r="P28" s="266" t="s">
        <v>198</v>
      </c>
      <c r="Q28" s="268">
        <f>Peralatan_IC!J11/1000</f>
        <v>0.05</v>
      </c>
      <c r="R28" s="256" t="s">
        <v>199</v>
      </c>
    </row>
    <row r="29" spans="2:18" x14ac:dyDescent="0.25">
      <c r="B29" s="253"/>
      <c r="C29" s="257"/>
      <c r="D29" s="266" t="s">
        <v>201</v>
      </c>
      <c r="E29" s="264">
        <f>'Data Lingkungan_IC'!P60/60</f>
        <v>3</v>
      </c>
      <c r="F29" s="256" t="s">
        <v>202</v>
      </c>
      <c r="H29" s="253"/>
      <c r="I29" s="257"/>
      <c r="J29" s="266" t="s">
        <v>201</v>
      </c>
      <c r="K29" s="257">
        <f>'Data Lingkungan_IC'!Y60/60</f>
        <v>3</v>
      </c>
      <c r="L29" s="256" t="s">
        <v>202</v>
      </c>
      <c r="N29" s="253"/>
      <c r="O29" s="257"/>
      <c r="P29" s="266" t="s">
        <v>201</v>
      </c>
      <c r="Q29" s="257">
        <f>'Data Lingkungan_IC'!AH60/60</f>
        <v>6.9999999999999991</v>
      </c>
      <c r="R29" s="256" t="s">
        <v>202</v>
      </c>
    </row>
    <row r="30" spans="2:18" x14ac:dyDescent="0.25">
      <c r="B30" s="253"/>
      <c r="C30" s="257"/>
      <c r="D30" s="266" t="s">
        <v>204</v>
      </c>
      <c r="E30" s="270">
        <f>E29*E28</f>
        <v>0.06</v>
      </c>
      <c r="F30" s="256"/>
      <c r="H30" s="253"/>
      <c r="I30" s="257"/>
      <c r="J30" s="266" t="s">
        <v>204</v>
      </c>
      <c r="K30" s="270">
        <f>K29*K28</f>
        <v>0.09</v>
      </c>
      <c r="L30" s="256"/>
      <c r="N30" s="253"/>
      <c r="O30" s="257"/>
      <c r="P30" s="266" t="s">
        <v>204</v>
      </c>
      <c r="Q30" s="270">
        <f>Q29*Q28</f>
        <v>0.35</v>
      </c>
      <c r="R30" s="256"/>
    </row>
    <row r="31" spans="2:18" ht="30" x14ac:dyDescent="0.25">
      <c r="B31" s="253"/>
      <c r="C31" s="257"/>
      <c r="D31" s="266" t="s">
        <v>185</v>
      </c>
      <c r="E31" s="257">
        <f>E30</f>
        <v>0.06</v>
      </c>
      <c r="F31" s="256" t="s">
        <v>206</v>
      </c>
      <c r="H31" s="253"/>
      <c r="I31" s="257"/>
      <c r="J31" s="266" t="s">
        <v>185</v>
      </c>
      <c r="K31" s="257">
        <f>K30</f>
        <v>0.09</v>
      </c>
      <c r="L31" s="256" t="s">
        <v>206</v>
      </c>
      <c r="N31" s="253"/>
      <c r="O31" s="257"/>
      <c r="P31" s="266" t="s">
        <v>185</v>
      </c>
      <c r="Q31" s="257">
        <f>Q30</f>
        <v>0.35</v>
      </c>
      <c r="R31" s="256" t="s">
        <v>206</v>
      </c>
    </row>
    <row r="32" spans="2:18" x14ac:dyDescent="0.25">
      <c r="B32" s="253"/>
      <c r="C32" s="257"/>
      <c r="D32" s="266" t="s">
        <v>208</v>
      </c>
      <c r="E32" s="257">
        <v>0</v>
      </c>
      <c r="F32" s="256" t="s">
        <v>209</v>
      </c>
      <c r="H32" s="253"/>
      <c r="I32" s="257"/>
      <c r="J32" s="266" t="s">
        <v>208</v>
      </c>
      <c r="K32" s="257">
        <v>0</v>
      </c>
      <c r="L32" s="256" t="s">
        <v>209</v>
      </c>
      <c r="N32" s="253"/>
      <c r="O32" s="257"/>
      <c r="P32" s="266" t="s">
        <v>208</v>
      </c>
      <c r="Q32" s="257">
        <v>0</v>
      </c>
      <c r="R32" s="256" t="s">
        <v>209</v>
      </c>
    </row>
    <row r="33" spans="2:18" ht="15.75" thickBot="1" x14ac:dyDescent="0.3">
      <c r="B33" s="271"/>
      <c r="C33" s="272"/>
      <c r="D33" s="273"/>
      <c r="E33" s="272"/>
      <c r="F33" s="274"/>
      <c r="H33" s="271"/>
      <c r="I33" s="272"/>
      <c r="J33" s="273"/>
      <c r="K33" s="272"/>
      <c r="L33" s="274"/>
      <c r="N33" s="271"/>
      <c r="O33" s="272"/>
      <c r="P33" s="273"/>
      <c r="Q33" s="272"/>
      <c r="R33" s="274"/>
    </row>
    <row r="34" spans="2:18" ht="15.75" thickBot="1" x14ac:dyDescent="0.3"/>
    <row r="35" spans="2:18" x14ac:dyDescent="0.25">
      <c r="B35" s="428" t="s">
        <v>211</v>
      </c>
      <c r="C35" s="429"/>
      <c r="D35" s="429"/>
      <c r="E35" s="429"/>
      <c r="F35" s="430"/>
      <c r="H35" s="428" t="s">
        <v>211</v>
      </c>
      <c r="I35" s="429"/>
      <c r="J35" s="429"/>
      <c r="K35" s="429"/>
      <c r="L35" s="430"/>
    </row>
    <row r="36" spans="2:18" ht="15.75" thickBot="1" x14ac:dyDescent="0.3">
      <c r="B36" s="431" t="s">
        <v>153</v>
      </c>
      <c r="C36" s="432"/>
      <c r="D36" s="432"/>
      <c r="E36" s="432"/>
      <c r="F36" s="433"/>
      <c r="H36" s="431" t="s">
        <v>153</v>
      </c>
      <c r="I36" s="432"/>
      <c r="J36" s="432"/>
      <c r="K36" s="432"/>
      <c r="L36" s="433"/>
    </row>
    <row r="37" spans="2:18" x14ac:dyDescent="0.25">
      <c r="B37" s="416" t="s">
        <v>154</v>
      </c>
      <c r="C37" s="417"/>
      <c r="D37" s="417"/>
      <c r="E37" s="417"/>
      <c r="F37" s="418"/>
      <c r="H37" s="416" t="s">
        <v>154</v>
      </c>
      <c r="I37" s="417"/>
      <c r="J37" s="417"/>
      <c r="K37" s="417"/>
      <c r="L37" s="418"/>
    </row>
    <row r="38" spans="2:18" ht="15.75" thickBot="1" x14ac:dyDescent="0.3">
      <c r="B38" s="419" t="s">
        <v>155</v>
      </c>
      <c r="C38" s="420"/>
      <c r="D38" s="421"/>
      <c r="E38" s="422"/>
      <c r="F38" s="423"/>
      <c r="H38" s="419" t="s">
        <v>155</v>
      </c>
      <c r="I38" s="420"/>
      <c r="J38" s="421"/>
      <c r="K38" s="422"/>
      <c r="L38" s="423"/>
    </row>
    <row r="39" spans="2:18" ht="15.75" thickBot="1" x14ac:dyDescent="0.3">
      <c r="B39" s="250" t="s">
        <v>108</v>
      </c>
      <c r="C39" s="251" t="s">
        <v>156</v>
      </c>
      <c r="D39" s="251" t="s">
        <v>157</v>
      </c>
      <c r="E39" s="251" t="s">
        <v>158</v>
      </c>
      <c r="F39" s="252" t="s">
        <v>159</v>
      </c>
      <c r="H39" s="250" t="s">
        <v>108</v>
      </c>
      <c r="I39" s="251" t="s">
        <v>156</v>
      </c>
      <c r="J39" s="251" t="s">
        <v>157</v>
      </c>
      <c r="K39" s="251" t="s">
        <v>158</v>
      </c>
      <c r="L39" s="252" t="s">
        <v>159</v>
      </c>
    </row>
    <row r="40" spans="2:18" x14ac:dyDescent="0.25">
      <c r="B40" s="424" t="s">
        <v>160</v>
      </c>
      <c r="C40" s="425"/>
      <c r="D40" s="425"/>
      <c r="E40" s="425"/>
      <c r="F40" s="426"/>
      <c r="H40" s="424" t="s">
        <v>160</v>
      </c>
      <c r="I40" s="425"/>
      <c r="J40" s="425"/>
      <c r="K40" s="425"/>
      <c r="L40" s="426"/>
    </row>
    <row r="41" spans="2:18" x14ac:dyDescent="0.25">
      <c r="B41" s="253"/>
      <c r="C41" s="254" t="s">
        <v>161</v>
      </c>
      <c r="D41" s="254"/>
      <c r="E41" s="257" t="s">
        <v>250</v>
      </c>
      <c r="F41" s="256"/>
      <c r="H41" s="253"/>
      <c r="I41" s="254" t="s">
        <v>161</v>
      </c>
      <c r="J41" s="254"/>
      <c r="K41" s="257" t="s">
        <v>251</v>
      </c>
      <c r="L41" s="256"/>
    </row>
    <row r="42" spans="2:18" x14ac:dyDescent="0.25">
      <c r="B42" s="253"/>
      <c r="C42" s="254" t="s">
        <v>162</v>
      </c>
      <c r="D42" s="254"/>
      <c r="E42" s="257" t="s">
        <v>252</v>
      </c>
      <c r="F42" s="256"/>
      <c r="H42" s="253"/>
      <c r="I42" s="254" t="s">
        <v>162</v>
      </c>
      <c r="J42" s="254"/>
      <c r="K42" s="257" t="s">
        <v>253</v>
      </c>
      <c r="L42" s="256"/>
    </row>
    <row r="43" spans="2:18" x14ac:dyDescent="0.25">
      <c r="B43" s="253"/>
      <c r="C43" s="254" t="s">
        <v>165</v>
      </c>
      <c r="D43" s="254"/>
      <c r="E43" s="257"/>
      <c r="F43" s="256"/>
      <c r="H43" s="253"/>
      <c r="I43" s="254" t="s">
        <v>165</v>
      </c>
      <c r="J43" s="254"/>
      <c r="K43" s="257"/>
      <c r="L43" s="256"/>
    </row>
    <row r="44" spans="2:18" x14ac:dyDescent="0.25">
      <c r="B44" s="253"/>
      <c r="C44" s="254"/>
      <c r="D44" s="254" t="s">
        <v>166</v>
      </c>
      <c r="E44" s="257" t="s">
        <v>249</v>
      </c>
      <c r="F44" s="256"/>
      <c r="H44" s="253"/>
      <c r="I44" s="254"/>
      <c r="J44" s="254" t="s">
        <v>166</v>
      </c>
      <c r="K44" s="257" t="s">
        <v>249</v>
      </c>
      <c r="L44" s="256"/>
    </row>
    <row r="45" spans="2:18" x14ac:dyDescent="0.25">
      <c r="B45" s="253"/>
      <c r="C45" s="254"/>
      <c r="D45" s="254" t="s">
        <v>167</v>
      </c>
      <c r="E45" s="257"/>
      <c r="F45" s="256" t="s">
        <v>168</v>
      </c>
      <c r="H45" s="253"/>
      <c r="I45" s="254"/>
      <c r="J45" s="254" t="s">
        <v>167</v>
      </c>
      <c r="K45" s="257"/>
      <c r="L45" s="256" t="s">
        <v>168</v>
      </c>
    </row>
    <row r="46" spans="2:18" x14ac:dyDescent="0.25">
      <c r="B46" s="253"/>
      <c r="C46" s="254" t="s">
        <v>169</v>
      </c>
      <c r="D46" s="254"/>
      <c r="E46" s="259"/>
      <c r="F46" s="256" t="s">
        <v>170</v>
      </c>
      <c r="H46" s="253"/>
      <c r="I46" s="254" t="s">
        <v>169</v>
      </c>
      <c r="J46" s="254"/>
      <c r="K46" s="259"/>
      <c r="L46" s="256" t="s">
        <v>170</v>
      </c>
    </row>
    <row r="47" spans="2:18" x14ac:dyDescent="0.25">
      <c r="B47" s="253"/>
      <c r="C47" s="254" t="s">
        <v>172</v>
      </c>
      <c r="D47" s="254"/>
      <c r="E47" s="257">
        <f>13.5*12*30</f>
        <v>4860</v>
      </c>
      <c r="F47" s="256" t="s">
        <v>173</v>
      </c>
      <c r="H47" s="253"/>
      <c r="I47" s="254" t="s">
        <v>172</v>
      </c>
      <c r="J47" s="254"/>
      <c r="K47" s="257">
        <f>13.5*12*30</f>
        <v>4860</v>
      </c>
      <c r="L47" s="256" t="s">
        <v>173</v>
      </c>
    </row>
    <row r="48" spans="2:18" x14ac:dyDescent="0.25">
      <c r="B48" s="260"/>
      <c r="C48" s="261" t="s">
        <v>175</v>
      </c>
      <c r="D48" s="261"/>
      <c r="E48" s="262">
        <f>'Data Lingkungan_IC'!N90</f>
        <v>0</v>
      </c>
      <c r="F48" s="263"/>
      <c r="H48" s="260"/>
      <c r="I48" s="261" t="s">
        <v>175</v>
      </c>
      <c r="J48" s="261"/>
      <c r="K48" s="262">
        <f>'Data Lingkungan_IC'!T90</f>
        <v>0</v>
      </c>
      <c r="L48" s="263"/>
    </row>
    <row r="49" spans="2:12" x14ac:dyDescent="0.25">
      <c r="B49" s="253"/>
      <c r="C49" s="254" t="s">
        <v>177</v>
      </c>
      <c r="D49" s="254"/>
      <c r="E49" s="257">
        <v>0</v>
      </c>
      <c r="F49" s="256" t="s">
        <v>173</v>
      </c>
      <c r="H49" s="253"/>
      <c r="I49" s="254" t="s">
        <v>177</v>
      </c>
      <c r="J49" s="254"/>
      <c r="K49" s="257">
        <v>0</v>
      </c>
      <c r="L49" s="256" t="s">
        <v>173</v>
      </c>
    </row>
    <row r="50" spans="2:12" x14ac:dyDescent="0.25">
      <c r="B50" s="253"/>
      <c r="C50" s="254" t="s">
        <v>179</v>
      </c>
      <c r="D50" s="254"/>
      <c r="E50" s="264">
        <f>E47-E49-(E51+E53)/2*10</f>
        <v>4860</v>
      </c>
      <c r="F50" s="256" t="s">
        <v>173</v>
      </c>
      <c r="H50" s="253"/>
      <c r="I50" s="254" t="s">
        <v>179</v>
      </c>
      <c r="J50" s="254"/>
      <c r="K50" s="264">
        <f>K47-K49-(K51+K53)/2*10</f>
        <v>4860</v>
      </c>
      <c r="L50" s="256" t="s">
        <v>173</v>
      </c>
    </row>
    <row r="51" spans="2:12" x14ac:dyDescent="0.25">
      <c r="B51" s="253"/>
      <c r="C51" s="254" t="s">
        <v>181</v>
      </c>
      <c r="D51" s="254" t="s">
        <v>182</v>
      </c>
      <c r="E51" s="265">
        <f>((E49/E47)*10-E52)</f>
        <v>0</v>
      </c>
      <c r="F51" s="256" t="s">
        <v>183</v>
      </c>
      <c r="H51" s="253"/>
      <c r="I51" s="254" t="s">
        <v>181</v>
      </c>
      <c r="J51" s="254" t="s">
        <v>182</v>
      </c>
      <c r="K51" s="265">
        <f>((K49/K47)*10-K52)</f>
        <v>0</v>
      </c>
      <c r="L51" s="256" t="s">
        <v>183</v>
      </c>
    </row>
    <row r="52" spans="2:12" ht="30" x14ac:dyDescent="0.25">
      <c r="B52" s="253"/>
      <c r="C52" s="254"/>
      <c r="D52" s="266" t="s">
        <v>185</v>
      </c>
      <c r="E52" s="267">
        <v>0</v>
      </c>
      <c r="F52" s="256" t="s">
        <v>186</v>
      </c>
      <c r="H52" s="253"/>
      <c r="I52" s="254"/>
      <c r="J52" s="266" t="s">
        <v>185</v>
      </c>
      <c r="K52" s="267">
        <v>0</v>
      </c>
      <c r="L52" s="256" t="s">
        <v>186</v>
      </c>
    </row>
    <row r="53" spans="2:12" x14ac:dyDescent="0.25">
      <c r="B53" s="253"/>
      <c r="C53" s="254" t="s">
        <v>188</v>
      </c>
      <c r="D53" s="254" t="s">
        <v>182</v>
      </c>
      <c r="E53" s="267">
        <v>0</v>
      </c>
      <c r="F53" s="256" t="s">
        <v>183</v>
      </c>
      <c r="H53" s="253"/>
      <c r="I53" s="254" t="s">
        <v>188</v>
      </c>
      <c r="J53" s="254" t="s">
        <v>182</v>
      </c>
      <c r="K53" s="267">
        <v>0</v>
      </c>
      <c r="L53" s="256" t="s">
        <v>183</v>
      </c>
    </row>
    <row r="54" spans="2:12" ht="30" x14ac:dyDescent="0.25">
      <c r="B54" s="253"/>
      <c r="C54" s="254" t="s">
        <v>190</v>
      </c>
      <c r="D54" s="254"/>
      <c r="E54" s="268">
        <f>(E50/E47)</f>
        <v>1</v>
      </c>
      <c r="F54" s="256" t="s">
        <v>191</v>
      </c>
      <c r="H54" s="253"/>
      <c r="I54" s="254" t="s">
        <v>190</v>
      </c>
      <c r="J54" s="254"/>
      <c r="K54" s="268">
        <f>(K50/K47)</f>
        <v>1</v>
      </c>
      <c r="L54" s="256" t="s">
        <v>191</v>
      </c>
    </row>
    <row r="55" spans="2:12" x14ac:dyDescent="0.25">
      <c r="B55" s="253"/>
      <c r="C55" s="254" t="s">
        <v>193</v>
      </c>
      <c r="D55" s="254"/>
      <c r="E55" s="257"/>
      <c r="F55" s="256"/>
      <c r="H55" s="253"/>
      <c r="I55" s="254" t="s">
        <v>193</v>
      </c>
      <c r="J55" s="254"/>
      <c r="K55" s="257"/>
      <c r="L55" s="256"/>
    </row>
    <row r="56" spans="2:12" x14ac:dyDescent="0.25">
      <c r="B56" s="253"/>
      <c r="C56" s="254"/>
      <c r="D56" s="254" t="s">
        <v>194</v>
      </c>
      <c r="E56" s="257"/>
      <c r="F56" s="256"/>
      <c r="H56" s="253"/>
      <c r="I56" s="254"/>
      <c r="J56" s="254" t="s">
        <v>194</v>
      </c>
      <c r="K56" s="257"/>
      <c r="L56" s="256"/>
    </row>
    <row r="57" spans="2:12" x14ac:dyDescent="0.25">
      <c r="B57" s="253"/>
      <c r="C57" s="254"/>
      <c r="D57" s="254" t="s">
        <v>196</v>
      </c>
      <c r="E57" s="257" t="s">
        <v>197</v>
      </c>
      <c r="F57" s="256"/>
      <c r="H57" s="253"/>
      <c r="I57" s="254"/>
      <c r="J57" s="254" t="s">
        <v>196</v>
      </c>
      <c r="K57" s="257" t="s">
        <v>197</v>
      </c>
      <c r="L57" s="256"/>
    </row>
    <row r="58" spans="2:12" x14ac:dyDescent="0.25">
      <c r="B58" s="253"/>
      <c r="C58" s="257"/>
      <c r="D58" s="266" t="s">
        <v>198</v>
      </c>
      <c r="E58" s="257">
        <f>Peralatan_IC!J23/1000</f>
        <v>1.4999999999999999E-2</v>
      </c>
      <c r="F58" s="256" t="s">
        <v>199</v>
      </c>
      <c r="H58" s="253"/>
      <c r="I58" s="257"/>
      <c r="J58" s="266" t="s">
        <v>198</v>
      </c>
      <c r="K58" s="257">
        <f>Peralatan_IC!J24/1000</f>
        <v>5.0000000000000001E-3</v>
      </c>
      <c r="L58" s="256" t="s">
        <v>199</v>
      </c>
    </row>
    <row r="59" spans="2:12" x14ac:dyDescent="0.25">
      <c r="B59" s="253"/>
      <c r="C59" s="257"/>
      <c r="D59" s="266" t="s">
        <v>201</v>
      </c>
      <c r="E59" s="264">
        <f>'Data Lingkungan_IC'!AZ60/60</f>
        <v>4.9999999999999982</v>
      </c>
      <c r="F59" s="256" t="s">
        <v>202</v>
      </c>
      <c r="H59" s="253"/>
      <c r="I59" s="257"/>
      <c r="J59" s="266" t="s">
        <v>201</v>
      </c>
      <c r="K59" s="264">
        <f>'Data Lingkungan_IC'!AZ61/60</f>
        <v>2.0000000000000009</v>
      </c>
      <c r="L59" s="256" t="s">
        <v>202</v>
      </c>
    </row>
    <row r="60" spans="2:12" x14ac:dyDescent="0.25">
      <c r="B60" s="253"/>
      <c r="C60" s="257"/>
      <c r="D60" s="266" t="s">
        <v>204</v>
      </c>
      <c r="E60" s="270">
        <f>E59*E58</f>
        <v>7.4999999999999969E-2</v>
      </c>
      <c r="F60" s="256"/>
      <c r="H60" s="253"/>
      <c r="I60" s="257"/>
      <c r="J60" s="266" t="s">
        <v>204</v>
      </c>
      <c r="K60" s="270">
        <f>K59*K58</f>
        <v>1.0000000000000005E-2</v>
      </c>
      <c r="L60" s="256"/>
    </row>
    <row r="61" spans="2:12" ht="30" x14ac:dyDescent="0.25">
      <c r="B61" s="253"/>
      <c r="C61" s="257"/>
      <c r="D61" s="266" t="s">
        <v>185</v>
      </c>
      <c r="E61" s="257">
        <f>E60</f>
        <v>7.4999999999999969E-2</v>
      </c>
      <c r="F61" s="256" t="s">
        <v>206</v>
      </c>
      <c r="H61" s="253"/>
      <c r="I61" s="257"/>
      <c r="J61" s="266" t="s">
        <v>185</v>
      </c>
      <c r="K61" s="257">
        <f>K60</f>
        <v>1.0000000000000005E-2</v>
      </c>
      <c r="L61" s="256" t="s">
        <v>206</v>
      </c>
    </row>
    <row r="62" spans="2:12" x14ac:dyDescent="0.25">
      <c r="B62" s="253"/>
      <c r="C62" s="257"/>
      <c r="D62" s="266" t="s">
        <v>208</v>
      </c>
      <c r="E62" s="257">
        <v>0</v>
      </c>
      <c r="F62" s="256" t="s">
        <v>209</v>
      </c>
      <c r="H62" s="253"/>
      <c r="I62" s="257"/>
      <c r="J62" s="266" t="s">
        <v>208</v>
      </c>
      <c r="K62" s="257">
        <v>0</v>
      </c>
      <c r="L62" s="256" t="s">
        <v>209</v>
      </c>
    </row>
    <row r="63" spans="2:12" ht="15.75" thickBot="1" x14ac:dyDescent="0.3">
      <c r="B63" s="271"/>
      <c r="C63" s="272"/>
      <c r="D63" s="273"/>
      <c r="E63" s="272"/>
      <c r="F63" s="274"/>
      <c r="H63" s="271"/>
      <c r="I63" s="272"/>
      <c r="J63" s="273"/>
      <c r="K63" s="272"/>
      <c r="L63" s="274"/>
    </row>
    <row r="64" spans="2:12" ht="15.75" thickBot="1" x14ac:dyDescent="0.3"/>
    <row r="65" spans="2:12" x14ac:dyDescent="0.25">
      <c r="B65" s="428" t="s">
        <v>211</v>
      </c>
      <c r="C65" s="429"/>
      <c r="D65" s="429"/>
      <c r="E65" s="429"/>
      <c r="F65" s="430"/>
      <c r="H65" s="428" t="s">
        <v>211</v>
      </c>
      <c r="I65" s="429"/>
      <c r="J65" s="429"/>
      <c r="K65" s="429"/>
      <c r="L65" s="430"/>
    </row>
    <row r="66" spans="2:12" ht="15.75" thickBot="1" x14ac:dyDescent="0.3">
      <c r="B66" s="431" t="s">
        <v>153</v>
      </c>
      <c r="C66" s="432"/>
      <c r="D66" s="432"/>
      <c r="E66" s="432"/>
      <c r="F66" s="433"/>
      <c r="H66" s="431" t="s">
        <v>153</v>
      </c>
      <c r="I66" s="432"/>
      <c r="J66" s="432"/>
      <c r="K66" s="432"/>
      <c r="L66" s="433"/>
    </row>
    <row r="67" spans="2:12" x14ac:dyDescent="0.25">
      <c r="B67" s="416" t="s">
        <v>154</v>
      </c>
      <c r="C67" s="417"/>
      <c r="D67" s="417"/>
      <c r="E67" s="417"/>
      <c r="F67" s="418"/>
      <c r="H67" s="416" t="s">
        <v>154</v>
      </c>
      <c r="I67" s="417"/>
      <c r="J67" s="417"/>
      <c r="K67" s="417"/>
      <c r="L67" s="418"/>
    </row>
    <row r="68" spans="2:12" ht="15.75" thickBot="1" x14ac:dyDescent="0.3">
      <c r="B68" s="419" t="s">
        <v>155</v>
      </c>
      <c r="C68" s="420"/>
      <c r="D68" s="421"/>
      <c r="E68" s="422"/>
      <c r="F68" s="423"/>
      <c r="H68" s="419" t="s">
        <v>155</v>
      </c>
      <c r="I68" s="420"/>
      <c r="J68" s="421"/>
      <c r="K68" s="422"/>
      <c r="L68" s="423"/>
    </row>
    <row r="69" spans="2:12" ht="15.75" thickBot="1" x14ac:dyDescent="0.3">
      <c r="B69" s="250" t="s">
        <v>108</v>
      </c>
      <c r="C69" s="251" t="s">
        <v>156</v>
      </c>
      <c r="D69" s="251" t="s">
        <v>157</v>
      </c>
      <c r="E69" s="251" t="s">
        <v>158</v>
      </c>
      <c r="F69" s="252" t="s">
        <v>159</v>
      </c>
      <c r="H69" s="250" t="s">
        <v>108</v>
      </c>
      <c r="I69" s="251" t="s">
        <v>156</v>
      </c>
      <c r="J69" s="251" t="s">
        <v>157</v>
      </c>
      <c r="K69" s="251" t="s">
        <v>158</v>
      </c>
      <c r="L69" s="252" t="s">
        <v>159</v>
      </c>
    </row>
    <row r="70" spans="2:12" x14ac:dyDescent="0.25">
      <c r="B70" s="424" t="s">
        <v>160</v>
      </c>
      <c r="C70" s="425"/>
      <c r="D70" s="425"/>
      <c r="E70" s="425"/>
      <c r="F70" s="426"/>
      <c r="H70" s="424" t="s">
        <v>160</v>
      </c>
      <c r="I70" s="425"/>
      <c r="J70" s="425"/>
      <c r="K70" s="425"/>
      <c r="L70" s="426"/>
    </row>
    <row r="71" spans="2:12" x14ac:dyDescent="0.25">
      <c r="B71" s="253"/>
      <c r="C71" s="254" t="s">
        <v>161</v>
      </c>
      <c r="D71" s="254"/>
      <c r="E71" s="257" t="s">
        <v>254</v>
      </c>
      <c r="F71" s="256"/>
      <c r="H71" s="253"/>
      <c r="I71" s="254" t="s">
        <v>161</v>
      </c>
      <c r="J71" s="254"/>
      <c r="K71" s="257" t="s">
        <v>255</v>
      </c>
      <c r="L71" s="256"/>
    </row>
    <row r="72" spans="2:12" x14ac:dyDescent="0.25">
      <c r="B72" s="253"/>
      <c r="C72" s="254" t="s">
        <v>162</v>
      </c>
      <c r="D72" s="254"/>
      <c r="E72" s="257" t="s">
        <v>256</v>
      </c>
      <c r="F72" s="256"/>
      <c r="H72" s="253"/>
      <c r="I72" s="254" t="s">
        <v>162</v>
      </c>
      <c r="J72" s="254"/>
      <c r="K72" s="257" t="s">
        <v>257</v>
      </c>
      <c r="L72" s="256"/>
    </row>
    <row r="73" spans="2:12" x14ac:dyDescent="0.25">
      <c r="B73" s="253"/>
      <c r="C73" s="254" t="s">
        <v>165</v>
      </c>
      <c r="D73" s="254"/>
      <c r="E73" s="257"/>
      <c r="F73" s="256"/>
      <c r="H73" s="253"/>
      <c r="I73" s="254" t="s">
        <v>165</v>
      </c>
      <c r="J73" s="254"/>
      <c r="K73" s="257"/>
      <c r="L73" s="256"/>
    </row>
    <row r="74" spans="2:12" x14ac:dyDescent="0.25">
      <c r="B74" s="253"/>
      <c r="C74" s="254"/>
      <c r="D74" s="254" t="s">
        <v>166</v>
      </c>
      <c r="E74" s="257" t="s">
        <v>249</v>
      </c>
      <c r="F74" s="256"/>
      <c r="H74" s="253"/>
      <c r="I74" s="254"/>
      <c r="J74" s="254" t="s">
        <v>166</v>
      </c>
      <c r="K74" s="257" t="s">
        <v>249</v>
      </c>
      <c r="L74" s="256"/>
    </row>
    <row r="75" spans="2:12" x14ac:dyDescent="0.25">
      <c r="B75" s="253"/>
      <c r="C75" s="254"/>
      <c r="D75" s="254" t="s">
        <v>167</v>
      </c>
      <c r="E75" s="257"/>
      <c r="F75" s="256" t="s">
        <v>168</v>
      </c>
      <c r="H75" s="253"/>
      <c r="I75" s="254"/>
      <c r="J75" s="254" t="s">
        <v>167</v>
      </c>
      <c r="K75" s="257"/>
      <c r="L75" s="256" t="s">
        <v>168</v>
      </c>
    </row>
    <row r="76" spans="2:12" x14ac:dyDescent="0.25">
      <c r="B76" s="253"/>
      <c r="C76" s="254" t="s">
        <v>169</v>
      </c>
      <c r="D76" s="254"/>
      <c r="E76" s="259"/>
      <c r="F76" s="256" t="s">
        <v>170</v>
      </c>
      <c r="H76" s="253"/>
      <c r="I76" s="254" t="s">
        <v>169</v>
      </c>
      <c r="J76" s="254"/>
      <c r="K76" s="259"/>
      <c r="L76" s="256" t="s">
        <v>170</v>
      </c>
    </row>
    <row r="77" spans="2:12" x14ac:dyDescent="0.25">
      <c r="B77" s="253"/>
      <c r="C77" s="254" t="s">
        <v>172</v>
      </c>
      <c r="D77" s="254"/>
      <c r="E77" s="257">
        <f>13.5*12*30</f>
        <v>4860</v>
      </c>
      <c r="F77" s="256" t="s">
        <v>173</v>
      </c>
      <c r="H77" s="253"/>
      <c r="I77" s="254" t="s">
        <v>172</v>
      </c>
      <c r="J77" s="254"/>
      <c r="K77" s="257">
        <f>13.5*12*30</f>
        <v>4860</v>
      </c>
      <c r="L77" s="256" t="s">
        <v>173</v>
      </c>
    </row>
    <row r="78" spans="2:12" x14ac:dyDescent="0.25">
      <c r="B78" s="260"/>
      <c r="C78" s="261" t="s">
        <v>175</v>
      </c>
      <c r="D78" s="261"/>
      <c r="E78" s="262">
        <f>'Data Lingkungan_IC'!Z90</f>
        <v>0</v>
      </c>
      <c r="F78" s="263"/>
      <c r="H78" s="260"/>
      <c r="I78" s="261" t="s">
        <v>175</v>
      </c>
      <c r="J78" s="261"/>
      <c r="K78" s="262">
        <f>'Data Lingkungan_IC'!AF90</f>
        <v>0</v>
      </c>
      <c r="L78" s="263"/>
    </row>
    <row r="79" spans="2:12" x14ac:dyDescent="0.25">
      <c r="B79" s="253"/>
      <c r="C79" s="254" t="s">
        <v>177</v>
      </c>
      <c r="D79" s="254"/>
      <c r="E79" s="257">
        <v>0</v>
      </c>
      <c r="F79" s="256" t="s">
        <v>173</v>
      </c>
      <c r="H79" s="253"/>
      <c r="I79" s="254" t="s">
        <v>177</v>
      </c>
      <c r="J79" s="254"/>
      <c r="K79" s="257">
        <v>0</v>
      </c>
      <c r="L79" s="256" t="s">
        <v>173</v>
      </c>
    </row>
    <row r="80" spans="2:12" x14ac:dyDescent="0.25">
      <c r="B80" s="253"/>
      <c r="C80" s="254" t="s">
        <v>179</v>
      </c>
      <c r="D80" s="254"/>
      <c r="E80" s="264">
        <f>E77-E79-(E81+E83)/2*10</f>
        <v>4860</v>
      </c>
      <c r="F80" s="256" t="s">
        <v>173</v>
      </c>
      <c r="H80" s="253"/>
      <c r="I80" s="254" t="s">
        <v>179</v>
      </c>
      <c r="J80" s="254"/>
      <c r="K80" s="264">
        <f>K77-K79-(K81+K83)/2*10</f>
        <v>4860</v>
      </c>
      <c r="L80" s="256" t="s">
        <v>173</v>
      </c>
    </row>
    <row r="81" spans="2:12" x14ac:dyDescent="0.25">
      <c r="B81" s="253"/>
      <c r="C81" s="254" t="s">
        <v>181</v>
      </c>
      <c r="D81" s="254" t="s">
        <v>182</v>
      </c>
      <c r="E81" s="265">
        <f>((E79/E77)*10-E82)</f>
        <v>0</v>
      </c>
      <c r="F81" s="256" t="s">
        <v>183</v>
      </c>
      <c r="H81" s="253"/>
      <c r="I81" s="254" t="s">
        <v>181</v>
      </c>
      <c r="J81" s="254" t="s">
        <v>182</v>
      </c>
      <c r="K81" s="265">
        <f>((K79/K77)*10-K82)</f>
        <v>0</v>
      </c>
      <c r="L81" s="256" t="s">
        <v>183</v>
      </c>
    </row>
    <row r="82" spans="2:12" ht="30" x14ac:dyDescent="0.25">
      <c r="B82" s="253"/>
      <c r="C82" s="254"/>
      <c r="D82" s="266" t="s">
        <v>185</v>
      </c>
      <c r="E82" s="267">
        <v>0</v>
      </c>
      <c r="F82" s="256" t="s">
        <v>186</v>
      </c>
      <c r="H82" s="253"/>
      <c r="I82" s="254"/>
      <c r="J82" s="266" t="s">
        <v>185</v>
      </c>
      <c r="K82" s="267">
        <v>0</v>
      </c>
      <c r="L82" s="256" t="s">
        <v>186</v>
      </c>
    </row>
    <row r="83" spans="2:12" x14ac:dyDescent="0.25">
      <c r="B83" s="253"/>
      <c r="C83" s="254" t="s">
        <v>188</v>
      </c>
      <c r="D83" s="254" t="s">
        <v>182</v>
      </c>
      <c r="E83" s="267">
        <v>0</v>
      </c>
      <c r="F83" s="256" t="s">
        <v>183</v>
      </c>
      <c r="H83" s="253"/>
      <c r="I83" s="254" t="s">
        <v>188</v>
      </c>
      <c r="J83" s="254" t="s">
        <v>182</v>
      </c>
      <c r="K83" s="267">
        <v>0</v>
      </c>
      <c r="L83" s="256" t="s">
        <v>183</v>
      </c>
    </row>
    <row r="84" spans="2:12" ht="30" x14ac:dyDescent="0.25">
      <c r="B84" s="253"/>
      <c r="C84" s="254" t="s">
        <v>190</v>
      </c>
      <c r="D84" s="254"/>
      <c r="E84" s="268">
        <f>(E80/E77)</f>
        <v>1</v>
      </c>
      <c r="F84" s="256" t="s">
        <v>191</v>
      </c>
      <c r="H84" s="253"/>
      <c r="I84" s="254" t="s">
        <v>190</v>
      </c>
      <c r="J84" s="254"/>
      <c r="K84" s="268">
        <f>(K80/K77)</f>
        <v>1</v>
      </c>
      <c r="L84" s="256" t="s">
        <v>191</v>
      </c>
    </row>
    <row r="85" spans="2:12" x14ac:dyDescent="0.25">
      <c r="B85" s="253"/>
      <c r="C85" s="254" t="s">
        <v>193</v>
      </c>
      <c r="D85" s="254"/>
      <c r="E85" s="257"/>
      <c r="F85" s="256"/>
      <c r="H85" s="253"/>
      <c r="I85" s="254" t="s">
        <v>193</v>
      </c>
      <c r="J85" s="254"/>
      <c r="K85" s="257"/>
      <c r="L85" s="256"/>
    </row>
    <row r="86" spans="2:12" x14ac:dyDescent="0.25">
      <c r="B86" s="253"/>
      <c r="C86" s="254"/>
      <c r="D86" s="254" t="s">
        <v>194</v>
      </c>
      <c r="E86" s="257"/>
      <c r="F86" s="256"/>
      <c r="H86" s="253"/>
      <c r="I86" s="254"/>
      <c r="J86" s="254" t="s">
        <v>194</v>
      </c>
      <c r="K86" s="257"/>
      <c r="L86" s="256"/>
    </row>
    <row r="87" spans="2:12" x14ac:dyDescent="0.25">
      <c r="B87" s="253"/>
      <c r="C87" s="254"/>
      <c r="D87" s="254" t="s">
        <v>196</v>
      </c>
      <c r="E87" s="257" t="s">
        <v>197</v>
      </c>
      <c r="F87" s="256"/>
      <c r="H87" s="253"/>
      <c r="I87" s="254"/>
      <c r="J87" s="254" t="s">
        <v>196</v>
      </c>
      <c r="K87" s="257" t="s">
        <v>197</v>
      </c>
      <c r="L87" s="256"/>
    </row>
    <row r="88" spans="2:12" x14ac:dyDescent="0.25">
      <c r="B88" s="253"/>
      <c r="C88" s="257"/>
      <c r="D88" s="266" t="s">
        <v>198</v>
      </c>
      <c r="E88" s="257">
        <f>Peralatan_IC!J16/1000</f>
        <v>1.4999999999999999E-2</v>
      </c>
      <c r="F88" s="256" t="s">
        <v>199</v>
      </c>
      <c r="H88" s="253"/>
      <c r="I88" s="257"/>
      <c r="J88" s="266" t="s">
        <v>198</v>
      </c>
      <c r="K88" s="257">
        <f>Peralatan_IC!J15/1000</f>
        <v>0.04</v>
      </c>
      <c r="L88" s="256" t="s">
        <v>199</v>
      </c>
    </row>
    <row r="89" spans="2:12" x14ac:dyDescent="0.25">
      <c r="B89" s="253"/>
      <c r="C89" s="257"/>
      <c r="D89" s="266" t="s">
        <v>201</v>
      </c>
      <c r="E89" s="264">
        <f>'Data Lingkungan_IC'!AQ60/60</f>
        <v>15</v>
      </c>
      <c r="F89" s="256" t="s">
        <v>202</v>
      </c>
      <c r="H89" s="253"/>
      <c r="I89" s="257"/>
      <c r="J89" s="266" t="s">
        <v>201</v>
      </c>
      <c r="K89" s="264">
        <f>'Data Lingkungan_IC'!AQ61/60</f>
        <v>6.9999999999999991</v>
      </c>
      <c r="L89" s="256" t="s">
        <v>202</v>
      </c>
    </row>
    <row r="90" spans="2:12" x14ac:dyDescent="0.25">
      <c r="B90" s="253"/>
      <c r="C90" s="257"/>
      <c r="D90" s="266" t="s">
        <v>204</v>
      </c>
      <c r="E90" s="270">
        <f>E89*E88</f>
        <v>0.22499999999999998</v>
      </c>
      <c r="F90" s="256"/>
      <c r="H90" s="253"/>
      <c r="I90" s="257"/>
      <c r="J90" s="266" t="s">
        <v>204</v>
      </c>
      <c r="K90" s="270">
        <f>K89*K88</f>
        <v>0.27999999999999997</v>
      </c>
      <c r="L90" s="256"/>
    </row>
    <row r="91" spans="2:12" ht="30" x14ac:dyDescent="0.25">
      <c r="B91" s="253"/>
      <c r="C91" s="257"/>
      <c r="D91" s="266" t="s">
        <v>185</v>
      </c>
      <c r="E91" s="257">
        <f>E90</f>
        <v>0.22499999999999998</v>
      </c>
      <c r="F91" s="256" t="s">
        <v>206</v>
      </c>
      <c r="H91" s="253"/>
      <c r="I91" s="257"/>
      <c r="J91" s="266" t="s">
        <v>185</v>
      </c>
      <c r="K91" s="257">
        <f>K90</f>
        <v>0.27999999999999997</v>
      </c>
      <c r="L91" s="256" t="s">
        <v>206</v>
      </c>
    </row>
    <row r="92" spans="2:12" x14ac:dyDescent="0.25">
      <c r="B92" s="253"/>
      <c r="C92" s="257"/>
      <c r="D92" s="266" t="s">
        <v>208</v>
      </c>
      <c r="E92" s="257">
        <v>0</v>
      </c>
      <c r="F92" s="256" t="s">
        <v>209</v>
      </c>
      <c r="H92" s="253"/>
      <c r="I92" s="257"/>
      <c r="J92" s="266" t="s">
        <v>208</v>
      </c>
      <c r="K92" s="257">
        <v>0</v>
      </c>
      <c r="L92" s="256" t="s">
        <v>209</v>
      </c>
    </row>
    <row r="93" spans="2:12" ht="15.75" thickBot="1" x14ac:dyDescent="0.3">
      <c r="B93" s="271"/>
      <c r="C93" s="272"/>
      <c r="D93" s="273"/>
      <c r="E93" s="272"/>
      <c r="F93" s="274"/>
      <c r="H93" s="271"/>
      <c r="I93" s="272"/>
      <c r="J93" s="273"/>
      <c r="K93" s="272"/>
      <c r="L93" s="274"/>
    </row>
    <row r="94" spans="2:12" ht="15.75" thickBot="1" x14ac:dyDescent="0.3"/>
    <row r="95" spans="2:12" x14ac:dyDescent="0.25">
      <c r="B95" s="428" t="s">
        <v>211</v>
      </c>
      <c r="C95" s="429"/>
      <c r="D95" s="429"/>
      <c r="E95" s="429"/>
      <c r="F95" s="430"/>
      <c r="H95" s="428" t="s">
        <v>211</v>
      </c>
      <c r="I95" s="429"/>
      <c r="J95" s="429"/>
      <c r="K95" s="429"/>
      <c r="L95" s="430"/>
    </row>
    <row r="96" spans="2:12" ht="15.75" thickBot="1" x14ac:dyDescent="0.3">
      <c r="B96" s="431" t="s">
        <v>153</v>
      </c>
      <c r="C96" s="432"/>
      <c r="D96" s="432"/>
      <c r="E96" s="432"/>
      <c r="F96" s="433"/>
      <c r="H96" s="431" t="s">
        <v>153</v>
      </c>
      <c r="I96" s="432"/>
      <c r="J96" s="432"/>
      <c r="K96" s="432"/>
      <c r="L96" s="433"/>
    </row>
    <row r="97" spans="2:12" x14ac:dyDescent="0.25">
      <c r="B97" s="416" t="s">
        <v>154</v>
      </c>
      <c r="C97" s="417"/>
      <c r="D97" s="417"/>
      <c r="E97" s="417"/>
      <c r="F97" s="418"/>
      <c r="H97" s="416" t="s">
        <v>154</v>
      </c>
      <c r="I97" s="417"/>
      <c r="J97" s="417"/>
      <c r="K97" s="417"/>
      <c r="L97" s="418"/>
    </row>
    <row r="98" spans="2:12" ht="15.75" thickBot="1" x14ac:dyDescent="0.3">
      <c r="B98" s="419" t="s">
        <v>155</v>
      </c>
      <c r="C98" s="420"/>
      <c r="D98" s="421"/>
      <c r="E98" s="422"/>
      <c r="F98" s="423"/>
      <c r="H98" s="419" t="s">
        <v>155</v>
      </c>
      <c r="I98" s="420"/>
      <c r="J98" s="421"/>
      <c r="K98" s="422"/>
      <c r="L98" s="423"/>
    </row>
    <row r="99" spans="2:12" ht="15.75" thickBot="1" x14ac:dyDescent="0.3">
      <c r="B99" s="250" t="s">
        <v>108</v>
      </c>
      <c r="C99" s="251" t="s">
        <v>156</v>
      </c>
      <c r="D99" s="251" t="s">
        <v>157</v>
      </c>
      <c r="E99" s="251" t="s">
        <v>158</v>
      </c>
      <c r="F99" s="252" t="s">
        <v>159</v>
      </c>
      <c r="H99" s="250" t="s">
        <v>108</v>
      </c>
      <c r="I99" s="251" t="s">
        <v>156</v>
      </c>
      <c r="J99" s="251" t="s">
        <v>157</v>
      </c>
      <c r="K99" s="251" t="s">
        <v>158</v>
      </c>
      <c r="L99" s="252" t="s">
        <v>159</v>
      </c>
    </row>
    <row r="100" spans="2:12" x14ac:dyDescent="0.25">
      <c r="B100" s="424" t="s">
        <v>160</v>
      </c>
      <c r="C100" s="425"/>
      <c r="D100" s="425"/>
      <c r="E100" s="425"/>
      <c r="F100" s="426"/>
      <c r="H100" s="424" t="s">
        <v>160</v>
      </c>
      <c r="I100" s="425"/>
      <c r="J100" s="425"/>
      <c r="K100" s="425"/>
      <c r="L100" s="426"/>
    </row>
    <row r="101" spans="2:12" x14ac:dyDescent="0.25">
      <c r="B101" s="253"/>
      <c r="C101" s="254" t="s">
        <v>161</v>
      </c>
      <c r="D101" s="254"/>
      <c r="E101" s="257" t="s">
        <v>258</v>
      </c>
      <c r="F101" s="256"/>
      <c r="H101" s="253"/>
      <c r="I101" s="254" t="s">
        <v>161</v>
      </c>
      <c r="J101" s="254"/>
      <c r="K101" s="257" t="s">
        <v>259</v>
      </c>
      <c r="L101" s="256"/>
    </row>
    <row r="102" spans="2:12" x14ac:dyDescent="0.25">
      <c r="B102" s="253"/>
      <c r="C102" s="254" t="s">
        <v>162</v>
      </c>
      <c r="D102" s="254"/>
      <c r="E102" s="257" t="s">
        <v>260</v>
      </c>
      <c r="F102" s="256"/>
      <c r="H102" s="253"/>
      <c r="I102" s="254" t="s">
        <v>162</v>
      </c>
      <c r="J102" s="254"/>
      <c r="K102" s="257" t="s">
        <v>261</v>
      </c>
      <c r="L102" s="256"/>
    </row>
    <row r="103" spans="2:12" x14ac:dyDescent="0.25">
      <c r="B103" s="253"/>
      <c r="C103" s="254" t="s">
        <v>165</v>
      </c>
      <c r="D103" s="254"/>
      <c r="E103" s="257"/>
      <c r="F103" s="256"/>
      <c r="H103" s="253"/>
      <c r="I103" s="254" t="s">
        <v>165</v>
      </c>
      <c r="J103" s="254"/>
      <c r="K103" s="257"/>
      <c r="L103" s="256"/>
    </row>
    <row r="104" spans="2:12" x14ac:dyDescent="0.25">
      <c r="B104" s="253"/>
      <c r="C104" s="254"/>
      <c r="D104" s="254" t="s">
        <v>166</v>
      </c>
      <c r="E104" s="257" t="s">
        <v>249</v>
      </c>
      <c r="F104" s="256"/>
      <c r="H104" s="253"/>
      <c r="I104" s="254"/>
      <c r="J104" s="254" t="s">
        <v>166</v>
      </c>
      <c r="K104" s="257" t="s">
        <v>249</v>
      </c>
      <c r="L104" s="256"/>
    </row>
    <row r="105" spans="2:12" x14ac:dyDescent="0.25">
      <c r="B105" s="253"/>
      <c r="C105" s="254"/>
      <c r="D105" s="254" t="s">
        <v>167</v>
      </c>
      <c r="E105" s="257"/>
      <c r="F105" s="256" t="s">
        <v>168</v>
      </c>
      <c r="H105" s="253"/>
      <c r="I105" s="254"/>
      <c r="J105" s="254" t="s">
        <v>167</v>
      </c>
      <c r="K105" s="257"/>
      <c r="L105" s="256" t="s">
        <v>168</v>
      </c>
    </row>
    <row r="106" spans="2:12" x14ac:dyDescent="0.25">
      <c r="B106" s="253"/>
      <c r="C106" s="254" t="s">
        <v>169</v>
      </c>
      <c r="D106" s="254"/>
      <c r="E106" s="259"/>
      <c r="F106" s="256" t="s">
        <v>170</v>
      </c>
      <c r="H106" s="253"/>
      <c r="I106" s="254" t="s">
        <v>169</v>
      </c>
      <c r="J106" s="254"/>
      <c r="K106" s="259"/>
      <c r="L106" s="256" t="s">
        <v>170</v>
      </c>
    </row>
    <row r="107" spans="2:12" x14ac:dyDescent="0.25">
      <c r="B107" s="253"/>
      <c r="C107" s="254" t="s">
        <v>172</v>
      </c>
      <c r="D107" s="254"/>
      <c r="E107" s="257">
        <f>13.5*12*30</f>
        <v>4860</v>
      </c>
      <c r="F107" s="256" t="s">
        <v>173</v>
      </c>
      <c r="H107" s="253"/>
      <c r="I107" s="254" t="s">
        <v>172</v>
      </c>
      <c r="J107" s="254"/>
      <c r="K107" s="257">
        <f>13.5*12*30</f>
        <v>4860</v>
      </c>
      <c r="L107" s="256" t="s">
        <v>173</v>
      </c>
    </row>
    <row r="108" spans="2:12" x14ac:dyDescent="0.25">
      <c r="B108" s="260"/>
      <c r="C108" s="261" t="s">
        <v>175</v>
      </c>
      <c r="D108" s="261"/>
      <c r="E108" s="262">
        <f>'Data Lingkungan_IC'!Z120</f>
        <v>0</v>
      </c>
      <c r="F108" s="263"/>
      <c r="H108" s="260"/>
      <c r="I108" s="261" t="s">
        <v>175</v>
      </c>
      <c r="J108" s="261"/>
      <c r="K108" s="262">
        <f>'Data Lingkungan_IC'!AF120</f>
        <v>0</v>
      </c>
      <c r="L108" s="263"/>
    </row>
    <row r="109" spans="2:12" x14ac:dyDescent="0.25">
      <c r="B109" s="253"/>
      <c r="C109" s="254" t="s">
        <v>177</v>
      </c>
      <c r="D109" s="254"/>
      <c r="E109" s="257">
        <v>0</v>
      </c>
      <c r="F109" s="256" t="s">
        <v>173</v>
      </c>
      <c r="H109" s="253"/>
      <c r="I109" s="254" t="s">
        <v>177</v>
      </c>
      <c r="J109" s="254"/>
      <c r="K109" s="257">
        <v>0</v>
      </c>
      <c r="L109" s="256" t="s">
        <v>173</v>
      </c>
    </row>
    <row r="110" spans="2:12" x14ac:dyDescent="0.25">
      <c r="B110" s="253"/>
      <c r="C110" s="254" t="s">
        <v>179</v>
      </c>
      <c r="D110" s="254"/>
      <c r="E110" s="264">
        <f>E107-E109-(E111+E113)/2*10</f>
        <v>4860</v>
      </c>
      <c r="F110" s="256" t="s">
        <v>173</v>
      </c>
      <c r="H110" s="253"/>
      <c r="I110" s="254" t="s">
        <v>179</v>
      </c>
      <c r="J110" s="254"/>
      <c r="K110" s="264">
        <f>K107-K109-(K111+K113)/2*10</f>
        <v>4860</v>
      </c>
      <c r="L110" s="256" t="s">
        <v>173</v>
      </c>
    </row>
    <row r="111" spans="2:12" x14ac:dyDescent="0.25">
      <c r="B111" s="253"/>
      <c r="C111" s="254" t="s">
        <v>181</v>
      </c>
      <c r="D111" s="254" t="s">
        <v>182</v>
      </c>
      <c r="E111" s="265">
        <f>((E109/E107)*10-E112)</f>
        <v>0</v>
      </c>
      <c r="F111" s="256" t="s">
        <v>183</v>
      </c>
      <c r="H111" s="253"/>
      <c r="I111" s="254" t="s">
        <v>181</v>
      </c>
      <c r="J111" s="254" t="s">
        <v>182</v>
      </c>
      <c r="K111" s="265">
        <f>((K109/K107)*10-K112)</f>
        <v>0</v>
      </c>
      <c r="L111" s="256" t="s">
        <v>183</v>
      </c>
    </row>
    <row r="112" spans="2:12" ht="30" x14ac:dyDescent="0.25">
      <c r="B112" s="253"/>
      <c r="C112" s="254"/>
      <c r="D112" s="266" t="s">
        <v>185</v>
      </c>
      <c r="E112" s="267">
        <v>0</v>
      </c>
      <c r="F112" s="256" t="s">
        <v>186</v>
      </c>
      <c r="H112" s="253"/>
      <c r="I112" s="254"/>
      <c r="J112" s="266" t="s">
        <v>185</v>
      </c>
      <c r="K112" s="267">
        <v>0</v>
      </c>
      <c r="L112" s="256" t="s">
        <v>186</v>
      </c>
    </row>
    <row r="113" spans="2:12" x14ac:dyDescent="0.25">
      <c r="B113" s="253"/>
      <c r="C113" s="254" t="s">
        <v>188</v>
      </c>
      <c r="D113" s="254" t="s">
        <v>182</v>
      </c>
      <c r="E113" s="267">
        <v>0</v>
      </c>
      <c r="F113" s="256" t="s">
        <v>183</v>
      </c>
      <c r="H113" s="253"/>
      <c r="I113" s="254" t="s">
        <v>188</v>
      </c>
      <c r="J113" s="254" t="s">
        <v>182</v>
      </c>
      <c r="K113" s="267">
        <v>0</v>
      </c>
      <c r="L113" s="256" t="s">
        <v>183</v>
      </c>
    </row>
    <row r="114" spans="2:12" ht="30" x14ac:dyDescent="0.25">
      <c r="B114" s="253"/>
      <c r="C114" s="254" t="s">
        <v>190</v>
      </c>
      <c r="D114" s="254"/>
      <c r="E114" s="268">
        <f>(E110/E107)</f>
        <v>1</v>
      </c>
      <c r="F114" s="256" t="s">
        <v>191</v>
      </c>
      <c r="H114" s="253"/>
      <c r="I114" s="254" t="s">
        <v>190</v>
      </c>
      <c r="J114" s="254"/>
      <c r="K114" s="268">
        <f>(K110/K107)</f>
        <v>1</v>
      </c>
      <c r="L114" s="256" t="s">
        <v>191</v>
      </c>
    </row>
    <row r="115" spans="2:12" x14ac:dyDescent="0.25">
      <c r="B115" s="253"/>
      <c r="C115" s="254" t="s">
        <v>193</v>
      </c>
      <c r="D115" s="254"/>
      <c r="E115" s="257"/>
      <c r="F115" s="256"/>
      <c r="H115" s="253"/>
      <c r="I115" s="254" t="s">
        <v>193</v>
      </c>
      <c r="J115" s="254"/>
      <c r="K115" s="257"/>
      <c r="L115" s="256"/>
    </row>
    <row r="116" spans="2:12" x14ac:dyDescent="0.25">
      <c r="B116" s="253"/>
      <c r="C116" s="254"/>
      <c r="D116" s="254" t="s">
        <v>194</v>
      </c>
      <c r="E116" s="257"/>
      <c r="F116" s="256"/>
      <c r="H116" s="253"/>
      <c r="I116" s="254"/>
      <c r="J116" s="254" t="s">
        <v>194</v>
      </c>
      <c r="K116" s="257"/>
      <c r="L116" s="256"/>
    </row>
    <row r="117" spans="2:12" x14ac:dyDescent="0.25">
      <c r="B117" s="253"/>
      <c r="C117" s="254"/>
      <c r="D117" s="254" t="s">
        <v>196</v>
      </c>
      <c r="E117" s="257" t="s">
        <v>197</v>
      </c>
      <c r="F117" s="256"/>
      <c r="H117" s="253"/>
      <c r="I117" s="254"/>
      <c r="J117" s="254" t="s">
        <v>196</v>
      </c>
      <c r="K117" s="257" t="s">
        <v>197</v>
      </c>
      <c r="L117" s="256"/>
    </row>
    <row r="118" spans="2:12" x14ac:dyDescent="0.25">
      <c r="B118" s="253"/>
      <c r="C118" s="257"/>
      <c r="D118" s="266" t="s">
        <v>198</v>
      </c>
      <c r="E118" s="257">
        <f>Peralatan_IC!J32/1000</f>
        <v>1.4999999999999999E-2</v>
      </c>
      <c r="F118" s="256" t="s">
        <v>199</v>
      </c>
      <c r="H118" s="253"/>
      <c r="I118" s="257"/>
      <c r="J118" s="266" t="s">
        <v>198</v>
      </c>
      <c r="K118" s="257">
        <f>Peralatan_IC!J36/1000</f>
        <v>5.0000000000000001E-3</v>
      </c>
      <c r="L118" s="256" t="s">
        <v>199</v>
      </c>
    </row>
    <row r="119" spans="2:12" x14ac:dyDescent="0.25">
      <c r="B119" s="253"/>
      <c r="C119" s="257"/>
      <c r="D119" s="266" t="s">
        <v>201</v>
      </c>
      <c r="E119" s="264">
        <f>'Data Lingkungan_IC'!BI60/60</f>
        <v>4.9999999999999982</v>
      </c>
      <c r="F119" s="256" t="s">
        <v>202</v>
      </c>
      <c r="H119" s="253"/>
      <c r="I119" s="257"/>
      <c r="J119" s="266" t="s">
        <v>201</v>
      </c>
      <c r="K119" s="264">
        <f>'Data Lingkungan_IC'!BI61/60</f>
        <v>2.0000000000000009</v>
      </c>
      <c r="L119" s="256" t="s">
        <v>202</v>
      </c>
    </row>
    <row r="120" spans="2:12" x14ac:dyDescent="0.25">
      <c r="B120" s="253"/>
      <c r="C120" s="257"/>
      <c r="D120" s="266" t="s">
        <v>204</v>
      </c>
      <c r="E120" s="270">
        <f>E119*E118</f>
        <v>7.4999999999999969E-2</v>
      </c>
      <c r="F120" s="256"/>
      <c r="H120" s="253"/>
      <c r="I120" s="257"/>
      <c r="J120" s="266" t="s">
        <v>204</v>
      </c>
      <c r="K120" s="270">
        <f>K119*K118</f>
        <v>1.0000000000000005E-2</v>
      </c>
      <c r="L120" s="256"/>
    </row>
    <row r="121" spans="2:12" ht="30" x14ac:dyDescent="0.25">
      <c r="B121" s="253"/>
      <c r="C121" s="257"/>
      <c r="D121" s="266" t="s">
        <v>185</v>
      </c>
      <c r="E121" s="257">
        <f>E120</f>
        <v>7.4999999999999969E-2</v>
      </c>
      <c r="F121" s="256" t="s">
        <v>206</v>
      </c>
      <c r="H121" s="253"/>
      <c r="I121" s="257"/>
      <c r="J121" s="266" t="s">
        <v>185</v>
      </c>
      <c r="K121" s="257">
        <f>K120</f>
        <v>1.0000000000000005E-2</v>
      </c>
      <c r="L121" s="256" t="s">
        <v>206</v>
      </c>
    </row>
    <row r="122" spans="2:12" x14ac:dyDescent="0.25">
      <c r="B122" s="253"/>
      <c r="C122" s="257"/>
      <c r="D122" s="266" t="s">
        <v>208</v>
      </c>
      <c r="E122" s="257">
        <v>0</v>
      </c>
      <c r="F122" s="256" t="s">
        <v>209</v>
      </c>
      <c r="H122" s="253"/>
      <c r="I122" s="257"/>
      <c r="J122" s="266" t="s">
        <v>208</v>
      </c>
      <c r="K122" s="257">
        <v>0</v>
      </c>
      <c r="L122" s="256" t="s">
        <v>209</v>
      </c>
    </row>
    <row r="123" spans="2:12" ht="15.75" thickBot="1" x14ac:dyDescent="0.3">
      <c r="B123" s="271"/>
      <c r="C123" s="272"/>
      <c r="D123" s="273"/>
      <c r="E123" s="272"/>
      <c r="F123" s="274"/>
      <c r="H123" s="271"/>
      <c r="I123" s="272"/>
      <c r="J123" s="273"/>
      <c r="K123" s="272"/>
      <c r="L123" s="274"/>
    </row>
    <row r="124" spans="2:12" ht="15.75" thickBot="1" x14ac:dyDescent="0.3"/>
    <row r="125" spans="2:12" x14ac:dyDescent="0.25">
      <c r="B125" s="428" t="s">
        <v>211</v>
      </c>
      <c r="C125" s="429"/>
      <c r="D125" s="429"/>
      <c r="E125" s="429"/>
      <c r="F125" s="430"/>
      <c r="H125" s="428" t="s">
        <v>211</v>
      </c>
      <c r="I125" s="429"/>
      <c r="J125" s="429"/>
      <c r="K125" s="429"/>
      <c r="L125" s="430"/>
    </row>
    <row r="126" spans="2:12" ht="15.75" thickBot="1" x14ac:dyDescent="0.3">
      <c r="B126" s="431" t="s">
        <v>153</v>
      </c>
      <c r="C126" s="432"/>
      <c r="D126" s="432"/>
      <c r="E126" s="432"/>
      <c r="F126" s="433"/>
      <c r="H126" s="431" t="s">
        <v>153</v>
      </c>
      <c r="I126" s="432"/>
      <c r="J126" s="432"/>
      <c r="K126" s="432"/>
      <c r="L126" s="433"/>
    </row>
    <row r="127" spans="2:12" x14ac:dyDescent="0.25">
      <c r="B127" s="416" t="s">
        <v>154</v>
      </c>
      <c r="C127" s="417"/>
      <c r="D127" s="417"/>
      <c r="E127" s="417"/>
      <c r="F127" s="418"/>
      <c r="H127" s="416" t="s">
        <v>154</v>
      </c>
      <c r="I127" s="417"/>
      <c r="J127" s="417"/>
      <c r="K127" s="417"/>
      <c r="L127" s="418"/>
    </row>
    <row r="128" spans="2:12" ht="15.75" thickBot="1" x14ac:dyDescent="0.3">
      <c r="B128" s="419" t="s">
        <v>155</v>
      </c>
      <c r="C128" s="420"/>
      <c r="D128" s="421"/>
      <c r="E128" s="422"/>
      <c r="F128" s="423"/>
      <c r="H128" s="419" t="s">
        <v>155</v>
      </c>
      <c r="I128" s="420"/>
      <c r="J128" s="421"/>
      <c r="K128" s="422"/>
      <c r="L128" s="423"/>
    </row>
    <row r="129" spans="2:12" ht="15.75" thickBot="1" x14ac:dyDescent="0.3">
      <c r="B129" s="250" t="s">
        <v>108</v>
      </c>
      <c r="C129" s="251" t="s">
        <v>156</v>
      </c>
      <c r="D129" s="251" t="s">
        <v>157</v>
      </c>
      <c r="E129" s="251" t="s">
        <v>158</v>
      </c>
      <c r="F129" s="252" t="s">
        <v>159</v>
      </c>
      <c r="H129" s="250" t="s">
        <v>108</v>
      </c>
      <c r="I129" s="251" t="s">
        <v>156</v>
      </c>
      <c r="J129" s="251" t="s">
        <v>157</v>
      </c>
      <c r="K129" s="251" t="s">
        <v>158</v>
      </c>
      <c r="L129" s="252" t="s">
        <v>159</v>
      </c>
    </row>
    <row r="130" spans="2:12" x14ac:dyDescent="0.25">
      <c r="B130" s="424" t="s">
        <v>160</v>
      </c>
      <c r="C130" s="425"/>
      <c r="D130" s="425"/>
      <c r="E130" s="425"/>
      <c r="F130" s="426"/>
      <c r="H130" s="424" t="s">
        <v>160</v>
      </c>
      <c r="I130" s="425"/>
      <c r="J130" s="425"/>
      <c r="K130" s="425"/>
      <c r="L130" s="426"/>
    </row>
    <row r="131" spans="2:12" x14ac:dyDescent="0.25">
      <c r="B131" s="253"/>
      <c r="C131" s="254" t="s">
        <v>161</v>
      </c>
      <c r="D131" s="254"/>
      <c r="E131" s="257" t="s">
        <v>262</v>
      </c>
      <c r="F131" s="256"/>
      <c r="H131" s="253"/>
      <c r="I131" s="254" t="s">
        <v>161</v>
      </c>
      <c r="J131" s="254"/>
      <c r="K131" s="257" t="s">
        <v>263</v>
      </c>
      <c r="L131" s="256"/>
    </row>
    <row r="132" spans="2:12" x14ac:dyDescent="0.25">
      <c r="B132" s="253"/>
      <c r="C132" s="254" t="s">
        <v>162</v>
      </c>
      <c r="D132" s="254"/>
      <c r="E132" s="257" t="s">
        <v>264</v>
      </c>
      <c r="F132" s="256"/>
      <c r="H132" s="253"/>
      <c r="I132" s="254" t="s">
        <v>162</v>
      </c>
      <c r="J132" s="254"/>
      <c r="K132" s="257" t="s">
        <v>265</v>
      </c>
      <c r="L132" s="256"/>
    </row>
    <row r="133" spans="2:12" x14ac:dyDescent="0.25">
      <c r="B133" s="253"/>
      <c r="C133" s="254" t="s">
        <v>165</v>
      </c>
      <c r="D133" s="254"/>
      <c r="E133" s="257"/>
      <c r="F133" s="256"/>
      <c r="H133" s="253"/>
      <c r="I133" s="254" t="s">
        <v>165</v>
      </c>
      <c r="J133" s="254"/>
      <c r="K133" s="257"/>
      <c r="L133" s="256"/>
    </row>
    <row r="134" spans="2:12" x14ac:dyDescent="0.25">
      <c r="B134" s="253"/>
      <c r="C134" s="254"/>
      <c r="D134" s="254" t="s">
        <v>166</v>
      </c>
      <c r="E134" s="257" t="s">
        <v>249</v>
      </c>
      <c r="F134" s="256"/>
      <c r="H134" s="253"/>
      <c r="I134" s="254"/>
      <c r="J134" s="254" t="s">
        <v>166</v>
      </c>
      <c r="K134" s="257" t="s">
        <v>249</v>
      </c>
      <c r="L134" s="256"/>
    </row>
    <row r="135" spans="2:12" x14ac:dyDescent="0.25">
      <c r="B135" s="253"/>
      <c r="C135" s="254"/>
      <c r="D135" s="254" t="s">
        <v>167</v>
      </c>
      <c r="E135" s="257"/>
      <c r="F135" s="256" t="s">
        <v>168</v>
      </c>
      <c r="H135" s="253"/>
      <c r="I135" s="254"/>
      <c r="J135" s="254" t="s">
        <v>167</v>
      </c>
      <c r="K135" s="257"/>
      <c r="L135" s="256" t="s">
        <v>168</v>
      </c>
    </row>
    <row r="136" spans="2:12" x14ac:dyDescent="0.25">
      <c r="B136" s="253"/>
      <c r="C136" s="254" t="s">
        <v>169</v>
      </c>
      <c r="D136" s="254"/>
      <c r="E136" s="259"/>
      <c r="F136" s="256" t="s">
        <v>170</v>
      </c>
      <c r="H136" s="253"/>
      <c r="I136" s="254" t="s">
        <v>169</v>
      </c>
      <c r="J136" s="254"/>
      <c r="K136" s="259"/>
      <c r="L136" s="256" t="s">
        <v>170</v>
      </c>
    </row>
    <row r="137" spans="2:12" x14ac:dyDescent="0.25">
      <c r="B137" s="253"/>
      <c r="C137" s="254" t="s">
        <v>172</v>
      </c>
      <c r="D137" s="254"/>
      <c r="E137" s="257">
        <f>13.5*12*30</f>
        <v>4860</v>
      </c>
      <c r="F137" s="256" t="s">
        <v>173</v>
      </c>
      <c r="H137" s="253"/>
      <c r="I137" s="254" t="s">
        <v>172</v>
      </c>
      <c r="J137" s="254"/>
      <c r="K137" s="257">
        <f>13.5*12*30</f>
        <v>4860</v>
      </c>
      <c r="L137" s="256" t="s">
        <v>173</v>
      </c>
    </row>
    <row r="138" spans="2:12" x14ac:dyDescent="0.25">
      <c r="B138" s="260"/>
      <c r="C138" s="261" t="s">
        <v>175</v>
      </c>
      <c r="D138" s="261"/>
      <c r="E138" s="262">
        <f>'Data Lingkungan_IC'!Z150</f>
        <v>0</v>
      </c>
      <c r="F138" s="263"/>
      <c r="H138" s="260"/>
      <c r="I138" s="261" t="s">
        <v>175</v>
      </c>
      <c r="J138" s="261"/>
      <c r="K138" s="262">
        <f>'Data Lingkungan_IC'!AF150</f>
        <v>0</v>
      </c>
      <c r="L138" s="263"/>
    </row>
    <row r="139" spans="2:12" x14ac:dyDescent="0.25">
      <c r="B139" s="253"/>
      <c r="C139" s="254" t="s">
        <v>177</v>
      </c>
      <c r="D139" s="254"/>
      <c r="E139" s="257">
        <v>0</v>
      </c>
      <c r="F139" s="256" t="s">
        <v>173</v>
      </c>
      <c r="H139" s="253"/>
      <c r="I139" s="254" t="s">
        <v>177</v>
      </c>
      <c r="J139" s="254"/>
      <c r="K139" s="257">
        <v>0</v>
      </c>
      <c r="L139" s="256" t="s">
        <v>173</v>
      </c>
    </row>
    <row r="140" spans="2:12" x14ac:dyDescent="0.25">
      <c r="B140" s="253"/>
      <c r="C140" s="254" t="s">
        <v>179</v>
      </c>
      <c r="D140" s="254"/>
      <c r="E140" s="264">
        <f>E137-E139-(E141+E143)/2*10</f>
        <v>4860</v>
      </c>
      <c r="F140" s="256" t="s">
        <v>173</v>
      </c>
      <c r="H140" s="253"/>
      <c r="I140" s="254" t="s">
        <v>179</v>
      </c>
      <c r="J140" s="254"/>
      <c r="K140" s="264">
        <f>K137-K139-(K141+K143)/2*10</f>
        <v>4860</v>
      </c>
      <c r="L140" s="256" t="s">
        <v>173</v>
      </c>
    </row>
    <row r="141" spans="2:12" x14ac:dyDescent="0.25">
      <c r="B141" s="253"/>
      <c r="C141" s="254" t="s">
        <v>181</v>
      </c>
      <c r="D141" s="254" t="s">
        <v>182</v>
      </c>
      <c r="E141" s="265">
        <f>((E139/E137)*10-E142)</f>
        <v>0</v>
      </c>
      <c r="F141" s="256" t="s">
        <v>183</v>
      </c>
      <c r="H141" s="253"/>
      <c r="I141" s="254" t="s">
        <v>181</v>
      </c>
      <c r="J141" s="254" t="s">
        <v>182</v>
      </c>
      <c r="K141" s="265">
        <f>((K139/K137)*10-K142)</f>
        <v>0</v>
      </c>
      <c r="L141" s="256" t="s">
        <v>183</v>
      </c>
    </row>
    <row r="142" spans="2:12" ht="30" x14ac:dyDescent="0.25">
      <c r="B142" s="253"/>
      <c r="C142" s="254"/>
      <c r="D142" s="266" t="s">
        <v>185</v>
      </c>
      <c r="E142" s="267">
        <v>0</v>
      </c>
      <c r="F142" s="256" t="s">
        <v>186</v>
      </c>
      <c r="H142" s="253"/>
      <c r="I142" s="254"/>
      <c r="J142" s="266" t="s">
        <v>185</v>
      </c>
      <c r="K142" s="267">
        <v>0</v>
      </c>
      <c r="L142" s="256" t="s">
        <v>186</v>
      </c>
    </row>
    <row r="143" spans="2:12" x14ac:dyDescent="0.25">
      <c r="B143" s="253"/>
      <c r="C143" s="254" t="s">
        <v>188</v>
      </c>
      <c r="D143" s="254" t="s">
        <v>182</v>
      </c>
      <c r="E143" s="267">
        <v>0</v>
      </c>
      <c r="F143" s="256" t="s">
        <v>183</v>
      </c>
      <c r="H143" s="253"/>
      <c r="I143" s="254" t="s">
        <v>188</v>
      </c>
      <c r="J143" s="254" t="s">
        <v>182</v>
      </c>
      <c r="K143" s="267">
        <v>0</v>
      </c>
      <c r="L143" s="256" t="s">
        <v>183</v>
      </c>
    </row>
    <row r="144" spans="2:12" ht="30" x14ac:dyDescent="0.25">
      <c r="B144" s="253"/>
      <c r="C144" s="254" t="s">
        <v>190</v>
      </c>
      <c r="D144" s="254"/>
      <c r="E144" s="268">
        <f>(E140/E137)</f>
        <v>1</v>
      </c>
      <c r="F144" s="256" t="s">
        <v>191</v>
      </c>
      <c r="H144" s="253"/>
      <c r="I144" s="254" t="s">
        <v>190</v>
      </c>
      <c r="J144" s="254"/>
      <c r="K144" s="268">
        <f>(K140/K137)</f>
        <v>1</v>
      </c>
      <c r="L144" s="256" t="s">
        <v>191</v>
      </c>
    </row>
    <row r="145" spans="2:12" x14ac:dyDescent="0.25">
      <c r="B145" s="253"/>
      <c r="C145" s="254" t="s">
        <v>193</v>
      </c>
      <c r="D145" s="254"/>
      <c r="E145" s="257"/>
      <c r="F145" s="256"/>
      <c r="H145" s="253"/>
      <c r="I145" s="254" t="s">
        <v>193</v>
      </c>
      <c r="J145" s="254"/>
      <c r="K145" s="257"/>
      <c r="L145" s="256"/>
    </row>
    <row r="146" spans="2:12" x14ac:dyDescent="0.25">
      <c r="B146" s="253"/>
      <c r="C146" s="254"/>
      <c r="D146" s="254" t="s">
        <v>194</v>
      </c>
      <c r="E146" s="257"/>
      <c r="F146" s="256"/>
      <c r="H146" s="253"/>
      <c r="I146" s="254"/>
      <c r="J146" s="254" t="s">
        <v>194</v>
      </c>
      <c r="K146" s="257"/>
      <c r="L146" s="256"/>
    </row>
    <row r="147" spans="2:12" x14ac:dyDescent="0.25">
      <c r="B147" s="253"/>
      <c r="C147" s="254"/>
      <c r="D147" s="254" t="s">
        <v>196</v>
      </c>
      <c r="E147" s="257" t="s">
        <v>197</v>
      </c>
      <c r="F147" s="256"/>
      <c r="H147" s="253"/>
      <c r="I147" s="254"/>
      <c r="J147" s="254" t="s">
        <v>196</v>
      </c>
      <c r="K147" s="257" t="s">
        <v>197</v>
      </c>
      <c r="L147" s="256"/>
    </row>
    <row r="148" spans="2:12" x14ac:dyDescent="0.25">
      <c r="B148" s="253"/>
      <c r="C148" s="257"/>
      <c r="D148" s="266" t="s">
        <v>198</v>
      </c>
      <c r="E148" s="257">
        <f>Peralatan_IC!J35/1000</f>
        <v>1.4999999999999999E-2</v>
      </c>
      <c r="F148" s="256" t="s">
        <v>199</v>
      </c>
      <c r="H148" s="253"/>
      <c r="I148" s="257"/>
      <c r="J148" s="266" t="s">
        <v>198</v>
      </c>
      <c r="K148" s="257">
        <f>Peralatan_IC!J36/1000</f>
        <v>5.0000000000000001E-3</v>
      </c>
      <c r="L148" s="256" t="s">
        <v>199</v>
      </c>
    </row>
    <row r="149" spans="2:12" x14ac:dyDescent="0.25">
      <c r="B149" s="253"/>
      <c r="C149" s="257"/>
      <c r="D149" s="266" t="s">
        <v>201</v>
      </c>
      <c r="E149" s="264">
        <f>'Data Lingkungan_IC'!BR60/60</f>
        <v>4.9999999999999982</v>
      </c>
      <c r="F149" s="256" t="s">
        <v>202</v>
      </c>
      <c r="H149" s="253"/>
      <c r="I149" s="257"/>
      <c r="J149" s="266" t="s">
        <v>201</v>
      </c>
      <c r="K149" s="264">
        <f>'Data Lingkungan_IC'!BR61/60</f>
        <v>2.0000000000000009</v>
      </c>
      <c r="L149" s="256" t="s">
        <v>202</v>
      </c>
    </row>
    <row r="150" spans="2:12" x14ac:dyDescent="0.25">
      <c r="B150" s="253"/>
      <c r="C150" s="257"/>
      <c r="D150" s="266" t="s">
        <v>204</v>
      </c>
      <c r="E150" s="270">
        <f>E149*E148</f>
        <v>7.4999999999999969E-2</v>
      </c>
      <c r="F150" s="256"/>
      <c r="H150" s="253"/>
      <c r="I150" s="257"/>
      <c r="J150" s="266" t="s">
        <v>204</v>
      </c>
      <c r="K150" s="270">
        <f>K149*K148</f>
        <v>1.0000000000000005E-2</v>
      </c>
      <c r="L150" s="256"/>
    </row>
    <row r="151" spans="2:12" ht="30" x14ac:dyDescent="0.25">
      <c r="B151" s="253"/>
      <c r="C151" s="257"/>
      <c r="D151" s="266" t="s">
        <v>185</v>
      </c>
      <c r="E151" s="257">
        <f>E150</f>
        <v>7.4999999999999969E-2</v>
      </c>
      <c r="F151" s="256" t="s">
        <v>206</v>
      </c>
      <c r="H151" s="253"/>
      <c r="I151" s="257"/>
      <c r="J151" s="266" t="s">
        <v>185</v>
      </c>
      <c r="K151" s="257">
        <f>K150</f>
        <v>1.0000000000000005E-2</v>
      </c>
      <c r="L151" s="256" t="s">
        <v>206</v>
      </c>
    </row>
    <row r="152" spans="2:12" x14ac:dyDescent="0.25">
      <c r="B152" s="253"/>
      <c r="C152" s="257"/>
      <c r="D152" s="266" t="s">
        <v>208</v>
      </c>
      <c r="E152" s="257">
        <v>0</v>
      </c>
      <c r="F152" s="256" t="s">
        <v>209</v>
      </c>
      <c r="H152" s="253"/>
      <c r="I152" s="257"/>
      <c r="J152" s="266" t="s">
        <v>208</v>
      </c>
      <c r="K152" s="257">
        <v>0</v>
      </c>
      <c r="L152" s="256" t="s">
        <v>209</v>
      </c>
    </row>
    <row r="153" spans="2:12" ht="15.75" thickBot="1" x14ac:dyDescent="0.3">
      <c r="B153" s="271"/>
      <c r="C153" s="272"/>
      <c r="D153" s="273"/>
      <c r="E153" s="272"/>
      <c r="F153" s="274"/>
      <c r="H153" s="271"/>
      <c r="I153" s="272"/>
      <c r="J153" s="273"/>
      <c r="K153" s="272"/>
      <c r="L153" s="274"/>
    </row>
    <row r="154" spans="2:12" ht="15.75" thickBot="1" x14ac:dyDescent="0.3"/>
    <row r="155" spans="2:12" x14ac:dyDescent="0.25">
      <c r="B155" s="428" t="s">
        <v>211</v>
      </c>
      <c r="C155" s="429"/>
      <c r="D155" s="429"/>
      <c r="E155" s="429"/>
      <c r="F155" s="430"/>
      <c r="H155" s="428" t="s">
        <v>211</v>
      </c>
      <c r="I155" s="429"/>
      <c r="J155" s="429"/>
      <c r="K155" s="429"/>
      <c r="L155" s="430"/>
    </row>
    <row r="156" spans="2:12" ht="15.75" thickBot="1" x14ac:dyDescent="0.3">
      <c r="B156" s="431" t="s">
        <v>153</v>
      </c>
      <c r="C156" s="432"/>
      <c r="D156" s="432"/>
      <c r="E156" s="432"/>
      <c r="F156" s="433"/>
      <c r="H156" s="431" t="s">
        <v>153</v>
      </c>
      <c r="I156" s="432"/>
      <c r="J156" s="432"/>
      <c r="K156" s="432"/>
      <c r="L156" s="433"/>
    </row>
    <row r="157" spans="2:12" x14ac:dyDescent="0.25">
      <c r="B157" s="416" t="s">
        <v>154</v>
      </c>
      <c r="C157" s="417"/>
      <c r="D157" s="417"/>
      <c r="E157" s="417"/>
      <c r="F157" s="418"/>
      <c r="H157" s="416" t="s">
        <v>154</v>
      </c>
      <c r="I157" s="417"/>
      <c r="J157" s="417"/>
      <c r="K157" s="417"/>
      <c r="L157" s="418"/>
    </row>
    <row r="158" spans="2:12" ht="15.75" thickBot="1" x14ac:dyDescent="0.3">
      <c r="B158" s="419" t="s">
        <v>155</v>
      </c>
      <c r="C158" s="420"/>
      <c r="D158" s="421"/>
      <c r="E158" s="422"/>
      <c r="F158" s="423"/>
      <c r="H158" s="419" t="s">
        <v>155</v>
      </c>
      <c r="I158" s="420"/>
      <c r="J158" s="421"/>
      <c r="K158" s="422"/>
      <c r="L158" s="423"/>
    </row>
    <row r="159" spans="2:12" ht="15.75" thickBot="1" x14ac:dyDescent="0.3">
      <c r="B159" s="250" t="s">
        <v>108</v>
      </c>
      <c r="C159" s="251" t="s">
        <v>156</v>
      </c>
      <c r="D159" s="251" t="s">
        <v>157</v>
      </c>
      <c r="E159" s="251" t="s">
        <v>158</v>
      </c>
      <c r="F159" s="252" t="s">
        <v>159</v>
      </c>
      <c r="H159" s="250" t="s">
        <v>108</v>
      </c>
      <c r="I159" s="251" t="s">
        <v>156</v>
      </c>
      <c r="J159" s="251" t="s">
        <v>157</v>
      </c>
      <c r="K159" s="251" t="s">
        <v>158</v>
      </c>
      <c r="L159" s="252" t="s">
        <v>159</v>
      </c>
    </row>
    <row r="160" spans="2:12" x14ac:dyDescent="0.25">
      <c r="B160" s="424" t="s">
        <v>160</v>
      </c>
      <c r="C160" s="425"/>
      <c r="D160" s="425"/>
      <c r="E160" s="425"/>
      <c r="F160" s="426"/>
      <c r="H160" s="424" t="s">
        <v>160</v>
      </c>
      <c r="I160" s="425"/>
      <c r="J160" s="425"/>
      <c r="K160" s="425"/>
      <c r="L160" s="426"/>
    </row>
    <row r="161" spans="2:12" x14ac:dyDescent="0.25">
      <c r="B161" s="253"/>
      <c r="C161" s="254" t="s">
        <v>161</v>
      </c>
      <c r="D161" s="254"/>
      <c r="E161" s="257" t="s">
        <v>266</v>
      </c>
      <c r="F161" s="256"/>
      <c r="H161" s="253"/>
      <c r="I161" s="254" t="s">
        <v>161</v>
      </c>
      <c r="J161" s="254"/>
      <c r="K161" s="257" t="s">
        <v>267</v>
      </c>
      <c r="L161" s="256"/>
    </row>
    <row r="162" spans="2:12" x14ac:dyDescent="0.25">
      <c r="B162" s="253"/>
      <c r="C162" s="254" t="s">
        <v>162</v>
      </c>
      <c r="D162" s="254"/>
      <c r="E162" s="257" t="s">
        <v>268</v>
      </c>
      <c r="F162" s="256"/>
      <c r="H162" s="253"/>
      <c r="I162" s="254" t="s">
        <v>162</v>
      </c>
      <c r="J162" s="254"/>
      <c r="K162" s="257" t="s">
        <v>269</v>
      </c>
      <c r="L162" s="256"/>
    </row>
    <row r="163" spans="2:12" x14ac:dyDescent="0.25">
      <c r="B163" s="253"/>
      <c r="C163" s="254" t="s">
        <v>165</v>
      </c>
      <c r="D163" s="254"/>
      <c r="E163" s="257"/>
      <c r="F163" s="256"/>
      <c r="H163" s="253"/>
      <c r="I163" s="254" t="s">
        <v>165</v>
      </c>
      <c r="J163" s="254"/>
      <c r="K163" s="257"/>
      <c r="L163" s="256"/>
    </row>
    <row r="164" spans="2:12" x14ac:dyDescent="0.25">
      <c r="B164" s="253"/>
      <c r="C164" s="254"/>
      <c r="D164" s="254" t="s">
        <v>166</v>
      </c>
      <c r="E164" s="257" t="s">
        <v>249</v>
      </c>
      <c r="F164" s="256"/>
      <c r="H164" s="253"/>
      <c r="I164" s="254"/>
      <c r="J164" s="254" t="s">
        <v>166</v>
      </c>
      <c r="K164" s="257" t="s">
        <v>249</v>
      </c>
      <c r="L164" s="256"/>
    </row>
    <row r="165" spans="2:12" x14ac:dyDescent="0.25">
      <c r="B165" s="253"/>
      <c r="C165" s="254"/>
      <c r="D165" s="254" t="s">
        <v>167</v>
      </c>
      <c r="E165" s="257"/>
      <c r="F165" s="256" t="s">
        <v>168</v>
      </c>
      <c r="H165" s="253"/>
      <c r="I165" s="254"/>
      <c r="J165" s="254" t="s">
        <v>167</v>
      </c>
      <c r="K165" s="257"/>
      <c r="L165" s="256" t="s">
        <v>168</v>
      </c>
    </row>
    <row r="166" spans="2:12" x14ac:dyDescent="0.25">
      <c r="B166" s="253"/>
      <c r="C166" s="254" t="s">
        <v>169</v>
      </c>
      <c r="D166" s="254"/>
      <c r="E166" s="259"/>
      <c r="F166" s="256" t="s">
        <v>170</v>
      </c>
      <c r="H166" s="253"/>
      <c r="I166" s="254" t="s">
        <v>169</v>
      </c>
      <c r="J166" s="254"/>
      <c r="K166" s="259"/>
      <c r="L166" s="256" t="s">
        <v>170</v>
      </c>
    </row>
    <row r="167" spans="2:12" x14ac:dyDescent="0.25">
      <c r="B167" s="253"/>
      <c r="C167" s="254" t="s">
        <v>172</v>
      </c>
      <c r="D167" s="254"/>
      <c r="E167" s="257">
        <f>13.5*12*30</f>
        <v>4860</v>
      </c>
      <c r="F167" s="256" t="s">
        <v>173</v>
      </c>
      <c r="H167" s="253"/>
      <c r="I167" s="254" t="s">
        <v>172</v>
      </c>
      <c r="J167" s="254"/>
      <c r="K167" s="257">
        <f>13.5*12*30</f>
        <v>4860</v>
      </c>
      <c r="L167" s="256" t="s">
        <v>173</v>
      </c>
    </row>
    <row r="168" spans="2:12" x14ac:dyDescent="0.25">
      <c r="B168" s="260"/>
      <c r="C168" s="261" t="s">
        <v>175</v>
      </c>
      <c r="D168" s="261"/>
      <c r="E168" s="262">
        <f>'Data Lingkungan_IC'!Z180</f>
        <v>0</v>
      </c>
      <c r="F168" s="263"/>
      <c r="H168" s="260"/>
      <c r="I168" s="261" t="s">
        <v>175</v>
      </c>
      <c r="J168" s="261"/>
      <c r="K168" s="262">
        <f>'Data Lingkungan_IC'!AF180</f>
        <v>0</v>
      </c>
      <c r="L168" s="263"/>
    </row>
    <row r="169" spans="2:12" x14ac:dyDescent="0.25">
      <c r="B169" s="253"/>
      <c r="C169" s="254" t="s">
        <v>177</v>
      </c>
      <c r="D169" s="254"/>
      <c r="E169" s="257">
        <v>0</v>
      </c>
      <c r="F169" s="256" t="s">
        <v>173</v>
      </c>
      <c r="H169" s="253"/>
      <c r="I169" s="254" t="s">
        <v>177</v>
      </c>
      <c r="J169" s="254"/>
      <c r="K169" s="257">
        <v>0</v>
      </c>
      <c r="L169" s="256" t="s">
        <v>173</v>
      </c>
    </row>
    <row r="170" spans="2:12" x14ac:dyDescent="0.25">
      <c r="B170" s="253"/>
      <c r="C170" s="254" t="s">
        <v>179</v>
      </c>
      <c r="D170" s="254"/>
      <c r="E170" s="264">
        <f>E167-E169-(E171+E173)/2*10</f>
        <v>4860</v>
      </c>
      <c r="F170" s="256" t="s">
        <v>173</v>
      </c>
      <c r="H170" s="253"/>
      <c r="I170" s="254" t="s">
        <v>179</v>
      </c>
      <c r="J170" s="254"/>
      <c r="K170" s="264">
        <f>K167-K169-(K171+K173)/2*10</f>
        <v>4860</v>
      </c>
      <c r="L170" s="256" t="s">
        <v>173</v>
      </c>
    </row>
    <row r="171" spans="2:12" x14ac:dyDescent="0.25">
      <c r="B171" s="253"/>
      <c r="C171" s="254" t="s">
        <v>181</v>
      </c>
      <c r="D171" s="254" t="s">
        <v>182</v>
      </c>
      <c r="E171" s="265">
        <f>((E169/E167)*10-E172)</f>
        <v>0</v>
      </c>
      <c r="F171" s="256" t="s">
        <v>183</v>
      </c>
      <c r="H171" s="253"/>
      <c r="I171" s="254" t="s">
        <v>181</v>
      </c>
      <c r="J171" s="254" t="s">
        <v>182</v>
      </c>
      <c r="K171" s="265">
        <f>((K169/K167)*10-K172)</f>
        <v>0</v>
      </c>
      <c r="L171" s="256" t="s">
        <v>183</v>
      </c>
    </row>
    <row r="172" spans="2:12" ht="30" x14ac:dyDescent="0.25">
      <c r="B172" s="253"/>
      <c r="C172" s="254"/>
      <c r="D172" s="266" t="s">
        <v>185</v>
      </c>
      <c r="E172" s="267">
        <v>0</v>
      </c>
      <c r="F172" s="256" t="s">
        <v>186</v>
      </c>
      <c r="H172" s="253"/>
      <c r="I172" s="254"/>
      <c r="J172" s="266" t="s">
        <v>185</v>
      </c>
      <c r="K172" s="267">
        <v>0</v>
      </c>
      <c r="L172" s="256" t="s">
        <v>186</v>
      </c>
    </row>
    <row r="173" spans="2:12" x14ac:dyDescent="0.25">
      <c r="B173" s="253"/>
      <c r="C173" s="254" t="s">
        <v>188</v>
      </c>
      <c r="D173" s="254" t="s">
        <v>182</v>
      </c>
      <c r="E173" s="267">
        <v>0</v>
      </c>
      <c r="F173" s="256" t="s">
        <v>183</v>
      </c>
      <c r="H173" s="253"/>
      <c r="I173" s="254" t="s">
        <v>188</v>
      </c>
      <c r="J173" s="254" t="s">
        <v>182</v>
      </c>
      <c r="K173" s="267">
        <v>0</v>
      </c>
      <c r="L173" s="256" t="s">
        <v>183</v>
      </c>
    </row>
    <row r="174" spans="2:12" ht="30" x14ac:dyDescent="0.25">
      <c r="B174" s="253"/>
      <c r="C174" s="254" t="s">
        <v>190</v>
      </c>
      <c r="D174" s="254"/>
      <c r="E174" s="268">
        <f>(E170/E167)</f>
        <v>1</v>
      </c>
      <c r="F174" s="256" t="s">
        <v>191</v>
      </c>
      <c r="H174" s="253"/>
      <c r="I174" s="254" t="s">
        <v>190</v>
      </c>
      <c r="J174" s="254"/>
      <c r="K174" s="268">
        <f>(K170/K167)</f>
        <v>1</v>
      </c>
      <c r="L174" s="256" t="s">
        <v>191</v>
      </c>
    </row>
    <row r="175" spans="2:12" x14ac:dyDescent="0.25">
      <c r="B175" s="253"/>
      <c r="C175" s="254" t="s">
        <v>193</v>
      </c>
      <c r="D175" s="254"/>
      <c r="E175" s="257"/>
      <c r="F175" s="256"/>
      <c r="H175" s="253"/>
      <c r="I175" s="254" t="s">
        <v>193</v>
      </c>
      <c r="J175" s="254"/>
      <c r="K175" s="257"/>
      <c r="L175" s="256"/>
    </row>
    <row r="176" spans="2:12" x14ac:dyDescent="0.25">
      <c r="B176" s="253"/>
      <c r="C176" s="254"/>
      <c r="D176" s="254" t="s">
        <v>194</v>
      </c>
      <c r="E176" s="257"/>
      <c r="F176" s="256"/>
      <c r="H176" s="253"/>
      <c r="I176" s="254"/>
      <c r="J176" s="254" t="s">
        <v>194</v>
      </c>
      <c r="K176" s="257"/>
      <c r="L176" s="256"/>
    </row>
    <row r="177" spans="2:12" x14ac:dyDescent="0.25">
      <c r="B177" s="253"/>
      <c r="C177" s="254"/>
      <c r="D177" s="254" t="s">
        <v>196</v>
      </c>
      <c r="E177" s="257" t="s">
        <v>197</v>
      </c>
      <c r="F177" s="256"/>
      <c r="H177" s="253"/>
      <c r="I177" s="254"/>
      <c r="J177" s="254" t="s">
        <v>196</v>
      </c>
      <c r="K177" s="257" t="s">
        <v>197</v>
      </c>
      <c r="L177" s="256"/>
    </row>
    <row r="178" spans="2:12" x14ac:dyDescent="0.25">
      <c r="B178" s="253"/>
      <c r="C178" s="257"/>
      <c r="D178" s="266" t="s">
        <v>198</v>
      </c>
      <c r="E178" s="257">
        <f>Peralatan_IC!J41/1000</f>
        <v>0.01</v>
      </c>
      <c r="F178" s="256" t="s">
        <v>199</v>
      </c>
      <c r="H178" s="253"/>
      <c r="I178" s="257"/>
      <c r="J178" s="266" t="s">
        <v>198</v>
      </c>
      <c r="K178" s="257">
        <f>Peralatan_IC!J44/1000</f>
        <v>1.4999999999999999E-2</v>
      </c>
      <c r="L178" s="256" t="s">
        <v>199</v>
      </c>
    </row>
    <row r="179" spans="2:12" x14ac:dyDescent="0.25">
      <c r="B179" s="253"/>
      <c r="C179" s="257"/>
      <c r="D179" s="266" t="s">
        <v>201</v>
      </c>
      <c r="E179" s="264">
        <f>'Data Lingkungan_IC'!CJ60/60</f>
        <v>4.9166666666666679</v>
      </c>
      <c r="F179" s="256" t="s">
        <v>202</v>
      </c>
      <c r="H179" s="253"/>
      <c r="I179" s="257"/>
      <c r="J179" s="266" t="s">
        <v>201</v>
      </c>
      <c r="K179" s="264">
        <f>'Data Lingkungan_IC'!CA60/60</f>
        <v>6.9166666666666661</v>
      </c>
      <c r="L179" s="256" t="s">
        <v>202</v>
      </c>
    </row>
    <row r="180" spans="2:12" x14ac:dyDescent="0.25">
      <c r="B180" s="253"/>
      <c r="C180" s="257"/>
      <c r="D180" s="266" t="s">
        <v>204</v>
      </c>
      <c r="E180" s="281">
        <f>E179*E178</f>
        <v>4.9166666666666678E-2</v>
      </c>
      <c r="F180" s="256"/>
      <c r="H180" s="253"/>
      <c r="I180" s="257"/>
      <c r="J180" s="266" t="s">
        <v>204</v>
      </c>
      <c r="K180" s="281">
        <f>K179*K178</f>
        <v>0.10374999999999998</v>
      </c>
      <c r="L180" s="256"/>
    </row>
    <row r="181" spans="2:12" ht="30" x14ac:dyDescent="0.25">
      <c r="B181" s="253"/>
      <c r="C181" s="257"/>
      <c r="D181" s="266" t="s">
        <v>185</v>
      </c>
      <c r="E181" s="268">
        <f>E180</f>
        <v>4.9166666666666678E-2</v>
      </c>
      <c r="F181" s="256" t="s">
        <v>206</v>
      </c>
      <c r="H181" s="253"/>
      <c r="I181" s="257"/>
      <c r="J181" s="266" t="s">
        <v>185</v>
      </c>
      <c r="K181" s="268">
        <f>K180</f>
        <v>0.10374999999999998</v>
      </c>
      <c r="L181" s="256" t="s">
        <v>206</v>
      </c>
    </row>
    <row r="182" spans="2:12" x14ac:dyDescent="0.25">
      <c r="B182" s="253"/>
      <c r="C182" s="257"/>
      <c r="D182" s="266" t="s">
        <v>208</v>
      </c>
      <c r="E182" s="257">
        <v>0</v>
      </c>
      <c r="F182" s="256" t="s">
        <v>209</v>
      </c>
      <c r="H182" s="253"/>
      <c r="I182" s="257"/>
      <c r="J182" s="266" t="s">
        <v>208</v>
      </c>
      <c r="K182" s="257">
        <v>0</v>
      </c>
      <c r="L182" s="256" t="s">
        <v>209</v>
      </c>
    </row>
    <row r="183" spans="2:12" ht="15.75" thickBot="1" x14ac:dyDescent="0.3">
      <c r="B183" s="271"/>
      <c r="C183" s="272"/>
      <c r="D183" s="273"/>
      <c r="E183" s="272"/>
      <c r="F183" s="274"/>
      <c r="H183" s="271"/>
      <c r="I183" s="272"/>
      <c r="J183" s="273"/>
      <c r="K183" s="272"/>
      <c r="L183" s="274"/>
    </row>
    <row r="184" spans="2:12" ht="15.75" thickBot="1" x14ac:dyDescent="0.3"/>
    <row r="185" spans="2:12" x14ac:dyDescent="0.25">
      <c r="B185" s="428" t="s">
        <v>211</v>
      </c>
      <c r="C185" s="429"/>
      <c r="D185" s="429"/>
      <c r="E185" s="429"/>
      <c r="F185" s="430"/>
      <c r="H185" s="428" t="s">
        <v>211</v>
      </c>
      <c r="I185" s="429"/>
      <c r="J185" s="429"/>
      <c r="K185" s="429"/>
      <c r="L185" s="430"/>
    </row>
    <row r="186" spans="2:12" ht="15.75" thickBot="1" x14ac:dyDescent="0.3">
      <c r="B186" s="431" t="s">
        <v>153</v>
      </c>
      <c r="C186" s="432"/>
      <c r="D186" s="432"/>
      <c r="E186" s="432"/>
      <c r="F186" s="433"/>
      <c r="H186" s="431" t="s">
        <v>153</v>
      </c>
      <c r="I186" s="432"/>
      <c r="J186" s="432"/>
      <c r="K186" s="432"/>
      <c r="L186" s="433"/>
    </row>
    <row r="187" spans="2:12" x14ac:dyDescent="0.25">
      <c r="B187" s="416" t="s">
        <v>154</v>
      </c>
      <c r="C187" s="417"/>
      <c r="D187" s="417"/>
      <c r="E187" s="417"/>
      <c r="F187" s="418"/>
      <c r="H187" s="416" t="s">
        <v>154</v>
      </c>
      <c r="I187" s="417"/>
      <c r="J187" s="417"/>
      <c r="K187" s="417"/>
      <c r="L187" s="418"/>
    </row>
    <row r="188" spans="2:12" ht="15.75" thickBot="1" x14ac:dyDescent="0.3">
      <c r="B188" s="419" t="s">
        <v>155</v>
      </c>
      <c r="C188" s="420"/>
      <c r="D188" s="421"/>
      <c r="E188" s="422"/>
      <c r="F188" s="423"/>
      <c r="H188" s="419" t="s">
        <v>155</v>
      </c>
      <c r="I188" s="420"/>
      <c r="J188" s="421"/>
      <c r="K188" s="422"/>
      <c r="L188" s="423"/>
    </row>
    <row r="189" spans="2:12" ht="15.75" thickBot="1" x14ac:dyDescent="0.3">
      <c r="B189" s="250" t="s">
        <v>108</v>
      </c>
      <c r="C189" s="251" t="s">
        <v>156</v>
      </c>
      <c r="D189" s="251" t="s">
        <v>157</v>
      </c>
      <c r="E189" s="251" t="s">
        <v>158</v>
      </c>
      <c r="F189" s="252" t="s">
        <v>159</v>
      </c>
      <c r="H189" s="250" t="s">
        <v>108</v>
      </c>
      <c r="I189" s="251" t="s">
        <v>156</v>
      </c>
      <c r="J189" s="251" t="s">
        <v>157</v>
      </c>
      <c r="K189" s="251" t="s">
        <v>158</v>
      </c>
      <c r="L189" s="252" t="s">
        <v>159</v>
      </c>
    </row>
    <row r="190" spans="2:12" x14ac:dyDescent="0.25">
      <c r="B190" s="424" t="s">
        <v>160</v>
      </c>
      <c r="C190" s="425"/>
      <c r="D190" s="425"/>
      <c r="E190" s="425"/>
      <c r="F190" s="426"/>
      <c r="H190" s="424" t="s">
        <v>160</v>
      </c>
      <c r="I190" s="425"/>
      <c r="J190" s="425"/>
      <c r="K190" s="425"/>
      <c r="L190" s="426"/>
    </row>
    <row r="191" spans="2:12" x14ac:dyDescent="0.25">
      <c r="B191" s="253"/>
      <c r="C191" s="254" t="s">
        <v>161</v>
      </c>
      <c r="D191" s="254"/>
      <c r="E191" s="257" t="s">
        <v>270</v>
      </c>
      <c r="F191" s="256"/>
      <c r="H191" s="253"/>
      <c r="I191" s="254" t="s">
        <v>161</v>
      </c>
      <c r="J191" s="254"/>
      <c r="K191" s="257" t="s">
        <v>271</v>
      </c>
      <c r="L191" s="256"/>
    </row>
    <row r="192" spans="2:12" x14ac:dyDescent="0.25">
      <c r="B192" s="253"/>
      <c r="C192" s="254" t="s">
        <v>162</v>
      </c>
      <c r="D192" s="254"/>
      <c r="E192" s="257" t="s">
        <v>272</v>
      </c>
      <c r="F192" s="256"/>
      <c r="H192" s="253"/>
      <c r="I192" s="254" t="s">
        <v>162</v>
      </c>
      <c r="J192" s="254"/>
      <c r="K192" s="257" t="s">
        <v>273</v>
      </c>
      <c r="L192" s="256"/>
    </row>
    <row r="193" spans="2:12" x14ac:dyDescent="0.25">
      <c r="B193" s="253"/>
      <c r="C193" s="254" t="s">
        <v>165</v>
      </c>
      <c r="D193" s="254"/>
      <c r="E193" s="257"/>
      <c r="F193" s="256"/>
      <c r="H193" s="253"/>
      <c r="I193" s="254" t="s">
        <v>165</v>
      </c>
      <c r="J193" s="254"/>
      <c r="K193" s="257"/>
      <c r="L193" s="256"/>
    </row>
    <row r="194" spans="2:12" x14ac:dyDescent="0.25">
      <c r="B194" s="253"/>
      <c r="C194" s="254"/>
      <c r="D194" s="254" t="s">
        <v>166</v>
      </c>
      <c r="E194" s="257" t="s">
        <v>249</v>
      </c>
      <c r="F194" s="256"/>
      <c r="H194" s="253"/>
      <c r="I194" s="254"/>
      <c r="J194" s="254" t="s">
        <v>166</v>
      </c>
      <c r="K194" s="257" t="s">
        <v>249</v>
      </c>
      <c r="L194" s="256"/>
    </row>
    <row r="195" spans="2:12" x14ac:dyDescent="0.25">
      <c r="B195" s="253"/>
      <c r="C195" s="254"/>
      <c r="D195" s="254" t="s">
        <v>167</v>
      </c>
      <c r="E195" s="257"/>
      <c r="F195" s="256" t="s">
        <v>168</v>
      </c>
      <c r="H195" s="253"/>
      <c r="I195" s="254"/>
      <c r="J195" s="254" t="s">
        <v>167</v>
      </c>
      <c r="K195" s="257"/>
      <c r="L195" s="256" t="s">
        <v>168</v>
      </c>
    </row>
    <row r="196" spans="2:12" x14ac:dyDescent="0.25">
      <c r="B196" s="253"/>
      <c r="C196" s="254" t="s">
        <v>169</v>
      </c>
      <c r="D196" s="254"/>
      <c r="E196" s="259"/>
      <c r="F196" s="256" t="s">
        <v>170</v>
      </c>
      <c r="H196" s="253"/>
      <c r="I196" s="254" t="s">
        <v>169</v>
      </c>
      <c r="J196" s="254"/>
      <c r="K196" s="259"/>
      <c r="L196" s="256" t="s">
        <v>170</v>
      </c>
    </row>
    <row r="197" spans="2:12" x14ac:dyDescent="0.25">
      <c r="B197" s="253"/>
      <c r="C197" s="254" t="s">
        <v>172</v>
      </c>
      <c r="D197" s="254"/>
      <c r="E197" s="257">
        <f>13.5*12*30</f>
        <v>4860</v>
      </c>
      <c r="F197" s="256" t="s">
        <v>173</v>
      </c>
      <c r="H197" s="253"/>
      <c r="I197" s="254" t="s">
        <v>172</v>
      </c>
      <c r="J197" s="254"/>
      <c r="K197" s="257">
        <f>13.5*12*30</f>
        <v>4860</v>
      </c>
      <c r="L197" s="256" t="s">
        <v>173</v>
      </c>
    </row>
    <row r="198" spans="2:12" x14ac:dyDescent="0.25">
      <c r="B198" s="260"/>
      <c r="C198" s="261" t="s">
        <v>175</v>
      </c>
      <c r="D198" s="261"/>
      <c r="E198" s="262">
        <f>'Data Lingkungan_IC'!Z210</f>
        <v>0</v>
      </c>
      <c r="F198" s="263"/>
      <c r="H198" s="260"/>
      <c r="I198" s="261" t="s">
        <v>175</v>
      </c>
      <c r="J198" s="261"/>
      <c r="K198" s="262">
        <f>'Data Lingkungan_IC'!AF210</f>
        <v>0</v>
      </c>
      <c r="L198" s="263"/>
    </row>
    <row r="199" spans="2:12" x14ac:dyDescent="0.25">
      <c r="B199" s="253"/>
      <c r="C199" s="254" t="s">
        <v>177</v>
      </c>
      <c r="D199" s="254"/>
      <c r="E199" s="257">
        <v>0</v>
      </c>
      <c r="F199" s="256" t="s">
        <v>173</v>
      </c>
      <c r="H199" s="253"/>
      <c r="I199" s="254" t="s">
        <v>177</v>
      </c>
      <c r="J199" s="254"/>
      <c r="K199" s="257">
        <v>0</v>
      </c>
      <c r="L199" s="256" t="s">
        <v>173</v>
      </c>
    </row>
    <row r="200" spans="2:12" x14ac:dyDescent="0.25">
      <c r="B200" s="253"/>
      <c r="C200" s="254" t="s">
        <v>179</v>
      </c>
      <c r="D200" s="254"/>
      <c r="E200" s="264">
        <f>E197-E199-(E201+E203)/2*10</f>
        <v>4860</v>
      </c>
      <c r="F200" s="256" t="s">
        <v>173</v>
      </c>
      <c r="H200" s="253"/>
      <c r="I200" s="254" t="s">
        <v>179</v>
      </c>
      <c r="J200" s="254"/>
      <c r="K200" s="264">
        <f>K197-K199-(K201+K203)/2*10</f>
        <v>4860</v>
      </c>
      <c r="L200" s="256" t="s">
        <v>173</v>
      </c>
    </row>
    <row r="201" spans="2:12" x14ac:dyDescent="0.25">
      <c r="B201" s="253"/>
      <c r="C201" s="254" t="s">
        <v>181</v>
      </c>
      <c r="D201" s="254" t="s">
        <v>182</v>
      </c>
      <c r="E201" s="265">
        <f>((E199/E197)*10-E202)</f>
        <v>0</v>
      </c>
      <c r="F201" s="256" t="s">
        <v>183</v>
      </c>
      <c r="H201" s="253"/>
      <c r="I201" s="254" t="s">
        <v>181</v>
      </c>
      <c r="J201" s="254" t="s">
        <v>182</v>
      </c>
      <c r="K201" s="265">
        <f>((K199/K197)*10-K202)</f>
        <v>0</v>
      </c>
      <c r="L201" s="256" t="s">
        <v>183</v>
      </c>
    </row>
    <row r="202" spans="2:12" ht="30" x14ac:dyDescent="0.25">
      <c r="B202" s="253"/>
      <c r="C202" s="254"/>
      <c r="D202" s="266" t="s">
        <v>185</v>
      </c>
      <c r="E202" s="267">
        <v>0</v>
      </c>
      <c r="F202" s="256" t="s">
        <v>186</v>
      </c>
      <c r="H202" s="253"/>
      <c r="I202" s="254"/>
      <c r="J202" s="266" t="s">
        <v>185</v>
      </c>
      <c r="K202" s="267">
        <v>0</v>
      </c>
      <c r="L202" s="256" t="s">
        <v>186</v>
      </c>
    </row>
    <row r="203" spans="2:12" x14ac:dyDescent="0.25">
      <c r="B203" s="253"/>
      <c r="C203" s="254" t="s">
        <v>188</v>
      </c>
      <c r="D203" s="254" t="s">
        <v>182</v>
      </c>
      <c r="E203" s="267">
        <v>0</v>
      </c>
      <c r="F203" s="256" t="s">
        <v>183</v>
      </c>
      <c r="H203" s="253"/>
      <c r="I203" s="254" t="s">
        <v>188</v>
      </c>
      <c r="J203" s="254" t="s">
        <v>182</v>
      </c>
      <c r="K203" s="267">
        <v>0</v>
      </c>
      <c r="L203" s="256" t="s">
        <v>183</v>
      </c>
    </row>
    <row r="204" spans="2:12" ht="30" x14ac:dyDescent="0.25">
      <c r="B204" s="253"/>
      <c r="C204" s="254" t="s">
        <v>190</v>
      </c>
      <c r="D204" s="254"/>
      <c r="E204" s="268">
        <f>(E200/E197)</f>
        <v>1</v>
      </c>
      <c r="F204" s="256" t="s">
        <v>191</v>
      </c>
      <c r="H204" s="253"/>
      <c r="I204" s="254" t="s">
        <v>190</v>
      </c>
      <c r="J204" s="254"/>
      <c r="K204" s="268">
        <f>(K200/K197)</f>
        <v>1</v>
      </c>
      <c r="L204" s="256" t="s">
        <v>191</v>
      </c>
    </row>
    <row r="205" spans="2:12" x14ac:dyDescent="0.25">
      <c r="B205" s="253"/>
      <c r="C205" s="254" t="s">
        <v>193</v>
      </c>
      <c r="D205" s="254"/>
      <c r="E205" s="257"/>
      <c r="F205" s="256"/>
      <c r="H205" s="253"/>
      <c r="I205" s="254" t="s">
        <v>193</v>
      </c>
      <c r="J205" s="254"/>
      <c r="K205" s="257"/>
      <c r="L205" s="256"/>
    </row>
    <row r="206" spans="2:12" x14ac:dyDescent="0.25">
      <c r="B206" s="253"/>
      <c r="C206" s="254"/>
      <c r="D206" s="254" t="s">
        <v>194</v>
      </c>
      <c r="E206" s="257"/>
      <c r="F206" s="256"/>
      <c r="H206" s="253"/>
      <c r="I206" s="254"/>
      <c r="J206" s="254" t="s">
        <v>194</v>
      </c>
      <c r="K206" s="257"/>
      <c r="L206" s="256"/>
    </row>
    <row r="207" spans="2:12" x14ac:dyDescent="0.25">
      <c r="B207" s="253"/>
      <c r="C207" s="254"/>
      <c r="D207" s="254" t="s">
        <v>196</v>
      </c>
      <c r="E207" s="257" t="s">
        <v>197</v>
      </c>
      <c r="F207" s="256"/>
      <c r="H207" s="253"/>
      <c r="I207" s="254"/>
      <c r="J207" s="254" t="s">
        <v>196</v>
      </c>
      <c r="K207" s="257" t="s">
        <v>197</v>
      </c>
      <c r="L207" s="256"/>
    </row>
    <row r="208" spans="2:12" x14ac:dyDescent="0.25">
      <c r="B208" s="253"/>
      <c r="C208" s="257"/>
      <c r="D208" s="266" t="s">
        <v>198</v>
      </c>
      <c r="E208" s="257">
        <f>Peralatan_IC!J47/1000</f>
        <v>0.01</v>
      </c>
      <c r="F208" s="256" t="s">
        <v>199</v>
      </c>
      <c r="H208" s="253"/>
      <c r="I208" s="257"/>
      <c r="J208" s="266" t="s">
        <v>198</v>
      </c>
      <c r="K208" s="257">
        <f>Peralatan_IC!J51/1000</f>
        <v>1.4999999999999999E-2</v>
      </c>
      <c r="L208" s="256" t="s">
        <v>199</v>
      </c>
    </row>
    <row r="209" spans="2:12" x14ac:dyDescent="0.25">
      <c r="B209" s="253"/>
      <c r="C209" s="257"/>
      <c r="D209" s="266" t="s">
        <v>201</v>
      </c>
      <c r="E209" s="264">
        <f>'Data Lingkungan_IC'!CS60/60</f>
        <v>4.9999999999999982</v>
      </c>
      <c r="F209" s="256" t="s">
        <v>202</v>
      </c>
      <c r="H209" s="253"/>
      <c r="I209" s="257"/>
      <c r="J209" s="266" t="s">
        <v>201</v>
      </c>
      <c r="K209" s="264">
        <f>'Data Lingkungan_IC'!DB60/60</f>
        <v>4.9999999999999982</v>
      </c>
      <c r="L209" s="256" t="s">
        <v>202</v>
      </c>
    </row>
    <row r="210" spans="2:12" x14ac:dyDescent="0.25">
      <c r="B210" s="253"/>
      <c r="C210" s="257"/>
      <c r="D210" s="266" t="s">
        <v>204</v>
      </c>
      <c r="E210" s="281">
        <f>E209*E208</f>
        <v>4.9999999999999982E-2</v>
      </c>
      <c r="F210" s="256"/>
      <c r="H210" s="253"/>
      <c r="I210" s="257"/>
      <c r="J210" s="266" t="s">
        <v>204</v>
      </c>
      <c r="K210" s="281">
        <f>K209*K208</f>
        <v>7.4999999999999969E-2</v>
      </c>
      <c r="L210" s="256"/>
    </row>
    <row r="211" spans="2:12" ht="30" x14ac:dyDescent="0.25">
      <c r="B211" s="253"/>
      <c r="C211" s="257"/>
      <c r="D211" s="266" t="s">
        <v>185</v>
      </c>
      <c r="E211" s="268">
        <f>E210</f>
        <v>4.9999999999999982E-2</v>
      </c>
      <c r="F211" s="256" t="s">
        <v>206</v>
      </c>
      <c r="H211" s="253"/>
      <c r="I211" s="257"/>
      <c r="J211" s="266" t="s">
        <v>185</v>
      </c>
      <c r="K211" s="268">
        <f>K210</f>
        <v>7.4999999999999969E-2</v>
      </c>
      <c r="L211" s="256" t="s">
        <v>206</v>
      </c>
    </row>
    <row r="212" spans="2:12" x14ac:dyDescent="0.25">
      <c r="B212" s="253"/>
      <c r="C212" s="257"/>
      <c r="D212" s="266" t="s">
        <v>208</v>
      </c>
      <c r="E212" s="257">
        <v>0</v>
      </c>
      <c r="F212" s="256" t="s">
        <v>209</v>
      </c>
      <c r="H212" s="253"/>
      <c r="I212" s="257"/>
      <c r="J212" s="266" t="s">
        <v>208</v>
      </c>
      <c r="K212" s="257">
        <v>0</v>
      </c>
      <c r="L212" s="256" t="s">
        <v>209</v>
      </c>
    </row>
    <row r="213" spans="2:12" ht="15.75" thickBot="1" x14ac:dyDescent="0.3">
      <c r="B213" s="271"/>
      <c r="C213" s="272"/>
      <c r="D213" s="273"/>
      <c r="E213" s="272"/>
      <c r="F213" s="274"/>
      <c r="H213" s="271"/>
      <c r="I213" s="272"/>
      <c r="J213" s="273"/>
      <c r="K213" s="272"/>
      <c r="L213" s="274"/>
    </row>
    <row r="214" spans="2:12" ht="15.75" thickBot="1" x14ac:dyDescent="0.3"/>
    <row r="215" spans="2:12" x14ac:dyDescent="0.25">
      <c r="B215" s="428" t="s">
        <v>211</v>
      </c>
      <c r="C215" s="429"/>
      <c r="D215" s="429"/>
      <c r="E215" s="429"/>
      <c r="F215" s="430"/>
      <c r="H215" s="428" t="s">
        <v>211</v>
      </c>
      <c r="I215" s="429"/>
      <c r="J215" s="429"/>
      <c r="K215" s="429"/>
      <c r="L215" s="430"/>
    </row>
    <row r="216" spans="2:12" ht="15.75" thickBot="1" x14ac:dyDescent="0.3">
      <c r="B216" s="431" t="s">
        <v>153</v>
      </c>
      <c r="C216" s="432"/>
      <c r="D216" s="432"/>
      <c r="E216" s="432"/>
      <c r="F216" s="433"/>
      <c r="H216" s="431" t="s">
        <v>153</v>
      </c>
      <c r="I216" s="432"/>
      <c r="J216" s="432"/>
      <c r="K216" s="432"/>
      <c r="L216" s="433"/>
    </row>
    <row r="217" spans="2:12" x14ac:dyDescent="0.25">
      <c r="B217" s="416" t="s">
        <v>154</v>
      </c>
      <c r="C217" s="417"/>
      <c r="D217" s="417"/>
      <c r="E217" s="417"/>
      <c r="F217" s="418"/>
      <c r="H217" s="416" t="s">
        <v>154</v>
      </c>
      <c r="I217" s="417"/>
      <c r="J217" s="417"/>
      <c r="K217" s="417"/>
      <c r="L217" s="418"/>
    </row>
    <row r="218" spans="2:12" ht="15.75" thickBot="1" x14ac:dyDescent="0.3">
      <c r="B218" s="419" t="s">
        <v>155</v>
      </c>
      <c r="C218" s="420"/>
      <c r="D218" s="421"/>
      <c r="E218" s="422"/>
      <c r="F218" s="423"/>
      <c r="H218" s="419" t="s">
        <v>155</v>
      </c>
      <c r="I218" s="420"/>
      <c r="J218" s="421"/>
      <c r="K218" s="422"/>
      <c r="L218" s="423"/>
    </row>
    <row r="219" spans="2:12" ht="15.75" thickBot="1" x14ac:dyDescent="0.3">
      <c r="B219" s="250" t="s">
        <v>108</v>
      </c>
      <c r="C219" s="251" t="s">
        <v>156</v>
      </c>
      <c r="D219" s="251" t="s">
        <v>157</v>
      </c>
      <c r="E219" s="251" t="s">
        <v>158</v>
      </c>
      <c r="F219" s="252" t="s">
        <v>159</v>
      </c>
      <c r="H219" s="250" t="s">
        <v>108</v>
      </c>
      <c r="I219" s="251" t="s">
        <v>156</v>
      </c>
      <c r="J219" s="251" t="s">
        <v>157</v>
      </c>
      <c r="K219" s="251" t="s">
        <v>158</v>
      </c>
      <c r="L219" s="252" t="s">
        <v>159</v>
      </c>
    </row>
    <row r="220" spans="2:12" x14ac:dyDescent="0.25">
      <c r="B220" s="424" t="s">
        <v>160</v>
      </c>
      <c r="C220" s="425"/>
      <c r="D220" s="425"/>
      <c r="E220" s="425"/>
      <c r="F220" s="426"/>
      <c r="H220" s="424" t="s">
        <v>160</v>
      </c>
      <c r="I220" s="425"/>
      <c r="J220" s="425"/>
      <c r="K220" s="425"/>
      <c r="L220" s="426"/>
    </row>
    <row r="221" spans="2:12" x14ac:dyDescent="0.25">
      <c r="B221" s="253"/>
      <c r="C221" s="254" t="s">
        <v>161</v>
      </c>
      <c r="D221" s="254"/>
      <c r="E221" s="257" t="s">
        <v>274</v>
      </c>
      <c r="F221" s="256"/>
      <c r="H221" s="253"/>
      <c r="I221" s="254" t="s">
        <v>161</v>
      </c>
      <c r="J221" s="254"/>
      <c r="K221" s="257" t="s">
        <v>275</v>
      </c>
      <c r="L221" s="256"/>
    </row>
    <row r="222" spans="2:12" x14ac:dyDescent="0.25">
      <c r="B222" s="253"/>
      <c r="C222" s="254" t="s">
        <v>162</v>
      </c>
      <c r="D222" s="254"/>
      <c r="E222" s="257" t="s">
        <v>276</v>
      </c>
      <c r="F222" s="256"/>
      <c r="H222" s="253"/>
      <c r="I222" s="254" t="s">
        <v>162</v>
      </c>
      <c r="J222" s="254"/>
      <c r="K222" s="257" t="s">
        <v>277</v>
      </c>
      <c r="L222" s="256"/>
    </row>
    <row r="223" spans="2:12" x14ac:dyDescent="0.25">
      <c r="B223" s="253"/>
      <c r="C223" s="254" t="s">
        <v>165</v>
      </c>
      <c r="D223" s="254"/>
      <c r="E223" s="257"/>
      <c r="F223" s="256"/>
      <c r="H223" s="253"/>
      <c r="I223" s="254" t="s">
        <v>165</v>
      </c>
      <c r="J223" s="254"/>
      <c r="K223" s="257"/>
      <c r="L223" s="256"/>
    </row>
    <row r="224" spans="2:12" x14ac:dyDescent="0.25">
      <c r="B224" s="253"/>
      <c r="C224" s="254"/>
      <c r="D224" s="254" t="s">
        <v>166</v>
      </c>
      <c r="E224" s="257" t="s">
        <v>249</v>
      </c>
      <c r="F224" s="256"/>
      <c r="H224" s="253"/>
      <c r="I224" s="254"/>
      <c r="J224" s="254" t="s">
        <v>166</v>
      </c>
      <c r="K224" s="257" t="s">
        <v>249</v>
      </c>
      <c r="L224" s="256"/>
    </row>
    <row r="225" spans="2:12" x14ac:dyDescent="0.25">
      <c r="B225" s="253"/>
      <c r="C225" s="254"/>
      <c r="D225" s="254" t="s">
        <v>167</v>
      </c>
      <c r="E225" s="257"/>
      <c r="F225" s="256" t="s">
        <v>168</v>
      </c>
      <c r="H225" s="253"/>
      <c r="I225" s="254"/>
      <c r="J225" s="254" t="s">
        <v>167</v>
      </c>
      <c r="K225" s="257"/>
      <c r="L225" s="256" t="s">
        <v>168</v>
      </c>
    </row>
    <row r="226" spans="2:12" x14ac:dyDescent="0.25">
      <c r="B226" s="253"/>
      <c r="C226" s="254" t="s">
        <v>169</v>
      </c>
      <c r="D226" s="254"/>
      <c r="E226" s="259"/>
      <c r="F226" s="256" t="s">
        <v>170</v>
      </c>
      <c r="H226" s="253"/>
      <c r="I226" s="254" t="s">
        <v>169</v>
      </c>
      <c r="J226" s="254"/>
      <c r="K226" s="259"/>
      <c r="L226" s="256" t="s">
        <v>170</v>
      </c>
    </row>
    <row r="227" spans="2:12" x14ac:dyDescent="0.25">
      <c r="B227" s="253"/>
      <c r="C227" s="254" t="s">
        <v>172</v>
      </c>
      <c r="D227" s="254"/>
      <c r="E227" s="257">
        <f>13.5*12*30</f>
        <v>4860</v>
      </c>
      <c r="F227" s="256" t="s">
        <v>173</v>
      </c>
      <c r="H227" s="253"/>
      <c r="I227" s="254" t="s">
        <v>172</v>
      </c>
      <c r="J227" s="254"/>
      <c r="K227" s="257">
        <f>13.5*12*30</f>
        <v>4860</v>
      </c>
      <c r="L227" s="256" t="s">
        <v>173</v>
      </c>
    </row>
    <row r="228" spans="2:12" x14ac:dyDescent="0.25">
      <c r="B228" s="260"/>
      <c r="C228" s="261" t="s">
        <v>175</v>
      </c>
      <c r="D228" s="261"/>
      <c r="E228" s="262">
        <f>'Data Lingkungan_IC'!Z240</f>
        <v>0</v>
      </c>
      <c r="F228" s="263"/>
      <c r="H228" s="260"/>
      <c r="I228" s="261" t="s">
        <v>175</v>
      </c>
      <c r="J228" s="261"/>
      <c r="K228" s="262">
        <f>'Data Lingkungan_IC'!AF240</f>
        <v>0</v>
      </c>
      <c r="L228" s="263"/>
    </row>
    <row r="229" spans="2:12" x14ac:dyDescent="0.25">
      <c r="B229" s="253"/>
      <c r="C229" s="254" t="s">
        <v>177</v>
      </c>
      <c r="D229" s="254"/>
      <c r="E229" s="257">
        <v>0</v>
      </c>
      <c r="F229" s="256" t="s">
        <v>173</v>
      </c>
      <c r="H229" s="253"/>
      <c r="I229" s="254" t="s">
        <v>177</v>
      </c>
      <c r="J229" s="254"/>
      <c r="K229" s="257">
        <v>0</v>
      </c>
      <c r="L229" s="256" t="s">
        <v>173</v>
      </c>
    </row>
    <row r="230" spans="2:12" x14ac:dyDescent="0.25">
      <c r="B230" s="253"/>
      <c r="C230" s="254" t="s">
        <v>179</v>
      </c>
      <c r="D230" s="254"/>
      <c r="E230" s="264">
        <f>E227-E229-(E231+E233)/2*10</f>
        <v>4860</v>
      </c>
      <c r="F230" s="256" t="s">
        <v>173</v>
      </c>
      <c r="H230" s="253"/>
      <c r="I230" s="254" t="s">
        <v>179</v>
      </c>
      <c r="J230" s="254"/>
      <c r="K230" s="264">
        <f>K227-K229-(K231+K233)/2*10</f>
        <v>4860</v>
      </c>
      <c r="L230" s="256" t="s">
        <v>173</v>
      </c>
    </row>
    <row r="231" spans="2:12" x14ac:dyDescent="0.25">
      <c r="B231" s="253"/>
      <c r="C231" s="254" t="s">
        <v>181</v>
      </c>
      <c r="D231" s="254" t="s">
        <v>182</v>
      </c>
      <c r="E231" s="265">
        <f>((E229/E227)*10-E232)</f>
        <v>0</v>
      </c>
      <c r="F231" s="256" t="s">
        <v>183</v>
      </c>
      <c r="H231" s="253"/>
      <c r="I231" s="254" t="s">
        <v>181</v>
      </c>
      <c r="J231" s="254" t="s">
        <v>182</v>
      </c>
      <c r="K231" s="265">
        <f>((K229/K227)*10-K232)</f>
        <v>0</v>
      </c>
      <c r="L231" s="256" t="s">
        <v>183</v>
      </c>
    </row>
    <row r="232" spans="2:12" ht="30" x14ac:dyDescent="0.25">
      <c r="B232" s="253"/>
      <c r="C232" s="254"/>
      <c r="D232" s="266" t="s">
        <v>185</v>
      </c>
      <c r="E232" s="267">
        <v>0</v>
      </c>
      <c r="F232" s="256" t="s">
        <v>186</v>
      </c>
      <c r="H232" s="253"/>
      <c r="I232" s="254"/>
      <c r="J232" s="266" t="s">
        <v>185</v>
      </c>
      <c r="K232" s="267">
        <v>0</v>
      </c>
      <c r="L232" s="256" t="s">
        <v>186</v>
      </c>
    </row>
    <row r="233" spans="2:12" x14ac:dyDescent="0.25">
      <c r="B233" s="253"/>
      <c r="C233" s="254" t="s">
        <v>188</v>
      </c>
      <c r="D233" s="254" t="s">
        <v>182</v>
      </c>
      <c r="E233" s="267">
        <v>0</v>
      </c>
      <c r="F233" s="256" t="s">
        <v>183</v>
      </c>
      <c r="H233" s="253"/>
      <c r="I233" s="254" t="s">
        <v>188</v>
      </c>
      <c r="J233" s="254" t="s">
        <v>182</v>
      </c>
      <c r="K233" s="267">
        <v>0</v>
      </c>
      <c r="L233" s="256" t="s">
        <v>183</v>
      </c>
    </row>
    <row r="234" spans="2:12" ht="30" x14ac:dyDescent="0.25">
      <c r="B234" s="253"/>
      <c r="C234" s="254" t="s">
        <v>190</v>
      </c>
      <c r="D234" s="254"/>
      <c r="E234" s="268">
        <f>(E230/E227)</f>
        <v>1</v>
      </c>
      <c r="F234" s="256" t="s">
        <v>191</v>
      </c>
      <c r="H234" s="253"/>
      <c r="I234" s="254" t="s">
        <v>190</v>
      </c>
      <c r="J234" s="254"/>
      <c r="K234" s="268">
        <f>(K230/K227)</f>
        <v>1</v>
      </c>
      <c r="L234" s="256" t="s">
        <v>191</v>
      </c>
    </row>
    <row r="235" spans="2:12" x14ac:dyDescent="0.25">
      <c r="B235" s="253"/>
      <c r="C235" s="254" t="s">
        <v>193</v>
      </c>
      <c r="D235" s="254"/>
      <c r="E235" s="257"/>
      <c r="F235" s="256"/>
      <c r="H235" s="253"/>
      <c r="I235" s="254" t="s">
        <v>193</v>
      </c>
      <c r="J235" s="254"/>
      <c r="K235" s="257"/>
      <c r="L235" s="256"/>
    </row>
    <row r="236" spans="2:12" x14ac:dyDescent="0.25">
      <c r="B236" s="253"/>
      <c r="C236" s="254"/>
      <c r="D236" s="254" t="s">
        <v>194</v>
      </c>
      <c r="E236" s="257"/>
      <c r="F236" s="256"/>
      <c r="H236" s="253"/>
      <c r="I236" s="254"/>
      <c r="J236" s="254" t="s">
        <v>194</v>
      </c>
      <c r="K236" s="257"/>
      <c r="L236" s="256"/>
    </row>
    <row r="237" spans="2:12" x14ac:dyDescent="0.25">
      <c r="B237" s="253"/>
      <c r="C237" s="254"/>
      <c r="D237" s="254" t="s">
        <v>196</v>
      </c>
      <c r="E237" s="257" t="s">
        <v>197</v>
      </c>
      <c r="F237" s="256"/>
      <c r="H237" s="253"/>
      <c r="I237" s="254"/>
      <c r="J237" s="254" t="s">
        <v>196</v>
      </c>
      <c r="K237" s="257" t="s">
        <v>197</v>
      </c>
      <c r="L237" s="256"/>
    </row>
    <row r="238" spans="2:12" x14ac:dyDescent="0.25">
      <c r="B238" s="253"/>
      <c r="C238" s="257"/>
      <c r="D238" s="266" t="s">
        <v>198</v>
      </c>
      <c r="E238" s="257">
        <f>Peralatan_IC!J58/1000</f>
        <v>0.01</v>
      </c>
      <c r="F238" s="256" t="s">
        <v>199</v>
      </c>
      <c r="H238" s="253"/>
      <c r="I238" s="257"/>
      <c r="J238" s="266" t="s">
        <v>198</v>
      </c>
      <c r="K238" s="257">
        <f>Peralatan_IC!J59/1000</f>
        <v>0.01</v>
      </c>
      <c r="L238" s="256" t="s">
        <v>199</v>
      </c>
    </row>
    <row r="239" spans="2:12" x14ac:dyDescent="0.25">
      <c r="B239" s="253"/>
      <c r="C239" s="257"/>
      <c r="D239" s="266" t="s">
        <v>201</v>
      </c>
      <c r="E239" s="264">
        <f>'Data Lingkungan_IC'!DK60/60</f>
        <v>24</v>
      </c>
      <c r="F239" s="256" t="s">
        <v>202</v>
      </c>
      <c r="H239" s="253"/>
      <c r="I239" s="257"/>
      <c r="J239" s="266" t="s">
        <v>201</v>
      </c>
      <c r="K239" s="264">
        <f>'Data Lingkungan_IC'!DK61/60</f>
        <v>24</v>
      </c>
      <c r="L239" s="256" t="s">
        <v>202</v>
      </c>
    </row>
    <row r="240" spans="2:12" x14ac:dyDescent="0.25">
      <c r="B240" s="253"/>
      <c r="C240" s="257"/>
      <c r="D240" s="266" t="s">
        <v>204</v>
      </c>
      <c r="E240" s="281">
        <f>E239*E238</f>
        <v>0.24</v>
      </c>
      <c r="F240" s="256"/>
      <c r="H240" s="253"/>
      <c r="I240" s="257"/>
      <c r="J240" s="266" t="s">
        <v>204</v>
      </c>
      <c r="K240" s="281">
        <f>K239*K238</f>
        <v>0.24</v>
      </c>
      <c r="L240" s="256"/>
    </row>
    <row r="241" spans="2:12" ht="30" x14ac:dyDescent="0.25">
      <c r="B241" s="253"/>
      <c r="C241" s="257"/>
      <c r="D241" s="266" t="s">
        <v>185</v>
      </c>
      <c r="E241" s="268">
        <f>E240</f>
        <v>0.24</v>
      </c>
      <c r="F241" s="256" t="s">
        <v>206</v>
      </c>
      <c r="H241" s="253"/>
      <c r="I241" s="257"/>
      <c r="J241" s="266" t="s">
        <v>185</v>
      </c>
      <c r="K241" s="268">
        <f>K240</f>
        <v>0.24</v>
      </c>
      <c r="L241" s="256" t="s">
        <v>206</v>
      </c>
    </row>
    <row r="242" spans="2:12" x14ac:dyDescent="0.25">
      <c r="B242" s="253"/>
      <c r="C242" s="257"/>
      <c r="D242" s="266" t="s">
        <v>208</v>
      </c>
      <c r="E242" s="257">
        <v>0</v>
      </c>
      <c r="F242" s="256" t="s">
        <v>209</v>
      </c>
      <c r="H242" s="253"/>
      <c r="I242" s="257"/>
      <c r="J242" s="266" t="s">
        <v>208</v>
      </c>
      <c r="K242" s="257">
        <v>0</v>
      </c>
      <c r="L242" s="256" t="s">
        <v>209</v>
      </c>
    </row>
    <row r="243" spans="2:12" ht="15.75" thickBot="1" x14ac:dyDescent="0.3">
      <c r="B243" s="271"/>
      <c r="C243" s="272"/>
      <c r="D243" s="273"/>
      <c r="E243" s="272"/>
      <c r="F243" s="274"/>
      <c r="H243" s="271"/>
      <c r="I243" s="272"/>
      <c r="J243" s="273"/>
      <c r="K243" s="272"/>
      <c r="L243" s="274"/>
    </row>
    <row r="244" spans="2:12" ht="15.75" thickBot="1" x14ac:dyDescent="0.3"/>
    <row r="245" spans="2:12" x14ac:dyDescent="0.25">
      <c r="B245" s="428" t="s">
        <v>211</v>
      </c>
      <c r="C245" s="429"/>
      <c r="D245" s="429"/>
      <c r="E245" s="429"/>
      <c r="F245" s="430"/>
      <c r="H245" s="428" t="s">
        <v>211</v>
      </c>
      <c r="I245" s="429"/>
      <c r="J245" s="429"/>
      <c r="K245" s="429"/>
      <c r="L245" s="430"/>
    </row>
    <row r="246" spans="2:12" ht="15.75" thickBot="1" x14ac:dyDescent="0.3">
      <c r="B246" s="431" t="s">
        <v>153</v>
      </c>
      <c r="C246" s="432"/>
      <c r="D246" s="432"/>
      <c r="E246" s="432"/>
      <c r="F246" s="433"/>
      <c r="H246" s="431" t="s">
        <v>153</v>
      </c>
      <c r="I246" s="432"/>
      <c r="J246" s="432"/>
      <c r="K246" s="432"/>
      <c r="L246" s="433"/>
    </row>
    <row r="247" spans="2:12" x14ac:dyDescent="0.25">
      <c r="B247" s="416" t="s">
        <v>154</v>
      </c>
      <c r="C247" s="417"/>
      <c r="D247" s="417"/>
      <c r="E247" s="417"/>
      <c r="F247" s="418"/>
      <c r="H247" s="416" t="s">
        <v>154</v>
      </c>
      <c r="I247" s="417"/>
      <c r="J247" s="417"/>
      <c r="K247" s="417"/>
      <c r="L247" s="418"/>
    </row>
    <row r="248" spans="2:12" ht="15.75" thickBot="1" x14ac:dyDescent="0.3">
      <c r="B248" s="419" t="s">
        <v>155</v>
      </c>
      <c r="C248" s="420"/>
      <c r="D248" s="421"/>
      <c r="E248" s="422"/>
      <c r="F248" s="423"/>
      <c r="H248" s="419" t="s">
        <v>155</v>
      </c>
      <c r="I248" s="420"/>
      <c r="J248" s="421"/>
      <c r="K248" s="422"/>
      <c r="L248" s="423"/>
    </row>
    <row r="249" spans="2:12" ht="15.75" thickBot="1" x14ac:dyDescent="0.3">
      <c r="B249" s="250" t="s">
        <v>108</v>
      </c>
      <c r="C249" s="251" t="s">
        <v>156</v>
      </c>
      <c r="D249" s="251" t="s">
        <v>157</v>
      </c>
      <c r="E249" s="251" t="s">
        <v>158</v>
      </c>
      <c r="F249" s="252" t="s">
        <v>159</v>
      </c>
      <c r="H249" s="250" t="s">
        <v>108</v>
      </c>
      <c r="I249" s="251" t="s">
        <v>156</v>
      </c>
      <c r="J249" s="251" t="s">
        <v>157</v>
      </c>
      <c r="K249" s="251" t="s">
        <v>158</v>
      </c>
      <c r="L249" s="252" t="s">
        <v>159</v>
      </c>
    </row>
    <row r="250" spans="2:12" x14ac:dyDescent="0.25">
      <c r="B250" s="424" t="s">
        <v>160</v>
      </c>
      <c r="C250" s="425"/>
      <c r="D250" s="425"/>
      <c r="E250" s="425"/>
      <c r="F250" s="426"/>
      <c r="H250" s="424" t="s">
        <v>160</v>
      </c>
      <c r="I250" s="425"/>
      <c r="J250" s="425"/>
      <c r="K250" s="425"/>
      <c r="L250" s="426"/>
    </row>
    <row r="251" spans="2:12" x14ac:dyDescent="0.25">
      <c r="B251" s="253"/>
      <c r="C251" s="254" t="s">
        <v>161</v>
      </c>
      <c r="D251" s="254"/>
      <c r="E251" s="257" t="s">
        <v>278</v>
      </c>
      <c r="F251" s="256"/>
      <c r="H251" s="253"/>
      <c r="I251" s="254" t="s">
        <v>161</v>
      </c>
      <c r="J251" s="254"/>
      <c r="K251" s="257" t="s">
        <v>279</v>
      </c>
      <c r="L251" s="256"/>
    </row>
    <row r="252" spans="2:12" x14ac:dyDescent="0.25">
      <c r="B252" s="253"/>
      <c r="C252" s="254" t="s">
        <v>162</v>
      </c>
      <c r="D252" s="254"/>
      <c r="E252" s="257" t="s">
        <v>280</v>
      </c>
      <c r="F252" s="256"/>
      <c r="H252" s="253"/>
      <c r="I252" s="254" t="s">
        <v>162</v>
      </c>
      <c r="J252" s="254"/>
      <c r="K252" s="257" t="s">
        <v>281</v>
      </c>
      <c r="L252" s="256"/>
    </row>
    <row r="253" spans="2:12" x14ac:dyDescent="0.25">
      <c r="B253" s="253"/>
      <c r="C253" s="254" t="s">
        <v>165</v>
      </c>
      <c r="D253" s="254"/>
      <c r="E253" s="257"/>
      <c r="F253" s="256"/>
      <c r="H253" s="253"/>
      <c r="I253" s="254" t="s">
        <v>165</v>
      </c>
      <c r="J253" s="254"/>
      <c r="K253" s="257"/>
      <c r="L253" s="256"/>
    </row>
    <row r="254" spans="2:12" x14ac:dyDescent="0.25">
      <c r="B254" s="253"/>
      <c r="C254" s="254"/>
      <c r="D254" s="254" t="s">
        <v>166</v>
      </c>
      <c r="E254" s="257" t="s">
        <v>249</v>
      </c>
      <c r="F254" s="256"/>
      <c r="H254" s="253"/>
      <c r="I254" s="254"/>
      <c r="J254" s="254" t="s">
        <v>166</v>
      </c>
      <c r="K254" s="257" t="s">
        <v>249</v>
      </c>
      <c r="L254" s="256"/>
    </row>
    <row r="255" spans="2:12" x14ac:dyDescent="0.25">
      <c r="B255" s="253"/>
      <c r="C255" s="254"/>
      <c r="D255" s="254" t="s">
        <v>167</v>
      </c>
      <c r="E255" s="257"/>
      <c r="F255" s="256" t="s">
        <v>168</v>
      </c>
      <c r="H255" s="253"/>
      <c r="I255" s="254"/>
      <c r="J255" s="254" t="s">
        <v>167</v>
      </c>
      <c r="K255" s="257"/>
      <c r="L255" s="256" t="s">
        <v>168</v>
      </c>
    </row>
    <row r="256" spans="2:12" x14ac:dyDescent="0.25">
      <c r="B256" s="253"/>
      <c r="C256" s="254" t="s">
        <v>169</v>
      </c>
      <c r="D256" s="254"/>
      <c r="E256" s="259"/>
      <c r="F256" s="256" t="s">
        <v>170</v>
      </c>
      <c r="H256" s="253"/>
      <c r="I256" s="254" t="s">
        <v>169</v>
      </c>
      <c r="J256" s="254"/>
      <c r="K256" s="259"/>
      <c r="L256" s="256" t="s">
        <v>170</v>
      </c>
    </row>
    <row r="257" spans="2:12" x14ac:dyDescent="0.25">
      <c r="B257" s="253"/>
      <c r="C257" s="254" t="s">
        <v>172</v>
      </c>
      <c r="D257" s="254"/>
      <c r="E257" s="257">
        <f>13.5*12*30</f>
        <v>4860</v>
      </c>
      <c r="F257" s="256" t="s">
        <v>173</v>
      </c>
      <c r="H257" s="253"/>
      <c r="I257" s="254" t="s">
        <v>172</v>
      </c>
      <c r="J257" s="254"/>
      <c r="K257" s="257">
        <f>13.5*12*30</f>
        <v>4860</v>
      </c>
      <c r="L257" s="256" t="s">
        <v>173</v>
      </c>
    </row>
    <row r="258" spans="2:12" x14ac:dyDescent="0.25">
      <c r="B258" s="260"/>
      <c r="C258" s="261" t="s">
        <v>175</v>
      </c>
      <c r="D258" s="261"/>
      <c r="E258" s="262">
        <f>'Data Lingkungan_IC'!Z270</f>
        <v>0</v>
      </c>
      <c r="F258" s="263"/>
      <c r="H258" s="260"/>
      <c r="I258" s="261" t="s">
        <v>175</v>
      </c>
      <c r="J258" s="261"/>
      <c r="K258" s="262">
        <f>'Data Lingkungan_IC'!AF270</f>
        <v>0</v>
      </c>
      <c r="L258" s="263"/>
    </row>
    <row r="259" spans="2:12" x14ac:dyDescent="0.25">
      <c r="B259" s="253"/>
      <c r="C259" s="254" t="s">
        <v>177</v>
      </c>
      <c r="D259" s="254"/>
      <c r="E259" s="257">
        <v>0</v>
      </c>
      <c r="F259" s="256" t="s">
        <v>173</v>
      </c>
      <c r="H259" s="253"/>
      <c r="I259" s="254" t="s">
        <v>177</v>
      </c>
      <c r="J259" s="254"/>
      <c r="K259" s="257">
        <v>0</v>
      </c>
      <c r="L259" s="256" t="s">
        <v>173</v>
      </c>
    </row>
    <row r="260" spans="2:12" x14ac:dyDescent="0.25">
      <c r="B260" s="253"/>
      <c r="C260" s="254" t="s">
        <v>179</v>
      </c>
      <c r="D260" s="254"/>
      <c r="E260" s="264">
        <f>E257-E259-(E261+E263)/2*10</f>
        <v>4860</v>
      </c>
      <c r="F260" s="256" t="s">
        <v>173</v>
      </c>
      <c r="H260" s="253"/>
      <c r="I260" s="254" t="s">
        <v>179</v>
      </c>
      <c r="J260" s="254"/>
      <c r="K260" s="264">
        <f>K257-K259-(K261+K263)/2*10</f>
        <v>4860</v>
      </c>
      <c r="L260" s="256" t="s">
        <v>173</v>
      </c>
    </row>
    <row r="261" spans="2:12" x14ac:dyDescent="0.25">
      <c r="B261" s="253"/>
      <c r="C261" s="254" t="s">
        <v>181</v>
      </c>
      <c r="D261" s="254" t="s">
        <v>182</v>
      </c>
      <c r="E261" s="265">
        <f>((E259/E257)*10-E262)</f>
        <v>0</v>
      </c>
      <c r="F261" s="256" t="s">
        <v>183</v>
      </c>
      <c r="H261" s="253"/>
      <c r="I261" s="254" t="s">
        <v>181</v>
      </c>
      <c r="J261" s="254" t="s">
        <v>182</v>
      </c>
      <c r="K261" s="265">
        <f>((K259/K257)*10-K262)</f>
        <v>0</v>
      </c>
      <c r="L261" s="256" t="s">
        <v>183</v>
      </c>
    </row>
    <row r="262" spans="2:12" ht="30" x14ac:dyDescent="0.25">
      <c r="B262" s="253"/>
      <c r="C262" s="254"/>
      <c r="D262" s="266" t="s">
        <v>185</v>
      </c>
      <c r="E262" s="267">
        <v>0</v>
      </c>
      <c r="F262" s="256" t="s">
        <v>186</v>
      </c>
      <c r="H262" s="253"/>
      <c r="I262" s="254"/>
      <c r="J262" s="266" t="s">
        <v>185</v>
      </c>
      <c r="K262" s="267">
        <v>0</v>
      </c>
      <c r="L262" s="256" t="s">
        <v>186</v>
      </c>
    </row>
    <row r="263" spans="2:12" x14ac:dyDescent="0.25">
      <c r="B263" s="253"/>
      <c r="C263" s="254" t="s">
        <v>188</v>
      </c>
      <c r="D263" s="254" t="s">
        <v>182</v>
      </c>
      <c r="E263" s="267">
        <v>0</v>
      </c>
      <c r="F263" s="256" t="s">
        <v>183</v>
      </c>
      <c r="H263" s="253"/>
      <c r="I263" s="254" t="s">
        <v>188</v>
      </c>
      <c r="J263" s="254" t="s">
        <v>182</v>
      </c>
      <c r="K263" s="267">
        <v>0</v>
      </c>
      <c r="L263" s="256" t="s">
        <v>183</v>
      </c>
    </row>
    <row r="264" spans="2:12" ht="30" x14ac:dyDescent="0.25">
      <c r="B264" s="253"/>
      <c r="C264" s="254" t="s">
        <v>190</v>
      </c>
      <c r="D264" s="254"/>
      <c r="E264" s="268">
        <f>(E260/E257)</f>
        <v>1</v>
      </c>
      <c r="F264" s="256" t="s">
        <v>191</v>
      </c>
      <c r="H264" s="253"/>
      <c r="I264" s="254" t="s">
        <v>190</v>
      </c>
      <c r="J264" s="254"/>
      <c r="K264" s="268">
        <f>(K260/K257)</f>
        <v>1</v>
      </c>
      <c r="L264" s="256" t="s">
        <v>191</v>
      </c>
    </row>
    <row r="265" spans="2:12" x14ac:dyDescent="0.25">
      <c r="B265" s="253"/>
      <c r="C265" s="254" t="s">
        <v>193</v>
      </c>
      <c r="D265" s="254"/>
      <c r="E265" s="257"/>
      <c r="F265" s="256"/>
      <c r="H265" s="253"/>
      <c r="I265" s="254" t="s">
        <v>193</v>
      </c>
      <c r="J265" s="254"/>
      <c r="K265" s="257"/>
      <c r="L265" s="256"/>
    </row>
    <row r="266" spans="2:12" x14ac:dyDescent="0.25">
      <c r="B266" s="253"/>
      <c r="C266" s="254"/>
      <c r="D266" s="254" t="s">
        <v>194</v>
      </c>
      <c r="E266" s="257"/>
      <c r="F266" s="256"/>
      <c r="H266" s="253"/>
      <c r="I266" s="254"/>
      <c r="J266" s="254" t="s">
        <v>194</v>
      </c>
      <c r="K266" s="257"/>
      <c r="L266" s="256"/>
    </row>
    <row r="267" spans="2:12" x14ac:dyDescent="0.25">
      <c r="B267" s="253"/>
      <c r="C267" s="254"/>
      <c r="D267" s="254" t="s">
        <v>196</v>
      </c>
      <c r="E267" s="257" t="s">
        <v>197</v>
      </c>
      <c r="F267" s="256"/>
      <c r="H267" s="253"/>
      <c r="I267" s="254"/>
      <c r="J267" s="254" t="s">
        <v>196</v>
      </c>
      <c r="K267" s="257" t="s">
        <v>197</v>
      </c>
      <c r="L267" s="256"/>
    </row>
    <row r="268" spans="2:12" x14ac:dyDescent="0.25">
      <c r="B268" s="253"/>
      <c r="C268" s="257"/>
      <c r="D268" s="266" t="s">
        <v>198</v>
      </c>
      <c r="E268" s="257">
        <f>Peralatan_IC!J64/1000</f>
        <v>1.4999999999999999E-2</v>
      </c>
      <c r="F268" s="256" t="s">
        <v>199</v>
      </c>
      <c r="H268" s="253"/>
      <c r="I268" s="257"/>
      <c r="J268" s="266" t="s">
        <v>198</v>
      </c>
      <c r="K268" s="257">
        <f>Peralatan_IC!J65/1000</f>
        <v>1.4999999999999999E-2</v>
      </c>
      <c r="L268" s="256" t="s">
        <v>199</v>
      </c>
    </row>
    <row r="269" spans="2:12" x14ac:dyDescent="0.25">
      <c r="B269" s="253"/>
      <c r="C269" s="257"/>
      <c r="D269" s="266" t="s">
        <v>201</v>
      </c>
      <c r="E269" s="264">
        <f>'Data Lingkungan_IC'!DT60/60</f>
        <v>24</v>
      </c>
      <c r="F269" s="256" t="s">
        <v>202</v>
      </c>
      <c r="H269" s="253"/>
      <c r="I269" s="257"/>
      <c r="J269" s="266" t="s">
        <v>201</v>
      </c>
      <c r="K269" s="264">
        <f>'Data Lingkungan_IC'!DT61/60</f>
        <v>24</v>
      </c>
      <c r="L269" s="256" t="s">
        <v>202</v>
      </c>
    </row>
    <row r="270" spans="2:12" x14ac:dyDescent="0.25">
      <c r="B270" s="253"/>
      <c r="C270" s="257"/>
      <c r="D270" s="266" t="s">
        <v>204</v>
      </c>
      <c r="E270" s="281">
        <f>E269*E268</f>
        <v>0.36</v>
      </c>
      <c r="F270" s="256"/>
      <c r="H270" s="253"/>
      <c r="I270" s="257"/>
      <c r="J270" s="266" t="s">
        <v>204</v>
      </c>
      <c r="K270" s="281">
        <f>K269*K268</f>
        <v>0.36</v>
      </c>
      <c r="L270" s="256"/>
    </row>
    <row r="271" spans="2:12" ht="30" x14ac:dyDescent="0.25">
      <c r="B271" s="253"/>
      <c r="C271" s="257"/>
      <c r="D271" s="266" t="s">
        <v>185</v>
      </c>
      <c r="E271" s="268">
        <f>E270</f>
        <v>0.36</v>
      </c>
      <c r="F271" s="256" t="s">
        <v>206</v>
      </c>
      <c r="H271" s="253"/>
      <c r="I271" s="257"/>
      <c r="J271" s="266" t="s">
        <v>185</v>
      </c>
      <c r="K271" s="268">
        <f>K270</f>
        <v>0.36</v>
      </c>
      <c r="L271" s="256" t="s">
        <v>206</v>
      </c>
    </row>
    <row r="272" spans="2:12" x14ac:dyDescent="0.25">
      <c r="B272" s="253"/>
      <c r="C272" s="257"/>
      <c r="D272" s="266" t="s">
        <v>208</v>
      </c>
      <c r="E272" s="257">
        <v>0</v>
      </c>
      <c r="F272" s="256" t="s">
        <v>209</v>
      </c>
      <c r="H272" s="253"/>
      <c r="I272" s="257"/>
      <c r="J272" s="266" t="s">
        <v>208</v>
      </c>
      <c r="K272" s="257">
        <v>0</v>
      </c>
      <c r="L272" s="256" t="s">
        <v>209</v>
      </c>
    </row>
    <row r="273" spans="2:12" ht="15.75" thickBot="1" x14ac:dyDescent="0.3">
      <c r="B273" s="271"/>
      <c r="C273" s="272"/>
      <c r="D273" s="273"/>
      <c r="E273" s="272"/>
      <c r="F273" s="274"/>
      <c r="H273" s="271"/>
      <c r="I273" s="272"/>
      <c r="J273" s="273"/>
      <c r="K273" s="272"/>
      <c r="L273" s="274"/>
    </row>
  </sheetData>
  <mergeCells count="114">
    <mergeCell ref="B250:F250"/>
    <mergeCell ref="H250:L250"/>
    <mergeCell ref="B247:F247"/>
    <mergeCell ref="H247:L247"/>
    <mergeCell ref="B248:C248"/>
    <mergeCell ref="D248:F248"/>
    <mergeCell ref="H248:I248"/>
    <mergeCell ref="J248:L248"/>
    <mergeCell ref="B220:F220"/>
    <mergeCell ref="H220:L220"/>
    <mergeCell ref="B245:F245"/>
    <mergeCell ref="H245:L245"/>
    <mergeCell ref="B246:F246"/>
    <mergeCell ref="H246:L246"/>
    <mergeCell ref="B217:F217"/>
    <mergeCell ref="H217:L217"/>
    <mergeCell ref="B218:C218"/>
    <mergeCell ref="D218:F218"/>
    <mergeCell ref="H218:I218"/>
    <mergeCell ref="J218:L218"/>
    <mergeCell ref="B190:F190"/>
    <mergeCell ref="H190:L190"/>
    <mergeCell ref="B215:F215"/>
    <mergeCell ref="H215:L215"/>
    <mergeCell ref="B216:F216"/>
    <mergeCell ref="H216:L216"/>
    <mergeCell ref="B187:F187"/>
    <mergeCell ref="H187:L187"/>
    <mergeCell ref="B188:C188"/>
    <mergeCell ref="D188:F188"/>
    <mergeCell ref="H188:I188"/>
    <mergeCell ref="J188:L188"/>
    <mergeCell ref="B160:F160"/>
    <mergeCell ref="H160:L160"/>
    <mergeCell ref="B185:F185"/>
    <mergeCell ref="H185:L185"/>
    <mergeCell ref="B186:F186"/>
    <mergeCell ref="H186:L186"/>
    <mergeCell ref="B157:F157"/>
    <mergeCell ref="H157:L157"/>
    <mergeCell ref="B158:C158"/>
    <mergeCell ref="D158:F158"/>
    <mergeCell ref="H158:I158"/>
    <mergeCell ref="J158:L158"/>
    <mergeCell ref="B130:F130"/>
    <mergeCell ref="H130:L130"/>
    <mergeCell ref="B155:F155"/>
    <mergeCell ref="H155:L155"/>
    <mergeCell ref="B156:F156"/>
    <mergeCell ref="H156:L156"/>
    <mergeCell ref="B127:F127"/>
    <mergeCell ref="H127:L127"/>
    <mergeCell ref="B128:C128"/>
    <mergeCell ref="D128:F128"/>
    <mergeCell ref="H128:I128"/>
    <mergeCell ref="J128:L128"/>
    <mergeCell ref="B100:F100"/>
    <mergeCell ref="H100:L100"/>
    <mergeCell ref="B125:F125"/>
    <mergeCell ref="H125:L125"/>
    <mergeCell ref="B126:F126"/>
    <mergeCell ref="H126:L126"/>
    <mergeCell ref="B97:F97"/>
    <mergeCell ref="H97:L97"/>
    <mergeCell ref="B98:C98"/>
    <mergeCell ref="D98:F98"/>
    <mergeCell ref="H98:I98"/>
    <mergeCell ref="J98:L98"/>
    <mergeCell ref="B70:F70"/>
    <mergeCell ref="H70:L70"/>
    <mergeCell ref="B95:F95"/>
    <mergeCell ref="H95:L95"/>
    <mergeCell ref="B96:F96"/>
    <mergeCell ref="H96:L96"/>
    <mergeCell ref="B67:F67"/>
    <mergeCell ref="H67:L67"/>
    <mergeCell ref="B68:C68"/>
    <mergeCell ref="D68:F68"/>
    <mergeCell ref="H68:I68"/>
    <mergeCell ref="J68:L68"/>
    <mergeCell ref="B40:F40"/>
    <mergeCell ref="H40:L40"/>
    <mergeCell ref="B65:F65"/>
    <mergeCell ref="H65:L65"/>
    <mergeCell ref="B66:F66"/>
    <mergeCell ref="H66:L66"/>
    <mergeCell ref="B8:C8"/>
    <mergeCell ref="D8:F8"/>
    <mergeCell ref="H8:I8"/>
    <mergeCell ref="J8:L8"/>
    <mergeCell ref="N8:O8"/>
    <mergeCell ref="P8:R8"/>
    <mergeCell ref="B37:F37"/>
    <mergeCell ref="H37:L37"/>
    <mergeCell ref="B38:C38"/>
    <mergeCell ref="D38:F38"/>
    <mergeCell ref="H38:I38"/>
    <mergeCell ref="J38:L38"/>
    <mergeCell ref="B10:F10"/>
    <mergeCell ref="H10:L10"/>
    <mergeCell ref="N10:R10"/>
    <mergeCell ref="B35:F35"/>
    <mergeCell ref="H35:L35"/>
    <mergeCell ref="B36:F36"/>
    <mergeCell ref="H36:L36"/>
    <mergeCell ref="B5:F5"/>
    <mergeCell ref="H5:L5"/>
    <mergeCell ref="N5:R5"/>
    <mergeCell ref="B6:F6"/>
    <mergeCell ref="H6:L6"/>
    <mergeCell ref="N6:R6"/>
    <mergeCell ref="B7:F7"/>
    <mergeCell ref="H7:L7"/>
    <mergeCell ref="N7:R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B3:X327"/>
  <sheetViews>
    <sheetView showGridLines="0" topLeftCell="A62" zoomScale="70" zoomScaleNormal="70" zoomScalePageLayoutView="85" workbookViewId="0">
      <selection activeCell="K80" sqref="K80"/>
    </sheetView>
  </sheetViews>
  <sheetFormatPr defaultColWidth="8.85546875" defaultRowHeight="15" x14ac:dyDescent="0.25"/>
  <cols>
    <col min="2" max="2" width="3.42578125" bestFit="1" customWidth="1"/>
    <col min="3" max="3" width="20.7109375" customWidth="1"/>
    <col min="4" max="4" width="20.7109375" style="283" customWidth="1"/>
    <col min="5" max="6" width="20.7109375" customWidth="1"/>
    <col min="7" max="7" width="1.7109375" customWidth="1"/>
    <col min="8" max="8" width="3.42578125" bestFit="1" customWidth="1"/>
    <col min="9" max="9" width="20.7109375" customWidth="1"/>
    <col min="10" max="10" width="20.7109375" style="283" customWidth="1"/>
    <col min="11" max="12" width="20.7109375" customWidth="1"/>
    <col min="13" max="13" width="1.7109375" customWidth="1"/>
    <col min="14" max="14" width="3.42578125" bestFit="1" customWidth="1"/>
    <col min="15" max="15" width="20.7109375" customWidth="1"/>
    <col min="16" max="16" width="20.7109375" style="283" customWidth="1"/>
    <col min="17" max="18" width="20.7109375" customWidth="1"/>
    <col min="19" max="19" width="1.7109375" customWidth="1"/>
    <col min="20" max="20" width="3.42578125" bestFit="1" customWidth="1"/>
    <col min="21" max="21" width="20.7109375" customWidth="1"/>
    <col min="22" max="22" width="20.7109375" style="283" customWidth="1"/>
    <col min="23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3" spans="2:22" s="2" customFormat="1" ht="21" x14ac:dyDescent="0.35">
      <c r="B3" s="2" t="s">
        <v>0</v>
      </c>
      <c r="D3" s="282"/>
      <c r="J3" s="282"/>
      <c r="P3" s="282"/>
      <c r="V3" s="282"/>
    </row>
    <row r="4" spans="2:22" ht="15.75" thickBot="1" x14ac:dyDescent="0.3"/>
    <row r="5" spans="2:22" x14ac:dyDescent="0.25">
      <c r="B5" s="410" t="s">
        <v>152</v>
      </c>
      <c r="C5" s="411"/>
      <c r="D5" s="411"/>
      <c r="E5" s="411"/>
      <c r="F5" s="412"/>
    </row>
    <row r="6" spans="2:22" ht="15.75" thickBot="1" x14ac:dyDescent="0.3">
      <c r="B6" s="413" t="s">
        <v>153</v>
      </c>
      <c r="C6" s="414"/>
      <c r="D6" s="414"/>
      <c r="E6" s="414"/>
      <c r="F6" s="415"/>
    </row>
    <row r="7" spans="2:22" x14ac:dyDescent="0.25">
      <c r="B7" s="416" t="s">
        <v>282</v>
      </c>
      <c r="C7" s="417"/>
      <c r="D7" s="417"/>
      <c r="E7" s="417"/>
      <c r="F7" s="418"/>
    </row>
    <row r="8" spans="2:22" ht="15.75" thickBot="1" x14ac:dyDescent="0.3">
      <c r="B8" s="419" t="s">
        <v>283</v>
      </c>
      <c r="C8" s="420"/>
      <c r="D8" s="421"/>
      <c r="E8" s="422"/>
      <c r="F8" s="423"/>
    </row>
    <row r="9" spans="2:22" ht="15.75" thickBot="1" x14ac:dyDescent="0.3">
      <c r="B9" s="250" t="s">
        <v>108</v>
      </c>
      <c r="C9" s="251" t="s">
        <v>156</v>
      </c>
      <c r="D9" s="284" t="s">
        <v>157</v>
      </c>
      <c r="E9" s="251" t="s">
        <v>158</v>
      </c>
      <c r="F9" s="252" t="s">
        <v>159</v>
      </c>
    </row>
    <row r="10" spans="2:22" x14ac:dyDescent="0.25">
      <c r="B10" s="424" t="s">
        <v>284</v>
      </c>
      <c r="C10" s="425"/>
      <c r="D10" s="425"/>
      <c r="E10" s="425"/>
      <c r="F10" s="426"/>
    </row>
    <row r="11" spans="2:22" x14ac:dyDescent="0.25">
      <c r="B11" s="253"/>
      <c r="C11" s="254" t="s">
        <v>161</v>
      </c>
      <c r="D11" s="266"/>
      <c r="E11" s="257" t="s">
        <v>285</v>
      </c>
      <c r="F11" s="256"/>
    </row>
    <row r="12" spans="2:22" x14ac:dyDescent="0.25">
      <c r="B12" s="253"/>
      <c r="C12" s="254" t="s">
        <v>162</v>
      </c>
      <c r="D12" s="266"/>
      <c r="E12" s="257" t="s">
        <v>286</v>
      </c>
      <c r="F12" s="256"/>
    </row>
    <row r="13" spans="2:22" x14ac:dyDescent="0.25">
      <c r="B13" s="253"/>
      <c r="C13" s="254" t="s">
        <v>165</v>
      </c>
      <c r="D13" s="266"/>
      <c r="E13" s="257"/>
      <c r="F13" s="256"/>
    </row>
    <row r="14" spans="2:22" x14ac:dyDescent="0.25">
      <c r="B14" s="253"/>
      <c r="C14" s="254"/>
      <c r="D14" s="266" t="s">
        <v>166</v>
      </c>
      <c r="E14" s="257">
        <v>0</v>
      </c>
      <c r="F14" s="256"/>
    </row>
    <row r="15" spans="2:22" x14ac:dyDescent="0.25">
      <c r="B15" s="253"/>
      <c r="C15" s="254"/>
      <c r="D15" s="266" t="s">
        <v>167</v>
      </c>
      <c r="E15" s="257">
        <v>0</v>
      </c>
      <c r="F15" s="256" t="s">
        <v>168</v>
      </c>
    </row>
    <row r="16" spans="2:22" x14ac:dyDescent="0.25">
      <c r="B16" s="253"/>
      <c r="C16" s="254" t="s">
        <v>169</v>
      </c>
      <c r="D16" s="266"/>
      <c r="E16" s="259"/>
      <c r="F16" s="256" t="s">
        <v>170</v>
      </c>
    </row>
    <row r="17" spans="2:6" x14ac:dyDescent="0.25">
      <c r="B17" s="253"/>
      <c r="C17" s="254" t="s">
        <v>172</v>
      </c>
      <c r="D17" s="266"/>
      <c r="E17" s="257">
        <f>15*12*30</f>
        <v>5400</v>
      </c>
      <c r="F17" s="256" t="s">
        <v>173</v>
      </c>
    </row>
    <row r="18" spans="2:6" x14ac:dyDescent="0.25">
      <c r="B18" s="260"/>
      <c r="C18" s="261" t="s">
        <v>175</v>
      </c>
      <c r="D18" s="285"/>
      <c r="E18" s="262" t="s">
        <v>229</v>
      </c>
      <c r="F18" s="263"/>
    </row>
    <row r="19" spans="2:6" x14ac:dyDescent="0.25">
      <c r="B19" s="253"/>
      <c r="C19" s="254" t="s">
        <v>177</v>
      </c>
      <c r="D19" s="266"/>
      <c r="E19" s="257">
        <v>120</v>
      </c>
      <c r="F19" s="256" t="s">
        <v>173</v>
      </c>
    </row>
    <row r="20" spans="2:6" x14ac:dyDescent="0.25">
      <c r="B20" s="253"/>
      <c r="C20" s="254" t="s">
        <v>179</v>
      </c>
      <c r="D20" s="266"/>
      <c r="E20" s="264">
        <f>E17-E19-(E21+E23)/2*10</f>
        <v>5279.5</v>
      </c>
      <c r="F20" s="256" t="s">
        <v>173</v>
      </c>
    </row>
    <row r="21" spans="2:6" x14ac:dyDescent="0.25">
      <c r="B21" s="253"/>
      <c r="C21" s="254" t="s">
        <v>181</v>
      </c>
      <c r="D21" s="266" t="s">
        <v>182</v>
      </c>
      <c r="E21" s="265">
        <f>((E19/E17)*45-E22)</f>
        <v>0</v>
      </c>
      <c r="F21" s="256" t="s">
        <v>183</v>
      </c>
    </row>
    <row r="22" spans="2:6" ht="30" x14ac:dyDescent="0.25">
      <c r="B22" s="253"/>
      <c r="C22" s="254"/>
      <c r="D22" s="266" t="s">
        <v>185</v>
      </c>
      <c r="E22" s="267">
        <f>'Data Lingkungan_IC'!Z41</f>
        <v>1</v>
      </c>
      <c r="F22" s="256" t="s">
        <v>186</v>
      </c>
    </row>
    <row r="23" spans="2:6" x14ac:dyDescent="0.25">
      <c r="B23" s="253"/>
      <c r="C23" s="254" t="s">
        <v>188</v>
      </c>
      <c r="D23" s="266" t="s">
        <v>182</v>
      </c>
      <c r="E23" s="267">
        <f>'Data Lingkungan_IC'!Z21</f>
        <v>0.1</v>
      </c>
      <c r="F23" s="256" t="s">
        <v>183</v>
      </c>
    </row>
    <row r="24" spans="2:6" ht="30" x14ac:dyDescent="0.25">
      <c r="B24" s="253"/>
      <c r="C24" s="254" t="s">
        <v>190</v>
      </c>
      <c r="D24" s="266"/>
      <c r="E24" s="268">
        <f>(E20/E17)</f>
        <v>0.97768518518518521</v>
      </c>
      <c r="F24" s="256" t="s">
        <v>191</v>
      </c>
    </row>
    <row r="25" spans="2:6" x14ac:dyDescent="0.25">
      <c r="B25" s="253"/>
      <c r="C25" s="254" t="s">
        <v>287</v>
      </c>
      <c r="D25" s="266"/>
      <c r="E25" s="257"/>
      <c r="F25" s="256"/>
    </row>
    <row r="26" spans="2:6" x14ac:dyDescent="0.25">
      <c r="B26" s="253"/>
      <c r="C26" s="254"/>
      <c r="D26" s="266" t="s">
        <v>288</v>
      </c>
      <c r="E26" s="257">
        <v>90</v>
      </c>
      <c r="F26" s="256" t="s">
        <v>289</v>
      </c>
    </row>
    <row r="27" spans="2:6" x14ac:dyDescent="0.25">
      <c r="B27" s="253"/>
      <c r="C27" s="254"/>
      <c r="D27" s="266" t="s">
        <v>290</v>
      </c>
      <c r="E27" s="257">
        <v>0.05</v>
      </c>
      <c r="F27" s="256" t="s">
        <v>289</v>
      </c>
    </row>
    <row r="28" spans="2:6" x14ac:dyDescent="0.25">
      <c r="B28" s="253"/>
      <c r="C28" s="254"/>
      <c r="D28" s="266" t="s">
        <v>291</v>
      </c>
      <c r="E28" s="257">
        <v>210</v>
      </c>
      <c r="F28" s="256" t="s">
        <v>289</v>
      </c>
    </row>
    <row r="29" spans="2:6" x14ac:dyDescent="0.25">
      <c r="B29" s="253"/>
      <c r="C29" s="254" t="s">
        <v>292</v>
      </c>
      <c r="D29" s="266" t="s">
        <v>293</v>
      </c>
      <c r="E29" s="257" t="s">
        <v>294</v>
      </c>
      <c r="F29" s="256" t="s">
        <v>295</v>
      </c>
    </row>
    <row r="30" spans="2:6" x14ac:dyDescent="0.25">
      <c r="B30" s="253"/>
      <c r="C30" s="254"/>
      <c r="D30" s="266" t="s">
        <v>194</v>
      </c>
      <c r="E30" s="257" t="s">
        <v>296</v>
      </c>
      <c r="F30" s="256"/>
    </row>
    <row r="31" spans="2:6" x14ac:dyDescent="0.25">
      <c r="B31" s="253"/>
      <c r="C31" s="254"/>
      <c r="D31" s="266" t="s">
        <v>297</v>
      </c>
      <c r="E31" s="257">
        <v>0.5</v>
      </c>
      <c r="F31" s="256" t="s">
        <v>298</v>
      </c>
    </row>
    <row r="32" spans="2:6" ht="30" x14ac:dyDescent="0.25">
      <c r="B32" s="253"/>
      <c r="C32" s="254"/>
      <c r="D32" s="266" t="s">
        <v>299</v>
      </c>
      <c r="E32" s="257" t="s">
        <v>300</v>
      </c>
      <c r="F32" s="256" t="s">
        <v>301</v>
      </c>
    </row>
    <row r="33" spans="2:24" x14ac:dyDescent="0.25">
      <c r="B33" s="253"/>
      <c r="C33" s="257"/>
      <c r="D33" s="266" t="s">
        <v>302</v>
      </c>
      <c r="E33" s="257" t="s">
        <v>303</v>
      </c>
      <c r="F33" s="256"/>
    </row>
    <row r="34" spans="2:24" ht="15.75" thickBot="1" x14ac:dyDescent="0.3">
      <c r="B34" s="271"/>
      <c r="C34" s="272"/>
      <c r="D34" s="273" t="s">
        <v>304</v>
      </c>
      <c r="E34" s="272" t="s">
        <v>305</v>
      </c>
      <c r="F34" s="286" t="s">
        <v>127</v>
      </c>
    </row>
    <row r="35" spans="2:24" ht="15.75" thickBot="1" x14ac:dyDescent="0.3">
      <c r="C35" s="279"/>
      <c r="D35" s="280"/>
      <c r="E35" s="279"/>
      <c r="F35" s="287"/>
    </row>
    <row r="36" spans="2:24" x14ac:dyDescent="0.25">
      <c r="B36" s="428" t="s">
        <v>211</v>
      </c>
      <c r="C36" s="429"/>
      <c r="D36" s="429"/>
      <c r="E36" s="429"/>
      <c r="F36" s="430"/>
      <c r="H36" s="428" t="s">
        <v>211</v>
      </c>
      <c r="I36" s="429"/>
      <c r="J36" s="429"/>
      <c r="K36" s="429"/>
      <c r="L36" s="430"/>
      <c r="N36" s="428" t="s">
        <v>211</v>
      </c>
      <c r="O36" s="429"/>
      <c r="P36" s="429"/>
      <c r="Q36" s="429"/>
      <c r="R36" s="430"/>
      <c r="T36" s="428" t="s">
        <v>211</v>
      </c>
      <c r="U36" s="429"/>
      <c r="V36" s="429"/>
      <c r="W36" s="429"/>
      <c r="X36" s="430"/>
    </row>
    <row r="37" spans="2:24" ht="15.75" thickBot="1" x14ac:dyDescent="0.3">
      <c r="B37" s="434" t="s">
        <v>153</v>
      </c>
      <c r="C37" s="435"/>
      <c r="D37" s="435"/>
      <c r="E37" s="435"/>
      <c r="F37" s="436"/>
      <c r="H37" s="434" t="s">
        <v>153</v>
      </c>
      <c r="I37" s="435"/>
      <c r="J37" s="435"/>
      <c r="K37" s="435"/>
      <c r="L37" s="436"/>
      <c r="N37" s="434" t="s">
        <v>153</v>
      </c>
      <c r="O37" s="435"/>
      <c r="P37" s="435"/>
      <c r="Q37" s="435"/>
      <c r="R37" s="436"/>
      <c r="T37" s="434" t="s">
        <v>153</v>
      </c>
      <c r="U37" s="435"/>
      <c r="V37" s="435"/>
      <c r="W37" s="435"/>
      <c r="X37" s="436"/>
    </row>
    <row r="38" spans="2:24" x14ac:dyDescent="0.25">
      <c r="B38" s="416" t="s">
        <v>282</v>
      </c>
      <c r="C38" s="417"/>
      <c r="D38" s="417"/>
      <c r="E38" s="417"/>
      <c r="F38" s="418"/>
      <c r="H38" s="416" t="s">
        <v>282</v>
      </c>
      <c r="I38" s="417"/>
      <c r="J38" s="417"/>
      <c r="K38" s="417"/>
      <c r="L38" s="418"/>
      <c r="N38" s="416" t="s">
        <v>282</v>
      </c>
      <c r="O38" s="417"/>
      <c r="P38" s="417"/>
      <c r="Q38" s="417"/>
      <c r="R38" s="418"/>
      <c r="T38" s="416" t="s">
        <v>282</v>
      </c>
      <c r="U38" s="417"/>
      <c r="V38" s="417"/>
      <c r="W38" s="417"/>
      <c r="X38" s="418"/>
    </row>
    <row r="39" spans="2:24" ht="15.75" thickBot="1" x14ac:dyDescent="0.3">
      <c r="B39" s="419" t="s">
        <v>283</v>
      </c>
      <c r="C39" s="420"/>
      <c r="D39" s="421"/>
      <c r="E39" s="422"/>
      <c r="F39" s="423"/>
      <c r="H39" s="419" t="s">
        <v>283</v>
      </c>
      <c r="I39" s="420"/>
      <c r="J39" s="421"/>
      <c r="K39" s="422"/>
      <c r="L39" s="423"/>
      <c r="N39" s="419" t="s">
        <v>283</v>
      </c>
      <c r="O39" s="420"/>
      <c r="P39" s="421"/>
      <c r="Q39" s="422"/>
      <c r="R39" s="423"/>
      <c r="T39" s="419" t="s">
        <v>283</v>
      </c>
      <c r="U39" s="420"/>
      <c r="V39" s="421"/>
      <c r="W39" s="422"/>
      <c r="X39" s="423"/>
    </row>
    <row r="40" spans="2:24" ht="15.75" thickBot="1" x14ac:dyDescent="0.3">
      <c r="B40" s="250" t="s">
        <v>108</v>
      </c>
      <c r="C40" s="251" t="s">
        <v>156</v>
      </c>
      <c r="D40" s="284" t="s">
        <v>157</v>
      </c>
      <c r="E40" s="251" t="s">
        <v>158</v>
      </c>
      <c r="F40" s="252" t="s">
        <v>159</v>
      </c>
      <c r="H40" s="250" t="s">
        <v>108</v>
      </c>
      <c r="I40" s="251" t="s">
        <v>156</v>
      </c>
      <c r="J40" s="284" t="s">
        <v>157</v>
      </c>
      <c r="K40" s="251" t="s">
        <v>158</v>
      </c>
      <c r="L40" s="252" t="s">
        <v>159</v>
      </c>
      <c r="N40" s="250" t="s">
        <v>108</v>
      </c>
      <c r="O40" s="251" t="s">
        <v>156</v>
      </c>
      <c r="P40" s="284" t="s">
        <v>157</v>
      </c>
      <c r="Q40" s="251" t="s">
        <v>158</v>
      </c>
      <c r="R40" s="252" t="s">
        <v>159</v>
      </c>
      <c r="T40" s="250" t="s">
        <v>108</v>
      </c>
      <c r="U40" s="251" t="s">
        <v>156</v>
      </c>
      <c r="V40" s="284" t="s">
        <v>157</v>
      </c>
      <c r="W40" s="251" t="s">
        <v>158</v>
      </c>
      <c r="X40" s="252" t="s">
        <v>159</v>
      </c>
    </row>
    <row r="41" spans="2:24" x14ac:dyDescent="0.25">
      <c r="B41" s="424" t="s">
        <v>284</v>
      </c>
      <c r="C41" s="425"/>
      <c r="D41" s="425"/>
      <c r="E41" s="425"/>
      <c r="F41" s="426"/>
      <c r="H41" s="424" t="s">
        <v>284</v>
      </c>
      <c r="I41" s="425"/>
      <c r="J41" s="425"/>
      <c r="K41" s="425"/>
      <c r="L41" s="426"/>
      <c r="N41" s="424" t="s">
        <v>284</v>
      </c>
      <c r="O41" s="425"/>
      <c r="P41" s="425"/>
      <c r="Q41" s="425"/>
      <c r="R41" s="426"/>
      <c r="T41" s="424" t="s">
        <v>284</v>
      </c>
      <c r="U41" s="425"/>
      <c r="V41" s="425"/>
      <c r="W41" s="425"/>
      <c r="X41" s="426"/>
    </row>
    <row r="42" spans="2:24" x14ac:dyDescent="0.25">
      <c r="B42" s="253"/>
      <c r="C42" s="254" t="s">
        <v>161</v>
      </c>
      <c r="D42" s="266"/>
      <c r="E42" s="257" t="s">
        <v>285</v>
      </c>
      <c r="F42" s="256"/>
      <c r="H42" s="253"/>
      <c r="I42" s="254" t="s">
        <v>161</v>
      </c>
      <c r="J42" s="266"/>
      <c r="K42" s="257" t="s">
        <v>306</v>
      </c>
      <c r="L42" s="256"/>
      <c r="N42" s="253"/>
      <c r="O42" s="254" t="s">
        <v>161</v>
      </c>
      <c r="P42" s="266"/>
      <c r="Q42" s="257" t="s">
        <v>307</v>
      </c>
      <c r="R42" s="256"/>
      <c r="T42" s="253"/>
      <c r="U42" s="254" t="s">
        <v>161</v>
      </c>
      <c r="V42" s="266"/>
      <c r="W42" s="257" t="s">
        <v>308</v>
      </c>
      <c r="X42" s="256"/>
    </row>
    <row r="43" spans="2:24" x14ac:dyDescent="0.25">
      <c r="B43" s="253"/>
      <c r="C43" s="254" t="s">
        <v>162</v>
      </c>
      <c r="D43" s="266"/>
      <c r="E43" s="257" t="s">
        <v>286</v>
      </c>
      <c r="F43" s="256"/>
      <c r="H43" s="253"/>
      <c r="I43" s="254" t="s">
        <v>162</v>
      </c>
      <c r="J43" s="266"/>
      <c r="K43" s="257" t="s">
        <v>309</v>
      </c>
      <c r="L43" s="256"/>
      <c r="N43" s="253"/>
      <c r="O43" s="254" t="s">
        <v>162</v>
      </c>
      <c r="P43" s="266"/>
      <c r="Q43" s="257" t="s">
        <v>310</v>
      </c>
      <c r="R43" s="256"/>
      <c r="T43" s="253"/>
      <c r="U43" s="254" t="s">
        <v>162</v>
      </c>
      <c r="V43" s="266"/>
      <c r="W43" s="257" t="s">
        <v>311</v>
      </c>
      <c r="X43" s="256"/>
    </row>
    <row r="44" spans="2:24" ht="15" customHeight="1" x14ac:dyDescent="0.25">
      <c r="B44" s="253"/>
      <c r="C44" s="254" t="s">
        <v>165</v>
      </c>
      <c r="D44" s="266"/>
      <c r="E44" s="257"/>
      <c r="F44" s="256"/>
      <c r="H44" s="253"/>
      <c r="I44" s="254" t="s">
        <v>165</v>
      </c>
      <c r="J44" s="266"/>
      <c r="K44" s="257"/>
      <c r="L44" s="256"/>
      <c r="N44" s="253"/>
      <c r="O44" s="254" t="s">
        <v>165</v>
      </c>
      <c r="P44" s="266"/>
      <c r="Q44" s="257"/>
      <c r="R44" s="256"/>
      <c r="T44" s="253"/>
      <c r="U44" s="254" t="s">
        <v>165</v>
      </c>
      <c r="V44" s="266"/>
      <c r="W44" s="257"/>
      <c r="X44" s="256"/>
    </row>
    <row r="45" spans="2:24" ht="15" customHeight="1" x14ac:dyDescent="0.25">
      <c r="B45" s="253"/>
      <c r="C45" s="254"/>
      <c r="D45" s="266" t="s">
        <v>166</v>
      </c>
      <c r="E45" s="257">
        <v>0</v>
      </c>
      <c r="F45" s="256"/>
      <c r="H45" s="253"/>
      <c r="I45" s="254"/>
      <c r="J45" s="266" t="s">
        <v>166</v>
      </c>
      <c r="K45" s="257">
        <v>0</v>
      </c>
      <c r="L45" s="256"/>
      <c r="N45" s="253"/>
      <c r="O45" s="254"/>
      <c r="P45" s="266" t="s">
        <v>166</v>
      </c>
      <c r="Q45" s="257">
        <v>0</v>
      </c>
      <c r="R45" s="256"/>
      <c r="T45" s="253"/>
      <c r="U45" s="254"/>
      <c r="V45" s="266" t="s">
        <v>166</v>
      </c>
      <c r="W45" s="257">
        <v>0</v>
      </c>
      <c r="X45" s="256"/>
    </row>
    <row r="46" spans="2:24" ht="15" customHeight="1" x14ac:dyDescent="0.25">
      <c r="B46" s="253"/>
      <c r="C46" s="254"/>
      <c r="D46" s="266" t="s">
        <v>167</v>
      </c>
      <c r="E46" s="257">
        <v>0</v>
      </c>
      <c r="F46" s="256" t="s">
        <v>168</v>
      </c>
      <c r="H46" s="253"/>
      <c r="I46" s="254"/>
      <c r="J46" s="266" t="s">
        <v>167</v>
      </c>
      <c r="K46" s="257">
        <v>0</v>
      </c>
      <c r="L46" s="256" t="s">
        <v>168</v>
      </c>
      <c r="N46" s="253"/>
      <c r="O46" s="254"/>
      <c r="P46" s="266" t="s">
        <v>167</v>
      </c>
      <c r="Q46" s="257">
        <v>0</v>
      </c>
      <c r="R46" s="256" t="s">
        <v>168</v>
      </c>
      <c r="T46" s="253"/>
      <c r="U46" s="254"/>
      <c r="V46" s="266" t="s">
        <v>167</v>
      </c>
      <c r="W46" s="257">
        <v>0</v>
      </c>
      <c r="X46" s="256" t="s">
        <v>168</v>
      </c>
    </row>
    <row r="47" spans="2:24" ht="30" customHeight="1" x14ac:dyDescent="0.25">
      <c r="B47" s="253"/>
      <c r="C47" s="254" t="s">
        <v>169</v>
      </c>
      <c r="D47" s="266"/>
      <c r="E47" s="259"/>
      <c r="F47" s="256" t="s">
        <v>170</v>
      </c>
      <c r="H47" s="253"/>
      <c r="I47" s="254" t="s">
        <v>169</v>
      </c>
      <c r="J47" s="266"/>
      <c r="K47" s="259"/>
      <c r="L47" s="256" t="s">
        <v>170</v>
      </c>
      <c r="N47" s="253"/>
      <c r="O47" s="254" t="s">
        <v>169</v>
      </c>
      <c r="P47" s="266"/>
      <c r="Q47" s="259"/>
      <c r="R47" s="256" t="s">
        <v>170</v>
      </c>
      <c r="T47" s="253"/>
      <c r="U47" s="254" t="s">
        <v>169</v>
      </c>
      <c r="V47" s="266"/>
      <c r="W47" s="259"/>
      <c r="X47" s="256" t="s">
        <v>170</v>
      </c>
    </row>
    <row r="48" spans="2:24" ht="15" customHeight="1" x14ac:dyDescent="0.25">
      <c r="B48" s="253"/>
      <c r="C48" s="254" t="s">
        <v>172</v>
      </c>
      <c r="D48" s="266"/>
      <c r="E48" s="257">
        <f>15*12*30</f>
        <v>5400</v>
      </c>
      <c r="F48" s="256" t="s">
        <v>173</v>
      </c>
      <c r="H48" s="253"/>
      <c r="I48" s="254" t="s">
        <v>172</v>
      </c>
      <c r="J48" s="266"/>
      <c r="K48" s="257">
        <f>15*12*30</f>
        <v>5400</v>
      </c>
      <c r="L48" s="256" t="s">
        <v>173</v>
      </c>
      <c r="N48" s="253"/>
      <c r="O48" s="254" t="s">
        <v>172</v>
      </c>
      <c r="P48" s="266"/>
      <c r="Q48" s="257">
        <f>15*12*30</f>
        <v>5400</v>
      </c>
      <c r="R48" s="256" t="s">
        <v>173</v>
      </c>
      <c r="T48" s="253"/>
      <c r="U48" s="254" t="s">
        <v>172</v>
      </c>
      <c r="V48" s="266"/>
      <c r="W48" s="257">
        <f>15*12*30</f>
        <v>5400</v>
      </c>
      <c r="X48" s="256" t="s">
        <v>173</v>
      </c>
    </row>
    <row r="49" spans="2:24" ht="15" customHeight="1" x14ac:dyDescent="0.25">
      <c r="B49" s="260"/>
      <c r="C49" s="261" t="s">
        <v>175</v>
      </c>
      <c r="D49" s="285"/>
      <c r="E49" s="262">
        <f>'Data Lingkungan_IC'!N63</f>
        <v>0</v>
      </c>
      <c r="F49" s="263"/>
      <c r="H49" s="260"/>
      <c r="I49" s="261" t="s">
        <v>175</v>
      </c>
      <c r="J49" s="285"/>
      <c r="K49" s="262">
        <f>'Data Lingkungan_IC'!AF65</f>
        <v>0</v>
      </c>
      <c r="L49" s="263"/>
      <c r="N49" s="260"/>
      <c r="O49" s="261" t="s">
        <v>175</v>
      </c>
      <c r="P49" s="285"/>
      <c r="Q49" s="262">
        <f>'Data Lingkungan_IC'!AX71</f>
        <v>0</v>
      </c>
      <c r="R49" s="263"/>
      <c r="T49" s="260"/>
      <c r="U49" s="261" t="s">
        <v>175</v>
      </c>
      <c r="V49" s="285"/>
      <c r="W49" s="262">
        <f>'Data Lingkungan_IC'!BY64</f>
        <v>0</v>
      </c>
      <c r="X49" s="263"/>
    </row>
    <row r="50" spans="2:24" ht="15" customHeight="1" x14ac:dyDescent="0.25">
      <c r="B50" s="253"/>
      <c r="C50" s="254" t="s">
        <v>177</v>
      </c>
      <c r="D50" s="266"/>
      <c r="E50" s="257">
        <v>120</v>
      </c>
      <c r="F50" s="256" t="s">
        <v>173</v>
      </c>
      <c r="H50" s="253"/>
      <c r="I50" s="254" t="s">
        <v>177</v>
      </c>
      <c r="J50" s="266"/>
      <c r="K50" s="257">
        <v>120</v>
      </c>
      <c r="L50" s="256" t="s">
        <v>173</v>
      </c>
      <c r="N50" s="253"/>
      <c r="O50" s="254" t="s">
        <v>177</v>
      </c>
      <c r="P50" s="266"/>
      <c r="Q50" s="257">
        <v>120</v>
      </c>
      <c r="R50" s="256" t="s">
        <v>173</v>
      </c>
      <c r="T50" s="253"/>
      <c r="U50" s="254" t="s">
        <v>177</v>
      </c>
      <c r="V50" s="266"/>
      <c r="W50" s="257">
        <v>120</v>
      </c>
      <c r="X50" s="256" t="s">
        <v>173</v>
      </c>
    </row>
    <row r="51" spans="2:24" ht="15" customHeight="1" x14ac:dyDescent="0.25">
      <c r="B51" s="253"/>
      <c r="C51" s="254" t="s">
        <v>179</v>
      </c>
      <c r="D51" s="266"/>
      <c r="E51" s="264">
        <f>E48-E50-(E52+E54)/2*10</f>
        <v>5275</v>
      </c>
      <c r="F51" s="256" t="s">
        <v>173</v>
      </c>
      <c r="H51" s="253"/>
      <c r="I51" s="254" t="s">
        <v>179</v>
      </c>
      <c r="J51" s="266"/>
      <c r="K51" s="264">
        <f>K48-K50-(K52+K54)/2*10</f>
        <v>5275</v>
      </c>
      <c r="L51" s="256" t="s">
        <v>173</v>
      </c>
      <c r="N51" s="253"/>
      <c r="O51" s="254" t="s">
        <v>179</v>
      </c>
      <c r="P51" s="266"/>
      <c r="Q51" s="264">
        <f>Q48-Q50-(Q52+Q54)/2*10</f>
        <v>5275</v>
      </c>
      <c r="R51" s="256" t="s">
        <v>173</v>
      </c>
      <c r="T51" s="253"/>
      <c r="U51" s="254" t="s">
        <v>179</v>
      </c>
      <c r="V51" s="266"/>
      <c r="W51" s="264">
        <f>W48-W50-(W52+W54)/2*10</f>
        <v>5279.8842592592591</v>
      </c>
      <c r="X51" s="256" t="s">
        <v>173</v>
      </c>
    </row>
    <row r="52" spans="2:24" ht="15.95" customHeight="1" x14ac:dyDescent="0.25">
      <c r="B52" s="253"/>
      <c r="C52" s="254" t="s">
        <v>181</v>
      </c>
      <c r="D52" s="266" t="s">
        <v>182</v>
      </c>
      <c r="E52" s="265">
        <f>((E50/E48)*45-E53)</f>
        <v>1</v>
      </c>
      <c r="F52" s="256" t="s">
        <v>183</v>
      </c>
      <c r="H52" s="253"/>
      <c r="I52" s="254" t="s">
        <v>181</v>
      </c>
      <c r="J52" s="266" t="s">
        <v>182</v>
      </c>
      <c r="K52" s="265">
        <f>((K50/K48)*45-K53)</f>
        <v>1</v>
      </c>
      <c r="L52" s="256" t="s">
        <v>183</v>
      </c>
      <c r="N52" s="253"/>
      <c r="O52" s="254" t="s">
        <v>181</v>
      </c>
      <c r="P52" s="266" t="s">
        <v>182</v>
      </c>
      <c r="Q52" s="265">
        <f>((Q50/Q48)*45-Q53)</f>
        <v>1</v>
      </c>
      <c r="R52" s="256" t="s">
        <v>183</v>
      </c>
      <c r="T52" s="253"/>
      <c r="U52" s="254" t="s">
        <v>181</v>
      </c>
      <c r="V52" s="266" t="s">
        <v>182</v>
      </c>
      <c r="W52" s="265">
        <f>((W50/W48)*45-W53)</f>
        <v>2.314814814814814E-2</v>
      </c>
      <c r="X52" s="256" t="s">
        <v>183</v>
      </c>
    </row>
    <row r="53" spans="2:24" ht="15" customHeight="1" x14ac:dyDescent="0.25">
      <c r="B53" s="253"/>
      <c r="C53" s="254"/>
      <c r="D53" s="266" t="s">
        <v>185</v>
      </c>
      <c r="E53" s="267">
        <f>'Data Lingkungan_IC'!Z66</f>
        <v>0</v>
      </c>
      <c r="F53" s="256" t="s">
        <v>186</v>
      </c>
      <c r="H53" s="253"/>
      <c r="I53" s="254"/>
      <c r="J53" s="266" t="s">
        <v>185</v>
      </c>
      <c r="K53" s="267">
        <f>'Data Lingkungan_IC'!Z66</f>
        <v>0</v>
      </c>
      <c r="L53" s="256" t="s">
        <v>186</v>
      </c>
      <c r="N53" s="253"/>
      <c r="O53" s="254"/>
      <c r="P53" s="266" t="s">
        <v>185</v>
      </c>
      <c r="Q53" s="267">
        <f>'Data Lingkungan_IC'!Z66</f>
        <v>0</v>
      </c>
      <c r="R53" s="256" t="s">
        <v>186</v>
      </c>
      <c r="T53" s="253"/>
      <c r="U53" s="254"/>
      <c r="V53" s="266" t="s">
        <v>185</v>
      </c>
      <c r="W53" s="267">
        <f>'Data Lingkungan_IC'!AG66</f>
        <v>0.97685185185185186</v>
      </c>
      <c r="X53" s="256" t="s">
        <v>186</v>
      </c>
    </row>
    <row r="54" spans="2:24" ht="15" customHeight="1" x14ac:dyDescent="0.25">
      <c r="B54" s="253"/>
      <c r="C54" s="254" t="s">
        <v>188</v>
      </c>
      <c r="D54" s="266" t="s">
        <v>182</v>
      </c>
      <c r="E54" s="267">
        <f>'Data Lingkungan_IC'!Q63</f>
        <v>0</v>
      </c>
      <c r="F54" s="256" t="s">
        <v>183</v>
      </c>
      <c r="H54" s="253"/>
      <c r="I54" s="254" t="s">
        <v>188</v>
      </c>
      <c r="J54" s="266" t="s">
        <v>182</v>
      </c>
      <c r="K54" s="267">
        <f>'Data Lingkungan_IC'!AI65</f>
        <v>0</v>
      </c>
      <c r="L54" s="256" t="s">
        <v>183</v>
      </c>
      <c r="N54" s="253"/>
      <c r="O54" s="254" t="s">
        <v>188</v>
      </c>
      <c r="P54" s="266" t="s">
        <v>182</v>
      </c>
      <c r="Q54" s="267">
        <f>'Data Lingkungan_IC'!BA71</f>
        <v>0</v>
      </c>
      <c r="R54" s="256" t="s">
        <v>183</v>
      </c>
      <c r="T54" s="253"/>
      <c r="U54" s="254" t="s">
        <v>188</v>
      </c>
      <c r="V54" s="266" t="s">
        <v>182</v>
      </c>
      <c r="W54" s="267">
        <f>'Data Lingkungan_IC'!CB64</f>
        <v>0</v>
      </c>
      <c r="X54" s="256" t="s">
        <v>183</v>
      </c>
    </row>
    <row r="55" spans="2:24" ht="15" customHeight="1" x14ac:dyDescent="0.25">
      <c r="B55" s="253"/>
      <c r="C55" s="254" t="s">
        <v>190</v>
      </c>
      <c r="D55" s="266"/>
      <c r="E55" s="268">
        <f>(E51/E48)</f>
        <v>0.97685185185185186</v>
      </c>
      <c r="F55" s="256" t="s">
        <v>191</v>
      </c>
      <c r="H55" s="253"/>
      <c r="I55" s="254" t="s">
        <v>190</v>
      </c>
      <c r="J55" s="266"/>
      <c r="K55" s="268">
        <f>(K51/K48)</f>
        <v>0.97685185185185186</v>
      </c>
      <c r="L55" s="256" t="s">
        <v>191</v>
      </c>
      <c r="N55" s="253"/>
      <c r="O55" s="254" t="s">
        <v>190</v>
      </c>
      <c r="P55" s="266"/>
      <c r="Q55" s="268">
        <f>(Q51/Q48)</f>
        <v>0.97685185185185186</v>
      </c>
      <c r="R55" s="256" t="s">
        <v>191</v>
      </c>
      <c r="T55" s="253"/>
      <c r="U55" s="254" t="s">
        <v>190</v>
      </c>
      <c r="V55" s="266"/>
      <c r="W55" s="268">
        <f>(W51/W48)</f>
        <v>0.97775634430727021</v>
      </c>
      <c r="X55" s="256" t="s">
        <v>191</v>
      </c>
    </row>
    <row r="56" spans="2:24" ht="15" customHeight="1" x14ac:dyDescent="0.25">
      <c r="B56" s="253"/>
      <c r="C56" s="254" t="s">
        <v>287</v>
      </c>
      <c r="D56" s="266"/>
      <c r="E56" s="257"/>
      <c r="F56" s="256"/>
      <c r="H56" s="253"/>
      <c r="I56" s="254" t="s">
        <v>287</v>
      </c>
      <c r="J56" s="266"/>
      <c r="K56" s="257"/>
      <c r="L56" s="256"/>
      <c r="N56" s="253"/>
      <c r="O56" s="254" t="s">
        <v>287</v>
      </c>
      <c r="P56" s="266"/>
      <c r="Q56" s="257"/>
      <c r="R56" s="256"/>
      <c r="T56" s="253"/>
      <c r="U56" s="254" t="s">
        <v>287</v>
      </c>
      <c r="V56" s="266"/>
      <c r="W56" s="257"/>
      <c r="X56" s="256"/>
    </row>
    <row r="57" spans="2:24" ht="15" customHeight="1" x14ac:dyDescent="0.25">
      <c r="B57" s="253"/>
      <c r="C57" s="254"/>
      <c r="D57" s="266" t="s">
        <v>288</v>
      </c>
      <c r="E57" s="257">
        <v>90</v>
      </c>
      <c r="F57" s="256" t="s">
        <v>289</v>
      </c>
      <c r="H57" s="253"/>
      <c r="I57" s="254"/>
      <c r="J57" s="266" t="s">
        <v>288</v>
      </c>
      <c r="K57" s="257">
        <v>90</v>
      </c>
      <c r="L57" s="256" t="s">
        <v>289</v>
      </c>
      <c r="N57" s="253"/>
      <c r="O57" s="254"/>
      <c r="P57" s="266" t="s">
        <v>288</v>
      </c>
      <c r="Q57" s="257">
        <v>90</v>
      </c>
      <c r="R57" s="256" t="s">
        <v>289</v>
      </c>
      <c r="T57" s="253"/>
      <c r="U57" s="254"/>
      <c r="V57" s="266" t="s">
        <v>288</v>
      </c>
      <c r="W57" s="257">
        <v>90</v>
      </c>
      <c r="X57" s="256" t="s">
        <v>289</v>
      </c>
    </row>
    <row r="58" spans="2:24" ht="15" customHeight="1" x14ac:dyDescent="0.25">
      <c r="B58" s="253"/>
      <c r="C58" s="254"/>
      <c r="D58" s="266" t="s">
        <v>290</v>
      </c>
      <c r="E58" s="257">
        <v>0.05</v>
      </c>
      <c r="F58" s="256" t="s">
        <v>289</v>
      </c>
      <c r="H58" s="253"/>
      <c r="I58" s="254"/>
      <c r="J58" s="266" t="s">
        <v>290</v>
      </c>
      <c r="K58" s="257">
        <v>0.05</v>
      </c>
      <c r="L58" s="256" t="s">
        <v>289</v>
      </c>
      <c r="N58" s="253"/>
      <c r="O58" s="254"/>
      <c r="P58" s="266" t="s">
        <v>290</v>
      </c>
      <c r="Q58" s="257">
        <v>0.05</v>
      </c>
      <c r="R58" s="256" t="s">
        <v>289</v>
      </c>
      <c r="T58" s="253"/>
      <c r="U58" s="254"/>
      <c r="V58" s="266" t="s">
        <v>290</v>
      </c>
      <c r="W58" s="257">
        <v>0.05</v>
      </c>
      <c r="X58" s="256" t="s">
        <v>289</v>
      </c>
    </row>
    <row r="59" spans="2:24" ht="15" customHeight="1" x14ac:dyDescent="0.25">
      <c r="B59" s="253"/>
      <c r="C59" s="254"/>
      <c r="D59" s="266" t="s">
        <v>291</v>
      </c>
      <c r="E59" s="257">
        <v>210</v>
      </c>
      <c r="F59" s="256" t="s">
        <v>289</v>
      </c>
      <c r="H59" s="253"/>
      <c r="I59" s="254"/>
      <c r="J59" s="266" t="s">
        <v>291</v>
      </c>
      <c r="K59" s="257">
        <v>210</v>
      </c>
      <c r="L59" s="256" t="s">
        <v>289</v>
      </c>
      <c r="N59" s="253"/>
      <c r="O59" s="254"/>
      <c r="P59" s="266" t="s">
        <v>291</v>
      </c>
      <c r="Q59" s="257">
        <v>210</v>
      </c>
      <c r="R59" s="256" t="s">
        <v>289</v>
      </c>
      <c r="T59" s="253"/>
      <c r="U59" s="254"/>
      <c r="V59" s="266" t="s">
        <v>291</v>
      </c>
      <c r="W59" s="257">
        <v>210</v>
      </c>
      <c r="X59" s="256" t="s">
        <v>289</v>
      </c>
    </row>
    <row r="60" spans="2:24" x14ac:dyDescent="0.25">
      <c r="B60" s="253"/>
      <c r="C60" s="254" t="s">
        <v>292</v>
      </c>
      <c r="D60" s="266" t="s">
        <v>293</v>
      </c>
      <c r="E60" s="257" t="s">
        <v>294</v>
      </c>
      <c r="F60" s="256" t="s">
        <v>295</v>
      </c>
      <c r="H60" s="253"/>
      <c r="I60" s="254" t="s">
        <v>292</v>
      </c>
      <c r="J60" s="266" t="s">
        <v>293</v>
      </c>
      <c r="K60" s="257" t="s">
        <v>294</v>
      </c>
      <c r="L60" s="256" t="s">
        <v>295</v>
      </c>
      <c r="N60" s="253"/>
      <c r="O60" s="254" t="s">
        <v>292</v>
      </c>
      <c r="P60" s="266" t="s">
        <v>293</v>
      </c>
      <c r="Q60" s="257" t="s">
        <v>294</v>
      </c>
      <c r="R60" s="256" t="s">
        <v>295</v>
      </c>
      <c r="T60" s="253"/>
      <c r="U60" s="254" t="s">
        <v>292</v>
      </c>
      <c r="V60" s="266" t="s">
        <v>293</v>
      </c>
      <c r="W60" s="257" t="s">
        <v>294</v>
      </c>
      <c r="X60" s="256" t="s">
        <v>295</v>
      </c>
    </row>
    <row r="61" spans="2:24" x14ac:dyDescent="0.25">
      <c r="B61" s="253"/>
      <c r="C61" s="254"/>
      <c r="D61" s="266" t="s">
        <v>194</v>
      </c>
      <c r="E61" s="257" t="s">
        <v>296</v>
      </c>
      <c r="F61" s="256"/>
      <c r="H61" s="253"/>
      <c r="I61" s="254"/>
      <c r="J61" s="266" t="s">
        <v>194</v>
      </c>
      <c r="K61" s="257" t="s">
        <v>296</v>
      </c>
      <c r="L61" s="256"/>
      <c r="N61" s="253"/>
      <c r="O61" s="254"/>
      <c r="P61" s="266" t="s">
        <v>194</v>
      </c>
      <c r="Q61" s="257" t="s">
        <v>296</v>
      </c>
      <c r="R61" s="256"/>
      <c r="T61" s="253"/>
      <c r="U61" s="254"/>
      <c r="V61" s="266" t="s">
        <v>194</v>
      </c>
      <c r="W61" s="257" t="s">
        <v>296</v>
      </c>
      <c r="X61" s="256"/>
    </row>
    <row r="62" spans="2:24" x14ac:dyDescent="0.25">
      <c r="B62" s="253"/>
      <c r="C62" s="254"/>
      <c r="D62" s="266" t="s">
        <v>297</v>
      </c>
      <c r="E62" s="257">
        <v>0.5</v>
      </c>
      <c r="F62" s="256" t="s">
        <v>298</v>
      </c>
      <c r="H62" s="253"/>
      <c r="I62" s="254"/>
      <c r="J62" s="266" t="s">
        <v>297</v>
      </c>
      <c r="K62" s="257">
        <v>0.5</v>
      </c>
      <c r="L62" s="256" t="s">
        <v>298</v>
      </c>
      <c r="N62" s="253"/>
      <c r="O62" s="254"/>
      <c r="P62" s="266" t="s">
        <v>297</v>
      </c>
      <c r="Q62" s="257">
        <v>0.5</v>
      </c>
      <c r="R62" s="256" t="s">
        <v>298</v>
      </c>
      <c r="T62" s="253"/>
      <c r="U62" s="254"/>
      <c r="V62" s="266" t="s">
        <v>297</v>
      </c>
      <c r="W62" s="257">
        <v>0.5</v>
      </c>
      <c r="X62" s="256" t="s">
        <v>298</v>
      </c>
    </row>
    <row r="63" spans="2:24" ht="30" x14ac:dyDescent="0.25">
      <c r="B63" s="253"/>
      <c r="C63" s="254"/>
      <c r="D63" s="266" t="s">
        <v>299</v>
      </c>
      <c r="E63" s="257" t="s">
        <v>300</v>
      </c>
      <c r="F63" s="256" t="s">
        <v>301</v>
      </c>
      <c r="H63" s="253"/>
      <c r="I63" s="254"/>
      <c r="J63" s="266" t="s">
        <v>299</v>
      </c>
      <c r="K63" s="257" t="s">
        <v>300</v>
      </c>
      <c r="L63" s="256" t="s">
        <v>301</v>
      </c>
      <c r="N63" s="253"/>
      <c r="O63" s="254"/>
      <c r="P63" s="266" t="s">
        <v>299</v>
      </c>
      <c r="Q63" s="257" t="s">
        <v>300</v>
      </c>
      <c r="R63" s="256" t="s">
        <v>301</v>
      </c>
      <c r="T63" s="253"/>
      <c r="U63" s="254"/>
      <c r="V63" s="266" t="s">
        <v>299</v>
      </c>
      <c r="W63" s="257" t="s">
        <v>300</v>
      </c>
      <c r="X63" s="256" t="s">
        <v>301</v>
      </c>
    </row>
    <row r="64" spans="2:24" ht="18.95" customHeight="1" x14ac:dyDescent="0.25">
      <c r="B64" s="253"/>
      <c r="C64" s="257"/>
      <c r="D64" s="266" t="s">
        <v>302</v>
      </c>
      <c r="E64" s="257" t="s">
        <v>303</v>
      </c>
      <c r="F64" s="256"/>
      <c r="H64" s="253"/>
      <c r="I64" s="257"/>
      <c r="J64" s="266" t="s">
        <v>302</v>
      </c>
      <c r="K64" s="257" t="s">
        <v>303</v>
      </c>
      <c r="L64" s="256"/>
      <c r="N64" s="253"/>
      <c r="O64" s="257"/>
      <c r="P64" s="266" t="s">
        <v>302</v>
      </c>
      <c r="Q64" s="257" t="s">
        <v>303</v>
      </c>
      <c r="R64" s="256"/>
      <c r="T64" s="253"/>
      <c r="U64" s="257"/>
      <c r="V64" s="266" t="s">
        <v>302</v>
      </c>
      <c r="W64" s="257" t="s">
        <v>303</v>
      </c>
      <c r="X64" s="256"/>
    </row>
    <row r="65" spans="2:24" ht="15.75" thickBot="1" x14ac:dyDescent="0.3">
      <c r="B65" s="271"/>
      <c r="C65" s="272"/>
      <c r="D65" s="273" t="s">
        <v>304</v>
      </c>
      <c r="E65" s="272" t="s">
        <v>305</v>
      </c>
      <c r="F65" s="286" t="s">
        <v>312</v>
      </c>
      <c r="H65" s="271"/>
      <c r="I65" s="272"/>
      <c r="J65" s="273" t="s">
        <v>304</v>
      </c>
      <c r="K65" s="272" t="s">
        <v>305</v>
      </c>
      <c r="L65" s="286" t="s">
        <v>312</v>
      </c>
      <c r="N65" s="271"/>
      <c r="O65" s="272"/>
      <c r="P65" s="273" t="s">
        <v>304</v>
      </c>
      <c r="Q65" s="272" t="s">
        <v>305</v>
      </c>
      <c r="R65" s="286" t="s">
        <v>312</v>
      </c>
      <c r="T65" s="271"/>
      <c r="U65" s="272"/>
      <c r="V65" s="273" t="s">
        <v>304</v>
      </c>
      <c r="W65" s="272" t="s">
        <v>305</v>
      </c>
      <c r="X65" s="286" t="s">
        <v>312</v>
      </c>
    </row>
    <row r="66" spans="2:24" ht="15.75" thickBot="1" x14ac:dyDescent="0.3"/>
    <row r="67" spans="2:24" x14ac:dyDescent="0.25">
      <c r="B67" s="428" t="s">
        <v>211</v>
      </c>
      <c r="C67" s="429"/>
      <c r="D67" s="429"/>
      <c r="E67" s="429"/>
      <c r="F67" s="430"/>
      <c r="H67" s="428" t="s">
        <v>211</v>
      </c>
      <c r="I67" s="429"/>
      <c r="J67" s="429"/>
      <c r="K67" s="429"/>
      <c r="L67" s="430"/>
      <c r="N67" s="428" t="s">
        <v>211</v>
      </c>
      <c r="O67" s="429"/>
      <c r="P67" s="429"/>
      <c r="Q67" s="429"/>
      <c r="R67" s="430"/>
      <c r="T67" s="428" t="s">
        <v>211</v>
      </c>
      <c r="U67" s="429"/>
      <c r="V67" s="429"/>
      <c r="W67" s="429"/>
      <c r="X67" s="430"/>
    </row>
    <row r="68" spans="2:24" ht="15.75" thickBot="1" x14ac:dyDescent="0.3">
      <c r="B68" s="434" t="s">
        <v>153</v>
      </c>
      <c r="C68" s="435"/>
      <c r="D68" s="435"/>
      <c r="E68" s="435"/>
      <c r="F68" s="436"/>
      <c r="H68" s="434" t="s">
        <v>153</v>
      </c>
      <c r="I68" s="435"/>
      <c r="J68" s="435"/>
      <c r="K68" s="435"/>
      <c r="L68" s="436"/>
      <c r="N68" s="434" t="s">
        <v>153</v>
      </c>
      <c r="O68" s="435"/>
      <c r="P68" s="435"/>
      <c r="Q68" s="435"/>
      <c r="R68" s="436"/>
      <c r="T68" s="434" t="s">
        <v>153</v>
      </c>
      <c r="U68" s="435"/>
      <c r="V68" s="435"/>
      <c r="W68" s="435"/>
      <c r="X68" s="436"/>
    </row>
    <row r="69" spans="2:24" x14ac:dyDescent="0.25">
      <c r="B69" s="416" t="s">
        <v>282</v>
      </c>
      <c r="C69" s="417"/>
      <c r="D69" s="417"/>
      <c r="E69" s="417"/>
      <c r="F69" s="418"/>
      <c r="H69" s="416" t="s">
        <v>282</v>
      </c>
      <c r="I69" s="417"/>
      <c r="J69" s="417"/>
      <c r="K69" s="417"/>
      <c r="L69" s="418"/>
      <c r="N69" s="416" t="s">
        <v>282</v>
      </c>
      <c r="O69" s="417"/>
      <c r="P69" s="417"/>
      <c r="Q69" s="417"/>
      <c r="R69" s="418"/>
      <c r="T69" s="416" t="s">
        <v>282</v>
      </c>
      <c r="U69" s="417"/>
      <c r="V69" s="417"/>
      <c r="W69" s="417"/>
      <c r="X69" s="418"/>
    </row>
    <row r="70" spans="2:24" ht="15.75" thickBot="1" x14ac:dyDescent="0.3">
      <c r="B70" s="419" t="s">
        <v>283</v>
      </c>
      <c r="C70" s="420"/>
      <c r="D70" s="421"/>
      <c r="E70" s="422"/>
      <c r="F70" s="423"/>
      <c r="H70" s="419" t="s">
        <v>283</v>
      </c>
      <c r="I70" s="420"/>
      <c r="J70" s="421"/>
      <c r="K70" s="422"/>
      <c r="L70" s="423"/>
      <c r="N70" s="419" t="s">
        <v>283</v>
      </c>
      <c r="O70" s="420"/>
      <c r="P70" s="421"/>
      <c r="Q70" s="422"/>
      <c r="R70" s="423"/>
      <c r="T70" s="419" t="s">
        <v>283</v>
      </c>
      <c r="U70" s="420"/>
      <c r="V70" s="421"/>
      <c r="W70" s="422"/>
      <c r="X70" s="423"/>
    </row>
    <row r="71" spans="2:24" ht="15.75" thickBot="1" x14ac:dyDescent="0.3">
      <c r="B71" s="250" t="s">
        <v>108</v>
      </c>
      <c r="C71" s="251" t="s">
        <v>156</v>
      </c>
      <c r="D71" s="284" t="s">
        <v>157</v>
      </c>
      <c r="E71" s="251" t="s">
        <v>158</v>
      </c>
      <c r="F71" s="252" t="s">
        <v>159</v>
      </c>
      <c r="H71" s="250" t="s">
        <v>108</v>
      </c>
      <c r="I71" s="251" t="s">
        <v>156</v>
      </c>
      <c r="J71" s="284" t="s">
        <v>157</v>
      </c>
      <c r="K71" s="251" t="s">
        <v>158</v>
      </c>
      <c r="L71" s="252" t="s">
        <v>159</v>
      </c>
      <c r="N71" s="250" t="s">
        <v>108</v>
      </c>
      <c r="O71" s="251" t="s">
        <v>156</v>
      </c>
      <c r="P71" s="284" t="s">
        <v>157</v>
      </c>
      <c r="Q71" s="251" t="s">
        <v>158</v>
      </c>
      <c r="R71" s="252" t="s">
        <v>159</v>
      </c>
      <c r="T71" s="250" t="s">
        <v>108</v>
      </c>
      <c r="U71" s="251" t="s">
        <v>156</v>
      </c>
      <c r="V71" s="284" t="s">
        <v>157</v>
      </c>
      <c r="W71" s="251" t="s">
        <v>158</v>
      </c>
      <c r="X71" s="252" t="s">
        <v>159</v>
      </c>
    </row>
    <row r="72" spans="2:24" x14ac:dyDescent="0.25">
      <c r="B72" s="424" t="s">
        <v>284</v>
      </c>
      <c r="C72" s="425"/>
      <c r="D72" s="425"/>
      <c r="E72" s="425"/>
      <c r="F72" s="426"/>
      <c r="H72" s="424" t="s">
        <v>284</v>
      </c>
      <c r="I72" s="425"/>
      <c r="J72" s="425"/>
      <c r="K72" s="425"/>
      <c r="L72" s="426"/>
      <c r="N72" s="424" t="s">
        <v>284</v>
      </c>
      <c r="O72" s="425"/>
      <c r="P72" s="425"/>
      <c r="Q72" s="425"/>
      <c r="R72" s="426"/>
      <c r="T72" s="424" t="s">
        <v>284</v>
      </c>
      <c r="U72" s="425"/>
      <c r="V72" s="425"/>
      <c r="W72" s="425"/>
      <c r="X72" s="426"/>
    </row>
    <row r="73" spans="2:24" x14ac:dyDescent="0.25">
      <c r="B73" s="253"/>
      <c r="C73" s="254" t="s">
        <v>161</v>
      </c>
      <c r="D73" s="266"/>
      <c r="E73" s="257" t="s">
        <v>313</v>
      </c>
      <c r="F73" s="256"/>
      <c r="H73" s="253"/>
      <c r="I73" s="254" t="s">
        <v>161</v>
      </c>
      <c r="J73" s="266"/>
      <c r="K73" s="257" t="s">
        <v>314</v>
      </c>
      <c r="L73" s="256"/>
      <c r="N73" s="253"/>
      <c r="O73" s="254" t="s">
        <v>161</v>
      </c>
      <c r="P73" s="266"/>
      <c r="Q73" s="257" t="s">
        <v>315</v>
      </c>
      <c r="R73" s="256"/>
      <c r="T73" s="253"/>
      <c r="U73" s="254" t="s">
        <v>161</v>
      </c>
      <c r="V73" s="266"/>
      <c r="W73" s="257" t="s">
        <v>316</v>
      </c>
      <c r="X73" s="256"/>
    </row>
    <row r="74" spans="2:24" x14ac:dyDescent="0.25">
      <c r="B74" s="253"/>
      <c r="C74" s="254" t="s">
        <v>162</v>
      </c>
      <c r="D74" s="266"/>
      <c r="E74" s="257" t="s">
        <v>317</v>
      </c>
      <c r="F74" s="256"/>
      <c r="H74" s="253"/>
      <c r="I74" s="254" t="s">
        <v>162</v>
      </c>
      <c r="J74" s="266"/>
      <c r="K74" s="257" t="s">
        <v>318</v>
      </c>
      <c r="L74" s="256"/>
      <c r="N74" s="253"/>
      <c r="O74" s="254" t="s">
        <v>162</v>
      </c>
      <c r="P74" s="266"/>
      <c r="Q74" s="257" t="s">
        <v>319</v>
      </c>
      <c r="R74" s="256"/>
      <c r="T74" s="253"/>
      <c r="U74" s="254" t="s">
        <v>162</v>
      </c>
      <c r="V74" s="266"/>
      <c r="W74" s="257" t="s">
        <v>647</v>
      </c>
      <c r="X74" s="256"/>
    </row>
    <row r="75" spans="2:24" ht="15" customHeight="1" x14ac:dyDescent="0.25">
      <c r="B75" s="253"/>
      <c r="C75" s="254" t="s">
        <v>165</v>
      </c>
      <c r="D75" s="266"/>
      <c r="E75" s="257"/>
      <c r="F75" s="256"/>
      <c r="H75" s="253"/>
      <c r="I75" s="254" t="s">
        <v>165</v>
      </c>
      <c r="J75" s="266"/>
      <c r="K75" s="257"/>
      <c r="L75" s="256"/>
      <c r="N75" s="253"/>
      <c r="O75" s="254" t="s">
        <v>165</v>
      </c>
      <c r="P75" s="266"/>
      <c r="Q75" s="257"/>
      <c r="R75" s="256"/>
      <c r="T75" s="253"/>
      <c r="U75" s="254" t="s">
        <v>165</v>
      </c>
      <c r="V75" s="266"/>
      <c r="W75" s="257"/>
      <c r="X75" s="256"/>
    </row>
    <row r="76" spans="2:24" ht="15" customHeight="1" x14ac:dyDescent="0.25">
      <c r="B76" s="253"/>
      <c r="C76" s="254"/>
      <c r="D76" s="266" t="s">
        <v>166</v>
      </c>
      <c r="E76" s="257">
        <v>0</v>
      </c>
      <c r="F76" s="256"/>
      <c r="H76" s="253"/>
      <c r="I76" s="254"/>
      <c r="J76" s="266" t="s">
        <v>166</v>
      </c>
      <c r="K76" s="257">
        <v>0</v>
      </c>
      <c r="L76" s="256"/>
      <c r="N76" s="253"/>
      <c r="O76" s="254"/>
      <c r="P76" s="266" t="s">
        <v>166</v>
      </c>
      <c r="Q76" s="257">
        <v>0</v>
      </c>
      <c r="R76" s="256"/>
      <c r="T76" s="253"/>
      <c r="U76" s="254"/>
      <c r="V76" s="266" t="s">
        <v>166</v>
      </c>
      <c r="W76" s="257">
        <v>0</v>
      </c>
      <c r="X76" s="256"/>
    </row>
    <row r="77" spans="2:24" ht="15" customHeight="1" x14ac:dyDescent="0.25">
      <c r="B77" s="253"/>
      <c r="C77" s="254"/>
      <c r="D77" s="266" t="s">
        <v>167</v>
      </c>
      <c r="E77" s="257">
        <v>0</v>
      </c>
      <c r="F77" s="256" t="s">
        <v>168</v>
      </c>
      <c r="H77" s="253"/>
      <c r="I77" s="254"/>
      <c r="J77" s="266" t="s">
        <v>167</v>
      </c>
      <c r="K77" s="257">
        <v>0</v>
      </c>
      <c r="L77" s="256" t="s">
        <v>168</v>
      </c>
      <c r="N77" s="253"/>
      <c r="O77" s="254"/>
      <c r="P77" s="266" t="s">
        <v>167</v>
      </c>
      <c r="Q77" s="257">
        <v>0</v>
      </c>
      <c r="R77" s="256" t="s">
        <v>168</v>
      </c>
      <c r="T77" s="253"/>
      <c r="U77" s="254"/>
      <c r="V77" s="266" t="s">
        <v>167</v>
      </c>
      <c r="W77" s="257">
        <v>0</v>
      </c>
      <c r="X77" s="256" t="s">
        <v>168</v>
      </c>
    </row>
    <row r="78" spans="2:24" ht="30" customHeight="1" x14ac:dyDescent="0.25">
      <c r="B78" s="253"/>
      <c r="C78" s="254" t="s">
        <v>169</v>
      </c>
      <c r="D78" s="266"/>
      <c r="E78" s="259"/>
      <c r="F78" s="256" t="s">
        <v>170</v>
      </c>
      <c r="H78" s="253"/>
      <c r="I78" s="254" t="s">
        <v>169</v>
      </c>
      <c r="J78" s="266"/>
      <c r="K78" s="259"/>
      <c r="L78" s="256" t="s">
        <v>170</v>
      </c>
      <c r="N78" s="253"/>
      <c r="O78" s="254" t="s">
        <v>169</v>
      </c>
      <c r="P78" s="266"/>
      <c r="Q78" s="259"/>
      <c r="R78" s="256" t="s">
        <v>170</v>
      </c>
      <c r="T78" s="253"/>
      <c r="U78" s="254" t="s">
        <v>169</v>
      </c>
      <c r="V78" s="266"/>
      <c r="W78" s="259"/>
      <c r="X78" s="256" t="s">
        <v>170</v>
      </c>
    </row>
    <row r="79" spans="2:24" ht="15" customHeight="1" x14ac:dyDescent="0.25">
      <c r="B79" s="253"/>
      <c r="C79" s="254" t="s">
        <v>172</v>
      </c>
      <c r="D79" s="266"/>
      <c r="E79" s="257">
        <f>15*12*30</f>
        <v>5400</v>
      </c>
      <c r="F79" s="256" t="s">
        <v>173</v>
      </c>
      <c r="H79" s="253"/>
      <c r="I79" s="254" t="s">
        <v>172</v>
      </c>
      <c r="J79" s="266"/>
      <c r="K79" s="257">
        <f>15*12*30</f>
        <v>5400</v>
      </c>
      <c r="L79" s="256" t="s">
        <v>173</v>
      </c>
      <c r="N79" s="253"/>
      <c r="O79" s="254" t="s">
        <v>172</v>
      </c>
      <c r="P79" s="266"/>
      <c r="Q79" s="257">
        <f>15*12*30</f>
        <v>5400</v>
      </c>
      <c r="R79" s="256" t="s">
        <v>173</v>
      </c>
      <c r="T79" s="253"/>
      <c r="U79" s="254" t="s">
        <v>172</v>
      </c>
      <c r="V79" s="266"/>
      <c r="W79" s="257">
        <f>15*12*30</f>
        <v>5400</v>
      </c>
      <c r="X79" s="256" t="s">
        <v>173</v>
      </c>
    </row>
    <row r="80" spans="2:24" ht="15" customHeight="1" x14ac:dyDescent="0.25">
      <c r="B80" s="260"/>
      <c r="C80" s="261" t="s">
        <v>175</v>
      </c>
      <c r="D80" s="285"/>
      <c r="E80" s="262">
        <f>'Data Lingkungan_IC'!AF64</f>
        <v>0</v>
      </c>
      <c r="F80" s="263"/>
      <c r="H80" s="260"/>
      <c r="I80" s="261" t="s">
        <v>175</v>
      </c>
      <c r="J80" s="285"/>
      <c r="K80" s="262">
        <f>'Data Lingkungan_IC'!AX69</f>
        <v>0</v>
      </c>
      <c r="L80" s="263"/>
      <c r="N80" s="260"/>
      <c r="O80" s="261" t="s">
        <v>175</v>
      </c>
      <c r="P80" s="285"/>
      <c r="Q80" s="262">
        <f>'Data Lingkungan_IC'!BG66</f>
        <v>0</v>
      </c>
      <c r="R80" s="263"/>
      <c r="T80" s="260"/>
      <c r="U80" s="261" t="s">
        <v>175</v>
      </c>
      <c r="V80" s="285"/>
      <c r="W80" s="262">
        <f>'Data Lingkungan_IC'!DR65</f>
        <v>0</v>
      </c>
      <c r="X80" s="263"/>
    </row>
    <row r="81" spans="2:24" ht="15" customHeight="1" x14ac:dyDescent="0.25">
      <c r="B81" s="253"/>
      <c r="C81" s="254" t="s">
        <v>177</v>
      </c>
      <c r="D81" s="266"/>
      <c r="E81" s="257">
        <v>120</v>
      </c>
      <c r="F81" s="256" t="s">
        <v>173</v>
      </c>
      <c r="H81" s="253"/>
      <c r="I81" s="254" t="s">
        <v>177</v>
      </c>
      <c r="J81" s="266"/>
      <c r="K81" s="257">
        <v>120</v>
      </c>
      <c r="L81" s="256" t="s">
        <v>173</v>
      </c>
      <c r="N81" s="253"/>
      <c r="O81" s="254" t="s">
        <v>177</v>
      </c>
      <c r="P81" s="266"/>
      <c r="Q81" s="257">
        <v>120</v>
      </c>
      <c r="R81" s="256" t="s">
        <v>173</v>
      </c>
      <c r="T81" s="253"/>
      <c r="U81" s="254" t="s">
        <v>177</v>
      </c>
      <c r="V81" s="266"/>
      <c r="W81" s="257">
        <v>120</v>
      </c>
      <c r="X81" s="256" t="s">
        <v>173</v>
      </c>
    </row>
    <row r="82" spans="2:24" ht="15" customHeight="1" x14ac:dyDescent="0.25">
      <c r="B82" s="253"/>
      <c r="C82" s="254" t="s">
        <v>179</v>
      </c>
      <c r="D82" s="266"/>
      <c r="E82" s="264">
        <f>E79-E81-(E83+E85)/2*10</f>
        <v>5275</v>
      </c>
      <c r="F82" s="256" t="s">
        <v>173</v>
      </c>
      <c r="H82" s="253"/>
      <c r="I82" s="254" t="s">
        <v>179</v>
      </c>
      <c r="J82" s="266"/>
      <c r="K82" s="264">
        <f>K79-K81-(K83+K85)/2*10</f>
        <v>5275</v>
      </c>
      <c r="L82" s="256" t="s">
        <v>173</v>
      </c>
      <c r="N82" s="253"/>
      <c r="O82" s="254" t="s">
        <v>179</v>
      </c>
      <c r="P82" s="266"/>
      <c r="Q82" s="264">
        <f>Q79-Q81-(Q83+Q85)/2*10</f>
        <v>5275</v>
      </c>
      <c r="R82" s="256" t="s">
        <v>173</v>
      </c>
      <c r="T82" s="253"/>
      <c r="U82" s="254" t="s">
        <v>179</v>
      </c>
      <c r="V82" s="266"/>
      <c r="W82" s="264">
        <f>W79-W81-(W83+W85)/2*10</f>
        <v>5275</v>
      </c>
      <c r="X82" s="256" t="s">
        <v>173</v>
      </c>
    </row>
    <row r="83" spans="2:24" ht="15" customHeight="1" x14ac:dyDescent="0.25">
      <c r="B83" s="253"/>
      <c r="C83" s="254" t="s">
        <v>181</v>
      </c>
      <c r="D83" s="266" t="s">
        <v>182</v>
      </c>
      <c r="E83" s="265">
        <f>((E81/E79)*45-E84)</f>
        <v>1</v>
      </c>
      <c r="F83" s="256" t="s">
        <v>183</v>
      </c>
      <c r="H83" s="253"/>
      <c r="I83" s="254" t="s">
        <v>181</v>
      </c>
      <c r="J83" s="266" t="s">
        <v>182</v>
      </c>
      <c r="K83" s="265">
        <f>((K81/K79)*45-K84)</f>
        <v>1</v>
      </c>
      <c r="L83" s="256" t="s">
        <v>183</v>
      </c>
      <c r="N83" s="253"/>
      <c r="O83" s="254" t="s">
        <v>181</v>
      </c>
      <c r="P83" s="266" t="s">
        <v>182</v>
      </c>
      <c r="Q83" s="265">
        <f>((Q81/Q79)*45-Q84)</f>
        <v>1</v>
      </c>
      <c r="R83" s="256" t="s">
        <v>183</v>
      </c>
      <c r="T83" s="253"/>
      <c r="U83" s="254" t="s">
        <v>181</v>
      </c>
      <c r="V83" s="266" t="s">
        <v>182</v>
      </c>
      <c r="W83" s="265">
        <f>((W81/W79)*45-W84)</f>
        <v>1</v>
      </c>
      <c r="X83" s="256" t="s">
        <v>183</v>
      </c>
    </row>
    <row r="84" spans="2:24" ht="15" customHeight="1" x14ac:dyDescent="0.25">
      <c r="B84" s="253"/>
      <c r="C84" s="254"/>
      <c r="D84" s="266" t="s">
        <v>185</v>
      </c>
      <c r="E84" s="267">
        <f>'Data Lingkungan_IC'!Z97</f>
        <v>0</v>
      </c>
      <c r="F84" s="256" t="s">
        <v>186</v>
      </c>
      <c r="H84" s="253"/>
      <c r="I84" s="254"/>
      <c r="J84" s="266" t="s">
        <v>185</v>
      </c>
      <c r="K84" s="267">
        <f>'Data Lingkungan_IC'!Z97</f>
        <v>0</v>
      </c>
      <c r="L84" s="256" t="s">
        <v>186</v>
      </c>
      <c r="N84" s="253"/>
      <c r="O84" s="254"/>
      <c r="P84" s="266" t="s">
        <v>185</v>
      </c>
      <c r="Q84" s="267">
        <f>'Data Lingkungan_IC'!Z97</f>
        <v>0</v>
      </c>
      <c r="R84" s="256" t="s">
        <v>186</v>
      </c>
      <c r="T84" s="253"/>
      <c r="U84" s="254"/>
      <c r="V84" s="266" t="s">
        <v>185</v>
      </c>
      <c r="W84" s="267">
        <f>'Data Lingkungan_IC'!AG97</f>
        <v>0</v>
      </c>
      <c r="X84" s="256" t="s">
        <v>186</v>
      </c>
    </row>
    <row r="85" spans="2:24" ht="15" customHeight="1" x14ac:dyDescent="0.25">
      <c r="B85" s="253"/>
      <c r="C85" s="254" t="s">
        <v>188</v>
      </c>
      <c r="D85" s="266" t="s">
        <v>182</v>
      </c>
      <c r="E85" s="267">
        <f>'Data Lingkungan_IC'!AI64</f>
        <v>0</v>
      </c>
      <c r="F85" s="256" t="s">
        <v>183</v>
      </c>
      <c r="H85" s="253"/>
      <c r="I85" s="254" t="s">
        <v>188</v>
      </c>
      <c r="J85" s="266" t="s">
        <v>182</v>
      </c>
      <c r="K85" s="267">
        <f>'Data Lingkungan_IC'!BA69</f>
        <v>0</v>
      </c>
      <c r="L85" s="256" t="s">
        <v>183</v>
      </c>
      <c r="N85" s="253"/>
      <c r="O85" s="254" t="s">
        <v>188</v>
      </c>
      <c r="P85" s="266" t="s">
        <v>182</v>
      </c>
      <c r="Q85" s="267">
        <f>'Data Lingkungan_IC'!BJ66</f>
        <v>0</v>
      </c>
      <c r="R85" s="256" t="s">
        <v>183</v>
      </c>
      <c r="T85" s="253"/>
      <c r="U85" s="254" t="s">
        <v>188</v>
      </c>
      <c r="V85" s="266" t="s">
        <v>182</v>
      </c>
      <c r="W85" s="267">
        <f>'Data Lingkungan_IC'!DU65</f>
        <v>0</v>
      </c>
      <c r="X85" s="256" t="s">
        <v>183</v>
      </c>
    </row>
    <row r="86" spans="2:24" ht="15" customHeight="1" x14ac:dyDescent="0.25">
      <c r="B86" s="253"/>
      <c r="C86" s="254" t="s">
        <v>190</v>
      </c>
      <c r="D86" s="266"/>
      <c r="E86" s="268">
        <f>(E82/E79)</f>
        <v>0.97685185185185186</v>
      </c>
      <c r="F86" s="256" t="s">
        <v>191</v>
      </c>
      <c r="H86" s="253"/>
      <c r="I86" s="254" t="s">
        <v>190</v>
      </c>
      <c r="J86" s="266"/>
      <c r="K86" s="268">
        <f>(K82/K79)</f>
        <v>0.97685185185185186</v>
      </c>
      <c r="L86" s="256" t="s">
        <v>191</v>
      </c>
      <c r="N86" s="253"/>
      <c r="O86" s="254" t="s">
        <v>190</v>
      </c>
      <c r="P86" s="266"/>
      <c r="Q86" s="268">
        <f>(Q82/Q79)</f>
        <v>0.97685185185185186</v>
      </c>
      <c r="R86" s="256" t="s">
        <v>191</v>
      </c>
      <c r="T86" s="253"/>
      <c r="U86" s="254" t="s">
        <v>190</v>
      </c>
      <c r="V86" s="266"/>
      <c r="W86" s="268">
        <f>(W82/W79)</f>
        <v>0.97685185185185186</v>
      </c>
      <c r="X86" s="256" t="s">
        <v>191</v>
      </c>
    </row>
    <row r="87" spans="2:24" ht="15" customHeight="1" x14ac:dyDescent="0.25">
      <c r="B87" s="253"/>
      <c r="C87" s="254" t="s">
        <v>287</v>
      </c>
      <c r="D87" s="266"/>
      <c r="E87" s="257"/>
      <c r="F87" s="256"/>
      <c r="H87" s="253"/>
      <c r="I87" s="254" t="s">
        <v>287</v>
      </c>
      <c r="J87" s="266"/>
      <c r="K87" s="257"/>
      <c r="L87" s="256"/>
      <c r="N87" s="253"/>
      <c r="O87" s="254" t="s">
        <v>287</v>
      </c>
      <c r="P87" s="266"/>
      <c r="Q87" s="257"/>
      <c r="R87" s="256"/>
      <c r="T87" s="253"/>
      <c r="U87" s="254" t="s">
        <v>287</v>
      </c>
      <c r="V87" s="266"/>
      <c r="W87" s="257"/>
      <c r="X87" s="256"/>
    </row>
    <row r="88" spans="2:24" ht="15" customHeight="1" x14ac:dyDescent="0.25">
      <c r="B88" s="253"/>
      <c r="C88" s="254"/>
      <c r="D88" s="266" t="s">
        <v>288</v>
      </c>
      <c r="E88" s="257">
        <v>90</v>
      </c>
      <c r="F88" s="256" t="s">
        <v>289</v>
      </c>
      <c r="H88" s="253"/>
      <c r="I88" s="254"/>
      <c r="J88" s="266" t="s">
        <v>288</v>
      </c>
      <c r="K88" s="257">
        <v>90</v>
      </c>
      <c r="L88" s="256" t="s">
        <v>289</v>
      </c>
      <c r="N88" s="253"/>
      <c r="O88" s="254"/>
      <c r="P88" s="266" t="s">
        <v>288</v>
      </c>
      <c r="Q88" s="257">
        <v>90</v>
      </c>
      <c r="R88" s="256" t="s">
        <v>289</v>
      </c>
      <c r="T88" s="253"/>
      <c r="U88" s="254"/>
      <c r="V88" s="266" t="s">
        <v>288</v>
      </c>
      <c r="W88" s="257">
        <v>90</v>
      </c>
      <c r="X88" s="256" t="s">
        <v>289</v>
      </c>
    </row>
    <row r="89" spans="2:24" ht="15" customHeight="1" x14ac:dyDescent="0.25">
      <c r="B89" s="253"/>
      <c r="C89" s="254"/>
      <c r="D89" s="266" t="s">
        <v>290</v>
      </c>
      <c r="E89" s="257">
        <v>0.05</v>
      </c>
      <c r="F89" s="256" t="s">
        <v>289</v>
      </c>
      <c r="H89" s="253"/>
      <c r="I89" s="254"/>
      <c r="J89" s="266" t="s">
        <v>290</v>
      </c>
      <c r="K89" s="257">
        <v>0.05</v>
      </c>
      <c r="L89" s="256" t="s">
        <v>289</v>
      </c>
      <c r="N89" s="253"/>
      <c r="O89" s="254"/>
      <c r="P89" s="266" t="s">
        <v>290</v>
      </c>
      <c r="Q89" s="257">
        <v>0.05</v>
      </c>
      <c r="R89" s="256" t="s">
        <v>289</v>
      </c>
      <c r="T89" s="253"/>
      <c r="U89" s="254"/>
      <c r="V89" s="266" t="s">
        <v>290</v>
      </c>
      <c r="W89" s="257">
        <v>0.05</v>
      </c>
      <c r="X89" s="256" t="s">
        <v>289</v>
      </c>
    </row>
    <row r="90" spans="2:24" ht="15" customHeight="1" x14ac:dyDescent="0.25">
      <c r="B90" s="253"/>
      <c r="C90" s="254"/>
      <c r="D90" s="266" t="s">
        <v>291</v>
      </c>
      <c r="E90" s="257">
        <v>210</v>
      </c>
      <c r="F90" s="256" t="s">
        <v>289</v>
      </c>
      <c r="H90" s="253"/>
      <c r="I90" s="254"/>
      <c r="J90" s="266" t="s">
        <v>291</v>
      </c>
      <c r="K90" s="257">
        <v>210</v>
      </c>
      <c r="L90" s="256" t="s">
        <v>289</v>
      </c>
      <c r="N90" s="253"/>
      <c r="O90" s="254"/>
      <c r="P90" s="266" t="s">
        <v>291</v>
      </c>
      <c r="Q90" s="257">
        <v>210</v>
      </c>
      <c r="R90" s="256" t="s">
        <v>289</v>
      </c>
      <c r="T90" s="253"/>
      <c r="U90" s="254"/>
      <c r="V90" s="266" t="s">
        <v>291</v>
      </c>
      <c r="W90" s="257">
        <v>210</v>
      </c>
      <c r="X90" s="256" t="s">
        <v>289</v>
      </c>
    </row>
    <row r="91" spans="2:24" ht="15" customHeight="1" x14ac:dyDescent="0.25">
      <c r="B91" s="253"/>
      <c r="C91" s="254" t="s">
        <v>292</v>
      </c>
      <c r="D91" s="266" t="s">
        <v>293</v>
      </c>
      <c r="E91" s="257" t="s">
        <v>294</v>
      </c>
      <c r="F91" s="256" t="s">
        <v>295</v>
      </c>
      <c r="H91" s="253"/>
      <c r="I91" s="254" t="s">
        <v>292</v>
      </c>
      <c r="J91" s="266" t="s">
        <v>293</v>
      </c>
      <c r="K91" s="257" t="s">
        <v>294</v>
      </c>
      <c r="L91" s="256" t="s">
        <v>295</v>
      </c>
      <c r="N91" s="253"/>
      <c r="O91" s="254" t="s">
        <v>292</v>
      </c>
      <c r="P91" s="266" t="s">
        <v>293</v>
      </c>
      <c r="Q91" s="257" t="s">
        <v>294</v>
      </c>
      <c r="R91" s="256" t="s">
        <v>295</v>
      </c>
      <c r="T91" s="253"/>
      <c r="U91" s="254" t="s">
        <v>292</v>
      </c>
      <c r="V91" s="266" t="s">
        <v>293</v>
      </c>
      <c r="W91" s="257" t="s">
        <v>294</v>
      </c>
      <c r="X91" s="256" t="s">
        <v>295</v>
      </c>
    </row>
    <row r="92" spans="2:24" x14ac:dyDescent="0.25">
      <c r="B92" s="253"/>
      <c r="C92" s="254"/>
      <c r="D92" s="266" t="s">
        <v>194</v>
      </c>
      <c r="E92" s="257" t="s">
        <v>296</v>
      </c>
      <c r="F92" s="256"/>
      <c r="H92" s="253"/>
      <c r="I92" s="254"/>
      <c r="J92" s="266" t="s">
        <v>194</v>
      </c>
      <c r="K92" s="257" t="s">
        <v>296</v>
      </c>
      <c r="L92" s="256"/>
      <c r="N92" s="253"/>
      <c r="O92" s="254"/>
      <c r="P92" s="266" t="s">
        <v>194</v>
      </c>
      <c r="Q92" s="257" t="s">
        <v>296</v>
      </c>
      <c r="R92" s="256"/>
      <c r="T92" s="253"/>
      <c r="U92" s="254"/>
      <c r="V92" s="266" t="s">
        <v>194</v>
      </c>
      <c r="W92" s="257" t="s">
        <v>296</v>
      </c>
      <c r="X92" s="256"/>
    </row>
    <row r="93" spans="2:24" x14ac:dyDescent="0.25">
      <c r="B93" s="253"/>
      <c r="C93" s="254"/>
      <c r="D93" s="266" t="s">
        <v>297</v>
      </c>
      <c r="E93" s="257">
        <v>0.5</v>
      </c>
      <c r="F93" s="256" t="s">
        <v>298</v>
      </c>
      <c r="H93" s="253"/>
      <c r="I93" s="254"/>
      <c r="J93" s="266" t="s">
        <v>297</v>
      </c>
      <c r="K93" s="257">
        <v>0.5</v>
      </c>
      <c r="L93" s="256" t="s">
        <v>298</v>
      </c>
      <c r="N93" s="253"/>
      <c r="O93" s="254"/>
      <c r="P93" s="266" t="s">
        <v>297</v>
      </c>
      <c r="Q93" s="257">
        <v>0.5</v>
      </c>
      <c r="R93" s="256" t="s">
        <v>298</v>
      </c>
      <c r="T93" s="253"/>
      <c r="U93" s="254"/>
      <c r="V93" s="266" t="s">
        <v>297</v>
      </c>
      <c r="W93" s="257">
        <v>0.5</v>
      </c>
      <c r="X93" s="256" t="s">
        <v>298</v>
      </c>
    </row>
    <row r="94" spans="2:24" ht="30" x14ac:dyDescent="0.25">
      <c r="B94" s="253"/>
      <c r="C94" s="254"/>
      <c r="D94" s="266" t="s">
        <v>299</v>
      </c>
      <c r="E94" s="257" t="s">
        <v>300</v>
      </c>
      <c r="F94" s="256" t="s">
        <v>301</v>
      </c>
      <c r="H94" s="253"/>
      <c r="I94" s="254"/>
      <c r="J94" s="266" t="s">
        <v>299</v>
      </c>
      <c r="K94" s="257" t="s">
        <v>300</v>
      </c>
      <c r="L94" s="256" t="s">
        <v>301</v>
      </c>
      <c r="N94" s="253"/>
      <c r="O94" s="254"/>
      <c r="P94" s="266" t="s">
        <v>299</v>
      </c>
      <c r="Q94" s="257" t="s">
        <v>300</v>
      </c>
      <c r="R94" s="256" t="s">
        <v>301</v>
      </c>
      <c r="T94" s="253"/>
      <c r="U94" s="254"/>
      <c r="V94" s="266" t="s">
        <v>299</v>
      </c>
      <c r="W94" s="257" t="s">
        <v>300</v>
      </c>
      <c r="X94" s="256" t="s">
        <v>301</v>
      </c>
    </row>
    <row r="95" spans="2:24" x14ac:dyDescent="0.25">
      <c r="B95" s="253"/>
      <c r="C95" s="257"/>
      <c r="D95" s="266" t="s">
        <v>302</v>
      </c>
      <c r="E95" s="257" t="s">
        <v>303</v>
      </c>
      <c r="F95" s="256"/>
      <c r="H95" s="253"/>
      <c r="I95" s="257"/>
      <c r="J95" s="266" t="s">
        <v>302</v>
      </c>
      <c r="K95" s="257" t="s">
        <v>303</v>
      </c>
      <c r="L95" s="256"/>
      <c r="N95" s="253"/>
      <c r="O95" s="257"/>
      <c r="P95" s="266" t="s">
        <v>302</v>
      </c>
      <c r="Q95" s="257" t="s">
        <v>303</v>
      </c>
      <c r="R95" s="256"/>
      <c r="T95" s="253"/>
      <c r="U95" s="257"/>
      <c r="V95" s="266" t="s">
        <v>302</v>
      </c>
      <c r="W95" s="257" t="s">
        <v>303</v>
      </c>
      <c r="X95" s="256"/>
    </row>
    <row r="96" spans="2:24" ht="15.75" thickBot="1" x14ac:dyDescent="0.3">
      <c r="B96" s="271"/>
      <c r="C96" s="272"/>
      <c r="D96" s="273" t="s">
        <v>304</v>
      </c>
      <c r="E96" s="272" t="s">
        <v>305</v>
      </c>
      <c r="F96" s="286" t="s">
        <v>312</v>
      </c>
      <c r="H96" s="271"/>
      <c r="I96" s="272"/>
      <c r="J96" s="273" t="s">
        <v>304</v>
      </c>
      <c r="K96" s="272" t="s">
        <v>305</v>
      </c>
      <c r="L96" s="286" t="s">
        <v>312</v>
      </c>
      <c r="N96" s="271"/>
      <c r="O96" s="272"/>
      <c r="P96" s="273" t="s">
        <v>304</v>
      </c>
      <c r="Q96" s="272" t="s">
        <v>305</v>
      </c>
      <c r="R96" s="286" t="s">
        <v>312</v>
      </c>
      <c r="T96" s="271"/>
      <c r="U96" s="272"/>
      <c r="V96" s="273" t="s">
        <v>304</v>
      </c>
      <c r="W96" s="272" t="s">
        <v>305</v>
      </c>
      <c r="X96" s="286" t="s">
        <v>312</v>
      </c>
    </row>
    <row r="97" spans="2:24" ht="15.75" thickBot="1" x14ac:dyDescent="0.3"/>
    <row r="98" spans="2:24" x14ac:dyDescent="0.25">
      <c r="B98" s="428" t="s">
        <v>211</v>
      </c>
      <c r="C98" s="429"/>
      <c r="D98" s="429"/>
      <c r="E98" s="429"/>
      <c r="F98" s="430"/>
      <c r="H98" s="428" t="s">
        <v>211</v>
      </c>
      <c r="I98" s="429"/>
      <c r="J98" s="429"/>
      <c r="K98" s="429"/>
      <c r="L98" s="430"/>
      <c r="N98" s="428" t="s">
        <v>211</v>
      </c>
      <c r="O98" s="429"/>
      <c r="P98" s="429"/>
      <c r="Q98" s="429"/>
      <c r="R98" s="430"/>
      <c r="T98" s="428" t="s">
        <v>211</v>
      </c>
      <c r="U98" s="429"/>
      <c r="V98" s="429"/>
      <c r="W98" s="429"/>
      <c r="X98" s="430"/>
    </row>
    <row r="99" spans="2:24" ht="15.75" thickBot="1" x14ac:dyDescent="0.3">
      <c r="B99" s="434" t="s">
        <v>153</v>
      </c>
      <c r="C99" s="435"/>
      <c r="D99" s="435"/>
      <c r="E99" s="435"/>
      <c r="F99" s="436"/>
      <c r="H99" s="434" t="s">
        <v>153</v>
      </c>
      <c r="I99" s="435"/>
      <c r="J99" s="435"/>
      <c r="K99" s="435"/>
      <c r="L99" s="436"/>
      <c r="N99" s="434" t="s">
        <v>153</v>
      </c>
      <c r="O99" s="435"/>
      <c r="P99" s="435"/>
      <c r="Q99" s="435"/>
      <c r="R99" s="436"/>
      <c r="T99" s="434" t="s">
        <v>153</v>
      </c>
      <c r="U99" s="435"/>
      <c r="V99" s="435"/>
      <c r="W99" s="435"/>
      <c r="X99" s="436"/>
    </row>
    <row r="100" spans="2:24" x14ac:dyDescent="0.25">
      <c r="B100" s="416" t="s">
        <v>282</v>
      </c>
      <c r="C100" s="417"/>
      <c r="D100" s="417"/>
      <c r="E100" s="417"/>
      <c r="F100" s="418"/>
      <c r="H100" s="416" t="s">
        <v>282</v>
      </c>
      <c r="I100" s="417"/>
      <c r="J100" s="417"/>
      <c r="K100" s="417"/>
      <c r="L100" s="418"/>
      <c r="N100" s="416" t="s">
        <v>282</v>
      </c>
      <c r="O100" s="417"/>
      <c r="P100" s="417"/>
      <c r="Q100" s="417"/>
      <c r="R100" s="418"/>
      <c r="T100" s="416" t="s">
        <v>282</v>
      </c>
      <c r="U100" s="417"/>
      <c r="V100" s="417"/>
      <c r="W100" s="417"/>
      <c r="X100" s="418"/>
    </row>
    <row r="101" spans="2:24" ht="15.75" thickBot="1" x14ac:dyDescent="0.3">
      <c r="B101" s="419" t="s">
        <v>283</v>
      </c>
      <c r="C101" s="420"/>
      <c r="D101" s="421"/>
      <c r="E101" s="422"/>
      <c r="F101" s="423"/>
      <c r="H101" s="419" t="s">
        <v>283</v>
      </c>
      <c r="I101" s="420"/>
      <c r="J101" s="421"/>
      <c r="K101" s="422"/>
      <c r="L101" s="423"/>
      <c r="N101" s="419" t="s">
        <v>283</v>
      </c>
      <c r="O101" s="420"/>
      <c r="P101" s="421"/>
      <c r="Q101" s="422"/>
      <c r="R101" s="423"/>
      <c r="T101" s="419" t="s">
        <v>283</v>
      </c>
      <c r="U101" s="420"/>
      <c r="V101" s="421"/>
      <c r="W101" s="422"/>
      <c r="X101" s="423"/>
    </row>
    <row r="102" spans="2:24" ht="15.75" thickBot="1" x14ac:dyDescent="0.3">
      <c r="B102" s="250" t="s">
        <v>108</v>
      </c>
      <c r="C102" s="251" t="s">
        <v>156</v>
      </c>
      <c r="D102" s="284" t="s">
        <v>157</v>
      </c>
      <c r="E102" s="251" t="s">
        <v>158</v>
      </c>
      <c r="F102" s="252" t="s">
        <v>159</v>
      </c>
      <c r="H102" s="250" t="s">
        <v>108</v>
      </c>
      <c r="I102" s="251" t="s">
        <v>156</v>
      </c>
      <c r="J102" s="284" t="s">
        <v>157</v>
      </c>
      <c r="K102" s="251" t="s">
        <v>158</v>
      </c>
      <c r="L102" s="252" t="s">
        <v>159</v>
      </c>
      <c r="N102" s="250" t="s">
        <v>108</v>
      </c>
      <c r="O102" s="251" t="s">
        <v>156</v>
      </c>
      <c r="P102" s="284" t="s">
        <v>157</v>
      </c>
      <c r="Q102" s="251" t="s">
        <v>158</v>
      </c>
      <c r="R102" s="252" t="s">
        <v>159</v>
      </c>
      <c r="T102" s="250" t="s">
        <v>108</v>
      </c>
      <c r="U102" s="251" t="s">
        <v>156</v>
      </c>
      <c r="V102" s="284" t="s">
        <v>157</v>
      </c>
      <c r="W102" s="251" t="s">
        <v>158</v>
      </c>
      <c r="X102" s="252" t="s">
        <v>159</v>
      </c>
    </row>
    <row r="103" spans="2:24" x14ac:dyDescent="0.25">
      <c r="B103" s="424" t="s">
        <v>284</v>
      </c>
      <c r="C103" s="425"/>
      <c r="D103" s="425"/>
      <c r="E103" s="425"/>
      <c r="F103" s="426"/>
      <c r="H103" s="424" t="s">
        <v>284</v>
      </c>
      <c r="I103" s="425"/>
      <c r="J103" s="425"/>
      <c r="K103" s="425"/>
      <c r="L103" s="426"/>
      <c r="N103" s="424" t="s">
        <v>284</v>
      </c>
      <c r="O103" s="425"/>
      <c r="P103" s="425"/>
      <c r="Q103" s="425"/>
      <c r="R103" s="426"/>
      <c r="T103" s="424" t="s">
        <v>284</v>
      </c>
      <c r="U103" s="425"/>
      <c r="V103" s="425"/>
      <c r="W103" s="425"/>
      <c r="X103" s="426"/>
    </row>
    <row r="104" spans="2:24" x14ac:dyDescent="0.25">
      <c r="B104" s="253"/>
      <c r="C104" s="254" t="s">
        <v>161</v>
      </c>
      <c r="D104" s="266"/>
      <c r="E104" s="257" t="s">
        <v>320</v>
      </c>
      <c r="F104" s="256"/>
      <c r="H104" s="253"/>
      <c r="I104" s="254" t="s">
        <v>161</v>
      </c>
      <c r="J104" s="266"/>
      <c r="K104" s="257" t="s">
        <v>321</v>
      </c>
      <c r="L104" s="256"/>
      <c r="N104" s="253"/>
      <c r="O104" s="254" t="s">
        <v>161</v>
      </c>
      <c r="P104" s="266"/>
      <c r="Q104" s="257" t="s">
        <v>322</v>
      </c>
      <c r="R104" s="256"/>
      <c r="T104" s="253"/>
      <c r="U104" s="254" t="s">
        <v>161</v>
      </c>
      <c r="V104" s="266"/>
      <c r="W104" s="257" t="s">
        <v>323</v>
      </c>
      <c r="X104" s="256"/>
    </row>
    <row r="105" spans="2:24" x14ac:dyDescent="0.25">
      <c r="B105" s="253"/>
      <c r="C105" s="254" t="s">
        <v>162</v>
      </c>
      <c r="D105" s="266"/>
      <c r="E105" s="257" t="s">
        <v>324</v>
      </c>
      <c r="F105" s="256"/>
      <c r="H105" s="253"/>
      <c r="I105" s="254" t="s">
        <v>162</v>
      </c>
      <c r="J105" s="266"/>
      <c r="K105" s="257" t="s">
        <v>325</v>
      </c>
      <c r="L105" s="256"/>
      <c r="N105" s="253"/>
      <c r="O105" s="254" t="s">
        <v>162</v>
      </c>
      <c r="P105" s="266"/>
      <c r="Q105" s="257" t="s">
        <v>326</v>
      </c>
      <c r="R105" s="256"/>
      <c r="T105" s="253"/>
      <c r="U105" s="254" t="s">
        <v>162</v>
      </c>
      <c r="V105" s="266"/>
      <c r="W105" s="257" t="s">
        <v>327</v>
      </c>
      <c r="X105" s="256"/>
    </row>
    <row r="106" spans="2:24" ht="15" customHeight="1" x14ac:dyDescent="0.25">
      <c r="B106" s="253"/>
      <c r="C106" s="254" t="s">
        <v>165</v>
      </c>
      <c r="D106" s="266"/>
      <c r="E106" s="257"/>
      <c r="F106" s="256"/>
      <c r="H106" s="253"/>
      <c r="I106" s="254" t="s">
        <v>165</v>
      </c>
      <c r="J106" s="266"/>
      <c r="K106" s="257"/>
      <c r="L106" s="256"/>
      <c r="N106" s="253"/>
      <c r="O106" s="254" t="s">
        <v>165</v>
      </c>
      <c r="P106" s="266"/>
      <c r="Q106" s="257"/>
      <c r="R106" s="256"/>
      <c r="T106" s="253"/>
      <c r="U106" s="254" t="s">
        <v>165</v>
      </c>
      <c r="V106" s="266"/>
      <c r="W106" s="257"/>
      <c r="X106" s="256"/>
    </row>
    <row r="107" spans="2:24" ht="15" customHeight="1" x14ac:dyDescent="0.25">
      <c r="B107" s="253"/>
      <c r="C107" s="254"/>
      <c r="D107" s="266" t="s">
        <v>166</v>
      </c>
      <c r="E107" s="257">
        <v>0</v>
      </c>
      <c r="F107" s="256"/>
      <c r="H107" s="253"/>
      <c r="I107" s="254"/>
      <c r="J107" s="266" t="s">
        <v>166</v>
      </c>
      <c r="K107" s="257">
        <v>0</v>
      </c>
      <c r="L107" s="256"/>
      <c r="N107" s="253"/>
      <c r="O107" s="254"/>
      <c r="P107" s="266" t="s">
        <v>166</v>
      </c>
      <c r="Q107" s="257">
        <v>0</v>
      </c>
      <c r="R107" s="256"/>
      <c r="T107" s="253"/>
      <c r="U107" s="254"/>
      <c r="V107" s="266" t="s">
        <v>166</v>
      </c>
      <c r="W107" s="257">
        <v>0</v>
      </c>
      <c r="X107" s="256"/>
    </row>
    <row r="108" spans="2:24" ht="15" customHeight="1" x14ac:dyDescent="0.25">
      <c r="B108" s="253"/>
      <c r="C108" s="254"/>
      <c r="D108" s="266" t="s">
        <v>167</v>
      </c>
      <c r="E108" s="257">
        <v>0</v>
      </c>
      <c r="F108" s="256" t="s">
        <v>168</v>
      </c>
      <c r="H108" s="253"/>
      <c r="I108" s="254"/>
      <c r="J108" s="266" t="s">
        <v>167</v>
      </c>
      <c r="K108" s="257">
        <v>0</v>
      </c>
      <c r="L108" s="256" t="s">
        <v>168</v>
      </c>
      <c r="N108" s="253"/>
      <c r="O108" s="254"/>
      <c r="P108" s="266" t="s">
        <v>167</v>
      </c>
      <c r="Q108" s="257">
        <v>0</v>
      </c>
      <c r="R108" s="256" t="s">
        <v>168</v>
      </c>
      <c r="T108" s="253"/>
      <c r="U108" s="254"/>
      <c r="V108" s="266" t="s">
        <v>167</v>
      </c>
      <c r="W108" s="257">
        <v>0</v>
      </c>
      <c r="X108" s="256" t="s">
        <v>168</v>
      </c>
    </row>
    <row r="109" spans="2:24" ht="30" customHeight="1" x14ac:dyDescent="0.25">
      <c r="B109" s="253"/>
      <c r="C109" s="254" t="s">
        <v>169</v>
      </c>
      <c r="D109" s="266"/>
      <c r="E109" s="259"/>
      <c r="F109" s="256" t="s">
        <v>170</v>
      </c>
      <c r="H109" s="253"/>
      <c r="I109" s="254" t="s">
        <v>169</v>
      </c>
      <c r="J109" s="266"/>
      <c r="K109" s="259"/>
      <c r="L109" s="256" t="s">
        <v>170</v>
      </c>
      <c r="N109" s="253"/>
      <c r="O109" s="254" t="s">
        <v>169</v>
      </c>
      <c r="P109" s="266"/>
      <c r="Q109" s="259"/>
      <c r="R109" s="256" t="s">
        <v>170</v>
      </c>
      <c r="T109" s="253"/>
      <c r="U109" s="254" t="s">
        <v>169</v>
      </c>
      <c r="V109" s="266"/>
      <c r="W109" s="259"/>
      <c r="X109" s="256" t="s">
        <v>170</v>
      </c>
    </row>
    <row r="110" spans="2:24" ht="15" customHeight="1" x14ac:dyDescent="0.25">
      <c r="B110" s="253"/>
      <c r="C110" s="254" t="s">
        <v>172</v>
      </c>
      <c r="D110" s="266"/>
      <c r="E110" s="257">
        <f>15*12*30</f>
        <v>5400</v>
      </c>
      <c r="F110" s="256" t="s">
        <v>173</v>
      </c>
      <c r="H110" s="253"/>
      <c r="I110" s="254" t="s">
        <v>172</v>
      </c>
      <c r="J110" s="266"/>
      <c r="K110" s="257">
        <f>15*12*30</f>
        <v>5400</v>
      </c>
      <c r="L110" s="256" t="s">
        <v>173</v>
      </c>
      <c r="N110" s="253"/>
      <c r="O110" s="254" t="s">
        <v>172</v>
      </c>
      <c r="P110" s="266"/>
      <c r="Q110" s="257">
        <f>15*12*30</f>
        <v>5400</v>
      </c>
      <c r="R110" s="256" t="s">
        <v>173</v>
      </c>
      <c r="T110" s="253"/>
      <c r="U110" s="254" t="s">
        <v>172</v>
      </c>
      <c r="V110" s="266"/>
      <c r="W110" s="257">
        <f>15*12*30</f>
        <v>5400</v>
      </c>
      <c r="X110" s="256" t="s">
        <v>173</v>
      </c>
    </row>
    <row r="111" spans="2:24" ht="15" customHeight="1" x14ac:dyDescent="0.25">
      <c r="B111" s="260"/>
      <c r="C111" s="261" t="s">
        <v>175</v>
      </c>
      <c r="D111" s="285"/>
      <c r="E111" s="262">
        <f>'Data Lingkungan_IC'!AX68</f>
        <v>0</v>
      </c>
      <c r="F111" s="263"/>
      <c r="H111" s="260"/>
      <c r="I111" s="261" t="s">
        <v>175</v>
      </c>
      <c r="J111" s="285"/>
      <c r="K111" s="262">
        <f>'Data Lingkungan_IC'!BP66</f>
        <v>0</v>
      </c>
      <c r="L111" s="263"/>
      <c r="N111" s="260"/>
      <c r="O111" s="261" t="s">
        <v>175</v>
      </c>
      <c r="P111" s="285"/>
      <c r="Q111" s="262">
        <f>'Data Lingkungan_IC'!E63</f>
        <v>0</v>
      </c>
      <c r="R111" s="263"/>
      <c r="T111" s="260"/>
      <c r="U111" s="261" t="s">
        <v>175</v>
      </c>
      <c r="V111" s="285"/>
      <c r="W111" s="262">
        <f>'Data Lingkungan_IC'!DI66</f>
        <v>0</v>
      </c>
      <c r="X111" s="263"/>
    </row>
    <row r="112" spans="2:24" ht="15" customHeight="1" x14ac:dyDescent="0.25">
      <c r="B112" s="253"/>
      <c r="C112" s="254" t="s">
        <v>177</v>
      </c>
      <c r="D112" s="266"/>
      <c r="E112" s="257">
        <v>120</v>
      </c>
      <c r="F112" s="256" t="s">
        <v>173</v>
      </c>
      <c r="H112" s="253"/>
      <c r="I112" s="254" t="s">
        <v>177</v>
      </c>
      <c r="J112" s="266"/>
      <c r="K112" s="257">
        <v>120</v>
      </c>
      <c r="L112" s="256" t="s">
        <v>173</v>
      </c>
      <c r="N112" s="253"/>
      <c r="O112" s="254" t="s">
        <v>177</v>
      </c>
      <c r="P112" s="266"/>
      <c r="Q112" s="257">
        <v>120</v>
      </c>
      <c r="R112" s="256" t="s">
        <v>173</v>
      </c>
      <c r="T112" s="253"/>
      <c r="U112" s="254" t="s">
        <v>177</v>
      </c>
      <c r="V112" s="266"/>
      <c r="W112" s="257">
        <v>120</v>
      </c>
      <c r="X112" s="256" t="s">
        <v>173</v>
      </c>
    </row>
    <row r="113" spans="2:24" ht="15" customHeight="1" x14ac:dyDescent="0.25">
      <c r="B113" s="253"/>
      <c r="C113" s="254" t="s">
        <v>179</v>
      </c>
      <c r="D113" s="266"/>
      <c r="E113" s="264">
        <f>E110-E112-(E114+E116)/2*10</f>
        <v>5275</v>
      </c>
      <c r="F113" s="256" t="s">
        <v>173</v>
      </c>
      <c r="H113" s="253"/>
      <c r="I113" s="254" t="s">
        <v>179</v>
      </c>
      <c r="J113" s="266"/>
      <c r="K113" s="264">
        <f>K110-K112-(K114+K116)/2*10</f>
        <v>5275</v>
      </c>
      <c r="L113" s="256" t="s">
        <v>173</v>
      </c>
      <c r="N113" s="253"/>
      <c r="O113" s="254" t="s">
        <v>179</v>
      </c>
      <c r="P113" s="266"/>
      <c r="Q113" s="264">
        <f>Q110-Q112-(Q114+Q116)/2*10</f>
        <v>5275</v>
      </c>
      <c r="R113" s="256" t="s">
        <v>173</v>
      </c>
      <c r="T113" s="253"/>
      <c r="U113" s="254" t="s">
        <v>179</v>
      </c>
      <c r="V113" s="266"/>
      <c r="W113" s="264">
        <f>W110-W112-(W114+W116)/2*10</f>
        <v>5275</v>
      </c>
      <c r="X113" s="256" t="s">
        <v>173</v>
      </c>
    </row>
    <row r="114" spans="2:24" ht="15" customHeight="1" x14ac:dyDescent="0.25">
      <c r="B114" s="253"/>
      <c r="C114" s="254" t="s">
        <v>181</v>
      </c>
      <c r="D114" s="266" t="s">
        <v>182</v>
      </c>
      <c r="E114" s="265">
        <f>((E112/E110)*45-E115)</f>
        <v>1</v>
      </c>
      <c r="F114" s="256" t="s">
        <v>183</v>
      </c>
      <c r="H114" s="253"/>
      <c r="I114" s="254" t="s">
        <v>181</v>
      </c>
      <c r="J114" s="266" t="s">
        <v>182</v>
      </c>
      <c r="K114" s="265">
        <f>((K112/K110)*45-K115)</f>
        <v>1</v>
      </c>
      <c r="L114" s="256" t="s">
        <v>183</v>
      </c>
      <c r="N114" s="253"/>
      <c r="O114" s="254" t="s">
        <v>181</v>
      </c>
      <c r="P114" s="266" t="s">
        <v>182</v>
      </c>
      <c r="Q114" s="265">
        <f>((Q112/Q110)*45-Q115)</f>
        <v>1</v>
      </c>
      <c r="R114" s="256" t="s">
        <v>183</v>
      </c>
      <c r="T114" s="253"/>
      <c r="U114" s="254" t="s">
        <v>181</v>
      </c>
      <c r="V114" s="266" t="s">
        <v>182</v>
      </c>
      <c r="W114" s="265">
        <f>((W112/W110)*45-W115)</f>
        <v>1</v>
      </c>
      <c r="X114" s="256" t="s">
        <v>183</v>
      </c>
    </row>
    <row r="115" spans="2:24" ht="15" customHeight="1" x14ac:dyDescent="0.25">
      <c r="B115" s="253"/>
      <c r="C115" s="254"/>
      <c r="D115" s="266" t="s">
        <v>185</v>
      </c>
      <c r="E115" s="267">
        <f>'Data Lingkungan_IC'!Z128</f>
        <v>0</v>
      </c>
      <c r="F115" s="256" t="s">
        <v>186</v>
      </c>
      <c r="H115" s="253"/>
      <c r="I115" s="254"/>
      <c r="J115" s="266" t="s">
        <v>185</v>
      </c>
      <c r="K115" s="267">
        <f>'Data Lingkungan_IC'!Z128</f>
        <v>0</v>
      </c>
      <c r="L115" s="256" t="s">
        <v>186</v>
      </c>
      <c r="N115" s="253"/>
      <c r="O115" s="254"/>
      <c r="P115" s="266" t="s">
        <v>185</v>
      </c>
      <c r="Q115" s="267">
        <f>'Data Lingkungan_IC'!AG159</f>
        <v>0</v>
      </c>
      <c r="R115" s="256" t="s">
        <v>186</v>
      </c>
      <c r="T115" s="253"/>
      <c r="U115" s="254"/>
      <c r="V115" s="266" t="s">
        <v>185</v>
      </c>
      <c r="W115" s="267">
        <f>'Data Lingkungan_IC'!AG128</f>
        <v>0</v>
      </c>
      <c r="X115" s="256" t="s">
        <v>186</v>
      </c>
    </row>
    <row r="116" spans="2:24" ht="15" customHeight="1" x14ac:dyDescent="0.25">
      <c r="B116" s="253"/>
      <c r="C116" s="254" t="s">
        <v>188</v>
      </c>
      <c r="D116" s="266" t="s">
        <v>182</v>
      </c>
      <c r="E116" s="267">
        <f>'Data Lingkungan_IC'!BA68</f>
        <v>0</v>
      </c>
      <c r="F116" s="256" t="s">
        <v>183</v>
      </c>
      <c r="H116" s="253"/>
      <c r="I116" s="254" t="s">
        <v>188</v>
      </c>
      <c r="J116" s="266" t="s">
        <v>182</v>
      </c>
      <c r="K116" s="267">
        <f>'Data Lingkungan_IC'!AG108</f>
        <v>0</v>
      </c>
      <c r="L116" s="256" t="s">
        <v>183</v>
      </c>
      <c r="N116" s="253"/>
      <c r="O116" s="254" t="s">
        <v>188</v>
      </c>
      <c r="P116" s="266" t="s">
        <v>182</v>
      </c>
      <c r="Q116" s="267">
        <f>'Data Lingkungan_IC'!H63</f>
        <v>0</v>
      </c>
      <c r="R116" s="256" t="s">
        <v>183</v>
      </c>
      <c r="T116" s="253"/>
      <c r="U116" s="254" t="s">
        <v>188</v>
      </c>
      <c r="V116" s="266" t="s">
        <v>182</v>
      </c>
      <c r="W116" s="267">
        <f>'Data Lingkungan_IC'!AT113</f>
        <v>0</v>
      </c>
      <c r="X116" s="256" t="s">
        <v>183</v>
      </c>
    </row>
    <row r="117" spans="2:24" ht="15" customHeight="1" x14ac:dyDescent="0.25">
      <c r="B117" s="253"/>
      <c r="C117" s="254" t="s">
        <v>190</v>
      </c>
      <c r="D117" s="266"/>
      <c r="E117" s="268">
        <f>(E113/E110)</f>
        <v>0.97685185185185186</v>
      </c>
      <c r="F117" s="256" t="s">
        <v>191</v>
      </c>
      <c r="H117" s="253"/>
      <c r="I117" s="254" t="s">
        <v>190</v>
      </c>
      <c r="J117" s="266"/>
      <c r="K117" s="268">
        <f>(K113/K110)</f>
        <v>0.97685185185185186</v>
      </c>
      <c r="L117" s="256" t="s">
        <v>191</v>
      </c>
      <c r="N117" s="253"/>
      <c r="O117" s="254" t="s">
        <v>190</v>
      </c>
      <c r="P117" s="266"/>
      <c r="Q117" s="268">
        <f>(Q113/Q110)</f>
        <v>0.97685185185185186</v>
      </c>
      <c r="R117" s="256" t="s">
        <v>191</v>
      </c>
      <c r="T117" s="253"/>
      <c r="U117" s="254" t="s">
        <v>190</v>
      </c>
      <c r="V117" s="266"/>
      <c r="W117" s="268">
        <f>(W113/W110)</f>
        <v>0.97685185185185186</v>
      </c>
      <c r="X117" s="256" t="s">
        <v>191</v>
      </c>
    </row>
    <row r="118" spans="2:24" ht="15" customHeight="1" x14ac:dyDescent="0.25">
      <c r="B118" s="253"/>
      <c r="C118" s="254" t="s">
        <v>287</v>
      </c>
      <c r="D118" s="266"/>
      <c r="E118" s="257"/>
      <c r="F118" s="256"/>
      <c r="H118" s="253"/>
      <c r="I118" s="254" t="s">
        <v>287</v>
      </c>
      <c r="J118" s="266"/>
      <c r="K118" s="257"/>
      <c r="L118" s="256"/>
      <c r="N118" s="253"/>
      <c r="O118" s="254" t="s">
        <v>287</v>
      </c>
      <c r="P118" s="266"/>
      <c r="Q118" s="257"/>
      <c r="R118" s="256"/>
      <c r="T118" s="253"/>
      <c r="U118" s="254" t="s">
        <v>287</v>
      </c>
      <c r="V118" s="266"/>
      <c r="W118" s="257"/>
      <c r="X118" s="256"/>
    </row>
    <row r="119" spans="2:24" ht="15" customHeight="1" x14ac:dyDescent="0.25">
      <c r="B119" s="253"/>
      <c r="C119" s="254"/>
      <c r="D119" s="266" t="s">
        <v>288</v>
      </c>
      <c r="E119" s="257">
        <v>90</v>
      </c>
      <c r="F119" s="256" t="s">
        <v>289</v>
      </c>
      <c r="H119" s="253"/>
      <c r="I119" s="254"/>
      <c r="J119" s="266" t="s">
        <v>288</v>
      </c>
      <c r="K119" s="257">
        <v>90</v>
      </c>
      <c r="L119" s="256" t="s">
        <v>289</v>
      </c>
      <c r="N119" s="253"/>
      <c r="O119" s="254"/>
      <c r="P119" s="266" t="s">
        <v>288</v>
      </c>
      <c r="Q119" s="257">
        <v>90</v>
      </c>
      <c r="R119" s="256" t="s">
        <v>289</v>
      </c>
      <c r="T119" s="253"/>
      <c r="U119" s="254"/>
      <c r="V119" s="266" t="s">
        <v>288</v>
      </c>
      <c r="W119" s="257">
        <v>90</v>
      </c>
      <c r="X119" s="256" t="s">
        <v>289</v>
      </c>
    </row>
    <row r="120" spans="2:24" ht="15" customHeight="1" x14ac:dyDescent="0.25">
      <c r="B120" s="253"/>
      <c r="C120" s="254"/>
      <c r="D120" s="266" t="s">
        <v>290</v>
      </c>
      <c r="E120" s="257">
        <v>0.05</v>
      </c>
      <c r="F120" s="256" t="s">
        <v>289</v>
      </c>
      <c r="H120" s="253"/>
      <c r="I120" s="254"/>
      <c r="J120" s="266" t="s">
        <v>290</v>
      </c>
      <c r="K120" s="257">
        <v>0.05</v>
      </c>
      <c r="L120" s="256" t="s">
        <v>289</v>
      </c>
      <c r="N120" s="253"/>
      <c r="O120" s="254"/>
      <c r="P120" s="266" t="s">
        <v>290</v>
      </c>
      <c r="Q120" s="257">
        <v>0.05</v>
      </c>
      <c r="R120" s="256" t="s">
        <v>289</v>
      </c>
      <c r="T120" s="253"/>
      <c r="U120" s="254"/>
      <c r="V120" s="266" t="s">
        <v>290</v>
      </c>
      <c r="W120" s="257">
        <v>0.05</v>
      </c>
      <c r="X120" s="256" t="s">
        <v>289</v>
      </c>
    </row>
    <row r="121" spans="2:24" ht="15" customHeight="1" x14ac:dyDescent="0.25">
      <c r="B121" s="253"/>
      <c r="C121" s="254"/>
      <c r="D121" s="266" t="s">
        <v>291</v>
      </c>
      <c r="E121" s="257">
        <v>210</v>
      </c>
      <c r="F121" s="256" t="s">
        <v>289</v>
      </c>
      <c r="H121" s="253"/>
      <c r="I121" s="254"/>
      <c r="J121" s="266" t="s">
        <v>291</v>
      </c>
      <c r="K121" s="257">
        <v>210</v>
      </c>
      <c r="L121" s="256" t="s">
        <v>289</v>
      </c>
      <c r="N121" s="253"/>
      <c r="O121" s="254"/>
      <c r="P121" s="266" t="s">
        <v>291</v>
      </c>
      <c r="Q121" s="257">
        <v>210</v>
      </c>
      <c r="R121" s="256" t="s">
        <v>289</v>
      </c>
      <c r="T121" s="253"/>
      <c r="U121" s="254"/>
      <c r="V121" s="266" t="s">
        <v>291</v>
      </c>
      <c r="W121" s="257">
        <v>210</v>
      </c>
      <c r="X121" s="256" t="s">
        <v>289</v>
      </c>
    </row>
    <row r="122" spans="2:24" ht="15" customHeight="1" x14ac:dyDescent="0.25">
      <c r="B122" s="253"/>
      <c r="C122" s="254" t="s">
        <v>292</v>
      </c>
      <c r="D122" s="266" t="s">
        <v>293</v>
      </c>
      <c r="E122" s="257" t="s">
        <v>294</v>
      </c>
      <c r="F122" s="256" t="s">
        <v>295</v>
      </c>
      <c r="H122" s="253"/>
      <c r="I122" s="254" t="s">
        <v>292</v>
      </c>
      <c r="J122" s="266" t="s">
        <v>293</v>
      </c>
      <c r="K122" s="257" t="s">
        <v>294</v>
      </c>
      <c r="L122" s="256" t="s">
        <v>295</v>
      </c>
      <c r="N122" s="253"/>
      <c r="O122" s="254" t="s">
        <v>292</v>
      </c>
      <c r="P122" s="266" t="s">
        <v>293</v>
      </c>
      <c r="Q122" s="257" t="s">
        <v>294</v>
      </c>
      <c r="R122" s="256" t="s">
        <v>295</v>
      </c>
      <c r="T122" s="253"/>
      <c r="U122" s="254" t="s">
        <v>292</v>
      </c>
      <c r="V122" s="266" t="s">
        <v>293</v>
      </c>
      <c r="W122" s="257" t="s">
        <v>294</v>
      </c>
      <c r="X122" s="256" t="s">
        <v>295</v>
      </c>
    </row>
    <row r="123" spans="2:24" x14ac:dyDescent="0.25">
      <c r="B123" s="253"/>
      <c r="C123" s="254"/>
      <c r="D123" s="266" t="s">
        <v>194</v>
      </c>
      <c r="E123" s="257" t="s">
        <v>296</v>
      </c>
      <c r="F123" s="256"/>
      <c r="H123" s="253"/>
      <c r="I123" s="254"/>
      <c r="J123" s="266" t="s">
        <v>194</v>
      </c>
      <c r="K123" s="257" t="s">
        <v>296</v>
      </c>
      <c r="L123" s="256"/>
      <c r="N123" s="253"/>
      <c r="O123" s="254"/>
      <c r="P123" s="266" t="s">
        <v>194</v>
      </c>
      <c r="Q123" s="257" t="s">
        <v>296</v>
      </c>
      <c r="R123" s="256"/>
      <c r="T123" s="253"/>
      <c r="U123" s="254"/>
      <c r="V123" s="266" t="s">
        <v>194</v>
      </c>
      <c r="W123" s="257" t="s">
        <v>296</v>
      </c>
      <c r="X123" s="256"/>
    </row>
    <row r="124" spans="2:24" x14ac:dyDescent="0.25">
      <c r="B124" s="253"/>
      <c r="C124" s="254"/>
      <c r="D124" s="266" t="s">
        <v>297</v>
      </c>
      <c r="E124" s="257">
        <v>0.5</v>
      </c>
      <c r="F124" s="256" t="s">
        <v>298</v>
      </c>
      <c r="H124" s="253"/>
      <c r="I124" s="254"/>
      <c r="J124" s="266" t="s">
        <v>297</v>
      </c>
      <c r="K124" s="257">
        <v>0.5</v>
      </c>
      <c r="L124" s="256" t="s">
        <v>298</v>
      </c>
      <c r="N124" s="253"/>
      <c r="O124" s="254"/>
      <c r="P124" s="266" t="s">
        <v>297</v>
      </c>
      <c r="Q124" s="257">
        <v>0.5</v>
      </c>
      <c r="R124" s="256" t="s">
        <v>298</v>
      </c>
      <c r="T124" s="253"/>
      <c r="U124" s="254"/>
      <c r="V124" s="266" t="s">
        <v>297</v>
      </c>
      <c r="W124" s="257">
        <v>0.5</v>
      </c>
      <c r="X124" s="256" t="s">
        <v>298</v>
      </c>
    </row>
    <row r="125" spans="2:24" ht="30" x14ac:dyDescent="0.25">
      <c r="B125" s="253"/>
      <c r="C125" s="254"/>
      <c r="D125" s="266" t="s">
        <v>299</v>
      </c>
      <c r="E125" s="257" t="s">
        <v>300</v>
      </c>
      <c r="F125" s="256" t="s">
        <v>301</v>
      </c>
      <c r="H125" s="253"/>
      <c r="I125" s="254"/>
      <c r="J125" s="266" t="s">
        <v>299</v>
      </c>
      <c r="K125" s="257" t="s">
        <v>300</v>
      </c>
      <c r="L125" s="256" t="s">
        <v>301</v>
      </c>
      <c r="N125" s="253"/>
      <c r="O125" s="254"/>
      <c r="P125" s="266" t="s">
        <v>299</v>
      </c>
      <c r="Q125" s="257" t="s">
        <v>300</v>
      </c>
      <c r="R125" s="256" t="s">
        <v>301</v>
      </c>
      <c r="T125" s="253"/>
      <c r="U125" s="254"/>
      <c r="V125" s="266" t="s">
        <v>299</v>
      </c>
      <c r="W125" s="257" t="s">
        <v>300</v>
      </c>
      <c r="X125" s="256" t="s">
        <v>301</v>
      </c>
    </row>
    <row r="126" spans="2:24" x14ac:dyDescent="0.25">
      <c r="B126" s="253"/>
      <c r="C126" s="257"/>
      <c r="D126" s="266" t="s">
        <v>302</v>
      </c>
      <c r="E126" s="257" t="s">
        <v>303</v>
      </c>
      <c r="F126" s="256"/>
      <c r="H126" s="253"/>
      <c r="I126" s="257"/>
      <c r="J126" s="266" t="s">
        <v>302</v>
      </c>
      <c r="K126" s="257" t="s">
        <v>303</v>
      </c>
      <c r="L126" s="256"/>
      <c r="N126" s="253"/>
      <c r="O126" s="257"/>
      <c r="P126" s="266" t="s">
        <v>302</v>
      </c>
      <c r="Q126" s="257" t="s">
        <v>303</v>
      </c>
      <c r="R126" s="256"/>
      <c r="T126" s="253"/>
      <c r="U126" s="257"/>
      <c r="V126" s="266" t="s">
        <v>302</v>
      </c>
      <c r="W126" s="257" t="s">
        <v>303</v>
      </c>
      <c r="X126" s="256"/>
    </row>
    <row r="127" spans="2:24" ht="15.75" thickBot="1" x14ac:dyDescent="0.3">
      <c r="B127" s="271"/>
      <c r="C127" s="272"/>
      <c r="D127" s="273" t="s">
        <v>304</v>
      </c>
      <c r="E127" s="272" t="s">
        <v>305</v>
      </c>
      <c r="F127" s="286" t="s">
        <v>312</v>
      </c>
      <c r="H127" s="271"/>
      <c r="I127" s="272"/>
      <c r="J127" s="273" t="s">
        <v>304</v>
      </c>
      <c r="K127" s="272" t="s">
        <v>305</v>
      </c>
      <c r="L127" s="286" t="s">
        <v>312</v>
      </c>
      <c r="N127" s="271"/>
      <c r="O127" s="272"/>
      <c r="P127" s="273" t="s">
        <v>304</v>
      </c>
      <c r="Q127" s="272" t="s">
        <v>305</v>
      </c>
      <c r="R127" s="286" t="s">
        <v>312</v>
      </c>
      <c r="T127" s="271"/>
      <c r="U127" s="272"/>
      <c r="V127" s="273" t="s">
        <v>304</v>
      </c>
      <c r="W127" s="272" t="s">
        <v>305</v>
      </c>
      <c r="X127" s="286" t="s">
        <v>312</v>
      </c>
    </row>
    <row r="128" spans="2:24" ht="15.75" thickBot="1" x14ac:dyDescent="0.3"/>
    <row r="129" spans="2:12" x14ac:dyDescent="0.25">
      <c r="B129" s="428" t="s">
        <v>211</v>
      </c>
      <c r="C129" s="429"/>
      <c r="D129" s="429"/>
      <c r="E129" s="429"/>
      <c r="F129" s="430"/>
      <c r="H129" s="428" t="s">
        <v>211</v>
      </c>
      <c r="I129" s="429"/>
      <c r="J129" s="429"/>
      <c r="K129" s="429"/>
      <c r="L129" s="430"/>
    </row>
    <row r="130" spans="2:12" ht="15.75" thickBot="1" x14ac:dyDescent="0.3">
      <c r="B130" s="434" t="s">
        <v>153</v>
      </c>
      <c r="C130" s="435"/>
      <c r="D130" s="435"/>
      <c r="E130" s="435"/>
      <c r="F130" s="436"/>
      <c r="H130" s="434" t="s">
        <v>153</v>
      </c>
      <c r="I130" s="435"/>
      <c r="J130" s="435"/>
      <c r="K130" s="435"/>
      <c r="L130" s="436"/>
    </row>
    <row r="131" spans="2:12" x14ac:dyDescent="0.25">
      <c r="B131" s="416" t="s">
        <v>282</v>
      </c>
      <c r="C131" s="417"/>
      <c r="D131" s="417"/>
      <c r="E131" s="417"/>
      <c r="F131" s="418"/>
      <c r="H131" s="416" t="s">
        <v>282</v>
      </c>
      <c r="I131" s="417"/>
      <c r="J131" s="417"/>
      <c r="K131" s="417"/>
      <c r="L131" s="418"/>
    </row>
    <row r="132" spans="2:12" ht="15.75" thickBot="1" x14ac:dyDescent="0.3">
      <c r="B132" s="419" t="s">
        <v>283</v>
      </c>
      <c r="C132" s="420"/>
      <c r="D132" s="421"/>
      <c r="E132" s="422"/>
      <c r="F132" s="423"/>
      <c r="H132" s="419" t="s">
        <v>283</v>
      </c>
      <c r="I132" s="420"/>
      <c r="J132" s="421"/>
      <c r="K132" s="422"/>
      <c r="L132" s="423"/>
    </row>
    <row r="133" spans="2:12" ht="15.75" thickBot="1" x14ac:dyDescent="0.3">
      <c r="B133" s="250" t="s">
        <v>108</v>
      </c>
      <c r="C133" s="251" t="s">
        <v>156</v>
      </c>
      <c r="D133" s="284" t="s">
        <v>157</v>
      </c>
      <c r="E133" s="251" t="s">
        <v>158</v>
      </c>
      <c r="F133" s="252" t="s">
        <v>159</v>
      </c>
      <c r="H133" s="250" t="s">
        <v>108</v>
      </c>
      <c r="I133" s="251" t="s">
        <v>156</v>
      </c>
      <c r="J133" s="284" t="s">
        <v>157</v>
      </c>
      <c r="K133" s="251" t="s">
        <v>158</v>
      </c>
      <c r="L133" s="252" t="s">
        <v>159</v>
      </c>
    </row>
    <row r="134" spans="2:12" x14ac:dyDescent="0.25">
      <c r="B134" s="424" t="s">
        <v>284</v>
      </c>
      <c r="C134" s="425"/>
      <c r="D134" s="425"/>
      <c r="E134" s="425"/>
      <c r="F134" s="426"/>
      <c r="H134" s="424" t="s">
        <v>284</v>
      </c>
      <c r="I134" s="425"/>
      <c r="J134" s="425"/>
      <c r="K134" s="425"/>
      <c r="L134" s="426"/>
    </row>
    <row r="135" spans="2:12" x14ac:dyDescent="0.25">
      <c r="B135" s="253"/>
      <c r="C135" s="254" t="s">
        <v>161</v>
      </c>
      <c r="D135" s="266"/>
      <c r="E135" s="257" t="s">
        <v>328</v>
      </c>
      <c r="F135" s="256"/>
      <c r="H135" s="253"/>
      <c r="I135" s="254" t="s">
        <v>161</v>
      </c>
      <c r="J135" s="266"/>
      <c r="K135" s="257" t="s">
        <v>329</v>
      </c>
      <c r="L135" s="256"/>
    </row>
    <row r="136" spans="2:12" x14ac:dyDescent="0.25">
      <c r="B136" s="253"/>
      <c r="C136" s="254" t="s">
        <v>162</v>
      </c>
      <c r="D136" s="266"/>
      <c r="E136" s="257" t="s">
        <v>330</v>
      </c>
      <c r="F136" s="256"/>
      <c r="H136" s="253"/>
      <c r="I136" s="254" t="s">
        <v>162</v>
      </c>
      <c r="J136" s="266"/>
      <c r="K136" s="257" t="s">
        <v>331</v>
      </c>
      <c r="L136" s="256"/>
    </row>
    <row r="137" spans="2:12" ht="15" customHeight="1" x14ac:dyDescent="0.25">
      <c r="B137" s="253"/>
      <c r="C137" s="254" t="s">
        <v>165</v>
      </c>
      <c r="D137" s="266"/>
      <c r="E137" s="257"/>
      <c r="F137" s="256"/>
      <c r="H137" s="253"/>
      <c r="I137" s="254" t="s">
        <v>165</v>
      </c>
      <c r="J137" s="266"/>
      <c r="K137" s="257"/>
      <c r="L137" s="256"/>
    </row>
    <row r="138" spans="2:12" ht="15" customHeight="1" x14ac:dyDescent="0.25">
      <c r="B138" s="253"/>
      <c r="C138" s="254"/>
      <c r="D138" s="266" t="s">
        <v>166</v>
      </c>
      <c r="E138" s="257">
        <v>0</v>
      </c>
      <c r="F138" s="256"/>
      <c r="H138" s="253"/>
      <c r="I138" s="254"/>
      <c r="J138" s="266" t="s">
        <v>166</v>
      </c>
      <c r="K138" s="257">
        <v>0</v>
      </c>
      <c r="L138" s="256"/>
    </row>
    <row r="139" spans="2:12" ht="15" customHeight="1" x14ac:dyDescent="0.25">
      <c r="B139" s="253"/>
      <c r="C139" s="254"/>
      <c r="D139" s="266" t="s">
        <v>167</v>
      </c>
      <c r="E139" s="257">
        <v>0</v>
      </c>
      <c r="F139" s="256" t="s">
        <v>168</v>
      </c>
      <c r="H139" s="253"/>
      <c r="I139" s="254"/>
      <c r="J139" s="266" t="s">
        <v>167</v>
      </c>
      <c r="K139" s="257">
        <v>0</v>
      </c>
      <c r="L139" s="256" t="s">
        <v>168</v>
      </c>
    </row>
    <row r="140" spans="2:12" ht="30" customHeight="1" x14ac:dyDescent="0.25">
      <c r="B140" s="253"/>
      <c r="C140" s="254" t="s">
        <v>169</v>
      </c>
      <c r="D140" s="266"/>
      <c r="E140" s="259"/>
      <c r="F140" s="256" t="s">
        <v>170</v>
      </c>
      <c r="H140" s="253"/>
      <c r="I140" s="254" t="s">
        <v>169</v>
      </c>
      <c r="J140" s="266"/>
      <c r="K140" s="259"/>
      <c r="L140" s="256" t="s">
        <v>170</v>
      </c>
    </row>
    <row r="141" spans="2:12" ht="15" customHeight="1" x14ac:dyDescent="0.25">
      <c r="B141" s="253"/>
      <c r="C141" s="254" t="s">
        <v>172</v>
      </c>
      <c r="D141" s="266"/>
      <c r="E141" s="257">
        <f>15*12*30</f>
        <v>5400</v>
      </c>
      <c r="F141" s="256" t="s">
        <v>173</v>
      </c>
      <c r="H141" s="253"/>
      <c r="I141" s="254" t="s">
        <v>172</v>
      </c>
      <c r="J141" s="266"/>
      <c r="K141" s="257">
        <f>15*12*30</f>
        <v>5400</v>
      </c>
      <c r="L141" s="256" t="s">
        <v>173</v>
      </c>
    </row>
    <row r="142" spans="2:12" ht="15" customHeight="1" x14ac:dyDescent="0.25">
      <c r="B142" s="260"/>
      <c r="C142" s="261" t="s">
        <v>175</v>
      </c>
      <c r="D142" s="285"/>
      <c r="E142" s="262">
        <f>'Data Lingkungan_IC'!BG64</f>
        <v>0</v>
      </c>
      <c r="F142" s="263"/>
      <c r="H142" s="260"/>
      <c r="I142" s="261" t="s">
        <v>175</v>
      </c>
      <c r="J142" s="285"/>
      <c r="K142" s="262">
        <f>'Data Lingkungan_IC'!CZ68</f>
        <v>0</v>
      </c>
      <c r="L142" s="263"/>
    </row>
    <row r="143" spans="2:12" ht="15" customHeight="1" x14ac:dyDescent="0.25">
      <c r="B143" s="253"/>
      <c r="C143" s="254" t="s">
        <v>177</v>
      </c>
      <c r="D143" s="266"/>
      <c r="E143" s="257">
        <v>120</v>
      </c>
      <c r="F143" s="256" t="s">
        <v>173</v>
      </c>
      <c r="H143" s="253"/>
      <c r="I143" s="254" t="s">
        <v>177</v>
      </c>
      <c r="J143" s="266"/>
      <c r="K143" s="257">
        <v>120</v>
      </c>
      <c r="L143" s="256" t="s">
        <v>173</v>
      </c>
    </row>
    <row r="144" spans="2:12" ht="15" customHeight="1" x14ac:dyDescent="0.25">
      <c r="B144" s="253"/>
      <c r="C144" s="254" t="s">
        <v>179</v>
      </c>
      <c r="D144" s="266"/>
      <c r="E144" s="264">
        <f>E141-E143-(E145+E147)/2*10</f>
        <v>5275</v>
      </c>
      <c r="F144" s="256" t="s">
        <v>173</v>
      </c>
      <c r="H144" s="253"/>
      <c r="I144" s="254" t="s">
        <v>179</v>
      </c>
      <c r="J144" s="266"/>
      <c r="K144" s="264">
        <f>K141-K143-(K145+K147)/2*10</f>
        <v>5275</v>
      </c>
      <c r="L144" s="256" t="s">
        <v>173</v>
      </c>
    </row>
    <row r="145" spans="2:12" ht="15" customHeight="1" x14ac:dyDescent="0.25">
      <c r="B145" s="253"/>
      <c r="C145" s="254" t="s">
        <v>181</v>
      </c>
      <c r="D145" s="266" t="s">
        <v>182</v>
      </c>
      <c r="E145" s="265">
        <f>((E143/E141)*45-E146)</f>
        <v>1</v>
      </c>
      <c r="F145" s="256" t="s">
        <v>183</v>
      </c>
      <c r="H145" s="253"/>
      <c r="I145" s="254" t="s">
        <v>181</v>
      </c>
      <c r="J145" s="266" t="s">
        <v>182</v>
      </c>
      <c r="K145" s="265">
        <f>((K143/K141)*45-K146)</f>
        <v>1</v>
      </c>
      <c r="L145" s="256" t="s">
        <v>183</v>
      </c>
    </row>
    <row r="146" spans="2:12" ht="15" customHeight="1" x14ac:dyDescent="0.25">
      <c r="B146" s="253"/>
      <c r="C146" s="254"/>
      <c r="D146" s="266" t="s">
        <v>185</v>
      </c>
      <c r="E146" s="267">
        <f>'Data Lingkungan_IC'!Z159</f>
        <v>0</v>
      </c>
      <c r="F146" s="256" t="s">
        <v>186</v>
      </c>
      <c r="H146" s="253"/>
      <c r="I146" s="254"/>
      <c r="J146" s="266" t="s">
        <v>185</v>
      </c>
      <c r="K146" s="267">
        <f>'Data Lingkungan_IC'!Z159</f>
        <v>0</v>
      </c>
      <c r="L146" s="256" t="s">
        <v>186</v>
      </c>
    </row>
    <row r="147" spans="2:12" ht="15" customHeight="1" x14ac:dyDescent="0.25">
      <c r="B147" s="253"/>
      <c r="C147" s="254" t="s">
        <v>188</v>
      </c>
      <c r="D147" s="266" t="s">
        <v>182</v>
      </c>
      <c r="E147" s="267">
        <f>'Data Lingkungan_IC'!BJ64</f>
        <v>0</v>
      </c>
      <c r="F147" s="256" t="s">
        <v>183</v>
      </c>
      <c r="H147" s="253"/>
      <c r="I147" s="254" t="s">
        <v>188</v>
      </c>
      <c r="J147" s="266" t="s">
        <v>182</v>
      </c>
      <c r="K147" s="267">
        <f>'Data Lingkungan_IC'!DC68</f>
        <v>0</v>
      </c>
      <c r="L147" s="256" t="s">
        <v>183</v>
      </c>
    </row>
    <row r="148" spans="2:12" ht="15" customHeight="1" x14ac:dyDescent="0.25">
      <c r="B148" s="253"/>
      <c r="C148" s="254" t="s">
        <v>190</v>
      </c>
      <c r="D148" s="266"/>
      <c r="E148" s="268">
        <f>(E144/E141)</f>
        <v>0.97685185185185186</v>
      </c>
      <c r="F148" s="256" t="s">
        <v>191</v>
      </c>
      <c r="H148" s="253"/>
      <c r="I148" s="254" t="s">
        <v>190</v>
      </c>
      <c r="J148" s="266"/>
      <c r="K148" s="268">
        <f>(K144/K141)</f>
        <v>0.97685185185185186</v>
      </c>
      <c r="L148" s="256" t="s">
        <v>191</v>
      </c>
    </row>
    <row r="149" spans="2:12" ht="15" customHeight="1" x14ac:dyDescent="0.25">
      <c r="B149" s="253"/>
      <c r="C149" s="254" t="s">
        <v>287</v>
      </c>
      <c r="D149" s="266"/>
      <c r="E149" s="257"/>
      <c r="F149" s="256"/>
      <c r="H149" s="253"/>
      <c r="I149" s="254" t="s">
        <v>287</v>
      </c>
      <c r="J149" s="266"/>
      <c r="K149" s="257"/>
      <c r="L149" s="256"/>
    </row>
    <row r="150" spans="2:12" ht="15" customHeight="1" x14ac:dyDescent="0.25">
      <c r="B150" s="253"/>
      <c r="C150" s="254"/>
      <c r="D150" s="266" t="s">
        <v>288</v>
      </c>
      <c r="E150" s="257">
        <v>90</v>
      </c>
      <c r="F150" s="256" t="s">
        <v>289</v>
      </c>
      <c r="H150" s="253"/>
      <c r="I150" s="254"/>
      <c r="J150" s="266" t="s">
        <v>288</v>
      </c>
      <c r="K150" s="257">
        <v>90</v>
      </c>
      <c r="L150" s="256" t="s">
        <v>289</v>
      </c>
    </row>
    <row r="151" spans="2:12" ht="15" customHeight="1" x14ac:dyDescent="0.25">
      <c r="B151" s="253"/>
      <c r="C151" s="254"/>
      <c r="D151" s="266" t="s">
        <v>290</v>
      </c>
      <c r="E151" s="257">
        <v>0.05</v>
      </c>
      <c r="F151" s="256" t="s">
        <v>289</v>
      </c>
      <c r="H151" s="253"/>
      <c r="I151" s="254"/>
      <c r="J151" s="266" t="s">
        <v>290</v>
      </c>
      <c r="K151" s="257">
        <v>0.05</v>
      </c>
      <c r="L151" s="256" t="s">
        <v>289</v>
      </c>
    </row>
    <row r="152" spans="2:12" ht="15" customHeight="1" x14ac:dyDescent="0.25">
      <c r="B152" s="253"/>
      <c r="C152" s="254"/>
      <c r="D152" s="266" t="s">
        <v>291</v>
      </c>
      <c r="E152" s="257">
        <v>210</v>
      </c>
      <c r="F152" s="256" t="s">
        <v>289</v>
      </c>
      <c r="H152" s="253"/>
      <c r="I152" s="254"/>
      <c r="J152" s="266" t="s">
        <v>291</v>
      </c>
      <c r="K152" s="257">
        <v>210</v>
      </c>
      <c r="L152" s="256" t="s">
        <v>289</v>
      </c>
    </row>
    <row r="153" spans="2:12" ht="15" customHeight="1" x14ac:dyDescent="0.25">
      <c r="B153" s="253"/>
      <c r="C153" s="254" t="s">
        <v>292</v>
      </c>
      <c r="D153" s="266" t="s">
        <v>293</v>
      </c>
      <c r="E153" s="257" t="s">
        <v>294</v>
      </c>
      <c r="F153" s="256" t="s">
        <v>295</v>
      </c>
      <c r="H153" s="253"/>
      <c r="I153" s="254" t="s">
        <v>292</v>
      </c>
      <c r="J153" s="266" t="s">
        <v>293</v>
      </c>
      <c r="K153" s="257" t="s">
        <v>294</v>
      </c>
      <c r="L153" s="256" t="s">
        <v>295</v>
      </c>
    </row>
    <row r="154" spans="2:12" x14ac:dyDescent="0.25">
      <c r="B154" s="253"/>
      <c r="C154" s="254"/>
      <c r="D154" s="266" t="s">
        <v>194</v>
      </c>
      <c r="E154" s="257" t="s">
        <v>296</v>
      </c>
      <c r="F154" s="256"/>
      <c r="H154" s="253"/>
      <c r="I154" s="254"/>
      <c r="J154" s="266" t="s">
        <v>194</v>
      </c>
      <c r="K154" s="257" t="s">
        <v>296</v>
      </c>
      <c r="L154" s="256"/>
    </row>
    <row r="155" spans="2:12" x14ac:dyDescent="0.25">
      <c r="B155" s="253"/>
      <c r="C155" s="254"/>
      <c r="D155" s="266" t="s">
        <v>297</v>
      </c>
      <c r="E155" s="257">
        <v>0.5</v>
      </c>
      <c r="F155" s="256" t="s">
        <v>298</v>
      </c>
      <c r="H155" s="253"/>
      <c r="I155" s="254"/>
      <c r="J155" s="266" t="s">
        <v>297</v>
      </c>
      <c r="K155" s="257">
        <v>0.5</v>
      </c>
      <c r="L155" s="256" t="s">
        <v>298</v>
      </c>
    </row>
    <row r="156" spans="2:12" ht="30" x14ac:dyDescent="0.25">
      <c r="B156" s="253"/>
      <c r="C156" s="254"/>
      <c r="D156" s="266" t="s">
        <v>299</v>
      </c>
      <c r="E156" s="257" t="s">
        <v>300</v>
      </c>
      <c r="F156" s="256" t="s">
        <v>301</v>
      </c>
      <c r="H156" s="253"/>
      <c r="I156" s="254"/>
      <c r="J156" s="266" t="s">
        <v>299</v>
      </c>
      <c r="K156" s="257" t="s">
        <v>300</v>
      </c>
      <c r="L156" s="256" t="s">
        <v>301</v>
      </c>
    </row>
    <row r="157" spans="2:12" x14ac:dyDescent="0.25">
      <c r="B157" s="253"/>
      <c r="C157" s="257"/>
      <c r="D157" s="266" t="s">
        <v>302</v>
      </c>
      <c r="E157" s="257" t="s">
        <v>303</v>
      </c>
      <c r="F157" s="256"/>
      <c r="H157" s="253"/>
      <c r="I157" s="257"/>
      <c r="J157" s="266" t="s">
        <v>302</v>
      </c>
      <c r="K157" s="257" t="s">
        <v>303</v>
      </c>
      <c r="L157" s="256"/>
    </row>
    <row r="158" spans="2:12" ht="15.75" thickBot="1" x14ac:dyDescent="0.3">
      <c r="B158" s="271"/>
      <c r="C158" s="272"/>
      <c r="D158" s="273" t="s">
        <v>304</v>
      </c>
      <c r="E158" s="272" t="s">
        <v>305</v>
      </c>
      <c r="F158" s="286" t="s">
        <v>312</v>
      </c>
      <c r="H158" s="271"/>
      <c r="I158" s="272"/>
      <c r="J158" s="273" t="s">
        <v>304</v>
      </c>
      <c r="K158" s="272" t="s">
        <v>305</v>
      </c>
      <c r="L158" s="286" t="s">
        <v>312</v>
      </c>
    </row>
    <row r="159" spans="2:12" ht="15.75" thickBot="1" x14ac:dyDescent="0.3"/>
    <row r="160" spans="2:12" x14ac:dyDescent="0.25">
      <c r="B160" s="428" t="s">
        <v>211</v>
      </c>
      <c r="C160" s="429"/>
      <c r="D160" s="429"/>
      <c r="E160" s="429"/>
      <c r="F160" s="430"/>
      <c r="H160" s="428" t="s">
        <v>211</v>
      </c>
      <c r="I160" s="429"/>
      <c r="J160" s="429"/>
      <c r="K160" s="429"/>
      <c r="L160" s="430"/>
    </row>
    <row r="161" spans="2:12" ht="15.75" thickBot="1" x14ac:dyDescent="0.3">
      <c r="B161" s="434" t="s">
        <v>153</v>
      </c>
      <c r="C161" s="435"/>
      <c r="D161" s="435"/>
      <c r="E161" s="435"/>
      <c r="F161" s="436"/>
      <c r="H161" s="434" t="s">
        <v>153</v>
      </c>
      <c r="I161" s="435"/>
      <c r="J161" s="435"/>
      <c r="K161" s="435"/>
      <c r="L161" s="436"/>
    </row>
    <row r="162" spans="2:12" x14ac:dyDescent="0.25">
      <c r="B162" s="416" t="s">
        <v>282</v>
      </c>
      <c r="C162" s="417"/>
      <c r="D162" s="417"/>
      <c r="E162" s="417"/>
      <c r="F162" s="418"/>
      <c r="H162" s="416" t="s">
        <v>282</v>
      </c>
      <c r="I162" s="417"/>
      <c r="J162" s="417"/>
      <c r="K162" s="417"/>
      <c r="L162" s="418"/>
    </row>
    <row r="163" spans="2:12" ht="15.75" thickBot="1" x14ac:dyDescent="0.3">
      <c r="B163" s="419" t="s">
        <v>283</v>
      </c>
      <c r="C163" s="420"/>
      <c r="D163" s="421"/>
      <c r="E163" s="422"/>
      <c r="F163" s="423"/>
      <c r="H163" s="419" t="s">
        <v>283</v>
      </c>
      <c r="I163" s="420"/>
      <c r="J163" s="421"/>
      <c r="K163" s="422"/>
      <c r="L163" s="423"/>
    </row>
    <row r="164" spans="2:12" ht="15.75" thickBot="1" x14ac:dyDescent="0.3">
      <c r="B164" s="250" t="s">
        <v>108</v>
      </c>
      <c r="C164" s="251" t="s">
        <v>156</v>
      </c>
      <c r="D164" s="284" t="s">
        <v>157</v>
      </c>
      <c r="E164" s="251" t="s">
        <v>158</v>
      </c>
      <c r="F164" s="252" t="s">
        <v>159</v>
      </c>
      <c r="H164" s="250" t="s">
        <v>108</v>
      </c>
      <c r="I164" s="251" t="s">
        <v>156</v>
      </c>
      <c r="J164" s="284" t="s">
        <v>157</v>
      </c>
      <c r="K164" s="251" t="s">
        <v>158</v>
      </c>
      <c r="L164" s="252" t="s">
        <v>159</v>
      </c>
    </row>
    <row r="165" spans="2:12" x14ac:dyDescent="0.25">
      <c r="B165" s="424" t="s">
        <v>284</v>
      </c>
      <c r="C165" s="425"/>
      <c r="D165" s="425"/>
      <c r="E165" s="425"/>
      <c r="F165" s="426"/>
      <c r="H165" s="424" t="s">
        <v>284</v>
      </c>
      <c r="I165" s="425"/>
      <c r="J165" s="425"/>
      <c r="K165" s="425"/>
      <c r="L165" s="426"/>
    </row>
    <row r="166" spans="2:12" x14ac:dyDescent="0.25">
      <c r="B166" s="253"/>
      <c r="C166" s="254" t="s">
        <v>161</v>
      </c>
      <c r="D166" s="266"/>
      <c r="E166" s="257" t="s">
        <v>332</v>
      </c>
      <c r="F166" s="256"/>
      <c r="H166" s="253"/>
      <c r="I166" s="254" t="s">
        <v>161</v>
      </c>
      <c r="J166" s="266"/>
      <c r="K166" s="257" t="s">
        <v>333</v>
      </c>
      <c r="L166" s="256"/>
    </row>
    <row r="167" spans="2:12" x14ac:dyDescent="0.25">
      <c r="B167" s="253"/>
      <c r="C167" s="254" t="s">
        <v>162</v>
      </c>
      <c r="D167" s="266"/>
      <c r="E167" s="257" t="s">
        <v>334</v>
      </c>
      <c r="F167" s="256"/>
      <c r="H167" s="253"/>
      <c r="I167" s="254" t="s">
        <v>162</v>
      </c>
      <c r="J167" s="266"/>
      <c r="K167" s="257" t="s">
        <v>335</v>
      </c>
      <c r="L167" s="256"/>
    </row>
    <row r="168" spans="2:12" ht="15" customHeight="1" x14ac:dyDescent="0.25">
      <c r="B168" s="253"/>
      <c r="C168" s="254" t="s">
        <v>165</v>
      </c>
      <c r="D168" s="266"/>
      <c r="E168" s="257"/>
      <c r="F168" s="256"/>
      <c r="H168" s="253"/>
      <c r="I168" s="254" t="s">
        <v>165</v>
      </c>
      <c r="J168" s="266"/>
      <c r="K168" s="257"/>
      <c r="L168" s="256"/>
    </row>
    <row r="169" spans="2:12" ht="15" customHeight="1" x14ac:dyDescent="0.25">
      <c r="B169" s="253"/>
      <c r="C169" s="254"/>
      <c r="D169" s="266" t="s">
        <v>166</v>
      </c>
      <c r="E169" s="257">
        <v>0</v>
      </c>
      <c r="F169" s="256"/>
      <c r="H169" s="253"/>
      <c r="I169" s="254"/>
      <c r="J169" s="266" t="s">
        <v>166</v>
      </c>
      <c r="K169" s="257">
        <v>0</v>
      </c>
      <c r="L169" s="256"/>
    </row>
    <row r="170" spans="2:12" ht="15" customHeight="1" x14ac:dyDescent="0.25">
      <c r="B170" s="253"/>
      <c r="C170" s="254"/>
      <c r="D170" s="266" t="s">
        <v>167</v>
      </c>
      <c r="E170" s="257">
        <v>0</v>
      </c>
      <c r="F170" s="256" t="s">
        <v>168</v>
      </c>
      <c r="H170" s="253"/>
      <c r="I170" s="254"/>
      <c r="J170" s="266" t="s">
        <v>167</v>
      </c>
      <c r="K170" s="257">
        <v>0</v>
      </c>
      <c r="L170" s="256" t="s">
        <v>168</v>
      </c>
    </row>
    <row r="171" spans="2:12" ht="30" customHeight="1" x14ac:dyDescent="0.25">
      <c r="B171" s="253"/>
      <c r="C171" s="254" t="s">
        <v>169</v>
      </c>
      <c r="D171" s="266"/>
      <c r="E171" s="259"/>
      <c r="F171" s="256" t="s">
        <v>170</v>
      </c>
      <c r="H171" s="253"/>
      <c r="I171" s="254" t="s">
        <v>169</v>
      </c>
      <c r="J171" s="266"/>
      <c r="K171" s="259"/>
      <c r="L171" s="256" t="s">
        <v>170</v>
      </c>
    </row>
    <row r="172" spans="2:12" ht="15" customHeight="1" x14ac:dyDescent="0.25">
      <c r="B172" s="253"/>
      <c r="C172" s="254" t="s">
        <v>172</v>
      </c>
      <c r="D172" s="266"/>
      <c r="E172" s="257">
        <f>15*12*30</f>
        <v>5400</v>
      </c>
      <c r="F172" s="256" t="s">
        <v>173</v>
      </c>
      <c r="H172" s="253"/>
      <c r="I172" s="254" t="s">
        <v>172</v>
      </c>
      <c r="J172" s="266"/>
      <c r="K172" s="257">
        <f>15*12*30</f>
        <v>5400</v>
      </c>
      <c r="L172" s="256" t="s">
        <v>173</v>
      </c>
    </row>
    <row r="173" spans="2:12" ht="15" customHeight="1" x14ac:dyDescent="0.25">
      <c r="B173" s="260"/>
      <c r="C173" s="261" t="s">
        <v>175</v>
      </c>
      <c r="D173" s="285"/>
      <c r="E173" s="262">
        <f>'Data Lingkungan_IC'!BP65</f>
        <v>0</v>
      </c>
      <c r="F173" s="263"/>
      <c r="H173" s="260"/>
      <c r="I173" s="261" t="s">
        <v>175</v>
      </c>
      <c r="J173" s="285"/>
      <c r="K173" s="262">
        <f>'Data Lingkungan_IC'!DR66</f>
        <v>0</v>
      </c>
      <c r="L173" s="263"/>
    </row>
    <row r="174" spans="2:12" ht="15" customHeight="1" x14ac:dyDescent="0.25">
      <c r="B174" s="253"/>
      <c r="C174" s="254" t="s">
        <v>177</v>
      </c>
      <c r="D174" s="266"/>
      <c r="E174" s="257">
        <v>120</v>
      </c>
      <c r="F174" s="256" t="s">
        <v>173</v>
      </c>
      <c r="H174" s="253"/>
      <c r="I174" s="254" t="s">
        <v>177</v>
      </c>
      <c r="J174" s="266"/>
      <c r="K174" s="257">
        <v>120</v>
      </c>
      <c r="L174" s="256" t="s">
        <v>173</v>
      </c>
    </row>
    <row r="175" spans="2:12" ht="15" customHeight="1" x14ac:dyDescent="0.25">
      <c r="B175" s="253"/>
      <c r="C175" s="254" t="s">
        <v>179</v>
      </c>
      <c r="D175" s="266"/>
      <c r="E175" s="264">
        <f>E172-E174-(E176+E178)/2*10</f>
        <v>5275</v>
      </c>
      <c r="F175" s="256" t="s">
        <v>173</v>
      </c>
      <c r="H175" s="253"/>
      <c r="I175" s="254" t="s">
        <v>179</v>
      </c>
      <c r="J175" s="266"/>
      <c r="K175" s="264">
        <f>K172-K174-(K176+K178)/2*10</f>
        <v>5275</v>
      </c>
      <c r="L175" s="256" t="s">
        <v>173</v>
      </c>
    </row>
    <row r="176" spans="2:12" ht="15" customHeight="1" x14ac:dyDescent="0.25">
      <c r="B176" s="253"/>
      <c r="C176" s="254" t="s">
        <v>181</v>
      </c>
      <c r="D176" s="266" t="s">
        <v>182</v>
      </c>
      <c r="E176" s="265">
        <f>((E174/E172)*45-E177)</f>
        <v>1</v>
      </c>
      <c r="F176" s="256" t="s">
        <v>183</v>
      </c>
      <c r="H176" s="253"/>
      <c r="I176" s="254" t="s">
        <v>181</v>
      </c>
      <c r="J176" s="266" t="s">
        <v>182</v>
      </c>
      <c r="K176" s="265">
        <f>((K174/K172)*45-K177)</f>
        <v>1</v>
      </c>
      <c r="L176" s="256" t="s">
        <v>183</v>
      </c>
    </row>
    <row r="177" spans="2:12" ht="15" customHeight="1" x14ac:dyDescent="0.25">
      <c r="B177" s="253"/>
      <c r="C177" s="254"/>
      <c r="D177" s="266" t="s">
        <v>185</v>
      </c>
      <c r="E177" s="267">
        <f>'Data Lingkungan_IC'!Z190</f>
        <v>0</v>
      </c>
      <c r="F177" s="256" t="s">
        <v>186</v>
      </c>
      <c r="H177" s="253"/>
      <c r="I177" s="254"/>
      <c r="J177" s="266" t="s">
        <v>185</v>
      </c>
      <c r="K177" s="267">
        <f>'Data Lingkungan_IC'!Z221</f>
        <v>0</v>
      </c>
      <c r="L177" s="256" t="s">
        <v>186</v>
      </c>
    </row>
    <row r="178" spans="2:12" ht="15" customHeight="1" x14ac:dyDescent="0.25">
      <c r="B178" s="253"/>
      <c r="C178" s="254" t="s">
        <v>188</v>
      </c>
      <c r="D178" s="266" t="s">
        <v>182</v>
      </c>
      <c r="E178" s="267">
        <f>'Data Lingkungan_IC'!BS65</f>
        <v>0</v>
      </c>
      <c r="F178" s="256" t="s">
        <v>183</v>
      </c>
      <c r="H178" s="253"/>
      <c r="I178" s="254" t="s">
        <v>188</v>
      </c>
      <c r="J178" s="266" t="s">
        <v>182</v>
      </c>
      <c r="K178" s="267">
        <f>'Data Lingkungan_IC'!DU66</f>
        <v>0</v>
      </c>
      <c r="L178" s="256" t="s">
        <v>183</v>
      </c>
    </row>
    <row r="179" spans="2:12" ht="15" customHeight="1" x14ac:dyDescent="0.25">
      <c r="B179" s="253"/>
      <c r="C179" s="254" t="s">
        <v>190</v>
      </c>
      <c r="D179" s="266"/>
      <c r="E179" s="268">
        <f>(E175/E172)</f>
        <v>0.97685185185185186</v>
      </c>
      <c r="F179" s="256" t="s">
        <v>191</v>
      </c>
      <c r="H179" s="253"/>
      <c r="I179" s="254" t="s">
        <v>190</v>
      </c>
      <c r="J179" s="266"/>
      <c r="K179" s="268">
        <f>(K175/K172)</f>
        <v>0.97685185185185186</v>
      </c>
      <c r="L179" s="256" t="s">
        <v>191</v>
      </c>
    </row>
    <row r="180" spans="2:12" ht="15" customHeight="1" x14ac:dyDescent="0.25">
      <c r="B180" s="253"/>
      <c r="C180" s="254" t="s">
        <v>287</v>
      </c>
      <c r="D180" s="266"/>
      <c r="E180" s="257"/>
      <c r="F180" s="256"/>
      <c r="H180" s="253"/>
      <c r="I180" s="254" t="s">
        <v>287</v>
      </c>
      <c r="J180" s="266"/>
      <c r="K180" s="257"/>
      <c r="L180" s="256"/>
    </row>
    <row r="181" spans="2:12" ht="15" customHeight="1" x14ac:dyDescent="0.25">
      <c r="B181" s="253"/>
      <c r="C181" s="254"/>
      <c r="D181" s="266" t="s">
        <v>288</v>
      </c>
      <c r="E181" s="257">
        <v>90</v>
      </c>
      <c r="F181" s="256" t="s">
        <v>289</v>
      </c>
      <c r="H181" s="253"/>
      <c r="I181" s="254"/>
      <c r="J181" s="266" t="s">
        <v>288</v>
      </c>
      <c r="K181" s="257">
        <v>90</v>
      </c>
      <c r="L181" s="256" t="s">
        <v>289</v>
      </c>
    </row>
    <row r="182" spans="2:12" ht="15" customHeight="1" x14ac:dyDescent="0.25">
      <c r="B182" s="253"/>
      <c r="C182" s="254"/>
      <c r="D182" s="266" t="s">
        <v>290</v>
      </c>
      <c r="E182" s="257">
        <v>0.05</v>
      </c>
      <c r="F182" s="256" t="s">
        <v>289</v>
      </c>
      <c r="H182" s="253"/>
      <c r="I182" s="254"/>
      <c r="J182" s="266" t="s">
        <v>290</v>
      </c>
      <c r="K182" s="257">
        <v>0.05</v>
      </c>
      <c r="L182" s="256" t="s">
        <v>289</v>
      </c>
    </row>
    <row r="183" spans="2:12" ht="15" customHeight="1" x14ac:dyDescent="0.25">
      <c r="B183" s="253"/>
      <c r="C183" s="254"/>
      <c r="D183" s="266" t="s">
        <v>291</v>
      </c>
      <c r="E183" s="257">
        <v>210</v>
      </c>
      <c r="F183" s="256" t="s">
        <v>289</v>
      </c>
      <c r="H183" s="253"/>
      <c r="I183" s="254"/>
      <c r="J183" s="266" t="s">
        <v>291</v>
      </c>
      <c r="K183" s="257">
        <v>210</v>
      </c>
      <c r="L183" s="256" t="s">
        <v>289</v>
      </c>
    </row>
    <row r="184" spans="2:12" ht="15" customHeight="1" x14ac:dyDescent="0.25">
      <c r="B184" s="253"/>
      <c r="C184" s="254" t="s">
        <v>292</v>
      </c>
      <c r="D184" s="266" t="s">
        <v>293</v>
      </c>
      <c r="E184" s="257" t="s">
        <v>294</v>
      </c>
      <c r="F184" s="256" t="s">
        <v>295</v>
      </c>
      <c r="H184" s="253"/>
      <c r="I184" s="254" t="s">
        <v>292</v>
      </c>
      <c r="J184" s="266" t="s">
        <v>293</v>
      </c>
      <c r="K184" s="257" t="s">
        <v>294</v>
      </c>
      <c r="L184" s="256" t="s">
        <v>295</v>
      </c>
    </row>
    <row r="185" spans="2:12" x14ac:dyDescent="0.25">
      <c r="B185" s="253"/>
      <c r="C185" s="254"/>
      <c r="D185" s="266" t="s">
        <v>194</v>
      </c>
      <c r="E185" s="257" t="s">
        <v>296</v>
      </c>
      <c r="F185" s="256"/>
      <c r="H185" s="253"/>
      <c r="I185" s="254"/>
      <c r="J185" s="266" t="s">
        <v>194</v>
      </c>
      <c r="K185" s="257" t="s">
        <v>296</v>
      </c>
      <c r="L185" s="256"/>
    </row>
    <row r="186" spans="2:12" x14ac:dyDescent="0.25">
      <c r="B186" s="253"/>
      <c r="C186" s="254"/>
      <c r="D186" s="266" t="s">
        <v>297</v>
      </c>
      <c r="E186" s="257">
        <v>0.5</v>
      </c>
      <c r="F186" s="256" t="s">
        <v>298</v>
      </c>
      <c r="H186" s="253"/>
      <c r="I186" s="254"/>
      <c r="J186" s="266" t="s">
        <v>297</v>
      </c>
      <c r="K186" s="257">
        <v>0.5</v>
      </c>
      <c r="L186" s="256" t="s">
        <v>298</v>
      </c>
    </row>
    <row r="187" spans="2:12" ht="30" x14ac:dyDescent="0.25">
      <c r="B187" s="253"/>
      <c r="C187" s="254"/>
      <c r="D187" s="266" t="s">
        <v>299</v>
      </c>
      <c r="E187" s="257" t="s">
        <v>300</v>
      </c>
      <c r="F187" s="256" t="s">
        <v>301</v>
      </c>
      <c r="H187" s="253"/>
      <c r="I187" s="254"/>
      <c r="J187" s="266" t="s">
        <v>299</v>
      </c>
      <c r="K187" s="257" t="s">
        <v>300</v>
      </c>
      <c r="L187" s="256" t="s">
        <v>301</v>
      </c>
    </row>
    <row r="188" spans="2:12" x14ac:dyDescent="0.25">
      <c r="B188" s="253"/>
      <c r="C188" s="257"/>
      <c r="D188" s="266" t="s">
        <v>302</v>
      </c>
      <c r="E188" s="257" t="s">
        <v>303</v>
      </c>
      <c r="F188" s="256"/>
      <c r="H188" s="253"/>
      <c r="I188" s="257"/>
      <c r="J188" s="266" t="s">
        <v>302</v>
      </c>
      <c r="K188" s="257" t="s">
        <v>303</v>
      </c>
      <c r="L188" s="256"/>
    </row>
    <row r="189" spans="2:12" ht="15.75" thickBot="1" x14ac:dyDescent="0.3">
      <c r="B189" s="271"/>
      <c r="C189" s="272"/>
      <c r="D189" s="273" t="s">
        <v>304</v>
      </c>
      <c r="E189" s="272" t="s">
        <v>305</v>
      </c>
      <c r="F189" s="286" t="s">
        <v>312</v>
      </c>
      <c r="H189" s="271"/>
      <c r="I189" s="272"/>
      <c r="J189" s="273" t="s">
        <v>304</v>
      </c>
      <c r="K189" s="272" t="s">
        <v>305</v>
      </c>
      <c r="L189" s="286" t="s">
        <v>312</v>
      </c>
    </row>
    <row r="190" spans="2:12" ht="15.75" thickBot="1" x14ac:dyDescent="0.3"/>
    <row r="191" spans="2:12" x14ac:dyDescent="0.25">
      <c r="B191" s="428" t="s">
        <v>211</v>
      </c>
      <c r="C191" s="429"/>
      <c r="D191" s="429"/>
      <c r="E191" s="429"/>
      <c r="F191" s="430"/>
      <c r="H191" s="428" t="s">
        <v>211</v>
      </c>
      <c r="I191" s="429"/>
      <c r="J191" s="429"/>
      <c r="K191" s="429"/>
      <c r="L191" s="430"/>
    </row>
    <row r="192" spans="2:12" ht="15.75" thickBot="1" x14ac:dyDescent="0.3">
      <c r="B192" s="434" t="s">
        <v>153</v>
      </c>
      <c r="C192" s="435"/>
      <c r="D192" s="435"/>
      <c r="E192" s="435"/>
      <c r="F192" s="436"/>
      <c r="H192" s="434" t="s">
        <v>153</v>
      </c>
      <c r="I192" s="435"/>
      <c r="J192" s="435"/>
      <c r="K192" s="435"/>
      <c r="L192" s="436"/>
    </row>
    <row r="193" spans="2:12" x14ac:dyDescent="0.25">
      <c r="B193" s="416" t="s">
        <v>282</v>
      </c>
      <c r="C193" s="417"/>
      <c r="D193" s="417"/>
      <c r="E193" s="417"/>
      <c r="F193" s="418"/>
      <c r="H193" s="416" t="s">
        <v>282</v>
      </c>
      <c r="I193" s="417"/>
      <c r="J193" s="417"/>
      <c r="K193" s="417"/>
      <c r="L193" s="418"/>
    </row>
    <row r="194" spans="2:12" ht="15.75" thickBot="1" x14ac:dyDescent="0.3">
      <c r="B194" s="419" t="s">
        <v>283</v>
      </c>
      <c r="C194" s="420"/>
      <c r="D194" s="421"/>
      <c r="E194" s="422"/>
      <c r="F194" s="423"/>
      <c r="H194" s="419" t="s">
        <v>283</v>
      </c>
      <c r="I194" s="420"/>
      <c r="J194" s="421"/>
      <c r="K194" s="422"/>
      <c r="L194" s="423"/>
    </row>
    <row r="195" spans="2:12" ht="15.75" thickBot="1" x14ac:dyDescent="0.3">
      <c r="B195" s="250" t="s">
        <v>108</v>
      </c>
      <c r="C195" s="251" t="s">
        <v>156</v>
      </c>
      <c r="D195" s="284" t="s">
        <v>157</v>
      </c>
      <c r="E195" s="251" t="s">
        <v>158</v>
      </c>
      <c r="F195" s="252" t="s">
        <v>159</v>
      </c>
      <c r="H195" s="250" t="s">
        <v>108</v>
      </c>
      <c r="I195" s="251" t="s">
        <v>156</v>
      </c>
      <c r="J195" s="284" t="s">
        <v>157</v>
      </c>
      <c r="K195" s="251" t="s">
        <v>158</v>
      </c>
      <c r="L195" s="252" t="s">
        <v>159</v>
      </c>
    </row>
    <row r="196" spans="2:12" x14ac:dyDescent="0.25">
      <c r="B196" s="424" t="s">
        <v>284</v>
      </c>
      <c r="C196" s="425"/>
      <c r="D196" s="425"/>
      <c r="E196" s="425"/>
      <c r="F196" s="426"/>
      <c r="H196" s="424" t="s">
        <v>284</v>
      </c>
      <c r="I196" s="425"/>
      <c r="J196" s="425"/>
      <c r="K196" s="425"/>
      <c r="L196" s="426"/>
    </row>
    <row r="197" spans="2:12" x14ac:dyDescent="0.25">
      <c r="B197" s="253"/>
      <c r="C197" s="254" t="s">
        <v>161</v>
      </c>
      <c r="D197" s="266"/>
      <c r="E197" s="257" t="s">
        <v>336</v>
      </c>
      <c r="F197" s="256"/>
      <c r="H197" s="253"/>
      <c r="I197" s="254" t="s">
        <v>161</v>
      </c>
      <c r="J197" s="266"/>
      <c r="K197" s="257" t="s">
        <v>337</v>
      </c>
      <c r="L197" s="256"/>
    </row>
    <row r="198" spans="2:12" x14ac:dyDescent="0.25">
      <c r="B198" s="253"/>
      <c r="C198" s="254" t="s">
        <v>162</v>
      </c>
      <c r="D198" s="266"/>
      <c r="E198" s="257" t="s">
        <v>338</v>
      </c>
      <c r="F198" s="256"/>
      <c r="H198" s="253"/>
      <c r="I198" s="254" t="s">
        <v>162</v>
      </c>
      <c r="J198" s="266"/>
      <c r="K198" s="257" t="s">
        <v>339</v>
      </c>
      <c r="L198" s="256"/>
    </row>
    <row r="199" spans="2:12" x14ac:dyDescent="0.25">
      <c r="B199" s="253"/>
      <c r="C199" s="254" t="s">
        <v>165</v>
      </c>
      <c r="D199" s="266"/>
      <c r="E199" s="257"/>
      <c r="F199" s="256"/>
      <c r="H199" s="253"/>
      <c r="I199" s="254" t="s">
        <v>165</v>
      </c>
      <c r="J199" s="266"/>
      <c r="K199" s="257"/>
      <c r="L199" s="256"/>
    </row>
    <row r="200" spans="2:12" ht="15" customHeight="1" x14ac:dyDescent="0.25">
      <c r="B200" s="253"/>
      <c r="C200" s="254"/>
      <c r="D200" s="266" t="s">
        <v>166</v>
      </c>
      <c r="E200" s="257">
        <v>0</v>
      </c>
      <c r="F200" s="256"/>
      <c r="H200" s="253"/>
      <c r="I200" s="254"/>
      <c r="J200" s="266" t="s">
        <v>166</v>
      </c>
      <c r="K200" s="257">
        <v>0</v>
      </c>
      <c r="L200" s="256"/>
    </row>
    <row r="201" spans="2:12" ht="15" customHeight="1" x14ac:dyDescent="0.25">
      <c r="B201" s="253"/>
      <c r="C201" s="254"/>
      <c r="D201" s="266" t="s">
        <v>167</v>
      </c>
      <c r="E201" s="257">
        <v>0</v>
      </c>
      <c r="F201" s="256" t="s">
        <v>168</v>
      </c>
      <c r="H201" s="253"/>
      <c r="I201" s="254"/>
      <c r="J201" s="266" t="s">
        <v>167</v>
      </c>
      <c r="K201" s="257">
        <v>0</v>
      </c>
      <c r="L201" s="256" t="s">
        <v>168</v>
      </c>
    </row>
    <row r="202" spans="2:12" ht="15" customHeight="1" x14ac:dyDescent="0.25">
      <c r="B202" s="253"/>
      <c r="C202" s="254" t="s">
        <v>169</v>
      </c>
      <c r="D202" s="266"/>
      <c r="E202" s="259"/>
      <c r="F202" s="256" t="s">
        <v>170</v>
      </c>
      <c r="H202" s="253"/>
      <c r="I202" s="254" t="s">
        <v>169</v>
      </c>
      <c r="J202" s="266"/>
      <c r="K202" s="259"/>
      <c r="L202" s="256" t="s">
        <v>170</v>
      </c>
    </row>
    <row r="203" spans="2:12" ht="30" customHeight="1" x14ac:dyDescent="0.25">
      <c r="B203" s="253"/>
      <c r="C203" s="254" t="s">
        <v>172</v>
      </c>
      <c r="D203" s="266"/>
      <c r="E203" s="257">
        <f>15*12*30</f>
        <v>5400</v>
      </c>
      <c r="F203" s="256" t="s">
        <v>173</v>
      </c>
      <c r="H203" s="253"/>
      <c r="I203" s="254" t="s">
        <v>172</v>
      </c>
      <c r="J203" s="266"/>
      <c r="K203" s="257">
        <f>15*12*30</f>
        <v>5400</v>
      </c>
      <c r="L203" s="256" t="s">
        <v>173</v>
      </c>
    </row>
    <row r="204" spans="2:12" ht="15" customHeight="1" x14ac:dyDescent="0.25">
      <c r="B204" s="260"/>
      <c r="C204" s="261" t="s">
        <v>175</v>
      </c>
      <c r="D204" s="285"/>
      <c r="E204" s="262">
        <f>'Data Lingkungan_IC'!CZ67</f>
        <v>0</v>
      </c>
      <c r="F204" s="263"/>
      <c r="H204" s="260"/>
      <c r="I204" s="261" t="s">
        <v>175</v>
      </c>
      <c r="J204" s="285"/>
      <c r="K204" s="262">
        <f>'Data Lingkungan_IC'!BY63</f>
        <v>0</v>
      </c>
      <c r="L204" s="263"/>
    </row>
    <row r="205" spans="2:12" ht="15" customHeight="1" x14ac:dyDescent="0.25">
      <c r="B205" s="253"/>
      <c r="C205" s="254" t="s">
        <v>177</v>
      </c>
      <c r="D205" s="266"/>
      <c r="E205" s="257">
        <v>120</v>
      </c>
      <c r="F205" s="256" t="s">
        <v>173</v>
      </c>
      <c r="H205" s="253"/>
      <c r="I205" s="254" t="s">
        <v>177</v>
      </c>
      <c r="J205" s="266"/>
      <c r="K205" s="257">
        <v>120</v>
      </c>
      <c r="L205" s="256" t="s">
        <v>173</v>
      </c>
    </row>
    <row r="206" spans="2:12" ht="15" customHeight="1" x14ac:dyDescent="0.25">
      <c r="B206" s="253"/>
      <c r="C206" s="254" t="s">
        <v>179</v>
      </c>
      <c r="D206" s="266"/>
      <c r="E206" s="264">
        <f>E203-E205-(E207+E209)/2*10</f>
        <v>5275</v>
      </c>
      <c r="F206" s="256" t="s">
        <v>173</v>
      </c>
      <c r="H206" s="253"/>
      <c r="I206" s="254" t="s">
        <v>179</v>
      </c>
      <c r="J206" s="266"/>
      <c r="K206" s="264">
        <f>K203-K205-(K207+K209)/2*10</f>
        <v>5275</v>
      </c>
      <c r="L206" s="256" t="s">
        <v>173</v>
      </c>
    </row>
    <row r="207" spans="2:12" ht="15" customHeight="1" x14ac:dyDescent="0.25">
      <c r="B207" s="253"/>
      <c r="C207" s="254" t="s">
        <v>181</v>
      </c>
      <c r="D207" s="266" t="s">
        <v>182</v>
      </c>
      <c r="E207" s="265">
        <f>((E205/E203)*45-E208)</f>
        <v>1</v>
      </c>
      <c r="F207" s="256" t="s">
        <v>183</v>
      </c>
      <c r="H207" s="253"/>
      <c r="I207" s="254" t="s">
        <v>181</v>
      </c>
      <c r="J207" s="266" t="s">
        <v>182</v>
      </c>
      <c r="K207" s="265">
        <f>((K205/K203)*45-K208)</f>
        <v>1</v>
      </c>
      <c r="L207" s="256" t="s">
        <v>183</v>
      </c>
    </row>
    <row r="208" spans="2:12" ht="15" customHeight="1" x14ac:dyDescent="0.25">
      <c r="B208" s="253"/>
      <c r="C208" s="254"/>
      <c r="D208" s="266" t="s">
        <v>185</v>
      </c>
      <c r="E208" s="267">
        <f>'Data Lingkungan_IC'!Z221</f>
        <v>0</v>
      </c>
      <c r="F208" s="256" t="s">
        <v>186</v>
      </c>
      <c r="H208" s="253"/>
      <c r="I208" s="254"/>
      <c r="J208" s="266" t="s">
        <v>185</v>
      </c>
      <c r="K208" s="267">
        <f>'Data Lingkungan_IC'!AG159</f>
        <v>0</v>
      </c>
      <c r="L208" s="256" t="s">
        <v>186</v>
      </c>
    </row>
    <row r="209" spans="2:12" ht="15" customHeight="1" x14ac:dyDescent="0.25">
      <c r="B209" s="253"/>
      <c r="C209" s="254" t="s">
        <v>188</v>
      </c>
      <c r="D209" s="266" t="s">
        <v>182</v>
      </c>
      <c r="E209" s="267">
        <f>'Data Lingkungan_IC'!DC67</f>
        <v>0</v>
      </c>
      <c r="F209" s="256" t="s">
        <v>183</v>
      </c>
      <c r="H209" s="253"/>
      <c r="I209" s="254" t="s">
        <v>188</v>
      </c>
      <c r="J209" s="266" t="s">
        <v>182</v>
      </c>
      <c r="K209" s="267">
        <f>'Data Lingkungan_IC'!CB63</f>
        <v>0</v>
      </c>
      <c r="L209" s="256" t="s">
        <v>183</v>
      </c>
    </row>
    <row r="210" spans="2:12" ht="15" customHeight="1" x14ac:dyDescent="0.25">
      <c r="B210" s="253"/>
      <c r="C210" s="254" t="s">
        <v>190</v>
      </c>
      <c r="D210" s="266"/>
      <c r="E210" s="268">
        <f>(E206/E203)</f>
        <v>0.97685185185185186</v>
      </c>
      <c r="F210" s="256" t="s">
        <v>191</v>
      </c>
      <c r="H210" s="253"/>
      <c r="I210" s="254" t="s">
        <v>190</v>
      </c>
      <c r="J210" s="266"/>
      <c r="K210" s="268">
        <f>(K206/K203)</f>
        <v>0.97685185185185186</v>
      </c>
      <c r="L210" s="256" t="s">
        <v>191</v>
      </c>
    </row>
    <row r="211" spans="2:12" ht="15" customHeight="1" x14ac:dyDescent="0.25">
      <c r="B211" s="253"/>
      <c r="C211" s="254" t="s">
        <v>287</v>
      </c>
      <c r="D211" s="266"/>
      <c r="E211" s="257"/>
      <c r="F211" s="256"/>
      <c r="H211" s="253"/>
      <c r="I211" s="254" t="s">
        <v>287</v>
      </c>
      <c r="J211" s="266"/>
      <c r="K211" s="257"/>
      <c r="L211" s="256"/>
    </row>
    <row r="212" spans="2:12" ht="15" customHeight="1" x14ac:dyDescent="0.25">
      <c r="B212" s="253"/>
      <c r="C212" s="254"/>
      <c r="D212" s="266" t="s">
        <v>288</v>
      </c>
      <c r="E212" s="257">
        <v>90</v>
      </c>
      <c r="F212" s="256" t="s">
        <v>289</v>
      </c>
      <c r="H212" s="253"/>
      <c r="I212" s="254"/>
      <c r="J212" s="266" t="s">
        <v>288</v>
      </c>
      <c r="K212" s="257">
        <v>90</v>
      </c>
      <c r="L212" s="256" t="s">
        <v>289</v>
      </c>
    </row>
    <row r="213" spans="2:12" ht="15" customHeight="1" x14ac:dyDescent="0.25">
      <c r="B213" s="253"/>
      <c r="C213" s="254"/>
      <c r="D213" s="266" t="s">
        <v>290</v>
      </c>
      <c r="E213" s="257">
        <v>0.05</v>
      </c>
      <c r="F213" s="256" t="s">
        <v>289</v>
      </c>
      <c r="H213" s="253"/>
      <c r="I213" s="254"/>
      <c r="J213" s="266" t="s">
        <v>290</v>
      </c>
      <c r="K213" s="257">
        <v>0.05</v>
      </c>
      <c r="L213" s="256" t="s">
        <v>289</v>
      </c>
    </row>
    <row r="214" spans="2:12" ht="15" customHeight="1" x14ac:dyDescent="0.25">
      <c r="B214" s="253"/>
      <c r="C214" s="254"/>
      <c r="D214" s="266" t="s">
        <v>291</v>
      </c>
      <c r="E214" s="257">
        <v>210</v>
      </c>
      <c r="F214" s="256" t="s">
        <v>289</v>
      </c>
      <c r="H214" s="253"/>
      <c r="I214" s="254"/>
      <c r="J214" s="266" t="s">
        <v>291</v>
      </c>
      <c r="K214" s="257">
        <v>210</v>
      </c>
      <c r="L214" s="256" t="s">
        <v>289</v>
      </c>
    </row>
    <row r="215" spans="2:12" ht="15" customHeight="1" x14ac:dyDescent="0.25">
      <c r="B215" s="253"/>
      <c r="C215" s="254" t="s">
        <v>292</v>
      </c>
      <c r="D215" s="266" t="s">
        <v>293</v>
      </c>
      <c r="E215" s="257" t="s">
        <v>294</v>
      </c>
      <c r="F215" s="256" t="s">
        <v>295</v>
      </c>
      <c r="H215" s="253"/>
      <c r="I215" s="254" t="s">
        <v>292</v>
      </c>
      <c r="J215" s="266" t="s">
        <v>293</v>
      </c>
      <c r="K215" s="257" t="s">
        <v>294</v>
      </c>
      <c r="L215" s="256" t="s">
        <v>295</v>
      </c>
    </row>
    <row r="216" spans="2:12" ht="15" customHeight="1" x14ac:dyDescent="0.25">
      <c r="B216" s="253"/>
      <c r="C216" s="254"/>
      <c r="D216" s="266" t="s">
        <v>194</v>
      </c>
      <c r="E216" s="257" t="s">
        <v>296</v>
      </c>
      <c r="F216" s="256"/>
      <c r="H216" s="253"/>
      <c r="I216" s="254"/>
      <c r="J216" s="266" t="s">
        <v>194</v>
      </c>
      <c r="K216" s="257" t="s">
        <v>296</v>
      </c>
      <c r="L216" s="256"/>
    </row>
    <row r="217" spans="2:12" x14ac:dyDescent="0.25">
      <c r="B217" s="253"/>
      <c r="C217" s="254"/>
      <c r="D217" s="266" t="s">
        <v>297</v>
      </c>
      <c r="E217" s="257">
        <v>0.5</v>
      </c>
      <c r="F217" s="256" t="s">
        <v>298</v>
      </c>
      <c r="H217" s="253"/>
      <c r="I217" s="254"/>
      <c r="J217" s="266" t="s">
        <v>297</v>
      </c>
      <c r="K217" s="257">
        <v>0.5</v>
      </c>
      <c r="L217" s="256" t="s">
        <v>298</v>
      </c>
    </row>
    <row r="218" spans="2:12" ht="30" x14ac:dyDescent="0.25">
      <c r="B218" s="253"/>
      <c r="C218" s="254"/>
      <c r="D218" s="266" t="s">
        <v>299</v>
      </c>
      <c r="E218" s="257" t="s">
        <v>300</v>
      </c>
      <c r="F218" s="256" t="s">
        <v>301</v>
      </c>
      <c r="H218" s="253"/>
      <c r="I218" s="254"/>
      <c r="J218" s="266" t="s">
        <v>299</v>
      </c>
      <c r="K218" s="257" t="s">
        <v>300</v>
      </c>
      <c r="L218" s="256" t="s">
        <v>301</v>
      </c>
    </row>
    <row r="219" spans="2:12" x14ac:dyDescent="0.25">
      <c r="B219" s="253"/>
      <c r="C219" s="257"/>
      <c r="D219" s="266" t="s">
        <v>302</v>
      </c>
      <c r="E219" s="257" t="s">
        <v>303</v>
      </c>
      <c r="F219" s="256"/>
      <c r="H219" s="253"/>
      <c r="I219" s="257"/>
      <c r="J219" s="266" t="s">
        <v>302</v>
      </c>
      <c r="K219" s="257" t="s">
        <v>303</v>
      </c>
      <c r="L219" s="256"/>
    </row>
    <row r="220" spans="2:12" ht="15.75" thickBot="1" x14ac:dyDescent="0.3">
      <c r="B220" s="271"/>
      <c r="C220" s="272"/>
      <c r="D220" s="273" t="s">
        <v>304</v>
      </c>
      <c r="E220" s="272" t="s">
        <v>305</v>
      </c>
      <c r="F220" s="286" t="s">
        <v>312</v>
      </c>
      <c r="H220" s="271"/>
      <c r="I220" s="272"/>
      <c r="J220" s="273" t="s">
        <v>304</v>
      </c>
      <c r="K220" s="272" t="s">
        <v>305</v>
      </c>
      <c r="L220" s="286" t="s">
        <v>312</v>
      </c>
    </row>
    <row r="221" spans="2:12" ht="15.75" thickBot="1" x14ac:dyDescent="0.3"/>
    <row r="222" spans="2:12" x14ac:dyDescent="0.25">
      <c r="H222" s="428" t="s">
        <v>211</v>
      </c>
      <c r="I222" s="429"/>
      <c r="J222" s="429"/>
      <c r="K222" s="429"/>
      <c r="L222" s="430"/>
    </row>
    <row r="223" spans="2:12" ht="15.75" thickBot="1" x14ac:dyDescent="0.3">
      <c r="H223" s="434" t="s">
        <v>153</v>
      </c>
      <c r="I223" s="435"/>
      <c r="J223" s="435"/>
      <c r="K223" s="435"/>
      <c r="L223" s="436"/>
    </row>
    <row r="224" spans="2:12" x14ac:dyDescent="0.25">
      <c r="H224" s="416" t="s">
        <v>282</v>
      </c>
      <c r="I224" s="417"/>
      <c r="J224" s="417"/>
      <c r="K224" s="417"/>
      <c r="L224" s="418"/>
    </row>
    <row r="225" spans="8:12" ht="15.75" thickBot="1" x14ac:dyDescent="0.3">
      <c r="H225" s="419" t="s">
        <v>283</v>
      </c>
      <c r="I225" s="420"/>
      <c r="J225" s="421"/>
      <c r="K225" s="422"/>
      <c r="L225" s="423"/>
    </row>
    <row r="226" spans="8:12" ht="15.75" thickBot="1" x14ac:dyDescent="0.3">
      <c r="H226" s="250" t="s">
        <v>108</v>
      </c>
      <c r="I226" s="251" t="s">
        <v>156</v>
      </c>
      <c r="J226" s="284" t="s">
        <v>157</v>
      </c>
      <c r="K226" s="251" t="s">
        <v>158</v>
      </c>
      <c r="L226" s="252" t="s">
        <v>159</v>
      </c>
    </row>
    <row r="227" spans="8:12" x14ac:dyDescent="0.25">
      <c r="H227" s="424" t="s">
        <v>284</v>
      </c>
      <c r="I227" s="425"/>
      <c r="J227" s="425"/>
      <c r="K227" s="425"/>
      <c r="L227" s="426"/>
    </row>
    <row r="228" spans="8:12" x14ac:dyDescent="0.25">
      <c r="H228" s="253"/>
      <c r="I228" s="254" t="s">
        <v>161</v>
      </c>
      <c r="J228" s="266"/>
      <c r="K228" s="257" t="s">
        <v>340</v>
      </c>
      <c r="L228" s="256"/>
    </row>
    <row r="229" spans="8:12" x14ac:dyDescent="0.25">
      <c r="H229" s="253"/>
      <c r="I229" s="254" t="s">
        <v>162</v>
      </c>
      <c r="J229" s="266"/>
      <c r="K229" s="257" t="s">
        <v>341</v>
      </c>
      <c r="L229" s="256"/>
    </row>
    <row r="230" spans="8:12" x14ac:dyDescent="0.25">
      <c r="H230" s="253"/>
      <c r="I230" s="254" t="s">
        <v>165</v>
      </c>
      <c r="J230" s="266"/>
      <c r="K230" s="257"/>
      <c r="L230" s="256"/>
    </row>
    <row r="231" spans="8:12" x14ac:dyDescent="0.25">
      <c r="H231" s="253"/>
      <c r="I231" s="254"/>
      <c r="J231" s="266" t="s">
        <v>166</v>
      </c>
      <c r="K231" s="257">
        <v>0</v>
      </c>
      <c r="L231" s="256"/>
    </row>
    <row r="232" spans="8:12" x14ac:dyDescent="0.25">
      <c r="H232" s="253"/>
      <c r="I232" s="254"/>
      <c r="J232" s="266" t="s">
        <v>167</v>
      </c>
      <c r="K232" s="257">
        <v>0</v>
      </c>
      <c r="L232" s="256" t="s">
        <v>168</v>
      </c>
    </row>
    <row r="233" spans="8:12" x14ac:dyDescent="0.25">
      <c r="H233" s="253"/>
      <c r="I233" s="254" t="s">
        <v>169</v>
      </c>
      <c r="J233" s="266"/>
      <c r="K233" s="259"/>
      <c r="L233" s="256" t="s">
        <v>170</v>
      </c>
    </row>
    <row r="234" spans="8:12" x14ac:dyDescent="0.25">
      <c r="H234" s="253"/>
      <c r="I234" s="254" t="s">
        <v>172</v>
      </c>
      <c r="J234" s="266"/>
      <c r="K234" s="257">
        <f>15*12*30</f>
        <v>5400</v>
      </c>
      <c r="L234" s="256" t="s">
        <v>173</v>
      </c>
    </row>
    <row r="235" spans="8:12" x14ac:dyDescent="0.25">
      <c r="H235" s="260"/>
      <c r="I235" s="261" t="s">
        <v>175</v>
      </c>
      <c r="J235" s="285"/>
      <c r="K235" s="262" t="str">
        <f>'Data Lingkungan_IC'!CQ63</f>
        <v>off</v>
      </c>
      <c r="L235" s="263"/>
    </row>
    <row r="236" spans="8:12" x14ac:dyDescent="0.25">
      <c r="H236" s="253"/>
      <c r="I236" s="254" t="s">
        <v>177</v>
      </c>
      <c r="J236" s="266"/>
      <c r="K236" s="257">
        <v>120</v>
      </c>
      <c r="L236" s="256" t="s">
        <v>173</v>
      </c>
    </row>
    <row r="237" spans="8:12" x14ac:dyDescent="0.25">
      <c r="H237" s="253"/>
      <c r="I237" s="254" t="s">
        <v>179</v>
      </c>
      <c r="J237" s="266"/>
      <c r="K237" s="264">
        <f>K234-K236-(K238+K240)/2*10</f>
        <v>5275</v>
      </c>
      <c r="L237" s="256" t="s">
        <v>173</v>
      </c>
    </row>
    <row r="238" spans="8:12" x14ac:dyDescent="0.25">
      <c r="H238" s="253"/>
      <c r="I238" s="254" t="s">
        <v>181</v>
      </c>
      <c r="J238" s="266" t="s">
        <v>182</v>
      </c>
      <c r="K238" s="265">
        <f>((K236/K234)*45-K239)</f>
        <v>1</v>
      </c>
      <c r="L238" s="256" t="s">
        <v>183</v>
      </c>
    </row>
    <row r="239" spans="8:12" ht="30" x14ac:dyDescent="0.25">
      <c r="H239" s="253"/>
      <c r="I239" s="254"/>
      <c r="J239" s="266" t="s">
        <v>185</v>
      </c>
      <c r="K239" s="267">
        <f>'Data Lingkungan_IC'!AG190</f>
        <v>0</v>
      </c>
      <c r="L239" s="256" t="s">
        <v>186</v>
      </c>
    </row>
    <row r="240" spans="8:12" x14ac:dyDescent="0.25">
      <c r="H240" s="253"/>
      <c r="I240" s="254" t="s">
        <v>188</v>
      </c>
      <c r="J240" s="266" t="s">
        <v>182</v>
      </c>
      <c r="K240" s="267">
        <f>'Data Lingkungan_IC'!CT63</f>
        <v>0</v>
      </c>
      <c r="L240" s="256" t="s">
        <v>183</v>
      </c>
    </row>
    <row r="241" spans="8:12" ht="30" x14ac:dyDescent="0.25">
      <c r="H241" s="253"/>
      <c r="I241" s="254" t="s">
        <v>190</v>
      </c>
      <c r="J241" s="266"/>
      <c r="K241" s="268">
        <f>(K237/K234)</f>
        <v>0.97685185185185186</v>
      </c>
      <c r="L241" s="256" t="s">
        <v>191</v>
      </c>
    </row>
    <row r="242" spans="8:12" x14ac:dyDescent="0.25">
      <c r="H242" s="253"/>
      <c r="I242" s="254" t="s">
        <v>287</v>
      </c>
      <c r="J242" s="266"/>
      <c r="K242" s="257"/>
      <c r="L242" s="256"/>
    </row>
    <row r="243" spans="8:12" x14ac:dyDescent="0.25">
      <c r="H243" s="253"/>
      <c r="I243" s="254"/>
      <c r="J243" s="266" t="s">
        <v>288</v>
      </c>
      <c r="K243" s="257">
        <v>90</v>
      </c>
      <c r="L243" s="256" t="s">
        <v>289</v>
      </c>
    </row>
    <row r="244" spans="8:12" x14ac:dyDescent="0.25">
      <c r="H244" s="253"/>
      <c r="I244" s="254"/>
      <c r="J244" s="266" t="s">
        <v>290</v>
      </c>
      <c r="K244" s="257">
        <v>0.05</v>
      </c>
      <c r="L244" s="256" t="s">
        <v>289</v>
      </c>
    </row>
    <row r="245" spans="8:12" x14ac:dyDescent="0.25">
      <c r="H245" s="253"/>
      <c r="I245" s="254"/>
      <c r="J245" s="266" t="s">
        <v>291</v>
      </c>
      <c r="K245" s="257">
        <v>210</v>
      </c>
      <c r="L245" s="256" t="s">
        <v>289</v>
      </c>
    </row>
    <row r="246" spans="8:12" x14ac:dyDescent="0.25">
      <c r="H246" s="253"/>
      <c r="I246" s="254" t="s">
        <v>292</v>
      </c>
      <c r="J246" s="266" t="s">
        <v>293</v>
      </c>
      <c r="K246" s="257" t="s">
        <v>294</v>
      </c>
      <c r="L246" s="256" t="s">
        <v>295</v>
      </c>
    </row>
    <row r="247" spans="8:12" x14ac:dyDescent="0.25">
      <c r="H247" s="253"/>
      <c r="I247" s="254"/>
      <c r="J247" s="266" t="s">
        <v>194</v>
      </c>
      <c r="K247" s="257" t="s">
        <v>296</v>
      </c>
      <c r="L247" s="256"/>
    </row>
    <row r="248" spans="8:12" x14ac:dyDescent="0.25">
      <c r="H248" s="253"/>
      <c r="I248" s="254"/>
      <c r="J248" s="266" t="s">
        <v>297</v>
      </c>
      <c r="K248" s="257">
        <v>0.5</v>
      </c>
      <c r="L248" s="256" t="s">
        <v>298</v>
      </c>
    </row>
    <row r="249" spans="8:12" ht="30" x14ac:dyDescent="0.25">
      <c r="H249" s="253"/>
      <c r="I249" s="254"/>
      <c r="J249" s="266" t="s">
        <v>299</v>
      </c>
      <c r="K249" s="257" t="s">
        <v>300</v>
      </c>
      <c r="L249" s="256" t="s">
        <v>301</v>
      </c>
    </row>
    <row r="250" spans="8:12" x14ac:dyDescent="0.25">
      <c r="H250" s="253"/>
      <c r="I250" s="257"/>
      <c r="J250" s="266" t="s">
        <v>302</v>
      </c>
      <c r="K250" s="257" t="s">
        <v>303</v>
      </c>
      <c r="L250" s="256"/>
    </row>
    <row r="251" spans="8:12" ht="15.75" thickBot="1" x14ac:dyDescent="0.3">
      <c r="H251" s="271"/>
      <c r="I251" s="272"/>
      <c r="J251" s="273" t="s">
        <v>304</v>
      </c>
      <c r="K251" s="272" t="s">
        <v>305</v>
      </c>
      <c r="L251" s="286" t="s">
        <v>312</v>
      </c>
    </row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</sheetData>
  <mergeCells count="120">
    <mergeCell ref="H222:L222"/>
    <mergeCell ref="H223:L223"/>
    <mergeCell ref="H224:L224"/>
    <mergeCell ref="H225:I225"/>
    <mergeCell ref="J225:L225"/>
    <mergeCell ref="H227:L227"/>
    <mergeCell ref="B194:C194"/>
    <mergeCell ref="D194:F194"/>
    <mergeCell ref="H194:I194"/>
    <mergeCell ref="J194:L194"/>
    <mergeCell ref="B196:F196"/>
    <mergeCell ref="H196:L196"/>
    <mergeCell ref="B191:F191"/>
    <mergeCell ref="H191:L191"/>
    <mergeCell ref="B192:F192"/>
    <mergeCell ref="H192:L192"/>
    <mergeCell ref="B193:F193"/>
    <mergeCell ref="H193:L193"/>
    <mergeCell ref="B163:C163"/>
    <mergeCell ref="D163:F163"/>
    <mergeCell ref="H163:I163"/>
    <mergeCell ref="J163:L163"/>
    <mergeCell ref="B165:F165"/>
    <mergeCell ref="H165:L165"/>
    <mergeCell ref="B160:F160"/>
    <mergeCell ref="H160:L160"/>
    <mergeCell ref="B161:F161"/>
    <mergeCell ref="H161:L161"/>
    <mergeCell ref="B162:F162"/>
    <mergeCell ref="H162:L162"/>
    <mergeCell ref="B132:C132"/>
    <mergeCell ref="D132:F132"/>
    <mergeCell ref="H132:I132"/>
    <mergeCell ref="J132:L132"/>
    <mergeCell ref="B134:F134"/>
    <mergeCell ref="H134:L134"/>
    <mergeCell ref="B129:F129"/>
    <mergeCell ref="H129:L129"/>
    <mergeCell ref="B130:F130"/>
    <mergeCell ref="H130:L130"/>
    <mergeCell ref="B131:F131"/>
    <mergeCell ref="H131:L131"/>
    <mergeCell ref="T101:U101"/>
    <mergeCell ref="V101:X101"/>
    <mergeCell ref="B103:F103"/>
    <mergeCell ref="H103:L103"/>
    <mergeCell ref="N103:R103"/>
    <mergeCell ref="T103:X103"/>
    <mergeCell ref="B100:F100"/>
    <mergeCell ref="H100:L100"/>
    <mergeCell ref="N100:R100"/>
    <mergeCell ref="T100:X100"/>
    <mergeCell ref="B101:C101"/>
    <mergeCell ref="D101:F101"/>
    <mergeCell ref="H101:I101"/>
    <mergeCell ref="J101:L101"/>
    <mergeCell ref="N101:O101"/>
    <mergeCell ref="P101:R101"/>
    <mergeCell ref="B98:F98"/>
    <mergeCell ref="H98:L98"/>
    <mergeCell ref="N98:R98"/>
    <mergeCell ref="T98:X98"/>
    <mergeCell ref="B99:F99"/>
    <mergeCell ref="H99:L99"/>
    <mergeCell ref="N99:R99"/>
    <mergeCell ref="T99:X99"/>
    <mergeCell ref="T70:U70"/>
    <mergeCell ref="V70:X70"/>
    <mergeCell ref="B72:F72"/>
    <mergeCell ref="H72:L72"/>
    <mergeCell ref="N72:R72"/>
    <mergeCell ref="T72:X72"/>
    <mergeCell ref="B69:F69"/>
    <mergeCell ref="H69:L69"/>
    <mergeCell ref="N69:R69"/>
    <mergeCell ref="T69:X69"/>
    <mergeCell ref="B70:C70"/>
    <mergeCell ref="D70:F70"/>
    <mergeCell ref="H70:I70"/>
    <mergeCell ref="J70:L70"/>
    <mergeCell ref="N70:O70"/>
    <mergeCell ref="P70:R70"/>
    <mergeCell ref="B67:F67"/>
    <mergeCell ref="H67:L67"/>
    <mergeCell ref="N67:R67"/>
    <mergeCell ref="T67:X67"/>
    <mergeCell ref="B68:F68"/>
    <mergeCell ref="H68:L68"/>
    <mergeCell ref="N68:R68"/>
    <mergeCell ref="T68:X68"/>
    <mergeCell ref="T39:U39"/>
    <mergeCell ref="V39:X39"/>
    <mergeCell ref="B41:F41"/>
    <mergeCell ref="H41:L41"/>
    <mergeCell ref="N41:R41"/>
    <mergeCell ref="T41:X41"/>
    <mergeCell ref="B38:F38"/>
    <mergeCell ref="H38:L38"/>
    <mergeCell ref="N38:R38"/>
    <mergeCell ref="T38:X38"/>
    <mergeCell ref="B39:C39"/>
    <mergeCell ref="D39:F39"/>
    <mergeCell ref="H39:I39"/>
    <mergeCell ref="J39:L39"/>
    <mergeCell ref="N39:O39"/>
    <mergeCell ref="P39:R39"/>
    <mergeCell ref="B36:F36"/>
    <mergeCell ref="H36:L36"/>
    <mergeCell ref="N36:R36"/>
    <mergeCell ref="T36:X36"/>
    <mergeCell ref="B37:F37"/>
    <mergeCell ref="H37:L37"/>
    <mergeCell ref="N37:R37"/>
    <mergeCell ref="T37:X37"/>
    <mergeCell ref="B5:F5"/>
    <mergeCell ref="B6:F6"/>
    <mergeCell ref="B7:F7"/>
    <mergeCell ref="B8:C8"/>
    <mergeCell ref="D8:F8"/>
    <mergeCell ref="B10:F10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DINAMIS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</sheetPr>
  <dimension ref="B3:X357"/>
  <sheetViews>
    <sheetView showGridLines="0" topLeftCell="G130" zoomScale="70" zoomScaleNormal="70" zoomScalePageLayoutView="80" workbookViewId="0">
      <selection activeCell="G16" sqref="G16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7" max="7" width="1.7109375" customWidth="1"/>
    <col min="8" max="8" width="3.42578125" bestFit="1" customWidth="1"/>
    <col min="9" max="12" width="20.7109375" customWidth="1"/>
    <col min="13" max="13" width="1.7109375" customWidth="1"/>
    <col min="14" max="14" width="3.42578125" bestFit="1" customWidth="1"/>
    <col min="15" max="18" width="20.7109375" customWidth="1"/>
    <col min="19" max="19" width="1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3" spans="2:6" s="2" customFormat="1" ht="21" x14ac:dyDescent="0.35">
      <c r="B3" s="2" t="s">
        <v>0</v>
      </c>
    </row>
    <row r="4" spans="2:6" ht="15.75" thickBot="1" x14ac:dyDescent="0.3"/>
    <row r="5" spans="2:6" x14ac:dyDescent="0.25">
      <c r="B5" s="410" t="s">
        <v>152</v>
      </c>
      <c r="C5" s="411"/>
      <c r="D5" s="411"/>
      <c r="E5" s="411"/>
      <c r="F5" s="412"/>
    </row>
    <row r="6" spans="2:6" ht="15.75" thickBot="1" x14ac:dyDescent="0.3">
      <c r="B6" s="413" t="s">
        <v>153</v>
      </c>
      <c r="C6" s="414"/>
      <c r="D6" s="414"/>
      <c r="E6" s="414"/>
      <c r="F6" s="415"/>
    </row>
    <row r="7" spans="2:6" x14ac:dyDescent="0.25">
      <c r="B7" s="416" t="s">
        <v>282</v>
      </c>
      <c r="C7" s="417"/>
      <c r="D7" s="417"/>
      <c r="E7" s="417"/>
      <c r="F7" s="418"/>
    </row>
    <row r="8" spans="2:6" ht="15.75" thickBot="1" x14ac:dyDescent="0.3">
      <c r="B8" s="419" t="s">
        <v>342</v>
      </c>
      <c r="C8" s="420"/>
      <c r="D8" s="421"/>
      <c r="E8" s="422"/>
      <c r="F8" s="423"/>
    </row>
    <row r="9" spans="2:6" ht="15.75" thickBot="1" x14ac:dyDescent="0.3">
      <c r="B9" s="250" t="s">
        <v>108</v>
      </c>
      <c r="C9" s="251" t="s">
        <v>156</v>
      </c>
      <c r="D9" s="251" t="s">
        <v>157</v>
      </c>
      <c r="E9" s="251" t="s">
        <v>158</v>
      </c>
      <c r="F9" s="252" t="s">
        <v>159</v>
      </c>
    </row>
    <row r="10" spans="2:6" x14ac:dyDescent="0.25">
      <c r="B10" s="424" t="s">
        <v>343</v>
      </c>
      <c r="C10" s="425"/>
      <c r="D10" s="425"/>
      <c r="E10" s="425"/>
      <c r="F10" s="426"/>
    </row>
    <row r="11" spans="2:6" x14ac:dyDescent="0.25">
      <c r="B11" s="253"/>
      <c r="C11" s="254" t="s">
        <v>161</v>
      </c>
      <c r="D11" s="254"/>
      <c r="E11" s="257" t="s">
        <v>344</v>
      </c>
      <c r="F11" s="288"/>
    </row>
    <row r="12" spans="2:6" x14ac:dyDescent="0.25">
      <c r="B12" s="253"/>
      <c r="C12" s="254" t="s">
        <v>162</v>
      </c>
      <c r="D12" s="254"/>
      <c r="E12" s="289" t="s">
        <v>345</v>
      </c>
      <c r="F12" s="288"/>
    </row>
    <row r="13" spans="2:6" x14ac:dyDescent="0.25">
      <c r="B13" s="253"/>
      <c r="C13" s="254" t="s">
        <v>165</v>
      </c>
      <c r="D13" s="266"/>
      <c r="E13" s="257"/>
      <c r="F13" s="256"/>
    </row>
    <row r="14" spans="2:6" ht="30" x14ac:dyDescent="0.25">
      <c r="B14" s="253"/>
      <c r="C14" s="254"/>
      <c r="D14" s="266" t="s">
        <v>166</v>
      </c>
      <c r="E14" s="257">
        <v>0</v>
      </c>
      <c r="F14" s="290" t="s">
        <v>346</v>
      </c>
    </row>
    <row r="15" spans="2:6" x14ac:dyDescent="0.25">
      <c r="B15" s="253"/>
      <c r="C15" s="254"/>
      <c r="D15" s="266" t="s">
        <v>167</v>
      </c>
      <c r="E15" s="257">
        <v>0</v>
      </c>
      <c r="F15" s="256" t="s">
        <v>168</v>
      </c>
    </row>
    <row r="16" spans="2:6" x14ac:dyDescent="0.25">
      <c r="B16" s="253"/>
      <c r="C16" s="254" t="s">
        <v>169</v>
      </c>
      <c r="D16" s="266"/>
      <c r="E16" s="259"/>
      <c r="F16" s="256" t="s">
        <v>170</v>
      </c>
    </row>
    <row r="17" spans="2:6" x14ac:dyDescent="0.25">
      <c r="B17" s="253"/>
      <c r="C17" s="254" t="s">
        <v>172</v>
      </c>
      <c r="D17" s="266"/>
      <c r="E17" s="257">
        <f>15*12*30</f>
        <v>5400</v>
      </c>
      <c r="F17" s="256" t="s">
        <v>173</v>
      </c>
    </row>
    <row r="18" spans="2:6" x14ac:dyDescent="0.25">
      <c r="B18" s="260"/>
      <c r="C18" s="261" t="s">
        <v>175</v>
      </c>
      <c r="D18" s="285"/>
      <c r="E18" s="262" t="str">
        <f>'Data Lingkungan_IC'!AF66</f>
        <v>on</v>
      </c>
      <c r="F18" s="263"/>
    </row>
    <row r="19" spans="2:6" x14ac:dyDescent="0.25">
      <c r="B19" s="253"/>
      <c r="C19" s="254" t="s">
        <v>177</v>
      </c>
      <c r="D19" s="266"/>
      <c r="E19" s="257">
        <v>120</v>
      </c>
      <c r="F19" s="256" t="s">
        <v>173</v>
      </c>
    </row>
    <row r="20" spans="2:6" x14ac:dyDescent="0.25">
      <c r="B20" s="253"/>
      <c r="C20" s="254" t="s">
        <v>179</v>
      </c>
      <c r="D20" s="266"/>
      <c r="E20" s="264">
        <f>E17-E19-(E21+E23)/2*10</f>
        <v>5280</v>
      </c>
      <c r="F20" s="256" t="s">
        <v>173</v>
      </c>
    </row>
    <row r="21" spans="2:6" x14ac:dyDescent="0.25">
      <c r="B21" s="253"/>
      <c r="C21" s="254" t="s">
        <v>181</v>
      </c>
      <c r="D21" s="266" t="s">
        <v>182</v>
      </c>
      <c r="E21" s="265">
        <f>((E19/E17)*45-E22)</f>
        <v>0</v>
      </c>
      <c r="F21" s="256" t="s">
        <v>183</v>
      </c>
    </row>
    <row r="22" spans="2:6" ht="30" x14ac:dyDescent="0.25">
      <c r="B22" s="253"/>
      <c r="C22" s="254"/>
      <c r="D22" s="266" t="s">
        <v>185</v>
      </c>
      <c r="E22" s="267">
        <v>1</v>
      </c>
      <c r="F22" s="256" t="s">
        <v>186</v>
      </c>
    </row>
    <row r="23" spans="2:6" x14ac:dyDescent="0.25">
      <c r="B23" s="253"/>
      <c r="C23" s="254" t="s">
        <v>188</v>
      </c>
      <c r="D23" s="266" t="s">
        <v>182</v>
      </c>
      <c r="E23" s="267">
        <f>'Data Lingkungan_IC'!AI66</f>
        <v>0</v>
      </c>
      <c r="F23" s="256" t="s">
        <v>183</v>
      </c>
    </row>
    <row r="24" spans="2:6" ht="45" x14ac:dyDescent="0.25">
      <c r="B24" s="253"/>
      <c r="C24" s="254" t="s">
        <v>190</v>
      </c>
      <c r="D24" s="266"/>
      <c r="E24" s="268">
        <f>(E20/E17)</f>
        <v>0.97777777777777775</v>
      </c>
      <c r="F24" s="256" t="s">
        <v>347</v>
      </c>
    </row>
    <row r="25" spans="2:6" x14ac:dyDescent="0.25">
      <c r="B25" s="253"/>
      <c r="C25" s="254" t="s">
        <v>287</v>
      </c>
      <c r="D25" s="266"/>
      <c r="E25" s="257"/>
      <c r="F25" s="256"/>
    </row>
    <row r="26" spans="2:6" x14ac:dyDescent="0.25">
      <c r="B26" s="253"/>
      <c r="C26" s="254"/>
      <c r="D26" s="266" t="s">
        <v>288</v>
      </c>
      <c r="E26" s="257">
        <v>90</v>
      </c>
      <c r="F26" s="256" t="s">
        <v>289</v>
      </c>
    </row>
    <row r="27" spans="2:6" x14ac:dyDescent="0.25">
      <c r="B27" s="253"/>
      <c r="C27" s="254"/>
      <c r="D27" s="266" t="s">
        <v>290</v>
      </c>
      <c r="E27" s="257">
        <v>0.05</v>
      </c>
      <c r="F27" s="256" t="s">
        <v>289</v>
      </c>
    </row>
    <row r="28" spans="2:6" x14ac:dyDescent="0.25">
      <c r="B28" s="253"/>
      <c r="C28" s="254"/>
      <c r="D28" s="266" t="s">
        <v>291</v>
      </c>
      <c r="E28" s="257">
        <v>210</v>
      </c>
      <c r="F28" s="256" t="s">
        <v>289</v>
      </c>
    </row>
    <row r="29" spans="2:6" x14ac:dyDescent="0.25">
      <c r="B29" s="253"/>
      <c r="C29" s="254" t="s">
        <v>282</v>
      </c>
      <c r="D29" s="266" t="s">
        <v>293</v>
      </c>
      <c r="E29" s="257" t="s">
        <v>294</v>
      </c>
      <c r="F29" s="256" t="s">
        <v>295</v>
      </c>
    </row>
    <row r="30" spans="2:6" x14ac:dyDescent="0.25">
      <c r="B30" s="253"/>
      <c r="C30" s="254"/>
      <c r="D30" s="266" t="s">
        <v>194</v>
      </c>
      <c r="E30" s="257" t="s">
        <v>296</v>
      </c>
      <c r="F30" s="256"/>
    </row>
    <row r="31" spans="2:6" x14ac:dyDescent="0.25">
      <c r="B31" s="253"/>
      <c r="C31" s="254"/>
      <c r="D31" s="266" t="s">
        <v>297</v>
      </c>
      <c r="E31" s="257">
        <v>0.5</v>
      </c>
      <c r="F31" s="256" t="s">
        <v>298</v>
      </c>
    </row>
    <row r="32" spans="2:6" ht="30" x14ac:dyDescent="0.25">
      <c r="B32" s="253"/>
      <c r="C32" s="254"/>
      <c r="D32" s="266" t="s">
        <v>299</v>
      </c>
      <c r="E32" s="257" t="s">
        <v>300</v>
      </c>
      <c r="F32" s="256" t="s">
        <v>301</v>
      </c>
    </row>
    <row r="33" spans="2:24" x14ac:dyDescent="0.25">
      <c r="B33" s="253"/>
      <c r="C33" s="257"/>
      <c r="D33" s="266" t="s">
        <v>302</v>
      </c>
      <c r="E33" s="257" t="s">
        <v>303</v>
      </c>
      <c r="F33" s="256"/>
    </row>
    <row r="34" spans="2:24" ht="15.75" thickBot="1" x14ac:dyDescent="0.3">
      <c r="B34" s="271"/>
      <c r="C34" s="272"/>
      <c r="D34" s="273" t="s">
        <v>304</v>
      </c>
      <c r="E34" s="272" t="s">
        <v>305</v>
      </c>
      <c r="F34" s="286" t="s">
        <v>127</v>
      </c>
    </row>
    <row r="35" spans="2:24" ht="15.75" thickBot="1" x14ac:dyDescent="0.3"/>
    <row r="36" spans="2:24" x14ac:dyDescent="0.25">
      <c r="B36" s="428" t="s">
        <v>211</v>
      </c>
      <c r="C36" s="429"/>
      <c r="D36" s="429"/>
      <c r="E36" s="429"/>
      <c r="F36" s="430"/>
      <c r="H36" s="428" t="s">
        <v>211</v>
      </c>
      <c r="I36" s="429"/>
      <c r="J36" s="429"/>
      <c r="K36" s="429"/>
      <c r="L36" s="430"/>
      <c r="N36" s="428" t="s">
        <v>211</v>
      </c>
      <c r="O36" s="429"/>
      <c r="P36" s="429"/>
      <c r="Q36" s="429"/>
      <c r="R36" s="430"/>
      <c r="T36" s="428" t="s">
        <v>211</v>
      </c>
      <c r="U36" s="429"/>
      <c r="V36" s="429"/>
      <c r="W36" s="429"/>
      <c r="X36" s="430"/>
    </row>
    <row r="37" spans="2:24" ht="15.75" thickBot="1" x14ac:dyDescent="0.3">
      <c r="B37" s="434" t="s">
        <v>153</v>
      </c>
      <c r="C37" s="435"/>
      <c r="D37" s="435"/>
      <c r="E37" s="435"/>
      <c r="F37" s="436"/>
      <c r="H37" s="434" t="s">
        <v>153</v>
      </c>
      <c r="I37" s="435"/>
      <c r="J37" s="435"/>
      <c r="K37" s="435"/>
      <c r="L37" s="436"/>
      <c r="N37" s="431" t="s">
        <v>153</v>
      </c>
      <c r="O37" s="432"/>
      <c r="P37" s="432"/>
      <c r="Q37" s="432"/>
      <c r="R37" s="433"/>
      <c r="T37" s="434" t="s">
        <v>153</v>
      </c>
      <c r="U37" s="435"/>
      <c r="V37" s="435"/>
      <c r="W37" s="435"/>
      <c r="X37" s="436"/>
    </row>
    <row r="38" spans="2:24" x14ac:dyDescent="0.25">
      <c r="B38" s="416" t="s">
        <v>282</v>
      </c>
      <c r="C38" s="417"/>
      <c r="D38" s="417"/>
      <c r="E38" s="417"/>
      <c r="F38" s="418"/>
      <c r="H38" s="416" t="s">
        <v>282</v>
      </c>
      <c r="I38" s="417"/>
      <c r="J38" s="417"/>
      <c r="K38" s="417"/>
      <c r="L38" s="418"/>
      <c r="N38" s="416" t="s">
        <v>282</v>
      </c>
      <c r="O38" s="417"/>
      <c r="P38" s="417"/>
      <c r="Q38" s="417"/>
      <c r="R38" s="418"/>
      <c r="T38" s="416" t="s">
        <v>282</v>
      </c>
      <c r="U38" s="417"/>
      <c r="V38" s="417"/>
      <c r="W38" s="417"/>
      <c r="X38" s="418"/>
    </row>
    <row r="39" spans="2:24" ht="15.75" thickBot="1" x14ac:dyDescent="0.3">
      <c r="B39" s="419" t="s">
        <v>342</v>
      </c>
      <c r="C39" s="437"/>
      <c r="D39" s="421"/>
      <c r="E39" s="422"/>
      <c r="F39" s="423"/>
      <c r="H39" s="419" t="s">
        <v>342</v>
      </c>
      <c r="I39" s="420"/>
      <c r="J39" s="421"/>
      <c r="K39" s="422"/>
      <c r="L39" s="423"/>
      <c r="N39" s="419" t="s">
        <v>342</v>
      </c>
      <c r="O39" s="437"/>
      <c r="P39" s="421"/>
      <c r="Q39" s="422"/>
      <c r="R39" s="423"/>
      <c r="T39" s="419" t="s">
        <v>342</v>
      </c>
      <c r="U39" s="420"/>
      <c r="V39" s="421"/>
      <c r="W39" s="422"/>
      <c r="X39" s="423"/>
    </row>
    <row r="40" spans="2:24" ht="15.75" thickBot="1" x14ac:dyDescent="0.3">
      <c r="B40" s="250" t="s">
        <v>108</v>
      </c>
      <c r="C40" s="251" t="s">
        <v>156</v>
      </c>
      <c r="D40" s="251" t="s">
        <v>157</v>
      </c>
      <c r="E40" s="251" t="s">
        <v>158</v>
      </c>
      <c r="F40" s="252" t="s">
        <v>159</v>
      </c>
      <c r="H40" s="250" t="s">
        <v>108</v>
      </c>
      <c r="I40" s="251" t="s">
        <v>156</v>
      </c>
      <c r="J40" s="251" t="s">
        <v>157</v>
      </c>
      <c r="K40" s="251" t="s">
        <v>158</v>
      </c>
      <c r="L40" s="252" t="s">
        <v>159</v>
      </c>
      <c r="N40" s="250" t="s">
        <v>108</v>
      </c>
      <c r="O40" s="251" t="s">
        <v>156</v>
      </c>
      <c r="P40" s="251" t="s">
        <v>157</v>
      </c>
      <c r="Q40" s="251" t="s">
        <v>158</v>
      </c>
      <c r="R40" s="252" t="s">
        <v>159</v>
      </c>
      <c r="T40" s="250" t="s">
        <v>108</v>
      </c>
      <c r="U40" s="251" t="s">
        <v>156</v>
      </c>
      <c r="V40" s="251" t="s">
        <v>157</v>
      </c>
      <c r="W40" s="251" t="s">
        <v>158</v>
      </c>
      <c r="X40" s="252" t="s">
        <v>159</v>
      </c>
    </row>
    <row r="41" spans="2:24" x14ac:dyDescent="0.25">
      <c r="B41" s="441" t="s">
        <v>343</v>
      </c>
      <c r="C41" s="442"/>
      <c r="D41" s="442"/>
      <c r="E41" s="442"/>
      <c r="F41" s="443"/>
      <c r="H41" s="424" t="s">
        <v>343</v>
      </c>
      <c r="I41" s="425"/>
      <c r="J41" s="425"/>
      <c r="K41" s="425"/>
      <c r="L41" s="426"/>
      <c r="N41" s="441" t="s">
        <v>343</v>
      </c>
      <c r="O41" s="442"/>
      <c r="P41" s="442"/>
      <c r="Q41" s="442"/>
      <c r="R41" s="443"/>
      <c r="T41" s="424" t="s">
        <v>343</v>
      </c>
      <c r="U41" s="425"/>
      <c r="V41" s="425"/>
      <c r="W41" s="425"/>
      <c r="X41" s="426"/>
    </row>
    <row r="42" spans="2:24" x14ac:dyDescent="0.25">
      <c r="B42" s="253"/>
      <c r="C42" s="254" t="s">
        <v>161</v>
      </c>
      <c r="D42" s="254"/>
      <c r="E42" s="257" t="s">
        <v>348</v>
      </c>
      <c r="F42" s="288"/>
      <c r="H42" s="253"/>
      <c r="I42" s="254" t="s">
        <v>161</v>
      </c>
      <c r="J42" s="254"/>
      <c r="K42" s="257" t="s">
        <v>344</v>
      </c>
      <c r="L42" s="288"/>
      <c r="N42" s="253"/>
      <c r="O42" s="254" t="s">
        <v>161</v>
      </c>
      <c r="P42" s="254"/>
      <c r="Q42" s="257" t="s">
        <v>349</v>
      </c>
      <c r="R42" s="288"/>
      <c r="T42" s="253"/>
      <c r="U42" s="254" t="s">
        <v>161</v>
      </c>
      <c r="V42" s="254"/>
      <c r="W42" s="257" t="s">
        <v>350</v>
      </c>
      <c r="X42" s="288"/>
    </row>
    <row r="43" spans="2:24" x14ac:dyDescent="0.25">
      <c r="B43" s="253"/>
      <c r="C43" s="254" t="s">
        <v>162</v>
      </c>
      <c r="D43" s="254"/>
      <c r="E43" s="289" t="s">
        <v>351</v>
      </c>
      <c r="F43" s="288"/>
      <c r="H43" s="253"/>
      <c r="I43" s="254" t="s">
        <v>162</v>
      </c>
      <c r="J43" s="254"/>
      <c r="K43" s="289" t="s">
        <v>352</v>
      </c>
      <c r="L43" s="288"/>
      <c r="N43" s="253"/>
      <c r="O43" s="254" t="s">
        <v>162</v>
      </c>
      <c r="P43" s="254"/>
      <c r="Q43" s="289" t="s">
        <v>353</v>
      </c>
      <c r="R43" s="288"/>
      <c r="T43" s="253"/>
      <c r="U43" s="254" t="s">
        <v>162</v>
      </c>
      <c r="V43" s="254"/>
      <c r="W43" s="289" t="s">
        <v>354</v>
      </c>
      <c r="X43" s="288"/>
    </row>
    <row r="44" spans="2:24" x14ac:dyDescent="0.25">
      <c r="B44" s="253"/>
      <c r="C44" s="254" t="s">
        <v>165</v>
      </c>
      <c r="D44" s="266"/>
      <c r="E44" s="257"/>
      <c r="F44" s="256"/>
      <c r="H44" s="253"/>
      <c r="I44" s="254" t="s">
        <v>165</v>
      </c>
      <c r="J44" s="266"/>
      <c r="K44" s="257"/>
      <c r="L44" s="256"/>
      <c r="N44" s="253"/>
      <c r="O44" s="254" t="s">
        <v>165</v>
      </c>
      <c r="P44" s="266"/>
      <c r="Q44" s="257"/>
      <c r="R44" s="256"/>
      <c r="T44" s="253"/>
      <c r="U44" s="254" t="s">
        <v>165</v>
      </c>
      <c r="V44" s="266"/>
      <c r="W44" s="257"/>
      <c r="X44" s="256"/>
    </row>
    <row r="45" spans="2:24" ht="30" x14ac:dyDescent="0.25">
      <c r="B45" s="253"/>
      <c r="C45" s="254"/>
      <c r="D45" s="266" t="s">
        <v>166</v>
      </c>
      <c r="E45" s="257">
        <v>0</v>
      </c>
      <c r="F45" s="290" t="s">
        <v>346</v>
      </c>
      <c r="H45" s="253"/>
      <c r="I45" s="254"/>
      <c r="J45" s="266" t="s">
        <v>166</v>
      </c>
      <c r="K45" s="257">
        <v>0</v>
      </c>
      <c r="L45" s="290" t="s">
        <v>346</v>
      </c>
      <c r="N45" s="253"/>
      <c r="O45" s="254"/>
      <c r="P45" s="266" t="s">
        <v>166</v>
      </c>
      <c r="Q45" s="257">
        <v>0</v>
      </c>
      <c r="R45" s="290" t="s">
        <v>346</v>
      </c>
      <c r="T45" s="253"/>
      <c r="U45" s="254"/>
      <c r="V45" s="266" t="s">
        <v>166</v>
      </c>
      <c r="W45" s="257">
        <v>0</v>
      </c>
      <c r="X45" s="290" t="s">
        <v>346</v>
      </c>
    </row>
    <row r="46" spans="2:24" x14ac:dyDescent="0.25">
      <c r="B46" s="253"/>
      <c r="C46" s="254"/>
      <c r="D46" s="266" t="s">
        <v>167</v>
      </c>
      <c r="E46" s="257">
        <v>0</v>
      </c>
      <c r="F46" s="256" t="s">
        <v>168</v>
      </c>
      <c r="H46" s="253"/>
      <c r="I46" s="254"/>
      <c r="J46" s="266" t="s">
        <v>167</v>
      </c>
      <c r="K46" s="257">
        <v>0</v>
      </c>
      <c r="L46" s="256" t="s">
        <v>168</v>
      </c>
      <c r="N46" s="253"/>
      <c r="O46" s="254"/>
      <c r="P46" s="266" t="s">
        <v>167</v>
      </c>
      <c r="Q46" s="257">
        <v>0</v>
      </c>
      <c r="R46" s="256" t="s">
        <v>168</v>
      </c>
      <c r="T46" s="253"/>
      <c r="U46" s="254"/>
      <c r="V46" s="266" t="s">
        <v>167</v>
      </c>
      <c r="W46" s="257">
        <v>0</v>
      </c>
      <c r="X46" s="256" t="s">
        <v>168</v>
      </c>
    </row>
    <row r="47" spans="2:24" x14ac:dyDescent="0.25">
      <c r="B47" s="253"/>
      <c r="C47" s="254" t="s">
        <v>169</v>
      </c>
      <c r="D47" s="266"/>
      <c r="E47" s="259"/>
      <c r="F47" s="256" t="s">
        <v>170</v>
      </c>
      <c r="H47" s="253"/>
      <c r="I47" s="254" t="s">
        <v>169</v>
      </c>
      <c r="J47" s="266"/>
      <c r="K47" s="259"/>
      <c r="L47" s="256" t="s">
        <v>170</v>
      </c>
      <c r="N47" s="253"/>
      <c r="O47" s="254" t="s">
        <v>169</v>
      </c>
      <c r="P47" s="266"/>
      <c r="Q47" s="259"/>
      <c r="R47" s="256" t="s">
        <v>170</v>
      </c>
      <c r="T47" s="253"/>
      <c r="U47" s="254" t="s">
        <v>169</v>
      </c>
      <c r="V47" s="266"/>
      <c r="W47" s="259"/>
      <c r="X47" s="256" t="s">
        <v>170</v>
      </c>
    </row>
    <row r="48" spans="2:24" x14ac:dyDescent="0.25">
      <c r="B48" s="253"/>
      <c r="C48" s="254" t="s">
        <v>172</v>
      </c>
      <c r="D48" s="266"/>
      <c r="E48" s="257">
        <f>15*12*30</f>
        <v>5400</v>
      </c>
      <c r="F48" s="256" t="s">
        <v>173</v>
      </c>
      <c r="H48" s="253"/>
      <c r="I48" s="254" t="s">
        <v>172</v>
      </c>
      <c r="J48" s="266"/>
      <c r="K48" s="257">
        <f>15*12*30</f>
        <v>5400</v>
      </c>
      <c r="L48" s="256" t="s">
        <v>173</v>
      </c>
      <c r="N48" s="253"/>
      <c r="O48" s="254" t="s">
        <v>172</v>
      </c>
      <c r="P48" s="266"/>
      <c r="Q48" s="257">
        <f>15*12*30</f>
        <v>5400</v>
      </c>
      <c r="R48" s="256" t="s">
        <v>173</v>
      </c>
      <c r="T48" s="253"/>
      <c r="U48" s="254" t="s">
        <v>172</v>
      </c>
      <c r="V48" s="266"/>
      <c r="W48" s="257">
        <f>15*12*30</f>
        <v>5400</v>
      </c>
      <c r="X48" s="256" t="s">
        <v>173</v>
      </c>
    </row>
    <row r="49" spans="2:24" x14ac:dyDescent="0.25">
      <c r="B49" s="260"/>
      <c r="C49" s="261" t="s">
        <v>175</v>
      </c>
      <c r="D49" s="285"/>
      <c r="E49" s="262">
        <f>'Data Lingkungan_IC'!DI67</f>
        <v>0</v>
      </c>
      <c r="F49" s="263"/>
      <c r="H49" s="260"/>
      <c r="I49" s="261" t="s">
        <v>175</v>
      </c>
      <c r="J49" s="285"/>
      <c r="K49" s="262" t="str">
        <f>'Data Lingkungan_IC'!AF66</f>
        <v>on</v>
      </c>
      <c r="L49" s="263"/>
      <c r="N49" s="260"/>
      <c r="O49" s="261" t="s">
        <v>175</v>
      </c>
      <c r="P49" s="285"/>
      <c r="Q49" s="262">
        <f>'Data Lingkungan_IC'!CZ70</f>
        <v>0</v>
      </c>
      <c r="R49" s="263"/>
      <c r="T49" s="260"/>
      <c r="U49" s="261" t="s">
        <v>175</v>
      </c>
      <c r="V49" s="285"/>
      <c r="W49" s="262">
        <f>'Data Lingkungan_IC'!AF73</f>
        <v>0</v>
      </c>
      <c r="X49" s="263"/>
    </row>
    <row r="50" spans="2:24" x14ac:dyDescent="0.25">
      <c r="B50" s="253"/>
      <c r="C50" s="254" t="s">
        <v>177</v>
      </c>
      <c r="D50" s="266"/>
      <c r="E50" s="257">
        <v>120</v>
      </c>
      <c r="F50" s="256" t="s">
        <v>173</v>
      </c>
      <c r="H50" s="253"/>
      <c r="I50" s="254" t="s">
        <v>177</v>
      </c>
      <c r="J50" s="266"/>
      <c r="K50" s="257">
        <v>120</v>
      </c>
      <c r="L50" s="256" t="s">
        <v>173</v>
      </c>
      <c r="N50" s="253"/>
      <c r="O50" s="254" t="s">
        <v>177</v>
      </c>
      <c r="P50" s="266"/>
      <c r="Q50" s="257">
        <v>120</v>
      </c>
      <c r="R50" s="256" t="s">
        <v>173</v>
      </c>
      <c r="T50" s="253"/>
      <c r="U50" s="254" t="s">
        <v>177</v>
      </c>
      <c r="V50" s="266"/>
      <c r="W50" s="257">
        <v>120</v>
      </c>
      <c r="X50" s="256" t="s">
        <v>173</v>
      </c>
    </row>
    <row r="51" spans="2:24" x14ac:dyDescent="0.25">
      <c r="B51" s="253"/>
      <c r="C51" s="254" t="s">
        <v>179</v>
      </c>
      <c r="D51" s="266"/>
      <c r="E51" s="264">
        <f>E48-E50-(E52+E54)/2*10</f>
        <v>5275</v>
      </c>
      <c r="F51" s="256" t="s">
        <v>173</v>
      </c>
      <c r="H51" s="253"/>
      <c r="I51" s="254" t="s">
        <v>179</v>
      </c>
      <c r="J51" s="266"/>
      <c r="K51" s="264">
        <f>K48-K50-(K52+K54)/2*10</f>
        <v>5275</v>
      </c>
      <c r="L51" s="256" t="s">
        <v>173</v>
      </c>
      <c r="N51" s="253"/>
      <c r="O51" s="254" t="s">
        <v>179</v>
      </c>
      <c r="P51" s="266"/>
      <c r="Q51" s="264">
        <f>Q48-Q50-(Q52+Q54)/2*10</f>
        <v>5279.8842592592591</v>
      </c>
      <c r="R51" s="256" t="s">
        <v>173</v>
      </c>
      <c r="T51" s="253"/>
      <c r="U51" s="254" t="s">
        <v>179</v>
      </c>
      <c r="V51" s="266"/>
      <c r="W51" s="264">
        <f>W48-W50-(W52+W54)/2*10</f>
        <v>5275</v>
      </c>
      <c r="X51" s="256" t="s">
        <v>173</v>
      </c>
    </row>
    <row r="52" spans="2:24" x14ac:dyDescent="0.25">
      <c r="B52" s="253"/>
      <c r="C52" s="254" t="s">
        <v>181</v>
      </c>
      <c r="D52" s="266" t="s">
        <v>182</v>
      </c>
      <c r="E52" s="265">
        <f>((E50/E48)*45-E53)</f>
        <v>1</v>
      </c>
      <c r="F52" s="256" t="s">
        <v>183</v>
      </c>
      <c r="H52" s="253"/>
      <c r="I52" s="254" t="s">
        <v>181</v>
      </c>
      <c r="J52" s="266" t="s">
        <v>182</v>
      </c>
      <c r="K52" s="265">
        <f>((K50/K48)*45-K53)</f>
        <v>1</v>
      </c>
      <c r="L52" s="256" t="s">
        <v>183</v>
      </c>
      <c r="N52" s="253"/>
      <c r="O52" s="254" t="s">
        <v>181</v>
      </c>
      <c r="P52" s="266" t="s">
        <v>182</v>
      </c>
      <c r="Q52" s="265">
        <f>((Q50/Q48)*45-Q53)</f>
        <v>2.314814814814814E-2</v>
      </c>
      <c r="R52" s="256" t="s">
        <v>183</v>
      </c>
      <c r="T52" s="253"/>
      <c r="U52" s="254" t="s">
        <v>181</v>
      </c>
      <c r="V52" s="266" t="s">
        <v>182</v>
      </c>
      <c r="W52" s="265">
        <f>((W50/W48)*45-W53)</f>
        <v>1</v>
      </c>
      <c r="X52" s="256" t="s">
        <v>183</v>
      </c>
    </row>
    <row r="53" spans="2:24" ht="30" x14ac:dyDescent="0.25">
      <c r="B53" s="253"/>
      <c r="C53" s="254"/>
      <c r="D53" s="266" t="s">
        <v>185</v>
      </c>
      <c r="E53" s="267">
        <f>'Data Lingkungan_IC'!Z67</f>
        <v>0</v>
      </c>
      <c r="F53" s="256" t="s">
        <v>186</v>
      </c>
      <c r="H53" s="253"/>
      <c r="I53" s="254"/>
      <c r="J53" s="266" t="s">
        <v>185</v>
      </c>
      <c r="K53" s="267">
        <f>'Data Lingkungan_IC'!Z66</f>
        <v>0</v>
      </c>
      <c r="L53" s="256" t="s">
        <v>186</v>
      </c>
      <c r="N53" s="253"/>
      <c r="O53" s="254"/>
      <c r="P53" s="266" t="s">
        <v>185</v>
      </c>
      <c r="Q53" s="267">
        <f>'Data Lingkungan_IC'!AG66</f>
        <v>0.97685185185185186</v>
      </c>
      <c r="R53" s="256" t="s">
        <v>186</v>
      </c>
      <c r="T53" s="253"/>
      <c r="U53" s="254"/>
      <c r="V53" s="266" t="s">
        <v>185</v>
      </c>
      <c r="W53" s="267">
        <f>'Data Lingkungan_IC'!AM69</f>
        <v>0</v>
      </c>
      <c r="X53" s="256" t="s">
        <v>186</v>
      </c>
    </row>
    <row r="54" spans="2:24" x14ac:dyDescent="0.25">
      <c r="B54" s="253"/>
      <c r="C54" s="254" t="s">
        <v>188</v>
      </c>
      <c r="D54" s="266" t="s">
        <v>182</v>
      </c>
      <c r="E54" s="267">
        <f>'Data Lingkungan_IC'!DL67</f>
        <v>0</v>
      </c>
      <c r="F54" s="256" t="s">
        <v>183</v>
      </c>
      <c r="H54" s="253"/>
      <c r="I54" s="254" t="s">
        <v>188</v>
      </c>
      <c r="J54" s="266" t="s">
        <v>182</v>
      </c>
      <c r="K54" s="267">
        <f>'Data Lingkungan_IC'!AI66</f>
        <v>0</v>
      </c>
      <c r="L54" s="256" t="s">
        <v>183</v>
      </c>
      <c r="N54" s="253"/>
      <c r="O54" s="254" t="s">
        <v>188</v>
      </c>
      <c r="P54" s="266" t="s">
        <v>182</v>
      </c>
      <c r="Q54" s="267">
        <f>'Data Lingkungan_IC'!DC70</f>
        <v>0</v>
      </c>
      <c r="R54" s="256" t="s">
        <v>183</v>
      </c>
      <c r="T54" s="253"/>
      <c r="U54" s="254" t="s">
        <v>188</v>
      </c>
      <c r="V54" s="266" t="s">
        <v>182</v>
      </c>
      <c r="W54" s="267">
        <f>'Data Lingkungan_IC'!AI73</f>
        <v>0</v>
      </c>
      <c r="X54" s="256" t="s">
        <v>183</v>
      </c>
    </row>
    <row r="55" spans="2:24" ht="45" x14ac:dyDescent="0.25">
      <c r="B55" s="253"/>
      <c r="C55" s="254" t="s">
        <v>190</v>
      </c>
      <c r="D55" s="266"/>
      <c r="E55" s="268">
        <f>(E51/E48)</f>
        <v>0.97685185185185186</v>
      </c>
      <c r="F55" s="256" t="s">
        <v>347</v>
      </c>
      <c r="H55" s="253"/>
      <c r="I55" s="254" t="s">
        <v>190</v>
      </c>
      <c r="J55" s="266"/>
      <c r="K55" s="268">
        <f>(K51/K48)</f>
        <v>0.97685185185185186</v>
      </c>
      <c r="L55" s="256" t="s">
        <v>347</v>
      </c>
      <c r="N55" s="253"/>
      <c r="O55" s="254" t="s">
        <v>190</v>
      </c>
      <c r="P55" s="266"/>
      <c r="Q55" s="268">
        <f>(Q51/Q48)</f>
        <v>0.97775634430727021</v>
      </c>
      <c r="R55" s="256" t="s">
        <v>347</v>
      </c>
      <c r="T55" s="253"/>
      <c r="U55" s="254" t="s">
        <v>190</v>
      </c>
      <c r="V55" s="266"/>
      <c r="W55" s="268">
        <f>(W51/W48)</f>
        <v>0.97685185185185186</v>
      </c>
      <c r="X55" s="256" t="s">
        <v>347</v>
      </c>
    </row>
    <row r="56" spans="2:24" x14ac:dyDescent="0.25">
      <c r="B56" s="253"/>
      <c r="C56" s="254" t="s">
        <v>287</v>
      </c>
      <c r="D56" s="266"/>
      <c r="E56" s="257"/>
      <c r="F56" s="256"/>
      <c r="H56" s="253"/>
      <c r="I56" s="254" t="s">
        <v>287</v>
      </c>
      <c r="J56" s="266"/>
      <c r="K56" s="257"/>
      <c r="L56" s="256"/>
      <c r="N56" s="253"/>
      <c r="O56" s="254" t="s">
        <v>287</v>
      </c>
      <c r="P56" s="266"/>
      <c r="Q56" s="257"/>
      <c r="R56" s="256"/>
      <c r="T56" s="253"/>
      <c r="U56" s="254" t="s">
        <v>287</v>
      </c>
      <c r="V56" s="266"/>
      <c r="W56" s="257"/>
      <c r="X56" s="256"/>
    </row>
    <row r="57" spans="2:24" x14ac:dyDescent="0.25">
      <c r="B57" s="253"/>
      <c r="C57" s="254"/>
      <c r="D57" s="266" t="s">
        <v>288</v>
      </c>
      <c r="E57" s="257">
        <v>90</v>
      </c>
      <c r="F57" s="256" t="s">
        <v>289</v>
      </c>
      <c r="H57" s="253"/>
      <c r="I57" s="254"/>
      <c r="J57" s="266" t="s">
        <v>288</v>
      </c>
      <c r="K57" s="257">
        <v>90</v>
      </c>
      <c r="L57" s="256" t="s">
        <v>289</v>
      </c>
      <c r="N57" s="253"/>
      <c r="O57" s="254"/>
      <c r="P57" s="266" t="s">
        <v>288</v>
      </c>
      <c r="Q57" s="257">
        <v>90</v>
      </c>
      <c r="R57" s="256" t="s">
        <v>289</v>
      </c>
      <c r="T57" s="253"/>
      <c r="U57" s="254"/>
      <c r="V57" s="266" t="s">
        <v>288</v>
      </c>
      <c r="W57" s="257">
        <v>90</v>
      </c>
      <c r="X57" s="256" t="s">
        <v>289</v>
      </c>
    </row>
    <row r="58" spans="2:24" x14ac:dyDescent="0.25">
      <c r="B58" s="253"/>
      <c r="C58" s="254"/>
      <c r="D58" s="266" t="s">
        <v>290</v>
      </c>
      <c r="E58" s="257">
        <v>0.05</v>
      </c>
      <c r="F58" s="256" t="s">
        <v>289</v>
      </c>
      <c r="H58" s="253"/>
      <c r="I58" s="254"/>
      <c r="J58" s="266" t="s">
        <v>290</v>
      </c>
      <c r="K58" s="257">
        <v>0.05</v>
      </c>
      <c r="L58" s="256" t="s">
        <v>289</v>
      </c>
      <c r="N58" s="253"/>
      <c r="O58" s="254"/>
      <c r="P58" s="266" t="s">
        <v>290</v>
      </c>
      <c r="Q58" s="257">
        <v>0.05</v>
      </c>
      <c r="R58" s="256" t="s">
        <v>289</v>
      </c>
      <c r="T58" s="253"/>
      <c r="U58" s="254"/>
      <c r="V58" s="266" t="s">
        <v>290</v>
      </c>
      <c r="W58" s="257">
        <v>0.05</v>
      </c>
      <c r="X58" s="256" t="s">
        <v>289</v>
      </c>
    </row>
    <row r="59" spans="2:24" x14ac:dyDescent="0.25">
      <c r="B59" s="253"/>
      <c r="C59" s="254"/>
      <c r="D59" s="266" t="s">
        <v>291</v>
      </c>
      <c r="E59" s="257">
        <v>210</v>
      </c>
      <c r="F59" s="256" t="s">
        <v>289</v>
      </c>
      <c r="H59" s="253"/>
      <c r="I59" s="254"/>
      <c r="J59" s="266" t="s">
        <v>291</v>
      </c>
      <c r="K59" s="257">
        <v>210</v>
      </c>
      <c r="L59" s="256" t="s">
        <v>289</v>
      </c>
      <c r="N59" s="253"/>
      <c r="O59" s="254"/>
      <c r="P59" s="266" t="s">
        <v>291</v>
      </c>
      <c r="Q59" s="257">
        <v>210</v>
      </c>
      <c r="R59" s="256" t="s">
        <v>289</v>
      </c>
      <c r="T59" s="253"/>
      <c r="U59" s="254"/>
      <c r="V59" s="266" t="s">
        <v>291</v>
      </c>
      <c r="W59" s="257">
        <v>210</v>
      </c>
      <c r="X59" s="256" t="s">
        <v>289</v>
      </c>
    </row>
    <row r="60" spans="2:24" x14ac:dyDescent="0.25">
      <c r="B60" s="253"/>
      <c r="C60" s="254" t="s">
        <v>282</v>
      </c>
      <c r="D60" s="266" t="s">
        <v>293</v>
      </c>
      <c r="E60" s="257" t="s">
        <v>294</v>
      </c>
      <c r="F60" s="256" t="s">
        <v>295</v>
      </c>
      <c r="H60" s="253"/>
      <c r="I60" s="254" t="s">
        <v>282</v>
      </c>
      <c r="J60" s="266" t="s">
        <v>293</v>
      </c>
      <c r="K60" s="257" t="s">
        <v>294</v>
      </c>
      <c r="L60" s="256" t="s">
        <v>295</v>
      </c>
      <c r="N60" s="253"/>
      <c r="O60" s="254" t="s">
        <v>282</v>
      </c>
      <c r="P60" s="266" t="s">
        <v>293</v>
      </c>
      <c r="Q60" s="257" t="s">
        <v>294</v>
      </c>
      <c r="R60" s="256" t="s">
        <v>295</v>
      </c>
      <c r="T60" s="253"/>
      <c r="U60" s="254" t="s">
        <v>282</v>
      </c>
      <c r="V60" s="266" t="s">
        <v>293</v>
      </c>
      <c r="W60" s="257" t="s">
        <v>294</v>
      </c>
      <c r="X60" s="256" t="s">
        <v>295</v>
      </c>
    </row>
    <row r="61" spans="2:24" x14ac:dyDescent="0.25">
      <c r="B61" s="253"/>
      <c r="C61" s="254"/>
      <c r="D61" s="266" t="s">
        <v>194</v>
      </c>
      <c r="E61" s="257" t="s">
        <v>296</v>
      </c>
      <c r="F61" s="256"/>
      <c r="H61" s="253"/>
      <c r="I61" s="254"/>
      <c r="J61" s="266" t="s">
        <v>194</v>
      </c>
      <c r="K61" s="257" t="s">
        <v>296</v>
      </c>
      <c r="L61" s="256"/>
      <c r="N61" s="253"/>
      <c r="O61" s="254"/>
      <c r="P61" s="266" t="s">
        <v>194</v>
      </c>
      <c r="Q61" s="257" t="s">
        <v>296</v>
      </c>
      <c r="R61" s="256"/>
      <c r="T61" s="253"/>
      <c r="U61" s="254"/>
      <c r="V61" s="266" t="s">
        <v>194</v>
      </c>
      <c r="W61" s="257" t="s">
        <v>296</v>
      </c>
      <c r="X61" s="256"/>
    </row>
    <row r="62" spans="2:24" x14ac:dyDescent="0.25">
      <c r="B62" s="253"/>
      <c r="C62" s="254"/>
      <c r="D62" s="266" t="s">
        <v>297</v>
      </c>
      <c r="E62" s="257">
        <v>0.5</v>
      </c>
      <c r="F62" s="256" t="s">
        <v>298</v>
      </c>
      <c r="H62" s="253"/>
      <c r="I62" s="254"/>
      <c r="J62" s="266" t="s">
        <v>297</v>
      </c>
      <c r="K62" s="257">
        <v>0.5</v>
      </c>
      <c r="L62" s="256" t="s">
        <v>298</v>
      </c>
      <c r="N62" s="253"/>
      <c r="O62" s="254"/>
      <c r="P62" s="266" t="s">
        <v>297</v>
      </c>
      <c r="Q62" s="257">
        <v>0.5</v>
      </c>
      <c r="R62" s="256" t="s">
        <v>298</v>
      </c>
      <c r="T62" s="253"/>
      <c r="U62" s="254"/>
      <c r="V62" s="266" t="s">
        <v>297</v>
      </c>
      <c r="W62" s="257">
        <v>0.5</v>
      </c>
      <c r="X62" s="256" t="s">
        <v>298</v>
      </c>
    </row>
    <row r="63" spans="2:24" ht="30" x14ac:dyDescent="0.25">
      <c r="B63" s="253"/>
      <c r="C63" s="254"/>
      <c r="D63" s="266" t="s">
        <v>299</v>
      </c>
      <c r="E63" s="257" t="s">
        <v>300</v>
      </c>
      <c r="F63" s="256" t="s">
        <v>301</v>
      </c>
      <c r="H63" s="253"/>
      <c r="I63" s="254"/>
      <c r="J63" s="266" t="s">
        <v>299</v>
      </c>
      <c r="K63" s="257" t="s">
        <v>300</v>
      </c>
      <c r="L63" s="256" t="s">
        <v>301</v>
      </c>
      <c r="N63" s="253"/>
      <c r="O63" s="254"/>
      <c r="P63" s="266" t="s">
        <v>299</v>
      </c>
      <c r="Q63" s="257" t="s">
        <v>300</v>
      </c>
      <c r="R63" s="256" t="s">
        <v>301</v>
      </c>
      <c r="T63" s="253"/>
      <c r="U63" s="254"/>
      <c r="V63" s="266" t="s">
        <v>299</v>
      </c>
      <c r="W63" s="257" t="s">
        <v>300</v>
      </c>
      <c r="X63" s="256" t="s">
        <v>301</v>
      </c>
    </row>
    <row r="64" spans="2:24" x14ac:dyDescent="0.25">
      <c r="B64" s="253"/>
      <c r="C64" s="257"/>
      <c r="D64" s="266" t="s">
        <v>302</v>
      </c>
      <c r="E64" s="257" t="s">
        <v>303</v>
      </c>
      <c r="F64" s="256"/>
      <c r="H64" s="253"/>
      <c r="I64" s="257"/>
      <c r="J64" s="266" t="s">
        <v>302</v>
      </c>
      <c r="K64" s="257" t="s">
        <v>303</v>
      </c>
      <c r="L64" s="256"/>
      <c r="N64" s="253"/>
      <c r="O64" s="257"/>
      <c r="P64" s="266" t="s">
        <v>302</v>
      </c>
      <c r="Q64" s="257" t="s">
        <v>303</v>
      </c>
      <c r="R64" s="256"/>
      <c r="T64" s="253"/>
      <c r="U64" s="257"/>
      <c r="V64" s="266" t="s">
        <v>302</v>
      </c>
      <c r="W64" s="257" t="s">
        <v>303</v>
      </c>
      <c r="X64" s="256"/>
    </row>
    <row r="65" spans="2:24" ht="15.75" thickBot="1" x14ac:dyDescent="0.3">
      <c r="B65" s="271"/>
      <c r="C65" s="272"/>
      <c r="D65" s="273" t="s">
        <v>304</v>
      </c>
      <c r="E65" s="272" t="s">
        <v>305</v>
      </c>
      <c r="F65" s="286" t="s">
        <v>127</v>
      </c>
      <c r="H65" s="271"/>
      <c r="I65" s="272"/>
      <c r="J65" s="273" t="s">
        <v>304</v>
      </c>
      <c r="K65" s="272" t="s">
        <v>305</v>
      </c>
      <c r="L65" s="286" t="s">
        <v>127</v>
      </c>
      <c r="N65" s="271"/>
      <c r="O65" s="272"/>
      <c r="P65" s="273" t="s">
        <v>304</v>
      </c>
      <c r="Q65" s="272" t="s">
        <v>305</v>
      </c>
      <c r="R65" s="286" t="s">
        <v>127</v>
      </c>
      <c r="T65" s="271"/>
      <c r="U65" s="272"/>
      <c r="V65" s="273" t="s">
        <v>304</v>
      </c>
      <c r="W65" s="272" t="s">
        <v>305</v>
      </c>
      <c r="X65" s="286" t="s">
        <v>127</v>
      </c>
    </row>
    <row r="66" spans="2:24" ht="15.75" thickBot="1" x14ac:dyDescent="0.3"/>
    <row r="67" spans="2:24" x14ac:dyDescent="0.25">
      <c r="B67" s="428" t="s">
        <v>211</v>
      </c>
      <c r="C67" s="429"/>
      <c r="D67" s="429"/>
      <c r="E67" s="429"/>
      <c r="F67" s="430"/>
      <c r="H67" s="428" t="s">
        <v>211</v>
      </c>
      <c r="I67" s="429"/>
      <c r="J67" s="429"/>
      <c r="K67" s="429"/>
      <c r="L67" s="430"/>
      <c r="N67" s="428" t="s">
        <v>211</v>
      </c>
      <c r="O67" s="429"/>
      <c r="P67" s="429"/>
      <c r="Q67" s="429"/>
      <c r="R67" s="430"/>
      <c r="T67" s="428" t="s">
        <v>211</v>
      </c>
      <c r="U67" s="429"/>
      <c r="V67" s="429"/>
      <c r="W67" s="429"/>
      <c r="X67" s="430"/>
    </row>
    <row r="68" spans="2:24" ht="15.75" thickBot="1" x14ac:dyDescent="0.3">
      <c r="B68" s="431" t="s">
        <v>153</v>
      </c>
      <c r="C68" s="432"/>
      <c r="D68" s="432"/>
      <c r="E68" s="432"/>
      <c r="F68" s="433"/>
      <c r="H68" s="434" t="s">
        <v>153</v>
      </c>
      <c r="I68" s="435"/>
      <c r="J68" s="435"/>
      <c r="K68" s="435"/>
      <c r="L68" s="436"/>
      <c r="N68" s="431" t="s">
        <v>153</v>
      </c>
      <c r="O68" s="432"/>
      <c r="P68" s="432"/>
      <c r="Q68" s="432"/>
      <c r="R68" s="433"/>
      <c r="T68" s="431" t="s">
        <v>153</v>
      </c>
      <c r="U68" s="432"/>
      <c r="V68" s="432"/>
      <c r="W68" s="432"/>
      <c r="X68" s="433"/>
    </row>
    <row r="69" spans="2:24" x14ac:dyDescent="0.25">
      <c r="B69" s="416" t="s">
        <v>282</v>
      </c>
      <c r="C69" s="417"/>
      <c r="D69" s="417"/>
      <c r="E69" s="417"/>
      <c r="F69" s="418"/>
      <c r="H69" s="416" t="s">
        <v>282</v>
      </c>
      <c r="I69" s="417"/>
      <c r="J69" s="417"/>
      <c r="K69" s="417"/>
      <c r="L69" s="418"/>
      <c r="N69" s="416" t="s">
        <v>282</v>
      </c>
      <c r="O69" s="417"/>
      <c r="P69" s="417"/>
      <c r="Q69" s="417"/>
      <c r="R69" s="418"/>
      <c r="T69" s="416" t="s">
        <v>282</v>
      </c>
      <c r="U69" s="417"/>
      <c r="V69" s="417"/>
      <c r="W69" s="417"/>
      <c r="X69" s="418"/>
    </row>
    <row r="70" spans="2:24" ht="15.75" thickBot="1" x14ac:dyDescent="0.3">
      <c r="B70" s="419" t="s">
        <v>342</v>
      </c>
      <c r="C70" s="437"/>
      <c r="D70" s="421"/>
      <c r="E70" s="422"/>
      <c r="F70" s="423"/>
      <c r="H70" s="419" t="s">
        <v>342</v>
      </c>
      <c r="I70" s="420"/>
      <c r="J70" s="421"/>
      <c r="K70" s="422"/>
      <c r="L70" s="423"/>
      <c r="N70" s="419" t="s">
        <v>342</v>
      </c>
      <c r="O70" s="437"/>
      <c r="P70" s="421"/>
      <c r="Q70" s="422"/>
      <c r="R70" s="423"/>
      <c r="T70" s="419" t="s">
        <v>342</v>
      </c>
      <c r="U70" s="437"/>
      <c r="V70" s="421"/>
      <c r="W70" s="422"/>
      <c r="X70" s="423"/>
    </row>
    <row r="71" spans="2:24" ht="15.75" thickBot="1" x14ac:dyDescent="0.3">
      <c r="B71" s="250" t="s">
        <v>108</v>
      </c>
      <c r="C71" s="251" t="s">
        <v>156</v>
      </c>
      <c r="D71" s="251" t="s">
        <v>157</v>
      </c>
      <c r="E71" s="251" t="s">
        <v>158</v>
      </c>
      <c r="F71" s="252" t="s">
        <v>159</v>
      </c>
      <c r="H71" s="250" t="s">
        <v>108</v>
      </c>
      <c r="I71" s="251" t="s">
        <v>156</v>
      </c>
      <c r="J71" s="251" t="s">
        <v>157</v>
      </c>
      <c r="K71" s="251" t="s">
        <v>158</v>
      </c>
      <c r="L71" s="252" t="s">
        <v>159</v>
      </c>
      <c r="N71" s="250" t="s">
        <v>108</v>
      </c>
      <c r="O71" s="251" t="s">
        <v>156</v>
      </c>
      <c r="P71" s="251" t="s">
        <v>157</v>
      </c>
      <c r="Q71" s="251" t="s">
        <v>158</v>
      </c>
      <c r="R71" s="252" t="s">
        <v>159</v>
      </c>
      <c r="T71" s="250" t="s">
        <v>108</v>
      </c>
      <c r="U71" s="251" t="s">
        <v>156</v>
      </c>
      <c r="V71" s="251" t="s">
        <v>157</v>
      </c>
      <c r="W71" s="251" t="s">
        <v>158</v>
      </c>
      <c r="X71" s="252" t="s">
        <v>159</v>
      </c>
    </row>
    <row r="72" spans="2:24" x14ac:dyDescent="0.25">
      <c r="B72" s="441" t="s">
        <v>343</v>
      </c>
      <c r="C72" s="442"/>
      <c r="D72" s="442"/>
      <c r="E72" s="442"/>
      <c r="F72" s="443"/>
      <c r="H72" s="424" t="s">
        <v>343</v>
      </c>
      <c r="I72" s="425"/>
      <c r="J72" s="425"/>
      <c r="K72" s="425"/>
      <c r="L72" s="426"/>
      <c r="N72" s="441" t="s">
        <v>343</v>
      </c>
      <c r="O72" s="442"/>
      <c r="P72" s="442"/>
      <c r="Q72" s="442"/>
      <c r="R72" s="443"/>
      <c r="T72" s="441" t="s">
        <v>343</v>
      </c>
      <c r="U72" s="442"/>
      <c r="V72" s="442"/>
      <c r="W72" s="442"/>
      <c r="X72" s="443"/>
    </row>
    <row r="73" spans="2:24" x14ac:dyDescent="0.25">
      <c r="B73" s="253"/>
      <c r="C73" s="254" t="s">
        <v>161</v>
      </c>
      <c r="D73" s="254"/>
      <c r="E73" s="257" t="s">
        <v>348</v>
      </c>
      <c r="F73" s="288"/>
      <c r="H73" s="253"/>
      <c r="I73" s="254" t="s">
        <v>161</v>
      </c>
      <c r="J73" s="254"/>
      <c r="K73" s="257" t="s">
        <v>344</v>
      </c>
      <c r="L73" s="288"/>
      <c r="N73" s="253"/>
      <c r="O73" s="254" t="s">
        <v>161</v>
      </c>
      <c r="P73" s="254"/>
      <c r="Q73" s="257" t="s">
        <v>349</v>
      </c>
      <c r="R73" s="288"/>
      <c r="T73" s="253"/>
      <c r="U73" s="254" t="s">
        <v>161</v>
      </c>
      <c r="V73" s="254"/>
      <c r="W73" s="257" t="s">
        <v>355</v>
      </c>
      <c r="X73" s="288"/>
    </row>
    <row r="74" spans="2:24" x14ac:dyDescent="0.25">
      <c r="B74" s="253"/>
      <c r="C74" s="254" t="s">
        <v>162</v>
      </c>
      <c r="D74" s="254"/>
      <c r="E74" s="289" t="s">
        <v>356</v>
      </c>
      <c r="F74" s="288"/>
      <c r="H74" s="253"/>
      <c r="I74" s="254" t="s">
        <v>162</v>
      </c>
      <c r="J74" s="254"/>
      <c r="K74" s="289" t="s">
        <v>357</v>
      </c>
      <c r="L74" s="288"/>
      <c r="N74" s="253"/>
      <c r="O74" s="254" t="s">
        <v>162</v>
      </c>
      <c r="P74" s="254"/>
      <c r="Q74" s="289" t="s">
        <v>358</v>
      </c>
      <c r="R74" s="288"/>
      <c r="T74" s="253"/>
      <c r="U74" s="254" t="s">
        <v>162</v>
      </c>
      <c r="V74" s="254"/>
      <c r="W74" s="289" t="s">
        <v>359</v>
      </c>
      <c r="X74" s="288"/>
    </row>
    <row r="75" spans="2:24" x14ac:dyDescent="0.25">
      <c r="B75" s="253"/>
      <c r="C75" s="254" t="s">
        <v>165</v>
      </c>
      <c r="D75" s="266"/>
      <c r="E75" s="257"/>
      <c r="F75" s="256"/>
      <c r="H75" s="253"/>
      <c r="I75" s="254" t="s">
        <v>165</v>
      </c>
      <c r="J75" s="266"/>
      <c r="K75" s="257"/>
      <c r="L75" s="256"/>
      <c r="N75" s="253"/>
      <c r="O75" s="254" t="s">
        <v>165</v>
      </c>
      <c r="P75" s="266"/>
      <c r="Q75" s="257"/>
      <c r="R75" s="256"/>
      <c r="T75" s="253"/>
      <c r="U75" s="254" t="s">
        <v>165</v>
      </c>
      <c r="V75" s="266"/>
      <c r="W75" s="257"/>
      <c r="X75" s="256"/>
    </row>
    <row r="76" spans="2:24" ht="30" x14ac:dyDescent="0.25">
      <c r="B76" s="253"/>
      <c r="C76" s="254"/>
      <c r="D76" s="266" t="s">
        <v>166</v>
      </c>
      <c r="E76" s="257">
        <v>0</v>
      </c>
      <c r="F76" s="290" t="s">
        <v>346</v>
      </c>
      <c r="H76" s="253"/>
      <c r="I76" s="254"/>
      <c r="J76" s="266" t="s">
        <v>166</v>
      </c>
      <c r="K76" s="257">
        <v>0</v>
      </c>
      <c r="L76" s="290" t="s">
        <v>346</v>
      </c>
      <c r="N76" s="253"/>
      <c r="O76" s="254"/>
      <c r="P76" s="266" t="s">
        <v>166</v>
      </c>
      <c r="Q76" s="257">
        <v>0</v>
      </c>
      <c r="R76" s="290" t="s">
        <v>346</v>
      </c>
      <c r="T76" s="253"/>
      <c r="U76" s="254"/>
      <c r="V76" s="266" t="s">
        <v>166</v>
      </c>
      <c r="W76" s="257">
        <v>0</v>
      </c>
      <c r="X76" s="290" t="s">
        <v>346</v>
      </c>
    </row>
    <row r="77" spans="2:24" x14ac:dyDescent="0.25">
      <c r="B77" s="253"/>
      <c r="C77" s="254"/>
      <c r="D77" s="266" t="s">
        <v>167</v>
      </c>
      <c r="E77" s="257">
        <v>0</v>
      </c>
      <c r="F77" s="256" t="s">
        <v>168</v>
      </c>
      <c r="H77" s="253"/>
      <c r="I77" s="254"/>
      <c r="J77" s="266" t="s">
        <v>167</v>
      </c>
      <c r="K77" s="257">
        <v>0</v>
      </c>
      <c r="L77" s="256" t="s">
        <v>168</v>
      </c>
      <c r="N77" s="253"/>
      <c r="O77" s="254"/>
      <c r="P77" s="266" t="s">
        <v>167</v>
      </c>
      <c r="Q77" s="257">
        <v>0</v>
      </c>
      <c r="R77" s="256" t="s">
        <v>168</v>
      </c>
      <c r="T77" s="253"/>
      <c r="U77" s="254"/>
      <c r="V77" s="266" t="s">
        <v>167</v>
      </c>
      <c r="W77" s="257">
        <v>0</v>
      </c>
      <c r="X77" s="256" t="s">
        <v>168</v>
      </c>
    </row>
    <row r="78" spans="2:24" x14ac:dyDescent="0.25">
      <c r="B78" s="253"/>
      <c r="C78" s="254" t="s">
        <v>169</v>
      </c>
      <c r="D78" s="266"/>
      <c r="E78" s="259"/>
      <c r="F78" s="256" t="s">
        <v>170</v>
      </c>
      <c r="H78" s="253"/>
      <c r="I78" s="254" t="s">
        <v>169</v>
      </c>
      <c r="J78" s="266"/>
      <c r="K78" s="259"/>
      <c r="L78" s="256" t="s">
        <v>170</v>
      </c>
      <c r="N78" s="253"/>
      <c r="O78" s="254" t="s">
        <v>169</v>
      </c>
      <c r="P78" s="266"/>
      <c r="Q78" s="259"/>
      <c r="R78" s="256" t="s">
        <v>170</v>
      </c>
      <c r="T78" s="253"/>
      <c r="U78" s="254" t="s">
        <v>169</v>
      </c>
      <c r="V78" s="266"/>
      <c r="W78" s="259"/>
      <c r="X78" s="256" t="s">
        <v>170</v>
      </c>
    </row>
    <row r="79" spans="2:24" x14ac:dyDescent="0.25">
      <c r="B79" s="253"/>
      <c r="C79" s="254" t="s">
        <v>172</v>
      </c>
      <c r="D79" s="266"/>
      <c r="E79" s="257">
        <f>15*12*30</f>
        <v>5400</v>
      </c>
      <c r="F79" s="256" t="s">
        <v>173</v>
      </c>
      <c r="H79" s="253"/>
      <c r="I79" s="254" t="s">
        <v>172</v>
      </c>
      <c r="J79" s="266"/>
      <c r="K79" s="257">
        <f>15*12*30</f>
        <v>5400</v>
      </c>
      <c r="L79" s="256" t="s">
        <v>173</v>
      </c>
      <c r="N79" s="253"/>
      <c r="O79" s="254" t="s">
        <v>172</v>
      </c>
      <c r="P79" s="266"/>
      <c r="Q79" s="257">
        <f>15*12*30</f>
        <v>5400</v>
      </c>
      <c r="R79" s="256" t="s">
        <v>173</v>
      </c>
      <c r="T79" s="253"/>
      <c r="U79" s="254" t="s">
        <v>172</v>
      </c>
      <c r="V79" s="266"/>
      <c r="W79" s="257">
        <f>15*12*30</f>
        <v>5400</v>
      </c>
      <c r="X79" s="256" t="s">
        <v>173</v>
      </c>
    </row>
    <row r="80" spans="2:24" x14ac:dyDescent="0.25">
      <c r="B80" s="260"/>
      <c r="C80" s="261" t="s">
        <v>175</v>
      </c>
      <c r="D80" s="285"/>
      <c r="E80" s="262">
        <f>'Data Lingkungan_IC'!DI68</f>
        <v>0</v>
      </c>
      <c r="F80" s="263"/>
      <c r="H80" s="260"/>
      <c r="I80" s="261" t="s">
        <v>175</v>
      </c>
      <c r="J80" s="285"/>
      <c r="K80" s="262">
        <f>'Data Lingkungan_IC'!AF67</f>
        <v>0</v>
      </c>
      <c r="L80" s="263"/>
      <c r="N80" s="260"/>
      <c r="O80" s="261" t="s">
        <v>175</v>
      </c>
      <c r="P80" s="285"/>
      <c r="Q80" s="262">
        <f>'Data Lingkungan_IC'!CZ71</f>
        <v>0</v>
      </c>
      <c r="R80" s="263"/>
      <c r="T80" s="260"/>
      <c r="U80" s="261" t="s">
        <v>175</v>
      </c>
      <c r="V80" s="285"/>
      <c r="W80" s="262" t="str">
        <f>'Data Lingkungan_IC'!CQ65</f>
        <v>off</v>
      </c>
      <c r="X80" s="263"/>
    </row>
    <row r="81" spans="2:24" x14ac:dyDescent="0.25">
      <c r="B81" s="253"/>
      <c r="C81" s="254" t="s">
        <v>177</v>
      </c>
      <c r="D81" s="266"/>
      <c r="E81" s="257">
        <v>120</v>
      </c>
      <c r="F81" s="256" t="s">
        <v>173</v>
      </c>
      <c r="H81" s="253"/>
      <c r="I81" s="254" t="s">
        <v>177</v>
      </c>
      <c r="J81" s="266"/>
      <c r="K81" s="257">
        <v>120</v>
      </c>
      <c r="L81" s="256" t="s">
        <v>173</v>
      </c>
      <c r="N81" s="253"/>
      <c r="O81" s="254" t="s">
        <v>177</v>
      </c>
      <c r="P81" s="266"/>
      <c r="Q81" s="257">
        <v>120</v>
      </c>
      <c r="R81" s="256" t="s">
        <v>173</v>
      </c>
      <c r="T81" s="253"/>
      <c r="U81" s="254" t="s">
        <v>177</v>
      </c>
      <c r="V81" s="266"/>
      <c r="W81" s="257">
        <v>120</v>
      </c>
      <c r="X81" s="256" t="s">
        <v>173</v>
      </c>
    </row>
    <row r="82" spans="2:24" x14ac:dyDescent="0.25">
      <c r="B82" s="253"/>
      <c r="C82" s="254" t="s">
        <v>179</v>
      </c>
      <c r="D82" s="266"/>
      <c r="E82" s="264">
        <f>E79-E81-(E83+E85)/2*10</f>
        <v>5275</v>
      </c>
      <c r="F82" s="256" t="s">
        <v>173</v>
      </c>
      <c r="H82" s="253"/>
      <c r="I82" s="254" t="s">
        <v>179</v>
      </c>
      <c r="J82" s="266"/>
      <c r="K82" s="264">
        <f>K79-K81-(K83+K85)/2*10</f>
        <v>5275</v>
      </c>
      <c r="L82" s="256" t="s">
        <v>173</v>
      </c>
      <c r="N82" s="253"/>
      <c r="O82" s="254" t="s">
        <v>179</v>
      </c>
      <c r="P82" s="266"/>
      <c r="Q82" s="264">
        <f>Q79-Q81-(Q83+Q85)/2*10</f>
        <v>5275</v>
      </c>
      <c r="R82" s="256" t="s">
        <v>173</v>
      </c>
      <c r="T82" s="253"/>
      <c r="U82" s="254" t="s">
        <v>179</v>
      </c>
      <c r="V82" s="266"/>
      <c r="W82" s="264">
        <f>W79-W81-(W83+W85)/2*10</f>
        <v>5275</v>
      </c>
      <c r="X82" s="256" t="s">
        <v>173</v>
      </c>
    </row>
    <row r="83" spans="2:24" x14ac:dyDescent="0.25">
      <c r="B83" s="253"/>
      <c r="C83" s="254" t="s">
        <v>181</v>
      </c>
      <c r="D83" s="266" t="s">
        <v>182</v>
      </c>
      <c r="E83" s="265">
        <f>((E81/E79)*45-E84)</f>
        <v>1</v>
      </c>
      <c r="F83" s="256" t="s">
        <v>183</v>
      </c>
      <c r="H83" s="253"/>
      <c r="I83" s="254" t="s">
        <v>181</v>
      </c>
      <c r="J83" s="266" t="s">
        <v>182</v>
      </c>
      <c r="K83" s="265">
        <f>((K81/K79)*45-K84)</f>
        <v>1</v>
      </c>
      <c r="L83" s="256" t="s">
        <v>183</v>
      </c>
      <c r="N83" s="253"/>
      <c r="O83" s="254" t="s">
        <v>181</v>
      </c>
      <c r="P83" s="266" t="s">
        <v>182</v>
      </c>
      <c r="Q83" s="265">
        <f>((Q81/Q79)*45-Q84)</f>
        <v>1</v>
      </c>
      <c r="R83" s="256" t="s">
        <v>183</v>
      </c>
      <c r="T83" s="253"/>
      <c r="U83" s="254" t="s">
        <v>181</v>
      </c>
      <c r="V83" s="266" t="s">
        <v>182</v>
      </c>
      <c r="W83" s="265">
        <f>((W81/W79)*45-W84)</f>
        <v>1</v>
      </c>
      <c r="X83" s="256" t="s">
        <v>183</v>
      </c>
    </row>
    <row r="84" spans="2:24" ht="30" x14ac:dyDescent="0.25">
      <c r="B84" s="253"/>
      <c r="C84" s="254"/>
      <c r="D84" s="266" t="s">
        <v>185</v>
      </c>
      <c r="E84" s="267">
        <f>'Data Lingkungan_IC'!Z98</f>
        <v>0</v>
      </c>
      <c r="F84" s="256" t="s">
        <v>186</v>
      </c>
      <c r="H84" s="253"/>
      <c r="I84" s="254"/>
      <c r="J84" s="266" t="s">
        <v>185</v>
      </c>
      <c r="K84" s="267">
        <f>'Data Lingkungan_IC'!Z97</f>
        <v>0</v>
      </c>
      <c r="L84" s="256" t="s">
        <v>186</v>
      </c>
      <c r="N84" s="253"/>
      <c r="O84" s="254"/>
      <c r="P84" s="266" t="s">
        <v>185</v>
      </c>
      <c r="Q84" s="267">
        <f>'Data Lingkungan_IC'!AG97</f>
        <v>0</v>
      </c>
      <c r="R84" s="256" t="s">
        <v>186</v>
      </c>
      <c r="T84" s="253"/>
      <c r="U84" s="254"/>
      <c r="V84" s="266" t="s">
        <v>185</v>
      </c>
      <c r="W84" s="267">
        <f>'Data Lingkungan_IC'!AM100</f>
        <v>0</v>
      </c>
      <c r="X84" s="256" t="s">
        <v>186</v>
      </c>
    </row>
    <row r="85" spans="2:24" x14ac:dyDescent="0.25">
      <c r="B85" s="253"/>
      <c r="C85" s="254" t="s">
        <v>188</v>
      </c>
      <c r="D85" s="266" t="s">
        <v>182</v>
      </c>
      <c r="E85" s="267">
        <f>'Data Lingkungan_IC'!DL68</f>
        <v>0</v>
      </c>
      <c r="F85" s="256" t="s">
        <v>183</v>
      </c>
      <c r="H85" s="253"/>
      <c r="I85" s="254" t="s">
        <v>188</v>
      </c>
      <c r="J85" s="266" t="s">
        <v>182</v>
      </c>
      <c r="K85" s="267">
        <f>'Data Lingkungan_IC'!AI67</f>
        <v>0</v>
      </c>
      <c r="L85" s="256" t="s">
        <v>183</v>
      </c>
      <c r="N85" s="253"/>
      <c r="O85" s="254" t="s">
        <v>188</v>
      </c>
      <c r="P85" s="266" t="s">
        <v>182</v>
      </c>
      <c r="Q85" s="267">
        <f>'Data Lingkungan_IC'!DC71</f>
        <v>0</v>
      </c>
      <c r="R85" s="256" t="s">
        <v>183</v>
      </c>
      <c r="T85" s="253"/>
      <c r="U85" s="254" t="s">
        <v>188</v>
      </c>
      <c r="V85" s="266" t="s">
        <v>182</v>
      </c>
      <c r="W85" s="267">
        <f>'Data Lingkungan_IC'!CT65</f>
        <v>0</v>
      </c>
      <c r="X85" s="256" t="s">
        <v>183</v>
      </c>
    </row>
    <row r="86" spans="2:24" ht="45" x14ac:dyDescent="0.25">
      <c r="B86" s="253"/>
      <c r="C86" s="254" t="s">
        <v>190</v>
      </c>
      <c r="D86" s="266"/>
      <c r="E86" s="268">
        <f>(E82/E79)</f>
        <v>0.97685185185185186</v>
      </c>
      <c r="F86" s="256" t="s">
        <v>347</v>
      </c>
      <c r="H86" s="253"/>
      <c r="I86" s="254" t="s">
        <v>190</v>
      </c>
      <c r="J86" s="266"/>
      <c r="K86" s="268">
        <f>(K82/K79)</f>
        <v>0.97685185185185186</v>
      </c>
      <c r="L86" s="256" t="s">
        <v>347</v>
      </c>
      <c r="N86" s="253"/>
      <c r="O86" s="254" t="s">
        <v>190</v>
      </c>
      <c r="P86" s="266"/>
      <c r="Q86" s="268">
        <f>(Q82/Q79)</f>
        <v>0.97685185185185186</v>
      </c>
      <c r="R86" s="256" t="s">
        <v>347</v>
      </c>
      <c r="T86" s="253"/>
      <c r="U86" s="254" t="s">
        <v>190</v>
      </c>
      <c r="V86" s="266"/>
      <c r="W86" s="268">
        <f>(W82/W79)</f>
        <v>0.97685185185185186</v>
      </c>
      <c r="X86" s="256" t="s">
        <v>347</v>
      </c>
    </row>
    <row r="87" spans="2:24" x14ac:dyDescent="0.25">
      <c r="B87" s="253"/>
      <c r="C87" s="254" t="s">
        <v>287</v>
      </c>
      <c r="D87" s="266"/>
      <c r="E87" s="257"/>
      <c r="F87" s="256"/>
      <c r="H87" s="253"/>
      <c r="I87" s="254" t="s">
        <v>287</v>
      </c>
      <c r="J87" s="266"/>
      <c r="K87" s="257"/>
      <c r="L87" s="256"/>
      <c r="N87" s="253"/>
      <c r="O87" s="254" t="s">
        <v>287</v>
      </c>
      <c r="P87" s="266"/>
      <c r="Q87" s="257"/>
      <c r="R87" s="256"/>
      <c r="T87" s="253"/>
      <c r="U87" s="254" t="s">
        <v>287</v>
      </c>
      <c r="V87" s="266"/>
      <c r="W87" s="257"/>
      <c r="X87" s="256"/>
    </row>
    <row r="88" spans="2:24" x14ac:dyDescent="0.25">
      <c r="B88" s="253"/>
      <c r="C88" s="254"/>
      <c r="D88" s="266" t="s">
        <v>288</v>
      </c>
      <c r="E88" s="257">
        <v>90</v>
      </c>
      <c r="F88" s="256" t="s">
        <v>289</v>
      </c>
      <c r="H88" s="253"/>
      <c r="I88" s="254"/>
      <c r="J88" s="266" t="s">
        <v>288</v>
      </c>
      <c r="K88" s="257">
        <v>90</v>
      </c>
      <c r="L88" s="256" t="s">
        <v>289</v>
      </c>
      <c r="N88" s="253"/>
      <c r="O88" s="254"/>
      <c r="P88" s="266" t="s">
        <v>288</v>
      </c>
      <c r="Q88" s="257">
        <v>90</v>
      </c>
      <c r="R88" s="256" t="s">
        <v>289</v>
      </c>
      <c r="T88" s="253"/>
      <c r="U88" s="254"/>
      <c r="V88" s="266" t="s">
        <v>288</v>
      </c>
      <c r="W88" s="257">
        <v>90</v>
      </c>
      <c r="X88" s="256" t="s">
        <v>289</v>
      </c>
    </row>
    <row r="89" spans="2:24" x14ac:dyDescent="0.25">
      <c r="B89" s="253"/>
      <c r="C89" s="254"/>
      <c r="D89" s="266" t="s">
        <v>290</v>
      </c>
      <c r="E89" s="257">
        <v>0.05</v>
      </c>
      <c r="F89" s="256" t="s">
        <v>289</v>
      </c>
      <c r="H89" s="253"/>
      <c r="I89" s="254"/>
      <c r="J89" s="266" t="s">
        <v>290</v>
      </c>
      <c r="K89" s="257">
        <v>0.05</v>
      </c>
      <c r="L89" s="256" t="s">
        <v>289</v>
      </c>
      <c r="N89" s="253"/>
      <c r="O89" s="254"/>
      <c r="P89" s="266" t="s">
        <v>290</v>
      </c>
      <c r="Q89" s="257">
        <v>0.05</v>
      </c>
      <c r="R89" s="256" t="s">
        <v>289</v>
      </c>
      <c r="T89" s="253"/>
      <c r="U89" s="254"/>
      <c r="V89" s="266" t="s">
        <v>290</v>
      </c>
      <c r="W89" s="257">
        <v>0.05</v>
      </c>
      <c r="X89" s="256" t="s">
        <v>289</v>
      </c>
    </row>
    <row r="90" spans="2:24" x14ac:dyDescent="0.25">
      <c r="B90" s="253"/>
      <c r="C90" s="254"/>
      <c r="D90" s="266" t="s">
        <v>291</v>
      </c>
      <c r="E90" s="257">
        <v>210</v>
      </c>
      <c r="F90" s="256" t="s">
        <v>289</v>
      </c>
      <c r="H90" s="253"/>
      <c r="I90" s="254"/>
      <c r="J90" s="266" t="s">
        <v>291</v>
      </c>
      <c r="K90" s="257">
        <v>210</v>
      </c>
      <c r="L90" s="256" t="s">
        <v>289</v>
      </c>
      <c r="N90" s="253"/>
      <c r="O90" s="254"/>
      <c r="P90" s="266" t="s">
        <v>291</v>
      </c>
      <c r="Q90" s="257">
        <v>210</v>
      </c>
      <c r="R90" s="256" t="s">
        <v>289</v>
      </c>
      <c r="T90" s="253"/>
      <c r="U90" s="254"/>
      <c r="V90" s="266" t="s">
        <v>291</v>
      </c>
      <c r="W90" s="257">
        <v>210</v>
      </c>
      <c r="X90" s="256" t="s">
        <v>289</v>
      </c>
    </row>
    <row r="91" spans="2:24" x14ac:dyDescent="0.25">
      <c r="B91" s="253"/>
      <c r="C91" s="254" t="s">
        <v>282</v>
      </c>
      <c r="D91" s="266" t="s">
        <v>293</v>
      </c>
      <c r="E91" s="257" t="s">
        <v>294</v>
      </c>
      <c r="F91" s="256" t="s">
        <v>295</v>
      </c>
      <c r="H91" s="253"/>
      <c r="I91" s="254" t="s">
        <v>282</v>
      </c>
      <c r="J91" s="266" t="s">
        <v>293</v>
      </c>
      <c r="K91" s="257" t="s">
        <v>294</v>
      </c>
      <c r="L91" s="256" t="s">
        <v>295</v>
      </c>
      <c r="N91" s="253"/>
      <c r="O91" s="254" t="s">
        <v>282</v>
      </c>
      <c r="P91" s="266" t="s">
        <v>293</v>
      </c>
      <c r="Q91" s="257" t="s">
        <v>294</v>
      </c>
      <c r="R91" s="256" t="s">
        <v>295</v>
      </c>
      <c r="T91" s="253"/>
      <c r="U91" s="254" t="s">
        <v>282</v>
      </c>
      <c r="V91" s="266" t="s">
        <v>293</v>
      </c>
      <c r="W91" s="257" t="s">
        <v>294</v>
      </c>
      <c r="X91" s="256" t="s">
        <v>295</v>
      </c>
    </row>
    <row r="92" spans="2:24" x14ac:dyDescent="0.25">
      <c r="B92" s="253"/>
      <c r="C92" s="254"/>
      <c r="D92" s="266" t="s">
        <v>194</v>
      </c>
      <c r="E92" s="257" t="s">
        <v>296</v>
      </c>
      <c r="F92" s="256"/>
      <c r="H92" s="253"/>
      <c r="I92" s="254"/>
      <c r="J92" s="266" t="s">
        <v>194</v>
      </c>
      <c r="K92" s="257" t="s">
        <v>296</v>
      </c>
      <c r="L92" s="256"/>
      <c r="N92" s="253"/>
      <c r="O92" s="254"/>
      <c r="P92" s="266" t="s">
        <v>194</v>
      </c>
      <c r="Q92" s="257" t="s">
        <v>296</v>
      </c>
      <c r="R92" s="256"/>
      <c r="T92" s="253"/>
      <c r="U92" s="254"/>
      <c r="V92" s="266" t="s">
        <v>194</v>
      </c>
      <c r="W92" s="257" t="s">
        <v>296</v>
      </c>
      <c r="X92" s="256"/>
    </row>
    <row r="93" spans="2:24" x14ac:dyDescent="0.25">
      <c r="B93" s="253"/>
      <c r="C93" s="254"/>
      <c r="D93" s="266" t="s">
        <v>297</v>
      </c>
      <c r="E93" s="257">
        <v>0.5</v>
      </c>
      <c r="F93" s="256" t="s">
        <v>298</v>
      </c>
      <c r="H93" s="253"/>
      <c r="I93" s="254"/>
      <c r="J93" s="266" t="s">
        <v>297</v>
      </c>
      <c r="K93" s="257">
        <v>0.5</v>
      </c>
      <c r="L93" s="256" t="s">
        <v>298</v>
      </c>
      <c r="N93" s="253"/>
      <c r="O93" s="254"/>
      <c r="P93" s="266" t="s">
        <v>297</v>
      </c>
      <c r="Q93" s="257">
        <v>0.5</v>
      </c>
      <c r="R93" s="256" t="s">
        <v>298</v>
      </c>
      <c r="T93" s="253"/>
      <c r="U93" s="254"/>
      <c r="V93" s="266" t="s">
        <v>297</v>
      </c>
      <c r="W93" s="257">
        <v>0.5</v>
      </c>
      <c r="X93" s="256" t="s">
        <v>298</v>
      </c>
    </row>
    <row r="94" spans="2:24" ht="30" x14ac:dyDescent="0.25">
      <c r="B94" s="253"/>
      <c r="C94" s="254"/>
      <c r="D94" s="266" t="s">
        <v>299</v>
      </c>
      <c r="E94" s="257" t="s">
        <v>300</v>
      </c>
      <c r="F94" s="256" t="s">
        <v>301</v>
      </c>
      <c r="H94" s="253"/>
      <c r="I94" s="254"/>
      <c r="J94" s="266" t="s">
        <v>299</v>
      </c>
      <c r="K94" s="257" t="s">
        <v>300</v>
      </c>
      <c r="L94" s="256" t="s">
        <v>301</v>
      </c>
      <c r="N94" s="253"/>
      <c r="O94" s="254"/>
      <c r="P94" s="266" t="s">
        <v>299</v>
      </c>
      <c r="Q94" s="257" t="s">
        <v>300</v>
      </c>
      <c r="R94" s="256" t="s">
        <v>301</v>
      </c>
      <c r="T94" s="253"/>
      <c r="U94" s="254"/>
      <c r="V94" s="266" t="s">
        <v>299</v>
      </c>
      <c r="W94" s="257" t="s">
        <v>300</v>
      </c>
      <c r="X94" s="256" t="s">
        <v>301</v>
      </c>
    </row>
    <row r="95" spans="2:24" x14ac:dyDescent="0.25">
      <c r="B95" s="253"/>
      <c r="C95" s="257"/>
      <c r="D95" s="266" t="s">
        <v>302</v>
      </c>
      <c r="E95" s="257" t="s">
        <v>303</v>
      </c>
      <c r="F95" s="256"/>
      <c r="H95" s="253"/>
      <c r="I95" s="257"/>
      <c r="J95" s="266" t="s">
        <v>302</v>
      </c>
      <c r="K95" s="257" t="s">
        <v>303</v>
      </c>
      <c r="L95" s="256"/>
      <c r="N95" s="253"/>
      <c r="O95" s="257"/>
      <c r="P95" s="266" t="s">
        <v>302</v>
      </c>
      <c r="Q95" s="257" t="s">
        <v>303</v>
      </c>
      <c r="R95" s="256"/>
      <c r="T95" s="253"/>
      <c r="U95" s="257"/>
      <c r="V95" s="266" t="s">
        <v>302</v>
      </c>
      <c r="W95" s="257" t="s">
        <v>303</v>
      </c>
      <c r="X95" s="256"/>
    </row>
    <row r="96" spans="2:24" ht="15.75" thickBot="1" x14ac:dyDescent="0.3">
      <c r="B96" s="271"/>
      <c r="C96" s="272"/>
      <c r="D96" s="273" t="s">
        <v>304</v>
      </c>
      <c r="E96" s="272" t="s">
        <v>305</v>
      </c>
      <c r="F96" s="286" t="s">
        <v>127</v>
      </c>
      <c r="H96" s="271"/>
      <c r="I96" s="272"/>
      <c r="J96" s="273" t="s">
        <v>304</v>
      </c>
      <c r="K96" s="272" t="s">
        <v>305</v>
      </c>
      <c r="L96" s="286" t="s">
        <v>127</v>
      </c>
      <c r="N96" s="271"/>
      <c r="O96" s="272"/>
      <c r="P96" s="273" t="s">
        <v>304</v>
      </c>
      <c r="Q96" s="272" t="s">
        <v>305</v>
      </c>
      <c r="R96" s="286" t="s">
        <v>127</v>
      </c>
      <c r="T96" s="271"/>
      <c r="U96" s="272"/>
      <c r="V96" s="273" t="s">
        <v>304</v>
      </c>
      <c r="W96" s="272" t="s">
        <v>305</v>
      </c>
      <c r="X96" s="286" t="s">
        <v>127</v>
      </c>
    </row>
    <row r="97" spans="2:24" ht="15.75" thickBot="1" x14ac:dyDescent="0.3">
      <c r="U97" s="291"/>
      <c r="V97" s="291"/>
      <c r="W97" s="292"/>
      <c r="X97" s="287"/>
    </row>
    <row r="98" spans="2:24" x14ac:dyDescent="0.25">
      <c r="B98" s="428" t="s">
        <v>211</v>
      </c>
      <c r="C98" s="429"/>
      <c r="D98" s="429"/>
      <c r="E98" s="429"/>
      <c r="F98" s="430"/>
      <c r="H98" s="428" t="s">
        <v>211</v>
      </c>
      <c r="I98" s="429"/>
      <c r="J98" s="429"/>
      <c r="K98" s="429"/>
      <c r="L98" s="430"/>
      <c r="N98" s="428" t="s">
        <v>211</v>
      </c>
      <c r="O98" s="429"/>
      <c r="P98" s="429"/>
      <c r="Q98" s="429"/>
      <c r="R98" s="430"/>
      <c r="T98" s="428" t="s">
        <v>211</v>
      </c>
      <c r="U98" s="429"/>
      <c r="V98" s="429"/>
      <c r="W98" s="429"/>
      <c r="X98" s="430"/>
    </row>
    <row r="99" spans="2:24" ht="15.75" thickBot="1" x14ac:dyDescent="0.3">
      <c r="B99" s="431" t="s">
        <v>153</v>
      </c>
      <c r="C99" s="432"/>
      <c r="D99" s="432"/>
      <c r="E99" s="432"/>
      <c r="F99" s="433"/>
      <c r="H99" s="434" t="s">
        <v>153</v>
      </c>
      <c r="I99" s="435"/>
      <c r="J99" s="435"/>
      <c r="K99" s="435"/>
      <c r="L99" s="436"/>
      <c r="N99" s="431" t="s">
        <v>153</v>
      </c>
      <c r="O99" s="432"/>
      <c r="P99" s="432"/>
      <c r="Q99" s="432"/>
      <c r="R99" s="433"/>
      <c r="T99" s="431" t="s">
        <v>153</v>
      </c>
      <c r="U99" s="432"/>
      <c r="V99" s="432"/>
      <c r="W99" s="432"/>
      <c r="X99" s="433"/>
    </row>
    <row r="100" spans="2:24" x14ac:dyDescent="0.25">
      <c r="B100" s="416" t="s">
        <v>282</v>
      </c>
      <c r="C100" s="417"/>
      <c r="D100" s="417"/>
      <c r="E100" s="417"/>
      <c r="F100" s="418"/>
      <c r="H100" s="416" t="s">
        <v>282</v>
      </c>
      <c r="I100" s="417"/>
      <c r="J100" s="417"/>
      <c r="K100" s="417"/>
      <c r="L100" s="418"/>
      <c r="N100" s="416" t="s">
        <v>282</v>
      </c>
      <c r="O100" s="417"/>
      <c r="P100" s="417"/>
      <c r="Q100" s="417"/>
      <c r="R100" s="418"/>
      <c r="T100" s="416" t="s">
        <v>282</v>
      </c>
      <c r="U100" s="417"/>
      <c r="V100" s="417"/>
      <c r="W100" s="417"/>
      <c r="X100" s="418"/>
    </row>
    <row r="101" spans="2:24" ht="15.75" thickBot="1" x14ac:dyDescent="0.3">
      <c r="B101" s="419" t="s">
        <v>342</v>
      </c>
      <c r="C101" s="437"/>
      <c r="D101" s="421"/>
      <c r="E101" s="422"/>
      <c r="F101" s="423"/>
      <c r="H101" s="419" t="s">
        <v>342</v>
      </c>
      <c r="I101" s="420"/>
      <c r="J101" s="421"/>
      <c r="K101" s="422"/>
      <c r="L101" s="423"/>
      <c r="N101" s="419" t="s">
        <v>342</v>
      </c>
      <c r="O101" s="437"/>
      <c r="P101" s="421"/>
      <c r="Q101" s="422"/>
      <c r="R101" s="423"/>
      <c r="T101" s="419" t="s">
        <v>342</v>
      </c>
      <c r="U101" s="437"/>
      <c r="V101" s="421"/>
      <c r="W101" s="422"/>
      <c r="X101" s="423"/>
    </row>
    <row r="102" spans="2:24" ht="15.75" thickBot="1" x14ac:dyDescent="0.3">
      <c r="B102" s="250" t="s">
        <v>108</v>
      </c>
      <c r="C102" s="251" t="s">
        <v>156</v>
      </c>
      <c r="D102" s="251" t="s">
        <v>157</v>
      </c>
      <c r="E102" s="251" t="s">
        <v>158</v>
      </c>
      <c r="F102" s="252" t="s">
        <v>159</v>
      </c>
      <c r="H102" s="250" t="s">
        <v>108</v>
      </c>
      <c r="I102" s="251" t="s">
        <v>156</v>
      </c>
      <c r="J102" s="251" t="s">
        <v>157</v>
      </c>
      <c r="K102" s="251" t="s">
        <v>158</v>
      </c>
      <c r="L102" s="252" t="s">
        <v>159</v>
      </c>
      <c r="N102" s="250" t="s">
        <v>108</v>
      </c>
      <c r="O102" s="251" t="s">
        <v>156</v>
      </c>
      <c r="P102" s="251" t="s">
        <v>157</v>
      </c>
      <c r="Q102" s="251" t="s">
        <v>158</v>
      </c>
      <c r="R102" s="252" t="s">
        <v>159</v>
      </c>
      <c r="T102" s="250" t="s">
        <v>108</v>
      </c>
      <c r="U102" s="251" t="s">
        <v>156</v>
      </c>
      <c r="V102" s="251" t="s">
        <v>157</v>
      </c>
      <c r="W102" s="251" t="s">
        <v>158</v>
      </c>
      <c r="X102" s="252" t="s">
        <v>159</v>
      </c>
    </row>
    <row r="103" spans="2:24" x14ac:dyDescent="0.25">
      <c r="B103" s="441" t="s">
        <v>343</v>
      </c>
      <c r="C103" s="442"/>
      <c r="D103" s="442"/>
      <c r="E103" s="442"/>
      <c r="F103" s="443"/>
      <c r="H103" s="424" t="s">
        <v>343</v>
      </c>
      <c r="I103" s="425"/>
      <c r="J103" s="425"/>
      <c r="K103" s="425"/>
      <c r="L103" s="426"/>
      <c r="N103" s="441" t="s">
        <v>343</v>
      </c>
      <c r="O103" s="442"/>
      <c r="P103" s="442"/>
      <c r="Q103" s="442"/>
      <c r="R103" s="443"/>
      <c r="T103" s="441" t="s">
        <v>343</v>
      </c>
      <c r="U103" s="442"/>
      <c r="V103" s="442"/>
      <c r="W103" s="442"/>
      <c r="X103" s="443"/>
    </row>
    <row r="104" spans="2:24" x14ac:dyDescent="0.25">
      <c r="B104" s="253"/>
      <c r="C104" s="254" t="s">
        <v>161</v>
      </c>
      <c r="D104" s="254"/>
      <c r="E104" s="257" t="s">
        <v>348</v>
      </c>
      <c r="F104" s="288"/>
      <c r="H104" s="253"/>
      <c r="I104" s="254" t="s">
        <v>161</v>
      </c>
      <c r="J104" s="254"/>
      <c r="K104" s="257" t="s">
        <v>344</v>
      </c>
      <c r="L104" s="288"/>
      <c r="N104" s="253"/>
      <c r="O104" s="254" t="s">
        <v>161</v>
      </c>
      <c r="P104" s="254"/>
      <c r="Q104" s="257" t="s">
        <v>349</v>
      </c>
      <c r="R104" s="288"/>
      <c r="T104" s="253"/>
      <c r="U104" s="254" t="s">
        <v>161</v>
      </c>
      <c r="V104" s="254"/>
      <c r="W104" s="257" t="s">
        <v>360</v>
      </c>
      <c r="X104" s="288"/>
    </row>
    <row r="105" spans="2:24" x14ac:dyDescent="0.25">
      <c r="B105" s="253"/>
      <c r="C105" s="254" t="s">
        <v>162</v>
      </c>
      <c r="D105" s="254"/>
      <c r="E105" s="289" t="s">
        <v>361</v>
      </c>
      <c r="F105" s="288"/>
      <c r="H105" s="253"/>
      <c r="I105" s="254" t="s">
        <v>162</v>
      </c>
      <c r="J105" s="254"/>
      <c r="K105" s="289" t="s">
        <v>362</v>
      </c>
      <c r="L105" s="288"/>
      <c r="N105" s="253"/>
      <c r="O105" s="254" t="s">
        <v>162</v>
      </c>
      <c r="P105" s="254"/>
      <c r="Q105" s="289" t="s">
        <v>363</v>
      </c>
      <c r="R105" s="288"/>
      <c r="T105" s="253"/>
      <c r="U105" s="254" t="s">
        <v>162</v>
      </c>
      <c r="V105" s="254"/>
      <c r="W105" s="289" t="s">
        <v>364</v>
      </c>
      <c r="X105" s="288"/>
    </row>
    <row r="106" spans="2:24" x14ac:dyDescent="0.25">
      <c r="B106" s="253"/>
      <c r="C106" s="254" t="s">
        <v>165</v>
      </c>
      <c r="D106" s="266"/>
      <c r="E106" s="257"/>
      <c r="F106" s="256"/>
      <c r="H106" s="253"/>
      <c r="I106" s="254" t="s">
        <v>165</v>
      </c>
      <c r="J106" s="266"/>
      <c r="K106" s="257"/>
      <c r="L106" s="256"/>
      <c r="N106" s="253"/>
      <c r="O106" s="254" t="s">
        <v>165</v>
      </c>
      <c r="P106" s="266"/>
      <c r="Q106" s="257"/>
      <c r="R106" s="256"/>
      <c r="T106" s="253"/>
      <c r="U106" s="254" t="s">
        <v>165</v>
      </c>
      <c r="V106" s="266"/>
      <c r="W106" s="257"/>
      <c r="X106" s="256"/>
    </row>
    <row r="107" spans="2:24" ht="30" x14ac:dyDescent="0.25">
      <c r="B107" s="253"/>
      <c r="C107" s="254"/>
      <c r="D107" s="266" t="s">
        <v>166</v>
      </c>
      <c r="E107" s="257">
        <v>0</v>
      </c>
      <c r="F107" s="290" t="s">
        <v>346</v>
      </c>
      <c r="H107" s="253"/>
      <c r="I107" s="254"/>
      <c r="J107" s="266" t="s">
        <v>166</v>
      </c>
      <c r="K107" s="257">
        <v>0</v>
      </c>
      <c r="L107" s="290" t="s">
        <v>346</v>
      </c>
      <c r="N107" s="253"/>
      <c r="O107" s="254"/>
      <c r="P107" s="266" t="s">
        <v>166</v>
      </c>
      <c r="Q107" s="257">
        <v>0</v>
      </c>
      <c r="R107" s="290" t="s">
        <v>346</v>
      </c>
      <c r="T107" s="253"/>
      <c r="U107" s="254"/>
      <c r="V107" s="266" t="s">
        <v>166</v>
      </c>
      <c r="W107" s="257">
        <v>0</v>
      </c>
      <c r="X107" s="290" t="s">
        <v>346</v>
      </c>
    </row>
    <row r="108" spans="2:24" x14ac:dyDescent="0.25">
      <c r="B108" s="253"/>
      <c r="C108" s="254"/>
      <c r="D108" s="266" t="s">
        <v>167</v>
      </c>
      <c r="E108" s="257">
        <v>0</v>
      </c>
      <c r="F108" s="256" t="s">
        <v>168</v>
      </c>
      <c r="H108" s="253"/>
      <c r="I108" s="254"/>
      <c r="J108" s="266" t="s">
        <v>167</v>
      </c>
      <c r="K108" s="257">
        <v>0</v>
      </c>
      <c r="L108" s="256" t="s">
        <v>168</v>
      </c>
      <c r="N108" s="253"/>
      <c r="O108" s="254"/>
      <c r="P108" s="266" t="s">
        <v>167</v>
      </c>
      <c r="Q108" s="257">
        <v>0</v>
      </c>
      <c r="R108" s="256" t="s">
        <v>168</v>
      </c>
      <c r="T108" s="253"/>
      <c r="U108" s="254"/>
      <c r="V108" s="266" t="s">
        <v>167</v>
      </c>
      <c r="W108" s="257">
        <v>0</v>
      </c>
      <c r="X108" s="256" t="s">
        <v>168</v>
      </c>
    </row>
    <row r="109" spans="2:24" x14ac:dyDescent="0.25">
      <c r="B109" s="253"/>
      <c r="C109" s="254" t="s">
        <v>169</v>
      </c>
      <c r="D109" s="266"/>
      <c r="E109" s="259"/>
      <c r="F109" s="256" t="s">
        <v>170</v>
      </c>
      <c r="H109" s="253"/>
      <c r="I109" s="254" t="s">
        <v>169</v>
      </c>
      <c r="J109" s="266"/>
      <c r="K109" s="259"/>
      <c r="L109" s="256" t="s">
        <v>170</v>
      </c>
      <c r="N109" s="253"/>
      <c r="O109" s="254" t="s">
        <v>169</v>
      </c>
      <c r="P109" s="266"/>
      <c r="Q109" s="259"/>
      <c r="R109" s="256" t="s">
        <v>170</v>
      </c>
      <c r="T109" s="253"/>
      <c r="U109" s="254" t="s">
        <v>169</v>
      </c>
      <c r="V109" s="266"/>
      <c r="W109" s="259"/>
      <c r="X109" s="256" t="s">
        <v>170</v>
      </c>
    </row>
    <row r="110" spans="2:24" x14ac:dyDescent="0.25">
      <c r="B110" s="253"/>
      <c r="C110" s="254" t="s">
        <v>172</v>
      </c>
      <c r="D110" s="266"/>
      <c r="E110" s="257">
        <f>15*12*30</f>
        <v>5400</v>
      </c>
      <c r="F110" s="256" t="s">
        <v>173</v>
      </c>
      <c r="H110" s="253"/>
      <c r="I110" s="254" t="s">
        <v>172</v>
      </c>
      <c r="J110" s="266"/>
      <c r="K110" s="257">
        <f>15*12*30</f>
        <v>5400</v>
      </c>
      <c r="L110" s="256" t="s">
        <v>173</v>
      </c>
      <c r="N110" s="253"/>
      <c r="O110" s="254" t="s">
        <v>172</v>
      </c>
      <c r="P110" s="266"/>
      <c r="Q110" s="257">
        <f>15*12*30</f>
        <v>5400</v>
      </c>
      <c r="R110" s="256" t="s">
        <v>173</v>
      </c>
      <c r="T110" s="253"/>
      <c r="U110" s="254" t="s">
        <v>172</v>
      </c>
      <c r="V110" s="266"/>
      <c r="W110" s="257">
        <f>15*12*30</f>
        <v>5400</v>
      </c>
      <c r="X110" s="256" t="s">
        <v>173</v>
      </c>
    </row>
    <row r="111" spans="2:24" x14ac:dyDescent="0.25">
      <c r="B111" s="260"/>
      <c r="C111" s="261" t="s">
        <v>175</v>
      </c>
      <c r="D111" s="285"/>
      <c r="E111" s="262">
        <f>'Data Lingkungan_IC'!DI69</f>
        <v>0</v>
      </c>
      <c r="F111" s="263"/>
      <c r="H111" s="260"/>
      <c r="I111" s="261" t="s">
        <v>175</v>
      </c>
      <c r="J111" s="285"/>
      <c r="K111" s="262">
        <f>'Data Lingkungan_IC'!AF68</f>
        <v>0</v>
      </c>
      <c r="L111" s="263"/>
      <c r="N111" s="260"/>
      <c r="O111" s="261" t="s">
        <v>175</v>
      </c>
      <c r="P111" s="285"/>
      <c r="Q111" s="262">
        <f>'Data Lingkungan_IC'!CZ72</f>
        <v>0</v>
      </c>
      <c r="R111" s="263"/>
      <c r="T111" s="260"/>
      <c r="U111" s="261" t="s">
        <v>175</v>
      </c>
      <c r="V111" s="285"/>
      <c r="W111" s="262">
        <f>'Data Lingkungan_IC'!CZ69</f>
        <v>0</v>
      </c>
      <c r="X111" s="263"/>
    </row>
    <row r="112" spans="2:24" x14ac:dyDescent="0.25">
      <c r="B112" s="253"/>
      <c r="C112" s="254" t="s">
        <v>177</v>
      </c>
      <c r="D112" s="266"/>
      <c r="E112" s="257">
        <v>120</v>
      </c>
      <c r="F112" s="256" t="s">
        <v>173</v>
      </c>
      <c r="H112" s="253"/>
      <c r="I112" s="254" t="s">
        <v>177</v>
      </c>
      <c r="J112" s="266"/>
      <c r="K112" s="257">
        <v>120</v>
      </c>
      <c r="L112" s="256" t="s">
        <v>173</v>
      </c>
      <c r="N112" s="253"/>
      <c r="O112" s="254" t="s">
        <v>177</v>
      </c>
      <c r="P112" s="266"/>
      <c r="Q112" s="257">
        <v>120</v>
      </c>
      <c r="R112" s="256" t="s">
        <v>173</v>
      </c>
      <c r="T112" s="253"/>
      <c r="U112" s="254" t="s">
        <v>177</v>
      </c>
      <c r="V112" s="266"/>
      <c r="W112" s="257">
        <v>120</v>
      </c>
      <c r="X112" s="256" t="s">
        <v>173</v>
      </c>
    </row>
    <row r="113" spans="2:24" x14ac:dyDescent="0.25">
      <c r="B113" s="253"/>
      <c r="C113" s="254" t="s">
        <v>179</v>
      </c>
      <c r="D113" s="266"/>
      <c r="E113" s="264">
        <f>E110-E112-(E114+E116)/2*10</f>
        <v>5275</v>
      </c>
      <c r="F113" s="256" t="s">
        <v>173</v>
      </c>
      <c r="H113" s="253"/>
      <c r="I113" s="254" t="s">
        <v>179</v>
      </c>
      <c r="J113" s="266"/>
      <c r="K113" s="264">
        <f>K110-K112-(K114+K116)/2*10</f>
        <v>5275</v>
      </c>
      <c r="L113" s="256" t="s">
        <v>173</v>
      </c>
      <c r="N113" s="253"/>
      <c r="O113" s="254" t="s">
        <v>179</v>
      </c>
      <c r="P113" s="266"/>
      <c r="Q113" s="264">
        <f>Q110-Q112-(Q114+Q116)/2*10</f>
        <v>5275</v>
      </c>
      <c r="R113" s="256" t="s">
        <v>173</v>
      </c>
      <c r="T113" s="253"/>
      <c r="U113" s="254" t="s">
        <v>179</v>
      </c>
      <c r="V113" s="266"/>
      <c r="W113" s="264">
        <f>W110-W112-(W114+W116)/2*10</f>
        <v>5275</v>
      </c>
      <c r="X113" s="256" t="s">
        <v>173</v>
      </c>
    </row>
    <row r="114" spans="2:24" x14ac:dyDescent="0.25">
      <c r="B114" s="253"/>
      <c r="C114" s="254" t="s">
        <v>181</v>
      </c>
      <c r="D114" s="266" t="s">
        <v>182</v>
      </c>
      <c r="E114" s="265">
        <f>((E112/E110)*45-E115)</f>
        <v>1</v>
      </c>
      <c r="F114" s="256" t="s">
        <v>183</v>
      </c>
      <c r="H114" s="253"/>
      <c r="I114" s="254" t="s">
        <v>181</v>
      </c>
      <c r="J114" s="266" t="s">
        <v>182</v>
      </c>
      <c r="K114" s="265">
        <f>((K112/K110)*45-K115)</f>
        <v>1</v>
      </c>
      <c r="L114" s="256" t="s">
        <v>183</v>
      </c>
      <c r="N114" s="253"/>
      <c r="O114" s="254" t="s">
        <v>181</v>
      </c>
      <c r="P114" s="266" t="s">
        <v>182</v>
      </c>
      <c r="Q114" s="265">
        <f>((Q112/Q110)*45-Q115)</f>
        <v>1</v>
      </c>
      <c r="R114" s="256" t="s">
        <v>183</v>
      </c>
      <c r="T114" s="253"/>
      <c r="U114" s="254" t="s">
        <v>181</v>
      </c>
      <c r="V114" s="266" t="s">
        <v>182</v>
      </c>
      <c r="W114" s="265">
        <f>((W112/W110)*45-W115)</f>
        <v>1</v>
      </c>
      <c r="X114" s="256" t="s">
        <v>183</v>
      </c>
    </row>
    <row r="115" spans="2:24" ht="30" x14ac:dyDescent="0.25">
      <c r="B115" s="253"/>
      <c r="C115" s="254"/>
      <c r="D115" s="266" t="s">
        <v>185</v>
      </c>
      <c r="E115" s="267">
        <f>'Data Lingkungan_IC'!Z129</f>
        <v>0</v>
      </c>
      <c r="F115" s="256" t="s">
        <v>186</v>
      </c>
      <c r="H115" s="253"/>
      <c r="I115" s="254"/>
      <c r="J115" s="266" t="s">
        <v>185</v>
      </c>
      <c r="K115" s="267">
        <f>'Data Lingkungan_IC'!Z128</f>
        <v>0</v>
      </c>
      <c r="L115" s="256" t="s">
        <v>186</v>
      </c>
      <c r="N115" s="253"/>
      <c r="O115" s="254"/>
      <c r="P115" s="266" t="s">
        <v>185</v>
      </c>
      <c r="Q115" s="267">
        <f>'Data Lingkungan_IC'!AG128</f>
        <v>0</v>
      </c>
      <c r="R115" s="256" t="s">
        <v>186</v>
      </c>
      <c r="T115" s="253"/>
      <c r="U115" s="254"/>
      <c r="V115" s="266" t="s">
        <v>185</v>
      </c>
      <c r="W115" s="267">
        <f>'Data Lingkungan_IC'!AM131</f>
        <v>0</v>
      </c>
      <c r="X115" s="256" t="s">
        <v>186</v>
      </c>
    </row>
    <row r="116" spans="2:24" x14ac:dyDescent="0.25">
      <c r="B116" s="253"/>
      <c r="C116" s="254" t="s">
        <v>188</v>
      </c>
      <c r="D116" s="266" t="s">
        <v>182</v>
      </c>
      <c r="E116" s="267">
        <f>'Data Lingkungan_IC'!DL69</f>
        <v>0</v>
      </c>
      <c r="F116" s="256" t="s">
        <v>183</v>
      </c>
      <c r="H116" s="253"/>
      <c r="I116" s="254" t="s">
        <v>188</v>
      </c>
      <c r="J116" s="266" t="s">
        <v>182</v>
      </c>
      <c r="K116" s="267">
        <f>'Data Lingkungan_IC'!AI68</f>
        <v>0</v>
      </c>
      <c r="L116" s="256" t="s">
        <v>183</v>
      </c>
      <c r="N116" s="253"/>
      <c r="O116" s="254" t="s">
        <v>188</v>
      </c>
      <c r="P116" s="266" t="s">
        <v>182</v>
      </c>
      <c r="Q116" s="267">
        <f>'Data Lingkungan_IC'!DC72</f>
        <v>0</v>
      </c>
      <c r="R116" s="256" t="s">
        <v>183</v>
      </c>
      <c r="T116" s="253"/>
      <c r="U116" s="254" t="s">
        <v>188</v>
      </c>
      <c r="V116" s="266" t="s">
        <v>182</v>
      </c>
      <c r="W116" s="267">
        <f>'Data Lingkungan_IC'!DC69</f>
        <v>0</v>
      </c>
      <c r="X116" s="256" t="s">
        <v>183</v>
      </c>
    </row>
    <row r="117" spans="2:24" ht="45" x14ac:dyDescent="0.25">
      <c r="B117" s="253"/>
      <c r="C117" s="254" t="s">
        <v>190</v>
      </c>
      <c r="D117" s="266"/>
      <c r="E117" s="268">
        <f>(E113/E110)</f>
        <v>0.97685185185185186</v>
      </c>
      <c r="F117" s="256" t="s">
        <v>347</v>
      </c>
      <c r="H117" s="253"/>
      <c r="I117" s="254" t="s">
        <v>190</v>
      </c>
      <c r="J117" s="266"/>
      <c r="K117" s="268">
        <f>(K113/K110)</f>
        <v>0.97685185185185186</v>
      </c>
      <c r="L117" s="256" t="s">
        <v>347</v>
      </c>
      <c r="N117" s="253"/>
      <c r="O117" s="254" t="s">
        <v>190</v>
      </c>
      <c r="P117" s="266"/>
      <c r="Q117" s="268">
        <f>(Q113/Q110)</f>
        <v>0.97685185185185186</v>
      </c>
      <c r="R117" s="256" t="s">
        <v>347</v>
      </c>
      <c r="T117" s="253"/>
      <c r="U117" s="254" t="s">
        <v>190</v>
      </c>
      <c r="V117" s="266"/>
      <c r="W117" s="268">
        <f>(W113/W110)</f>
        <v>0.97685185185185186</v>
      </c>
      <c r="X117" s="256" t="s">
        <v>347</v>
      </c>
    </row>
    <row r="118" spans="2:24" x14ac:dyDescent="0.25">
      <c r="B118" s="253"/>
      <c r="C118" s="254" t="s">
        <v>287</v>
      </c>
      <c r="D118" s="266"/>
      <c r="E118" s="257"/>
      <c r="F118" s="256"/>
      <c r="H118" s="253"/>
      <c r="I118" s="254" t="s">
        <v>287</v>
      </c>
      <c r="J118" s="266"/>
      <c r="K118" s="257"/>
      <c r="L118" s="256"/>
      <c r="N118" s="253"/>
      <c r="O118" s="254" t="s">
        <v>287</v>
      </c>
      <c r="P118" s="266"/>
      <c r="Q118" s="257"/>
      <c r="R118" s="256"/>
      <c r="T118" s="253"/>
      <c r="U118" s="254" t="s">
        <v>287</v>
      </c>
      <c r="V118" s="266"/>
      <c r="W118" s="257"/>
      <c r="X118" s="256"/>
    </row>
    <row r="119" spans="2:24" x14ac:dyDescent="0.25">
      <c r="B119" s="253"/>
      <c r="C119" s="254"/>
      <c r="D119" s="266" t="s">
        <v>288</v>
      </c>
      <c r="E119" s="257">
        <v>90</v>
      </c>
      <c r="F119" s="256" t="s">
        <v>289</v>
      </c>
      <c r="H119" s="253"/>
      <c r="I119" s="254"/>
      <c r="J119" s="266" t="s">
        <v>288</v>
      </c>
      <c r="K119" s="257">
        <v>90</v>
      </c>
      <c r="L119" s="256" t="s">
        <v>289</v>
      </c>
      <c r="N119" s="253"/>
      <c r="O119" s="254"/>
      <c r="P119" s="266" t="s">
        <v>288</v>
      </c>
      <c r="Q119" s="257">
        <v>90</v>
      </c>
      <c r="R119" s="256" t="s">
        <v>289</v>
      </c>
      <c r="T119" s="253"/>
      <c r="U119" s="254"/>
      <c r="V119" s="266" t="s">
        <v>288</v>
      </c>
      <c r="W119" s="257">
        <v>90</v>
      </c>
      <c r="X119" s="256" t="s">
        <v>289</v>
      </c>
    </row>
    <row r="120" spans="2:24" x14ac:dyDescent="0.25">
      <c r="B120" s="253"/>
      <c r="C120" s="254"/>
      <c r="D120" s="266" t="s">
        <v>290</v>
      </c>
      <c r="E120" s="257">
        <v>0.05</v>
      </c>
      <c r="F120" s="256" t="s">
        <v>289</v>
      </c>
      <c r="H120" s="253"/>
      <c r="I120" s="254"/>
      <c r="J120" s="266" t="s">
        <v>290</v>
      </c>
      <c r="K120" s="257">
        <v>0.05</v>
      </c>
      <c r="L120" s="256" t="s">
        <v>289</v>
      </c>
      <c r="N120" s="253"/>
      <c r="O120" s="254"/>
      <c r="P120" s="266" t="s">
        <v>290</v>
      </c>
      <c r="Q120" s="257">
        <v>0.05</v>
      </c>
      <c r="R120" s="256" t="s">
        <v>289</v>
      </c>
      <c r="T120" s="253"/>
      <c r="U120" s="254"/>
      <c r="V120" s="266" t="s">
        <v>290</v>
      </c>
      <c r="W120" s="257">
        <v>0.05</v>
      </c>
      <c r="X120" s="256" t="s">
        <v>289</v>
      </c>
    </row>
    <row r="121" spans="2:24" x14ac:dyDescent="0.25">
      <c r="B121" s="253"/>
      <c r="C121" s="254"/>
      <c r="D121" s="266" t="s">
        <v>291</v>
      </c>
      <c r="E121" s="257">
        <v>210</v>
      </c>
      <c r="F121" s="256" t="s">
        <v>289</v>
      </c>
      <c r="H121" s="253"/>
      <c r="I121" s="254"/>
      <c r="J121" s="266" t="s">
        <v>291</v>
      </c>
      <c r="K121" s="257">
        <v>210</v>
      </c>
      <c r="L121" s="256" t="s">
        <v>289</v>
      </c>
      <c r="N121" s="253"/>
      <c r="O121" s="254"/>
      <c r="P121" s="266" t="s">
        <v>291</v>
      </c>
      <c r="Q121" s="257">
        <v>210</v>
      </c>
      <c r="R121" s="256" t="s">
        <v>289</v>
      </c>
      <c r="T121" s="253"/>
      <c r="U121" s="254"/>
      <c r="V121" s="266" t="s">
        <v>291</v>
      </c>
      <c r="W121" s="257">
        <v>210</v>
      </c>
      <c r="X121" s="256" t="s">
        <v>289</v>
      </c>
    </row>
    <row r="122" spans="2:24" x14ac:dyDescent="0.25">
      <c r="B122" s="253"/>
      <c r="C122" s="254" t="s">
        <v>282</v>
      </c>
      <c r="D122" s="266" t="s">
        <v>293</v>
      </c>
      <c r="E122" s="257" t="s">
        <v>294</v>
      </c>
      <c r="F122" s="256" t="s">
        <v>295</v>
      </c>
      <c r="H122" s="253"/>
      <c r="I122" s="254" t="s">
        <v>282</v>
      </c>
      <c r="J122" s="266" t="s">
        <v>293</v>
      </c>
      <c r="K122" s="257" t="s">
        <v>294</v>
      </c>
      <c r="L122" s="256" t="s">
        <v>295</v>
      </c>
      <c r="N122" s="253"/>
      <c r="O122" s="254" t="s">
        <v>282</v>
      </c>
      <c r="P122" s="266" t="s">
        <v>293</v>
      </c>
      <c r="Q122" s="257" t="s">
        <v>294</v>
      </c>
      <c r="R122" s="256" t="s">
        <v>295</v>
      </c>
      <c r="T122" s="253"/>
      <c r="U122" s="254" t="s">
        <v>282</v>
      </c>
      <c r="V122" s="266" t="s">
        <v>293</v>
      </c>
      <c r="W122" s="257" t="s">
        <v>294</v>
      </c>
      <c r="X122" s="256" t="s">
        <v>295</v>
      </c>
    </row>
    <row r="123" spans="2:24" x14ac:dyDescent="0.25">
      <c r="B123" s="253"/>
      <c r="C123" s="254"/>
      <c r="D123" s="266" t="s">
        <v>194</v>
      </c>
      <c r="E123" s="257" t="s">
        <v>296</v>
      </c>
      <c r="F123" s="256"/>
      <c r="H123" s="253"/>
      <c r="I123" s="254"/>
      <c r="J123" s="266" t="s">
        <v>194</v>
      </c>
      <c r="K123" s="257" t="s">
        <v>296</v>
      </c>
      <c r="L123" s="256"/>
      <c r="N123" s="253"/>
      <c r="O123" s="254"/>
      <c r="P123" s="266" t="s">
        <v>194</v>
      </c>
      <c r="Q123" s="257" t="s">
        <v>296</v>
      </c>
      <c r="R123" s="256"/>
      <c r="T123" s="253"/>
      <c r="U123" s="254"/>
      <c r="V123" s="266" t="s">
        <v>194</v>
      </c>
      <c r="W123" s="257" t="s">
        <v>296</v>
      </c>
      <c r="X123" s="256"/>
    </row>
    <row r="124" spans="2:24" x14ac:dyDescent="0.25">
      <c r="B124" s="253"/>
      <c r="C124" s="254"/>
      <c r="D124" s="266" t="s">
        <v>297</v>
      </c>
      <c r="E124" s="257">
        <v>0.5</v>
      </c>
      <c r="F124" s="256" t="s">
        <v>298</v>
      </c>
      <c r="H124" s="253"/>
      <c r="I124" s="254"/>
      <c r="J124" s="266" t="s">
        <v>297</v>
      </c>
      <c r="K124" s="257">
        <v>0.5</v>
      </c>
      <c r="L124" s="256" t="s">
        <v>298</v>
      </c>
      <c r="N124" s="253"/>
      <c r="O124" s="254"/>
      <c r="P124" s="266" t="s">
        <v>297</v>
      </c>
      <c r="Q124" s="257">
        <v>0.5</v>
      </c>
      <c r="R124" s="256" t="s">
        <v>298</v>
      </c>
      <c r="T124" s="253"/>
      <c r="U124" s="254"/>
      <c r="V124" s="266" t="s">
        <v>297</v>
      </c>
      <c r="W124" s="257">
        <v>0.5</v>
      </c>
      <c r="X124" s="256" t="s">
        <v>298</v>
      </c>
    </row>
    <row r="125" spans="2:24" ht="30" x14ac:dyDescent="0.25">
      <c r="B125" s="253"/>
      <c r="C125" s="254"/>
      <c r="D125" s="266" t="s">
        <v>299</v>
      </c>
      <c r="E125" s="257" t="s">
        <v>300</v>
      </c>
      <c r="F125" s="256" t="s">
        <v>301</v>
      </c>
      <c r="H125" s="253"/>
      <c r="I125" s="254"/>
      <c r="J125" s="266" t="s">
        <v>299</v>
      </c>
      <c r="K125" s="257" t="s">
        <v>300</v>
      </c>
      <c r="L125" s="256" t="s">
        <v>301</v>
      </c>
      <c r="N125" s="253"/>
      <c r="O125" s="254"/>
      <c r="P125" s="266" t="s">
        <v>299</v>
      </c>
      <c r="Q125" s="257" t="s">
        <v>300</v>
      </c>
      <c r="R125" s="256" t="s">
        <v>301</v>
      </c>
      <c r="T125" s="253"/>
      <c r="U125" s="254"/>
      <c r="V125" s="266" t="s">
        <v>299</v>
      </c>
      <c r="W125" s="257" t="s">
        <v>300</v>
      </c>
      <c r="X125" s="256" t="s">
        <v>301</v>
      </c>
    </row>
    <row r="126" spans="2:24" x14ac:dyDescent="0.25">
      <c r="B126" s="253"/>
      <c r="C126" s="257"/>
      <c r="D126" s="266" t="s">
        <v>302</v>
      </c>
      <c r="E126" s="257" t="s">
        <v>303</v>
      </c>
      <c r="F126" s="256"/>
      <c r="H126" s="253"/>
      <c r="I126" s="257"/>
      <c r="J126" s="266" t="s">
        <v>302</v>
      </c>
      <c r="K126" s="257" t="s">
        <v>303</v>
      </c>
      <c r="L126" s="256"/>
      <c r="N126" s="253"/>
      <c r="O126" s="257"/>
      <c r="P126" s="266" t="s">
        <v>302</v>
      </c>
      <c r="Q126" s="257" t="s">
        <v>303</v>
      </c>
      <c r="R126" s="256"/>
      <c r="T126" s="253"/>
      <c r="U126" s="257"/>
      <c r="V126" s="266" t="s">
        <v>302</v>
      </c>
      <c r="W126" s="257" t="s">
        <v>303</v>
      </c>
      <c r="X126" s="256"/>
    </row>
    <row r="127" spans="2:24" ht="15.75" thickBot="1" x14ac:dyDescent="0.3">
      <c r="B127" s="271"/>
      <c r="C127" s="272"/>
      <c r="D127" s="273" t="s">
        <v>304</v>
      </c>
      <c r="E127" s="272" t="s">
        <v>305</v>
      </c>
      <c r="F127" s="286" t="s">
        <v>127</v>
      </c>
      <c r="H127" s="271"/>
      <c r="I127" s="272"/>
      <c r="J127" s="273" t="s">
        <v>304</v>
      </c>
      <c r="K127" s="272" t="s">
        <v>305</v>
      </c>
      <c r="L127" s="286" t="s">
        <v>127</v>
      </c>
      <c r="N127" s="271"/>
      <c r="O127" s="272"/>
      <c r="P127" s="273" t="s">
        <v>304</v>
      </c>
      <c r="Q127" s="272" t="s">
        <v>305</v>
      </c>
      <c r="R127" s="286" t="s">
        <v>127</v>
      </c>
      <c r="T127" s="271"/>
      <c r="U127" s="272"/>
      <c r="V127" s="273" t="s">
        <v>304</v>
      </c>
      <c r="W127" s="272" t="s">
        <v>305</v>
      </c>
      <c r="X127" s="286" t="s">
        <v>127</v>
      </c>
    </row>
    <row r="128" spans="2:24" ht="15.75" thickBot="1" x14ac:dyDescent="0.3"/>
    <row r="129" spans="2:24" x14ac:dyDescent="0.25">
      <c r="B129" s="428" t="s">
        <v>211</v>
      </c>
      <c r="C129" s="429"/>
      <c r="D129" s="429"/>
      <c r="E129" s="429"/>
      <c r="F129" s="430"/>
      <c r="H129" s="428" t="s">
        <v>211</v>
      </c>
      <c r="I129" s="429"/>
      <c r="J129" s="429"/>
      <c r="K129" s="429"/>
      <c r="L129" s="430"/>
      <c r="N129" s="428" t="s">
        <v>211</v>
      </c>
      <c r="O129" s="429"/>
      <c r="P129" s="429"/>
      <c r="Q129" s="429"/>
      <c r="R129" s="430"/>
      <c r="T129" s="428" t="s">
        <v>211</v>
      </c>
      <c r="U129" s="429"/>
      <c r="V129" s="429"/>
      <c r="W129" s="429"/>
      <c r="X129" s="430"/>
    </row>
    <row r="130" spans="2:24" ht="15.75" thickBot="1" x14ac:dyDescent="0.3">
      <c r="B130" s="431" t="s">
        <v>153</v>
      </c>
      <c r="C130" s="432"/>
      <c r="D130" s="432"/>
      <c r="E130" s="432"/>
      <c r="F130" s="433"/>
      <c r="H130" s="434" t="s">
        <v>153</v>
      </c>
      <c r="I130" s="435"/>
      <c r="J130" s="435"/>
      <c r="K130" s="435"/>
      <c r="L130" s="436"/>
      <c r="N130" s="431" t="s">
        <v>153</v>
      </c>
      <c r="O130" s="432"/>
      <c r="P130" s="432"/>
      <c r="Q130" s="432"/>
      <c r="R130" s="433"/>
      <c r="T130" s="434" t="s">
        <v>153</v>
      </c>
      <c r="U130" s="435"/>
      <c r="V130" s="435"/>
      <c r="W130" s="435"/>
      <c r="X130" s="436"/>
    </row>
    <row r="131" spans="2:24" x14ac:dyDescent="0.25">
      <c r="B131" s="416" t="s">
        <v>282</v>
      </c>
      <c r="C131" s="417"/>
      <c r="D131" s="417"/>
      <c r="E131" s="417"/>
      <c r="F131" s="418"/>
      <c r="H131" s="416" t="s">
        <v>282</v>
      </c>
      <c r="I131" s="417"/>
      <c r="J131" s="417"/>
      <c r="K131" s="417"/>
      <c r="L131" s="418"/>
      <c r="N131" s="416" t="s">
        <v>282</v>
      </c>
      <c r="O131" s="417"/>
      <c r="P131" s="417"/>
      <c r="Q131" s="417"/>
      <c r="R131" s="418"/>
      <c r="T131" s="416" t="s">
        <v>282</v>
      </c>
      <c r="U131" s="417"/>
      <c r="V131" s="417"/>
      <c r="W131" s="417"/>
      <c r="X131" s="418"/>
    </row>
    <row r="132" spans="2:24" ht="15.75" thickBot="1" x14ac:dyDescent="0.3">
      <c r="B132" s="419" t="s">
        <v>342</v>
      </c>
      <c r="C132" s="437"/>
      <c r="D132" s="421"/>
      <c r="E132" s="422"/>
      <c r="F132" s="423"/>
      <c r="H132" s="419" t="s">
        <v>342</v>
      </c>
      <c r="I132" s="420"/>
      <c r="J132" s="421"/>
      <c r="K132" s="422"/>
      <c r="L132" s="423"/>
      <c r="N132" s="419" t="s">
        <v>342</v>
      </c>
      <c r="O132" s="437"/>
      <c r="P132" s="421"/>
      <c r="Q132" s="422"/>
      <c r="R132" s="423"/>
      <c r="T132" s="419" t="s">
        <v>342</v>
      </c>
      <c r="U132" s="420"/>
      <c r="V132" s="421"/>
      <c r="W132" s="422"/>
      <c r="X132" s="423"/>
    </row>
    <row r="133" spans="2:24" ht="15.75" thickBot="1" x14ac:dyDescent="0.3">
      <c r="B133" s="250" t="s">
        <v>108</v>
      </c>
      <c r="C133" s="251" t="s">
        <v>156</v>
      </c>
      <c r="D133" s="251" t="s">
        <v>157</v>
      </c>
      <c r="E133" s="251" t="s">
        <v>158</v>
      </c>
      <c r="F133" s="252" t="s">
        <v>159</v>
      </c>
      <c r="H133" s="250" t="s">
        <v>108</v>
      </c>
      <c r="I133" s="251" t="s">
        <v>156</v>
      </c>
      <c r="J133" s="251" t="s">
        <v>157</v>
      </c>
      <c r="K133" s="251" t="s">
        <v>158</v>
      </c>
      <c r="L133" s="252" t="s">
        <v>159</v>
      </c>
      <c r="N133" s="250" t="s">
        <v>108</v>
      </c>
      <c r="O133" s="251" t="s">
        <v>156</v>
      </c>
      <c r="P133" s="251" t="s">
        <v>157</v>
      </c>
      <c r="Q133" s="251" t="s">
        <v>158</v>
      </c>
      <c r="R133" s="252" t="s">
        <v>159</v>
      </c>
      <c r="T133" s="250" t="s">
        <v>108</v>
      </c>
      <c r="U133" s="251" t="s">
        <v>156</v>
      </c>
      <c r="V133" s="251" t="s">
        <v>157</v>
      </c>
      <c r="W133" s="251" t="s">
        <v>158</v>
      </c>
      <c r="X133" s="252" t="s">
        <v>159</v>
      </c>
    </row>
    <row r="134" spans="2:24" x14ac:dyDescent="0.25">
      <c r="B134" s="441" t="s">
        <v>343</v>
      </c>
      <c r="C134" s="442"/>
      <c r="D134" s="442"/>
      <c r="E134" s="442"/>
      <c r="F134" s="443"/>
      <c r="H134" s="424" t="s">
        <v>343</v>
      </c>
      <c r="I134" s="425"/>
      <c r="J134" s="425"/>
      <c r="K134" s="425"/>
      <c r="L134" s="426"/>
      <c r="N134" s="441" t="s">
        <v>343</v>
      </c>
      <c r="O134" s="442"/>
      <c r="P134" s="442"/>
      <c r="Q134" s="442"/>
      <c r="R134" s="443"/>
      <c r="T134" s="424" t="s">
        <v>343</v>
      </c>
      <c r="U134" s="425"/>
      <c r="V134" s="425"/>
      <c r="W134" s="425"/>
      <c r="X134" s="426"/>
    </row>
    <row r="135" spans="2:24" ht="30" x14ac:dyDescent="0.25">
      <c r="B135" s="253"/>
      <c r="C135" s="254" t="s">
        <v>161</v>
      </c>
      <c r="D135" s="254"/>
      <c r="E135" s="257" t="s">
        <v>365</v>
      </c>
      <c r="F135" s="288"/>
      <c r="H135" s="253"/>
      <c r="I135" s="254" t="s">
        <v>161</v>
      </c>
      <c r="J135" s="254"/>
      <c r="K135" s="257" t="s">
        <v>344</v>
      </c>
      <c r="L135" s="288"/>
      <c r="N135" s="253"/>
      <c r="O135" s="254" t="s">
        <v>161</v>
      </c>
      <c r="P135" s="254"/>
      <c r="Q135" s="257" t="s">
        <v>366</v>
      </c>
      <c r="R135" s="288"/>
      <c r="T135" s="253"/>
      <c r="U135" s="254" t="s">
        <v>161</v>
      </c>
      <c r="V135" s="254"/>
      <c r="W135" s="257" t="s">
        <v>367</v>
      </c>
      <c r="X135" s="288"/>
    </row>
    <row r="136" spans="2:24" x14ac:dyDescent="0.25">
      <c r="B136" s="253"/>
      <c r="C136" s="254" t="s">
        <v>162</v>
      </c>
      <c r="D136" s="254"/>
      <c r="E136" s="289" t="s">
        <v>368</v>
      </c>
      <c r="F136" s="288"/>
      <c r="H136" s="253"/>
      <c r="I136" s="254" t="s">
        <v>162</v>
      </c>
      <c r="J136" s="254"/>
      <c r="K136" s="289" t="s">
        <v>369</v>
      </c>
      <c r="L136" s="288"/>
      <c r="N136" s="253"/>
      <c r="O136" s="254" t="s">
        <v>162</v>
      </c>
      <c r="P136" s="254"/>
      <c r="Q136" s="289" t="s">
        <v>370</v>
      </c>
      <c r="R136" s="288"/>
      <c r="T136" s="253"/>
      <c r="U136" s="254" t="s">
        <v>162</v>
      </c>
      <c r="V136" s="254"/>
      <c r="W136" s="289" t="s">
        <v>371</v>
      </c>
      <c r="X136" s="288"/>
    </row>
    <row r="137" spans="2:24" x14ac:dyDescent="0.25">
      <c r="B137" s="253"/>
      <c r="C137" s="254" t="s">
        <v>165</v>
      </c>
      <c r="D137" s="266"/>
      <c r="E137" s="257"/>
      <c r="F137" s="256"/>
      <c r="H137" s="253"/>
      <c r="I137" s="254" t="s">
        <v>165</v>
      </c>
      <c r="J137" s="266"/>
      <c r="K137" s="257"/>
      <c r="L137" s="256"/>
      <c r="N137" s="253"/>
      <c r="O137" s="254" t="s">
        <v>165</v>
      </c>
      <c r="P137" s="266"/>
      <c r="Q137" s="257"/>
      <c r="R137" s="256"/>
      <c r="T137" s="253"/>
      <c r="U137" s="254" t="s">
        <v>165</v>
      </c>
      <c r="V137" s="266"/>
      <c r="W137" s="257"/>
      <c r="X137" s="256"/>
    </row>
    <row r="138" spans="2:24" ht="30" x14ac:dyDescent="0.25">
      <c r="B138" s="253"/>
      <c r="C138" s="254"/>
      <c r="D138" s="266" t="s">
        <v>166</v>
      </c>
      <c r="E138" s="257">
        <v>0</v>
      </c>
      <c r="F138" s="290" t="s">
        <v>346</v>
      </c>
      <c r="H138" s="253"/>
      <c r="I138" s="254"/>
      <c r="J138" s="266" t="s">
        <v>166</v>
      </c>
      <c r="K138" s="257">
        <v>0</v>
      </c>
      <c r="L138" s="290" t="s">
        <v>346</v>
      </c>
      <c r="N138" s="253"/>
      <c r="O138" s="254"/>
      <c r="P138" s="266" t="s">
        <v>166</v>
      </c>
      <c r="Q138" s="257">
        <v>0</v>
      </c>
      <c r="R138" s="290" t="s">
        <v>346</v>
      </c>
      <c r="T138" s="253"/>
      <c r="U138" s="254"/>
      <c r="V138" s="266" t="s">
        <v>166</v>
      </c>
      <c r="W138" s="257">
        <v>0</v>
      </c>
      <c r="X138" s="290" t="s">
        <v>346</v>
      </c>
    </row>
    <row r="139" spans="2:24" x14ac:dyDescent="0.25">
      <c r="B139" s="253"/>
      <c r="C139" s="254"/>
      <c r="D139" s="266" t="s">
        <v>167</v>
      </c>
      <c r="E139" s="257">
        <v>0</v>
      </c>
      <c r="F139" s="256" t="s">
        <v>168</v>
      </c>
      <c r="H139" s="253"/>
      <c r="I139" s="254"/>
      <c r="J139" s="266" t="s">
        <v>167</v>
      </c>
      <c r="K139" s="257">
        <v>0</v>
      </c>
      <c r="L139" s="256" t="s">
        <v>168</v>
      </c>
      <c r="N139" s="253"/>
      <c r="O139" s="254"/>
      <c r="P139" s="266" t="s">
        <v>167</v>
      </c>
      <c r="Q139" s="257">
        <v>0</v>
      </c>
      <c r="R139" s="256" t="s">
        <v>168</v>
      </c>
      <c r="T139" s="253"/>
      <c r="U139" s="254"/>
      <c r="V139" s="266" t="s">
        <v>167</v>
      </c>
      <c r="W139" s="257">
        <v>0</v>
      </c>
      <c r="X139" s="256" t="s">
        <v>168</v>
      </c>
    </row>
    <row r="140" spans="2:24" x14ac:dyDescent="0.25">
      <c r="B140" s="253"/>
      <c r="C140" s="254" t="s">
        <v>169</v>
      </c>
      <c r="D140" s="266"/>
      <c r="E140" s="259"/>
      <c r="F140" s="256" t="s">
        <v>170</v>
      </c>
      <c r="H140" s="253"/>
      <c r="I140" s="254" t="s">
        <v>169</v>
      </c>
      <c r="J140" s="266"/>
      <c r="K140" s="259"/>
      <c r="L140" s="256" t="s">
        <v>170</v>
      </c>
      <c r="N140" s="253"/>
      <c r="O140" s="254" t="s">
        <v>169</v>
      </c>
      <c r="P140" s="266"/>
      <c r="Q140" s="259"/>
      <c r="R140" s="256" t="s">
        <v>170</v>
      </c>
      <c r="T140" s="253"/>
      <c r="U140" s="254" t="s">
        <v>169</v>
      </c>
      <c r="V140" s="266"/>
      <c r="W140" s="259"/>
      <c r="X140" s="256" t="s">
        <v>170</v>
      </c>
    </row>
    <row r="141" spans="2:24" x14ac:dyDescent="0.25">
      <c r="B141" s="253"/>
      <c r="C141" s="254" t="s">
        <v>172</v>
      </c>
      <c r="D141" s="266"/>
      <c r="E141" s="257">
        <f>15*12*30</f>
        <v>5400</v>
      </c>
      <c r="F141" s="256" t="s">
        <v>173</v>
      </c>
      <c r="H141" s="253"/>
      <c r="I141" s="254" t="s">
        <v>172</v>
      </c>
      <c r="J141" s="266"/>
      <c r="K141" s="257">
        <f>15*12*30</f>
        <v>5400</v>
      </c>
      <c r="L141" s="256" t="s">
        <v>173</v>
      </c>
      <c r="N141" s="253"/>
      <c r="O141" s="254" t="s">
        <v>172</v>
      </c>
      <c r="P141" s="266"/>
      <c r="Q141" s="257">
        <f>15*12*30</f>
        <v>5400</v>
      </c>
      <c r="R141" s="256" t="s">
        <v>173</v>
      </c>
      <c r="T141" s="253"/>
      <c r="U141" s="254" t="s">
        <v>172</v>
      </c>
      <c r="V141" s="266"/>
      <c r="W141" s="257">
        <f>15*12*30</f>
        <v>5400</v>
      </c>
      <c r="X141" s="256" t="s">
        <v>173</v>
      </c>
    </row>
    <row r="142" spans="2:24" x14ac:dyDescent="0.25">
      <c r="B142" s="260"/>
      <c r="C142" s="261" t="s">
        <v>175</v>
      </c>
      <c r="D142" s="285"/>
      <c r="E142" s="262">
        <f>'Data Lingkungan_IC'!BP69</f>
        <v>0</v>
      </c>
      <c r="F142" s="263"/>
      <c r="H142" s="260"/>
      <c r="I142" s="261" t="s">
        <v>175</v>
      </c>
      <c r="J142" s="285"/>
      <c r="K142" s="262">
        <f>'Data Lingkungan_IC'!AF69</f>
        <v>0</v>
      </c>
      <c r="L142" s="263"/>
      <c r="N142" s="260"/>
      <c r="O142" s="261" t="s">
        <v>175</v>
      </c>
      <c r="P142" s="285"/>
      <c r="Q142" s="262" t="str">
        <f>'Data Lingkungan_IC'!CQ64</f>
        <v>off</v>
      </c>
      <c r="R142" s="263"/>
      <c r="T142" s="260"/>
      <c r="U142" s="261" t="s">
        <v>175</v>
      </c>
      <c r="V142" s="285"/>
      <c r="W142" s="262" t="str">
        <f>'Data Lingkungan_IC'!AX70</f>
        <v>on</v>
      </c>
      <c r="X142" s="263"/>
    </row>
    <row r="143" spans="2:24" x14ac:dyDescent="0.25">
      <c r="B143" s="253"/>
      <c r="C143" s="254" t="s">
        <v>177</v>
      </c>
      <c r="D143" s="266"/>
      <c r="E143" s="257">
        <v>120</v>
      </c>
      <c r="F143" s="256" t="s">
        <v>173</v>
      </c>
      <c r="H143" s="253"/>
      <c r="I143" s="254" t="s">
        <v>177</v>
      </c>
      <c r="J143" s="266"/>
      <c r="K143" s="257">
        <v>120</v>
      </c>
      <c r="L143" s="256" t="s">
        <v>173</v>
      </c>
      <c r="N143" s="253"/>
      <c r="O143" s="254" t="s">
        <v>177</v>
      </c>
      <c r="P143" s="266"/>
      <c r="Q143" s="257">
        <v>120</v>
      </c>
      <c r="R143" s="256" t="s">
        <v>173</v>
      </c>
      <c r="T143" s="253"/>
      <c r="U143" s="254" t="s">
        <v>177</v>
      </c>
      <c r="V143" s="266"/>
      <c r="W143" s="257">
        <v>1</v>
      </c>
      <c r="X143" s="256" t="s">
        <v>173</v>
      </c>
    </row>
    <row r="144" spans="2:24" x14ac:dyDescent="0.25">
      <c r="B144" s="253"/>
      <c r="C144" s="254" t="s">
        <v>179</v>
      </c>
      <c r="D144" s="266"/>
      <c r="E144" s="264">
        <f>E141-E143-(E145+E147)/2*10</f>
        <v>5275</v>
      </c>
      <c r="F144" s="256" t="s">
        <v>173</v>
      </c>
      <c r="H144" s="253"/>
      <c r="I144" s="254" t="s">
        <v>179</v>
      </c>
      <c r="J144" s="266"/>
      <c r="K144" s="264">
        <f>K141-K143-(K145+K147)/2*10</f>
        <v>5275</v>
      </c>
      <c r="L144" s="256" t="s">
        <v>173</v>
      </c>
      <c r="N144" s="253"/>
      <c r="O144" s="254" t="s">
        <v>179</v>
      </c>
      <c r="P144" s="266"/>
      <c r="Q144" s="264">
        <f>Q141-Q143-(Q145+Q147)/2*10</f>
        <v>5275</v>
      </c>
      <c r="R144" s="256" t="s">
        <v>173</v>
      </c>
      <c r="T144" s="253"/>
      <c r="U144" s="254" t="s">
        <v>179</v>
      </c>
      <c r="V144" s="266"/>
      <c r="W144" s="264">
        <f>W141-W143-(W145+W147)/2*10</f>
        <v>5396.541666666667</v>
      </c>
      <c r="X144" s="256" t="s">
        <v>173</v>
      </c>
    </row>
    <row r="145" spans="2:24" x14ac:dyDescent="0.25">
      <c r="B145" s="253"/>
      <c r="C145" s="254" t="s">
        <v>181</v>
      </c>
      <c r="D145" s="266" t="s">
        <v>182</v>
      </c>
      <c r="E145" s="265">
        <f>((E143/E141)*45-E146)</f>
        <v>1</v>
      </c>
      <c r="F145" s="256" t="s">
        <v>183</v>
      </c>
      <c r="H145" s="253"/>
      <c r="I145" s="254" t="s">
        <v>181</v>
      </c>
      <c r="J145" s="266" t="s">
        <v>182</v>
      </c>
      <c r="K145" s="265">
        <f>((K143/K141)*45-K146)</f>
        <v>1</v>
      </c>
      <c r="L145" s="256" t="s">
        <v>183</v>
      </c>
      <c r="N145" s="253"/>
      <c r="O145" s="254" t="s">
        <v>181</v>
      </c>
      <c r="P145" s="266" t="s">
        <v>182</v>
      </c>
      <c r="Q145" s="265">
        <f>((Q143/Q141)*45-Q146)</f>
        <v>1</v>
      </c>
      <c r="R145" s="256" t="s">
        <v>183</v>
      </c>
      <c r="T145" s="253"/>
      <c r="U145" s="254" t="s">
        <v>181</v>
      </c>
      <c r="V145" s="266" t="s">
        <v>182</v>
      </c>
      <c r="W145" s="265">
        <f>((W143/W141)*45-W146)</f>
        <v>8.3333333333333332E-3</v>
      </c>
      <c r="X145" s="256" t="s">
        <v>183</v>
      </c>
    </row>
    <row r="146" spans="2:24" ht="30" x14ac:dyDescent="0.25">
      <c r="B146" s="253"/>
      <c r="C146" s="254"/>
      <c r="D146" s="266" t="s">
        <v>185</v>
      </c>
      <c r="E146" s="267">
        <f>'Data Lingkungan_IC'!Z160</f>
        <v>0</v>
      </c>
      <c r="F146" s="256" t="s">
        <v>186</v>
      </c>
      <c r="H146" s="253"/>
      <c r="I146" s="254"/>
      <c r="J146" s="266" t="s">
        <v>185</v>
      </c>
      <c r="K146" s="267">
        <f>'Data Lingkungan_IC'!Z159</f>
        <v>0</v>
      </c>
      <c r="L146" s="256" t="s">
        <v>186</v>
      </c>
      <c r="N146" s="253"/>
      <c r="O146" s="254"/>
      <c r="P146" s="266" t="s">
        <v>185</v>
      </c>
      <c r="Q146" s="267">
        <f>'Data Lingkungan_IC'!AG159</f>
        <v>0</v>
      </c>
      <c r="R146" s="256" t="s">
        <v>186</v>
      </c>
      <c r="T146" s="253"/>
      <c r="U146" s="254"/>
      <c r="V146" s="266" t="s">
        <v>185</v>
      </c>
      <c r="W146" s="267">
        <f>'Data Lingkungan_IC'!AM162</f>
        <v>0</v>
      </c>
      <c r="X146" s="256" t="s">
        <v>186</v>
      </c>
    </row>
    <row r="147" spans="2:24" x14ac:dyDescent="0.25">
      <c r="B147" s="253"/>
      <c r="C147" s="254" t="s">
        <v>188</v>
      </c>
      <c r="D147" s="266" t="s">
        <v>182</v>
      </c>
      <c r="E147" s="267">
        <f>'Data Lingkungan_IC'!BS69</f>
        <v>0</v>
      </c>
      <c r="F147" s="256" t="s">
        <v>183</v>
      </c>
      <c r="H147" s="253"/>
      <c r="I147" s="254" t="s">
        <v>188</v>
      </c>
      <c r="J147" s="266" t="s">
        <v>182</v>
      </c>
      <c r="K147" s="267">
        <f>'Data Lingkungan_IC'!AI69</f>
        <v>0</v>
      </c>
      <c r="L147" s="256" t="s">
        <v>183</v>
      </c>
      <c r="N147" s="253"/>
      <c r="O147" s="254" t="s">
        <v>188</v>
      </c>
      <c r="P147" s="266" t="s">
        <v>182</v>
      </c>
      <c r="Q147" s="267">
        <f>'Data Lingkungan_IC'!CT64</f>
        <v>0</v>
      </c>
      <c r="R147" s="256" t="s">
        <v>183</v>
      </c>
      <c r="T147" s="253"/>
      <c r="U147" s="254" t="s">
        <v>188</v>
      </c>
      <c r="V147" s="266" t="s">
        <v>182</v>
      </c>
      <c r="W147" s="267">
        <f>'Data Lingkungan_IC'!BA70</f>
        <v>0.48333333333333334</v>
      </c>
      <c r="X147" s="256" t="s">
        <v>183</v>
      </c>
    </row>
    <row r="148" spans="2:24" ht="45" x14ac:dyDescent="0.25">
      <c r="B148" s="253"/>
      <c r="C148" s="254" t="s">
        <v>190</v>
      </c>
      <c r="D148" s="266"/>
      <c r="E148" s="268">
        <f>(E144/E141)</f>
        <v>0.97685185185185186</v>
      </c>
      <c r="F148" s="256" t="s">
        <v>347</v>
      </c>
      <c r="H148" s="253"/>
      <c r="I148" s="254" t="s">
        <v>190</v>
      </c>
      <c r="J148" s="266"/>
      <c r="K148" s="268">
        <f>(K144/K141)</f>
        <v>0.97685185185185186</v>
      </c>
      <c r="L148" s="256" t="s">
        <v>347</v>
      </c>
      <c r="N148" s="253"/>
      <c r="O148" s="254" t="s">
        <v>190</v>
      </c>
      <c r="P148" s="266"/>
      <c r="Q148" s="268">
        <f>(Q144/Q141)</f>
        <v>0.97685185185185186</v>
      </c>
      <c r="R148" s="256" t="s">
        <v>347</v>
      </c>
      <c r="T148" s="253"/>
      <c r="U148" s="254" t="s">
        <v>190</v>
      </c>
      <c r="V148" s="266"/>
      <c r="W148" s="268">
        <f>(W144/W141)</f>
        <v>0.99935956790123459</v>
      </c>
      <c r="X148" s="256" t="s">
        <v>347</v>
      </c>
    </row>
    <row r="149" spans="2:24" x14ac:dyDescent="0.25">
      <c r="B149" s="253"/>
      <c r="C149" s="254" t="s">
        <v>287</v>
      </c>
      <c r="D149" s="266"/>
      <c r="E149" s="257"/>
      <c r="F149" s="256"/>
      <c r="H149" s="253"/>
      <c r="I149" s="254" t="s">
        <v>287</v>
      </c>
      <c r="J149" s="266"/>
      <c r="K149" s="257"/>
      <c r="L149" s="256"/>
      <c r="N149" s="253"/>
      <c r="O149" s="254" t="s">
        <v>287</v>
      </c>
      <c r="P149" s="266"/>
      <c r="Q149" s="257"/>
      <c r="R149" s="256"/>
      <c r="T149" s="253"/>
      <c r="U149" s="254" t="s">
        <v>287</v>
      </c>
      <c r="V149" s="266"/>
      <c r="W149" s="257"/>
      <c r="X149" s="256"/>
    </row>
    <row r="150" spans="2:24" x14ac:dyDescent="0.25">
      <c r="B150" s="253"/>
      <c r="C150" s="254"/>
      <c r="D150" s="266" t="s">
        <v>288</v>
      </c>
      <c r="E150" s="257">
        <v>90</v>
      </c>
      <c r="F150" s="256" t="s">
        <v>289</v>
      </c>
      <c r="H150" s="253"/>
      <c r="I150" s="254"/>
      <c r="J150" s="266" t="s">
        <v>288</v>
      </c>
      <c r="K150" s="257">
        <v>90</v>
      </c>
      <c r="L150" s="256" t="s">
        <v>289</v>
      </c>
      <c r="N150" s="253"/>
      <c r="O150" s="254"/>
      <c r="P150" s="266" t="s">
        <v>288</v>
      </c>
      <c r="Q150" s="257">
        <v>90</v>
      </c>
      <c r="R150" s="256" t="s">
        <v>289</v>
      </c>
      <c r="T150" s="253"/>
      <c r="U150" s="254"/>
      <c r="V150" s="266" t="s">
        <v>288</v>
      </c>
      <c r="W150" s="257">
        <v>90</v>
      </c>
      <c r="X150" s="256" t="s">
        <v>289</v>
      </c>
    </row>
    <row r="151" spans="2:24" x14ac:dyDescent="0.25">
      <c r="B151" s="253"/>
      <c r="C151" s="254"/>
      <c r="D151" s="266" t="s">
        <v>290</v>
      </c>
      <c r="E151" s="257">
        <v>0.05</v>
      </c>
      <c r="F151" s="256" t="s">
        <v>289</v>
      </c>
      <c r="H151" s="253"/>
      <c r="I151" s="254"/>
      <c r="J151" s="266" t="s">
        <v>290</v>
      </c>
      <c r="K151" s="257">
        <v>0.05</v>
      </c>
      <c r="L151" s="256" t="s">
        <v>289</v>
      </c>
      <c r="N151" s="253"/>
      <c r="O151" s="254"/>
      <c r="P151" s="266" t="s">
        <v>290</v>
      </c>
      <c r="Q151" s="257">
        <v>0.05</v>
      </c>
      <c r="R151" s="256" t="s">
        <v>289</v>
      </c>
      <c r="T151" s="253"/>
      <c r="U151" s="254"/>
      <c r="V151" s="266" t="s">
        <v>290</v>
      </c>
      <c r="W151" s="257">
        <v>0.05</v>
      </c>
      <c r="X151" s="256" t="s">
        <v>289</v>
      </c>
    </row>
    <row r="152" spans="2:24" x14ac:dyDescent="0.25">
      <c r="B152" s="253"/>
      <c r="C152" s="254"/>
      <c r="D152" s="266" t="s">
        <v>291</v>
      </c>
      <c r="E152" s="257">
        <v>210</v>
      </c>
      <c r="F152" s="256" t="s">
        <v>289</v>
      </c>
      <c r="H152" s="253"/>
      <c r="I152" s="254"/>
      <c r="J152" s="266" t="s">
        <v>291</v>
      </c>
      <c r="K152" s="257">
        <v>210</v>
      </c>
      <c r="L152" s="256" t="s">
        <v>289</v>
      </c>
      <c r="N152" s="253"/>
      <c r="O152" s="254"/>
      <c r="P152" s="266" t="s">
        <v>291</v>
      </c>
      <c r="Q152" s="257">
        <v>210</v>
      </c>
      <c r="R152" s="256" t="s">
        <v>289</v>
      </c>
      <c r="T152" s="253"/>
      <c r="U152" s="254"/>
      <c r="V152" s="266" t="s">
        <v>291</v>
      </c>
      <c r="W152" s="257">
        <v>210</v>
      </c>
      <c r="X152" s="256" t="s">
        <v>289</v>
      </c>
    </row>
    <row r="153" spans="2:24" x14ac:dyDescent="0.25">
      <c r="B153" s="253"/>
      <c r="C153" s="254" t="s">
        <v>282</v>
      </c>
      <c r="D153" s="266" t="s">
        <v>293</v>
      </c>
      <c r="E153" s="257" t="s">
        <v>294</v>
      </c>
      <c r="F153" s="256" t="s">
        <v>295</v>
      </c>
      <c r="H153" s="253"/>
      <c r="I153" s="254" t="s">
        <v>282</v>
      </c>
      <c r="J153" s="266" t="s">
        <v>293</v>
      </c>
      <c r="K153" s="257" t="s">
        <v>294</v>
      </c>
      <c r="L153" s="256" t="s">
        <v>295</v>
      </c>
      <c r="N153" s="253"/>
      <c r="O153" s="254" t="s">
        <v>282</v>
      </c>
      <c r="P153" s="266" t="s">
        <v>293</v>
      </c>
      <c r="Q153" s="257" t="s">
        <v>294</v>
      </c>
      <c r="R153" s="256" t="s">
        <v>295</v>
      </c>
      <c r="T153" s="253"/>
      <c r="U153" s="254" t="s">
        <v>282</v>
      </c>
      <c r="V153" s="266" t="s">
        <v>293</v>
      </c>
      <c r="W153" s="257" t="s">
        <v>294</v>
      </c>
      <c r="X153" s="256" t="s">
        <v>295</v>
      </c>
    </row>
    <row r="154" spans="2:24" x14ac:dyDescent="0.25">
      <c r="B154" s="253"/>
      <c r="C154" s="254"/>
      <c r="D154" s="266" t="s">
        <v>194</v>
      </c>
      <c r="E154" s="257" t="s">
        <v>296</v>
      </c>
      <c r="F154" s="256"/>
      <c r="H154" s="253"/>
      <c r="I154" s="254"/>
      <c r="J154" s="266" t="s">
        <v>194</v>
      </c>
      <c r="K154" s="257" t="s">
        <v>296</v>
      </c>
      <c r="L154" s="256"/>
      <c r="N154" s="253"/>
      <c r="O154" s="254"/>
      <c r="P154" s="266" t="s">
        <v>194</v>
      </c>
      <c r="Q154" s="257" t="s">
        <v>296</v>
      </c>
      <c r="R154" s="256"/>
      <c r="T154" s="253"/>
      <c r="U154" s="254"/>
      <c r="V154" s="266" t="s">
        <v>194</v>
      </c>
      <c r="W154" s="257" t="s">
        <v>296</v>
      </c>
      <c r="X154" s="256"/>
    </row>
    <row r="155" spans="2:24" x14ac:dyDescent="0.25">
      <c r="B155" s="253"/>
      <c r="C155" s="254"/>
      <c r="D155" s="266" t="s">
        <v>297</v>
      </c>
      <c r="E155" s="257">
        <v>0.5</v>
      </c>
      <c r="F155" s="256" t="s">
        <v>298</v>
      </c>
      <c r="H155" s="253"/>
      <c r="I155" s="254"/>
      <c r="J155" s="266" t="s">
        <v>297</v>
      </c>
      <c r="K155" s="257">
        <v>0.5</v>
      </c>
      <c r="L155" s="256" t="s">
        <v>298</v>
      </c>
      <c r="N155" s="253"/>
      <c r="O155" s="254"/>
      <c r="P155" s="266" t="s">
        <v>297</v>
      </c>
      <c r="Q155" s="257">
        <v>0.5</v>
      </c>
      <c r="R155" s="256" t="s">
        <v>298</v>
      </c>
      <c r="T155" s="253"/>
      <c r="U155" s="254"/>
      <c r="V155" s="266" t="s">
        <v>297</v>
      </c>
      <c r="W155" s="257">
        <v>0.5</v>
      </c>
      <c r="X155" s="256" t="s">
        <v>298</v>
      </c>
    </row>
    <row r="156" spans="2:24" ht="30" x14ac:dyDescent="0.25">
      <c r="B156" s="253"/>
      <c r="C156" s="254"/>
      <c r="D156" s="266" t="s">
        <v>299</v>
      </c>
      <c r="E156" s="257" t="s">
        <v>300</v>
      </c>
      <c r="F156" s="256" t="s">
        <v>301</v>
      </c>
      <c r="H156" s="253"/>
      <c r="I156" s="254"/>
      <c r="J156" s="266" t="s">
        <v>299</v>
      </c>
      <c r="K156" s="257" t="s">
        <v>300</v>
      </c>
      <c r="L156" s="256" t="s">
        <v>301</v>
      </c>
      <c r="N156" s="253"/>
      <c r="O156" s="254"/>
      <c r="P156" s="266" t="s">
        <v>299</v>
      </c>
      <c r="Q156" s="257" t="s">
        <v>300</v>
      </c>
      <c r="R156" s="256" t="s">
        <v>301</v>
      </c>
      <c r="T156" s="253"/>
      <c r="U156" s="254"/>
      <c r="V156" s="266" t="s">
        <v>299</v>
      </c>
      <c r="W156" s="257" t="s">
        <v>300</v>
      </c>
      <c r="X156" s="256" t="s">
        <v>301</v>
      </c>
    </row>
    <row r="157" spans="2:24" x14ac:dyDescent="0.25">
      <c r="B157" s="253"/>
      <c r="C157" s="257"/>
      <c r="D157" s="266" t="s">
        <v>302</v>
      </c>
      <c r="E157" s="257" t="s">
        <v>303</v>
      </c>
      <c r="F157" s="256"/>
      <c r="H157" s="253"/>
      <c r="I157" s="257"/>
      <c r="J157" s="266" t="s">
        <v>302</v>
      </c>
      <c r="K157" s="257" t="s">
        <v>303</v>
      </c>
      <c r="L157" s="256"/>
      <c r="N157" s="253"/>
      <c r="O157" s="257"/>
      <c r="P157" s="266" t="s">
        <v>302</v>
      </c>
      <c r="Q157" s="257" t="s">
        <v>303</v>
      </c>
      <c r="R157" s="256"/>
      <c r="T157" s="253"/>
      <c r="U157" s="257"/>
      <c r="V157" s="266" t="s">
        <v>302</v>
      </c>
      <c r="W157" s="257" t="s">
        <v>303</v>
      </c>
      <c r="X157" s="256"/>
    </row>
    <row r="158" spans="2:24" ht="15.75" thickBot="1" x14ac:dyDescent="0.3">
      <c r="B158" s="271"/>
      <c r="C158" s="272"/>
      <c r="D158" s="273" t="s">
        <v>304</v>
      </c>
      <c r="E158" s="272" t="s">
        <v>305</v>
      </c>
      <c r="F158" s="286" t="s">
        <v>127</v>
      </c>
      <c r="H158" s="271"/>
      <c r="I158" s="272"/>
      <c r="J158" s="273" t="s">
        <v>304</v>
      </c>
      <c r="K158" s="272" t="s">
        <v>305</v>
      </c>
      <c r="L158" s="286" t="s">
        <v>127</v>
      </c>
      <c r="N158" s="271"/>
      <c r="O158" s="272"/>
      <c r="P158" s="273" t="s">
        <v>304</v>
      </c>
      <c r="Q158" s="272" t="s">
        <v>305</v>
      </c>
      <c r="R158" s="286" t="s">
        <v>127</v>
      </c>
      <c r="T158" s="271"/>
      <c r="U158" s="272"/>
      <c r="V158" s="273" t="s">
        <v>304</v>
      </c>
      <c r="W158" s="272" t="s">
        <v>305</v>
      </c>
      <c r="X158" s="286" t="s">
        <v>127</v>
      </c>
    </row>
    <row r="159" spans="2:24" ht="15.75" thickBot="1" x14ac:dyDescent="0.3"/>
    <row r="160" spans="2:24" x14ac:dyDescent="0.25">
      <c r="B160" s="428" t="s">
        <v>211</v>
      </c>
      <c r="C160" s="429"/>
      <c r="D160" s="429"/>
      <c r="E160" s="429"/>
      <c r="F160" s="430"/>
      <c r="H160" s="428" t="s">
        <v>211</v>
      </c>
      <c r="I160" s="429"/>
      <c r="J160" s="429"/>
      <c r="K160" s="429"/>
      <c r="L160" s="430"/>
      <c r="N160" s="428" t="s">
        <v>211</v>
      </c>
      <c r="O160" s="429"/>
      <c r="P160" s="429"/>
      <c r="Q160" s="429"/>
      <c r="R160" s="430"/>
      <c r="T160" s="428" t="s">
        <v>211</v>
      </c>
      <c r="U160" s="429"/>
      <c r="V160" s="429"/>
      <c r="W160" s="429"/>
      <c r="X160" s="430"/>
    </row>
    <row r="161" spans="2:24" ht="15.75" thickBot="1" x14ac:dyDescent="0.3">
      <c r="B161" s="434" t="s">
        <v>153</v>
      </c>
      <c r="C161" s="435"/>
      <c r="D161" s="435"/>
      <c r="E161" s="435"/>
      <c r="F161" s="436"/>
      <c r="H161" s="434" t="s">
        <v>153</v>
      </c>
      <c r="I161" s="435"/>
      <c r="J161" s="435"/>
      <c r="K161" s="435"/>
      <c r="L161" s="436"/>
      <c r="N161" s="431" t="s">
        <v>153</v>
      </c>
      <c r="O161" s="432"/>
      <c r="P161" s="432"/>
      <c r="Q161" s="432"/>
      <c r="R161" s="433"/>
      <c r="T161" s="431" t="s">
        <v>153</v>
      </c>
      <c r="U161" s="432"/>
      <c r="V161" s="432"/>
      <c r="W161" s="432"/>
      <c r="X161" s="433"/>
    </row>
    <row r="162" spans="2:24" x14ac:dyDescent="0.25">
      <c r="B162" s="416" t="s">
        <v>282</v>
      </c>
      <c r="C162" s="417"/>
      <c r="D162" s="417"/>
      <c r="E162" s="417"/>
      <c r="F162" s="418"/>
      <c r="H162" s="416" t="s">
        <v>282</v>
      </c>
      <c r="I162" s="417"/>
      <c r="J162" s="417"/>
      <c r="K162" s="417"/>
      <c r="L162" s="418"/>
      <c r="N162" s="416" t="s">
        <v>282</v>
      </c>
      <c r="O162" s="417"/>
      <c r="P162" s="417"/>
      <c r="Q162" s="417"/>
      <c r="R162" s="418"/>
      <c r="T162" s="416" t="s">
        <v>282</v>
      </c>
      <c r="U162" s="417"/>
      <c r="V162" s="417"/>
      <c r="W162" s="417"/>
      <c r="X162" s="418"/>
    </row>
    <row r="163" spans="2:24" ht="15.75" thickBot="1" x14ac:dyDescent="0.3">
      <c r="B163" s="419" t="s">
        <v>342</v>
      </c>
      <c r="C163" s="420"/>
      <c r="D163" s="421"/>
      <c r="E163" s="422"/>
      <c r="F163" s="423"/>
      <c r="H163" s="419" t="s">
        <v>342</v>
      </c>
      <c r="I163" s="420"/>
      <c r="J163" s="421"/>
      <c r="K163" s="422"/>
      <c r="L163" s="423"/>
      <c r="N163" s="419" t="s">
        <v>342</v>
      </c>
      <c r="O163" s="437"/>
      <c r="P163" s="421"/>
      <c r="Q163" s="422"/>
      <c r="R163" s="423"/>
      <c r="T163" s="419" t="s">
        <v>342</v>
      </c>
      <c r="U163" s="437"/>
      <c r="V163" s="421"/>
      <c r="W163" s="422"/>
      <c r="X163" s="423"/>
    </row>
    <row r="164" spans="2:24" ht="15.75" thickBot="1" x14ac:dyDescent="0.3">
      <c r="B164" s="250" t="s">
        <v>108</v>
      </c>
      <c r="C164" s="251" t="s">
        <v>156</v>
      </c>
      <c r="D164" s="251" t="s">
        <v>157</v>
      </c>
      <c r="E164" s="251" t="s">
        <v>158</v>
      </c>
      <c r="F164" s="252" t="s">
        <v>159</v>
      </c>
      <c r="H164" s="250" t="s">
        <v>108</v>
      </c>
      <c r="I164" s="251" t="s">
        <v>156</v>
      </c>
      <c r="J164" s="251" t="s">
        <v>157</v>
      </c>
      <c r="K164" s="251" t="s">
        <v>158</v>
      </c>
      <c r="L164" s="252" t="s">
        <v>159</v>
      </c>
      <c r="N164" s="250" t="s">
        <v>108</v>
      </c>
      <c r="O164" s="251" t="s">
        <v>156</v>
      </c>
      <c r="P164" s="251" t="s">
        <v>157</v>
      </c>
      <c r="Q164" s="251" t="s">
        <v>158</v>
      </c>
      <c r="R164" s="252" t="s">
        <v>159</v>
      </c>
      <c r="T164" s="250" t="s">
        <v>108</v>
      </c>
      <c r="U164" s="251" t="s">
        <v>156</v>
      </c>
      <c r="V164" s="251" t="s">
        <v>157</v>
      </c>
      <c r="W164" s="251" t="s">
        <v>158</v>
      </c>
      <c r="X164" s="252" t="s">
        <v>159</v>
      </c>
    </row>
    <row r="165" spans="2:24" x14ac:dyDescent="0.25">
      <c r="B165" s="424" t="s">
        <v>343</v>
      </c>
      <c r="C165" s="425"/>
      <c r="D165" s="425"/>
      <c r="E165" s="425"/>
      <c r="F165" s="426"/>
      <c r="H165" s="424" t="s">
        <v>343</v>
      </c>
      <c r="I165" s="425"/>
      <c r="J165" s="425"/>
      <c r="K165" s="425"/>
      <c r="L165" s="426"/>
      <c r="N165" s="441" t="s">
        <v>343</v>
      </c>
      <c r="O165" s="442"/>
      <c r="P165" s="442"/>
      <c r="Q165" s="442"/>
      <c r="R165" s="443"/>
      <c r="T165" s="441" t="s">
        <v>343</v>
      </c>
      <c r="U165" s="442"/>
      <c r="V165" s="442"/>
      <c r="W165" s="442"/>
      <c r="X165" s="443"/>
    </row>
    <row r="166" spans="2:24" ht="30" x14ac:dyDescent="0.25">
      <c r="B166" s="253"/>
      <c r="C166" s="254" t="s">
        <v>161</v>
      </c>
      <c r="D166" s="254"/>
      <c r="E166" s="257" t="s">
        <v>372</v>
      </c>
      <c r="F166" s="288"/>
      <c r="H166" s="253"/>
      <c r="I166" s="254" t="s">
        <v>161</v>
      </c>
      <c r="J166" s="254"/>
      <c r="K166" s="257" t="s">
        <v>344</v>
      </c>
      <c r="L166" s="288"/>
      <c r="N166" s="253"/>
      <c r="O166" s="254" t="s">
        <v>161</v>
      </c>
      <c r="P166" s="254"/>
      <c r="Q166" s="257" t="s">
        <v>373</v>
      </c>
      <c r="R166" s="288"/>
      <c r="T166" s="253"/>
      <c r="U166" s="254" t="s">
        <v>161</v>
      </c>
      <c r="V166" s="254"/>
      <c r="W166" s="257" t="s">
        <v>374</v>
      </c>
      <c r="X166" s="288"/>
    </row>
    <row r="167" spans="2:24" x14ac:dyDescent="0.25">
      <c r="B167" s="253"/>
      <c r="C167" s="254" t="s">
        <v>162</v>
      </c>
      <c r="D167" s="254"/>
      <c r="E167" s="289" t="s">
        <v>375</v>
      </c>
      <c r="F167" s="288"/>
      <c r="H167" s="253"/>
      <c r="I167" s="254" t="s">
        <v>162</v>
      </c>
      <c r="J167" s="254"/>
      <c r="K167" s="289" t="s">
        <v>376</v>
      </c>
      <c r="L167" s="288"/>
      <c r="N167" s="253"/>
      <c r="O167" s="254" t="s">
        <v>162</v>
      </c>
      <c r="P167" s="254"/>
      <c r="Q167" s="289" t="s">
        <v>377</v>
      </c>
      <c r="R167" s="288"/>
      <c r="T167" s="253"/>
      <c r="U167" s="254" t="s">
        <v>162</v>
      </c>
      <c r="V167" s="254"/>
      <c r="W167" s="289" t="s">
        <v>378</v>
      </c>
      <c r="X167" s="288"/>
    </row>
    <row r="168" spans="2:24" x14ac:dyDescent="0.25">
      <c r="B168" s="253"/>
      <c r="C168" s="254" t="s">
        <v>165</v>
      </c>
      <c r="D168" s="266"/>
      <c r="E168" s="257"/>
      <c r="F168" s="256"/>
      <c r="H168" s="253"/>
      <c r="I168" s="254" t="s">
        <v>165</v>
      </c>
      <c r="J168" s="266"/>
      <c r="K168" s="257"/>
      <c r="L168" s="256"/>
      <c r="N168" s="253"/>
      <c r="O168" s="254" t="s">
        <v>165</v>
      </c>
      <c r="P168" s="266"/>
      <c r="Q168" s="257"/>
      <c r="R168" s="256"/>
      <c r="T168" s="253"/>
      <c r="U168" s="254" t="s">
        <v>165</v>
      </c>
      <c r="V168" s="266"/>
      <c r="W168" s="257"/>
      <c r="X168" s="256"/>
    </row>
    <row r="169" spans="2:24" ht="30" x14ac:dyDescent="0.25">
      <c r="B169" s="253"/>
      <c r="C169" s="254"/>
      <c r="D169" s="266" t="s">
        <v>166</v>
      </c>
      <c r="E169" s="257">
        <v>0</v>
      </c>
      <c r="F169" s="290" t="s">
        <v>346</v>
      </c>
      <c r="H169" s="253"/>
      <c r="I169" s="254"/>
      <c r="J169" s="266" t="s">
        <v>166</v>
      </c>
      <c r="K169" s="257">
        <v>0</v>
      </c>
      <c r="L169" s="290" t="s">
        <v>346</v>
      </c>
      <c r="N169" s="253"/>
      <c r="O169" s="254"/>
      <c r="P169" s="266" t="s">
        <v>166</v>
      </c>
      <c r="Q169" s="257">
        <v>0</v>
      </c>
      <c r="R169" s="290" t="s">
        <v>346</v>
      </c>
      <c r="T169" s="253"/>
      <c r="U169" s="254"/>
      <c r="V169" s="266" t="s">
        <v>166</v>
      </c>
      <c r="W169" s="257">
        <v>0</v>
      </c>
      <c r="X169" s="290" t="s">
        <v>346</v>
      </c>
    </row>
    <row r="170" spans="2:24" x14ac:dyDescent="0.25">
      <c r="B170" s="253"/>
      <c r="C170" s="254"/>
      <c r="D170" s="266" t="s">
        <v>167</v>
      </c>
      <c r="E170" s="257">
        <v>0</v>
      </c>
      <c r="F170" s="256" t="s">
        <v>168</v>
      </c>
      <c r="H170" s="253"/>
      <c r="I170" s="254"/>
      <c r="J170" s="266" t="s">
        <v>167</v>
      </c>
      <c r="K170" s="257">
        <v>0</v>
      </c>
      <c r="L170" s="256" t="s">
        <v>168</v>
      </c>
      <c r="N170" s="253"/>
      <c r="O170" s="254"/>
      <c r="P170" s="266" t="s">
        <v>167</v>
      </c>
      <c r="Q170" s="257">
        <v>0</v>
      </c>
      <c r="R170" s="256" t="s">
        <v>168</v>
      </c>
      <c r="T170" s="253"/>
      <c r="U170" s="254"/>
      <c r="V170" s="266" t="s">
        <v>167</v>
      </c>
      <c r="W170" s="257">
        <v>0</v>
      </c>
      <c r="X170" s="256" t="s">
        <v>168</v>
      </c>
    </row>
    <row r="171" spans="2:24" x14ac:dyDescent="0.25">
      <c r="B171" s="253"/>
      <c r="C171" s="254" t="s">
        <v>169</v>
      </c>
      <c r="D171" s="266"/>
      <c r="E171" s="259"/>
      <c r="F171" s="256" t="s">
        <v>170</v>
      </c>
      <c r="H171" s="253"/>
      <c r="I171" s="254" t="s">
        <v>169</v>
      </c>
      <c r="J171" s="266"/>
      <c r="K171" s="259"/>
      <c r="L171" s="256" t="s">
        <v>170</v>
      </c>
      <c r="N171" s="253"/>
      <c r="O171" s="254" t="s">
        <v>169</v>
      </c>
      <c r="P171" s="266"/>
      <c r="Q171" s="259"/>
      <c r="R171" s="256" t="s">
        <v>170</v>
      </c>
      <c r="T171" s="253"/>
      <c r="U171" s="254" t="s">
        <v>169</v>
      </c>
      <c r="V171" s="266"/>
      <c r="W171" s="259"/>
      <c r="X171" s="256" t="s">
        <v>170</v>
      </c>
    </row>
    <row r="172" spans="2:24" x14ac:dyDescent="0.25">
      <c r="B172" s="253"/>
      <c r="C172" s="254" t="s">
        <v>172</v>
      </c>
      <c r="D172" s="266"/>
      <c r="E172" s="257">
        <f>15*12*30</f>
        <v>5400</v>
      </c>
      <c r="F172" s="256" t="s">
        <v>173</v>
      </c>
      <c r="H172" s="253"/>
      <c r="I172" s="254" t="s">
        <v>172</v>
      </c>
      <c r="J172" s="266"/>
      <c r="K172" s="257">
        <f>15*12*30</f>
        <v>5400</v>
      </c>
      <c r="L172" s="256" t="s">
        <v>173</v>
      </c>
      <c r="N172" s="253"/>
      <c r="O172" s="254" t="s">
        <v>172</v>
      </c>
      <c r="P172" s="266"/>
      <c r="Q172" s="257">
        <f>15*12*30</f>
        <v>5400</v>
      </c>
      <c r="R172" s="256" t="s">
        <v>173</v>
      </c>
      <c r="T172" s="253"/>
      <c r="U172" s="254" t="s">
        <v>172</v>
      </c>
      <c r="V172" s="266"/>
      <c r="W172" s="257">
        <f>15*12*30</f>
        <v>5400</v>
      </c>
      <c r="X172" s="256" t="s">
        <v>173</v>
      </c>
    </row>
    <row r="173" spans="2:24" x14ac:dyDescent="0.25">
      <c r="B173" s="260"/>
      <c r="C173" s="261" t="s">
        <v>175</v>
      </c>
      <c r="D173" s="285"/>
      <c r="E173" s="262" t="s">
        <v>229</v>
      </c>
      <c r="F173" s="263"/>
      <c r="H173" s="260"/>
      <c r="I173" s="261" t="s">
        <v>175</v>
      </c>
      <c r="J173" s="285"/>
      <c r="K173" s="262">
        <f>'Data Lingkungan_IC'!AF70</f>
        <v>0</v>
      </c>
      <c r="L173" s="263"/>
      <c r="N173" s="260"/>
      <c r="O173" s="261" t="s">
        <v>175</v>
      </c>
      <c r="P173" s="285"/>
      <c r="Q173" s="262">
        <f>'Data Lingkungan_IC'!AO68</f>
        <v>0</v>
      </c>
      <c r="R173" s="263"/>
      <c r="T173" s="260"/>
      <c r="U173" s="261" t="s">
        <v>175</v>
      </c>
      <c r="V173" s="285"/>
      <c r="W173" s="262" t="str">
        <f>'Data Lingkungan_IC'!BG65</f>
        <v>on</v>
      </c>
      <c r="X173" s="263"/>
    </row>
    <row r="174" spans="2:24" x14ac:dyDescent="0.25">
      <c r="B174" s="253"/>
      <c r="C174" s="254" t="s">
        <v>177</v>
      </c>
      <c r="D174" s="266"/>
      <c r="E174" s="257">
        <f>'Data Lingkungan_IC'!AO70</f>
        <v>0</v>
      </c>
      <c r="F174" s="256" t="s">
        <v>173</v>
      </c>
      <c r="H174" s="253"/>
      <c r="I174" s="254" t="s">
        <v>177</v>
      </c>
      <c r="J174" s="266"/>
      <c r="K174" s="257">
        <v>120</v>
      </c>
      <c r="L174" s="256" t="s">
        <v>173</v>
      </c>
      <c r="N174" s="253"/>
      <c r="O174" s="254" t="s">
        <v>177</v>
      </c>
      <c r="P174" s="266"/>
      <c r="Q174" s="257">
        <v>120</v>
      </c>
      <c r="R174" s="256" t="s">
        <v>173</v>
      </c>
      <c r="T174" s="253"/>
      <c r="U174" s="254" t="s">
        <v>177</v>
      </c>
      <c r="V174" s="266"/>
      <c r="W174" s="257">
        <v>1</v>
      </c>
      <c r="X174" s="256" t="s">
        <v>173</v>
      </c>
    </row>
    <row r="175" spans="2:24" x14ac:dyDescent="0.25">
      <c r="B175" s="253"/>
      <c r="C175" s="254" t="s">
        <v>179</v>
      </c>
      <c r="D175" s="266"/>
      <c r="E175" s="264">
        <f>E172-E174-(E176+E178)/2*10</f>
        <v>5400</v>
      </c>
      <c r="F175" s="256" t="s">
        <v>173</v>
      </c>
      <c r="H175" s="253"/>
      <c r="I175" s="254" t="s">
        <v>179</v>
      </c>
      <c r="J175" s="266"/>
      <c r="K175" s="264">
        <f>K172-K174-(K176+K178)/2*10</f>
        <v>5275</v>
      </c>
      <c r="L175" s="256" t="s">
        <v>173</v>
      </c>
      <c r="N175" s="253"/>
      <c r="O175" s="254" t="s">
        <v>179</v>
      </c>
      <c r="P175" s="266"/>
      <c r="Q175" s="264">
        <f>Q172-Q174-(Q176+Q178)/2*10</f>
        <v>5275</v>
      </c>
      <c r="R175" s="256" t="s">
        <v>173</v>
      </c>
      <c r="T175" s="253"/>
      <c r="U175" s="254" t="s">
        <v>179</v>
      </c>
      <c r="V175" s="266"/>
      <c r="W175" s="264">
        <f>W172-W174-(W176+W178)/2*10</f>
        <v>5395.7638888888887</v>
      </c>
      <c r="X175" s="256" t="s">
        <v>173</v>
      </c>
    </row>
    <row r="176" spans="2:24" x14ac:dyDescent="0.25">
      <c r="B176" s="253"/>
      <c r="C176" s="254" t="s">
        <v>181</v>
      </c>
      <c r="D176" s="266" t="s">
        <v>182</v>
      </c>
      <c r="E176" s="265">
        <f>((E174/E172)*45-E177)</f>
        <v>0</v>
      </c>
      <c r="F176" s="256" t="s">
        <v>183</v>
      </c>
      <c r="H176" s="253"/>
      <c r="I176" s="254" t="s">
        <v>181</v>
      </c>
      <c r="J176" s="266" t="s">
        <v>182</v>
      </c>
      <c r="K176" s="265">
        <f>((K174/K172)*45-K177)</f>
        <v>1</v>
      </c>
      <c r="L176" s="256" t="s">
        <v>183</v>
      </c>
      <c r="N176" s="253"/>
      <c r="O176" s="254" t="s">
        <v>181</v>
      </c>
      <c r="P176" s="266" t="s">
        <v>182</v>
      </c>
      <c r="Q176" s="265">
        <f>((Q174/Q172)*45-Q177)</f>
        <v>1</v>
      </c>
      <c r="R176" s="256" t="s">
        <v>183</v>
      </c>
      <c r="T176" s="253"/>
      <c r="U176" s="254" t="s">
        <v>181</v>
      </c>
      <c r="V176" s="266" t="s">
        <v>182</v>
      </c>
      <c r="W176" s="265">
        <f>((W174/W172)*45-W177)</f>
        <v>8.3333333333333332E-3</v>
      </c>
      <c r="X176" s="256" t="s">
        <v>183</v>
      </c>
    </row>
    <row r="177" spans="2:24" ht="30" x14ac:dyDescent="0.25">
      <c r="B177" s="253"/>
      <c r="C177" s="254"/>
      <c r="D177" s="266" t="s">
        <v>185</v>
      </c>
      <c r="E177" s="267">
        <f>'Data Lingkungan_IC'!Z191</f>
        <v>0</v>
      </c>
      <c r="F177" s="256" t="s">
        <v>186</v>
      </c>
      <c r="H177" s="253"/>
      <c r="I177" s="254"/>
      <c r="J177" s="266" t="s">
        <v>185</v>
      </c>
      <c r="K177" s="267">
        <f>'Data Lingkungan_IC'!Z190</f>
        <v>0</v>
      </c>
      <c r="L177" s="256" t="s">
        <v>186</v>
      </c>
      <c r="N177" s="253"/>
      <c r="O177" s="254"/>
      <c r="P177" s="266" t="s">
        <v>185</v>
      </c>
      <c r="Q177" s="267">
        <f>'Data Lingkungan_IC'!AG190</f>
        <v>0</v>
      </c>
      <c r="R177" s="256" t="s">
        <v>186</v>
      </c>
      <c r="T177" s="253"/>
      <c r="U177" s="254"/>
      <c r="V177" s="266" t="s">
        <v>185</v>
      </c>
      <c r="W177" s="267">
        <f>'Data Lingkungan_IC'!AM193</f>
        <v>0</v>
      </c>
      <c r="X177" s="256" t="s">
        <v>186</v>
      </c>
    </row>
    <row r="178" spans="2:24" x14ac:dyDescent="0.25">
      <c r="B178" s="253"/>
      <c r="C178" s="254" t="s">
        <v>188</v>
      </c>
      <c r="D178" s="266" t="s">
        <v>182</v>
      </c>
      <c r="E178" s="267">
        <f>'Data Lingkungan_IC'!AR70</f>
        <v>0</v>
      </c>
      <c r="F178" s="256" t="s">
        <v>183</v>
      </c>
      <c r="H178" s="253"/>
      <c r="I178" s="254" t="s">
        <v>188</v>
      </c>
      <c r="J178" s="266" t="s">
        <v>182</v>
      </c>
      <c r="K178" s="267">
        <f>'Data Lingkungan_IC'!AI70</f>
        <v>0</v>
      </c>
      <c r="L178" s="256" t="s">
        <v>183</v>
      </c>
      <c r="N178" s="253"/>
      <c r="O178" s="254" t="s">
        <v>188</v>
      </c>
      <c r="P178" s="266" t="s">
        <v>182</v>
      </c>
      <c r="Q178" s="267">
        <f>'Data Lingkungan_IC'!AR68</f>
        <v>0</v>
      </c>
      <c r="R178" s="256" t="s">
        <v>183</v>
      </c>
      <c r="T178" s="253"/>
      <c r="U178" s="254" t="s">
        <v>188</v>
      </c>
      <c r="V178" s="266" t="s">
        <v>182</v>
      </c>
      <c r="W178" s="267">
        <f>'Data Lingkungan_IC'!BJ65</f>
        <v>0.63888888888888884</v>
      </c>
      <c r="X178" s="256" t="s">
        <v>183</v>
      </c>
    </row>
    <row r="179" spans="2:24" ht="45" x14ac:dyDescent="0.25">
      <c r="B179" s="253"/>
      <c r="C179" s="254" t="s">
        <v>190</v>
      </c>
      <c r="D179" s="266"/>
      <c r="E179" s="268">
        <f>(E175/E172)</f>
        <v>1</v>
      </c>
      <c r="F179" s="256" t="s">
        <v>347</v>
      </c>
      <c r="H179" s="253"/>
      <c r="I179" s="254" t="s">
        <v>190</v>
      </c>
      <c r="J179" s="266"/>
      <c r="K179" s="268">
        <f>(K175/K172)</f>
        <v>0.97685185185185186</v>
      </c>
      <c r="L179" s="256" t="s">
        <v>347</v>
      </c>
      <c r="N179" s="253"/>
      <c r="O179" s="254" t="s">
        <v>190</v>
      </c>
      <c r="P179" s="266"/>
      <c r="Q179" s="268">
        <f>(Q175/Q172)</f>
        <v>0.97685185185185186</v>
      </c>
      <c r="R179" s="256" t="s">
        <v>347</v>
      </c>
      <c r="T179" s="253"/>
      <c r="U179" s="254" t="s">
        <v>190</v>
      </c>
      <c r="V179" s="266"/>
      <c r="W179" s="268">
        <f>(W175/W172)</f>
        <v>0.99921553497942384</v>
      </c>
      <c r="X179" s="256" t="s">
        <v>347</v>
      </c>
    </row>
    <row r="180" spans="2:24" x14ac:dyDescent="0.25">
      <c r="B180" s="253"/>
      <c r="C180" s="254" t="s">
        <v>287</v>
      </c>
      <c r="D180" s="266"/>
      <c r="E180" s="257"/>
      <c r="F180" s="256"/>
      <c r="H180" s="253"/>
      <c r="I180" s="254" t="s">
        <v>287</v>
      </c>
      <c r="J180" s="266"/>
      <c r="K180" s="257"/>
      <c r="L180" s="256"/>
      <c r="N180" s="253"/>
      <c r="O180" s="254" t="s">
        <v>287</v>
      </c>
      <c r="P180" s="266"/>
      <c r="Q180" s="257"/>
      <c r="R180" s="256"/>
      <c r="T180" s="253"/>
      <c r="U180" s="254" t="s">
        <v>287</v>
      </c>
      <c r="V180" s="266"/>
      <c r="W180" s="257"/>
      <c r="X180" s="256"/>
    </row>
    <row r="181" spans="2:24" x14ac:dyDescent="0.25">
      <c r="B181" s="253"/>
      <c r="C181" s="254"/>
      <c r="D181" s="266" t="s">
        <v>288</v>
      </c>
      <c r="E181" s="257">
        <v>90</v>
      </c>
      <c r="F181" s="256" t="s">
        <v>289</v>
      </c>
      <c r="H181" s="253"/>
      <c r="I181" s="254"/>
      <c r="J181" s="266" t="s">
        <v>288</v>
      </c>
      <c r="K181" s="257">
        <v>90</v>
      </c>
      <c r="L181" s="256" t="s">
        <v>289</v>
      </c>
      <c r="N181" s="253"/>
      <c r="O181" s="254"/>
      <c r="P181" s="266" t="s">
        <v>288</v>
      </c>
      <c r="Q181" s="257">
        <v>90</v>
      </c>
      <c r="R181" s="256" t="s">
        <v>289</v>
      </c>
      <c r="T181" s="253"/>
      <c r="U181" s="254"/>
      <c r="V181" s="266" t="s">
        <v>288</v>
      </c>
      <c r="W181" s="257">
        <v>90</v>
      </c>
      <c r="X181" s="256" t="s">
        <v>289</v>
      </c>
    </row>
    <row r="182" spans="2:24" x14ac:dyDescent="0.25">
      <c r="B182" s="253"/>
      <c r="C182" s="254"/>
      <c r="D182" s="266" t="s">
        <v>290</v>
      </c>
      <c r="E182" s="257">
        <v>0.05</v>
      </c>
      <c r="F182" s="256" t="s">
        <v>289</v>
      </c>
      <c r="H182" s="253"/>
      <c r="I182" s="254"/>
      <c r="J182" s="266" t="s">
        <v>290</v>
      </c>
      <c r="K182" s="257">
        <v>0.05</v>
      </c>
      <c r="L182" s="256" t="s">
        <v>289</v>
      </c>
      <c r="N182" s="253"/>
      <c r="O182" s="254"/>
      <c r="P182" s="266" t="s">
        <v>290</v>
      </c>
      <c r="Q182" s="257">
        <v>0.05</v>
      </c>
      <c r="R182" s="256" t="s">
        <v>289</v>
      </c>
      <c r="T182" s="253"/>
      <c r="U182" s="254"/>
      <c r="V182" s="266" t="s">
        <v>290</v>
      </c>
      <c r="W182" s="257">
        <v>0.05</v>
      </c>
      <c r="X182" s="256" t="s">
        <v>289</v>
      </c>
    </row>
    <row r="183" spans="2:24" x14ac:dyDescent="0.25">
      <c r="B183" s="253"/>
      <c r="C183" s="254"/>
      <c r="D183" s="266" t="s">
        <v>291</v>
      </c>
      <c r="E183" s="257">
        <v>210</v>
      </c>
      <c r="F183" s="256" t="s">
        <v>289</v>
      </c>
      <c r="H183" s="253"/>
      <c r="I183" s="254"/>
      <c r="J183" s="266" t="s">
        <v>291</v>
      </c>
      <c r="K183" s="257">
        <v>210</v>
      </c>
      <c r="L183" s="256" t="s">
        <v>289</v>
      </c>
      <c r="N183" s="253"/>
      <c r="O183" s="254"/>
      <c r="P183" s="266" t="s">
        <v>291</v>
      </c>
      <c r="Q183" s="257">
        <v>210</v>
      </c>
      <c r="R183" s="256" t="s">
        <v>289</v>
      </c>
      <c r="T183" s="253"/>
      <c r="U183" s="254"/>
      <c r="V183" s="266" t="s">
        <v>291</v>
      </c>
      <c r="W183" s="257">
        <v>210</v>
      </c>
      <c r="X183" s="256" t="s">
        <v>289</v>
      </c>
    </row>
    <row r="184" spans="2:24" x14ac:dyDescent="0.25">
      <c r="B184" s="253"/>
      <c r="C184" s="254" t="s">
        <v>282</v>
      </c>
      <c r="D184" s="266" t="s">
        <v>293</v>
      </c>
      <c r="E184" s="257" t="s">
        <v>294</v>
      </c>
      <c r="F184" s="256" t="s">
        <v>295</v>
      </c>
      <c r="H184" s="253"/>
      <c r="I184" s="254" t="s">
        <v>282</v>
      </c>
      <c r="J184" s="266" t="s">
        <v>293</v>
      </c>
      <c r="K184" s="257" t="s">
        <v>294</v>
      </c>
      <c r="L184" s="256" t="s">
        <v>295</v>
      </c>
      <c r="N184" s="253"/>
      <c r="O184" s="254" t="s">
        <v>282</v>
      </c>
      <c r="P184" s="266" t="s">
        <v>293</v>
      </c>
      <c r="Q184" s="257" t="s">
        <v>294</v>
      </c>
      <c r="R184" s="256" t="s">
        <v>295</v>
      </c>
      <c r="T184" s="253"/>
      <c r="U184" s="254" t="s">
        <v>282</v>
      </c>
      <c r="V184" s="266" t="s">
        <v>293</v>
      </c>
      <c r="W184" s="257" t="s">
        <v>294</v>
      </c>
      <c r="X184" s="256" t="s">
        <v>295</v>
      </c>
    </row>
    <row r="185" spans="2:24" x14ac:dyDescent="0.25">
      <c r="B185" s="253"/>
      <c r="C185" s="254"/>
      <c r="D185" s="266" t="s">
        <v>194</v>
      </c>
      <c r="E185" s="257" t="s">
        <v>296</v>
      </c>
      <c r="F185" s="256"/>
      <c r="H185" s="253"/>
      <c r="I185" s="254"/>
      <c r="J185" s="266" t="s">
        <v>194</v>
      </c>
      <c r="K185" s="257" t="s">
        <v>296</v>
      </c>
      <c r="L185" s="256"/>
      <c r="N185" s="253"/>
      <c r="O185" s="254"/>
      <c r="P185" s="266" t="s">
        <v>194</v>
      </c>
      <c r="Q185" s="257" t="s">
        <v>296</v>
      </c>
      <c r="R185" s="256"/>
      <c r="T185" s="253"/>
      <c r="U185" s="254"/>
      <c r="V185" s="266" t="s">
        <v>194</v>
      </c>
      <c r="W185" s="257" t="s">
        <v>296</v>
      </c>
      <c r="X185" s="256"/>
    </row>
    <row r="186" spans="2:24" x14ac:dyDescent="0.25">
      <c r="B186" s="253"/>
      <c r="C186" s="254"/>
      <c r="D186" s="266" t="s">
        <v>297</v>
      </c>
      <c r="E186" s="257">
        <v>0.5</v>
      </c>
      <c r="F186" s="256" t="s">
        <v>298</v>
      </c>
      <c r="H186" s="253"/>
      <c r="I186" s="254"/>
      <c r="J186" s="266" t="s">
        <v>297</v>
      </c>
      <c r="K186" s="257">
        <v>0.5</v>
      </c>
      <c r="L186" s="256" t="s">
        <v>298</v>
      </c>
      <c r="N186" s="253"/>
      <c r="O186" s="254"/>
      <c r="P186" s="266" t="s">
        <v>297</v>
      </c>
      <c r="Q186" s="257">
        <v>0.5</v>
      </c>
      <c r="R186" s="256" t="s">
        <v>298</v>
      </c>
      <c r="T186" s="253"/>
      <c r="U186" s="254"/>
      <c r="V186" s="266" t="s">
        <v>297</v>
      </c>
      <c r="W186" s="257">
        <v>0.5</v>
      </c>
      <c r="X186" s="256" t="s">
        <v>298</v>
      </c>
    </row>
    <row r="187" spans="2:24" ht="30" x14ac:dyDescent="0.25">
      <c r="B187" s="253"/>
      <c r="C187" s="254"/>
      <c r="D187" s="266" t="s">
        <v>299</v>
      </c>
      <c r="E187" s="257" t="s">
        <v>300</v>
      </c>
      <c r="F187" s="256" t="s">
        <v>301</v>
      </c>
      <c r="H187" s="253"/>
      <c r="I187" s="254"/>
      <c r="J187" s="266" t="s">
        <v>299</v>
      </c>
      <c r="K187" s="257" t="s">
        <v>300</v>
      </c>
      <c r="L187" s="256" t="s">
        <v>301</v>
      </c>
      <c r="N187" s="253"/>
      <c r="O187" s="254"/>
      <c r="P187" s="266" t="s">
        <v>299</v>
      </c>
      <c r="Q187" s="257" t="s">
        <v>300</v>
      </c>
      <c r="R187" s="256" t="s">
        <v>301</v>
      </c>
      <c r="T187" s="253"/>
      <c r="U187" s="254"/>
      <c r="V187" s="266" t="s">
        <v>299</v>
      </c>
      <c r="W187" s="257" t="s">
        <v>300</v>
      </c>
      <c r="X187" s="256" t="s">
        <v>301</v>
      </c>
    </row>
    <row r="188" spans="2:24" x14ac:dyDescent="0.25">
      <c r="B188" s="253"/>
      <c r="C188" s="257"/>
      <c r="D188" s="266" t="s">
        <v>302</v>
      </c>
      <c r="E188" s="257" t="s">
        <v>303</v>
      </c>
      <c r="F188" s="256"/>
      <c r="H188" s="253"/>
      <c r="I188" s="257"/>
      <c r="J188" s="266" t="s">
        <v>302</v>
      </c>
      <c r="K188" s="257" t="s">
        <v>303</v>
      </c>
      <c r="L188" s="256"/>
      <c r="N188" s="253"/>
      <c r="O188" s="257"/>
      <c r="P188" s="266" t="s">
        <v>302</v>
      </c>
      <c r="Q188" s="257" t="s">
        <v>303</v>
      </c>
      <c r="R188" s="256"/>
      <c r="T188" s="253"/>
      <c r="U188" s="257"/>
      <c r="V188" s="266" t="s">
        <v>302</v>
      </c>
      <c r="W188" s="257" t="s">
        <v>303</v>
      </c>
      <c r="X188" s="256"/>
    </row>
    <row r="189" spans="2:24" ht="15.75" thickBot="1" x14ac:dyDescent="0.3">
      <c r="B189" s="271"/>
      <c r="C189" s="272"/>
      <c r="D189" s="273" t="s">
        <v>304</v>
      </c>
      <c r="E189" s="272" t="s">
        <v>305</v>
      </c>
      <c r="F189" s="286" t="s">
        <v>127</v>
      </c>
      <c r="H189" s="271"/>
      <c r="I189" s="272"/>
      <c r="J189" s="273" t="s">
        <v>304</v>
      </c>
      <c r="K189" s="272" t="s">
        <v>305</v>
      </c>
      <c r="L189" s="286" t="s">
        <v>127</v>
      </c>
      <c r="N189" s="271"/>
      <c r="O189" s="272"/>
      <c r="P189" s="273" t="s">
        <v>304</v>
      </c>
      <c r="Q189" s="272" t="s">
        <v>305</v>
      </c>
      <c r="R189" s="286" t="s">
        <v>127</v>
      </c>
      <c r="T189" s="271"/>
      <c r="U189" s="272"/>
      <c r="V189" s="273" t="s">
        <v>304</v>
      </c>
      <c r="W189" s="272" t="s">
        <v>305</v>
      </c>
      <c r="X189" s="286" t="s">
        <v>127</v>
      </c>
    </row>
    <row r="190" spans="2:24" ht="15.75" thickBot="1" x14ac:dyDescent="0.3"/>
    <row r="191" spans="2:24" x14ac:dyDescent="0.25">
      <c r="B191" s="428" t="s">
        <v>211</v>
      </c>
      <c r="C191" s="429"/>
      <c r="D191" s="429"/>
      <c r="E191" s="429"/>
      <c r="F191" s="430"/>
      <c r="H191" s="428" t="s">
        <v>211</v>
      </c>
      <c r="I191" s="429"/>
      <c r="J191" s="429"/>
      <c r="K191" s="429"/>
      <c r="L191" s="430"/>
      <c r="N191" s="428" t="s">
        <v>211</v>
      </c>
      <c r="O191" s="429"/>
      <c r="P191" s="429"/>
      <c r="Q191" s="429"/>
      <c r="R191" s="430"/>
      <c r="T191" s="428" t="s">
        <v>211</v>
      </c>
      <c r="U191" s="429"/>
      <c r="V191" s="429"/>
      <c r="W191" s="429"/>
      <c r="X191" s="430"/>
    </row>
    <row r="192" spans="2:24" ht="15.75" thickBot="1" x14ac:dyDescent="0.3">
      <c r="B192" s="434" t="s">
        <v>153</v>
      </c>
      <c r="C192" s="435"/>
      <c r="D192" s="435"/>
      <c r="E192" s="435"/>
      <c r="F192" s="436"/>
      <c r="H192" s="434" t="s">
        <v>153</v>
      </c>
      <c r="I192" s="435"/>
      <c r="J192" s="435"/>
      <c r="K192" s="435"/>
      <c r="L192" s="436"/>
      <c r="N192" s="434" t="s">
        <v>153</v>
      </c>
      <c r="O192" s="435"/>
      <c r="P192" s="435"/>
      <c r="Q192" s="435"/>
      <c r="R192" s="436"/>
      <c r="T192" s="431" t="s">
        <v>153</v>
      </c>
      <c r="U192" s="432"/>
      <c r="V192" s="432"/>
      <c r="W192" s="432"/>
      <c r="X192" s="433"/>
    </row>
    <row r="193" spans="2:24" x14ac:dyDescent="0.25">
      <c r="B193" s="416" t="s">
        <v>282</v>
      </c>
      <c r="C193" s="417"/>
      <c r="D193" s="417"/>
      <c r="E193" s="417"/>
      <c r="F193" s="418"/>
      <c r="H193" s="416" t="s">
        <v>282</v>
      </c>
      <c r="I193" s="417"/>
      <c r="J193" s="417"/>
      <c r="K193" s="417"/>
      <c r="L193" s="418"/>
      <c r="N193" s="416" t="s">
        <v>282</v>
      </c>
      <c r="O193" s="417"/>
      <c r="P193" s="417"/>
      <c r="Q193" s="417"/>
      <c r="R193" s="418"/>
      <c r="T193" s="416" t="s">
        <v>282</v>
      </c>
      <c r="U193" s="417"/>
      <c r="V193" s="417"/>
      <c r="W193" s="417"/>
      <c r="X193" s="418"/>
    </row>
    <row r="194" spans="2:24" ht="15.75" thickBot="1" x14ac:dyDescent="0.3">
      <c r="B194" s="419" t="s">
        <v>342</v>
      </c>
      <c r="C194" s="420"/>
      <c r="D194" s="421"/>
      <c r="E194" s="422"/>
      <c r="F194" s="423"/>
      <c r="H194" s="419" t="s">
        <v>342</v>
      </c>
      <c r="I194" s="420"/>
      <c r="J194" s="421"/>
      <c r="K194" s="422"/>
      <c r="L194" s="423"/>
      <c r="N194" s="419" t="s">
        <v>342</v>
      </c>
      <c r="O194" s="420"/>
      <c r="P194" s="421"/>
      <c r="Q194" s="422"/>
      <c r="R194" s="423"/>
      <c r="T194" s="419" t="s">
        <v>342</v>
      </c>
      <c r="U194" s="437"/>
      <c r="V194" s="421"/>
      <c r="W194" s="422"/>
      <c r="X194" s="423"/>
    </row>
    <row r="195" spans="2:24" ht="15.75" thickBot="1" x14ac:dyDescent="0.3">
      <c r="B195" s="250" t="s">
        <v>108</v>
      </c>
      <c r="C195" s="251" t="s">
        <v>156</v>
      </c>
      <c r="D195" s="251" t="s">
        <v>157</v>
      </c>
      <c r="E195" s="251" t="s">
        <v>158</v>
      </c>
      <c r="F195" s="252" t="s">
        <v>159</v>
      </c>
      <c r="H195" s="250" t="s">
        <v>108</v>
      </c>
      <c r="I195" s="251" t="s">
        <v>156</v>
      </c>
      <c r="J195" s="251" t="s">
        <v>157</v>
      </c>
      <c r="K195" s="251" t="s">
        <v>158</v>
      </c>
      <c r="L195" s="252" t="s">
        <v>159</v>
      </c>
      <c r="N195" s="250" t="s">
        <v>108</v>
      </c>
      <c r="O195" s="251" t="s">
        <v>156</v>
      </c>
      <c r="P195" s="251" t="s">
        <v>157</v>
      </c>
      <c r="Q195" s="251" t="s">
        <v>158</v>
      </c>
      <c r="R195" s="252" t="s">
        <v>159</v>
      </c>
      <c r="T195" s="250" t="s">
        <v>108</v>
      </c>
      <c r="U195" s="251" t="s">
        <v>156</v>
      </c>
      <c r="V195" s="251" t="s">
        <v>157</v>
      </c>
      <c r="W195" s="251" t="s">
        <v>158</v>
      </c>
      <c r="X195" s="252" t="s">
        <v>159</v>
      </c>
    </row>
    <row r="196" spans="2:24" x14ac:dyDescent="0.25">
      <c r="B196" s="424" t="s">
        <v>343</v>
      </c>
      <c r="C196" s="425"/>
      <c r="D196" s="425"/>
      <c r="E196" s="425"/>
      <c r="F196" s="426"/>
      <c r="H196" s="424" t="s">
        <v>343</v>
      </c>
      <c r="I196" s="425"/>
      <c r="J196" s="425"/>
      <c r="K196" s="425"/>
      <c r="L196" s="426"/>
      <c r="N196" s="424" t="s">
        <v>343</v>
      </c>
      <c r="O196" s="425"/>
      <c r="P196" s="425"/>
      <c r="Q196" s="425"/>
      <c r="R196" s="426"/>
      <c r="T196" s="441" t="s">
        <v>343</v>
      </c>
      <c r="U196" s="442"/>
      <c r="V196" s="442"/>
      <c r="W196" s="442"/>
      <c r="X196" s="443"/>
    </row>
    <row r="197" spans="2:24" ht="30" x14ac:dyDescent="0.25">
      <c r="B197" s="253"/>
      <c r="C197" s="254" t="s">
        <v>161</v>
      </c>
      <c r="D197" s="254"/>
      <c r="E197" s="257" t="s">
        <v>372</v>
      </c>
      <c r="F197" s="288"/>
      <c r="H197" s="253"/>
      <c r="I197" s="254" t="s">
        <v>161</v>
      </c>
      <c r="J197" s="254"/>
      <c r="K197" s="257" t="s">
        <v>344</v>
      </c>
      <c r="L197" s="288"/>
      <c r="N197" s="253"/>
      <c r="O197" s="254" t="s">
        <v>161</v>
      </c>
      <c r="P197" s="254"/>
      <c r="Q197" s="257" t="s">
        <v>372</v>
      </c>
      <c r="R197" s="288"/>
      <c r="T197" s="253"/>
      <c r="U197" s="254" t="s">
        <v>161</v>
      </c>
      <c r="V197" s="254"/>
      <c r="W197" s="257" t="s">
        <v>379</v>
      </c>
      <c r="X197" s="288"/>
    </row>
    <row r="198" spans="2:24" x14ac:dyDescent="0.25">
      <c r="B198" s="253"/>
      <c r="C198" s="254" t="s">
        <v>162</v>
      </c>
      <c r="D198" s="254"/>
      <c r="E198" s="289" t="s">
        <v>380</v>
      </c>
      <c r="F198" s="288"/>
      <c r="H198" s="253"/>
      <c r="I198" s="254" t="s">
        <v>162</v>
      </c>
      <c r="J198" s="254"/>
      <c r="K198" s="289" t="s">
        <v>381</v>
      </c>
      <c r="L198" s="288"/>
      <c r="N198" s="253"/>
      <c r="O198" s="254" t="s">
        <v>162</v>
      </c>
      <c r="P198" s="254"/>
      <c r="Q198" s="289" t="s">
        <v>382</v>
      </c>
      <c r="R198" s="288"/>
      <c r="T198" s="253"/>
      <c r="U198" s="254" t="s">
        <v>162</v>
      </c>
      <c r="V198" s="254"/>
      <c r="W198" s="289" t="s">
        <v>383</v>
      </c>
      <c r="X198" s="288"/>
    </row>
    <row r="199" spans="2:24" x14ac:dyDescent="0.25">
      <c r="B199" s="253"/>
      <c r="C199" s="254" t="s">
        <v>165</v>
      </c>
      <c r="D199" s="266"/>
      <c r="E199" s="257"/>
      <c r="F199" s="256"/>
      <c r="H199" s="253"/>
      <c r="I199" s="254" t="s">
        <v>165</v>
      </c>
      <c r="J199" s="266"/>
      <c r="K199" s="257"/>
      <c r="L199" s="256"/>
      <c r="N199" s="253"/>
      <c r="O199" s="254" t="s">
        <v>165</v>
      </c>
      <c r="P199" s="266"/>
      <c r="Q199" s="257"/>
      <c r="R199" s="256"/>
      <c r="T199" s="253"/>
      <c r="U199" s="254" t="s">
        <v>165</v>
      </c>
      <c r="V199" s="266"/>
      <c r="W199" s="257"/>
      <c r="X199" s="256"/>
    </row>
    <row r="200" spans="2:24" ht="30" x14ac:dyDescent="0.25">
      <c r="B200" s="253"/>
      <c r="C200" s="254"/>
      <c r="D200" s="266" t="s">
        <v>166</v>
      </c>
      <c r="E200" s="257">
        <v>0</v>
      </c>
      <c r="F200" s="290" t="s">
        <v>346</v>
      </c>
      <c r="H200" s="253"/>
      <c r="I200" s="254"/>
      <c r="J200" s="266" t="s">
        <v>166</v>
      </c>
      <c r="K200" s="257">
        <v>0</v>
      </c>
      <c r="L200" s="290" t="s">
        <v>346</v>
      </c>
      <c r="N200" s="253"/>
      <c r="O200" s="254"/>
      <c r="P200" s="266" t="s">
        <v>166</v>
      </c>
      <c r="Q200" s="257">
        <v>0</v>
      </c>
      <c r="R200" s="290" t="s">
        <v>346</v>
      </c>
      <c r="T200" s="253"/>
      <c r="U200" s="254"/>
      <c r="V200" s="266" t="s">
        <v>166</v>
      </c>
      <c r="W200" s="257">
        <v>0</v>
      </c>
      <c r="X200" s="290" t="s">
        <v>346</v>
      </c>
    </row>
    <row r="201" spans="2:24" x14ac:dyDescent="0.25">
      <c r="B201" s="253"/>
      <c r="C201" s="254"/>
      <c r="D201" s="266" t="s">
        <v>167</v>
      </c>
      <c r="E201" s="257">
        <v>0</v>
      </c>
      <c r="F201" s="256" t="s">
        <v>168</v>
      </c>
      <c r="H201" s="253"/>
      <c r="I201" s="254"/>
      <c r="J201" s="266" t="s">
        <v>167</v>
      </c>
      <c r="K201" s="257">
        <v>0</v>
      </c>
      <c r="L201" s="256" t="s">
        <v>168</v>
      </c>
      <c r="N201" s="253"/>
      <c r="O201" s="254"/>
      <c r="P201" s="266" t="s">
        <v>167</v>
      </c>
      <c r="Q201" s="257">
        <v>0</v>
      </c>
      <c r="R201" s="256" t="s">
        <v>168</v>
      </c>
      <c r="T201" s="253"/>
      <c r="U201" s="254"/>
      <c r="V201" s="266" t="s">
        <v>167</v>
      </c>
      <c r="W201" s="257">
        <v>0</v>
      </c>
      <c r="X201" s="256" t="s">
        <v>168</v>
      </c>
    </row>
    <row r="202" spans="2:24" x14ac:dyDescent="0.25">
      <c r="B202" s="253"/>
      <c r="C202" s="254" t="s">
        <v>169</v>
      </c>
      <c r="D202" s="266"/>
      <c r="E202" s="259"/>
      <c r="F202" s="256" t="s">
        <v>170</v>
      </c>
      <c r="H202" s="253"/>
      <c r="I202" s="254" t="s">
        <v>169</v>
      </c>
      <c r="J202" s="266"/>
      <c r="K202" s="259"/>
      <c r="L202" s="256" t="s">
        <v>170</v>
      </c>
      <c r="N202" s="253"/>
      <c r="O202" s="254" t="s">
        <v>169</v>
      </c>
      <c r="P202" s="266"/>
      <c r="Q202" s="259"/>
      <c r="R202" s="256" t="s">
        <v>170</v>
      </c>
      <c r="T202" s="253"/>
      <c r="U202" s="254" t="s">
        <v>169</v>
      </c>
      <c r="V202" s="266"/>
      <c r="W202" s="259"/>
      <c r="X202" s="256" t="s">
        <v>170</v>
      </c>
    </row>
    <row r="203" spans="2:24" x14ac:dyDescent="0.25">
      <c r="B203" s="253"/>
      <c r="C203" s="254" t="s">
        <v>172</v>
      </c>
      <c r="D203" s="266"/>
      <c r="E203" s="257">
        <f>15*12*30</f>
        <v>5400</v>
      </c>
      <c r="F203" s="256" t="s">
        <v>173</v>
      </c>
      <c r="H203" s="253"/>
      <c r="I203" s="254" t="s">
        <v>172</v>
      </c>
      <c r="J203" s="266"/>
      <c r="K203" s="257">
        <f>15*12*30</f>
        <v>5400</v>
      </c>
      <c r="L203" s="256" t="s">
        <v>173</v>
      </c>
      <c r="N203" s="253"/>
      <c r="O203" s="254" t="s">
        <v>172</v>
      </c>
      <c r="P203" s="266"/>
      <c r="Q203" s="257">
        <f>15*12*30</f>
        <v>5400</v>
      </c>
      <c r="R203" s="256" t="s">
        <v>173</v>
      </c>
      <c r="T203" s="253"/>
      <c r="U203" s="254" t="s">
        <v>172</v>
      </c>
      <c r="V203" s="266"/>
      <c r="W203" s="257">
        <f>15*12*30</f>
        <v>5400</v>
      </c>
      <c r="X203" s="256" t="s">
        <v>173</v>
      </c>
    </row>
    <row r="204" spans="2:24" x14ac:dyDescent="0.25">
      <c r="B204" s="260"/>
      <c r="C204" s="261" t="s">
        <v>175</v>
      </c>
      <c r="D204" s="285"/>
      <c r="E204" s="262">
        <f>'Data Lingkungan_IC'!AO71</f>
        <v>0</v>
      </c>
      <c r="F204" s="263"/>
      <c r="H204" s="260"/>
      <c r="I204" s="261" t="s">
        <v>175</v>
      </c>
      <c r="J204" s="285"/>
      <c r="K204" s="262">
        <f>'Data Lingkungan_IC'!AF71</f>
        <v>0</v>
      </c>
      <c r="L204" s="263"/>
      <c r="N204" s="260"/>
      <c r="O204" s="261" t="s">
        <v>175</v>
      </c>
      <c r="P204" s="285"/>
      <c r="Q204" s="262">
        <f>'Data Lingkungan_IC'!AO69</f>
        <v>0</v>
      </c>
      <c r="R204" s="263"/>
      <c r="T204" s="260"/>
      <c r="U204" s="261" t="s">
        <v>175</v>
      </c>
      <c r="V204" s="285"/>
      <c r="W204" s="262" t="str">
        <f>'Data Lingkungan_IC'!BP67</f>
        <v>on</v>
      </c>
      <c r="X204" s="263"/>
    </row>
    <row r="205" spans="2:24" x14ac:dyDescent="0.25">
      <c r="B205" s="253"/>
      <c r="C205" s="254" t="s">
        <v>177</v>
      </c>
      <c r="D205" s="266"/>
      <c r="E205" s="257">
        <v>120</v>
      </c>
      <c r="F205" s="256" t="s">
        <v>173</v>
      </c>
      <c r="H205" s="253"/>
      <c r="I205" s="254" t="s">
        <v>177</v>
      </c>
      <c r="J205" s="266"/>
      <c r="K205" s="257">
        <v>120</v>
      </c>
      <c r="L205" s="256" t="s">
        <v>173</v>
      </c>
      <c r="N205" s="253"/>
      <c r="O205" s="254" t="s">
        <v>177</v>
      </c>
      <c r="P205" s="266"/>
      <c r="Q205" s="257">
        <v>120</v>
      </c>
      <c r="R205" s="256" t="s">
        <v>173</v>
      </c>
      <c r="T205" s="253"/>
      <c r="U205" s="254" t="s">
        <v>177</v>
      </c>
      <c r="V205" s="266"/>
      <c r="W205" s="257">
        <v>1</v>
      </c>
      <c r="X205" s="256" t="s">
        <v>173</v>
      </c>
    </row>
    <row r="206" spans="2:24" x14ac:dyDescent="0.25">
      <c r="B206" s="253"/>
      <c r="C206" s="254" t="s">
        <v>179</v>
      </c>
      <c r="D206" s="266"/>
      <c r="E206" s="264">
        <f>E203-E205-(E207+E209)/2*10</f>
        <v>5275</v>
      </c>
      <c r="F206" s="256" t="s">
        <v>173</v>
      </c>
      <c r="H206" s="253"/>
      <c r="I206" s="254" t="s">
        <v>179</v>
      </c>
      <c r="J206" s="266"/>
      <c r="K206" s="264">
        <f>K203-K205-(K207+K209)/2*10</f>
        <v>5275</v>
      </c>
      <c r="L206" s="256" t="s">
        <v>173</v>
      </c>
      <c r="N206" s="253"/>
      <c r="O206" s="254" t="s">
        <v>179</v>
      </c>
      <c r="P206" s="266"/>
      <c r="Q206" s="264">
        <f>Q203-Q205-(Q207+Q209)/2*10</f>
        <v>5275</v>
      </c>
      <c r="R206" s="256" t="s">
        <v>173</v>
      </c>
      <c r="T206" s="253"/>
      <c r="U206" s="254" t="s">
        <v>179</v>
      </c>
      <c r="V206" s="266"/>
      <c r="W206" s="264">
        <f>W203-W205-(W207+W209)/2*10</f>
        <v>5393.125</v>
      </c>
      <c r="X206" s="256" t="s">
        <v>173</v>
      </c>
    </row>
    <row r="207" spans="2:24" x14ac:dyDescent="0.25">
      <c r="B207" s="253"/>
      <c r="C207" s="254" t="s">
        <v>181</v>
      </c>
      <c r="D207" s="266" t="s">
        <v>182</v>
      </c>
      <c r="E207" s="265">
        <f>((E205/E203)*45-E208)</f>
        <v>1</v>
      </c>
      <c r="F207" s="256" t="s">
        <v>183</v>
      </c>
      <c r="H207" s="253"/>
      <c r="I207" s="254" t="s">
        <v>181</v>
      </c>
      <c r="J207" s="266" t="s">
        <v>182</v>
      </c>
      <c r="K207" s="265">
        <f>((K205/K203)*45-K208)</f>
        <v>1</v>
      </c>
      <c r="L207" s="256" t="s">
        <v>183</v>
      </c>
      <c r="N207" s="253"/>
      <c r="O207" s="254" t="s">
        <v>181</v>
      </c>
      <c r="P207" s="266" t="s">
        <v>182</v>
      </c>
      <c r="Q207" s="265">
        <f>((Q205/Q203)*45-Q208)</f>
        <v>1</v>
      </c>
      <c r="R207" s="256" t="s">
        <v>183</v>
      </c>
      <c r="T207" s="253"/>
      <c r="U207" s="254" t="s">
        <v>181</v>
      </c>
      <c r="V207" s="266" t="s">
        <v>182</v>
      </c>
      <c r="W207" s="265">
        <f>((W205/W203)*45-W208)</f>
        <v>8.3333333333333332E-3</v>
      </c>
      <c r="X207" s="256" t="s">
        <v>183</v>
      </c>
    </row>
    <row r="208" spans="2:24" ht="30" x14ac:dyDescent="0.25">
      <c r="B208" s="253"/>
      <c r="C208" s="254"/>
      <c r="D208" s="266" t="s">
        <v>185</v>
      </c>
      <c r="E208" s="267">
        <f>'Data Lingkungan_IC'!Z222</f>
        <v>0</v>
      </c>
      <c r="F208" s="256" t="s">
        <v>186</v>
      </c>
      <c r="H208" s="253"/>
      <c r="I208" s="254"/>
      <c r="J208" s="266" t="s">
        <v>185</v>
      </c>
      <c r="K208" s="267">
        <f>'Data Lingkungan_IC'!Z221</f>
        <v>0</v>
      </c>
      <c r="L208" s="256" t="s">
        <v>186</v>
      </c>
      <c r="N208" s="253"/>
      <c r="O208" s="254"/>
      <c r="P208" s="266" t="s">
        <v>185</v>
      </c>
      <c r="Q208" s="267">
        <f>'Data Lingkungan_IC'!AG221</f>
        <v>0</v>
      </c>
      <c r="R208" s="256" t="s">
        <v>186</v>
      </c>
      <c r="T208" s="253"/>
      <c r="U208" s="254"/>
      <c r="V208" s="266" t="s">
        <v>185</v>
      </c>
      <c r="W208" s="267">
        <f>'Data Lingkungan_IC'!AM224</f>
        <v>0</v>
      </c>
      <c r="X208" s="256" t="s">
        <v>186</v>
      </c>
    </row>
    <row r="209" spans="2:24" x14ac:dyDescent="0.25">
      <c r="B209" s="253"/>
      <c r="C209" s="254" t="s">
        <v>188</v>
      </c>
      <c r="D209" s="266" t="s">
        <v>182</v>
      </c>
      <c r="E209" s="267">
        <f>'Data Lingkungan_IC'!AR71</f>
        <v>0</v>
      </c>
      <c r="F209" s="256" t="s">
        <v>183</v>
      </c>
      <c r="H209" s="253"/>
      <c r="I209" s="254" t="s">
        <v>188</v>
      </c>
      <c r="J209" s="266" t="s">
        <v>182</v>
      </c>
      <c r="K209" s="267">
        <f>'Data Lingkungan_IC'!AI71</f>
        <v>0</v>
      </c>
      <c r="L209" s="256" t="s">
        <v>183</v>
      </c>
      <c r="N209" s="253"/>
      <c r="O209" s="254" t="s">
        <v>188</v>
      </c>
      <c r="P209" s="266" t="s">
        <v>182</v>
      </c>
      <c r="Q209" s="267">
        <f>'Data Lingkungan_IC'!AR69</f>
        <v>0</v>
      </c>
      <c r="R209" s="256" t="s">
        <v>183</v>
      </c>
      <c r="T209" s="253"/>
      <c r="U209" s="254" t="s">
        <v>188</v>
      </c>
      <c r="V209" s="266" t="s">
        <v>182</v>
      </c>
      <c r="W209" s="267">
        <f>'Data Lingkungan_IC'!BS67</f>
        <v>1.1666666666666667</v>
      </c>
      <c r="X209" s="256" t="s">
        <v>183</v>
      </c>
    </row>
    <row r="210" spans="2:24" ht="45" x14ac:dyDescent="0.25">
      <c r="B210" s="253"/>
      <c r="C210" s="254" t="s">
        <v>190</v>
      </c>
      <c r="D210" s="266"/>
      <c r="E210" s="268">
        <f>(E206/E203)</f>
        <v>0.97685185185185186</v>
      </c>
      <c r="F210" s="256" t="s">
        <v>347</v>
      </c>
      <c r="H210" s="253"/>
      <c r="I210" s="254" t="s">
        <v>190</v>
      </c>
      <c r="J210" s="266"/>
      <c r="K210" s="268">
        <f>(K206/K203)</f>
        <v>0.97685185185185186</v>
      </c>
      <c r="L210" s="256" t="s">
        <v>347</v>
      </c>
      <c r="N210" s="253"/>
      <c r="O210" s="254" t="s">
        <v>190</v>
      </c>
      <c r="P210" s="266"/>
      <c r="Q210" s="268">
        <f>(Q206/Q203)</f>
        <v>0.97685185185185186</v>
      </c>
      <c r="R210" s="256" t="s">
        <v>347</v>
      </c>
      <c r="T210" s="253"/>
      <c r="U210" s="254" t="s">
        <v>190</v>
      </c>
      <c r="V210" s="266"/>
      <c r="W210" s="268">
        <f>(W206/W203)</f>
        <v>0.99872685185185184</v>
      </c>
      <c r="X210" s="256" t="s">
        <v>347</v>
      </c>
    </row>
    <row r="211" spans="2:24" x14ac:dyDescent="0.25">
      <c r="B211" s="253"/>
      <c r="C211" s="254" t="s">
        <v>287</v>
      </c>
      <c r="D211" s="266"/>
      <c r="E211" s="257"/>
      <c r="F211" s="256"/>
      <c r="H211" s="253"/>
      <c r="I211" s="254" t="s">
        <v>287</v>
      </c>
      <c r="J211" s="266"/>
      <c r="K211" s="257"/>
      <c r="L211" s="256"/>
      <c r="N211" s="253"/>
      <c r="O211" s="254" t="s">
        <v>287</v>
      </c>
      <c r="P211" s="266"/>
      <c r="Q211" s="257"/>
      <c r="R211" s="256"/>
      <c r="T211" s="253"/>
      <c r="U211" s="254" t="s">
        <v>287</v>
      </c>
      <c r="V211" s="266"/>
      <c r="W211" s="257"/>
      <c r="X211" s="256"/>
    </row>
    <row r="212" spans="2:24" x14ac:dyDescent="0.25">
      <c r="B212" s="253"/>
      <c r="C212" s="254"/>
      <c r="D212" s="266" t="s">
        <v>288</v>
      </c>
      <c r="E212" s="257">
        <v>90</v>
      </c>
      <c r="F212" s="256" t="s">
        <v>289</v>
      </c>
      <c r="H212" s="253"/>
      <c r="I212" s="254"/>
      <c r="J212" s="266" t="s">
        <v>288</v>
      </c>
      <c r="K212" s="257">
        <v>90</v>
      </c>
      <c r="L212" s="256" t="s">
        <v>289</v>
      </c>
      <c r="N212" s="253"/>
      <c r="O212" s="254"/>
      <c r="P212" s="266" t="s">
        <v>288</v>
      </c>
      <c r="Q212" s="257">
        <v>90</v>
      </c>
      <c r="R212" s="256" t="s">
        <v>289</v>
      </c>
      <c r="T212" s="253"/>
      <c r="U212" s="254"/>
      <c r="V212" s="266" t="s">
        <v>288</v>
      </c>
      <c r="W212" s="257">
        <v>90</v>
      </c>
      <c r="X212" s="256" t="s">
        <v>289</v>
      </c>
    </row>
    <row r="213" spans="2:24" x14ac:dyDescent="0.25">
      <c r="B213" s="253"/>
      <c r="C213" s="254"/>
      <c r="D213" s="266" t="s">
        <v>290</v>
      </c>
      <c r="E213" s="257">
        <v>0.05</v>
      </c>
      <c r="F213" s="256" t="s">
        <v>289</v>
      </c>
      <c r="H213" s="253"/>
      <c r="I213" s="254"/>
      <c r="J213" s="266" t="s">
        <v>290</v>
      </c>
      <c r="K213" s="257">
        <v>0.05</v>
      </c>
      <c r="L213" s="256" t="s">
        <v>289</v>
      </c>
      <c r="N213" s="253"/>
      <c r="O213" s="254"/>
      <c r="P213" s="266" t="s">
        <v>290</v>
      </c>
      <c r="Q213" s="257">
        <v>0.05</v>
      </c>
      <c r="R213" s="256" t="s">
        <v>289</v>
      </c>
      <c r="T213" s="253"/>
      <c r="U213" s="254"/>
      <c r="V213" s="266" t="s">
        <v>290</v>
      </c>
      <c r="W213" s="257">
        <v>0.05</v>
      </c>
      <c r="X213" s="256" t="s">
        <v>289</v>
      </c>
    </row>
    <row r="214" spans="2:24" x14ac:dyDescent="0.25">
      <c r="B214" s="253"/>
      <c r="C214" s="254"/>
      <c r="D214" s="266" t="s">
        <v>291</v>
      </c>
      <c r="E214" s="257">
        <v>210</v>
      </c>
      <c r="F214" s="256" t="s">
        <v>289</v>
      </c>
      <c r="H214" s="253"/>
      <c r="I214" s="254"/>
      <c r="J214" s="266" t="s">
        <v>291</v>
      </c>
      <c r="K214" s="257">
        <v>210</v>
      </c>
      <c r="L214" s="256" t="s">
        <v>289</v>
      </c>
      <c r="N214" s="253"/>
      <c r="O214" s="254"/>
      <c r="P214" s="266" t="s">
        <v>291</v>
      </c>
      <c r="Q214" s="257">
        <v>210</v>
      </c>
      <c r="R214" s="256" t="s">
        <v>289</v>
      </c>
      <c r="T214" s="253"/>
      <c r="U214" s="254"/>
      <c r="V214" s="266" t="s">
        <v>291</v>
      </c>
      <c r="W214" s="257">
        <v>210</v>
      </c>
      <c r="X214" s="256" t="s">
        <v>289</v>
      </c>
    </row>
    <row r="215" spans="2:24" x14ac:dyDescent="0.25">
      <c r="B215" s="253"/>
      <c r="C215" s="254" t="s">
        <v>282</v>
      </c>
      <c r="D215" s="266" t="s">
        <v>293</v>
      </c>
      <c r="E215" s="257" t="s">
        <v>294</v>
      </c>
      <c r="F215" s="256" t="s">
        <v>295</v>
      </c>
      <c r="H215" s="253"/>
      <c r="I215" s="254" t="s">
        <v>282</v>
      </c>
      <c r="J215" s="266" t="s">
        <v>293</v>
      </c>
      <c r="K215" s="257" t="s">
        <v>294</v>
      </c>
      <c r="L215" s="256" t="s">
        <v>295</v>
      </c>
      <c r="N215" s="253"/>
      <c r="O215" s="254" t="s">
        <v>282</v>
      </c>
      <c r="P215" s="266" t="s">
        <v>293</v>
      </c>
      <c r="Q215" s="257" t="s">
        <v>294</v>
      </c>
      <c r="R215" s="256" t="s">
        <v>295</v>
      </c>
      <c r="T215" s="253"/>
      <c r="U215" s="254" t="s">
        <v>282</v>
      </c>
      <c r="V215" s="266" t="s">
        <v>293</v>
      </c>
      <c r="W215" s="257" t="s">
        <v>294</v>
      </c>
      <c r="X215" s="256" t="s">
        <v>295</v>
      </c>
    </row>
    <row r="216" spans="2:24" x14ac:dyDescent="0.25">
      <c r="B216" s="253"/>
      <c r="C216" s="254"/>
      <c r="D216" s="266" t="s">
        <v>194</v>
      </c>
      <c r="E216" s="257" t="s">
        <v>296</v>
      </c>
      <c r="F216" s="256"/>
      <c r="H216" s="253"/>
      <c r="I216" s="254"/>
      <c r="J216" s="266" t="s">
        <v>194</v>
      </c>
      <c r="K216" s="257" t="s">
        <v>296</v>
      </c>
      <c r="L216" s="256"/>
      <c r="N216" s="253"/>
      <c r="O216" s="254"/>
      <c r="P216" s="266" t="s">
        <v>194</v>
      </c>
      <c r="Q216" s="257" t="s">
        <v>296</v>
      </c>
      <c r="R216" s="256"/>
      <c r="T216" s="253"/>
      <c r="U216" s="254"/>
      <c r="V216" s="266" t="s">
        <v>194</v>
      </c>
      <c r="W216" s="257" t="s">
        <v>296</v>
      </c>
      <c r="X216" s="256"/>
    </row>
    <row r="217" spans="2:24" x14ac:dyDescent="0.25">
      <c r="B217" s="253"/>
      <c r="C217" s="254"/>
      <c r="D217" s="266" t="s">
        <v>297</v>
      </c>
      <c r="E217" s="257">
        <v>0.5</v>
      </c>
      <c r="F217" s="256" t="s">
        <v>298</v>
      </c>
      <c r="H217" s="253"/>
      <c r="I217" s="254"/>
      <c r="J217" s="266" t="s">
        <v>297</v>
      </c>
      <c r="K217" s="257">
        <v>0.5</v>
      </c>
      <c r="L217" s="256" t="s">
        <v>298</v>
      </c>
      <c r="N217" s="253"/>
      <c r="O217" s="254"/>
      <c r="P217" s="266" t="s">
        <v>297</v>
      </c>
      <c r="Q217" s="257">
        <v>0.5</v>
      </c>
      <c r="R217" s="256" t="s">
        <v>298</v>
      </c>
      <c r="T217" s="253"/>
      <c r="U217" s="254"/>
      <c r="V217" s="266" t="s">
        <v>297</v>
      </c>
      <c r="W217" s="257">
        <v>0.5</v>
      </c>
      <c r="X217" s="256" t="s">
        <v>298</v>
      </c>
    </row>
    <row r="218" spans="2:24" ht="30" x14ac:dyDescent="0.25">
      <c r="B218" s="253"/>
      <c r="C218" s="254"/>
      <c r="D218" s="266" t="s">
        <v>299</v>
      </c>
      <c r="E218" s="257" t="s">
        <v>300</v>
      </c>
      <c r="F218" s="256" t="s">
        <v>301</v>
      </c>
      <c r="H218" s="253"/>
      <c r="I218" s="254"/>
      <c r="J218" s="266" t="s">
        <v>299</v>
      </c>
      <c r="K218" s="257" t="s">
        <v>300</v>
      </c>
      <c r="L218" s="256" t="s">
        <v>301</v>
      </c>
      <c r="N218" s="253"/>
      <c r="O218" s="254"/>
      <c r="P218" s="266" t="s">
        <v>299</v>
      </c>
      <c r="Q218" s="257" t="s">
        <v>300</v>
      </c>
      <c r="R218" s="256" t="s">
        <v>301</v>
      </c>
      <c r="T218" s="253"/>
      <c r="U218" s="254"/>
      <c r="V218" s="266" t="s">
        <v>299</v>
      </c>
      <c r="W218" s="257" t="s">
        <v>300</v>
      </c>
      <c r="X218" s="256" t="s">
        <v>301</v>
      </c>
    </row>
    <row r="219" spans="2:24" x14ac:dyDescent="0.25">
      <c r="B219" s="253"/>
      <c r="C219" s="257"/>
      <c r="D219" s="266" t="s">
        <v>302</v>
      </c>
      <c r="E219" s="257" t="s">
        <v>303</v>
      </c>
      <c r="F219" s="256"/>
      <c r="H219" s="253"/>
      <c r="I219" s="257"/>
      <c r="J219" s="266" t="s">
        <v>302</v>
      </c>
      <c r="K219" s="257" t="s">
        <v>303</v>
      </c>
      <c r="L219" s="256"/>
      <c r="N219" s="253"/>
      <c r="O219" s="257"/>
      <c r="P219" s="266" t="s">
        <v>302</v>
      </c>
      <c r="Q219" s="257" t="s">
        <v>303</v>
      </c>
      <c r="R219" s="256"/>
      <c r="T219" s="253"/>
      <c r="U219" s="257"/>
      <c r="V219" s="266" t="s">
        <v>302</v>
      </c>
      <c r="W219" s="257" t="s">
        <v>303</v>
      </c>
      <c r="X219" s="256"/>
    </row>
    <row r="220" spans="2:24" ht="15.75" thickBot="1" x14ac:dyDescent="0.3">
      <c r="B220" s="271"/>
      <c r="C220" s="272"/>
      <c r="D220" s="273" t="s">
        <v>304</v>
      </c>
      <c r="E220" s="272" t="s">
        <v>305</v>
      </c>
      <c r="F220" s="286" t="s">
        <v>127</v>
      </c>
      <c r="H220" s="271"/>
      <c r="I220" s="272"/>
      <c r="J220" s="273" t="s">
        <v>304</v>
      </c>
      <c r="K220" s="272" t="s">
        <v>305</v>
      </c>
      <c r="L220" s="286" t="s">
        <v>127</v>
      </c>
      <c r="N220" s="271"/>
      <c r="O220" s="272"/>
      <c r="P220" s="273" t="s">
        <v>304</v>
      </c>
      <c r="Q220" s="272" t="s">
        <v>305</v>
      </c>
      <c r="R220" s="286" t="s">
        <v>127</v>
      </c>
      <c r="T220" s="271"/>
      <c r="U220" s="272"/>
      <c r="V220" s="273" t="s">
        <v>304</v>
      </c>
      <c r="W220" s="272" t="s">
        <v>305</v>
      </c>
      <c r="X220" s="286" t="s">
        <v>127</v>
      </c>
    </row>
    <row r="221" spans="2:24" ht="15.75" thickBot="1" x14ac:dyDescent="0.3"/>
    <row r="222" spans="2:24" x14ac:dyDescent="0.25">
      <c r="B222" s="428" t="s">
        <v>211</v>
      </c>
      <c r="C222" s="429"/>
      <c r="D222" s="429"/>
      <c r="E222" s="429"/>
      <c r="F222" s="430"/>
      <c r="H222" s="428" t="s">
        <v>211</v>
      </c>
      <c r="I222" s="429"/>
      <c r="J222" s="429"/>
      <c r="K222" s="429"/>
      <c r="L222" s="430"/>
    </row>
    <row r="223" spans="2:24" ht="15.75" thickBot="1" x14ac:dyDescent="0.3">
      <c r="B223" s="434" t="s">
        <v>153</v>
      </c>
      <c r="C223" s="435"/>
      <c r="D223" s="435"/>
      <c r="E223" s="435"/>
      <c r="F223" s="436"/>
      <c r="H223" s="434" t="s">
        <v>153</v>
      </c>
      <c r="I223" s="435"/>
      <c r="J223" s="435"/>
      <c r="K223" s="435"/>
      <c r="L223" s="436"/>
    </row>
    <row r="224" spans="2:24" x14ac:dyDescent="0.25">
      <c r="B224" s="416" t="s">
        <v>282</v>
      </c>
      <c r="C224" s="417"/>
      <c r="D224" s="417"/>
      <c r="E224" s="417"/>
      <c r="F224" s="418"/>
      <c r="H224" s="416" t="s">
        <v>282</v>
      </c>
      <c r="I224" s="417"/>
      <c r="J224" s="417"/>
      <c r="K224" s="417"/>
      <c r="L224" s="418"/>
    </row>
    <row r="225" spans="2:12" ht="15.75" thickBot="1" x14ac:dyDescent="0.3">
      <c r="B225" s="419" t="s">
        <v>342</v>
      </c>
      <c r="C225" s="420"/>
      <c r="D225" s="421"/>
      <c r="E225" s="422"/>
      <c r="F225" s="423"/>
      <c r="H225" s="419" t="s">
        <v>342</v>
      </c>
      <c r="I225" s="420"/>
      <c r="J225" s="421"/>
      <c r="K225" s="422"/>
      <c r="L225" s="423"/>
    </row>
    <row r="226" spans="2:12" ht="15.75" thickBot="1" x14ac:dyDescent="0.3">
      <c r="B226" s="250" t="s">
        <v>108</v>
      </c>
      <c r="C226" s="251" t="s">
        <v>156</v>
      </c>
      <c r="D226" s="251" t="s">
        <v>157</v>
      </c>
      <c r="E226" s="251" t="s">
        <v>158</v>
      </c>
      <c r="F226" s="252" t="s">
        <v>159</v>
      </c>
      <c r="H226" s="250" t="s">
        <v>108</v>
      </c>
      <c r="I226" s="251" t="s">
        <v>156</v>
      </c>
      <c r="J226" s="251" t="s">
        <v>157</v>
      </c>
      <c r="K226" s="251" t="s">
        <v>158</v>
      </c>
      <c r="L226" s="252" t="s">
        <v>159</v>
      </c>
    </row>
    <row r="227" spans="2:12" x14ac:dyDescent="0.25">
      <c r="B227" s="424" t="s">
        <v>343</v>
      </c>
      <c r="C227" s="425"/>
      <c r="D227" s="425"/>
      <c r="E227" s="425"/>
      <c r="F227" s="426"/>
      <c r="H227" s="424" t="s">
        <v>343</v>
      </c>
      <c r="I227" s="425"/>
      <c r="J227" s="425"/>
      <c r="K227" s="425"/>
      <c r="L227" s="426"/>
    </row>
    <row r="228" spans="2:12" x14ac:dyDescent="0.25">
      <c r="B228" s="253"/>
      <c r="C228" s="254" t="s">
        <v>161</v>
      </c>
      <c r="D228" s="254"/>
      <c r="E228" s="257" t="s">
        <v>344</v>
      </c>
      <c r="F228" s="288"/>
      <c r="H228" s="253"/>
      <c r="I228" s="254" t="s">
        <v>161</v>
      </c>
      <c r="J228" s="254"/>
      <c r="K228" s="257" t="s">
        <v>384</v>
      </c>
      <c r="L228" s="288"/>
    </row>
    <row r="229" spans="2:12" x14ac:dyDescent="0.25">
      <c r="B229" s="253"/>
      <c r="C229" s="254" t="s">
        <v>162</v>
      </c>
      <c r="D229" s="254"/>
      <c r="E229" s="289" t="s">
        <v>385</v>
      </c>
      <c r="F229" s="288"/>
      <c r="H229" s="253"/>
      <c r="I229" s="254" t="s">
        <v>162</v>
      </c>
      <c r="J229" s="254"/>
      <c r="K229" s="289" t="s">
        <v>386</v>
      </c>
      <c r="L229" s="288"/>
    </row>
    <row r="230" spans="2:12" x14ac:dyDescent="0.25">
      <c r="B230" s="253"/>
      <c r="C230" s="254" t="s">
        <v>165</v>
      </c>
      <c r="D230" s="266"/>
      <c r="E230" s="257"/>
      <c r="F230" s="256"/>
      <c r="H230" s="253"/>
      <c r="I230" s="254" t="s">
        <v>165</v>
      </c>
      <c r="J230" s="266"/>
      <c r="K230" s="257"/>
      <c r="L230" s="256"/>
    </row>
    <row r="231" spans="2:12" ht="30" x14ac:dyDescent="0.25">
      <c r="B231" s="253"/>
      <c r="C231" s="254"/>
      <c r="D231" s="266" t="s">
        <v>166</v>
      </c>
      <c r="E231" s="257">
        <v>0</v>
      </c>
      <c r="F231" s="290" t="s">
        <v>346</v>
      </c>
      <c r="H231" s="253"/>
      <c r="I231" s="254"/>
      <c r="J231" s="266" t="s">
        <v>166</v>
      </c>
      <c r="K231" s="257">
        <v>0</v>
      </c>
      <c r="L231" s="290" t="s">
        <v>346</v>
      </c>
    </row>
    <row r="232" spans="2:12" x14ac:dyDescent="0.25">
      <c r="B232" s="253"/>
      <c r="C232" s="254"/>
      <c r="D232" s="266" t="s">
        <v>167</v>
      </c>
      <c r="E232" s="257">
        <v>0</v>
      </c>
      <c r="F232" s="256" t="s">
        <v>168</v>
      </c>
      <c r="H232" s="253"/>
      <c r="I232" s="254"/>
      <c r="J232" s="266" t="s">
        <v>167</v>
      </c>
      <c r="K232" s="257">
        <v>0</v>
      </c>
      <c r="L232" s="256" t="s">
        <v>168</v>
      </c>
    </row>
    <row r="233" spans="2:12" x14ac:dyDescent="0.25">
      <c r="B233" s="253"/>
      <c r="C233" s="254" t="s">
        <v>169</v>
      </c>
      <c r="D233" s="266"/>
      <c r="E233" s="259"/>
      <c r="F233" s="256" t="s">
        <v>170</v>
      </c>
      <c r="H233" s="253"/>
      <c r="I233" s="254" t="s">
        <v>169</v>
      </c>
      <c r="J233" s="266"/>
      <c r="K233" s="259"/>
      <c r="L233" s="256" t="s">
        <v>170</v>
      </c>
    </row>
    <row r="234" spans="2:12" x14ac:dyDescent="0.25">
      <c r="B234" s="253"/>
      <c r="C234" s="254" t="s">
        <v>172</v>
      </c>
      <c r="D234" s="266"/>
      <c r="E234" s="257">
        <f>15*12*30</f>
        <v>5400</v>
      </c>
      <c r="F234" s="256" t="s">
        <v>173</v>
      </c>
      <c r="H234" s="253"/>
      <c r="I234" s="254" t="s">
        <v>172</v>
      </c>
      <c r="J234" s="266"/>
      <c r="K234" s="257">
        <f>15*12*30</f>
        <v>5400</v>
      </c>
      <c r="L234" s="256" t="s">
        <v>173</v>
      </c>
    </row>
    <row r="235" spans="2:12" x14ac:dyDescent="0.25">
      <c r="B235" s="260"/>
      <c r="C235" s="261" t="s">
        <v>175</v>
      </c>
      <c r="D235" s="285"/>
      <c r="E235" s="262">
        <f>'Data Lingkungan_IC'!AF72</f>
        <v>0</v>
      </c>
      <c r="F235" s="263"/>
      <c r="H235" s="260"/>
      <c r="I235" s="261" t="s">
        <v>175</v>
      </c>
      <c r="J235" s="285"/>
      <c r="K235" s="262">
        <f>'Data Lingkungan_IC'!BP68</f>
        <v>0</v>
      </c>
      <c r="L235" s="263"/>
    </row>
    <row r="236" spans="2:12" x14ac:dyDescent="0.25">
      <c r="B236" s="253"/>
      <c r="C236" s="254" t="s">
        <v>177</v>
      </c>
      <c r="D236" s="266"/>
      <c r="E236" s="257">
        <v>120</v>
      </c>
      <c r="F236" s="256" t="s">
        <v>173</v>
      </c>
      <c r="H236" s="253"/>
      <c r="I236" s="254" t="s">
        <v>177</v>
      </c>
      <c r="J236" s="266"/>
      <c r="K236" s="257">
        <v>120</v>
      </c>
      <c r="L236" s="256" t="s">
        <v>173</v>
      </c>
    </row>
    <row r="237" spans="2:12" x14ac:dyDescent="0.25">
      <c r="B237" s="253"/>
      <c r="C237" s="254" t="s">
        <v>179</v>
      </c>
      <c r="D237" s="266"/>
      <c r="E237" s="264">
        <f>E234-E236-(E238+E240)/2*10</f>
        <v>5275</v>
      </c>
      <c r="F237" s="256" t="s">
        <v>173</v>
      </c>
      <c r="H237" s="253"/>
      <c r="I237" s="254" t="s">
        <v>179</v>
      </c>
      <c r="J237" s="266"/>
      <c r="K237" s="264">
        <f>K234-K236-(K238+K240)/2*10</f>
        <v>5280</v>
      </c>
      <c r="L237" s="256" t="s">
        <v>173</v>
      </c>
    </row>
    <row r="238" spans="2:12" x14ac:dyDescent="0.25">
      <c r="B238" s="253"/>
      <c r="C238" s="254" t="s">
        <v>181</v>
      </c>
      <c r="D238" s="266" t="s">
        <v>182</v>
      </c>
      <c r="E238" s="265">
        <f>((E236/E234)*45-E239)</f>
        <v>1</v>
      </c>
      <c r="F238" s="256" t="s">
        <v>183</v>
      </c>
      <c r="H238" s="253"/>
      <c r="I238" s="254" t="s">
        <v>181</v>
      </c>
      <c r="J238" s="266" t="s">
        <v>182</v>
      </c>
      <c r="K238" s="265">
        <f>'Data Lingkungan_IC'!BT68</f>
        <v>0</v>
      </c>
      <c r="L238" s="256" t="s">
        <v>183</v>
      </c>
    </row>
    <row r="239" spans="2:12" ht="30" x14ac:dyDescent="0.25">
      <c r="B239" s="253"/>
      <c r="C239" s="254"/>
      <c r="D239" s="266" t="s">
        <v>185</v>
      </c>
      <c r="E239" s="267">
        <f>'Data Lingkungan_IC'!Z253</f>
        <v>0</v>
      </c>
      <c r="F239" s="256" t="s">
        <v>186</v>
      </c>
      <c r="H239" s="253"/>
      <c r="I239" s="254"/>
      <c r="J239" s="266" t="s">
        <v>185</v>
      </c>
      <c r="K239" s="267">
        <f>'Data Lingkungan_IC'!AF254</f>
        <v>0</v>
      </c>
      <c r="L239" s="256" t="s">
        <v>186</v>
      </c>
    </row>
    <row r="240" spans="2:12" x14ac:dyDescent="0.25">
      <c r="B240" s="253"/>
      <c r="C240" s="254" t="s">
        <v>188</v>
      </c>
      <c r="D240" s="266" t="s">
        <v>182</v>
      </c>
      <c r="E240" s="267">
        <f>'Data Lingkungan_IC'!AI72</f>
        <v>0</v>
      </c>
      <c r="F240" s="256" t="s">
        <v>183</v>
      </c>
      <c r="H240" s="253"/>
      <c r="I240" s="254" t="s">
        <v>188</v>
      </c>
      <c r="J240" s="266" t="s">
        <v>182</v>
      </c>
      <c r="K240" s="267">
        <f>'Data Lingkungan_IC'!BS68</f>
        <v>0</v>
      </c>
      <c r="L240" s="256" t="s">
        <v>183</v>
      </c>
    </row>
    <row r="241" spans="2:12" ht="45" x14ac:dyDescent="0.25">
      <c r="B241" s="253"/>
      <c r="C241" s="254" t="s">
        <v>190</v>
      </c>
      <c r="D241" s="266"/>
      <c r="E241" s="268">
        <f>(E237/E234)</f>
        <v>0.97685185185185186</v>
      </c>
      <c r="F241" s="256" t="s">
        <v>347</v>
      </c>
      <c r="H241" s="253"/>
      <c r="I241" s="254" t="s">
        <v>190</v>
      </c>
      <c r="J241" s="266"/>
      <c r="K241" s="268">
        <f>(K237/K234)</f>
        <v>0.97777777777777775</v>
      </c>
      <c r="L241" s="256" t="s">
        <v>347</v>
      </c>
    </row>
    <row r="242" spans="2:12" x14ac:dyDescent="0.25">
      <c r="B242" s="253"/>
      <c r="C242" s="254" t="s">
        <v>287</v>
      </c>
      <c r="D242" s="266"/>
      <c r="E242" s="257"/>
      <c r="F242" s="256"/>
      <c r="H242" s="253"/>
      <c r="I242" s="254" t="s">
        <v>287</v>
      </c>
      <c r="J242" s="266"/>
      <c r="K242" s="257"/>
      <c r="L242" s="256"/>
    </row>
    <row r="243" spans="2:12" x14ac:dyDescent="0.25">
      <c r="B243" s="253"/>
      <c r="C243" s="254"/>
      <c r="D243" s="266" t="s">
        <v>288</v>
      </c>
      <c r="E243" s="257">
        <v>90</v>
      </c>
      <c r="F243" s="256" t="s">
        <v>289</v>
      </c>
      <c r="H243" s="253"/>
      <c r="I243" s="254"/>
      <c r="J243" s="266" t="s">
        <v>288</v>
      </c>
      <c r="K243" s="257">
        <v>90</v>
      </c>
      <c r="L243" s="256" t="s">
        <v>289</v>
      </c>
    </row>
    <row r="244" spans="2:12" x14ac:dyDescent="0.25">
      <c r="B244" s="253"/>
      <c r="C244" s="254"/>
      <c r="D244" s="266" t="s">
        <v>290</v>
      </c>
      <c r="E244" s="257">
        <v>0.05</v>
      </c>
      <c r="F244" s="256" t="s">
        <v>289</v>
      </c>
      <c r="H244" s="253"/>
      <c r="I244" s="254"/>
      <c r="J244" s="266" t="s">
        <v>290</v>
      </c>
      <c r="K244" s="257">
        <v>0.05</v>
      </c>
      <c r="L244" s="256" t="s">
        <v>289</v>
      </c>
    </row>
    <row r="245" spans="2:12" x14ac:dyDescent="0.25">
      <c r="B245" s="253"/>
      <c r="C245" s="254"/>
      <c r="D245" s="266" t="s">
        <v>291</v>
      </c>
      <c r="E245" s="257">
        <v>210</v>
      </c>
      <c r="F245" s="256" t="s">
        <v>289</v>
      </c>
      <c r="H245" s="253"/>
      <c r="I245" s="254"/>
      <c r="J245" s="266" t="s">
        <v>291</v>
      </c>
      <c r="K245" s="257">
        <v>210</v>
      </c>
      <c r="L245" s="256" t="s">
        <v>289</v>
      </c>
    </row>
    <row r="246" spans="2:12" x14ac:dyDescent="0.25">
      <c r="B246" s="253"/>
      <c r="C246" s="254" t="s">
        <v>282</v>
      </c>
      <c r="D246" s="266" t="s">
        <v>293</v>
      </c>
      <c r="E246" s="257" t="s">
        <v>294</v>
      </c>
      <c r="F246" s="256" t="s">
        <v>295</v>
      </c>
      <c r="H246" s="253"/>
      <c r="I246" s="254" t="s">
        <v>282</v>
      </c>
      <c r="J246" s="266" t="s">
        <v>293</v>
      </c>
      <c r="K246" s="257" t="s">
        <v>294</v>
      </c>
      <c r="L246" s="256" t="s">
        <v>295</v>
      </c>
    </row>
    <row r="247" spans="2:12" x14ac:dyDescent="0.25">
      <c r="B247" s="253"/>
      <c r="C247" s="254"/>
      <c r="D247" s="266" t="s">
        <v>194</v>
      </c>
      <c r="E247" s="257" t="s">
        <v>296</v>
      </c>
      <c r="F247" s="256"/>
      <c r="H247" s="253"/>
      <c r="I247" s="254"/>
      <c r="J247" s="266" t="s">
        <v>194</v>
      </c>
      <c r="K247" s="257" t="s">
        <v>296</v>
      </c>
      <c r="L247" s="256"/>
    </row>
    <row r="248" spans="2:12" x14ac:dyDescent="0.25">
      <c r="B248" s="253"/>
      <c r="C248" s="254"/>
      <c r="D248" s="266" t="s">
        <v>297</v>
      </c>
      <c r="E248" s="257">
        <v>0.5</v>
      </c>
      <c r="F248" s="256" t="s">
        <v>298</v>
      </c>
      <c r="H248" s="253"/>
      <c r="I248" s="254"/>
      <c r="J248" s="266" t="s">
        <v>297</v>
      </c>
      <c r="K248" s="257">
        <v>0.5</v>
      </c>
      <c r="L248" s="256" t="s">
        <v>298</v>
      </c>
    </row>
    <row r="249" spans="2:12" ht="30" x14ac:dyDescent="0.25">
      <c r="B249" s="253"/>
      <c r="C249" s="254"/>
      <c r="D249" s="266" t="s">
        <v>299</v>
      </c>
      <c r="E249" s="257" t="s">
        <v>300</v>
      </c>
      <c r="F249" s="256" t="s">
        <v>301</v>
      </c>
      <c r="H249" s="253"/>
      <c r="I249" s="254"/>
      <c r="J249" s="266" t="s">
        <v>299</v>
      </c>
      <c r="K249" s="257" t="s">
        <v>300</v>
      </c>
      <c r="L249" s="256" t="s">
        <v>301</v>
      </c>
    </row>
    <row r="250" spans="2:12" x14ac:dyDescent="0.25">
      <c r="B250" s="253"/>
      <c r="C250" s="257"/>
      <c r="D250" s="266" t="s">
        <v>302</v>
      </c>
      <c r="E250" s="257" t="s">
        <v>303</v>
      </c>
      <c r="F250" s="256"/>
      <c r="H250" s="253"/>
      <c r="I250" s="257"/>
      <c r="J250" s="266" t="s">
        <v>302</v>
      </c>
      <c r="K250" s="257" t="s">
        <v>303</v>
      </c>
      <c r="L250" s="256"/>
    </row>
    <row r="251" spans="2:12" ht="15.75" thickBot="1" x14ac:dyDescent="0.3">
      <c r="B251" s="271"/>
      <c r="C251" s="272"/>
      <c r="D251" s="273" t="s">
        <v>304</v>
      </c>
      <c r="E251" s="272" t="s">
        <v>305</v>
      </c>
      <c r="F251" s="286" t="s">
        <v>127</v>
      </c>
      <c r="H251" s="271"/>
      <c r="I251" s="272"/>
      <c r="J251" s="273" t="s">
        <v>304</v>
      </c>
      <c r="K251" s="272" t="s">
        <v>305</v>
      </c>
      <c r="L251" s="286" t="s">
        <v>127</v>
      </c>
    </row>
    <row r="252" spans="2:12" ht="15.75" thickBot="1" x14ac:dyDescent="0.3"/>
    <row r="253" spans="2:12" x14ac:dyDescent="0.25">
      <c r="B253" s="428" t="s">
        <v>211</v>
      </c>
      <c r="C253" s="429"/>
      <c r="D253" s="429"/>
      <c r="E253" s="429"/>
      <c r="F253" s="430"/>
      <c r="H253" s="428" t="s">
        <v>211</v>
      </c>
      <c r="I253" s="429"/>
      <c r="J253" s="429"/>
      <c r="K253" s="429"/>
      <c r="L253" s="430"/>
    </row>
    <row r="254" spans="2:12" ht="15.75" thickBot="1" x14ac:dyDescent="0.3">
      <c r="B254" s="434" t="s">
        <v>153</v>
      </c>
      <c r="C254" s="435"/>
      <c r="D254" s="435"/>
      <c r="E254" s="435"/>
      <c r="F254" s="436"/>
      <c r="H254" s="434" t="s">
        <v>153</v>
      </c>
      <c r="I254" s="435"/>
      <c r="J254" s="435"/>
      <c r="K254" s="435"/>
      <c r="L254" s="436"/>
    </row>
    <row r="255" spans="2:12" x14ac:dyDescent="0.25">
      <c r="B255" s="416" t="s">
        <v>282</v>
      </c>
      <c r="C255" s="417"/>
      <c r="D255" s="417"/>
      <c r="E255" s="417"/>
      <c r="F255" s="418"/>
      <c r="H255" s="416" t="s">
        <v>282</v>
      </c>
      <c r="I255" s="417"/>
      <c r="J255" s="417"/>
      <c r="K255" s="417"/>
      <c r="L255" s="418"/>
    </row>
    <row r="256" spans="2:12" ht="15.75" thickBot="1" x14ac:dyDescent="0.3">
      <c r="B256" s="419" t="s">
        <v>342</v>
      </c>
      <c r="C256" s="420"/>
      <c r="D256" s="421"/>
      <c r="E256" s="422"/>
      <c r="F256" s="423"/>
      <c r="H256" s="419" t="s">
        <v>342</v>
      </c>
      <c r="I256" s="420"/>
      <c r="J256" s="421"/>
      <c r="K256" s="422"/>
      <c r="L256" s="423"/>
    </row>
    <row r="257" spans="2:12" ht="15.75" thickBot="1" x14ac:dyDescent="0.3">
      <c r="B257" s="250" t="s">
        <v>108</v>
      </c>
      <c r="C257" s="251" t="s">
        <v>156</v>
      </c>
      <c r="D257" s="251" t="s">
        <v>157</v>
      </c>
      <c r="E257" s="251" t="s">
        <v>158</v>
      </c>
      <c r="F257" s="252" t="s">
        <v>159</v>
      </c>
      <c r="H257" s="250" t="s">
        <v>108</v>
      </c>
      <c r="I257" s="251" t="s">
        <v>156</v>
      </c>
      <c r="J257" s="251" t="s">
        <v>157</v>
      </c>
      <c r="K257" s="251" t="s">
        <v>158</v>
      </c>
      <c r="L257" s="252" t="s">
        <v>159</v>
      </c>
    </row>
    <row r="258" spans="2:12" x14ac:dyDescent="0.25">
      <c r="B258" s="424" t="s">
        <v>343</v>
      </c>
      <c r="C258" s="425"/>
      <c r="D258" s="425"/>
      <c r="E258" s="425"/>
      <c r="F258" s="426"/>
      <c r="H258" s="424" t="s">
        <v>343</v>
      </c>
      <c r="I258" s="425"/>
      <c r="J258" s="425"/>
      <c r="K258" s="425"/>
      <c r="L258" s="426"/>
    </row>
    <row r="259" spans="2:12" x14ac:dyDescent="0.25">
      <c r="B259" s="253"/>
      <c r="C259" s="254" t="s">
        <v>161</v>
      </c>
      <c r="D259" s="254"/>
      <c r="E259" s="257" t="s">
        <v>387</v>
      </c>
      <c r="F259" s="288"/>
      <c r="H259" s="253"/>
      <c r="I259" s="254" t="s">
        <v>161</v>
      </c>
      <c r="J259" s="254"/>
      <c r="K259" s="257" t="s">
        <v>388</v>
      </c>
      <c r="L259" s="288"/>
    </row>
    <row r="260" spans="2:12" x14ac:dyDescent="0.25">
      <c r="B260" s="253"/>
      <c r="C260" s="254" t="s">
        <v>162</v>
      </c>
      <c r="D260" s="254"/>
      <c r="E260" s="289" t="s">
        <v>389</v>
      </c>
      <c r="F260" s="288"/>
      <c r="H260" s="253"/>
      <c r="I260" s="254" t="s">
        <v>162</v>
      </c>
      <c r="J260" s="254"/>
      <c r="K260" s="289" t="s">
        <v>390</v>
      </c>
      <c r="L260" s="288"/>
    </row>
    <row r="261" spans="2:12" x14ac:dyDescent="0.25">
      <c r="B261" s="253"/>
      <c r="C261" s="254" t="s">
        <v>165</v>
      </c>
      <c r="D261" s="266"/>
      <c r="E261" s="257"/>
      <c r="F261" s="256"/>
      <c r="H261" s="253"/>
      <c r="I261" s="254" t="s">
        <v>165</v>
      </c>
      <c r="J261" s="266"/>
      <c r="K261" s="257"/>
      <c r="L261" s="256"/>
    </row>
    <row r="262" spans="2:12" ht="30" x14ac:dyDescent="0.25">
      <c r="B262" s="253"/>
      <c r="C262" s="254"/>
      <c r="D262" s="266" t="s">
        <v>166</v>
      </c>
      <c r="E262" s="257">
        <v>0</v>
      </c>
      <c r="F262" s="290" t="s">
        <v>346</v>
      </c>
      <c r="H262" s="253"/>
      <c r="I262" s="254"/>
      <c r="J262" s="266" t="s">
        <v>166</v>
      </c>
      <c r="K262" s="257">
        <v>0</v>
      </c>
      <c r="L262" s="290" t="s">
        <v>346</v>
      </c>
    </row>
    <row r="263" spans="2:12" x14ac:dyDescent="0.25">
      <c r="B263" s="253"/>
      <c r="C263" s="254"/>
      <c r="D263" s="266" t="s">
        <v>167</v>
      </c>
      <c r="E263" s="257">
        <v>0</v>
      </c>
      <c r="F263" s="256" t="s">
        <v>168</v>
      </c>
      <c r="H263" s="253"/>
      <c r="I263" s="254"/>
      <c r="J263" s="266" t="s">
        <v>167</v>
      </c>
      <c r="K263" s="257">
        <v>0</v>
      </c>
      <c r="L263" s="256" t="s">
        <v>168</v>
      </c>
    </row>
    <row r="264" spans="2:12" x14ac:dyDescent="0.25">
      <c r="B264" s="253"/>
      <c r="C264" s="254" t="s">
        <v>169</v>
      </c>
      <c r="D264" s="266"/>
      <c r="E264" s="259"/>
      <c r="F264" s="256" t="s">
        <v>170</v>
      </c>
      <c r="H264" s="253"/>
      <c r="I264" s="254" t="s">
        <v>169</v>
      </c>
      <c r="J264" s="266"/>
      <c r="K264" s="259"/>
      <c r="L264" s="256" t="s">
        <v>170</v>
      </c>
    </row>
    <row r="265" spans="2:12" x14ac:dyDescent="0.25">
      <c r="B265" s="253"/>
      <c r="C265" s="254" t="s">
        <v>172</v>
      </c>
      <c r="D265" s="266"/>
      <c r="E265" s="257">
        <f>15*12*30</f>
        <v>5400</v>
      </c>
      <c r="F265" s="256" t="s">
        <v>173</v>
      </c>
      <c r="H265" s="253"/>
      <c r="I265" s="254" t="s">
        <v>172</v>
      </c>
      <c r="J265" s="266"/>
      <c r="K265" s="257">
        <f>15*12*30</f>
        <v>5400</v>
      </c>
      <c r="L265" s="256" t="s">
        <v>173</v>
      </c>
    </row>
    <row r="266" spans="2:12" x14ac:dyDescent="0.25">
      <c r="B266" s="260"/>
      <c r="C266" s="261" t="s">
        <v>175</v>
      </c>
      <c r="D266" s="285"/>
      <c r="E266" s="262">
        <f>'Data Lingkungan_IC'!BY65</f>
        <v>0</v>
      </c>
      <c r="F266" s="263"/>
      <c r="H266" s="260"/>
      <c r="I266" s="261" t="s">
        <v>175</v>
      </c>
      <c r="J266" s="285"/>
      <c r="K266" s="262">
        <f>'Data Lingkungan_IC'!DI70</f>
        <v>0</v>
      </c>
      <c r="L266" s="263"/>
    </row>
    <row r="267" spans="2:12" x14ac:dyDescent="0.25">
      <c r="B267" s="253"/>
      <c r="C267" s="254" t="s">
        <v>177</v>
      </c>
      <c r="D267" s="266"/>
      <c r="E267" s="257">
        <v>120</v>
      </c>
      <c r="F267" s="256" t="s">
        <v>173</v>
      </c>
      <c r="H267" s="253"/>
      <c r="I267" s="254" t="s">
        <v>177</v>
      </c>
      <c r="J267" s="266"/>
      <c r="K267" s="257">
        <v>120</v>
      </c>
      <c r="L267" s="256" t="s">
        <v>173</v>
      </c>
    </row>
    <row r="268" spans="2:12" x14ac:dyDescent="0.25">
      <c r="B268" s="253"/>
      <c r="C268" s="254" t="s">
        <v>179</v>
      </c>
      <c r="D268" s="266"/>
      <c r="E268" s="264">
        <f>E265-E267-(E269+E271)/2*10</f>
        <v>5275</v>
      </c>
      <c r="F268" s="256" t="s">
        <v>173</v>
      </c>
      <c r="H268" s="253"/>
      <c r="I268" s="254" t="s">
        <v>179</v>
      </c>
      <c r="J268" s="266"/>
      <c r="K268" s="264">
        <f>K265-K267-(K269+K271)/2*10</f>
        <v>5275</v>
      </c>
      <c r="L268" s="256" t="s">
        <v>173</v>
      </c>
    </row>
    <row r="269" spans="2:12" x14ac:dyDescent="0.25">
      <c r="B269" s="253"/>
      <c r="C269" s="254" t="s">
        <v>181</v>
      </c>
      <c r="D269" s="266" t="s">
        <v>182</v>
      </c>
      <c r="E269" s="265">
        <f>((E267/E265)*45-E270)</f>
        <v>1</v>
      </c>
      <c r="F269" s="256" t="s">
        <v>183</v>
      </c>
      <c r="H269" s="253"/>
      <c r="I269" s="254" t="s">
        <v>181</v>
      </c>
      <c r="J269" s="266" t="s">
        <v>182</v>
      </c>
      <c r="K269" s="265">
        <f>((K267/K265)*45-K270)</f>
        <v>1</v>
      </c>
      <c r="L269" s="256" t="s">
        <v>183</v>
      </c>
    </row>
    <row r="270" spans="2:12" ht="30" x14ac:dyDescent="0.25">
      <c r="B270" s="253"/>
      <c r="C270" s="254"/>
      <c r="D270" s="266" t="s">
        <v>185</v>
      </c>
      <c r="E270" s="267">
        <f>'Data Lingkungan_IC'!AG283</f>
        <v>0</v>
      </c>
      <c r="F270" s="256" t="s">
        <v>186</v>
      </c>
      <c r="H270" s="253"/>
      <c r="I270" s="254"/>
      <c r="J270" s="266" t="s">
        <v>185</v>
      </c>
      <c r="K270" s="267">
        <f>'Data Lingkungan_IC'!AM286</f>
        <v>0</v>
      </c>
      <c r="L270" s="256" t="s">
        <v>186</v>
      </c>
    </row>
    <row r="271" spans="2:12" x14ac:dyDescent="0.25">
      <c r="B271" s="253"/>
      <c r="C271" s="254" t="s">
        <v>188</v>
      </c>
      <c r="D271" s="266" t="s">
        <v>182</v>
      </c>
      <c r="E271" s="267">
        <f>'Data Lingkungan_IC'!CB65</f>
        <v>0</v>
      </c>
      <c r="F271" s="256" t="s">
        <v>183</v>
      </c>
      <c r="H271" s="253"/>
      <c r="I271" s="254" t="s">
        <v>188</v>
      </c>
      <c r="J271" s="266" t="s">
        <v>182</v>
      </c>
      <c r="K271" s="267">
        <f>'Data Lingkungan_IC'!DL70</f>
        <v>0</v>
      </c>
      <c r="L271" s="256" t="s">
        <v>183</v>
      </c>
    </row>
    <row r="272" spans="2:12" ht="45" x14ac:dyDescent="0.25">
      <c r="B272" s="253"/>
      <c r="C272" s="254" t="s">
        <v>190</v>
      </c>
      <c r="D272" s="266"/>
      <c r="E272" s="268">
        <f>(E268/E265)</f>
        <v>0.97685185185185186</v>
      </c>
      <c r="F272" s="256" t="s">
        <v>347</v>
      </c>
      <c r="H272" s="253"/>
      <c r="I272" s="254" t="s">
        <v>190</v>
      </c>
      <c r="J272" s="266"/>
      <c r="K272" s="268">
        <f>(K268/K265)</f>
        <v>0.97685185185185186</v>
      </c>
      <c r="L272" s="256" t="s">
        <v>347</v>
      </c>
    </row>
    <row r="273" spans="2:12" x14ac:dyDescent="0.25">
      <c r="B273" s="253"/>
      <c r="C273" s="254" t="s">
        <v>287</v>
      </c>
      <c r="D273" s="266"/>
      <c r="E273" s="257"/>
      <c r="F273" s="256"/>
      <c r="H273" s="253"/>
      <c r="I273" s="254" t="s">
        <v>287</v>
      </c>
      <c r="J273" s="266"/>
      <c r="K273" s="257"/>
      <c r="L273" s="256"/>
    </row>
    <row r="274" spans="2:12" x14ac:dyDescent="0.25">
      <c r="B274" s="253"/>
      <c r="C274" s="254"/>
      <c r="D274" s="266" t="s">
        <v>288</v>
      </c>
      <c r="E274" s="257">
        <v>90</v>
      </c>
      <c r="F274" s="256" t="s">
        <v>289</v>
      </c>
      <c r="H274" s="253"/>
      <c r="I274" s="254"/>
      <c r="J274" s="266" t="s">
        <v>288</v>
      </c>
      <c r="K274" s="257">
        <v>90</v>
      </c>
      <c r="L274" s="256" t="s">
        <v>289</v>
      </c>
    </row>
    <row r="275" spans="2:12" x14ac:dyDescent="0.25">
      <c r="B275" s="253"/>
      <c r="C275" s="254"/>
      <c r="D275" s="266" t="s">
        <v>290</v>
      </c>
      <c r="E275" s="257">
        <v>0.05</v>
      </c>
      <c r="F275" s="256" t="s">
        <v>289</v>
      </c>
      <c r="H275" s="253"/>
      <c r="I275" s="254"/>
      <c r="J275" s="266" t="s">
        <v>290</v>
      </c>
      <c r="K275" s="257">
        <v>0.05</v>
      </c>
      <c r="L275" s="256" t="s">
        <v>289</v>
      </c>
    </row>
    <row r="276" spans="2:12" x14ac:dyDescent="0.25">
      <c r="B276" s="253"/>
      <c r="C276" s="254"/>
      <c r="D276" s="266" t="s">
        <v>291</v>
      </c>
      <c r="E276" s="257">
        <v>210</v>
      </c>
      <c r="F276" s="256" t="s">
        <v>289</v>
      </c>
      <c r="H276" s="253"/>
      <c r="I276" s="254"/>
      <c r="J276" s="266" t="s">
        <v>291</v>
      </c>
      <c r="K276" s="257">
        <v>210</v>
      </c>
      <c r="L276" s="256" t="s">
        <v>289</v>
      </c>
    </row>
    <row r="277" spans="2:12" x14ac:dyDescent="0.25">
      <c r="B277" s="253"/>
      <c r="C277" s="254" t="s">
        <v>282</v>
      </c>
      <c r="D277" s="266" t="s">
        <v>293</v>
      </c>
      <c r="E277" s="257" t="s">
        <v>294</v>
      </c>
      <c r="F277" s="256" t="s">
        <v>295</v>
      </c>
      <c r="H277" s="253"/>
      <c r="I277" s="254" t="s">
        <v>282</v>
      </c>
      <c r="J277" s="266" t="s">
        <v>293</v>
      </c>
      <c r="K277" s="257" t="s">
        <v>294</v>
      </c>
      <c r="L277" s="256" t="s">
        <v>295</v>
      </c>
    </row>
    <row r="278" spans="2:12" x14ac:dyDescent="0.25">
      <c r="B278" s="253"/>
      <c r="C278" s="254"/>
      <c r="D278" s="266" t="s">
        <v>194</v>
      </c>
      <c r="E278" s="257" t="s">
        <v>296</v>
      </c>
      <c r="F278" s="256"/>
      <c r="H278" s="253"/>
      <c r="I278" s="254"/>
      <c r="J278" s="266" t="s">
        <v>194</v>
      </c>
      <c r="K278" s="257" t="s">
        <v>296</v>
      </c>
      <c r="L278" s="256"/>
    </row>
    <row r="279" spans="2:12" x14ac:dyDescent="0.25">
      <c r="B279" s="253"/>
      <c r="C279" s="254"/>
      <c r="D279" s="266" t="s">
        <v>297</v>
      </c>
      <c r="E279" s="257">
        <v>0.5</v>
      </c>
      <c r="F279" s="256" t="s">
        <v>298</v>
      </c>
      <c r="H279" s="253"/>
      <c r="I279" s="254"/>
      <c r="J279" s="266" t="s">
        <v>297</v>
      </c>
      <c r="K279" s="257">
        <v>0.5</v>
      </c>
      <c r="L279" s="256" t="s">
        <v>298</v>
      </c>
    </row>
    <row r="280" spans="2:12" ht="30" x14ac:dyDescent="0.25">
      <c r="B280" s="253"/>
      <c r="C280" s="254"/>
      <c r="D280" s="266" t="s">
        <v>299</v>
      </c>
      <c r="E280" s="257" t="s">
        <v>300</v>
      </c>
      <c r="F280" s="256" t="s">
        <v>301</v>
      </c>
      <c r="H280" s="253"/>
      <c r="I280" s="254"/>
      <c r="J280" s="266" t="s">
        <v>299</v>
      </c>
      <c r="K280" s="257" t="s">
        <v>300</v>
      </c>
      <c r="L280" s="256" t="s">
        <v>301</v>
      </c>
    </row>
    <row r="281" spans="2:12" x14ac:dyDescent="0.25">
      <c r="B281" s="253"/>
      <c r="C281" s="257"/>
      <c r="D281" s="266" t="s">
        <v>302</v>
      </c>
      <c r="E281" s="257" t="s">
        <v>303</v>
      </c>
      <c r="F281" s="256"/>
      <c r="H281" s="253"/>
      <c r="I281" s="257"/>
      <c r="J281" s="266" t="s">
        <v>302</v>
      </c>
      <c r="K281" s="257" t="s">
        <v>303</v>
      </c>
      <c r="L281" s="256"/>
    </row>
    <row r="282" spans="2:12" ht="15.75" thickBot="1" x14ac:dyDescent="0.3">
      <c r="B282" s="271"/>
      <c r="C282" s="272"/>
      <c r="D282" s="273" t="s">
        <v>304</v>
      </c>
      <c r="E282" s="272" t="s">
        <v>305</v>
      </c>
      <c r="F282" s="286" t="s">
        <v>127</v>
      </c>
      <c r="H282" s="271"/>
      <c r="I282" s="272"/>
      <c r="J282" s="273" t="s">
        <v>304</v>
      </c>
      <c r="K282" s="272" t="s">
        <v>305</v>
      </c>
      <c r="L282" s="286" t="s">
        <v>127</v>
      </c>
    </row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</sheetData>
  <mergeCells count="174">
    <mergeCell ref="B256:C256"/>
    <mergeCell ref="D256:F256"/>
    <mergeCell ref="H256:I256"/>
    <mergeCell ref="J256:L256"/>
    <mergeCell ref="B258:F258"/>
    <mergeCell ref="H258:L258"/>
    <mergeCell ref="B253:F253"/>
    <mergeCell ref="H253:L253"/>
    <mergeCell ref="B254:F254"/>
    <mergeCell ref="H254:L254"/>
    <mergeCell ref="B255:F255"/>
    <mergeCell ref="H255:L255"/>
    <mergeCell ref="B225:C225"/>
    <mergeCell ref="D225:F225"/>
    <mergeCell ref="H225:I225"/>
    <mergeCell ref="J225:L225"/>
    <mergeCell ref="B227:F227"/>
    <mergeCell ref="H227:L227"/>
    <mergeCell ref="B222:F222"/>
    <mergeCell ref="H222:L222"/>
    <mergeCell ref="B223:F223"/>
    <mergeCell ref="H223:L223"/>
    <mergeCell ref="B224:F224"/>
    <mergeCell ref="H224:L224"/>
    <mergeCell ref="T194:U194"/>
    <mergeCell ref="V194:X194"/>
    <mergeCell ref="B196:F196"/>
    <mergeCell ref="H196:L196"/>
    <mergeCell ref="N196:R196"/>
    <mergeCell ref="T196:X196"/>
    <mergeCell ref="B193:F193"/>
    <mergeCell ref="H193:L193"/>
    <mergeCell ref="N193:R193"/>
    <mergeCell ref="T193:X193"/>
    <mergeCell ref="B194:C194"/>
    <mergeCell ref="D194:F194"/>
    <mergeCell ref="H194:I194"/>
    <mergeCell ref="J194:L194"/>
    <mergeCell ref="N194:O194"/>
    <mergeCell ref="P194:R194"/>
    <mergeCell ref="B191:F191"/>
    <mergeCell ref="H191:L191"/>
    <mergeCell ref="N191:R191"/>
    <mergeCell ref="T191:X191"/>
    <mergeCell ref="B192:F192"/>
    <mergeCell ref="H192:L192"/>
    <mergeCell ref="N192:R192"/>
    <mergeCell ref="T192:X192"/>
    <mergeCell ref="T163:U163"/>
    <mergeCell ref="V163:X163"/>
    <mergeCell ref="B165:F165"/>
    <mergeCell ref="H165:L165"/>
    <mergeCell ref="N165:R165"/>
    <mergeCell ref="T165:X165"/>
    <mergeCell ref="B162:F162"/>
    <mergeCell ref="H162:L162"/>
    <mergeCell ref="N162:R162"/>
    <mergeCell ref="T162:X162"/>
    <mergeCell ref="B163:C163"/>
    <mergeCell ref="D163:F163"/>
    <mergeCell ref="H163:I163"/>
    <mergeCell ref="J163:L163"/>
    <mergeCell ref="N163:O163"/>
    <mergeCell ref="P163:R163"/>
    <mergeCell ref="B160:F160"/>
    <mergeCell ref="H160:L160"/>
    <mergeCell ref="N160:R160"/>
    <mergeCell ref="T160:X160"/>
    <mergeCell ref="B161:F161"/>
    <mergeCell ref="H161:L161"/>
    <mergeCell ref="N161:R161"/>
    <mergeCell ref="T161:X161"/>
    <mergeCell ref="T132:U132"/>
    <mergeCell ref="V132:X132"/>
    <mergeCell ref="B134:F134"/>
    <mergeCell ref="H134:L134"/>
    <mergeCell ref="N134:R134"/>
    <mergeCell ref="T134:X134"/>
    <mergeCell ref="B131:F131"/>
    <mergeCell ref="H131:L131"/>
    <mergeCell ref="N131:R131"/>
    <mergeCell ref="T131:X131"/>
    <mergeCell ref="B132:C132"/>
    <mergeCell ref="D132:F132"/>
    <mergeCell ref="H132:I132"/>
    <mergeCell ref="J132:L132"/>
    <mergeCell ref="N132:O132"/>
    <mergeCell ref="P132:R132"/>
    <mergeCell ref="B129:F129"/>
    <mergeCell ref="H129:L129"/>
    <mergeCell ref="N129:R129"/>
    <mergeCell ref="T129:X129"/>
    <mergeCell ref="B130:F130"/>
    <mergeCell ref="H130:L130"/>
    <mergeCell ref="N130:R130"/>
    <mergeCell ref="T130:X130"/>
    <mergeCell ref="T101:U101"/>
    <mergeCell ref="V101:X101"/>
    <mergeCell ref="B103:F103"/>
    <mergeCell ref="H103:L103"/>
    <mergeCell ref="N103:R103"/>
    <mergeCell ref="T103:X103"/>
    <mergeCell ref="B100:F100"/>
    <mergeCell ref="H100:L100"/>
    <mergeCell ref="N100:R100"/>
    <mergeCell ref="T100:X100"/>
    <mergeCell ref="B101:C101"/>
    <mergeCell ref="D101:F101"/>
    <mergeCell ref="H101:I101"/>
    <mergeCell ref="J101:L101"/>
    <mergeCell ref="N101:O101"/>
    <mergeCell ref="P101:R101"/>
    <mergeCell ref="B98:F98"/>
    <mergeCell ref="H98:L98"/>
    <mergeCell ref="N98:R98"/>
    <mergeCell ref="T98:X98"/>
    <mergeCell ref="B99:F99"/>
    <mergeCell ref="H99:L99"/>
    <mergeCell ref="N99:R99"/>
    <mergeCell ref="T99:X99"/>
    <mergeCell ref="T70:U70"/>
    <mergeCell ref="V70:X70"/>
    <mergeCell ref="B72:F72"/>
    <mergeCell ref="H72:L72"/>
    <mergeCell ref="N72:R72"/>
    <mergeCell ref="T72:X72"/>
    <mergeCell ref="B69:F69"/>
    <mergeCell ref="H69:L69"/>
    <mergeCell ref="N69:R69"/>
    <mergeCell ref="T69:X69"/>
    <mergeCell ref="B70:C70"/>
    <mergeCell ref="D70:F70"/>
    <mergeCell ref="H70:I70"/>
    <mergeCell ref="J70:L70"/>
    <mergeCell ref="N70:O70"/>
    <mergeCell ref="P70:R70"/>
    <mergeCell ref="B67:F67"/>
    <mergeCell ref="H67:L67"/>
    <mergeCell ref="N67:R67"/>
    <mergeCell ref="T67:X67"/>
    <mergeCell ref="B68:F68"/>
    <mergeCell ref="H68:L68"/>
    <mergeCell ref="N68:R68"/>
    <mergeCell ref="T68:X68"/>
    <mergeCell ref="T39:U39"/>
    <mergeCell ref="V39:X39"/>
    <mergeCell ref="B41:F41"/>
    <mergeCell ref="H41:L41"/>
    <mergeCell ref="N41:R41"/>
    <mergeCell ref="T41:X41"/>
    <mergeCell ref="B38:F38"/>
    <mergeCell ref="H38:L38"/>
    <mergeCell ref="N38:R38"/>
    <mergeCell ref="T38:X38"/>
    <mergeCell ref="B39:C39"/>
    <mergeCell ref="D39:F39"/>
    <mergeCell ref="H39:I39"/>
    <mergeCell ref="J39:L39"/>
    <mergeCell ref="N39:O39"/>
    <mergeCell ref="P39:R39"/>
    <mergeCell ref="B36:F36"/>
    <mergeCell ref="H36:L36"/>
    <mergeCell ref="N36:R36"/>
    <mergeCell ref="T36:X36"/>
    <mergeCell ref="B37:F37"/>
    <mergeCell ref="H37:L37"/>
    <mergeCell ref="N37:R37"/>
    <mergeCell ref="T37:X37"/>
    <mergeCell ref="B5:F5"/>
    <mergeCell ref="B6:F6"/>
    <mergeCell ref="B7:F7"/>
    <mergeCell ref="B8:C8"/>
    <mergeCell ref="D8:F8"/>
    <mergeCell ref="B10:F10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STATIS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66FF"/>
    <pageSetUpPr fitToPage="1"/>
  </sheetPr>
  <dimension ref="B3:P50"/>
  <sheetViews>
    <sheetView showGridLines="0" zoomScale="85" zoomScaleNormal="85" workbookViewId="0">
      <selection activeCell="G16" sqref="G16"/>
    </sheetView>
  </sheetViews>
  <sheetFormatPr defaultColWidth="9.140625" defaultRowHeight="15" x14ac:dyDescent="0.25"/>
  <cols>
    <col min="1" max="1" width="2.85546875" customWidth="1"/>
    <col min="2" max="2" width="3.42578125" bestFit="1" customWidth="1"/>
    <col min="3" max="7" width="20.7109375" customWidth="1"/>
    <col min="9" max="9" width="3.42578125" bestFit="1" customWidth="1"/>
    <col min="10" max="14" width="20.7109375" customWidth="1"/>
  </cols>
  <sheetData>
    <row r="3" spans="2:7" s="2" customFormat="1" ht="21" x14ac:dyDescent="0.35">
      <c r="B3" s="2" t="s">
        <v>0</v>
      </c>
    </row>
    <row r="5" spans="2:7" ht="15.75" thickBot="1" x14ac:dyDescent="0.3"/>
    <row r="6" spans="2:7" x14ac:dyDescent="0.25">
      <c r="B6" s="428" t="s">
        <v>211</v>
      </c>
      <c r="C6" s="429"/>
      <c r="D6" s="429"/>
      <c r="E6" s="429"/>
      <c r="F6" s="429"/>
      <c r="G6" s="430"/>
    </row>
    <row r="7" spans="2:7" ht="15.75" thickBot="1" x14ac:dyDescent="0.3">
      <c r="B7" s="431" t="s">
        <v>391</v>
      </c>
      <c r="C7" s="432"/>
      <c r="D7" s="432"/>
      <c r="E7" s="432"/>
      <c r="F7" s="432"/>
      <c r="G7" s="433"/>
    </row>
    <row r="8" spans="2:7" ht="15.75" thickBot="1" x14ac:dyDescent="0.3">
      <c r="B8" s="293" t="s">
        <v>392</v>
      </c>
      <c r="C8" s="294"/>
      <c r="D8" s="295"/>
      <c r="E8" s="295"/>
      <c r="F8" s="295"/>
      <c r="G8" s="296"/>
    </row>
    <row r="9" spans="2:7" ht="15.75" thickBot="1" x14ac:dyDescent="0.3">
      <c r="B9" s="447" t="s">
        <v>393</v>
      </c>
      <c r="C9" s="448"/>
      <c r="D9" s="448"/>
      <c r="E9" s="448"/>
      <c r="F9" s="448"/>
      <c r="G9" s="449"/>
    </row>
    <row r="10" spans="2:7" ht="15.75" thickBot="1" x14ac:dyDescent="0.3">
      <c r="B10" s="297" t="s">
        <v>108</v>
      </c>
      <c r="C10" s="298" t="s">
        <v>156</v>
      </c>
      <c r="D10" s="298" t="s">
        <v>157</v>
      </c>
      <c r="E10" s="298" t="s">
        <v>394</v>
      </c>
      <c r="F10" s="298" t="s">
        <v>158</v>
      </c>
      <c r="G10" s="299" t="s">
        <v>159</v>
      </c>
    </row>
    <row r="11" spans="2:7" x14ac:dyDescent="0.25">
      <c r="B11" s="300"/>
      <c r="C11" s="444" t="s">
        <v>395</v>
      </c>
      <c r="D11" s="445"/>
      <c r="E11" s="445"/>
      <c r="F11" s="445"/>
      <c r="G11" s="446"/>
    </row>
    <row r="12" spans="2:7" x14ac:dyDescent="0.25">
      <c r="B12" s="253"/>
      <c r="C12" s="301"/>
      <c r="D12" s="301" t="s">
        <v>396</v>
      </c>
      <c r="E12" s="301"/>
      <c r="F12" s="301"/>
      <c r="G12" s="288"/>
    </row>
    <row r="13" spans="2:7" x14ac:dyDescent="0.25">
      <c r="B13" s="253">
        <v>1</v>
      </c>
      <c r="C13" s="301"/>
      <c r="D13" s="301"/>
      <c r="E13" s="301" t="s">
        <v>397</v>
      </c>
      <c r="F13" s="301">
        <v>900</v>
      </c>
      <c r="G13" s="288" t="s">
        <v>398</v>
      </c>
    </row>
    <row r="14" spans="2:7" x14ac:dyDescent="0.25">
      <c r="B14" s="253">
        <v>2</v>
      </c>
      <c r="C14" s="301"/>
      <c r="D14" s="301"/>
      <c r="E14" s="301" t="s">
        <v>399</v>
      </c>
      <c r="F14" s="301">
        <v>1500</v>
      </c>
      <c r="G14" s="288" t="s">
        <v>400</v>
      </c>
    </row>
    <row r="15" spans="2:7" x14ac:dyDescent="0.25">
      <c r="B15" s="253">
        <v>3</v>
      </c>
      <c r="C15" s="301"/>
      <c r="D15" s="301"/>
      <c r="E15" s="301"/>
      <c r="F15" s="301"/>
      <c r="G15" s="288"/>
    </row>
    <row r="16" spans="2:7" x14ac:dyDescent="0.25">
      <c r="B16" s="253"/>
      <c r="C16" s="301"/>
      <c r="D16" s="301" t="s">
        <v>175</v>
      </c>
      <c r="E16" s="301"/>
      <c r="F16" s="301"/>
      <c r="G16" s="288"/>
    </row>
    <row r="17" spans="2:16" x14ac:dyDescent="0.25">
      <c r="B17" s="253">
        <v>4</v>
      </c>
      <c r="C17" s="301"/>
      <c r="D17" s="301"/>
      <c r="E17" s="301" t="s">
        <v>401</v>
      </c>
      <c r="F17" s="301"/>
      <c r="G17" s="288"/>
    </row>
    <row r="18" spans="2:16" x14ac:dyDescent="0.25">
      <c r="B18" s="253">
        <v>5</v>
      </c>
      <c r="C18" s="301"/>
      <c r="D18" s="301"/>
      <c r="E18" s="301" t="s">
        <v>402</v>
      </c>
      <c r="F18" s="301"/>
      <c r="G18" s="288"/>
    </row>
    <row r="19" spans="2:16" x14ac:dyDescent="0.25">
      <c r="B19" s="253">
        <v>6</v>
      </c>
      <c r="C19" s="301"/>
      <c r="D19" s="301"/>
      <c r="E19" s="301" t="s">
        <v>403</v>
      </c>
      <c r="F19" s="301"/>
      <c r="G19" s="288"/>
    </row>
    <row r="20" spans="2:16" ht="15.75" thickBot="1" x14ac:dyDescent="0.3">
      <c r="B20" s="271">
        <v>7</v>
      </c>
      <c r="C20" s="302"/>
      <c r="D20" s="302"/>
      <c r="E20" s="302"/>
      <c r="F20" s="302"/>
      <c r="G20" s="303"/>
    </row>
    <row r="21" spans="2:16" ht="3.95" customHeight="1" thickBot="1" x14ac:dyDescent="0.3"/>
    <row r="22" spans="2:16" x14ac:dyDescent="0.25">
      <c r="B22" s="300"/>
      <c r="C22" s="444" t="s">
        <v>404</v>
      </c>
      <c r="D22" s="445"/>
      <c r="E22" s="445"/>
      <c r="F22" s="445"/>
      <c r="G22" s="446"/>
    </row>
    <row r="23" spans="2:16" x14ac:dyDescent="0.25">
      <c r="B23" s="253"/>
      <c r="C23" s="301"/>
      <c r="D23" s="301" t="s">
        <v>396</v>
      </c>
      <c r="E23" s="301"/>
      <c r="F23" s="301"/>
      <c r="G23" s="288"/>
    </row>
    <row r="24" spans="2:16" x14ac:dyDescent="0.25">
      <c r="B24" s="253">
        <v>1</v>
      </c>
      <c r="C24" s="301"/>
      <c r="D24" s="301"/>
      <c r="E24" s="301" t="s">
        <v>405</v>
      </c>
      <c r="F24" s="301"/>
      <c r="G24" s="288" t="s">
        <v>406</v>
      </c>
    </row>
    <row r="25" spans="2:16" x14ac:dyDescent="0.25">
      <c r="B25" s="253">
        <v>2</v>
      </c>
      <c r="C25" s="301"/>
      <c r="D25" s="301"/>
      <c r="E25" s="301" t="s">
        <v>399</v>
      </c>
      <c r="F25" s="301"/>
      <c r="G25" s="288"/>
    </row>
    <row r="26" spans="2:16" x14ac:dyDescent="0.25">
      <c r="B26" s="253">
        <v>3</v>
      </c>
      <c r="C26" s="301"/>
      <c r="D26" s="301"/>
      <c r="E26" s="301" t="s">
        <v>407</v>
      </c>
      <c r="F26" s="301"/>
      <c r="G26" s="288"/>
    </row>
    <row r="27" spans="2:16" x14ac:dyDescent="0.25">
      <c r="B27" s="253"/>
      <c r="C27" s="301"/>
      <c r="D27" s="301" t="s">
        <v>175</v>
      </c>
      <c r="E27" s="301" t="s">
        <v>408</v>
      </c>
      <c r="F27" s="301" t="s">
        <v>409</v>
      </c>
      <c r="G27" s="288"/>
      <c r="H27" t="s">
        <v>410</v>
      </c>
    </row>
    <row r="28" spans="2:16" ht="15" customHeight="1" x14ac:dyDescent="0.25">
      <c r="B28" s="253">
        <v>4</v>
      </c>
      <c r="C28" s="301"/>
      <c r="D28" s="301"/>
      <c r="E28" s="301" t="s">
        <v>411</v>
      </c>
      <c r="F28" s="301"/>
      <c r="G28" s="288" t="s">
        <v>406</v>
      </c>
      <c r="I28" s="304"/>
      <c r="J28" s="304"/>
    </row>
    <row r="29" spans="2:16" x14ac:dyDescent="0.25">
      <c r="B29" s="253">
        <v>5</v>
      </c>
      <c r="C29" s="301"/>
      <c r="D29" s="301"/>
      <c r="E29" s="301" t="s">
        <v>412</v>
      </c>
      <c r="F29" s="301"/>
      <c r="G29" s="288"/>
      <c r="I29" s="304"/>
      <c r="J29" s="304"/>
    </row>
    <row r="30" spans="2:16" x14ac:dyDescent="0.25">
      <c r="B30" s="253">
        <v>6</v>
      </c>
      <c r="C30" s="301"/>
      <c r="D30" s="301"/>
      <c r="E30" s="301" t="s">
        <v>413</v>
      </c>
      <c r="F30" s="301"/>
      <c r="G30" s="288"/>
      <c r="I30" s="304"/>
      <c r="J30" s="304"/>
    </row>
    <row r="31" spans="2:16" ht="15.75" thickBot="1" x14ac:dyDescent="0.3">
      <c r="B31" s="271">
        <v>7</v>
      </c>
      <c r="C31" s="302"/>
      <c r="D31" s="302"/>
      <c r="E31" s="302" t="s">
        <v>414</v>
      </c>
      <c r="F31" s="302"/>
      <c r="G31" s="303"/>
      <c r="L31" s="304"/>
      <c r="M31" s="304"/>
      <c r="N31" s="304"/>
      <c r="O31" s="304"/>
      <c r="P31" s="304"/>
    </row>
    <row r="32" spans="2:16" ht="3.95" customHeight="1" thickBot="1" x14ac:dyDescent="0.3"/>
    <row r="33" spans="2:7" x14ac:dyDescent="0.25">
      <c r="B33" s="300"/>
      <c r="C33" s="444" t="s">
        <v>415</v>
      </c>
      <c r="D33" s="445"/>
      <c r="E33" s="445"/>
      <c r="F33" s="445"/>
      <c r="G33" s="446"/>
    </row>
    <row r="34" spans="2:7" x14ac:dyDescent="0.25">
      <c r="B34" s="253"/>
      <c r="C34" s="301"/>
      <c r="D34" s="301" t="s">
        <v>396</v>
      </c>
      <c r="E34" s="301"/>
      <c r="F34" s="301"/>
      <c r="G34" s="288"/>
    </row>
    <row r="35" spans="2:7" x14ac:dyDescent="0.25">
      <c r="B35" s="253">
        <v>1</v>
      </c>
      <c r="C35" s="301"/>
      <c r="D35" s="301"/>
      <c r="E35" s="301" t="s">
        <v>416</v>
      </c>
      <c r="F35" s="301">
        <v>3</v>
      </c>
      <c r="G35" s="288" t="s">
        <v>417</v>
      </c>
    </row>
    <row r="36" spans="2:7" x14ac:dyDescent="0.25">
      <c r="B36" s="253">
        <v>2</v>
      </c>
      <c r="C36" s="301"/>
      <c r="D36" s="301"/>
      <c r="E36" s="301" t="s">
        <v>399</v>
      </c>
      <c r="F36" s="305"/>
      <c r="G36" s="288" t="s">
        <v>418</v>
      </c>
    </row>
    <row r="37" spans="2:7" x14ac:dyDescent="0.25">
      <c r="B37" s="253"/>
      <c r="C37" s="301"/>
      <c r="D37" s="301" t="s">
        <v>175</v>
      </c>
      <c r="E37" s="301" t="s">
        <v>408</v>
      </c>
      <c r="F37" s="301">
        <v>2.25</v>
      </c>
      <c r="G37" s="288"/>
    </row>
    <row r="38" spans="2:7" x14ac:dyDescent="0.25">
      <c r="B38" s="253">
        <v>3</v>
      </c>
      <c r="C38" s="301"/>
      <c r="D38" s="301"/>
      <c r="E38" s="301" t="s">
        <v>419</v>
      </c>
      <c r="F38" s="301">
        <f>F37-F39</f>
        <v>2.25</v>
      </c>
      <c r="G38" s="288"/>
    </row>
    <row r="39" spans="2:7" x14ac:dyDescent="0.25">
      <c r="B39" s="253">
        <v>4</v>
      </c>
      <c r="C39" s="301"/>
      <c r="D39" s="301"/>
      <c r="E39" s="301" t="s">
        <v>420</v>
      </c>
      <c r="F39" s="301">
        <f>'Data Lingkungan_IC'!DK82</f>
        <v>0</v>
      </c>
      <c r="G39" s="288"/>
    </row>
    <row r="40" spans="2:7" x14ac:dyDescent="0.25">
      <c r="B40" s="253">
        <v>5</v>
      </c>
      <c r="C40" s="301"/>
      <c r="D40" s="301"/>
      <c r="E40" s="301" t="s">
        <v>421</v>
      </c>
      <c r="F40" s="301"/>
      <c r="G40" s="288"/>
    </row>
    <row r="41" spans="2:7" ht="15.75" thickBot="1" x14ac:dyDescent="0.3">
      <c r="B41" s="271">
        <v>6</v>
      </c>
      <c r="C41" s="302"/>
      <c r="D41" s="302"/>
      <c r="E41" s="302" t="s">
        <v>422</v>
      </c>
      <c r="F41" s="302"/>
      <c r="G41" s="303"/>
    </row>
    <row r="42" spans="2:7" x14ac:dyDescent="0.25">
      <c r="B42" s="300"/>
      <c r="C42" s="444" t="s">
        <v>415</v>
      </c>
      <c r="D42" s="445"/>
      <c r="E42" s="445"/>
      <c r="F42" s="445"/>
      <c r="G42" s="446"/>
    </row>
    <row r="43" spans="2:7" x14ac:dyDescent="0.25">
      <c r="B43" s="253"/>
      <c r="C43" s="301"/>
      <c r="D43" s="301" t="s">
        <v>396</v>
      </c>
      <c r="E43" s="301"/>
      <c r="F43" s="301"/>
      <c r="G43" s="288"/>
    </row>
    <row r="44" spans="2:7" x14ac:dyDescent="0.25">
      <c r="B44" s="253">
        <v>6.5714285714285703</v>
      </c>
      <c r="C44" s="301"/>
      <c r="D44" s="301"/>
      <c r="E44" s="301" t="s">
        <v>416</v>
      </c>
      <c r="F44" s="301">
        <v>7.5</v>
      </c>
      <c r="G44" s="288" t="s">
        <v>417</v>
      </c>
    </row>
    <row r="45" spans="2:7" x14ac:dyDescent="0.25">
      <c r="B45" s="253">
        <v>7.37267080745342</v>
      </c>
      <c r="C45" s="301"/>
      <c r="D45" s="301"/>
      <c r="E45" s="301" t="s">
        <v>399</v>
      </c>
      <c r="F45" s="305"/>
      <c r="G45" s="288" t="s">
        <v>418</v>
      </c>
    </row>
    <row r="46" spans="2:7" x14ac:dyDescent="0.25">
      <c r="B46" s="253">
        <v>8.1739130434782599</v>
      </c>
      <c r="C46" s="301"/>
      <c r="D46" s="301" t="s">
        <v>175</v>
      </c>
      <c r="E46" s="301"/>
      <c r="F46" s="301"/>
      <c r="G46" s="288"/>
    </row>
    <row r="47" spans="2:7" x14ac:dyDescent="0.25">
      <c r="B47" s="253">
        <v>8.9751552795031095</v>
      </c>
      <c r="C47" s="301"/>
      <c r="D47" s="301"/>
      <c r="E47" s="301" t="s">
        <v>419</v>
      </c>
      <c r="F47" s="301"/>
      <c r="G47" s="288"/>
    </row>
    <row r="48" spans="2:7" x14ac:dyDescent="0.25">
      <c r="B48" s="253">
        <v>9.7763975155279503</v>
      </c>
      <c r="C48" s="301"/>
      <c r="D48" s="301"/>
      <c r="E48" s="301" t="s">
        <v>420</v>
      </c>
      <c r="F48" s="301"/>
      <c r="G48" s="288"/>
    </row>
    <row r="49" spans="2:7" x14ac:dyDescent="0.25">
      <c r="B49" s="253">
        <v>10.5776397515528</v>
      </c>
      <c r="C49" s="301"/>
      <c r="D49" s="301"/>
      <c r="E49" s="301" t="s">
        <v>421</v>
      </c>
      <c r="F49" s="301"/>
      <c r="G49" s="288"/>
    </row>
    <row r="50" spans="2:7" ht="15.75" thickBot="1" x14ac:dyDescent="0.3">
      <c r="B50" s="271">
        <v>11.378881987577699</v>
      </c>
      <c r="C50" s="302"/>
      <c r="D50" s="302"/>
      <c r="E50" s="302" t="s">
        <v>422</v>
      </c>
      <c r="F50" s="302"/>
      <c r="G50" s="303"/>
    </row>
  </sheetData>
  <mergeCells count="7">
    <mergeCell ref="C42:G42"/>
    <mergeCell ref="B6:G6"/>
    <mergeCell ref="B7:G7"/>
    <mergeCell ref="B9:G9"/>
    <mergeCell ref="C11:G11"/>
    <mergeCell ref="C22:G22"/>
    <mergeCell ref="C33:G33"/>
  </mergeCells>
  <pageMargins left="0.7" right="0.7" top="0.75" bottom="0.75" header="0.3" footer="0.3"/>
  <pageSetup paperSize="9" scale="74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2:DV95"/>
  <sheetViews>
    <sheetView showGridLines="0" tabSelected="1" topLeftCell="DD51" zoomScale="85" zoomScaleNormal="85" workbookViewId="0">
      <pane ySplit="6" topLeftCell="A57" activePane="bottomLeft" state="frozen"/>
      <selection activeCell="G16" sqref="G16"/>
      <selection pane="bottomLeft" activeCell="DI69" sqref="DI69"/>
    </sheetView>
  </sheetViews>
  <sheetFormatPr defaultColWidth="8.85546875" defaultRowHeight="15" x14ac:dyDescent="0.25"/>
  <cols>
    <col min="2" max="2" width="3.42578125" bestFit="1" customWidth="1"/>
    <col min="3" max="3" width="23.7109375" bestFit="1" customWidth="1"/>
    <col min="4" max="4" width="23.5703125" bestFit="1" customWidth="1"/>
    <col min="5" max="5" width="6.85546875" bestFit="1" customWidth="1"/>
    <col min="6" max="7" width="12.42578125" bestFit="1" customWidth="1"/>
    <col min="8" max="8" width="11.5703125" bestFit="1" customWidth="1"/>
    <col min="9" max="10" width="10.85546875" bestFit="1" customWidth="1"/>
    <col min="11" max="11" width="3.42578125" bestFit="1" customWidth="1"/>
    <col min="12" max="12" width="23.7109375" bestFit="1" customWidth="1"/>
    <col min="13" max="13" width="27.28515625" bestFit="1" customWidth="1"/>
    <col min="14" max="14" width="6.85546875" bestFit="1" customWidth="1"/>
    <col min="15" max="16" width="12.42578125" bestFit="1" customWidth="1"/>
    <col min="17" max="17" width="11.5703125" bestFit="1" customWidth="1"/>
    <col min="18" max="18" width="10.85546875" bestFit="1" customWidth="1"/>
    <col min="20" max="20" width="3.42578125" bestFit="1" customWidth="1"/>
    <col min="21" max="21" width="23.7109375" bestFit="1" customWidth="1"/>
    <col min="22" max="22" width="28.140625" bestFit="1" customWidth="1"/>
    <col min="23" max="23" width="6.85546875" bestFit="1" customWidth="1"/>
    <col min="24" max="24" width="12.42578125" bestFit="1" customWidth="1"/>
    <col min="25" max="25" width="11.5703125" bestFit="1" customWidth="1"/>
    <col min="26" max="27" width="10.85546875" bestFit="1" customWidth="1"/>
    <col min="29" max="29" width="3.42578125" bestFit="1" customWidth="1"/>
    <col min="30" max="30" width="23.7109375" bestFit="1" customWidth="1"/>
    <col min="31" max="31" width="24" bestFit="1" customWidth="1"/>
    <col min="32" max="32" width="6.85546875" bestFit="1" customWidth="1"/>
    <col min="33" max="34" width="12.42578125" bestFit="1" customWidth="1"/>
    <col min="35" max="35" width="11.5703125" bestFit="1" customWidth="1"/>
    <col min="36" max="36" width="10.85546875" bestFit="1" customWidth="1"/>
    <col min="38" max="38" width="3.42578125" bestFit="1" customWidth="1"/>
    <col min="39" max="39" width="23.7109375" bestFit="1" customWidth="1"/>
    <col min="40" max="40" width="24.28515625" bestFit="1" customWidth="1"/>
    <col min="41" max="41" width="6.85546875" bestFit="1" customWidth="1"/>
    <col min="42" max="43" width="12.42578125" bestFit="1" customWidth="1"/>
    <col min="44" max="44" width="5.85546875" bestFit="1" customWidth="1"/>
    <col min="45" max="45" width="10.85546875" bestFit="1" customWidth="1"/>
    <col min="47" max="47" width="3.42578125" bestFit="1" customWidth="1"/>
    <col min="48" max="48" width="23.7109375" bestFit="1" customWidth="1"/>
    <col min="49" max="49" width="28.85546875" bestFit="1" customWidth="1"/>
    <col min="50" max="50" width="6.85546875" bestFit="1" customWidth="1"/>
    <col min="51" max="52" width="12.42578125" bestFit="1" customWidth="1"/>
    <col min="53" max="53" width="5.85546875" bestFit="1" customWidth="1"/>
    <col min="54" max="54" width="10.85546875" bestFit="1" customWidth="1"/>
    <col min="56" max="56" width="3.42578125" bestFit="1" customWidth="1"/>
    <col min="57" max="57" width="23.7109375" bestFit="1" customWidth="1"/>
    <col min="58" max="58" width="32.5703125" bestFit="1" customWidth="1"/>
    <col min="59" max="59" width="6.85546875" bestFit="1" customWidth="1"/>
    <col min="60" max="61" width="12.42578125" bestFit="1" customWidth="1"/>
    <col min="62" max="62" width="5.85546875" bestFit="1" customWidth="1"/>
    <col min="63" max="63" width="10.85546875" bestFit="1" customWidth="1"/>
    <col min="65" max="65" width="3.42578125" bestFit="1" customWidth="1"/>
    <col min="66" max="66" width="23.7109375" bestFit="1" customWidth="1"/>
    <col min="67" max="67" width="30.140625" bestFit="1" customWidth="1"/>
    <col min="68" max="68" width="6.85546875" bestFit="1" customWidth="1"/>
    <col min="69" max="70" width="12.42578125" bestFit="1" customWidth="1"/>
    <col min="71" max="71" width="8.42578125" bestFit="1" customWidth="1"/>
    <col min="72" max="72" width="10.85546875" bestFit="1" customWidth="1"/>
    <col min="74" max="74" width="3.42578125" bestFit="1" customWidth="1"/>
    <col min="75" max="75" width="23.7109375" bestFit="1" customWidth="1"/>
    <col min="76" max="76" width="27.28515625" bestFit="1" customWidth="1"/>
    <col min="77" max="77" width="6.85546875" bestFit="1" customWidth="1"/>
    <col min="78" max="79" width="12.42578125" bestFit="1" customWidth="1"/>
    <col min="80" max="80" width="5.85546875" bestFit="1" customWidth="1"/>
    <col min="81" max="81" width="10.85546875" bestFit="1" customWidth="1"/>
    <col min="83" max="83" width="3.42578125" bestFit="1" customWidth="1"/>
    <col min="84" max="84" width="23.7109375" bestFit="1" customWidth="1"/>
    <col min="85" max="85" width="24" bestFit="1" customWidth="1"/>
    <col min="86" max="86" width="6.85546875" bestFit="1" customWidth="1"/>
    <col min="87" max="88" width="12.42578125" bestFit="1" customWidth="1"/>
    <col min="89" max="89" width="5.85546875" bestFit="1" customWidth="1"/>
    <col min="90" max="90" width="10.85546875" bestFit="1" customWidth="1"/>
    <col min="92" max="92" width="3.42578125" bestFit="1" customWidth="1"/>
    <col min="93" max="93" width="23.7109375" bestFit="1" customWidth="1"/>
    <col min="94" max="94" width="24.28515625" bestFit="1" customWidth="1"/>
    <col min="95" max="95" width="6.85546875" bestFit="1" customWidth="1"/>
    <col min="96" max="97" width="12.42578125" bestFit="1" customWidth="1"/>
    <col min="98" max="98" width="5.85546875" bestFit="1" customWidth="1"/>
    <col min="99" max="99" width="10.85546875" bestFit="1" customWidth="1"/>
    <col min="101" max="101" width="3.42578125" bestFit="1" customWidth="1"/>
    <col min="102" max="102" width="23.7109375" bestFit="1" customWidth="1"/>
    <col min="103" max="103" width="33.5703125" bestFit="1" customWidth="1"/>
    <col min="104" max="104" width="6.85546875" bestFit="1" customWidth="1"/>
    <col min="105" max="106" width="12.42578125" bestFit="1" customWidth="1"/>
    <col min="107" max="107" width="5.85546875" bestFit="1" customWidth="1"/>
    <col min="108" max="108" width="10.85546875" bestFit="1" customWidth="1"/>
    <col min="110" max="110" width="3.42578125" bestFit="1" customWidth="1"/>
    <col min="111" max="111" width="23.7109375" bestFit="1" customWidth="1"/>
    <col min="112" max="112" width="32.5703125" bestFit="1" customWidth="1"/>
    <col min="113" max="113" width="6.85546875" bestFit="1" customWidth="1"/>
    <col min="114" max="115" width="12.42578125" bestFit="1" customWidth="1"/>
    <col min="116" max="116" width="5.85546875" bestFit="1" customWidth="1"/>
    <col min="117" max="117" width="10.85546875" bestFit="1" customWidth="1"/>
    <col min="119" max="119" width="3.42578125" bestFit="1" customWidth="1"/>
    <col min="120" max="120" width="23.7109375" bestFit="1" customWidth="1"/>
    <col min="121" max="121" width="28.85546875" bestFit="1" customWidth="1"/>
    <col min="122" max="122" width="6.85546875" bestFit="1" customWidth="1"/>
    <col min="123" max="124" width="12.42578125" bestFit="1" customWidth="1"/>
    <col min="125" max="125" width="5.85546875" bestFit="1" customWidth="1"/>
    <col min="126" max="126" width="10.85546875" bestFit="1" customWidth="1"/>
  </cols>
  <sheetData>
    <row r="2" spans="2:45" ht="21" x14ac:dyDescent="0.35">
      <c r="B2" s="306" t="s">
        <v>423</v>
      </c>
    </row>
    <row r="3" spans="2:45" x14ac:dyDescent="0.25">
      <c r="B3" s="307"/>
    </row>
    <row r="4" spans="2:45" s="2" customFormat="1" ht="21" x14ac:dyDescent="0.35">
      <c r="B4" s="2" t="s">
        <v>0</v>
      </c>
    </row>
    <row r="5" spans="2:45" ht="18.75" x14ac:dyDescent="0.3">
      <c r="B5" s="308" t="s">
        <v>424</v>
      </c>
    </row>
    <row r="6" spans="2:45" ht="18.75" x14ac:dyDescent="0.3">
      <c r="B6" s="308" t="s">
        <v>425</v>
      </c>
    </row>
    <row r="7" spans="2:45" ht="18.75" x14ac:dyDescent="0.3">
      <c r="B7" s="308" t="s">
        <v>426</v>
      </c>
    </row>
    <row r="8" spans="2:45" ht="18.75" customHeight="1" x14ac:dyDescent="0.3">
      <c r="B8" s="308"/>
    </row>
    <row r="9" spans="2:45" ht="180.75" thickBot="1" x14ac:dyDescent="0.35">
      <c r="B9" s="308"/>
      <c r="D9" s="309" t="s">
        <v>427</v>
      </c>
      <c r="E9" s="310" t="s">
        <v>428</v>
      </c>
      <c r="F9" s="310" t="s">
        <v>429</v>
      </c>
      <c r="G9" s="310" t="s">
        <v>430</v>
      </c>
      <c r="H9" s="310" t="s">
        <v>431</v>
      </c>
      <c r="I9" s="310" t="s">
        <v>432</v>
      </c>
      <c r="V9" s="309" t="s">
        <v>427</v>
      </c>
      <c r="W9" s="310" t="s">
        <v>428</v>
      </c>
      <c r="X9" s="310" t="s">
        <v>433</v>
      </c>
      <c r="Y9" s="310" t="s">
        <v>430</v>
      </c>
      <c r="Z9" s="310" t="s">
        <v>431</v>
      </c>
      <c r="AA9" s="310" t="s">
        <v>432</v>
      </c>
    </row>
    <row r="10" spans="2:45" x14ac:dyDescent="0.25">
      <c r="B10" s="410" t="s">
        <v>434</v>
      </c>
      <c r="C10" s="411"/>
      <c r="D10" s="411"/>
      <c r="E10" s="411"/>
      <c r="F10" s="411"/>
      <c r="G10" s="411"/>
      <c r="H10" s="411"/>
      <c r="I10" s="412"/>
      <c r="T10" s="410" t="s">
        <v>434</v>
      </c>
      <c r="U10" s="411"/>
      <c r="V10" s="411"/>
      <c r="W10" s="411"/>
      <c r="X10" s="411"/>
      <c r="Y10" s="411"/>
      <c r="Z10" s="411"/>
      <c r="AA10" s="412"/>
      <c r="AL10" s="410" t="s">
        <v>434</v>
      </c>
      <c r="AM10" s="411"/>
      <c r="AN10" s="411"/>
      <c r="AO10" s="411"/>
      <c r="AP10" s="411"/>
      <c r="AQ10" s="411"/>
      <c r="AR10" s="411"/>
      <c r="AS10" s="412"/>
    </row>
    <row r="11" spans="2:45" ht="15.75" thickBot="1" x14ac:dyDescent="0.3">
      <c r="B11" s="431" t="s">
        <v>391</v>
      </c>
      <c r="C11" s="432"/>
      <c r="D11" s="432"/>
      <c r="E11" s="432"/>
      <c r="F11" s="432"/>
      <c r="G11" s="432"/>
      <c r="H11" s="432"/>
      <c r="I11" s="433"/>
      <c r="T11" s="431" t="s">
        <v>391</v>
      </c>
      <c r="U11" s="432"/>
      <c r="V11" s="432"/>
      <c r="W11" s="432"/>
      <c r="X11" s="432"/>
      <c r="Y11" s="432"/>
      <c r="Z11" s="432"/>
      <c r="AA11" s="433"/>
      <c r="AL11" s="431" t="s">
        <v>391</v>
      </c>
      <c r="AM11" s="432"/>
      <c r="AN11" s="432"/>
      <c r="AO11" s="432"/>
      <c r="AP11" s="432"/>
      <c r="AQ11" s="432"/>
      <c r="AR11" s="432"/>
      <c r="AS11" s="433"/>
    </row>
    <row r="12" spans="2:45" ht="15.75" thickBot="1" x14ac:dyDescent="0.3">
      <c r="B12" s="456" t="s">
        <v>435</v>
      </c>
      <c r="C12" s="457"/>
      <c r="D12" s="457"/>
      <c r="E12" s="457"/>
      <c r="F12" s="457"/>
      <c r="G12" s="457"/>
      <c r="H12" s="457"/>
      <c r="I12" s="458"/>
      <c r="T12" s="456" t="s">
        <v>648</v>
      </c>
      <c r="U12" s="457"/>
      <c r="V12" s="457"/>
      <c r="W12" s="457"/>
      <c r="X12" s="457"/>
      <c r="Y12" s="457"/>
      <c r="Z12" s="457"/>
      <c r="AA12" s="458"/>
      <c r="AL12" s="293" t="s">
        <v>436</v>
      </c>
      <c r="AM12" s="295"/>
      <c r="AN12" s="295"/>
      <c r="AO12" s="295"/>
      <c r="AP12" s="295"/>
      <c r="AQ12" s="295"/>
      <c r="AR12" s="295"/>
      <c r="AS12" s="296"/>
    </row>
    <row r="13" spans="2:45" ht="15.75" thickBot="1" x14ac:dyDescent="0.3">
      <c r="B13" s="459" t="s">
        <v>437</v>
      </c>
      <c r="C13" s="460"/>
      <c r="D13" s="460"/>
      <c r="E13" s="460"/>
      <c r="F13" s="460"/>
      <c r="G13" s="460"/>
      <c r="H13" s="460"/>
      <c r="I13" s="461"/>
      <c r="T13" s="459" t="s">
        <v>438</v>
      </c>
      <c r="U13" s="460"/>
      <c r="V13" s="460"/>
      <c r="W13" s="460"/>
      <c r="X13" s="460"/>
      <c r="Y13" s="460"/>
      <c r="Z13" s="460"/>
      <c r="AA13" s="461"/>
      <c r="AL13" s="450" t="s">
        <v>437</v>
      </c>
      <c r="AM13" s="451"/>
      <c r="AN13" s="451"/>
      <c r="AO13" s="451"/>
      <c r="AP13" s="451"/>
      <c r="AQ13" s="451"/>
      <c r="AR13" s="451"/>
      <c r="AS13" s="452"/>
    </row>
    <row r="14" spans="2:45" ht="15.75" thickBot="1" x14ac:dyDescent="0.3">
      <c r="B14" s="297" t="s">
        <v>108</v>
      </c>
      <c r="C14" s="298" t="s">
        <v>439</v>
      </c>
      <c r="D14" s="298" t="s">
        <v>440</v>
      </c>
      <c r="E14" s="311" t="s">
        <v>175</v>
      </c>
      <c r="F14" s="311" t="s">
        <v>441</v>
      </c>
      <c r="G14" s="311" t="s">
        <v>442</v>
      </c>
      <c r="H14" s="311" t="s">
        <v>443</v>
      </c>
      <c r="I14" s="299" t="s">
        <v>444</v>
      </c>
      <c r="T14" s="297" t="s">
        <v>108</v>
      </c>
      <c r="U14" s="298" t="s">
        <v>439</v>
      </c>
      <c r="V14" s="298" t="s">
        <v>440</v>
      </c>
      <c r="W14" s="311" t="s">
        <v>175</v>
      </c>
      <c r="X14" s="311" t="s">
        <v>441</v>
      </c>
      <c r="Y14" s="311" t="s">
        <v>442</v>
      </c>
      <c r="Z14" s="311" t="s">
        <v>443</v>
      </c>
      <c r="AA14" s="299" t="s">
        <v>445</v>
      </c>
      <c r="AL14" s="297" t="s">
        <v>108</v>
      </c>
      <c r="AM14" s="298" t="s">
        <v>439</v>
      </c>
      <c r="AN14" s="298" t="s">
        <v>440</v>
      </c>
      <c r="AO14" s="311" t="s">
        <v>175</v>
      </c>
      <c r="AP14" s="311" t="s">
        <v>441</v>
      </c>
      <c r="AQ14" s="311" t="s">
        <v>442</v>
      </c>
      <c r="AR14" s="311" t="s">
        <v>443</v>
      </c>
      <c r="AS14" s="299" t="s">
        <v>445</v>
      </c>
    </row>
    <row r="15" spans="2:45" ht="15.75" thickBot="1" x14ac:dyDescent="0.3">
      <c r="B15" s="312" t="s">
        <v>446</v>
      </c>
      <c r="C15" s="313" t="s">
        <v>447</v>
      </c>
      <c r="D15" s="313"/>
      <c r="E15" s="314"/>
      <c r="F15" s="314"/>
      <c r="G15" s="314"/>
      <c r="H15" s="314"/>
      <c r="I15" s="315"/>
      <c r="T15" s="312" t="s">
        <v>446</v>
      </c>
      <c r="U15" s="313" t="s">
        <v>447</v>
      </c>
      <c r="V15" s="313"/>
      <c r="W15" s="314"/>
      <c r="X15" s="314"/>
      <c r="Y15" s="314"/>
      <c r="Z15" s="314"/>
      <c r="AA15" s="315"/>
      <c r="AL15" s="312" t="s">
        <v>446</v>
      </c>
      <c r="AM15" s="313" t="s">
        <v>447</v>
      </c>
      <c r="AN15" s="313"/>
      <c r="AO15" s="314"/>
      <c r="AP15" s="314"/>
      <c r="AQ15" s="314"/>
      <c r="AR15" s="314"/>
      <c r="AS15" s="315"/>
    </row>
    <row r="16" spans="2:45" x14ac:dyDescent="0.25">
      <c r="B16" s="300">
        <v>1</v>
      </c>
      <c r="C16" s="316" t="s">
        <v>448</v>
      </c>
      <c r="D16" s="316"/>
      <c r="E16" s="317"/>
      <c r="F16" s="317"/>
      <c r="G16" s="317"/>
      <c r="H16" s="317"/>
      <c r="I16" s="318"/>
      <c r="J16" t="s">
        <v>449</v>
      </c>
      <c r="T16" s="300">
        <v>1</v>
      </c>
      <c r="U16" s="316" t="s">
        <v>448</v>
      </c>
      <c r="V16" s="316"/>
      <c r="W16" s="317"/>
      <c r="X16" s="317"/>
      <c r="Y16" s="317"/>
      <c r="Z16" s="317"/>
      <c r="AA16" s="318"/>
      <c r="AB16" t="s">
        <v>449</v>
      </c>
      <c r="AL16" s="300">
        <v>1</v>
      </c>
      <c r="AM16" s="316" t="s">
        <v>448</v>
      </c>
      <c r="AN16" s="316"/>
      <c r="AO16" s="317"/>
      <c r="AP16" s="317"/>
      <c r="AQ16" s="317"/>
      <c r="AR16" s="317"/>
      <c r="AS16" s="318"/>
    </row>
    <row r="17" spans="2:45" ht="15.75" thickBot="1" x14ac:dyDescent="0.3">
      <c r="B17" s="253">
        <v>2</v>
      </c>
      <c r="C17" s="301" t="s">
        <v>450</v>
      </c>
      <c r="D17" s="301"/>
      <c r="E17" s="319"/>
      <c r="F17" s="319"/>
      <c r="G17" s="319"/>
      <c r="H17" s="319"/>
      <c r="I17" s="288"/>
      <c r="J17" t="s">
        <v>451</v>
      </c>
      <c r="T17" s="253">
        <v>2</v>
      </c>
      <c r="U17" s="301" t="s">
        <v>450</v>
      </c>
      <c r="V17" s="301" t="s">
        <v>649</v>
      </c>
      <c r="W17" s="319"/>
      <c r="X17" s="319"/>
      <c r="Y17" s="319"/>
      <c r="Z17" s="319"/>
      <c r="AA17" s="288"/>
      <c r="AB17" t="s">
        <v>451</v>
      </c>
      <c r="AL17" s="253">
        <v>2</v>
      </c>
      <c r="AM17" s="301" t="s">
        <v>450</v>
      </c>
      <c r="AN17" s="301"/>
      <c r="AO17" s="319"/>
      <c r="AP17" s="319"/>
      <c r="AQ17" s="319"/>
      <c r="AR17" s="319"/>
      <c r="AS17" s="288"/>
    </row>
    <row r="18" spans="2:45" ht="15.75" thickBot="1" x14ac:dyDescent="0.3">
      <c r="B18" s="253">
        <v>3</v>
      </c>
      <c r="C18" s="301" t="s">
        <v>452</v>
      </c>
      <c r="D18" s="301"/>
      <c r="E18" s="319"/>
      <c r="F18" s="319"/>
      <c r="G18" s="319"/>
      <c r="H18" s="319"/>
      <c r="I18" s="288"/>
      <c r="J18" t="s">
        <v>453</v>
      </c>
      <c r="T18" s="253"/>
      <c r="U18" s="301"/>
      <c r="V18" s="301" t="s">
        <v>650</v>
      </c>
      <c r="W18" s="319"/>
      <c r="X18" s="319"/>
      <c r="Y18" s="319"/>
      <c r="Z18" s="319"/>
      <c r="AA18" s="288"/>
      <c r="AB18" t="s">
        <v>451</v>
      </c>
      <c r="AL18" s="297" t="s">
        <v>454</v>
      </c>
      <c r="AM18" s="298" t="s">
        <v>455</v>
      </c>
      <c r="AN18" s="298"/>
      <c r="AO18" s="311"/>
      <c r="AP18" s="311"/>
      <c r="AQ18" s="311"/>
      <c r="AR18" s="311"/>
      <c r="AS18" s="299"/>
    </row>
    <row r="19" spans="2:45" ht="15.75" thickBot="1" x14ac:dyDescent="0.3">
      <c r="B19" s="297" t="s">
        <v>454</v>
      </c>
      <c r="C19" s="298" t="s">
        <v>456</v>
      </c>
      <c r="D19" s="298"/>
      <c r="E19" s="311"/>
      <c r="F19" s="311"/>
      <c r="G19" s="311"/>
      <c r="H19" s="311"/>
      <c r="I19" s="299"/>
      <c r="T19" s="253">
        <v>3</v>
      </c>
      <c r="U19" s="301" t="s">
        <v>452</v>
      </c>
      <c r="V19" s="301"/>
      <c r="W19" s="319"/>
      <c r="X19" s="319"/>
      <c r="Y19" s="319"/>
      <c r="Z19" s="319"/>
      <c r="AA19" s="288"/>
      <c r="AB19" t="s">
        <v>453</v>
      </c>
      <c r="AL19" s="320">
        <v>1</v>
      </c>
      <c r="AM19" s="321" t="s">
        <v>457</v>
      </c>
      <c r="AN19" s="321" t="s">
        <v>458</v>
      </c>
      <c r="AO19" s="322" t="s">
        <v>459</v>
      </c>
      <c r="AP19" s="323">
        <f>Mesin_IC!AX104</f>
        <v>0</v>
      </c>
      <c r="AQ19" s="322"/>
      <c r="AR19" s="322">
        <v>0</v>
      </c>
      <c r="AS19" s="324">
        <f>Mesin_IC!AX101</f>
        <v>0</v>
      </c>
    </row>
    <row r="20" spans="2:45" ht="15.75" thickBot="1" x14ac:dyDescent="0.3">
      <c r="B20" s="320">
        <v>1</v>
      </c>
      <c r="C20" s="321" t="s">
        <v>457</v>
      </c>
      <c r="D20" s="321"/>
      <c r="E20" s="322"/>
      <c r="F20" s="322"/>
      <c r="G20" s="322"/>
      <c r="H20" s="322"/>
      <c r="I20" s="324"/>
      <c r="J20" t="s">
        <v>460</v>
      </c>
      <c r="T20" s="297" t="s">
        <v>454</v>
      </c>
      <c r="U20" s="298" t="s">
        <v>455</v>
      </c>
      <c r="V20" s="298"/>
      <c r="W20" s="311"/>
      <c r="X20" s="311"/>
      <c r="Y20" s="311"/>
      <c r="Z20" s="311"/>
      <c r="AA20" s="299"/>
      <c r="AL20" s="253">
        <v>2</v>
      </c>
      <c r="AM20" s="301" t="s">
        <v>461</v>
      </c>
      <c r="AN20" s="301" t="s">
        <v>462</v>
      </c>
      <c r="AO20" s="319" t="s">
        <v>229</v>
      </c>
      <c r="AP20" s="325">
        <f>Dinamis_IC!E55</f>
        <v>0.97685185185185186</v>
      </c>
      <c r="AQ20" s="319"/>
      <c r="AR20" s="322">
        <f>AR33/10</f>
        <v>0.1</v>
      </c>
      <c r="AS20" s="288">
        <f>Dinamis_IC!E21</f>
        <v>0</v>
      </c>
    </row>
    <row r="21" spans="2:45" ht="15" customHeight="1" thickBot="1" x14ac:dyDescent="0.3">
      <c r="B21" s="253">
        <v>2</v>
      </c>
      <c r="C21" s="301" t="s">
        <v>461</v>
      </c>
      <c r="D21" s="301" t="s">
        <v>463</v>
      </c>
      <c r="E21" s="319" t="s">
        <v>229</v>
      </c>
      <c r="F21" s="319" t="s">
        <v>300</v>
      </c>
      <c r="G21" s="326">
        <f>G32</f>
        <v>0</v>
      </c>
      <c r="H21" s="319"/>
      <c r="I21" s="288"/>
      <c r="J21" t="s">
        <v>464</v>
      </c>
      <c r="T21" s="320">
        <v>1</v>
      </c>
      <c r="U21" s="321" t="s">
        <v>457</v>
      </c>
      <c r="V21" s="321" t="s">
        <v>651</v>
      </c>
      <c r="W21" s="322" t="s">
        <v>229</v>
      </c>
      <c r="X21" s="323">
        <f>Mesin_IC!E24</f>
        <v>0.99759259259259259</v>
      </c>
      <c r="Y21" s="322">
        <f>Y38</f>
        <v>30</v>
      </c>
      <c r="Z21" s="322">
        <f>Z38/10</f>
        <v>0.1</v>
      </c>
      <c r="AA21" s="324">
        <f>Mesin_IC!E21</f>
        <v>0.1</v>
      </c>
      <c r="AB21" s="453" t="s">
        <v>465</v>
      </c>
      <c r="AC21" s="454"/>
      <c r="AD21" s="454"/>
      <c r="AE21" s="454"/>
      <c r="AF21" s="327"/>
      <c r="AL21" s="253">
        <v>3</v>
      </c>
      <c r="AM21" s="301" t="s">
        <v>466</v>
      </c>
      <c r="AN21" s="301"/>
      <c r="AO21" s="319"/>
      <c r="AP21" s="319"/>
      <c r="AQ21" s="319"/>
      <c r="AR21" s="319"/>
      <c r="AS21" s="288"/>
    </row>
    <row r="22" spans="2:45" ht="39.75" customHeight="1" thickBot="1" x14ac:dyDescent="0.3">
      <c r="B22" s="253">
        <v>3</v>
      </c>
      <c r="C22" s="301" t="s">
        <v>466</v>
      </c>
      <c r="D22" s="301" t="s">
        <v>467</v>
      </c>
      <c r="E22" s="319"/>
      <c r="F22" s="328" t="s">
        <v>468</v>
      </c>
      <c r="G22" s="329">
        <f>H22</f>
        <v>1</v>
      </c>
      <c r="H22" s="329">
        <f>1-I22</f>
        <v>1</v>
      </c>
      <c r="I22" s="288">
        <f>H32</f>
        <v>0</v>
      </c>
      <c r="J22" s="455" t="s">
        <v>469</v>
      </c>
      <c r="K22" s="455"/>
      <c r="L22" s="455"/>
      <c r="M22" s="330"/>
      <c r="T22" s="320"/>
      <c r="U22" s="321"/>
      <c r="V22" s="321" t="s">
        <v>652</v>
      </c>
      <c r="W22" s="322"/>
      <c r="X22" s="322"/>
      <c r="Y22" s="322"/>
      <c r="Z22" s="322"/>
      <c r="AA22" s="324"/>
      <c r="AB22" s="453"/>
      <c r="AC22" s="454"/>
      <c r="AD22" s="454"/>
      <c r="AE22" s="454"/>
      <c r="AF22" s="327"/>
      <c r="AL22" s="297" t="s">
        <v>470</v>
      </c>
      <c r="AM22" s="298" t="s">
        <v>471</v>
      </c>
      <c r="AN22" s="298"/>
      <c r="AO22" s="311"/>
      <c r="AP22" s="311"/>
      <c r="AQ22" s="311"/>
      <c r="AR22" s="311"/>
      <c r="AS22" s="299"/>
    </row>
    <row r="23" spans="2:45" ht="15.75" thickBot="1" x14ac:dyDescent="0.3">
      <c r="B23" s="297" t="s">
        <v>470</v>
      </c>
      <c r="C23" s="298" t="s">
        <v>471</v>
      </c>
      <c r="D23" s="298"/>
      <c r="E23" s="311"/>
      <c r="F23" s="311"/>
      <c r="G23" s="311"/>
      <c r="H23" s="311"/>
      <c r="I23" s="299"/>
      <c r="T23" s="253">
        <v>2</v>
      </c>
      <c r="U23" s="301" t="s">
        <v>461</v>
      </c>
      <c r="V23" s="301" t="s">
        <v>653</v>
      </c>
      <c r="W23" s="319"/>
      <c r="X23" s="319"/>
      <c r="Y23" s="319"/>
      <c r="Z23" s="319"/>
      <c r="AA23" s="288"/>
      <c r="AB23" s="331"/>
      <c r="AC23" s="332"/>
      <c r="AD23" s="332"/>
      <c r="AE23" s="332"/>
      <c r="AF23" s="332"/>
      <c r="AL23" s="320">
        <v>1</v>
      </c>
      <c r="AM23" s="321" t="s">
        <v>472</v>
      </c>
      <c r="AN23" s="321"/>
      <c r="AO23" s="322"/>
      <c r="AP23" s="322"/>
      <c r="AQ23" s="322"/>
      <c r="AR23" s="322"/>
      <c r="AS23" s="324"/>
    </row>
    <row r="24" spans="2:45" ht="15.75" customHeight="1" thickBot="1" x14ac:dyDescent="0.3">
      <c r="B24" s="333">
        <v>3</v>
      </c>
      <c r="C24" s="334" t="s">
        <v>473</v>
      </c>
      <c r="D24" s="334" t="s">
        <v>474</v>
      </c>
      <c r="E24" s="329"/>
      <c r="F24" s="329"/>
      <c r="G24" s="329">
        <f>H24</f>
        <v>1</v>
      </c>
      <c r="H24" s="329">
        <f>1-I24</f>
        <v>1</v>
      </c>
      <c r="I24" s="288">
        <f>H35</f>
        <v>0</v>
      </c>
      <c r="J24" s="455" t="s">
        <v>475</v>
      </c>
      <c r="K24" s="455"/>
      <c r="L24" s="455"/>
      <c r="M24" s="330"/>
      <c r="T24" s="253"/>
      <c r="U24" s="301"/>
      <c r="V24" s="301" t="s">
        <v>654</v>
      </c>
      <c r="W24" s="319"/>
      <c r="X24" s="319"/>
      <c r="Y24" s="319"/>
      <c r="Z24" s="319"/>
      <c r="AA24" s="288"/>
      <c r="AL24" s="320">
        <v>2</v>
      </c>
      <c r="AM24" s="301" t="s">
        <v>476</v>
      </c>
      <c r="AN24" s="301"/>
      <c r="AO24" s="319"/>
      <c r="AP24" s="319"/>
      <c r="AQ24" s="319"/>
      <c r="AR24" s="319"/>
      <c r="AS24" s="288"/>
    </row>
    <row r="25" spans="2:45" ht="15.75" thickBot="1" x14ac:dyDescent="0.3">
      <c r="B25" s="297" t="s">
        <v>477</v>
      </c>
      <c r="C25" s="298" t="s">
        <v>478</v>
      </c>
      <c r="D25" s="298"/>
      <c r="E25" s="311"/>
      <c r="F25" s="311"/>
      <c r="G25" s="311"/>
      <c r="H25" s="311"/>
      <c r="I25" s="299"/>
      <c r="J25" s="455"/>
      <c r="K25" s="455"/>
      <c r="L25" s="455"/>
      <c r="M25" s="330"/>
      <c r="T25" s="253">
        <v>3</v>
      </c>
      <c r="U25" s="301" t="s">
        <v>466</v>
      </c>
      <c r="V25" s="301"/>
      <c r="W25" s="319"/>
      <c r="X25" s="319"/>
      <c r="Y25" s="319"/>
      <c r="Z25" s="319"/>
      <c r="AA25" s="288"/>
      <c r="AL25" s="333">
        <v>3</v>
      </c>
      <c r="AM25" s="334" t="s">
        <v>473</v>
      </c>
      <c r="AN25" s="334" t="s">
        <v>479</v>
      </c>
      <c r="AO25" s="329">
        <f>AO31</f>
        <v>0.1</v>
      </c>
      <c r="AP25" s="329"/>
      <c r="AQ25" s="329"/>
      <c r="AR25" s="329"/>
      <c r="AS25" s="335"/>
    </row>
    <row r="26" spans="2:45" ht="15.75" thickBot="1" x14ac:dyDescent="0.3">
      <c r="B26" s="320">
        <v>1</v>
      </c>
      <c r="C26" s="321" t="s">
        <v>197</v>
      </c>
      <c r="D26" s="321"/>
      <c r="E26" s="322"/>
      <c r="F26" s="322"/>
      <c r="G26" s="322"/>
      <c r="H26" s="322"/>
      <c r="I26" s="324"/>
      <c r="J26" s="455"/>
      <c r="K26" s="455"/>
      <c r="L26" s="455"/>
      <c r="M26" s="330"/>
      <c r="T26" s="297" t="s">
        <v>470</v>
      </c>
      <c r="U26" s="298" t="s">
        <v>471</v>
      </c>
      <c r="V26" s="298"/>
      <c r="W26" s="311"/>
      <c r="X26" s="311"/>
      <c r="Y26" s="311"/>
      <c r="Z26" s="311"/>
      <c r="AA26" s="299"/>
      <c r="AL26" s="297" t="s">
        <v>477</v>
      </c>
      <c r="AM26" s="298" t="s">
        <v>478</v>
      </c>
      <c r="AN26" s="298"/>
      <c r="AO26" s="311"/>
      <c r="AP26" s="311"/>
      <c r="AQ26" s="311"/>
      <c r="AR26" s="311"/>
      <c r="AS26" s="299"/>
    </row>
    <row r="27" spans="2:45" x14ac:dyDescent="0.25">
      <c r="B27" s="320">
        <v>2</v>
      </c>
      <c r="C27" s="321" t="s">
        <v>480</v>
      </c>
      <c r="D27" s="301"/>
      <c r="E27" s="319"/>
      <c r="F27" s="319"/>
      <c r="G27" s="319"/>
      <c r="H27" s="336" t="s">
        <v>481</v>
      </c>
      <c r="I27" s="288"/>
      <c r="T27" s="320">
        <v>1</v>
      </c>
      <c r="U27" s="321" t="s">
        <v>472</v>
      </c>
      <c r="V27" s="321"/>
      <c r="W27" s="322"/>
      <c r="X27" s="322"/>
      <c r="Y27" s="322"/>
      <c r="Z27" s="322"/>
      <c r="AA27" s="324"/>
      <c r="AL27" s="320">
        <v>1</v>
      </c>
      <c r="AM27" s="321" t="s">
        <v>197</v>
      </c>
      <c r="AN27" s="321"/>
      <c r="AO27" s="322"/>
      <c r="AP27" s="322"/>
      <c r="AQ27" s="322"/>
      <c r="AR27" s="322"/>
      <c r="AS27" s="324"/>
    </row>
    <row r="28" spans="2:45" ht="15.75" thickBot="1" x14ac:dyDescent="0.3">
      <c r="B28" s="320">
        <v>3</v>
      </c>
      <c r="C28" s="321" t="s">
        <v>482</v>
      </c>
      <c r="D28" s="301"/>
      <c r="E28" s="319"/>
      <c r="F28" s="319"/>
      <c r="G28" s="319"/>
      <c r="H28" s="319"/>
      <c r="I28" s="288"/>
      <c r="T28" s="320">
        <v>2</v>
      </c>
      <c r="U28" s="301" t="s">
        <v>476</v>
      </c>
      <c r="V28" s="301" t="s">
        <v>655</v>
      </c>
      <c r="W28" s="319"/>
      <c r="X28" s="319"/>
      <c r="Y28" s="319"/>
      <c r="Z28" s="319"/>
      <c r="AA28" s="288"/>
      <c r="AL28" s="320">
        <v>2</v>
      </c>
      <c r="AM28" s="321" t="s">
        <v>480</v>
      </c>
      <c r="AN28" s="301"/>
      <c r="AO28" s="319"/>
      <c r="AP28" s="319"/>
      <c r="AQ28" s="319"/>
      <c r="AR28" s="319"/>
      <c r="AS28" s="288"/>
    </row>
    <row r="29" spans="2:45" ht="15.75" thickBot="1" x14ac:dyDescent="0.3">
      <c r="B29" s="297" t="s">
        <v>483</v>
      </c>
      <c r="C29" s="298" t="s">
        <v>484</v>
      </c>
      <c r="D29" s="298"/>
      <c r="E29" s="311"/>
      <c r="F29" s="311"/>
      <c r="G29" s="311"/>
      <c r="H29" s="311"/>
      <c r="I29" s="299"/>
      <c r="T29" s="333"/>
      <c r="U29" s="334"/>
      <c r="V29" s="301" t="s">
        <v>656</v>
      </c>
      <c r="W29" s="329"/>
      <c r="X29" s="329"/>
      <c r="Y29" s="329"/>
      <c r="Z29" s="329"/>
      <c r="AA29" s="335"/>
      <c r="AL29" s="320">
        <v>3</v>
      </c>
      <c r="AM29" s="321" t="s">
        <v>482</v>
      </c>
      <c r="AN29" s="301"/>
      <c r="AO29" s="319"/>
      <c r="AP29" s="319"/>
      <c r="AQ29" s="319"/>
      <c r="AR29" s="319"/>
      <c r="AS29" s="288"/>
    </row>
    <row r="30" spans="2:45" ht="15.75" thickBot="1" x14ac:dyDescent="0.3">
      <c r="B30" s="320">
        <v>1</v>
      </c>
      <c r="C30" s="321" t="s">
        <v>485</v>
      </c>
      <c r="D30" s="321" t="s">
        <v>486</v>
      </c>
      <c r="E30" s="322"/>
      <c r="F30" s="322"/>
      <c r="G30" s="322"/>
      <c r="H30" s="322"/>
      <c r="I30" s="324"/>
      <c r="T30" s="333">
        <v>3</v>
      </c>
      <c r="U30" s="334" t="s">
        <v>473</v>
      </c>
      <c r="V30" s="334" t="s">
        <v>657</v>
      </c>
      <c r="W30" s="329"/>
      <c r="X30" s="329"/>
      <c r="Y30" s="329"/>
      <c r="Z30" s="329">
        <f>W36+W39</f>
        <v>0.2</v>
      </c>
      <c r="AA30" s="335"/>
      <c r="AL30" s="297" t="s">
        <v>483</v>
      </c>
      <c r="AM30" s="298" t="s">
        <v>484</v>
      </c>
      <c r="AN30" s="298"/>
      <c r="AO30" s="311"/>
      <c r="AP30" s="311"/>
      <c r="AQ30" s="311"/>
      <c r="AR30" s="311"/>
      <c r="AS30" s="299"/>
    </row>
    <row r="31" spans="2:45" ht="15.75" thickBot="1" x14ac:dyDescent="0.3">
      <c r="B31" s="253">
        <v>2</v>
      </c>
      <c r="C31" s="301" t="s">
        <v>487</v>
      </c>
      <c r="D31" s="301" t="s">
        <v>488</v>
      </c>
      <c r="E31" s="319"/>
      <c r="F31" s="319"/>
      <c r="G31" s="319"/>
      <c r="H31" s="319"/>
      <c r="I31" s="288"/>
      <c r="T31" s="297" t="s">
        <v>477</v>
      </c>
      <c r="U31" s="298" t="s">
        <v>478</v>
      </c>
      <c r="V31" s="298"/>
      <c r="W31" s="311"/>
      <c r="X31" s="311"/>
      <c r="Y31" s="311"/>
      <c r="Z31" s="311"/>
      <c r="AA31" s="299"/>
      <c r="AL31" s="320">
        <v>1</v>
      </c>
      <c r="AM31" s="321" t="s">
        <v>485</v>
      </c>
      <c r="AN31" s="321" t="s">
        <v>489</v>
      </c>
      <c r="AO31" s="322">
        <v>0.1</v>
      </c>
      <c r="AP31" s="322"/>
      <c r="AQ31" s="322"/>
      <c r="AR31" s="322"/>
      <c r="AS31" s="324"/>
    </row>
    <row r="32" spans="2:45" ht="15.75" thickBot="1" x14ac:dyDescent="0.3">
      <c r="B32" s="271">
        <v>3</v>
      </c>
      <c r="C32" s="302" t="s">
        <v>490</v>
      </c>
      <c r="D32" s="302">
        <v>15</v>
      </c>
      <c r="E32" s="337"/>
      <c r="F32" s="337"/>
      <c r="G32" s="337">
        <v>0</v>
      </c>
      <c r="H32" s="337">
        <f>G32/D32</f>
        <v>0</v>
      </c>
      <c r="I32" s="303"/>
      <c r="T32" s="320">
        <v>1</v>
      </c>
      <c r="U32" s="321" t="s">
        <v>197</v>
      </c>
      <c r="V32" s="321" t="s">
        <v>658</v>
      </c>
      <c r="W32" s="322"/>
      <c r="X32" s="322"/>
      <c r="Y32" s="322"/>
      <c r="Z32" s="322"/>
      <c r="AA32" s="324"/>
      <c r="AL32" s="253">
        <v>2</v>
      </c>
      <c r="AM32" s="301" t="s">
        <v>487</v>
      </c>
      <c r="AN32" s="301" t="s">
        <v>491</v>
      </c>
      <c r="AO32" s="319"/>
      <c r="AP32" s="319"/>
      <c r="AQ32" s="319"/>
      <c r="AR32" s="319"/>
      <c r="AS32" s="288"/>
    </row>
    <row r="33" spans="2:45" ht="15.75" thickBot="1" x14ac:dyDescent="0.3">
      <c r="B33" s="320">
        <v>1</v>
      </c>
      <c r="C33" s="321" t="s">
        <v>485</v>
      </c>
      <c r="D33" s="321" t="s">
        <v>492</v>
      </c>
      <c r="E33" s="322"/>
      <c r="F33" s="322"/>
      <c r="G33" s="322"/>
      <c r="H33" s="322"/>
      <c r="I33" s="324"/>
      <c r="T33" s="320">
        <v>2</v>
      </c>
      <c r="U33" s="321" t="s">
        <v>480</v>
      </c>
      <c r="V33" s="301"/>
      <c r="W33" s="319"/>
      <c r="X33" s="319"/>
      <c r="Y33" s="319"/>
      <c r="Z33" s="319"/>
      <c r="AA33" s="288"/>
      <c r="AL33" s="271">
        <v>3</v>
      </c>
      <c r="AM33" s="302" t="s">
        <v>490</v>
      </c>
      <c r="AN33" s="302">
        <v>10</v>
      </c>
      <c r="AO33" s="337"/>
      <c r="AP33" s="337"/>
      <c r="AQ33" s="337">
        <v>10</v>
      </c>
      <c r="AR33" s="337">
        <f>AQ33/AN33</f>
        <v>1</v>
      </c>
      <c r="AS33" s="303"/>
    </row>
    <row r="34" spans="2:45" ht="15.75" thickBot="1" x14ac:dyDescent="0.3">
      <c r="B34" s="253">
        <v>2</v>
      </c>
      <c r="C34" s="301" t="s">
        <v>487</v>
      </c>
      <c r="D34" s="301" t="s">
        <v>493</v>
      </c>
      <c r="E34" s="319"/>
      <c r="F34" s="319"/>
      <c r="G34" s="319"/>
      <c r="H34" s="319"/>
      <c r="I34" s="288"/>
      <c r="T34" s="320">
        <v>3</v>
      </c>
      <c r="U34" s="321" t="s">
        <v>482</v>
      </c>
      <c r="V34" s="301" t="s">
        <v>659</v>
      </c>
      <c r="W34" s="319"/>
      <c r="X34" s="319"/>
      <c r="Y34" s="319"/>
      <c r="Z34" s="319"/>
      <c r="AA34" s="288"/>
    </row>
    <row r="35" spans="2:45" ht="15.75" thickBot="1" x14ac:dyDescent="0.3">
      <c r="B35" s="271">
        <v>3</v>
      </c>
      <c r="C35" s="302" t="s">
        <v>490</v>
      </c>
      <c r="D35" s="302">
        <v>15</v>
      </c>
      <c r="E35" s="337"/>
      <c r="F35" s="337"/>
      <c r="G35" s="337">
        <v>0</v>
      </c>
      <c r="H35" s="337">
        <f>G35/D35</f>
        <v>0</v>
      </c>
      <c r="I35" s="303"/>
      <c r="T35" s="297" t="s">
        <v>483</v>
      </c>
      <c r="U35" s="298" t="s">
        <v>484</v>
      </c>
      <c r="V35" s="298"/>
      <c r="W35" s="311"/>
      <c r="X35" s="311"/>
      <c r="Y35" s="311"/>
      <c r="Z35" s="311"/>
      <c r="AA35" s="299"/>
    </row>
    <row r="36" spans="2:45" ht="75" x14ac:dyDescent="0.25">
      <c r="D36" s="332" t="s">
        <v>494</v>
      </c>
      <c r="E36" s="338"/>
      <c r="F36" s="332"/>
      <c r="G36" s="332" t="s">
        <v>495</v>
      </c>
      <c r="H36" s="332" t="s">
        <v>496</v>
      </c>
      <c r="T36" s="300">
        <v>1</v>
      </c>
      <c r="U36" s="316" t="s">
        <v>485</v>
      </c>
      <c r="V36" s="316" t="s">
        <v>497</v>
      </c>
      <c r="W36" s="317">
        <v>0.1</v>
      </c>
      <c r="X36" s="317"/>
      <c r="Y36" s="317"/>
      <c r="Z36" s="317"/>
      <c r="AA36" s="318"/>
      <c r="AB36" s="453" t="s">
        <v>498</v>
      </c>
      <c r="AC36" s="454"/>
      <c r="AD36" s="454"/>
      <c r="AE36" s="454"/>
      <c r="AF36" s="327"/>
    </row>
    <row r="37" spans="2:45" x14ac:dyDescent="0.25">
      <c r="D37" s="332"/>
      <c r="E37" s="338"/>
      <c r="F37" s="332"/>
      <c r="G37" s="332"/>
      <c r="H37" s="332"/>
      <c r="T37" s="253">
        <v>2</v>
      </c>
      <c r="U37" s="301" t="s">
        <v>487</v>
      </c>
      <c r="V37" s="301" t="s">
        <v>488</v>
      </c>
      <c r="W37" s="319"/>
      <c r="X37" s="319"/>
      <c r="Y37" s="319"/>
      <c r="Z37" s="319"/>
      <c r="AA37" s="288"/>
      <c r="AB37" s="331"/>
      <c r="AC37" s="332"/>
      <c r="AD37" s="332"/>
      <c r="AE37" s="332"/>
      <c r="AF37" s="332"/>
    </row>
    <row r="38" spans="2:45" ht="15.75" thickBot="1" x14ac:dyDescent="0.3">
      <c r="D38" s="332"/>
      <c r="E38" s="338"/>
      <c r="F38" s="332"/>
      <c r="G38" s="332"/>
      <c r="H38" s="332"/>
      <c r="T38" s="271">
        <v>3</v>
      </c>
      <c r="U38" s="302" t="s">
        <v>490</v>
      </c>
      <c r="V38" s="302">
        <v>30</v>
      </c>
      <c r="W38" s="337"/>
      <c r="X38" s="337"/>
      <c r="Y38" s="337">
        <v>30</v>
      </c>
      <c r="Z38" s="337">
        <f>Y38/V38</f>
        <v>1</v>
      </c>
      <c r="AA38" s="303"/>
      <c r="AB38" s="331"/>
      <c r="AC38" s="332"/>
      <c r="AD38" s="332"/>
      <c r="AE38" s="332"/>
      <c r="AF38" s="332"/>
    </row>
    <row r="39" spans="2:45" x14ac:dyDescent="0.25">
      <c r="D39" s="332"/>
      <c r="E39" s="338"/>
      <c r="F39" s="332"/>
      <c r="G39" s="332"/>
      <c r="H39" s="332"/>
      <c r="T39" s="300">
        <v>1</v>
      </c>
      <c r="U39" s="316" t="s">
        <v>485</v>
      </c>
      <c r="V39" s="316" t="s">
        <v>499</v>
      </c>
      <c r="W39" s="317">
        <v>0.1</v>
      </c>
      <c r="X39" s="317"/>
      <c r="Y39" s="317"/>
      <c r="Z39" s="317"/>
      <c r="AA39" s="318"/>
      <c r="AB39" s="453" t="s">
        <v>500</v>
      </c>
      <c r="AC39" s="454"/>
      <c r="AD39" s="454"/>
      <c r="AE39" s="454"/>
      <c r="AF39" s="327"/>
    </row>
    <row r="40" spans="2:45" x14ac:dyDescent="0.25">
      <c r="D40" s="332"/>
      <c r="E40" s="338"/>
      <c r="F40" s="332"/>
      <c r="G40" s="332"/>
      <c r="H40" s="332"/>
      <c r="T40" s="253">
        <v>2</v>
      </c>
      <c r="U40" s="301" t="s">
        <v>487</v>
      </c>
      <c r="V40" s="301" t="s">
        <v>501</v>
      </c>
      <c r="W40" s="319"/>
      <c r="X40" s="319"/>
      <c r="Y40" s="319"/>
      <c r="Z40" s="319"/>
      <c r="AA40" s="288"/>
      <c r="AB40" s="453"/>
      <c r="AC40" s="454"/>
      <c r="AD40" s="454"/>
      <c r="AE40" s="454"/>
      <c r="AF40" s="327"/>
    </row>
    <row r="41" spans="2:45" ht="15.75" thickBot="1" x14ac:dyDescent="0.3">
      <c r="D41" s="332"/>
      <c r="E41" s="338"/>
      <c r="F41" s="332"/>
      <c r="G41" s="332"/>
      <c r="H41" s="332"/>
      <c r="T41" s="271">
        <v>3</v>
      </c>
      <c r="U41" s="302" t="s">
        <v>490</v>
      </c>
      <c r="V41" s="302">
        <v>60</v>
      </c>
      <c r="W41" s="337"/>
      <c r="X41" s="337"/>
      <c r="Y41" s="337">
        <v>60</v>
      </c>
      <c r="Z41" s="337">
        <f>Y41/V41</f>
        <v>1</v>
      </c>
      <c r="AA41" s="303"/>
      <c r="AB41" s="453"/>
      <c r="AC41" s="454"/>
      <c r="AD41" s="454"/>
      <c r="AE41" s="454"/>
      <c r="AF41" s="327"/>
    </row>
    <row r="42" spans="2:45" x14ac:dyDescent="0.25">
      <c r="D42" s="332"/>
      <c r="E42" s="338"/>
      <c r="F42" s="332"/>
      <c r="G42" s="332"/>
      <c r="H42" s="332"/>
    </row>
    <row r="43" spans="2:45" x14ac:dyDescent="0.25">
      <c r="D43" s="332"/>
      <c r="E43" s="338"/>
      <c r="F43" s="332"/>
      <c r="G43" s="332"/>
      <c r="H43" s="332"/>
    </row>
    <row r="44" spans="2:45" x14ac:dyDescent="0.25">
      <c r="D44" s="332"/>
      <c r="E44" s="338"/>
      <c r="F44" s="332"/>
      <c r="G44" s="332"/>
      <c r="H44" s="332"/>
    </row>
    <row r="45" spans="2:45" x14ac:dyDescent="0.25">
      <c r="D45" s="332"/>
      <c r="E45" s="338"/>
      <c r="F45" s="332"/>
      <c r="G45" s="332"/>
      <c r="H45" s="332"/>
    </row>
    <row r="46" spans="2:45" x14ac:dyDescent="0.25">
      <c r="D46" s="332"/>
      <c r="E46" s="338"/>
      <c r="F46" s="332"/>
      <c r="G46" s="332"/>
      <c r="H46" s="332"/>
    </row>
    <row r="47" spans="2:45" x14ac:dyDescent="0.25">
      <c r="D47" s="332"/>
      <c r="E47" s="338"/>
      <c r="F47" s="332"/>
      <c r="G47" s="332"/>
      <c r="H47" s="332"/>
    </row>
    <row r="48" spans="2:45" x14ac:dyDescent="0.25">
      <c r="D48" s="332"/>
      <c r="E48" s="338"/>
      <c r="F48" s="332"/>
      <c r="G48" s="332"/>
      <c r="H48" s="332"/>
    </row>
    <row r="49" spans="2:126" x14ac:dyDescent="0.25">
      <c r="D49" s="332"/>
      <c r="E49" s="338"/>
      <c r="F49" s="332"/>
      <c r="G49" s="332"/>
      <c r="H49" s="332"/>
    </row>
    <row r="50" spans="2:126" x14ac:dyDescent="0.25">
      <c r="D50" s="332"/>
      <c r="E50" s="338"/>
      <c r="F50" s="332"/>
      <c r="G50" s="332"/>
      <c r="H50" s="332"/>
    </row>
    <row r="51" spans="2:126" s="340" customFormat="1" ht="18.75" x14ac:dyDescent="0.3">
      <c r="B51" s="339" t="s">
        <v>502</v>
      </c>
      <c r="D51" s="341"/>
      <c r="E51" s="341"/>
      <c r="F51" s="342"/>
      <c r="G51" s="341"/>
      <c r="H51" s="341"/>
      <c r="I51" s="341"/>
    </row>
    <row r="52" spans="2:126" ht="15.75" thickBot="1" x14ac:dyDescent="0.3"/>
    <row r="53" spans="2:126" x14ac:dyDescent="0.25">
      <c r="B53" s="428" t="s">
        <v>211</v>
      </c>
      <c r="C53" s="429"/>
      <c r="D53" s="429"/>
      <c r="E53" s="429"/>
      <c r="F53" s="429"/>
      <c r="G53" s="429"/>
      <c r="H53" s="429"/>
      <c r="I53" s="430"/>
      <c r="K53" s="428" t="s">
        <v>211</v>
      </c>
      <c r="L53" s="429"/>
      <c r="M53" s="429"/>
      <c r="N53" s="429"/>
      <c r="O53" s="429"/>
      <c r="P53" s="429"/>
      <c r="Q53" s="429"/>
      <c r="R53" s="430"/>
      <c r="T53" s="428" t="s">
        <v>211</v>
      </c>
      <c r="U53" s="429"/>
      <c r="V53" s="429"/>
      <c r="W53" s="429"/>
      <c r="X53" s="429"/>
      <c r="Y53" s="429"/>
      <c r="Z53" s="429"/>
      <c r="AA53" s="430"/>
      <c r="AC53" s="428" t="s">
        <v>211</v>
      </c>
      <c r="AD53" s="429"/>
      <c r="AE53" s="429"/>
      <c r="AF53" s="429"/>
      <c r="AG53" s="429"/>
      <c r="AH53" s="429"/>
      <c r="AI53" s="429"/>
      <c r="AJ53" s="430"/>
      <c r="AL53" s="428" t="s">
        <v>211</v>
      </c>
      <c r="AM53" s="429"/>
      <c r="AN53" s="429"/>
      <c r="AO53" s="429"/>
      <c r="AP53" s="429"/>
      <c r="AQ53" s="429"/>
      <c r="AR53" s="429"/>
      <c r="AS53" s="430"/>
      <c r="AU53" s="428" t="s">
        <v>211</v>
      </c>
      <c r="AV53" s="429"/>
      <c r="AW53" s="429"/>
      <c r="AX53" s="429"/>
      <c r="AY53" s="429"/>
      <c r="AZ53" s="429"/>
      <c r="BA53" s="429"/>
      <c r="BB53" s="430"/>
      <c r="BD53" s="428" t="s">
        <v>211</v>
      </c>
      <c r="BE53" s="429"/>
      <c r="BF53" s="429"/>
      <c r="BG53" s="429"/>
      <c r="BH53" s="429"/>
      <c r="BI53" s="429"/>
      <c r="BJ53" s="429"/>
      <c r="BK53" s="430"/>
      <c r="BM53" s="428" t="s">
        <v>211</v>
      </c>
      <c r="BN53" s="429"/>
      <c r="BO53" s="429"/>
      <c r="BP53" s="429"/>
      <c r="BQ53" s="429"/>
      <c r="BR53" s="429"/>
      <c r="BS53" s="429"/>
      <c r="BT53" s="430"/>
      <c r="BV53" s="428" t="s">
        <v>211</v>
      </c>
      <c r="BW53" s="429"/>
      <c r="BX53" s="429"/>
      <c r="BY53" s="429"/>
      <c r="BZ53" s="429"/>
      <c r="CA53" s="429"/>
      <c r="CB53" s="429"/>
      <c r="CC53" s="430"/>
      <c r="CE53" s="428" t="s">
        <v>211</v>
      </c>
      <c r="CF53" s="429"/>
      <c r="CG53" s="429"/>
      <c r="CH53" s="429"/>
      <c r="CI53" s="429"/>
      <c r="CJ53" s="429"/>
      <c r="CK53" s="429"/>
      <c r="CL53" s="430"/>
      <c r="CN53" s="428" t="s">
        <v>211</v>
      </c>
      <c r="CO53" s="429"/>
      <c r="CP53" s="429"/>
      <c r="CQ53" s="429"/>
      <c r="CR53" s="429"/>
      <c r="CS53" s="429"/>
      <c r="CT53" s="429"/>
      <c r="CU53" s="430"/>
      <c r="CW53" s="428" t="s">
        <v>211</v>
      </c>
      <c r="CX53" s="429"/>
      <c r="CY53" s="429"/>
      <c r="CZ53" s="429"/>
      <c r="DA53" s="429"/>
      <c r="DB53" s="429"/>
      <c r="DC53" s="429"/>
      <c r="DD53" s="430"/>
      <c r="DF53" s="428" t="s">
        <v>211</v>
      </c>
      <c r="DG53" s="429"/>
      <c r="DH53" s="429"/>
      <c r="DI53" s="429"/>
      <c r="DJ53" s="429"/>
      <c r="DK53" s="429"/>
      <c r="DL53" s="429"/>
      <c r="DM53" s="430"/>
      <c r="DO53" s="428" t="s">
        <v>211</v>
      </c>
      <c r="DP53" s="429"/>
      <c r="DQ53" s="429"/>
      <c r="DR53" s="429"/>
      <c r="DS53" s="429"/>
      <c r="DT53" s="429"/>
      <c r="DU53" s="429"/>
      <c r="DV53" s="430"/>
    </row>
    <row r="54" spans="2:126" ht="15.75" thickBot="1" x14ac:dyDescent="0.3">
      <c r="B54" s="431" t="s">
        <v>391</v>
      </c>
      <c r="C54" s="432"/>
      <c r="D54" s="432"/>
      <c r="E54" s="432"/>
      <c r="F54" s="432"/>
      <c r="G54" s="432"/>
      <c r="H54" s="432"/>
      <c r="I54" s="433"/>
      <c r="K54" s="431" t="s">
        <v>391</v>
      </c>
      <c r="L54" s="432"/>
      <c r="M54" s="432"/>
      <c r="N54" s="432"/>
      <c r="O54" s="432"/>
      <c r="P54" s="432"/>
      <c r="Q54" s="432"/>
      <c r="R54" s="433"/>
      <c r="T54" s="431" t="s">
        <v>391</v>
      </c>
      <c r="U54" s="432"/>
      <c r="V54" s="432"/>
      <c r="W54" s="432"/>
      <c r="X54" s="432"/>
      <c r="Y54" s="432"/>
      <c r="Z54" s="432"/>
      <c r="AA54" s="433"/>
      <c r="AC54" s="431" t="s">
        <v>391</v>
      </c>
      <c r="AD54" s="432"/>
      <c r="AE54" s="432"/>
      <c r="AF54" s="432"/>
      <c r="AG54" s="432"/>
      <c r="AH54" s="432"/>
      <c r="AI54" s="432"/>
      <c r="AJ54" s="433"/>
      <c r="AL54" s="431" t="s">
        <v>391</v>
      </c>
      <c r="AM54" s="432"/>
      <c r="AN54" s="432"/>
      <c r="AO54" s="432"/>
      <c r="AP54" s="432"/>
      <c r="AQ54" s="432"/>
      <c r="AR54" s="432"/>
      <c r="AS54" s="433"/>
      <c r="AU54" s="431" t="s">
        <v>391</v>
      </c>
      <c r="AV54" s="432"/>
      <c r="AW54" s="432"/>
      <c r="AX54" s="432"/>
      <c r="AY54" s="432"/>
      <c r="AZ54" s="432"/>
      <c r="BA54" s="432"/>
      <c r="BB54" s="433"/>
      <c r="BD54" s="431" t="s">
        <v>391</v>
      </c>
      <c r="BE54" s="432"/>
      <c r="BF54" s="432"/>
      <c r="BG54" s="432"/>
      <c r="BH54" s="432"/>
      <c r="BI54" s="432"/>
      <c r="BJ54" s="432"/>
      <c r="BK54" s="433"/>
      <c r="BM54" s="431" t="s">
        <v>391</v>
      </c>
      <c r="BN54" s="432"/>
      <c r="BO54" s="432"/>
      <c r="BP54" s="432"/>
      <c r="BQ54" s="432"/>
      <c r="BR54" s="432"/>
      <c r="BS54" s="432"/>
      <c r="BT54" s="433"/>
      <c r="BV54" s="431" t="s">
        <v>391</v>
      </c>
      <c r="BW54" s="432"/>
      <c r="BX54" s="432"/>
      <c r="BY54" s="432"/>
      <c r="BZ54" s="432"/>
      <c r="CA54" s="432"/>
      <c r="CB54" s="432"/>
      <c r="CC54" s="433"/>
      <c r="CE54" s="431" t="s">
        <v>391</v>
      </c>
      <c r="CF54" s="432"/>
      <c r="CG54" s="432"/>
      <c r="CH54" s="432"/>
      <c r="CI54" s="432"/>
      <c r="CJ54" s="432"/>
      <c r="CK54" s="432"/>
      <c r="CL54" s="433"/>
      <c r="CN54" s="431" t="s">
        <v>391</v>
      </c>
      <c r="CO54" s="432"/>
      <c r="CP54" s="432"/>
      <c r="CQ54" s="432"/>
      <c r="CR54" s="432"/>
      <c r="CS54" s="432"/>
      <c r="CT54" s="432"/>
      <c r="CU54" s="433"/>
      <c r="CW54" s="431" t="s">
        <v>391</v>
      </c>
      <c r="CX54" s="432"/>
      <c r="CY54" s="432"/>
      <c r="CZ54" s="432"/>
      <c r="DA54" s="432"/>
      <c r="DB54" s="432"/>
      <c r="DC54" s="432"/>
      <c r="DD54" s="433"/>
      <c r="DF54" s="431" t="s">
        <v>391</v>
      </c>
      <c r="DG54" s="432"/>
      <c r="DH54" s="432"/>
      <c r="DI54" s="432"/>
      <c r="DJ54" s="432"/>
      <c r="DK54" s="432"/>
      <c r="DL54" s="432"/>
      <c r="DM54" s="433"/>
      <c r="DO54" s="431" t="s">
        <v>391</v>
      </c>
      <c r="DP54" s="432"/>
      <c r="DQ54" s="432"/>
      <c r="DR54" s="432"/>
      <c r="DS54" s="432"/>
      <c r="DT54" s="432"/>
      <c r="DU54" s="432"/>
      <c r="DV54" s="433"/>
    </row>
    <row r="55" spans="2:126" ht="15.75" thickBot="1" x14ac:dyDescent="0.3">
      <c r="B55" s="293" t="s">
        <v>435</v>
      </c>
      <c r="C55" s="295"/>
      <c r="D55" s="295"/>
      <c r="E55" s="295"/>
      <c r="F55" s="295"/>
      <c r="G55" s="295"/>
      <c r="H55" s="295"/>
      <c r="I55" s="296"/>
      <c r="K55" s="293" t="s">
        <v>436</v>
      </c>
      <c r="L55" s="295"/>
      <c r="M55" s="295"/>
      <c r="N55" s="295"/>
      <c r="O55" s="295"/>
      <c r="P55" s="295"/>
      <c r="Q55" s="295"/>
      <c r="R55" s="296"/>
      <c r="T55" s="293" t="s">
        <v>503</v>
      </c>
      <c r="U55" s="295"/>
      <c r="V55" s="295"/>
      <c r="W55" s="295"/>
      <c r="X55" s="295"/>
      <c r="Y55" s="295"/>
      <c r="Z55" s="295"/>
      <c r="AA55" s="296"/>
      <c r="AC55" s="293" t="s">
        <v>504</v>
      </c>
      <c r="AD55" s="295"/>
      <c r="AE55" s="295"/>
      <c r="AF55" s="295"/>
      <c r="AG55" s="295"/>
      <c r="AH55" s="295"/>
      <c r="AI55" s="295"/>
      <c r="AJ55" s="296"/>
      <c r="AL55" s="293" t="s">
        <v>505</v>
      </c>
      <c r="AM55" s="295"/>
      <c r="AN55" s="295"/>
      <c r="AO55" s="295"/>
      <c r="AP55" s="295"/>
      <c r="AQ55" s="295"/>
      <c r="AR55" s="295"/>
      <c r="AS55" s="296"/>
      <c r="AU55" s="293" t="s">
        <v>506</v>
      </c>
      <c r="AV55" s="295"/>
      <c r="AW55" s="295"/>
      <c r="AX55" s="295"/>
      <c r="AY55" s="295"/>
      <c r="AZ55" s="295"/>
      <c r="BA55" s="295"/>
      <c r="BB55" s="296"/>
      <c r="BD55" s="293" t="s">
        <v>507</v>
      </c>
      <c r="BE55" s="295"/>
      <c r="BF55" s="295"/>
      <c r="BG55" s="295"/>
      <c r="BH55" s="295"/>
      <c r="BI55" s="295"/>
      <c r="BJ55" s="295"/>
      <c r="BK55" s="296"/>
      <c r="BM55" s="293" t="s">
        <v>508</v>
      </c>
      <c r="BN55" s="295"/>
      <c r="BO55" s="295"/>
      <c r="BP55" s="295"/>
      <c r="BQ55" s="295"/>
      <c r="BR55" s="295"/>
      <c r="BS55" s="295"/>
      <c r="BT55" s="296"/>
      <c r="BV55" s="293" t="s">
        <v>509</v>
      </c>
      <c r="BW55" s="295"/>
      <c r="BX55" s="295"/>
      <c r="BY55" s="295"/>
      <c r="BZ55" s="295"/>
      <c r="CA55" s="295"/>
      <c r="CB55" s="295"/>
      <c r="CC55" s="296"/>
      <c r="CE55" s="293" t="s">
        <v>510</v>
      </c>
      <c r="CF55" s="295"/>
      <c r="CG55" s="295"/>
      <c r="CH55" s="295"/>
      <c r="CI55" s="295"/>
      <c r="CJ55" s="295"/>
      <c r="CK55" s="295"/>
      <c r="CL55" s="296"/>
      <c r="CN55" s="293" t="s">
        <v>511</v>
      </c>
      <c r="CO55" s="295"/>
      <c r="CP55" s="295"/>
      <c r="CQ55" s="295"/>
      <c r="CR55" s="295"/>
      <c r="CS55" s="295"/>
      <c r="CT55" s="295"/>
      <c r="CU55" s="296"/>
      <c r="CW55" s="293" t="s">
        <v>512</v>
      </c>
      <c r="CX55" s="295"/>
      <c r="CY55" s="295"/>
      <c r="CZ55" s="295"/>
      <c r="DA55" s="295"/>
      <c r="DB55" s="295"/>
      <c r="DC55" s="295"/>
      <c r="DD55" s="296"/>
      <c r="DF55" s="293" t="s">
        <v>513</v>
      </c>
      <c r="DG55" s="295"/>
      <c r="DH55" s="295"/>
      <c r="DI55" s="295"/>
      <c r="DJ55" s="295"/>
      <c r="DK55" s="295"/>
      <c r="DL55" s="295"/>
      <c r="DM55" s="296"/>
      <c r="DO55" s="293" t="s">
        <v>514</v>
      </c>
      <c r="DP55" s="295"/>
      <c r="DQ55" s="295"/>
      <c r="DR55" s="295"/>
      <c r="DS55" s="295"/>
      <c r="DT55" s="295"/>
      <c r="DU55" s="295"/>
      <c r="DV55" s="296"/>
    </row>
    <row r="56" spans="2:126" ht="15.75" thickBot="1" x14ac:dyDescent="0.3">
      <c r="B56" s="450" t="s">
        <v>437</v>
      </c>
      <c r="C56" s="451"/>
      <c r="D56" s="451"/>
      <c r="E56" s="451"/>
      <c r="F56" s="451"/>
      <c r="G56" s="451"/>
      <c r="H56" s="451"/>
      <c r="I56" s="452"/>
      <c r="K56" s="450" t="s">
        <v>438</v>
      </c>
      <c r="L56" s="451"/>
      <c r="M56" s="451"/>
      <c r="N56" s="451"/>
      <c r="O56" s="451"/>
      <c r="P56" s="451"/>
      <c r="Q56" s="451"/>
      <c r="R56" s="452"/>
      <c r="T56" s="447" t="s">
        <v>438</v>
      </c>
      <c r="U56" s="448"/>
      <c r="V56" s="448"/>
      <c r="W56" s="462"/>
      <c r="X56" s="462"/>
      <c r="Y56" s="462"/>
      <c r="Z56" s="462"/>
      <c r="AA56" s="449"/>
      <c r="AC56" s="450" t="s">
        <v>438</v>
      </c>
      <c r="AD56" s="451"/>
      <c r="AE56" s="451"/>
      <c r="AF56" s="451"/>
      <c r="AG56" s="451"/>
      <c r="AH56" s="451"/>
      <c r="AI56" s="451"/>
      <c r="AJ56" s="452"/>
      <c r="AL56" s="447" t="s">
        <v>438</v>
      </c>
      <c r="AM56" s="448"/>
      <c r="AN56" s="448"/>
      <c r="AO56" s="462"/>
      <c r="AP56" s="462"/>
      <c r="AQ56" s="462"/>
      <c r="AR56" s="462"/>
      <c r="AS56" s="449"/>
      <c r="AU56" s="447" t="s">
        <v>438</v>
      </c>
      <c r="AV56" s="448"/>
      <c r="AW56" s="448"/>
      <c r="AX56" s="462"/>
      <c r="AY56" s="462"/>
      <c r="AZ56" s="462"/>
      <c r="BA56" s="462"/>
      <c r="BB56" s="449"/>
      <c r="BD56" s="447" t="s">
        <v>438</v>
      </c>
      <c r="BE56" s="448"/>
      <c r="BF56" s="448"/>
      <c r="BG56" s="462"/>
      <c r="BH56" s="462"/>
      <c r="BI56" s="462"/>
      <c r="BJ56" s="462"/>
      <c r="BK56" s="449"/>
      <c r="BM56" s="447" t="s">
        <v>438</v>
      </c>
      <c r="BN56" s="448"/>
      <c r="BO56" s="448"/>
      <c r="BP56" s="462"/>
      <c r="BQ56" s="462"/>
      <c r="BR56" s="462"/>
      <c r="BS56" s="462"/>
      <c r="BT56" s="449"/>
      <c r="BV56" s="447" t="s">
        <v>438</v>
      </c>
      <c r="BW56" s="448"/>
      <c r="BX56" s="448"/>
      <c r="BY56" s="462"/>
      <c r="BZ56" s="462"/>
      <c r="CA56" s="462"/>
      <c r="CB56" s="462"/>
      <c r="CC56" s="449"/>
      <c r="CE56" s="447" t="s">
        <v>438</v>
      </c>
      <c r="CF56" s="448"/>
      <c r="CG56" s="448"/>
      <c r="CH56" s="462"/>
      <c r="CI56" s="462"/>
      <c r="CJ56" s="462"/>
      <c r="CK56" s="462"/>
      <c r="CL56" s="449"/>
      <c r="CN56" s="447" t="s">
        <v>438</v>
      </c>
      <c r="CO56" s="448"/>
      <c r="CP56" s="448"/>
      <c r="CQ56" s="462"/>
      <c r="CR56" s="462"/>
      <c r="CS56" s="462"/>
      <c r="CT56" s="462"/>
      <c r="CU56" s="449"/>
      <c r="CW56" s="447" t="s">
        <v>438</v>
      </c>
      <c r="CX56" s="448"/>
      <c r="CY56" s="448"/>
      <c r="CZ56" s="462"/>
      <c r="DA56" s="462"/>
      <c r="DB56" s="462"/>
      <c r="DC56" s="462"/>
      <c r="DD56" s="449"/>
      <c r="DF56" s="447" t="s">
        <v>438</v>
      </c>
      <c r="DG56" s="448"/>
      <c r="DH56" s="448"/>
      <c r="DI56" s="462"/>
      <c r="DJ56" s="462"/>
      <c r="DK56" s="462"/>
      <c r="DL56" s="462"/>
      <c r="DM56" s="449"/>
      <c r="DO56" s="447"/>
      <c r="DP56" s="448"/>
      <c r="DQ56" s="448"/>
      <c r="DR56" s="462"/>
      <c r="DS56" s="462"/>
      <c r="DT56" s="462"/>
      <c r="DU56" s="462"/>
      <c r="DV56" s="449"/>
    </row>
    <row r="57" spans="2:126" ht="15.75" thickBot="1" x14ac:dyDescent="0.3">
      <c r="B57" s="297" t="s">
        <v>108</v>
      </c>
      <c r="C57" s="298" t="s">
        <v>439</v>
      </c>
      <c r="D57" s="298" t="s">
        <v>440</v>
      </c>
      <c r="E57" s="311" t="s">
        <v>175</v>
      </c>
      <c r="F57" s="311" t="s">
        <v>441</v>
      </c>
      <c r="G57" s="311" t="s">
        <v>442</v>
      </c>
      <c r="H57" s="311" t="s">
        <v>443</v>
      </c>
      <c r="I57" s="299" t="s">
        <v>445</v>
      </c>
      <c r="K57" s="297" t="s">
        <v>108</v>
      </c>
      <c r="L57" s="298" t="s">
        <v>439</v>
      </c>
      <c r="M57" s="298" t="s">
        <v>440</v>
      </c>
      <c r="N57" s="311" t="s">
        <v>175</v>
      </c>
      <c r="O57" s="311" t="s">
        <v>441</v>
      </c>
      <c r="P57" s="311" t="s">
        <v>442</v>
      </c>
      <c r="Q57" s="311" t="s">
        <v>443</v>
      </c>
      <c r="R57" s="299" t="s">
        <v>445</v>
      </c>
      <c r="T57" s="297" t="s">
        <v>108</v>
      </c>
      <c r="U57" s="298" t="s">
        <v>439</v>
      </c>
      <c r="V57" s="298" t="s">
        <v>440</v>
      </c>
      <c r="W57" s="311" t="s">
        <v>175</v>
      </c>
      <c r="X57" s="311" t="s">
        <v>441</v>
      </c>
      <c r="Y57" s="311" t="s">
        <v>442</v>
      </c>
      <c r="Z57" s="311" t="s">
        <v>443</v>
      </c>
      <c r="AA57" s="299" t="s">
        <v>445</v>
      </c>
      <c r="AC57" s="297" t="s">
        <v>108</v>
      </c>
      <c r="AD57" s="298" t="s">
        <v>439</v>
      </c>
      <c r="AE57" s="298" t="s">
        <v>440</v>
      </c>
      <c r="AF57" s="311" t="s">
        <v>175</v>
      </c>
      <c r="AG57" s="311" t="s">
        <v>441</v>
      </c>
      <c r="AH57" s="311" t="s">
        <v>442</v>
      </c>
      <c r="AI57" s="311" t="s">
        <v>443</v>
      </c>
      <c r="AJ57" s="299" t="s">
        <v>445</v>
      </c>
      <c r="AL57" s="297" t="s">
        <v>108</v>
      </c>
      <c r="AM57" s="298" t="s">
        <v>439</v>
      </c>
      <c r="AN57" s="298" t="s">
        <v>440</v>
      </c>
      <c r="AO57" s="311" t="s">
        <v>175</v>
      </c>
      <c r="AP57" s="311" t="s">
        <v>441</v>
      </c>
      <c r="AQ57" s="311" t="s">
        <v>442</v>
      </c>
      <c r="AR57" s="311" t="s">
        <v>443</v>
      </c>
      <c r="AS57" s="299" t="s">
        <v>445</v>
      </c>
      <c r="AU57" s="297" t="s">
        <v>108</v>
      </c>
      <c r="AV57" s="298" t="s">
        <v>439</v>
      </c>
      <c r="AW57" s="298" t="s">
        <v>440</v>
      </c>
      <c r="AX57" s="311" t="s">
        <v>175</v>
      </c>
      <c r="AY57" s="311" t="s">
        <v>441</v>
      </c>
      <c r="AZ57" s="311" t="s">
        <v>442</v>
      </c>
      <c r="BA57" s="311" t="s">
        <v>443</v>
      </c>
      <c r="BB57" s="299" t="s">
        <v>445</v>
      </c>
      <c r="BD57" s="297" t="s">
        <v>108</v>
      </c>
      <c r="BE57" s="298" t="s">
        <v>439</v>
      </c>
      <c r="BF57" s="298" t="s">
        <v>440</v>
      </c>
      <c r="BG57" s="311" t="s">
        <v>175</v>
      </c>
      <c r="BH57" s="311" t="s">
        <v>441</v>
      </c>
      <c r="BI57" s="311" t="s">
        <v>442</v>
      </c>
      <c r="BJ57" s="311" t="s">
        <v>443</v>
      </c>
      <c r="BK57" s="299" t="s">
        <v>445</v>
      </c>
      <c r="BM57" s="297" t="s">
        <v>108</v>
      </c>
      <c r="BN57" s="298" t="s">
        <v>439</v>
      </c>
      <c r="BO57" s="298" t="s">
        <v>440</v>
      </c>
      <c r="BP57" s="311" t="s">
        <v>175</v>
      </c>
      <c r="BQ57" s="311" t="s">
        <v>441</v>
      </c>
      <c r="BR57" s="311" t="s">
        <v>442</v>
      </c>
      <c r="BS57" s="311" t="s">
        <v>443</v>
      </c>
      <c r="BT57" s="299" t="s">
        <v>445</v>
      </c>
      <c r="BV57" s="297" t="s">
        <v>108</v>
      </c>
      <c r="BW57" s="298" t="s">
        <v>439</v>
      </c>
      <c r="BX57" s="298" t="s">
        <v>440</v>
      </c>
      <c r="BY57" s="311" t="s">
        <v>175</v>
      </c>
      <c r="BZ57" s="311" t="s">
        <v>441</v>
      </c>
      <c r="CA57" s="311" t="s">
        <v>442</v>
      </c>
      <c r="CB57" s="311" t="s">
        <v>443</v>
      </c>
      <c r="CC57" s="299" t="s">
        <v>445</v>
      </c>
      <c r="CE57" s="297" t="s">
        <v>108</v>
      </c>
      <c r="CF57" s="298" t="s">
        <v>439</v>
      </c>
      <c r="CG57" s="298" t="s">
        <v>440</v>
      </c>
      <c r="CH57" s="311" t="s">
        <v>175</v>
      </c>
      <c r="CI57" s="311" t="s">
        <v>441</v>
      </c>
      <c r="CJ57" s="311" t="s">
        <v>442</v>
      </c>
      <c r="CK57" s="311" t="s">
        <v>443</v>
      </c>
      <c r="CL57" s="299" t="s">
        <v>445</v>
      </c>
      <c r="CN57" s="297" t="s">
        <v>108</v>
      </c>
      <c r="CO57" s="298" t="s">
        <v>439</v>
      </c>
      <c r="CP57" s="298" t="s">
        <v>440</v>
      </c>
      <c r="CQ57" s="311" t="s">
        <v>175</v>
      </c>
      <c r="CR57" s="311" t="s">
        <v>441</v>
      </c>
      <c r="CS57" s="311" t="s">
        <v>442</v>
      </c>
      <c r="CT57" s="311" t="s">
        <v>443</v>
      </c>
      <c r="CU57" s="299" t="s">
        <v>445</v>
      </c>
      <c r="CW57" s="297" t="s">
        <v>108</v>
      </c>
      <c r="CX57" s="298" t="s">
        <v>439</v>
      </c>
      <c r="CY57" s="298" t="s">
        <v>440</v>
      </c>
      <c r="CZ57" s="311" t="s">
        <v>175</v>
      </c>
      <c r="DA57" s="311" t="s">
        <v>441</v>
      </c>
      <c r="DB57" s="311" t="s">
        <v>442</v>
      </c>
      <c r="DC57" s="311" t="s">
        <v>443</v>
      </c>
      <c r="DD57" s="299" t="s">
        <v>445</v>
      </c>
      <c r="DF57" s="297" t="s">
        <v>108</v>
      </c>
      <c r="DG57" s="298" t="s">
        <v>439</v>
      </c>
      <c r="DH57" s="298" t="s">
        <v>440</v>
      </c>
      <c r="DI57" s="311" t="s">
        <v>175</v>
      </c>
      <c r="DJ57" s="311" t="s">
        <v>441</v>
      </c>
      <c r="DK57" s="311" t="s">
        <v>442</v>
      </c>
      <c r="DL57" s="311" t="s">
        <v>443</v>
      </c>
      <c r="DM57" s="299" t="s">
        <v>445</v>
      </c>
      <c r="DO57" s="297" t="s">
        <v>108</v>
      </c>
      <c r="DP57" s="298" t="s">
        <v>439</v>
      </c>
      <c r="DQ57" s="298" t="s">
        <v>440</v>
      </c>
      <c r="DR57" s="311" t="s">
        <v>175</v>
      </c>
      <c r="DS57" s="311" t="s">
        <v>441</v>
      </c>
      <c r="DT57" s="311" t="s">
        <v>442</v>
      </c>
      <c r="DU57" s="311" t="s">
        <v>443</v>
      </c>
      <c r="DV57" s="299" t="s">
        <v>445</v>
      </c>
    </row>
    <row r="58" spans="2:126" ht="15.75" thickBot="1" x14ac:dyDescent="0.3">
      <c r="B58" s="312" t="s">
        <v>446</v>
      </c>
      <c r="C58" s="313" t="s">
        <v>447</v>
      </c>
      <c r="D58" s="313"/>
      <c r="E58" s="314"/>
      <c r="F58" s="314"/>
      <c r="G58" s="314"/>
      <c r="H58" s="314"/>
      <c r="I58" s="315"/>
      <c r="K58" s="312" t="s">
        <v>446</v>
      </c>
      <c r="L58" s="313" t="s">
        <v>447</v>
      </c>
      <c r="M58" s="313"/>
      <c r="N58" s="314"/>
      <c r="O58" s="314"/>
      <c r="P58" s="314"/>
      <c r="Q58" s="314"/>
      <c r="R58" s="315"/>
      <c r="T58" s="312" t="s">
        <v>446</v>
      </c>
      <c r="U58" s="313" t="s">
        <v>447</v>
      </c>
      <c r="V58" s="313"/>
      <c r="W58" s="314"/>
      <c r="X58" s="314"/>
      <c r="Y58" s="314"/>
      <c r="Z58" s="314"/>
      <c r="AA58" s="315"/>
      <c r="AC58" s="312" t="s">
        <v>446</v>
      </c>
      <c r="AD58" s="313" t="s">
        <v>447</v>
      </c>
      <c r="AE58" s="313"/>
      <c r="AF58" s="314"/>
      <c r="AG58" s="314"/>
      <c r="AH58" s="314"/>
      <c r="AI58" s="314"/>
      <c r="AJ58" s="315"/>
      <c r="AL58" s="312" t="s">
        <v>446</v>
      </c>
      <c r="AM58" s="313" t="s">
        <v>447</v>
      </c>
      <c r="AN58" s="313"/>
      <c r="AO58" s="314"/>
      <c r="AP58" s="314"/>
      <c r="AQ58" s="314"/>
      <c r="AR58" s="314"/>
      <c r="AS58" s="315"/>
      <c r="AU58" s="312" t="s">
        <v>446</v>
      </c>
      <c r="AV58" s="313" t="s">
        <v>447</v>
      </c>
      <c r="AW58" s="313"/>
      <c r="AX58" s="314"/>
      <c r="AY58" s="314"/>
      <c r="AZ58" s="314"/>
      <c r="BA58" s="314"/>
      <c r="BB58" s="315"/>
      <c r="BD58" s="312" t="s">
        <v>446</v>
      </c>
      <c r="BE58" s="313" t="s">
        <v>447</v>
      </c>
      <c r="BF58" s="313"/>
      <c r="BG58" s="314"/>
      <c r="BH58" s="314"/>
      <c r="BI58" s="314"/>
      <c r="BJ58" s="314"/>
      <c r="BK58" s="315"/>
      <c r="BM58" s="312" t="s">
        <v>446</v>
      </c>
      <c r="BN58" s="313" t="s">
        <v>447</v>
      </c>
      <c r="BO58" s="313"/>
      <c r="BP58" s="314"/>
      <c r="BQ58" s="314"/>
      <c r="BR58" s="314"/>
      <c r="BS58" s="314"/>
      <c r="BT58" s="315"/>
      <c r="BV58" s="312" t="s">
        <v>446</v>
      </c>
      <c r="BW58" s="313" t="s">
        <v>447</v>
      </c>
      <c r="BX58" s="313"/>
      <c r="BY58" s="314"/>
      <c r="BZ58" s="314"/>
      <c r="CA58" s="314"/>
      <c r="CB58" s="314"/>
      <c r="CC58" s="315"/>
      <c r="CE58" s="312" t="s">
        <v>446</v>
      </c>
      <c r="CF58" s="313" t="s">
        <v>447</v>
      </c>
      <c r="CG58" s="313"/>
      <c r="CH58" s="314"/>
      <c r="CI58" s="314"/>
      <c r="CJ58" s="314"/>
      <c r="CK58" s="314"/>
      <c r="CL58" s="315"/>
      <c r="CN58" s="312" t="s">
        <v>446</v>
      </c>
      <c r="CO58" s="313" t="s">
        <v>447</v>
      </c>
      <c r="CP58" s="313"/>
      <c r="CQ58" s="314"/>
      <c r="CR58" s="314"/>
      <c r="CS58" s="314"/>
      <c r="CT58" s="314"/>
      <c r="CU58" s="315"/>
      <c r="CW58" s="312" t="s">
        <v>446</v>
      </c>
      <c r="CX58" s="313" t="s">
        <v>447</v>
      </c>
      <c r="CY58" s="313"/>
      <c r="CZ58" s="314"/>
      <c r="DA58" s="314"/>
      <c r="DB58" s="314"/>
      <c r="DC58" s="314"/>
      <c r="DD58" s="315"/>
      <c r="DF58" s="312" t="s">
        <v>446</v>
      </c>
      <c r="DG58" s="313" t="s">
        <v>447</v>
      </c>
      <c r="DH58" s="313"/>
      <c r="DI58" s="314"/>
      <c r="DJ58" s="314"/>
      <c r="DK58" s="314"/>
      <c r="DL58" s="314"/>
      <c r="DM58" s="315"/>
      <c r="DO58" s="312" t="s">
        <v>446</v>
      </c>
      <c r="DP58" s="313" t="s">
        <v>447</v>
      </c>
      <c r="DQ58" s="313"/>
      <c r="DR58" s="314"/>
      <c r="DS58" s="314"/>
      <c r="DT58" s="314"/>
      <c r="DU58" s="314"/>
      <c r="DV58" s="315"/>
    </row>
    <row r="59" spans="2:126" x14ac:dyDescent="0.25">
      <c r="B59" s="300">
        <v>1</v>
      </c>
      <c r="C59" s="316" t="s">
        <v>448</v>
      </c>
      <c r="D59" s="316"/>
      <c r="E59" s="317"/>
      <c r="F59" s="317"/>
      <c r="G59" s="317"/>
      <c r="H59" s="317"/>
      <c r="I59" s="318"/>
      <c r="K59" s="300">
        <v>1</v>
      </c>
      <c r="L59" s="316" t="s">
        <v>448</v>
      </c>
      <c r="M59" s="316"/>
      <c r="N59" s="317"/>
      <c r="O59" s="317"/>
      <c r="P59" s="317"/>
      <c r="Q59" s="317"/>
      <c r="R59" s="318"/>
      <c r="T59" s="300">
        <v>1</v>
      </c>
      <c r="U59" s="316" t="s">
        <v>448</v>
      </c>
      <c r="V59" s="316"/>
      <c r="W59" s="317"/>
      <c r="X59" s="317"/>
      <c r="Y59" s="317"/>
      <c r="Z59" s="317"/>
      <c r="AA59" s="318"/>
      <c r="AC59" s="300">
        <v>1</v>
      </c>
      <c r="AD59" s="316" t="s">
        <v>448</v>
      </c>
      <c r="AE59" s="316"/>
      <c r="AF59" s="317"/>
      <c r="AG59" s="317"/>
      <c r="AH59" s="317"/>
      <c r="AI59" s="317"/>
      <c r="AJ59" s="318"/>
      <c r="AL59" s="300">
        <v>1</v>
      </c>
      <c r="AM59" s="316" t="s">
        <v>448</v>
      </c>
      <c r="AN59" s="316"/>
      <c r="AO59" s="317"/>
      <c r="AP59" s="317"/>
      <c r="AQ59" s="317"/>
      <c r="AR59" s="317"/>
      <c r="AS59" s="318"/>
      <c r="AU59" s="300">
        <v>1</v>
      </c>
      <c r="AV59" s="316" t="s">
        <v>448</v>
      </c>
      <c r="AW59" s="316"/>
      <c r="AX59" s="317"/>
      <c r="AY59" s="317"/>
      <c r="AZ59" s="317"/>
      <c r="BA59" s="317"/>
      <c r="BB59" s="318"/>
      <c r="BD59" s="300">
        <v>1</v>
      </c>
      <c r="BE59" s="316" t="s">
        <v>448</v>
      </c>
      <c r="BF59" s="316"/>
      <c r="BG59" s="317"/>
      <c r="BH59" s="317"/>
      <c r="BI59" s="317"/>
      <c r="BJ59" s="317"/>
      <c r="BK59" s="318"/>
      <c r="BM59" s="300">
        <v>1</v>
      </c>
      <c r="BN59" s="316" t="s">
        <v>448</v>
      </c>
      <c r="BO59" s="316"/>
      <c r="BP59" s="317"/>
      <c r="BQ59" s="317"/>
      <c r="BR59" s="317"/>
      <c r="BS59" s="317"/>
      <c r="BT59" s="318"/>
      <c r="BV59" s="300">
        <v>1</v>
      </c>
      <c r="BW59" s="316" t="s">
        <v>448</v>
      </c>
      <c r="BX59" s="316"/>
      <c r="BY59" s="317"/>
      <c r="BZ59" s="317"/>
      <c r="CA59" s="317"/>
      <c r="CB59" s="317"/>
      <c r="CC59" s="318"/>
      <c r="CE59" s="300">
        <v>1</v>
      </c>
      <c r="CF59" s="316" t="s">
        <v>448</v>
      </c>
      <c r="CG59" s="316"/>
      <c r="CH59" s="317"/>
      <c r="CI59" s="317"/>
      <c r="CJ59" s="317"/>
      <c r="CK59" s="317"/>
      <c r="CL59" s="318"/>
      <c r="CN59" s="300">
        <v>1</v>
      </c>
      <c r="CO59" s="316" t="s">
        <v>448</v>
      </c>
      <c r="CP59" s="316"/>
      <c r="CQ59" s="317"/>
      <c r="CR59" s="317"/>
      <c r="CS59" s="317"/>
      <c r="CT59" s="317"/>
      <c r="CU59" s="318"/>
      <c r="CW59" s="300">
        <v>1</v>
      </c>
      <c r="CX59" s="316" t="s">
        <v>448</v>
      </c>
      <c r="CY59" s="316"/>
      <c r="CZ59" s="317"/>
      <c r="DA59" s="317"/>
      <c r="DB59" s="317"/>
      <c r="DC59" s="317"/>
      <c r="DD59" s="318"/>
      <c r="DF59" s="300">
        <v>1</v>
      </c>
      <c r="DG59" s="316" t="s">
        <v>448</v>
      </c>
      <c r="DH59" s="316"/>
      <c r="DI59" s="317"/>
      <c r="DJ59" s="317"/>
      <c r="DK59" s="317"/>
      <c r="DL59" s="317"/>
      <c r="DM59" s="318"/>
      <c r="DO59" s="300">
        <v>1</v>
      </c>
      <c r="DP59" s="316" t="s">
        <v>448</v>
      </c>
      <c r="DQ59" s="316"/>
      <c r="DR59" s="317"/>
      <c r="DS59" s="317"/>
      <c r="DT59" s="317"/>
      <c r="DU59" s="317"/>
      <c r="DV59" s="318"/>
    </row>
    <row r="60" spans="2:126" ht="15.75" thickBot="1" x14ac:dyDescent="0.3">
      <c r="B60" s="253">
        <v>2</v>
      </c>
      <c r="C60" s="301" t="s">
        <v>450</v>
      </c>
      <c r="D60" s="301"/>
      <c r="E60" s="319"/>
      <c r="F60" s="319"/>
      <c r="G60" s="319"/>
      <c r="H60" s="319"/>
      <c r="I60" s="288"/>
      <c r="K60" s="253">
        <v>2</v>
      </c>
      <c r="L60" s="301" t="s">
        <v>450</v>
      </c>
      <c r="M60" s="301" t="s">
        <v>515</v>
      </c>
      <c r="N60" s="319" t="s">
        <v>229</v>
      </c>
      <c r="O60" s="319"/>
      <c r="P60" s="343">
        <f>Peralatan_IC!I67</f>
        <v>180</v>
      </c>
      <c r="Q60" s="319"/>
      <c r="R60" s="288"/>
      <c r="T60" s="253">
        <v>2</v>
      </c>
      <c r="U60" s="301" t="s">
        <v>450</v>
      </c>
      <c r="V60" s="301" t="s">
        <v>516</v>
      </c>
      <c r="W60" s="319" t="s">
        <v>229</v>
      </c>
      <c r="X60" s="319"/>
      <c r="Y60" s="343">
        <f>Peralatan_IC!I70</f>
        <v>180</v>
      </c>
      <c r="Z60" s="319"/>
      <c r="AA60" s="288"/>
      <c r="AC60" s="253">
        <v>2</v>
      </c>
      <c r="AD60" s="301" t="s">
        <v>450</v>
      </c>
      <c r="AE60" s="301" t="s">
        <v>517</v>
      </c>
      <c r="AF60" s="319" t="s">
        <v>459</v>
      </c>
      <c r="AG60" s="319"/>
      <c r="AH60" s="343">
        <f>Peralatan_IC!I11</f>
        <v>419.99999999999994</v>
      </c>
      <c r="AI60" s="319"/>
      <c r="AJ60" s="288"/>
      <c r="AL60" s="253">
        <v>2</v>
      </c>
      <c r="AM60" s="301" t="s">
        <v>450</v>
      </c>
      <c r="AN60" s="301" t="s">
        <v>518</v>
      </c>
      <c r="AO60" s="319" t="s">
        <v>459</v>
      </c>
      <c r="AP60" s="319"/>
      <c r="AQ60" s="343">
        <f>Peralatan_IC!I16</f>
        <v>900</v>
      </c>
      <c r="AR60" s="319"/>
      <c r="AS60" s="288"/>
      <c r="AU60" s="253">
        <v>2</v>
      </c>
      <c r="AV60" s="301" t="s">
        <v>450</v>
      </c>
      <c r="AW60" s="301" t="s">
        <v>519</v>
      </c>
      <c r="AX60" s="319" t="s">
        <v>459</v>
      </c>
      <c r="AY60" s="319"/>
      <c r="AZ60" s="343">
        <f>Peralatan_IC!I23</f>
        <v>299.99999999999989</v>
      </c>
      <c r="BA60" s="319"/>
      <c r="BB60" s="288"/>
      <c r="BD60" s="253">
        <v>2</v>
      </c>
      <c r="BE60" s="301" t="s">
        <v>450</v>
      </c>
      <c r="BF60" s="301" t="s">
        <v>520</v>
      </c>
      <c r="BG60" s="319" t="s">
        <v>459</v>
      </c>
      <c r="BH60" s="319"/>
      <c r="BI60" s="343">
        <f>Peralatan_IC!I32</f>
        <v>299.99999999999989</v>
      </c>
      <c r="BJ60" s="319"/>
      <c r="BK60" s="288"/>
      <c r="BM60" s="253">
        <v>2</v>
      </c>
      <c r="BN60" s="301" t="s">
        <v>450</v>
      </c>
      <c r="BO60" s="301" t="s">
        <v>521</v>
      </c>
      <c r="BP60" s="319" t="s">
        <v>459</v>
      </c>
      <c r="BQ60" s="319"/>
      <c r="BR60" s="343">
        <f>Peralatan_IC!I35</f>
        <v>299.99999999999989</v>
      </c>
      <c r="BS60" s="319"/>
      <c r="BT60" s="288"/>
      <c r="BV60" s="253">
        <v>2</v>
      </c>
      <c r="BW60" s="301" t="s">
        <v>450</v>
      </c>
      <c r="BX60" s="301" t="s">
        <v>522</v>
      </c>
      <c r="BY60" s="319" t="s">
        <v>459</v>
      </c>
      <c r="BZ60" s="319"/>
      <c r="CA60" s="343">
        <f>Peralatan_IC!I44</f>
        <v>414.99999999999994</v>
      </c>
      <c r="CB60" s="319"/>
      <c r="CC60" s="288"/>
      <c r="CE60" s="253">
        <v>2</v>
      </c>
      <c r="CF60" s="301" t="s">
        <v>450</v>
      </c>
      <c r="CG60" s="301" t="s">
        <v>523</v>
      </c>
      <c r="CH60" s="319" t="s">
        <v>459</v>
      </c>
      <c r="CI60" s="319"/>
      <c r="CJ60" s="343">
        <f>Peralatan_IC!I41</f>
        <v>295.00000000000006</v>
      </c>
      <c r="CK60" s="319"/>
      <c r="CL60" s="288"/>
      <c r="CN60" s="253">
        <v>2</v>
      </c>
      <c r="CO60" s="301" t="s">
        <v>450</v>
      </c>
      <c r="CP60" s="301" t="s">
        <v>524</v>
      </c>
      <c r="CQ60" s="319" t="s">
        <v>459</v>
      </c>
      <c r="CR60" s="319"/>
      <c r="CS60" s="343">
        <f>Peralatan_IC!I47</f>
        <v>299.99999999999989</v>
      </c>
      <c r="CT60" s="319"/>
      <c r="CU60" s="288"/>
      <c r="CW60" s="253">
        <v>2</v>
      </c>
      <c r="CX60" s="301" t="s">
        <v>450</v>
      </c>
      <c r="CY60" s="301" t="s">
        <v>525</v>
      </c>
      <c r="CZ60" s="319" t="s">
        <v>459</v>
      </c>
      <c r="DA60" s="319"/>
      <c r="DB60" s="343">
        <f>Peralatan_IC!I51</f>
        <v>299.99999999999989</v>
      </c>
      <c r="DC60" s="319"/>
      <c r="DD60" s="288"/>
      <c r="DF60" s="253">
        <v>2</v>
      </c>
      <c r="DG60" s="301" t="s">
        <v>450</v>
      </c>
      <c r="DH60" s="301" t="s">
        <v>526</v>
      </c>
      <c r="DI60" s="319" t="s">
        <v>229</v>
      </c>
      <c r="DJ60" s="319"/>
      <c r="DK60" s="343">
        <f>Peralatan_IC!I58</f>
        <v>1440</v>
      </c>
      <c r="DL60" s="319"/>
      <c r="DM60" s="288"/>
      <c r="DO60" s="253">
        <v>2</v>
      </c>
      <c r="DP60" s="301" t="s">
        <v>450</v>
      </c>
      <c r="DQ60" s="301" t="s">
        <v>649</v>
      </c>
      <c r="DR60" s="319" t="s">
        <v>229</v>
      </c>
      <c r="DS60" s="319"/>
      <c r="DT60" s="343">
        <f>Peralatan_IC!I64</f>
        <v>1440</v>
      </c>
      <c r="DU60" s="319"/>
      <c r="DV60" s="288"/>
    </row>
    <row r="61" spans="2:126" ht="15.75" thickBot="1" x14ac:dyDescent="0.3">
      <c r="B61" s="297" t="s">
        <v>454</v>
      </c>
      <c r="C61" s="298" t="s">
        <v>456</v>
      </c>
      <c r="D61" s="298"/>
      <c r="E61" s="311"/>
      <c r="F61" s="311"/>
      <c r="G61" s="311"/>
      <c r="H61" s="311"/>
      <c r="I61" s="299"/>
      <c r="K61" s="297" t="s">
        <v>454</v>
      </c>
      <c r="L61" s="298" t="s">
        <v>455</v>
      </c>
      <c r="M61" s="298"/>
      <c r="N61" s="311"/>
      <c r="O61" s="311"/>
      <c r="P61" s="311"/>
      <c r="Q61" s="311"/>
      <c r="R61" s="299"/>
      <c r="T61" s="297" t="s">
        <v>454</v>
      </c>
      <c r="U61" s="298" t="s">
        <v>455</v>
      </c>
      <c r="V61" s="298"/>
      <c r="W61" s="311"/>
      <c r="X61" s="311"/>
      <c r="Y61" s="311"/>
      <c r="Z61" s="311"/>
      <c r="AA61" s="299"/>
      <c r="AC61" s="253"/>
      <c r="AD61" s="301"/>
      <c r="AF61" s="319"/>
      <c r="AG61" s="319"/>
      <c r="AH61" s="319"/>
      <c r="AI61" s="319"/>
      <c r="AJ61" s="288"/>
      <c r="AL61" s="333"/>
      <c r="AM61" s="344"/>
      <c r="AN61" s="344" t="s">
        <v>527</v>
      </c>
      <c r="AO61" s="345" t="s">
        <v>459</v>
      </c>
      <c r="AP61" s="345"/>
      <c r="AQ61" s="346">
        <f>Peralatan_IC!I15</f>
        <v>419.99999999999994</v>
      </c>
      <c r="AR61" s="345"/>
      <c r="AS61" s="347"/>
      <c r="AU61" s="253"/>
      <c r="AV61" s="301"/>
      <c r="AW61" s="301" t="s">
        <v>528</v>
      </c>
      <c r="AX61" s="319" t="s">
        <v>229</v>
      </c>
      <c r="AY61" s="319"/>
      <c r="AZ61" s="343">
        <f>Peralatan_IC!I24</f>
        <v>120.00000000000006</v>
      </c>
      <c r="BA61" s="319"/>
      <c r="BB61" s="288"/>
      <c r="BD61" s="253"/>
      <c r="BE61" s="301"/>
      <c r="BF61" s="301" t="s">
        <v>529</v>
      </c>
      <c r="BG61" s="319" t="s">
        <v>229</v>
      </c>
      <c r="BH61" s="319"/>
      <c r="BI61" s="343">
        <f>Peralatan_IC!I33</f>
        <v>120.00000000000006</v>
      </c>
      <c r="BJ61" s="319"/>
      <c r="BK61" s="288"/>
      <c r="BM61" s="253"/>
      <c r="BN61" s="301"/>
      <c r="BO61" s="301" t="s">
        <v>530</v>
      </c>
      <c r="BP61" s="319" t="s">
        <v>229</v>
      </c>
      <c r="BQ61" s="319"/>
      <c r="BR61" s="343">
        <f>Peralatan_IC!I36</f>
        <v>120.00000000000006</v>
      </c>
      <c r="BS61" s="319"/>
      <c r="BT61" s="288"/>
      <c r="BV61" s="297" t="s">
        <v>454</v>
      </c>
      <c r="BW61" s="298" t="s">
        <v>455</v>
      </c>
      <c r="BX61" s="298"/>
      <c r="BY61" s="311"/>
      <c r="BZ61" s="311"/>
      <c r="CA61" s="311"/>
      <c r="CB61" s="311"/>
      <c r="CC61" s="299"/>
      <c r="CE61" s="297" t="s">
        <v>454</v>
      </c>
      <c r="CF61" s="298" t="s">
        <v>455</v>
      </c>
      <c r="CG61" s="298"/>
      <c r="CH61" s="311"/>
      <c r="CI61" s="311"/>
      <c r="CJ61" s="311"/>
      <c r="CK61" s="311"/>
      <c r="CL61" s="299"/>
      <c r="CN61" s="297" t="s">
        <v>454</v>
      </c>
      <c r="CO61" s="298" t="s">
        <v>455</v>
      </c>
      <c r="CP61" s="298"/>
      <c r="CQ61" s="311"/>
      <c r="CR61" s="311"/>
      <c r="CS61" s="311"/>
      <c r="CT61" s="311"/>
      <c r="CU61" s="299"/>
      <c r="CW61" s="297" t="s">
        <v>454</v>
      </c>
      <c r="CX61" s="298" t="s">
        <v>455</v>
      </c>
      <c r="CY61" s="298"/>
      <c r="CZ61" s="311"/>
      <c r="DA61" s="311"/>
      <c r="DB61" s="311"/>
      <c r="DC61" s="311"/>
      <c r="DD61" s="299"/>
      <c r="DF61" s="253"/>
      <c r="DG61" s="301"/>
      <c r="DH61" s="301" t="s">
        <v>531</v>
      </c>
      <c r="DI61" s="319" t="s">
        <v>229</v>
      </c>
      <c r="DJ61" s="319"/>
      <c r="DK61" s="343">
        <f>Peralatan_IC!I59</f>
        <v>1440</v>
      </c>
      <c r="DL61" s="319"/>
      <c r="DM61" s="288"/>
      <c r="DO61" s="253"/>
      <c r="DP61" s="301"/>
      <c r="DQ61" s="301" t="s">
        <v>650</v>
      </c>
      <c r="DR61" s="319" t="s">
        <v>229</v>
      </c>
      <c r="DS61" s="319"/>
      <c r="DT61" s="343">
        <f>Peralatan_IC!I65</f>
        <v>1440</v>
      </c>
      <c r="DU61" s="319"/>
      <c r="DV61" s="288"/>
    </row>
    <row r="62" spans="2:126" ht="15.75" thickBot="1" x14ac:dyDescent="0.3">
      <c r="B62" s="320">
        <v>1</v>
      </c>
      <c r="C62" s="321" t="s">
        <v>457</v>
      </c>
      <c r="D62" s="321"/>
      <c r="E62" s="322"/>
      <c r="F62" s="322"/>
      <c r="G62" s="322"/>
      <c r="H62" s="322"/>
      <c r="I62" s="324"/>
      <c r="K62" s="320">
        <v>1</v>
      </c>
      <c r="L62" s="321" t="s">
        <v>457</v>
      </c>
      <c r="M62" s="321" t="s">
        <v>458</v>
      </c>
      <c r="N62" s="322" t="s">
        <v>459</v>
      </c>
      <c r="O62" s="323">
        <f>Mesin_IC!W147</f>
        <v>0.99972222222222218</v>
      </c>
      <c r="P62" s="348">
        <f>Peralatan_IC!I69</f>
        <v>30.000000000000053</v>
      </c>
      <c r="Q62" s="322">
        <v>0.1</v>
      </c>
      <c r="R62" s="324">
        <f>Mesin_IC!W144</f>
        <v>0</v>
      </c>
      <c r="T62" s="320">
        <v>1</v>
      </c>
      <c r="U62" s="321" t="s">
        <v>457</v>
      </c>
      <c r="V62" s="321"/>
      <c r="W62" s="322"/>
      <c r="X62" s="322"/>
      <c r="Y62" s="322"/>
      <c r="Z62" s="322"/>
      <c r="AA62" s="324"/>
      <c r="AC62" s="297" t="s">
        <v>454</v>
      </c>
      <c r="AD62" s="298" t="s">
        <v>455</v>
      </c>
      <c r="AE62" s="298"/>
      <c r="AF62" s="311"/>
      <c r="AG62" s="311"/>
      <c r="AH62" s="311"/>
      <c r="AI62" s="311"/>
      <c r="AJ62" s="299"/>
      <c r="AL62" s="297" t="s">
        <v>454</v>
      </c>
      <c r="AM62" s="298" t="s">
        <v>455</v>
      </c>
      <c r="AN62" s="298"/>
      <c r="AO62" s="311"/>
      <c r="AP62" s="311"/>
      <c r="AQ62" s="311"/>
      <c r="AR62" s="311"/>
      <c r="AS62" s="299"/>
      <c r="AU62" s="297" t="s">
        <v>454</v>
      </c>
      <c r="AV62" s="298" t="s">
        <v>455</v>
      </c>
      <c r="AW62" s="298"/>
      <c r="AX62" s="311"/>
      <c r="AY62" s="311"/>
      <c r="AZ62" s="311"/>
      <c r="BA62" s="311"/>
      <c r="BB62" s="299"/>
      <c r="BD62" s="297" t="s">
        <v>454</v>
      </c>
      <c r="BE62" s="298" t="s">
        <v>455</v>
      </c>
      <c r="BF62" s="298"/>
      <c r="BG62" s="311"/>
      <c r="BH62" s="311"/>
      <c r="BI62" s="311"/>
      <c r="BJ62" s="311"/>
      <c r="BK62" s="299"/>
      <c r="BM62" s="297" t="s">
        <v>454</v>
      </c>
      <c r="BN62" s="298" t="s">
        <v>455</v>
      </c>
      <c r="BO62" s="298"/>
      <c r="BP62" s="311"/>
      <c r="BQ62" s="311"/>
      <c r="BR62" s="311"/>
      <c r="BS62" s="311"/>
      <c r="BT62" s="299"/>
      <c r="BV62" s="320">
        <v>1</v>
      </c>
      <c r="BW62" s="321" t="s">
        <v>457</v>
      </c>
      <c r="BX62" s="321"/>
      <c r="BY62" s="322"/>
      <c r="BZ62" s="322"/>
      <c r="CA62" s="322"/>
      <c r="CB62" s="322"/>
      <c r="CC62" s="324"/>
      <c r="CE62" s="320">
        <v>1</v>
      </c>
      <c r="CF62" s="321" t="s">
        <v>457</v>
      </c>
      <c r="CG62" s="321"/>
      <c r="CH62" s="322"/>
      <c r="CI62" s="322"/>
      <c r="CJ62" s="322"/>
      <c r="CK62" s="322"/>
      <c r="CL62" s="324"/>
      <c r="CN62" s="320">
        <v>1</v>
      </c>
      <c r="CO62" s="321" t="s">
        <v>457</v>
      </c>
      <c r="CP62" s="321" t="s">
        <v>532</v>
      </c>
      <c r="CQ62" s="322" t="s">
        <v>459</v>
      </c>
      <c r="CR62" s="323">
        <f>Mesin_IC!Q85</f>
        <v>0.99972222222222218</v>
      </c>
      <c r="CS62" s="348">
        <f>Peralatan_IC!I49</f>
        <v>393</v>
      </c>
      <c r="CT62" s="322">
        <v>0.1</v>
      </c>
      <c r="CU62" s="324">
        <f>Mesin_IC!Q82</f>
        <v>0</v>
      </c>
      <c r="CW62" s="320">
        <v>1</v>
      </c>
      <c r="CX62" s="321" t="s">
        <v>457</v>
      </c>
      <c r="CY62" s="321" t="s">
        <v>533</v>
      </c>
      <c r="CZ62" s="322" t="s">
        <v>459</v>
      </c>
      <c r="DA62" s="323">
        <f>Mesin_IC!AC85</f>
        <v>0.99972222222222218</v>
      </c>
      <c r="DB62" s="349">
        <f>Peralatan_IC!I55</f>
        <v>4.9999999999999822</v>
      </c>
      <c r="DC62" s="329">
        <v>0.1</v>
      </c>
      <c r="DD62" s="324">
        <f>Mesin_IC!AC82</f>
        <v>0</v>
      </c>
      <c r="DF62" s="297" t="s">
        <v>454</v>
      </c>
      <c r="DG62" s="298" t="s">
        <v>455</v>
      </c>
      <c r="DH62" s="298"/>
      <c r="DI62" s="311"/>
      <c r="DJ62" s="311"/>
      <c r="DK62" s="311"/>
      <c r="DL62" s="311"/>
      <c r="DM62" s="299"/>
      <c r="DO62" s="297" t="s">
        <v>454</v>
      </c>
      <c r="DP62" s="298" t="s">
        <v>455</v>
      </c>
      <c r="DQ62" s="298"/>
      <c r="DR62" s="311"/>
      <c r="DS62" s="311"/>
      <c r="DT62" s="311"/>
      <c r="DU62" s="311"/>
      <c r="DV62" s="299"/>
    </row>
    <row r="63" spans="2:126" x14ac:dyDescent="0.25">
      <c r="B63" s="253">
        <v>2</v>
      </c>
      <c r="C63" s="301" t="s">
        <v>461</v>
      </c>
      <c r="D63" s="301" t="s">
        <v>463</v>
      </c>
      <c r="E63" s="319"/>
      <c r="F63" s="325">
        <f>Dinamis_IC!Q117</f>
        <v>0.97685185185185186</v>
      </c>
      <c r="G63" s="319"/>
      <c r="H63" s="319"/>
      <c r="I63" s="288">
        <f>Dinamis_IC!Q114</f>
        <v>1</v>
      </c>
      <c r="K63" s="253">
        <v>2</v>
      </c>
      <c r="L63" s="301" t="s">
        <v>461</v>
      </c>
      <c r="M63" s="301" t="s">
        <v>462</v>
      </c>
      <c r="N63" s="319"/>
      <c r="O63" s="325">
        <f>Dinamis_IC!E55</f>
        <v>0.97685185185185186</v>
      </c>
      <c r="P63" s="319"/>
      <c r="Q63" s="319"/>
      <c r="R63" s="288">
        <f>Dinamis_IC!E52</f>
        <v>1</v>
      </c>
      <c r="T63" s="253">
        <v>2</v>
      </c>
      <c r="U63" s="301" t="s">
        <v>461</v>
      </c>
      <c r="V63" s="301"/>
      <c r="W63" s="319"/>
      <c r="X63" s="319"/>
      <c r="Y63" s="319"/>
      <c r="Z63" s="319"/>
      <c r="AA63" s="288"/>
      <c r="AC63" s="320">
        <v>1</v>
      </c>
      <c r="AD63" s="321" t="s">
        <v>457</v>
      </c>
      <c r="AE63" s="321" t="s">
        <v>534</v>
      </c>
      <c r="AF63" s="322" t="s">
        <v>459</v>
      </c>
      <c r="AG63" s="322"/>
      <c r="AH63" s="348">
        <f>Peralatan_IC!I11</f>
        <v>419.99999999999994</v>
      </c>
      <c r="AI63" s="322">
        <v>0.1</v>
      </c>
      <c r="AJ63" s="324">
        <f>Mesin_IC!K82</f>
        <v>0</v>
      </c>
      <c r="AL63" s="320">
        <v>1</v>
      </c>
      <c r="AM63" s="321" t="s">
        <v>457</v>
      </c>
      <c r="AN63" s="321" t="s">
        <v>535</v>
      </c>
      <c r="AO63" s="322" t="s">
        <v>459</v>
      </c>
      <c r="AP63" s="323">
        <f>Mesin_IC!W54</f>
        <v>0.99972222222222218</v>
      </c>
      <c r="AQ63" s="348">
        <f>Peralatan_IC!I18</f>
        <v>719.99999999999989</v>
      </c>
      <c r="AR63" s="322">
        <v>0.1</v>
      </c>
      <c r="AS63" s="324">
        <f>Mesin_IC!W51</f>
        <v>0</v>
      </c>
      <c r="AU63" s="320">
        <v>1</v>
      </c>
      <c r="AV63" s="321" t="s">
        <v>457</v>
      </c>
      <c r="AW63" s="321" t="s">
        <v>536</v>
      </c>
      <c r="AX63" s="322" t="s">
        <v>229</v>
      </c>
      <c r="AY63" s="323">
        <f>Mesin_IC!W85</f>
        <v>0.99972222222222218</v>
      </c>
      <c r="AZ63" s="348">
        <f>Peralatan_IC!I27</f>
        <v>120.00000000000006</v>
      </c>
      <c r="BA63" s="322">
        <v>0.1</v>
      </c>
      <c r="BB63" s="324">
        <f>Mesin_IC!W82</f>
        <v>0</v>
      </c>
      <c r="BD63" s="320">
        <v>1</v>
      </c>
      <c r="BE63" s="321" t="s">
        <v>457</v>
      </c>
      <c r="BF63" s="321"/>
      <c r="BG63" s="322"/>
      <c r="BH63" s="322"/>
      <c r="BI63" s="322"/>
      <c r="BJ63" s="322"/>
      <c r="BK63" s="324"/>
      <c r="BM63" s="320">
        <v>1</v>
      </c>
      <c r="BN63" s="321" t="s">
        <v>457</v>
      </c>
      <c r="BO63" s="321" t="s">
        <v>537</v>
      </c>
      <c r="BP63" s="322" t="s">
        <v>459</v>
      </c>
      <c r="BQ63" s="323">
        <f>Mesin_IC!W116</f>
        <v>0.99972222222222218</v>
      </c>
      <c r="BR63" s="343">
        <f>Peralatan_IC!I39</f>
        <v>20.000000000000249</v>
      </c>
      <c r="BS63" s="319">
        <v>0.1</v>
      </c>
      <c r="BT63" s="324">
        <f>Mesin_IC!W113</f>
        <v>0</v>
      </c>
      <c r="BV63" s="253">
        <v>2</v>
      </c>
      <c r="BW63" s="301" t="s">
        <v>461</v>
      </c>
      <c r="BX63" s="301" t="s">
        <v>538</v>
      </c>
      <c r="BY63" s="319"/>
      <c r="BZ63" s="325">
        <f>Dinamis_IC!K210</f>
        <v>0.97685185185185186</v>
      </c>
      <c r="CA63" s="319"/>
      <c r="CB63" s="319"/>
      <c r="CC63" s="288">
        <f>Dinamis_IC!K207</f>
        <v>1</v>
      </c>
      <c r="CE63" s="253">
        <v>2</v>
      </c>
      <c r="CF63" s="301" t="s">
        <v>461</v>
      </c>
      <c r="CG63" s="301"/>
      <c r="CH63" s="319"/>
      <c r="CI63" s="319"/>
      <c r="CJ63" s="319"/>
      <c r="CK63" s="319"/>
      <c r="CL63" s="288"/>
      <c r="CN63" s="253">
        <v>2</v>
      </c>
      <c r="CO63" s="301" t="s">
        <v>461</v>
      </c>
      <c r="CP63" s="301" t="s">
        <v>539</v>
      </c>
      <c r="CQ63" s="319" t="s">
        <v>459</v>
      </c>
      <c r="CR63" s="325">
        <f>Dinamis_IC!K241</f>
        <v>0.97685185185185186</v>
      </c>
      <c r="CS63" s="319"/>
      <c r="CT63" s="319"/>
      <c r="CU63" s="288">
        <f>Dinamis_IC!K238</f>
        <v>1</v>
      </c>
      <c r="CW63" s="320"/>
      <c r="CX63" s="321"/>
      <c r="CY63" s="350" t="s">
        <v>540</v>
      </c>
      <c r="CZ63" s="322" t="s">
        <v>229</v>
      </c>
      <c r="DA63" s="323">
        <f>Mesin_IC!AC147</f>
        <v>0.99972222222222218</v>
      </c>
      <c r="DB63" s="329">
        <v>0</v>
      </c>
      <c r="DC63" s="329">
        <v>0.1</v>
      </c>
      <c r="DD63" s="324">
        <f>Mesin_IC!AC144</f>
        <v>0</v>
      </c>
      <c r="DF63" s="320">
        <v>1</v>
      </c>
      <c r="DG63" s="321" t="s">
        <v>457</v>
      </c>
      <c r="DH63" s="321" t="s">
        <v>541</v>
      </c>
      <c r="DI63" s="322" t="s">
        <v>229</v>
      </c>
      <c r="DJ63" s="323">
        <f>Mesin_IC!AI54</f>
        <v>0.99972222222222218</v>
      </c>
      <c r="DK63" s="348">
        <f>Peralatan_IC!I61</f>
        <v>1440</v>
      </c>
      <c r="DL63" s="322">
        <v>0.1</v>
      </c>
      <c r="DM63" s="324">
        <f>Mesin_IC!AI51</f>
        <v>0</v>
      </c>
      <c r="DO63" s="320">
        <v>1</v>
      </c>
      <c r="DP63" s="321" t="s">
        <v>457</v>
      </c>
      <c r="DQ63" s="321" t="s">
        <v>651</v>
      </c>
      <c r="DR63" s="322" t="s">
        <v>459</v>
      </c>
      <c r="DS63" s="323">
        <f>Mesin_IC!K147</f>
        <v>0.99888888888888894</v>
      </c>
      <c r="DT63" s="348">
        <f>Peralatan_IC!I66</f>
        <v>119.99999999999997</v>
      </c>
      <c r="DU63" s="322">
        <v>0.4</v>
      </c>
      <c r="DV63" s="324">
        <f>Mesin_IC!K144</f>
        <v>0</v>
      </c>
    </row>
    <row r="64" spans="2:126" ht="15.75" thickBot="1" x14ac:dyDescent="0.3">
      <c r="B64" s="253">
        <v>3</v>
      </c>
      <c r="C64" s="301" t="s">
        <v>466</v>
      </c>
      <c r="D64" s="351" t="s">
        <v>467</v>
      </c>
      <c r="E64" s="352"/>
      <c r="F64" s="352"/>
      <c r="G64" s="353">
        <v>24</v>
      </c>
      <c r="H64" s="353">
        <f>1*G64/24</f>
        <v>1</v>
      </c>
      <c r="I64" s="354">
        <v>0</v>
      </c>
      <c r="K64" s="253">
        <v>3</v>
      </c>
      <c r="L64" s="301" t="s">
        <v>466</v>
      </c>
      <c r="M64" s="301"/>
      <c r="N64" s="319"/>
      <c r="O64" s="319"/>
      <c r="P64" s="319"/>
      <c r="Q64" s="319"/>
      <c r="R64" s="288"/>
      <c r="T64" s="253">
        <v>3</v>
      </c>
      <c r="U64" s="301" t="s">
        <v>466</v>
      </c>
      <c r="V64" s="301"/>
      <c r="W64" s="319"/>
      <c r="X64" s="319"/>
      <c r="Y64" s="319"/>
      <c r="Z64" s="319"/>
      <c r="AA64" s="288"/>
      <c r="AC64" s="253">
        <v>2</v>
      </c>
      <c r="AD64" s="301" t="s">
        <v>461</v>
      </c>
      <c r="AE64" s="301" t="s">
        <v>542</v>
      </c>
      <c r="AF64" s="319"/>
      <c r="AG64" s="325">
        <f>Dinamis_IC!E86</f>
        <v>0.97685185185185186</v>
      </c>
      <c r="AH64" s="319"/>
      <c r="AI64" s="319"/>
      <c r="AJ64" s="288">
        <f>Dinamis_IC!E83</f>
        <v>1</v>
      </c>
      <c r="AL64" s="320"/>
      <c r="AM64" s="321"/>
      <c r="AN64" s="321" t="s">
        <v>543</v>
      </c>
      <c r="AO64" s="322" t="s">
        <v>459</v>
      </c>
      <c r="AP64" s="323">
        <f>Mesin_IC!E54</f>
        <v>0.99972222222222218</v>
      </c>
      <c r="AQ64" s="348">
        <f>Peralatan_IC!I19</f>
        <v>239.99999999999994</v>
      </c>
      <c r="AR64" s="322">
        <v>0.1</v>
      </c>
      <c r="AS64" s="324">
        <f>Mesin_IC!E51</f>
        <v>0</v>
      </c>
      <c r="AU64" s="320"/>
      <c r="AV64" s="321"/>
      <c r="AW64" s="321" t="s">
        <v>544</v>
      </c>
      <c r="AX64" s="322" t="s">
        <v>229</v>
      </c>
      <c r="AY64" s="323">
        <f>Mesin_IC!Q54</f>
        <v>0.99972222222222218</v>
      </c>
      <c r="AZ64" s="348">
        <f>Peralatan_IC!I26</f>
        <v>180</v>
      </c>
      <c r="BA64" s="322">
        <v>0.1</v>
      </c>
      <c r="BB64" s="324">
        <f>Mesin_IC!Q51</f>
        <v>0</v>
      </c>
      <c r="BD64" s="253">
        <v>2</v>
      </c>
      <c r="BE64" s="301" t="s">
        <v>461</v>
      </c>
      <c r="BF64" s="301" t="s">
        <v>545</v>
      </c>
      <c r="BG64" s="319"/>
      <c r="BH64" s="325">
        <f>Dinamis_IC!E148</f>
        <v>0.97685185185185186</v>
      </c>
      <c r="BI64" s="319"/>
      <c r="BJ64" s="319"/>
      <c r="BK64" s="288">
        <f>Dinamis_IC!E145</f>
        <v>1</v>
      </c>
      <c r="BM64" s="320"/>
      <c r="BN64" s="321"/>
      <c r="BO64" s="321" t="s">
        <v>546</v>
      </c>
      <c r="BP64" s="322" t="s">
        <v>459</v>
      </c>
      <c r="BQ64" s="323">
        <f>Mesin_IC!AC54</f>
        <v>1</v>
      </c>
      <c r="BR64" s="343">
        <f>Peralatan_IC!I40</f>
        <v>0</v>
      </c>
      <c r="BS64" s="319">
        <v>0</v>
      </c>
      <c r="BT64" s="324">
        <f>Mesin_IC!AC51</f>
        <v>0</v>
      </c>
      <c r="BV64" s="253"/>
      <c r="BW64" s="301"/>
      <c r="BX64" s="301" t="s">
        <v>547</v>
      </c>
      <c r="BY64" s="319"/>
      <c r="BZ64" s="325">
        <f>Dinamis_IC!W55</f>
        <v>0.97775634430727021</v>
      </c>
      <c r="CA64" s="319"/>
      <c r="CB64" s="319"/>
      <c r="CC64" s="288">
        <f>Dinamis_IC!W52</f>
        <v>2.314814814814814E-2</v>
      </c>
      <c r="CE64" s="253">
        <v>3</v>
      </c>
      <c r="CF64" s="301" t="s">
        <v>466</v>
      </c>
      <c r="CG64" s="301"/>
      <c r="CH64" s="319"/>
      <c r="CI64" s="319"/>
      <c r="CJ64" s="319"/>
      <c r="CK64" s="319"/>
      <c r="CL64" s="288"/>
      <c r="CN64" s="253">
        <v>3</v>
      </c>
      <c r="CO64" s="301" t="s">
        <v>466</v>
      </c>
      <c r="CP64" s="301" t="s">
        <v>548</v>
      </c>
      <c r="CQ64" s="319" t="s">
        <v>459</v>
      </c>
      <c r="CR64" s="325">
        <f>Statis_IC!Q148</f>
        <v>0.97685185185185186</v>
      </c>
      <c r="CS64" s="319"/>
      <c r="CT64" s="319"/>
      <c r="CU64" s="288">
        <f>Statis_IC!Q145</f>
        <v>1</v>
      </c>
      <c r="CW64" s="320"/>
      <c r="CX64" s="321"/>
      <c r="CY64" s="321" t="s">
        <v>549</v>
      </c>
      <c r="CZ64" s="322" t="s">
        <v>229</v>
      </c>
      <c r="DA64" s="323">
        <f>Mesin_IC!AI85</f>
        <v>0.99972222222222218</v>
      </c>
      <c r="DB64" s="349">
        <f>Peralatan_IC!I53</f>
        <v>1440</v>
      </c>
      <c r="DC64" s="329">
        <v>0.1</v>
      </c>
      <c r="DD64" s="355">
        <f>Mesin_IC!AI82</f>
        <v>0</v>
      </c>
      <c r="DF64" s="320"/>
      <c r="DG64" s="321"/>
      <c r="DH64" s="321" t="s">
        <v>550</v>
      </c>
      <c r="DI64" s="322" t="s">
        <v>459</v>
      </c>
      <c r="DJ64" s="323">
        <f>Mesin_IC!Q147</f>
        <v>0.99972222222222218</v>
      </c>
      <c r="DK64" s="348">
        <f>Peralatan_IC!I62</f>
        <v>299.99999999999989</v>
      </c>
      <c r="DL64" s="322">
        <v>0.1</v>
      </c>
      <c r="DM64" s="324">
        <f>Mesin_IC!Q144</f>
        <v>0</v>
      </c>
      <c r="DO64" s="320"/>
      <c r="DP64" s="321"/>
      <c r="DQ64" s="321" t="s">
        <v>652</v>
      </c>
      <c r="DR64" s="322" t="s">
        <v>459</v>
      </c>
      <c r="DS64" s="323">
        <f>Mesin_IC!K177</f>
        <v>1</v>
      </c>
      <c r="DT64" s="322"/>
      <c r="DU64" s="322"/>
      <c r="DV64" s="324">
        <f>Mesin_IC!K174</f>
        <v>0</v>
      </c>
    </row>
    <row r="65" spans="2:126" ht="15.75" thickBot="1" x14ac:dyDescent="0.3">
      <c r="B65" s="297" t="s">
        <v>470</v>
      </c>
      <c r="C65" s="298" t="s">
        <v>471</v>
      </c>
      <c r="D65" s="298"/>
      <c r="E65" s="311"/>
      <c r="F65" s="311"/>
      <c r="G65" s="311"/>
      <c r="H65" s="311"/>
      <c r="I65" s="299"/>
      <c r="K65" s="297" t="s">
        <v>470</v>
      </c>
      <c r="L65" s="298" t="s">
        <v>471</v>
      </c>
      <c r="M65" s="298"/>
      <c r="N65" s="311"/>
      <c r="O65" s="311"/>
      <c r="P65" s="311"/>
      <c r="Q65" s="311"/>
      <c r="R65" s="299"/>
      <c r="T65" s="297" t="s">
        <v>470</v>
      </c>
      <c r="U65" s="298" t="s">
        <v>471</v>
      </c>
      <c r="V65" s="298"/>
      <c r="W65" s="311"/>
      <c r="X65" s="311"/>
      <c r="Y65" s="311"/>
      <c r="Z65" s="311"/>
      <c r="AA65" s="299"/>
      <c r="AC65" s="253"/>
      <c r="AD65" s="301"/>
      <c r="AE65" s="301" t="s">
        <v>551</v>
      </c>
      <c r="AF65" s="319"/>
      <c r="AG65" s="325">
        <f>Dinamis_IC!K55</f>
        <v>0.97685185185185186</v>
      </c>
      <c r="AH65" s="319"/>
      <c r="AI65" s="319"/>
      <c r="AJ65" s="288">
        <f>Dinamis_IC!K52</f>
        <v>1</v>
      </c>
      <c r="AL65" s="320"/>
      <c r="AM65" s="321"/>
      <c r="AN65" s="321" t="s">
        <v>552</v>
      </c>
      <c r="AO65" s="322" t="s">
        <v>459</v>
      </c>
      <c r="AP65" s="323">
        <f>Mesin_IC!K54</f>
        <v>0.99972222222222218</v>
      </c>
      <c r="AQ65" s="322">
        <v>0</v>
      </c>
      <c r="AR65" s="322">
        <v>0.1</v>
      </c>
      <c r="AS65" s="324">
        <f>Mesin_IC!K51</f>
        <v>0</v>
      </c>
      <c r="AU65" s="320"/>
      <c r="AV65" s="321"/>
      <c r="AW65" s="321" t="s">
        <v>553</v>
      </c>
      <c r="AX65" s="322" t="s">
        <v>459</v>
      </c>
      <c r="AY65" s="323">
        <f>Mesin_IC!E116</f>
        <v>1</v>
      </c>
      <c r="AZ65" s="348">
        <f>Peralatan_IC!I28</f>
        <v>59.999999999999943</v>
      </c>
      <c r="BA65" s="322">
        <v>0.1</v>
      </c>
      <c r="BB65" s="324">
        <f>Mesin_IC!E113</f>
        <v>0</v>
      </c>
      <c r="BD65" s="253">
        <v>3</v>
      </c>
      <c r="BE65" s="301" t="s">
        <v>466</v>
      </c>
      <c r="BF65" s="301" t="s">
        <v>554</v>
      </c>
      <c r="BG65" s="319" t="s">
        <v>229</v>
      </c>
      <c r="BH65" s="325">
        <f>Statis_IC!W179</f>
        <v>0.99921553497942384</v>
      </c>
      <c r="BI65" s="319"/>
      <c r="BJ65" s="319">
        <f>SUM(BJ79:BJ82)</f>
        <v>0.63888888888888884</v>
      </c>
      <c r="BK65" s="356">
        <f>Statis_IC!W176</f>
        <v>8.3333333333333332E-3</v>
      </c>
      <c r="BM65" s="253">
        <v>2</v>
      </c>
      <c r="BN65" s="301" t="s">
        <v>461</v>
      </c>
      <c r="BO65" s="301" t="s">
        <v>555</v>
      </c>
      <c r="BP65" s="319"/>
      <c r="BQ65" s="325">
        <f>Dinamis_IC!E179</f>
        <v>0.97685185185185186</v>
      </c>
      <c r="BR65" s="319"/>
      <c r="BS65" s="319"/>
      <c r="BT65" s="288">
        <f>Dinamis_IC!E176</f>
        <v>1</v>
      </c>
      <c r="BV65" s="253">
        <v>3</v>
      </c>
      <c r="BW65" s="301" t="s">
        <v>466</v>
      </c>
      <c r="BX65" s="301" t="s">
        <v>556</v>
      </c>
      <c r="BY65" s="319"/>
      <c r="BZ65" s="325">
        <f>Statis_IC!E272</f>
        <v>0.97685185185185186</v>
      </c>
      <c r="CA65" s="319"/>
      <c r="CB65" s="319"/>
      <c r="CC65" s="288">
        <f>Statis_IC!E269</f>
        <v>1</v>
      </c>
      <c r="CE65" s="297" t="s">
        <v>470</v>
      </c>
      <c r="CF65" s="298" t="s">
        <v>471</v>
      </c>
      <c r="CG65" s="298"/>
      <c r="CH65" s="311"/>
      <c r="CI65" s="311"/>
      <c r="CJ65" s="311"/>
      <c r="CK65" s="311"/>
      <c r="CL65" s="299"/>
      <c r="CN65" s="333"/>
      <c r="CO65" s="344"/>
      <c r="CP65" s="344" t="s">
        <v>557</v>
      </c>
      <c r="CQ65" s="345" t="s">
        <v>459</v>
      </c>
      <c r="CR65" s="357">
        <f>Statis_IC!W86</f>
        <v>0.97685185185185186</v>
      </c>
      <c r="CS65" s="345"/>
      <c r="CT65" s="345"/>
      <c r="CU65" s="347">
        <f>Statis_IC!W83</f>
        <v>1</v>
      </c>
      <c r="CW65" s="320"/>
      <c r="CX65" s="321"/>
      <c r="CY65" s="321" t="s">
        <v>558</v>
      </c>
      <c r="CZ65" s="322" t="s">
        <v>459</v>
      </c>
      <c r="DA65" s="323">
        <f>Mesin_IC!AC116</f>
        <v>0.99972222222222218</v>
      </c>
      <c r="DB65" s="349">
        <f>Peralatan_IC!I56</f>
        <v>0</v>
      </c>
      <c r="DC65" s="329">
        <v>0.1</v>
      </c>
      <c r="DD65" s="324">
        <f>Mesin_IC!AC113</f>
        <v>0</v>
      </c>
      <c r="DF65" s="320"/>
      <c r="DG65" s="321"/>
      <c r="DH65" s="463" t="s">
        <v>660</v>
      </c>
      <c r="DI65" s="464" t="s">
        <v>459</v>
      </c>
      <c r="DJ65" s="465"/>
      <c r="DK65" s="466"/>
      <c r="DL65" s="466"/>
      <c r="DM65" s="467"/>
      <c r="DO65" s="253">
        <v>2</v>
      </c>
      <c r="DP65" s="301" t="s">
        <v>461</v>
      </c>
      <c r="DQ65" s="301" t="s">
        <v>653</v>
      </c>
      <c r="DR65" s="319"/>
      <c r="DS65" s="325">
        <f>Dinamis_IC!W86</f>
        <v>0.97685185185185186</v>
      </c>
      <c r="DT65" s="319"/>
      <c r="DU65" s="319"/>
      <c r="DV65" s="288">
        <f>Dinamis_IC!W83</f>
        <v>1</v>
      </c>
    </row>
    <row r="66" spans="2:126" ht="15.75" thickBot="1" x14ac:dyDescent="0.3">
      <c r="B66" s="320">
        <v>1</v>
      </c>
      <c r="C66" s="321" t="s">
        <v>472</v>
      </c>
      <c r="D66" s="321"/>
      <c r="E66" s="322"/>
      <c r="F66" s="322"/>
      <c r="G66" s="322"/>
      <c r="H66" s="322"/>
      <c r="I66" s="324"/>
      <c r="K66" s="320">
        <v>1</v>
      </c>
      <c r="L66" s="321" t="s">
        <v>472</v>
      </c>
      <c r="M66" s="321"/>
      <c r="N66" s="322"/>
      <c r="O66" s="322"/>
      <c r="P66" s="322"/>
      <c r="Q66" s="322"/>
      <c r="R66" s="324"/>
      <c r="T66" s="320">
        <v>1</v>
      </c>
      <c r="U66" s="321" t="s">
        <v>472</v>
      </c>
      <c r="V66" s="321"/>
      <c r="W66" s="322"/>
      <c r="X66" s="322"/>
      <c r="Y66" s="322"/>
      <c r="Z66" s="322"/>
      <c r="AA66" s="324"/>
      <c r="AC66" s="253">
        <v>3</v>
      </c>
      <c r="AD66" s="301" t="s">
        <v>466</v>
      </c>
      <c r="AE66" s="301" t="s">
        <v>560</v>
      </c>
      <c r="AF66" s="319" t="s">
        <v>229</v>
      </c>
      <c r="AG66" s="325">
        <f>Statis_IC!K55</f>
        <v>0.97685185185185186</v>
      </c>
      <c r="AH66" s="329"/>
      <c r="AI66" s="322">
        <f>AI86/10</f>
        <v>0</v>
      </c>
      <c r="AJ66" s="288">
        <f>Statis_IC!K52</f>
        <v>1</v>
      </c>
      <c r="AL66" s="320"/>
      <c r="AM66" s="321"/>
      <c r="AN66" s="321" t="s">
        <v>561</v>
      </c>
      <c r="AO66" s="322" t="s">
        <v>459</v>
      </c>
      <c r="AP66" s="323">
        <f>Mesin_IC!E85</f>
        <v>0.99972222222222218</v>
      </c>
      <c r="AQ66" s="348">
        <f>Peralatan_IC!I21</f>
        <v>239.99999999999994</v>
      </c>
      <c r="AR66" s="322">
        <v>0.1</v>
      </c>
      <c r="AS66" s="324">
        <f>Mesin_IC!E82</f>
        <v>0</v>
      </c>
      <c r="AU66" s="320"/>
      <c r="AV66" s="321"/>
      <c r="AW66" s="321" t="s">
        <v>562</v>
      </c>
      <c r="AX66" s="322" t="s">
        <v>459</v>
      </c>
      <c r="AY66" s="323">
        <f>Mesin_IC!K116</f>
        <v>1</v>
      </c>
      <c r="AZ66" s="348">
        <f>Peralatan_IC!I29</f>
        <v>59.999999999999943</v>
      </c>
      <c r="BA66" s="322">
        <v>0.1</v>
      </c>
      <c r="BB66" s="324">
        <f>Mesin_IC!K113</f>
        <v>0</v>
      </c>
      <c r="BD66" s="333"/>
      <c r="BE66" s="344"/>
      <c r="BF66" s="344" t="s">
        <v>563</v>
      </c>
      <c r="BG66" s="345"/>
      <c r="BH66" s="357">
        <f>Dinamis_IC!Q86</f>
        <v>0.97685185185185186</v>
      </c>
      <c r="BI66" s="345"/>
      <c r="BJ66" s="345"/>
      <c r="BK66" s="347">
        <f>Dinamis_IC!Q83</f>
        <v>1</v>
      </c>
      <c r="BM66" s="253"/>
      <c r="BN66" s="301"/>
      <c r="BO66" s="301" t="s">
        <v>564</v>
      </c>
      <c r="BP66" s="319"/>
      <c r="BQ66" s="325">
        <f>Dinamis_IC!K117</f>
        <v>0.97685185185185186</v>
      </c>
      <c r="BR66" s="319"/>
      <c r="BS66" s="319"/>
      <c r="BT66" s="288">
        <f>Dinamis_IC!K114</f>
        <v>1</v>
      </c>
      <c r="BV66" s="297" t="s">
        <v>470</v>
      </c>
      <c r="BW66" s="298" t="s">
        <v>471</v>
      </c>
      <c r="BX66" s="298"/>
      <c r="BY66" s="311"/>
      <c r="BZ66" s="311"/>
      <c r="CA66" s="311"/>
      <c r="CB66" s="311"/>
      <c r="CC66" s="299"/>
      <c r="CE66" s="320">
        <v>1</v>
      </c>
      <c r="CF66" s="321" t="s">
        <v>472</v>
      </c>
      <c r="CG66" s="321"/>
      <c r="CH66" s="322"/>
      <c r="CI66" s="322"/>
      <c r="CJ66" s="322"/>
      <c r="CK66" s="322"/>
      <c r="CL66" s="324"/>
      <c r="CN66" s="297" t="s">
        <v>470</v>
      </c>
      <c r="CO66" s="298" t="s">
        <v>471</v>
      </c>
      <c r="CP66" s="298"/>
      <c r="CQ66" s="311"/>
      <c r="CR66" s="311"/>
      <c r="CS66" s="311"/>
      <c r="CT66" s="311"/>
      <c r="CU66" s="299"/>
      <c r="CW66" s="320"/>
      <c r="CX66" s="321"/>
      <c r="CY66" s="321" t="s">
        <v>565</v>
      </c>
      <c r="CZ66" s="322" t="s">
        <v>459</v>
      </c>
      <c r="DA66" s="323">
        <f>Mesin_IC!E147</f>
        <v>0.99972222222222218</v>
      </c>
      <c r="DB66" s="349">
        <f>Peralatan_IC!I54</f>
        <v>720</v>
      </c>
      <c r="DC66" s="329">
        <v>0.1</v>
      </c>
      <c r="DD66" s="324">
        <f>Mesin_IC!E144</f>
        <v>0</v>
      </c>
      <c r="DF66" s="253">
        <v>2</v>
      </c>
      <c r="DG66" s="301" t="s">
        <v>461</v>
      </c>
      <c r="DH66" s="301" t="s">
        <v>559</v>
      </c>
      <c r="DI66" s="319"/>
      <c r="DJ66" s="325">
        <f>Dinamis_IC!W117</f>
        <v>0.97685185185185186</v>
      </c>
      <c r="DK66" s="319"/>
      <c r="DL66" s="319"/>
      <c r="DM66" s="288">
        <f>Dinamis_IC!W114</f>
        <v>1</v>
      </c>
      <c r="DO66" s="253"/>
      <c r="DP66" s="301"/>
      <c r="DQ66" s="301" t="s">
        <v>654</v>
      </c>
      <c r="DR66" s="319"/>
      <c r="DS66" s="325">
        <f>Dinamis_IC!K179</f>
        <v>0.97685185185185186</v>
      </c>
      <c r="DT66" s="319"/>
      <c r="DU66" s="319"/>
      <c r="DV66" s="288">
        <f>Dinamis_IC!K176</f>
        <v>1</v>
      </c>
    </row>
    <row r="67" spans="2:126" ht="15.75" thickBot="1" x14ac:dyDescent="0.3">
      <c r="B67" s="320">
        <v>2</v>
      </c>
      <c r="C67" s="301" t="s">
        <v>476</v>
      </c>
      <c r="D67" s="301"/>
      <c r="E67" s="319"/>
      <c r="F67" s="319"/>
      <c r="G67" s="319"/>
      <c r="H67" s="319"/>
      <c r="I67" s="288"/>
      <c r="K67" s="320">
        <v>2</v>
      </c>
      <c r="L67" s="301" t="s">
        <v>476</v>
      </c>
      <c r="M67" s="301"/>
      <c r="N67" s="319"/>
      <c r="O67" s="319"/>
      <c r="P67" s="319"/>
      <c r="Q67" s="319"/>
      <c r="R67" s="288"/>
      <c r="T67" s="320">
        <v>2</v>
      </c>
      <c r="U67" s="301" t="s">
        <v>476</v>
      </c>
      <c r="V67" s="301" t="s">
        <v>567</v>
      </c>
      <c r="W67" s="329"/>
      <c r="X67" s="329"/>
      <c r="Y67" s="329"/>
      <c r="Z67" s="329"/>
      <c r="AA67" s="288"/>
      <c r="AC67" s="253"/>
      <c r="AD67" s="301"/>
      <c r="AE67" s="301" t="s">
        <v>568</v>
      </c>
      <c r="AF67" s="319"/>
      <c r="AG67" s="325">
        <f>Statis_IC!K86</f>
        <v>0.97685185185185186</v>
      </c>
      <c r="AH67" s="329"/>
      <c r="AI67" s="329"/>
      <c r="AJ67" s="288">
        <f>Statis_IC!K83</f>
        <v>1</v>
      </c>
      <c r="AL67" s="253">
        <v>2</v>
      </c>
      <c r="AM67" s="301" t="s">
        <v>461</v>
      </c>
      <c r="AN67" s="301"/>
      <c r="AO67" s="319"/>
      <c r="AP67" s="319"/>
      <c r="AQ67" s="319"/>
      <c r="AR67" s="319"/>
      <c r="AS67" s="288"/>
      <c r="AU67" s="320"/>
      <c r="AV67" s="321"/>
      <c r="AW67" s="321" t="s">
        <v>569</v>
      </c>
      <c r="AX67" s="322" t="s">
        <v>459</v>
      </c>
      <c r="AY67" s="323">
        <f>Mesin_IC!Q116</f>
        <v>1</v>
      </c>
      <c r="AZ67" s="348">
        <f>Peralatan_IC!I30</f>
        <v>60.000000000000107</v>
      </c>
      <c r="BA67" s="322">
        <v>0.1</v>
      </c>
      <c r="BB67" s="324">
        <f>Mesin_IC!Q113</f>
        <v>0</v>
      </c>
      <c r="BD67" s="297" t="s">
        <v>470</v>
      </c>
      <c r="BE67" s="298" t="s">
        <v>471</v>
      </c>
      <c r="BF67" s="298"/>
      <c r="BG67" s="311"/>
      <c r="BH67" s="311"/>
      <c r="BI67" s="311"/>
      <c r="BJ67" s="311"/>
      <c r="BK67" s="299"/>
      <c r="BM67" s="253">
        <v>3</v>
      </c>
      <c r="BN67" s="301" t="s">
        <v>466</v>
      </c>
      <c r="BO67" s="301" t="s">
        <v>570</v>
      </c>
      <c r="BP67" s="319" t="s">
        <v>229</v>
      </c>
      <c r="BQ67" s="325">
        <f>Statis_IC!W210</f>
        <v>0.99872685185185184</v>
      </c>
      <c r="BR67" s="319"/>
      <c r="BS67" s="319">
        <f>SUM(BS81:BS84)</f>
        <v>1.1666666666666667</v>
      </c>
      <c r="BT67" s="356">
        <f>Statis_IC!W207</f>
        <v>8.3333333333333332E-3</v>
      </c>
      <c r="BV67" s="320">
        <v>1</v>
      </c>
      <c r="BW67" s="321" t="s">
        <v>472</v>
      </c>
      <c r="BX67" s="321"/>
      <c r="BY67" s="322"/>
      <c r="BZ67" s="322"/>
      <c r="CA67" s="322"/>
      <c r="CB67" s="322"/>
      <c r="CC67" s="324"/>
      <c r="CE67" s="320">
        <v>2</v>
      </c>
      <c r="CF67" s="301" t="s">
        <v>476</v>
      </c>
      <c r="CG67" s="301" t="s">
        <v>571</v>
      </c>
      <c r="CH67" s="319"/>
      <c r="CI67" s="319"/>
      <c r="CJ67" s="319"/>
      <c r="CK67" s="319"/>
      <c r="CL67" s="288"/>
      <c r="CN67" s="320">
        <v>1</v>
      </c>
      <c r="CO67" s="321" t="s">
        <v>472</v>
      </c>
      <c r="CP67" s="321"/>
      <c r="CQ67" s="322"/>
      <c r="CR67" s="322"/>
      <c r="CS67" s="322"/>
      <c r="CT67" s="322"/>
      <c r="CU67" s="324"/>
      <c r="CW67" s="253">
        <v>2</v>
      </c>
      <c r="CX67" s="301" t="s">
        <v>461</v>
      </c>
      <c r="CY67" s="301" t="s">
        <v>572</v>
      </c>
      <c r="CZ67" s="319"/>
      <c r="DA67" s="325">
        <f>Dinamis_IC!E210</f>
        <v>0.97685185185185186</v>
      </c>
      <c r="DB67" s="329"/>
      <c r="DC67" s="329"/>
      <c r="DD67" s="288">
        <f>Dinamis_IC!E207</f>
        <v>1</v>
      </c>
      <c r="DF67" s="253">
        <v>3</v>
      </c>
      <c r="DG67" s="301" t="s">
        <v>466</v>
      </c>
      <c r="DH67" s="301" t="s">
        <v>566</v>
      </c>
      <c r="DI67" s="319"/>
      <c r="DJ67" s="325">
        <f>Statis_IC!E55</f>
        <v>0.97685185185185186</v>
      </c>
      <c r="DK67" s="319"/>
      <c r="DL67" s="319"/>
      <c r="DM67" s="288">
        <f>Statis_IC!E52</f>
        <v>1</v>
      </c>
      <c r="DO67" s="253">
        <v>3</v>
      </c>
      <c r="DP67" s="301" t="s">
        <v>466</v>
      </c>
      <c r="DQ67" s="301"/>
      <c r="DR67" s="319"/>
      <c r="DS67" s="319"/>
      <c r="DT67" s="319"/>
      <c r="DU67" s="319"/>
      <c r="DV67" s="288"/>
    </row>
    <row r="68" spans="2:126" ht="15.75" thickBot="1" x14ac:dyDescent="0.3">
      <c r="B68" s="333">
        <v>3</v>
      </c>
      <c r="C68" s="334" t="s">
        <v>473</v>
      </c>
      <c r="D68" s="334" t="s">
        <v>474</v>
      </c>
      <c r="E68" s="329"/>
      <c r="F68" s="329"/>
      <c r="G68" s="329">
        <v>10</v>
      </c>
      <c r="H68" s="329">
        <f>1*G68/10</f>
        <v>1</v>
      </c>
      <c r="I68" s="335">
        <v>0</v>
      </c>
      <c r="K68" s="333">
        <v>3</v>
      </c>
      <c r="L68" s="334" t="s">
        <v>473</v>
      </c>
      <c r="M68" s="334" t="s">
        <v>479</v>
      </c>
      <c r="N68" s="329"/>
      <c r="O68" s="329"/>
      <c r="P68" s="329"/>
      <c r="Q68" s="329"/>
      <c r="R68" s="335"/>
      <c r="T68" s="333">
        <v>3</v>
      </c>
      <c r="U68" s="334" t="s">
        <v>473</v>
      </c>
      <c r="V68" s="334" t="s">
        <v>574</v>
      </c>
      <c r="W68" s="329"/>
      <c r="X68" s="329"/>
      <c r="Y68" s="329"/>
      <c r="Z68" s="329"/>
      <c r="AA68" s="335"/>
      <c r="AC68" s="253"/>
      <c r="AD68" s="301"/>
      <c r="AE68" s="301" t="s">
        <v>575</v>
      </c>
      <c r="AF68" s="319"/>
      <c r="AG68" s="325">
        <f>Statis_IC!K117</f>
        <v>0.97685185185185186</v>
      </c>
      <c r="AH68" s="329"/>
      <c r="AI68" s="329"/>
      <c r="AJ68" s="288">
        <f>Statis_IC!K114</f>
        <v>1</v>
      </c>
      <c r="AL68" s="253">
        <v>3</v>
      </c>
      <c r="AM68" s="301" t="s">
        <v>466</v>
      </c>
      <c r="AN68" s="301" t="s">
        <v>576</v>
      </c>
      <c r="AO68" s="319"/>
      <c r="AP68" s="325">
        <f>Statis_IC!Q179</f>
        <v>0.97685185185185186</v>
      </c>
      <c r="AQ68" s="319"/>
      <c r="AR68" s="319"/>
      <c r="AS68" s="288">
        <f>Statis_IC!Q176</f>
        <v>1</v>
      </c>
      <c r="AU68" s="253">
        <v>2</v>
      </c>
      <c r="AV68" s="301" t="s">
        <v>461</v>
      </c>
      <c r="AW68" s="301" t="s">
        <v>577</v>
      </c>
      <c r="AX68" s="319"/>
      <c r="AY68" s="325">
        <f>Dinamis_IC!E117</f>
        <v>0.97685185185185186</v>
      </c>
      <c r="AZ68" s="319"/>
      <c r="BA68" s="319"/>
      <c r="BB68" s="288">
        <f>Dinamis_IC!E114</f>
        <v>1</v>
      </c>
      <c r="BD68" s="320">
        <v>1</v>
      </c>
      <c r="BE68" s="321" t="s">
        <v>472</v>
      </c>
      <c r="BF68" s="321"/>
      <c r="BG68" s="322"/>
      <c r="BH68" s="322"/>
      <c r="BI68" s="322"/>
      <c r="BJ68" s="322"/>
      <c r="BK68" s="324"/>
      <c r="BM68" s="253"/>
      <c r="BN68" s="301"/>
      <c r="BO68" s="301" t="s">
        <v>578</v>
      </c>
      <c r="BP68" s="319"/>
      <c r="BQ68" s="325">
        <f>Statis_IC!K241</f>
        <v>0.97777777777777775</v>
      </c>
      <c r="BR68" s="319"/>
      <c r="BS68" s="319"/>
      <c r="BT68" s="288"/>
      <c r="BV68" s="320">
        <v>2</v>
      </c>
      <c r="BW68" s="301" t="s">
        <v>476</v>
      </c>
      <c r="BX68" s="301" t="s">
        <v>579</v>
      </c>
      <c r="BY68" s="319"/>
      <c r="BZ68" s="319"/>
      <c r="CA68" s="319"/>
      <c r="CB68" s="319"/>
      <c r="CC68" s="288"/>
      <c r="CE68" s="333"/>
      <c r="CF68" s="334"/>
      <c r="CG68" s="301" t="s">
        <v>580</v>
      </c>
      <c r="CH68" s="329"/>
      <c r="CI68" s="329"/>
      <c r="CJ68" s="329"/>
      <c r="CK68" s="329"/>
      <c r="CL68" s="335"/>
      <c r="CN68" s="320">
        <v>2</v>
      </c>
      <c r="CO68" s="301" t="s">
        <v>476</v>
      </c>
      <c r="CP68" s="301" t="s">
        <v>581</v>
      </c>
      <c r="CQ68" s="319"/>
      <c r="CR68" s="319"/>
      <c r="CS68" s="319"/>
      <c r="CT68" s="319"/>
      <c r="CU68" s="288"/>
      <c r="CW68" s="253"/>
      <c r="CX68" s="301"/>
      <c r="CY68" s="301" t="s">
        <v>582</v>
      </c>
      <c r="CZ68" s="319"/>
      <c r="DA68" s="325">
        <f>Dinamis_IC!K148</f>
        <v>0.97685185185185186</v>
      </c>
      <c r="DB68" s="329"/>
      <c r="DC68" s="329"/>
      <c r="DD68" s="288">
        <f>Dinamis_IC!K145</f>
        <v>1</v>
      </c>
      <c r="DF68" s="253"/>
      <c r="DG68" s="301"/>
      <c r="DH68" s="301" t="s">
        <v>573</v>
      </c>
      <c r="DI68" s="319"/>
      <c r="DJ68" s="325">
        <f>Statis_IC!E86</f>
        <v>0.97685185185185186</v>
      </c>
      <c r="DK68" s="319"/>
      <c r="DL68" s="319"/>
      <c r="DM68" s="288">
        <f>Statis_IC!E83</f>
        <v>1</v>
      </c>
      <c r="DO68" s="297" t="s">
        <v>470</v>
      </c>
      <c r="DP68" s="298" t="s">
        <v>471</v>
      </c>
      <c r="DQ68" s="298"/>
      <c r="DR68" s="311"/>
      <c r="DS68" s="311"/>
      <c r="DT68" s="311"/>
      <c r="DU68" s="311"/>
      <c r="DV68" s="299"/>
    </row>
    <row r="69" spans="2:126" ht="15.75" thickBot="1" x14ac:dyDescent="0.3">
      <c r="B69" s="297" t="s">
        <v>477</v>
      </c>
      <c r="C69" s="298" t="s">
        <v>478</v>
      </c>
      <c r="D69" s="298"/>
      <c r="E69" s="311"/>
      <c r="F69" s="311"/>
      <c r="G69" s="311"/>
      <c r="H69" s="311"/>
      <c r="I69" s="299"/>
      <c r="K69" s="297" t="s">
        <v>477</v>
      </c>
      <c r="L69" s="298" t="s">
        <v>478</v>
      </c>
      <c r="M69" s="298"/>
      <c r="N69" s="311"/>
      <c r="O69" s="311"/>
      <c r="P69" s="311"/>
      <c r="Q69" s="311"/>
      <c r="R69" s="299"/>
      <c r="T69" s="297" t="s">
        <v>477</v>
      </c>
      <c r="U69" s="298" t="s">
        <v>478</v>
      </c>
      <c r="V69" s="298"/>
      <c r="W69" s="311"/>
      <c r="X69" s="311"/>
      <c r="Y69" s="311"/>
      <c r="Z69" s="311"/>
      <c r="AA69" s="299"/>
      <c r="AC69" s="253"/>
      <c r="AD69" s="301"/>
      <c r="AE69" s="301" t="s">
        <v>584</v>
      </c>
      <c r="AF69" s="319"/>
      <c r="AG69" s="325">
        <f>Statis_IC!K148</f>
        <v>0.97685185185185186</v>
      </c>
      <c r="AH69" s="329"/>
      <c r="AI69" s="329"/>
      <c r="AJ69" s="288">
        <f>Statis_IC!K145</f>
        <v>1</v>
      </c>
      <c r="AL69" s="253"/>
      <c r="AM69" s="301"/>
      <c r="AN69" s="301" t="s">
        <v>585</v>
      </c>
      <c r="AO69" s="319"/>
      <c r="AP69" s="325">
        <f>Statis_IC!Q210</f>
        <v>0.97685185185185186</v>
      </c>
      <c r="AQ69" s="319"/>
      <c r="AR69" s="319"/>
      <c r="AS69" s="288">
        <f>Statis_IC!Q207</f>
        <v>1</v>
      </c>
      <c r="AU69" s="253"/>
      <c r="AV69" s="301"/>
      <c r="AW69" s="301" t="s">
        <v>586</v>
      </c>
      <c r="AX69" s="319"/>
      <c r="AY69" s="325">
        <f>Dinamis_IC!K86</f>
        <v>0.97685185185185186</v>
      </c>
      <c r="AZ69" s="319"/>
      <c r="BA69" s="319"/>
      <c r="BB69" s="288">
        <f>Dinamis_IC!K83</f>
        <v>1</v>
      </c>
      <c r="BD69" s="320">
        <v>2</v>
      </c>
      <c r="BE69" s="301" t="s">
        <v>476</v>
      </c>
      <c r="BF69" s="301" t="s">
        <v>587</v>
      </c>
      <c r="BG69" s="319"/>
      <c r="BH69" s="319"/>
      <c r="BI69" s="319"/>
      <c r="BJ69" s="319"/>
      <c r="BK69" s="288"/>
      <c r="BM69" s="333"/>
      <c r="BN69" s="344"/>
      <c r="BO69" s="344" t="s">
        <v>588</v>
      </c>
      <c r="BP69" s="345"/>
      <c r="BQ69" s="357">
        <f>Statis_IC!E148</f>
        <v>0.97685185185185186</v>
      </c>
      <c r="BR69" s="345"/>
      <c r="BS69" s="345"/>
      <c r="BT69" s="347">
        <f>Dinamis_IC!E114</f>
        <v>1</v>
      </c>
      <c r="BV69" s="333">
        <v>3</v>
      </c>
      <c r="BW69" s="334" t="s">
        <v>473</v>
      </c>
      <c r="BX69" s="334" t="s">
        <v>589</v>
      </c>
      <c r="BY69" s="329"/>
      <c r="BZ69" s="329"/>
      <c r="CA69" s="329"/>
      <c r="CB69" s="329"/>
      <c r="CC69" s="335"/>
      <c r="CE69" s="333"/>
      <c r="CF69" s="334"/>
      <c r="CG69" s="301" t="s">
        <v>590</v>
      </c>
      <c r="CH69" s="329"/>
      <c r="CI69" s="329"/>
      <c r="CJ69" s="329"/>
      <c r="CK69" s="329"/>
      <c r="CL69" s="335"/>
      <c r="CN69" s="333"/>
      <c r="CO69" s="334"/>
      <c r="CP69" s="334" t="s">
        <v>591</v>
      </c>
      <c r="CQ69" s="329"/>
      <c r="CR69" s="329"/>
      <c r="CS69" s="329"/>
      <c r="CT69" s="329"/>
      <c r="CU69" s="335"/>
      <c r="CW69" s="253">
        <v>3</v>
      </c>
      <c r="CX69" s="301" t="s">
        <v>466</v>
      </c>
      <c r="CY69" s="301" t="s">
        <v>592</v>
      </c>
      <c r="CZ69" s="319"/>
      <c r="DA69" s="325">
        <f>Statis_IC!W117</f>
        <v>0.97685185185185186</v>
      </c>
      <c r="DB69" s="319"/>
      <c r="DC69" s="319"/>
      <c r="DD69" s="288">
        <f>Statis_IC!W114</f>
        <v>1</v>
      </c>
      <c r="DF69" s="253"/>
      <c r="DG69" s="301"/>
      <c r="DH69" s="301" t="s">
        <v>583</v>
      </c>
      <c r="DI69" s="319"/>
      <c r="DJ69" s="325">
        <f>Statis_IC!E117</f>
        <v>0.97685185185185186</v>
      </c>
      <c r="DK69" s="319"/>
      <c r="DL69" s="319"/>
      <c r="DM69" s="288">
        <f>Statis_IC!E114</f>
        <v>1</v>
      </c>
      <c r="DO69" s="320">
        <v>1</v>
      </c>
      <c r="DP69" s="321" t="s">
        <v>472</v>
      </c>
      <c r="DQ69" s="321"/>
      <c r="DR69" s="322"/>
      <c r="DS69" s="322"/>
      <c r="DT69" s="322"/>
      <c r="DU69" s="322"/>
      <c r="DV69" s="324"/>
    </row>
    <row r="70" spans="2:126" ht="15.75" thickBot="1" x14ac:dyDescent="0.3">
      <c r="B70" s="320">
        <v>1</v>
      </c>
      <c r="C70" s="321" t="s">
        <v>197</v>
      </c>
      <c r="D70" s="321"/>
      <c r="E70" s="322"/>
      <c r="F70" s="322"/>
      <c r="G70" s="322"/>
      <c r="H70" s="322"/>
      <c r="I70" s="324"/>
      <c r="K70" s="320">
        <v>1</v>
      </c>
      <c r="L70" s="321" t="s">
        <v>197</v>
      </c>
      <c r="M70" s="321"/>
      <c r="N70" s="322"/>
      <c r="O70" s="322"/>
      <c r="P70" s="322"/>
      <c r="Q70" s="322"/>
      <c r="R70" s="324"/>
      <c r="T70" s="320">
        <v>1</v>
      </c>
      <c r="U70" s="321" t="s">
        <v>197</v>
      </c>
      <c r="V70" s="321" t="s">
        <v>594</v>
      </c>
      <c r="W70" s="322"/>
      <c r="X70" s="322"/>
      <c r="Y70" s="322"/>
      <c r="Z70" s="322"/>
      <c r="AA70" s="324"/>
      <c r="AC70" s="253"/>
      <c r="AD70" s="301"/>
      <c r="AE70" s="301" t="s">
        <v>595</v>
      </c>
      <c r="AF70" s="319"/>
      <c r="AG70" s="325">
        <f>Statis_IC!K179</f>
        <v>0.97685185185185186</v>
      </c>
      <c r="AH70" s="329"/>
      <c r="AI70" s="329"/>
      <c r="AJ70" s="288">
        <f>Statis_IC!K176</f>
        <v>1</v>
      </c>
      <c r="AL70" s="253"/>
      <c r="AM70" s="301"/>
      <c r="AN70" s="301" t="s">
        <v>596</v>
      </c>
      <c r="AO70" s="319"/>
      <c r="AP70" s="325">
        <f>Statis_IC!E179</f>
        <v>1</v>
      </c>
      <c r="AQ70" s="319"/>
      <c r="AR70" s="319"/>
      <c r="AS70" s="288">
        <f>Statis_IC!E176</f>
        <v>0</v>
      </c>
      <c r="AU70" s="253">
        <v>3</v>
      </c>
      <c r="AV70" s="301" t="s">
        <v>466</v>
      </c>
      <c r="AW70" s="301" t="s">
        <v>597</v>
      </c>
      <c r="AX70" s="319" t="s">
        <v>229</v>
      </c>
      <c r="AY70" s="325">
        <f>Statis_IC!W148</f>
        <v>0.99935956790123459</v>
      </c>
      <c r="AZ70" s="319"/>
      <c r="BA70" s="319">
        <f>SUM(BA84:BA90)</f>
        <v>0.48333333333333334</v>
      </c>
      <c r="BB70" s="356">
        <f>Statis_IC!W145</f>
        <v>8.3333333333333332E-3</v>
      </c>
      <c r="BD70" s="333">
        <v>3</v>
      </c>
      <c r="BE70" s="334" t="s">
        <v>473</v>
      </c>
      <c r="BF70" s="334" t="s">
        <v>598</v>
      </c>
      <c r="BG70" s="329">
        <f>SUM(BG77:BG82)</f>
        <v>0.2</v>
      </c>
      <c r="BH70" s="329"/>
      <c r="BI70" s="329"/>
      <c r="BJ70" s="329"/>
      <c r="BK70" s="335"/>
      <c r="BM70" s="297" t="s">
        <v>470</v>
      </c>
      <c r="BN70" s="298" t="s">
        <v>471</v>
      </c>
      <c r="BO70" s="298"/>
      <c r="BP70" s="311"/>
      <c r="BQ70" s="311"/>
      <c r="BR70" s="311"/>
      <c r="BS70" s="311"/>
      <c r="BT70" s="299"/>
      <c r="BV70" s="297" t="s">
        <v>477</v>
      </c>
      <c r="BW70" s="298" t="s">
        <v>478</v>
      </c>
      <c r="BX70" s="298"/>
      <c r="BY70" s="311"/>
      <c r="BZ70" s="311"/>
      <c r="CA70" s="311"/>
      <c r="CB70" s="311"/>
      <c r="CC70" s="299"/>
      <c r="CE70" s="333">
        <v>3</v>
      </c>
      <c r="CF70" s="334" t="s">
        <v>473</v>
      </c>
      <c r="CG70" s="334"/>
      <c r="CH70" s="329"/>
      <c r="CI70" s="329"/>
      <c r="CJ70" s="329"/>
      <c r="CK70" s="329"/>
      <c r="CL70" s="335"/>
      <c r="CN70" s="333">
        <v>3</v>
      </c>
      <c r="CO70" s="334" t="s">
        <v>473</v>
      </c>
      <c r="CP70" s="334" t="s">
        <v>599</v>
      </c>
      <c r="CQ70" s="329"/>
      <c r="CR70" s="329"/>
      <c r="CS70" s="329"/>
      <c r="CT70" s="329"/>
      <c r="CU70" s="335"/>
      <c r="CW70" s="253"/>
      <c r="CX70" s="301"/>
      <c r="CY70" s="301" t="s">
        <v>600</v>
      </c>
      <c r="CZ70" s="319"/>
      <c r="DA70" s="325">
        <f>Statis_IC!Q179</f>
        <v>0.97685185185185186</v>
      </c>
      <c r="DB70" s="319"/>
      <c r="DC70" s="319"/>
      <c r="DD70" s="288">
        <f>Statis_IC!Q176</f>
        <v>1</v>
      </c>
      <c r="DF70" s="333"/>
      <c r="DG70" s="344"/>
      <c r="DH70" s="344" t="s">
        <v>593</v>
      </c>
      <c r="DI70" s="345"/>
      <c r="DJ70" s="357">
        <f>Statis_IC!K272</f>
        <v>0.97685185185185186</v>
      </c>
      <c r="DK70" s="345"/>
      <c r="DL70" s="345"/>
      <c r="DM70" s="347">
        <f>Statis_IC!K269</f>
        <v>1</v>
      </c>
      <c r="DO70" s="320">
        <v>2</v>
      </c>
      <c r="DP70" s="301" t="s">
        <v>476</v>
      </c>
      <c r="DQ70" s="301" t="s">
        <v>655</v>
      </c>
      <c r="DR70" s="319"/>
      <c r="DS70" s="319"/>
      <c r="DT70" s="319"/>
      <c r="DU70" s="319"/>
      <c r="DV70" s="288"/>
    </row>
    <row r="71" spans="2:126" ht="15.75" thickBot="1" x14ac:dyDescent="0.3">
      <c r="B71" s="320">
        <v>2</v>
      </c>
      <c r="C71" s="321" t="s">
        <v>480</v>
      </c>
      <c r="D71" s="301"/>
      <c r="E71" s="319"/>
      <c r="F71" s="319"/>
      <c r="G71" s="319"/>
      <c r="H71" s="336" t="s">
        <v>481</v>
      </c>
      <c r="I71" s="288"/>
      <c r="K71" s="320">
        <v>2</v>
      </c>
      <c r="L71" s="321" t="s">
        <v>480</v>
      </c>
      <c r="M71" s="301"/>
      <c r="N71" s="319"/>
      <c r="O71" s="319"/>
      <c r="P71" s="319"/>
      <c r="Q71" s="319"/>
      <c r="R71" s="288"/>
      <c r="T71" s="320"/>
      <c r="U71" s="321"/>
      <c r="V71" s="321" t="s">
        <v>601</v>
      </c>
      <c r="W71" s="322"/>
      <c r="X71" s="322"/>
      <c r="Y71" s="322"/>
      <c r="Z71" s="322"/>
      <c r="AA71" s="324"/>
      <c r="AC71" s="253"/>
      <c r="AD71" s="301"/>
      <c r="AE71" s="301" t="s">
        <v>602</v>
      </c>
      <c r="AF71" s="319"/>
      <c r="AG71" s="325">
        <f>Statis_IC!K210</f>
        <v>0.97685185185185186</v>
      </c>
      <c r="AH71" s="329"/>
      <c r="AI71" s="329"/>
      <c r="AJ71" s="288">
        <f>Statis_IC!K207</f>
        <v>1</v>
      </c>
      <c r="AL71" s="253"/>
      <c r="AM71" s="301"/>
      <c r="AN71" s="301" t="s">
        <v>603</v>
      </c>
      <c r="AO71" s="319"/>
      <c r="AP71" s="325">
        <f>Statis_IC!E210</f>
        <v>0.97685185185185186</v>
      </c>
      <c r="AQ71" s="319"/>
      <c r="AR71" s="319"/>
      <c r="AS71" s="288">
        <f>Statis_IC!E207</f>
        <v>1</v>
      </c>
      <c r="AU71" s="333"/>
      <c r="AV71" s="344"/>
      <c r="AW71" s="344" t="s">
        <v>604</v>
      </c>
      <c r="AX71" s="345"/>
      <c r="AY71" s="357">
        <f>Dinamis_IC!Q55</f>
        <v>0.97685185185185186</v>
      </c>
      <c r="AZ71" s="345"/>
      <c r="BA71" s="345"/>
      <c r="BB71" s="347">
        <f>Dinamis_IC!Q52</f>
        <v>1</v>
      </c>
      <c r="BD71" s="297" t="s">
        <v>477</v>
      </c>
      <c r="BE71" s="298" t="s">
        <v>478</v>
      </c>
      <c r="BF71" s="298"/>
      <c r="BG71" s="311"/>
      <c r="BH71" s="311"/>
      <c r="BI71" s="311"/>
      <c r="BJ71" s="311"/>
      <c r="BK71" s="299"/>
      <c r="BM71" s="320">
        <v>1</v>
      </c>
      <c r="BN71" s="321" t="s">
        <v>472</v>
      </c>
      <c r="BO71" s="321"/>
      <c r="BP71" s="322"/>
      <c r="BQ71" s="322"/>
      <c r="BR71" s="322"/>
      <c r="BS71" s="322"/>
      <c r="BT71" s="324"/>
      <c r="BV71" s="320">
        <v>1</v>
      </c>
      <c r="BW71" s="321" t="s">
        <v>197</v>
      </c>
      <c r="BX71" s="321"/>
      <c r="BY71" s="322"/>
      <c r="BZ71" s="322"/>
      <c r="CA71" s="322"/>
      <c r="CB71" s="322"/>
      <c r="CC71" s="324"/>
      <c r="CE71" s="297" t="s">
        <v>477</v>
      </c>
      <c r="CF71" s="298" t="s">
        <v>478</v>
      </c>
      <c r="CG71" s="298"/>
      <c r="CH71" s="311"/>
      <c r="CI71" s="311"/>
      <c r="CJ71" s="311"/>
      <c r="CK71" s="311"/>
      <c r="CL71" s="299"/>
      <c r="CN71" s="297" t="s">
        <v>477</v>
      </c>
      <c r="CO71" s="298" t="s">
        <v>478</v>
      </c>
      <c r="CP71" s="298"/>
      <c r="CQ71" s="311"/>
      <c r="CR71" s="311"/>
      <c r="CS71" s="311"/>
      <c r="CT71" s="311"/>
      <c r="CU71" s="299"/>
      <c r="CW71" s="253"/>
      <c r="CX71" s="301"/>
      <c r="CY71" s="301" t="s">
        <v>605</v>
      </c>
      <c r="CZ71" s="319"/>
      <c r="DA71" s="325">
        <f>Statis_IC!Q86</f>
        <v>0.97685185185185186</v>
      </c>
      <c r="DB71" s="319"/>
      <c r="DC71" s="319"/>
      <c r="DD71" s="288">
        <f>Statis_IC!Q83</f>
        <v>1</v>
      </c>
      <c r="DF71" s="468"/>
      <c r="DG71" s="469"/>
      <c r="DH71" s="469" t="s">
        <v>661</v>
      </c>
      <c r="DI71" s="470"/>
      <c r="DJ71" s="471"/>
      <c r="DK71" s="470"/>
      <c r="DL71" s="470"/>
      <c r="DM71" s="472"/>
      <c r="DO71" s="333"/>
      <c r="DP71" s="334"/>
      <c r="DQ71" s="301" t="s">
        <v>656</v>
      </c>
      <c r="DR71" s="329"/>
      <c r="DS71" s="329"/>
      <c r="DT71" s="329"/>
      <c r="DU71" s="329"/>
      <c r="DV71" s="335"/>
    </row>
    <row r="72" spans="2:126" ht="15.75" thickBot="1" x14ac:dyDescent="0.3">
      <c r="B72" s="320">
        <v>3</v>
      </c>
      <c r="C72" s="321" t="s">
        <v>482</v>
      </c>
      <c r="D72" s="301"/>
      <c r="E72" s="319"/>
      <c r="F72" s="319"/>
      <c r="G72" s="319"/>
      <c r="H72" s="319"/>
      <c r="I72" s="288"/>
      <c r="K72" s="320">
        <v>3</v>
      </c>
      <c r="L72" s="321" t="s">
        <v>482</v>
      </c>
      <c r="M72" s="301"/>
      <c r="N72" s="319"/>
      <c r="O72" s="319"/>
      <c r="P72" s="319"/>
      <c r="Q72" s="319"/>
      <c r="R72" s="288"/>
      <c r="T72" s="320">
        <v>2</v>
      </c>
      <c r="U72" s="321" t="s">
        <v>480</v>
      </c>
      <c r="V72" s="301"/>
      <c r="W72" s="319"/>
      <c r="X72" s="319"/>
      <c r="Y72" s="319"/>
      <c r="Z72" s="319"/>
      <c r="AA72" s="288"/>
      <c r="AC72" s="253"/>
      <c r="AD72" s="301"/>
      <c r="AE72" s="301" t="s">
        <v>606</v>
      </c>
      <c r="AF72" s="319"/>
      <c r="AG72" s="325">
        <f>Statis_IC!E241</f>
        <v>0.97685185185185186</v>
      </c>
      <c r="AH72" s="329"/>
      <c r="AI72" s="329"/>
      <c r="AJ72" s="288">
        <f>Statis_IC!E238</f>
        <v>1</v>
      </c>
      <c r="AL72" s="297" t="s">
        <v>470</v>
      </c>
      <c r="AM72" s="298" t="s">
        <v>471</v>
      </c>
      <c r="AN72" s="298"/>
      <c r="AO72" s="311"/>
      <c r="AP72" s="311"/>
      <c r="AQ72" s="311"/>
      <c r="AR72" s="311"/>
      <c r="AS72" s="299"/>
      <c r="AU72" s="297" t="s">
        <v>470</v>
      </c>
      <c r="AV72" s="298" t="s">
        <v>471</v>
      </c>
      <c r="AW72" s="298"/>
      <c r="AX72" s="311"/>
      <c r="AY72" s="311"/>
      <c r="AZ72" s="311"/>
      <c r="BA72" s="311"/>
      <c r="BB72" s="299"/>
      <c r="BD72" s="320">
        <v>1</v>
      </c>
      <c r="BE72" s="321" t="s">
        <v>197</v>
      </c>
      <c r="BF72" s="321" t="s">
        <v>607</v>
      </c>
      <c r="BG72" s="322"/>
      <c r="BH72" s="322"/>
      <c r="BI72" s="322"/>
      <c r="BJ72" s="322"/>
      <c r="BK72" s="324"/>
      <c r="BM72" s="320">
        <v>2</v>
      </c>
      <c r="BN72" s="301" t="s">
        <v>476</v>
      </c>
      <c r="BO72" s="301" t="s">
        <v>608</v>
      </c>
      <c r="BP72" s="319"/>
      <c r="BQ72" s="319"/>
      <c r="BR72" s="319"/>
      <c r="BS72" s="319"/>
      <c r="BT72" s="288"/>
      <c r="BV72" s="320">
        <v>2</v>
      </c>
      <c r="BW72" s="321" t="s">
        <v>480</v>
      </c>
      <c r="BX72" s="301" t="s">
        <v>609</v>
      </c>
      <c r="BY72" s="319"/>
      <c r="BZ72" s="319"/>
      <c r="CA72" s="319"/>
      <c r="CB72" s="319"/>
      <c r="CC72" s="288"/>
      <c r="CE72" s="320">
        <v>1</v>
      </c>
      <c r="CF72" s="321" t="s">
        <v>197</v>
      </c>
      <c r="CG72" s="321" t="s">
        <v>610</v>
      </c>
      <c r="CH72" s="322"/>
      <c r="CI72" s="322"/>
      <c r="CJ72" s="322"/>
      <c r="CK72" s="322"/>
      <c r="CL72" s="324"/>
      <c r="CN72" s="320">
        <v>1</v>
      </c>
      <c r="CO72" s="321" t="s">
        <v>197</v>
      </c>
      <c r="CP72" s="321" t="s">
        <v>611</v>
      </c>
      <c r="CQ72" s="322"/>
      <c r="CR72" s="322"/>
      <c r="CS72" s="322"/>
      <c r="CT72" s="322"/>
      <c r="CU72" s="324"/>
      <c r="CW72" s="333"/>
      <c r="CX72" s="344"/>
      <c r="CY72" s="344" t="s">
        <v>612</v>
      </c>
      <c r="CZ72" s="345"/>
      <c r="DA72" s="357">
        <f>Statis_IC!Q117</f>
        <v>0.97685185185185186</v>
      </c>
      <c r="DB72" s="345"/>
      <c r="DC72" s="345"/>
      <c r="DD72" s="347">
        <f>Statis_IC!Q114</f>
        <v>1</v>
      </c>
      <c r="DF72" s="297" t="s">
        <v>470</v>
      </c>
      <c r="DG72" s="298" t="s">
        <v>471</v>
      </c>
      <c r="DH72" s="298"/>
      <c r="DI72" s="311"/>
      <c r="DJ72" s="311"/>
      <c r="DK72" s="311"/>
      <c r="DL72" s="311"/>
      <c r="DM72" s="299"/>
      <c r="DO72" s="333">
        <v>3</v>
      </c>
      <c r="DP72" s="334" t="s">
        <v>473</v>
      </c>
      <c r="DQ72" s="334" t="s">
        <v>657</v>
      </c>
      <c r="DR72" s="329"/>
      <c r="DS72" s="329"/>
      <c r="DT72" s="329"/>
      <c r="DU72" s="329"/>
      <c r="DV72" s="335"/>
    </row>
    <row r="73" spans="2:126" ht="15.75" thickBot="1" x14ac:dyDescent="0.3">
      <c r="B73" s="297" t="s">
        <v>483</v>
      </c>
      <c r="C73" s="298" t="s">
        <v>484</v>
      </c>
      <c r="D73" s="298"/>
      <c r="E73" s="311"/>
      <c r="F73" s="311"/>
      <c r="G73" s="311"/>
      <c r="H73" s="311"/>
      <c r="I73" s="299"/>
      <c r="K73" s="297" t="s">
        <v>483</v>
      </c>
      <c r="L73" s="298" t="s">
        <v>484</v>
      </c>
      <c r="M73" s="298"/>
      <c r="N73" s="311"/>
      <c r="O73" s="311"/>
      <c r="P73" s="311"/>
      <c r="Q73" s="311"/>
      <c r="R73" s="299"/>
      <c r="T73" s="320">
        <v>3</v>
      </c>
      <c r="U73" s="321" t="s">
        <v>482</v>
      </c>
      <c r="V73" s="301"/>
      <c r="W73" s="319"/>
      <c r="X73" s="319"/>
      <c r="Y73" s="319"/>
      <c r="Z73" s="319"/>
      <c r="AA73" s="288"/>
      <c r="AC73" s="333"/>
      <c r="AD73" s="344"/>
      <c r="AE73" s="344" t="s">
        <v>614</v>
      </c>
      <c r="AF73" s="345"/>
      <c r="AG73" s="357">
        <f>Statis_IC!W55</f>
        <v>0.97685185185185186</v>
      </c>
      <c r="AH73" s="329"/>
      <c r="AI73" s="329"/>
      <c r="AJ73" s="347">
        <f>Statis_IC!W52</f>
        <v>1</v>
      </c>
      <c r="AL73" s="320">
        <v>1</v>
      </c>
      <c r="AM73" s="321" t="s">
        <v>472</v>
      </c>
      <c r="AN73" s="321"/>
      <c r="AO73" s="322"/>
      <c r="AP73" s="322"/>
      <c r="AQ73" s="322"/>
      <c r="AR73" s="322"/>
      <c r="AS73" s="324"/>
      <c r="AU73" s="320">
        <v>1</v>
      </c>
      <c r="AV73" s="321" t="s">
        <v>472</v>
      </c>
      <c r="AW73" s="321"/>
      <c r="AX73" s="322"/>
      <c r="AY73" s="322"/>
      <c r="AZ73" s="322"/>
      <c r="BA73" s="322"/>
      <c r="BB73" s="324"/>
      <c r="BD73" s="320"/>
      <c r="BE73" s="321"/>
      <c r="BF73" s="321" t="s">
        <v>615</v>
      </c>
      <c r="BG73" s="322"/>
      <c r="BH73" s="322"/>
      <c r="BI73" s="322"/>
      <c r="BJ73" s="322"/>
      <c r="BK73" s="324"/>
      <c r="BM73" s="333"/>
      <c r="BN73" s="334"/>
      <c r="BO73" s="334" t="s">
        <v>616</v>
      </c>
      <c r="BP73" s="329"/>
      <c r="BQ73" s="329"/>
      <c r="BR73" s="329"/>
      <c r="BS73" s="329"/>
      <c r="BT73" s="335"/>
      <c r="BV73" s="320">
        <v>3</v>
      </c>
      <c r="BW73" s="321" t="s">
        <v>482</v>
      </c>
      <c r="BX73" s="301"/>
      <c r="BY73" s="319"/>
      <c r="BZ73" s="319"/>
      <c r="CA73" s="319"/>
      <c r="CB73" s="319"/>
      <c r="CC73" s="288"/>
      <c r="CE73" s="320"/>
      <c r="CF73" s="321"/>
      <c r="CG73" s="321" t="s">
        <v>617</v>
      </c>
      <c r="CH73" s="322"/>
      <c r="CI73" s="322"/>
      <c r="CJ73" s="322"/>
      <c r="CK73" s="322"/>
      <c r="CL73" s="324"/>
      <c r="CN73" s="320">
        <v>2</v>
      </c>
      <c r="CO73" s="321" t="s">
        <v>480</v>
      </c>
      <c r="CP73" s="301"/>
      <c r="CQ73" s="319"/>
      <c r="CR73" s="319"/>
      <c r="CS73" s="319"/>
      <c r="CT73" s="319"/>
      <c r="CU73" s="288"/>
      <c r="CW73" s="297" t="s">
        <v>470</v>
      </c>
      <c r="CX73" s="298" t="s">
        <v>471</v>
      </c>
      <c r="CY73" s="298"/>
      <c r="CZ73" s="311"/>
      <c r="DA73" s="311"/>
      <c r="DB73" s="311"/>
      <c r="DC73" s="311"/>
      <c r="DD73" s="299"/>
      <c r="DF73" s="320">
        <v>1</v>
      </c>
      <c r="DG73" s="321" t="s">
        <v>472</v>
      </c>
      <c r="DH73" s="321"/>
      <c r="DI73" s="322"/>
      <c r="DJ73" s="322"/>
      <c r="DK73" s="322"/>
      <c r="DL73" s="322"/>
      <c r="DM73" s="324"/>
      <c r="DO73" s="297" t="s">
        <v>477</v>
      </c>
      <c r="DP73" s="298" t="s">
        <v>478</v>
      </c>
      <c r="DQ73" s="298"/>
      <c r="DR73" s="311"/>
      <c r="DS73" s="311"/>
      <c r="DT73" s="311"/>
      <c r="DU73" s="311"/>
      <c r="DV73" s="299"/>
    </row>
    <row r="74" spans="2:126" ht="15.75" thickBot="1" x14ac:dyDescent="0.3">
      <c r="B74" s="320">
        <v>1</v>
      </c>
      <c r="C74" s="321" t="s">
        <v>485</v>
      </c>
      <c r="D74" s="321"/>
      <c r="E74" s="322"/>
      <c r="F74" s="322"/>
      <c r="G74" s="322"/>
      <c r="H74" s="322"/>
      <c r="I74" s="324"/>
      <c r="K74" s="320">
        <v>1</v>
      </c>
      <c r="L74" s="321" t="s">
        <v>485</v>
      </c>
      <c r="M74" s="321"/>
      <c r="N74" s="322"/>
      <c r="O74" s="322"/>
      <c r="P74" s="322"/>
      <c r="Q74" s="322"/>
      <c r="R74" s="324"/>
      <c r="T74" s="297" t="s">
        <v>483</v>
      </c>
      <c r="U74" s="298" t="s">
        <v>484</v>
      </c>
      <c r="V74" s="298"/>
      <c r="W74" s="311"/>
      <c r="X74" s="311"/>
      <c r="Y74" s="311"/>
      <c r="Z74" s="311"/>
      <c r="AA74" s="299"/>
      <c r="AC74" s="297" t="s">
        <v>470</v>
      </c>
      <c r="AD74" s="298" t="s">
        <v>471</v>
      </c>
      <c r="AE74" s="298"/>
      <c r="AF74" s="311"/>
      <c r="AG74" s="311"/>
      <c r="AH74" s="311"/>
      <c r="AI74" s="311"/>
      <c r="AJ74" s="299"/>
      <c r="AL74" s="320">
        <v>2</v>
      </c>
      <c r="AM74" s="301" t="s">
        <v>476</v>
      </c>
      <c r="AN74" s="301" t="s">
        <v>619</v>
      </c>
      <c r="AO74" s="319"/>
      <c r="AP74" s="319"/>
      <c r="AQ74" s="319"/>
      <c r="AR74" s="319"/>
      <c r="AS74" s="288"/>
      <c r="AU74" s="320">
        <v>2</v>
      </c>
      <c r="AV74" s="301" t="s">
        <v>476</v>
      </c>
      <c r="AW74" s="301" t="s">
        <v>620</v>
      </c>
      <c r="AX74" s="319"/>
      <c r="AY74" s="319"/>
      <c r="AZ74" s="319"/>
      <c r="BA74" s="319"/>
      <c r="BB74" s="288"/>
      <c r="BD74" s="320">
        <v>2</v>
      </c>
      <c r="BE74" s="321" t="s">
        <v>480</v>
      </c>
      <c r="BF74" s="301"/>
      <c r="BG74" s="319"/>
      <c r="BH74" s="319"/>
      <c r="BI74" s="319"/>
      <c r="BJ74" s="319"/>
      <c r="BK74" s="288"/>
      <c r="BM74" s="333">
        <v>3</v>
      </c>
      <c r="BN74" s="334" t="s">
        <v>473</v>
      </c>
      <c r="BO74" s="334" t="s">
        <v>621</v>
      </c>
      <c r="BP74" s="329">
        <f>SUM(BP79:BP84)</f>
        <v>0.2</v>
      </c>
      <c r="BQ74" s="329"/>
      <c r="BR74" s="329"/>
      <c r="BS74" s="329"/>
      <c r="BT74" s="335"/>
      <c r="BV74" s="297" t="s">
        <v>483</v>
      </c>
      <c r="BW74" s="298" t="s">
        <v>484</v>
      </c>
      <c r="BX74" s="298"/>
      <c r="BY74" s="311"/>
      <c r="BZ74" s="311"/>
      <c r="CA74" s="311"/>
      <c r="CB74" s="311"/>
      <c r="CC74" s="299"/>
      <c r="CE74" s="320">
        <v>2</v>
      </c>
      <c r="CF74" s="321" t="s">
        <v>480</v>
      </c>
      <c r="CG74" s="301"/>
      <c r="CH74" s="319"/>
      <c r="CI74" s="319"/>
      <c r="CJ74" s="319"/>
      <c r="CK74" s="319"/>
      <c r="CL74" s="288"/>
      <c r="CN74" s="320">
        <v>3</v>
      </c>
      <c r="CO74" s="321" t="s">
        <v>482</v>
      </c>
      <c r="CP74" s="301"/>
      <c r="CQ74" s="319"/>
      <c r="CR74" s="319"/>
      <c r="CS74" s="319"/>
      <c r="CT74" s="319"/>
      <c r="CU74" s="288"/>
      <c r="CW74" s="320">
        <v>1</v>
      </c>
      <c r="CX74" s="321" t="s">
        <v>472</v>
      </c>
      <c r="CY74" s="321"/>
      <c r="CZ74" s="322"/>
      <c r="DA74" s="322"/>
      <c r="DB74" s="322"/>
      <c r="DC74" s="322"/>
      <c r="DD74" s="324"/>
      <c r="DF74" s="320">
        <v>2</v>
      </c>
      <c r="DG74" s="301" t="s">
        <v>476</v>
      </c>
      <c r="DH74" s="301" t="s">
        <v>613</v>
      </c>
      <c r="DI74" s="319"/>
      <c r="DJ74" s="319"/>
      <c r="DK74" s="319"/>
      <c r="DL74" s="319"/>
      <c r="DM74" s="288"/>
      <c r="DO74" s="320">
        <v>1</v>
      </c>
      <c r="DP74" s="321" t="s">
        <v>197</v>
      </c>
      <c r="DQ74" s="321" t="s">
        <v>658</v>
      </c>
      <c r="DR74" s="322"/>
      <c r="DS74" s="322"/>
      <c r="DT74" s="322"/>
      <c r="DU74" s="322"/>
      <c r="DV74" s="324"/>
    </row>
    <row r="75" spans="2:126" ht="15.75" thickBot="1" x14ac:dyDescent="0.3">
      <c r="B75" s="253">
        <v>2</v>
      </c>
      <c r="C75" s="301" t="s">
        <v>487</v>
      </c>
      <c r="D75" s="301"/>
      <c r="E75" s="319"/>
      <c r="F75" s="319"/>
      <c r="G75" s="319"/>
      <c r="H75" s="319"/>
      <c r="I75" s="288"/>
      <c r="K75" s="253">
        <v>2</v>
      </c>
      <c r="L75" s="301" t="s">
        <v>487</v>
      </c>
      <c r="M75" s="301"/>
      <c r="N75" s="319"/>
      <c r="O75" s="319"/>
      <c r="P75" s="319"/>
      <c r="Q75" s="319"/>
      <c r="R75" s="288"/>
      <c r="T75" s="320">
        <v>1</v>
      </c>
      <c r="U75" s="321" t="s">
        <v>485</v>
      </c>
      <c r="V75" s="321"/>
      <c r="W75" s="322"/>
      <c r="X75" s="322"/>
      <c r="Y75" s="322"/>
      <c r="Z75" s="322"/>
      <c r="AA75" s="324"/>
      <c r="AC75" s="320">
        <v>1</v>
      </c>
      <c r="AD75" s="321" t="s">
        <v>472</v>
      </c>
      <c r="AE75" s="321"/>
      <c r="AF75" s="322"/>
      <c r="AG75" s="322"/>
      <c r="AH75" s="322"/>
      <c r="AI75" s="322"/>
      <c r="AJ75" s="324"/>
      <c r="AL75" s="333"/>
      <c r="AM75" s="334"/>
      <c r="AN75" s="334" t="s">
        <v>623</v>
      </c>
      <c r="AO75" s="329"/>
      <c r="AP75" s="329"/>
      <c r="AQ75" s="329"/>
      <c r="AR75" s="329"/>
      <c r="AS75" s="335"/>
      <c r="AU75" s="333">
        <v>3</v>
      </c>
      <c r="AV75" s="334" t="s">
        <v>473</v>
      </c>
      <c r="AW75" s="334" t="s">
        <v>624</v>
      </c>
      <c r="AX75" s="329">
        <f>SUM(AX82:AX90)</f>
        <v>0.30000000000000004</v>
      </c>
      <c r="AY75" s="329"/>
      <c r="AZ75" s="329"/>
      <c r="BA75" s="329"/>
      <c r="BB75" s="335"/>
      <c r="BD75" s="320">
        <v>3</v>
      </c>
      <c r="BE75" s="321" t="s">
        <v>482</v>
      </c>
      <c r="BF75" s="301"/>
      <c r="BG75" s="319"/>
      <c r="BH75" s="319"/>
      <c r="BI75" s="319"/>
      <c r="BJ75" s="319"/>
      <c r="BK75" s="288"/>
      <c r="BM75" s="297" t="s">
        <v>477</v>
      </c>
      <c r="BN75" s="298" t="s">
        <v>478</v>
      </c>
      <c r="BO75" s="298"/>
      <c r="BP75" s="311"/>
      <c r="BQ75" s="311"/>
      <c r="BR75" s="311"/>
      <c r="BS75" s="311"/>
      <c r="BT75" s="299"/>
      <c r="BV75" s="320">
        <v>1</v>
      </c>
      <c r="BW75" s="321" t="s">
        <v>485</v>
      </c>
      <c r="BX75" s="321"/>
      <c r="BY75" s="322"/>
      <c r="BZ75" s="322"/>
      <c r="CA75" s="322"/>
      <c r="CB75" s="322"/>
      <c r="CC75" s="324"/>
      <c r="CE75" s="320">
        <v>3</v>
      </c>
      <c r="CF75" s="321" t="s">
        <v>482</v>
      </c>
      <c r="CG75" s="301"/>
      <c r="CH75" s="319"/>
      <c r="CI75" s="319"/>
      <c r="CJ75" s="319"/>
      <c r="CK75" s="319"/>
      <c r="CL75" s="288"/>
      <c r="CN75" s="297" t="s">
        <v>483</v>
      </c>
      <c r="CO75" s="298" t="s">
        <v>484</v>
      </c>
      <c r="CP75" s="298"/>
      <c r="CQ75" s="311"/>
      <c r="CR75" s="311"/>
      <c r="CS75" s="311"/>
      <c r="CT75" s="311"/>
      <c r="CU75" s="299"/>
      <c r="CW75" s="320">
        <v>2</v>
      </c>
      <c r="CX75" s="301" t="s">
        <v>476</v>
      </c>
      <c r="CY75" s="301" t="s">
        <v>625</v>
      </c>
      <c r="CZ75" s="319"/>
      <c r="DA75" s="319"/>
      <c r="DB75" s="319"/>
      <c r="DC75" s="319"/>
      <c r="DD75" s="288"/>
      <c r="DF75" s="333"/>
      <c r="DG75" s="334"/>
      <c r="DH75" s="301" t="s">
        <v>618</v>
      </c>
      <c r="DI75" s="329"/>
      <c r="DJ75" s="329"/>
      <c r="DK75" s="329"/>
      <c r="DL75" s="329"/>
      <c r="DM75" s="335"/>
      <c r="DO75" s="320">
        <v>2</v>
      </c>
      <c r="DP75" s="321" t="s">
        <v>480</v>
      </c>
      <c r="DQ75" s="301"/>
      <c r="DR75" s="319"/>
      <c r="DS75" s="319"/>
      <c r="DT75" s="319"/>
      <c r="DU75" s="319"/>
      <c r="DV75" s="288"/>
    </row>
    <row r="76" spans="2:126" ht="15.75" thickBot="1" x14ac:dyDescent="0.3">
      <c r="B76" s="253">
        <v>3</v>
      </c>
      <c r="C76" s="301" t="s">
        <v>490</v>
      </c>
      <c r="D76" s="301"/>
      <c r="E76" s="319"/>
      <c r="F76" s="319"/>
      <c r="G76" s="319"/>
      <c r="H76" s="319"/>
      <c r="I76" s="288"/>
      <c r="K76" s="253">
        <v>3</v>
      </c>
      <c r="L76" s="301" t="s">
        <v>490</v>
      </c>
      <c r="M76" s="301"/>
      <c r="N76" s="319"/>
      <c r="O76" s="319"/>
      <c r="P76" s="319"/>
      <c r="Q76" s="319"/>
      <c r="R76" s="288"/>
      <c r="T76" s="253">
        <v>2</v>
      </c>
      <c r="U76" s="301" t="s">
        <v>487</v>
      </c>
      <c r="V76" s="301"/>
      <c r="W76" s="319"/>
      <c r="X76" s="319"/>
      <c r="Y76" s="319"/>
      <c r="Z76" s="319"/>
      <c r="AA76" s="288"/>
      <c r="AC76" s="320">
        <v>2</v>
      </c>
      <c r="AD76" s="301" t="s">
        <v>476</v>
      </c>
      <c r="AE76" s="301" t="s">
        <v>627</v>
      </c>
      <c r="AF76" s="319"/>
      <c r="AG76" s="319"/>
      <c r="AH76" s="319"/>
      <c r="AI76" s="319"/>
      <c r="AJ76" s="288"/>
      <c r="AL76" s="333">
        <v>3</v>
      </c>
      <c r="AM76" s="334" t="s">
        <v>473</v>
      </c>
      <c r="AN76" s="334" t="s">
        <v>628</v>
      </c>
      <c r="AO76" s="329"/>
      <c r="AP76" s="329"/>
      <c r="AQ76" s="329"/>
      <c r="AR76" s="329"/>
      <c r="AS76" s="335"/>
      <c r="AU76" s="297" t="s">
        <v>477</v>
      </c>
      <c r="AV76" s="298" t="s">
        <v>478</v>
      </c>
      <c r="AW76" s="298"/>
      <c r="AX76" s="311"/>
      <c r="AY76" s="311"/>
      <c r="AZ76" s="311"/>
      <c r="BA76" s="311"/>
      <c r="BB76" s="299"/>
      <c r="BD76" s="297" t="s">
        <v>483</v>
      </c>
      <c r="BE76" s="298" t="s">
        <v>484</v>
      </c>
      <c r="BF76" s="298"/>
      <c r="BG76" s="311"/>
      <c r="BH76" s="311"/>
      <c r="BI76" s="311"/>
      <c r="BJ76" s="311"/>
      <c r="BK76" s="299"/>
      <c r="BM76" s="320">
        <v>1</v>
      </c>
      <c r="BN76" s="321" t="s">
        <v>197</v>
      </c>
      <c r="BO76" s="321"/>
      <c r="BP76" s="322"/>
      <c r="BQ76" s="322"/>
      <c r="BR76" s="322"/>
      <c r="BS76" s="322"/>
      <c r="BT76" s="324"/>
      <c r="BV76" s="253">
        <v>2</v>
      </c>
      <c r="BW76" s="301" t="s">
        <v>487</v>
      </c>
      <c r="BX76" s="301"/>
      <c r="BY76" s="319"/>
      <c r="BZ76" s="319"/>
      <c r="CA76" s="319"/>
      <c r="CB76" s="319"/>
      <c r="CC76" s="288"/>
      <c r="CE76" s="297" t="s">
        <v>483</v>
      </c>
      <c r="CF76" s="298" t="s">
        <v>484</v>
      </c>
      <c r="CG76" s="298"/>
      <c r="CH76" s="311"/>
      <c r="CI76" s="311"/>
      <c r="CJ76" s="311"/>
      <c r="CK76" s="311"/>
      <c r="CL76" s="299"/>
      <c r="CN76" s="320">
        <v>1</v>
      </c>
      <c r="CO76" s="321" t="s">
        <v>485</v>
      </c>
      <c r="CP76" s="321"/>
      <c r="CQ76" s="322"/>
      <c r="CR76" s="322"/>
      <c r="CS76" s="322"/>
      <c r="CT76" s="322"/>
      <c r="CU76" s="324"/>
      <c r="CW76" s="333">
        <v>3</v>
      </c>
      <c r="CX76" s="334" t="s">
        <v>473</v>
      </c>
      <c r="CY76" s="334" t="s">
        <v>629</v>
      </c>
      <c r="CZ76" s="329"/>
      <c r="DA76" s="329"/>
      <c r="DB76" s="329"/>
      <c r="DC76" s="329"/>
      <c r="DD76" s="335"/>
      <c r="DF76" s="333"/>
      <c r="DG76" s="334"/>
      <c r="DH76" s="301" t="s">
        <v>622</v>
      </c>
      <c r="DI76" s="329"/>
      <c r="DJ76" s="329"/>
      <c r="DK76" s="329"/>
      <c r="DL76" s="329"/>
      <c r="DM76" s="335"/>
      <c r="DO76" s="320">
        <v>3</v>
      </c>
      <c r="DP76" s="321" t="s">
        <v>482</v>
      </c>
      <c r="DQ76" s="301" t="s">
        <v>659</v>
      </c>
      <c r="DR76" s="319"/>
      <c r="DS76" s="319"/>
      <c r="DT76" s="319"/>
      <c r="DU76" s="319"/>
      <c r="DV76" s="288"/>
    </row>
    <row r="77" spans="2:126" ht="15.75" thickBot="1" x14ac:dyDescent="0.3">
      <c r="T77" s="253">
        <v>3</v>
      </c>
      <c r="U77" s="301" t="s">
        <v>490</v>
      </c>
      <c r="V77" s="301"/>
      <c r="W77" s="319"/>
      <c r="X77" s="319"/>
      <c r="Y77" s="319"/>
      <c r="Z77" s="319"/>
      <c r="AA77" s="288"/>
      <c r="AC77" s="333">
        <v>3</v>
      </c>
      <c r="AD77" s="334" t="s">
        <v>473</v>
      </c>
      <c r="AE77" s="334" t="s">
        <v>630</v>
      </c>
      <c r="AF77" s="329">
        <f>AF84</f>
        <v>0</v>
      </c>
      <c r="AG77" s="329"/>
      <c r="AH77" s="329"/>
      <c r="AI77" s="329"/>
      <c r="AJ77" s="335"/>
      <c r="AL77" s="297" t="s">
        <v>477</v>
      </c>
      <c r="AM77" s="298" t="s">
        <v>478</v>
      </c>
      <c r="AN77" s="298"/>
      <c r="AO77" s="311"/>
      <c r="AP77" s="311"/>
      <c r="AQ77" s="311"/>
      <c r="AR77" s="311"/>
      <c r="AS77" s="299"/>
      <c r="AU77" s="320">
        <v>1</v>
      </c>
      <c r="AV77" s="321" t="s">
        <v>197</v>
      </c>
      <c r="AW77" s="321" t="s">
        <v>631</v>
      </c>
      <c r="AX77" s="322"/>
      <c r="AY77" s="322"/>
      <c r="AZ77" s="322"/>
      <c r="BA77" s="322"/>
      <c r="BB77" s="324"/>
      <c r="BD77" s="300">
        <v>1</v>
      </c>
      <c r="BE77" s="316" t="s">
        <v>485</v>
      </c>
      <c r="BF77" s="316" t="s">
        <v>632</v>
      </c>
      <c r="BG77" s="317">
        <v>0.1</v>
      </c>
      <c r="BH77" s="317"/>
      <c r="BI77" s="317"/>
      <c r="BJ77" s="317"/>
      <c r="BK77" s="318"/>
      <c r="BM77" s="320">
        <v>2</v>
      </c>
      <c r="BN77" s="321" t="s">
        <v>480</v>
      </c>
      <c r="BO77" s="321"/>
      <c r="BP77" s="322"/>
      <c r="BQ77" s="322"/>
      <c r="BR77" s="322"/>
      <c r="BS77" s="322"/>
      <c r="BT77" s="324"/>
      <c r="BV77" s="253">
        <v>3</v>
      </c>
      <c r="BW77" s="301" t="s">
        <v>490</v>
      </c>
      <c r="BX77" s="301"/>
      <c r="BY77" s="319"/>
      <c r="BZ77" s="319"/>
      <c r="CA77" s="319"/>
      <c r="CB77" s="319"/>
      <c r="CC77" s="288"/>
      <c r="CE77" s="320">
        <v>1</v>
      </c>
      <c r="CF77" s="321" t="s">
        <v>485</v>
      </c>
      <c r="CG77" s="321"/>
      <c r="CH77" s="322"/>
      <c r="CI77" s="322"/>
      <c r="CJ77" s="322"/>
      <c r="CK77" s="322"/>
      <c r="CL77" s="324"/>
      <c r="CN77" s="253">
        <v>2</v>
      </c>
      <c r="CO77" s="301" t="s">
        <v>487</v>
      </c>
      <c r="CP77" s="301"/>
      <c r="CQ77" s="319"/>
      <c r="CR77" s="319"/>
      <c r="CS77" s="319"/>
      <c r="CT77" s="319"/>
      <c r="CU77" s="288"/>
      <c r="CW77" s="297" t="s">
        <v>477</v>
      </c>
      <c r="CX77" s="298" t="s">
        <v>478</v>
      </c>
      <c r="CY77" s="298"/>
      <c r="CZ77" s="311"/>
      <c r="DA77" s="311"/>
      <c r="DB77" s="311"/>
      <c r="DC77" s="311"/>
      <c r="DD77" s="299"/>
      <c r="DF77" s="333">
        <v>3</v>
      </c>
      <c r="DG77" s="334" t="s">
        <v>473</v>
      </c>
      <c r="DH77" s="334" t="s">
        <v>626</v>
      </c>
      <c r="DI77" s="329"/>
      <c r="DJ77" s="329"/>
      <c r="DK77" s="329"/>
      <c r="DL77" s="329"/>
      <c r="DM77" s="335"/>
      <c r="DO77" s="297" t="s">
        <v>483</v>
      </c>
      <c r="DP77" s="298" t="s">
        <v>484</v>
      </c>
      <c r="DQ77" s="298"/>
      <c r="DR77" s="311"/>
      <c r="DS77" s="311"/>
      <c r="DT77" s="311"/>
      <c r="DU77" s="311"/>
      <c r="DV77" s="299"/>
    </row>
    <row r="78" spans="2:126" ht="15.75" thickBot="1" x14ac:dyDescent="0.3">
      <c r="AC78" s="297" t="s">
        <v>477</v>
      </c>
      <c r="AD78" s="298" t="s">
        <v>478</v>
      </c>
      <c r="AE78" s="298"/>
      <c r="AF78" s="311"/>
      <c r="AG78" s="311"/>
      <c r="AH78" s="311"/>
      <c r="AI78" s="311"/>
      <c r="AJ78" s="299"/>
      <c r="AL78" s="320">
        <v>1</v>
      </c>
      <c r="AM78" s="321" t="s">
        <v>197</v>
      </c>
      <c r="AN78" s="321" t="s">
        <v>634</v>
      </c>
      <c r="AO78" s="322"/>
      <c r="AP78" s="322"/>
      <c r="AQ78" s="322"/>
      <c r="AR78" s="322"/>
      <c r="AS78" s="324"/>
      <c r="AU78" s="320"/>
      <c r="AV78" s="321"/>
      <c r="AW78" s="321" t="s">
        <v>635</v>
      </c>
      <c r="AX78" s="322"/>
      <c r="AY78" s="322"/>
      <c r="AZ78" s="322"/>
      <c r="BA78" s="322"/>
      <c r="BB78" s="324"/>
      <c r="BD78" s="253">
        <v>2</v>
      </c>
      <c r="BE78" s="301" t="s">
        <v>487</v>
      </c>
      <c r="BF78" s="301" t="s">
        <v>636</v>
      </c>
      <c r="BG78" s="319"/>
      <c r="BH78" s="319"/>
      <c r="BI78" s="319"/>
      <c r="BJ78" s="319"/>
      <c r="BK78" s="288"/>
      <c r="BM78" s="271">
        <v>3</v>
      </c>
      <c r="BN78" s="302" t="s">
        <v>482</v>
      </c>
      <c r="BO78" s="302"/>
      <c r="BP78" s="337"/>
      <c r="BQ78" s="337"/>
      <c r="BR78" s="337"/>
      <c r="BS78" s="337"/>
      <c r="BT78" s="303"/>
      <c r="CE78" s="253">
        <v>2</v>
      </c>
      <c r="CF78" s="301" t="s">
        <v>487</v>
      </c>
      <c r="CG78" s="301"/>
      <c r="CH78" s="319"/>
      <c r="CI78" s="319"/>
      <c r="CJ78" s="319"/>
      <c r="CK78" s="319"/>
      <c r="CL78" s="288"/>
      <c r="CN78" s="253">
        <v>3</v>
      </c>
      <c r="CO78" s="301" t="s">
        <v>490</v>
      </c>
      <c r="CP78" s="301"/>
      <c r="CQ78" s="319"/>
      <c r="CR78" s="319"/>
      <c r="CS78" s="319"/>
      <c r="CT78" s="319"/>
      <c r="CU78" s="288"/>
      <c r="CW78" s="320">
        <v>1</v>
      </c>
      <c r="CX78" s="321" t="s">
        <v>197</v>
      </c>
      <c r="CY78" s="321" t="s">
        <v>637</v>
      </c>
      <c r="CZ78" s="322"/>
      <c r="DA78" s="322"/>
      <c r="DB78" s="322"/>
      <c r="DC78" s="322"/>
      <c r="DD78" s="324"/>
      <c r="DF78" s="297" t="s">
        <v>477</v>
      </c>
      <c r="DG78" s="298" t="s">
        <v>478</v>
      </c>
      <c r="DH78" s="298"/>
      <c r="DI78" s="311"/>
      <c r="DJ78" s="311"/>
      <c r="DK78" s="311"/>
      <c r="DL78" s="311"/>
      <c r="DM78" s="299"/>
      <c r="DO78" s="320">
        <v>1</v>
      </c>
      <c r="DP78" s="321" t="s">
        <v>485</v>
      </c>
      <c r="DQ78" s="321"/>
      <c r="DR78" s="322"/>
      <c r="DS78" s="322"/>
      <c r="DT78" s="322"/>
      <c r="DU78" s="322"/>
      <c r="DV78" s="324"/>
    </row>
    <row r="79" spans="2:126" ht="15.75" thickBot="1" x14ac:dyDescent="0.3">
      <c r="AC79" s="320">
        <v>1</v>
      </c>
      <c r="AD79" s="321" t="s">
        <v>197</v>
      </c>
      <c r="AE79" s="321" t="s">
        <v>639</v>
      </c>
      <c r="AF79" s="322"/>
      <c r="AG79" s="322"/>
      <c r="AH79" s="322"/>
      <c r="AI79" s="322"/>
      <c r="AJ79" s="324"/>
      <c r="AL79" s="320">
        <v>2</v>
      </c>
      <c r="AM79" s="321" t="s">
        <v>480</v>
      </c>
      <c r="AN79" s="301"/>
      <c r="AO79" s="319"/>
      <c r="AP79" s="319"/>
      <c r="AQ79" s="319"/>
      <c r="AR79" s="319"/>
      <c r="AS79" s="288"/>
      <c r="AU79" s="320">
        <v>2</v>
      </c>
      <c r="AV79" s="321" t="s">
        <v>480</v>
      </c>
      <c r="AW79" s="301"/>
      <c r="AX79" s="319"/>
      <c r="AY79" s="319"/>
      <c r="AZ79" s="319"/>
      <c r="BA79" s="319"/>
      <c r="BB79" s="288"/>
      <c r="BD79" s="271">
        <v>3</v>
      </c>
      <c r="BE79" s="302" t="s">
        <v>490</v>
      </c>
      <c r="BF79" s="302">
        <v>540</v>
      </c>
      <c r="BG79" s="337"/>
      <c r="BH79" s="337"/>
      <c r="BI79" s="337">
        <v>120</v>
      </c>
      <c r="BJ79" s="337">
        <f>BI79/BF79</f>
        <v>0.22222222222222221</v>
      </c>
      <c r="BK79" s="303"/>
      <c r="BM79" s="320">
        <v>1</v>
      </c>
      <c r="BN79" s="321" t="s">
        <v>485</v>
      </c>
      <c r="BO79" s="321" t="s">
        <v>632</v>
      </c>
      <c r="BP79" s="322">
        <v>0.1</v>
      </c>
      <c r="BQ79" s="322"/>
      <c r="BR79" s="322"/>
      <c r="BS79" s="322"/>
      <c r="BT79" s="324"/>
      <c r="CE79" s="253">
        <v>3</v>
      </c>
      <c r="CF79" s="301" t="s">
        <v>490</v>
      </c>
      <c r="CG79" s="301"/>
      <c r="CH79" s="319"/>
      <c r="CI79" s="319"/>
      <c r="CJ79" s="319"/>
      <c r="CK79" s="319"/>
      <c r="CL79" s="288"/>
      <c r="CW79" s="320">
        <v>2</v>
      </c>
      <c r="CX79" s="321" t="s">
        <v>480</v>
      </c>
      <c r="CY79" s="301" t="s">
        <v>640</v>
      </c>
      <c r="CZ79" s="319"/>
      <c r="DA79" s="319"/>
      <c r="DB79" s="319"/>
      <c r="DC79" s="319"/>
      <c r="DD79" s="288"/>
      <c r="DF79" s="320">
        <v>1</v>
      </c>
      <c r="DG79" s="321" t="s">
        <v>197</v>
      </c>
      <c r="DH79" s="321" t="s">
        <v>633</v>
      </c>
      <c r="DI79" s="322"/>
      <c r="DJ79" s="322"/>
      <c r="DK79" s="322"/>
      <c r="DL79" s="322"/>
      <c r="DM79" s="324"/>
      <c r="DO79" s="253">
        <v>2</v>
      </c>
      <c r="DP79" s="301" t="s">
        <v>487</v>
      </c>
      <c r="DQ79" s="301"/>
      <c r="DR79" s="319"/>
      <c r="DS79" s="319"/>
      <c r="DT79" s="319"/>
      <c r="DU79" s="319"/>
      <c r="DV79" s="288"/>
    </row>
    <row r="80" spans="2:126" ht="15.75" thickBot="1" x14ac:dyDescent="0.3">
      <c r="AC80" s="320"/>
      <c r="AD80" s="321"/>
      <c r="AE80" s="321" t="s">
        <v>641</v>
      </c>
      <c r="AF80" s="322"/>
      <c r="AG80" s="322"/>
      <c r="AH80" s="322"/>
      <c r="AI80" s="322"/>
      <c r="AJ80" s="324"/>
      <c r="AL80" s="320">
        <v>3</v>
      </c>
      <c r="AM80" s="321" t="s">
        <v>482</v>
      </c>
      <c r="AN80" s="301"/>
      <c r="AO80" s="319"/>
      <c r="AP80" s="319"/>
      <c r="AQ80" s="319"/>
      <c r="AR80" s="319"/>
      <c r="AS80" s="288"/>
      <c r="AU80" s="320">
        <v>3</v>
      </c>
      <c r="AV80" s="321" t="s">
        <v>482</v>
      </c>
      <c r="AW80" s="301"/>
      <c r="AX80" s="319"/>
      <c r="AY80" s="319"/>
      <c r="AZ80" s="319"/>
      <c r="BA80" s="319"/>
      <c r="BB80" s="288"/>
      <c r="BD80" s="300">
        <v>1</v>
      </c>
      <c r="BE80" s="316" t="s">
        <v>485</v>
      </c>
      <c r="BF80" s="316" t="s">
        <v>632</v>
      </c>
      <c r="BG80" s="317">
        <v>0.1</v>
      </c>
      <c r="BH80" s="317"/>
      <c r="BI80" s="317"/>
      <c r="BJ80" s="317"/>
      <c r="BK80" s="318"/>
      <c r="BM80" s="253">
        <v>2</v>
      </c>
      <c r="BN80" s="301" t="s">
        <v>487</v>
      </c>
      <c r="BO80" s="301" t="s">
        <v>642</v>
      </c>
      <c r="BP80" s="319"/>
      <c r="BQ80" s="319"/>
      <c r="BR80" s="319"/>
      <c r="BS80" s="319"/>
      <c r="BT80" s="288"/>
      <c r="CW80" s="320">
        <v>3</v>
      </c>
      <c r="CX80" s="321" t="s">
        <v>482</v>
      </c>
      <c r="CY80" s="301"/>
      <c r="CZ80" s="319"/>
      <c r="DA80" s="319"/>
      <c r="DB80" s="319"/>
      <c r="DC80" s="319"/>
      <c r="DD80" s="288"/>
      <c r="DF80" s="320"/>
      <c r="DG80" s="321"/>
      <c r="DH80" s="321" t="s">
        <v>638</v>
      </c>
      <c r="DI80" s="322"/>
      <c r="DJ80" s="322"/>
      <c r="DK80" s="322"/>
      <c r="DL80" s="322"/>
      <c r="DM80" s="324"/>
      <c r="DO80" s="253">
        <v>3</v>
      </c>
      <c r="DP80" s="301" t="s">
        <v>490</v>
      </c>
      <c r="DQ80" s="301"/>
      <c r="DR80" s="319"/>
      <c r="DS80" s="319"/>
      <c r="DT80" s="319"/>
      <c r="DU80" s="319"/>
      <c r="DV80" s="288"/>
    </row>
    <row r="81" spans="29:117" ht="15.75" thickBot="1" x14ac:dyDescent="0.3">
      <c r="AC81" s="320">
        <v>2</v>
      </c>
      <c r="AD81" s="321" t="s">
        <v>480</v>
      </c>
      <c r="AE81" s="301"/>
      <c r="AF81" s="319"/>
      <c r="AG81" s="319"/>
      <c r="AH81" s="319"/>
      <c r="AI81" s="319"/>
      <c r="AJ81" s="288"/>
      <c r="AL81" s="297" t="s">
        <v>483</v>
      </c>
      <c r="AM81" s="298" t="s">
        <v>484</v>
      </c>
      <c r="AN81" s="298"/>
      <c r="AO81" s="311"/>
      <c r="AP81" s="311"/>
      <c r="AQ81" s="311"/>
      <c r="AR81" s="311"/>
      <c r="AS81" s="299"/>
      <c r="AU81" s="297" t="s">
        <v>483</v>
      </c>
      <c r="AV81" s="298" t="s">
        <v>484</v>
      </c>
      <c r="AW81" s="298"/>
      <c r="AX81" s="311"/>
      <c r="AY81" s="311"/>
      <c r="AZ81" s="311"/>
      <c r="BA81" s="311"/>
      <c r="BB81" s="299"/>
      <c r="BD81" s="253">
        <v>2</v>
      </c>
      <c r="BE81" s="301" t="s">
        <v>487</v>
      </c>
      <c r="BF81" s="301" t="s">
        <v>644</v>
      </c>
      <c r="BG81" s="319"/>
      <c r="BH81" s="319"/>
      <c r="BI81" s="319"/>
      <c r="BJ81" s="319"/>
      <c r="BK81" s="288"/>
      <c r="BM81" s="358">
        <v>3</v>
      </c>
      <c r="BN81" s="359" t="s">
        <v>490</v>
      </c>
      <c r="BO81" s="359">
        <v>120</v>
      </c>
      <c r="BP81" s="360"/>
      <c r="BQ81" s="360"/>
      <c r="BR81" s="360">
        <v>120</v>
      </c>
      <c r="BS81" s="360">
        <f>BR81/BO81</f>
        <v>1</v>
      </c>
      <c r="BT81" s="361"/>
      <c r="CW81" s="297" t="s">
        <v>483</v>
      </c>
      <c r="CX81" s="298" t="s">
        <v>484</v>
      </c>
      <c r="CY81" s="298"/>
      <c r="CZ81" s="311"/>
      <c r="DA81" s="311"/>
      <c r="DB81" s="311"/>
      <c r="DC81" s="311"/>
      <c r="DD81" s="299"/>
      <c r="DF81" s="320">
        <v>2</v>
      </c>
      <c r="DG81" s="321" t="s">
        <v>480</v>
      </c>
      <c r="DH81" s="301"/>
      <c r="DI81" s="319"/>
      <c r="DJ81" s="319"/>
      <c r="DK81" s="319"/>
      <c r="DL81" s="319"/>
      <c r="DM81" s="288"/>
    </row>
    <row r="82" spans="29:117" ht="15.75" thickBot="1" x14ac:dyDescent="0.3">
      <c r="AC82" s="320">
        <v>3</v>
      </c>
      <c r="AD82" s="321" t="s">
        <v>482</v>
      </c>
      <c r="AE82" s="301"/>
      <c r="AF82" s="319"/>
      <c r="AG82" s="319"/>
      <c r="AH82" s="319"/>
      <c r="AI82" s="319"/>
      <c r="AJ82" s="288"/>
      <c r="AL82" s="320">
        <v>1</v>
      </c>
      <c r="AM82" s="321" t="s">
        <v>485</v>
      </c>
      <c r="AN82" s="321"/>
      <c r="AO82" s="322"/>
      <c r="AP82" s="322"/>
      <c r="AQ82" s="322"/>
      <c r="AR82" s="322"/>
      <c r="AS82" s="324"/>
      <c r="AU82" s="320">
        <v>1</v>
      </c>
      <c r="AV82" s="321" t="s">
        <v>485</v>
      </c>
      <c r="AW82" s="321" t="s">
        <v>632</v>
      </c>
      <c r="AX82" s="322">
        <v>0.1</v>
      </c>
      <c r="AY82" s="322"/>
      <c r="AZ82" s="322"/>
      <c r="BA82" s="322"/>
      <c r="BB82" s="324"/>
      <c r="BD82" s="271">
        <v>3</v>
      </c>
      <c r="BE82" s="302" t="s">
        <v>490</v>
      </c>
      <c r="BF82" s="302">
        <v>720</v>
      </c>
      <c r="BG82" s="337"/>
      <c r="BH82" s="337"/>
      <c r="BI82" s="337">
        <v>300</v>
      </c>
      <c r="BJ82" s="337">
        <f>BI82/BF82</f>
        <v>0.41666666666666669</v>
      </c>
      <c r="BK82" s="303"/>
      <c r="BM82" s="320">
        <v>1</v>
      </c>
      <c r="BN82" s="321" t="s">
        <v>485</v>
      </c>
      <c r="BO82" s="321" t="s">
        <v>632</v>
      </c>
      <c r="BP82" s="322">
        <v>0.1</v>
      </c>
      <c r="BQ82" s="322"/>
      <c r="BR82" s="322"/>
      <c r="BS82" s="322"/>
      <c r="BT82" s="324"/>
      <c r="CW82" s="320">
        <v>1</v>
      </c>
      <c r="CX82" s="321" t="s">
        <v>485</v>
      </c>
      <c r="CY82" s="321"/>
      <c r="CZ82" s="322"/>
      <c r="DA82" s="322"/>
      <c r="DB82" s="322"/>
      <c r="DC82" s="322"/>
      <c r="DD82" s="324"/>
      <c r="DF82" s="320">
        <v>3</v>
      </c>
      <c r="DG82" s="321" t="s">
        <v>482</v>
      </c>
      <c r="DH82" s="301" t="s">
        <v>643</v>
      </c>
      <c r="DI82" s="319"/>
      <c r="DJ82" s="319"/>
      <c r="DK82" s="319">
        <f>DK86*0.0024</f>
        <v>0</v>
      </c>
      <c r="DL82" s="319"/>
      <c r="DM82" s="288"/>
    </row>
    <row r="83" spans="29:117" ht="15.75" thickBot="1" x14ac:dyDescent="0.3">
      <c r="AC83" s="297" t="s">
        <v>483</v>
      </c>
      <c r="AD83" s="298" t="s">
        <v>484</v>
      </c>
      <c r="AE83" s="298"/>
      <c r="AF83" s="311"/>
      <c r="AG83" s="311"/>
      <c r="AH83" s="311"/>
      <c r="AI83" s="311"/>
      <c r="AJ83" s="299"/>
      <c r="AL83" s="253">
        <v>2</v>
      </c>
      <c r="AM83" s="301" t="s">
        <v>487</v>
      </c>
      <c r="AN83" s="301"/>
      <c r="AO83" s="319"/>
      <c r="AP83" s="319"/>
      <c r="AQ83" s="319"/>
      <c r="AR83" s="319"/>
      <c r="AS83" s="288"/>
      <c r="AU83" s="253">
        <v>2</v>
      </c>
      <c r="AV83" s="301" t="s">
        <v>487</v>
      </c>
      <c r="AW83" s="301" t="s">
        <v>501</v>
      </c>
      <c r="AX83" s="319"/>
      <c r="AY83" s="319"/>
      <c r="AZ83" s="319"/>
      <c r="BA83" s="319"/>
      <c r="BB83" s="288"/>
      <c r="BM83" s="253">
        <v>2</v>
      </c>
      <c r="BN83" s="301" t="s">
        <v>487</v>
      </c>
      <c r="BO83" s="301" t="s">
        <v>642</v>
      </c>
      <c r="BP83" s="319"/>
      <c r="BQ83" s="319"/>
      <c r="BR83" s="319"/>
      <c r="BS83" s="319"/>
      <c r="BT83" s="288"/>
      <c r="CW83" s="253">
        <v>2</v>
      </c>
      <c r="CX83" s="301" t="s">
        <v>487</v>
      </c>
      <c r="CY83" s="301"/>
      <c r="CZ83" s="319"/>
      <c r="DA83" s="319"/>
      <c r="DB83" s="319"/>
      <c r="DC83" s="319"/>
      <c r="DD83" s="288"/>
      <c r="DF83" s="297" t="s">
        <v>483</v>
      </c>
      <c r="DG83" s="298" t="s">
        <v>484</v>
      </c>
      <c r="DH83" s="298"/>
      <c r="DI83" s="311"/>
      <c r="DJ83" s="311"/>
      <c r="DK83" s="311"/>
      <c r="DL83" s="311"/>
      <c r="DM83" s="299"/>
    </row>
    <row r="84" spans="29:117" ht="15.75" thickBot="1" x14ac:dyDescent="0.3">
      <c r="AC84" s="320">
        <v>1</v>
      </c>
      <c r="AD84" s="321" t="s">
        <v>485</v>
      </c>
      <c r="AE84" s="321"/>
      <c r="AF84" s="322"/>
      <c r="AG84" s="322"/>
      <c r="AH84" s="322"/>
      <c r="AI84" s="322"/>
      <c r="AJ84" s="324"/>
      <c r="AL84" s="253">
        <v>3</v>
      </c>
      <c r="AM84" s="301" t="s">
        <v>490</v>
      </c>
      <c r="AN84" s="301"/>
      <c r="AO84" s="319"/>
      <c r="AP84" s="319"/>
      <c r="AQ84" s="319"/>
      <c r="AR84" s="319"/>
      <c r="AS84" s="288"/>
      <c r="AU84" s="271">
        <v>3</v>
      </c>
      <c r="AV84" s="302" t="s">
        <v>490</v>
      </c>
      <c r="AW84" s="302">
        <v>300</v>
      </c>
      <c r="AX84" s="337"/>
      <c r="AY84" s="337"/>
      <c r="AZ84" s="337">
        <v>120</v>
      </c>
      <c r="BA84" s="337">
        <f>AZ84/AW84</f>
        <v>0.4</v>
      </c>
      <c r="BB84" s="303"/>
      <c r="BM84" s="271">
        <v>3</v>
      </c>
      <c r="BN84" s="302" t="s">
        <v>490</v>
      </c>
      <c r="BO84" s="302">
        <v>360</v>
      </c>
      <c r="BP84" s="337"/>
      <c r="BQ84" s="337"/>
      <c r="BR84" s="337">
        <v>60</v>
      </c>
      <c r="BS84" s="337">
        <f>BR84/BO84</f>
        <v>0.16666666666666666</v>
      </c>
      <c r="BT84" s="303"/>
      <c r="CW84" s="253">
        <v>3</v>
      </c>
      <c r="CX84" s="301" t="s">
        <v>490</v>
      </c>
      <c r="CY84" s="301"/>
      <c r="CZ84" s="319"/>
      <c r="DA84" s="319"/>
      <c r="DB84" s="319"/>
      <c r="DC84" s="319"/>
      <c r="DD84" s="288"/>
      <c r="DF84" s="320">
        <v>1</v>
      </c>
      <c r="DG84" s="321" t="s">
        <v>485</v>
      </c>
      <c r="DH84" s="321" t="s">
        <v>645</v>
      </c>
      <c r="DI84" s="322"/>
      <c r="DJ84" s="322"/>
      <c r="DK84" s="322"/>
      <c r="DL84" s="322"/>
      <c r="DM84" s="324"/>
    </row>
    <row r="85" spans="29:117" x14ac:dyDescent="0.25">
      <c r="AC85" s="253">
        <v>2</v>
      </c>
      <c r="AD85" s="301" t="s">
        <v>487</v>
      </c>
      <c r="AE85" s="301"/>
      <c r="AF85" s="319"/>
      <c r="AG85" s="319"/>
      <c r="AH85" s="319"/>
      <c r="AI85" s="319"/>
      <c r="AJ85" s="288"/>
      <c r="AU85" s="320">
        <v>1</v>
      </c>
      <c r="AV85" s="321" t="s">
        <v>485</v>
      </c>
      <c r="AW85" s="321" t="s">
        <v>632</v>
      </c>
      <c r="AX85" s="322">
        <v>0.1</v>
      </c>
      <c r="AY85" s="322"/>
      <c r="AZ85" s="322"/>
      <c r="BA85" s="322"/>
      <c r="BB85" s="324"/>
      <c r="DF85" s="253">
        <v>2</v>
      </c>
      <c r="DG85" s="301" t="s">
        <v>487</v>
      </c>
      <c r="DH85" s="301" t="s">
        <v>646</v>
      </c>
      <c r="DI85" s="319"/>
      <c r="DJ85" s="319"/>
      <c r="DK85" s="319"/>
      <c r="DL85" s="319"/>
      <c r="DM85" s="288"/>
    </row>
    <row r="86" spans="29:117" ht="15.75" thickBot="1" x14ac:dyDescent="0.3">
      <c r="AC86" s="253">
        <v>3</v>
      </c>
      <c r="AD86" s="301" t="s">
        <v>490</v>
      </c>
      <c r="AE86" s="301"/>
      <c r="AF86" s="319"/>
      <c r="AG86" s="319"/>
      <c r="AH86" s="319"/>
      <c r="AI86" s="337"/>
      <c r="AJ86" s="288"/>
      <c r="AU86" s="253">
        <v>2</v>
      </c>
      <c r="AV86" s="301" t="s">
        <v>487</v>
      </c>
      <c r="AW86" s="301" t="s">
        <v>501</v>
      </c>
      <c r="AX86" s="319"/>
      <c r="AY86" s="319"/>
      <c r="AZ86" s="319"/>
      <c r="BA86" s="319"/>
      <c r="BB86" s="288"/>
      <c r="DF86" s="271">
        <v>3</v>
      </c>
      <c r="DG86" s="302" t="s">
        <v>490</v>
      </c>
      <c r="DH86" s="302">
        <v>0</v>
      </c>
      <c r="DI86" s="337"/>
      <c r="DJ86" s="337"/>
      <c r="DK86" s="337">
        <v>0</v>
      </c>
      <c r="DL86" s="337" t="e">
        <f>DK86/DH86</f>
        <v>#DIV/0!</v>
      </c>
      <c r="DM86" s="303"/>
    </row>
    <row r="87" spans="29:117" ht="15.75" thickBot="1" x14ac:dyDescent="0.3">
      <c r="AU87" s="271">
        <v>3</v>
      </c>
      <c r="AV87" s="302" t="s">
        <v>490</v>
      </c>
      <c r="AW87" s="302">
        <v>180</v>
      </c>
      <c r="AX87" s="337"/>
      <c r="AY87" s="337"/>
      <c r="AZ87" s="337">
        <v>0</v>
      </c>
      <c r="BA87" s="337">
        <f>AZ87/AW87</f>
        <v>0</v>
      </c>
      <c r="BB87" s="303"/>
      <c r="DF87" s="320">
        <v>1</v>
      </c>
      <c r="DG87" s="321" t="s">
        <v>485</v>
      </c>
      <c r="DH87" s="321" t="s">
        <v>645</v>
      </c>
      <c r="DI87" s="322"/>
      <c r="DJ87" s="322"/>
      <c r="DK87" s="322"/>
      <c r="DL87" s="322"/>
      <c r="DM87" s="324"/>
    </row>
    <row r="88" spans="29:117" x14ac:dyDescent="0.25">
      <c r="AU88" s="320">
        <v>1</v>
      </c>
      <c r="AV88" s="321" t="s">
        <v>485</v>
      </c>
      <c r="AW88" s="321" t="s">
        <v>632</v>
      </c>
      <c r="AX88" s="322">
        <v>0.1</v>
      </c>
      <c r="AY88" s="322"/>
      <c r="AZ88" s="322"/>
      <c r="BA88" s="322"/>
      <c r="BB88" s="324"/>
      <c r="DF88" s="253">
        <v>2</v>
      </c>
      <c r="DG88" s="301" t="s">
        <v>487</v>
      </c>
      <c r="DH88" s="301" t="s">
        <v>646</v>
      </c>
      <c r="DI88" s="319"/>
      <c r="DJ88" s="319"/>
      <c r="DK88" s="319"/>
      <c r="DL88" s="319"/>
      <c r="DM88" s="288"/>
    </row>
    <row r="89" spans="29:117" ht="15.75" thickBot="1" x14ac:dyDescent="0.3">
      <c r="AU89" s="253">
        <v>2</v>
      </c>
      <c r="AV89" s="301" t="s">
        <v>487</v>
      </c>
      <c r="AW89" s="301" t="s">
        <v>488</v>
      </c>
      <c r="AX89" s="319"/>
      <c r="AY89" s="319"/>
      <c r="AZ89" s="319"/>
      <c r="BA89" s="319"/>
      <c r="BB89" s="288"/>
      <c r="DF89" s="271">
        <v>3</v>
      </c>
      <c r="DG89" s="302" t="s">
        <v>490</v>
      </c>
      <c r="DH89" s="302">
        <v>60</v>
      </c>
      <c r="DI89" s="337"/>
      <c r="DJ89" s="337"/>
      <c r="DK89" s="337">
        <v>0</v>
      </c>
      <c r="DL89" s="337">
        <f>DK89/DH89</f>
        <v>0</v>
      </c>
      <c r="DM89" s="303"/>
    </row>
    <row r="90" spans="29:117" ht="15.75" thickBot="1" x14ac:dyDescent="0.3">
      <c r="AU90" s="271">
        <v>3</v>
      </c>
      <c r="AV90" s="302" t="s">
        <v>490</v>
      </c>
      <c r="AW90" s="302">
        <v>360</v>
      </c>
      <c r="AX90" s="337"/>
      <c r="AY90" s="337"/>
      <c r="AZ90" s="337">
        <v>30</v>
      </c>
      <c r="BA90" s="337">
        <f>AZ90/AW90</f>
        <v>8.3333333333333329E-2</v>
      </c>
      <c r="BB90" s="303"/>
      <c r="DF90" s="320">
        <v>1</v>
      </c>
      <c r="DG90" s="321" t="s">
        <v>485</v>
      </c>
      <c r="DH90" s="321" t="s">
        <v>645</v>
      </c>
      <c r="DI90" s="322"/>
      <c r="DJ90" s="322"/>
      <c r="DK90" s="322"/>
      <c r="DL90" s="322"/>
      <c r="DM90" s="324"/>
    </row>
    <row r="91" spans="29:117" x14ac:dyDescent="0.25">
      <c r="DF91" s="253">
        <v>2</v>
      </c>
      <c r="DG91" s="301" t="s">
        <v>487</v>
      </c>
      <c r="DH91" s="301" t="s">
        <v>646</v>
      </c>
      <c r="DI91" s="319"/>
      <c r="DJ91" s="319"/>
      <c r="DK91" s="319"/>
      <c r="DL91" s="319"/>
      <c r="DM91" s="288"/>
    </row>
    <row r="92" spans="29:117" ht="15.75" thickBot="1" x14ac:dyDescent="0.3">
      <c r="DF92" s="271">
        <v>3</v>
      </c>
      <c r="DG92" s="302" t="s">
        <v>490</v>
      </c>
      <c r="DH92" s="302">
        <v>60</v>
      </c>
      <c r="DI92" s="337"/>
      <c r="DJ92" s="337"/>
      <c r="DK92" s="337">
        <v>45</v>
      </c>
      <c r="DL92" s="337">
        <f>DK92/DH92</f>
        <v>0.75</v>
      </c>
      <c r="DM92" s="303"/>
    </row>
    <row r="93" spans="29:117" x14ac:dyDescent="0.25">
      <c r="DF93" s="320">
        <v>1</v>
      </c>
      <c r="DG93" s="321" t="s">
        <v>485</v>
      </c>
      <c r="DH93" s="321" t="s">
        <v>645</v>
      </c>
      <c r="DI93" s="322"/>
      <c r="DJ93" s="322"/>
      <c r="DK93" s="322"/>
      <c r="DL93" s="322"/>
      <c r="DM93" s="324"/>
    </row>
    <row r="94" spans="29:117" x14ac:dyDescent="0.25">
      <c r="DF94" s="253">
        <v>2</v>
      </c>
      <c r="DG94" s="301" t="s">
        <v>487</v>
      </c>
      <c r="DH94" s="301" t="s">
        <v>646</v>
      </c>
      <c r="DI94" s="319"/>
      <c r="DJ94" s="319"/>
      <c r="DK94" s="319"/>
      <c r="DL94" s="319"/>
      <c r="DM94" s="288"/>
    </row>
    <row r="95" spans="29:117" ht="15.75" thickBot="1" x14ac:dyDescent="0.3">
      <c r="DF95" s="271">
        <v>3</v>
      </c>
      <c r="DG95" s="302" t="s">
        <v>490</v>
      </c>
      <c r="DH95" s="302">
        <v>60</v>
      </c>
      <c r="DI95" s="337"/>
      <c r="DJ95" s="337"/>
      <c r="DK95" s="337">
        <v>45</v>
      </c>
      <c r="DL95" s="337">
        <f>DK95/DH95</f>
        <v>0.75</v>
      </c>
      <c r="DM95" s="303"/>
    </row>
  </sheetData>
  <mergeCells count="58">
    <mergeCell ref="BV56:CC56"/>
    <mergeCell ref="CE56:CL56"/>
    <mergeCell ref="CN56:CU56"/>
    <mergeCell ref="CW56:DD56"/>
    <mergeCell ref="DF56:DM56"/>
    <mergeCell ref="DO56:DV56"/>
    <mergeCell ref="DF54:DM54"/>
    <mergeCell ref="DO54:DV54"/>
    <mergeCell ref="B56:I56"/>
    <mergeCell ref="K56:R56"/>
    <mergeCell ref="T56:AA56"/>
    <mergeCell ref="AC56:AJ56"/>
    <mergeCell ref="AL56:AS56"/>
    <mergeCell ref="AU56:BB56"/>
    <mergeCell ref="BD56:BK56"/>
    <mergeCell ref="BM56:BT56"/>
    <mergeCell ref="BD54:BK54"/>
    <mergeCell ref="BM54:BT54"/>
    <mergeCell ref="BV54:CC54"/>
    <mergeCell ref="CE54:CL54"/>
    <mergeCell ref="CN54:CU54"/>
    <mergeCell ref="CW54:DD54"/>
    <mergeCell ref="CN53:CU53"/>
    <mergeCell ref="CW53:DD53"/>
    <mergeCell ref="DF53:DM53"/>
    <mergeCell ref="DO53:DV53"/>
    <mergeCell ref="B54:I54"/>
    <mergeCell ref="K54:R54"/>
    <mergeCell ref="T54:AA54"/>
    <mergeCell ref="AC54:AJ54"/>
    <mergeCell ref="AL54:AS54"/>
    <mergeCell ref="AU54:BB54"/>
    <mergeCell ref="AL53:AS53"/>
    <mergeCell ref="AU53:BB53"/>
    <mergeCell ref="BD53:BK53"/>
    <mergeCell ref="BM53:BT53"/>
    <mergeCell ref="BV53:CC53"/>
    <mergeCell ref="CE53:CL53"/>
    <mergeCell ref="J24:L26"/>
    <mergeCell ref="AB36:AE36"/>
    <mergeCell ref="AB39:AE41"/>
    <mergeCell ref="B53:I53"/>
    <mergeCell ref="K53:R53"/>
    <mergeCell ref="T53:AA53"/>
    <mergeCell ref="AC53:AJ53"/>
    <mergeCell ref="B12:I12"/>
    <mergeCell ref="T12:AA12"/>
    <mergeCell ref="B13:I13"/>
    <mergeCell ref="T13:AA13"/>
    <mergeCell ref="AL13:AS13"/>
    <mergeCell ref="AB21:AE22"/>
    <mergeCell ref="J22:L22"/>
    <mergeCell ref="B10:I10"/>
    <mergeCell ref="T10:AA10"/>
    <mergeCell ref="AL10:AS10"/>
    <mergeCell ref="B11:I11"/>
    <mergeCell ref="T11:AA11"/>
    <mergeCell ref="AL11:AS1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Psi&amp;Fis_IC</vt:lpstr>
      <vt:lpstr>Bio_IC</vt:lpstr>
      <vt:lpstr>Kebiasaan_IC</vt:lpstr>
      <vt:lpstr>Peralatan_IC</vt:lpstr>
      <vt:lpstr>Mesin_IC</vt:lpstr>
      <vt:lpstr>Lampu_IC</vt:lpstr>
      <vt:lpstr>Dinamis_IC</vt:lpstr>
      <vt:lpstr>Statis_IC</vt:lpstr>
      <vt:lpstr>Utilitas_IC</vt:lpstr>
      <vt:lpstr>Data Lingkungan_IC</vt:lpstr>
      <vt:lpstr>Peralatan_IC!Print_Titles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STUDIO_10</cp:lastModifiedBy>
  <dcterms:created xsi:type="dcterms:W3CDTF">2021-03-31T03:56:29Z</dcterms:created>
  <dcterms:modified xsi:type="dcterms:W3CDTF">2021-07-29T06:04:27Z</dcterms:modified>
</cp:coreProperties>
</file>