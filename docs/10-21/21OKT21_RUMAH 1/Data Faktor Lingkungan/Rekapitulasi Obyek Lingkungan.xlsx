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45" windowWidth="19875" windowHeight="7725"/>
  </bookViews>
  <sheets>
    <sheet name="Rekap AO-ALL" sheetId="1" r:id="rId1"/>
    <sheet name="Rekap AO-LIGHT" sheetId="2" r:id="rId2"/>
    <sheet name="Rekap PA-KR-KP" sheetId="3" r:id="rId3"/>
    <sheet name="Rekap TD-BAK-GS" sheetId="4" r:id="rId4"/>
  </sheets>
  <calcPr calcId="145621"/>
</workbook>
</file>

<file path=xl/calcChain.xml><?xml version="1.0" encoding="utf-8"?>
<calcChain xmlns="http://schemas.openxmlformats.org/spreadsheetml/2006/main">
  <c r="G6" i="4" l="1"/>
  <c r="J6" i="4"/>
  <c r="R6" i="4"/>
  <c r="AC6" i="4"/>
  <c r="AF6" i="4"/>
  <c r="AN6" i="4"/>
  <c r="AQ6" i="4"/>
  <c r="AO7" i="4" s="1"/>
  <c r="AN7" i="4" s="1"/>
  <c r="AD7" i="4"/>
  <c r="AC7" i="4" s="1"/>
  <c r="AF7" i="4"/>
  <c r="AG7" i="4"/>
  <c r="AG8" i="4" s="1"/>
  <c r="AG9" i="4" s="1"/>
  <c r="AQ7" i="4"/>
  <c r="AR7" i="4"/>
  <c r="AR8" i="4" s="1"/>
  <c r="AR9" i="4" s="1"/>
  <c r="U8" i="4"/>
  <c r="AD8" i="4"/>
  <c r="AF8" i="4"/>
  <c r="AO8" i="4"/>
  <c r="AN8" i="4" s="1"/>
  <c r="AQ8" i="4"/>
  <c r="AF9" i="4"/>
  <c r="AO9" i="4"/>
  <c r="AQ9" i="4"/>
  <c r="AF10" i="4"/>
  <c r="AG10" i="4"/>
  <c r="AQ10" i="4"/>
  <c r="AR10" i="4"/>
  <c r="AR11" i="4" s="1"/>
  <c r="AR12" i="4" s="1"/>
  <c r="AR13" i="4" s="1"/>
  <c r="AR14" i="4" s="1"/>
  <c r="AR15" i="4" s="1"/>
  <c r="AR16" i="4" s="1"/>
  <c r="AR17" i="4" s="1"/>
  <c r="U11" i="4"/>
  <c r="AF11" i="4"/>
  <c r="AG11" i="4"/>
  <c r="AG12" i="4" s="1"/>
  <c r="AG13" i="4" s="1"/>
  <c r="AQ11" i="4"/>
  <c r="AF12" i="4"/>
  <c r="AQ12" i="4"/>
  <c r="AF13" i="4"/>
  <c r="AQ13" i="4"/>
  <c r="AF14" i="4"/>
  <c r="AG14" i="4"/>
  <c r="AG15" i="4" s="1"/>
  <c r="AG16" i="4" s="1"/>
  <c r="AG17" i="4" s="1"/>
  <c r="AG18" i="4" s="1"/>
  <c r="AG19" i="4" s="1"/>
  <c r="AG20" i="4" s="1"/>
  <c r="AG21" i="4" s="1"/>
  <c r="AG22" i="4" s="1"/>
  <c r="AG23" i="4" s="1"/>
  <c r="AG24" i="4" s="1"/>
  <c r="AG25" i="4" s="1"/>
  <c r="AQ14" i="4"/>
  <c r="U15" i="4"/>
  <c r="AF15" i="4"/>
  <c r="AQ15" i="4"/>
  <c r="U16" i="4"/>
  <c r="AF16" i="4"/>
  <c r="AQ16" i="4"/>
  <c r="AF17" i="4"/>
  <c r="AQ17" i="4"/>
  <c r="AF18" i="4"/>
  <c r="AQ18" i="4"/>
  <c r="AR18" i="4"/>
  <c r="AR19" i="4" s="1"/>
  <c r="AR20" i="4" s="1"/>
  <c r="AR21" i="4" s="1"/>
  <c r="AR22" i="4" s="1"/>
  <c r="AR23" i="4" s="1"/>
  <c r="AR24" i="4" s="1"/>
  <c r="AR25" i="4" s="1"/>
  <c r="AR26" i="4" s="1"/>
  <c r="AR27" i="4" s="1"/>
  <c r="AR28" i="4" s="1"/>
  <c r="AR29" i="4" s="1"/>
  <c r="U19" i="4"/>
  <c r="AF19" i="4"/>
  <c r="AQ19" i="4"/>
  <c r="AF20" i="4"/>
  <c r="AQ20" i="4"/>
  <c r="AF21" i="4"/>
  <c r="AQ21" i="4"/>
  <c r="AF22" i="4"/>
  <c r="AQ22" i="4"/>
  <c r="U23" i="4"/>
  <c r="AF23" i="4"/>
  <c r="AQ23" i="4"/>
  <c r="U24" i="4"/>
  <c r="AF24" i="4"/>
  <c r="AQ24" i="4"/>
  <c r="AF25" i="4"/>
  <c r="AQ25" i="4"/>
  <c r="U26" i="4"/>
  <c r="AF26" i="4"/>
  <c r="AG26" i="4"/>
  <c r="AQ26" i="4"/>
  <c r="U27" i="4"/>
  <c r="AF27" i="4"/>
  <c r="AG27" i="4"/>
  <c r="AG28" i="4" s="1"/>
  <c r="AQ27" i="4"/>
  <c r="AF28" i="4"/>
  <c r="AQ28" i="4"/>
  <c r="U29" i="4"/>
  <c r="AF29" i="4"/>
  <c r="AG29" i="4"/>
  <c r="AQ29" i="4"/>
  <c r="G6" i="3"/>
  <c r="H6" i="3" s="1"/>
  <c r="I6" i="3" s="1"/>
  <c r="I6" i="4" s="1"/>
  <c r="K6" i="4" s="1"/>
  <c r="H7" i="4" s="1"/>
  <c r="G7" i="4" s="1"/>
  <c r="G7" i="3" s="1"/>
  <c r="H7" i="3" s="1"/>
  <c r="I7" i="3" s="1"/>
  <c r="T6" i="3"/>
  <c r="AC6" i="3"/>
  <c r="AL6" i="3"/>
  <c r="AV6" i="3"/>
  <c r="U6" i="4" s="1"/>
  <c r="V6" i="4" s="1"/>
  <c r="S7" i="4" s="1"/>
  <c r="U7" i="3"/>
  <c r="U8" i="3" s="1"/>
  <c r="U9" i="3" s="1"/>
  <c r="U10" i="3" s="1"/>
  <c r="U11" i="3" s="1"/>
  <c r="U12" i="3" s="1"/>
  <c r="U13" i="3" s="1"/>
  <c r="U14" i="3" s="1"/>
  <c r="U15" i="3" s="1"/>
  <c r="U16" i="3" s="1"/>
  <c r="U17" i="3" s="1"/>
  <c r="U18" i="3" s="1"/>
  <c r="U19" i="3" s="1"/>
  <c r="U20" i="3" s="1"/>
  <c r="U21" i="3" s="1"/>
  <c r="U22" i="3" s="1"/>
  <c r="U23" i="3" s="1"/>
  <c r="U24" i="3" s="1"/>
  <c r="U25" i="3" s="1"/>
  <c r="U26" i="3" s="1"/>
  <c r="U27" i="3" s="1"/>
  <c r="U28" i="3" s="1"/>
  <c r="U29" i="3" s="1"/>
  <c r="AC7" i="3"/>
  <c r="AD7" i="3"/>
  <c r="AL7" i="3"/>
  <c r="AM7" i="3"/>
  <c r="J7" i="4" s="1"/>
  <c r="AV7" i="3"/>
  <c r="U7" i="4" s="1"/>
  <c r="AW7" i="3"/>
  <c r="AC8" i="3"/>
  <c r="AD8" i="3"/>
  <c r="AL8" i="3"/>
  <c r="AV8" i="3"/>
  <c r="AW8" i="3"/>
  <c r="AC9" i="3"/>
  <c r="AD9" i="3"/>
  <c r="AL9" i="3"/>
  <c r="AV9" i="3"/>
  <c r="U9" i="4" s="1"/>
  <c r="AW9" i="3"/>
  <c r="AC10" i="3"/>
  <c r="AD10" i="3"/>
  <c r="AL10" i="3"/>
  <c r="AV10" i="3"/>
  <c r="U10" i="4" s="1"/>
  <c r="AW10" i="3"/>
  <c r="AC11" i="3"/>
  <c r="AD11" i="3"/>
  <c r="AL11" i="3"/>
  <c r="AV11" i="3"/>
  <c r="AW11" i="3"/>
  <c r="AC12" i="3"/>
  <c r="AD12" i="3"/>
  <c r="AL12" i="3"/>
  <c r="AV12" i="3"/>
  <c r="U12" i="4" s="1"/>
  <c r="AW12" i="3"/>
  <c r="AC13" i="3"/>
  <c r="AD13" i="3"/>
  <c r="AL13" i="3"/>
  <c r="AV13" i="3"/>
  <c r="U13" i="4" s="1"/>
  <c r="AW13" i="3"/>
  <c r="AC14" i="3"/>
  <c r="AD14" i="3"/>
  <c r="AL14" i="3"/>
  <c r="AV14" i="3"/>
  <c r="U14" i="4" s="1"/>
  <c r="AW14" i="3"/>
  <c r="AC15" i="3"/>
  <c r="AD15" i="3"/>
  <c r="AL15" i="3"/>
  <c r="AV15" i="3"/>
  <c r="AW15" i="3"/>
  <c r="AC16" i="3"/>
  <c r="AD16" i="3"/>
  <c r="AL16" i="3"/>
  <c r="AV16" i="3"/>
  <c r="AW16" i="3"/>
  <c r="AC17" i="3"/>
  <c r="AD17" i="3"/>
  <c r="AL17" i="3"/>
  <c r="AV17" i="3"/>
  <c r="U17" i="4" s="1"/>
  <c r="AW17" i="3"/>
  <c r="AC18" i="3"/>
  <c r="AD18" i="3"/>
  <c r="AL18" i="3"/>
  <c r="AV18" i="3"/>
  <c r="U18" i="4" s="1"/>
  <c r="AW18" i="3"/>
  <c r="AC19" i="3"/>
  <c r="AD19" i="3"/>
  <c r="AL19" i="3"/>
  <c r="AV19" i="3"/>
  <c r="AW19" i="3"/>
  <c r="AC20" i="3"/>
  <c r="AD20" i="3"/>
  <c r="AL20" i="3"/>
  <c r="AV20" i="3"/>
  <c r="U20" i="4" s="1"/>
  <c r="AW20" i="3"/>
  <c r="AC21" i="3"/>
  <c r="AD21" i="3"/>
  <c r="AL21" i="3"/>
  <c r="AV21" i="3"/>
  <c r="U21" i="4" s="1"/>
  <c r="AW21" i="3"/>
  <c r="AC22" i="3"/>
  <c r="AD22" i="3"/>
  <c r="AL22" i="3"/>
  <c r="AV22" i="3"/>
  <c r="U22" i="4" s="1"/>
  <c r="AW22" i="3"/>
  <c r="AC23" i="3"/>
  <c r="AD23" i="3"/>
  <c r="AL23" i="3"/>
  <c r="AV23" i="3"/>
  <c r="AW23" i="3"/>
  <c r="AC24" i="3"/>
  <c r="AD24" i="3"/>
  <c r="AL24" i="3"/>
  <c r="AV24" i="3"/>
  <c r="AW24" i="3"/>
  <c r="AC25" i="3"/>
  <c r="AD25" i="3"/>
  <c r="AL25" i="3"/>
  <c r="AV25" i="3"/>
  <c r="U25" i="4" s="1"/>
  <c r="AW25" i="3"/>
  <c r="AC26" i="3"/>
  <c r="AD26" i="3"/>
  <c r="AL26" i="3"/>
  <c r="AV26" i="3"/>
  <c r="AW26" i="3"/>
  <c r="AC27" i="3"/>
  <c r="AD27" i="3"/>
  <c r="AL27" i="3"/>
  <c r="AV27" i="3"/>
  <c r="AW27" i="3"/>
  <c r="AC28" i="3"/>
  <c r="AD28" i="3"/>
  <c r="AL28" i="3"/>
  <c r="AV28" i="3"/>
  <c r="U28" i="4" s="1"/>
  <c r="AW28" i="3"/>
  <c r="AC29" i="3"/>
  <c r="AD29" i="3"/>
  <c r="AL29" i="3"/>
  <c r="AV29" i="3"/>
  <c r="AW29" i="3"/>
  <c r="I7" i="4" l="1"/>
  <c r="J7" i="3"/>
  <c r="J8" i="4"/>
  <c r="R7" i="4"/>
  <c r="V7" i="4"/>
  <c r="S8" i="4" s="1"/>
  <c r="J11" i="4"/>
  <c r="AM8" i="3"/>
  <c r="AM9" i="3" s="1"/>
  <c r="AM10" i="3" s="1"/>
  <c r="AM11" i="3" s="1"/>
  <c r="AM12" i="3" s="1"/>
  <c r="AC8" i="4"/>
  <c r="AD9" i="4"/>
  <c r="K7" i="4"/>
  <c r="H8" i="4" s="1"/>
  <c r="T7" i="3"/>
  <c r="AO10" i="4"/>
  <c r="AN9" i="4"/>
  <c r="J10" i="4"/>
  <c r="J9" i="4"/>
  <c r="AO11" i="4" l="1"/>
  <c r="AN10" i="4"/>
  <c r="G8" i="4"/>
  <c r="G8" i="3" s="1"/>
  <c r="H8" i="3" s="1"/>
  <c r="I8" i="3" s="1"/>
  <c r="I8" i="4" s="1"/>
  <c r="K8" i="4"/>
  <c r="H9" i="4" s="1"/>
  <c r="T8" i="3"/>
  <c r="V8" i="4"/>
  <c r="S9" i="4" s="1"/>
  <c r="R8" i="4"/>
  <c r="J8" i="3"/>
  <c r="AD10" i="4"/>
  <c r="AC9" i="4"/>
  <c r="J12" i="4"/>
  <c r="AM13" i="3"/>
  <c r="AM14" i="3" l="1"/>
  <c r="J13" i="4"/>
  <c r="G9" i="4"/>
  <c r="G9" i="3" s="1"/>
  <c r="H9" i="3" s="1"/>
  <c r="I9" i="3" s="1"/>
  <c r="I9" i="4" s="1"/>
  <c r="K9" i="4"/>
  <c r="H10" i="4" s="1"/>
  <c r="T9" i="3"/>
  <c r="V9" i="4"/>
  <c r="S10" i="4" s="1"/>
  <c r="R9" i="4"/>
  <c r="AD11" i="4"/>
  <c r="AC10" i="4"/>
  <c r="AN11" i="4"/>
  <c r="AO12" i="4"/>
  <c r="J9" i="3" l="1"/>
  <c r="AN12" i="4"/>
  <c r="AO13" i="4"/>
  <c r="G10" i="4"/>
  <c r="G10" i="3" s="1"/>
  <c r="H10" i="3" s="1"/>
  <c r="I10" i="3" s="1"/>
  <c r="I10" i="4" s="1"/>
  <c r="K10" i="4" s="1"/>
  <c r="H11" i="4" s="1"/>
  <c r="T10" i="3"/>
  <c r="R10" i="4"/>
  <c r="V10" i="4"/>
  <c r="S11" i="4" s="1"/>
  <c r="AC11" i="4"/>
  <c r="AD12" i="4"/>
  <c r="AM15" i="3"/>
  <c r="J14" i="4"/>
  <c r="G11" i="4" l="1"/>
  <c r="G11" i="3" s="1"/>
  <c r="H11" i="3" s="1"/>
  <c r="I11" i="3" s="1"/>
  <c r="I11" i="4" s="1"/>
  <c r="K11" i="4" s="1"/>
  <c r="H12" i="4" s="1"/>
  <c r="T11" i="3"/>
  <c r="AM16" i="3"/>
  <c r="J15" i="4"/>
  <c r="R11" i="4"/>
  <c r="V11" i="4"/>
  <c r="S12" i="4" s="1"/>
  <c r="AO14" i="4"/>
  <c r="AN13" i="4"/>
  <c r="AC12" i="4"/>
  <c r="AD13" i="4"/>
  <c r="J10" i="3"/>
  <c r="J11" i="3" s="1"/>
  <c r="G12" i="4" l="1"/>
  <c r="G12" i="3" s="1"/>
  <c r="H12" i="3" s="1"/>
  <c r="I12" i="3" s="1"/>
  <c r="I12" i="4" s="1"/>
  <c r="K12" i="4" s="1"/>
  <c r="H13" i="4" s="1"/>
  <c r="T12" i="3"/>
  <c r="J12" i="3"/>
  <c r="AO15" i="4"/>
  <c r="AN14" i="4"/>
  <c r="AD14" i="4"/>
  <c r="AC13" i="4"/>
  <c r="V12" i="4"/>
  <c r="S13" i="4" s="1"/>
  <c r="R12" i="4"/>
  <c r="AM17" i="3"/>
  <c r="J16" i="4"/>
  <c r="G13" i="4" l="1"/>
  <c r="G13" i="3" s="1"/>
  <c r="H13" i="3" s="1"/>
  <c r="I13" i="3" s="1"/>
  <c r="I13" i="4" s="1"/>
  <c r="K13" i="4"/>
  <c r="H14" i="4" s="1"/>
  <c r="T13" i="3"/>
  <c r="J13" i="3"/>
  <c r="AM18" i="3"/>
  <c r="J17" i="4"/>
  <c r="AD15" i="4"/>
  <c r="AC14" i="4"/>
  <c r="V13" i="4"/>
  <c r="S14" i="4" s="1"/>
  <c r="R13" i="4"/>
  <c r="AN15" i="4"/>
  <c r="AO16" i="4"/>
  <c r="AN16" i="4" l="1"/>
  <c r="AO17" i="4"/>
  <c r="AC15" i="4"/>
  <c r="AD16" i="4"/>
  <c r="G14" i="4"/>
  <c r="G14" i="3" s="1"/>
  <c r="H14" i="3" s="1"/>
  <c r="I14" i="3" s="1"/>
  <c r="I14" i="4" s="1"/>
  <c r="K14" i="4" s="1"/>
  <c r="H15" i="4" s="1"/>
  <c r="T14" i="3"/>
  <c r="R14" i="4"/>
  <c r="V14" i="4"/>
  <c r="S15" i="4" s="1"/>
  <c r="AM19" i="3"/>
  <c r="J18" i="4"/>
  <c r="G15" i="4" l="1"/>
  <c r="G15" i="3" s="1"/>
  <c r="H15" i="3" s="1"/>
  <c r="I15" i="3" s="1"/>
  <c r="I15" i="4" s="1"/>
  <c r="K15" i="4" s="1"/>
  <c r="H16" i="4" s="1"/>
  <c r="T15" i="3"/>
  <c r="AM20" i="3"/>
  <c r="J19" i="4"/>
  <c r="J14" i="3"/>
  <c r="R15" i="4"/>
  <c r="V15" i="4"/>
  <c r="S16" i="4" s="1"/>
  <c r="AO18" i="4"/>
  <c r="AN17" i="4"/>
  <c r="AC16" i="4"/>
  <c r="AD17" i="4"/>
  <c r="G16" i="4" l="1"/>
  <c r="G16" i="3" s="1"/>
  <c r="H16" i="3" s="1"/>
  <c r="I16" i="3" s="1"/>
  <c r="I16" i="4" s="1"/>
  <c r="K16" i="4" s="1"/>
  <c r="H17" i="4" s="1"/>
  <c r="T16" i="3"/>
  <c r="V16" i="4"/>
  <c r="S17" i="4" s="1"/>
  <c r="R16" i="4"/>
  <c r="AD18" i="4"/>
  <c r="AC17" i="4"/>
  <c r="J20" i="4"/>
  <c r="AM21" i="3"/>
  <c r="J15" i="3"/>
  <c r="AO19" i="4"/>
  <c r="AN18" i="4"/>
  <c r="G17" i="4" l="1"/>
  <c r="G17" i="3" s="1"/>
  <c r="H17" i="3" s="1"/>
  <c r="I17" i="3" s="1"/>
  <c r="I17" i="4" s="1"/>
  <c r="K17" i="4" s="1"/>
  <c r="H18" i="4" s="1"/>
  <c r="T17" i="3"/>
  <c r="V17" i="4"/>
  <c r="S18" i="4" s="1"/>
  <c r="R17" i="4"/>
  <c r="AN19" i="4"/>
  <c r="AO20" i="4"/>
  <c r="J16" i="3"/>
  <c r="J17" i="3" s="1"/>
  <c r="AD19" i="4"/>
  <c r="AC18" i="4"/>
  <c r="AM22" i="3"/>
  <c r="J21" i="4"/>
  <c r="G18" i="4" l="1"/>
  <c r="G18" i="3" s="1"/>
  <c r="H18" i="3" s="1"/>
  <c r="I18" i="3" s="1"/>
  <c r="I18" i="4" s="1"/>
  <c r="K18" i="4" s="1"/>
  <c r="H19" i="4" s="1"/>
  <c r="T18" i="3"/>
  <c r="AC19" i="4"/>
  <c r="AD20" i="4"/>
  <c r="R18" i="4"/>
  <c r="V18" i="4"/>
  <c r="S19" i="4" s="1"/>
  <c r="AM23" i="3"/>
  <c r="J22" i="4"/>
  <c r="AN20" i="4"/>
  <c r="AO21" i="4"/>
  <c r="G19" i="4" l="1"/>
  <c r="G19" i="3" s="1"/>
  <c r="H19" i="3" s="1"/>
  <c r="I19" i="3" s="1"/>
  <c r="I19" i="4" s="1"/>
  <c r="K19" i="4" s="1"/>
  <c r="H20" i="4" s="1"/>
  <c r="T19" i="3"/>
  <c r="J18" i="3"/>
  <c r="J19" i="3" s="1"/>
  <c r="AO22" i="4"/>
  <c r="AN21" i="4"/>
  <c r="R19" i="4"/>
  <c r="V19" i="4"/>
  <c r="S20" i="4" s="1"/>
  <c r="J23" i="4"/>
  <c r="AM24" i="3"/>
  <c r="AC20" i="4"/>
  <c r="AD21" i="4"/>
  <c r="G20" i="4" l="1"/>
  <c r="G20" i="3" s="1"/>
  <c r="H20" i="3" s="1"/>
  <c r="I20" i="3" s="1"/>
  <c r="I20" i="4" s="1"/>
  <c r="K20" i="4" s="1"/>
  <c r="H21" i="4" s="1"/>
  <c r="T20" i="3"/>
  <c r="AD22" i="4"/>
  <c r="AC21" i="4"/>
  <c r="AM25" i="3"/>
  <c r="J24" i="4"/>
  <c r="V20" i="4"/>
  <c r="S21" i="4" s="1"/>
  <c r="R20" i="4"/>
  <c r="AO23" i="4"/>
  <c r="AN22" i="4"/>
  <c r="G21" i="4" l="1"/>
  <c r="G21" i="3" s="1"/>
  <c r="H21" i="3" s="1"/>
  <c r="I21" i="3" s="1"/>
  <c r="I21" i="4" s="1"/>
  <c r="K21" i="4" s="1"/>
  <c r="H22" i="4" s="1"/>
  <c r="T21" i="3"/>
  <c r="AD23" i="4"/>
  <c r="AC22" i="4"/>
  <c r="AN23" i="4"/>
  <c r="AO24" i="4"/>
  <c r="AM26" i="3"/>
  <c r="J25" i="4"/>
  <c r="J20" i="3"/>
  <c r="J21" i="3" s="1"/>
  <c r="V21" i="4"/>
  <c r="S22" i="4" s="1"/>
  <c r="R21" i="4"/>
  <c r="T22" i="3" l="1"/>
  <c r="G22" i="4"/>
  <c r="G22" i="3" s="1"/>
  <c r="H22" i="3" s="1"/>
  <c r="I22" i="3" s="1"/>
  <c r="I22" i="4" s="1"/>
  <c r="K22" i="4" s="1"/>
  <c r="H23" i="4" s="1"/>
  <c r="J26" i="4"/>
  <c r="AM27" i="3"/>
  <c r="AC23" i="4"/>
  <c r="AD24" i="4"/>
  <c r="R22" i="4"/>
  <c r="V22" i="4"/>
  <c r="S23" i="4" s="1"/>
  <c r="AN24" i="4"/>
  <c r="AO25" i="4"/>
  <c r="J22" i="3"/>
  <c r="T23" i="3" l="1"/>
  <c r="G23" i="4"/>
  <c r="G23" i="3" s="1"/>
  <c r="H23" i="3" s="1"/>
  <c r="I23" i="3" s="1"/>
  <c r="I23" i="4" s="1"/>
  <c r="K23" i="4" s="1"/>
  <c r="H24" i="4" s="1"/>
  <c r="J23" i="3"/>
  <c r="AO26" i="4"/>
  <c r="AN25" i="4"/>
  <c r="AC24" i="4"/>
  <c r="AD25" i="4"/>
  <c r="R23" i="4"/>
  <c r="V23" i="4"/>
  <c r="S24" i="4" s="1"/>
  <c r="AM28" i="3"/>
  <c r="J27" i="4"/>
  <c r="G24" i="4" l="1"/>
  <c r="G24" i="3" s="1"/>
  <c r="H24" i="3" s="1"/>
  <c r="I24" i="3" s="1"/>
  <c r="I24" i="4" s="1"/>
  <c r="K24" i="4" s="1"/>
  <c r="H25" i="4" s="1"/>
  <c r="T24" i="3"/>
  <c r="J24" i="3"/>
  <c r="AM29" i="3"/>
  <c r="J29" i="4" s="1"/>
  <c r="J28" i="4"/>
  <c r="AD26" i="4"/>
  <c r="AC25" i="4"/>
  <c r="V24" i="4"/>
  <c r="S25" i="4" s="1"/>
  <c r="R24" i="4"/>
  <c r="AO27" i="4"/>
  <c r="AN26" i="4"/>
  <c r="G25" i="4" l="1"/>
  <c r="G25" i="3" s="1"/>
  <c r="H25" i="3" s="1"/>
  <c r="I25" i="3" s="1"/>
  <c r="I25" i="4" s="1"/>
  <c r="K25" i="4" s="1"/>
  <c r="H26" i="4" s="1"/>
  <c r="T25" i="3"/>
  <c r="AN27" i="4"/>
  <c r="AO28" i="4"/>
  <c r="AC26" i="4"/>
  <c r="AD27" i="4"/>
  <c r="J25" i="3"/>
  <c r="V25" i="4"/>
  <c r="S26" i="4" s="1"/>
  <c r="R25" i="4"/>
  <c r="G26" i="4" l="1"/>
  <c r="G26" i="3" s="1"/>
  <c r="H26" i="3" s="1"/>
  <c r="I26" i="3" s="1"/>
  <c r="I26" i="4" s="1"/>
  <c r="K26" i="4" s="1"/>
  <c r="H27" i="4" s="1"/>
  <c r="T26" i="3"/>
  <c r="AC27" i="4"/>
  <c r="AD28" i="4"/>
  <c r="J26" i="3"/>
  <c r="R26" i="4"/>
  <c r="V26" i="4"/>
  <c r="S27" i="4" s="1"/>
  <c r="AN28" i="4"/>
  <c r="AO29" i="4"/>
  <c r="AN29" i="4" s="1"/>
  <c r="G27" i="4" l="1"/>
  <c r="G27" i="3" s="1"/>
  <c r="H27" i="3" s="1"/>
  <c r="I27" i="3" s="1"/>
  <c r="I27" i="4" s="1"/>
  <c r="K27" i="4" s="1"/>
  <c r="H28" i="4" s="1"/>
  <c r="T27" i="3"/>
  <c r="R27" i="4"/>
  <c r="V27" i="4"/>
  <c r="S28" i="4" s="1"/>
  <c r="AD29" i="4"/>
  <c r="AC29" i="4" s="1"/>
  <c r="AC28" i="4"/>
  <c r="G28" i="4" l="1"/>
  <c r="G28" i="3" s="1"/>
  <c r="H28" i="3" s="1"/>
  <c r="I28" i="3" s="1"/>
  <c r="I28" i="4" s="1"/>
  <c r="K28" i="4" s="1"/>
  <c r="H29" i="4" s="1"/>
  <c r="T28" i="3"/>
  <c r="J27" i="3"/>
  <c r="J28" i="3" s="1"/>
  <c r="V28" i="4"/>
  <c r="S29" i="4" s="1"/>
  <c r="R28" i="4"/>
  <c r="G29" i="4" l="1"/>
  <c r="G29" i="3" s="1"/>
  <c r="H29" i="3" s="1"/>
  <c r="I29" i="3" s="1"/>
  <c r="I29" i="4" s="1"/>
  <c r="K29" i="4" s="1"/>
  <c r="T29" i="3"/>
  <c r="J29" i="3"/>
  <c r="V29" i="4"/>
  <c r="R29" i="4"/>
</calcChain>
</file>

<file path=xl/sharedStrings.xml><?xml version="1.0" encoding="utf-8"?>
<sst xmlns="http://schemas.openxmlformats.org/spreadsheetml/2006/main" count="319" uniqueCount="90">
  <si>
    <t>20/10/2020</t>
  </si>
  <si>
    <t>RKG01-KP01</t>
  </si>
  <si>
    <t>Kipas Angin</t>
  </si>
  <si>
    <t>RKG01</t>
  </si>
  <si>
    <t xml:space="preserve">Ruang Keluarga 1 </t>
  </si>
  <si>
    <t>RKG01-TV01</t>
  </si>
  <si>
    <t>TV</t>
  </si>
  <si>
    <t>TOTAL</t>
  </si>
  <si>
    <t>STATUS ON/ OFF</t>
  </si>
  <si>
    <t>WAKTU</t>
  </si>
  <si>
    <t>TANGGAL</t>
  </si>
  <si>
    <t>KODE OBYEK</t>
  </si>
  <si>
    <t>NAMA OBYEK</t>
  </si>
  <si>
    <t>KODE RUANG</t>
  </si>
  <si>
    <t>NAMA RUANG</t>
  </si>
  <si>
    <t>NO.</t>
  </si>
  <si>
    <t>REKAPITULASI DATA MESIN</t>
  </si>
  <si>
    <t>DATA PERMANEN</t>
  </si>
  <si>
    <t>HASIL SIMULASI: jika objek digunakan (ON), tidak digunakan (OFF)</t>
  </si>
  <si>
    <t>FORMULA</t>
  </si>
  <si>
    <t>LOAD DATA TANGGAL DAN WAKTU</t>
  </si>
  <si>
    <t>IC</t>
  </si>
  <si>
    <t>RKG01-LA02</t>
  </si>
  <si>
    <t>LAMPU 02</t>
  </si>
  <si>
    <t>RKG01-LA01</t>
  </si>
  <si>
    <t>LAMPU 01</t>
  </si>
  <si>
    <t>REKAPITULASI DATA LAMPU</t>
  </si>
  <si>
    <t>jika aktivitas mencuci baju terpilih, status ON</t>
  </si>
  <si>
    <t>info dari tandon atau bak</t>
  </si>
  <si>
    <t>*Untuk Rumah 03, tidak dipakai dalam perhitungan Data Linkungan 19 Juli (Rumah 02)</t>
  </si>
  <si>
    <t>OFF</t>
  </si>
  <si>
    <t>ON</t>
  </si>
  <si>
    <t>RDP01-ST01</t>
  </si>
  <si>
    <t>KOMPOR 01</t>
  </si>
  <si>
    <t>RKM01-WT03</t>
  </si>
  <si>
    <t>KRAN 03</t>
  </si>
  <si>
    <t>RCC01-WT02</t>
  </si>
  <si>
    <t>KRAN 02</t>
  </si>
  <si>
    <t>RDP01-WT01</t>
  </si>
  <si>
    <t>KRAN 01</t>
  </si>
  <si>
    <t>RGS01-WP01</t>
  </si>
  <si>
    <t>POMPA AIR 01</t>
  </si>
  <si>
    <t>masuk ke data pompa</t>
  </si>
  <si>
    <t>TOTAL VOL. KELUAR (Kg)</t>
  </si>
  <si>
    <t>CURRENT VOL. (Kg)</t>
  </si>
  <si>
    <t>TOTAL VOL. KELUAR (L)</t>
  </si>
  <si>
    <t>LAJU L/MENIT</t>
  </si>
  <si>
    <t>WAKTU AKTIVITAS</t>
  </si>
  <si>
    <t>LAJU L/JAM</t>
  </si>
  <si>
    <t>TOTAL VOL. (L)</t>
  </si>
  <si>
    <t>CURRENT VOL. (L)</t>
  </si>
  <si>
    <t>TOTAL WAKTU SUPPLY (MENIT)</t>
  </si>
  <si>
    <t>TOTAL VOL. SUPPLY (L)</t>
  </si>
  <si>
    <t>STATUS TANDON</t>
  </si>
  <si>
    <t>REKAPITULASI DATA KOMPOR GAS</t>
  </si>
  <si>
    <t>hanya untuk simulasi manual, menghitung vol air keluar selama aktivitas keran dibuka</t>
  </si>
  <si>
    <t>REKAPITULASI DATA KRAN AIR</t>
  </si>
  <si>
    <t>REKAPITULASI DATA POMPA AIR (SAKLAR/JADWAL)</t>
  </si>
  <si>
    <t>REKAPITULASI DATA POMPA AIR (OTOMATIS)*</t>
  </si>
  <si>
    <t>HASIL SIMULASI: jika objek digunakan (ON), tidak digunakan (OFF) ATAU informasi data dari Tandon/Bak)</t>
  </si>
  <si>
    <t>RDP01-GL01</t>
  </si>
  <si>
    <t>GALON 01</t>
  </si>
  <si>
    <t>RDP01-GS01</t>
  </si>
  <si>
    <t>GAS 01</t>
  </si>
  <si>
    <t>RKM01-BK01</t>
  </si>
  <si>
    <t>BAK 01</t>
  </si>
  <si>
    <t>TD01</t>
  </si>
  <si>
    <t>TANDON AIR 01</t>
  </si>
  <si>
    <t>VOL. MASUK (L)</t>
  </si>
  <si>
    <r>
      <t>VOL. KELUAR (L)</t>
    </r>
    <r>
      <rPr>
        <b/>
        <sz val="11"/>
        <color rgb="FFFF0000"/>
        <rFont val="Calibri"/>
        <family val="2"/>
        <scheme val="minor"/>
      </rPr>
      <t>*</t>
    </r>
  </si>
  <si>
    <t>STATUS VOL.</t>
  </si>
  <si>
    <t>VOL. MASUK (Kg)</t>
  </si>
  <si>
    <r>
      <t>VOL. KELUAR (Kg)</t>
    </r>
    <r>
      <rPr>
        <b/>
        <sz val="11"/>
        <color rgb="FFFF0000"/>
        <rFont val="Calibri"/>
        <family val="2"/>
        <scheme val="minor"/>
      </rPr>
      <t>*</t>
    </r>
  </si>
  <si>
    <t>TOTAL VOL. BAK MENIT BERIKUTNYA (L)</t>
  </si>
  <si>
    <t>TOTAL VOL. MASUK (L/JAM)</t>
  </si>
  <si>
    <t>TOTAL VOL. KELUAR (L/JAM)</t>
  </si>
  <si>
    <t>TOTAL VOL. MENIT BERIKUTNYA (L)</t>
  </si>
  <si>
    <t>TOTAL VOL. MASUK (L)</t>
  </si>
  <si>
    <t>REKAPITULASI DATA GALON AIR MINUM</t>
  </si>
  <si>
    <t>IF kosong + gas baru; jika tidak ada cadangan, waktu aktivitas mundur 30 menit beli gas, jika ada cadangan waktu mundur 5 menit ganti gas</t>
  </si>
  <si>
    <t>TERPAKAI/1 x masak 30 menit= 0.143 kg</t>
  </si>
  <si>
    <t>REKAPITULASI DATA GAS A</t>
  </si>
  <si>
    <t>IF ada aktivitas mandi dan buka kran, keduanya tinggal dijumlahkan, jika hanya aktivitas mandi tanpa menyalakan kran, berarti hanya vol keluar</t>
  </si>
  <si>
    <t>INPUT DARI KRAN</t>
  </si>
  <si>
    <t>TERPAKAI/AKTIVITAS</t>
  </si>
  <si>
    <t>REKAPITULASI DATA BAK</t>
  </si>
  <si>
    <t>tergantung kran yang dibuka</t>
  </si>
  <si>
    <t>tergantung status vol normal = 0, vol. kosong = laju pompa 75 L/m, vol. penuh = 0</t>
  </si>
  <si>
    <t>stastus vol: Penuh, Normal, Kosong</t>
  </si>
  <si>
    <t>REKAPITULASI DATA TANDON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</si>
</sst>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69">
    <xf numFmtId="0" fontId="0" fillId="0" borderId="0" xfId="0"/>
    <xf numFmtId="0" fontId="0" fillId="0" borderId="0" xfId="0" applyAlignment="1">
      <alignment horizontal="left"/>
    </xf>
    <xf numFmtId="0" fontId="0" fillId="0" borderId="1" xfId="0" applyFont="1" applyFill="1" applyBorder="1"/>
    <xf numFmtId="0" fontId="0" fillId="0" borderId="2" xfId="0" applyFont="1" applyFill="1" applyBorder="1"/>
    <xf numFmtId="20" fontId="0" fillId="0" borderId="1" xfId="0" applyNumberFormat="1" applyFont="1" applyFill="1" applyBorder="1"/>
    <xf numFmtId="0" fontId="2" fillId="0" borderId="3" xfId="0" applyFont="1" applyFill="1" applyBorder="1" applyAlignment="1">
      <alignment vertical="top" wrapText="1"/>
    </xf>
    <xf numFmtId="0" fontId="2" fillId="0" borderId="4" xfId="0" applyFont="1" applyFill="1" applyBorder="1" applyAlignment="1">
      <alignment vertical="top" wrapText="1"/>
    </xf>
    <xf numFmtId="0" fontId="2" fillId="0" borderId="5" xfId="0" applyFont="1" applyFill="1" applyBorder="1" applyAlignment="1">
      <alignment vertical="top" wrapText="1"/>
    </xf>
    <xf numFmtId="0" fontId="2" fillId="0" borderId="3" xfId="0" applyFont="1" applyFill="1" applyBorder="1" applyAlignment="1">
      <alignment horizontal="left" vertical="top" wrapText="1"/>
    </xf>
    <xf numFmtId="0" fontId="0" fillId="0" borderId="6" xfId="0" applyBorder="1"/>
    <xf numFmtId="0" fontId="0" fillId="0" borderId="7" xfId="0" applyFont="1" applyFill="1" applyBorder="1"/>
    <xf numFmtId="0" fontId="0" fillId="0" borderId="8" xfId="0" applyFont="1" applyFill="1" applyBorder="1"/>
    <xf numFmtId="20" fontId="0" fillId="0" borderId="9" xfId="0" applyNumberFormat="1" applyFont="1" applyFill="1" applyBorder="1"/>
    <xf numFmtId="0" fontId="2" fillId="0" borderId="10" xfId="0" applyFont="1" applyFill="1" applyBorder="1" applyAlignment="1">
      <alignment vertical="top" wrapText="1"/>
    </xf>
    <xf numFmtId="0" fontId="2" fillId="0" borderId="11" xfId="0" applyFont="1" applyFill="1" applyBorder="1" applyAlignment="1">
      <alignment vertical="top" wrapText="1"/>
    </xf>
    <xf numFmtId="0" fontId="2" fillId="0" borderId="12" xfId="0" applyFont="1" applyFill="1" applyBorder="1" applyAlignment="1">
      <alignment vertical="top" wrapText="1"/>
    </xf>
    <xf numFmtId="0" fontId="2" fillId="0" borderId="10" xfId="0" applyFont="1" applyFill="1" applyBorder="1" applyAlignment="1">
      <alignment horizontal="left" vertical="top" wrapText="1"/>
    </xf>
    <xf numFmtId="0" fontId="0" fillId="0" borderId="13" xfId="0" applyBorder="1"/>
    <xf numFmtId="0" fontId="0" fillId="0" borderId="9" xfId="0" applyFont="1" applyFill="1" applyBorder="1"/>
    <xf numFmtId="0" fontId="0" fillId="0" borderId="14" xfId="0" applyFont="1" applyFill="1" applyBorder="1"/>
    <xf numFmtId="0" fontId="2" fillId="0" borderId="15" xfId="0" applyFont="1" applyFill="1" applyBorder="1" applyAlignment="1">
      <alignment vertical="top" wrapText="1"/>
    </xf>
    <xf numFmtId="0" fontId="2" fillId="0" borderId="16" xfId="0" applyFont="1" applyFill="1" applyBorder="1" applyAlignment="1">
      <alignment vertical="top" wrapText="1"/>
    </xf>
    <xf numFmtId="0" fontId="2" fillId="0" borderId="15" xfId="0" applyFont="1" applyFill="1" applyBorder="1" applyAlignment="1">
      <alignment horizontal="left" vertical="top" wrapText="1"/>
    </xf>
    <xf numFmtId="0" fontId="0" fillId="0" borderId="17" xfId="0" applyBorder="1"/>
    <xf numFmtId="0" fontId="2" fillId="0" borderId="18" xfId="0" applyFont="1" applyFill="1" applyBorder="1" applyAlignment="1">
      <alignment vertical="top" wrapText="1"/>
    </xf>
    <xf numFmtId="0" fontId="1" fillId="2" borderId="19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1" fillId="5" borderId="22" xfId="0" applyFont="1" applyFill="1" applyBorder="1" applyAlignment="1">
      <alignment horizontal="center" vertical="center" wrapText="1"/>
    </xf>
    <xf numFmtId="0" fontId="1" fillId="5" borderId="23" xfId="0" applyFont="1" applyFill="1" applyBorder="1" applyAlignment="1">
      <alignment horizontal="center" vertical="center" wrapText="1"/>
    </xf>
    <xf numFmtId="0" fontId="1" fillId="5" borderId="20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Fill="1"/>
    <xf numFmtId="0" fontId="1" fillId="5" borderId="0" xfId="0" applyFont="1" applyFill="1"/>
    <xf numFmtId="0" fontId="0" fillId="0" borderId="0" xfId="0" applyFill="1"/>
    <xf numFmtId="0" fontId="1" fillId="3" borderId="0" xfId="0" applyFont="1" applyFill="1"/>
    <xf numFmtId="0" fontId="0" fillId="2" borderId="0" xfId="0" applyFill="1"/>
    <xf numFmtId="0" fontId="1" fillId="4" borderId="0" xfId="0" applyFont="1" applyFill="1"/>
    <xf numFmtId="0" fontId="0" fillId="6" borderId="0" xfId="0" applyFill="1"/>
    <xf numFmtId="0" fontId="0" fillId="0" borderId="25" xfId="0" applyFont="1" applyFill="1" applyBorder="1"/>
    <xf numFmtId="0" fontId="0" fillId="7" borderId="0" xfId="0" applyFill="1"/>
    <xf numFmtId="0" fontId="0" fillId="3" borderId="2" xfId="0" applyFont="1" applyFill="1" applyBorder="1"/>
    <xf numFmtId="0" fontId="0" fillId="0" borderId="0" xfId="0" applyFont="1" applyFill="1" applyBorder="1"/>
    <xf numFmtId="0" fontId="0" fillId="0" borderId="26" xfId="0" applyFont="1" applyFill="1" applyBorder="1"/>
    <xf numFmtId="20" fontId="0" fillId="0" borderId="27" xfId="0" applyNumberFormat="1" applyFont="1" applyFill="1" applyBorder="1"/>
    <xf numFmtId="0" fontId="0" fillId="3" borderId="8" xfId="0" applyFont="1" applyFill="1" applyBorder="1"/>
    <xf numFmtId="0" fontId="0" fillId="6" borderId="9" xfId="0" applyFont="1" applyFill="1" applyBorder="1"/>
    <xf numFmtId="0" fontId="0" fillId="6" borderId="14" xfId="0" applyFont="1" applyFill="1" applyBorder="1"/>
    <xf numFmtId="0" fontId="0" fillId="6" borderId="8" xfId="0" applyFont="1" applyFill="1" applyBorder="1"/>
    <xf numFmtId="0" fontId="0" fillId="6" borderId="0" xfId="0" applyFont="1" applyFill="1" applyBorder="1" applyAlignment="1">
      <alignment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7" borderId="0" xfId="0" applyFont="1" applyFill="1"/>
    <xf numFmtId="0" fontId="0" fillId="0" borderId="28" xfId="0" applyFont="1" applyFill="1" applyBorder="1"/>
    <xf numFmtId="0" fontId="0" fillId="0" borderId="29" xfId="0" applyFont="1" applyFill="1" applyBorder="1"/>
    <xf numFmtId="0" fontId="0" fillId="3" borderId="26" xfId="0" applyFont="1" applyFill="1" applyBorder="1"/>
    <xf numFmtId="0" fontId="0" fillId="0" borderId="30" xfId="0" applyFont="1" applyFill="1" applyBorder="1"/>
    <xf numFmtId="0" fontId="0" fillId="0" borderId="31" xfId="0" applyFont="1" applyFill="1" applyBorder="1"/>
    <xf numFmtId="0" fontId="0" fillId="3" borderId="14" xfId="0" applyFont="1" applyFill="1" applyBorder="1"/>
    <xf numFmtId="0" fontId="0" fillId="0" borderId="8" xfId="0" applyFont="1" applyFill="1" applyBorder="1" applyAlignment="1">
      <alignment wrapText="1"/>
    </xf>
    <xf numFmtId="0" fontId="0" fillId="6" borderId="32" xfId="0" applyFont="1" applyFill="1" applyBorder="1"/>
    <xf numFmtId="0" fontId="0" fillId="6" borderId="14" xfId="0" applyFont="1" applyFill="1" applyBorder="1" applyAlignment="1">
      <alignment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0" fillId="0" borderId="0" xfId="0" applyAlignme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54"/>
  <sheetViews>
    <sheetView tabSelected="1" zoomScale="85" zoomScaleNormal="85" workbookViewId="0">
      <selection activeCell="AL22" sqref="AL22"/>
    </sheetView>
  </sheetViews>
  <sheetFormatPr defaultRowHeight="15" x14ac:dyDescent="0.25"/>
  <cols>
    <col min="2" max="2" width="4.42578125" bestFit="1" customWidth="1"/>
    <col min="3" max="6" width="12.7109375" customWidth="1"/>
    <col min="7" max="7" width="10.85546875" bestFit="1" customWidth="1"/>
    <col min="8" max="8" width="7.5703125" bestFit="1" customWidth="1"/>
    <col min="9" max="9" width="10.7109375" customWidth="1"/>
    <col min="10" max="10" width="15.7109375" customWidth="1"/>
    <col min="11" max="11" width="1.5703125" customWidth="1"/>
    <col min="12" max="12" width="4.42578125" bestFit="1" customWidth="1"/>
    <col min="13" max="16" width="12.7109375" customWidth="1"/>
    <col min="17" max="17" width="10.85546875" bestFit="1" customWidth="1"/>
    <col min="18" max="18" width="7.5703125" bestFit="1" customWidth="1"/>
    <col min="19" max="19" width="10.7109375" customWidth="1"/>
    <col min="20" max="20" width="15.7109375" customWidth="1"/>
  </cols>
  <sheetData>
    <row r="1" spans="2:20" x14ac:dyDescent="0.25">
      <c r="B1" s="40"/>
      <c r="C1" s="33" t="s">
        <v>21</v>
      </c>
      <c r="F1" s="33"/>
      <c r="G1" s="33"/>
      <c r="H1" s="39"/>
      <c r="I1" s="33" t="s">
        <v>20</v>
      </c>
    </row>
    <row r="2" spans="2:20" x14ac:dyDescent="0.25">
      <c r="B2" s="38"/>
      <c r="C2" s="33" t="s">
        <v>19</v>
      </c>
      <c r="F2" s="33"/>
      <c r="G2" s="33"/>
      <c r="H2" s="37"/>
      <c r="I2" s="33" t="s">
        <v>18</v>
      </c>
    </row>
    <row r="3" spans="2:20" x14ac:dyDescent="0.25">
      <c r="B3" s="36"/>
      <c r="C3" s="36"/>
      <c r="D3" s="34"/>
      <c r="E3" s="34"/>
      <c r="F3" s="34"/>
      <c r="G3" s="34"/>
      <c r="H3" s="35"/>
      <c r="I3" s="34" t="s">
        <v>17</v>
      </c>
    </row>
    <row r="4" spans="2:20" ht="15.75" thickBot="1" x14ac:dyDescent="0.3">
      <c r="B4" s="33" t="s">
        <v>16</v>
      </c>
      <c r="C4" s="33"/>
      <c r="D4" s="33"/>
    </row>
    <row r="5" spans="2:20" ht="30.75" thickBot="1" x14ac:dyDescent="0.3">
      <c r="B5" s="32" t="s">
        <v>15</v>
      </c>
      <c r="C5" s="31" t="s">
        <v>14</v>
      </c>
      <c r="D5" s="30" t="s">
        <v>13</v>
      </c>
      <c r="E5" s="30" t="s">
        <v>12</v>
      </c>
      <c r="F5" s="29" t="s">
        <v>11</v>
      </c>
      <c r="G5" s="28" t="s">
        <v>10</v>
      </c>
      <c r="H5" s="27" t="s">
        <v>9</v>
      </c>
      <c r="I5" s="26" t="s">
        <v>8</v>
      </c>
      <c r="J5" s="25" t="s">
        <v>7</v>
      </c>
      <c r="L5" s="32" t="s">
        <v>15</v>
      </c>
      <c r="M5" s="31" t="s">
        <v>14</v>
      </c>
      <c r="N5" s="30" t="s">
        <v>13</v>
      </c>
      <c r="O5" s="30" t="s">
        <v>12</v>
      </c>
      <c r="P5" s="29" t="s">
        <v>11</v>
      </c>
      <c r="Q5" s="28" t="s">
        <v>10</v>
      </c>
      <c r="R5" s="27" t="s">
        <v>9</v>
      </c>
      <c r="S5" s="26" t="s">
        <v>8</v>
      </c>
      <c r="T5" s="25" t="s">
        <v>7</v>
      </c>
    </row>
    <row r="6" spans="2:20" ht="15" customHeight="1" x14ac:dyDescent="0.25">
      <c r="B6" s="23">
        <v>1</v>
      </c>
      <c r="C6" s="22" t="s">
        <v>4</v>
      </c>
      <c r="D6" s="21" t="s">
        <v>3</v>
      </c>
      <c r="E6" s="21" t="s">
        <v>6</v>
      </c>
      <c r="F6" s="24" t="s">
        <v>5</v>
      </c>
      <c r="G6" s="20" t="s">
        <v>0</v>
      </c>
      <c r="H6" s="12">
        <v>4.1666666666666664E-2</v>
      </c>
      <c r="I6" s="19"/>
      <c r="J6" s="18"/>
      <c r="L6" s="23">
        <v>1</v>
      </c>
      <c r="M6" s="22" t="s">
        <v>4</v>
      </c>
      <c r="N6" s="21" t="s">
        <v>3</v>
      </c>
      <c r="O6" s="15" t="s">
        <v>2</v>
      </c>
      <c r="P6" s="14" t="s">
        <v>1</v>
      </c>
      <c r="Q6" s="20" t="s">
        <v>0</v>
      </c>
      <c r="R6" s="12">
        <v>4.1666666666666664E-2</v>
      </c>
      <c r="S6" s="19"/>
      <c r="T6" s="18"/>
    </row>
    <row r="7" spans="2:20" x14ac:dyDescent="0.25">
      <c r="B7" s="17"/>
      <c r="C7" s="16"/>
      <c r="D7" s="15"/>
      <c r="E7" s="15"/>
      <c r="F7" s="14"/>
      <c r="G7" s="13"/>
      <c r="H7" s="12">
        <v>8.3333333333333301E-2</v>
      </c>
      <c r="I7" s="11"/>
      <c r="J7" s="10"/>
      <c r="L7" s="17"/>
      <c r="M7" s="16"/>
      <c r="N7" s="15"/>
      <c r="O7" s="15"/>
      <c r="P7" s="14"/>
      <c r="Q7" s="13"/>
      <c r="R7" s="12">
        <v>8.3333333333333301E-2</v>
      </c>
      <c r="S7" s="11"/>
      <c r="T7" s="10"/>
    </row>
    <row r="8" spans="2:20" x14ac:dyDescent="0.25">
      <c r="B8" s="17"/>
      <c r="C8" s="16"/>
      <c r="D8" s="15"/>
      <c r="E8" s="15"/>
      <c r="F8" s="14"/>
      <c r="G8" s="13"/>
      <c r="H8" s="12">
        <v>0.125</v>
      </c>
      <c r="I8" s="11"/>
      <c r="J8" s="10"/>
      <c r="L8" s="17"/>
      <c r="M8" s="16"/>
      <c r="N8" s="15"/>
      <c r="O8" s="15"/>
      <c r="P8" s="14"/>
      <c r="Q8" s="13"/>
      <c r="R8" s="12">
        <v>0.125</v>
      </c>
      <c r="S8" s="11"/>
      <c r="T8" s="10"/>
    </row>
    <row r="9" spans="2:20" x14ac:dyDescent="0.25">
      <c r="B9" s="17"/>
      <c r="C9" s="16"/>
      <c r="D9" s="15"/>
      <c r="E9" s="15"/>
      <c r="F9" s="14"/>
      <c r="G9" s="13"/>
      <c r="H9" s="12">
        <v>0.16666666666666699</v>
      </c>
      <c r="I9" s="11"/>
      <c r="J9" s="10"/>
      <c r="L9" s="17"/>
      <c r="M9" s="16"/>
      <c r="N9" s="15"/>
      <c r="O9" s="15"/>
      <c r="P9" s="14"/>
      <c r="Q9" s="13"/>
      <c r="R9" s="12">
        <v>0.16666666666666699</v>
      </c>
      <c r="S9" s="11"/>
      <c r="T9" s="10"/>
    </row>
    <row r="10" spans="2:20" x14ac:dyDescent="0.25">
      <c r="B10" s="17"/>
      <c r="C10" s="16"/>
      <c r="D10" s="15"/>
      <c r="E10" s="15"/>
      <c r="F10" s="14"/>
      <c r="G10" s="13"/>
      <c r="H10" s="12">
        <v>0.20833333333333301</v>
      </c>
      <c r="I10" s="11"/>
      <c r="J10" s="10"/>
      <c r="L10" s="17"/>
      <c r="M10" s="16"/>
      <c r="N10" s="15"/>
      <c r="O10" s="15"/>
      <c r="P10" s="14"/>
      <c r="Q10" s="13"/>
      <c r="R10" s="12">
        <v>0.20833333333333301</v>
      </c>
      <c r="S10" s="11"/>
      <c r="T10" s="10"/>
    </row>
    <row r="11" spans="2:20" x14ac:dyDescent="0.25">
      <c r="B11" s="17"/>
      <c r="C11" s="16"/>
      <c r="D11" s="15"/>
      <c r="E11" s="15"/>
      <c r="F11" s="14"/>
      <c r="G11" s="13"/>
      <c r="H11" s="12">
        <v>0.25</v>
      </c>
      <c r="I11" s="11"/>
      <c r="J11" s="10"/>
      <c r="L11" s="17"/>
      <c r="M11" s="16"/>
      <c r="N11" s="15"/>
      <c r="O11" s="15"/>
      <c r="P11" s="14"/>
      <c r="Q11" s="13"/>
      <c r="R11" s="12">
        <v>0.25</v>
      </c>
      <c r="S11" s="11"/>
      <c r="T11" s="10"/>
    </row>
    <row r="12" spans="2:20" x14ac:dyDescent="0.25">
      <c r="B12" s="17"/>
      <c r="C12" s="16"/>
      <c r="D12" s="15"/>
      <c r="E12" s="15"/>
      <c r="F12" s="14"/>
      <c r="G12" s="13"/>
      <c r="H12" s="12">
        <v>0.29166666666666702</v>
      </c>
      <c r="I12" s="11"/>
      <c r="J12" s="10"/>
      <c r="L12" s="17"/>
      <c r="M12" s="16"/>
      <c r="N12" s="15"/>
      <c r="O12" s="15"/>
      <c r="P12" s="14"/>
      <c r="Q12" s="13"/>
      <c r="R12" s="12">
        <v>0.29166666666666702</v>
      </c>
      <c r="S12" s="11"/>
      <c r="T12" s="10"/>
    </row>
    <row r="13" spans="2:20" x14ac:dyDescent="0.25">
      <c r="B13" s="17"/>
      <c r="C13" s="16"/>
      <c r="D13" s="15"/>
      <c r="E13" s="15"/>
      <c r="F13" s="14"/>
      <c r="G13" s="13"/>
      <c r="H13" s="12">
        <v>0.33333333333333298</v>
      </c>
      <c r="I13" s="11"/>
      <c r="J13" s="10"/>
      <c r="L13" s="17"/>
      <c r="M13" s="16"/>
      <c r="N13" s="15"/>
      <c r="O13" s="15"/>
      <c r="P13" s="14"/>
      <c r="Q13" s="13"/>
      <c r="R13" s="12">
        <v>0.33333333333333298</v>
      </c>
      <c r="S13" s="11"/>
      <c r="T13" s="10"/>
    </row>
    <row r="14" spans="2:20" x14ac:dyDescent="0.25">
      <c r="B14" s="17"/>
      <c r="C14" s="16"/>
      <c r="D14" s="15"/>
      <c r="E14" s="15"/>
      <c r="F14" s="14"/>
      <c r="G14" s="13"/>
      <c r="H14" s="12">
        <v>0.375</v>
      </c>
      <c r="I14" s="11"/>
      <c r="J14" s="10"/>
      <c r="L14" s="17"/>
      <c r="M14" s="16"/>
      <c r="N14" s="15"/>
      <c r="O14" s="15"/>
      <c r="P14" s="14"/>
      <c r="Q14" s="13"/>
      <c r="R14" s="12">
        <v>0.375</v>
      </c>
      <c r="S14" s="11"/>
      <c r="T14" s="10"/>
    </row>
    <row r="15" spans="2:20" x14ac:dyDescent="0.25">
      <c r="B15" s="17"/>
      <c r="C15" s="16"/>
      <c r="D15" s="15"/>
      <c r="E15" s="15"/>
      <c r="F15" s="14"/>
      <c r="G15" s="13"/>
      <c r="H15" s="12">
        <v>0.41666666666666702</v>
      </c>
      <c r="I15" s="11"/>
      <c r="J15" s="10"/>
      <c r="L15" s="17"/>
      <c r="M15" s="16"/>
      <c r="N15" s="15"/>
      <c r="O15" s="15"/>
      <c r="P15" s="14"/>
      <c r="Q15" s="13"/>
      <c r="R15" s="12">
        <v>0.41666666666666702</v>
      </c>
      <c r="S15" s="11"/>
      <c r="T15" s="10"/>
    </row>
    <row r="16" spans="2:20" x14ac:dyDescent="0.25">
      <c r="B16" s="17"/>
      <c r="C16" s="16"/>
      <c r="D16" s="15"/>
      <c r="E16" s="15"/>
      <c r="F16" s="14"/>
      <c r="G16" s="13"/>
      <c r="H16" s="12">
        <v>0.45833333333333298</v>
      </c>
      <c r="I16" s="11"/>
      <c r="J16" s="10"/>
      <c r="L16" s="17"/>
      <c r="M16" s="16"/>
      <c r="N16" s="15"/>
      <c r="O16" s="15"/>
      <c r="P16" s="14"/>
      <c r="Q16" s="13"/>
      <c r="R16" s="12">
        <v>0.45833333333333298</v>
      </c>
      <c r="S16" s="11"/>
      <c r="T16" s="10"/>
    </row>
    <row r="17" spans="2:20" x14ac:dyDescent="0.25">
      <c r="B17" s="17"/>
      <c r="C17" s="16"/>
      <c r="D17" s="15"/>
      <c r="E17" s="15"/>
      <c r="F17" s="14"/>
      <c r="G17" s="13"/>
      <c r="H17" s="12">
        <v>0.5</v>
      </c>
      <c r="I17" s="11"/>
      <c r="J17" s="10"/>
      <c r="L17" s="17"/>
      <c r="M17" s="16"/>
      <c r="N17" s="15"/>
      <c r="O17" s="15"/>
      <c r="P17" s="14"/>
      <c r="Q17" s="13"/>
      <c r="R17" s="12">
        <v>0.5</v>
      </c>
      <c r="S17" s="11"/>
      <c r="T17" s="10"/>
    </row>
    <row r="18" spans="2:20" x14ac:dyDescent="0.25">
      <c r="B18" s="17"/>
      <c r="C18" s="16"/>
      <c r="D18" s="15"/>
      <c r="E18" s="15"/>
      <c r="F18" s="14"/>
      <c r="G18" s="13"/>
      <c r="H18" s="12">
        <v>0.54166666666666696</v>
      </c>
      <c r="I18" s="11"/>
      <c r="J18" s="10"/>
      <c r="L18" s="17"/>
      <c r="M18" s="16"/>
      <c r="N18" s="15"/>
      <c r="O18" s="15"/>
      <c r="P18" s="14"/>
      <c r="Q18" s="13"/>
      <c r="R18" s="12">
        <v>0.54166666666666696</v>
      </c>
      <c r="S18" s="11"/>
      <c r="T18" s="10"/>
    </row>
    <row r="19" spans="2:20" x14ac:dyDescent="0.25">
      <c r="B19" s="17"/>
      <c r="C19" s="16"/>
      <c r="D19" s="15"/>
      <c r="E19" s="15"/>
      <c r="F19" s="14"/>
      <c r="G19" s="13"/>
      <c r="H19" s="12">
        <v>0.58333333333333304</v>
      </c>
      <c r="I19" s="11"/>
      <c r="J19" s="10"/>
      <c r="L19" s="17"/>
      <c r="M19" s="16"/>
      <c r="N19" s="15"/>
      <c r="O19" s="15"/>
      <c r="P19" s="14"/>
      <c r="Q19" s="13"/>
      <c r="R19" s="12">
        <v>0.58333333333333304</v>
      </c>
      <c r="S19" s="11"/>
      <c r="T19" s="10"/>
    </row>
    <row r="20" spans="2:20" x14ac:dyDescent="0.25">
      <c r="B20" s="17"/>
      <c r="C20" s="16"/>
      <c r="D20" s="15"/>
      <c r="E20" s="15"/>
      <c r="F20" s="14"/>
      <c r="G20" s="13"/>
      <c r="H20" s="12">
        <v>0.625</v>
      </c>
      <c r="I20" s="11"/>
      <c r="J20" s="10"/>
      <c r="L20" s="17"/>
      <c r="M20" s="16"/>
      <c r="N20" s="15"/>
      <c r="O20" s="15"/>
      <c r="P20" s="14"/>
      <c r="Q20" s="13"/>
      <c r="R20" s="12">
        <v>0.625</v>
      </c>
      <c r="S20" s="11"/>
      <c r="T20" s="10"/>
    </row>
    <row r="21" spans="2:20" x14ac:dyDescent="0.25">
      <c r="B21" s="17"/>
      <c r="C21" s="16"/>
      <c r="D21" s="15"/>
      <c r="E21" s="15"/>
      <c r="F21" s="14"/>
      <c r="G21" s="13"/>
      <c r="H21" s="12">
        <v>0.66666666666666696</v>
      </c>
      <c r="I21" s="11"/>
      <c r="J21" s="10"/>
      <c r="L21" s="17"/>
      <c r="M21" s="16"/>
      <c r="N21" s="15"/>
      <c r="O21" s="15"/>
      <c r="P21" s="14"/>
      <c r="Q21" s="13"/>
      <c r="R21" s="12">
        <v>0.66666666666666696</v>
      </c>
      <c r="S21" s="11"/>
      <c r="T21" s="10"/>
    </row>
    <row r="22" spans="2:20" x14ac:dyDescent="0.25">
      <c r="B22" s="17"/>
      <c r="C22" s="16"/>
      <c r="D22" s="15"/>
      <c r="E22" s="15"/>
      <c r="F22" s="14"/>
      <c r="G22" s="13"/>
      <c r="H22" s="12">
        <v>0.70833333333333304</v>
      </c>
      <c r="I22" s="11"/>
      <c r="J22" s="10"/>
      <c r="L22" s="17"/>
      <c r="M22" s="16"/>
      <c r="N22" s="15"/>
      <c r="O22" s="15"/>
      <c r="P22" s="14"/>
      <c r="Q22" s="13"/>
      <c r="R22" s="12">
        <v>0.70833333333333304</v>
      </c>
      <c r="S22" s="11"/>
      <c r="T22" s="10"/>
    </row>
    <row r="23" spans="2:20" x14ac:dyDescent="0.25">
      <c r="B23" s="17"/>
      <c r="C23" s="16"/>
      <c r="D23" s="15"/>
      <c r="E23" s="15"/>
      <c r="F23" s="14"/>
      <c r="G23" s="13"/>
      <c r="H23" s="12">
        <v>0.75</v>
      </c>
      <c r="I23" s="11"/>
      <c r="J23" s="10"/>
      <c r="L23" s="17"/>
      <c r="M23" s="16"/>
      <c r="N23" s="15"/>
      <c r="O23" s="15"/>
      <c r="P23" s="14"/>
      <c r="Q23" s="13"/>
      <c r="R23" s="12">
        <v>0.75</v>
      </c>
      <c r="S23" s="11"/>
      <c r="T23" s="10"/>
    </row>
    <row r="24" spans="2:20" x14ac:dyDescent="0.25">
      <c r="B24" s="17"/>
      <c r="C24" s="16"/>
      <c r="D24" s="15"/>
      <c r="E24" s="15"/>
      <c r="F24" s="14"/>
      <c r="G24" s="13"/>
      <c r="H24" s="12">
        <v>0.79166666666666696</v>
      </c>
      <c r="I24" s="11"/>
      <c r="J24" s="10"/>
      <c r="L24" s="17"/>
      <c r="M24" s="16"/>
      <c r="N24" s="15"/>
      <c r="O24" s="15"/>
      <c r="P24" s="14"/>
      <c r="Q24" s="13"/>
      <c r="R24" s="12">
        <v>0.79166666666666696</v>
      </c>
      <c r="S24" s="11"/>
      <c r="T24" s="10"/>
    </row>
    <row r="25" spans="2:20" x14ac:dyDescent="0.25">
      <c r="B25" s="17"/>
      <c r="C25" s="16"/>
      <c r="D25" s="15"/>
      <c r="E25" s="15"/>
      <c r="F25" s="14"/>
      <c r="G25" s="13"/>
      <c r="H25" s="12">
        <v>0.83333333333333304</v>
      </c>
      <c r="I25" s="11"/>
      <c r="J25" s="10"/>
      <c r="L25" s="17"/>
      <c r="M25" s="16"/>
      <c r="N25" s="15"/>
      <c r="O25" s="15"/>
      <c r="P25" s="14"/>
      <c r="Q25" s="13"/>
      <c r="R25" s="12">
        <v>0.83333333333333304</v>
      </c>
      <c r="S25" s="11"/>
      <c r="T25" s="10"/>
    </row>
    <row r="26" spans="2:20" x14ac:dyDescent="0.25">
      <c r="B26" s="17"/>
      <c r="C26" s="16"/>
      <c r="D26" s="15"/>
      <c r="E26" s="15"/>
      <c r="F26" s="14"/>
      <c r="G26" s="13"/>
      <c r="H26" s="12">
        <v>0.875</v>
      </c>
      <c r="I26" s="11"/>
      <c r="J26" s="10"/>
      <c r="L26" s="17"/>
      <c r="M26" s="16"/>
      <c r="N26" s="15"/>
      <c r="O26" s="15"/>
      <c r="P26" s="14"/>
      <c r="Q26" s="13"/>
      <c r="R26" s="12">
        <v>0.875</v>
      </c>
      <c r="S26" s="11"/>
      <c r="T26" s="10"/>
    </row>
    <row r="27" spans="2:20" x14ac:dyDescent="0.25">
      <c r="B27" s="17"/>
      <c r="C27" s="16"/>
      <c r="D27" s="15"/>
      <c r="E27" s="15"/>
      <c r="F27" s="14"/>
      <c r="G27" s="13"/>
      <c r="H27" s="12">
        <v>0.91666666666666696</v>
      </c>
      <c r="I27" s="11"/>
      <c r="J27" s="10"/>
      <c r="L27" s="17"/>
      <c r="M27" s="16"/>
      <c r="N27" s="15"/>
      <c r="O27" s="15"/>
      <c r="P27" s="14"/>
      <c r="Q27" s="13"/>
      <c r="R27" s="12">
        <v>0.91666666666666696</v>
      </c>
      <c r="S27" s="11"/>
      <c r="T27" s="10"/>
    </row>
    <row r="28" spans="2:20" x14ac:dyDescent="0.25">
      <c r="B28" s="17"/>
      <c r="C28" s="16"/>
      <c r="D28" s="15"/>
      <c r="E28" s="15"/>
      <c r="F28" s="14"/>
      <c r="G28" s="13"/>
      <c r="H28" s="12">
        <v>0.95833333333333304</v>
      </c>
      <c r="I28" s="11"/>
      <c r="J28" s="10"/>
      <c r="L28" s="17"/>
      <c r="M28" s="16"/>
      <c r="N28" s="15"/>
      <c r="O28" s="15"/>
      <c r="P28" s="14"/>
      <c r="Q28" s="13"/>
      <c r="R28" s="12">
        <v>0.95833333333333304</v>
      </c>
      <c r="S28" s="11"/>
      <c r="T28" s="10"/>
    </row>
    <row r="29" spans="2:20" ht="15.75" thickBot="1" x14ac:dyDescent="0.3">
      <c r="B29" s="9"/>
      <c r="C29" s="8"/>
      <c r="D29" s="7"/>
      <c r="E29" s="7"/>
      <c r="F29" s="6"/>
      <c r="G29" s="5"/>
      <c r="H29" s="4">
        <v>1</v>
      </c>
      <c r="I29" s="3"/>
      <c r="J29" s="2"/>
      <c r="L29" s="9"/>
      <c r="M29" s="8"/>
      <c r="N29" s="7"/>
      <c r="O29" s="7"/>
      <c r="P29" s="6"/>
      <c r="Q29" s="5"/>
      <c r="R29" s="4">
        <v>1</v>
      </c>
      <c r="S29" s="3"/>
      <c r="T29" s="2"/>
    </row>
    <row r="54" spans="7:7" x14ac:dyDescent="0.25">
      <c r="G54" s="1"/>
    </row>
  </sheetData>
  <mergeCells count="2">
    <mergeCell ref="M6:M29"/>
    <mergeCell ref="C6:C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54"/>
  <sheetViews>
    <sheetView zoomScale="85" zoomScaleNormal="85" workbookViewId="0">
      <selection activeCell="AL22" sqref="AL22"/>
    </sheetView>
  </sheetViews>
  <sheetFormatPr defaultRowHeight="15" x14ac:dyDescent="0.25"/>
  <cols>
    <col min="2" max="2" width="4.42578125" bestFit="1" customWidth="1"/>
    <col min="3" max="6" width="12.7109375" customWidth="1"/>
    <col min="7" max="7" width="10.85546875" bestFit="1" customWidth="1"/>
    <col min="8" max="8" width="7.5703125" bestFit="1" customWidth="1"/>
    <col min="9" max="9" width="10.7109375" customWidth="1"/>
    <col min="10" max="10" width="15.7109375" customWidth="1"/>
    <col min="11" max="11" width="1.5703125" customWidth="1"/>
    <col min="12" max="12" width="4.42578125" bestFit="1" customWidth="1"/>
    <col min="13" max="16" width="12.7109375" customWidth="1"/>
    <col min="17" max="17" width="10.85546875" bestFit="1" customWidth="1"/>
    <col min="18" max="18" width="7.5703125" bestFit="1" customWidth="1"/>
    <col min="19" max="19" width="10.7109375" customWidth="1"/>
    <col min="20" max="20" width="15.7109375" customWidth="1"/>
  </cols>
  <sheetData>
    <row r="1" spans="2:20" x14ac:dyDescent="0.25">
      <c r="B1" s="40"/>
      <c r="C1" s="33" t="s">
        <v>21</v>
      </c>
      <c r="F1" s="33"/>
      <c r="G1" s="33"/>
      <c r="H1" s="39"/>
      <c r="I1" s="33" t="s">
        <v>20</v>
      </c>
    </row>
    <row r="2" spans="2:20" x14ac:dyDescent="0.25">
      <c r="B2" s="38"/>
      <c r="C2" s="33" t="s">
        <v>19</v>
      </c>
      <c r="F2" s="33"/>
      <c r="G2" s="33"/>
      <c r="H2" s="37"/>
      <c r="I2" s="33" t="s">
        <v>18</v>
      </c>
    </row>
    <row r="3" spans="2:20" x14ac:dyDescent="0.25">
      <c r="B3" s="36"/>
      <c r="C3" s="36"/>
      <c r="D3" s="34"/>
      <c r="E3" s="34"/>
      <c r="F3" s="34"/>
      <c r="G3" s="34"/>
      <c r="H3" s="35"/>
      <c r="I3" s="34" t="s">
        <v>17</v>
      </c>
    </row>
    <row r="4" spans="2:20" ht="15.75" thickBot="1" x14ac:dyDescent="0.3">
      <c r="B4" s="33" t="s">
        <v>26</v>
      </c>
      <c r="C4" s="33"/>
      <c r="D4" s="33"/>
    </row>
    <row r="5" spans="2:20" ht="30.75" thickBot="1" x14ac:dyDescent="0.3">
      <c r="B5" s="32" t="s">
        <v>15</v>
      </c>
      <c r="C5" s="31" t="s">
        <v>14</v>
      </c>
      <c r="D5" s="30" t="s">
        <v>13</v>
      </c>
      <c r="E5" s="30" t="s">
        <v>12</v>
      </c>
      <c r="F5" s="29" t="s">
        <v>11</v>
      </c>
      <c r="G5" s="28" t="s">
        <v>10</v>
      </c>
      <c r="H5" s="27" t="s">
        <v>9</v>
      </c>
      <c r="I5" s="26" t="s">
        <v>8</v>
      </c>
      <c r="J5" s="25" t="s">
        <v>7</v>
      </c>
      <c r="L5" s="32" t="s">
        <v>15</v>
      </c>
      <c r="M5" s="31" t="s">
        <v>14</v>
      </c>
      <c r="N5" s="30" t="s">
        <v>13</v>
      </c>
      <c r="O5" s="30" t="s">
        <v>12</v>
      </c>
      <c r="P5" s="29" t="s">
        <v>11</v>
      </c>
      <c r="Q5" s="28" t="s">
        <v>10</v>
      </c>
      <c r="R5" s="27" t="s">
        <v>9</v>
      </c>
      <c r="S5" s="26" t="s">
        <v>8</v>
      </c>
      <c r="T5" s="25" t="s">
        <v>7</v>
      </c>
    </row>
    <row r="6" spans="2:20" ht="15" customHeight="1" x14ac:dyDescent="0.25">
      <c r="B6" s="23">
        <v>1</v>
      </c>
      <c r="C6" s="22" t="s">
        <v>4</v>
      </c>
      <c r="D6" s="21" t="s">
        <v>3</v>
      </c>
      <c r="E6" s="21" t="s">
        <v>25</v>
      </c>
      <c r="F6" s="24" t="s">
        <v>24</v>
      </c>
      <c r="G6" s="20" t="s">
        <v>0</v>
      </c>
      <c r="H6" s="12">
        <v>4.1666666666666664E-2</v>
      </c>
      <c r="I6" s="19"/>
      <c r="J6" s="18"/>
      <c r="L6" s="23">
        <v>1</v>
      </c>
      <c r="M6" s="22" t="s">
        <v>4</v>
      </c>
      <c r="N6" s="21" t="s">
        <v>3</v>
      </c>
      <c r="O6" s="21" t="s">
        <v>23</v>
      </c>
      <c r="P6" s="24" t="s">
        <v>22</v>
      </c>
      <c r="Q6" s="20" t="s">
        <v>0</v>
      </c>
      <c r="R6" s="12">
        <v>4.1666666666666664E-2</v>
      </c>
      <c r="S6" s="19"/>
      <c r="T6" s="18"/>
    </row>
    <row r="7" spans="2:20" x14ac:dyDescent="0.25">
      <c r="B7" s="17"/>
      <c r="C7" s="16"/>
      <c r="D7" s="15"/>
      <c r="E7" s="15"/>
      <c r="F7" s="14"/>
      <c r="G7" s="13"/>
      <c r="H7" s="12">
        <v>8.3333333333333301E-2</v>
      </c>
      <c r="I7" s="11"/>
      <c r="J7" s="10"/>
      <c r="L7" s="17"/>
      <c r="M7" s="16"/>
      <c r="N7" s="15"/>
      <c r="O7" s="15"/>
      <c r="P7" s="14"/>
      <c r="Q7" s="13"/>
      <c r="R7" s="12">
        <v>8.3333333333333301E-2</v>
      </c>
      <c r="S7" s="11"/>
      <c r="T7" s="10"/>
    </row>
    <row r="8" spans="2:20" x14ac:dyDescent="0.25">
      <c r="B8" s="17"/>
      <c r="C8" s="16"/>
      <c r="D8" s="15"/>
      <c r="E8" s="15"/>
      <c r="F8" s="14"/>
      <c r="G8" s="13"/>
      <c r="H8" s="12">
        <v>0.125</v>
      </c>
      <c r="I8" s="11"/>
      <c r="J8" s="10"/>
      <c r="L8" s="17"/>
      <c r="M8" s="16"/>
      <c r="N8" s="15"/>
      <c r="O8" s="15"/>
      <c r="P8" s="14"/>
      <c r="Q8" s="13"/>
      <c r="R8" s="12">
        <v>0.125</v>
      </c>
      <c r="S8" s="11"/>
      <c r="T8" s="10"/>
    </row>
    <row r="9" spans="2:20" x14ac:dyDescent="0.25">
      <c r="B9" s="17"/>
      <c r="C9" s="16"/>
      <c r="D9" s="15"/>
      <c r="E9" s="15"/>
      <c r="F9" s="14"/>
      <c r="G9" s="13"/>
      <c r="H9" s="12">
        <v>0.16666666666666699</v>
      </c>
      <c r="I9" s="11"/>
      <c r="J9" s="10"/>
      <c r="L9" s="17"/>
      <c r="M9" s="16"/>
      <c r="N9" s="15"/>
      <c r="O9" s="15"/>
      <c r="P9" s="14"/>
      <c r="Q9" s="13"/>
      <c r="R9" s="12">
        <v>0.16666666666666699</v>
      </c>
      <c r="S9" s="11"/>
      <c r="T9" s="10"/>
    </row>
    <row r="10" spans="2:20" x14ac:dyDescent="0.25">
      <c r="B10" s="17"/>
      <c r="C10" s="16"/>
      <c r="D10" s="15"/>
      <c r="E10" s="15"/>
      <c r="F10" s="14"/>
      <c r="G10" s="13"/>
      <c r="H10" s="12">
        <v>0.20833333333333301</v>
      </c>
      <c r="I10" s="11"/>
      <c r="J10" s="10"/>
      <c r="L10" s="17"/>
      <c r="M10" s="16"/>
      <c r="N10" s="15"/>
      <c r="O10" s="15"/>
      <c r="P10" s="14"/>
      <c r="Q10" s="13"/>
      <c r="R10" s="12">
        <v>0.20833333333333301</v>
      </c>
      <c r="S10" s="11"/>
      <c r="T10" s="10"/>
    </row>
    <row r="11" spans="2:20" x14ac:dyDescent="0.25">
      <c r="B11" s="17"/>
      <c r="C11" s="16"/>
      <c r="D11" s="15"/>
      <c r="E11" s="15"/>
      <c r="F11" s="14"/>
      <c r="G11" s="13"/>
      <c r="H11" s="12">
        <v>0.25</v>
      </c>
      <c r="I11" s="11"/>
      <c r="J11" s="10"/>
      <c r="L11" s="17"/>
      <c r="M11" s="16"/>
      <c r="N11" s="15"/>
      <c r="O11" s="15"/>
      <c r="P11" s="14"/>
      <c r="Q11" s="13"/>
      <c r="R11" s="12">
        <v>0.25</v>
      </c>
      <c r="S11" s="11"/>
      <c r="T11" s="10"/>
    </row>
    <row r="12" spans="2:20" x14ac:dyDescent="0.25">
      <c r="B12" s="17"/>
      <c r="C12" s="16"/>
      <c r="D12" s="15"/>
      <c r="E12" s="15"/>
      <c r="F12" s="14"/>
      <c r="G12" s="13"/>
      <c r="H12" s="12">
        <v>0.29166666666666702</v>
      </c>
      <c r="I12" s="11"/>
      <c r="J12" s="10"/>
      <c r="L12" s="17"/>
      <c r="M12" s="16"/>
      <c r="N12" s="15"/>
      <c r="O12" s="15"/>
      <c r="P12" s="14"/>
      <c r="Q12" s="13"/>
      <c r="R12" s="12">
        <v>0.29166666666666702</v>
      </c>
      <c r="S12" s="11"/>
      <c r="T12" s="10"/>
    </row>
    <row r="13" spans="2:20" x14ac:dyDescent="0.25">
      <c r="B13" s="17"/>
      <c r="C13" s="16"/>
      <c r="D13" s="15"/>
      <c r="E13" s="15"/>
      <c r="F13" s="14"/>
      <c r="G13" s="13"/>
      <c r="H13" s="12">
        <v>0.33333333333333298</v>
      </c>
      <c r="I13" s="11"/>
      <c r="J13" s="10"/>
      <c r="L13" s="17"/>
      <c r="M13" s="16"/>
      <c r="N13" s="15"/>
      <c r="O13" s="15"/>
      <c r="P13" s="14"/>
      <c r="Q13" s="13"/>
      <c r="R13" s="12">
        <v>0.33333333333333298</v>
      </c>
      <c r="S13" s="11"/>
      <c r="T13" s="10"/>
    </row>
    <row r="14" spans="2:20" x14ac:dyDescent="0.25">
      <c r="B14" s="17"/>
      <c r="C14" s="16"/>
      <c r="D14" s="15"/>
      <c r="E14" s="15"/>
      <c r="F14" s="14"/>
      <c r="G14" s="13"/>
      <c r="H14" s="12">
        <v>0.375</v>
      </c>
      <c r="I14" s="11"/>
      <c r="J14" s="10"/>
      <c r="L14" s="17"/>
      <c r="M14" s="16"/>
      <c r="N14" s="15"/>
      <c r="O14" s="15"/>
      <c r="P14" s="14"/>
      <c r="Q14" s="13"/>
      <c r="R14" s="12">
        <v>0.375</v>
      </c>
      <c r="S14" s="11"/>
      <c r="T14" s="10"/>
    </row>
    <row r="15" spans="2:20" x14ac:dyDescent="0.25">
      <c r="B15" s="17"/>
      <c r="C15" s="16"/>
      <c r="D15" s="15"/>
      <c r="E15" s="15"/>
      <c r="F15" s="14"/>
      <c r="G15" s="13"/>
      <c r="H15" s="12">
        <v>0.41666666666666702</v>
      </c>
      <c r="I15" s="11"/>
      <c r="J15" s="10"/>
      <c r="L15" s="17"/>
      <c r="M15" s="16"/>
      <c r="N15" s="15"/>
      <c r="O15" s="15"/>
      <c r="P15" s="14"/>
      <c r="Q15" s="13"/>
      <c r="R15" s="12">
        <v>0.41666666666666702</v>
      </c>
      <c r="S15" s="11"/>
      <c r="T15" s="10"/>
    </row>
    <row r="16" spans="2:20" x14ac:dyDescent="0.25">
      <c r="B16" s="17"/>
      <c r="C16" s="16"/>
      <c r="D16" s="15"/>
      <c r="E16" s="15"/>
      <c r="F16" s="14"/>
      <c r="G16" s="13"/>
      <c r="H16" s="12">
        <v>0.45833333333333298</v>
      </c>
      <c r="I16" s="11"/>
      <c r="J16" s="10"/>
      <c r="L16" s="17"/>
      <c r="M16" s="16"/>
      <c r="N16" s="15"/>
      <c r="O16" s="15"/>
      <c r="P16" s="14"/>
      <c r="Q16" s="13"/>
      <c r="R16" s="12">
        <v>0.45833333333333298</v>
      </c>
      <c r="S16" s="11"/>
      <c r="T16" s="10"/>
    </row>
    <row r="17" spans="2:20" x14ac:dyDescent="0.25">
      <c r="B17" s="17"/>
      <c r="C17" s="16"/>
      <c r="D17" s="15"/>
      <c r="E17" s="15"/>
      <c r="F17" s="14"/>
      <c r="G17" s="13"/>
      <c r="H17" s="12">
        <v>0.5</v>
      </c>
      <c r="I17" s="11"/>
      <c r="J17" s="10"/>
      <c r="L17" s="17"/>
      <c r="M17" s="16"/>
      <c r="N17" s="15"/>
      <c r="O17" s="15"/>
      <c r="P17" s="14"/>
      <c r="Q17" s="13"/>
      <c r="R17" s="12">
        <v>0.5</v>
      </c>
      <c r="S17" s="11"/>
      <c r="T17" s="10"/>
    </row>
    <row r="18" spans="2:20" x14ac:dyDescent="0.25">
      <c r="B18" s="17"/>
      <c r="C18" s="16"/>
      <c r="D18" s="15"/>
      <c r="E18" s="15"/>
      <c r="F18" s="14"/>
      <c r="G18" s="13"/>
      <c r="H18" s="12">
        <v>0.54166666666666696</v>
      </c>
      <c r="I18" s="11"/>
      <c r="J18" s="10"/>
      <c r="L18" s="17"/>
      <c r="M18" s="16"/>
      <c r="N18" s="15"/>
      <c r="O18" s="15"/>
      <c r="P18" s="14"/>
      <c r="Q18" s="13"/>
      <c r="R18" s="12">
        <v>0.54166666666666696</v>
      </c>
      <c r="S18" s="11"/>
      <c r="T18" s="10"/>
    </row>
    <row r="19" spans="2:20" x14ac:dyDescent="0.25">
      <c r="B19" s="17"/>
      <c r="C19" s="16"/>
      <c r="D19" s="15"/>
      <c r="E19" s="15"/>
      <c r="F19" s="14"/>
      <c r="G19" s="13"/>
      <c r="H19" s="12">
        <v>0.58333333333333304</v>
      </c>
      <c r="I19" s="11"/>
      <c r="J19" s="10"/>
      <c r="L19" s="17"/>
      <c r="M19" s="16"/>
      <c r="N19" s="15"/>
      <c r="O19" s="15"/>
      <c r="P19" s="14"/>
      <c r="Q19" s="13"/>
      <c r="R19" s="12">
        <v>0.58333333333333304</v>
      </c>
      <c r="S19" s="11"/>
      <c r="T19" s="10"/>
    </row>
    <row r="20" spans="2:20" x14ac:dyDescent="0.25">
      <c r="B20" s="17"/>
      <c r="C20" s="16"/>
      <c r="D20" s="15"/>
      <c r="E20" s="15"/>
      <c r="F20" s="14"/>
      <c r="G20" s="13"/>
      <c r="H20" s="12">
        <v>0.625</v>
      </c>
      <c r="I20" s="11"/>
      <c r="J20" s="10"/>
      <c r="L20" s="17"/>
      <c r="M20" s="16"/>
      <c r="N20" s="15"/>
      <c r="O20" s="15"/>
      <c r="P20" s="14"/>
      <c r="Q20" s="13"/>
      <c r="R20" s="12">
        <v>0.625</v>
      </c>
      <c r="S20" s="11"/>
      <c r="T20" s="10"/>
    </row>
    <row r="21" spans="2:20" x14ac:dyDescent="0.25">
      <c r="B21" s="17"/>
      <c r="C21" s="16"/>
      <c r="D21" s="15"/>
      <c r="E21" s="15"/>
      <c r="F21" s="14"/>
      <c r="G21" s="13"/>
      <c r="H21" s="12">
        <v>0.66666666666666696</v>
      </c>
      <c r="I21" s="11"/>
      <c r="J21" s="10"/>
      <c r="L21" s="17"/>
      <c r="M21" s="16"/>
      <c r="N21" s="15"/>
      <c r="O21" s="15"/>
      <c r="P21" s="14"/>
      <c r="Q21" s="13"/>
      <c r="R21" s="12">
        <v>0.66666666666666696</v>
      </c>
      <c r="S21" s="11"/>
      <c r="T21" s="10"/>
    </row>
    <row r="22" spans="2:20" x14ac:dyDescent="0.25">
      <c r="B22" s="17"/>
      <c r="C22" s="16"/>
      <c r="D22" s="15"/>
      <c r="E22" s="15"/>
      <c r="F22" s="14"/>
      <c r="G22" s="13"/>
      <c r="H22" s="12">
        <v>0.70833333333333304</v>
      </c>
      <c r="I22" s="11"/>
      <c r="J22" s="10"/>
      <c r="L22" s="17"/>
      <c r="M22" s="16"/>
      <c r="N22" s="15"/>
      <c r="O22" s="15"/>
      <c r="P22" s="14"/>
      <c r="Q22" s="13"/>
      <c r="R22" s="12">
        <v>0.70833333333333304</v>
      </c>
      <c r="S22" s="11"/>
      <c r="T22" s="10"/>
    </row>
    <row r="23" spans="2:20" x14ac:dyDescent="0.25">
      <c r="B23" s="17"/>
      <c r="C23" s="16"/>
      <c r="D23" s="15"/>
      <c r="E23" s="15"/>
      <c r="F23" s="14"/>
      <c r="G23" s="13"/>
      <c r="H23" s="12">
        <v>0.75</v>
      </c>
      <c r="I23" s="11"/>
      <c r="J23" s="10"/>
      <c r="L23" s="17"/>
      <c r="M23" s="16"/>
      <c r="N23" s="15"/>
      <c r="O23" s="15"/>
      <c r="P23" s="14"/>
      <c r="Q23" s="13"/>
      <c r="R23" s="12">
        <v>0.75</v>
      </c>
      <c r="S23" s="11"/>
      <c r="T23" s="10"/>
    </row>
    <row r="24" spans="2:20" x14ac:dyDescent="0.25">
      <c r="B24" s="17"/>
      <c r="C24" s="16"/>
      <c r="D24" s="15"/>
      <c r="E24" s="15"/>
      <c r="F24" s="14"/>
      <c r="G24" s="13"/>
      <c r="H24" s="12">
        <v>0.79166666666666696</v>
      </c>
      <c r="I24" s="11"/>
      <c r="J24" s="10"/>
      <c r="L24" s="17"/>
      <c r="M24" s="16"/>
      <c r="N24" s="15"/>
      <c r="O24" s="15"/>
      <c r="P24" s="14"/>
      <c r="Q24" s="13"/>
      <c r="R24" s="12">
        <v>0.79166666666666696</v>
      </c>
      <c r="S24" s="11"/>
      <c r="T24" s="10"/>
    </row>
    <row r="25" spans="2:20" x14ac:dyDescent="0.25">
      <c r="B25" s="17"/>
      <c r="C25" s="16"/>
      <c r="D25" s="15"/>
      <c r="E25" s="15"/>
      <c r="F25" s="14"/>
      <c r="G25" s="13"/>
      <c r="H25" s="12">
        <v>0.83333333333333304</v>
      </c>
      <c r="I25" s="11"/>
      <c r="J25" s="10"/>
      <c r="L25" s="17"/>
      <c r="M25" s="16"/>
      <c r="N25" s="15"/>
      <c r="O25" s="15"/>
      <c r="P25" s="14"/>
      <c r="Q25" s="13"/>
      <c r="R25" s="12">
        <v>0.83333333333333304</v>
      </c>
      <c r="S25" s="11"/>
      <c r="T25" s="10"/>
    </row>
    <row r="26" spans="2:20" x14ac:dyDescent="0.25">
      <c r="B26" s="17"/>
      <c r="C26" s="16"/>
      <c r="D26" s="15"/>
      <c r="E26" s="15"/>
      <c r="F26" s="14"/>
      <c r="G26" s="13"/>
      <c r="H26" s="12">
        <v>0.875</v>
      </c>
      <c r="I26" s="11"/>
      <c r="J26" s="10"/>
      <c r="L26" s="17"/>
      <c r="M26" s="16"/>
      <c r="N26" s="15"/>
      <c r="O26" s="15"/>
      <c r="P26" s="14"/>
      <c r="Q26" s="13"/>
      <c r="R26" s="12">
        <v>0.875</v>
      </c>
      <c r="S26" s="11"/>
      <c r="T26" s="10"/>
    </row>
    <row r="27" spans="2:20" x14ac:dyDescent="0.25">
      <c r="B27" s="17"/>
      <c r="C27" s="16"/>
      <c r="D27" s="15"/>
      <c r="E27" s="15"/>
      <c r="F27" s="14"/>
      <c r="G27" s="13"/>
      <c r="H27" s="12">
        <v>0.91666666666666696</v>
      </c>
      <c r="I27" s="11"/>
      <c r="J27" s="10"/>
      <c r="L27" s="17"/>
      <c r="M27" s="16"/>
      <c r="N27" s="15"/>
      <c r="O27" s="15"/>
      <c r="P27" s="14"/>
      <c r="Q27" s="13"/>
      <c r="R27" s="12">
        <v>0.91666666666666696</v>
      </c>
      <c r="S27" s="11"/>
      <c r="T27" s="10"/>
    </row>
    <row r="28" spans="2:20" x14ac:dyDescent="0.25">
      <c r="B28" s="17"/>
      <c r="C28" s="16"/>
      <c r="D28" s="15"/>
      <c r="E28" s="15"/>
      <c r="F28" s="14"/>
      <c r="G28" s="13"/>
      <c r="H28" s="12">
        <v>0.95833333333333304</v>
      </c>
      <c r="I28" s="11"/>
      <c r="J28" s="10"/>
      <c r="L28" s="17"/>
      <c r="M28" s="16"/>
      <c r="N28" s="15"/>
      <c r="O28" s="15"/>
      <c r="P28" s="14"/>
      <c r="Q28" s="13"/>
      <c r="R28" s="12">
        <v>0.95833333333333304</v>
      </c>
      <c r="S28" s="11"/>
      <c r="T28" s="10"/>
    </row>
    <row r="29" spans="2:20" ht="15.75" thickBot="1" x14ac:dyDescent="0.3">
      <c r="B29" s="9"/>
      <c r="C29" s="8"/>
      <c r="D29" s="7"/>
      <c r="E29" s="7"/>
      <c r="F29" s="6"/>
      <c r="G29" s="5"/>
      <c r="H29" s="4">
        <v>1</v>
      </c>
      <c r="I29" s="3"/>
      <c r="J29" s="2"/>
      <c r="L29" s="9"/>
      <c r="M29" s="8"/>
      <c r="N29" s="7"/>
      <c r="O29" s="7"/>
      <c r="P29" s="6"/>
      <c r="Q29" s="5"/>
      <c r="R29" s="4">
        <v>1</v>
      </c>
      <c r="S29" s="3"/>
      <c r="T29" s="2"/>
    </row>
    <row r="54" spans="7:7" x14ac:dyDescent="0.25">
      <c r="G54" s="1"/>
    </row>
  </sheetData>
  <mergeCells count="2">
    <mergeCell ref="C6:C29"/>
    <mergeCell ref="M6:M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F54"/>
  <sheetViews>
    <sheetView topLeftCell="AJ4" zoomScale="85" zoomScaleNormal="85" workbookViewId="0">
      <selection activeCell="AL22" sqref="AL22"/>
    </sheetView>
  </sheetViews>
  <sheetFormatPr defaultRowHeight="15" x14ac:dyDescent="0.25"/>
  <cols>
    <col min="2" max="2" width="4.42578125" bestFit="1" customWidth="1"/>
    <col min="3" max="4" width="12.7109375" customWidth="1"/>
    <col min="5" max="5" width="10.85546875" bestFit="1" customWidth="1"/>
    <col min="6" max="6" width="7.5703125" bestFit="1" customWidth="1"/>
    <col min="7" max="7" width="9" customWidth="1"/>
    <col min="8" max="9" width="10.7109375" customWidth="1"/>
    <col min="10" max="11" width="15.7109375" customWidth="1"/>
    <col min="12" max="12" width="1.5703125" customWidth="1"/>
    <col min="13" max="13" width="4.42578125" bestFit="1" customWidth="1"/>
    <col min="14" max="15" width="12.7109375" customWidth="1"/>
    <col min="16" max="16" width="10.85546875" bestFit="1" customWidth="1"/>
    <col min="17" max="17" width="7.5703125" bestFit="1" customWidth="1"/>
    <col min="18" max="20" width="10.7109375" customWidth="1"/>
    <col min="21" max="21" width="15.7109375" customWidth="1"/>
    <col min="22" max="22" width="1.5703125" customWidth="1"/>
    <col min="23" max="23" width="4.42578125" bestFit="1" customWidth="1"/>
    <col min="24" max="25" width="12.7109375" customWidth="1"/>
    <col min="26" max="26" width="10.85546875" bestFit="1" customWidth="1"/>
    <col min="27" max="27" width="7.5703125" bestFit="1" customWidth="1"/>
    <col min="28" max="29" width="10.7109375" customWidth="1"/>
    <col min="30" max="30" width="15.7109375" customWidth="1"/>
    <col min="31" max="31" width="1.5703125" customWidth="1"/>
    <col min="32" max="32" width="4.42578125" bestFit="1" customWidth="1"/>
    <col min="33" max="34" width="12.7109375" customWidth="1"/>
    <col min="35" max="35" width="10.85546875" bestFit="1" customWidth="1"/>
    <col min="36" max="36" width="7.5703125" bestFit="1" customWidth="1"/>
    <col min="37" max="38" width="10.7109375" customWidth="1"/>
    <col min="39" max="39" width="15.7109375" customWidth="1"/>
    <col min="40" max="40" width="1.5703125" customWidth="1"/>
    <col min="41" max="41" width="4.42578125" bestFit="1" customWidth="1"/>
    <col min="42" max="43" width="12.7109375" customWidth="1"/>
    <col min="44" max="44" width="10.85546875" bestFit="1" customWidth="1"/>
    <col min="45" max="45" width="7.5703125" bestFit="1" customWidth="1"/>
    <col min="46" max="48" width="10.7109375" customWidth="1"/>
    <col min="49" max="49" width="15.7109375" customWidth="1"/>
    <col min="50" max="50" width="1.5703125" customWidth="1"/>
    <col min="51" max="51" width="4.42578125" bestFit="1" customWidth="1"/>
    <col min="52" max="53" width="12.7109375" customWidth="1"/>
    <col min="54" max="54" width="10.85546875" bestFit="1" customWidth="1"/>
    <col min="55" max="55" width="7.5703125" bestFit="1" customWidth="1"/>
    <col min="56" max="57" width="10.7109375" customWidth="1"/>
    <col min="58" max="58" width="15.7109375" customWidth="1"/>
  </cols>
  <sheetData>
    <row r="1" spans="2:58" x14ac:dyDescent="0.25">
      <c r="B1" s="40"/>
      <c r="C1" s="33" t="s">
        <v>21</v>
      </c>
      <c r="D1" s="33"/>
      <c r="E1" s="39"/>
      <c r="F1" s="33" t="s">
        <v>20</v>
      </c>
      <c r="G1" s="33"/>
    </row>
    <row r="2" spans="2:58" x14ac:dyDescent="0.25">
      <c r="B2" s="38"/>
      <c r="C2" s="33" t="s">
        <v>19</v>
      </c>
      <c r="D2" s="33"/>
      <c r="E2" s="37"/>
      <c r="F2" s="33" t="s">
        <v>59</v>
      </c>
      <c r="G2" s="33"/>
    </row>
    <row r="3" spans="2:58" x14ac:dyDescent="0.25">
      <c r="B3" s="36"/>
      <c r="C3" s="34"/>
      <c r="D3" s="34"/>
      <c r="E3" s="35"/>
      <c r="F3" s="34" t="s">
        <v>17</v>
      </c>
      <c r="G3" s="34"/>
    </row>
    <row r="4" spans="2:58" ht="15.75" thickBot="1" x14ac:dyDescent="0.3">
      <c r="B4" s="54" t="s">
        <v>58</v>
      </c>
      <c r="C4" s="42"/>
      <c r="D4" s="42"/>
      <c r="E4" s="42"/>
      <c r="M4" s="33" t="s">
        <v>57</v>
      </c>
      <c r="W4" s="33" t="s">
        <v>56</v>
      </c>
      <c r="AF4" s="33" t="s">
        <v>56</v>
      </c>
      <c r="AO4" s="33" t="s">
        <v>56</v>
      </c>
      <c r="AU4" t="s">
        <v>55</v>
      </c>
      <c r="AY4" s="33" t="s">
        <v>54</v>
      </c>
    </row>
    <row r="5" spans="2:58" ht="30.75" thickBot="1" x14ac:dyDescent="0.3">
      <c r="B5" s="32" t="s">
        <v>15</v>
      </c>
      <c r="C5" s="30" t="s">
        <v>12</v>
      </c>
      <c r="D5" s="29" t="s">
        <v>11</v>
      </c>
      <c r="E5" s="28" t="s">
        <v>10</v>
      </c>
      <c r="F5" s="27" t="s">
        <v>9</v>
      </c>
      <c r="G5" s="28" t="s">
        <v>53</v>
      </c>
      <c r="H5" s="53" t="s">
        <v>8</v>
      </c>
      <c r="I5" s="31" t="s">
        <v>46</v>
      </c>
      <c r="J5" s="25" t="s">
        <v>52</v>
      </c>
      <c r="K5" s="52" t="s">
        <v>51</v>
      </c>
      <c r="M5" s="32" t="s">
        <v>15</v>
      </c>
      <c r="N5" s="30" t="s">
        <v>12</v>
      </c>
      <c r="O5" s="29" t="s">
        <v>11</v>
      </c>
      <c r="P5" s="28" t="s">
        <v>10</v>
      </c>
      <c r="Q5" s="27" t="s">
        <v>9</v>
      </c>
      <c r="R5" s="31" t="s">
        <v>8</v>
      </c>
      <c r="S5" s="31" t="s">
        <v>46</v>
      </c>
      <c r="T5" s="26" t="s">
        <v>50</v>
      </c>
      <c r="U5" s="25" t="s">
        <v>49</v>
      </c>
      <c r="W5" s="32" t="s">
        <v>15</v>
      </c>
      <c r="X5" s="30" t="s">
        <v>12</v>
      </c>
      <c r="Y5" s="29" t="s">
        <v>11</v>
      </c>
      <c r="Z5" s="28" t="s">
        <v>10</v>
      </c>
      <c r="AA5" s="27" t="s">
        <v>9</v>
      </c>
      <c r="AB5" s="26" t="s">
        <v>8</v>
      </c>
      <c r="AC5" s="31" t="s">
        <v>48</v>
      </c>
      <c r="AD5" s="25" t="s">
        <v>45</v>
      </c>
      <c r="AF5" s="32" t="s">
        <v>15</v>
      </c>
      <c r="AG5" s="30" t="s">
        <v>12</v>
      </c>
      <c r="AH5" s="29" t="s">
        <v>11</v>
      </c>
      <c r="AI5" s="28" t="s">
        <v>10</v>
      </c>
      <c r="AJ5" s="27" t="s">
        <v>9</v>
      </c>
      <c r="AK5" s="26" t="s">
        <v>8</v>
      </c>
      <c r="AL5" s="31" t="s">
        <v>48</v>
      </c>
      <c r="AM5" s="25" t="s">
        <v>45</v>
      </c>
      <c r="AO5" s="32" t="s">
        <v>15</v>
      </c>
      <c r="AP5" s="30" t="s">
        <v>12</v>
      </c>
      <c r="AQ5" s="29" t="s">
        <v>11</v>
      </c>
      <c r="AR5" s="28" t="s">
        <v>10</v>
      </c>
      <c r="AS5" s="27" t="s">
        <v>9</v>
      </c>
      <c r="AT5" s="26" t="s">
        <v>8</v>
      </c>
      <c r="AU5" s="26" t="s">
        <v>47</v>
      </c>
      <c r="AV5" s="31" t="s">
        <v>46</v>
      </c>
      <c r="AW5" s="25" t="s">
        <v>45</v>
      </c>
      <c r="AY5" s="32" t="s">
        <v>15</v>
      </c>
      <c r="AZ5" s="30" t="s">
        <v>12</v>
      </c>
      <c r="BA5" s="29" t="s">
        <v>11</v>
      </c>
      <c r="BB5" s="28" t="s">
        <v>10</v>
      </c>
      <c r="BC5" s="27" t="s">
        <v>9</v>
      </c>
      <c r="BD5" s="26" t="s">
        <v>8</v>
      </c>
      <c r="BE5" s="26" t="s">
        <v>44</v>
      </c>
      <c r="BF5" s="25" t="s">
        <v>43</v>
      </c>
    </row>
    <row r="6" spans="2:58" ht="30" x14ac:dyDescent="0.25">
      <c r="B6" s="23">
        <v>1</v>
      </c>
      <c r="C6" s="21" t="s">
        <v>41</v>
      </c>
      <c r="D6" s="24" t="s">
        <v>40</v>
      </c>
      <c r="E6" s="20" t="s">
        <v>0</v>
      </c>
      <c r="F6" s="12">
        <v>4.1666666666666664E-2</v>
      </c>
      <c r="G6" s="46" t="str">
        <f>'Rekap TD-BAK-GS'!G6</f>
        <v>NORMAL</v>
      </c>
      <c r="H6" s="49" t="str">
        <f>IF(G6="PENUH","OFF","ON")</f>
        <v>ON</v>
      </c>
      <c r="I6" s="49">
        <f>IF(H6="ON",4500,0)</f>
        <v>4500</v>
      </c>
      <c r="J6" s="48">
        <v>75</v>
      </c>
      <c r="K6" s="51" t="s">
        <v>42</v>
      </c>
      <c r="M6" s="23">
        <v>1</v>
      </c>
      <c r="N6" s="21" t="s">
        <v>41</v>
      </c>
      <c r="O6" s="24" t="s">
        <v>40</v>
      </c>
      <c r="P6" s="20" t="s">
        <v>0</v>
      </c>
      <c r="Q6" s="12">
        <v>4.1666666666666664E-2</v>
      </c>
      <c r="R6" s="49" t="s">
        <v>30</v>
      </c>
      <c r="S6" s="49">
        <v>30</v>
      </c>
      <c r="T6" s="49">
        <f>'Rekap TD-BAK-GS'!H6</f>
        <v>12000</v>
      </c>
      <c r="U6" s="48">
        <v>900</v>
      </c>
      <c r="W6" s="23">
        <v>1</v>
      </c>
      <c r="X6" s="21" t="s">
        <v>39</v>
      </c>
      <c r="Y6" s="24" t="s">
        <v>38</v>
      </c>
      <c r="Z6" s="20" t="s">
        <v>0</v>
      </c>
      <c r="AA6" s="12">
        <v>4.1666666666666664E-2</v>
      </c>
      <c r="AB6" s="50" t="s">
        <v>30</v>
      </c>
      <c r="AC6" s="19">
        <f>IF(AB6="ON",277.2,0)</f>
        <v>0</v>
      </c>
      <c r="AD6" s="48">
        <v>277.2</v>
      </c>
      <c r="AF6" s="23">
        <v>1</v>
      </c>
      <c r="AG6" s="21" t="s">
        <v>37</v>
      </c>
      <c r="AH6" s="24" t="s">
        <v>36</v>
      </c>
      <c r="AI6" s="20" t="s">
        <v>0</v>
      </c>
      <c r="AJ6" s="12">
        <v>4.1666666666666664E-2</v>
      </c>
      <c r="AK6" s="49" t="s">
        <v>30</v>
      </c>
      <c r="AL6" s="11">
        <f>IF(AK6="ON",194.4,0)</f>
        <v>0</v>
      </c>
      <c r="AM6" s="48">
        <v>194.4</v>
      </c>
      <c r="AO6" s="23">
        <v>1</v>
      </c>
      <c r="AP6" s="21" t="s">
        <v>35</v>
      </c>
      <c r="AQ6" s="24" t="s">
        <v>34</v>
      </c>
      <c r="AR6" s="20" t="s">
        <v>0</v>
      </c>
      <c r="AS6" s="12">
        <v>4.1666666666666664E-2</v>
      </c>
      <c r="AT6" s="47" t="s">
        <v>30</v>
      </c>
      <c r="AU6" s="47">
        <v>0</v>
      </c>
      <c r="AV6" s="11">
        <f>IF(AT6="ON",5.43*AU6,0)</f>
        <v>0</v>
      </c>
      <c r="AW6" s="48">
        <v>325.8</v>
      </c>
      <c r="AY6" s="23">
        <v>1</v>
      </c>
      <c r="AZ6" s="21" t="s">
        <v>33</v>
      </c>
      <c r="BA6" s="24" t="s">
        <v>32</v>
      </c>
      <c r="BB6" s="20" t="s">
        <v>0</v>
      </c>
      <c r="BC6" s="12">
        <v>4.1666666666666664E-2</v>
      </c>
      <c r="BD6" s="19"/>
      <c r="BE6" s="19"/>
      <c r="BF6" s="18"/>
    </row>
    <row r="7" spans="2:58" x14ac:dyDescent="0.25">
      <c r="B7" s="17"/>
      <c r="C7" s="15"/>
      <c r="D7" s="14"/>
      <c r="E7" s="13"/>
      <c r="F7" s="12">
        <v>8.3333333333333301E-2</v>
      </c>
      <c r="G7" s="46" t="str">
        <f>'Rekap TD-BAK-GS'!G7</f>
        <v>PENUH</v>
      </c>
      <c r="H7" s="11" t="str">
        <f>IF(G7="PENUH","OFF","ON")</f>
        <v>OFF</v>
      </c>
      <c r="I7" s="11">
        <f>IF(H7="ON",4500,0)</f>
        <v>0</v>
      </c>
      <c r="J7" s="10">
        <f>J6+I7</f>
        <v>75</v>
      </c>
      <c r="K7" s="44"/>
      <c r="M7" s="17"/>
      <c r="N7" s="15"/>
      <c r="O7" s="14"/>
      <c r="P7" s="13"/>
      <c r="Q7" s="12">
        <v>8.3333333333333301E-2</v>
      </c>
      <c r="R7" s="11" t="s">
        <v>30</v>
      </c>
      <c r="S7" s="11">
        <v>30</v>
      </c>
      <c r="T7" s="11">
        <f>'Rekap TD-BAK-GS'!H7</f>
        <v>15702.6</v>
      </c>
      <c r="U7" s="10">
        <f>IF(R6="ON",U6+S6,U6)</f>
        <v>900</v>
      </c>
      <c r="W7" s="17"/>
      <c r="X7" s="15"/>
      <c r="Y7" s="14"/>
      <c r="Z7" s="13"/>
      <c r="AA7" s="12">
        <v>8.3333333333333301E-2</v>
      </c>
      <c r="AB7" s="11" t="s">
        <v>30</v>
      </c>
      <c r="AC7" s="11">
        <f>IF(AB7="ON",277.2,0)</f>
        <v>0</v>
      </c>
      <c r="AD7" s="10">
        <f>AC7+AD6</f>
        <v>277.2</v>
      </c>
      <c r="AF7" s="17"/>
      <c r="AG7" s="15"/>
      <c r="AH7" s="14"/>
      <c r="AI7" s="13"/>
      <c r="AJ7" s="12">
        <v>8.3333333333333301E-2</v>
      </c>
      <c r="AK7" s="11" t="s">
        <v>30</v>
      </c>
      <c r="AL7" s="11">
        <f>IF(AK7="ON",194.4,0)</f>
        <v>0</v>
      </c>
      <c r="AM7" s="10">
        <f>AL7+AM6</f>
        <v>194.4</v>
      </c>
      <c r="AO7" s="17"/>
      <c r="AP7" s="15"/>
      <c r="AQ7" s="14"/>
      <c r="AR7" s="13"/>
      <c r="AS7" s="12">
        <v>8.3333333333333301E-2</v>
      </c>
      <c r="AT7" s="47" t="s">
        <v>30</v>
      </c>
      <c r="AU7" s="47">
        <v>0</v>
      </c>
      <c r="AV7" s="11">
        <f>IF(AT7="ON",5.43*AU7,0)</f>
        <v>0</v>
      </c>
      <c r="AW7" s="10">
        <f>AV7+AW6</f>
        <v>325.8</v>
      </c>
      <c r="AY7" s="17"/>
      <c r="AZ7" s="15"/>
      <c r="BA7" s="14"/>
      <c r="BB7" s="13"/>
      <c r="BC7" s="12">
        <v>8.3333333333333301E-2</v>
      </c>
      <c r="BD7" s="11"/>
      <c r="BE7" s="11"/>
      <c r="BF7" s="10"/>
    </row>
    <row r="8" spans="2:58" x14ac:dyDescent="0.25">
      <c r="B8" s="17"/>
      <c r="C8" s="15"/>
      <c r="D8" s="14"/>
      <c r="E8" s="13"/>
      <c r="F8" s="12">
        <v>0.125</v>
      </c>
      <c r="G8" s="46" t="str">
        <f>'Rekap TD-BAK-GS'!G8</f>
        <v>PENUH</v>
      </c>
      <c r="H8" s="11" t="str">
        <f>IF(G8="PENUH","OFF","ON")</f>
        <v>OFF</v>
      </c>
      <c r="I8" s="11">
        <f>IF(H8="ON",4500,0)</f>
        <v>0</v>
      </c>
      <c r="J8" s="10">
        <f>J7+I8</f>
        <v>75</v>
      </c>
      <c r="K8" s="44"/>
      <c r="M8" s="17"/>
      <c r="N8" s="15"/>
      <c r="O8" s="14"/>
      <c r="P8" s="13"/>
      <c r="Q8" s="12">
        <v>0.125</v>
      </c>
      <c r="R8" s="11" t="s">
        <v>30</v>
      </c>
      <c r="S8" s="11">
        <v>30</v>
      </c>
      <c r="T8" s="11">
        <f>'Rekap TD-BAK-GS'!H8</f>
        <v>14905.2</v>
      </c>
      <c r="U8" s="10">
        <f>IF(R7="ON",U7+S7,U7)</f>
        <v>900</v>
      </c>
      <c r="W8" s="17"/>
      <c r="X8" s="15"/>
      <c r="Y8" s="14"/>
      <c r="Z8" s="13"/>
      <c r="AA8" s="12">
        <v>0.125</v>
      </c>
      <c r="AB8" s="11" t="s">
        <v>30</v>
      </c>
      <c r="AC8" s="11">
        <f>IF(AB8="ON",277.2,0)</f>
        <v>0</v>
      </c>
      <c r="AD8" s="10">
        <f>AC8+AD7</f>
        <v>277.2</v>
      </c>
      <c r="AF8" s="17"/>
      <c r="AG8" s="15"/>
      <c r="AH8" s="14"/>
      <c r="AI8" s="13"/>
      <c r="AJ8" s="12">
        <v>0.125</v>
      </c>
      <c r="AK8" s="11" t="s">
        <v>30</v>
      </c>
      <c r="AL8" s="11">
        <f>IF(AK8="ON",194.4,0)</f>
        <v>0</v>
      </c>
      <c r="AM8" s="10">
        <f>AL8+AM7</f>
        <v>194.4</v>
      </c>
      <c r="AO8" s="17"/>
      <c r="AP8" s="15"/>
      <c r="AQ8" s="14"/>
      <c r="AR8" s="13"/>
      <c r="AS8" s="12">
        <v>0.125</v>
      </c>
      <c r="AT8" s="47" t="s">
        <v>30</v>
      </c>
      <c r="AU8" s="47">
        <v>0</v>
      </c>
      <c r="AV8" s="11">
        <f>IF(AT8="ON",5.43*AU8,0)</f>
        <v>0</v>
      </c>
      <c r="AW8" s="10">
        <f>AV8+AW7</f>
        <v>325.8</v>
      </c>
      <c r="AY8" s="17"/>
      <c r="AZ8" s="15"/>
      <c r="BA8" s="14"/>
      <c r="BB8" s="13"/>
      <c r="BC8" s="12">
        <v>0.125</v>
      </c>
      <c r="BD8" s="11"/>
      <c r="BE8" s="11"/>
      <c r="BF8" s="10"/>
    </row>
    <row r="9" spans="2:58" x14ac:dyDescent="0.25">
      <c r="B9" s="17"/>
      <c r="C9" s="15"/>
      <c r="D9" s="14"/>
      <c r="E9" s="13"/>
      <c r="F9" s="12">
        <v>0.16666666666666699</v>
      </c>
      <c r="G9" s="46" t="str">
        <f>'Rekap TD-BAK-GS'!G9</f>
        <v>PENUH</v>
      </c>
      <c r="H9" s="11" t="str">
        <f>IF(G9="PENUH","OFF","ON")</f>
        <v>OFF</v>
      </c>
      <c r="I9" s="11">
        <f>IF(H9="ON",4500,0)</f>
        <v>0</v>
      </c>
      <c r="J9" s="10">
        <f>J8+I9</f>
        <v>75</v>
      </c>
      <c r="K9" s="44"/>
      <c r="M9" s="17"/>
      <c r="N9" s="15"/>
      <c r="O9" s="14"/>
      <c r="P9" s="13"/>
      <c r="Q9" s="12">
        <v>0.16666666666666699</v>
      </c>
      <c r="R9" s="11" t="s">
        <v>30</v>
      </c>
      <c r="S9" s="11">
        <v>30</v>
      </c>
      <c r="T9" s="11">
        <f>'Rekap TD-BAK-GS'!H9</f>
        <v>14107.800000000001</v>
      </c>
      <c r="U9" s="10">
        <f>IF(R8="ON",U8+S8,U8)</f>
        <v>900</v>
      </c>
      <c r="W9" s="17"/>
      <c r="X9" s="15"/>
      <c r="Y9" s="14"/>
      <c r="Z9" s="13"/>
      <c r="AA9" s="12">
        <v>0.16666666666666699</v>
      </c>
      <c r="AB9" s="11" t="s">
        <v>30</v>
      </c>
      <c r="AC9" s="11">
        <f>IF(AB9="ON",277.2,0)</f>
        <v>0</v>
      </c>
      <c r="AD9" s="10">
        <f>AC9+AD8</f>
        <v>277.2</v>
      </c>
      <c r="AF9" s="17"/>
      <c r="AG9" s="15"/>
      <c r="AH9" s="14"/>
      <c r="AI9" s="13"/>
      <c r="AJ9" s="12">
        <v>0.16666666666666699</v>
      </c>
      <c r="AK9" s="11" t="s">
        <v>30</v>
      </c>
      <c r="AL9" s="11">
        <f>IF(AK9="ON",194.4,0)</f>
        <v>0</v>
      </c>
      <c r="AM9" s="10">
        <f>AL9+AM8</f>
        <v>194.4</v>
      </c>
      <c r="AO9" s="17"/>
      <c r="AP9" s="15"/>
      <c r="AQ9" s="14"/>
      <c r="AR9" s="13"/>
      <c r="AS9" s="12">
        <v>0.16666666666666699</v>
      </c>
      <c r="AT9" s="47" t="s">
        <v>30</v>
      </c>
      <c r="AU9" s="47">
        <v>0</v>
      </c>
      <c r="AV9" s="11">
        <f>IF(AT9="ON",5.43*AU9,0)</f>
        <v>0</v>
      </c>
      <c r="AW9" s="10">
        <f>AV9+AW8</f>
        <v>325.8</v>
      </c>
      <c r="AY9" s="17"/>
      <c r="AZ9" s="15"/>
      <c r="BA9" s="14"/>
      <c r="BB9" s="13"/>
      <c r="BC9" s="12">
        <v>0.16666666666666699</v>
      </c>
      <c r="BD9" s="11"/>
      <c r="BE9" s="11"/>
      <c r="BF9" s="10"/>
    </row>
    <row r="10" spans="2:58" x14ac:dyDescent="0.25">
      <c r="B10" s="17"/>
      <c r="C10" s="15"/>
      <c r="D10" s="14"/>
      <c r="E10" s="13"/>
      <c r="F10" s="12">
        <v>0.20833333333333301</v>
      </c>
      <c r="G10" s="46" t="str">
        <f>'Rekap TD-BAK-GS'!G10</f>
        <v>PENUH</v>
      </c>
      <c r="H10" s="11" t="str">
        <f>IF(G10="PENUH","OFF","ON")</f>
        <v>OFF</v>
      </c>
      <c r="I10" s="11">
        <f>IF(H10="ON",4500,0)</f>
        <v>0</v>
      </c>
      <c r="J10" s="10">
        <f>J9+I10</f>
        <v>75</v>
      </c>
      <c r="K10" s="44"/>
      <c r="M10" s="17"/>
      <c r="N10" s="15"/>
      <c r="O10" s="14"/>
      <c r="P10" s="13"/>
      <c r="Q10" s="12">
        <v>0.20833333333333301</v>
      </c>
      <c r="R10" s="11" t="s">
        <v>30</v>
      </c>
      <c r="S10" s="11">
        <v>30</v>
      </c>
      <c r="T10" s="11">
        <f>'Rekap TD-BAK-GS'!H10</f>
        <v>13310.400000000001</v>
      </c>
      <c r="U10" s="10">
        <f>IF(R9="ON",U9+S9,U9)</f>
        <v>900</v>
      </c>
      <c r="W10" s="17"/>
      <c r="X10" s="15"/>
      <c r="Y10" s="14"/>
      <c r="Z10" s="13"/>
      <c r="AA10" s="12">
        <v>0.20833333333333301</v>
      </c>
      <c r="AB10" s="11" t="s">
        <v>30</v>
      </c>
      <c r="AC10" s="11">
        <f>IF(AB10="ON",277.2,0)</f>
        <v>0</v>
      </c>
      <c r="AD10" s="10">
        <f>AC10+AD9</f>
        <v>277.2</v>
      </c>
      <c r="AF10" s="17"/>
      <c r="AG10" s="15"/>
      <c r="AH10" s="14"/>
      <c r="AI10" s="13"/>
      <c r="AJ10" s="12">
        <v>0.20833333333333301</v>
      </c>
      <c r="AK10" s="11" t="s">
        <v>30</v>
      </c>
      <c r="AL10" s="11">
        <f>IF(AK10="ON",194.4,0)</f>
        <v>0</v>
      </c>
      <c r="AM10" s="10">
        <f>AL10+AM9</f>
        <v>194.4</v>
      </c>
      <c r="AO10" s="17"/>
      <c r="AP10" s="15"/>
      <c r="AQ10" s="14"/>
      <c r="AR10" s="13"/>
      <c r="AS10" s="12">
        <v>0.20833333333333301</v>
      </c>
      <c r="AT10" s="47" t="s">
        <v>30</v>
      </c>
      <c r="AU10" s="47">
        <v>0</v>
      </c>
      <c r="AV10" s="11">
        <f>IF(AT10="ON",5.43*AU10,0)</f>
        <v>0</v>
      </c>
      <c r="AW10" s="10">
        <f>AV10+AW9</f>
        <v>325.8</v>
      </c>
      <c r="AY10" s="17"/>
      <c r="AZ10" s="15"/>
      <c r="BA10" s="14"/>
      <c r="BB10" s="13"/>
      <c r="BC10" s="12">
        <v>0.20833333333333301</v>
      </c>
      <c r="BD10" s="11"/>
      <c r="BE10" s="11"/>
      <c r="BF10" s="10"/>
    </row>
    <row r="11" spans="2:58" x14ac:dyDescent="0.25">
      <c r="B11" s="17"/>
      <c r="C11" s="15"/>
      <c r="D11" s="14"/>
      <c r="E11" s="13"/>
      <c r="F11" s="12">
        <v>0.25</v>
      </c>
      <c r="G11" s="46" t="str">
        <f>'Rekap TD-BAK-GS'!G11</f>
        <v>PENUH</v>
      </c>
      <c r="H11" s="11" t="str">
        <f>IF(G11="PENUH","OFF","ON")</f>
        <v>OFF</v>
      </c>
      <c r="I11" s="11">
        <f>IF(H11="ON",4500,0)</f>
        <v>0</v>
      </c>
      <c r="J11" s="10">
        <f>J10+I11</f>
        <v>75</v>
      </c>
      <c r="K11" s="44"/>
      <c r="M11" s="17"/>
      <c r="N11" s="15"/>
      <c r="O11" s="14"/>
      <c r="P11" s="13"/>
      <c r="Q11" s="12">
        <v>0.25</v>
      </c>
      <c r="R11" s="11" t="s">
        <v>31</v>
      </c>
      <c r="S11" s="11">
        <v>30</v>
      </c>
      <c r="T11" s="11">
        <f>'Rekap TD-BAK-GS'!H11</f>
        <v>12513.000000000002</v>
      </c>
      <c r="U11" s="10">
        <f>IF(R10="ON",U10+S10,U10)</f>
        <v>900</v>
      </c>
      <c r="W11" s="17"/>
      <c r="X11" s="15"/>
      <c r="Y11" s="14"/>
      <c r="Z11" s="13"/>
      <c r="AA11" s="12">
        <v>0.25</v>
      </c>
      <c r="AB11" s="11" t="s">
        <v>31</v>
      </c>
      <c r="AC11" s="11">
        <f>IF(AB11="ON",277.2,0)</f>
        <v>277.2</v>
      </c>
      <c r="AD11" s="10">
        <f>AC11+AD10</f>
        <v>554.4</v>
      </c>
      <c r="AF11" s="17"/>
      <c r="AG11" s="15"/>
      <c r="AH11" s="14"/>
      <c r="AI11" s="13"/>
      <c r="AJ11" s="12">
        <v>0.25</v>
      </c>
      <c r="AK11" s="11" t="s">
        <v>30</v>
      </c>
      <c r="AL11" s="11">
        <f>IF(AK11="ON",194.4,0)</f>
        <v>0</v>
      </c>
      <c r="AM11" s="10">
        <f>AL11+AM10</f>
        <v>194.4</v>
      </c>
      <c r="AO11" s="17"/>
      <c r="AP11" s="15"/>
      <c r="AQ11" s="14"/>
      <c r="AR11" s="13"/>
      <c r="AS11" s="12">
        <v>0.25</v>
      </c>
      <c r="AT11" s="47" t="s">
        <v>31</v>
      </c>
      <c r="AU11" s="47">
        <v>20</v>
      </c>
      <c r="AV11" s="11">
        <f>IF(AT11="ON",5.43*AU11,0)</f>
        <v>108.6</v>
      </c>
      <c r="AW11" s="10">
        <f>AV11+AW10</f>
        <v>434.4</v>
      </c>
      <c r="AY11" s="17"/>
      <c r="AZ11" s="15"/>
      <c r="BA11" s="14"/>
      <c r="BB11" s="13"/>
      <c r="BC11" s="12">
        <v>0.25</v>
      </c>
      <c r="BD11" s="11"/>
      <c r="BE11" s="11"/>
      <c r="BF11" s="10"/>
    </row>
    <row r="12" spans="2:58" x14ac:dyDescent="0.25">
      <c r="B12" s="17"/>
      <c r="C12" s="15"/>
      <c r="D12" s="14"/>
      <c r="E12" s="13"/>
      <c r="F12" s="12">
        <v>0.29166666666666702</v>
      </c>
      <c r="G12" s="46" t="str">
        <f>'Rekap TD-BAK-GS'!G12</f>
        <v>NORMAL</v>
      </c>
      <c r="H12" s="11" t="str">
        <f>IF(G12="PENUH","OFF","ON")</f>
        <v>ON</v>
      </c>
      <c r="I12" s="11">
        <f>IF(H12="ON",4500,0)</f>
        <v>4500</v>
      </c>
      <c r="J12" s="10">
        <f>J11+I12</f>
        <v>4575</v>
      </c>
      <c r="K12" s="44"/>
      <c r="M12" s="17"/>
      <c r="N12" s="15"/>
      <c r="O12" s="14"/>
      <c r="P12" s="13"/>
      <c r="Q12" s="12">
        <v>0.29166666666666702</v>
      </c>
      <c r="R12" s="11" t="s">
        <v>31</v>
      </c>
      <c r="S12" s="11">
        <v>30</v>
      </c>
      <c r="T12" s="11">
        <f>'Rekap TD-BAK-GS'!H12</f>
        <v>11329.800000000003</v>
      </c>
      <c r="U12" s="10">
        <f>IF(R11="ON",U11+S11,U11)</f>
        <v>930</v>
      </c>
      <c r="W12" s="17"/>
      <c r="X12" s="15"/>
      <c r="Y12" s="14"/>
      <c r="Z12" s="13"/>
      <c r="AA12" s="12">
        <v>0.29166666666666702</v>
      </c>
      <c r="AB12" s="11" t="s">
        <v>30</v>
      </c>
      <c r="AC12" s="11">
        <f>IF(AB12="ON",277.2,0)</f>
        <v>0</v>
      </c>
      <c r="AD12" s="10">
        <f>AC12+AD11</f>
        <v>554.4</v>
      </c>
      <c r="AF12" s="17"/>
      <c r="AG12" s="15"/>
      <c r="AH12" s="14"/>
      <c r="AI12" s="13"/>
      <c r="AJ12" s="12">
        <v>0.29166666666666702</v>
      </c>
      <c r="AK12" s="11" t="s">
        <v>30</v>
      </c>
      <c r="AL12" s="11">
        <f>IF(AK12="ON",194.4,0)</f>
        <v>0</v>
      </c>
      <c r="AM12" s="10">
        <f>AL12+AM11</f>
        <v>194.4</v>
      </c>
      <c r="AO12" s="17"/>
      <c r="AP12" s="15"/>
      <c r="AQ12" s="14"/>
      <c r="AR12" s="13"/>
      <c r="AS12" s="12">
        <v>0.29166666666666702</v>
      </c>
      <c r="AT12" s="47" t="s">
        <v>30</v>
      </c>
      <c r="AU12" s="47">
        <v>0</v>
      </c>
      <c r="AV12" s="11">
        <f>IF(AT12="ON",5.43*AU12,0)</f>
        <v>0</v>
      </c>
      <c r="AW12" s="10">
        <f>AV12+AW11</f>
        <v>434.4</v>
      </c>
      <c r="AY12" s="17"/>
      <c r="AZ12" s="15"/>
      <c r="BA12" s="14"/>
      <c r="BB12" s="13"/>
      <c r="BC12" s="12">
        <v>0.29166666666666702</v>
      </c>
      <c r="BD12" s="11"/>
      <c r="BE12" s="11"/>
      <c r="BF12" s="10"/>
    </row>
    <row r="13" spans="2:58" x14ac:dyDescent="0.25">
      <c r="B13" s="17"/>
      <c r="C13" s="15"/>
      <c r="D13" s="14"/>
      <c r="E13" s="13"/>
      <c r="F13" s="12">
        <v>0.33333333333333298</v>
      </c>
      <c r="G13" s="46" t="str">
        <f>'Rekap TD-BAK-GS'!G13</f>
        <v>PENUH</v>
      </c>
      <c r="H13" s="11" t="str">
        <f>IF(G13="PENUH","OFF","ON")</f>
        <v>OFF</v>
      </c>
      <c r="I13" s="11">
        <f>IF(H13="ON",4500,0)</f>
        <v>0</v>
      </c>
      <c r="J13" s="10">
        <f>J12+I13</f>
        <v>4575</v>
      </c>
      <c r="K13" s="44"/>
      <c r="M13" s="17"/>
      <c r="N13" s="15"/>
      <c r="O13" s="14"/>
      <c r="P13" s="13"/>
      <c r="Q13" s="12">
        <v>0.33333333333333298</v>
      </c>
      <c r="R13" s="11" t="s">
        <v>31</v>
      </c>
      <c r="S13" s="11">
        <v>30</v>
      </c>
      <c r="T13" s="11">
        <f>'Rekap TD-BAK-GS'!H13</f>
        <v>14646.600000000002</v>
      </c>
      <c r="U13" s="10">
        <f>IF(R12="ON",U12+S12,U12)</f>
        <v>960</v>
      </c>
      <c r="W13" s="17"/>
      <c r="X13" s="15"/>
      <c r="Y13" s="14"/>
      <c r="Z13" s="13"/>
      <c r="AA13" s="12">
        <v>0.33333333333333298</v>
      </c>
      <c r="AB13" s="11" t="s">
        <v>31</v>
      </c>
      <c r="AC13" s="11">
        <f>IF(AB13="ON",277.2,0)</f>
        <v>277.2</v>
      </c>
      <c r="AD13" s="10">
        <f>AC13+AD12</f>
        <v>831.59999999999991</v>
      </c>
      <c r="AF13" s="17"/>
      <c r="AG13" s="15"/>
      <c r="AH13" s="14"/>
      <c r="AI13" s="13"/>
      <c r="AJ13" s="12">
        <v>0.33333333333333298</v>
      </c>
      <c r="AK13" s="11" t="s">
        <v>31</v>
      </c>
      <c r="AL13" s="11">
        <f>IF(AK13="ON",194.4,0)</f>
        <v>194.4</v>
      </c>
      <c r="AM13" s="10">
        <f>AL13+AM12</f>
        <v>388.8</v>
      </c>
      <c r="AO13" s="17"/>
      <c r="AP13" s="15"/>
      <c r="AQ13" s="14"/>
      <c r="AR13" s="13"/>
      <c r="AS13" s="12">
        <v>0.33333333333333298</v>
      </c>
      <c r="AT13" s="47" t="s">
        <v>30</v>
      </c>
      <c r="AU13" s="47">
        <v>0</v>
      </c>
      <c r="AV13" s="11">
        <f>IF(AT13="ON",5.43*AU13,0)</f>
        <v>0</v>
      </c>
      <c r="AW13" s="10">
        <f>AV13+AW12</f>
        <v>434.4</v>
      </c>
      <c r="AY13" s="17"/>
      <c r="AZ13" s="15"/>
      <c r="BA13" s="14"/>
      <c r="BB13" s="13"/>
      <c r="BC13" s="12">
        <v>0.33333333333333298</v>
      </c>
      <c r="BD13" s="11"/>
      <c r="BE13" s="11"/>
      <c r="BF13" s="10"/>
    </row>
    <row r="14" spans="2:58" x14ac:dyDescent="0.25">
      <c r="B14" s="17"/>
      <c r="C14" s="15"/>
      <c r="D14" s="14"/>
      <c r="E14" s="13"/>
      <c r="F14" s="12">
        <v>0.375</v>
      </c>
      <c r="G14" s="46" t="str">
        <f>'Rekap TD-BAK-GS'!G14</f>
        <v>PENUH</v>
      </c>
      <c r="H14" s="11" t="str">
        <f>IF(G14="PENUH","OFF","ON")</f>
        <v>OFF</v>
      </c>
      <c r="I14" s="11">
        <f>IF(H14="ON",4500,0)</f>
        <v>0</v>
      </c>
      <c r="J14" s="10">
        <f>J13+I14</f>
        <v>4575</v>
      </c>
      <c r="K14" s="44"/>
      <c r="M14" s="17"/>
      <c r="N14" s="15"/>
      <c r="O14" s="14"/>
      <c r="P14" s="13"/>
      <c r="Q14" s="12">
        <v>0.375</v>
      </c>
      <c r="R14" s="11" t="s">
        <v>30</v>
      </c>
      <c r="S14" s="11">
        <v>30</v>
      </c>
      <c r="T14" s="11">
        <f>'Rekap TD-BAK-GS'!H14</f>
        <v>12991.800000000003</v>
      </c>
      <c r="U14" s="10">
        <f>IF(R13="ON",U13+S13,U13)</f>
        <v>990</v>
      </c>
      <c r="W14" s="17"/>
      <c r="X14" s="15"/>
      <c r="Y14" s="14"/>
      <c r="Z14" s="13"/>
      <c r="AA14" s="12">
        <v>0.375</v>
      </c>
      <c r="AB14" s="11" t="s">
        <v>30</v>
      </c>
      <c r="AC14" s="11">
        <f>IF(AB14="ON",277.2,0)</f>
        <v>0</v>
      </c>
      <c r="AD14" s="10">
        <f>AC14+AD13</f>
        <v>831.59999999999991</v>
      </c>
      <c r="AF14" s="17"/>
      <c r="AG14" s="15"/>
      <c r="AH14" s="14"/>
      <c r="AI14" s="13"/>
      <c r="AJ14" s="12">
        <v>0.375</v>
      </c>
      <c r="AK14" s="11" t="s">
        <v>30</v>
      </c>
      <c r="AL14" s="11">
        <f>IF(AK14="ON",194.4,0)</f>
        <v>0</v>
      </c>
      <c r="AM14" s="10">
        <f>AL14+AM13</f>
        <v>388.8</v>
      </c>
      <c r="AO14" s="17"/>
      <c r="AP14" s="15"/>
      <c r="AQ14" s="14"/>
      <c r="AR14" s="13"/>
      <c r="AS14" s="12">
        <v>0.375</v>
      </c>
      <c r="AT14" s="47" t="s">
        <v>30</v>
      </c>
      <c r="AU14" s="47">
        <v>0</v>
      </c>
      <c r="AV14" s="11">
        <f>IF(AT14="ON",5.43*AU14,0)</f>
        <v>0</v>
      </c>
      <c r="AW14" s="10">
        <f>AV14+AW13</f>
        <v>434.4</v>
      </c>
      <c r="AY14" s="17"/>
      <c r="AZ14" s="15"/>
      <c r="BA14" s="14"/>
      <c r="BB14" s="13"/>
      <c r="BC14" s="12">
        <v>0.375</v>
      </c>
      <c r="BD14" s="11"/>
      <c r="BE14" s="11"/>
      <c r="BF14" s="10"/>
    </row>
    <row r="15" spans="2:58" x14ac:dyDescent="0.25">
      <c r="B15" s="17"/>
      <c r="C15" s="15"/>
      <c r="D15" s="14"/>
      <c r="E15" s="13"/>
      <c r="F15" s="12">
        <v>0.41666666666666702</v>
      </c>
      <c r="G15" s="46" t="str">
        <f>'Rekap TD-BAK-GS'!G15</f>
        <v>NORMAL</v>
      </c>
      <c r="H15" s="11" t="str">
        <f>IF(G15="PENUH","OFF","ON")</f>
        <v>ON</v>
      </c>
      <c r="I15" s="11">
        <f>IF(H15="ON",4500,0)</f>
        <v>4500</v>
      </c>
      <c r="J15" s="10">
        <f>J14+I15</f>
        <v>9075</v>
      </c>
      <c r="K15" s="44"/>
      <c r="M15" s="17"/>
      <c r="N15" s="15"/>
      <c r="O15" s="14"/>
      <c r="P15" s="13"/>
      <c r="Q15" s="12">
        <v>0.41666666666666702</v>
      </c>
      <c r="R15" s="11" t="s">
        <v>30</v>
      </c>
      <c r="S15" s="11">
        <v>30</v>
      </c>
      <c r="T15" s="11">
        <f>'Rekap TD-BAK-GS'!H15</f>
        <v>11337.000000000004</v>
      </c>
      <c r="U15" s="10">
        <f>IF(R14="ON",U14+S14,U14)</f>
        <v>990</v>
      </c>
      <c r="W15" s="17"/>
      <c r="X15" s="15"/>
      <c r="Y15" s="14"/>
      <c r="Z15" s="13"/>
      <c r="AA15" s="12">
        <v>0.41666666666666702</v>
      </c>
      <c r="AB15" s="11" t="s">
        <v>30</v>
      </c>
      <c r="AC15" s="11">
        <f>IF(AB15="ON",277.2,0)</f>
        <v>0</v>
      </c>
      <c r="AD15" s="10">
        <f>AC15+AD14</f>
        <v>831.59999999999991</v>
      </c>
      <c r="AF15" s="17"/>
      <c r="AG15" s="15"/>
      <c r="AH15" s="14"/>
      <c r="AI15" s="13"/>
      <c r="AJ15" s="12">
        <v>0.41666666666666702</v>
      </c>
      <c r="AK15" s="11" t="s">
        <v>30</v>
      </c>
      <c r="AL15" s="11">
        <f>IF(AK15="ON",194.4,0)</f>
        <v>0</v>
      </c>
      <c r="AM15" s="10">
        <f>AL15+AM14</f>
        <v>388.8</v>
      </c>
      <c r="AO15" s="17"/>
      <c r="AP15" s="15"/>
      <c r="AQ15" s="14"/>
      <c r="AR15" s="13"/>
      <c r="AS15" s="12">
        <v>0.41666666666666702</v>
      </c>
      <c r="AT15" s="47" t="s">
        <v>30</v>
      </c>
      <c r="AU15" s="47">
        <v>0</v>
      </c>
      <c r="AV15" s="11">
        <f>IF(AT15="ON",5.43*AU15,0)</f>
        <v>0</v>
      </c>
      <c r="AW15" s="10">
        <f>AV15+AW14</f>
        <v>434.4</v>
      </c>
      <c r="AY15" s="17"/>
      <c r="AZ15" s="15"/>
      <c r="BA15" s="14"/>
      <c r="BB15" s="13"/>
      <c r="BC15" s="12">
        <v>0.41666666666666702</v>
      </c>
      <c r="BD15" s="11"/>
      <c r="BE15" s="11"/>
      <c r="BF15" s="10"/>
    </row>
    <row r="16" spans="2:58" x14ac:dyDescent="0.25">
      <c r="B16" s="17"/>
      <c r="C16" s="15"/>
      <c r="D16" s="14"/>
      <c r="E16" s="13"/>
      <c r="F16" s="12">
        <v>0.45833333333333298</v>
      </c>
      <c r="G16" s="46" t="str">
        <f>'Rekap TD-BAK-GS'!G16</f>
        <v>PENUH</v>
      </c>
      <c r="H16" s="11" t="str">
        <f>IF(G16="PENUH","OFF","ON")</f>
        <v>OFF</v>
      </c>
      <c r="I16" s="11">
        <f>IF(H16="ON",4500,0)</f>
        <v>0</v>
      </c>
      <c r="J16" s="10">
        <f>J15+I16</f>
        <v>9075</v>
      </c>
      <c r="K16" s="44"/>
      <c r="M16" s="17"/>
      <c r="N16" s="15"/>
      <c r="O16" s="14"/>
      <c r="P16" s="13"/>
      <c r="Q16" s="12">
        <v>0.45833333333333298</v>
      </c>
      <c r="R16" s="11" t="s">
        <v>30</v>
      </c>
      <c r="S16" s="11">
        <v>30</v>
      </c>
      <c r="T16" s="11">
        <f>'Rekap TD-BAK-GS'!H16</f>
        <v>14182.200000000004</v>
      </c>
      <c r="U16" s="10">
        <f>IF(R15="ON",U15+S15,U15)</f>
        <v>990</v>
      </c>
      <c r="W16" s="17"/>
      <c r="X16" s="15"/>
      <c r="Y16" s="14"/>
      <c r="Z16" s="13"/>
      <c r="AA16" s="12">
        <v>0.45833333333333298</v>
      </c>
      <c r="AB16" s="11" t="s">
        <v>30</v>
      </c>
      <c r="AC16" s="11">
        <f>IF(AB16="ON",277.2,0)</f>
        <v>0</v>
      </c>
      <c r="AD16" s="10">
        <f>AC16+AD15</f>
        <v>831.59999999999991</v>
      </c>
      <c r="AF16" s="17"/>
      <c r="AG16" s="15"/>
      <c r="AH16" s="14"/>
      <c r="AI16" s="13"/>
      <c r="AJ16" s="12">
        <v>0.45833333333333298</v>
      </c>
      <c r="AK16" s="11" t="s">
        <v>30</v>
      </c>
      <c r="AL16" s="11">
        <f>IF(AK16="ON",194.4,0)</f>
        <v>0</v>
      </c>
      <c r="AM16" s="10">
        <f>AL16+AM15</f>
        <v>388.8</v>
      </c>
      <c r="AO16" s="17"/>
      <c r="AP16" s="15"/>
      <c r="AQ16" s="14"/>
      <c r="AR16" s="13"/>
      <c r="AS16" s="12">
        <v>0.45833333333333298</v>
      </c>
      <c r="AT16" s="47" t="s">
        <v>31</v>
      </c>
      <c r="AU16" s="47">
        <v>15</v>
      </c>
      <c r="AV16" s="11">
        <f>IF(AT16="ON",5.43*AU16,0)</f>
        <v>81.449999999999989</v>
      </c>
      <c r="AW16" s="10">
        <f>AV16+AW15</f>
        <v>515.84999999999991</v>
      </c>
      <c r="AY16" s="17"/>
      <c r="AZ16" s="15"/>
      <c r="BA16" s="14"/>
      <c r="BB16" s="13"/>
      <c r="BC16" s="12">
        <v>0.45833333333333298</v>
      </c>
      <c r="BD16" s="11"/>
      <c r="BE16" s="11"/>
      <c r="BF16" s="10"/>
    </row>
    <row r="17" spans="2:58" x14ac:dyDescent="0.25">
      <c r="B17" s="17"/>
      <c r="C17" s="15"/>
      <c r="D17" s="14"/>
      <c r="E17" s="13"/>
      <c r="F17" s="12">
        <v>0.5</v>
      </c>
      <c r="G17" s="46" t="str">
        <f>'Rekap TD-BAK-GS'!G17</f>
        <v>PENUH</v>
      </c>
      <c r="H17" s="11" t="str">
        <f>IF(G17="PENUH","OFF","ON")</f>
        <v>OFF</v>
      </c>
      <c r="I17" s="11">
        <f>IF(H17="ON",4500,0)</f>
        <v>0</v>
      </c>
      <c r="J17" s="10">
        <f>J16+I17</f>
        <v>9075</v>
      </c>
      <c r="K17" s="44"/>
      <c r="M17" s="17"/>
      <c r="N17" s="15"/>
      <c r="O17" s="14"/>
      <c r="P17" s="13"/>
      <c r="Q17" s="12">
        <v>0.5</v>
      </c>
      <c r="R17" s="11" t="s">
        <v>30</v>
      </c>
      <c r="S17" s="11">
        <v>30</v>
      </c>
      <c r="T17" s="11">
        <f>'Rekap TD-BAK-GS'!H17</f>
        <v>12445.950000000004</v>
      </c>
      <c r="U17" s="10">
        <f>IF(R16="ON",U16+S16,U16)</f>
        <v>990</v>
      </c>
      <c r="W17" s="17"/>
      <c r="X17" s="15"/>
      <c r="Y17" s="14"/>
      <c r="Z17" s="13"/>
      <c r="AA17" s="12">
        <v>0.5</v>
      </c>
      <c r="AB17" s="11" t="s">
        <v>30</v>
      </c>
      <c r="AC17" s="11">
        <f>IF(AB17="ON",277.2,0)</f>
        <v>0</v>
      </c>
      <c r="AD17" s="10">
        <f>AC17+AD16</f>
        <v>831.59999999999991</v>
      </c>
      <c r="AF17" s="17"/>
      <c r="AG17" s="15"/>
      <c r="AH17" s="14"/>
      <c r="AI17" s="13"/>
      <c r="AJ17" s="12">
        <v>0.5</v>
      </c>
      <c r="AK17" s="11" t="s">
        <v>30</v>
      </c>
      <c r="AL17" s="11">
        <f>IF(AK17="ON",194.4,0)</f>
        <v>0</v>
      </c>
      <c r="AM17" s="10">
        <f>AL17+AM16</f>
        <v>388.8</v>
      </c>
      <c r="AO17" s="17"/>
      <c r="AP17" s="15"/>
      <c r="AQ17" s="14"/>
      <c r="AR17" s="13"/>
      <c r="AS17" s="12">
        <v>0.5</v>
      </c>
      <c r="AT17" s="47" t="s">
        <v>30</v>
      </c>
      <c r="AU17" s="47">
        <v>0</v>
      </c>
      <c r="AV17" s="11">
        <f>IF(AT17="ON",5.43*AU17,0)</f>
        <v>0</v>
      </c>
      <c r="AW17" s="10">
        <f>AV17+AW16</f>
        <v>515.84999999999991</v>
      </c>
      <c r="AY17" s="17"/>
      <c r="AZ17" s="15"/>
      <c r="BA17" s="14"/>
      <c r="BB17" s="13"/>
      <c r="BC17" s="12">
        <v>0.5</v>
      </c>
      <c r="BD17" s="11"/>
      <c r="BE17" s="11"/>
      <c r="BF17" s="10"/>
    </row>
    <row r="18" spans="2:58" x14ac:dyDescent="0.25">
      <c r="B18" s="17"/>
      <c r="C18" s="15"/>
      <c r="D18" s="14"/>
      <c r="E18" s="13"/>
      <c r="F18" s="12">
        <v>0.54166666666666696</v>
      </c>
      <c r="G18" s="46" t="str">
        <f>'Rekap TD-BAK-GS'!G18</f>
        <v>NORMAL</v>
      </c>
      <c r="H18" s="11" t="str">
        <f>IF(G18="PENUH","OFF","ON")</f>
        <v>ON</v>
      </c>
      <c r="I18" s="11">
        <f>IF(H18="ON",4500,0)</f>
        <v>4500</v>
      </c>
      <c r="J18" s="10">
        <f>J17+I18</f>
        <v>13575</v>
      </c>
      <c r="K18" s="44"/>
      <c r="M18" s="17"/>
      <c r="N18" s="15"/>
      <c r="O18" s="14"/>
      <c r="P18" s="13"/>
      <c r="Q18" s="12">
        <v>0.54166666666666696</v>
      </c>
      <c r="R18" s="11" t="s">
        <v>30</v>
      </c>
      <c r="S18" s="11">
        <v>30</v>
      </c>
      <c r="T18" s="11">
        <f>'Rekap TD-BAK-GS'!H18</f>
        <v>10709.700000000004</v>
      </c>
      <c r="U18" s="10">
        <f>IF(R17="ON",U17+S17,U17)</f>
        <v>990</v>
      </c>
      <c r="W18" s="17"/>
      <c r="X18" s="15"/>
      <c r="Y18" s="14"/>
      <c r="Z18" s="13"/>
      <c r="AA18" s="12">
        <v>0.54166666666666696</v>
      </c>
      <c r="AB18" s="11" t="s">
        <v>30</v>
      </c>
      <c r="AC18" s="11">
        <f>IF(AB18="ON",277.2,0)</f>
        <v>0</v>
      </c>
      <c r="AD18" s="10">
        <f>AC18+AD17</f>
        <v>831.59999999999991</v>
      </c>
      <c r="AF18" s="17"/>
      <c r="AG18" s="15"/>
      <c r="AH18" s="14"/>
      <c r="AI18" s="13"/>
      <c r="AJ18" s="12">
        <v>0.54166666666666696</v>
      </c>
      <c r="AK18" s="11" t="s">
        <v>30</v>
      </c>
      <c r="AL18" s="11">
        <f>IF(AK18="ON",194.4,0)</f>
        <v>0</v>
      </c>
      <c r="AM18" s="10">
        <f>AL18+AM17</f>
        <v>388.8</v>
      </c>
      <c r="AO18" s="17"/>
      <c r="AP18" s="15"/>
      <c r="AQ18" s="14"/>
      <c r="AR18" s="13"/>
      <c r="AS18" s="12">
        <v>0.54166666666666696</v>
      </c>
      <c r="AT18" s="47" t="s">
        <v>30</v>
      </c>
      <c r="AU18" s="47">
        <v>0</v>
      </c>
      <c r="AV18" s="11">
        <f>IF(AT18="ON",5.43*AU18,0)</f>
        <v>0</v>
      </c>
      <c r="AW18" s="10">
        <f>AV18+AW17</f>
        <v>515.84999999999991</v>
      </c>
      <c r="AY18" s="17"/>
      <c r="AZ18" s="15"/>
      <c r="BA18" s="14"/>
      <c r="BB18" s="13"/>
      <c r="BC18" s="12">
        <v>0.54166666666666696</v>
      </c>
      <c r="BD18" s="11"/>
      <c r="BE18" s="11"/>
      <c r="BF18" s="10"/>
    </row>
    <row r="19" spans="2:58" x14ac:dyDescent="0.25">
      <c r="B19" s="17"/>
      <c r="C19" s="15"/>
      <c r="D19" s="14"/>
      <c r="E19" s="13"/>
      <c r="F19" s="12">
        <v>0.58333333333333304</v>
      </c>
      <c r="G19" s="46" t="str">
        <f>'Rekap TD-BAK-GS'!G19</f>
        <v>PENUH</v>
      </c>
      <c r="H19" s="11" t="str">
        <f>IF(G19="PENUH","OFF","ON")</f>
        <v>OFF</v>
      </c>
      <c r="I19" s="11">
        <f>IF(H19="ON",4500,0)</f>
        <v>0</v>
      </c>
      <c r="J19" s="10">
        <f>J18+I19</f>
        <v>13575</v>
      </c>
      <c r="K19" s="44"/>
      <c r="M19" s="17"/>
      <c r="N19" s="15"/>
      <c r="O19" s="14"/>
      <c r="P19" s="13"/>
      <c r="Q19" s="12">
        <v>0.58333333333333304</v>
      </c>
      <c r="R19" s="11" t="s">
        <v>30</v>
      </c>
      <c r="S19" s="11">
        <v>30</v>
      </c>
      <c r="T19" s="11">
        <f>'Rekap TD-BAK-GS'!H19</f>
        <v>13473.450000000004</v>
      </c>
      <c r="U19" s="10">
        <f>IF(R18="ON",U18+S18,U18)</f>
        <v>990</v>
      </c>
      <c r="W19" s="17"/>
      <c r="X19" s="15"/>
      <c r="Y19" s="14"/>
      <c r="Z19" s="13"/>
      <c r="AA19" s="12">
        <v>0.58333333333333304</v>
      </c>
      <c r="AB19" s="11" t="s">
        <v>31</v>
      </c>
      <c r="AC19" s="11">
        <f>IF(AB19="ON",277.2,0)</f>
        <v>277.2</v>
      </c>
      <c r="AD19" s="10">
        <f>AC19+AD18</f>
        <v>1108.8</v>
      </c>
      <c r="AF19" s="17"/>
      <c r="AG19" s="15"/>
      <c r="AH19" s="14"/>
      <c r="AI19" s="13"/>
      <c r="AJ19" s="12">
        <v>0.58333333333333304</v>
      </c>
      <c r="AK19" s="11" t="s">
        <v>30</v>
      </c>
      <c r="AL19" s="11">
        <f>IF(AK19="ON",194.4,0)</f>
        <v>0</v>
      </c>
      <c r="AM19" s="10">
        <f>AL19+AM18</f>
        <v>388.8</v>
      </c>
      <c r="AO19" s="17"/>
      <c r="AP19" s="15"/>
      <c r="AQ19" s="14"/>
      <c r="AR19" s="13"/>
      <c r="AS19" s="12">
        <v>0.58333333333333304</v>
      </c>
      <c r="AT19" s="47" t="s">
        <v>30</v>
      </c>
      <c r="AU19" s="47">
        <v>0</v>
      </c>
      <c r="AV19" s="11">
        <f>IF(AT19="ON",5.43*AU19,0)</f>
        <v>0</v>
      </c>
      <c r="AW19" s="10">
        <f>AV19+AW18</f>
        <v>515.84999999999991</v>
      </c>
      <c r="AY19" s="17"/>
      <c r="AZ19" s="15"/>
      <c r="BA19" s="14"/>
      <c r="BB19" s="13"/>
      <c r="BC19" s="12">
        <v>0.58333333333333304</v>
      </c>
      <c r="BD19" s="11"/>
      <c r="BE19" s="11"/>
      <c r="BF19" s="10"/>
    </row>
    <row r="20" spans="2:58" x14ac:dyDescent="0.25">
      <c r="B20" s="17"/>
      <c r="C20" s="15"/>
      <c r="D20" s="14"/>
      <c r="E20" s="13"/>
      <c r="F20" s="12">
        <v>0.625</v>
      </c>
      <c r="G20" s="46" t="str">
        <f>'Rekap TD-BAK-GS'!G20</f>
        <v>NORMAL</v>
      </c>
      <c r="H20" s="11" t="str">
        <f>IF(G20="PENUH","OFF","ON")</f>
        <v>ON</v>
      </c>
      <c r="I20" s="11">
        <f>IF(H20="ON",4500,0)</f>
        <v>4500</v>
      </c>
      <c r="J20" s="10">
        <f>J19+I20</f>
        <v>18075</v>
      </c>
      <c r="K20" s="44"/>
      <c r="M20" s="17"/>
      <c r="N20" s="15"/>
      <c r="O20" s="14"/>
      <c r="P20" s="13"/>
      <c r="Q20" s="12">
        <v>0.625</v>
      </c>
      <c r="R20" s="11" t="s">
        <v>30</v>
      </c>
      <c r="S20" s="11">
        <v>30</v>
      </c>
      <c r="T20" s="11">
        <f>'Rekap TD-BAK-GS'!H20</f>
        <v>11460.000000000004</v>
      </c>
      <c r="U20" s="10">
        <f>IF(R19="ON",U19+S19,U19)</f>
        <v>990</v>
      </c>
      <c r="W20" s="17"/>
      <c r="X20" s="15"/>
      <c r="Y20" s="14"/>
      <c r="Z20" s="13"/>
      <c r="AA20" s="12">
        <v>0.625</v>
      </c>
      <c r="AB20" s="11" t="s">
        <v>30</v>
      </c>
      <c r="AC20" s="11">
        <f>IF(AB20="ON",277.2,0)</f>
        <v>0</v>
      </c>
      <c r="AD20" s="10">
        <f>AC20+AD19</f>
        <v>1108.8</v>
      </c>
      <c r="AF20" s="17"/>
      <c r="AG20" s="15"/>
      <c r="AH20" s="14"/>
      <c r="AI20" s="13"/>
      <c r="AJ20" s="12">
        <v>0.625</v>
      </c>
      <c r="AK20" s="11" t="s">
        <v>30</v>
      </c>
      <c r="AL20" s="11">
        <f>IF(AK20="ON",194.4,0)</f>
        <v>0</v>
      </c>
      <c r="AM20" s="10">
        <f>AL20+AM19</f>
        <v>388.8</v>
      </c>
      <c r="AO20" s="17"/>
      <c r="AP20" s="15"/>
      <c r="AQ20" s="14"/>
      <c r="AR20" s="13"/>
      <c r="AS20" s="12">
        <v>0.625</v>
      </c>
      <c r="AT20" s="47" t="s">
        <v>30</v>
      </c>
      <c r="AU20" s="47">
        <v>0</v>
      </c>
      <c r="AV20" s="11">
        <f>IF(AT20="ON",5.43*AU20,0)</f>
        <v>0</v>
      </c>
      <c r="AW20" s="10">
        <f>AV20+AW19</f>
        <v>515.84999999999991</v>
      </c>
      <c r="AY20" s="17"/>
      <c r="AZ20" s="15"/>
      <c r="BA20" s="14"/>
      <c r="BB20" s="13"/>
      <c r="BC20" s="12">
        <v>0.625</v>
      </c>
      <c r="BD20" s="11"/>
      <c r="BE20" s="11"/>
      <c r="BF20" s="10"/>
    </row>
    <row r="21" spans="2:58" x14ac:dyDescent="0.25">
      <c r="B21" s="17"/>
      <c r="C21" s="15"/>
      <c r="D21" s="14"/>
      <c r="E21" s="13"/>
      <c r="F21" s="12">
        <v>0.66666666666666696</v>
      </c>
      <c r="G21" s="46" t="str">
        <f>'Rekap TD-BAK-GS'!G21</f>
        <v>PENUH</v>
      </c>
      <c r="H21" s="11" t="str">
        <f>IF(G21="PENUH","OFF","ON")</f>
        <v>OFF</v>
      </c>
      <c r="I21" s="11">
        <f>IF(H21="ON",4500,0)</f>
        <v>0</v>
      </c>
      <c r="J21" s="10">
        <f>J20+I21</f>
        <v>18075</v>
      </c>
      <c r="K21" s="44"/>
      <c r="M21" s="17"/>
      <c r="N21" s="15"/>
      <c r="O21" s="14"/>
      <c r="P21" s="13"/>
      <c r="Q21" s="12">
        <v>0.66666666666666696</v>
      </c>
      <c r="R21" s="11" t="s">
        <v>31</v>
      </c>
      <c r="S21" s="11">
        <v>30</v>
      </c>
      <c r="T21" s="11">
        <f>'Rekap TD-BAK-GS'!H21</f>
        <v>13946.550000000003</v>
      </c>
      <c r="U21" s="10">
        <f>IF(R20="ON",U20+S20,U20)</f>
        <v>990</v>
      </c>
      <c r="W21" s="17"/>
      <c r="X21" s="15"/>
      <c r="Y21" s="14"/>
      <c r="Z21" s="13"/>
      <c r="AA21" s="12">
        <v>0.66666666666666696</v>
      </c>
      <c r="AB21" s="11" t="s">
        <v>30</v>
      </c>
      <c r="AC21" s="11">
        <f>IF(AB21="ON",277.2,0)</f>
        <v>0</v>
      </c>
      <c r="AD21" s="10">
        <f>AC21+AD20</f>
        <v>1108.8</v>
      </c>
      <c r="AF21" s="17"/>
      <c r="AG21" s="15"/>
      <c r="AH21" s="14"/>
      <c r="AI21" s="13"/>
      <c r="AJ21" s="12">
        <v>0.66666666666666696</v>
      </c>
      <c r="AK21" s="11" t="s">
        <v>30</v>
      </c>
      <c r="AL21" s="11">
        <f>IF(AK21="ON",194.4,0)</f>
        <v>0</v>
      </c>
      <c r="AM21" s="10">
        <f>AL21+AM20</f>
        <v>388.8</v>
      </c>
      <c r="AO21" s="17"/>
      <c r="AP21" s="15"/>
      <c r="AQ21" s="14"/>
      <c r="AR21" s="13"/>
      <c r="AS21" s="12">
        <v>0.66666666666666696</v>
      </c>
      <c r="AT21" s="47" t="s">
        <v>31</v>
      </c>
      <c r="AU21" s="47">
        <v>20</v>
      </c>
      <c r="AV21" s="11">
        <f>IF(AT21="ON",5.43*AU21,0)</f>
        <v>108.6</v>
      </c>
      <c r="AW21" s="10">
        <f>AV21+AW20</f>
        <v>624.44999999999993</v>
      </c>
      <c r="AY21" s="17"/>
      <c r="AZ21" s="15"/>
      <c r="BA21" s="14"/>
      <c r="BB21" s="13"/>
      <c r="BC21" s="12">
        <v>0.66666666666666696</v>
      </c>
      <c r="BD21" s="11"/>
      <c r="BE21" s="11"/>
      <c r="BF21" s="10"/>
    </row>
    <row r="22" spans="2:58" x14ac:dyDescent="0.25">
      <c r="B22" s="17"/>
      <c r="C22" s="15"/>
      <c r="D22" s="14"/>
      <c r="E22" s="13"/>
      <c r="F22" s="12">
        <v>0.70833333333333304</v>
      </c>
      <c r="G22" s="46" t="str">
        <f>'Rekap TD-BAK-GS'!G22</f>
        <v>NORMAL</v>
      </c>
      <c r="H22" s="11" t="str">
        <f>IF(G22="PENUH","OFF","ON")</f>
        <v>ON</v>
      </c>
      <c r="I22" s="11">
        <f>IF(H22="ON",4500,0)</f>
        <v>4500</v>
      </c>
      <c r="J22" s="10">
        <f>J21+I22</f>
        <v>22575</v>
      </c>
      <c r="K22" s="44"/>
      <c r="M22" s="17"/>
      <c r="N22" s="15"/>
      <c r="O22" s="14"/>
      <c r="P22" s="13"/>
      <c r="Q22" s="12">
        <v>0.70833333333333304</v>
      </c>
      <c r="R22" s="11" t="s">
        <v>30</v>
      </c>
      <c r="S22" s="11">
        <v>30</v>
      </c>
      <c r="T22" s="11">
        <f>'Rekap TD-BAK-GS'!H22</f>
        <v>11824.500000000004</v>
      </c>
      <c r="U22" s="10">
        <f>IF(R21="ON",U21+S21,U21)</f>
        <v>1020</v>
      </c>
      <c r="W22" s="17"/>
      <c r="X22" s="15"/>
      <c r="Y22" s="14"/>
      <c r="Z22" s="13"/>
      <c r="AA22" s="12">
        <v>0.70833333333333304</v>
      </c>
      <c r="AB22" s="11" t="s">
        <v>30</v>
      </c>
      <c r="AC22" s="11">
        <f>IF(AB22="ON",277.2,0)</f>
        <v>0</v>
      </c>
      <c r="AD22" s="10">
        <f>AC22+AD21</f>
        <v>1108.8</v>
      </c>
      <c r="AF22" s="17"/>
      <c r="AG22" s="15"/>
      <c r="AH22" s="14"/>
      <c r="AI22" s="13"/>
      <c r="AJ22" s="12">
        <v>0.70833333333333304</v>
      </c>
      <c r="AK22" s="11" t="s">
        <v>30</v>
      </c>
      <c r="AL22" s="11">
        <f>IF(AK22="ON",194.4,0)</f>
        <v>0</v>
      </c>
      <c r="AM22" s="10">
        <f>AL22+AM21</f>
        <v>388.8</v>
      </c>
      <c r="AO22" s="17"/>
      <c r="AP22" s="15"/>
      <c r="AQ22" s="14"/>
      <c r="AR22" s="13"/>
      <c r="AS22" s="12">
        <v>0.70833333333333304</v>
      </c>
      <c r="AT22" s="47" t="s">
        <v>30</v>
      </c>
      <c r="AU22" s="47">
        <v>0</v>
      </c>
      <c r="AV22" s="11">
        <f>IF(AT22="ON",5.43*AU22,0)</f>
        <v>0</v>
      </c>
      <c r="AW22" s="10">
        <f>AV22+AW21</f>
        <v>624.44999999999993</v>
      </c>
      <c r="AY22" s="17"/>
      <c r="AZ22" s="15"/>
      <c r="BA22" s="14"/>
      <c r="BB22" s="13"/>
      <c r="BC22" s="12">
        <v>0.70833333333333304</v>
      </c>
      <c r="BD22" s="11"/>
      <c r="BE22" s="11"/>
      <c r="BF22" s="10"/>
    </row>
    <row r="23" spans="2:58" x14ac:dyDescent="0.25">
      <c r="B23" s="17"/>
      <c r="C23" s="15"/>
      <c r="D23" s="14"/>
      <c r="E23" s="13"/>
      <c r="F23" s="12">
        <v>0.75</v>
      </c>
      <c r="G23" s="46" t="str">
        <f>'Rekap TD-BAK-GS'!G23</f>
        <v>PENUH</v>
      </c>
      <c r="H23" s="11" t="str">
        <f>IF(G23="PENUH","OFF","ON")</f>
        <v>OFF</v>
      </c>
      <c r="I23" s="11">
        <f>IF(H23="ON",4500,0)</f>
        <v>0</v>
      </c>
      <c r="J23" s="10">
        <f>J22+I23</f>
        <v>22575</v>
      </c>
      <c r="K23" s="44"/>
      <c r="M23" s="17"/>
      <c r="N23" s="15"/>
      <c r="O23" s="14"/>
      <c r="P23" s="13"/>
      <c r="Q23" s="12">
        <v>0.75</v>
      </c>
      <c r="R23" s="11" t="s">
        <v>30</v>
      </c>
      <c r="S23" s="11">
        <v>30</v>
      </c>
      <c r="T23" s="11">
        <f>'Rekap TD-BAK-GS'!H23</f>
        <v>14202.450000000004</v>
      </c>
      <c r="U23" s="10">
        <f>IF(R22="ON",U22+S22,U22)</f>
        <v>1020</v>
      </c>
      <c r="W23" s="17"/>
      <c r="X23" s="15"/>
      <c r="Y23" s="14"/>
      <c r="Z23" s="13"/>
      <c r="AA23" s="12">
        <v>0.75</v>
      </c>
      <c r="AB23" s="11" t="s">
        <v>30</v>
      </c>
      <c r="AC23" s="11">
        <f>IF(AB23="ON",277.2,0)</f>
        <v>0</v>
      </c>
      <c r="AD23" s="10">
        <f>AC23+AD22</f>
        <v>1108.8</v>
      </c>
      <c r="AF23" s="17"/>
      <c r="AG23" s="15"/>
      <c r="AH23" s="14"/>
      <c r="AI23" s="13"/>
      <c r="AJ23" s="12">
        <v>0.75</v>
      </c>
      <c r="AK23" s="11" t="s">
        <v>31</v>
      </c>
      <c r="AL23" s="11">
        <f>IF(AK23="ON",194.4,0)</f>
        <v>194.4</v>
      </c>
      <c r="AM23" s="10">
        <f>AL23+AM22</f>
        <v>583.20000000000005</v>
      </c>
      <c r="AO23" s="17"/>
      <c r="AP23" s="15"/>
      <c r="AQ23" s="14"/>
      <c r="AR23" s="13"/>
      <c r="AS23" s="12">
        <v>0.75</v>
      </c>
      <c r="AT23" s="47" t="s">
        <v>30</v>
      </c>
      <c r="AU23" s="47">
        <v>0</v>
      </c>
      <c r="AV23" s="11">
        <f>IF(AT23="ON",5.43*AU23,0)</f>
        <v>0</v>
      </c>
      <c r="AW23" s="10">
        <f>AV23+AW22</f>
        <v>624.44999999999993</v>
      </c>
      <c r="AY23" s="17"/>
      <c r="AZ23" s="15"/>
      <c r="BA23" s="14"/>
      <c r="BB23" s="13"/>
      <c r="BC23" s="12">
        <v>0.75</v>
      </c>
      <c r="BD23" s="11"/>
      <c r="BE23" s="11"/>
      <c r="BF23" s="10"/>
    </row>
    <row r="24" spans="2:58" x14ac:dyDescent="0.25">
      <c r="B24" s="17"/>
      <c r="C24" s="15"/>
      <c r="D24" s="14"/>
      <c r="E24" s="13"/>
      <c r="F24" s="12">
        <v>0.79166666666666696</v>
      </c>
      <c r="G24" s="46" t="str">
        <f>'Rekap TD-BAK-GS'!G24</f>
        <v>NORMAL</v>
      </c>
      <c r="H24" s="11" t="str">
        <f>IF(G24="PENUH","OFF","ON")</f>
        <v>ON</v>
      </c>
      <c r="I24" s="11">
        <f>IF(H24="ON",4500,0)</f>
        <v>4500</v>
      </c>
      <c r="J24" s="10">
        <f>J23+I24</f>
        <v>27075</v>
      </c>
      <c r="K24" s="44"/>
      <c r="M24" s="17"/>
      <c r="N24" s="15"/>
      <c r="O24" s="14"/>
      <c r="P24" s="13"/>
      <c r="Q24" s="12">
        <v>0.79166666666666696</v>
      </c>
      <c r="R24" s="11" t="s">
        <v>30</v>
      </c>
      <c r="S24" s="11">
        <v>30</v>
      </c>
      <c r="T24" s="11">
        <f>'Rekap TD-BAK-GS'!H24</f>
        <v>11886.000000000004</v>
      </c>
      <c r="U24" s="10">
        <f>IF(R23="ON",U23+S23,U23)</f>
        <v>1020</v>
      </c>
      <c r="W24" s="17"/>
      <c r="X24" s="15"/>
      <c r="Y24" s="14"/>
      <c r="Z24" s="13"/>
      <c r="AA24" s="12">
        <v>0.79166666666666696</v>
      </c>
      <c r="AB24" s="11" t="s">
        <v>31</v>
      </c>
      <c r="AC24" s="11">
        <f>IF(AB24="ON",277.2,0)</f>
        <v>277.2</v>
      </c>
      <c r="AD24" s="10">
        <f>AC24+AD23</f>
        <v>1386</v>
      </c>
      <c r="AF24" s="17"/>
      <c r="AG24" s="15"/>
      <c r="AH24" s="14"/>
      <c r="AI24" s="13"/>
      <c r="AJ24" s="12">
        <v>0.79166666666666696</v>
      </c>
      <c r="AK24" s="11" t="s">
        <v>30</v>
      </c>
      <c r="AL24" s="11">
        <f>IF(AK24="ON",194.4,0)</f>
        <v>0</v>
      </c>
      <c r="AM24" s="10">
        <f>AL24+AM23</f>
        <v>583.20000000000005</v>
      </c>
      <c r="AO24" s="17"/>
      <c r="AP24" s="15"/>
      <c r="AQ24" s="14"/>
      <c r="AR24" s="13"/>
      <c r="AS24" s="12">
        <v>0.79166666666666696</v>
      </c>
      <c r="AT24" s="47" t="s">
        <v>30</v>
      </c>
      <c r="AU24" s="47">
        <v>0</v>
      </c>
      <c r="AV24" s="11">
        <f>IF(AT24="ON",5.43*AU24,0)</f>
        <v>0</v>
      </c>
      <c r="AW24" s="10">
        <f>AV24+AW23</f>
        <v>624.44999999999993</v>
      </c>
      <c r="AY24" s="17"/>
      <c r="AZ24" s="15"/>
      <c r="BA24" s="14"/>
      <c r="BB24" s="13"/>
      <c r="BC24" s="12">
        <v>0.79166666666666696</v>
      </c>
      <c r="BD24" s="11"/>
      <c r="BE24" s="11"/>
      <c r="BF24" s="10"/>
    </row>
    <row r="25" spans="2:58" x14ac:dyDescent="0.25">
      <c r="B25" s="17"/>
      <c r="C25" s="15"/>
      <c r="D25" s="14"/>
      <c r="E25" s="13"/>
      <c r="F25" s="12">
        <v>0.83333333333333304</v>
      </c>
      <c r="G25" s="46" t="str">
        <f>'Rekap TD-BAK-GS'!G25</f>
        <v>PENUH</v>
      </c>
      <c r="H25" s="11" t="str">
        <f>IF(G25="PENUH","OFF","ON")</f>
        <v>OFF</v>
      </c>
      <c r="I25" s="11">
        <f>IF(H25="ON",4500,0)</f>
        <v>0</v>
      </c>
      <c r="J25" s="10">
        <f>J24+I25</f>
        <v>27075</v>
      </c>
      <c r="K25" s="44"/>
      <c r="M25" s="17"/>
      <c r="N25" s="15"/>
      <c r="O25" s="14"/>
      <c r="P25" s="13"/>
      <c r="Q25" s="12">
        <v>0.83333333333333304</v>
      </c>
      <c r="R25" s="11" t="s">
        <v>30</v>
      </c>
      <c r="S25" s="11">
        <v>30</v>
      </c>
      <c r="T25" s="11">
        <f>'Rekap TD-BAK-GS'!H25</f>
        <v>13792.350000000004</v>
      </c>
      <c r="U25" s="10">
        <f>IF(R24="ON",U24+S24,U24)</f>
        <v>1020</v>
      </c>
      <c r="W25" s="17"/>
      <c r="X25" s="15"/>
      <c r="Y25" s="14"/>
      <c r="Z25" s="13"/>
      <c r="AA25" s="12">
        <v>0.83333333333333304</v>
      </c>
      <c r="AB25" s="11" t="s">
        <v>31</v>
      </c>
      <c r="AC25" s="11">
        <f>IF(AB25="ON",277.2,0)</f>
        <v>277.2</v>
      </c>
      <c r="AD25" s="10">
        <f>AC25+AD24</f>
        <v>1663.2</v>
      </c>
      <c r="AF25" s="17"/>
      <c r="AG25" s="15"/>
      <c r="AH25" s="14"/>
      <c r="AI25" s="13"/>
      <c r="AJ25" s="12">
        <v>0.83333333333333304</v>
      </c>
      <c r="AK25" s="11" t="s">
        <v>30</v>
      </c>
      <c r="AL25" s="11">
        <f>IF(AK25="ON",194.4,0)</f>
        <v>0</v>
      </c>
      <c r="AM25" s="10">
        <f>AL25+AM24</f>
        <v>583.20000000000005</v>
      </c>
      <c r="AO25" s="17"/>
      <c r="AP25" s="15"/>
      <c r="AQ25" s="14"/>
      <c r="AR25" s="13"/>
      <c r="AS25" s="12">
        <v>0.83333333333333304</v>
      </c>
      <c r="AT25" s="47" t="s">
        <v>30</v>
      </c>
      <c r="AU25" s="47">
        <v>0</v>
      </c>
      <c r="AV25" s="11">
        <f>IF(AT25="ON",5.43*AU25,0)</f>
        <v>0</v>
      </c>
      <c r="AW25" s="10">
        <f>AV25+AW24</f>
        <v>624.44999999999993</v>
      </c>
      <c r="AY25" s="17"/>
      <c r="AZ25" s="15"/>
      <c r="BA25" s="14"/>
      <c r="BB25" s="13"/>
      <c r="BC25" s="12">
        <v>0.83333333333333304</v>
      </c>
      <c r="BD25" s="11"/>
      <c r="BE25" s="11"/>
      <c r="BF25" s="10"/>
    </row>
    <row r="26" spans="2:58" x14ac:dyDescent="0.25">
      <c r="B26" s="17"/>
      <c r="C26" s="15"/>
      <c r="D26" s="14"/>
      <c r="E26" s="13"/>
      <c r="F26" s="12">
        <v>0.875</v>
      </c>
      <c r="G26" s="46" t="str">
        <f>'Rekap TD-BAK-GS'!G26</f>
        <v>NORMAL</v>
      </c>
      <c r="H26" s="11" t="str">
        <f>IF(G26="PENUH","OFF","ON")</f>
        <v>ON</v>
      </c>
      <c r="I26" s="11">
        <f>IF(H26="ON",4500,0)</f>
        <v>4500</v>
      </c>
      <c r="J26" s="10">
        <f>J25+I26</f>
        <v>31575</v>
      </c>
      <c r="K26" s="44"/>
      <c r="M26" s="17"/>
      <c r="N26" s="15"/>
      <c r="O26" s="14"/>
      <c r="P26" s="13"/>
      <c r="Q26" s="12">
        <v>0.875</v>
      </c>
      <c r="R26" s="11" t="s">
        <v>30</v>
      </c>
      <c r="S26" s="11">
        <v>30</v>
      </c>
      <c r="T26" s="11">
        <f>'Rekap TD-BAK-GS'!H26</f>
        <v>10921.500000000004</v>
      </c>
      <c r="U26" s="10">
        <f>IF(R25="ON",U25+S25,U25)</f>
        <v>1020</v>
      </c>
      <c r="W26" s="17"/>
      <c r="X26" s="15"/>
      <c r="Y26" s="14"/>
      <c r="Z26" s="13"/>
      <c r="AA26" s="12">
        <v>0.875</v>
      </c>
      <c r="AB26" s="11" t="s">
        <v>30</v>
      </c>
      <c r="AC26" s="11">
        <f>IF(AB26="ON",277.2,0)</f>
        <v>0</v>
      </c>
      <c r="AD26" s="10">
        <f>AC26+AD25</f>
        <v>1663.2</v>
      </c>
      <c r="AF26" s="17"/>
      <c r="AG26" s="15"/>
      <c r="AH26" s="14"/>
      <c r="AI26" s="13"/>
      <c r="AJ26" s="12">
        <v>0.875</v>
      </c>
      <c r="AK26" s="11" t="s">
        <v>30</v>
      </c>
      <c r="AL26" s="11">
        <f>IF(AK26="ON",194.4,0)</f>
        <v>0</v>
      </c>
      <c r="AM26" s="10">
        <f>AL26+AM25</f>
        <v>583.20000000000005</v>
      </c>
      <c r="AO26" s="17"/>
      <c r="AP26" s="15"/>
      <c r="AQ26" s="14"/>
      <c r="AR26" s="13"/>
      <c r="AS26" s="12">
        <v>0.875</v>
      </c>
      <c r="AT26" s="47" t="s">
        <v>30</v>
      </c>
      <c r="AU26" s="47">
        <v>0</v>
      </c>
      <c r="AV26" s="11">
        <f>IF(AT26="ON",5.43*AU26,0)</f>
        <v>0</v>
      </c>
      <c r="AW26" s="10">
        <f>AV26+AW25</f>
        <v>624.44999999999993</v>
      </c>
      <c r="AY26" s="17"/>
      <c r="AZ26" s="15"/>
      <c r="BA26" s="14"/>
      <c r="BB26" s="13"/>
      <c r="BC26" s="12">
        <v>0.875</v>
      </c>
      <c r="BD26" s="11"/>
      <c r="BE26" s="11"/>
      <c r="BF26" s="10"/>
    </row>
    <row r="27" spans="2:58" x14ac:dyDescent="0.25">
      <c r="B27" s="17"/>
      <c r="C27" s="15"/>
      <c r="D27" s="14"/>
      <c r="E27" s="13"/>
      <c r="F27" s="12">
        <v>0.91666666666666696</v>
      </c>
      <c r="G27" s="46" t="str">
        <f>'Rekap TD-BAK-GS'!G27</f>
        <v>PENUH</v>
      </c>
      <c r="H27" s="11" t="str">
        <f>IF(G27="PENUH","OFF","ON")</f>
        <v>OFF</v>
      </c>
      <c r="I27" s="11">
        <f>IF(H27="ON",4500,0)</f>
        <v>0</v>
      </c>
      <c r="J27" s="10">
        <f>J26+I27</f>
        <v>31575</v>
      </c>
      <c r="K27" s="44"/>
      <c r="M27" s="17"/>
      <c r="N27" s="15"/>
      <c r="O27" s="14"/>
      <c r="P27" s="13"/>
      <c r="Q27" s="12">
        <v>0.91666666666666696</v>
      </c>
      <c r="R27" s="11" t="s">
        <v>30</v>
      </c>
      <c r="S27" s="11">
        <v>30</v>
      </c>
      <c r="T27" s="11">
        <f>'Rekap TD-BAK-GS'!H27</f>
        <v>12550.650000000003</v>
      </c>
      <c r="U27" s="10">
        <f>IF(R26="ON",U26+S26,U26)</f>
        <v>1020</v>
      </c>
      <c r="W27" s="17"/>
      <c r="X27" s="15"/>
      <c r="Y27" s="14"/>
      <c r="Z27" s="13"/>
      <c r="AA27" s="12">
        <v>0.91666666666666696</v>
      </c>
      <c r="AB27" s="11" t="s">
        <v>30</v>
      </c>
      <c r="AC27" s="11">
        <f>IF(AB27="ON",277.2,0)</f>
        <v>0</v>
      </c>
      <c r="AD27" s="10">
        <f>AC27+AD26</f>
        <v>1663.2</v>
      </c>
      <c r="AF27" s="17"/>
      <c r="AG27" s="15"/>
      <c r="AH27" s="14"/>
      <c r="AI27" s="13"/>
      <c r="AJ27" s="12">
        <v>0.91666666666666696</v>
      </c>
      <c r="AK27" s="11" t="s">
        <v>30</v>
      </c>
      <c r="AL27" s="11">
        <f>IF(AK27="ON",194.4,0)</f>
        <v>0</v>
      </c>
      <c r="AM27" s="10">
        <f>AL27+AM26</f>
        <v>583.20000000000005</v>
      </c>
      <c r="AO27" s="17"/>
      <c r="AP27" s="15"/>
      <c r="AQ27" s="14"/>
      <c r="AR27" s="13"/>
      <c r="AS27" s="12">
        <v>0.91666666666666696</v>
      </c>
      <c r="AT27" s="47" t="s">
        <v>31</v>
      </c>
      <c r="AU27" s="47">
        <v>15</v>
      </c>
      <c r="AV27" s="11">
        <f>IF(AT27="ON",5.43*AU27,0)</f>
        <v>81.449999999999989</v>
      </c>
      <c r="AW27" s="10">
        <f>AV27+AW26</f>
        <v>705.89999999999986</v>
      </c>
      <c r="AY27" s="17"/>
      <c r="AZ27" s="15"/>
      <c r="BA27" s="14"/>
      <c r="BB27" s="13"/>
      <c r="BC27" s="12">
        <v>0.91666666666666696</v>
      </c>
      <c r="BD27" s="11"/>
      <c r="BE27" s="11"/>
      <c r="BF27" s="10"/>
    </row>
    <row r="28" spans="2:58" x14ac:dyDescent="0.25">
      <c r="B28" s="17"/>
      <c r="C28" s="15"/>
      <c r="D28" s="14"/>
      <c r="E28" s="13"/>
      <c r="F28" s="12">
        <v>0.95833333333333304</v>
      </c>
      <c r="G28" s="46" t="str">
        <f>'Rekap TD-BAK-GS'!G28</f>
        <v>NORMAL</v>
      </c>
      <c r="H28" s="11" t="str">
        <f>IF(G28="PENUH","OFF","ON")</f>
        <v>ON</v>
      </c>
      <c r="I28" s="11">
        <f>IF(H28="ON",4500,0)</f>
        <v>4500</v>
      </c>
      <c r="J28" s="10">
        <f>J27+I28</f>
        <v>36075</v>
      </c>
      <c r="K28" s="44"/>
      <c r="M28" s="17"/>
      <c r="N28" s="15"/>
      <c r="O28" s="14"/>
      <c r="P28" s="13"/>
      <c r="Q28" s="12">
        <v>0.95833333333333304</v>
      </c>
      <c r="R28" s="11" t="s">
        <v>30</v>
      </c>
      <c r="S28" s="11">
        <v>30</v>
      </c>
      <c r="T28" s="11">
        <f>'Rekap TD-BAK-GS'!H28</f>
        <v>9598.3500000000022</v>
      </c>
      <c r="U28" s="10">
        <f>IF(R27="ON",U27+S27,U27)</f>
        <v>1020</v>
      </c>
      <c r="W28" s="17"/>
      <c r="X28" s="15"/>
      <c r="Y28" s="14"/>
      <c r="Z28" s="13"/>
      <c r="AA28" s="12">
        <v>0.95833333333333304</v>
      </c>
      <c r="AB28" s="11" t="s">
        <v>30</v>
      </c>
      <c r="AC28" s="11">
        <f>IF(AB28="ON",277.2,0)</f>
        <v>0</v>
      </c>
      <c r="AD28" s="10">
        <f>AC28+AD27</f>
        <v>1663.2</v>
      </c>
      <c r="AF28" s="17"/>
      <c r="AG28" s="15"/>
      <c r="AH28" s="14"/>
      <c r="AI28" s="13"/>
      <c r="AJ28" s="12">
        <v>0.95833333333333304</v>
      </c>
      <c r="AK28" s="11" t="s">
        <v>30</v>
      </c>
      <c r="AL28" s="11">
        <f>IF(AK28="ON",194.4,0)</f>
        <v>0</v>
      </c>
      <c r="AM28" s="10">
        <f>AL28+AM27</f>
        <v>583.20000000000005</v>
      </c>
      <c r="AO28" s="17"/>
      <c r="AP28" s="15"/>
      <c r="AQ28" s="14"/>
      <c r="AR28" s="13"/>
      <c r="AS28" s="12">
        <v>0.95833333333333304</v>
      </c>
      <c r="AT28" s="47" t="s">
        <v>30</v>
      </c>
      <c r="AU28" s="47">
        <v>0</v>
      </c>
      <c r="AV28" s="11">
        <f>IF(AT28="ON",5.43*AU28,0)</f>
        <v>0</v>
      </c>
      <c r="AW28" s="10">
        <f>AV28+AW27</f>
        <v>705.89999999999986</v>
      </c>
      <c r="AY28" s="17"/>
      <c r="AZ28" s="15"/>
      <c r="BA28" s="14"/>
      <c r="BB28" s="13"/>
      <c r="BC28" s="12">
        <v>0.95833333333333304</v>
      </c>
      <c r="BD28" s="11"/>
      <c r="BE28" s="11"/>
      <c r="BF28" s="10"/>
    </row>
    <row r="29" spans="2:58" ht="15.75" thickBot="1" x14ac:dyDescent="0.3">
      <c r="B29" s="9"/>
      <c r="C29" s="7"/>
      <c r="D29" s="6"/>
      <c r="E29" s="5"/>
      <c r="F29" s="4">
        <v>1</v>
      </c>
      <c r="G29" s="46" t="str">
        <f>'Rekap TD-BAK-GS'!G29</f>
        <v>NORMAL</v>
      </c>
      <c r="H29" s="45" t="str">
        <f>IF(G29="PENUH","OFF","ON")</f>
        <v>ON</v>
      </c>
      <c r="I29" s="3">
        <f>IF(H29="ON",4500,0)</f>
        <v>4500</v>
      </c>
      <c r="J29" s="2">
        <f>J28+I29</f>
        <v>40575</v>
      </c>
      <c r="K29" s="44"/>
      <c r="M29" s="9"/>
      <c r="N29" s="7"/>
      <c r="O29" s="6"/>
      <c r="P29" s="5"/>
      <c r="Q29" s="4">
        <v>1</v>
      </c>
      <c r="R29" s="3" t="s">
        <v>30</v>
      </c>
      <c r="S29" s="3">
        <v>30</v>
      </c>
      <c r="T29" s="3">
        <f>'Rekap TD-BAK-GS'!H29</f>
        <v>11146.050000000003</v>
      </c>
      <c r="U29" s="2">
        <f>IF(R28="ON",U28+S28,U28)</f>
        <v>1020</v>
      </c>
      <c r="W29" s="9"/>
      <c r="X29" s="7"/>
      <c r="Y29" s="6"/>
      <c r="Z29" s="5"/>
      <c r="AA29" s="4">
        <v>1</v>
      </c>
      <c r="AB29" s="3" t="s">
        <v>30</v>
      </c>
      <c r="AC29" s="3">
        <f>IF(AB29="ON",277.2,0)</f>
        <v>0</v>
      </c>
      <c r="AD29" s="2">
        <f>AC29+AD28</f>
        <v>1663.2</v>
      </c>
      <c r="AF29" s="9"/>
      <c r="AG29" s="7"/>
      <c r="AH29" s="6"/>
      <c r="AI29" s="5"/>
      <c r="AJ29" s="4">
        <v>1</v>
      </c>
      <c r="AK29" s="3" t="s">
        <v>30</v>
      </c>
      <c r="AL29" s="3">
        <f>IF(AK29="ON",194.4,0)</f>
        <v>0</v>
      </c>
      <c r="AM29" s="2">
        <f>AL29+AM28</f>
        <v>583.20000000000005</v>
      </c>
      <c r="AO29" s="9"/>
      <c r="AP29" s="7"/>
      <c r="AQ29" s="6"/>
      <c r="AR29" s="5"/>
      <c r="AS29" s="4">
        <v>1</v>
      </c>
      <c r="AT29" s="43" t="s">
        <v>30</v>
      </c>
      <c r="AU29" s="43">
        <v>0</v>
      </c>
      <c r="AV29" s="3">
        <f>IF(AT29="ON",5.43*AU29,0)</f>
        <v>0</v>
      </c>
      <c r="AW29" s="2">
        <f>AV29+AW28</f>
        <v>705.89999999999986</v>
      </c>
      <c r="AY29" s="9"/>
      <c r="AZ29" s="7"/>
      <c r="BA29" s="6"/>
      <c r="BB29" s="5"/>
      <c r="BC29" s="4">
        <v>1</v>
      </c>
      <c r="BD29" s="3"/>
      <c r="BE29" s="3"/>
      <c r="BF29" s="2"/>
    </row>
    <row r="30" spans="2:58" x14ac:dyDescent="0.25">
      <c r="B30" s="42"/>
      <c r="C30" t="s">
        <v>29</v>
      </c>
      <c r="T30" t="s">
        <v>28</v>
      </c>
      <c r="AK30" s="41" t="s">
        <v>27</v>
      </c>
    </row>
    <row r="54" spans="5:5" x14ac:dyDescent="0.25">
      <c r="E54" s="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R54"/>
  <sheetViews>
    <sheetView topLeftCell="V2" zoomScale="85" zoomScaleNormal="85" workbookViewId="0">
      <selection activeCell="AL22" sqref="AL22"/>
    </sheetView>
  </sheetViews>
  <sheetFormatPr defaultRowHeight="15" x14ac:dyDescent="0.25"/>
  <cols>
    <col min="2" max="2" width="4.42578125" bestFit="1" customWidth="1"/>
    <col min="3" max="4" width="12.7109375" customWidth="1"/>
    <col min="5" max="5" width="10.85546875" bestFit="1" customWidth="1"/>
    <col min="6" max="6" width="7.5703125" bestFit="1" customWidth="1"/>
    <col min="7" max="8" width="10.7109375" customWidth="1"/>
    <col min="9" max="11" width="15.7109375" customWidth="1"/>
    <col min="12" max="12" width="1.5703125" customWidth="1"/>
    <col min="13" max="13" width="4.42578125" bestFit="1" customWidth="1"/>
    <col min="14" max="15" width="12.7109375" customWidth="1"/>
    <col min="16" max="16" width="10.85546875" bestFit="1" customWidth="1"/>
    <col min="17" max="17" width="7.5703125" bestFit="1" customWidth="1"/>
    <col min="18" max="21" width="10.7109375" customWidth="1"/>
    <col min="22" max="22" width="12.7109375" customWidth="1"/>
    <col min="23" max="23" width="1.5703125" customWidth="1"/>
    <col min="24" max="24" width="4.42578125" bestFit="1" customWidth="1"/>
    <col min="25" max="26" width="12.7109375" customWidth="1"/>
    <col min="27" max="27" width="10.85546875" bestFit="1" customWidth="1"/>
    <col min="28" max="28" width="7.5703125" bestFit="1" customWidth="1"/>
    <col min="29" max="33" width="10.7109375" customWidth="1"/>
    <col min="34" max="34" width="1.5703125" customWidth="1"/>
    <col min="35" max="35" width="4.42578125" bestFit="1" customWidth="1"/>
    <col min="36" max="37" width="12.7109375" customWidth="1"/>
    <col min="38" max="38" width="10.85546875" bestFit="1" customWidth="1"/>
    <col min="39" max="39" width="7.5703125" bestFit="1" customWidth="1"/>
    <col min="40" max="44" width="10.7109375" customWidth="1"/>
  </cols>
  <sheetData>
    <row r="1" spans="2:44" x14ac:dyDescent="0.25">
      <c r="B1" s="40"/>
      <c r="C1" s="33" t="s">
        <v>21</v>
      </c>
      <c r="D1" s="33"/>
      <c r="E1" s="39"/>
      <c r="F1" s="33" t="s">
        <v>20</v>
      </c>
    </row>
    <row r="2" spans="2:44" x14ac:dyDescent="0.25">
      <c r="B2" s="38"/>
      <c r="C2" s="33" t="s">
        <v>19</v>
      </c>
      <c r="D2" s="33"/>
      <c r="E2" s="37"/>
      <c r="F2" s="33" t="s">
        <v>18</v>
      </c>
    </row>
    <row r="3" spans="2:44" x14ac:dyDescent="0.25">
      <c r="B3" s="36"/>
      <c r="C3" s="34"/>
      <c r="D3" s="34"/>
      <c r="E3" s="35"/>
      <c r="F3" s="34" t="s">
        <v>17</v>
      </c>
    </row>
    <row r="4" spans="2:44" ht="60.75" thickBot="1" x14ac:dyDescent="0.3">
      <c r="B4" s="33" t="s">
        <v>89</v>
      </c>
      <c r="G4" s="66" t="s">
        <v>88</v>
      </c>
      <c r="I4" s="66" t="s">
        <v>87</v>
      </c>
      <c r="J4" s="68" t="s">
        <v>86</v>
      </c>
      <c r="M4" s="33" t="s">
        <v>85</v>
      </c>
      <c r="T4" s="67" t="s">
        <v>84</v>
      </c>
      <c r="U4" s="68" t="s">
        <v>83</v>
      </c>
      <c r="V4" s="66" t="s">
        <v>82</v>
      </c>
      <c r="X4" s="33" t="s">
        <v>81</v>
      </c>
      <c r="AE4" s="67" t="s">
        <v>80</v>
      </c>
      <c r="AF4" s="66" t="s">
        <v>79</v>
      </c>
      <c r="AI4" s="33" t="s">
        <v>78</v>
      </c>
    </row>
    <row r="5" spans="2:44" ht="60.75" thickBot="1" x14ac:dyDescent="0.3">
      <c r="B5" s="32" t="s">
        <v>15</v>
      </c>
      <c r="C5" s="30" t="s">
        <v>12</v>
      </c>
      <c r="D5" s="29" t="s">
        <v>11</v>
      </c>
      <c r="E5" s="28" t="s">
        <v>10</v>
      </c>
      <c r="F5" s="27" t="s">
        <v>9</v>
      </c>
      <c r="G5" s="53" t="s">
        <v>70</v>
      </c>
      <c r="H5" s="53" t="s">
        <v>50</v>
      </c>
      <c r="I5" s="65" t="s">
        <v>77</v>
      </c>
      <c r="J5" s="64" t="s">
        <v>45</v>
      </c>
      <c r="K5" s="64" t="s">
        <v>76</v>
      </c>
      <c r="M5" s="32" t="s">
        <v>15</v>
      </c>
      <c r="N5" s="30" t="s">
        <v>12</v>
      </c>
      <c r="O5" s="29" t="s">
        <v>11</v>
      </c>
      <c r="P5" s="28" t="s">
        <v>10</v>
      </c>
      <c r="Q5" s="27" t="s">
        <v>9</v>
      </c>
      <c r="R5" s="53" t="s">
        <v>70</v>
      </c>
      <c r="S5" s="53" t="s">
        <v>50</v>
      </c>
      <c r="T5" s="26" t="s">
        <v>75</v>
      </c>
      <c r="U5" s="26" t="s">
        <v>74</v>
      </c>
      <c r="V5" s="65" t="s">
        <v>73</v>
      </c>
      <c r="X5" s="32" t="s">
        <v>15</v>
      </c>
      <c r="Y5" s="30" t="s">
        <v>12</v>
      </c>
      <c r="Z5" s="29" t="s">
        <v>11</v>
      </c>
      <c r="AA5" s="28" t="s">
        <v>10</v>
      </c>
      <c r="AB5" s="27" t="s">
        <v>9</v>
      </c>
      <c r="AC5" s="53" t="s">
        <v>70</v>
      </c>
      <c r="AD5" s="53" t="s">
        <v>44</v>
      </c>
      <c r="AE5" s="26" t="s">
        <v>72</v>
      </c>
      <c r="AF5" s="26" t="s">
        <v>71</v>
      </c>
      <c r="AG5" s="64" t="s">
        <v>43</v>
      </c>
      <c r="AI5" s="32" t="s">
        <v>15</v>
      </c>
      <c r="AJ5" s="30" t="s">
        <v>12</v>
      </c>
      <c r="AK5" s="29" t="s">
        <v>11</v>
      </c>
      <c r="AL5" s="28" t="s">
        <v>10</v>
      </c>
      <c r="AM5" s="27" t="s">
        <v>9</v>
      </c>
      <c r="AN5" s="53" t="s">
        <v>70</v>
      </c>
      <c r="AO5" s="53" t="s">
        <v>50</v>
      </c>
      <c r="AP5" s="26" t="s">
        <v>69</v>
      </c>
      <c r="AQ5" s="26" t="s">
        <v>68</v>
      </c>
      <c r="AR5" s="64" t="s">
        <v>45</v>
      </c>
    </row>
    <row r="6" spans="2:44" ht="15" customHeight="1" x14ac:dyDescent="0.25">
      <c r="B6" s="23">
        <v>1</v>
      </c>
      <c r="C6" s="21" t="s">
        <v>67</v>
      </c>
      <c r="D6" s="24" t="s">
        <v>66</v>
      </c>
      <c r="E6" s="20" t="s">
        <v>0</v>
      </c>
      <c r="F6" s="12">
        <v>4.1666666666666664E-2</v>
      </c>
      <c r="G6" s="11" t="str">
        <f>IF(H6&lt;200,"KOSONG",IF(H6&gt;12000,"PENUH",IF(H6&gt;=6000,"NORMAL","KOSONG")))</f>
        <v>NORMAL</v>
      </c>
      <c r="H6" s="49">
        <v>12000</v>
      </c>
      <c r="I6" s="19">
        <f>'Rekap PA-KR-KP'!I6</f>
        <v>4500</v>
      </c>
      <c r="J6" s="18">
        <f>'Rekap PA-KR-KP'!AD6+'Rekap PA-KR-KP'!AM6+'Rekap PA-KR-KP'!AW6</f>
        <v>797.40000000000009</v>
      </c>
      <c r="K6" s="18">
        <f>H6+I6-J6</f>
        <v>15702.6</v>
      </c>
      <c r="M6" s="23">
        <v>1</v>
      </c>
      <c r="N6" s="21" t="s">
        <v>65</v>
      </c>
      <c r="O6" s="24" t="s">
        <v>64</v>
      </c>
      <c r="P6" s="20" t="s">
        <v>0</v>
      </c>
      <c r="Q6" s="12">
        <v>4.1666666666666664E-2</v>
      </c>
      <c r="R6" s="11" t="str">
        <f>IF(S6&lt;20,"KOSONG",IF(S6&gt;288,"PENUH",IF(S6&gt;=144,"NORMAL",IF(S6&lt;20,"KOSONG","NORMAL"))))</f>
        <v>NORMAL</v>
      </c>
      <c r="S6" s="49">
        <v>288</v>
      </c>
      <c r="T6" s="60">
        <v>0</v>
      </c>
      <c r="U6" s="60">
        <f>'Rekap PA-KR-KP'!AV6</f>
        <v>0</v>
      </c>
      <c r="V6" s="63">
        <f>S6-T6+U6</f>
        <v>288</v>
      </c>
      <c r="X6" s="23">
        <v>1</v>
      </c>
      <c r="Y6" s="21" t="s">
        <v>63</v>
      </c>
      <c r="Z6" s="24" t="s">
        <v>62</v>
      </c>
      <c r="AA6" s="20" t="s">
        <v>0</v>
      </c>
      <c r="AB6" s="12">
        <v>4.1666666666666664E-2</v>
      </c>
      <c r="AC6" s="11" t="str">
        <f>IF(AD6&lt;0.5,"KURANG",IF(AD6&gt;1.5,"NORMAL",IF(AD6=3,"NORMAL","KURANG")))</f>
        <v>NORMAL</v>
      </c>
      <c r="AD6" s="49">
        <v>2.4</v>
      </c>
      <c r="AE6" s="49">
        <v>0</v>
      </c>
      <c r="AF6" s="49">
        <f>'Rekap PA-KR-KP'!BH6</f>
        <v>0</v>
      </c>
      <c r="AG6" s="62">
        <v>0</v>
      </c>
      <c r="AI6" s="23">
        <v>1</v>
      </c>
      <c r="AJ6" s="21" t="s">
        <v>61</v>
      </c>
      <c r="AK6" s="24" t="s">
        <v>60</v>
      </c>
      <c r="AL6" s="20" t="s">
        <v>0</v>
      </c>
      <c r="AM6" s="12">
        <v>4.1666666666666664E-2</v>
      </c>
      <c r="AN6" s="11" t="str">
        <f>IF(AO6&lt;2000,"KURANG",IF(AO6&gt;8500,"NORMAL",IF(AO6=19000,"NORMAL","KURANG")))</f>
        <v>NORMAL</v>
      </c>
      <c r="AO6" s="49">
        <v>12000</v>
      </c>
      <c r="AP6" s="49">
        <v>0</v>
      </c>
      <c r="AQ6" s="49">
        <f>'Rekap PA-KR-KP'!BT6</f>
        <v>0</v>
      </c>
      <c r="AR6" s="62">
        <v>0</v>
      </c>
    </row>
    <row r="7" spans="2:44" x14ac:dyDescent="0.25">
      <c r="B7" s="17"/>
      <c r="C7" s="15"/>
      <c r="D7" s="14"/>
      <c r="E7" s="13"/>
      <c r="F7" s="12">
        <v>8.3333333333333301E-2</v>
      </c>
      <c r="G7" s="11" t="str">
        <f>IF(H7&lt;200,"KOSONG",IF(H7&gt;12000,"PENUH",IF(H7&gt;=6000,"NORMAL","KOSONG")))</f>
        <v>PENUH</v>
      </c>
      <c r="H7" s="11">
        <f>K6</f>
        <v>15702.6</v>
      </c>
      <c r="I7" s="11">
        <f>'Rekap PA-KR-KP'!I7</f>
        <v>0</v>
      </c>
      <c r="J7" s="58">
        <f>'Rekap PA-KR-KP'!AD7+'Rekap PA-KR-KP'!AM7+'Rekap PA-KR-KP'!AW7</f>
        <v>797.40000000000009</v>
      </c>
      <c r="K7" s="58">
        <f>H7+I7-J7</f>
        <v>14905.2</v>
      </c>
      <c r="M7" s="17"/>
      <c r="N7" s="15"/>
      <c r="O7" s="14"/>
      <c r="P7" s="13"/>
      <c r="Q7" s="12">
        <v>8.3333333333333301E-2</v>
      </c>
      <c r="R7" s="59" t="str">
        <f>IF(S7&lt;20,"KOSONG",IF(S7&gt;288,"PENUH",IF(S7&gt;=144,"NORMAL",IF(S7&lt;20,"KOSONG","NORMAL"))))</f>
        <v>NORMAL</v>
      </c>
      <c r="S7" s="11">
        <f>V6</f>
        <v>288</v>
      </c>
      <c r="T7" s="60">
        <v>0</v>
      </c>
      <c r="U7" s="47">
        <f>'Rekap PA-KR-KP'!AV7</f>
        <v>0</v>
      </c>
      <c r="V7" s="61">
        <f>S7-T7+U7</f>
        <v>288</v>
      </c>
      <c r="X7" s="17"/>
      <c r="Y7" s="15"/>
      <c r="Z7" s="14"/>
      <c r="AA7" s="13"/>
      <c r="AB7" s="12">
        <v>8.3333333333333301E-2</v>
      </c>
      <c r="AC7" s="59" t="str">
        <f>IF(AD7&lt;0.5,"KURANG",IF(AD7&gt;1.5,"NORMAL",IF(AD7=3,"NORMAL","KURANG")))</f>
        <v>NORMAL</v>
      </c>
      <c r="AD7" s="11">
        <f>AD6-AE6+AF6</f>
        <v>2.4</v>
      </c>
      <c r="AE7" s="19">
        <v>0</v>
      </c>
      <c r="AF7" s="11">
        <f>'Rekap PA-KR-KP'!BH7</f>
        <v>0</v>
      </c>
      <c r="AG7" s="58">
        <f>AE6+AG6</f>
        <v>0</v>
      </c>
      <c r="AI7" s="17"/>
      <c r="AJ7" s="15"/>
      <c r="AK7" s="14"/>
      <c r="AL7" s="13"/>
      <c r="AM7" s="12">
        <v>8.3333333333333301E-2</v>
      </c>
      <c r="AN7" s="59" t="str">
        <f>IF(AO7&lt;2000,"KURANG",IF(AO7&gt;8500,"NORMAL",IF(AO7=19000,"NORMAL","KURANG")))</f>
        <v>NORMAL</v>
      </c>
      <c r="AO7" s="11">
        <f>AO6-AP6+AQ6</f>
        <v>12000</v>
      </c>
      <c r="AP7" s="19">
        <v>0</v>
      </c>
      <c r="AQ7" s="11">
        <f>'Rekap PA-KR-KP'!BT7</f>
        <v>0</v>
      </c>
      <c r="AR7" s="58">
        <f>AP6+AR6</f>
        <v>0</v>
      </c>
    </row>
    <row r="8" spans="2:44" x14ac:dyDescent="0.25">
      <c r="B8" s="17"/>
      <c r="C8" s="15"/>
      <c r="D8" s="14"/>
      <c r="E8" s="13"/>
      <c r="F8" s="12">
        <v>0.125</v>
      </c>
      <c r="G8" s="11" t="str">
        <f>IF(H8&lt;200,"KOSONG",IF(H8&gt;12000,"PENUH",IF(H8&gt;=6000,"NORMAL","KOSONG")))</f>
        <v>PENUH</v>
      </c>
      <c r="H8" s="11">
        <f>K7</f>
        <v>14905.2</v>
      </c>
      <c r="I8" s="11">
        <f>'Rekap PA-KR-KP'!I8</f>
        <v>0</v>
      </c>
      <c r="J8" s="58">
        <f>'Rekap PA-KR-KP'!AD8+'Rekap PA-KR-KP'!AM8+'Rekap PA-KR-KP'!AW8</f>
        <v>797.40000000000009</v>
      </c>
      <c r="K8" s="58">
        <f>H8+I8-J8</f>
        <v>14107.800000000001</v>
      </c>
      <c r="M8" s="17"/>
      <c r="N8" s="15"/>
      <c r="O8" s="14"/>
      <c r="P8" s="13"/>
      <c r="Q8" s="12">
        <v>0.125</v>
      </c>
      <c r="R8" s="59" t="str">
        <f>IF(S8&lt;20,"KOSONG",IF(S8&gt;288,"PENUH",IF(S8&gt;=144,"NORMAL",IF(S8&lt;20,"KOSONG","NORMAL"))))</f>
        <v>NORMAL</v>
      </c>
      <c r="S8" s="11">
        <f>V7</f>
        <v>288</v>
      </c>
      <c r="T8" s="60">
        <v>6</v>
      </c>
      <c r="U8" s="47">
        <f>'Rekap PA-KR-KP'!AV8</f>
        <v>0</v>
      </c>
      <c r="V8" s="11">
        <f>S8-T8+U8</f>
        <v>282</v>
      </c>
      <c r="X8" s="17"/>
      <c r="Y8" s="15"/>
      <c r="Z8" s="14"/>
      <c r="AA8" s="13"/>
      <c r="AB8" s="12">
        <v>0.125</v>
      </c>
      <c r="AC8" s="59" t="str">
        <f>IF(AD8&lt;0.5,"KURANG",IF(AD8&gt;1.5,"NORMAL",IF(AD8=3,"NORMAL","KURANG")))</f>
        <v>NORMAL</v>
      </c>
      <c r="AD8" s="11">
        <f>AD7-AE7+AF7</f>
        <v>2.4</v>
      </c>
      <c r="AE8" s="19">
        <v>0</v>
      </c>
      <c r="AF8" s="11">
        <f>'Rekap PA-KR-KP'!BH8</f>
        <v>0</v>
      </c>
      <c r="AG8" s="58">
        <f>AE7+AG7</f>
        <v>0</v>
      </c>
      <c r="AI8" s="17"/>
      <c r="AJ8" s="15"/>
      <c r="AK8" s="14"/>
      <c r="AL8" s="13"/>
      <c r="AM8" s="12">
        <v>0.125</v>
      </c>
      <c r="AN8" s="59" t="str">
        <f>IF(AO8&lt;2000,"KURANG",IF(AO8&gt;8500,"NORMAL",IF(AO8=19000,"NORMAL","KURANG")))</f>
        <v>NORMAL</v>
      </c>
      <c r="AO8" s="11">
        <f>AO7-AP7+AQ7</f>
        <v>12000</v>
      </c>
      <c r="AP8" s="19">
        <v>0</v>
      </c>
      <c r="AQ8" s="11">
        <f>'Rekap PA-KR-KP'!BT8</f>
        <v>0</v>
      </c>
      <c r="AR8" s="58">
        <f>AP7+AR7</f>
        <v>0</v>
      </c>
    </row>
    <row r="9" spans="2:44" x14ac:dyDescent="0.25">
      <c r="B9" s="17"/>
      <c r="C9" s="15"/>
      <c r="D9" s="14"/>
      <c r="E9" s="13"/>
      <c r="F9" s="12">
        <v>0.16666666666666699</v>
      </c>
      <c r="G9" s="11" t="str">
        <f>IF(H9&lt;200,"KOSONG",IF(H9&gt;12000,"PENUH",IF(H9&gt;=6000,"NORMAL","KOSONG")))</f>
        <v>PENUH</v>
      </c>
      <c r="H9" s="11">
        <f>K8</f>
        <v>14107.800000000001</v>
      </c>
      <c r="I9" s="11">
        <f>'Rekap PA-KR-KP'!I9</f>
        <v>0</v>
      </c>
      <c r="J9" s="58">
        <f>'Rekap PA-KR-KP'!AD9+'Rekap PA-KR-KP'!AM9+'Rekap PA-KR-KP'!AW9</f>
        <v>797.40000000000009</v>
      </c>
      <c r="K9" s="58">
        <f>H9+I9-J9</f>
        <v>13310.400000000001</v>
      </c>
      <c r="M9" s="17"/>
      <c r="N9" s="15"/>
      <c r="O9" s="14"/>
      <c r="P9" s="13"/>
      <c r="Q9" s="12">
        <v>0.16666666666666699</v>
      </c>
      <c r="R9" s="59" t="str">
        <f>IF(S9&lt;20,"KOSONG",IF(S9&gt;288,"PENUH",IF(S9&gt;=144,"NORMAL",IF(S9&lt;20,"KOSONG","NORMAL"))))</f>
        <v>NORMAL</v>
      </c>
      <c r="S9" s="11">
        <f>V8</f>
        <v>282</v>
      </c>
      <c r="T9" s="60">
        <v>0</v>
      </c>
      <c r="U9" s="47">
        <f>'Rekap PA-KR-KP'!AV9</f>
        <v>0</v>
      </c>
      <c r="V9" s="11">
        <f>S9-T9+U9</f>
        <v>282</v>
      </c>
      <c r="X9" s="17"/>
      <c r="Y9" s="15"/>
      <c r="Z9" s="14"/>
      <c r="AA9" s="13"/>
      <c r="AB9" s="12">
        <v>0.16666666666666699</v>
      </c>
      <c r="AC9" s="59" t="str">
        <f>IF(AD9&lt;0.5,"KURANG",IF(AD9&gt;1.5,"NORMAL",IF(AD9=3,"NORMAL","KURANG")))</f>
        <v>NORMAL</v>
      </c>
      <c r="AD9" s="11">
        <f>AD8-AE8+AF8</f>
        <v>2.4</v>
      </c>
      <c r="AE9" s="19">
        <v>0</v>
      </c>
      <c r="AF9" s="11">
        <f>'Rekap PA-KR-KP'!BH9</f>
        <v>0</v>
      </c>
      <c r="AG9" s="58">
        <f>AE8+AG8</f>
        <v>0</v>
      </c>
      <c r="AI9" s="17"/>
      <c r="AJ9" s="15"/>
      <c r="AK9" s="14"/>
      <c r="AL9" s="13"/>
      <c r="AM9" s="12">
        <v>0.16666666666666699</v>
      </c>
      <c r="AN9" s="59" t="str">
        <f>IF(AO9&lt;2000,"KURANG",IF(AO9&gt;8500,"NORMAL",IF(AO9=19000,"NORMAL","KURANG")))</f>
        <v>NORMAL</v>
      </c>
      <c r="AO9" s="11">
        <f>AO8-AP8+AQ8</f>
        <v>12000</v>
      </c>
      <c r="AP9" s="19">
        <v>0</v>
      </c>
      <c r="AQ9" s="11">
        <f>'Rekap PA-KR-KP'!BT9</f>
        <v>0</v>
      </c>
      <c r="AR9" s="58">
        <f>AP8+AR8</f>
        <v>0</v>
      </c>
    </row>
    <row r="10" spans="2:44" x14ac:dyDescent="0.25">
      <c r="B10" s="17"/>
      <c r="C10" s="15"/>
      <c r="D10" s="14"/>
      <c r="E10" s="13"/>
      <c r="F10" s="12">
        <v>0.20833333333333301</v>
      </c>
      <c r="G10" s="11" t="str">
        <f>IF(H10&lt;200,"KOSONG",IF(H10&gt;12000,"PENUH",IF(H10&gt;=6000,"NORMAL","KOSONG")))</f>
        <v>PENUH</v>
      </c>
      <c r="H10" s="11">
        <f>K9</f>
        <v>13310.400000000001</v>
      </c>
      <c r="I10" s="11">
        <f>'Rekap PA-KR-KP'!I10</f>
        <v>0</v>
      </c>
      <c r="J10" s="58">
        <f>'Rekap PA-KR-KP'!AD10+'Rekap PA-KR-KP'!AM10+'Rekap PA-KR-KP'!AW10</f>
        <v>797.40000000000009</v>
      </c>
      <c r="K10" s="58">
        <f>H10+I10-J10</f>
        <v>12513.000000000002</v>
      </c>
      <c r="M10" s="17"/>
      <c r="N10" s="15"/>
      <c r="O10" s="14"/>
      <c r="P10" s="13"/>
      <c r="Q10" s="12">
        <v>0.20833333333333301</v>
      </c>
      <c r="R10" s="59" t="str">
        <f>IF(S10&lt;20,"KOSONG",IF(S10&gt;288,"PENUH",IF(S10&gt;=144,"NORMAL",IF(S10&lt;20,"KOSONG","NORMAL"))))</f>
        <v>NORMAL</v>
      </c>
      <c r="S10" s="11">
        <f>V9</f>
        <v>282</v>
      </c>
      <c r="T10" s="60">
        <v>12</v>
      </c>
      <c r="U10" s="47">
        <f>'Rekap PA-KR-KP'!AV10</f>
        <v>0</v>
      </c>
      <c r="V10" s="11">
        <f>S10-T10+U10</f>
        <v>270</v>
      </c>
      <c r="X10" s="17"/>
      <c r="Y10" s="15"/>
      <c r="Z10" s="14"/>
      <c r="AA10" s="13"/>
      <c r="AB10" s="12">
        <v>0.20833333333333301</v>
      </c>
      <c r="AC10" s="59" t="str">
        <f>IF(AD10&lt;0.5,"KURANG",IF(AD10&gt;1.5,"NORMAL",IF(AD10=3,"NORMAL","KURANG")))</f>
        <v>NORMAL</v>
      </c>
      <c r="AD10" s="11">
        <f>AD9-AE9+AF9</f>
        <v>2.4</v>
      </c>
      <c r="AE10" s="19">
        <v>0</v>
      </c>
      <c r="AF10" s="11">
        <f>'Rekap PA-KR-KP'!BH10</f>
        <v>0</v>
      </c>
      <c r="AG10" s="58">
        <f>AE9+AG9</f>
        <v>0</v>
      </c>
      <c r="AI10" s="17"/>
      <c r="AJ10" s="15"/>
      <c r="AK10" s="14"/>
      <c r="AL10" s="13"/>
      <c r="AM10" s="12">
        <v>0.20833333333333301</v>
      </c>
      <c r="AN10" s="59" t="str">
        <f>IF(AO10&lt;2000,"KURANG",IF(AO10&gt;8500,"NORMAL",IF(AO10=19000,"NORMAL","KURANG")))</f>
        <v>NORMAL</v>
      </c>
      <c r="AO10" s="11">
        <f>AO9-AP9+AQ9</f>
        <v>12000</v>
      </c>
      <c r="AP10" s="19">
        <v>0</v>
      </c>
      <c r="AQ10" s="11">
        <f>'Rekap PA-KR-KP'!BT10</f>
        <v>0</v>
      </c>
      <c r="AR10" s="58">
        <f>AP9+AR9</f>
        <v>0</v>
      </c>
    </row>
    <row r="11" spans="2:44" x14ac:dyDescent="0.25">
      <c r="B11" s="17"/>
      <c r="C11" s="15"/>
      <c r="D11" s="14"/>
      <c r="E11" s="13"/>
      <c r="F11" s="12">
        <v>0.25</v>
      </c>
      <c r="G11" s="11" t="str">
        <f>IF(H11&lt;200,"KOSONG",IF(H11&gt;12000,"PENUH",IF(H11&gt;=6000,"NORMAL","KOSONG")))</f>
        <v>PENUH</v>
      </c>
      <c r="H11" s="11">
        <f>K10</f>
        <v>12513.000000000002</v>
      </c>
      <c r="I11" s="11">
        <f>'Rekap PA-KR-KP'!I11</f>
        <v>0</v>
      </c>
      <c r="J11" s="58">
        <f>'Rekap PA-KR-KP'!AD11+'Rekap PA-KR-KP'!AM11+'Rekap PA-KR-KP'!AW11</f>
        <v>1183.1999999999998</v>
      </c>
      <c r="K11" s="58">
        <f>H11+I11-J11</f>
        <v>11329.800000000003</v>
      </c>
      <c r="M11" s="17"/>
      <c r="N11" s="15"/>
      <c r="O11" s="14"/>
      <c r="P11" s="13"/>
      <c r="Q11" s="12">
        <v>0.25</v>
      </c>
      <c r="R11" s="59" t="str">
        <f>IF(S11&lt;20,"KOSONG",IF(S11&gt;288,"PENUH",IF(S11&gt;=144,"NORMAL",IF(S11&lt;20,"KOSONG","NORMAL"))))</f>
        <v>NORMAL</v>
      </c>
      <c r="S11" s="11">
        <f>V10</f>
        <v>270</v>
      </c>
      <c r="T11" s="60">
        <v>90</v>
      </c>
      <c r="U11" s="47">
        <f>'Rekap PA-KR-KP'!AV11</f>
        <v>108.6</v>
      </c>
      <c r="V11" s="11">
        <f>S11-T11+U11</f>
        <v>288.60000000000002</v>
      </c>
      <c r="X11" s="17"/>
      <c r="Y11" s="15"/>
      <c r="Z11" s="14"/>
      <c r="AA11" s="13"/>
      <c r="AB11" s="12">
        <v>0.25</v>
      </c>
      <c r="AC11" s="59" t="str">
        <f>IF(AD11&lt;0.5,"KURANG",IF(AD11&gt;1.5,"NORMAL",IF(AD11=3,"NORMAL","KURANG")))</f>
        <v>NORMAL</v>
      </c>
      <c r="AD11" s="11">
        <f>AD10-AE10+AF10</f>
        <v>2.4</v>
      </c>
      <c r="AE11" s="11">
        <v>0.14299999999999999</v>
      </c>
      <c r="AF11" s="11">
        <f>'Rekap PA-KR-KP'!BH11</f>
        <v>0</v>
      </c>
      <c r="AG11" s="58">
        <f>AE10+AG10</f>
        <v>0</v>
      </c>
      <c r="AI11" s="17"/>
      <c r="AJ11" s="15"/>
      <c r="AK11" s="14"/>
      <c r="AL11" s="13"/>
      <c r="AM11" s="12">
        <v>0.25</v>
      </c>
      <c r="AN11" s="59" t="str">
        <f>IF(AO11&lt;2000,"KURANG",IF(AO11&gt;8500,"NORMAL",IF(AO11=19000,"NORMAL","KURANG")))</f>
        <v>NORMAL</v>
      </c>
      <c r="AO11" s="11">
        <f>AO10-AP10+AQ10</f>
        <v>12000</v>
      </c>
      <c r="AP11" s="19">
        <v>0</v>
      </c>
      <c r="AQ11" s="11">
        <f>'Rekap PA-KR-KP'!BT11</f>
        <v>0</v>
      </c>
      <c r="AR11" s="58">
        <f>AP10+AR10</f>
        <v>0</v>
      </c>
    </row>
    <row r="12" spans="2:44" x14ac:dyDescent="0.25">
      <c r="B12" s="17"/>
      <c r="C12" s="15"/>
      <c r="D12" s="14"/>
      <c r="E12" s="13"/>
      <c r="F12" s="12">
        <v>0.29166666666666702</v>
      </c>
      <c r="G12" s="11" t="str">
        <f>IF(H12&lt;200,"KOSONG",IF(H12&gt;12000,"PENUH",IF(H12&gt;=6000,"NORMAL","KOSONG")))</f>
        <v>NORMAL</v>
      </c>
      <c r="H12" s="11">
        <f>K11</f>
        <v>11329.800000000003</v>
      </c>
      <c r="I12" s="11">
        <f>'Rekap PA-KR-KP'!I12</f>
        <v>4500</v>
      </c>
      <c r="J12" s="58">
        <f>'Rekap PA-KR-KP'!AD12+'Rekap PA-KR-KP'!AM12+'Rekap PA-KR-KP'!AW12</f>
        <v>1183.1999999999998</v>
      </c>
      <c r="K12" s="58">
        <f>H12+I12-J12</f>
        <v>14646.600000000002</v>
      </c>
      <c r="M12" s="17"/>
      <c r="N12" s="15"/>
      <c r="O12" s="14"/>
      <c r="P12" s="13"/>
      <c r="Q12" s="12">
        <v>0.29166666666666702</v>
      </c>
      <c r="R12" s="59" t="str">
        <f>IF(S12&lt;20,"KOSONG",IF(S12&gt;288,"PENUH",IF(S12&gt;=144,"NORMAL",IF(S12&lt;20,"KOSONG","NORMAL"))))</f>
        <v>PENUH</v>
      </c>
      <c r="S12" s="11">
        <f>V11</f>
        <v>288.60000000000002</v>
      </c>
      <c r="T12" s="60">
        <v>90</v>
      </c>
      <c r="U12" s="47">
        <f>'Rekap PA-KR-KP'!AV12</f>
        <v>0</v>
      </c>
      <c r="V12" s="11">
        <f>S12-T12+U12</f>
        <v>198.60000000000002</v>
      </c>
      <c r="X12" s="17"/>
      <c r="Y12" s="15"/>
      <c r="Z12" s="14"/>
      <c r="AA12" s="13"/>
      <c r="AB12" s="12">
        <v>0.29166666666666702</v>
      </c>
      <c r="AC12" s="59" t="str">
        <f>IF(AD12&lt;0.5,"KURANG",IF(AD12&gt;1.5,"NORMAL",IF(AD12=3,"NORMAL","KURANG")))</f>
        <v>NORMAL</v>
      </c>
      <c r="AD12" s="11">
        <f>AD11-AE11+AF11</f>
        <v>2.2570000000000001</v>
      </c>
      <c r="AE12" s="11">
        <v>0</v>
      </c>
      <c r="AF12" s="11">
        <f>'Rekap PA-KR-KP'!BH12</f>
        <v>0</v>
      </c>
      <c r="AG12" s="58">
        <f>AE11+AG11</f>
        <v>0.14299999999999999</v>
      </c>
      <c r="AI12" s="17"/>
      <c r="AJ12" s="15"/>
      <c r="AK12" s="14"/>
      <c r="AL12" s="13"/>
      <c r="AM12" s="12">
        <v>0.29166666666666702</v>
      </c>
      <c r="AN12" s="59" t="str">
        <f>IF(AO12&lt;2000,"KURANG",IF(AO12&gt;8500,"NORMAL",IF(AO12=19000,"NORMAL","KURANG")))</f>
        <v>NORMAL</v>
      </c>
      <c r="AO12" s="11">
        <f>AO11-AP11+AQ11</f>
        <v>12000</v>
      </c>
      <c r="AP12" s="19">
        <v>600</v>
      </c>
      <c r="AQ12" s="11">
        <f>'Rekap PA-KR-KP'!BT12</f>
        <v>0</v>
      </c>
      <c r="AR12" s="58">
        <f>AP11+AR11</f>
        <v>0</v>
      </c>
    </row>
    <row r="13" spans="2:44" x14ac:dyDescent="0.25">
      <c r="B13" s="17"/>
      <c r="C13" s="15"/>
      <c r="D13" s="14"/>
      <c r="E13" s="13"/>
      <c r="F13" s="12">
        <v>0.33333333333333298</v>
      </c>
      <c r="G13" s="11" t="str">
        <f>IF(H13&lt;200,"KOSONG",IF(H13&gt;12000,"PENUH",IF(H13&gt;=6000,"NORMAL","KOSONG")))</f>
        <v>PENUH</v>
      </c>
      <c r="H13" s="11">
        <f>K12</f>
        <v>14646.600000000002</v>
      </c>
      <c r="I13" s="11">
        <f>'Rekap PA-KR-KP'!I13</f>
        <v>0</v>
      </c>
      <c r="J13" s="58">
        <f>'Rekap PA-KR-KP'!AD13+'Rekap PA-KR-KP'!AM13+'Rekap PA-KR-KP'!AW13</f>
        <v>1654.7999999999997</v>
      </c>
      <c r="K13" s="58">
        <f>H13+I13-J13</f>
        <v>12991.800000000003</v>
      </c>
      <c r="M13" s="17"/>
      <c r="N13" s="15"/>
      <c r="O13" s="14"/>
      <c r="P13" s="13"/>
      <c r="Q13" s="12">
        <v>0.33333333333333298</v>
      </c>
      <c r="R13" s="59" t="str">
        <f>IF(S13&lt;20,"KOSONG",IF(S13&gt;288,"PENUH",IF(S13&gt;=144,"NORMAL",IF(S13&lt;20,"KOSONG","NORMAL"))))</f>
        <v>NORMAL</v>
      </c>
      <c r="S13" s="11">
        <f>V12</f>
        <v>198.60000000000002</v>
      </c>
      <c r="T13" s="60">
        <v>90</v>
      </c>
      <c r="U13" s="47">
        <f>'Rekap PA-KR-KP'!AV13</f>
        <v>0</v>
      </c>
      <c r="V13" s="11">
        <f>S13-T13+U13</f>
        <v>108.60000000000002</v>
      </c>
      <c r="X13" s="17"/>
      <c r="Y13" s="15"/>
      <c r="Z13" s="14"/>
      <c r="AA13" s="13"/>
      <c r="AB13" s="12">
        <v>0.33333333333333298</v>
      </c>
      <c r="AC13" s="59" t="str">
        <f>IF(AD13&lt;0.5,"KURANG",IF(AD13&gt;1.5,"NORMAL",IF(AD13=3,"NORMAL","KURANG")))</f>
        <v>NORMAL</v>
      </c>
      <c r="AD13" s="11">
        <f>AD12-AE12+AF12</f>
        <v>2.2570000000000001</v>
      </c>
      <c r="AE13" s="11">
        <v>0</v>
      </c>
      <c r="AF13" s="11">
        <f>'Rekap PA-KR-KP'!BH13</f>
        <v>0</v>
      </c>
      <c r="AG13" s="58">
        <f>AE12+AG12</f>
        <v>0.14299999999999999</v>
      </c>
      <c r="AI13" s="17"/>
      <c r="AJ13" s="15"/>
      <c r="AK13" s="14"/>
      <c r="AL13" s="13"/>
      <c r="AM13" s="12">
        <v>0.33333333333333298</v>
      </c>
      <c r="AN13" s="59" t="str">
        <f>IF(AO13&lt;2000,"KURANG",IF(AO13&gt;8500,"NORMAL",IF(AO13=19000,"NORMAL","KURANG")))</f>
        <v>NORMAL</v>
      </c>
      <c r="AO13" s="11">
        <f>AO12-AP12+AQ12</f>
        <v>11400</v>
      </c>
      <c r="AP13" s="19">
        <v>600</v>
      </c>
      <c r="AQ13" s="11">
        <f>'Rekap PA-KR-KP'!BT13</f>
        <v>0</v>
      </c>
      <c r="AR13" s="58">
        <f>AP12+AR12</f>
        <v>600</v>
      </c>
    </row>
    <row r="14" spans="2:44" x14ac:dyDescent="0.25">
      <c r="B14" s="17"/>
      <c r="C14" s="15"/>
      <c r="D14" s="14"/>
      <c r="E14" s="13"/>
      <c r="F14" s="12">
        <v>0.375</v>
      </c>
      <c r="G14" s="11" t="str">
        <f>IF(H14&lt;200,"KOSONG",IF(H14&gt;12000,"PENUH",IF(H14&gt;=6000,"NORMAL","KOSONG")))</f>
        <v>PENUH</v>
      </c>
      <c r="H14" s="11">
        <f>K13</f>
        <v>12991.800000000003</v>
      </c>
      <c r="I14" s="11">
        <f>'Rekap PA-KR-KP'!I14</f>
        <v>0</v>
      </c>
      <c r="J14" s="58">
        <f>'Rekap PA-KR-KP'!AD14+'Rekap PA-KR-KP'!AM14+'Rekap PA-KR-KP'!AW14</f>
        <v>1654.7999999999997</v>
      </c>
      <c r="K14" s="58">
        <f>H14+I14-J14</f>
        <v>11337.000000000004</v>
      </c>
      <c r="M14" s="17"/>
      <c r="N14" s="15"/>
      <c r="O14" s="14"/>
      <c r="P14" s="13"/>
      <c r="Q14" s="12">
        <v>0.375</v>
      </c>
      <c r="R14" s="59" t="str">
        <f>IF(S14&lt;20,"KOSONG",IF(S14&gt;288,"PENUH",IF(S14&gt;=144,"NORMAL",IF(S14&lt;20,"KOSONG","NORMAL"))))</f>
        <v>NORMAL</v>
      </c>
      <c r="S14" s="11">
        <f>V13</f>
        <v>108.60000000000002</v>
      </c>
      <c r="T14" s="60">
        <v>0</v>
      </c>
      <c r="U14" s="47">
        <f>'Rekap PA-KR-KP'!AV14</f>
        <v>0</v>
      </c>
      <c r="V14" s="11">
        <f>S14-T14+U14</f>
        <v>108.60000000000002</v>
      </c>
      <c r="X14" s="17"/>
      <c r="Y14" s="15"/>
      <c r="Z14" s="14"/>
      <c r="AA14" s="13"/>
      <c r="AB14" s="12">
        <v>0.375</v>
      </c>
      <c r="AC14" s="59" t="str">
        <f>IF(AD14&lt;0.5,"KURANG",IF(AD14&gt;1.5,"NORMAL",IF(AD14=3,"NORMAL","KURANG")))</f>
        <v>NORMAL</v>
      </c>
      <c r="AD14" s="11">
        <f>AD13-AE13+AF13</f>
        <v>2.2570000000000001</v>
      </c>
      <c r="AE14" s="11">
        <v>0</v>
      </c>
      <c r="AF14" s="11">
        <f>'Rekap PA-KR-KP'!BH14</f>
        <v>0</v>
      </c>
      <c r="AG14" s="58">
        <f>AE13+AG13</f>
        <v>0.14299999999999999</v>
      </c>
      <c r="AI14" s="17"/>
      <c r="AJ14" s="15"/>
      <c r="AK14" s="14"/>
      <c r="AL14" s="13"/>
      <c r="AM14" s="12">
        <v>0.375</v>
      </c>
      <c r="AN14" s="59" t="str">
        <f>IF(AO14&lt;2000,"KURANG",IF(AO14&gt;8500,"NORMAL",IF(AO14=19000,"NORMAL","KURANG")))</f>
        <v>NORMAL</v>
      </c>
      <c r="AO14" s="11">
        <f>AO13-AP13+AQ13</f>
        <v>10800</v>
      </c>
      <c r="AP14" s="19">
        <v>800</v>
      </c>
      <c r="AQ14" s="11">
        <f>'Rekap PA-KR-KP'!BT14</f>
        <v>0</v>
      </c>
      <c r="AR14" s="58">
        <f>AP13+AR13</f>
        <v>1200</v>
      </c>
    </row>
    <row r="15" spans="2:44" x14ac:dyDescent="0.25">
      <c r="B15" s="17"/>
      <c r="C15" s="15"/>
      <c r="D15" s="14"/>
      <c r="E15" s="13"/>
      <c r="F15" s="12">
        <v>0.41666666666666702</v>
      </c>
      <c r="G15" s="11" t="str">
        <f>IF(H15&lt;200,"KOSONG",IF(H15&gt;12000,"PENUH",IF(H15&gt;=6000,"NORMAL","KOSONG")))</f>
        <v>NORMAL</v>
      </c>
      <c r="H15" s="11">
        <f>K14</f>
        <v>11337.000000000004</v>
      </c>
      <c r="I15" s="11">
        <f>'Rekap PA-KR-KP'!I15</f>
        <v>4500</v>
      </c>
      <c r="J15" s="58">
        <f>'Rekap PA-KR-KP'!AD15+'Rekap PA-KR-KP'!AM15+'Rekap PA-KR-KP'!AW15</f>
        <v>1654.7999999999997</v>
      </c>
      <c r="K15" s="58">
        <f>H15+I15-J15</f>
        <v>14182.200000000004</v>
      </c>
      <c r="M15" s="17"/>
      <c r="N15" s="15"/>
      <c r="O15" s="14"/>
      <c r="P15" s="13"/>
      <c r="Q15" s="12">
        <v>0.41666666666666702</v>
      </c>
      <c r="R15" s="59" t="str">
        <f>IF(S15&lt;20,"KOSONG",IF(S15&gt;288,"PENUH",IF(S15&gt;=144,"NORMAL",IF(S15&lt;20,"KOSONG","NORMAL"))))</f>
        <v>NORMAL</v>
      </c>
      <c r="S15" s="11">
        <f>V14</f>
        <v>108.60000000000002</v>
      </c>
      <c r="T15" s="60">
        <v>0</v>
      </c>
      <c r="U15" s="47">
        <f>'Rekap PA-KR-KP'!AV15</f>
        <v>0</v>
      </c>
      <c r="V15" s="11">
        <f>S15-T15+U15</f>
        <v>108.60000000000002</v>
      </c>
      <c r="X15" s="17"/>
      <c r="Y15" s="15"/>
      <c r="Z15" s="14"/>
      <c r="AA15" s="13"/>
      <c r="AB15" s="12">
        <v>0.41666666666666702</v>
      </c>
      <c r="AC15" s="59" t="str">
        <f>IF(AD15&lt;0.5,"KURANG",IF(AD15&gt;1.5,"NORMAL",IF(AD15=3,"NORMAL","KURANG")))</f>
        <v>NORMAL</v>
      </c>
      <c r="AD15" s="11">
        <f>AD14-AE14+AF14</f>
        <v>2.2570000000000001</v>
      </c>
      <c r="AE15" s="11">
        <v>0</v>
      </c>
      <c r="AF15" s="11">
        <f>'Rekap PA-KR-KP'!BH15</f>
        <v>0</v>
      </c>
      <c r="AG15" s="58">
        <f>AE14+AG14</f>
        <v>0.14299999999999999</v>
      </c>
      <c r="AI15" s="17"/>
      <c r="AJ15" s="15"/>
      <c r="AK15" s="14"/>
      <c r="AL15" s="13"/>
      <c r="AM15" s="12">
        <v>0.41666666666666702</v>
      </c>
      <c r="AN15" s="59" t="str">
        <f>IF(AO15&lt;2000,"KURANG",IF(AO15&gt;8500,"NORMAL",IF(AO15=19000,"NORMAL","KURANG")))</f>
        <v>NORMAL</v>
      </c>
      <c r="AO15" s="11">
        <f>AO14-AP14+AQ14</f>
        <v>10000</v>
      </c>
      <c r="AP15" s="19">
        <v>500</v>
      </c>
      <c r="AQ15" s="11">
        <f>'Rekap PA-KR-KP'!BT15</f>
        <v>0</v>
      </c>
      <c r="AR15" s="58">
        <f>AP14+AR14</f>
        <v>2000</v>
      </c>
    </row>
    <row r="16" spans="2:44" x14ac:dyDescent="0.25">
      <c r="B16" s="17"/>
      <c r="C16" s="15"/>
      <c r="D16" s="14"/>
      <c r="E16" s="13"/>
      <c r="F16" s="12">
        <v>0.45833333333333298</v>
      </c>
      <c r="G16" s="11" t="str">
        <f>IF(H16&lt;200,"KOSONG",IF(H16&gt;12000,"PENUH",IF(H16&gt;=6000,"NORMAL","KOSONG")))</f>
        <v>PENUH</v>
      </c>
      <c r="H16" s="11">
        <f>K15</f>
        <v>14182.200000000004</v>
      </c>
      <c r="I16" s="11">
        <f>'Rekap PA-KR-KP'!I16</f>
        <v>0</v>
      </c>
      <c r="J16" s="58">
        <f>'Rekap PA-KR-KP'!AD16+'Rekap PA-KR-KP'!AM16+'Rekap PA-KR-KP'!AW16</f>
        <v>1736.2499999999998</v>
      </c>
      <c r="K16" s="58">
        <f>H16+I16-J16</f>
        <v>12445.950000000004</v>
      </c>
      <c r="M16" s="17"/>
      <c r="N16" s="15"/>
      <c r="O16" s="14"/>
      <c r="P16" s="13"/>
      <c r="Q16" s="12">
        <v>0.45833333333333298</v>
      </c>
      <c r="R16" s="59" t="str">
        <f>IF(S16&lt;20,"KOSONG",IF(S16&gt;288,"PENUH",IF(S16&gt;=144,"NORMAL",IF(S16&lt;20,"KOSONG","NORMAL"))))</f>
        <v>NORMAL</v>
      </c>
      <c r="S16" s="11">
        <f>V15</f>
        <v>108.60000000000002</v>
      </c>
      <c r="T16" s="60">
        <v>12</v>
      </c>
      <c r="U16" s="47">
        <f>'Rekap PA-KR-KP'!AV16</f>
        <v>81.449999999999989</v>
      </c>
      <c r="V16" s="11">
        <f>S16-T16+U16</f>
        <v>178.05</v>
      </c>
      <c r="X16" s="17"/>
      <c r="Y16" s="15"/>
      <c r="Z16" s="14"/>
      <c r="AA16" s="13"/>
      <c r="AB16" s="12">
        <v>0.45833333333333298</v>
      </c>
      <c r="AC16" s="59" t="str">
        <f>IF(AD16&lt;0.5,"KURANG",IF(AD16&gt;1.5,"NORMAL",IF(AD16=3,"NORMAL","KURANG")))</f>
        <v>NORMAL</v>
      </c>
      <c r="AD16" s="11">
        <f>AD15-AE15+AF15</f>
        <v>2.2570000000000001</v>
      </c>
      <c r="AE16" s="11">
        <v>0.14299999999999999</v>
      </c>
      <c r="AF16" s="11">
        <f>'Rekap PA-KR-KP'!BH16</f>
        <v>0</v>
      </c>
      <c r="AG16" s="58">
        <f>AE15+AG15</f>
        <v>0.14299999999999999</v>
      </c>
      <c r="AI16" s="17"/>
      <c r="AJ16" s="15"/>
      <c r="AK16" s="14"/>
      <c r="AL16" s="13"/>
      <c r="AM16" s="12">
        <v>0.45833333333333298</v>
      </c>
      <c r="AN16" s="59" t="str">
        <f>IF(AO16&lt;2000,"KURANG",IF(AO16&gt;8500,"NORMAL",IF(AO16=19000,"NORMAL","KURANG")))</f>
        <v>NORMAL</v>
      </c>
      <c r="AO16" s="11">
        <f>AO15-AP15+AQ15</f>
        <v>9500</v>
      </c>
      <c r="AP16" s="19">
        <v>600</v>
      </c>
      <c r="AQ16" s="11">
        <f>'Rekap PA-KR-KP'!BT16</f>
        <v>0</v>
      </c>
      <c r="AR16" s="58">
        <f>AP15+AR15</f>
        <v>2500</v>
      </c>
    </row>
    <row r="17" spans="2:44" x14ac:dyDescent="0.25">
      <c r="B17" s="17"/>
      <c r="C17" s="15"/>
      <c r="D17" s="14"/>
      <c r="E17" s="13"/>
      <c r="F17" s="12">
        <v>0.5</v>
      </c>
      <c r="G17" s="11" t="str">
        <f>IF(H17&lt;200,"KOSONG",IF(H17&gt;12000,"PENUH",IF(H17&gt;=6000,"NORMAL","KOSONG")))</f>
        <v>PENUH</v>
      </c>
      <c r="H17" s="11">
        <f>K16</f>
        <v>12445.950000000004</v>
      </c>
      <c r="I17" s="11">
        <f>'Rekap PA-KR-KP'!I17</f>
        <v>0</v>
      </c>
      <c r="J17" s="58">
        <f>'Rekap PA-KR-KP'!AD17+'Rekap PA-KR-KP'!AM17+'Rekap PA-KR-KP'!AW17</f>
        <v>1736.2499999999998</v>
      </c>
      <c r="K17" s="58">
        <f>H17+I17-J17</f>
        <v>10709.700000000004</v>
      </c>
      <c r="M17" s="17"/>
      <c r="N17" s="15"/>
      <c r="O17" s="14"/>
      <c r="P17" s="13"/>
      <c r="Q17" s="12">
        <v>0.5</v>
      </c>
      <c r="R17" s="59" t="str">
        <f>IF(S17&lt;20,"KOSONG",IF(S17&gt;288,"PENUH",IF(S17&gt;=144,"NORMAL",IF(S17&lt;20,"KOSONG","NORMAL"))))</f>
        <v>NORMAL</v>
      </c>
      <c r="S17" s="11">
        <f>V16</f>
        <v>178.05</v>
      </c>
      <c r="T17" s="60">
        <v>6</v>
      </c>
      <c r="U17" s="47">
        <f>'Rekap PA-KR-KP'!AV17</f>
        <v>0</v>
      </c>
      <c r="V17" s="11">
        <f>S17-T17+U17</f>
        <v>172.05</v>
      </c>
      <c r="X17" s="17"/>
      <c r="Y17" s="15"/>
      <c r="Z17" s="14"/>
      <c r="AA17" s="13"/>
      <c r="AB17" s="12">
        <v>0.5</v>
      </c>
      <c r="AC17" s="59" t="str">
        <f>IF(AD17&lt;0.5,"KURANG",IF(AD17&gt;1.5,"NORMAL",IF(AD17=3,"NORMAL","KURANG")))</f>
        <v>NORMAL</v>
      </c>
      <c r="AD17" s="11">
        <f>AD16-AE16+AF16</f>
        <v>2.1140000000000003</v>
      </c>
      <c r="AE17" s="11">
        <v>0</v>
      </c>
      <c r="AF17" s="11">
        <f>'Rekap PA-KR-KP'!BH17</f>
        <v>0</v>
      </c>
      <c r="AG17" s="58">
        <f>AE16+AG16</f>
        <v>0.28599999999999998</v>
      </c>
      <c r="AI17" s="17"/>
      <c r="AJ17" s="15"/>
      <c r="AK17" s="14"/>
      <c r="AL17" s="13"/>
      <c r="AM17" s="12">
        <v>0.5</v>
      </c>
      <c r="AN17" s="59" t="str">
        <f>IF(AO17&lt;2000,"KURANG",IF(AO17&gt;8500,"NORMAL",IF(AO17=19000,"NORMAL","KURANG")))</f>
        <v>NORMAL</v>
      </c>
      <c r="AO17" s="11">
        <f>AO16-AP16+AQ16</f>
        <v>8900</v>
      </c>
      <c r="AP17" s="19">
        <v>850</v>
      </c>
      <c r="AQ17" s="11">
        <f>'Rekap PA-KR-KP'!BT17</f>
        <v>0</v>
      </c>
      <c r="AR17" s="58">
        <f>AP16+AR16</f>
        <v>3100</v>
      </c>
    </row>
    <row r="18" spans="2:44" x14ac:dyDescent="0.25">
      <c r="B18" s="17"/>
      <c r="C18" s="15"/>
      <c r="D18" s="14"/>
      <c r="E18" s="13"/>
      <c r="F18" s="12">
        <v>0.54166666666666696</v>
      </c>
      <c r="G18" s="11" t="str">
        <f>IF(H18&lt;200,"KOSONG",IF(H18&gt;12000,"PENUH",IF(H18&gt;=6000,"NORMAL","KOSONG")))</f>
        <v>NORMAL</v>
      </c>
      <c r="H18" s="11">
        <f>K17</f>
        <v>10709.700000000004</v>
      </c>
      <c r="I18" s="11">
        <f>'Rekap PA-KR-KP'!I18</f>
        <v>4500</v>
      </c>
      <c r="J18" s="58">
        <f>'Rekap PA-KR-KP'!AD18+'Rekap PA-KR-KP'!AM18+'Rekap PA-KR-KP'!AW18</f>
        <v>1736.2499999999998</v>
      </c>
      <c r="K18" s="58">
        <f>H18+I18-J18</f>
        <v>13473.450000000004</v>
      </c>
      <c r="M18" s="17"/>
      <c r="N18" s="15"/>
      <c r="O18" s="14"/>
      <c r="P18" s="13"/>
      <c r="Q18" s="12">
        <v>0.54166666666666696</v>
      </c>
      <c r="R18" s="59" t="str">
        <f>IF(S18&lt;20,"KOSONG",IF(S18&gt;288,"PENUH",IF(S18&gt;=144,"NORMAL",IF(S18&lt;20,"KOSONG","NORMAL"))))</f>
        <v>NORMAL</v>
      </c>
      <c r="S18" s="11">
        <f>V17</f>
        <v>172.05</v>
      </c>
      <c r="T18" s="60">
        <v>12</v>
      </c>
      <c r="U18" s="47">
        <f>'Rekap PA-KR-KP'!AV18</f>
        <v>0</v>
      </c>
      <c r="V18" s="11">
        <f>S18-T18+U18</f>
        <v>160.05000000000001</v>
      </c>
      <c r="X18" s="17"/>
      <c r="Y18" s="15"/>
      <c r="Z18" s="14"/>
      <c r="AA18" s="13"/>
      <c r="AB18" s="12">
        <v>0.54166666666666696</v>
      </c>
      <c r="AC18" s="59" t="str">
        <f>IF(AD18&lt;0.5,"KURANG",IF(AD18&gt;1.5,"NORMAL",IF(AD18=3,"NORMAL","KURANG")))</f>
        <v>NORMAL</v>
      </c>
      <c r="AD18" s="11">
        <f>AD17-AE17+AF17</f>
        <v>2.1140000000000003</v>
      </c>
      <c r="AE18" s="11">
        <v>0</v>
      </c>
      <c r="AF18" s="11">
        <f>'Rekap PA-KR-KP'!BH18</f>
        <v>0</v>
      </c>
      <c r="AG18" s="58">
        <f>AE17+AG17</f>
        <v>0.28599999999999998</v>
      </c>
      <c r="AI18" s="17"/>
      <c r="AJ18" s="15"/>
      <c r="AK18" s="14"/>
      <c r="AL18" s="13"/>
      <c r="AM18" s="12">
        <v>0.54166666666666696</v>
      </c>
      <c r="AN18" s="59" t="str">
        <f>IF(AO18&lt;2000,"KURANG",IF(AO18&gt;8500,"NORMAL",IF(AO18=19000,"NORMAL","KURANG")))</f>
        <v>KURANG</v>
      </c>
      <c r="AO18" s="11">
        <f>AO17-AP17+AQ17</f>
        <v>8050</v>
      </c>
      <c r="AP18" s="19">
        <v>450</v>
      </c>
      <c r="AQ18" s="11">
        <f>'Rekap PA-KR-KP'!BT18</f>
        <v>0</v>
      </c>
      <c r="AR18" s="58">
        <f>AP17+AR17</f>
        <v>3950</v>
      </c>
    </row>
    <row r="19" spans="2:44" x14ac:dyDescent="0.25">
      <c r="B19" s="17"/>
      <c r="C19" s="15"/>
      <c r="D19" s="14"/>
      <c r="E19" s="13"/>
      <c r="F19" s="12">
        <v>0.58333333333333304</v>
      </c>
      <c r="G19" s="11" t="str">
        <f>IF(H19&lt;200,"KOSONG",IF(H19&gt;12000,"PENUH",IF(H19&gt;=6000,"NORMAL","KOSONG")))</f>
        <v>PENUH</v>
      </c>
      <c r="H19" s="11">
        <f>K18</f>
        <v>13473.450000000004</v>
      </c>
      <c r="I19" s="11">
        <f>'Rekap PA-KR-KP'!I19</f>
        <v>0</v>
      </c>
      <c r="J19" s="58">
        <f>'Rekap PA-KR-KP'!AD19+'Rekap PA-KR-KP'!AM19+'Rekap PA-KR-KP'!AW19</f>
        <v>2013.4499999999998</v>
      </c>
      <c r="K19" s="58">
        <f>H19+I19-J19</f>
        <v>11460.000000000004</v>
      </c>
      <c r="M19" s="17"/>
      <c r="N19" s="15"/>
      <c r="O19" s="14"/>
      <c r="P19" s="13"/>
      <c r="Q19" s="12">
        <v>0.58333333333333304</v>
      </c>
      <c r="R19" s="59" t="str">
        <f>IF(S19&lt;20,"KOSONG",IF(S19&gt;288,"PENUH",IF(S19&gt;=144,"NORMAL",IF(S19&lt;20,"KOSONG","NORMAL"))))</f>
        <v>NORMAL</v>
      </c>
      <c r="S19" s="11">
        <f>V18</f>
        <v>160.05000000000001</v>
      </c>
      <c r="T19" s="60">
        <v>6</v>
      </c>
      <c r="U19" s="47">
        <f>'Rekap PA-KR-KP'!AV19</f>
        <v>0</v>
      </c>
      <c r="V19" s="11">
        <f>S19-T19+U19</f>
        <v>154.05000000000001</v>
      </c>
      <c r="X19" s="17"/>
      <c r="Y19" s="15"/>
      <c r="Z19" s="14"/>
      <c r="AA19" s="13"/>
      <c r="AB19" s="12">
        <v>0.58333333333333304</v>
      </c>
      <c r="AC19" s="59" t="str">
        <f>IF(AD19&lt;0.5,"KURANG",IF(AD19&gt;1.5,"NORMAL",IF(AD19=3,"NORMAL","KURANG")))</f>
        <v>NORMAL</v>
      </c>
      <c r="AD19" s="11">
        <f>AD18-AE18+AF18</f>
        <v>2.1140000000000003</v>
      </c>
      <c r="AE19" s="11">
        <v>0</v>
      </c>
      <c r="AF19" s="11">
        <f>'Rekap PA-KR-KP'!BH19</f>
        <v>0</v>
      </c>
      <c r="AG19" s="58">
        <f>AE18+AG18</f>
        <v>0.28599999999999998</v>
      </c>
      <c r="AI19" s="17"/>
      <c r="AJ19" s="15"/>
      <c r="AK19" s="14"/>
      <c r="AL19" s="13"/>
      <c r="AM19" s="12">
        <v>0.58333333333333304</v>
      </c>
      <c r="AN19" s="59" t="str">
        <f>IF(AO19&lt;2000,"KURANG",IF(AO19&gt;8500,"NORMAL",IF(AO19=19000,"NORMAL","KURANG")))</f>
        <v>KURANG</v>
      </c>
      <c r="AO19" s="11">
        <f>AO18-AP18+AQ18</f>
        <v>7600</v>
      </c>
      <c r="AP19" s="19">
        <v>800</v>
      </c>
      <c r="AQ19" s="11">
        <f>'Rekap PA-KR-KP'!BT19</f>
        <v>0</v>
      </c>
      <c r="AR19" s="58">
        <f>AP18+AR18</f>
        <v>4400</v>
      </c>
    </row>
    <row r="20" spans="2:44" x14ac:dyDescent="0.25">
      <c r="B20" s="17"/>
      <c r="C20" s="15"/>
      <c r="D20" s="14"/>
      <c r="E20" s="13"/>
      <c r="F20" s="12">
        <v>0.625</v>
      </c>
      <c r="G20" s="11" t="str">
        <f>IF(H20&lt;200,"KOSONG",IF(H20&gt;12000,"PENUH",IF(H20&gt;=6000,"NORMAL","KOSONG")))</f>
        <v>NORMAL</v>
      </c>
      <c r="H20" s="11">
        <f>K19</f>
        <v>11460.000000000004</v>
      </c>
      <c r="I20" s="11">
        <f>'Rekap PA-KR-KP'!I20</f>
        <v>4500</v>
      </c>
      <c r="J20" s="58">
        <f>'Rekap PA-KR-KP'!AD20+'Rekap PA-KR-KP'!AM20+'Rekap PA-KR-KP'!AW20</f>
        <v>2013.4499999999998</v>
      </c>
      <c r="K20" s="58">
        <f>H20+I20-J20</f>
        <v>13946.550000000003</v>
      </c>
      <c r="M20" s="17"/>
      <c r="N20" s="15"/>
      <c r="O20" s="14"/>
      <c r="P20" s="13"/>
      <c r="Q20" s="12">
        <v>0.625</v>
      </c>
      <c r="R20" s="59" t="str">
        <f>IF(S20&lt;20,"KOSONG",IF(S20&gt;288,"PENUH",IF(S20&gt;=144,"NORMAL",IF(S20&lt;20,"KOSONG","NORMAL"))))</f>
        <v>NORMAL</v>
      </c>
      <c r="S20" s="11">
        <f>V19</f>
        <v>154.05000000000001</v>
      </c>
      <c r="T20" s="60">
        <v>0</v>
      </c>
      <c r="U20" s="47">
        <f>'Rekap PA-KR-KP'!AV20</f>
        <v>0</v>
      </c>
      <c r="V20" s="11">
        <f>S20-T20+U20</f>
        <v>154.05000000000001</v>
      </c>
      <c r="X20" s="17"/>
      <c r="Y20" s="15"/>
      <c r="Z20" s="14"/>
      <c r="AA20" s="13"/>
      <c r="AB20" s="12">
        <v>0.625</v>
      </c>
      <c r="AC20" s="59" t="str">
        <f>IF(AD20&lt;0.5,"KURANG",IF(AD20&gt;1.5,"NORMAL",IF(AD20=3,"NORMAL","KURANG")))</f>
        <v>NORMAL</v>
      </c>
      <c r="AD20" s="11">
        <f>AD19-AE19+AF19</f>
        <v>2.1140000000000003</v>
      </c>
      <c r="AE20" s="11">
        <v>0</v>
      </c>
      <c r="AF20" s="11">
        <f>'Rekap PA-KR-KP'!BH20</f>
        <v>0</v>
      </c>
      <c r="AG20" s="58">
        <f>AE19+AG19</f>
        <v>0.28599999999999998</v>
      </c>
      <c r="AI20" s="17"/>
      <c r="AJ20" s="15"/>
      <c r="AK20" s="14"/>
      <c r="AL20" s="13"/>
      <c r="AM20" s="12">
        <v>0.625</v>
      </c>
      <c r="AN20" s="59" t="str">
        <f>IF(AO20&lt;2000,"KURANG",IF(AO20&gt;8500,"NORMAL",IF(AO20=19000,"NORMAL","KURANG")))</f>
        <v>KURANG</v>
      </c>
      <c r="AO20" s="11">
        <f>AO19-AP19+AQ19</f>
        <v>6800</v>
      </c>
      <c r="AP20" s="19">
        <v>900</v>
      </c>
      <c r="AQ20" s="11">
        <f>'Rekap PA-KR-KP'!BT20</f>
        <v>0</v>
      </c>
      <c r="AR20" s="58">
        <f>AP19+AR19</f>
        <v>5200</v>
      </c>
    </row>
    <row r="21" spans="2:44" x14ac:dyDescent="0.25">
      <c r="B21" s="17"/>
      <c r="C21" s="15"/>
      <c r="D21" s="14"/>
      <c r="E21" s="13"/>
      <c r="F21" s="12">
        <v>0.66666666666666696</v>
      </c>
      <c r="G21" s="11" t="str">
        <f>IF(H21&lt;200,"KOSONG",IF(H21&gt;12000,"PENUH",IF(H21&gt;=6000,"NORMAL","KOSONG")))</f>
        <v>PENUH</v>
      </c>
      <c r="H21" s="11">
        <f>K20</f>
        <v>13946.550000000003</v>
      </c>
      <c r="I21" s="11">
        <f>'Rekap PA-KR-KP'!I21</f>
        <v>0</v>
      </c>
      <c r="J21" s="58">
        <f>'Rekap PA-KR-KP'!AD21+'Rekap PA-KR-KP'!AM21+'Rekap PA-KR-KP'!AW21</f>
        <v>2122.0499999999997</v>
      </c>
      <c r="K21" s="58">
        <f>H21+I21-J21</f>
        <v>11824.500000000004</v>
      </c>
      <c r="M21" s="17"/>
      <c r="N21" s="15"/>
      <c r="O21" s="14"/>
      <c r="P21" s="13"/>
      <c r="Q21" s="12">
        <v>0.66666666666666696</v>
      </c>
      <c r="R21" s="59" t="str">
        <f>IF(S21&lt;20,"KOSONG",IF(S21&gt;288,"PENUH",IF(S21&gt;=144,"NORMAL",IF(S21&lt;20,"KOSONG","NORMAL"))))</f>
        <v>NORMAL</v>
      </c>
      <c r="S21" s="11">
        <f>V20</f>
        <v>154.05000000000001</v>
      </c>
      <c r="T21" s="60">
        <v>90</v>
      </c>
      <c r="U21" s="47">
        <f>'Rekap PA-KR-KP'!AV21</f>
        <v>108.6</v>
      </c>
      <c r="V21" s="11">
        <f>S21-T21+U21</f>
        <v>172.65</v>
      </c>
      <c r="X21" s="17"/>
      <c r="Y21" s="15"/>
      <c r="Z21" s="14"/>
      <c r="AA21" s="13"/>
      <c r="AB21" s="12">
        <v>0.66666666666666696</v>
      </c>
      <c r="AC21" s="59" t="str">
        <f>IF(AD21&lt;0.5,"KURANG",IF(AD21&gt;1.5,"NORMAL",IF(AD21=3,"NORMAL","KURANG")))</f>
        <v>NORMAL</v>
      </c>
      <c r="AD21" s="11">
        <f>AD20-AE20+AF20</f>
        <v>2.1140000000000003</v>
      </c>
      <c r="AE21" s="11">
        <v>0</v>
      </c>
      <c r="AF21" s="11">
        <f>'Rekap PA-KR-KP'!BH21</f>
        <v>0</v>
      </c>
      <c r="AG21" s="58">
        <f>AE20+AG20</f>
        <v>0.28599999999999998</v>
      </c>
      <c r="AI21" s="17"/>
      <c r="AJ21" s="15"/>
      <c r="AK21" s="14"/>
      <c r="AL21" s="13"/>
      <c r="AM21" s="12">
        <v>0.66666666666666696</v>
      </c>
      <c r="AN21" s="59" t="str">
        <f>IF(AO21&lt;2000,"KURANG",IF(AO21&gt;8500,"NORMAL",IF(AO21=19000,"NORMAL","KURANG")))</f>
        <v>KURANG</v>
      </c>
      <c r="AO21" s="11">
        <f>AO20-AP20+AQ20</f>
        <v>5900</v>
      </c>
      <c r="AP21" s="19">
        <v>700</v>
      </c>
      <c r="AQ21" s="11">
        <f>'Rekap PA-KR-KP'!BT21</f>
        <v>0</v>
      </c>
      <c r="AR21" s="58">
        <f>AP20+AR20</f>
        <v>6100</v>
      </c>
    </row>
    <row r="22" spans="2:44" x14ac:dyDescent="0.25">
      <c r="B22" s="17"/>
      <c r="C22" s="15"/>
      <c r="D22" s="14"/>
      <c r="E22" s="13"/>
      <c r="F22" s="12">
        <v>0.70833333333333304</v>
      </c>
      <c r="G22" s="11" t="str">
        <f>IF(H22&lt;200,"KOSONG",IF(H22&gt;12000,"PENUH",IF(H22&gt;=6000,"NORMAL","KOSONG")))</f>
        <v>NORMAL</v>
      </c>
      <c r="H22" s="11">
        <f>K21</f>
        <v>11824.500000000004</v>
      </c>
      <c r="I22" s="11">
        <f>'Rekap PA-KR-KP'!I22</f>
        <v>4500</v>
      </c>
      <c r="J22" s="58">
        <f>'Rekap PA-KR-KP'!AD22+'Rekap PA-KR-KP'!AM22+'Rekap PA-KR-KP'!AW22</f>
        <v>2122.0499999999997</v>
      </c>
      <c r="K22" s="58">
        <f>H22+I22-J22</f>
        <v>14202.450000000004</v>
      </c>
      <c r="M22" s="17"/>
      <c r="N22" s="15"/>
      <c r="O22" s="14"/>
      <c r="P22" s="13"/>
      <c r="Q22" s="12">
        <v>0.70833333333333304</v>
      </c>
      <c r="R22" s="59" t="str">
        <f>IF(S22&lt;20,"KOSONG",IF(S22&gt;288,"PENUH",IF(S22&gt;=144,"NORMAL",IF(S22&lt;20,"KOSONG","NORMAL"))))</f>
        <v>NORMAL</v>
      </c>
      <c r="S22" s="11">
        <f>V21</f>
        <v>172.65</v>
      </c>
      <c r="T22" s="60">
        <v>45</v>
      </c>
      <c r="U22" s="47">
        <f>'Rekap PA-KR-KP'!AV22</f>
        <v>0</v>
      </c>
      <c r="V22" s="11">
        <f>S22-T22+U22</f>
        <v>127.65</v>
      </c>
      <c r="X22" s="17"/>
      <c r="Y22" s="15"/>
      <c r="Z22" s="14"/>
      <c r="AA22" s="13"/>
      <c r="AB22" s="12">
        <v>0.70833333333333304</v>
      </c>
      <c r="AC22" s="59" t="str">
        <f>IF(AD22&lt;0.5,"KURANG",IF(AD22&gt;1.5,"NORMAL",IF(AD22=3,"NORMAL","KURANG")))</f>
        <v>NORMAL</v>
      </c>
      <c r="AD22" s="11">
        <f>AD21-AE21+AF21</f>
        <v>2.1140000000000003</v>
      </c>
      <c r="AE22" s="11">
        <v>0.14299999999999999</v>
      </c>
      <c r="AF22" s="11">
        <f>'Rekap PA-KR-KP'!BH22</f>
        <v>0</v>
      </c>
      <c r="AG22" s="58">
        <f>AE21+AG21</f>
        <v>0.28599999999999998</v>
      </c>
      <c r="AI22" s="17"/>
      <c r="AJ22" s="15"/>
      <c r="AK22" s="14"/>
      <c r="AL22" s="13"/>
      <c r="AM22" s="12">
        <v>0.70833333333333304</v>
      </c>
      <c r="AN22" s="59" t="str">
        <f>IF(AO22&lt;2000,"KURANG",IF(AO22&gt;8500,"NORMAL",IF(AO22=19000,"NORMAL","KURANG")))</f>
        <v>KURANG</v>
      </c>
      <c r="AO22" s="11">
        <f>AO21-AP21+AQ21</f>
        <v>5200</v>
      </c>
      <c r="AP22" s="19">
        <v>600</v>
      </c>
      <c r="AQ22" s="11">
        <f>'Rekap PA-KR-KP'!BT22</f>
        <v>0</v>
      </c>
      <c r="AR22" s="58">
        <f>AP21+AR21</f>
        <v>6800</v>
      </c>
    </row>
    <row r="23" spans="2:44" x14ac:dyDescent="0.25">
      <c r="B23" s="17"/>
      <c r="C23" s="15"/>
      <c r="D23" s="14"/>
      <c r="E23" s="13"/>
      <c r="F23" s="12">
        <v>0.75</v>
      </c>
      <c r="G23" s="11" t="str">
        <f>IF(H23&lt;200,"KOSONG",IF(H23&gt;12000,"PENUH",IF(H23&gt;=6000,"NORMAL","KOSONG")))</f>
        <v>PENUH</v>
      </c>
      <c r="H23" s="11">
        <f>K22</f>
        <v>14202.450000000004</v>
      </c>
      <c r="I23" s="11">
        <f>'Rekap PA-KR-KP'!I23</f>
        <v>0</v>
      </c>
      <c r="J23" s="58">
        <f>'Rekap PA-KR-KP'!AD23+'Rekap PA-KR-KP'!AM23+'Rekap PA-KR-KP'!AW23</f>
        <v>2316.4499999999998</v>
      </c>
      <c r="K23" s="58">
        <f>H23+I23-J23</f>
        <v>11886.000000000004</v>
      </c>
      <c r="M23" s="17"/>
      <c r="N23" s="15"/>
      <c r="O23" s="14"/>
      <c r="P23" s="13"/>
      <c r="Q23" s="12">
        <v>0.75</v>
      </c>
      <c r="R23" s="59" t="str">
        <f>IF(S23&lt;20,"KOSONG",IF(S23&gt;288,"PENUH",IF(S23&gt;=144,"NORMAL",IF(S23&lt;20,"KOSONG","NORMAL"))))</f>
        <v>NORMAL</v>
      </c>
      <c r="S23" s="11">
        <f>V22</f>
        <v>127.65</v>
      </c>
      <c r="T23" s="60">
        <v>90</v>
      </c>
      <c r="U23" s="47">
        <f>'Rekap PA-KR-KP'!AV23</f>
        <v>0</v>
      </c>
      <c r="V23" s="11">
        <f>S23-T23+U23</f>
        <v>37.650000000000006</v>
      </c>
      <c r="X23" s="17"/>
      <c r="Y23" s="15"/>
      <c r="Z23" s="14"/>
      <c r="AA23" s="13"/>
      <c r="AB23" s="12">
        <v>0.75</v>
      </c>
      <c r="AC23" s="59" t="str">
        <f>IF(AD23&lt;0.5,"KURANG",IF(AD23&gt;1.5,"NORMAL",IF(AD23=3,"NORMAL","KURANG")))</f>
        <v>NORMAL</v>
      </c>
      <c r="AD23" s="11">
        <f>AD22-AE22+AF22</f>
        <v>1.9710000000000003</v>
      </c>
      <c r="AE23" s="11">
        <v>0</v>
      </c>
      <c r="AF23" s="11">
        <f>'Rekap PA-KR-KP'!BH23</f>
        <v>0</v>
      </c>
      <c r="AG23" s="58">
        <f>AE22+AG22</f>
        <v>0.42899999999999994</v>
      </c>
      <c r="AI23" s="17"/>
      <c r="AJ23" s="15"/>
      <c r="AK23" s="14"/>
      <c r="AL23" s="13"/>
      <c r="AM23" s="12">
        <v>0.75</v>
      </c>
      <c r="AN23" s="59" t="str">
        <f>IF(AO23&lt;2000,"KURANG",IF(AO23&gt;8500,"NORMAL",IF(AO23=19000,"NORMAL","KURANG")))</f>
        <v>KURANG</v>
      </c>
      <c r="AO23" s="11">
        <f>AO22-AP22+AQ22</f>
        <v>4600</v>
      </c>
      <c r="AP23" s="19">
        <v>250</v>
      </c>
      <c r="AQ23" s="11">
        <f>'Rekap PA-KR-KP'!BT23</f>
        <v>0</v>
      </c>
      <c r="AR23" s="58">
        <f>AP22+AR22</f>
        <v>7400</v>
      </c>
    </row>
    <row r="24" spans="2:44" x14ac:dyDescent="0.25">
      <c r="B24" s="17"/>
      <c r="C24" s="15"/>
      <c r="D24" s="14"/>
      <c r="E24" s="13"/>
      <c r="F24" s="12">
        <v>0.79166666666666696</v>
      </c>
      <c r="G24" s="11" t="str">
        <f>IF(H24&lt;200,"KOSONG",IF(H24&gt;12000,"PENUH",IF(H24&gt;=6000,"NORMAL","KOSONG")))</f>
        <v>NORMAL</v>
      </c>
      <c r="H24" s="11">
        <f>K23</f>
        <v>11886.000000000004</v>
      </c>
      <c r="I24" s="11">
        <f>'Rekap PA-KR-KP'!I24</f>
        <v>4500</v>
      </c>
      <c r="J24" s="58">
        <f>'Rekap PA-KR-KP'!AD24+'Rekap PA-KR-KP'!AM24+'Rekap PA-KR-KP'!AW24</f>
        <v>2593.65</v>
      </c>
      <c r="K24" s="58">
        <f>H24+I24-J24</f>
        <v>13792.350000000004</v>
      </c>
      <c r="M24" s="17"/>
      <c r="N24" s="15"/>
      <c r="O24" s="14"/>
      <c r="P24" s="13"/>
      <c r="Q24" s="12">
        <v>0.79166666666666696</v>
      </c>
      <c r="R24" s="59" t="str">
        <f>IF(S24&lt;20,"KOSONG",IF(S24&gt;288,"PENUH",IF(S24&gt;=144,"NORMAL",IF(S24&lt;20,"KOSONG","NORMAL"))))</f>
        <v>NORMAL</v>
      </c>
      <c r="S24" s="11">
        <f>V23</f>
        <v>37.650000000000006</v>
      </c>
      <c r="T24" s="60">
        <v>0</v>
      </c>
      <c r="U24" s="47">
        <f>'Rekap PA-KR-KP'!AV24</f>
        <v>0</v>
      </c>
      <c r="V24" s="11">
        <f>S24-T24+U24</f>
        <v>37.650000000000006</v>
      </c>
      <c r="X24" s="17"/>
      <c r="Y24" s="15"/>
      <c r="Z24" s="14"/>
      <c r="AA24" s="13"/>
      <c r="AB24" s="12">
        <v>0.79166666666666696</v>
      </c>
      <c r="AC24" s="59" t="str">
        <f>IF(AD24&lt;0.5,"KURANG",IF(AD24&gt;1.5,"NORMAL",IF(AD24=3,"NORMAL","KURANG")))</f>
        <v>NORMAL</v>
      </c>
      <c r="AD24" s="11">
        <f>AD23-AE23+AF23</f>
        <v>1.9710000000000003</v>
      </c>
      <c r="AE24" s="19">
        <v>0</v>
      </c>
      <c r="AF24" s="11">
        <f>'Rekap PA-KR-KP'!BH24</f>
        <v>0</v>
      </c>
      <c r="AG24" s="58">
        <f>AE23+AG23</f>
        <v>0.42899999999999994</v>
      </c>
      <c r="AI24" s="17"/>
      <c r="AJ24" s="15"/>
      <c r="AK24" s="14"/>
      <c r="AL24" s="13"/>
      <c r="AM24" s="12">
        <v>0.79166666666666696</v>
      </c>
      <c r="AN24" s="59" t="str">
        <f>IF(AO24&lt;2000,"KURANG",IF(AO24&gt;8500,"NORMAL",IF(AO24=19000,"NORMAL","KURANG")))</f>
        <v>KURANG</v>
      </c>
      <c r="AO24" s="11">
        <f>AO23-AP23+AQ23</f>
        <v>4350</v>
      </c>
      <c r="AP24" s="19">
        <v>400</v>
      </c>
      <c r="AQ24" s="11">
        <f>'Rekap PA-KR-KP'!BT24</f>
        <v>0</v>
      </c>
      <c r="AR24" s="58">
        <f>AP23+AR23</f>
        <v>7650</v>
      </c>
    </row>
    <row r="25" spans="2:44" x14ac:dyDescent="0.25">
      <c r="B25" s="17"/>
      <c r="C25" s="15"/>
      <c r="D25" s="14"/>
      <c r="E25" s="13"/>
      <c r="F25" s="12">
        <v>0.83333333333333304</v>
      </c>
      <c r="G25" s="11" t="str">
        <f>IF(H25&lt;200,"KOSONG",IF(H25&gt;12000,"PENUH",IF(H25&gt;=6000,"NORMAL","KOSONG")))</f>
        <v>PENUH</v>
      </c>
      <c r="H25" s="11">
        <f>K24</f>
        <v>13792.350000000004</v>
      </c>
      <c r="I25" s="11">
        <f>'Rekap PA-KR-KP'!I25</f>
        <v>0</v>
      </c>
      <c r="J25" s="58">
        <f>'Rekap PA-KR-KP'!AD25+'Rekap PA-KR-KP'!AM25+'Rekap PA-KR-KP'!AW25</f>
        <v>2870.85</v>
      </c>
      <c r="K25" s="58">
        <f>H25+I25-J25</f>
        <v>10921.500000000004</v>
      </c>
      <c r="M25" s="17"/>
      <c r="N25" s="15"/>
      <c r="O25" s="14"/>
      <c r="P25" s="13"/>
      <c r="Q25" s="12">
        <v>0.83333333333333304</v>
      </c>
      <c r="R25" s="59" t="str">
        <f>IF(S25&lt;20,"KOSONG",IF(S25&gt;288,"PENUH",IF(S25&gt;=144,"NORMAL",IF(S25&lt;20,"KOSONG","NORMAL"))))</f>
        <v>NORMAL</v>
      </c>
      <c r="S25" s="11">
        <f>V24</f>
        <v>37.650000000000006</v>
      </c>
      <c r="T25" s="60">
        <v>6</v>
      </c>
      <c r="U25" s="47">
        <f>'Rekap PA-KR-KP'!AV25</f>
        <v>0</v>
      </c>
      <c r="V25" s="11">
        <f>S25-T25+U25</f>
        <v>31.650000000000006</v>
      </c>
      <c r="X25" s="17"/>
      <c r="Y25" s="15"/>
      <c r="Z25" s="14"/>
      <c r="AA25" s="13"/>
      <c r="AB25" s="12">
        <v>0.83333333333333304</v>
      </c>
      <c r="AC25" s="59" t="str">
        <f>IF(AD25&lt;0.5,"KURANG",IF(AD25&gt;1.5,"NORMAL",IF(AD25=3,"NORMAL","KURANG")))</f>
        <v>NORMAL</v>
      </c>
      <c r="AD25" s="11">
        <f>AD24-AE24+AF24</f>
        <v>1.9710000000000003</v>
      </c>
      <c r="AE25" s="19">
        <v>0</v>
      </c>
      <c r="AF25" s="11">
        <f>'Rekap PA-KR-KP'!BH25</f>
        <v>0</v>
      </c>
      <c r="AG25" s="58">
        <f>AE24+AG24</f>
        <v>0.42899999999999994</v>
      </c>
      <c r="AI25" s="17"/>
      <c r="AJ25" s="15"/>
      <c r="AK25" s="14"/>
      <c r="AL25" s="13"/>
      <c r="AM25" s="12">
        <v>0.83333333333333304</v>
      </c>
      <c r="AN25" s="59" t="str">
        <f>IF(AO25&lt;2000,"KURANG",IF(AO25&gt;8500,"NORMAL",IF(AO25=19000,"NORMAL","KURANG")))</f>
        <v>KURANG</v>
      </c>
      <c r="AO25" s="11">
        <f>AO24-AP24+AQ24</f>
        <v>3950</v>
      </c>
      <c r="AP25" s="19">
        <v>0</v>
      </c>
      <c r="AQ25" s="11">
        <f>'Rekap PA-KR-KP'!BT25</f>
        <v>0</v>
      </c>
      <c r="AR25" s="58">
        <f>AP24+AR24</f>
        <v>8050</v>
      </c>
    </row>
    <row r="26" spans="2:44" x14ac:dyDescent="0.25">
      <c r="B26" s="17"/>
      <c r="C26" s="15"/>
      <c r="D26" s="14"/>
      <c r="E26" s="13"/>
      <c r="F26" s="12">
        <v>0.875</v>
      </c>
      <c r="G26" s="11" t="str">
        <f>IF(H26&lt;200,"KOSONG",IF(H26&gt;12000,"PENUH",IF(H26&gt;=6000,"NORMAL","KOSONG")))</f>
        <v>NORMAL</v>
      </c>
      <c r="H26" s="11">
        <f>K25</f>
        <v>10921.500000000004</v>
      </c>
      <c r="I26" s="11">
        <f>'Rekap PA-KR-KP'!I26</f>
        <v>4500</v>
      </c>
      <c r="J26" s="58">
        <f>'Rekap PA-KR-KP'!AD26+'Rekap PA-KR-KP'!AM26+'Rekap PA-KR-KP'!AW26</f>
        <v>2870.85</v>
      </c>
      <c r="K26" s="58">
        <f>H26+I26-J26</f>
        <v>12550.650000000003</v>
      </c>
      <c r="M26" s="17"/>
      <c r="N26" s="15"/>
      <c r="O26" s="14"/>
      <c r="P26" s="13"/>
      <c r="Q26" s="12">
        <v>0.875</v>
      </c>
      <c r="R26" s="59" t="str">
        <f>IF(S26&lt;20,"KOSONG",IF(S26&gt;288,"PENUH",IF(S26&gt;=144,"NORMAL",IF(S26&lt;20,"KOSONG","NORMAL"))))</f>
        <v>NORMAL</v>
      </c>
      <c r="S26" s="11">
        <f>V25</f>
        <v>31.650000000000006</v>
      </c>
      <c r="T26" s="60">
        <v>12</v>
      </c>
      <c r="U26" s="47">
        <f>'Rekap PA-KR-KP'!AV26</f>
        <v>0</v>
      </c>
      <c r="V26" s="11">
        <f>S26-T26+U26</f>
        <v>19.650000000000006</v>
      </c>
      <c r="X26" s="17"/>
      <c r="Y26" s="15"/>
      <c r="Z26" s="14"/>
      <c r="AA26" s="13"/>
      <c r="AB26" s="12">
        <v>0.875</v>
      </c>
      <c r="AC26" s="59" t="str">
        <f>IF(AD26&lt;0.5,"KURANG",IF(AD26&gt;1.5,"NORMAL",IF(AD26=3,"NORMAL","KURANG")))</f>
        <v>NORMAL</v>
      </c>
      <c r="AD26" s="11">
        <f>AD25-AE25+AF25</f>
        <v>1.9710000000000003</v>
      </c>
      <c r="AE26" s="19">
        <v>0</v>
      </c>
      <c r="AF26" s="11">
        <f>'Rekap PA-KR-KP'!BH26</f>
        <v>0</v>
      </c>
      <c r="AG26" s="58">
        <f>AE25+AG25</f>
        <v>0.42899999999999994</v>
      </c>
      <c r="AI26" s="17"/>
      <c r="AJ26" s="15"/>
      <c r="AK26" s="14"/>
      <c r="AL26" s="13"/>
      <c r="AM26" s="12">
        <v>0.875</v>
      </c>
      <c r="AN26" s="59" t="str">
        <f>IF(AO26&lt;2000,"KURANG",IF(AO26&gt;8500,"NORMAL",IF(AO26=19000,"NORMAL","KURANG")))</f>
        <v>KURANG</v>
      </c>
      <c r="AO26" s="11">
        <f>AO25-AP25+AQ25</f>
        <v>3950</v>
      </c>
      <c r="AP26" s="19">
        <v>0</v>
      </c>
      <c r="AQ26" s="11">
        <f>'Rekap PA-KR-KP'!BT26</f>
        <v>0</v>
      </c>
      <c r="AR26" s="58">
        <f>AP25+AR25</f>
        <v>8050</v>
      </c>
    </row>
    <row r="27" spans="2:44" x14ac:dyDescent="0.25">
      <c r="B27" s="17"/>
      <c r="C27" s="15"/>
      <c r="D27" s="14"/>
      <c r="E27" s="13"/>
      <c r="F27" s="12">
        <v>0.91666666666666696</v>
      </c>
      <c r="G27" s="11" t="str">
        <f>IF(H27&lt;200,"KOSONG",IF(H27&gt;12000,"PENUH",IF(H27&gt;=6000,"NORMAL","KOSONG")))</f>
        <v>PENUH</v>
      </c>
      <c r="H27" s="11">
        <f>K26</f>
        <v>12550.650000000003</v>
      </c>
      <c r="I27" s="11">
        <f>'Rekap PA-KR-KP'!I27</f>
        <v>0</v>
      </c>
      <c r="J27" s="58">
        <f>'Rekap PA-KR-KP'!AD27+'Rekap PA-KR-KP'!AM27+'Rekap PA-KR-KP'!AW27</f>
        <v>2952.3</v>
      </c>
      <c r="K27" s="58">
        <f>H27+I27-J27</f>
        <v>9598.3500000000022</v>
      </c>
      <c r="M27" s="17"/>
      <c r="N27" s="15"/>
      <c r="O27" s="14"/>
      <c r="P27" s="13"/>
      <c r="Q27" s="12">
        <v>0.91666666666666696</v>
      </c>
      <c r="R27" s="59" t="str">
        <f>IF(S27&lt;20,"KOSONG",IF(S27&gt;288,"PENUH",IF(S27&gt;=144,"NORMAL",IF(S27&lt;20,"KOSONG","NORMAL"))))</f>
        <v>KOSONG</v>
      </c>
      <c r="S27" s="11">
        <f>V26</f>
        <v>19.650000000000006</v>
      </c>
      <c r="T27" s="60">
        <v>12</v>
      </c>
      <c r="U27" s="47">
        <f>'Rekap PA-KR-KP'!AV27</f>
        <v>81.449999999999989</v>
      </c>
      <c r="V27" s="11">
        <f>S27-T27+U27</f>
        <v>89.1</v>
      </c>
      <c r="X27" s="17"/>
      <c r="Y27" s="15"/>
      <c r="Z27" s="14"/>
      <c r="AA27" s="13"/>
      <c r="AB27" s="12">
        <v>0.91666666666666696</v>
      </c>
      <c r="AC27" s="59" t="str">
        <f>IF(AD27&lt;0.5,"KURANG",IF(AD27&gt;1.5,"NORMAL",IF(AD27=3,"NORMAL","KURANG")))</f>
        <v>NORMAL</v>
      </c>
      <c r="AD27" s="11">
        <f>AD26-AE26+AF26</f>
        <v>1.9710000000000003</v>
      </c>
      <c r="AE27" s="19">
        <v>0</v>
      </c>
      <c r="AF27" s="11">
        <f>'Rekap PA-KR-KP'!BH27</f>
        <v>0</v>
      </c>
      <c r="AG27" s="58">
        <f>AE26+AG26</f>
        <v>0.42899999999999994</v>
      </c>
      <c r="AI27" s="17"/>
      <c r="AJ27" s="15"/>
      <c r="AK27" s="14"/>
      <c r="AL27" s="13"/>
      <c r="AM27" s="12">
        <v>0.91666666666666696</v>
      </c>
      <c r="AN27" s="59" t="str">
        <f>IF(AO27&lt;2000,"KURANG",IF(AO27&gt;8500,"NORMAL",IF(AO27=19000,"NORMAL","KURANG")))</f>
        <v>KURANG</v>
      </c>
      <c r="AO27" s="11">
        <f>AO26-AP26+AQ26</f>
        <v>3950</v>
      </c>
      <c r="AP27" s="19">
        <v>0</v>
      </c>
      <c r="AQ27" s="11">
        <f>'Rekap PA-KR-KP'!BT27</f>
        <v>0</v>
      </c>
      <c r="AR27" s="58">
        <f>AP26+AR26</f>
        <v>8050</v>
      </c>
    </row>
    <row r="28" spans="2:44" x14ac:dyDescent="0.25">
      <c r="B28" s="17"/>
      <c r="C28" s="15"/>
      <c r="D28" s="14"/>
      <c r="E28" s="13"/>
      <c r="F28" s="12">
        <v>0.95833333333333304</v>
      </c>
      <c r="G28" s="11" t="str">
        <f>IF(H28&lt;200,"KOSONG",IF(H28&gt;12000,"PENUH",IF(H28&gt;=6000,"NORMAL","KOSONG")))</f>
        <v>NORMAL</v>
      </c>
      <c r="H28" s="11">
        <f>K27</f>
        <v>9598.3500000000022</v>
      </c>
      <c r="I28" s="11">
        <f>'Rekap PA-KR-KP'!I28</f>
        <v>4500</v>
      </c>
      <c r="J28" s="58">
        <f>'Rekap PA-KR-KP'!AD28+'Rekap PA-KR-KP'!AM28+'Rekap PA-KR-KP'!AW28</f>
        <v>2952.3</v>
      </c>
      <c r="K28" s="58">
        <f>H28+I28-J28</f>
        <v>11146.050000000003</v>
      </c>
      <c r="M28" s="17"/>
      <c r="N28" s="15"/>
      <c r="O28" s="14"/>
      <c r="P28" s="13"/>
      <c r="Q28" s="12">
        <v>0.95833333333333304</v>
      </c>
      <c r="R28" s="59" t="str">
        <f>IF(S28&lt;20,"KOSONG",IF(S28&gt;288,"PENUH",IF(S28&gt;=144,"NORMAL",IF(S28&lt;20,"KOSONG","NORMAL"))))</f>
        <v>NORMAL</v>
      </c>
      <c r="S28" s="11">
        <f>V27</f>
        <v>89.1</v>
      </c>
      <c r="T28" s="60">
        <v>6</v>
      </c>
      <c r="U28" s="47">
        <f>'Rekap PA-KR-KP'!AV28</f>
        <v>0</v>
      </c>
      <c r="V28" s="11">
        <f>S28-T28+U28</f>
        <v>83.1</v>
      </c>
      <c r="X28" s="17"/>
      <c r="Y28" s="15"/>
      <c r="Z28" s="14"/>
      <c r="AA28" s="13"/>
      <c r="AB28" s="12">
        <v>0.95833333333333304</v>
      </c>
      <c r="AC28" s="59" t="str">
        <f>IF(AD28&lt;0.5,"KURANG",IF(AD28&gt;1.5,"NORMAL",IF(AD28=3,"NORMAL","KURANG")))</f>
        <v>NORMAL</v>
      </c>
      <c r="AD28" s="11">
        <f>AD27-AE27+AF27</f>
        <v>1.9710000000000003</v>
      </c>
      <c r="AE28" s="11">
        <v>0</v>
      </c>
      <c r="AF28" s="11">
        <f>'Rekap PA-KR-KP'!BH28</f>
        <v>0</v>
      </c>
      <c r="AG28" s="58">
        <f>AE27+AG27</f>
        <v>0.42899999999999994</v>
      </c>
      <c r="AI28" s="17"/>
      <c r="AJ28" s="15"/>
      <c r="AK28" s="14"/>
      <c r="AL28" s="13"/>
      <c r="AM28" s="12">
        <v>0.95833333333333304</v>
      </c>
      <c r="AN28" s="59" t="str">
        <f>IF(AO28&lt;2000,"KURANG",IF(AO28&gt;8500,"NORMAL",IF(AO28=19000,"NORMAL","KURANG")))</f>
        <v>KURANG</v>
      </c>
      <c r="AO28" s="11">
        <f>AO27-AP27+AQ27</f>
        <v>3950</v>
      </c>
      <c r="AP28" s="11">
        <v>0</v>
      </c>
      <c r="AQ28" s="11">
        <f>'Rekap PA-KR-KP'!BT28</f>
        <v>0</v>
      </c>
      <c r="AR28" s="58">
        <f>AP27+AR27</f>
        <v>8050</v>
      </c>
    </row>
    <row r="29" spans="2:44" ht="15.75" thickBot="1" x14ac:dyDescent="0.3">
      <c r="B29" s="9"/>
      <c r="C29" s="7"/>
      <c r="D29" s="6"/>
      <c r="E29" s="5"/>
      <c r="F29" s="4">
        <v>1</v>
      </c>
      <c r="G29" s="3" t="str">
        <f>IF(H29&lt;200,"KOSONG",IF(H29&gt;12000,"PENUH",IF(H29&gt;=6000,"NORMAL","KOSONG")))</f>
        <v>NORMAL</v>
      </c>
      <c r="H29" s="3">
        <f>K28</f>
        <v>11146.050000000003</v>
      </c>
      <c r="I29" s="3">
        <f>'Rekap PA-KR-KP'!I29</f>
        <v>4500</v>
      </c>
      <c r="J29" s="55">
        <f>'Rekap PA-KR-KP'!AD29+'Rekap PA-KR-KP'!AM29+'Rekap PA-KR-KP'!AW29</f>
        <v>2952.3</v>
      </c>
      <c r="K29" s="55">
        <f>H29+I29-J29</f>
        <v>12693.750000000004</v>
      </c>
      <c r="M29" s="9"/>
      <c r="N29" s="7"/>
      <c r="O29" s="6"/>
      <c r="P29" s="5"/>
      <c r="Q29" s="4">
        <v>1</v>
      </c>
      <c r="R29" s="56" t="str">
        <f>IF(S29&lt;20,"KOSONG",IF(S29&gt;288,"PENUH",IF(S29&gt;=144,"NORMAL",IF(S29&lt;20,"KOSONG","NORMAL"))))</f>
        <v>NORMAL</v>
      </c>
      <c r="S29" s="3">
        <f>V28</f>
        <v>83.1</v>
      </c>
      <c r="T29" s="57">
        <v>0</v>
      </c>
      <c r="U29" s="43">
        <f>'Rekap PA-KR-KP'!AV29</f>
        <v>0</v>
      </c>
      <c r="V29" s="3">
        <f>S29-T29+U29</f>
        <v>83.1</v>
      </c>
      <c r="X29" s="9"/>
      <c r="Y29" s="7"/>
      <c r="Z29" s="6"/>
      <c r="AA29" s="5"/>
      <c r="AB29" s="4">
        <v>1</v>
      </c>
      <c r="AC29" s="56" t="str">
        <f>IF(AD29&lt;0.5,"KURANG",IF(AD29&gt;1.5,"NORMAL",IF(AD29=3,"NORMAL","KURANG")))</f>
        <v>NORMAL</v>
      </c>
      <c r="AD29" s="3">
        <f>AD28-AE28+AF28</f>
        <v>1.9710000000000003</v>
      </c>
      <c r="AE29" s="3">
        <v>0</v>
      </c>
      <c r="AF29" s="3">
        <f>'Rekap PA-KR-KP'!BH29</f>
        <v>0</v>
      </c>
      <c r="AG29" s="55">
        <f>AE28+AG28</f>
        <v>0.42899999999999994</v>
      </c>
      <c r="AI29" s="9"/>
      <c r="AJ29" s="7"/>
      <c r="AK29" s="6"/>
      <c r="AL29" s="5"/>
      <c r="AM29" s="4">
        <v>1</v>
      </c>
      <c r="AN29" s="56" t="str">
        <f>IF(AO29&lt;2000,"KURANG",IF(AO29&gt;8500,"NORMAL",IF(AO29=19000,"NORMAL","KURANG")))</f>
        <v>KURANG</v>
      </c>
      <c r="AO29" s="3">
        <f>AO28-AP28+AQ28</f>
        <v>3950</v>
      </c>
      <c r="AP29" s="3">
        <v>0</v>
      </c>
      <c r="AQ29" s="3">
        <f>'Rekap PA-KR-KP'!BT29</f>
        <v>0</v>
      </c>
      <c r="AR29" s="55">
        <f>AP28+AR28</f>
        <v>8050</v>
      </c>
    </row>
    <row r="54" spans="5:5" x14ac:dyDescent="0.25">
      <c r="E5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Rekap AO-ALL</vt:lpstr>
      <vt:lpstr>Rekap AO-LIGHT</vt:lpstr>
      <vt:lpstr>Rekap PA-KR-KP</vt:lpstr>
      <vt:lpstr>Rekap TD-BAK-GS</vt:lpstr>
    </vt:vector>
  </TitlesOfParts>
  <Company>VCP Studio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STUDIO_10</dc:creator>
  <cp:lastModifiedBy>STUDIO_10</cp:lastModifiedBy>
  <dcterms:created xsi:type="dcterms:W3CDTF">2021-08-05T09:17:24Z</dcterms:created>
  <dcterms:modified xsi:type="dcterms:W3CDTF">2021-08-05T09:17:40Z</dcterms:modified>
</cp:coreProperties>
</file>