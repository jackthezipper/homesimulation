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Data Iklim" sheetId="1" r:id="rId1"/>
  </sheets>
  <calcPr calcId="145621"/>
</workbook>
</file>

<file path=xl/calcChain.xml><?xml version="1.0" encoding="utf-8"?>
<calcChain xmlns="http://schemas.openxmlformats.org/spreadsheetml/2006/main">
  <c r="Y29" i="1" l="1"/>
  <c r="M29" i="1"/>
  <c r="L29" i="1"/>
  <c r="Y28" i="1"/>
  <c r="M28" i="1"/>
  <c r="L28" i="1"/>
  <c r="Y27" i="1"/>
  <c r="M27" i="1"/>
  <c r="L27" i="1"/>
  <c r="Y26" i="1"/>
  <c r="M26" i="1"/>
  <c r="L26" i="1"/>
  <c r="Y25" i="1"/>
  <c r="M25" i="1"/>
  <c r="L25" i="1"/>
  <c r="Y24" i="1"/>
  <c r="M24" i="1"/>
  <c r="L24" i="1"/>
  <c r="Y23" i="1"/>
  <c r="M23" i="1"/>
  <c r="L23" i="1"/>
  <c r="Y22" i="1"/>
  <c r="M22" i="1"/>
  <c r="L22" i="1"/>
  <c r="Y21" i="1"/>
  <c r="M21" i="1"/>
  <c r="L21" i="1"/>
  <c r="Y20" i="1"/>
  <c r="M20" i="1"/>
  <c r="L20" i="1"/>
  <c r="Y19" i="1"/>
  <c r="M19" i="1"/>
  <c r="L19" i="1"/>
  <c r="Y18" i="1"/>
  <c r="M18" i="1"/>
  <c r="L18" i="1"/>
  <c r="Y17" i="1"/>
  <c r="M17" i="1"/>
  <c r="L17" i="1"/>
  <c r="Y16" i="1"/>
  <c r="M16" i="1"/>
  <c r="L16" i="1"/>
  <c r="Y15" i="1"/>
  <c r="M15" i="1"/>
  <c r="L15" i="1"/>
  <c r="Y14" i="1"/>
  <c r="M14" i="1"/>
  <c r="L14" i="1"/>
  <c r="Y13" i="1"/>
  <c r="M13" i="1"/>
  <c r="L13" i="1"/>
  <c r="Y12" i="1"/>
  <c r="M12" i="1"/>
  <c r="L12" i="1"/>
  <c r="Y11" i="1"/>
  <c r="M11" i="1"/>
  <c r="L11" i="1"/>
  <c r="Y10" i="1"/>
  <c r="M10" i="1"/>
  <c r="L10" i="1"/>
  <c r="Y9" i="1"/>
  <c r="M9" i="1"/>
  <c r="L9" i="1"/>
  <c r="Y8" i="1"/>
  <c r="M8" i="1"/>
  <c r="L8" i="1"/>
  <c r="Y7" i="1"/>
  <c r="M7" i="1"/>
  <c r="L7" i="1"/>
  <c r="Y6" i="1"/>
  <c r="M6" i="1"/>
  <c r="L6" i="1"/>
</calcChain>
</file>

<file path=xl/sharedStrings.xml><?xml version="1.0" encoding="utf-8"?>
<sst xmlns="http://schemas.openxmlformats.org/spreadsheetml/2006/main" count="91" uniqueCount="31">
  <si>
    <t>IC</t>
  </si>
  <si>
    <t>LOAD DATA IKLIM EnergyPlus</t>
  </si>
  <si>
    <t>DATA PERMANEN</t>
  </si>
  <si>
    <t>FORMULA</t>
  </si>
  <si>
    <t>HASIL SIMULASI: jika ada agen di ruang, syarat aktivitas berjalan: temperatur X, maka menghidupkan atau tidak</t>
  </si>
  <si>
    <t>DATA PENGKONDISIAN IKLIM RUANG (AC) RUANG TIDUR UTAMA 1 (contoh)</t>
  </si>
  <si>
    <t>setiap orang menambah … degC</t>
  </si>
  <si>
    <t>IF peralatan listrik di dalam ruang hidup, data dari sheet AO-ALL Heat Emission</t>
  </si>
  <si>
    <t>DATA PENGKONDISIAN IKLIM RUANG (LAMPU) RUANG TAMU 1 (contoh)</t>
  </si>
  <si>
    <t>NO.</t>
  </si>
  <si>
    <t>NAMA RUANG</t>
  </si>
  <si>
    <t>KODE RUANG</t>
  </si>
  <si>
    <t>TANGGAL</t>
  </si>
  <si>
    <t>WAKTU</t>
  </si>
  <si>
    <t>SET T. AC (degC)</t>
  </si>
  <si>
    <t>T. RUANG TERKINI (degC)</t>
  </si>
  <si>
    <t>LAJU T. EFEK ORANG</t>
  </si>
  <si>
    <t>LAJU T. EFEK SUMBER PANAS RUANG DALAM</t>
  </si>
  <si>
    <t>ST. KONDISI AC</t>
  </si>
  <si>
    <t>LAJU AWAL AC (degC)</t>
  </si>
  <si>
    <t>T. RUANG TERKONDISI</t>
  </si>
  <si>
    <t>ILUMINASI TERKINI (Lux) Daylighting</t>
  </si>
  <si>
    <t>SET ILUMINASI LAMPU 1 (Lux) Artificial Lighting</t>
  </si>
  <si>
    <t>SET ILUMINASI LAMPU 2 (Lux) Artificial Lighting</t>
  </si>
  <si>
    <t>ST. SAKLAR 1</t>
  </si>
  <si>
    <t>ST. SAKLAR 2</t>
  </si>
  <si>
    <t>ILUMINASI RUANG (Lux)</t>
  </si>
  <si>
    <t>20/10/2020</t>
  </si>
  <si>
    <t>OFF</t>
  </si>
  <si>
    <t xml:space="preserve">Ruang Keluarga 1 </t>
  </si>
  <si>
    <t>RKG01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</si>
</sst>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52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 applyFill="1"/>
    <xf numFmtId="0" fontId="0" fillId="5" borderId="0" xfId="0" applyFill="1"/>
    <xf numFmtId="0" fontId="1" fillId="6" borderId="0" xfId="0" applyFont="1" applyFill="1"/>
    <xf numFmtId="0" fontId="0" fillId="0" borderId="0" xfId="0" applyFill="1"/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7" xfId="0" applyBorder="1"/>
    <xf numFmtId="20" fontId="0" fillId="0" borderId="10" xfId="0" applyNumberFormat="1" applyFont="1" applyFill="1" applyBorder="1"/>
    <xf numFmtId="0" fontId="0" fillId="4" borderId="11" xfId="0" applyFont="1" applyFill="1" applyBorder="1"/>
    <xf numFmtId="0" fontId="0" fillId="2" borderId="12" xfId="0" applyFont="1" applyFill="1" applyBorder="1"/>
    <xf numFmtId="0" fontId="0" fillId="6" borderId="12" xfId="0" applyFont="1" applyFill="1" applyBorder="1" applyAlignment="1">
      <alignment wrapText="1"/>
    </xf>
    <xf numFmtId="0" fontId="0" fillId="5" borderId="12" xfId="0" applyFont="1" applyFill="1" applyBorder="1" applyAlignment="1">
      <alignment wrapText="1"/>
    </xf>
    <xf numFmtId="0" fontId="0" fillId="2" borderId="13" xfId="0" applyFont="1" applyFill="1" applyBorder="1"/>
    <xf numFmtId="0" fontId="0" fillId="5" borderId="12" xfId="0" applyFont="1" applyFill="1" applyBorder="1"/>
    <xf numFmtId="0" fontId="0" fillId="4" borderId="13" xfId="0" applyFill="1" applyBorder="1"/>
    <xf numFmtId="0" fontId="0" fillId="3" borderId="12" xfId="0" applyFont="1" applyFill="1" applyBorder="1"/>
    <xf numFmtId="0" fontId="0" fillId="6" borderId="15" xfId="0" applyFont="1" applyFill="1" applyBorder="1"/>
    <xf numFmtId="0" fontId="0" fillId="5" borderId="15" xfId="0" applyFont="1" applyFill="1" applyBorder="1"/>
    <xf numFmtId="0" fontId="0" fillId="6" borderId="1" xfId="0" applyFont="1" applyFill="1" applyBorder="1"/>
    <xf numFmtId="0" fontId="0" fillId="4" borderId="1" xfId="0" applyFill="1" applyBorder="1"/>
    <xf numFmtId="0" fontId="0" fillId="6" borderId="12" xfId="0" applyFont="1" applyFill="1" applyBorder="1"/>
    <xf numFmtId="0" fontId="0" fillId="6" borderId="13" xfId="0" applyFont="1" applyFill="1" applyBorder="1"/>
    <xf numFmtId="0" fontId="0" fillId="3" borderId="15" xfId="0" applyFont="1" applyFill="1" applyBorder="1"/>
    <xf numFmtId="0" fontId="0" fillId="4" borderId="16" xfId="0" applyFont="1" applyFill="1" applyBorder="1"/>
    <xf numFmtId="0" fontId="0" fillId="0" borderId="17" xfId="0" applyBorder="1"/>
    <xf numFmtId="20" fontId="0" fillId="0" borderId="20" xfId="0" applyNumberFormat="1" applyFont="1" applyFill="1" applyBorder="1"/>
    <xf numFmtId="0" fontId="0" fillId="4" borderId="21" xfId="0" applyFont="1" applyFill="1" applyBorder="1"/>
    <xf numFmtId="0" fontId="0" fillId="3" borderId="22" xfId="0" applyFont="1" applyFill="1" applyBorder="1"/>
    <xf numFmtId="0" fontId="0" fillId="6" borderId="22" xfId="0" applyFont="1" applyFill="1" applyBorder="1"/>
    <xf numFmtId="0" fontId="0" fillId="5" borderId="22" xfId="0" applyFont="1" applyFill="1" applyBorder="1"/>
    <xf numFmtId="0" fontId="0" fillId="6" borderId="23" xfId="0" applyFont="1" applyFill="1" applyBorder="1"/>
    <xf numFmtId="0" fontId="0" fillId="4" borderId="23" xfId="0" applyFill="1" applyBorder="1"/>
    <xf numFmtId="0" fontId="2" fillId="0" borderId="8" xfId="0" applyFont="1" applyFill="1" applyBorder="1" applyAlignment="1">
      <alignment horizontal="left" vertical="top" wrapText="1"/>
    </xf>
    <xf numFmtId="0" fontId="2" fillId="0" borderId="14" xfId="0" applyFont="1" applyFill="1" applyBorder="1" applyAlignment="1">
      <alignment horizontal="left" vertical="top" wrapText="1"/>
    </xf>
    <xf numFmtId="0" fontId="2" fillId="0" borderId="1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/>
    </xf>
    <xf numFmtId="0" fontId="2" fillId="0" borderId="19" xfId="0" applyFont="1" applyFill="1" applyBorder="1" applyAlignment="1">
      <alignment horizontal="left" vertical="top"/>
    </xf>
    <xf numFmtId="164" fontId="0" fillId="0" borderId="9" xfId="0" applyNumberFormat="1" applyFont="1" applyFill="1" applyBorder="1" applyAlignment="1">
      <alignment horizontal="center" vertical="top"/>
    </xf>
    <xf numFmtId="164" fontId="0" fillId="0" borderId="19" xfId="0" applyNumberFormat="1" applyFont="1" applyFill="1" applyBorder="1" applyAlignment="1">
      <alignment horizontal="center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30"/>
  <sheetViews>
    <sheetView tabSelected="1" zoomScale="85" zoomScaleNormal="85" workbookViewId="0">
      <selection activeCell="M6" sqref="M6"/>
    </sheetView>
  </sheetViews>
  <sheetFormatPr defaultRowHeight="15" x14ac:dyDescent="0.25"/>
  <cols>
    <col min="2" max="2" width="4.42578125" bestFit="1" customWidth="1"/>
    <col min="3" max="5" width="10.7109375" customWidth="1"/>
    <col min="6" max="7" width="8.7109375" customWidth="1"/>
    <col min="8" max="10" width="12.7109375" customWidth="1"/>
    <col min="11" max="12" width="8.7109375" customWidth="1"/>
    <col min="13" max="13" width="12.7109375" customWidth="1"/>
    <col min="14" max="14" width="4.42578125" bestFit="1" customWidth="1"/>
    <col min="15" max="15" width="4.42578125" customWidth="1"/>
    <col min="16" max="18" width="10.7109375" customWidth="1"/>
    <col min="19" max="19" width="8.7109375" customWidth="1"/>
    <col min="20" max="22" width="12.7109375" customWidth="1"/>
    <col min="23" max="24" width="8.7109375" customWidth="1"/>
    <col min="25" max="25" width="12.7109375" customWidth="1"/>
  </cols>
  <sheetData>
    <row r="1" spans="2:25" x14ac:dyDescent="0.25">
      <c r="B1" s="2"/>
      <c r="C1" s="1" t="s">
        <v>0</v>
      </c>
      <c r="D1" s="1"/>
      <c r="E1" s="1"/>
      <c r="F1" s="3"/>
      <c r="G1" s="1" t="s">
        <v>1</v>
      </c>
      <c r="N1" s="2"/>
      <c r="O1" s="1" t="s">
        <v>0</v>
      </c>
      <c r="P1" s="1"/>
      <c r="Q1" s="1"/>
      <c r="R1" s="3"/>
      <c r="S1" s="1" t="s">
        <v>1</v>
      </c>
    </row>
    <row r="2" spans="2:25" x14ac:dyDescent="0.25">
      <c r="B2" s="6"/>
      <c r="C2" s="1" t="s">
        <v>3</v>
      </c>
      <c r="D2" s="1"/>
      <c r="E2" s="1"/>
      <c r="F2" s="7"/>
      <c r="G2" s="1" t="s">
        <v>4</v>
      </c>
      <c r="N2" s="6"/>
      <c r="O2" s="1" t="s">
        <v>3</v>
      </c>
      <c r="P2" s="1"/>
      <c r="Q2" s="1"/>
      <c r="R2" s="7"/>
      <c r="S2" s="1" t="s">
        <v>4</v>
      </c>
    </row>
    <row r="3" spans="2:25" s="8" customFormat="1" x14ac:dyDescent="0.25">
      <c r="C3" s="5"/>
      <c r="D3" s="5"/>
      <c r="E3" s="5"/>
      <c r="F3" s="4"/>
      <c r="G3" s="5" t="s">
        <v>2</v>
      </c>
      <c r="O3" s="5"/>
      <c r="P3" s="5"/>
      <c r="Q3" s="5"/>
      <c r="R3" s="4"/>
      <c r="S3" s="5" t="s">
        <v>2</v>
      </c>
    </row>
    <row r="4" spans="2:25" ht="105.75" thickBot="1" x14ac:dyDescent="0.3">
      <c r="B4" s="1" t="s">
        <v>5</v>
      </c>
      <c r="I4" s="9" t="s">
        <v>6</v>
      </c>
      <c r="J4" s="9" t="s">
        <v>7</v>
      </c>
      <c r="O4" s="1" t="s">
        <v>8</v>
      </c>
    </row>
    <row r="5" spans="2:25" ht="90.75" thickBot="1" x14ac:dyDescent="0.3">
      <c r="B5" s="10" t="s">
        <v>9</v>
      </c>
      <c r="C5" s="11" t="s">
        <v>10</v>
      </c>
      <c r="D5" s="11" t="s">
        <v>11</v>
      </c>
      <c r="E5" s="11" t="s">
        <v>12</v>
      </c>
      <c r="F5" s="12" t="s">
        <v>13</v>
      </c>
      <c r="G5" s="13" t="s">
        <v>14</v>
      </c>
      <c r="H5" s="14" t="s">
        <v>15</v>
      </c>
      <c r="I5" s="15" t="s">
        <v>16</v>
      </c>
      <c r="J5" s="16" t="s">
        <v>17</v>
      </c>
      <c r="K5" s="17" t="s">
        <v>18</v>
      </c>
      <c r="L5" s="16" t="s">
        <v>19</v>
      </c>
      <c r="M5" s="16" t="s">
        <v>20</v>
      </c>
      <c r="O5" s="10" t="s">
        <v>9</v>
      </c>
      <c r="P5" s="11" t="s">
        <v>10</v>
      </c>
      <c r="Q5" s="11" t="s">
        <v>11</v>
      </c>
      <c r="R5" s="11" t="s">
        <v>12</v>
      </c>
      <c r="S5" s="12" t="s">
        <v>13</v>
      </c>
      <c r="T5" s="14" t="s">
        <v>21</v>
      </c>
      <c r="U5" s="18" t="s">
        <v>22</v>
      </c>
      <c r="V5" s="18" t="s">
        <v>23</v>
      </c>
      <c r="W5" s="15" t="s">
        <v>24</v>
      </c>
      <c r="X5" s="17" t="s">
        <v>25</v>
      </c>
      <c r="Y5" s="16" t="s">
        <v>26</v>
      </c>
    </row>
    <row r="6" spans="2:25" ht="15" customHeight="1" x14ac:dyDescent="0.25">
      <c r="B6" s="19">
        <v>1</v>
      </c>
      <c r="C6" s="45" t="s">
        <v>29</v>
      </c>
      <c r="D6" s="48" t="s">
        <v>30</v>
      </c>
      <c r="E6" s="50" t="s">
        <v>27</v>
      </c>
      <c r="F6" s="20">
        <v>4.1666666666666664E-2</v>
      </c>
      <c r="G6" s="21">
        <v>0</v>
      </c>
      <c r="H6" s="22">
        <v>24</v>
      </c>
      <c r="I6" s="23">
        <v>3</v>
      </c>
      <c r="J6" s="24">
        <v>0</v>
      </c>
      <c r="K6" s="25" t="s">
        <v>28</v>
      </c>
      <c r="L6" s="26">
        <f t="shared" ref="L6:L29" si="0">IF(K6="ON",-1,1.5)</f>
        <v>1.5</v>
      </c>
      <c r="M6" s="22" t="e">
        <f>IF(#REF!="ON",IF(H6&gt;G6,H6+J6+L6,IF(H6&lt;=G6,G6,H6+J6+L6)),H6+I6+J6)</f>
        <v>#REF!</v>
      </c>
      <c r="O6" s="19">
        <v>1</v>
      </c>
      <c r="P6" s="45" t="s">
        <v>29</v>
      </c>
      <c r="Q6" s="48" t="s">
        <v>30</v>
      </c>
      <c r="R6" s="50" t="s">
        <v>27</v>
      </c>
      <c r="S6" s="20">
        <v>4.1666666666666664E-2</v>
      </c>
      <c r="T6" s="22">
        <v>0</v>
      </c>
      <c r="U6" s="27">
        <v>150</v>
      </c>
      <c r="V6" s="27"/>
      <c r="W6" s="22" t="s">
        <v>28</v>
      </c>
      <c r="X6" s="25"/>
      <c r="Y6" s="22">
        <f t="shared" ref="Y6:Y29" si="1">IF(W6="ON",IF(X6="ON",T6+U6+V6,IF(W6="ON",T6+U6,T6)),IF(X6="ON",T6+V6,T6))</f>
        <v>0</v>
      </c>
    </row>
    <row r="7" spans="2:25" x14ac:dyDescent="0.25">
      <c r="B7" s="19">
        <v>2</v>
      </c>
      <c r="C7" s="46"/>
      <c r="D7" s="48"/>
      <c r="E7" s="50"/>
      <c r="F7" s="20">
        <v>8.3333333333333301E-2</v>
      </c>
      <c r="G7" s="21">
        <v>0</v>
      </c>
      <c r="H7" s="28">
        <v>0</v>
      </c>
      <c r="I7" s="29">
        <v>0</v>
      </c>
      <c r="J7" s="30">
        <v>0</v>
      </c>
      <c r="K7" s="34" t="s">
        <v>28</v>
      </c>
      <c r="L7" s="26">
        <f t="shared" si="0"/>
        <v>1.5</v>
      </c>
      <c r="M7" s="30">
        <f t="shared" ref="M7:M29" si="2">IF(K6="ON",IF(H7&gt;G7,H7+J7+L7,IF(H7&lt;=G7,G7,H7+J7+L7)),H7+I7+J7)</f>
        <v>0</v>
      </c>
      <c r="O7" s="19">
        <v>2</v>
      </c>
      <c r="P7" s="46"/>
      <c r="Q7" s="48"/>
      <c r="R7" s="50"/>
      <c r="S7" s="20">
        <v>8.3333333333333301E-2</v>
      </c>
      <c r="T7" s="28">
        <v>0</v>
      </c>
      <c r="U7" s="32">
        <v>150</v>
      </c>
      <c r="V7" s="32"/>
      <c r="W7" s="33" t="s">
        <v>28</v>
      </c>
      <c r="X7" s="34"/>
      <c r="Y7" s="30">
        <f t="shared" si="1"/>
        <v>0</v>
      </c>
    </row>
    <row r="8" spans="2:25" x14ac:dyDescent="0.25">
      <c r="B8" s="19">
        <v>3</v>
      </c>
      <c r="C8" s="46"/>
      <c r="D8" s="48"/>
      <c r="E8" s="50"/>
      <c r="F8" s="20">
        <v>0.125</v>
      </c>
      <c r="G8" s="21">
        <v>0</v>
      </c>
      <c r="H8" s="28">
        <v>0</v>
      </c>
      <c r="I8" s="29">
        <v>0</v>
      </c>
      <c r="J8" s="30">
        <v>0</v>
      </c>
      <c r="K8" s="34" t="s">
        <v>28</v>
      </c>
      <c r="L8" s="26">
        <f t="shared" si="0"/>
        <v>1.5</v>
      </c>
      <c r="M8" s="26">
        <f t="shared" si="2"/>
        <v>0</v>
      </c>
      <c r="O8" s="19">
        <v>3</v>
      </c>
      <c r="P8" s="46"/>
      <c r="Q8" s="48"/>
      <c r="R8" s="50"/>
      <c r="S8" s="20">
        <v>0.125</v>
      </c>
      <c r="T8" s="28">
        <v>0</v>
      </c>
      <c r="U8" s="32">
        <v>150</v>
      </c>
      <c r="V8" s="32"/>
      <c r="W8" s="33" t="s">
        <v>28</v>
      </c>
      <c r="X8" s="34"/>
      <c r="Y8" s="30">
        <f t="shared" si="1"/>
        <v>0</v>
      </c>
    </row>
    <row r="9" spans="2:25" x14ac:dyDescent="0.25">
      <c r="B9" s="19">
        <v>4</v>
      </c>
      <c r="C9" s="46"/>
      <c r="D9" s="48"/>
      <c r="E9" s="50"/>
      <c r="F9" s="20">
        <v>0.16666666666666699</v>
      </c>
      <c r="G9" s="21">
        <v>0</v>
      </c>
      <c r="H9" s="28">
        <v>0</v>
      </c>
      <c r="I9" s="29">
        <v>0</v>
      </c>
      <c r="J9" s="30">
        <v>0</v>
      </c>
      <c r="K9" s="34" t="s">
        <v>28</v>
      </c>
      <c r="L9" s="26">
        <f t="shared" si="0"/>
        <v>1.5</v>
      </c>
      <c r="M9" s="26">
        <f t="shared" si="2"/>
        <v>0</v>
      </c>
      <c r="O9" s="19">
        <v>4</v>
      </c>
      <c r="P9" s="46"/>
      <c r="Q9" s="48"/>
      <c r="R9" s="50"/>
      <c r="S9" s="20">
        <v>0.16666666666666699</v>
      </c>
      <c r="T9" s="28">
        <v>0</v>
      </c>
      <c r="U9" s="32">
        <v>150</v>
      </c>
      <c r="V9" s="32"/>
      <c r="W9" s="33" t="s">
        <v>28</v>
      </c>
      <c r="X9" s="34"/>
      <c r="Y9" s="30">
        <f t="shared" si="1"/>
        <v>0</v>
      </c>
    </row>
    <row r="10" spans="2:25" x14ac:dyDescent="0.25">
      <c r="B10" s="19">
        <v>5</v>
      </c>
      <c r="C10" s="46"/>
      <c r="D10" s="48"/>
      <c r="E10" s="50"/>
      <c r="F10" s="20">
        <v>0.20833333333333301</v>
      </c>
      <c r="G10" s="21">
        <v>0</v>
      </c>
      <c r="H10" s="28">
        <v>0</v>
      </c>
      <c r="I10" s="29">
        <v>0</v>
      </c>
      <c r="J10" s="30">
        <v>0</v>
      </c>
      <c r="K10" s="34" t="s">
        <v>28</v>
      </c>
      <c r="L10" s="26">
        <f t="shared" si="0"/>
        <v>1.5</v>
      </c>
      <c r="M10" s="26">
        <f t="shared" si="2"/>
        <v>0</v>
      </c>
      <c r="O10" s="19">
        <v>5</v>
      </c>
      <c r="P10" s="46"/>
      <c r="Q10" s="48"/>
      <c r="R10" s="50"/>
      <c r="S10" s="20">
        <v>0.20833333333333301</v>
      </c>
      <c r="T10" s="28">
        <v>0</v>
      </c>
      <c r="U10" s="32">
        <v>150</v>
      </c>
      <c r="V10" s="32"/>
      <c r="W10" s="33" t="s">
        <v>28</v>
      </c>
      <c r="X10" s="34"/>
      <c r="Y10" s="30">
        <f t="shared" si="1"/>
        <v>0</v>
      </c>
    </row>
    <row r="11" spans="2:25" x14ac:dyDescent="0.25">
      <c r="B11" s="19">
        <v>6</v>
      </c>
      <c r="C11" s="46"/>
      <c r="D11" s="48"/>
      <c r="E11" s="50"/>
      <c r="F11" s="20">
        <v>0.25</v>
      </c>
      <c r="G11" s="21">
        <v>0</v>
      </c>
      <c r="H11" s="28">
        <v>0</v>
      </c>
      <c r="I11" s="29">
        <v>0</v>
      </c>
      <c r="J11" s="30">
        <v>0</v>
      </c>
      <c r="K11" s="31" t="s">
        <v>28</v>
      </c>
      <c r="L11" s="26">
        <f t="shared" si="0"/>
        <v>1.5</v>
      </c>
      <c r="M11" s="30">
        <f t="shared" si="2"/>
        <v>0</v>
      </c>
      <c r="O11" s="19">
        <v>6</v>
      </c>
      <c r="P11" s="46"/>
      <c r="Q11" s="48"/>
      <c r="R11" s="50"/>
      <c r="S11" s="20">
        <v>0.25</v>
      </c>
      <c r="T11" s="28">
        <v>0</v>
      </c>
      <c r="U11" s="32">
        <v>150</v>
      </c>
      <c r="V11" s="32"/>
      <c r="W11" s="33" t="s">
        <v>28</v>
      </c>
      <c r="X11" s="34"/>
      <c r="Y11" s="30">
        <f t="shared" si="1"/>
        <v>0</v>
      </c>
    </row>
    <row r="12" spans="2:25" x14ac:dyDescent="0.25">
      <c r="B12" s="19">
        <v>7</v>
      </c>
      <c r="C12" s="46"/>
      <c r="D12" s="48"/>
      <c r="E12" s="50"/>
      <c r="F12" s="20">
        <v>0.29166666666666702</v>
      </c>
      <c r="G12" s="21">
        <v>0</v>
      </c>
      <c r="H12" s="28">
        <v>0</v>
      </c>
      <c r="I12" s="29">
        <v>0</v>
      </c>
      <c r="J12" s="30">
        <v>0</v>
      </c>
      <c r="K12" s="31" t="s">
        <v>28</v>
      </c>
      <c r="L12" s="26">
        <f t="shared" si="0"/>
        <v>1.5</v>
      </c>
      <c r="M12" s="30">
        <f t="shared" si="2"/>
        <v>0</v>
      </c>
      <c r="O12" s="19">
        <v>7</v>
      </c>
      <c r="P12" s="46"/>
      <c r="Q12" s="48"/>
      <c r="R12" s="50"/>
      <c r="S12" s="20">
        <v>0.29166666666666702</v>
      </c>
      <c r="T12" s="28">
        <v>0</v>
      </c>
      <c r="U12" s="32">
        <v>150</v>
      </c>
      <c r="V12" s="32"/>
      <c r="W12" s="33" t="s">
        <v>28</v>
      </c>
      <c r="X12" s="34"/>
      <c r="Y12" s="30">
        <f t="shared" si="1"/>
        <v>0</v>
      </c>
    </row>
    <row r="13" spans="2:25" x14ac:dyDescent="0.25">
      <c r="B13" s="19">
        <v>8</v>
      </c>
      <c r="C13" s="46"/>
      <c r="D13" s="48"/>
      <c r="E13" s="50"/>
      <c r="F13" s="20">
        <v>0.33333333333333298</v>
      </c>
      <c r="G13" s="21">
        <v>0</v>
      </c>
      <c r="H13" s="28">
        <v>0</v>
      </c>
      <c r="I13" s="29">
        <v>0</v>
      </c>
      <c r="J13" s="30">
        <v>0</v>
      </c>
      <c r="K13" s="31" t="s">
        <v>28</v>
      </c>
      <c r="L13" s="26">
        <f t="shared" si="0"/>
        <v>1.5</v>
      </c>
      <c r="M13" s="30">
        <f t="shared" si="2"/>
        <v>0</v>
      </c>
      <c r="O13" s="19">
        <v>8</v>
      </c>
      <c r="P13" s="46"/>
      <c r="Q13" s="48"/>
      <c r="R13" s="50"/>
      <c r="S13" s="20">
        <v>0.33333333333333298</v>
      </c>
      <c r="T13" s="28">
        <v>0</v>
      </c>
      <c r="U13" s="32">
        <v>150</v>
      </c>
      <c r="V13" s="32"/>
      <c r="W13" s="33" t="s">
        <v>28</v>
      </c>
      <c r="X13" s="34"/>
      <c r="Y13" s="30">
        <f t="shared" si="1"/>
        <v>0</v>
      </c>
    </row>
    <row r="14" spans="2:25" x14ac:dyDescent="0.25">
      <c r="B14" s="19">
        <v>9</v>
      </c>
      <c r="C14" s="46"/>
      <c r="D14" s="48"/>
      <c r="E14" s="50"/>
      <c r="F14" s="20">
        <v>0.375</v>
      </c>
      <c r="G14" s="36">
        <v>0</v>
      </c>
      <c r="H14" s="35">
        <v>0</v>
      </c>
      <c r="I14" s="29">
        <v>0</v>
      </c>
      <c r="J14" s="30">
        <v>0</v>
      </c>
      <c r="K14" s="31" t="s">
        <v>28</v>
      </c>
      <c r="L14" s="26">
        <f t="shared" si="0"/>
        <v>1.5</v>
      </c>
      <c r="M14" s="30">
        <f t="shared" si="2"/>
        <v>0</v>
      </c>
      <c r="O14" s="19">
        <v>9</v>
      </c>
      <c r="P14" s="46"/>
      <c r="Q14" s="48"/>
      <c r="R14" s="50"/>
      <c r="S14" s="20">
        <v>0.375</v>
      </c>
      <c r="T14" s="28">
        <v>0</v>
      </c>
      <c r="U14" s="32">
        <v>150</v>
      </c>
      <c r="V14" s="32"/>
      <c r="W14" s="33" t="s">
        <v>28</v>
      </c>
      <c r="X14" s="34"/>
      <c r="Y14" s="30">
        <f t="shared" si="1"/>
        <v>0</v>
      </c>
    </row>
    <row r="15" spans="2:25" x14ac:dyDescent="0.25">
      <c r="B15" s="19">
        <v>10</v>
      </c>
      <c r="C15" s="46"/>
      <c r="D15" s="48"/>
      <c r="E15" s="50"/>
      <c r="F15" s="20">
        <v>0.41666666666666702</v>
      </c>
      <c r="G15" s="36">
        <v>0</v>
      </c>
      <c r="H15" s="35">
        <v>0</v>
      </c>
      <c r="I15" s="29">
        <v>0</v>
      </c>
      <c r="J15" s="30">
        <v>0</v>
      </c>
      <c r="K15" s="31" t="s">
        <v>28</v>
      </c>
      <c r="L15" s="26">
        <f t="shared" si="0"/>
        <v>1.5</v>
      </c>
      <c r="M15" s="30">
        <f t="shared" si="2"/>
        <v>0</v>
      </c>
      <c r="O15" s="19">
        <v>10</v>
      </c>
      <c r="P15" s="46"/>
      <c r="Q15" s="48"/>
      <c r="R15" s="50"/>
      <c r="S15" s="20">
        <v>0.41666666666666702</v>
      </c>
      <c r="T15" s="28">
        <v>0</v>
      </c>
      <c r="U15" s="32">
        <v>150</v>
      </c>
      <c r="V15" s="32"/>
      <c r="W15" s="33" t="s">
        <v>28</v>
      </c>
      <c r="X15" s="34"/>
      <c r="Y15" s="30">
        <f t="shared" si="1"/>
        <v>0</v>
      </c>
    </row>
    <row r="16" spans="2:25" x14ac:dyDescent="0.25">
      <c r="B16" s="19">
        <v>11</v>
      </c>
      <c r="C16" s="46"/>
      <c r="D16" s="48"/>
      <c r="E16" s="50"/>
      <c r="F16" s="20">
        <v>0.45833333333333298</v>
      </c>
      <c r="G16" s="36">
        <v>0</v>
      </c>
      <c r="H16" s="35">
        <v>0</v>
      </c>
      <c r="I16" s="29">
        <v>0</v>
      </c>
      <c r="J16" s="30">
        <v>0</v>
      </c>
      <c r="K16" s="31" t="s">
        <v>28</v>
      </c>
      <c r="L16" s="26">
        <f t="shared" si="0"/>
        <v>1.5</v>
      </c>
      <c r="M16" s="30">
        <f t="shared" si="2"/>
        <v>0</v>
      </c>
      <c r="O16" s="19">
        <v>11</v>
      </c>
      <c r="P16" s="46"/>
      <c r="Q16" s="48"/>
      <c r="R16" s="50"/>
      <c r="S16" s="20">
        <v>0.45833333333333298</v>
      </c>
      <c r="T16" s="28">
        <v>0</v>
      </c>
      <c r="U16" s="32">
        <v>150</v>
      </c>
      <c r="V16" s="32"/>
      <c r="W16" s="33" t="s">
        <v>28</v>
      </c>
      <c r="X16" s="34"/>
      <c r="Y16" s="30">
        <f t="shared" si="1"/>
        <v>0</v>
      </c>
    </row>
    <row r="17" spans="2:25" x14ac:dyDescent="0.25">
      <c r="B17" s="19">
        <v>12</v>
      </c>
      <c r="C17" s="46"/>
      <c r="D17" s="48"/>
      <c r="E17" s="50"/>
      <c r="F17" s="20">
        <v>0.5</v>
      </c>
      <c r="G17" s="36">
        <v>0</v>
      </c>
      <c r="H17" s="35">
        <v>0</v>
      </c>
      <c r="I17" s="29">
        <v>0</v>
      </c>
      <c r="J17" s="30">
        <v>0</v>
      </c>
      <c r="K17" s="31" t="s">
        <v>28</v>
      </c>
      <c r="L17" s="26">
        <f t="shared" si="0"/>
        <v>1.5</v>
      </c>
      <c r="M17" s="30">
        <f t="shared" si="2"/>
        <v>0</v>
      </c>
      <c r="O17" s="19">
        <v>12</v>
      </c>
      <c r="P17" s="46"/>
      <c r="Q17" s="48"/>
      <c r="R17" s="50"/>
      <c r="S17" s="20">
        <v>0.5</v>
      </c>
      <c r="T17" s="28">
        <v>0</v>
      </c>
      <c r="U17" s="32">
        <v>150</v>
      </c>
      <c r="V17" s="32"/>
      <c r="W17" s="33" t="s">
        <v>28</v>
      </c>
      <c r="X17" s="34"/>
      <c r="Y17" s="30">
        <f t="shared" si="1"/>
        <v>0</v>
      </c>
    </row>
    <row r="18" spans="2:25" x14ac:dyDescent="0.25">
      <c r="B18" s="19">
        <v>13</v>
      </c>
      <c r="C18" s="46"/>
      <c r="D18" s="48"/>
      <c r="E18" s="50"/>
      <c r="F18" s="20">
        <v>0.54166666666666696</v>
      </c>
      <c r="G18" s="36">
        <v>0</v>
      </c>
      <c r="H18" s="35">
        <v>0</v>
      </c>
      <c r="I18" s="29">
        <v>0</v>
      </c>
      <c r="J18" s="30">
        <v>0</v>
      </c>
      <c r="K18" s="31" t="s">
        <v>28</v>
      </c>
      <c r="L18" s="26">
        <f t="shared" si="0"/>
        <v>1.5</v>
      </c>
      <c r="M18" s="30">
        <f t="shared" si="2"/>
        <v>0</v>
      </c>
      <c r="O18" s="19">
        <v>13</v>
      </c>
      <c r="P18" s="46"/>
      <c r="Q18" s="48"/>
      <c r="R18" s="50"/>
      <c r="S18" s="20">
        <v>0.54166666666666696</v>
      </c>
      <c r="T18" s="28">
        <v>0</v>
      </c>
      <c r="U18" s="32">
        <v>150</v>
      </c>
      <c r="V18" s="32"/>
      <c r="W18" s="33" t="s">
        <v>28</v>
      </c>
      <c r="X18" s="34"/>
      <c r="Y18" s="30">
        <f t="shared" si="1"/>
        <v>0</v>
      </c>
    </row>
    <row r="19" spans="2:25" x14ac:dyDescent="0.25">
      <c r="B19" s="19">
        <v>14</v>
      </c>
      <c r="C19" s="46"/>
      <c r="D19" s="48"/>
      <c r="E19" s="50"/>
      <c r="F19" s="20">
        <v>0.58333333333333304</v>
      </c>
      <c r="G19" s="36">
        <v>0</v>
      </c>
      <c r="H19" s="35">
        <v>0</v>
      </c>
      <c r="I19" s="29">
        <v>0</v>
      </c>
      <c r="J19" s="30">
        <v>0</v>
      </c>
      <c r="K19" s="31" t="s">
        <v>28</v>
      </c>
      <c r="L19" s="26">
        <f t="shared" si="0"/>
        <v>1.5</v>
      </c>
      <c r="M19" s="30">
        <f t="shared" si="2"/>
        <v>0</v>
      </c>
      <c r="O19" s="19">
        <v>14</v>
      </c>
      <c r="P19" s="46"/>
      <c r="Q19" s="48"/>
      <c r="R19" s="50"/>
      <c r="S19" s="20">
        <v>0.58333333333333304</v>
      </c>
      <c r="T19" s="28">
        <v>0</v>
      </c>
      <c r="U19" s="32">
        <v>150</v>
      </c>
      <c r="V19" s="32"/>
      <c r="W19" s="33" t="s">
        <v>28</v>
      </c>
      <c r="X19" s="34"/>
      <c r="Y19" s="30">
        <f t="shared" si="1"/>
        <v>0</v>
      </c>
    </row>
    <row r="20" spans="2:25" x14ac:dyDescent="0.25">
      <c r="B20" s="19">
        <v>15</v>
      </c>
      <c r="C20" s="46"/>
      <c r="D20" s="48"/>
      <c r="E20" s="50"/>
      <c r="F20" s="20">
        <v>0.625</v>
      </c>
      <c r="G20" s="36">
        <v>0</v>
      </c>
      <c r="H20" s="35">
        <v>0</v>
      </c>
      <c r="I20" s="29">
        <v>0</v>
      </c>
      <c r="J20" s="30">
        <v>0</v>
      </c>
      <c r="K20" s="31" t="s">
        <v>28</v>
      </c>
      <c r="L20" s="26">
        <f t="shared" si="0"/>
        <v>1.5</v>
      </c>
      <c r="M20" s="30">
        <f t="shared" si="2"/>
        <v>0</v>
      </c>
      <c r="O20" s="19">
        <v>15</v>
      </c>
      <c r="P20" s="46"/>
      <c r="Q20" s="48"/>
      <c r="R20" s="50"/>
      <c r="S20" s="20">
        <v>0.625</v>
      </c>
      <c r="T20" s="28">
        <v>0</v>
      </c>
      <c r="U20" s="32">
        <v>150</v>
      </c>
      <c r="V20" s="32"/>
      <c r="W20" s="29" t="s">
        <v>28</v>
      </c>
      <c r="X20" s="31"/>
      <c r="Y20" s="30">
        <f t="shared" si="1"/>
        <v>0</v>
      </c>
    </row>
    <row r="21" spans="2:25" x14ac:dyDescent="0.25">
      <c r="B21" s="19">
        <v>16</v>
      </c>
      <c r="C21" s="46"/>
      <c r="D21" s="48"/>
      <c r="E21" s="50"/>
      <c r="F21" s="20">
        <v>0.66666666666666696</v>
      </c>
      <c r="G21" s="36">
        <v>0</v>
      </c>
      <c r="H21" s="35">
        <v>0</v>
      </c>
      <c r="I21" s="29">
        <v>0</v>
      </c>
      <c r="J21" s="30">
        <v>0</v>
      </c>
      <c r="K21" s="31" t="s">
        <v>28</v>
      </c>
      <c r="L21" s="26">
        <f t="shared" si="0"/>
        <v>1.5</v>
      </c>
      <c r="M21" s="30">
        <f t="shared" si="2"/>
        <v>0</v>
      </c>
      <c r="O21" s="19">
        <v>16</v>
      </c>
      <c r="P21" s="46"/>
      <c r="Q21" s="48"/>
      <c r="R21" s="50"/>
      <c r="S21" s="20">
        <v>0.66666666666666696</v>
      </c>
      <c r="T21" s="28">
        <v>0</v>
      </c>
      <c r="U21" s="32">
        <v>150</v>
      </c>
      <c r="V21" s="32"/>
      <c r="W21" s="29" t="s">
        <v>28</v>
      </c>
      <c r="X21" s="31"/>
      <c r="Y21" s="30">
        <f t="shared" si="1"/>
        <v>0</v>
      </c>
    </row>
    <row r="22" spans="2:25" x14ac:dyDescent="0.25">
      <c r="B22" s="19">
        <v>17</v>
      </c>
      <c r="C22" s="46"/>
      <c r="D22" s="48"/>
      <c r="E22" s="50"/>
      <c r="F22" s="20">
        <v>0.70833333333333304</v>
      </c>
      <c r="G22" s="36">
        <v>0</v>
      </c>
      <c r="H22" s="35">
        <v>0</v>
      </c>
      <c r="I22" s="29">
        <v>0</v>
      </c>
      <c r="J22" s="30">
        <v>0</v>
      </c>
      <c r="K22" s="31" t="s">
        <v>28</v>
      </c>
      <c r="L22" s="26">
        <f t="shared" si="0"/>
        <v>1.5</v>
      </c>
      <c r="M22" s="30">
        <f t="shared" si="2"/>
        <v>0</v>
      </c>
      <c r="O22" s="19">
        <v>17</v>
      </c>
      <c r="P22" s="46"/>
      <c r="Q22" s="48"/>
      <c r="R22" s="50"/>
      <c r="S22" s="20">
        <v>0.70833333333333304</v>
      </c>
      <c r="T22" s="28">
        <v>0</v>
      </c>
      <c r="U22" s="32">
        <v>150</v>
      </c>
      <c r="V22" s="32"/>
      <c r="W22" s="29" t="s">
        <v>28</v>
      </c>
      <c r="X22" s="31"/>
      <c r="Y22" s="30">
        <f t="shared" si="1"/>
        <v>0</v>
      </c>
    </row>
    <row r="23" spans="2:25" x14ac:dyDescent="0.25">
      <c r="B23" s="19">
        <v>18</v>
      </c>
      <c r="C23" s="46"/>
      <c r="D23" s="48"/>
      <c r="E23" s="50"/>
      <c r="F23" s="20">
        <v>0.75</v>
      </c>
      <c r="G23" s="36">
        <v>0</v>
      </c>
      <c r="H23" s="35">
        <v>0</v>
      </c>
      <c r="I23" s="29">
        <v>0</v>
      </c>
      <c r="J23" s="30">
        <v>0</v>
      </c>
      <c r="K23" s="31" t="s">
        <v>28</v>
      </c>
      <c r="L23" s="26">
        <f t="shared" si="0"/>
        <v>1.5</v>
      </c>
      <c r="M23" s="30">
        <f t="shared" si="2"/>
        <v>0</v>
      </c>
      <c r="O23" s="19">
        <v>18</v>
      </c>
      <c r="P23" s="46"/>
      <c r="Q23" s="48"/>
      <c r="R23" s="50"/>
      <c r="S23" s="20">
        <v>0.75</v>
      </c>
      <c r="T23" s="28">
        <v>0</v>
      </c>
      <c r="U23" s="32">
        <v>150</v>
      </c>
      <c r="V23" s="32"/>
      <c r="W23" s="29" t="s">
        <v>28</v>
      </c>
      <c r="X23" s="31"/>
      <c r="Y23" s="30">
        <f t="shared" si="1"/>
        <v>0</v>
      </c>
    </row>
    <row r="24" spans="2:25" x14ac:dyDescent="0.25">
      <c r="B24" s="19">
        <v>19</v>
      </c>
      <c r="C24" s="46"/>
      <c r="D24" s="48"/>
      <c r="E24" s="50"/>
      <c r="F24" s="20">
        <v>0.79166666666666696</v>
      </c>
      <c r="G24" s="36">
        <v>0</v>
      </c>
      <c r="H24" s="35">
        <v>0</v>
      </c>
      <c r="I24" s="29">
        <v>0</v>
      </c>
      <c r="J24" s="30">
        <v>0</v>
      </c>
      <c r="K24" s="31" t="s">
        <v>28</v>
      </c>
      <c r="L24" s="26">
        <f t="shared" si="0"/>
        <v>1.5</v>
      </c>
      <c r="M24" s="30">
        <f t="shared" si="2"/>
        <v>0</v>
      </c>
      <c r="O24" s="19">
        <v>19</v>
      </c>
      <c r="P24" s="46"/>
      <c r="Q24" s="48"/>
      <c r="R24" s="50"/>
      <c r="S24" s="20">
        <v>0.79166666666666696</v>
      </c>
      <c r="T24" s="28">
        <v>0</v>
      </c>
      <c r="U24" s="32">
        <v>150</v>
      </c>
      <c r="V24" s="32"/>
      <c r="W24" s="29" t="s">
        <v>28</v>
      </c>
      <c r="X24" s="31"/>
      <c r="Y24" s="30">
        <f t="shared" si="1"/>
        <v>0</v>
      </c>
    </row>
    <row r="25" spans="2:25" x14ac:dyDescent="0.25">
      <c r="B25" s="19">
        <v>20</v>
      </c>
      <c r="C25" s="46"/>
      <c r="D25" s="48"/>
      <c r="E25" s="50"/>
      <c r="F25" s="20">
        <v>0.83333333333333304</v>
      </c>
      <c r="G25" s="36">
        <v>0</v>
      </c>
      <c r="H25" s="35">
        <v>0</v>
      </c>
      <c r="I25" s="29">
        <v>0</v>
      </c>
      <c r="J25" s="30">
        <v>0</v>
      </c>
      <c r="K25" s="31" t="s">
        <v>28</v>
      </c>
      <c r="L25" s="26">
        <f t="shared" si="0"/>
        <v>1.5</v>
      </c>
      <c r="M25" s="30">
        <f t="shared" si="2"/>
        <v>0</v>
      </c>
      <c r="O25" s="19">
        <v>20</v>
      </c>
      <c r="P25" s="46"/>
      <c r="Q25" s="48"/>
      <c r="R25" s="50"/>
      <c r="S25" s="20">
        <v>0.83333333333333304</v>
      </c>
      <c r="T25" s="28">
        <v>0</v>
      </c>
      <c r="U25" s="32">
        <v>150</v>
      </c>
      <c r="V25" s="32"/>
      <c r="W25" s="29" t="s">
        <v>28</v>
      </c>
      <c r="X25" s="31"/>
      <c r="Y25" s="30">
        <f t="shared" si="1"/>
        <v>0</v>
      </c>
    </row>
    <row r="26" spans="2:25" x14ac:dyDescent="0.25">
      <c r="B26" s="19">
        <v>21</v>
      </c>
      <c r="C26" s="46"/>
      <c r="D26" s="48"/>
      <c r="E26" s="50"/>
      <c r="F26" s="20">
        <v>0.875</v>
      </c>
      <c r="G26" s="36">
        <v>0</v>
      </c>
      <c r="H26" s="35">
        <v>0</v>
      </c>
      <c r="I26" s="29">
        <v>0</v>
      </c>
      <c r="J26" s="30">
        <v>0</v>
      </c>
      <c r="K26" s="31" t="s">
        <v>28</v>
      </c>
      <c r="L26" s="26">
        <f t="shared" si="0"/>
        <v>1.5</v>
      </c>
      <c r="M26" s="30">
        <f t="shared" si="2"/>
        <v>0</v>
      </c>
      <c r="O26" s="19">
        <v>21</v>
      </c>
      <c r="P26" s="46"/>
      <c r="Q26" s="48"/>
      <c r="R26" s="50"/>
      <c r="S26" s="20">
        <v>0.875</v>
      </c>
      <c r="T26" s="28">
        <v>0</v>
      </c>
      <c r="U26" s="32">
        <v>150</v>
      </c>
      <c r="V26" s="32"/>
      <c r="W26" s="29" t="s">
        <v>28</v>
      </c>
      <c r="X26" s="31"/>
      <c r="Y26" s="30">
        <f t="shared" si="1"/>
        <v>0</v>
      </c>
    </row>
    <row r="27" spans="2:25" x14ac:dyDescent="0.25">
      <c r="B27" s="19">
        <v>22</v>
      </c>
      <c r="C27" s="46"/>
      <c r="D27" s="48"/>
      <c r="E27" s="50"/>
      <c r="F27" s="20">
        <v>0.91666666666666696</v>
      </c>
      <c r="G27" s="36">
        <v>0</v>
      </c>
      <c r="H27" s="35">
        <v>0</v>
      </c>
      <c r="I27" s="29">
        <v>0</v>
      </c>
      <c r="J27" s="30">
        <v>0</v>
      </c>
      <c r="K27" s="31" t="s">
        <v>28</v>
      </c>
      <c r="L27" s="26">
        <f t="shared" si="0"/>
        <v>1.5</v>
      </c>
      <c r="M27" s="30">
        <f t="shared" si="2"/>
        <v>0</v>
      </c>
      <c r="O27" s="19">
        <v>22</v>
      </c>
      <c r="P27" s="46"/>
      <c r="Q27" s="48"/>
      <c r="R27" s="50"/>
      <c r="S27" s="20">
        <v>0.91666666666666696</v>
      </c>
      <c r="T27" s="28">
        <v>0</v>
      </c>
      <c r="U27" s="32">
        <v>150</v>
      </c>
      <c r="V27" s="32"/>
      <c r="W27" s="29" t="s">
        <v>28</v>
      </c>
      <c r="X27" s="31"/>
      <c r="Y27" s="30">
        <f t="shared" si="1"/>
        <v>0</v>
      </c>
    </row>
    <row r="28" spans="2:25" x14ac:dyDescent="0.25">
      <c r="B28" s="19">
        <v>23</v>
      </c>
      <c r="C28" s="46"/>
      <c r="D28" s="48"/>
      <c r="E28" s="50"/>
      <c r="F28" s="20">
        <v>0.95833333333333304</v>
      </c>
      <c r="G28" s="36">
        <v>0</v>
      </c>
      <c r="H28" s="35">
        <v>0</v>
      </c>
      <c r="I28" s="29">
        <v>0</v>
      </c>
      <c r="J28" s="30">
        <v>0</v>
      </c>
      <c r="K28" s="31" t="s">
        <v>28</v>
      </c>
      <c r="L28" s="30">
        <f t="shared" si="0"/>
        <v>1.5</v>
      </c>
      <c r="M28" s="30">
        <f t="shared" si="2"/>
        <v>0</v>
      </c>
      <c r="O28" s="19">
        <v>23</v>
      </c>
      <c r="P28" s="46"/>
      <c r="Q28" s="48"/>
      <c r="R28" s="50"/>
      <c r="S28" s="20">
        <v>0.95833333333333304</v>
      </c>
      <c r="T28" s="35">
        <v>0</v>
      </c>
      <c r="U28" s="32">
        <v>150</v>
      </c>
      <c r="V28" s="32"/>
      <c r="W28" s="29" t="s">
        <v>28</v>
      </c>
      <c r="X28" s="31"/>
      <c r="Y28" s="30">
        <f t="shared" si="1"/>
        <v>0</v>
      </c>
    </row>
    <row r="29" spans="2:25" ht="15.75" thickBot="1" x14ac:dyDescent="0.3">
      <c r="B29" s="37">
        <v>24</v>
      </c>
      <c r="C29" s="47"/>
      <c r="D29" s="49"/>
      <c r="E29" s="51"/>
      <c r="F29" s="38">
        <v>1</v>
      </c>
      <c r="G29" s="39">
        <v>0</v>
      </c>
      <c r="H29" s="40">
        <v>0</v>
      </c>
      <c r="I29" s="41">
        <v>0</v>
      </c>
      <c r="J29" s="42">
        <v>0</v>
      </c>
      <c r="K29" s="43" t="s">
        <v>28</v>
      </c>
      <c r="L29" s="42">
        <f t="shared" si="0"/>
        <v>1.5</v>
      </c>
      <c r="M29" s="42">
        <f t="shared" si="2"/>
        <v>0</v>
      </c>
      <c r="O29" s="37">
        <v>24</v>
      </c>
      <c r="P29" s="47"/>
      <c r="Q29" s="49"/>
      <c r="R29" s="51"/>
      <c r="S29" s="38">
        <v>1</v>
      </c>
      <c r="T29" s="40">
        <v>0</v>
      </c>
      <c r="U29" s="44">
        <v>150</v>
      </c>
      <c r="V29" s="44"/>
      <c r="W29" s="41" t="s">
        <v>28</v>
      </c>
      <c r="X29" s="43"/>
      <c r="Y29" s="42">
        <f t="shared" si="1"/>
        <v>0</v>
      </c>
    </row>
    <row r="30" spans="2:25" ht="15" customHeight="1" x14ac:dyDescent="0.25"/>
  </sheetData>
  <mergeCells count="6">
    <mergeCell ref="R6:R29"/>
    <mergeCell ref="C6:C29"/>
    <mergeCell ref="D6:D29"/>
    <mergeCell ref="E6:E29"/>
    <mergeCell ref="P6:P29"/>
    <mergeCell ref="Q6:Q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Iklim</vt:lpstr>
    </vt:vector>
  </TitlesOfParts>
  <Company>VCP Studio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STUDIO_10</dc:creator>
  <cp:lastModifiedBy>STUDIO_10</cp:lastModifiedBy>
  <dcterms:created xsi:type="dcterms:W3CDTF">2021-08-10T02:08:34Z</dcterms:created>
  <dcterms:modified xsi:type="dcterms:W3CDTF">2021-08-10T02:12:23Z</dcterms:modified>
</cp:coreProperties>
</file>