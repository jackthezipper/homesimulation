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Data Obyek Lingkungan\"/>
    </mc:Choice>
  </mc:AlternateContent>
  <xr:revisionPtr revIDLastSave="0" documentId="13_ncr:1_{D747B4A6-D64C-4E1F-82BF-D02FF21239DE}" xr6:coauthVersionLast="47" xr6:coauthVersionMax="47" xr10:uidLastSave="{00000000-0000-0000-0000-000000000000}"/>
  <bookViews>
    <workbookView xWindow="-120" yWindow="360" windowWidth="20730" windowHeight="11280" tabRatio="736" activeTab="1" xr2:uid="{00000000-000D-0000-FFFF-FFFF00000000}"/>
  </bookViews>
  <sheets>
    <sheet name="EQ" sheetId="13" r:id="rId1"/>
    <sheet name="AO-ALL" sheetId="2" r:id="rId2"/>
  </sheets>
  <externalReferences>
    <externalReference r:id="rId3"/>
    <externalReference r:id="rId4"/>
  </externalReferences>
  <definedNames>
    <definedName name="_xlnm.Print_Titles" localSheetId="0">EQ!$3:$4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7" i="2" l="1"/>
  <c r="K89" i="2"/>
  <c r="K86" i="2" s="1"/>
  <c r="K90" i="2" s="1"/>
  <c r="K87" i="2"/>
  <c r="K84" i="2"/>
  <c r="L120" i="13"/>
  <c r="J120" i="13"/>
  <c r="L119" i="13"/>
  <c r="J119" i="13"/>
  <c r="L118" i="13"/>
  <c r="J118" i="13"/>
  <c r="L117" i="13"/>
  <c r="J117" i="13"/>
  <c r="L116" i="13"/>
  <c r="J116" i="13"/>
  <c r="L115" i="13"/>
  <c r="J115" i="13"/>
  <c r="L114" i="13"/>
  <c r="H114" i="13"/>
  <c r="I114" i="13" s="1"/>
  <c r="J114" i="13" s="1"/>
  <c r="L113" i="13"/>
  <c r="J113" i="13"/>
  <c r="L112" i="13"/>
  <c r="H112" i="13"/>
  <c r="I112" i="13" s="1"/>
  <c r="J112" i="13" s="1"/>
  <c r="L111" i="13"/>
  <c r="J111" i="13"/>
  <c r="L110" i="13"/>
  <c r="J110" i="13"/>
  <c r="L109" i="13"/>
  <c r="J109" i="13"/>
  <c r="L108" i="13"/>
  <c r="J108" i="13"/>
  <c r="L107" i="13"/>
  <c r="J107" i="13"/>
  <c r="L106" i="13"/>
  <c r="J106" i="13"/>
  <c r="L105" i="13"/>
  <c r="J105" i="13"/>
  <c r="L104" i="13"/>
  <c r="H104" i="13"/>
  <c r="I104" i="13" s="1"/>
  <c r="J104" i="13" s="1"/>
  <c r="L103" i="13"/>
  <c r="J103" i="13"/>
  <c r="L102" i="13"/>
  <c r="J102" i="13"/>
  <c r="L101" i="13"/>
  <c r="J101" i="13"/>
  <c r="L100" i="13"/>
  <c r="J100" i="13"/>
  <c r="L99" i="13"/>
  <c r="J99" i="13"/>
  <c r="L98" i="13"/>
  <c r="J98" i="13"/>
  <c r="L97" i="13"/>
  <c r="H97" i="13"/>
  <c r="I97" i="13" s="1"/>
  <c r="J97" i="13" s="1"/>
  <c r="L96" i="13"/>
  <c r="J96" i="13"/>
  <c r="L95" i="13"/>
  <c r="J95" i="13"/>
  <c r="L94" i="13"/>
  <c r="J94" i="13"/>
  <c r="L93" i="13"/>
  <c r="J93" i="13"/>
  <c r="L92" i="13"/>
  <c r="J92" i="13"/>
  <c r="L91" i="13"/>
  <c r="J91" i="13"/>
  <c r="L90" i="13"/>
  <c r="J90" i="13"/>
  <c r="L89" i="13"/>
  <c r="H89" i="13"/>
  <c r="I89" i="13" s="1"/>
  <c r="J89" i="13" s="1"/>
  <c r="L88" i="13"/>
  <c r="J88" i="13"/>
  <c r="L87" i="13"/>
  <c r="H87" i="13"/>
  <c r="I87" i="13" s="1"/>
  <c r="J87" i="13" s="1"/>
  <c r="L86" i="13"/>
  <c r="H86" i="13"/>
  <c r="I86" i="13" s="1"/>
  <c r="J86" i="13" s="1"/>
  <c r="L85" i="13"/>
  <c r="J85" i="13"/>
  <c r="L84" i="13"/>
  <c r="J84" i="13"/>
  <c r="L83" i="13"/>
  <c r="J83" i="13"/>
  <c r="L82" i="13"/>
  <c r="J82" i="13"/>
  <c r="L81" i="13"/>
  <c r="H81" i="13"/>
  <c r="I81" i="13" s="1"/>
  <c r="J81" i="13" s="1"/>
  <c r="L80" i="13"/>
  <c r="J80" i="13"/>
  <c r="L79" i="13"/>
  <c r="J79" i="13"/>
  <c r="L78" i="13"/>
  <c r="H78" i="13"/>
  <c r="I78" i="13" s="1"/>
  <c r="J78" i="13" s="1"/>
  <c r="L77" i="13"/>
  <c r="J77" i="13"/>
  <c r="L76" i="13"/>
  <c r="H76" i="13"/>
  <c r="I76" i="13" s="1"/>
  <c r="J76" i="13" s="1"/>
  <c r="L75" i="13"/>
  <c r="H75" i="13"/>
  <c r="I75" i="13" s="1"/>
  <c r="J75" i="13" s="1"/>
  <c r="L74" i="13"/>
  <c r="H74" i="13"/>
  <c r="I74" i="13" s="1"/>
  <c r="J74" i="13" s="1"/>
  <c r="L73" i="13"/>
  <c r="J73" i="13"/>
  <c r="L72" i="13"/>
  <c r="J72" i="13"/>
  <c r="L71" i="13"/>
  <c r="H71" i="13"/>
  <c r="I71" i="13" s="1"/>
  <c r="J71" i="13" s="1"/>
  <c r="L70" i="13"/>
  <c r="J70" i="13"/>
  <c r="L69" i="13"/>
  <c r="J69" i="13"/>
  <c r="L68" i="13"/>
  <c r="H68" i="13"/>
  <c r="I68" i="13" s="1"/>
  <c r="J68" i="13" s="1"/>
  <c r="L67" i="13"/>
  <c r="J67" i="13"/>
  <c r="L66" i="13"/>
  <c r="J66" i="13"/>
  <c r="L65" i="13"/>
  <c r="J65" i="13"/>
  <c r="L64" i="13"/>
  <c r="J64" i="13"/>
  <c r="L63" i="13"/>
  <c r="J63" i="13"/>
  <c r="L62" i="13"/>
  <c r="H62" i="13"/>
  <c r="I62" i="13" s="1"/>
  <c r="J62" i="13" s="1"/>
  <c r="L61" i="13"/>
  <c r="H61" i="13"/>
  <c r="I61" i="13" s="1"/>
  <c r="J61" i="13" s="1"/>
  <c r="L60" i="13"/>
  <c r="J60" i="13"/>
  <c r="L59" i="13"/>
  <c r="H59" i="13"/>
  <c r="I59" i="13" s="1"/>
  <c r="J59" i="13" s="1"/>
  <c r="L58" i="13"/>
  <c r="J58" i="13"/>
  <c r="L57" i="13"/>
  <c r="H57" i="13"/>
  <c r="I57" i="13" s="1"/>
  <c r="J57" i="13" s="1"/>
  <c r="L56" i="13"/>
  <c r="H56" i="13"/>
  <c r="I56" i="13" s="1"/>
  <c r="J56" i="13" s="1"/>
  <c r="L55" i="13"/>
  <c r="J55" i="13"/>
  <c r="L54" i="13"/>
  <c r="H54" i="13"/>
  <c r="I54" i="13" s="1"/>
  <c r="J54" i="13" s="1"/>
  <c r="L53" i="13"/>
  <c r="J53" i="13"/>
  <c r="L52" i="13"/>
  <c r="J52" i="13"/>
  <c r="L51" i="13"/>
  <c r="H51" i="13"/>
  <c r="I51" i="13" s="1"/>
  <c r="J51" i="13" s="1"/>
  <c r="L50" i="13"/>
  <c r="J50" i="13"/>
  <c r="L49" i="13"/>
  <c r="H49" i="13"/>
  <c r="I49" i="13" s="1"/>
  <c r="J49" i="13" s="1"/>
  <c r="L48" i="13"/>
  <c r="J48" i="13"/>
  <c r="L47" i="13"/>
  <c r="H47" i="13"/>
  <c r="I47" i="13" s="1"/>
  <c r="J47" i="13" s="1"/>
  <c r="L46" i="13"/>
  <c r="H46" i="13"/>
  <c r="I46" i="13" s="1"/>
  <c r="J46" i="13" s="1"/>
  <c r="L45" i="13"/>
  <c r="H45" i="13"/>
  <c r="I45" i="13" s="1"/>
  <c r="J45" i="13" s="1"/>
  <c r="L44" i="13"/>
  <c r="H44" i="13"/>
  <c r="I44" i="13" s="1"/>
  <c r="J44" i="13" s="1"/>
  <c r="L43" i="13"/>
  <c r="H43" i="13"/>
  <c r="I43" i="13" s="1"/>
  <c r="J43" i="13" s="1"/>
  <c r="L42" i="13"/>
  <c r="J42" i="13"/>
  <c r="L41" i="13"/>
  <c r="J41" i="13"/>
  <c r="L40" i="13"/>
  <c r="H40" i="13"/>
  <c r="I40" i="13" s="1"/>
  <c r="J40" i="13" s="1"/>
  <c r="L39" i="13"/>
  <c r="J39" i="13"/>
  <c r="L38" i="13"/>
  <c r="J38" i="13"/>
  <c r="L37" i="13"/>
  <c r="H37" i="13"/>
  <c r="I37" i="13" s="1"/>
  <c r="J37" i="13" s="1"/>
  <c r="L36" i="13"/>
  <c r="J36" i="13"/>
  <c r="L35" i="13"/>
  <c r="J35" i="13"/>
  <c r="L34" i="13"/>
  <c r="H34" i="13"/>
  <c r="I34" i="13" s="1"/>
  <c r="J34" i="13" s="1"/>
  <c r="L33" i="13"/>
  <c r="J33" i="13"/>
  <c r="L32" i="13"/>
  <c r="H32" i="13"/>
  <c r="I32" i="13" s="1"/>
  <c r="J32" i="13" s="1"/>
  <c r="L31" i="13"/>
  <c r="J31" i="13"/>
  <c r="L30" i="13"/>
  <c r="J30" i="13"/>
  <c r="L29" i="13"/>
  <c r="J29" i="13"/>
  <c r="L28" i="13"/>
  <c r="H28" i="13"/>
  <c r="I28" i="13" s="1"/>
  <c r="J28" i="13" s="1"/>
  <c r="L27" i="13"/>
  <c r="J27" i="13"/>
  <c r="L26" i="13"/>
  <c r="J26" i="13"/>
  <c r="L25" i="13"/>
  <c r="H25" i="13"/>
  <c r="I25" i="13" s="1"/>
  <c r="J25" i="13" s="1"/>
  <c r="L24" i="13"/>
  <c r="J24" i="13"/>
  <c r="L23" i="13"/>
  <c r="J23" i="13"/>
  <c r="L22" i="13"/>
  <c r="H22" i="13"/>
  <c r="I22" i="13" s="1"/>
  <c r="J22" i="13" s="1"/>
  <c r="L21" i="13"/>
  <c r="J21" i="13"/>
  <c r="L20" i="13"/>
  <c r="J20" i="13"/>
  <c r="L19" i="13"/>
  <c r="H19" i="13"/>
  <c r="I19" i="13" s="1"/>
  <c r="J19" i="13" s="1"/>
  <c r="L18" i="13"/>
  <c r="J18" i="13"/>
  <c r="L17" i="13"/>
  <c r="J17" i="13"/>
  <c r="L16" i="13"/>
  <c r="H16" i="13"/>
  <c r="I16" i="13" s="1"/>
  <c r="J16" i="13" s="1"/>
  <c r="L15" i="13"/>
  <c r="J15" i="13"/>
  <c r="L14" i="13"/>
  <c r="J14" i="13"/>
  <c r="L13" i="13"/>
  <c r="H13" i="13"/>
  <c r="I13" i="13" s="1"/>
  <c r="J13" i="13" s="1"/>
  <c r="L12" i="13"/>
  <c r="H12" i="13"/>
  <c r="I12" i="13" s="1"/>
  <c r="J12" i="13" s="1"/>
  <c r="L11" i="13"/>
  <c r="J11" i="13"/>
  <c r="L10" i="13"/>
  <c r="H10" i="13"/>
  <c r="I10" i="13" s="1"/>
  <c r="J10" i="13" s="1"/>
  <c r="L9" i="13"/>
  <c r="H9" i="13"/>
  <c r="I9" i="13" s="1"/>
  <c r="J9" i="13" s="1"/>
  <c r="L8" i="13"/>
  <c r="J8" i="13"/>
  <c r="L7" i="13"/>
  <c r="J7" i="13"/>
  <c r="L6" i="13"/>
  <c r="J6" i="13"/>
  <c r="L5" i="13"/>
  <c r="J5" i="13"/>
  <c r="W172" i="2"/>
  <c r="W167" i="2"/>
  <c r="W162" i="2"/>
  <c r="W159" i="2"/>
  <c r="W161" i="2" s="1"/>
  <c r="W165" i="2" s="1"/>
  <c r="E42" i="2"/>
  <c r="Q109" i="2"/>
  <c r="K134" i="2"/>
  <c r="K137" i="2" s="1"/>
  <c r="Q117" i="2"/>
  <c r="K142" i="2"/>
  <c r="Q112" i="2"/>
  <c r="Q114" i="2"/>
  <c r="K139" i="2"/>
  <c r="AC109" i="2"/>
  <c r="AC112" i="2" s="1"/>
  <c r="AC111" i="2" s="1"/>
  <c r="AC115" i="2" s="1"/>
  <c r="E109" i="2"/>
  <c r="E112" i="2" s="1"/>
  <c r="E111" i="2" s="1"/>
  <c r="E115" i="2" s="1"/>
  <c r="K109" i="2"/>
  <c r="E134" i="2"/>
  <c r="E137" i="2" s="1"/>
  <c r="AC117" i="2"/>
  <c r="E117" i="2"/>
  <c r="K117" i="2"/>
  <c r="E142" i="2"/>
  <c r="E139" i="2"/>
  <c r="K59" i="2"/>
  <c r="K62" i="2" s="1"/>
  <c r="K67" i="2"/>
  <c r="K64" i="2"/>
  <c r="E159" i="2"/>
  <c r="E162" i="2" s="1"/>
  <c r="E161" i="2" s="1"/>
  <c r="E165" i="2" s="1"/>
  <c r="E167" i="2"/>
  <c r="K159" i="2"/>
  <c r="K162" i="2" s="1"/>
  <c r="K167" i="2"/>
  <c r="K164" i="2"/>
  <c r="Q159" i="2"/>
  <c r="Q162" i="2" s="1"/>
  <c r="Q167" i="2"/>
  <c r="Q164" i="2"/>
  <c r="W109" i="2"/>
  <c r="W112" i="2" s="1"/>
  <c r="W117" i="2"/>
  <c r="W114" i="2"/>
  <c r="E84" i="2"/>
  <c r="E87" i="2" s="1"/>
  <c r="E92" i="2"/>
  <c r="E89" i="2"/>
  <c r="E34" i="2"/>
  <c r="E37" i="2" s="1"/>
  <c r="E39" i="2"/>
  <c r="E59" i="2"/>
  <c r="E62" i="2" s="1"/>
  <c r="E67" i="2"/>
  <c r="E64" i="2"/>
  <c r="E61" i="2" l="1"/>
  <c r="E65" i="2" s="1"/>
  <c r="Q161" i="2"/>
  <c r="Q165" i="2" s="1"/>
  <c r="E86" i="2"/>
  <c r="E90" i="2" s="1"/>
  <c r="K161" i="2"/>
  <c r="K165" i="2" s="1"/>
  <c r="E136" i="2"/>
  <c r="E140" i="2" s="1"/>
  <c r="K136" i="2"/>
  <c r="K140" i="2" s="1"/>
  <c r="E36" i="2"/>
  <c r="E40" i="2" s="1"/>
  <c r="W111" i="2"/>
  <c r="W115" i="2" s="1"/>
  <c r="K61" i="2"/>
  <c r="K65" i="2" s="1"/>
  <c r="Q111" i="2"/>
  <c r="Q115" i="2" s="1"/>
  <c r="K112" i="2"/>
  <c r="K111" i="2" s="1"/>
  <c r="K115" i="2" s="1"/>
  <c r="E97" i="2" l="1"/>
  <c r="E147" i="2" l="1"/>
  <c r="K147" i="2"/>
  <c r="K172" i="2"/>
  <c r="E47" i="2"/>
  <c r="Q122" i="2" l="1"/>
  <c r="AC122" i="2"/>
  <c r="K72" i="2"/>
  <c r="E72" i="2"/>
  <c r="Q172" i="2" l="1"/>
  <c r="W121" i="2"/>
  <c r="W122" i="2" s="1"/>
  <c r="E122" i="2"/>
  <c r="E172" i="2"/>
  <c r="K122" i="2"/>
  <c r="E23" i="2" l="1"/>
  <c r="E24" i="2" s="1"/>
  <c r="E15" i="2"/>
  <c r="E10" i="2"/>
  <c r="E13" i="2" s="1"/>
  <c r="E12" i="2" l="1"/>
  <c r="E16" i="2" s="1"/>
</calcChain>
</file>

<file path=xl/sharedStrings.xml><?xml version="1.0" encoding="utf-8"?>
<sst xmlns="http://schemas.openxmlformats.org/spreadsheetml/2006/main" count="868" uniqueCount="146">
  <si>
    <t>Listrik</t>
  </si>
  <si>
    <t>off</t>
  </si>
  <si>
    <t>Status</t>
  </si>
  <si>
    <t>No</t>
  </si>
  <si>
    <t>ABM</t>
  </si>
  <si>
    <t xml:space="preserve">CONTOH </t>
  </si>
  <si>
    <t>COMPONENTS</t>
  </si>
  <si>
    <t>Variable i</t>
  </si>
  <si>
    <t>Variable ii</t>
  </si>
  <si>
    <t xml:space="preserve">Parameter </t>
  </si>
  <si>
    <t>Note</t>
  </si>
  <si>
    <t>Name</t>
  </si>
  <si>
    <t>Mesin Cuci</t>
  </si>
  <si>
    <t>Code</t>
  </si>
  <si>
    <t>RCC01-WM01</t>
  </si>
  <si>
    <t>Date Created</t>
  </si>
  <si>
    <t>tanggal dibeli</t>
  </si>
  <si>
    <t>Tanggal diproduksi menentukan umur objek</t>
  </si>
  <si>
    <t>hari</t>
  </si>
  <si>
    <t>Masa pemakaian yang disarankan sesuai spesifikasi produk. Tahun dikonversi ke hari</t>
  </si>
  <si>
    <t>Age</t>
  </si>
  <si>
    <t>Sisa Umur</t>
  </si>
  <si>
    <t>Maintenance</t>
  </si>
  <si>
    <t>Current State</t>
  </si>
  <si>
    <t>level</t>
  </si>
  <si>
    <t>kumulatif maintenance</t>
  </si>
  <si>
    <r>
      <t>Jumlah maintenance yang dilakukan. Setiap maintenance</t>
    </r>
    <r>
      <rPr>
        <b/>
        <sz val="12"/>
        <color theme="1"/>
        <rFont val="Calibri"/>
        <family val="2"/>
        <scheme val="minor"/>
      </rPr>
      <t xml:space="preserve"> tambah 1 poin dari Current State</t>
    </r>
  </si>
  <si>
    <t>Cleanliness</t>
  </si>
  <si>
    <t>Condition</t>
  </si>
  <si>
    <t>rusak, kurang bagus, bagus, sangat bagus</t>
  </si>
  <si>
    <t>Function</t>
  </si>
  <si>
    <t>Komputasi</t>
  </si>
  <si>
    <t>Energy Type</t>
  </si>
  <si>
    <t>kw/j</t>
  </si>
  <si>
    <t>Survei alat (sudah disurvei)</t>
  </si>
  <si>
    <t>jam</t>
  </si>
  <si>
    <t>kumulatif konsumsi energi</t>
  </si>
  <si>
    <t>TV</t>
  </si>
  <si>
    <t>Kipas Angin</t>
  </si>
  <si>
    <t>Refrigerator</t>
  </si>
  <si>
    <t>RKG01-TV01</t>
  </si>
  <si>
    <t>Rice Cooker</t>
  </si>
  <si>
    <t>Washing Machine</t>
  </si>
  <si>
    <t>Ruang dan alat listrik bisa ditambah/ diperbaiki</t>
  </si>
  <si>
    <t xml:space="preserve">Ruang </t>
  </si>
  <si>
    <t xml:space="preserve">Alat </t>
  </si>
  <si>
    <t xml:space="preserve">Jumlah </t>
  </si>
  <si>
    <t xml:space="preserve">Waktu </t>
  </si>
  <si>
    <t>Durasi (jam)</t>
  </si>
  <si>
    <t>Durasi (menit)</t>
  </si>
  <si>
    <t>Daya (Watt)</t>
  </si>
  <si>
    <t xml:space="preserve">Keterangan </t>
  </si>
  <si>
    <t>Nyala</t>
  </si>
  <si>
    <t xml:space="preserve">Mati </t>
  </si>
  <si>
    <t xml:space="preserve">Lampu </t>
  </si>
  <si>
    <t>Dimatikan 2-3x (10-20 menit)</t>
  </si>
  <si>
    <t>Lampu</t>
  </si>
  <si>
    <t>Standby power/tidak nyala</t>
  </si>
  <si>
    <t>Setrika</t>
  </si>
  <si>
    <t>Kulkas</t>
  </si>
  <si>
    <t>Rg. Cuci</t>
  </si>
  <si>
    <t>Teras</t>
  </si>
  <si>
    <t>Lifespan</t>
  </si>
  <si>
    <t>Tingkat perlu maintance berkala. Contoh setiap 120 hari (4 bulan) atau 45 kali maintenance dalam 15 tahun = ((Age/Lifespan) x Jumlah maintenance yang disarankan selama Lifespan - Sub kumulatif maintenance dilakukan)</t>
  </si>
  <si>
    <t>Skala kondisi = Rusak &lt; 0.25 &lt; Kurang bagus &lt; 0.5 &lt; Bagus &lt; 0.75 &lt; Sangat bagus &lt; 1 = Sisa Umur/Lifespan</t>
  </si>
  <si>
    <t>Energy Consumption Rate</t>
  </si>
  <si>
    <t>Current Consumption Time</t>
  </si>
  <si>
    <t>Current Consumption Time x Energy Consumption Rate</t>
  </si>
  <si>
    <r>
      <t xml:space="preserve">Status on/off replace setiap digunakan dari sheet </t>
    </r>
    <r>
      <rPr>
        <b/>
        <sz val="12"/>
        <color theme="1"/>
        <rFont val="Calibri"/>
        <family val="2"/>
        <scheme val="minor"/>
      </rPr>
      <t>DL, setiap "on"</t>
    </r>
    <r>
      <rPr>
        <sz val="12"/>
        <color theme="1"/>
        <rFont val="Calibri"/>
        <family val="2"/>
        <scheme val="minor"/>
      </rPr>
      <t xml:space="preserve"> akan menambah 1 poin ke baris Age kolom Parameter</t>
    </r>
  </si>
  <si>
    <r>
      <t>Tambahan 1 poin, replace setiap digunakan</t>
    </r>
    <r>
      <rPr>
        <b/>
        <sz val="12"/>
        <color theme="1"/>
        <rFont val="Calibri"/>
        <family val="2"/>
        <scheme val="minor"/>
      </rPr>
      <t xml:space="preserve"> "on" dari sheet DL</t>
    </r>
  </si>
  <si>
    <r>
      <t xml:space="preserve">Tingkat kotor </t>
    </r>
    <r>
      <rPr>
        <b/>
        <sz val="12"/>
        <color theme="1"/>
        <rFont val="Calibri"/>
        <family val="2"/>
        <scheme val="minor"/>
      </rPr>
      <t>replace dari sheet DL</t>
    </r>
    <r>
      <rPr>
        <sz val="12"/>
        <color theme="1"/>
        <rFont val="Calibri"/>
        <family val="2"/>
        <scheme val="minor"/>
      </rPr>
      <t xml:space="preserve">. Setiap kali digunakan mendapat 0.1 poin. </t>
    </r>
    <r>
      <rPr>
        <b/>
        <sz val="12"/>
        <color theme="1"/>
        <rFont val="Calibri"/>
        <family val="2"/>
        <scheme val="minor"/>
      </rPr>
      <t>Jika ada aktivitas membersihkan</t>
    </r>
    <r>
      <rPr>
        <sz val="12"/>
        <color theme="1"/>
        <rFont val="Calibri"/>
        <family val="2"/>
        <scheme val="minor"/>
      </rPr>
      <t>, poin berkurang = 0 (bersih)</t>
    </r>
  </si>
  <si>
    <t>Replace dari sheet DL</t>
  </si>
  <si>
    <t>Current Energy Consumption</t>
  </si>
  <si>
    <t>Cleaning</t>
  </si>
  <si>
    <t>Sisa umur = Lifespan - Age - (Total Cumulative Energy Consumption Maintenance + Cleanliness level)/2 X 10</t>
  </si>
  <si>
    <t>Total Cumulative Energy Consumption</t>
  </si>
  <si>
    <t>Penjumlahan Sub Total Cumulative Energy Consumption</t>
  </si>
  <si>
    <t>Machine Activity</t>
  </si>
  <si>
    <t>Total Cumulative Maintenance</t>
  </si>
  <si>
    <t>A. Active Attribute</t>
  </si>
  <si>
    <t>ACTIVE OBJECT</t>
  </si>
  <si>
    <t>Nama objek pada sheet Current State didahului dengan nama ruang: RCC01-WM01 (Ruang Cuci 1 - Mesin Cuci 1)</t>
  </si>
  <si>
    <t>Heat Emission</t>
  </si>
  <si>
    <t>degC</t>
  </si>
  <si>
    <t>Charger HP</t>
  </si>
  <si>
    <t>RTM01-CH01</t>
  </si>
  <si>
    <t>ACTIVE OBJECT-R1</t>
  </si>
  <si>
    <t>Router Internet</t>
  </si>
  <si>
    <t>RKG01-RI01</t>
  </si>
  <si>
    <t>RTU02-KP01</t>
  </si>
  <si>
    <t>Charger HP-Tab</t>
  </si>
  <si>
    <t>RDP02-CH02</t>
  </si>
  <si>
    <t>RDP02-CH03</t>
  </si>
  <si>
    <t>RDP02-KP02</t>
  </si>
  <si>
    <t>RKJ01-DI01</t>
  </si>
  <si>
    <t>Charger Laptop</t>
  </si>
  <si>
    <t>RKJ01-CH04</t>
  </si>
  <si>
    <t>Printer</t>
  </si>
  <si>
    <t>RKJ01-PR01</t>
  </si>
  <si>
    <t>Printer/Scanner</t>
  </si>
  <si>
    <t>RDP02-RE01</t>
  </si>
  <si>
    <t>Kipas Angin Gantung</t>
  </si>
  <si>
    <t>RBK01-WP01</t>
  </si>
  <si>
    <t>Water Pump (sensor)</t>
  </si>
  <si>
    <t>RBK01-WM01</t>
  </si>
  <si>
    <t>RDP02-RC01</t>
  </si>
  <si>
    <t>Komputer</t>
  </si>
  <si>
    <t>Rg. Utama - Rg. Tamu</t>
  </si>
  <si>
    <t xml:space="preserve"> </t>
  </si>
  <si>
    <t>Rg. Utama - Rg. Keluarga</t>
  </si>
  <si>
    <t>Kamar Tidur Depan</t>
  </si>
  <si>
    <t>Kamar Tidur Belakang</t>
  </si>
  <si>
    <t>TV Tabung 14"</t>
  </si>
  <si>
    <t>Fan gantung</t>
  </si>
  <si>
    <t>KM/WC Dalam</t>
  </si>
  <si>
    <t>KM/WC Tengah</t>
  </si>
  <si>
    <t>Pantry &amp; Selasar</t>
  </si>
  <si>
    <t>Fan</t>
  </si>
  <si>
    <t>Garasi &amp; Carport</t>
  </si>
  <si>
    <t>Innercourt Belakang</t>
  </si>
  <si>
    <t>Pompa Air</t>
  </si>
  <si>
    <t>KM/WC Belakang</t>
  </si>
  <si>
    <t>Dapur Kotor</t>
  </si>
  <si>
    <t>Cuci</t>
  </si>
  <si>
    <t>Rg. Parkir Motor</t>
  </si>
  <si>
    <t>Lt.2 - Ruang Tangga</t>
  </si>
  <si>
    <t>Lt. 2 - Rg. Kerja</t>
  </si>
  <si>
    <t>Lampu Utara</t>
  </si>
  <si>
    <t>Lampu Selatan</t>
  </si>
  <si>
    <t>Lampu Meja</t>
  </si>
  <si>
    <t>Mesin Jahit</t>
  </si>
  <si>
    <t>Lt. 2 - Kamar Tidur 1</t>
  </si>
  <si>
    <t>Alat di Rg. Kerja</t>
  </si>
  <si>
    <t>(power dari K. Tidur 1)</t>
  </si>
  <si>
    <t>Scanner</t>
  </si>
  <si>
    <t>Lt.2 - Kamar Tidur 2</t>
  </si>
  <si>
    <t>Lt.2 - Kamar Tidur 3</t>
  </si>
  <si>
    <t>KM/WC Lt. 2</t>
  </si>
  <si>
    <t>Lampu WC</t>
  </si>
  <si>
    <t>Lampu depan WC</t>
  </si>
  <si>
    <t>Gudang Lt. 1</t>
  </si>
  <si>
    <t>Gudang Lt. 2</t>
  </si>
  <si>
    <t>RKJ01-KO01</t>
  </si>
  <si>
    <t>TV 2</t>
  </si>
  <si>
    <t>RTU02-TV02</t>
  </si>
  <si>
    <t>standby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</si>
</sst>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\.m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8">
    <xf numFmtId="0" fontId="0" fillId="0" borderId="0" xfId="0"/>
    <xf numFmtId="0" fontId="0" fillId="0" borderId="6" xfId="0" applyFill="1" applyBorder="1"/>
    <xf numFmtId="0" fontId="0" fillId="0" borderId="3" xfId="0" applyFill="1" applyBorder="1"/>
    <xf numFmtId="0" fontId="0" fillId="0" borderId="0" xfId="0" applyFill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5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3" fillId="0" borderId="0" xfId="0" applyFont="1" applyFill="1"/>
    <xf numFmtId="0" fontId="0" fillId="0" borderId="5" xfId="0" applyFill="1" applyBorder="1" applyAlignment="1">
      <alignment horizontal="left" vertical="center" wrapText="1"/>
    </xf>
    <xf numFmtId="0" fontId="4" fillId="0" borderId="0" xfId="0" applyFont="1" applyFill="1"/>
    <xf numFmtId="0" fontId="0" fillId="0" borderId="2" xfId="0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/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33" xfId="1" applyBorder="1" applyAlignment="1">
      <alignment horizontal="center"/>
    </xf>
    <xf numFmtId="0" fontId="2" fillId="0" borderId="33" xfId="1" applyBorder="1"/>
    <xf numFmtId="0" fontId="2" fillId="0" borderId="33" xfId="1" applyBorder="1" applyAlignment="1">
      <alignment horizontal="center" vertical="center"/>
    </xf>
    <xf numFmtId="165" fontId="2" fillId="0" borderId="33" xfId="1" applyNumberFormat="1" applyBorder="1" applyAlignment="1">
      <alignment horizontal="center" vertical="center"/>
    </xf>
    <xf numFmtId="0" fontId="2" fillId="0" borderId="27" xfId="1" applyBorder="1" applyAlignment="1">
      <alignment horizontal="center"/>
    </xf>
    <xf numFmtId="0" fontId="2" fillId="2" borderId="27" xfId="1" applyFill="1" applyBorder="1" applyAlignment="1">
      <alignment horizontal="left"/>
    </xf>
    <xf numFmtId="0" fontId="2" fillId="2" borderId="27" xfId="1" applyFill="1" applyBorder="1" applyAlignment="1">
      <alignment horizontal="center"/>
    </xf>
    <xf numFmtId="20" fontId="2" fillId="2" borderId="27" xfId="1" applyNumberFormat="1" applyFill="1" applyBorder="1" applyAlignment="1">
      <alignment horizontal="center" vertical="center"/>
    </xf>
    <xf numFmtId="1" fontId="2" fillId="2" borderId="27" xfId="1" applyNumberFormat="1" applyFill="1" applyBorder="1" applyAlignment="1">
      <alignment horizontal="center" vertical="center"/>
    </xf>
    <xf numFmtId="0" fontId="2" fillId="2" borderId="27" xfId="1" applyFill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2" fillId="0" borderId="34" xfId="1" applyBorder="1" applyAlignment="1">
      <alignment horizontal="center"/>
    </xf>
    <xf numFmtId="0" fontId="2" fillId="5" borderId="34" xfId="1" applyFill="1" applyBorder="1" applyAlignment="1">
      <alignment horizontal="center"/>
    </xf>
    <xf numFmtId="20" fontId="2" fillId="5" borderId="34" xfId="1" applyNumberFormat="1" applyFill="1" applyBorder="1" applyAlignment="1">
      <alignment horizontal="center" vertical="center"/>
    </xf>
    <xf numFmtId="1" fontId="2" fillId="5" borderId="27" xfId="1" applyNumberFormat="1" applyFill="1" applyBorder="1" applyAlignment="1">
      <alignment horizontal="center" vertical="center"/>
    </xf>
    <xf numFmtId="0" fontId="2" fillId="5" borderId="34" xfId="1" applyFill="1" applyBorder="1" applyAlignment="1">
      <alignment horizontal="center" vertical="center"/>
    </xf>
    <xf numFmtId="0" fontId="2" fillId="0" borderId="34" xfId="1" applyBorder="1" applyAlignment="1">
      <alignment horizontal="center" vertical="center"/>
    </xf>
    <xf numFmtId="0" fontId="2" fillId="0" borderId="29" xfId="1" applyBorder="1" applyAlignment="1">
      <alignment horizontal="center"/>
    </xf>
    <xf numFmtId="0" fontId="2" fillId="0" borderId="29" xfId="1" applyBorder="1" applyAlignment="1">
      <alignment horizontal="center" vertical="center"/>
    </xf>
    <xf numFmtId="0" fontId="2" fillId="2" borderId="33" xfId="1" applyFill="1" applyBorder="1"/>
    <xf numFmtId="0" fontId="2" fillId="2" borderId="33" xfId="1" applyFill="1" applyBorder="1" applyAlignment="1">
      <alignment horizontal="center"/>
    </xf>
    <xf numFmtId="20" fontId="2" fillId="2" borderId="28" xfId="1" applyNumberFormat="1" applyFill="1" applyBorder="1" applyAlignment="1">
      <alignment horizontal="center" vertical="center"/>
    </xf>
    <xf numFmtId="1" fontId="2" fillId="2" borderId="28" xfId="1" applyNumberFormat="1" applyFill="1" applyBorder="1" applyAlignment="1">
      <alignment horizontal="center" vertical="center"/>
    </xf>
    <xf numFmtId="0" fontId="2" fillId="2" borderId="28" xfId="1" applyFill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0" fontId="2" fillId="0" borderId="28" xfId="1" applyBorder="1" applyAlignment="1">
      <alignment horizontal="center"/>
    </xf>
    <xf numFmtId="0" fontId="2" fillId="0" borderId="28" xfId="1" applyBorder="1"/>
    <xf numFmtId="0" fontId="2" fillId="2" borderId="28" xfId="1" applyFill="1" applyBorder="1"/>
    <xf numFmtId="0" fontId="2" fillId="2" borderId="28" xfId="1" applyFill="1" applyBorder="1" applyAlignment="1">
      <alignment horizontal="center"/>
    </xf>
    <xf numFmtId="0" fontId="2" fillId="0" borderId="27" xfId="1" applyBorder="1"/>
    <xf numFmtId="0" fontId="2" fillId="6" borderId="27" xfId="1" applyFill="1" applyBorder="1"/>
    <xf numFmtId="0" fontId="2" fillId="6" borderId="27" xfId="1" applyFill="1" applyBorder="1" applyAlignment="1">
      <alignment horizontal="center"/>
    </xf>
    <xf numFmtId="20" fontId="2" fillId="6" borderId="27" xfId="1" applyNumberFormat="1" applyFill="1" applyBorder="1" applyAlignment="1">
      <alignment horizontal="center" vertical="center"/>
    </xf>
    <xf numFmtId="1" fontId="2" fillId="6" borderId="27" xfId="1" applyNumberFormat="1" applyFill="1" applyBorder="1" applyAlignment="1">
      <alignment horizontal="center" vertical="center"/>
    </xf>
    <xf numFmtId="0" fontId="2" fillId="6" borderId="27" xfId="1" applyFill="1" applyBorder="1" applyAlignment="1">
      <alignment horizontal="center" vertical="center"/>
    </xf>
    <xf numFmtId="0" fontId="2" fillId="5" borderId="27" xfId="1" applyFill="1" applyBorder="1"/>
    <xf numFmtId="0" fontId="2" fillId="5" borderId="27" xfId="1" applyFill="1" applyBorder="1" applyAlignment="1">
      <alignment horizontal="center"/>
    </xf>
    <xf numFmtId="20" fontId="2" fillId="5" borderId="27" xfId="1" applyNumberFormat="1" applyFill="1" applyBorder="1" applyAlignment="1">
      <alignment horizontal="center" vertical="center"/>
    </xf>
    <xf numFmtId="0" fontId="2" fillId="5" borderId="27" xfId="1" applyFill="1" applyBorder="1" applyAlignment="1">
      <alignment horizontal="center" vertical="center"/>
    </xf>
    <xf numFmtId="0" fontId="2" fillId="5" borderId="34" xfId="1" applyFill="1" applyBorder="1"/>
    <xf numFmtId="1" fontId="2" fillId="5" borderId="34" xfId="1" applyNumberFormat="1" applyFill="1" applyBorder="1" applyAlignment="1">
      <alignment horizontal="center" vertical="center"/>
    </xf>
    <xf numFmtId="0" fontId="2" fillId="0" borderId="29" xfId="1" applyBorder="1"/>
    <xf numFmtId="20" fontId="2" fillId="0" borderId="29" xfId="1" applyNumberFormat="1" applyBorder="1" applyAlignment="1">
      <alignment horizontal="center" vertical="center"/>
    </xf>
    <xf numFmtId="1" fontId="2" fillId="0" borderId="29" xfId="1" applyNumberFormat="1" applyBorder="1" applyAlignment="1">
      <alignment horizontal="center" vertical="center"/>
    </xf>
    <xf numFmtId="20" fontId="2" fillId="2" borderId="33" xfId="1" applyNumberFormat="1" applyFill="1" applyBorder="1" applyAlignment="1">
      <alignment horizontal="center" vertical="center"/>
    </xf>
    <xf numFmtId="1" fontId="2" fillId="2" borderId="33" xfId="1" applyNumberFormat="1" applyFill="1" applyBorder="1" applyAlignment="1">
      <alignment horizontal="center" vertical="center"/>
    </xf>
    <xf numFmtId="0" fontId="2" fillId="2" borderId="33" xfId="1" applyFill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2" borderId="32" xfId="1" applyFill="1" applyBorder="1"/>
    <xf numFmtId="0" fontId="2" fillId="2" borderId="32" xfId="1" applyFill="1" applyBorder="1" applyAlignment="1">
      <alignment horizontal="center"/>
    </xf>
    <xf numFmtId="0" fontId="2" fillId="5" borderId="28" xfId="1" applyFill="1" applyBorder="1"/>
    <xf numFmtId="0" fontId="2" fillId="5" borderId="28" xfId="1" applyFill="1" applyBorder="1" applyAlignment="1">
      <alignment horizontal="center"/>
    </xf>
    <xf numFmtId="20" fontId="2" fillId="5" borderId="28" xfId="1" applyNumberFormat="1" applyFill="1" applyBorder="1" applyAlignment="1">
      <alignment horizontal="center" vertical="center"/>
    </xf>
    <xf numFmtId="1" fontId="2" fillId="5" borderId="28" xfId="1" applyNumberFormat="1" applyFill="1" applyBorder="1" applyAlignment="1">
      <alignment horizontal="center" vertical="center"/>
    </xf>
    <xf numFmtId="0" fontId="2" fillId="5" borderId="28" xfId="1" applyFill="1" applyBorder="1" applyAlignment="1">
      <alignment horizontal="center" vertical="center"/>
    </xf>
    <xf numFmtId="0" fontId="2" fillId="6" borderId="28" xfId="1" applyFill="1" applyBorder="1"/>
    <xf numFmtId="0" fontId="2" fillId="6" borderId="28" xfId="1" applyFill="1" applyBorder="1" applyAlignment="1">
      <alignment horizontal="center"/>
    </xf>
    <xf numFmtId="20" fontId="2" fillId="6" borderId="28" xfId="1" applyNumberFormat="1" applyFill="1" applyBorder="1" applyAlignment="1">
      <alignment horizontal="center" vertical="center"/>
    </xf>
    <xf numFmtId="1" fontId="2" fillId="6" borderId="28" xfId="1" applyNumberFormat="1" applyFill="1" applyBorder="1" applyAlignment="1">
      <alignment horizontal="center" vertical="center"/>
    </xf>
    <xf numFmtId="0" fontId="2" fillId="6" borderId="28" xfId="1" applyFill="1" applyBorder="1" applyAlignment="1">
      <alignment horizontal="center" vertical="center"/>
    </xf>
    <xf numFmtId="0" fontId="2" fillId="0" borderId="35" xfId="1" applyBorder="1" applyAlignment="1">
      <alignment horizontal="center"/>
    </xf>
    <xf numFmtId="0" fontId="2" fillId="0" borderId="35" xfId="1" applyBorder="1"/>
    <xf numFmtId="20" fontId="2" fillId="0" borderId="35" xfId="1" applyNumberFormat="1" applyBorder="1" applyAlignment="1">
      <alignment horizontal="center" vertical="center"/>
    </xf>
    <xf numFmtId="1" fontId="2" fillId="0" borderId="35" xfId="1" applyNumberFormat="1" applyBorder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2" fillId="2" borderId="27" xfId="1" applyFill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7" borderId="6" xfId="0" applyFill="1" applyBorder="1"/>
    <xf numFmtId="0" fontId="0" fillId="7" borderId="5" xfId="0" applyFill="1" applyBorder="1" applyAlignment="1">
      <alignment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14" fontId="0" fillId="7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0" fillId="3" borderId="5" xfId="0" applyFill="1" applyBorder="1" applyAlignment="1">
      <alignment vertical="center"/>
    </xf>
    <xf numFmtId="0" fontId="0" fillId="7" borderId="5" xfId="0" applyFill="1" applyBorder="1" applyAlignment="1">
      <alignment horizontal="left" vertical="center" wrapText="1"/>
    </xf>
    <xf numFmtId="2" fontId="0" fillId="4" borderId="5" xfId="0" applyNumberFormat="1" applyFill="1" applyBorder="1" applyAlignment="1">
      <alignment horizontal="center" vertical="center" wrapText="1"/>
    </xf>
    <xf numFmtId="1" fontId="0" fillId="4" borderId="5" xfId="0" applyNumberFormat="1" applyFill="1" applyBorder="1" applyAlignment="1">
      <alignment horizontal="center" vertical="center" wrapText="1"/>
    </xf>
    <xf numFmtId="164" fontId="0" fillId="4" borderId="5" xfId="0" applyNumberFormat="1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quotePrefix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22" xfId="0" applyFont="1" applyFill="1" applyBorder="1"/>
    <xf numFmtId="0" fontId="0" fillId="7" borderId="5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0" borderId="0" xfId="0" applyFont="1" applyFill="1" applyAlignment="1"/>
    <xf numFmtId="0" fontId="0" fillId="4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2" fillId="0" borderId="31" xfId="1" applyBorder="1" applyAlignment="1">
      <alignment horizontal="center" vertical="center"/>
    </xf>
    <xf numFmtId="0" fontId="2" fillId="0" borderId="31" xfId="1" applyBorder="1" applyAlignment="1">
      <alignment horizontal="center" vertical="center" wrapText="1"/>
    </xf>
    <xf numFmtId="0" fontId="2" fillId="0" borderId="32" xfId="1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8" borderId="21" xfId="0" applyFill="1" applyBorder="1"/>
    <xf numFmtId="0" fontId="2" fillId="0" borderId="0" xfId="1" applyAlignment="1">
      <alignment wrapText="1"/>
    </xf>
    <xf numFmtId="0" fontId="2" fillId="0" borderId="32" xfId="1" applyBorder="1" applyAlignment="1">
      <alignment horizontal="center" vertical="center" wrapText="1"/>
    </xf>
    <xf numFmtId="0" fontId="2" fillId="0" borderId="33" xfId="1" applyBorder="1" applyAlignment="1">
      <alignment wrapText="1"/>
    </xf>
    <xf numFmtId="164" fontId="2" fillId="0" borderId="33" xfId="1" applyNumberFormat="1" applyBorder="1" applyAlignment="1">
      <alignment horizontal="center" vertical="center"/>
    </xf>
    <xf numFmtId="0" fontId="2" fillId="0" borderId="27" xfId="1" applyBorder="1" applyAlignment="1">
      <alignment horizontal="left" wrapText="1"/>
    </xf>
    <xf numFmtId="164" fontId="2" fillId="2" borderId="27" xfId="1" applyNumberFormat="1" applyFill="1" applyBorder="1" applyAlignment="1">
      <alignment horizontal="center" vertical="center"/>
    </xf>
    <xf numFmtId="0" fontId="2" fillId="0" borderId="29" xfId="1" applyBorder="1" applyAlignment="1">
      <alignment horizontal="left" wrapText="1"/>
    </xf>
    <xf numFmtId="0" fontId="2" fillId="2" borderId="29" xfId="1" applyFill="1" applyBorder="1" applyAlignment="1">
      <alignment horizontal="left"/>
    </xf>
    <xf numFmtId="0" fontId="2" fillId="2" borderId="29" xfId="1" applyFill="1" applyBorder="1" applyAlignment="1">
      <alignment horizontal="center"/>
    </xf>
    <xf numFmtId="20" fontId="2" fillId="2" borderId="29" xfId="1" applyNumberFormat="1" applyFill="1" applyBorder="1" applyAlignment="1">
      <alignment horizontal="center" vertical="center"/>
    </xf>
    <xf numFmtId="0" fontId="2" fillId="2" borderId="29" xfId="1" applyFill="1" applyBorder="1" applyAlignment="1">
      <alignment horizontal="center" vertical="center"/>
    </xf>
    <xf numFmtId="164" fontId="2" fillId="2" borderId="29" xfId="1" applyNumberFormat="1" applyFill="1" applyBorder="1" applyAlignment="1">
      <alignment horizontal="center" vertical="center"/>
    </xf>
    <xf numFmtId="0" fontId="2" fillId="6" borderId="33" xfId="1" applyFill="1" applyBorder="1"/>
    <xf numFmtId="0" fontId="2" fillId="6" borderId="33" xfId="1" applyFill="1" applyBorder="1" applyAlignment="1">
      <alignment horizontal="center"/>
    </xf>
    <xf numFmtId="164" fontId="2" fillId="6" borderId="28" xfId="1" applyNumberFormat="1" applyFill="1" applyBorder="1" applyAlignment="1">
      <alignment horizontal="center" vertical="center"/>
    </xf>
    <xf numFmtId="0" fontId="2" fillId="0" borderId="28" xfId="1" applyBorder="1" applyAlignment="1">
      <alignment wrapText="1"/>
    </xf>
    <xf numFmtId="0" fontId="2" fillId="0" borderId="27" xfId="1" applyBorder="1" applyAlignment="1">
      <alignment wrapText="1"/>
    </xf>
    <xf numFmtId="164" fontId="2" fillId="5" borderId="27" xfId="1" applyNumberFormat="1" applyFill="1" applyBorder="1" applyAlignment="1">
      <alignment horizontal="center" vertical="center"/>
    </xf>
    <xf numFmtId="0" fontId="2" fillId="0" borderId="29" xfId="1" applyBorder="1" applyAlignment="1">
      <alignment wrapText="1"/>
    </xf>
    <xf numFmtId="164" fontId="2" fillId="0" borderId="29" xfId="1" applyNumberFormat="1" applyBorder="1" applyAlignment="1">
      <alignment horizontal="center" vertical="center"/>
    </xf>
    <xf numFmtId="164" fontId="2" fillId="2" borderId="33" xfId="1" applyNumberFormat="1" applyFill="1" applyBorder="1" applyAlignment="1">
      <alignment horizontal="center" vertical="center"/>
    </xf>
    <xf numFmtId="164" fontId="2" fillId="2" borderId="28" xfId="1" applyNumberFormat="1" applyFill="1" applyBorder="1" applyAlignment="1">
      <alignment horizontal="center" vertical="center"/>
    </xf>
    <xf numFmtId="164" fontId="2" fillId="6" borderId="27" xfId="1" applyNumberFormat="1" applyFill="1" applyBorder="1" applyAlignment="1">
      <alignment horizontal="center" vertical="center"/>
    </xf>
    <xf numFmtId="20" fontId="2" fillId="0" borderId="27" xfId="1" applyNumberFormat="1" applyBorder="1" applyAlignment="1">
      <alignment horizontal="center" vertical="center"/>
    </xf>
    <xf numFmtId="1" fontId="2" fillId="0" borderId="27" xfId="1" applyNumberFormat="1" applyBorder="1" applyAlignment="1">
      <alignment horizontal="center" vertical="center"/>
    </xf>
    <xf numFmtId="164" fontId="2" fillId="0" borderId="27" xfId="1" applyNumberFormat="1" applyBorder="1" applyAlignment="1">
      <alignment horizontal="center" vertical="center"/>
    </xf>
    <xf numFmtId="0" fontId="2" fillId="0" borderId="32" xfId="1" applyBorder="1" applyAlignment="1">
      <alignment wrapText="1"/>
    </xf>
    <xf numFmtId="20" fontId="2" fillId="2" borderId="32" xfId="1" applyNumberFormat="1" applyFill="1" applyBorder="1" applyAlignment="1">
      <alignment horizontal="center" vertical="center"/>
    </xf>
    <xf numFmtId="1" fontId="2" fillId="2" borderId="32" xfId="1" applyNumberFormat="1" applyFill="1" applyBorder="1" applyAlignment="1">
      <alignment horizontal="center" vertical="center"/>
    </xf>
    <xf numFmtId="164" fontId="2" fillId="2" borderId="32" xfId="1" applyNumberFormat="1" applyFill="1" applyBorder="1" applyAlignment="1">
      <alignment horizontal="center" vertical="center"/>
    </xf>
    <xf numFmtId="0" fontId="2" fillId="2" borderId="32" xfId="1" applyFill="1" applyBorder="1" applyAlignment="1">
      <alignment horizontal="center" vertical="center"/>
    </xf>
    <xf numFmtId="164" fontId="2" fillId="5" borderId="28" xfId="1" applyNumberFormat="1" applyFill="1" applyBorder="1" applyAlignment="1">
      <alignment horizontal="center" vertical="center"/>
    </xf>
    <xf numFmtId="0" fontId="2" fillId="0" borderId="35" xfId="1" applyBorder="1" applyAlignment="1">
      <alignment wrapText="1"/>
    </xf>
    <xf numFmtId="164" fontId="2" fillId="0" borderId="35" xfId="1" applyNumberFormat="1" applyBorder="1" applyAlignment="1">
      <alignment horizontal="center" vertical="center"/>
    </xf>
    <xf numFmtId="20" fontId="2" fillId="2" borderId="28" xfId="1" quotePrefix="1" applyNumberFormat="1" applyFill="1" applyBorder="1" applyAlignment="1">
      <alignment horizontal="center" vertical="center"/>
    </xf>
    <xf numFmtId="1" fontId="2" fillId="2" borderId="28" xfId="1" quotePrefix="1" applyNumberFormat="1" applyFill="1" applyBorder="1" applyAlignment="1">
      <alignment horizontal="center" vertical="center"/>
    </xf>
    <xf numFmtId="164" fontId="2" fillId="2" borderId="28" xfId="1" quotePrefix="1" applyNumberFormat="1" applyFill="1" applyBorder="1" applyAlignment="1">
      <alignment horizontal="center" vertical="center"/>
    </xf>
    <xf numFmtId="20" fontId="7" fillId="5" borderId="28" xfId="1" applyNumberFormat="1" applyFont="1" applyFill="1" applyBorder="1" applyAlignment="1">
      <alignment horizontal="center" vertical="center"/>
    </xf>
    <xf numFmtId="1" fontId="7" fillId="5" borderId="28" xfId="1" applyNumberFormat="1" applyFont="1" applyFill="1" applyBorder="1" applyAlignment="1">
      <alignment horizontal="center" vertical="center"/>
    </xf>
    <xf numFmtId="164" fontId="7" fillId="5" borderId="28" xfId="1" applyNumberFormat="1" applyFont="1" applyFill="1" applyBorder="1" applyAlignment="1">
      <alignment horizontal="center" vertical="center"/>
    </xf>
    <xf numFmtId="20" fontId="2" fillId="0" borderId="28" xfId="1" applyNumberFormat="1" applyBorder="1" applyAlignment="1">
      <alignment horizontal="center" vertical="center"/>
    </xf>
    <xf numFmtId="1" fontId="2" fillId="0" borderId="28" xfId="1" applyNumberFormat="1" applyBorder="1" applyAlignment="1">
      <alignment horizontal="center" vertical="center"/>
    </xf>
    <xf numFmtId="164" fontId="2" fillId="0" borderId="28" xfId="1" applyNumberFormat="1" applyBorder="1" applyAlignment="1">
      <alignment horizontal="center" vertical="center"/>
    </xf>
    <xf numFmtId="0" fontId="6" fillId="6" borderId="27" xfId="1" applyFont="1" applyFill="1" applyBorder="1"/>
    <xf numFmtId="0" fontId="6" fillId="6" borderId="27" xfId="1" applyFont="1" applyFill="1" applyBorder="1" applyAlignment="1">
      <alignment horizontal="center"/>
    </xf>
    <xf numFmtId="20" fontId="6" fillId="6" borderId="27" xfId="1" applyNumberFormat="1" applyFont="1" applyFill="1" applyBorder="1" applyAlignment="1">
      <alignment horizontal="center" vertical="center"/>
    </xf>
    <xf numFmtId="1" fontId="6" fillId="6" borderId="27" xfId="1" applyNumberFormat="1" applyFont="1" applyFill="1" applyBorder="1" applyAlignment="1">
      <alignment horizontal="center" vertical="center"/>
    </xf>
    <xf numFmtId="164" fontId="6" fillId="6" borderId="27" xfId="1" applyNumberFormat="1" applyFont="1" applyFill="1" applyBorder="1" applyAlignment="1">
      <alignment horizontal="center" vertical="center"/>
    </xf>
    <xf numFmtId="0" fontId="6" fillId="6" borderId="27" xfId="1" applyFont="1" applyFill="1" applyBorder="1" applyAlignment="1">
      <alignment horizontal="center" vertical="center"/>
    </xf>
    <xf numFmtId="0" fontId="6" fillId="6" borderId="29" xfId="1" applyFont="1" applyFill="1" applyBorder="1"/>
    <xf numFmtId="0" fontId="6" fillId="6" borderId="29" xfId="1" applyFont="1" applyFill="1" applyBorder="1" applyAlignment="1">
      <alignment horizontal="center"/>
    </xf>
    <xf numFmtId="20" fontId="6" fillId="6" borderId="29" xfId="1" applyNumberFormat="1" applyFont="1" applyFill="1" applyBorder="1" applyAlignment="1">
      <alignment horizontal="center" vertical="center"/>
    </xf>
    <xf numFmtId="1" fontId="6" fillId="6" borderId="29" xfId="1" applyNumberFormat="1" applyFont="1" applyFill="1" applyBorder="1" applyAlignment="1">
      <alignment horizontal="center" vertical="center"/>
    </xf>
    <xf numFmtId="164" fontId="6" fillId="6" borderId="29" xfId="1" applyNumberFormat="1" applyFont="1" applyFill="1" applyBorder="1" applyAlignment="1">
      <alignment horizontal="center" vertical="center"/>
    </xf>
    <xf numFmtId="0" fontId="6" fillId="6" borderId="29" xfId="1" applyFont="1" applyFill="1" applyBorder="1" applyAlignment="1">
      <alignment horizontal="center" vertical="center"/>
    </xf>
    <xf numFmtId="20" fontId="2" fillId="2" borderId="33" xfId="1" quotePrefix="1" applyNumberFormat="1" applyFill="1" applyBorder="1" applyAlignment="1">
      <alignment horizontal="center" vertical="center"/>
    </xf>
    <xf numFmtId="0" fontId="2" fillId="0" borderId="34" xfId="1" applyBorder="1" applyAlignment="1">
      <alignment wrapText="1"/>
    </xf>
    <xf numFmtId="164" fontId="2" fillId="5" borderId="34" xfId="1" applyNumberForma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30" xfId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0" xfId="1" applyBorder="1" applyAlignment="1">
      <alignment horizontal="center" vertical="center" wrapText="1"/>
    </xf>
    <xf numFmtId="0" fontId="2" fillId="0" borderId="31" xfId="1" applyBorder="1" applyAlignment="1">
      <alignment horizontal="center" vertical="center" wrapText="1"/>
    </xf>
    <xf numFmtId="0" fontId="2" fillId="0" borderId="32" xfId="1" applyBorder="1" applyAlignment="1">
      <alignment horizontal="center" vertical="center"/>
    </xf>
    <xf numFmtId="0" fontId="3" fillId="0" borderId="0" xfId="0" applyFont="1" applyFill="1" applyAlignment="1">
      <alignment horizontal="left" wrapText="1"/>
    </xf>
    <xf numFmtId="0" fontId="1" fillId="0" borderId="15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4%20-%20Rumah%2001/Data%20Faktor%20Lingkungan/Data%20Obyek%20Lingkungan/Initial%20Condition%20(I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4%20-%20Rumah%2001/Data%20Faktor%20Lingkungan/Data%20Obyek%20Lingkungan/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>
        <row r="70">
          <cell r="J70">
            <v>30</v>
          </cell>
        </row>
      </sheetData>
      <sheetData sheetId="4"/>
      <sheetData sheetId="5"/>
      <sheetData sheetId="6"/>
      <sheetData sheetId="7"/>
      <sheetData sheetId="8"/>
      <sheetData sheetId="9">
        <row r="21">
          <cell r="Z21">
            <v>0.1</v>
          </cell>
        </row>
        <row r="62">
          <cell r="CT62">
            <v>0.1</v>
          </cell>
        </row>
        <row r="63">
          <cell r="BA63">
            <v>0.1</v>
          </cell>
          <cell r="DL63">
            <v>0.1</v>
          </cell>
          <cell r="DU63">
            <v>0.4</v>
          </cell>
        </row>
        <row r="64">
          <cell r="BS64">
            <v>0</v>
          </cell>
        </row>
        <row r="65">
          <cell r="DC65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 refreshError="1">
        <row r="59">
          <cell r="N59" t="str">
            <v>on</v>
          </cell>
        </row>
        <row r="61">
          <cell r="CQ61" t="str">
            <v>off</v>
          </cell>
        </row>
        <row r="62">
          <cell r="AF62" t="str">
            <v>off</v>
          </cell>
          <cell r="AX62" t="str">
            <v>on</v>
          </cell>
          <cell r="DI62" t="str">
            <v>on</v>
          </cell>
          <cell r="DR62" t="str">
            <v>off</v>
          </cell>
        </row>
        <row r="63">
          <cell r="AO63" t="str">
            <v>off</v>
          </cell>
          <cell r="AR63">
            <v>0.1</v>
          </cell>
          <cell r="BP63" t="str">
            <v>off</v>
          </cell>
          <cell r="CZ63" t="str">
            <v>off</v>
          </cell>
        </row>
        <row r="64">
          <cell r="AO64" t="str">
            <v>off</v>
          </cell>
          <cell r="AR64">
            <v>0.1</v>
          </cell>
          <cell r="AX64" t="str">
            <v>off</v>
          </cell>
          <cell r="CZ64" t="str">
            <v>off</v>
          </cell>
          <cell r="DC64">
            <v>0.1</v>
          </cell>
        </row>
        <row r="65">
          <cell r="AO65" t="str">
            <v>off</v>
          </cell>
          <cell r="AR65">
            <v>0.1</v>
          </cell>
          <cell r="AX65" t="str">
            <v>off</v>
          </cell>
        </row>
        <row r="66">
          <cell r="AX66" t="str">
            <v>off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BC95-E6D3-464E-A706-3091D85524AD}">
  <sheetPr>
    <pageSetUpPr fitToPage="1"/>
  </sheetPr>
  <dimension ref="B1:M120"/>
  <sheetViews>
    <sheetView topLeftCell="C3" zoomScaleNormal="100" workbookViewId="0">
      <pane xSplit="1" ySplit="2" topLeftCell="D5" activePane="bottomRight" state="frozen"/>
      <selection activeCell="C3" sqref="C3"/>
      <selection pane="topRight" activeCell="D3" sqref="D3"/>
      <selection pane="bottomLeft" activeCell="C5" sqref="C5"/>
      <selection pane="bottomRight" activeCell="J22" sqref="J22"/>
    </sheetView>
  </sheetViews>
  <sheetFormatPr defaultRowHeight="15" x14ac:dyDescent="0.25"/>
  <cols>
    <col min="1" max="1" width="9.140625" style="26"/>
    <col min="2" max="2" width="5.7109375" style="27" customWidth="1"/>
    <col min="3" max="3" width="11.5703125" style="137" customWidth="1"/>
    <col min="4" max="4" width="16.42578125" style="26" customWidth="1"/>
    <col min="5" max="5" width="7.7109375" style="27" hidden="1" customWidth="1"/>
    <col min="6" max="7" width="12.7109375" style="28" hidden="1" customWidth="1"/>
    <col min="8" max="9" width="11.7109375" style="28" hidden="1" customWidth="1"/>
    <col min="10" max="10" width="11.7109375" style="28" customWidth="1"/>
    <col min="11" max="11" width="11.7109375" style="28" hidden="1" customWidth="1"/>
    <col min="12" max="12" width="11.7109375" style="28" customWidth="1"/>
    <col min="13" max="13" width="27.7109375" style="28" customWidth="1"/>
    <col min="14" max="16384" width="9.140625" style="26"/>
  </cols>
  <sheetData>
    <row r="1" spans="2:13" ht="18.75" x14ac:dyDescent="0.25">
      <c r="B1" s="195" t="s">
        <v>43</v>
      </c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</row>
    <row r="2" spans="2:13" ht="15.75" thickBot="1" x14ac:dyDescent="0.3">
      <c r="M2" s="29"/>
    </row>
    <row r="3" spans="2:13" ht="15.75" thickBot="1" x14ac:dyDescent="0.3">
      <c r="B3" s="196" t="s">
        <v>3</v>
      </c>
      <c r="C3" s="198" t="s">
        <v>44</v>
      </c>
      <c r="D3" s="196" t="s">
        <v>45</v>
      </c>
      <c r="E3" s="196" t="s">
        <v>46</v>
      </c>
      <c r="F3" s="196" t="s">
        <v>47</v>
      </c>
      <c r="G3" s="196"/>
      <c r="H3" s="196" t="s">
        <v>48</v>
      </c>
      <c r="I3" s="198" t="s">
        <v>49</v>
      </c>
      <c r="J3" s="128"/>
      <c r="K3" s="197" t="s">
        <v>50</v>
      </c>
      <c r="L3" s="127"/>
      <c r="M3" s="197" t="s">
        <v>51</v>
      </c>
    </row>
    <row r="4" spans="2:13" ht="15.75" thickBot="1" x14ac:dyDescent="0.3">
      <c r="B4" s="197"/>
      <c r="C4" s="199"/>
      <c r="D4" s="197"/>
      <c r="E4" s="197"/>
      <c r="F4" s="127" t="s">
        <v>52</v>
      </c>
      <c r="G4" s="127" t="s">
        <v>53</v>
      </c>
      <c r="H4" s="197"/>
      <c r="I4" s="199"/>
      <c r="J4" s="138"/>
      <c r="K4" s="200"/>
      <c r="L4" s="129"/>
      <c r="M4" s="200"/>
    </row>
    <row r="5" spans="2:13" x14ac:dyDescent="0.25">
      <c r="B5" s="30"/>
      <c r="C5" s="139"/>
      <c r="D5" s="31"/>
      <c r="E5" s="30"/>
      <c r="F5" s="32"/>
      <c r="G5" s="33"/>
      <c r="H5" s="32"/>
      <c r="I5" s="32"/>
      <c r="J5" s="140">
        <f>I5/60</f>
        <v>0</v>
      </c>
      <c r="K5" s="32"/>
      <c r="L5" s="32">
        <f>K5/1000</f>
        <v>0</v>
      </c>
      <c r="M5" s="32"/>
    </row>
    <row r="6" spans="2:13" x14ac:dyDescent="0.25">
      <c r="B6" s="34">
        <v>1</v>
      </c>
      <c r="C6" s="141" t="s">
        <v>61</v>
      </c>
      <c r="D6" s="35" t="s">
        <v>54</v>
      </c>
      <c r="E6" s="36">
        <v>1</v>
      </c>
      <c r="F6" s="37"/>
      <c r="G6" s="37"/>
      <c r="H6" s="39"/>
      <c r="I6" s="39"/>
      <c r="J6" s="142">
        <f t="shared" ref="J6:J69" si="0">I6/60</f>
        <v>0</v>
      </c>
      <c r="K6" s="39">
        <v>7</v>
      </c>
      <c r="L6" s="39">
        <f t="shared" ref="L6:L69" si="1">K6/1000</f>
        <v>7.0000000000000001E-3</v>
      </c>
      <c r="M6" s="40"/>
    </row>
    <row r="7" spans="2:13" x14ac:dyDescent="0.25">
      <c r="B7" s="34"/>
      <c r="C7" s="141"/>
      <c r="D7" s="35"/>
      <c r="E7" s="36"/>
      <c r="F7" s="37"/>
      <c r="G7" s="37"/>
      <c r="H7" s="39"/>
      <c r="I7" s="39"/>
      <c r="J7" s="142">
        <f t="shared" si="0"/>
        <v>0</v>
      </c>
      <c r="K7" s="39"/>
      <c r="L7" s="39">
        <f t="shared" si="1"/>
        <v>0</v>
      </c>
      <c r="M7" s="40"/>
    </row>
    <row r="8" spans="2:13" ht="15.75" thickBot="1" x14ac:dyDescent="0.3">
      <c r="B8" s="47"/>
      <c r="C8" s="143"/>
      <c r="D8" s="144"/>
      <c r="E8" s="145"/>
      <c r="F8" s="146"/>
      <c r="G8" s="146"/>
      <c r="H8" s="147"/>
      <c r="I8" s="147"/>
      <c r="J8" s="148">
        <f t="shared" si="0"/>
        <v>0</v>
      </c>
      <c r="K8" s="147"/>
      <c r="L8" s="147">
        <f t="shared" si="1"/>
        <v>0</v>
      </c>
      <c r="M8" s="48"/>
    </row>
    <row r="9" spans="2:13" ht="30" x14ac:dyDescent="0.25">
      <c r="B9" s="30">
        <v>2</v>
      </c>
      <c r="C9" s="139" t="s">
        <v>107</v>
      </c>
      <c r="D9" s="149" t="s">
        <v>54</v>
      </c>
      <c r="E9" s="150">
        <v>1</v>
      </c>
      <c r="F9" s="87">
        <v>0.66666666666666663</v>
      </c>
      <c r="G9" s="87">
        <v>0.68055555555555547</v>
      </c>
      <c r="H9" s="87">
        <f>G9-F9</f>
        <v>1.388888888888884E-2</v>
      </c>
      <c r="I9" s="88">
        <f>H9*1440</f>
        <v>19.999999999999929</v>
      </c>
      <c r="J9" s="151">
        <f t="shared" si="0"/>
        <v>0.33333333333333215</v>
      </c>
      <c r="K9" s="89">
        <v>12</v>
      </c>
      <c r="L9" s="89">
        <f t="shared" si="1"/>
        <v>1.2E-2</v>
      </c>
      <c r="M9" s="54"/>
    </row>
    <row r="10" spans="2:13" x14ac:dyDescent="0.25">
      <c r="B10" s="55"/>
      <c r="C10" s="152"/>
      <c r="D10" s="85"/>
      <c r="E10" s="86"/>
      <c r="F10" s="87">
        <v>0.75</v>
      </c>
      <c r="G10" s="87">
        <v>0.89583333333333337</v>
      </c>
      <c r="H10" s="87">
        <f>G10-F10</f>
        <v>0.14583333333333337</v>
      </c>
      <c r="I10" s="88">
        <f>H10*1440</f>
        <v>210.00000000000006</v>
      </c>
      <c r="J10" s="151">
        <f t="shared" si="0"/>
        <v>3.5000000000000009</v>
      </c>
      <c r="K10" s="89"/>
      <c r="L10" s="89">
        <f t="shared" si="1"/>
        <v>0</v>
      </c>
      <c r="M10" s="54"/>
    </row>
    <row r="11" spans="2:13" x14ac:dyDescent="0.25">
      <c r="B11" s="55"/>
      <c r="C11" s="152"/>
      <c r="D11" s="85"/>
      <c r="E11" s="86"/>
      <c r="F11" s="87"/>
      <c r="G11" s="87"/>
      <c r="H11" s="89"/>
      <c r="I11" s="88"/>
      <c r="J11" s="151">
        <f t="shared" si="0"/>
        <v>0</v>
      </c>
      <c r="K11" s="89"/>
      <c r="L11" s="89">
        <f t="shared" si="1"/>
        <v>0</v>
      </c>
      <c r="M11" s="54"/>
    </row>
    <row r="12" spans="2:13" x14ac:dyDescent="0.25">
      <c r="B12" s="34"/>
      <c r="C12" s="153"/>
      <c r="D12" s="65" t="s">
        <v>84</v>
      </c>
      <c r="E12" s="66">
        <v>1</v>
      </c>
      <c r="F12" s="67">
        <v>0.20833333333333334</v>
      </c>
      <c r="G12" s="67">
        <v>0.27083333333333331</v>
      </c>
      <c r="H12" s="67">
        <f>G12-F12</f>
        <v>6.2499999999999972E-2</v>
      </c>
      <c r="I12" s="44">
        <f>H12*1440</f>
        <v>89.999999999999957</v>
      </c>
      <c r="J12" s="154">
        <f t="shared" si="0"/>
        <v>1.4999999999999993</v>
      </c>
      <c r="K12" s="68">
        <v>8.8000000000000007</v>
      </c>
      <c r="L12" s="68">
        <f t="shared" si="1"/>
        <v>8.8000000000000005E-3</v>
      </c>
      <c r="M12" s="40"/>
    </row>
    <row r="13" spans="2:13" x14ac:dyDescent="0.25">
      <c r="B13" s="34"/>
      <c r="C13" s="153"/>
      <c r="D13" s="65"/>
      <c r="E13" s="66">
        <v>1</v>
      </c>
      <c r="F13" s="67">
        <v>0.64583333333333337</v>
      </c>
      <c r="G13" s="67">
        <v>0.75</v>
      </c>
      <c r="H13" s="67">
        <f>G13-F13</f>
        <v>0.10416666666666663</v>
      </c>
      <c r="I13" s="44">
        <f>H13*1440</f>
        <v>149.99999999999994</v>
      </c>
      <c r="J13" s="154">
        <f t="shared" si="0"/>
        <v>2.4999999999999991</v>
      </c>
      <c r="K13" s="68"/>
      <c r="L13" s="68">
        <f t="shared" si="1"/>
        <v>0</v>
      </c>
      <c r="M13" s="40"/>
    </row>
    <row r="14" spans="2:13" x14ac:dyDescent="0.25">
      <c r="B14" s="34"/>
      <c r="C14" s="153"/>
      <c r="D14" s="65"/>
      <c r="E14" s="66"/>
      <c r="F14" s="67"/>
      <c r="G14" s="67"/>
      <c r="H14" s="68"/>
      <c r="I14" s="44"/>
      <c r="J14" s="154">
        <f t="shared" si="0"/>
        <v>0</v>
      </c>
      <c r="K14" s="68"/>
      <c r="L14" s="68">
        <f t="shared" si="1"/>
        <v>0</v>
      </c>
      <c r="M14" s="40"/>
    </row>
    <row r="15" spans="2:13" ht="15.75" thickBot="1" x14ac:dyDescent="0.3">
      <c r="B15" s="47"/>
      <c r="C15" s="155"/>
      <c r="D15" s="71"/>
      <c r="E15" s="47" t="s">
        <v>108</v>
      </c>
      <c r="F15" s="72"/>
      <c r="G15" s="72"/>
      <c r="H15" s="48"/>
      <c r="I15" s="73"/>
      <c r="J15" s="156">
        <f t="shared" si="0"/>
        <v>0</v>
      </c>
      <c r="K15" s="48"/>
      <c r="L15" s="48">
        <f t="shared" si="1"/>
        <v>0</v>
      </c>
      <c r="M15" s="48"/>
    </row>
    <row r="16" spans="2:13" ht="45" x14ac:dyDescent="0.25">
      <c r="B16" s="30">
        <v>3</v>
      </c>
      <c r="C16" s="139" t="s">
        <v>109</v>
      </c>
      <c r="D16" s="49" t="s">
        <v>54</v>
      </c>
      <c r="E16" s="50">
        <v>1</v>
      </c>
      <c r="F16" s="74">
        <v>0</v>
      </c>
      <c r="G16" s="74">
        <v>0.99998842592592585</v>
      </c>
      <c r="H16" s="74">
        <f>G16-F16</f>
        <v>0.99998842592592585</v>
      </c>
      <c r="I16" s="75">
        <f>H16*1440</f>
        <v>1439.9833333333331</v>
      </c>
      <c r="J16" s="157">
        <f t="shared" si="0"/>
        <v>23.999722222222218</v>
      </c>
      <c r="K16" s="76">
        <v>15</v>
      </c>
      <c r="L16" s="76">
        <f t="shared" si="1"/>
        <v>1.4999999999999999E-2</v>
      </c>
      <c r="M16" s="32"/>
    </row>
    <row r="17" spans="2:13" x14ac:dyDescent="0.25">
      <c r="B17" s="55"/>
      <c r="C17" s="152"/>
      <c r="D17" s="57"/>
      <c r="E17" s="58"/>
      <c r="F17" s="51"/>
      <c r="G17" s="51"/>
      <c r="H17" s="53"/>
      <c r="I17" s="52"/>
      <c r="J17" s="158">
        <f t="shared" si="0"/>
        <v>0</v>
      </c>
      <c r="K17" s="53"/>
      <c r="L17" s="53">
        <f t="shared" si="1"/>
        <v>0</v>
      </c>
      <c r="M17" s="54"/>
    </row>
    <row r="18" spans="2:13" x14ac:dyDescent="0.25">
      <c r="B18" s="55"/>
      <c r="C18" s="152"/>
      <c r="D18" s="57"/>
      <c r="E18" s="58"/>
      <c r="F18" s="51"/>
      <c r="G18" s="51"/>
      <c r="H18" s="53"/>
      <c r="I18" s="52"/>
      <c r="J18" s="158">
        <f t="shared" si="0"/>
        <v>0</v>
      </c>
      <c r="K18" s="53"/>
      <c r="L18" s="53">
        <f t="shared" si="1"/>
        <v>0</v>
      </c>
      <c r="M18" s="54"/>
    </row>
    <row r="19" spans="2:13" x14ac:dyDescent="0.25">
      <c r="B19" s="34"/>
      <c r="C19" s="153"/>
      <c r="D19" s="65" t="s">
        <v>37</v>
      </c>
      <c r="E19" s="66">
        <v>1</v>
      </c>
      <c r="F19" s="67">
        <v>0.28125</v>
      </c>
      <c r="G19" s="67">
        <v>0.88541666666666663</v>
      </c>
      <c r="H19" s="67">
        <f>G19-F19</f>
        <v>0.60416666666666663</v>
      </c>
      <c r="I19" s="44">
        <f>H19*1440</f>
        <v>870</v>
      </c>
      <c r="J19" s="154">
        <f t="shared" si="0"/>
        <v>14.5</v>
      </c>
      <c r="K19" s="68">
        <v>29</v>
      </c>
      <c r="L19" s="68">
        <f t="shared" si="1"/>
        <v>2.9000000000000001E-2</v>
      </c>
      <c r="M19" s="40"/>
    </row>
    <row r="20" spans="2:13" x14ac:dyDescent="0.25">
      <c r="B20" s="34"/>
      <c r="C20" s="153"/>
      <c r="D20" s="65"/>
      <c r="E20" s="66"/>
      <c r="F20" s="67"/>
      <c r="G20" s="67"/>
      <c r="H20" s="68"/>
      <c r="I20" s="44"/>
      <c r="J20" s="154">
        <f t="shared" si="0"/>
        <v>0</v>
      </c>
      <c r="K20" s="68"/>
      <c r="L20" s="68">
        <f t="shared" si="1"/>
        <v>0</v>
      </c>
      <c r="M20" s="40"/>
    </row>
    <row r="21" spans="2:13" x14ac:dyDescent="0.25">
      <c r="B21" s="34"/>
      <c r="C21" s="153"/>
      <c r="D21" s="65"/>
      <c r="E21" s="66"/>
      <c r="F21" s="67"/>
      <c r="G21" s="67"/>
      <c r="H21" s="68"/>
      <c r="I21" s="44"/>
      <c r="J21" s="154">
        <f t="shared" si="0"/>
        <v>0</v>
      </c>
      <c r="K21" s="68"/>
      <c r="L21" s="68">
        <f t="shared" si="1"/>
        <v>0</v>
      </c>
      <c r="M21" s="40"/>
    </row>
    <row r="22" spans="2:13" x14ac:dyDescent="0.25">
      <c r="B22" s="34"/>
      <c r="C22" s="153"/>
      <c r="D22" s="60" t="s">
        <v>87</v>
      </c>
      <c r="E22" s="61">
        <v>1</v>
      </c>
      <c r="F22" s="62">
        <v>0</v>
      </c>
      <c r="G22" s="62">
        <v>0.99998842592592585</v>
      </c>
      <c r="H22" s="62">
        <f t="shared" ref="H22:H81" si="2">G22-F22</f>
        <v>0.99998842592592585</v>
      </c>
      <c r="I22" s="63">
        <f t="shared" ref="I22:I81" si="3">H22*1440</f>
        <v>1439.9833333333331</v>
      </c>
      <c r="J22" s="159">
        <f t="shared" si="0"/>
        <v>23.999722222222218</v>
      </c>
      <c r="K22" s="64">
        <v>4.4000000000000004</v>
      </c>
      <c r="L22" s="64">
        <f t="shared" si="1"/>
        <v>4.4000000000000003E-3</v>
      </c>
      <c r="M22" s="64" t="s">
        <v>55</v>
      </c>
    </row>
    <row r="23" spans="2:13" x14ac:dyDescent="0.25">
      <c r="B23" s="34"/>
      <c r="C23" s="153"/>
      <c r="D23" s="59"/>
      <c r="E23" s="34"/>
      <c r="F23" s="160"/>
      <c r="G23" s="160"/>
      <c r="H23" s="160"/>
      <c r="I23" s="161"/>
      <c r="J23" s="162">
        <f t="shared" si="0"/>
        <v>0</v>
      </c>
      <c r="K23" s="40"/>
      <c r="L23" s="40">
        <f t="shared" si="1"/>
        <v>0</v>
      </c>
      <c r="M23" s="40"/>
    </row>
    <row r="24" spans="2:13" ht="15.75" thickBot="1" x14ac:dyDescent="0.3">
      <c r="B24" s="47"/>
      <c r="C24" s="155"/>
      <c r="D24" s="71"/>
      <c r="E24" s="47" t="s">
        <v>108</v>
      </c>
      <c r="F24" s="72"/>
      <c r="G24" s="72"/>
      <c r="H24" s="72"/>
      <c r="I24" s="73"/>
      <c r="J24" s="156">
        <f t="shared" si="0"/>
        <v>0</v>
      </c>
      <c r="K24" s="48"/>
      <c r="L24" s="48">
        <f t="shared" si="1"/>
        <v>0</v>
      </c>
      <c r="M24" s="48"/>
    </row>
    <row r="25" spans="2:13" ht="45" x14ac:dyDescent="0.25">
      <c r="B25" s="30">
        <v>4</v>
      </c>
      <c r="C25" s="139" t="s">
        <v>110</v>
      </c>
      <c r="D25" s="49" t="s">
        <v>54</v>
      </c>
      <c r="E25" s="50">
        <v>1</v>
      </c>
      <c r="F25" s="74">
        <v>0</v>
      </c>
      <c r="G25" s="74">
        <v>0.29166666666666669</v>
      </c>
      <c r="H25" s="74">
        <f t="shared" si="2"/>
        <v>0.29166666666666669</v>
      </c>
      <c r="I25" s="75">
        <f t="shared" si="3"/>
        <v>420</v>
      </c>
      <c r="J25" s="157">
        <f t="shared" si="0"/>
        <v>7</v>
      </c>
      <c r="K25" s="76">
        <v>10</v>
      </c>
      <c r="L25" s="76">
        <f t="shared" si="1"/>
        <v>0.01</v>
      </c>
      <c r="M25" s="32"/>
    </row>
    <row r="26" spans="2:13" x14ac:dyDescent="0.25">
      <c r="B26" s="77"/>
      <c r="C26" s="163"/>
      <c r="D26" s="78"/>
      <c r="E26" s="79"/>
      <c r="F26" s="164"/>
      <c r="G26" s="164"/>
      <c r="H26" s="164"/>
      <c r="I26" s="165"/>
      <c r="J26" s="166">
        <f t="shared" si="0"/>
        <v>0</v>
      </c>
      <c r="K26" s="167"/>
      <c r="L26" s="167">
        <f t="shared" si="1"/>
        <v>0</v>
      </c>
      <c r="M26" s="129"/>
    </row>
    <row r="27" spans="2:13" ht="15.75" thickBot="1" x14ac:dyDescent="0.3">
      <c r="B27" s="47"/>
      <c r="C27" s="155"/>
      <c r="D27" s="71"/>
      <c r="E27" s="47"/>
      <c r="F27" s="72"/>
      <c r="G27" s="72"/>
      <c r="H27" s="72"/>
      <c r="I27" s="73"/>
      <c r="J27" s="156">
        <f t="shared" si="0"/>
        <v>0</v>
      </c>
      <c r="K27" s="48"/>
      <c r="L27" s="48">
        <f t="shared" si="1"/>
        <v>0</v>
      </c>
      <c r="M27" s="48"/>
    </row>
    <row r="28" spans="2:13" ht="30" x14ac:dyDescent="0.25">
      <c r="B28" s="30">
        <v>5</v>
      </c>
      <c r="C28" s="139" t="s">
        <v>111</v>
      </c>
      <c r="D28" s="49" t="s">
        <v>56</v>
      </c>
      <c r="E28" s="50">
        <v>1</v>
      </c>
      <c r="F28" s="74">
        <v>0</v>
      </c>
      <c r="G28" s="74">
        <v>0.99998842592592585</v>
      </c>
      <c r="H28" s="74">
        <f t="shared" si="2"/>
        <v>0.99998842592592585</v>
      </c>
      <c r="I28" s="75">
        <f t="shared" si="3"/>
        <v>1439.9833333333331</v>
      </c>
      <c r="J28" s="157">
        <f t="shared" si="0"/>
        <v>23.999722222222218</v>
      </c>
      <c r="K28" s="76">
        <v>10</v>
      </c>
      <c r="L28" s="76">
        <f t="shared" si="1"/>
        <v>0.01</v>
      </c>
      <c r="M28" s="32"/>
    </row>
    <row r="29" spans="2:13" x14ac:dyDescent="0.25">
      <c r="B29" s="55"/>
      <c r="C29" s="152"/>
      <c r="D29" s="57"/>
      <c r="E29" s="58"/>
      <c r="F29" s="51"/>
      <c r="G29" s="51"/>
      <c r="H29" s="51"/>
      <c r="I29" s="52"/>
      <c r="J29" s="158">
        <f t="shared" si="0"/>
        <v>0</v>
      </c>
      <c r="K29" s="53"/>
      <c r="L29" s="53">
        <f t="shared" si="1"/>
        <v>0</v>
      </c>
      <c r="M29" s="54"/>
    </row>
    <row r="30" spans="2:13" x14ac:dyDescent="0.25">
      <c r="B30" s="55"/>
      <c r="C30" s="152"/>
      <c r="D30" s="57"/>
      <c r="E30" s="58"/>
      <c r="F30" s="51"/>
      <c r="G30" s="51"/>
      <c r="H30" s="51"/>
      <c r="I30" s="52"/>
      <c r="J30" s="158">
        <f t="shared" si="0"/>
        <v>0</v>
      </c>
      <c r="K30" s="53"/>
      <c r="L30" s="53">
        <f t="shared" si="1"/>
        <v>0</v>
      </c>
      <c r="M30" s="54"/>
    </row>
    <row r="31" spans="2:13" x14ac:dyDescent="0.25">
      <c r="B31" s="55"/>
      <c r="C31" s="152"/>
      <c r="D31" s="80" t="s">
        <v>112</v>
      </c>
      <c r="E31" s="81">
        <v>1</v>
      </c>
      <c r="F31" s="82"/>
      <c r="G31" s="82"/>
      <c r="H31" s="82"/>
      <c r="I31" s="83"/>
      <c r="J31" s="168">
        <f t="shared" si="0"/>
        <v>0</v>
      </c>
      <c r="K31" s="84"/>
      <c r="L31" s="84">
        <f t="shared" si="1"/>
        <v>0</v>
      </c>
      <c r="M31" s="84" t="s">
        <v>57</v>
      </c>
    </row>
    <row r="32" spans="2:13" x14ac:dyDescent="0.25">
      <c r="B32" s="55"/>
      <c r="C32" s="152"/>
      <c r="D32" s="85" t="s">
        <v>113</v>
      </c>
      <c r="E32" s="86">
        <v>1</v>
      </c>
      <c r="F32" s="87">
        <v>0</v>
      </c>
      <c r="G32" s="87">
        <v>0.99998842592592585</v>
      </c>
      <c r="H32" s="87">
        <f t="shared" si="2"/>
        <v>0.99998842592592585</v>
      </c>
      <c r="I32" s="88">
        <f t="shared" si="3"/>
        <v>1439.9833333333331</v>
      </c>
      <c r="J32" s="151">
        <f t="shared" si="0"/>
        <v>23.999722222222218</v>
      </c>
      <c r="K32" s="89">
        <v>14.7</v>
      </c>
      <c r="L32" s="89">
        <f t="shared" si="1"/>
        <v>1.47E-2</v>
      </c>
      <c r="M32" s="54"/>
    </row>
    <row r="33" spans="2:13" ht="15.75" thickBot="1" x14ac:dyDescent="0.3">
      <c r="B33" s="47"/>
      <c r="C33" s="155"/>
      <c r="D33" s="71"/>
      <c r="E33" s="47"/>
      <c r="F33" s="72"/>
      <c r="G33" s="72"/>
      <c r="H33" s="72"/>
      <c r="I33" s="73"/>
      <c r="J33" s="156">
        <f t="shared" si="0"/>
        <v>0</v>
      </c>
      <c r="K33" s="48"/>
      <c r="L33" s="48">
        <f t="shared" si="1"/>
        <v>0</v>
      </c>
      <c r="M33" s="48"/>
    </row>
    <row r="34" spans="2:13" ht="30" x14ac:dyDescent="0.25">
      <c r="B34" s="30">
        <v>6</v>
      </c>
      <c r="C34" s="139" t="s">
        <v>114</v>
      </c>
      <c r="D34" s="49" t="s">
        <v>56</v>
      </c>
      <c r="E34" s="50">
        <v>1</v>
      </c>
      <c r="F34" s="74">
        <v>0</v>
      </c>
      <c r="G34" s="74">
        <v>0.99998842592592585</v>
      </c>
      <c r="H34" s="74">
        <f t="shared" si="2"/>
        <v>0.99998842592592585</v>
      </c>
      <c r="I34" s="75">
        <f t="shared" si="3"/>
        <v>1439.9833333333331</v>
      </c>
      <c r="J34" s="157">
        <f t="shared" si="0"/>
        <v>23.999722222222218</v>
      </c>
      <c r="K34" s="76">
        <v>5</v>
      </c>
      <c r="L34" s="76">
        <f t="shared" si="1"/>
        <v>5.0000000000000001E-3</v>
      </c>
      <c r="M34" s="32"/>
    </row>
    <row r="35" spans="2:13" x14ac:dyDescent="0.25">
      <c r="B35" s="55"/>
      <c r="C35" s="152"/>
      <c r="D35" s="57"/>
      <c r="E35" s="58"/>
      <c r="F35" s="51"/>
      <c r="G35" s="51"/>
      <c r="H35" s="51"/>
      <c r="I35" s="52"/>
      <c r="J35" s="158">
        <f t="shared" si="0"/>
        <v>0</v>
      </c>
      <c r="K35" s="53"/>
      <c r="L35" s="53">
        <f t="shared" si="1"/>
        <v>0</v>
      </c>
      <c r="M35" s="54"/>
    </row>
    <row r="36" spans="2:13" ht="15.75" thickBot="1" x14ac:dyDescent="0.3">
      <c r="B36" s="90"/>
      <c r="C36" s="169"/>
      <c r="D36" s="91"/>
      <c r="E36" s="90"/>
      <c r="F36" s="92"/>
      <c r="G36" s="92"/>
      <c r="H36" s="92"/>
      <c r="I36" s="93"/>
      <c r="J36" s="170">
        <f t="shared" si="0"/>
        <v>0</v>
      </c>
      <c r="K36" s="94"/>
      <c r="L36" s="94">
        <f t="shared" si="1"/>
        <v>0</v>
      </c>
      <c r="M36" s="94"/>
    </row>
    <row r="37" spans="2:13" ht="30" x14ac:dyDescent="0.25">
      <c r="B37" s="30">
        <v>7</v>
      </c>
      <c r="C37" s="139" t="s">
        <v>115</v>
      </c>
      <c r="D37" s="49" t="s">
        <v>56</v>
      </c>
      <c r="E37" s="50">
        <v>1</v>
      </c>
      <c r="F37" s="74">
        <v>0</v>
      </c>
      <c r="G37" s="74">
        <v>0.99998842592592585</v>
      </c>
      <c r="H37" s="74">
        <f t="shared" si="2"/>
        <v>0.99998842592592585</v>
      </c>
      <c r="I37" s="75">
        <f t="shared" si="3"/>
        <v>1439.9833333333331</v>
      </c>
      <c r="J37" s="157">
        <f t="shared" si="0"/>
        <v>23.999722222222218</v>
      </c>
      <c r="K37" s="76">
        <v>5</v>
      </c>
      <c r="L37" s="76">
        <f t="shared" si="1"/>
        <v>5.0000000000000001E-3</v>
      </c>
      <c r="M37" s="32"/>
    </row>
    <row r="38" spans="2:13" x14ac:dyDescent="0.25">
      <c r="B38" s="34"/>
      <c r="C38" s="153"/>
      <c r="D38" s="95"/>
      <c r="E38" s="36"/>
      <c r="F38" s="37"/>
      <c r="G38" s="37"/>
      <c r="H38" s="37"/>
      <c r="I38" s="38"/>
      <c r="J38" s="142">
        <f t="shared" si="0"/>
        <v>0</v>
      </c>
      <c r="K38" s="39"/>
      <c r="L38" s="39">
        <f t="shared" si="1"/>
        <v>0</v>
      </c>
      <c r="M38" s="40"/>
    </row>
    <row r="39" spans="2:13" ht="15.75" thickBot="1" x14ac:dyDescent="0.3">
      <c r="B39" s="47"/>
      <c r="C39" s="155"/>
      <c r="D39" s="71"/>
      <c r="E39" s="47"/>
      <c r="F39" s="72"/>
      <c r="G39" s="72"/>
      <c r="H39" s="72"/>
      <c r="I39" s="73"/>
      <c r="J39" s="156">
        <f t="shared" si="0"/>
        <v>0</v>
      </c>
      <c r="K39" s="48"/>
      <c r="L39" s="48">
        <f t="shared" si="1"/>
        <v>0</v>
      </c>
      <c r="M39" s="48"/>
    </row>
    <row r="40" spans="2:13" ht="30" x14ac:dyDescent="0.25">
      <c r="B40" s="30">
        <v>8</v>
      </c>
      <c r="C40" s="139" t="s">
        <v>116</v>
      </c>
      <c r="D40" s="49" t="s">
        <v>54</v>
      </c>
      <c r="E40" s="50">
        <v>1</v>
      </c>
      <c r="F40" s="74">
        <v>0</v>
      </c>
      <c r="G40" s="74">
        <v>0.99998842592592585</v>
      </c>
      <c r="H40" s="74">
        <f t="shared" si="2"/>
        <v>0.99998842592592585</v>
      </c>
      <c r="I40" s="75">
        <f t="shared" si="3"/>
        <v>1439.9833333333331</v>
      </c>
      <c r="J40" s="157">
        <f t="shared" si="0"/>
        <v>23.999722222222218</v>
      </c>
      <c r="K40" s="76">
        <v>7</v>
      </c>
      <c r="L40" s="76">
        <f t="shared" si="1"/>
        <v>7.0000000000000001E-3</v>
      </c>
      <c r="M40" s="32"/>
    </row>
    <row r="41" spans="2:13" x14ac:dyDescent="0.25">
      <c r="B41" s="55"/>
      <c r="C41" s="152"/>
      <c r="D41" s="57"/>
      <c r="E41" s="58"/>
      <c r="F41" s="51"/>
      <c r="G41" s="51"/>
      <c r="H41" s="51"/>
      <c r="I41" s="52"/>
      <c r="J41" s="158">
        <f t="shared" si="0"/>
        <v>0</v>
      </c>
      <c r="K41" s="53"/>
      <c r="L41" s="53">
        <f t="shared" si="1"/>
        <v>0</v>
      </c>
      <c r="M41" s="54"/>
    </row>
    <row r="42" spans="2:13" x14ac:dyDescent="0.25">
      <c r="B42" s="55"/>
      <c r="C42" s="152"/>
      <c r="D42" s="57"/>
      <c r="E42" s="58"/>
      <c r="F42" s="51"/>
      <c r="G42" s="51"/>
      <c r="H42" s="51"/>
      <c r="I42" s="52"/>
      <c r="J42" s="158">
        <f t="shared" si="0"/>
        <v>0</v>
      </c>
      <c r="K42" s="53"/>
      <c r="L42" s="53">
        <f t="shared" si="1"/>
        <v>0</v>
      </c>
      <c r="M42" s="54"/>
    </row>
    <row r="43" spans="2:13" x14ac:dyDescent="0.25">
      <c r="B43" s="55"/>
      <c r="C43" s="152"/>
      <c r="D43" s="80" t="s">
        <v>90</v>
      </c>
      <c r="E43" s="81">
        <v>1</v>
      </c>
      <c r="F43" s="82">
        <v>0</v>
      </c>
      <c r="G43" s="82">
        <v>0.27083333333333331</v>
      </c>
      <c r="H43" s="82">
        <f t="shared" si="2"/>
        <v>0.27083333333333331</v>
      </c>
      <c r="I43" s="83">
        <f t="shared" si="3"/>
        <v>390</v>
      </c>
      <c r="J43" s="168">
        <f t="shared" si="0"/>
        <v>6.5</v>
      </c>
      <c r="K43" s="84">
        <v>14.8</v>
      </c>
      <c r="L43" s="84">
        <f t="shared" si="1"/>
        <v>1.4800000000000001E-2</v>
      </c>
      <c r="M43" s="54"/>
    </row>
    <row r="44" spans="2:13" x14ac:dyDescent="0.25">
      <c r="B44" s="55"/>
      <c r="C44" s="152"/>
      <c r="D44" s="80"/>
      <c r="E44" s="81">
        <v>1</v>
      </c>
      <c r="F44" s="82">
        <v>0.29166666666666669</v>
      </c>
      <c r="G44" s="82">
        <v>0.41666666666666669</v>
      </c>
      <c r="H44" s="82">
        <f t="shared" si="2"/>
        <v>0.125</v>
      </c>
      <c r="I44" s="83">
        <f t="shared" si="3"/>
        <v>180</v>
      </c>
      <c r="J44" s="168">
        <f t="shared" si="0"/>
        <v>3</v>
      </c>
      <c r="K44" s="84"/>
      <c r="L44" s="84">
        <f t="shared" si="1"/>
        <v>0</v>
      </c>
      <c r="M44" s="54"/>
    </row>
    <row r="45" spans="2:13" x14ac:dyDescent="0.25">
      <c r="B45" s="55"/>
      <c r="C45" s="152"/>
      <c r="D45" s="80"/>
      <c r="E45" s="81">
        <v>1</v>
      </c>
      <c r="F45" s="82">
        <v>0.625</v>
      </c>
      <c r="G45" s="82">
        <v>0.77083333333333337</v>
      </c>
      <c r="H45" s="82">
        <f t="shared" si="2"/>
        <v>0.14583333333333337</v>
      </c>
      <c r="I45" s="83">
        <f t="shared" si="3"/>
        <v>210.00000000000006</v>
      </c>
      <c r="J45" s="168">
        <f t="shared" si="0"/>
        <v>3.5000000000000009</v>
      </c>
      <c r="K45" s="84"/>
      <c r="L45" s="84">
        <f t="shared" si="1"/>
        <v>0</v>
      </c>
      <c r="M45" s="54"/>
    </row>
    <row r="46" spans="2:13" x14ac:dyDescent="0.25">
      <c r="B46" s="55"/>
      <c r="C46" s="152"/>
      <c r="D46" s="85" t="s">
        <v>84</v>
      </c>
      <c r="E46" s="86">
        <v>1</v>
      </c>
      <c r="F46" s="87">
        <v>0</v>
      </c>
      <c r="G46" s="87">
        <v>0.26041666666666669</v>
      </c>
      <c r="H46" s="87">
        <f t="shared" si="2"/>
        <v>0.26041666666666669</v>
      </c>
      <c r="I46" s="88">
        <f t="shared" si="3"/>
        <v>375</v>
      </c>
      <c r="J46" s="151">
        <f t="shared" si="0"/>
        <v>6.25</v>
      </c>
      <c r="K46" s="89">
        <v>8.8000000000000007</v>
      </c>
      <c r="L46" s="89">
        <f t="shared" si="1"/>
        <v>8.8000000000000005E-3</v>
      </c>
      <c r="M46" s="54"/>
    </row>
    <row r="47" spans="2:13" x14ac:dyDescent="0.25">
      <c r="B47" s="55"/>
      <c r="C47" s="152"/>
      <c r="D47" s="85"/>
      <c r="E47" s="86">
        <v>1</v>
      </c>
      <c r="F47" s="87">
        <v>0.625</v>
      </c>
      <c r="G47" s="87">
        <v>0.70833333333333337</v>
      </c>
      <c r="H47" s="87">
        <f t="shared" si="2"/>
        <v>8.333333333333337E-2</v>
      </c>
      <c r="I47" s="88">
        <f t="shared" si="3"/>
        <v>120.00000000000006</v>
      </c>
      <c r="J47" s="151">
        <f t="shared" si="0"/>
        <v>2.0000000000000009</v>
      </c>
      <c r="K47" s="89"/>
      <c r="L47" s="89">
        <f t="shared" si="1"/>
        <v>0</v>
      </c>
      <c r="M47" s="54"/>
    </row>
    <row r="48" spans="2:13" x14ac:dyDescent="0.25">
      <c r="B48" s="55"/>
      <c r="C48" s="152"/>
      <c r="D48" s="85"/>
      <c r="E48" s="86"/>
      <c r="F48" s="87"/>
      <c r="G48" s="87"/>
      <c r="H48" s="87"/>
      <c r="I48" s="88"/>
      <c r="J48" s="151">
        <f t="shared" si="0"/>
        <v>0</v>
      </c>
      <c r="K48" s="89"/>
      <c r="L48" s="89">
        <f t="shared" si="1"/>
        <v>0</v>
      </c>
      <c r="M48" s="54"/>
    </row>
    <row r="49" spans="2:13" x14ac:dyDescent="0.25">
      <c r="B49" s="55"/>
      <c r="C49" s="152"/>
      <c r="D49" s="57" t="s">
        <v>117</v>
      </c>
      <c r="E49" s="58">
        <v>1</v>
      </c>
      <c r="F49" s="51">
        <v>0.26041666666666669</v>
      </c>
      <c r="G49" s="51">
        <v>0.27083333333333331</v>
      </c>
      <c r="H49" s="51">
        <f t="shared" si="2"/>
        <v>1.041666666666663E-2</v>
      </c>
      <c r="I49" s="52">
        <f t="shared" si="3"/>
        <v>14.999999999999947</v>
      </c>
      <c r="J49" s="158">
        <f t="shared" si="0"/>
        <v>0.24999999999999911</v>
      </c>
      <c r="K49" s="53">
        <v>25.5</v>
      </c>
      <c r="L49" s="53">
        <f t="shared" si="1"/>
        <v>2.5499999999999998E-2</v>
      </c>
      <c r="M49" s="54"/>
    </row>
    <row r="50" spans="2:13" x14ac:dyDescent="0.25">
      <c r="B50" s="55"/>
      <c r="C50" s="152"/>
      <c r="D50" s="57"/>
      <c r="E50" s="58"/>
      <c r="F50" s="51"/>
      <c r="G50" s="51"/>
      <c r="H50" s="51"/>
      <c r="I50" s="52"/>
      <c r="J50" s="158">
        <f t="shared" si="0"/>
        <v>0</v>
      </c>
      <c r="K50" s="53"/>
      <c r="L50" s="53">
        <f t="shared" si="1"/>
        <v>0</v>
      </c>
      <c r="M50" s="54"/>
    </row>
    <row r="51" spans="2:13" x14ac:dyDescent="0.25">
      <c r="B51" s="55"/>
      <c r="C51" s="152"/>
      <c r="D51" s="80" t="s">
        <v>41</v>
      </c>
      <c r="E51" s="81">
        <v>1</v>
      </c>
      <c r="F51" s="82">
        <v>0.46875</v>
      </c>
      <c r="G51" s="82">
        <v>0.4826388888888889</v>
      </c>
      <c r="H51" s="82">
        <f t="shared" si="2"/>
        <v>1.3888888888888895E-2</v>
      </c>
      <c r="I51" s="83">
        <f t="shared" si="3"/>
        <v>20.000000000000007</v>
      </c>
      <c r="J51" s="168">
        <f t="shared" si="0"/>
        <v>0.33333333333333343</v>
      </c>
      <c r="K51" s="84">
        <v>317.89999999999998</v>
      </c>
      <c r="L51" s="84">
        <f t="shared" si="1"/>
        <v>0.31789999999999996</v>
      </c>
      <c r="M51" s="54"/>
    </row>
    <row r="52" spans="2:13" x14ac:dyDescent="0.25">
      <c r="B52" s="55"/>
      <c r="C52" s="152"/>
      <c r="D52" s="80"/>
      <c r="E52" s="81"/>
      <c r="F52" s="82"/>
      <c r="G52" s="82"/>
      <c r="H52" s="82"/>
      <c r="I52" s="83"/>
      <c r="J52" s="168">
        <f t="shared" si="0"/>
        <v>0</v>
      </c>
      <c r="K52" s="84"/>
      <c r="L52" s="84">
        <f t="shared" si="1"/>
        <v>0</v>
      </c>
      <c r="M52" s="54"/>
    </row>
    <row r="53" spans="2:13" x14ac:dyDescent="0.25">
      <c r="B53" s="55"/>
      <c r="C53" s="152"/>
      <c r="D53" s="80"/>
      <c r="E53" s="81"/>
      <c r="F53" s="82"/>
      <c r="G53" s="82"/>
      <c r="H53" s="82"/>
      <c r="I53" s="83"/>
      <c r="J53" s="168">
        <f t="shared" si="0"/>
        <v>0</v>
      </c>
      <c r="K53" s="84"/>
      <c r="L53" s="84">
        <f t="shared" si="1"/>
        <v>0</v>
      </c>
      <c r="M53" s="54"/>
    </row>
    <row r="54" spans="2:13" x14ac:dyDescent="0.25">
      <c r="B54" s="55"/>
      <c r="C54" s="152"/>
      <c r="D54" s="85" t="s">
        <v>59</v>
      </c>
      <c r="E54" s="86">
        <v>1</v>
      </c>
      <c r="F54" s="87">
        <v>0</v>
      </c>
      <c r="G54" s="87">
        <v>0.99998842592592585</v>
      </c>
      <c r="H54" s="87">
        <f t="shared" si="2"/>
        <v>0.99998842592592585</v>
      </c>
      <c r="I54" s="88">
        <f t="shared" si="3"/>
        <v>1439.9833333333331</v>
      </c>
      <c r="J54" s="151">
        <f t="shared" si="0"/>
        <v>23.999722222222218</v>
      </c>
      <c r="K54" s="89">
        <v>116.2</v>
      </c>
      <c r="L54" s="89">
        <f t="shared" si="1"/>
        <v>0.1162</v>
      </c>
      <c r="M54" s="54"/>
    </row>
    <row r="55" spans="2:13" ht="15.75" thickBot="1" x14ac:dyDescent="0.3">
      <c r="B55" s="47"/>
      <c r="C55" s="155"/>
      <c r="D55" s="71"/>
      <c r="E55" s="47"/>
      <c r="F55" s="72"/>
      <c r="G55" s="72"/>
      <c r="H55" s="72"/>
      <c r="I55" s="73"/>
      <c r="J55" s="156">
        <f t="shared" si="0"/>
        <v>0</v>
      </c>
      <c r="K55" s="48"/>
      <c r="L55" s="48">
        <f t="shared" si="1"/>
        <v>0</v>
      </c>
      <c r="M55" s="48"/>
    </row>
    <row r="56" spans="2:13" ht="30" x14ac:dyDescent="0.25">
      <c r="B56" s="30">
        <v>9</v>
      </c>
      <c r="C56" s="139" t="s">
        <v>118</v>
      </c>
      <c r="D56" s="49" t="s">
        <v>54</v>
      </c>
      <c r="E56" s="50">
        <v>1</v>
      </c>
      <c r="F56" s="74">
        <v>0</v>
      </c>
      <c r="G56" s="74">
        <v>0.22916666666666666</v>
      </c>
      <c r="H56" s="74">
        <f t="shared" si="2"/>
        <v>0.22916666666666666</v>
      </c>
      <c r="I56" s="75">
        <f t="shared" si="3"/>
        <v>330</v>
      </c>
      <c r="J56" s="157">
        <f t="shared" si="0"/>
        <v>5.5</v>
      </c>
      <c r="K56" s="76">
        <v>8</v>
      </c>
      <c r="L56" s="76">
        <f t="shared" si="1"/>
        <v>8.0000000000000002E-3</v>
      </c>
      <c r="M56" s="32"/>
    </row>
    <row r="57" spans="2:13" x14ac:dyDescent="0.25">
      <c r="B57" s="34"/>
      <c r="C57" s="153"/>
      <c r="D57" s="95"/>
      <c r="E57" s="36"/>
      <c r="F57" s="37">
        <v>0.72916666666666663</v>
      </c>
      <c r="G57" s="37">
        <v>0.99998842592592585</v>
      </c>
      <c r="H57" s="51">
        <f t="shared" si="2"/>
        <v>0.27082175925925922</v>
      </c>
      <c r="I57" s="52">
        <f t="shared" si="3"/>
        <v>389.98333333333329</v>
      </c>
      <c r="J57" s="158">
        <f t="shared" si="0"/>
        <v>6.4997222222222213</v>
      </c>
      <c r="K57" s="39"/>
      <c r="L57" s="39">
        <f t="shared" si="1"/>
        <v>0</v>
      </c>
      <c r="M57" s="40"/>
    </row>
    <row r="58" spans="2:13" ht="15.75" thickBot="1" x14ac:dyDescent="0.3">
      <c r="B58" s="47"/>
      <c r="C58" s="155"/>
      <c r="D58" s="71"/>
      <c r="E58" s="47"/>
      <c r="F58" s="72"/>
      <c r="G58" s="72"/>
      <c r="H58" s="72"/>
      <c r="I58" s="73"/>
      <c r="J58" s="156">
        <f t="shared" si="0"/>
        <v>0</v>
      </c>
      <c r="K58" s="48"/>
      <c r="L58" s="48">
        <f t="shared" si="1"/>
        <v>0</v>
      </c>
      <c r="M58" s="48"/>
    </row>
    <row r="59" spans="2:13" ht="30" x14ac:dyDescent="0.25">
      <c r="B59" s="30">
        <v>10</v>
      </c>
      <c r="C59" s="139" t="s">
        <v>119</v>
      </c>
      <c r="D59" s="49" t="s">
        <v>54</v>
      </c>
      <c r="E59" s="50">
        <v>1</v>
      </c>
      <c r="F59" s="74">
        <v>0</v>
      </c>
      <c r="G59" s="74">
        <v>0.99998842592592585</v>
      </c>
      <c r="H59" s="74">
        <f t="shared" si="2"/>
        <v>0.99998842592592585</v>
      </c>
      <c r="I59" s="75">
        <f t="shared" si="3"/>
        <v>1439.9833333333331</v>
      </c>
      <c r="J59" s="157">
        <f t="shared" si="0"/>
        <v>23.999722222222218</v>
      </c>
      <c r="K59" s="76">
        <v>7</v>
      </c>
      <c r="L59" s="76">
        <f t="shared" si="1"/>
        <v>7.0000000000000001E-3</v>
      </c>
      <c r="M59" s="32"/>
    </row>
    <row r="60" spans="2:13" x14ac:dyDescent="0.25">
      <c r="B60" s="55"/>
      <c r="C60" s="152"/>
      <c r="D60" s="57"/>
      <c r="E60" s="58"/>
      <c r="F60" s="51"/>
      <c r="G60" s="51"/>
      <c r="H60" s="171"/>
      <c r="I60" s="172"/>
      <c r="J60" s="173">
        <f t="shared" si="0"/>
        <v>0</v>
      </c>
      <c r="K60" s="53"/>
      <c r="L60" s="53">
        <f t="shared" si="1"/>
        <v>0</v>
      </c>
      <c r="M60" s="54"/>
    </row>
    <row r="61" spans="2:13" x14ac:dyDescent="0.25">
      <c r="B61" s="55"/>
      <c r="C61" s="152"/>
      <c r="D61" s="80" t="s">
        <v>120</v>
      </c>
      <c r="E61" s="81">
        <v>1</v>
      </c>
      <c r="F61" s="82">
        <v>0.37152777777777773</v>
      </c>
      <c r="G61" s="82">
        <v>0.3888888888888889</v>
      </c>
      <c r="H61" s="174">
        <f t="shared" si="2"/>
        <v>1.736111111111116E-2</v>
      </c>
      <c r="I61" s="175">
        <f t="shared" si="3"/>
        <v>25.000000000000071</v>
      </c>
      <c r="J61" s="176">
        <f t="shared" si="0"/>
        <v>0.41666666666666785</v>
      </c>
      <c r="K61" s="84">
        <v>503</v>
      </c>
      <c r="L61" s="84">
        <f t="shared" si="1"/>
        <v>0.503</v>
      </c>
      <c r="M61" s="54"/>
    </row>
    <row r="62" spans="2:13" x14ac:dyDescent="0.25">
      <c r="B62" s="55"/>
      <c r="C62" s="152"/>
      <c r="D62" s="80"/>
      <c r="E62" s="81"/>
      <c r="F62" s="82">
        <v>0.70138888888888884</v>
      </c>
      <c r="G62" s="82">
        <v>0.71666666666666667</v>
      </c>
      <c r="H62" s="82">
        <f t="shared" si="2"/>
        <v>1.5277777777777835E-2</v>
      </c>
      <c r="I62" s="83">
        <f t="shared" si="3"/>
        <v>22.000000000000082</v>
      </c>
      <c r="J62" s="168">
        <f t="shared" si="0"/>
        <v>0.36666666666666803</v>
      </c>
      <c r="K62" s="84"/>
      <c r="L62" s="84">
        <f t="shared" si="1"/>
        <v>0</v>
      </c>
      <c r="M62" s="54"/>
    </row>
    <row r="63" spans="2:13" x14ac:dyDescent="0.25">
      <c r="B63" s="34"/>
      <c r="C63" s="153"/>
      <c r="D63" s="65"/>
      <c r="E63" s="66"/>
      <c r="F63" s="67"/>
      <c r="G63" s="67"/>
      <c r="H63" s="67"/>
      <c r="I63" s="44"/>
      <c r="J63" s="154">
        <f t="shared" si="0"/>
        <v>0</v>
      </c>
      <c r="K63" s="68"/>
      <c r="L63" s="68">
        <f t="shared" si="1"/>
        <v>0</v>
      </c>
      <c r="M63" s="40"/>
    </row>
    <row r="64" spans="2:13" ht="15.75" thickBot="1" x14ac:dyDescent="0.3">
      <c r="B64" s="47"/>
      <c r="C64" s="155"/>
      <c r="D64" s="71"/>
      <c r="E64" s="47"/>
      <c r="F64" s="72"/>
      <c r="G64" s="72"/>
      <c r="H64" s="72"/>
      <c r="I64" s="73"/>
      <c r="J64" s="156">
        <f t="shared" si="0"/>
        <v>0</v>
      </c>
      <c r="K64" s="48"/>
      <c r="L64" s="48">
        <f t="shared" si="1"/>
        <v>0</v>
      </c>
      <c r="M64" s="48"/>
    </row>
    <row r="65" spans="2:13" ht="30" x14ac:dyDescent="0.25">
      <c r="B65" s="30">
        <v>11</v>
      </c>
      <c r="C65" s="139" t="s">
        <v>121</v>
      </c>
      <c r="D65" s="49" t="s">
        <v>56</v>
      </c>
      <c r="E65" s="50">
        <v>1</v>
      </c>
      <c r="F65" s="74"/>
      <c r="G65" s="74"/>
      <c r="H65" s="74"/>
      <c r="I65" s="75"/>
      <c r="J65" s="157">
        <f t="shared" si="0"/>
        <v>0</v>
      </c>
      <c r="K65" s="76">
        <v>5</v>
      </c>
      <c r="L65" s="76">
        <f t="shared" si="1"/>
        <v>5.0000000000000001E-3</v>
      </c>
      <c r="M65" s="32"/>
    </row>
    <row r="66" spans="2:13" x14ac:dyDescent="0.25">
      <c r="B66" s="34"/>
      <c r="C66" s="153"/>
      <c r="D66" s="95"/>
      <c r="E66" s="36"/>
      <c r="F66" s="51"/>
      <c r="G66" s="51"/>
      <c r="H66" s="51"/>
      <c r="I66" s="52"/>
      <c r="J66" s="158">
        <f t="shared" si="0"/>
        <v>0</v>
      </c>
      <c r="K66" s="53"/>
      <c r="L66" s="53">
        <f t="shared" si="1"/>
        <v>0</v>
      </c>
      <c r="M66" s="40"/>
    </row>
    <row r="67" spans="2:13" ht="15.75" thickBot="1" x14ac:dyDescent="0.3">
      <c r="B67" s="47"/>
      <c r="C67" s="155"/>
      <c r="D67" s="71"/>
      <c r="E67" s="47"/>
      <c r="F67" s="72"/>
      <c r="G67" s="72"/>
      <c r="H67" s="72"/>
      <c r="I67" s="73"/>
      <c r="J67" s="156">
        <f t="shared" si="0"/>
        <v>0</v>
      </c>
      <c r="K67" s="48"/>
      <c r="L67" s="48">
        <f t="shared" si="1"/>
        <v>0</v>
      </c>
      <c r="M67" s="48"/>
    </row>
    <row r="68" spans="2:13" x14ac:dyDescent="0.25">
      <c r="B68" s="30">
        <v>12</v>
      </c>
      <c r="C68" s="139" t="s">
        <v>122</v>
      </c>
      <c r="D68" s="49" t="s">
        <v>54</v>
      </c>
      <c r="E68" s="50">
        <v>1</v>
      </c>
      <c r="F68" s="74">
        <v>0</v>
      </c>
      <c r="G68" s="74">
        <v>0.99998842592592585</v>
      </c>
      <c r="H68" s="74">
        <f t="shared" si="2"/>
        <v>0.99998842592592585</v>
      </c>
      <c r="I68" s="75">
        <f t="shared" si="3"/>
        <v>1439.9833333333331</v>
      </c>
      <c r="J68" s="157">
        <f t="shared" si="0"/>
        <v>23.999722222222218</v>
      </c>
      <c r="K68" s="76">
        <v>10</v>
      </c>
      <c r="L68" s="76">
        <f t="shared" si="1"/>
        <v>0.01</v>
      </c>
      <c r="M68" s="32"/>
    </row>
    <row r="69" spans="2:13" x14ac:dyDescent="0.25">
      <c r="B69" s="34"/>
      <c r="C69" s="153"/>
      <c r="D69" s="95"/>
      <c r="E69" s="36"/>
      <c r="F69" s="51"/>
      <c r="G69" s="51"/>
      <c r="H69" s="51"/>
      <c r="I69" s="52"/>
      <c r="J69" s="158">
        <f t="shared" si="0"/>
        <v>0</v>
      </c>
      <c r="K69" s="53"/>
      <c r="L69" s="53">
        <f t="shared" si="1"/>
        <v>0</v>
      </c>
      <c r="M69" s="40"/>
    </row>
    <row r="70" spans="2:13" ht="15.75" thickBot="1" x14ac:dyDescent="0.3">
      <c r="B70" s="47"/>
      <c r="C70" s="155"/>
      <c r="D70" s="71"/>
      <c r="E70" s="47"/>
      <c r="F70" s="72"/>
      <c r="G70" s="72"/>
      <c r="H70" s="72"/>
      <c r="I70" s="73"/>
      <c r="J70" s="156">
        <f t="shared" ref="J70:J120" si="4">I70/60</f>
        <v>0</v>
      </c>
      <c r="K70" s="48"/>
      <c r="L70" s="48">
        <f t="shared" ref="L70:L120" si="5">K70/1000</f>
        <v>0</v>
      </c>
      <c r="M70" s="48"/>
    </row>
    <row r="71" spans="2:13" x14ac:dyDescent="0.25">
      <c r="B71" s="30">
        <v>13</v>
      </c>
      <c r="C71" s="139" t="s">
        <v>60</v>
      </c>
      <c r="D71" s="49" t="s">
        <v>54</v>
      </c>
      <c r="E71" s="50">
        <v>1</v>
      </c>
      <c r="F71" s="74">
        <v>0</v>
      </c>
      <c r="G71" s="74">
        <v>0.99998842592592585</v>
      </c>
      <c r="H71" s="74">
        <f t="shared" si="2"/>
        <v>0.99998842592592585</v>
      </c>
      <c r="I71" s="75">
        <f t="shared" si="3"/>
        <v>1439.9833333333331</v>
      </c>
      <c r="J71" s="157">
        <f t="shared" si="4"/>
        <v>23.999722222222218</v>
      </c>
      <c r="K71" s="76">
        <v>5</v>
      </c>
      <c r="L71" s="76">
        <f t="shared" si="5"/>
        <v>5.0000000000000001E-3</v>
      </c>
      <c r="M71" s="32"/>
    </row>
    <row r="72" spans="2:13" x14ac:dyDescent="0.25">
      <c r="B72" s="34"/>
      <c r="C72" s="153"/>
      <c r="D72" s="95"/>
      <c r="E72" s="36"/>
      <c r="F72" s="51"/>
      <c r="G72" s="51"/>
      <c r="H72" s="51"/>
      <c r="I72" s="52"/>
      <c r="J72" s="158">
        <f t="shared" si="4"/>
        <v>0</v>
      </c>
      <c r="K72" s="53"/>
      <c r="L72" s="53">
        <f t="shared" si="5"/>
        <v>0</v>
      </c>
      <c r="M72" s="40"/>
    </row>
    <row r="73" spans="2:13" x14ac:dyDescent="0.25">
      <c r="B73" s="34"/>
      <c r="C73" s="153"/>
      <c r="D73" s="59"/>
      <c r="E73" s="34"/>
      <c r="F73" s="177"/>
      <c r="G73" s="177"/>
      <c r="H73" s="177"/>
      <c r="I73" s="178"/>
      <c r="J73" s="179">
        <f t="shared" si="4"/>
        <v>0</v>
      </c>
      <c r="K73" s="54"/>
      <c r="L73" s="54">
        <f t="shared" si="5"/>
        <v>0</v>
      </c>
      <c r="M73" s="40"/>
    </row>
    <row r="74" spans="2:13" x14ac:dyDescent="0.25">
      <c r="B74" s="34"/>
      <c r="C74" s="153"/>
      <c r="D74" s="65" t="s">
        <v>12</v>
      </c>
      <c r="E74" s="66">
        <v>1</v>
      </c>
      <c r="F74" s="82">
        <v>0.33333333333333331</v>
      </c>
      <c r="G74" s="82">
        <v>0.35416666666666669</v>
      </c>
      <c r="H74" s="82">
        <f t="shared" si="2"/>
        <v>2.083333333333337E-2</v>
      </c>
      <c r="I74" s="83">
        <f t="shared" si="3"/>
        <v>30.000000000000053</v>
      </c>
      <c r="J74" s="168">
        <f t="shared" si="4"/>
        <v>0.50000000000000089</v>
      </c>
      <c r="K74" s="84">
        <v>39.5</v>
      </c>
      <c r="L74" s="84">
        <f t="shared" si="5"/>
        <v>3.95E-2</v>
      </c>
      <c r="M74" s="40" t="s">
        <v>123</v>
      </c>
    </row>
    <row r="75" spans="2:13" x14ac:dyDescent="0.25">
      <c r="B75" s="34"/>
      <c r="C75" s="153"/>
      <c r="D75" s="65"/>
      <c r="E75" s="66"/>
      <c r="F75" s="82">
        <v>0.3611111111111111</v>
      </c>
      <c r="G75" s="82">
        <v>0.36458333333333331</v>
      </c>
      <c r="H75" s="82">
        <f t="shared" si="2"/>
        <v>3.4722222222222099E-3</v>
      </c>
      <c r="I75" s="83">
        <f t="shared" si="3"/>
        <v>4.9999999999999822</v>
      </c>
      <c r="J75" s="168">
        <f t="shared" si="4"/>
        <v>8.3333333333333037E-2</v>
      </c>
      <c r="K75" s="84">
        <v>55</v>
      </c>
      <c r="L75" s="84">
        <f t="shared" si="5"/>
        <v>5.5E-2</v>
      </c>
      <c r="M75" s="40"/>
    </row>
    <row r="76" spans="2:13" x14ac:dyDescent="0.25">
      <c r="B76" s="34"/>
      <c r="C76" s="153"/>
      <c r="D76" s="65"/>
      <c r="E76" s="66"/>
      <c r="F76" s="82">
        <v>0.40972222222222227</v>
      </c>
      <c r="G76" s="82">
        <v>0.41666666666666669</v>
      </c>
      <c r="H76" s="82">
        <f t="shared" si="2"/>
        <v>6.9444444444444198E-3</v>
      </c>
      <c r="I76" s="83">
        <f t="shared" si="3"/>
        <v>9.9999999999999645</v>
      </c>
      <c r="J76" s="168">
        <f t="shared" si="4"/>
        <v>0.16666666666666607</v>
      </c>
      <c r="K76" s="84">
        <v>5.5</v>
      </c>
      <c r="L76" s="84">
        <f t="shared" si="5"/>
        <v>5.4999999999999997E-3</v>
      </c>
      <c r="M76" s="40"/>
    </row>
    <row r="77" spans="2:13" ht="15.75" thickBot="1" x14ac:dyDescent="0.3">
      <c r="B77" s="47"/>
      <c r="C77" s="155"/>
      <c r="D77" s="71"/>
      <c r="E77" s="47"/>
      <c r="F77" s="92"/>
      <c r="G77" s="92"/>
      <c r="H77" s="92"/>
      <c r="I77" s="93"/>
      <c r="J77" s="170">
        <f t="shared" si="4"/>
        <v>0</v>
      </c>
      <c r="K77" s="94"/>
      <c r="L77" s="94">
        <f t="shared" si="5"/>
        <v>0</v>
      </c>
      <c r="M77" s="48"/>
    </row>
    <row r="78" spans="2:13" ht="30" x14ac:dyDescent="0.25">
      <c r="B78" s="30">
        <v>14</v>
      </c>
      <c r="C78" s="139" t="s">
        <v>124</v>
      </c>
      <c r="D78" s="49" t="s">
        <v>54</v>
      </c>
      <c r="E78" s="50">
        <v>1</v>
      </c>
      <c r="F78" s="74">
        <v>0</v>
      </c>
      <c r="G78" s="74">
        <v>0.99998842592592585</v>
      </c>
      <c r="H78" s="74">
        <f t="shared" si="2"/>
        <v>0.99998842592592585</v>
      </c>
      <c r="I78" s="75">
        <f t="shared" si="3"/>
        <v>1439.9833333333331</v>
      </c>
      <c r="J78" s="157">
        <f t="shared" si="4"/>
        <v>23.999722222222218</v>
      </c>
      <c r="K78" s="76">
        <v>10</v>
      </c>
      <c r="L78" s="76">
        <f t="shared" si="5"/>
        <v>0.01</v>
      </c>
      <c r="M78" s="32"/>
    </row>
    <row r="79" spans="2:13" x14ac:dyDescent="0.25">
      <c r="B79" s="34"/>
      <c r="C79" s="153"/>
      <c r="D79" s="95"/>
      <c r="E79" s="36"/>
      <c r="F79" s="51"/>
      <c r="G79" s="51"/>
      <c r="H79" s="51"/>
      <c r="I79" s="52"/>
      <c r="J79" s="158">
        <f t="shared" si="4"/>
        <v>0</v>
      </c>
      <c r="K79" s="53"/>
      <c r="L79" s="53">
        <f t="shared" si="5"/>
        <v>0</v>
      </c>
      <c r="M79" s="40"/>
    </row>
    <row r="80" spans="2:13" ht="15.75" thickBot="1" x14ac:dyDescent="0.3">
      <c r="B80" s="47"/>
      <c r="C80" s="155"/>
      <c r="D80" s="71"/>
      <c r="E80" s="47"/>
      <c r="F80" s="72"/>
      <c r="G80" s="72"/>
      <c r="H80" s="72"/>
      <c r="I80" s="73"/>
      <c r="J80" s="156">
        <f t="shared" si="4"/>
        <v>0</v>
      </c>
      <c r="K80" s="48"/>
      <c r="L80" s="48">
        <f t="shared" si="5"/>
        <v>0</v>
      </c>
      <c r="M80" s="48"/>
    </row>
    <row r="81" spans="2:13" ht="30" x14ac:dyDescent="0.25">
      <c r="B81" s="30">
        <v>15</v>
      </c>
      <c r="C81" s="139" t="s">
        <v>125</v>
      </c>
      <c r="D81" s="49" t="s">
        <v>54</v>
      </c>
      <c r="E81" s="50">
        <v>1</v>
      </c>
      <c r="F81" s="74">
        <v>0</v>
      </c>
      <c r="G81" s="74">
        <v>0.99998842592592585</v>
      </c>
      <c r="H81" s="74">
        <f t="shared" si="2"/>
        <v>0.99998842592592585</v>
      </c>
      <c r="I81" s="75">
        <f t="shared" si="3"/>
        <v>1439.9833333333331</v>
      </c>
      <c r="J81" s="157">
        <f t="shared" si="4"/>
        <v>23.999722222222218</v>
      </c>
      <c r="K81" s="76">
        <v>7</v>
      </c>
      <c r="L81" s="76">
        <f t="shared" si="5"/>
        <v>7.0000000000000001E-3</v>
      </c>
      <c r="M81" s="32"/>
    </row>
    <row r="82" spans="2:13" x14ac:dyDescent="0.25">
      <c r="B82" s="34"/>
      <c r="C82" s="153"/>
      <c r="D82" s="95"/>
      <c r="E82" s="36"/>
      <c r="F82" s="51"/>
      <c r="G82" s="51"/>
      <c r="H82" s="51"/>
      <c r="I82" s="52"/>
      <c r="J82" s="158">
        <f t="shared" si="4"/>
        <v>0</v>
      </c>
      <c r="K82" s="53"/>
      <c r="L82" s="53">
        <f t="shared" si="5"/>
        <v>0</v>
      </c>
      <c r="M82" s="40"/>
    </row>
    <row r="83" spans="2:13" ht="15.75" thickBot="1" x14ac:dyDescent="0.3">
      <c r="B83" s="47"/>
      <c r="C83" s="155"/>
      <c r="D83" s="71"/>
      <c r="E83" s="47"/>
      <c r="F83" s="72"/>
      <c r="G83" s="72"/>
      <c r="H83" s="72"/>
      <c r="I83" s="73"/>
      <c r="J83" s="156">
        <f t="shared" si="4"/>
        <v>0</v>
      </c>
      <c r="K83" s="48"/>
      <c r="L83" s="48">
        <f t="shared" si="5"/>
        <v>0</v>
      </c>
      <c r="M83" s="48"/>
    </row>
    <row r="84" spans="2:13" ht="30" x14ac:dyDescent="0.25">
      <c r="B84" s="30">
        <v>16</v>
      </c>
      <c r="C84" s="139" t="s">
        <v>126</v>
      </c>
      <c r="D84" s="49" t="s">
        <v>127</v>
      </c>
      <c r="E84" s="50">
        <v>1</v>
      </c>
      <c r="F84" s="74"/>
      <c r="G84" s="74"/>
      <c r="H84" s="74"/>
      <c r="I84" s="75"/>
      <c r="J84" s="157">
        <f t="shared" si="4"/>
        <v>0</v>
      </c>
      <c r="K84" s="76">
        <v>7</v>
      </c>
      <c r="L84" s="76">
        <f t="shared" si="5"/>
        <v>7.0000000000000001E-3</v>
      </c>
      <c r="M84" s="32"/>
    </row>
    <row r="85" spans="2:13" x14ac:dyDescent="0.25">
      <c r="B85" s="55"/>
      <c r="C85" s="152"/>
      <c r="D85" s="57"/>
      <c r="E85" s="58"/>
      <c r="F85" s="51"/>
      <c r="G85" s="51"/>
      <c r="H85" s="51"/>
      <c r="I85" s="52"/>
      <c r="J85" s="158">
        <f t="shared" si="4"/>
        <v>0</v>
      </c>
      <c r="K85" s="53"/>
      <c r="L85" s="53">
        <f t="shared" si="5"/>
        <v>0</v>
      </c>
      <c r="M85" s="54"/>
    </row>
    <row r="86" spans="2:13" x14ac:dyDescent="0.25">
      <c r="B86" s="55"/>
      <c r="C86" s="152"/>
      <c r="D86" s="80" t="s">
        <v>128</v>
      </c>
      <c r="E86" s="81">
        <v>1</v>
      </c>
      <c r="F86" s="82">
        <v>0</v>
      </c>
      <c r="G86" s="82">
        <v>0.27083333333333331</v>
      </c>
      <c r="H86" s="82">
        <f t="shared" ref="H86:H114" si="6">G86-F86</f>
        <v>0.27083333333333331</v>
      </c>
      <c r="I86" s="83">
        <f t="shared" ref="I86:I114" si="7">H86*1440</f>
        <v>390</v>
      </c>
      <c r="J86" s="168">
        <f t="shared" si="4"/>
        <v>6.5</v>
      </c>
      <c r="K86" s="84">
        <v>9</v>
      </c>
      <c r="L86" s="84">
        <f t="shared" si="5"/>
        <v>8.9999999999999993E-3</v>
      </c>
      <c r="M86" s="54"/>
    </row>
    <row r="87" spans="2:13" x14ac:dyDescent="0.25">
      <c r="B87" s="55"/>
      <c r="C87" s="152"/>
      <c r="D87" s="80"/>
      <c r="E87" s="81"/>
      <c r="F87" s="82">
        <v>0.72916666666666663</v>
      </c>
      <c r="G87" s="82">
        <v>0.99998842592592585</v>
      </c>
      <c r="H87" s="82">
        <f t="shared" si="6"/>
        <v>0.27082175925925922</v>
      </c>
      <c r="I87" s="83">
        <f t="shared" si="7"/>
        <v>389.98333333333329</v>
      </c>
      <c r="J87" s="168">
        <f t="shared" si="4"/>
        <v>6.4997222222222213</v>
      </c>
      <c r="K87" s="84"/>
      <c r="L87" s="84">
        <f t="shared" si="5"/>
        <v>0</v>
      </c>
      <c r="M87" s="54"/>
    </row>
    <row r="88" spans="2:13" x14ac:dyDescent="0.25">
      <c r="B88" s="55"/>
      <c r="C88" s="152"/>
      <c r="D88" s="56"/>
      <c r="E88" s="55"/>
      <c r="F88" s="177"/>
      <c r="G88" s="177"/>
      <c r="H88" s="177"/>
      <c r="I88" s="178"/>
      <c r="J88" s="179">
        <f t="shared" si="4"/>
        <v>0</v>
      </c>
      <c r="K88" s="54"/>
      <c r="L88" s="54">
        <f t="shared" si="5"/>
        <v>0</v>
      </c>
      <c r="M88" s="54"/>
    </row>
    <row r="89" spans="2:13" x14ac:dyDescent="0.25">
      <c r="B89" s="55"/>
      <c r="C89" s="152"/>
      <c r="D89" s="85" t="s">
        <v>58</v>
      </c>
      <c r="E89" s="86">
        <v>1</v>
      </c>
      <c r="F89" s="87">
        <v>0.23958333333333334</v>
      </c>
      <c r="G89" s="87">
        <v>0.25</v>
      </c>
      <c r="H89" s="87">
        <f t="shared" si="6"/>
        <v>1.0416666666666657E-2</v>
      </c>
      <c r="I89" s="88">
        <f t="shared" si="7"/>
        <v>14.999999999999986</v>
      </c>
      <c r="J89" s="151">
        <f t="shared" si="4"/>
        <v>0.24999999999999975</v>
      </c>
      <c r="K89" s="89">
        <v>305.5</v>
      </c>
      <c r="L89" s="89">
        <f t="shared" si="5"/>
        <v>0.30549999999999999</v>
      </c>
      <c r="M89" s="54"/>
    </row>
    <row r="90" spans="2:13" x14ac:dyDescent="0.25">
      <c r="B90" s="55"/>
      <c r="C90" s="152"/>
      <c r="D90" s="85"/>
      <c r="E90" s="86"/>
      <c r="F90" s="87"/>
      <c r="G90" s="87"/>
      <c r="H90" s="87"/>
      <c r="I90" s="88"/>
      <c r="J90" s="151">
        <f t="shared" si="4"/>
        <v>0</v>
      </c>
      <c r="K90" s="89"/>
      <c r="L90" s="89">
        <f t="shared" si="5"/>
        <v>0</v>
      </c>
      <c r="M90" s="54"/>
    </row>
    <row r="91" spans="2:13" x14ac:dyDescent="0.25">
      <c r="B91" s="55"/>
      <c r="C91" s="152"/>
      <c r="D91" s="56"/>
      <c r="E91" s="55"/>
      <c r="F91" s="177"/>
      <c r="G91" s="177"/>
      <c r="H91" s="177"/>
      <c r="I91" s="178"/>
      <c r="J91" s="179">
        <f t="shared" si="4"/>
        <v>0</v>
      </c>
      <c r="K91" s="54"/>
      <c r="L91" s="54">
        <f t="shared" si="5"/>
        <v>0</v>
      </c>
      <c r="M91" s="54"/>
    </row>
    <row r="92" spans="2:13" x14ac:dyDescent="0.25">
      <c r="B92" s="55"/>
      <c r="C92" s="152"/>
      <c r="D92" s="57" t="s">
        <v>129</v>
      </c>
      <c r="E92" s="58">
        <v>1</v>
      </c>
      <c r="F92" s="51"/>
      <c r="G92" s="51"/>
      <c r="H92" s="51"/>
      <c r="I92" s="52"/>
      <c r="J92" s="158">
        <f t="shared" si="4"/>
        <v>0</v>
      </c>
      <c r="K92" s="53">
        <v>7</v>
      </c>
      <c r="L92" s="53">
        <f t="shared" si="5"/>
        <v>7.0000000000000001E-3</v>
      </c>
      <c r="M92" s="54"/>
    </row>
    <row r="93" spans="2:13" x14ac:dyDescent="0.25">
      <c r="B93" s="55"/>
      <c r="C93" s="152"/>
      <c r="D93" s="57"/>
      <c r="E93" s="58"/>
      <c r="F93" s="51"/>
      <c r="G93" s="51"/>
      <c r="H93" s="51"/>
      <c r="I93" s="52"/>
      <c r="J93" s="158">
        <f t="shared" si="4"/>
        <v>0</v>
      </c>
      <c r="K93" s="53"/>
      <c r="L93" s="53">
        <f t="shared" si="5"/>
        <v>0</v>
      </c>
      <c r="M93" s="54"/>
    </row>
    <row r="94" spans="2:13" x14ac:dyDescent="0.25">
      <c r="B94" s="55"/>
      <c r="C94" s="152"/>
      <c r="D94" s="80" t="s">
        <v>130</v>
      </c>
      <c r="E94" s="81">
        <v>1</v>
      </c>
      <c r="F94" s="82"/>
      <c r="G94" s="82"/>
      <c r="H94" s="82"/>
      <c r="I94" s="83"/>
      <c r="J94" s="168">
        <f t="shared" si="4"/>
        <v>0</v>
      </c>
      <c r="K94" s="84"/>
      <c r="L94" s="84">
        <f t="shared" si="5"/>
        <v>0</v>
      </c>
      <c r="M94" s="54"/>
    </row>
    <row r="95" spans="2:13" x14ac:dyDescent="0.25">
      <c r="B95" s="55"/>
      <c r="C95" s="152"/>
      <c r="D95" s="80"/>
      <c r="E95" s="81"/>
      <c r="F95" s="82"/>
      <c r="G95" s="82"/>
      <c r="H95" s="82"/>
      <c r="I95" s="83"/>
      <c r="J95" s="168">
        <f t="shared" si="4"/>
        <v>0</v>
      </c>
      <c r="K95" s="84"/>
      <c r="L95" s="84">
        <f t="shared" si="5"/>
        <v>0</v>
      </c>
      <c r="M95" s="54"/>
    </row>
    <row r="96" spans="2:13" ht="15.75" thickBot="1" x14ac:dyDescent="0.3">
      <c r="B96" s="90"/>
      <c r="C96" s="169"/>
      <c r="D96" s="91"/>
      <c r="E96" s="90"/>
      <c r="F96" s="92"/>
      <c r="G96" s="92"/>
      <c r="H96" s="92"/>
      <c r="I96" s="93"/>
      <c r="J96" s="170">
        <f t="shared" si="4"/>
        <v>0</v>
      </c>
      <c r="K96" s="94"/>
      <c r="L96" s="94">
        <f t="shared" si="5"/>
        <v>0</v>
      </c>
      <c r="M96" s="94"/>
    </row>
    <row r="97" spans="2:13" ht="45" x14ac:dyDescent="0.25">
      <c r="B97" s="30">
        <v>17</v>
      </c>
      <c r="C97" s="139" t="s">
        <v>131</v>
      </c>
      <c r="D97" s="49" t="s">
        <v>56</v>
      </c>
      <c r="E97" s="50">
        <v>1</v>
      </c>
      <c r="F97" s="74">
        <v>0</v>
      </c>
      <c r="G97" s="74">
        <v>0.27083333333333331</v>
      </c>
      <c r="H97" s="74">
        <f t="shared" si="6"/>
        <v>0.27083333333333331</v>
      </c>
      <c r="I97" s="75">
        <f t="shared" si="7"/>
        <v>390</v>
      </c>
      <c r="J97" s="157">
        <f t="shared" si="4"/>
        <v>6.5</v>
      </c>
      <c r="K97" s="76">
        <v>9</v>
      </c>
      <c r="L97" s="76">
        <f t="shared" si="5"/>
        <v>8.9999999999999993E-3</v>
      </c>
      <c r="M97" s="32"/>
    </row>
    <row r="98" spans="2:13" x14ac:dyDescent="0.25">
      <c r="B98" s="55"/>
      <c r="C98" s="152"/>
      <c r="D98" s="57"/>
      <c r="E98" s="58"/>
      <c r="F98" s="51"/>
      <c r="G98" s="51"/>
      <c r="H98" s="51"/>
      <c r="I98" s="52"/>
      <c r="J98" s="158">
        <f t="shared" si="4"/>
        <v>0</v>
      </c>
      <c r="K98" s="53"/>
      <c r="L98" s="53">
        <f t="shared" si="5"/>
        <v>0</v>
      </c>
      <c r="M98" s="54"/>
    </row>
    <row r="99" spans="2:13" x14ac:dyDescent="0.25">
      <c r="B99" s="55"/>
      <c r="C99" s="152"/>
      <c r="D99" s="57"/>
      <c r="E99" s="58"/>
      <c r="F99" s="51"/>
      <c r="G99" s="51"/>
      <c r="H99" s="51"/>
      <c r="I99" s="52"/>
      <c r="J99" s="158">
        <f t="shared" si="4"/>
        <v>0</v>
      </c>
      <c r="K99" s="53"/>
      <c r="L99" s="53">
        <f t="shared" si="5"/>
        <v>0</v>
      </c>
      <c r="M99" s="54"/>
    </row>
    <row r="100" spans="2:13" ht="30" x14ac:dyDescent="0.25">
      <c r="B100" s="55"/>
      <c r="C100" s="152" t="s">
        <v>132</v>
      </c>
      <c r="D100" s="80" t="s">
        <v>106</v>
      </c>
      <c r="E100" s="81">
        <v>1</v>
      </c>
      <c r="F100" s="82"/>
      <c r="G100" s="82"/>
      <c r="H100" s="82"/>
      <c r="I100" s="83"/>
      <c r="J100" s="168">
        <f t="shared" si="4"/>
        <v>0</v>
      </c>
      <c r="K100" s="84">
        <v>98.6</v>
      </c>
      <c r="L100" s="84">
        <f t="shared" si="5"/>
        <v>9.8599999999999993E-2</v>
      </c>
      <c r="M100" s="54"/>
    </row>
    <row r="101" spans="2:13" ht="30" x14ac:dyDescent="0.25">
      <c r="B101" s="34"/>
      <c r="C101" s="153" t="s">
        <v>133</v>
      </c>
      <c r="D101" s="65" t="s">
        <v>97</v>
      </c>
      <c r="E101" s="66"/>
      <c r="F101" s="67"/>
      <c r="G101" s="67"/>
      <c r="H101" s="67"/>
      <c r="I101" s="44"/>
      <c r="J101" s="154">
        <f t="shared" si="4"/>
        <v>0</v>
      </c>
      <c r="K101" s="68"/>
      <c r="L101" s="68">
        <f t="shared" si="5"/>
        <v>0</v>
      </c>
      <c r="M101" s="40"/>
    </row>
    <row r="102" spans="2:13" x14ac:dyDescent="0.25">
      <c r="B102" s="34"/>
      <c r="C102" s="153"/>
      <c r="D102" s="65" t="s">
        <v>134</v>
      </c>
      <c r="E102" s="66"/>
      <c r="F102" s="67"/>
      <c r="G102" s="67"/>
      <c r="H102" s="67"/>
      <c r="I102" s="44"/>
      <c r="J102" s="154">
        <f t="shared" si="4"/>
        <v>0</v>
      </c>
      <c r="K102" s="68"/>
      <c r="L102" s="68">
        <f t="shared" si="5"/>
        <v>0</v>
      </c>
      <c r="M102" s="40"/>
    </row>
    <row r="103" spans="2:13" x14ac:dyDescent="0.25">
      <c r="B103" s="34"/>
      <c r="C103" s="153"/>
      <c r="D103" s="59"/>
      <c r="E103" s="34"/>
      <c r="F103" s="160"/>
      <c r="G103" s="160"/>
      <c r="H103" s="160"/>
      <c r="I103" s="161"/>
      <c r="J103" s="162">
        <f t="shared" si="4"/>
        <v>0</v>
      </c>
      <c r="K103" s="40"/>
      <c r="L103" s="40">
        <f t="shared" si="5"/>
        <v>0</v>
      </c>
      <c r="M103" s="40"/>
    </row>
    <row r="104" spans="2:13" x14ac:dyDescent="0.25">
      <c r="B104" s="34"/>
      <c r="C104" s="153"/>
      <c r="D104" s="180" t="s">
        <v>95</v>
      </c>
      <c r="E104" s="181">
        <v>1</v>
      </c>
      <c r="F104" s="182">
        <v>0.26041666666666669</v>
      </c>
      <c r="G104" s="182">
        <v>0.29166666666666669</v>
      </c>
      <c r="H104" s="182">
        <f t="shared" si="6"/>
        <v>3.125E-2</v>
      </c>
      <c r="I104" s="183">
        <f t="shared" si="7"/>
        <v>45</v>
      </c>
      <c r="J104" s="184">
        <f t="shared" si="4"/>
        <v>0.75</v>
      </c>
      <c r="K104" s="185">
        <v>38.799999999999997</v>
      </c>
      <c r="L104" s="185">
        <f t="shared" si="5"/>
        <v>3.8799999999999994E-2</v>
      </c>
      <c r="M104" s="40"/>
    </row>
    <row r="105" spans="2:13" ht="15.75" thickBot="1" x14ac:dyDescent="0.3">
      <c r="B105" s="47"/>
      <c r="C105" s="155"/>
      <c r="D105" s="186"/>
      <c r="E105" s="187"/>
      <c r="F105" s="188"/>
      <c r="G105" s="188"/>
      <c r="H105" s="188"/>
      <c r="I105" s="189"/>
      <c r="J105" s="190">
        <f t="shared" si="4"/>
        <v>0</v>
      </c>
      <c r="K105" s="191"/>
      <c r="L105" s="191">
        <f t="shared" si="5"/>
        <v>0</v>
      </c>
      <c r="M105" s="48"/>
    </row>
    <row r="106" spans="2:13" ht="30" x14ac:dyDescent="0.25">
      <c r="B106" s="30">
        <v>18</v>
      </c>
      <c r="C106" s="139" t="s">
        <v>135</v>
      </c>
      <c r="D106" s="49" t="s">
        <v>56</v>
      </c>
      <c r="E106" s="50">
        <v>1</v>
      </c>
      <c r="F106" s="192"/>
      <c r="G106" s="192"/>
      <c r="H106" s="74"/>
      <c r="I106" s="75"/>
      <c r="J106" s="157">
        <f t="shared" si="4"/>
        <v>0</v>
      </c>
      <c r="K106" s="76">
        <v>9</v>
      </c>
      <c r="L106" s="76">
        <f t="shared" si="5"/>
        <v>8.9999999999999993E-3</v>
      </c>
      <c r="M106" s="32"/>
    </row>
    <row r="107" spans="2:13" x14ac:dyDescent="0.25">
      <c r="B107" s="34"/>
      <c r="C107" s="153"/>
      <c r="D107" s="95"/>
      <c r="E107" s="36"/>
      <c r="F107" s="37"/>
      <c r="G107" s="37"/>
      <c r="H107" s="37"/>
      <c r="I107" s="38"/>
      <c r="J107" s="142">
        <f t="shared" si="4"/>
        <v>0</v>
      </c>
      <c r="K107" s="39"/>
      <c r="L107" s="39">
        <f t="shared" si="5"/>
        <v>0</v>
      </c>
      <c r="M107" s="40"/>
    </row>
    <row r="108" spans="2:13" ht="15.75" thickBot="1" x14ac:dyDescent="0.3">
      <c r="B108" s="47"/>
      <c r="C108" s="155"/>
      <c r="D108" s="71"/>
      <c r="E108" s="47"/>
      <c r="F108" s="72"/>
      <c r="G108" s="72"/>
      <c r="H108" s="72"/>
      <c r="I108" s="73"/>
      <c r="J108" s="156">
        <f t="shared" si="4"/>
        <v>0</v>
      </c>
      <c r="K108" s="48"/>
      <c r="L108" s="48">
        <f t="shared" si="5"/>
        <v>0</v>
      </c>
      <c r="M108" s="48"/>
    </row>
    <row r="109" spans="2:13" ht="30" x14ac:dyDescent="0.25">
      <c r="B109" s="30">
        <v>19</v>
      </c>
      <c r="C109" s="139" t="s">
        <v>136</v>
      </c>
      <c r="D109" s="49" t="s">
        <v>56</v>
      </c>
      <c r="E109" s="50">
        <v>1</v>
      </c>
      <c r="F109" s="192"/>
      <c r="G109" s="192"/>
      <c r="H109" s="74"/>
      <c r="I109" s="75"/>
      <c r="J109" s="157">
        <f t="shared" si="4"/>
        <v>0</v>
      </c>
      <c r="K109" s="76">
        <v>7</v>
      </c>
      <c r="L109" s="76">
        <f t="shared" si="5"/>
        <v>7.0000000000000001E-3</v>
      </c>
      <c r="M109" s="32"/>
    </row>
    <row r="110" spans="2:13" x14ac:dyDescent="0.25">
      <c r="B110" s="34"/>
      <c r="C110" s="153"/>
      <c r="D110" s="95"/>
      <c r="E110" s="36"/>
      <c r="F110" s="37"/>
      <c r="G110" s="37"/>
      <c r="H110" s="37"/>
      <c r="I110" s="38"/>
      <c r="J110" s="142">
        <f t="shared" si="4"/>
        <v>0</v>
      </c>
      <c r="K110" s="39"/>
      <c r="L110" s="39">
        <f t="shared" si="5"/>
        <v>0</v>
      </c>
      <c r="M110" s="40"/>
    </row>
    <row r="111" spans="2:13" ht="15.75" thickBot="1" x14ac:dyDescent="0.3">
      <c r="B111" s="47"/>
      <c r="C111" s="155"/>
      <c r="D111" s="71"/>
      <c r="E111" s="47"/>
      <c r="F111" s="72"/>
      <c r="G111" s="72"/>
      <c r="H111" s="72"/>
      <c r="I111" s="73"/>
      <c r="J111" s="156">
        <f t="shared" si="4"/>
        <v>0</v>
      </c>
      <c r="K111" s="48"/>
      <c r="L111" s="48">
        <f t="shared" si="5"/>
        <v>0</v>
      </c>
      <c r="M111" s="48"/>
    </row>
    <row r="112" spans="2:13" ht="30" x14ac:dyDescent="0.25">
      <c r="B112" s="30">
        <v>20</v>
      </c>
      <c r="C112" s="139" t="s">
        <v>137</v>
      </c>
      <c r="D112" s="49" t="s">
        <v>138</v>
      </c>
      <c r="E112" s="50">
        <v>1</v>
      </c>
      <c r="F112" s="74">
        <v>0</v>
      </c>
      <c r="G112" s="74">
        <v>0.99998842592592585</v>
      </c>
      <c r="H112" s="74">
        <f t="shared" si="6"/>
        <v>0.99998842592592585</v>
      </c>
      <c r="I112" s="75">
        <f t="shared" si="7"/>
        <v>1439.9833333333331</v>
      </c>
      <c r="J112" s="157">
        <f t="shared" si="4"/>
        <v>23.999722222222218</v>
      </c>
      <c r="K112" s="76">
        <v>5</v>
      </c>
      <c r="L112" s="76">
        <f t="shared" si="5"/>
        <v>5.0000000000000001E-3</v>
      </c>
      <c r="M112" s="32"/>
    </row>
    <row r="113" spans="2:13" x14ac:dyDescent="0.25">
      <c r="B113" s="55"/>
      <c r="C113" s="152"/>
      <c r="D113" s="57"/>
      <c r="E113" s="58"/>
      <c r="F113" s="51"/>
      <c r="G113" s="51"/>
      <c r="H113" s="51"/>
      <c r="I113" s="52"/>
      <c r="J113" s="158">
        <f t="shared" si="4"/>
        <v>0</v>
      </c>
      <c r="K113" s="53"/>
      <c r="L113" s="53">
        <f t="shared" si="5"/>
        <v>0</v>
      </c>
      <c r="M113" s="54"/>
    </row>
    <row r="114" spans="2:13" x14ac:dyDescent="0.25">
      <c r="B114" s="34"/>
      <c r="C114" s="153"/>
      <c r="D114" s="65" t="s">
        <v>139</v>
      </c>
      <c r="E114" s="66">
        <v>1</v>
      </c>
      <c r="F114" s="67">
        <v>0.71875</v>
      </c>
      <c r="G114" s="67">
        <v>0.72916666666666663</v>
      </c>
      <c r="H114" s="67">
        <f t="shared" si="6"/>
        <v>1.041666666666663E-2</v>
      </c>
      <c r="I114" s="44">
        <f t="shared" si="7"/>
        <v>14.999999999999947</v>
      </c>
      <c r="J114" s="154">
        <f t="shared" si="4"/>
        <v>0.24999999999999911</v>
      </c>
      <c r="K114" s="68">
        <v>5</v>
      </c>
      <c r="L114" s="68">
        <f t="shared" si="5"/>
        <v>5.0000000000000001E-3</v>
      </c>
      <c r="M114" s="40"/>
    </row>
    <row r="115" spans="2:13" x14ac:dyDescent="0.25">
      <c r="B115" s="41"/>
      <c r="C115" s="193"/>
      <c r="D115" s="69"/>
      <c r="E115" s="42"/>
      <c r="F115" s="43"/>
      <c r="G115" s="43"/>
      <c r="H115" s="43"/>
      <c r="I115" s="70"/>
      <c r="J115" s="194">
        <f t="shared" si="4"/>
        <v>0</v>
      </c>
      <c r="K115" s="45"/>
      <c r="L115" s="45">
        <f t="shared" si="5"/>
        <v>0</v>
      </c>
      <c r="M115" s="46"/>
    </row>
    <row r="116" spans="2:13" ht="15.75" thickBot="1" x14ac:dyDescent="0.3">
      <c r="B116" s="47"/>
      <c r="C116" s="155"/>
      <c r="D116" s="71"/>
      <c r="E116" s="47"/>
      <c r="F116" s="72"/>
      <c r="G116" s="72"/>
      <c r="H116" s="72"/>
      <c r="I116" s="73"/>
      <c r="J116" s="156">
        <f t="shared" si="4"/>
        <v>0</v>
      </c>
      <c r="K116" s="48"/>
      <c r="L116" s="48">
        <f t="shared" si="5"/>
        <v>0</v>
      </c>
      <c r="M116" s="48"/>
    </row>
    <row r="117" spans="2:13" ht="30" x14ac:dyDescent="0.25">
      <c r="B117" s="55">
        <v>21</v>
      </c>
      <c r="C117" s="152" t="s">
        <v>140</v>
      </c>
      <c r="D117" s="49" t="s">
        <v>54</v>
      </c>
      <c r="E117" s="50">
        <v>1</v>
      </c>
      <c r="F117" s="192"/>
      <c r="G117" s="192"/>
      <c r="H117" s="74"/>
      <c r="I117" s="75"/>
      <c r="J117" s="157">
        <f t="shared" si="4"/>
        <v>0</v>
      </c>
      <c r="K117" s="76">
        <v>7</v>
      </c>
      <c r="L117" s="53">
        <f t="shared" si="5"/>
        <v>7.0000000000000001E-3</v>
      </c>
      <c r="M117" s="54"/>
    </row>
    <row r="118" spans="2:13" ht="15.75" thickBot="1" x14ac:dyDescent="0.3">
      <c r="B118" s="47"/>
      <c r="C118" s="155"/>
      <c r="D118" s="71"/>
      <c r="E118" s="47"/>
      <c r="F118" s="72"/>
      <c r="G118" s="72"/>
      <c r="H118" s="72"/>
      <c r="I118" s="73"/>
      <c r="J118" s="156">
        <f t="shared" si="4"/>
        <v>0</v>
      </c>
      <c r="K118" s="48"/>
      <c r="L118" s="48">
        <f t="shared" si="5"/>
        <v>0</v>
      </c>
      <c r="M118" s="48"/>
    </row>
    <row r="119" spans="2:13" ht="30" x14ac:dyDescent="0.25">
      <c r="B119" s="55">
        <v>22</v>
      </c>
      <c r="C119" s="152" t="s">
        <v>141</v>
      </c>
      <c r="D119" s="49" t="s">
        <v>56</v>
      </c>
      <c r="E119" s="50">
        <v>1</v>
      </c>
      <c r="F119" s="192"/>
      <c r="G119" s="192"/>
      <c r="H119" s="74"/>
      <c r="I119" s="75"/>
      <c r="J119" s="157">
        <f t="shared" si="4"/>
        <v>0</v>
      </c>
      <c r="K119" s="76">
        <v>5</v>
      </c>
      <c r="L119" s="53">
        <f t="shared" si="5"/>
        <v>5.0000000000000001E-3</v>
      </c>
      <c r="M119" s="54"/>
    </row>
    <row r="120" spans="2:13" ht="15.75" thickBot="1" x14ac:dyDescent="0.3">
      <c r="B120" s="47"/>
      <c r="C120" s="155"/>
      <c r="D120" s="71"/>
      <c r="E120" s="47"/>
      <c r="F120" s="72"/>
      <c r="G120" s="72"/>
      <c r="H120" s="72"/>
      <c r="I120" s="73"/>
      <c r="J120" s="156">
        <f t="shared" si="4"/>
        <v>0</v>
      </c>
      <c r="K120" s="48"/>
      <c r="L120" s="48">
        <f t="shared" si="5"/>
        <v>0</v>
      </c>
      <c r="M120" s="48"/>
    </row>
  </sheetData>
  <mergeCells count="10">
    <mergeCell ref="B1:M1"/>
    <mergeCell ref="B3:B4"/>
    <mergeCell ref="C3:C4"/>
    <mergeCell ref="D3:D4"/>
    <mergeCell ref="E3:E4"/>
    <mergeCell ref="F3:G3"/>
    <mergeCell ref="H3:H4"/>
    <mergeCell ref="I3:I4"/>
    <mergeCell ref="K3:K4"/>
    <mergeCell ref="M3:M4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75"/>
  <sheetViews>
    <sheetView showGridLines="0" tabSelected="1" topLeftCell="B24" zoomScaleNormal="100" zoomScalePageLayoutView="85" workbookViewId="0">
      <selection activeCell="E43" sqref="E43"/>
    </sheetView>
  </sheetViews>
  <sheetFormatPr defaultColWidth="8.85546875" defaultRowHeight="15" x14ac:dyDescent="0.25"/>
  <cols>
    <col min="1" max="1" width="8.85546875" style="3"/>
    <col min="2" max="2" width="3.42578125" style="3" bestFit="1" customWidth="1"/>
    <col min="3" max="3" width="20.7109375" style="114" customWidth="1"/>
    <col min="4" max="4" width="24.85546875" style="3" customWidth="1"/>
    <col min="5" max="6" width="20.7109375" style="3" customWidth="1"/>
    <col min="7" max="7" width="0.28515625" style="3" customWidth="1"/>
    <col min="8" max="8" width="3.42578125" style="3" bestFit="1" customWidth="1"/>
    <col min="9" max="9" width="20.7109375" style="3" customWidth="1"/>
    <col min="10" max="10" width="24.85546875" style="3" customWidth="1"/>
    <col min="11" max="12" width="20.7109375" style="3" customWidth="1"/>
    <col min="13" max="13" width="0.28515625" style="3" customWidth="1"/>
    <col min="14" max="14" width="3.42578125" style="3" bestFit="1" customWidth="1"/>
    <col min="15" max="15" width="20.7109375" style="3" customWidth="1"/>
    <col min="16" max="16" width="24.85546875" style="3" customWidth="1"/>
    <col min="17" max="18" width="20.7109375" style="3" customWidth="1"/>
    <col min="19" max="19" width="0.28515625" style="3" customWidth="1"/>
    <col min="20" max="20" width="3.42578125" style="3" bestFit="1" customWidth="1"/>
    <col min="21" max="21" width="20.7109375" style="3" customWidth="1"/>
    <col min="22" max="22" width="24.85546875" style="3" customWidth="1"/>
    <col min="23" max="24" width="20.7109375" style="3" customWidth="1"/>
    <col min="25" max="25" width="0.28515625" style="3" customWidth="1"/>
    <col min="26" max="26" width="3.42578125" style="3" bestFit="1" customWidth="1"/>
    <col min="27" max="27" width="20.7109375" style="3" customWidth="1"/>
    <col min="28" max="28" width="24.85546875" style="3" customWidth="1"/>
    <col min="29" max="30" width="20.7109375" style="3" customWidth="1"/>
    <col min="31" max="31" width="0.28515625" style="3" customWidth="1"/>
    <col min="32" max="32" width="3.42578125" style="3" bestFit="1" customWidth="1"/>
    <col min="33" max="33" width="20.7109375" style="3" customWidth="1"/>
    <col min="34" max="34" width="24.85546875" style="3" customWidth="1"/>
    <col min="35" max="36" width="20.7109375" style="3" customWidth="1"/>
    <col min="37" max="37" width="0.28515625" style="3" customWidth="1"/>
    <col min="38" max="38" width="3.42578125" style="3" bestFit="1" customWidth="1"/>
    <col min="39" max="39" width="0.28515625" style="3" customWidth="1"/>
    <col min="40" max="40" width="3.42578125" style="3" bestFit="1" customWidth="1"/>
    <col min="41" max="44" width="20.7109375" style="3" customWidth="1"/>
    <col min="45" max="45" width="0.28515625" style="3" customWidth="1"/>
    <col min="46" max="46" width="3.42578125" style="3" bestFit="1" customWidth="1"/>
    <col min="47" max="50" width="20.7109375" style="3" customWidth="1"/>
    <col min="51" max="51" width="0.28515625" style="3" customWidth="1"/>
    <col min="52" max="52" width="3.42578125" style="3" bestFit="1" customWidth="1"/>
    <col min="53" max="56" width="20.7109375" style="3" customWidth="1"/>
    <col min="57" max="16384" width="8.85546875" style="3"/>
  </cols>
  <sheetData>
    <row r="1" spans="2:11" ht="15.75" thickBot="1" x14ac:dyDescent="0.3"/>
    <row r="2" spans="2:11" x14ac:dyDescent="0.25">
      <c r="B2" s="202" t="s">
        <v>5</v>
      </c>
      <c r="C2" s="203"/>
      <c r="D2" s="203"/>
      <c r="E2" s="203"/>
      <c r="F2" s="204"/>
    </row>
    <row r="3" spans="2:11" ht="15.75" thickBot="1" x14ac:dyDescent="0.3">
      <c r="B3" s="205" t="s">
        <v>6</v>
      </c>
      <c r="C3" s="206"/>
      <c r="D3" s="206"/>
      <c r="E3" s="206"/>
      <c r="F3" s="207"/>
    </row>
    <row r="4" spans="2:11" x14ac:dyDescent="0.25">
      <c r="B4" s="208" t="s">
        <v>80</v>
      </c>
      <c r="C4" s="209"/>
      <c r="D4" s="209"/>
      <c r="E4" s="209"/>
      <c r="F4" s="210"/>
    </row>
    <row r="5" spans="2:11" ht="15.75" thickBot="1" x14ac:dyDescent="0.3">
      <c r="B5" s="4" t="s">
        <v>3</v>
      </c>
      <c r="C5" s="115" t="s">
        <v>7</v>
      </c>
      <c r="D5" s="5" t="s">
        <v>8</v>
      </c>
      <c r="E5" s="5" t="s">
        <v>9</v>
      </c>
      <c r="F5" s="6" t="s">
        <v>10</v>
      </c>
    </row>
    <row r="6" spans="2:11" x14ac:dyDescent="0.25">
      <c r="B6" s="211" t="s">
        <v>79</v>
      </c>
      <c r="C6" s="212"/>
      <c r="D6" s="212"/>
      <c r="E6" s="212"/>
      <c r="F6" s="213"/>
    </row>
    <row r="7" spans="2:11" x14ac:dyDescent="0.25">
      <c r="B7" s="98"/>
      <c r="C7" s="116" t="s">
        <v>11</v>
      </c>
      <c r="D7" s="99"/>
      <c r="E7" s="100" t="s">
        <v>12</v>
      </c>
      <c r="F7" s="101"/>
    </row>
    <row r="8" spans="2:11" ht="34.5" customHeight="1" x14ac:dyDescent="0.25">
      <c r="B8" s="98"/>
      <c r="C8" s="116" t="s">
        <v>13</v>
      </c>
      <c r="D8" s="99"/>
      <c r="E8" s="100" t="s">
        <v>14</v>
      </c>
      <c r="F8" s="101"/>
      <c r="H8" s="201" t="s">
        <v>81</v>
      </c>
      <c r="I8" s="201"/>
      <c r="J8" s="201"/>
      <c r="K8" s="201"/>
    </row>
    <row r="9" spans="2:11" ht="15.75" x14ac:dyDescent="0.25">
      <c r="B9" s="98"/>
      <c r="C9" s="116" t="s">
        <v>15</v>
      </c>
      <c r="D9" s="99"/>
      <c r="E9" s="102"/>
      <c r="F9" s="101" t="s">
        <v>16</v>
      </c>
      <c r="H9" s="201" t="s">
        <v>17</v>
      </c>
      <c r="I9" s="201"/>
      <c r="J9" s="201"/>
      <c r="K9" s="201"/>
    </row>
    <row r="10" spans="2:11" ht="30" customHeight="1" x14ac:dyDescent="0.25">
      <c r="B10" s="98"/>
      <c r="C10" s="116" t="s">
        <v>62</v>
      </c>
      <c r="D10" s="99"/>
      <c r="E10" s="100">
        <f>15*12*30</f>
        <v>5400</v>
      </c>
      <c r="F10" s="101" t="s">
        <v>18</v>
      </c>
      <c r="H10" s="201" t="s">
        <v>19</v>
      </c>
      <c r="I10" s="201"/>
      <c r="J10" s="201"/>
      <c r="K10" s="201"/>
    </row>
    <row r="11" spans="2:11" ht="32.25" customHeight="1" x14ac:dyDescent="0.25">
      <c r="B11" s="1"/>
      <c r="C11" s="118" t="s">
        <v>20</v>
      </c>
      <c r="D11" s="7"/>
      <c r="E11" s="104">
        <v>12</v>
      </c>
      <c r="F11" s="8" t="s">
        <v>18</v>
      </c>
      <c r="H11" s="201" t="s">
        <v>69</v>
      </c>
      <c r="I11" s="201"/>
      <c r="J11" s="201"/>
      <c r="K11" s="201"/>
    </row>
    <row r="12" spans="2:11" ht="30" customHeight="1" x14ac:dyDescent="0.25">
      <c r="B12" s="1"/>
      <c r="C12" s="118" t="s">
        <v>21</v>
      </c>
      <c r="D12" s="7"/>
      <c r="E12" s="110">
        <f>E10-E11-(E13+E15)/2*10</f>
        <v>5387</v>
      </c>
      <c r="F12" s="8" t="s">
        <v>18</v>
      </c>
      <c r="H12" s="201" t="s">
        <v>74</v>
      </c>
      <c r="I12" s="201"/>
      <c r="J12" s="201"/>
      <c r="K12" s="201"/>
    </row>
    <row r="13" spans="2:11" ht="62.25" customHeight="1" x14ac:dyDescent="0.25">
      <c r="B13" s="1"/>
      <c r="C13" s="118" t="s">
        <v>22</v>
      </c>
      <c r="D13" s="7" t="s">
        <v>23</v>
      </c>
      <c r="E13" s="111">
        <f>((E11/E10)*45-E14)</f>
        <v>0.1</v>
      </c>
      <c r="F13" s="8" t="s">
        <v>24</v>
      </c>
      <c r="H13" s="201" t="s">
        <v>63</v>
      </c>
      <c r="I13" s="201"/>
      <c r="J13" s="201"/>
      <c r="K13" s="201"/>
    </row>
    <row r="14" spans="2:11" ht="30" customHeight="1" x14ac:dyDescent="0.25">
      <c r="B14" s="1"/>
      <c r="C14" s="118"/>
      <c r="D14" s="10" t="s">
        <v>78</v>
      </c>
      <c r="E14" s="107">
        <v>0</v>
      </c>
      <c r="F14" s="8" t="s">
        <v>25</v>
      </c>
      <c r="H14" s="201" t="s">
        <v>26</v>
      </c>
      <c r="I14" s="201"/>
      <c r="J14" s="201"/>
      <c r="K14" s="201"/>
    </row>
    <row r="15" spans="2:11" ht="44.25" customHeight="1" x14ac:dyDescent="0.25">
      <c r="B15" s="1"/>
      <c r="C15" s="117" t="s">
        <v>27</v>
      </c>
      <c r="D15" s="103" t="s">
        <v>23</v>
      </c>
      <c r="E15" s="107">
        <f>'[1]Data Lingkungan_IC'!Z21</f>
        <v>0.1</v>
      </c>
      <c r="F15" s="105" t="s">
        <v>24</v>
      </c>
      <c r="H15" s="201" t="s">
        <v>70</v>
      </c>
      <c r="I15" s="201"/>
      <c r="J15" s="201"/>
      <c r="K15" s="201"/>
    </row>
    <row r="16" spans="2:11" ht="30" customHeight="1" x14ac:dyDescent="0.25">
      <c r="B16" s="1"/>
      <c r="C16" s="118" t="s">
        <v>28</v>
      </c>
      <c r="D16" s="7"/>
      <c r="E16" s="109">
        <f>(E12/E10)</f>
        <v>0.99759259259259259</v>
      </c>
      <c r="F16" s="8" t="s">
        <v>29</v>
      </c>
      <c r="H16" s="201" t="s">
        <v>64</v>
      </c>
      <c r="I16" s="201"/>
      <c r="J16" s="201"/>
      <c r="K16" s="201"/>
    </row>
    <row r="17" spans="2:11" ht="15.75" x14ac:dyDescent="0.25">
      <c r="B17" s="1"/>
      <c r="C17" s="118" t="s">
        <v>77</v>
      </c>
      <c r="D17" s="99" t="s">
        <v>30</v>
      </c>
      <c r="E17" s="100" t="s">
        <v>73</v>
      </c>
      <c r="F17" s="101"/>
      <c r="H17" s="9"/>
      <c r="I17" s="9"/>
      <c r="J17" s="9"/>
      <c r="K17" s="9"/>
    </row>
    <row r="18" spans="2:11" ht="15" customHeight="1" x14ac:dyDescent="0.25">
      <c r="B18" s="1"/>
      <c r="C18" s="118"/>
      <c r="D18" s="117" t="s">
        <v>2</v>
      </c>
      <c r="E18" s="104" t="s">
        <v>1</v>
      </c>
      <c r="F18" s="105"/>
      <c r="H18" s="124" t="s">
        <v>68</v>
      </c>
      <c r="I18" s="124"/>
      <c r="J18" s="124"/>
      <c r="K18" s="124"/>
    </row>
    <row r="19" spans="2:11" ht="15" customHeight="1" x14ac:dyDescent="0.25">
      <c r="B19" s="1"/>
      <c r="C19" s="118"/>
      <c r="D19" s="117" t="s">
        <v>82</v>
      </c>
      <c r="E19" s="104"/>
      <c r="F19" s="105" t="s">
        <v>83</v>
      </c>
      <c r="H19" s="124"/>
      <c r="I19" s="124"/>
      <c r="J19" s="124"/>
      <c r="K19" s="124"/>
    </row>
    <row r="20" spans="2:11" ht="15.75" x14ac:dyDescent="0.25">
      <c r="B20" s="1"/>
      <c r="C20" s="118"/>
      <c r="D20" s="99" t="s">
        <v>32</v>
      </c>
      <c r="E20" s="100" t="s">
        <v>0</v>
      </c>
      <c r="F20" s="101"/>
      <c r="H20" s="9"/>
      <c r="I20" s="9"/>
      <c r="J20" s="9"/>
      <c r="K20" s="9"/>
    </row>
    <row r="21" spans="2:11" ht="15.75" x14ac:dyDescent="0.25">
      <c r="B21" s="1"/>
      <c r="C21" s="119"/>
      <c r="D21" s="108" t="s">
        <v>65</v>
      </c>
      <c r="E21" s="100">
        <v>1.8800000000000001E-2</v>
      </c>
      <c r="F21" s="101" t="s">
        <v>33</v>
      </c>
      <c r="H21" s="9" t="s">
        <v>34</v>
      </c>
      <c r="I21" s="9"/>
      <c r="J21" s="9"/>
      <c r="K21" s="9"/>
    </row>
    <row r="22" spans="2:11" ht="30" x14ac:dyDescent="0.25">
      <c r="B22" s="1"/>
      <c r="C22" s="119"/>
      <c r="D22" s="10" t="s">
        <v>66</v>
      </c>
      <c r="E22" s="112">
        <v>0.5</v>
      </c>
      <c r="F22" s="8" t="s">
        <v>35</v>
      </c>
      <c r="H22" s="11" t="s">
        <v>71</v>
      </c>
      <c r="I22" s="9"/>
      <c r="J22" s="9"/>
      <c r="K22" s="9"/>
    </row>
    <row r="23" spans="2:11" ht="30" x14ac:dyDescent="0.25">
      <c r="B23" s="1"/>
      <c r="C23" s="119"/>
      <c r="D23" s="10" t="s">
        <v>72</v>
      </c>
      <c r="E23" s="113">
        <f>E22*E21</f>
        <v>9.4000000000000004E-3</v>
      </c>
      <c r="F23" s="8"/>
      <c r="H23" s="9" t="s">
        <v>67</v>
      </c>
      <c r="I23" s="9"/>
      <c r="J23" s="9"/>
      <c r="K23" s="9"/>
    </row>
    <row r="24" spans="2:11" ht="30.75" thickBot="1" x14ac:dyDescent="0.3">
      <c r="B24" s="2"/>
      <c r="C24" s="120"/>
      <c r="D24" s="12" t="s">
        <v>75</v>
      </c>
      <c r="E24" s="123">
        <f>E23</f>
        <v>9.4000000000000004E-3</v>
      </c>
      <c r="F24" s="15" t="s">
        <v>36</v>
      </c>
      <c r="H24" s="9" t="s">
        <v>76</v>
      </c>
      <c r="I24" s="9"/>
      <c r="J24" s="9"/>
      <c r="K24" s="9"/>
    </row>
    <row r="25" spans="2:11" ht="15.75" thickBot="1" x14ac:dyDescent="0.3">
      <c r="C25" s="3"/>
    </row>
    <row r="26" spans="2:11" x14ac:dyDescent="0.25">
      <c r="B26" s="202" t="s">
        <v>4</v>
      </c>
      <c r="C26" s="203"/>
      <c r="D26" s="203"/>
      <c r="E26" s="203"/>
      <c r="F26" s="204"/>
    </row>
    <row r="27" spans="2:11" ht="15.75" thickBot="1" x14ac:dyDescent="0.3">
      <c r="B27" s="214" t="s">
        <v>6</v>
      </c>
      <c r="C27" s="215"/>
      <c r="D27" s="215"/>
      <c r="E27" s="215"/>
      <c r="F27" s="216"/>
    </row>
    <row r="28" spans="2:11" x14ac:dyDescent="0.25">
      <c r="B28" s="17" t="s">
        <v>86</v>
      </c>
      <c r="C28" s="18"/>
      <c r="D28" s="18"/>
      <c r="E28" s="18"/>
      <c r="F28" s="19"/>
    </row>
    <row r="29" spans="2:11" ht="15.75" thickBot="1" x14ac:dyDescent="0.3">
      <c r="B29" s="136" t="s">
        <v>3</v>
      </c>
      <c r="C29" s="5" t="s">
        <v>7</v>
      </c>
      <c r="D29" s="5" t="s">
        <v>8</v>
      </c>
      <c r="E29" s="5" t="s">
        <v>9</v>
      </c>
      <c r="F29" s="6" t="s">
        <v>10</v>
      </c>
    </row>
    <row r="30" spans="2:11" x14ac:dyDescent="0.25">
      <c r="B30" s="20" t="s">
        <v>79</v>
      </c>
      <c r="C30" s="21"/>
      <c r="D30" s="21"/>
      <c r="E30" s="21"/>
      <c r="F30" s="22"/>
    </row>
    <row r="31" spans="2:11" x14ac:dyDescent="0.25">
      <c r="B31" s="98"/>
      <c r="C31" s="116" t="s">
        <v>11</v>
      </c>
      <c r="D31" s="99"/>
      <c r="E31" s="100" t="s">
        <v>84</v>
      </c>
      <c r="F31" s="101"/>
    </row>
    <row r="32" spans="2:11" x14ac:dyDescent="0.25">
      <c r="B32" s="98"/>
      <c r="C32" s="116" t="s">
        <v>13</v>
      </c>
      <c r="D32" s="99"/>
      <c r="E32" s="100" t="s">
        <v>85</v>
      </c>
      <c r="F32" s="101"/>
    </row>
    <row r="33" spans="2:7" hidden="1" x14ac:dyDescent="0.25">
      <c r="B33" s="98"/>
      <c r="C33" s="116" t="s">
        <v>15</v>
      </c>
      <c r="D33" s="99"/>
      <c r="E33" s="102"/>
      <c r="F33" s="101" t="s">
        <v>16</v>
      </c>
    </row>
    <row r="34" spans="2:7" hidden="1" x14ac:dyDescent="0.25">
      <c r="B34" s="98"/>
      <c r="C34" s="116" t="s">
        <v>62</v>
      </c>
      <c r="D34" s="99"/>
      <c r="E34" s="100">
        <f>5*12*30</f>
        <v>1800</v>
      </c>
      <c r="F34" s="101" t="s">
        <v>18</v>
      </c>
    </row>
    <row r="35" spans="2:7" hidden="1" x14ac:dyDescent="0.25">
      <c r="B35" s="1"/>
      <c r="C35" s="118" t="s">
        <v>20</v>
      </c>
      <c r="D35" s="7"/>
      <c r="E35" s="104">
        <v>0</v>
      </c>
      <c r="F35" s="8" t="s">
        <v>18</v>
      </c>
    </row>
    <row r="36" spans="2:7" hidden="1" x14ac:dyDescent="0.25">
      <c r="B36" s="1"/>
      <c r="C36" s="118" t="s">
        <v>21</v>
      </c>
      <c r="D36" s="7"/>
      <c r="E36" s="110">
        <f>E34-E35-(E37+E39)/2*10</f>
        <v>1799.5</v>
      </c>
      <c r="F36" s="8" t="s">
        <v>18</v>
      </c>
    </row>
    <row r="37" spans="2:7" hidden="1" x14ac:dyDescent="0.25">
      <c r="B37" s="1"/>
      <c r="C37" s="118" t="s">
        <v>22</v>
      </c>
      <c r="D37" s="7" t="s">
        <v>23</v>
      </c>
      <c r="E37" s="111">
        <f>((E35/E34)*10-E38)</f>
        <v>0</v>
      </c>
      <c r="F37" s="8" t="s">
        <v>24</v>
      </c>
    </row>
    <row r="38" spans="2:7" ht="30" hidden="1" x14ac:dyDescent="0.25">
      <c r="B38" s="1"/>
      <c r="C38" s="118"/>
      <c r="D38" s="10" t="s">
        <v>78</v>
      </c>
      <c r="E38" s="107">
        <v>0</v>
      </c>
      <c r="F38" s="8" t="s">
        <v>25</v>
      </c>
    </row>
    <row r="39" spans="2:7" hidden="1" x14ac:dyDescent="0.25">
      <c r="B39" s="1"/>
      <c r="C39" s="117" t="s">
        <v>27</v>
      </c>
      <c r="D39" s="103" t="s">
        <v>23</v>
      </c>
      <c r="E39" s="107">
        <f>'[2]Data Lingkungan (DL)'!AR64</f>
        <v>0.1</v>
      </c>
      <c r="F39" s="105" t="s">
        <v>24</v>
      </c>
    </row>
    <row r="40" spans="2:7" ht="30" hidden="1" x14ac:dyDescent="0.25">
      <c r="B40" s="1"/>
      <c r="C40" s="118" t="s">
        <v>28</v>
      </c>
      <c r="D40" s="7"/>
      <c r="E40" s="109">
        <f>(E36/E34)</f>
        <v>0.99972222222222218</v>
      </c>
      <c r="F40" s="8" t="s">
        <v>29</v>
      </c>
    </row>
    <row r="41" spans="2:7" x14ac:dyDescent="0.25">
      <c r="B41" s="1"/>
      <c r="C41" s="118" t="s">
        <v>77</v>
      </c>
      <c r="D41" s="99" t="s">
        <v>30</v>
      </c>
      <c r="E41" s="100"/>
      <c r="F41" s="101"/>
    </row>
    <row r="42" spans="2:7" x14ac:dyDescent="0.25">
      <c r="B42" s="1"/>
      <c r="C42" s="118"/>
      <c r="D42" s="117" t="s">
        <v>2</v>
      </c>
      <c r="E42" s="104" t="str">
        <f>'[2]Data Lingkungan (DL)'!AO64</f>
        <v>off</v>
      </c>
      <c r="F42" s="105"/>
    </row>
    <row r="43" spans="2:7" x14ac:dyDescent="0.25">
      <c r="B43" s="1"/>
      <c r="C43" s="118"/>
      <c r="D43" s="125" t="s">
        <v>82</v>
      </c>
      <c r="E43" s="112"/>
      <c r="F43" s="126" t="s">
        <v>83</v>
      </c>
    </row>
    <row r="44" spans="2:7" x14ac:dyDescent="0.25">
      <c r="B44" s="1"/>
      <c r="C44" s="118"/>
      <c r="D44" s="99" t="s">
        <v>32</v>
      </c>
      <c r="E44" s="100" t="s">
        <v>0</v>
      </c>
      <c r="F44" s="101"/>
    </row>
    <row r="45" spans="2:7" x14ac:dyDescent="0.25">
      <c r="B45" s="1"/>
      <c r="C45" s="119"/>
      <c r="D45" s="108" t="s">
        <v>65</v>
      </c>
      <c r="E45" s="100">
        <v>8.8000000000000005E-3</v>
      </c>
      <c r="F45" s="101" t="s">
        <v>33</v>
      </c>
    </row>
    <row r="46" spans="2:7" ht="30" x14ac:dyDescent="0.25">
      <c r="B46" s="1"/>
      <c r="C46" s="119"/>
      <c r="D46" s="10" t="s">
        <v>66</v>
      </c>
      <c r="E46" s="112">
        <v>1.5</v>
      </c>
      <c r="F46" s="8" t="s">
        <v>35</v>
      </c>
      <c r="G46" s="106"/>
    </row>
    <row r="47" spans="2:7" ht="30" x14ac:dyDescent="0.25">
      <c r="B47" s="1"/>
      <c r="C47" s="119"/>
      <c r="D47" s="10" t="s">
        <v>72</v>
      </c>
      <c r="E47" s="113">
        <f>E46*E45</f>
        <v>1.32E-2</v>
      </c>
      <c r="F47" s="8"/>
    </row>
    <row r="48" spans="2:7" ht="30.75" thickBot="1" x14ac:dyDescent="0.3">
      <c r="B48" s="2"/>
      <c r="C48" s="120"/>
      <c r="D48" s="12" t="s">
        <v>75</v>
      </c>
      <c r="E48" s="123">
        <v>0</v>
      </c>
      <c r="F48" s="15" t="s">
        <v>36</v>
      </c>
    </row>
    <row r="49" spans="2:12" x14ac:dyDescent="0.25">
      <c r="C49" s="3"/>
    </row>
    <row r="50" spans="2:12" ht="15.75" thickBot="1" x14ac:dyDescent="0.3">
      <c r="C50" s="3"/>
    </row>
    <row r="51" spans="2:12" x14ac:dyDescent="0.25">
      <c r="B51" s="202" t="s">
        <v>4</v>
      </c>
      <c r="C51" s="203"/>
      <c r="D51" s="203"/>
      <c r="E51" s="203"/>
      <c r="F51" s="204"/>
      <c r="H51" s="202" t="s">
        <v>4</v>
      </c>
      <c r="I51" s="203"/>
      <c r="J51" s="203"/>
      <c r="K51" s="203"/>
      <c r="L51" s="204"/>
    </row>
    <row r="52" spans="2:12" ht="15.75" thickBot="1" x14ac:dyDescent="0.3">
      <c r="B52" s="214" t="s">
        <v>6</v>
      </c>
      <c r="C52" s="215"/>
      <c r="D52" s="215"/>
      <c r="E52" s="215"/>
      <c r="F52" s="216"/>
      <c r="H52" s="205" t="s">
        <v>6</v>
      </c>
      <c r="I52" s="206"/>
      <c r="J52" s="206"/>
      <c r="K52" s="206"/>
      <c r="L52" s="207"/>
    </row>
    <row r="53" spans="2:12" x14ac:dyDescent="0.25">
      <c r="B53" s="208" t="s">
        <v>80</v>
      </c>
      <c r="C53" s="209"/>
      <c r="D53" s="209"/>
      <c r="E53" s="209"/>
      <c r="F53" s="210"/>
      <c r="H53" s="208" t="s">
        <v>80</v>
      </c>
      <c r="I53" s="209"/>
      <c r="J53" s="209"/>
      <c r="K53" s="209"/>
      <c r="L53" s="210"/>
    </row>
    <row r="54" spans="2:12" ht="15.75" thickBot="1" x14ac:dyDescent="0.3">
      <c r="B54" s="136" t="s">
        <v>3</v>
      </c>
      <c r="C54" s="115" t="s">
        <v>7</v>
      </c>
      <c r="D54" s="5" t="s">
        <v>8</v>
      </c>
      <c r="E54" s="5" t="s">
        <v>9</v>
      </c>
      <c r="F54" s="6" t="s">
        <v>10</v>
      </c>
      <c r="H54" s="136" t="s">
        <v>3</v>
      </c>
      <c r="I54" s="115" t="s">
        <v>7</v>
      </c>
      <c r="J54" s="5" t="s">
        <v>8</v>
      </c>
      <c r="K54" s="5" t="s">
        <v>9</v>
      </c>
      <c r="L54" s="6" t="s">
        <v>10</v>
      </c>
    </row>
    <row r="55" spans="2:12" x14ac:dyDescent="0.25">
      <c r="B55" s="211" t="s">
        <v>79</v>
      </c>
      <c r="C55" s="212"/>
      <c r="D55" s="212"/>
      <c r="E55" s="212"/>
      <c r="F55" s="213"/>
      <c r="H55" s="211" t="s">
        <v>79</v>
      </c>
      <c r="I55" s="212"/>
      <c r="J55" s="212"/>
      <c r="K55" s="212"/>
      <c r="L55" s="213"/>
    </row>
    <row r="56" spans="2:12" x14ac:dyDescent="0.25">
      <c r="B56" s="98"/>
      <c r="C56" s="116" t="s">
        <v>11</v>
      </c>
      <c r="D56" s="99"/>
      <c r="E56" s="100" t="s">
        <v>37</v>
      </c>
      <c r="F56" s="101"/>
      <c r="H56" s="98"/>
      <c r="I56" s="116" t="s">
        <v>11</v>
      </c>
      <c r="J56" s="99"/>
      <c r="K56" s="100" t="s">
        <v>87</v>
      </c>
      <c r="L56" s="101"/>
    </row>
    <row r="57" spans="2:12" x14ac:dyDescent="0.25">
      <c r="B57" s="98"/>
      <c r="C57" s="116" t="s">
        <v>13</v>
      </c>
      <c r="D57" s="99"/>
      <c r="E57" s="100" t="s">
        <v>40</v>
      </c>
      <c r="F57" s="101"/>
      <c r="H57" s="98"/>
      <c r="I57" s="116" t="s">
        <v>13</v>
      </c>
      <c r="J57" s="99"/>
      <c r="K57" s="100" t="s">
        <v>88</v>
      </c>
      <c r="L57" s="101"/>
    </row>
    <row r="58" spans="2:12" hidden="1" x14ac:dyDescent="0.25">
      <c r="B58" s="98"/>
      <c r="C58" s="116" t="s">
        <v>15</v>
      </c>
      <c r="D58" s="99"/>
      <c r="E58" s="102"/>
      <c r="F58" s="101" t="s">
        <v>16</v>
      </c>
      <c r="H58" s="98"/>
      <c r="I58" s="116" t="s">
        <v>15</v>
      </c>
      <c r="J58" s="99"/>
      <c r="K58" s="102"/>
      <c r="L58" s="101" t="s">
        <v>16</v>
      </c>
    </row>
    <row r="59" spans="2:12" hidden="1" x14ac:dyDescent="0.25">
      <c r="B59" s="98"/>
      <c r="C59" s="116" t="s">
        <v>62</v>
      </c>
      <c r="D59" s="99"/>
      <c r="E59" s="100">
        <f>5*12*30</f>
        <v>1800</v>
      </c>
      <c r="F59" s="101" t="s">
        <v>18</v>
      </c>
      <c r="H59" s="98"/>
      <c r="I59" s="116" t="s">
        <v>62</v>
      </c>
      <c r="J59" s="99"/>
      <c r="K59" s="100">
        <f>5*12*30</f>
        <v>1800</v>
      </c>
      <c r="L59" s="101" t="s">
        <v>18</v>
      </c>
    </row>
    <row r="60" spans="2:12" hidden="1" x14ac:dyDescent="0.25">
      <c r="B60" s="1"/>
      <c r="C60" s="118" t="s">
        <v>20</v>
      </c>
      <c r="D60" s="7"/>
      <c r="E60" s="104">
        <v>0</v>
      </c>
      <c r="F60" s="8" t="s">
        <v>18</v>
      </c>
      <c r="H60" s="1"/>
      <c r="I60" s="118" t="s">
        <v>20</v>
      </c>
      <c r="J60" s="7"/>
      <c r="K60" s="104">
        <v>0</v>
      </c>
      <c r="L60" s="8" t="s">
        <v>18</v>
      </c>
    </row>
    <row r="61" spans="2:12" hidden="1" x14ac:dyDescent="0.25">
      <c r="B61" s="1"/>
      <c r="C61" s="118" t="s">
        <v>21</v>
      </c>
      <c r="D61" s="7"/>
      <c r="E61" s="110">
        <f>E59-E60-(E62+E64)/2*10</f>
        <v>1799.5</v>
      </c>
      <c r="F61" s="8" t="s">
        <v>18</v>
      </c>
      <c r="H61" s="1"/>
      <c r="I61" s="118" t="s">
        <v>21</v>
      </c>
      <c r="J61" s="7"/>
      <c r="K61" s="110">
        <f>K59-K60-(K62+K64)/2*10</f>
        <v>1799.5</v>
      </c>
      <c r="L61" s="8" t="s">
        <v>18</v>
      </c>
    </row>
    <row r="62" spans="2:12" hidden="1" x14ac:dyDescent="0.25">
      <c r="B62" s="1"/>
      <c r="C62" s="118" t="s">
        <v>22</v>
      </c>
      <c r="D62" s="7" t="s">
        <v>23</v>
      </c>
      <c r="E62" s="111">
        <f>((E60/E59)*10-E63)</f>
        <v>0</v>
      </c>
      <c r="F62" s="8" t="s">
        <v>24</v>
      </c>
      <c r="H62" s="1"/>
      <c r="I62" s="118" t="s">
        <v>22</v>
      </c>
      <c r="J62" s="7" t="s">
        <v>23</v>
      </c>
      <c r="K62" s="111">
        <f>((K60/K59)*10-K63)</f>
        <v>0</v>
      </c>
      <c r="L62" s="8" t="s">
        <v>24</v>
      </c>
    </row>
    <row r="63" spans="2:12" ht="30" hidden="1" x14ac:dyDescent="0.25">
      <c r="B63" s="1"/>
      <c r="C63" s="118"/>
      <c r="D63" s="10" t="s">
        <v>78</v>
      </c>
      <c r="E63" s="107">
        <v>0</v>
      </c>
      <c r="F63" s="8" t="s">
        <v>25</v>
      </c>
      <c r="H63" s="1"/>
      <c r="I63" s="118"/>
      <c r="J63" s="10" t="s">
        <v>78</v>
      </c>
      <c r="K63" s="107">
        <v>0</v>
      </c>
      <c r="L63" s="8" t="s">
        <v>25</v>
      </c>
    </row>
    <row r="64" spans="2:12" hidden="1" x14ac:dyDescent="0.25">
      <c r="B64" s="1"/>
      <c r="C64" s="117" t="s">
        <v>27</v>
      </c>
      <c r="D64" s="103" t="s">
        <v>23</v>
      </c>
      <c r="E64" s="107">
        <f>'[2]Data Lingkungan (DL)'!AR63</f>
        <v>0.1</v>
      </c>
      <c r="F64" s="105" t="s">
        <v>24</v>
      </c>
      <c r="H64" s="1"/>
      <c r="I64" s="117" t="s">
        <v>27</v>
      </c>
      <c r="J64" s="103" t="s">
        <v>23</v>
      </c>
      <c r="K64" s="107">
        <f>'[2]Data Lingkungan (DL)'!AR65</f>
        <v>0.1</v>
      </c>
      <c r="L64" s="105" t="s">
        <v>24</v>
      </c>
    </row>
    <row r="65" spans="1:24" ht="30" hidden="1" x14ac:dyDescent="0.25">
      <c r="B65" s="1"/>
      <c r="C65" s="118" t="s">
        <v>28</v>
      </c>
      <c r="D65" s="7"/>
      <c r="E65" s="109">
        <f>(E61/E59)</f>
        <v>0.99972222222222218</v>
      </c>
      <c r="F65" s="8" t="s">
        <v>29</v>
      </c>
      <c r="H65" s="1"/>
      <c r="I65" s="118" t="s">
        <v>28</v>
      </c>
      <c r="J65" s="7"/>
      <c r="K65" s="109">
        <f>(K61/K59)</f>
        <v>0.99972222222222218</v>
      </c>
      <c r="L65" s="8" t="s">
        <v>29</v>
      </c>
    </row>
    <row r="66" spans="1:24" x14ac:dyDescent="0.25">
      <c r="B66" s="1"/>
      <c r="C66" s="118" t="s">
        <v>77</v>
      </c>
      <c r="D66" s="99" t="s">
        <v>30</v>
      </c>
      <c r="E66" s="100"/>
      <c r="F66" s="101"/>
      <c r="H66" s="1"/>
      <c r="I66" s="118" t="s">
        <v>77</v>
      </c>
      <c r="J66" s="99" t="s">
        <v>30</v>
      </c>
      <c r="K66" s="100"/>
      <c r="L66" s="101"/>
    </row>
    <row r="67" spans="1:24" x14ac:dyDescent="0.25">
      <c r="B67" s="1"/>
      <c r="C67" s="118"/>
      <c r="D67" s="117" t="s">
        <v>2</v>
      </c>
      <c r="E67" s="104" t="str">
        <f>'[2]Data Lingkungan (DL)'!AO63</f>
        <v>off</v>
      </c>
      <c r="F67" s="105"/>
      <c r="H67" s="1"/>
      <c r="I67" s="118"/>
      <c r="J67" s="117" t="s">
        <v>2</v>
      </c>
      <c r="K67" s="104" t="str">
        <f>'[2]Data Lingkungan (DL)'!AO65</f>
        <v>off</v>
      </c>
      <c r="L67" s="105"/>
    </row>
    <row r="68" spans="1:24" x14ac:dyDescent="0.25">
      <c r="B68" s="1"/>
      <c r="C68" s="118"/>
      <c r="D68" s="125" t="s">
        <v>82</v>
      </c>
      <c r="E68" s="112"/>
      <c r="F68" s="126" t="s">
        <v>83</v>
      </c>
      <c r="H68" s="1"/>
      <c r="I68" s="118"/>
      <c r="J68" s="125" t="s">
        <v>82</v>
      </c>
      <c r="K68" s="112"/>
      <c r="L68" s="126" t="s">
        <v>83</v>
      </c>
    </row>
    <row r="69" spans="1:24" x14ac:dyDescent="0.25">
      <c r="B69" s="1"/>
      <c r="C69" s="118"/>
      <c r="D69" s="99" t="s">
        <v>32</v>
      </c>
      <c r="E69" s="100" t="s">
        <v>0</v>
      </c>
      <c r="F69" s="101"/>
      <c r="H69" s="1"/>
      <c r="I69" s="118"/>
      <c r="J69" s="99" t="s">
        <v>32</v>
      </c>
      <c r="K69" s="100" t="s">
        <v>0</v>
      </c>
      <c r="L69" s="101"/>
    </row>
    <row r="70" spans="1:24" x14ac:dyDescent="0.25">
      <c r="A70" s="106"/>
      <c r="B70" s="1"/>
      <c r="C70" s="119"/>
      <c r="D70" s="108" t="s">
        <v>65</v>
      </c>
      <c r="E70" s="100">
        <v>2.9000000000000001E-2</v>
      </c>
      <c r="F70" s="101" t="s">
        <v>33</v>
      </c>
      <c r="H70" s="1"/>
      <c r="I70" s="119"/>
      <c r="J70" s="108" t="s">
        <v>65</v>
      </c>
      <c r="K70" s="100">
        <v>4.4000000000000003E-3</v>
      </c>
      <c r="L70" s="101" t="s">
        <v>33</v>
      </c>
    </row>
    <row r="71" spans="1:24" s="106" customFormat="1" ht="30" x14ac:dyDescent="0.25">
      <c r="A71" s="3"/>
      <c r="B71" s="1"/>
      <c r="C71" s="119"/>
      <c r="D71" s="10" t="s">
        <v>66</v>
      </c>
      <c r="E71" s="112">
        <v>14.5</v>
      </c>
      <c r="F71" s="8" t="s">
        <v>35</v>
      </c>
      <c r="H71" s="1"/>
      <c r="I71" s="119"/>
      <c r="J71" s="10" t="s">
        <v>66</v>
      </c>
      <c r="K71" s="112">
        <v>24</v>
      </c>
      <c r="L71" s="8" t="s">
        <v>35</v>
      </c>
    </row>
    <row r="72" spans="1:24" ht="30" x14ac:dyDescent="0.25">
      <c r="B72" s="1"/>
      <c r="C72" s="119"/>
      <c r="D72" s="10" t="s">
        <v>72</v>
      </c>
      <c r="E72" s="113">
        <f>E71*E70</f>
        <v>0.42050000000000004</v>
      </c>
      <c r="F72" s="8"/>
      <c r="H72" s="1"/>
      <c r="I72" s="119"/>
      <c r="J72" s="10" t="s">
        <v>72</v>
      </c>
      <c r="K72" s="113">
        <f>K71*K70</f>
        <v>0.1056</v>
      </c>
      <c r="L72" s="8"/>
    </row>
    <row r="73" spans="1:24" ht="30.75" thickBot="1" x14ac:dyDescent="0.3">
      <c r="B73" s="2"/>
      <c r="C73" s="120"/>
      <c r="D73" s="12" t="s">
        <v>75</v>
      </c>
      <c r="E73" s="123">
        <v>0</v>
      </c>
      <c r="F73" s="15" t="s">
        <v>36</v>
      </c>
      <c r="H73" s="1"/>
      <c r="I73" s="119"/>
      <c r="J73" s="10" t="s">
        <v>75</v>
      </c>
      <c r="K73" s="112">
        <v>0</v>
      </c>
      <c r="L73" s="8" t="s">
        <v>36</v>
      </c>
    </row>
    <row r="74" spans="1:24" x14ac:dyDescent="0.25">
      <c r="B74" s="16"/>
      <c r="C74" s="121"/>
      <c r="D74" s="97"/>
      <c r="E74" s="96"/>
      <c r="F74" s="96"/>
      <c r="H74" s="16"/>
      <c r="I74" s="96"/>
      <c r="J74" s="97"/>
      <c r="K74" s="96"/>
      <c r="L74" s="96"/>
      <c r="N74" s="16"/>
      <c r="O74" s="96"/>
      <c r="P74" s="97"/>
      <c r="Q74" s="96"/>
      <c r="R74" s="96"/>
      <c r="T74" s="16"/>
      <c r="U74" s="96"/>
      <c r="V74" s="97"/>
      <c r="W74" s="96"/>
      <c r="X74" s="96"/>
    </row>
    <row r="75" spans="1:24" ht="15.75" thickBot="1" x14ac:dyDescent="0.3"/>
    <row r="76" spans="1:24" x14ac:dyDescent="0.25">
      <c r="B76" s="202" t="s">
        <v>4</v>
      </c>
      <c r="C76" s="203"/>
      <c r="D76" s="203"/>
      <c r="E76" s="203"/>
      <c r="F76" s="204"/>
      <c r="H76" s="202" t="s">
        <v>4</v>
      </c>
      <c r="I76" s="203"/>
      <c r="J76" s="203"/>
      <c r="K76" s="203"/>
      <c r="L76" s="204"/>
    </row>
    <row r="77" spans="1:24" ht="15.75" thickBot="1" x14ac:dyDescent="0.3">
      <c r="B77" s="205" t="s">
        <v>6</v>
      </c>
      <c r="C77" s="217"/>
      <c r="D77" s="217"/>
      <c r="E77" s="217"/>
      <c r="F77" s="207"/>
      <c r="H77" s="205" t="s">
        <v>6</v>
      </c>
      <c r="I77" s="217"/>
      <c r="J77" s="217"/>
      <c r="K77" s="217"/>
      <c r="L77" s="207"/>
    </row>
    <row r="78" spans="1:24" x14ac:dyDescent="0.25">
      <c r="B78" s="208" t="s">
        <v>80</v>
      </c>
      <c r="C78" s="209"/>
      <c r="D78" s="209"/>
      <c r="E78" s="209"/>
      <c r="F78" s="210"/>
      <c r="H78" s="208" t="s">
        <v>80</v>
      </c>
      <c r="I78" s="209"/>
      <c r="J78" s="209"/>
      <c r="K78" s="209"/>
      <c r="L78" s="210"/>
    </row>
    <row r="79" spans="1:24" ht="15.75" thickBot="1" x14ac:dyDescent="0.3">
      <c r="B79" s="136" t="s">
        <v>3</v>
      </c>
      <c r="C79" s="5" t="s">
        <v>7</v>
      </c>
      <c r="D79" s="5" t="s">
        <v>8</v>
      </c>
      <c r="E79" s="5" t="s">
        <v>9</v>
      </c>
      <c r="F79" s="6" t="s">
        <v>10</v>
      </c>
      <c r="H79" s="136" t="s">
        <v>3</v>
      </c>
      <c r="I79" s="5" t="s">
        <v>7</v>
      </c>
      <c r="J79" s="5" t="s">
        <v>8</v>
      </c>
      <c r="K79" s="5" t="s">
        <v>9</v>
      </c>
      <c r="L79" s="6" t="s">
        <v>10</v>
      </c>
    </row>
    <row r="80" spans="1:24" x14ac:dyDescent="0.25">
      <c r="B80" s="211" t="s">
        <v>79</v>
      </c>
      <c r="C80" s="212"/>
      <c r="D80" s="212"/>
      <c r="E80" s="212"/>
      <c r="F80" s="213"/>
      <c r="H80" s="211" t="s">
        <v>79</v>
      </c>
      <c r="I80" s="212"/>
      <c r="J80" s="212"/>
      <c r="K80" s="212"/>
      <c r="L80" s="213"/>
    </row>
    <row r="81" spans="1:12" x14ac:dyDescent="0.25">
      <c r="B81" s="98"/>
      <c r="C81" s="116" t="s">
        <v>11</v>
      </c>
      <c r="D81" s="99"/>
      <c r="E81" s="100" t="s">
        <v>101</v>
      </c>
      <c r="F81" s="101"/>
      <c r="H81" s="98"/>
      <c r="I81" s="116" t="s">
        <v>11</v>
      </c>
      <c r="J81" s="99"/>
      <c r="K81" s="100" t="s">
        <v>143</v>
      </c>
      <c r="L81" s="101"/>
    </row>
    <row r="82" spans="1:12" x14ac:dyDescent="0.25">
      <c r="B82" s="98"/>
      <c r="C82" s="116" t="s">
        <v>13</v>
      </c>
      <c r="D82" s="99"/>
      <c r="E82" s="100" t="s">
        <v>89</v>
      </c>
      <c r="F82" s="101"/>
      <c r="H82" s="98"/>
      <c r="I82" s="116" t="s">
        <v>13</v>
      </c>
      <c r="J82" s="99"/>
      <c r="K82" s="100" t="s">
        <v>144</v>
      </c>
      <c r="L82" s="101"/>
    </row>
    <row r="83" spans="1:12" hidden="1" x14ac:dyDescent="0.25">
      <c r="B83" s="98"/>
      <c r="C83" s="116" t="s">
        <v>15</v>
      </c>
      <c r="D83" s="99"/>
      <c r="E83" s="102"/>
      <c r="F83" s="101" t="s">
        <v>16</v>
      </c>
      <c r="H83" s="98"/>
      <c r="I83" s="116" t="s">
        <v>15</v>
      </c>
      <c r="J83" s="99"/>
      <c r="K83" s="102"/>
      <c r="L83" s="101" t="s">
        <v>16</v>
      </c>
    </row>
    <row r="84" spans="1:12" hidden="1" x14ac:dyDescent="0.25">
      <c r="B84" s="98"/>
      <c r="C84" s="116" t="s">
        <v>62</v>
      </c>
      <c r="D84" s="99"/>
      <c r="E84" s="100">
        <f>5*12*30</f>
        <v>1800</v>
      </c>
      <c r="F84" s="101" t="s">
        <v>18</v>
      </c>
      <c r="H84" s="98"/>
      <c r="I84" s="116" t="s">
        <v>62</v>
      </c>
      <c r="J84" s="99"/>
      <c r="K84" s="100">
        <f>5*12*30</f>
        <v>1800</v>
      </c>
      <c r="L84" s="101" t="s">
        <v>18</v>
      </c>
    </row>
    <row r="85" spans="1:12" hidden="1" x14ac:dyDescent="0.25">
      <c r="B85" s="1"/>
      <c r="C85" s="118" t="s">
        <v>20</v>
      </c>
      <c r="D85" s="7"/>
      <c r="E85" s="104">
        <v>0</v>
      </c>
      <c r="F85" s="8" t="s">
        <v>18</v>
      </c>
      <c r="H85" s="1"/>
      <c r="I85" s="118" t="s">
        <v>20</v>
      </c>
      <c r="J85" s="7"/>
      <c r="K85" s="104">
        <v>0</v>
      </c>
      <c r="L85" s="8" t="s">
        <v>18</v>
      </c>
    </row>
    <row r="86" spans="1:12" hidden="1" x14ac:dyDescent="0.25">
      <c r="B86" s="1"/>
      <c r="C86" s="118" t="s">
        <v>21</v>
      </c>
      <c r="D86" s="7"/>
      <c r="E86" s="110">
        <f>E84-E85-(E87+E89)/2*10</f>
        <v>1800</v>
      </c>
      <c r="F86" s="8" t="s">
        <v>18</v>
      </c>
      <c r="H86" s="1"/>
      <c r="I86" s="118" t="s">
        <v>21</v>
      </c>
      <c r="J86" s="7"/>
      <c r="K86" s="110">
        <f>K84-K85-(K87+K89)/2*10</f>
        <v>1800</v>
      </c>
      <c r="L86" s="8" t="s">
        <v>18</v>
      </c>
    </row>
    <row r="87" spans="1:12" hidden="1" x14ac:dyDescent="0.25">
      <c r="B87" s="1"/>
      <c r="C87" s="118" t="s">
        <v>22</v>
      </c>
      <c r="D87" s="7" t="s">
        <v>23</v>
      </c>
      <c r="E87" s="111">
        <f>((E85/E84)*10-E88)</f>
        <v>0</v>
      </c>
      <c r="F87" s="8" t="s">
        <v>24</v>
      </c>
      <c r="H87" s="1"/>
      <c r="I87" s="118" t="s">
        <v>22</v>
      </c>
      <c r="J87" s="7" t="s">
        <v>23</v>
      </c>
      <c r="K87" s="111">
        <f>((K85/K84)*10-K88)</f>
        <v>0</v>
      </c>
      <c r="L87" s="8" t="s">
        <v>24</v>
      </c>
    </row>
    <row r="88" spans="1:12" ht="30" hidden="1" x14ac:dyDescent="0.25">
      <c r="B88" s="1"/>
      <c r="C88" s="118"/>
      <c r="D88" s="10" t="s">
        <v>78</v>
      </c>
      <c r="E88" s="107">
        <v>0</v>
      </c>
      <c r="F88" s="8" t="s">
        <v>25</v>
      </c>
      <c r="H88" s="1"/>
      <c r="I88" s="118"/>
      <c r="J88" s="10" t="s">
        <v>78</v>
      </c>
      <c r="K88" s="107">
        <v>0</v>
      </c>
      <c r="L88" s="8" t="s">
        <v>25</v>
      </c>
    </row>
    <row r="89" spans="1:12" hidden="1" x14ac:dyDescent="0.25">
      <c r="B89" s="1"/>
      <c r="C89" s="117" t="s">
        <v>27</v>
      </c>
      <c r="D89" s="103" t="s">
        <v>23</v>
      </c>
      <c r="E89" s="107">
        <f>'[1]Data Lingkungan_IC'!BS64</f>
        <v>0</v>
      </c>
      <c r="F89" s="105" t="s">
        <v>24</v>
      </c>
      <c r="H89" s="1"/>
      <c r="I89" s="117" t="s">
        <v>27</v>
      </c>
      <c r="J89" s="103" t="s">
        <v>23</v>
      </c>
      <c r="K89" s="107">
        <f>'[1]Data Lingkungan_IC'!BY64</f>
        <v>0</v>
      </c>
      <c r="L89" s="105" t="s">
        <v>24</v>
      </c>
    </row>
    <row r="90" spans="1:12" ht="30" hidden="1" x14ac:dyDescent="0.25">
      <c r="B90" s="1"/>
      <c r="C90" s="118" t="s">
        <v>28</v>
      </c>
      <c r="D90" s="7"/>
      <c r="E90" s="109">
        <f>(E86/E84)</f>
        <v>1</v>
      </c>
      <c r="F90" s="8" t="s">
        <v>29</v>
      </c>
      <c r="H90" s="1"/>
      <c r="I90" s="118" t="s">
        <v>28</v>
      </c>
      <c r="J90" s="7"/>
      <c r="K90" s="109">
        <f>(K86/K84)</f>
        <v>1</v>
      </c>
      <c r="L90" s="8" t="s">
        <v>29</v>
      </c>
    </row>
    <row r="91" spans="1:12" x14ac:dyDescent="0.25">
      <c r="B91" s="1"/>
      <c r="C91" s="118" t="s">
        <v>77</v>
      </c>
      <c r="D91" s="99" t="s">
        <v>30</v>
      </c>
      <c r="E91" s="100"/>
      <c r="F91" s="101"/>
      <c r="H91" s="1"/>
      <c r="I91" s="118" t="s">
        <v>77</v>
      </c>
      <c r="J91" s="99" t="s">
        <v>30</v>
      </c>
      <c r="K91" s="100"/>
      <c r="L91" s="101"/>
    </row>
    <row r="92" spans="1:12" x14ac:dyDescent="0.25">
      <c r="B92" s="1"/>
      <c r="C92" s="118"/>
      <c r="D92" s="117" t="s">
        <v>2</v>
      </c>
      <c r="E92" s="104" t="str">
        <f>'[2]Data Lingkungan (DL)'!BP63</f>
        <v>off</v>
      </c>
      <c r="F92" s="105"/>
      <c r="H92" s="1"/>
      <c r="I92" s="118"/>
      <c r="J92" s="117" t="s">
        <v>2</v>
      </c>
      <c r="K92" s="104" t="s">
        <v>145</v>
      </c>
      <c r="L92" s="105"/>
    </row>
    <row r="93" spans="1:12" x14ac:dyDescent="0.25">
      <c r="B93" s="1"/>
      <c r="C93" s="118"/>
      <c r="D93" s="125" t="s">
        <v>82</v>
      </c>
      <c r="E93" s="112"/>
      <c r="F93" s="126" t="s">
        <v>83</v>
      </c>
      <c r="H93" s="1"/>
      <c r="I93" s="118"/>
      <c r="J93" s="125" t="s">
        <v>82</v>
      </c>
      <c r="K93" s="112"/>
      <c r="L93" s="126" t="s">
        <v>83</v>
      </c>
    </row>
    <row r="94" spans="1:12" x14ac:dyDescent="0.25">
      <c r="B94" s="1"/>
      <c r="C94" s="118"/>
      <c r="D94" s="99" t="s">
        <v>32</v>
      </c>
      <c r="E94" s="100" t="s">
        <v>0</v>
      </c>
      <c r="F94" s="101"/>
      <c r="H94" s="1"/>
      <c r="I94" s="118"/>
      <c r="J94" s="99" t="s">
        <v>32</v>
      </c>
      <c r="K94" s="100" t="s">
        <v>0</v>
      </c>
      <c r="L94" s="101"/>
    </row>
    <row r="95" spans="1:12" x14ac:dyDescent="0.25">
      <c r="A95" s="106"/>
      <c r="B95" s="1"/>
      <c r="C95" s="119"/>
      <c r="D95" s="108" t="s">
        <v>65</v>
      </c>
      <c r="E95" s="100">
        <v>1.47E-2</v>
      </c>
      <c r="F95" s="101" t="s">
        <v>33</v>
      </c>
      <c r="H95" s="1"/>
      <c r="I95" s="119"/>
      <c r="J95" s="108" t="s">
        <v>65</v>
      </c>
      <c r="K95" s="100">
        <v>0</v>
      </c>
      <c r="L95" s="101" t="s">
        <v>33</v>
      </c>
    </row>
    <row r="96" spans="1:12" s="106" customFormat="1" ht="30" x14ac:dyDescent="0.25">
      <c r="A96" s="3"/>
      <c r="B96" s="1"/>
      <c r="C96" s="119"/>
      <c r="D96" s="10" t="s">
        <v>66</v>
      </c>
      <c r="E96" s="112">
        <v>24</v>
      </c>
      <c r="F96" s="8" t="s">
        <v>35</v>
      </c>
      <c r="H96" s="1"/>
      <c r="I96" s="119"/>
      <c r="J96" s="10" t="s">
        <v>66</v>
      </c>
      <c r="K96" s="112">
        <v>24</v>
      </c>
      <c r="L96" s="8" t="s">
        <v>35</v>
      </c>
    </row>
    <row r="97" spans="2:30" ht="30" x14ac:dyDescent="0.25">
      <c r="B97" s="1"/>
      <c r="C97" s="119"/>
      <c r="D97" s="10" t="s">
        <v>72</v>
      </c>
      <c r="E97" s="113">
        <f>E96*E95</f>
        <v>0.3528</v>
      </c>
      <c r="F97" s="8"/>
      <c r="H97" s="1"/>
      <c r="I97" s="119"/>
      <c r="J97" s="10" t="s">
        <v>72</v>
      </c>
      <c r="K97" s="113">
        <f>K96*K95</f>
        <v>0</v>
      </c>
      <c r="L97" s="8"/>
    </row>
    <row r="98" spans="2:30" ht="30.75" thickBot="1" x14ac:dyDescent="0.3">
      <c r="B98" s="2"/>
      <c r="C98" s="120"/>
      <c r="D98" s="12" t="s">
        <v>75</v>
      </c>
      <c r="E98" s="123">
        <v>0</v>
      </c>
      <c r="F98" s="15" t="s">
        <v>36</v>
      </c>
      <c r="H98" s="2"/>
      <c r="I98" s="120"/>
      <c r="J98" s="12" t="s">
        <v>75</v>
      </c>
      <c r="K98" s="123">
        <v>0</v>
      </c>
      <c r="L98" s="15" t="s">
        <v>36</v>
      </c>
    </row>
    <row r="99" spans="2:30" x14ac:dyDescent="0.25">
      <c r="C99" s="122"/>
      <c r="D99" s="14"/>
      <c r="E99" s="13"/>
      <c r="F99" s="13"/>
    </row>
    <row r="100" spans="2:30" ht="15.75" thickBot="1" x14ac:dyDescent="0.3"/>
    <row r="101" spans="2:30" x14ac:dyDescent="0.25">
      <c r="B101" s="202" t="s">
        <v>4</v>
      </c>
      <c r="C101" s="203"/>
      <c r="D101" s="203"/>
      <c r="E101" s="203"/>
      <c r="F101" s="204"/>
      <c r="H101" s="202" t="s">
        <v>4</v>
      </c>
      <c r="I101" s="203"/>
      <c r="J101" s="203"/>
      <c r="K101" s="203"/>
      <c r="L101" s="204"/>
      <c r="N101" s="202" t="s">
        <v>4</v>
      </c>
      <c r="O101" s="203"/>
      <c r="P101" s="203"/>
      <c r="Q101" s="203"/>
      <c r="R101" s="204"/>
      <c r="T101" s="202" t="s">
        <v>4</v>
      </c>
      <c r="U101" s="203"/>
      <c r="V101" s="203"/>
      <c r="W101" s="203"/>
      <c r="X101" s="204"/>
      <c r="Z101" s="202" t="s">
        <v>4</v>
      </c>
      <c r="AA101" s="203"/>
      <c r="AB101" s="203"/>
      <c r="AC101" s="203"/>
      <c r="AD101" s="204"/>
    </row>
    <row r="102" spans="2:30" ht="15.75" thickBot="1" x14ac:dyDescent="0.3">
      <c r="B102" s="205" t="s">
        <v>6</v>
      </c>
      <c r="C102" s="217"/>
      <c r="D102" s="217"/>
      <c r="E102" s="217"/>
      <c r="F102" s="207"/>
      <c r="H102" s="205" t="s">
        <v>6</v>
      </c>
      <c r="I102" s="217"/>
      <c r="J102" s="217"/>
      <c r="K102" s="217"/>
      <c r="L102" s="207"/>
      <c r="N102" s="205" t="s">
        <v>6</v>
      </c>
      <c r="O102" s="217"/>
      <c r="P102" s="217"/>
      <c r="Q102" s="217"/>
      <c r="R102" s="207"/>
      <c r="T102" s="205" t="s">
        <v>6</v>
      </c>
      <c r="U102" s="217"/>
      <c r="V102" s="217"/>
      <c r="W102" s="217"/>
      <c r="X102" s="207"/>
      <c r="Z102" s="205" t="s">
        <v>6</v>
      </c>
      <c r="AA102" s="206"/>
      <c r="AB102" s="206"/>
      <c r="AC102" s="206"/>
      <c r="AD102" s="207"/>
    </row>
    <row r="103" spans="2:30" x14ac:dyDescent="0.25">
      <c r="B103" s="17" t="s">
        <v>80</v>
      </c>
      <c r="C103" s="18"/>
      <c r="D103" s="18"/>
      <c r="E103" s="18"/>
      <c r="F103" s="19"/>
      <c r="H103" s="208" t="s">
        <v>80</v>
      </c>
      <c r="I103" s="209"/>
      <c r="J103" s="209"/>
      <c r="K103" s="209"/>
      <c r="L103" s="210"/>
      <c r="N103" s="208" t="s">
        <v>80</v>
      </c>
      <c r="O103" s="209"/>
      <c r="P103" s="209"/>
      <c r="Q103" s="209"/>
      <c r="R103" s="210"/>
      <c r="T103" s="208" t="s">
        <v>80</v>
      </c>
      <c r="U103" s="209"/>
      <c r="V103" s="209"/>
      <c r="W103" s="209"/>
      <c r="X103" s="210"/>
      <c r="Z103" s="208" t="s">
        <v>80</v>
      </c>
      <c r="AA103" s="209"/>
      <c r="AB103" s="209"/>
      <c r="AC103" s="209"/>
      <c r="AD103" s="210"/>
    </row>
    <row r="104" spans="2:30" ht="15.75" thickBot="1" x14ac:dyDescent="0.3">
      <c r="B104" s="136" t="s">
        <v>3</v>
      </c>
      <c r="C104" s="5" t="s">
        <v>7</v>
      </c>
      <c r="D104" s="5" t="s">
        <v>8</v>
      </c>
      <c r="E104" s="5" t="s">
        <v>9</v>
      </c>
      <c r="F104" s="6" t="s">
        <v>10</v>
      </c>
      <c r="H104" s="136" t="s">
        <v>3</v>
      </c>
      <c r="I104" s="5" t="s">
        <v>7</v>
      </c>
      <c r="J104" s="5" t="s">
        <v>8</v>
      </c>
      <c r="K104" s="5" t="s">
        <v>9</v>
      </c>
      <c r="L104" s="6" t="s">
        <v>10</v>
      </c>
      <c r="N104" s="136" t="s">
        <v>3</v>
      </c>
      <c r="O104" s="115" t="s">
        <v>7</v>
      </c>
      <c r="P104" s="5" t="s">
        <v>8</v>
      </c>
      <c r="Q104" s="5" t="s">
        <v>9</v>
      </c>
      <c r="R104" s="6" t="s">
        <v>10</v>
      </c>
      <c r="T104" s="136" t="s">
        <v>3</v>
      </c>
      <c r="U104" s="5" t="s">
        <v>7</v>
      </c>
      <c r="V104" s="5" t="s">
        <v>8</v>
      </c>
      <c r="W104" s="5" t="s">
        <v>9</v>
      </c>
      <c r="X104" s="6" t="s">
        <v>10</v>
      </c>
      <c r="Z104" s="136" t="s">
        <v>3</v>
      </c>
      <c r="AA104" s="115" t="s">
        <v>7</v>
      </c>
      <c r="AB104" s="5" t="s">
        <v>8</v>
      </c>
      <c r="AC104" s="5" t="s">
        <v>9</v>
      </c>
      <c r="AD104" s="6" t="s">
        <v>10</v>
      </c>
    </row>
    <row r="105" spans="2:30" x14ac:dyDescent="0.25">
      <c r="B105" s="23" t="s">
        <v>79</v>
      </c>
      <c r="C105" s="24"/>
      <c r="D105" s="24"/>
      <c r="E105" s="24"/>
      <c r="F105" s="25"/>
      <c r="H105" s="211" t="s">
        <v>79</v>
      </c>
      <c r="I105" s="212"/>
      <c r="J105" s="212"/>
      <c r="K105" s="212"/>
      <c r="L105" s="213"/>
      <c r="N105" s="211" t="s">
        <v>79</v>
      </c>
      <c r="O105" s="212"/>
      <c r="P105" s="212"/>
      <c r="Q105" s="212"/>
      <c r="R105" s="213"/>
      <c r="T105" s="211" t="s">
        <v>79</v>
      </c>
      <c r="U105" s="212"/>
      <c r="V105" s="212"/>
      <c r="W105" s="212"/>
      <c r="X105" s="213"/>
      <c r="Z105" s="211" t="s">
        <v>79</v>
      </c>
      <c r="AA105" s="212"/>
      <c r="AB105" s="212"/>
      <c r="AC105" s="212"/>
      <c r="AD105" s="213"/>
    </row>
    <row r="106" spans="2:30" x14ac:dyDescent="0.25">
      <c r="B106" s="98"/>
      <c r="C106" s="116" t="s">
        <v>11</v>
      </c>
      <c r="D106" s="99"/>
      <c r="E106" s="100" t="s">
        <v>90</v>
      </c>
      <c r="F106" s="101"/>
      <c r="H106" s="98"/>
      <c r="I106" s="116" t="s">
        <v>11</v>
      </c>
      <c r="J106" s="99"/>
      <c r="K106" s="100" t="s">
        <v>84</v>
      </c>
      <c r="L106" s="101"/>
      <c r="N106" s="98"/>
      <c r="O106" s="116" t="s">
        <v>11</v>
      </c>
      <c r="P106" s="99"/>
      <c r="Q106" s="100" t="s">
        <v>41</v>
      </c>
      <c r="R106" s="101"/>
      <c r="T106" s="98"/>
      <c r="U106" s="116" t="s">
        <v>11</v>
      </c>
      <c r="V106" s="99"/>
      <c r="W106" s="100" t="s">
        <v>39</v>
      </c>
      <c r="X106" s="101"/>
      <c r="Z106" s="98"/>
      <c r="AA106" s="116" t="s">
        <v>11</v>
      </c>
      <c r="AB106" s="99"/>
      <c r="AC106" s="100" t="s">
        <v>38</v>
      </c>
      <c r="AD106" s="101"/>
    </row>
    <row r="107" spans="2:30" x14ac:dyDescent="0.25">
      <c r="B107" s="98"/>
      <c r="C107" s="116" t="s">
        <v>13</v>
      </c>
      <c r="D107" s="99"/>
      <c r="E107" s="100" t="s">
        <v>91</v>
      </c>
      <c r="F107" s="101"/>
      <c r="H107" s="98"/>
      <c r="I107" s="116" t="s">
        <v>13</v>
      </c>
      <c r="J107" s="99"/>
      <c r="K107" s="100" t="s">
        <v>92</v>
      </c>
      <c r="L107" s="101"/>
      <c r="N107" s="98"/>
      <c r="O107" s="116" t="s">
        <v>13</v>
      </c>
      <c r="P107" s="99"/>
      <c r="Q107" s="100" t="s">
        <v>105</v>
      </c>
      <c r="R107" s="101"/>
      <c r="T107" s="98"/>
      <c r="U107" s="116" t="s">
        <v>13</v>
      </c>
      <c r="V107" s="99"/>
      <c r="W107" s="100" t="s">
        <v>100</v>
      </c>
      <c r="X107" s="101"/>
      <c r="Z107" s="98"/>
      <c r="AA107" s="116" t="s">
        <v>13</v>
      </c>
      <c r="AB107" s="99"/>
      <c r="AC107" s="100" t="s">
        <v>93</v>
      </c>
      <c r="AD107" s="101"/>
    </row>
    <row r="108" spans="2:30" hidden="1" x14ac:dyDescent="0.25">
      <c r="B108" s="98"/>
      <c r="C108" s="116" t="s">
        <v>15</v>
      </c>
      <c r="D108" s="99"/>
      <c r="E108" s="102"/>
      <c r="F108" s="101" t="s">
        <v>16</v>
      </c>
      <c r="H108" s="98"/>
      <c r="I108" s="116" t="s">
        <v>15</v>
      </c>
      <c r="J108" s="99"/>
      <c r="K108" s="102"/>
      <c r="L108" s="101" t="s">
        <v>16</v>
      </c>
      <c r="N108" s="98"/>
      <c r="O108" s="116" t="s">
        <v>15</v>
      </c>
      <c r="P108" s="99"/>
      <c r="Q108" s="102"/>
      <c r="R108" s="101" t="s">
        <v>16</v>
      </c>
      <c r="T108" s="98"/>
      <c r="U108" s="116" t="s">
        <v>15</v>
      </c>
      <c r="V108" s="99"/>
      <c r="W108" s="102"/>
      <c r="X108" s="101" t="s">
        <v>16</v>
      </c>
      <c r="Z108" s="98"/>
      <c r="AA108" s="116" t="s">
        <v>15</v>
      </c>
      <c r="AB108" s="99"/>
      <c r="AC108" s="102"/>
      <c r="AD108" s="101" t="s">
        <v>16</v>
      </c>
    </row>
    <row r="109" spans="2:30" hidden="1" x14ac:dyDescent="0.25">
      <c r="B109" s="98"/>
      <c r="C109" s="116" t="s">
        <v>62</v>
      </c>
      <c r="D109" s="99"/>
      <c r="E109" s="100">
        <f>5*12*30</f>
        <v>1800</v>
      </c>
      <c r="F109" s="101" t="s">
        <v>18</v>
      </c>
      <c r="H109" s="98"/>
      <c r="I109" s="116" t="s">
        <v>62</v>
      </c>
      <c r="J109" s="99"/>
      <c r="K109" s="100">
        <f>5*12*30</f>
        <v>1800</v>
      </c>
      <c r="L109" s="101" t="s">
        <v>18</v>
      </c>
      <c r="N109" s="98"/>
      <c r="O109" s="116" t="s">
        <v>62</v>
      </c>
      <c r="P109" s="99"/>
      <c r="Q109" s="100">
        <f>5*12*30</f>
        <v>1800</v>
      </c>
      <c r="R109" s="101" t="s">
        <v>18</v>
      </c>
      <c r="T109" s="98"/>
      <c r="U109" s="116" t="s">
        <v>62</v>
      </c>
      <c r="V109" s="99"/>
      <c r="W109" s="100">
        <f>5*12*30</f>
        <v>1800</v>
      </c>
      <c r="X109" s="101" t="s">
        <v>18</v>
      </c>
      <c r="Z109" s="98"/>
      <c r="AA109" s="116" t="s">
        <v>62</v>
      </c>
      <c r="AB109" s="99"/>
      <c r="AC109" s="100">
        <f>5*12*30</f>
        <v>1800</v>
      </c>
      <c r="AD109" s="101" t="s">
        <v>18</v>
      </c>
    </row>
    <row r="110" spans="2:30" hidden="1" x14ac:dyDescent="0.25">
      <c r="B110" s="1"/>
      <c r="C110" s="118" t="s">
        <v>20</v>
      </c>
      <c r="D110" s="7"/>
      <c r="E110" s="104">
        <v>0</v>
      </c>
      <c r="F110" s="8" t="s">
        <v>18</v>
      </c>
      <c r="H110" s="1"/>
      <c r="I110" s="118" t="s">
        <v>20</v>
      </c>
      <c r="J110" s="7"/>
      <c r="K110" s="104">
        <v>0</v>
      </c>
      <c r="L110" s="8" t="s">
        <v>18</v>
      </c>
      <c r="N110" s="1"/>
      <c r="O110" s="118" t="s">
        <v>20</v>
      </c>
      <c r="P110" s="7"/>
      <c r="Q110" s="104">
        <v>0</v>
      </c>
      <c r="R110" s="8" t="s">
        <v>18</v>
      </c>
      <c r="T110" s="1"/>
      <c r="U110" s="118" t="s">
        <v>20</v>
      </c>
      <c r="V110" s="7"/>
      <c r="W110" s="104">
        <v>0</v>
      </c>
      <c r="X110" s="8" t="s">
        <v>18</v>
      </c>
      <c r="Z110" s="1"/>
      <c r="AA110" s="118" t="s">
        <v>20</v>
      </c>
      <c r="AB110" s="7"/>
      <c r="AC110" s="104">
        <v>0</v>
      </c>
      <c r="AD110" s="8" t="s">
        <v>18</v>
      </c>
    </row>
    <row r="111" spans="2:30" hidden="1" x14ac:dyDescent="0.25">
      <c r="B111" s="1"/>
      <c r="C111" s="118" t="s">
        <v>21</v>
      </c>
      <c r="D111" s="7"/>
      <c r="E111" s="110">
        <f>E109-E110-(E112+E114)/2*10</f>
        <v>1800</v>
      </c>
      <c r="F111" s="8" t="s">
        <v>18</v>
      </c>
      <c r="H111" s="1"/>
      <c r="I111" s="118" t="s">
        <v>21</v>
      </c>
      <c r="J111" s="7"/>
      <c r="K111" s="110">
        <f>K109-K110-(K112+K114)/2*10</f>
        <v>1800</v>
      </c>
      <c r="L111" s="8" t="s">
        <v>18</v>
      </c>
      <c r="N111" s="1"/>
      <c r="O111" s="118" t="s">
        <v>21</v>
      </c>
      <c r="P111" s="7"/>
      <c r="Q111" s="110">
        <f>Q109-Q110-(Q112+Q114)/2*10</f>
        <v>1799.5</v>
      </c>
      <c r="R111" s="8" t="s">
        <v>18</v>
      </c>
      <c r="T111" s="1"/>
      <c r="U111" s="118" t="s">
        <v>21</v>
      </c>
      <c r="V111" s="7"/>
      <c r="W111" s="110">
        <f>W109-W110-(W112+W114)/2*10</f>
        <v>1799.5</v>
      </c>
      <c r="X111" s="8" t="s">
        <v>18</v>
      </c>
      <c r="Z111" s="1"/>
      <c r="AA111" s="118" t="s">
        <v>21</v>
      </c>
      <c r="AB111" s="7"/>
      <c r="AC111" s="110">
        <f>AC109-AC110-(AC112+AC114)/2*10</f>
        <v>1800</v>
      </c>
      <c r="AD111" s="8" t="s">
        <v>18</v>
      </c>
    </row>
    <row r="112" spans="2:30" hidden="1" x14ac:dyDescent="0.25">
      <c r="B112" s="1"/>
      <c r="C112" s="118" t="s">
        <v>22</v>
      </c>
      <c r="D112" s="7" t="s">
        <v>23</v>
      </c>
      <c r="E112" s="111">
        <f>((E110/E109)*10-E113)</f>
        <v>0</v>
      </c>
      <c r="F112" s="8" t="s">
        <v>24</v>
      </c>
      <c r="H112" s="1"/>
      <c r="I112" s="118" t="s">
        <v>22</v>
      </c>
      <c r="J112" s="7" t="s">
        <v>23</v>
      </c>
      <c r="K112" s="111">
        <f>((K110/K109)*10-K113)</f>
        <v>0</v>
      </c>
      <c r="L112" s="8" t="s">
        <v>24</v>
      </c>
      <c r="N112" s="1"/>
      <c r="O112" s="118" t="s">
        <v>22</v>
      </c>
      <c r="P112" s="7" t="s">
        <v>23</v>
      </c>
      <c r="Q112" s="111">
        <f>((Q110/Q109)*10-Q113)</f>
        <v>0</v>
      </c>
      <c r="R112" s="8" t="s">
        <v>24</v>
      </c>
      <c r="T112" s="1"/>
      <c r="U112" s="118" t="s">
        <v>22</v>
      </c>
      <c r="V112" s="7" t="s">
        <v>23</v>
      </c>
      <c r="W112" s="111">
        <f>((W110/W109)*10-W113)</f>
        <v>0</v>
      </c>
      <c r="X112" s="8" t="s">
        <v>24</v>
      </c>
      <c r="Z112" s="1"/>
      <c r="AA112" s="118" t="s">
        <v>22</v>
      </c>
      <c r="AB112" s="7" t="s">
        <v>23</v>
      </c>
      <c r="AC112" s="111">
        <f>((AC110/AC109)*10-AC113)</f>
        <v>0</v>
      </c>
      <c r="AD112" s="8" t="s">
        <v>24</v>
      </c>
    </row>
    <row r="113" spans="1:30" ht="30" hidden="1" x14ac:dyDescent="0.25">
      <c r="B113" s="1"/>
      <c r="C113" s="118"/>
      <c r="D113" s="10" t="s">
        <v>78</v>
      </c>
      <c r="E113" s="107">
        <v>0</v>
      </c>
      <c r="F113" s="8" t="s">
        <v>25</v>
      </c>
      <c r="H113" s="1"/>
      <c r="I113" s="118"/>
      <c r="J113" s="10" t="s">
        <v>78</v>
      </c>
      <c r="K113" s="107">
        <v>0</v>
      </c>
      <c r="L113" s="8" t="s">
        <v>25</v>
      </c>
      <c r="N113" s="1"/>
      <c r="O113" s="118"/>
      <c r="P113" s="10" t="s">
        <v>78</v>
      </c>
      <c r="Q113" s="107">
        <v>0</v>
      </c>
      <c r="R113" s="8" t="s">
        <v>25</v>
      </c>
      <c r="T113" s="1"/>
      <c r="U113" s="118"/>
      <c r="V113" s="10" t="s">
        <v>78</v>
      </c>
      <c r="W113" s="107">
        <v>0</v>
      </c>
      <c r="X113" s="8" t="s">
        <v>25</v>
      </c>
      <c r="Z113" s="1"/>
      <c r="AA113" s="118"/>
      <c r="AB113" s="10" t="s">
        <v>78</v>
      </c>
      <c r="AC113" s="107">
        <v>0</v>
      </c>
      <c r="AD113" s="8" t="s">
        <v>25</v>
      </c>
    </row>
    <row r="114" spans="1:30" hidden="1" x14ac:dyDescent="0.25">
      <c r="B114" s="1"/>
      <c r="C114" s="117" t="s">
        <v>27</v>
      </c>
      <c r="D114" s="103" t="s">
        <v>23</v>
      </c>
      <c r="E114" s="107">
        <v>0</v>
      </c>
      <c r="F114" s="105" t="s">
        <v>24</v>
      </c>
      <c r="H114" s="1"/>
      <c r="I114" s="117" t="s">
        <v>27</v>
      </c>
      <c r="J114" s="103" t="s">
        <v>23</v>
      </c>
      <c r="K114" s="107">
        <v>0</v>
      </c>
      <c r="L114" s="105" t="s">
        <v>24</v>
      </c>
      <c r="N114" s="1"/>
      <c r="O114" s="117" t="s">
        <v>27</v>
      </c>
      <c r="P114" s="103" t="s">
        <v>23</v>
      </c>
      <c r="Q114" s="107">
        <f>'[2]Data Lingkungan (DL)'!DC64</f>
        <v>0.1</v>
      </c>
      <c r="R114" s="105" t="s">
        <v>24</v>
      </c>
      <c r="T114" s="1"/>
      <c r="U114" s="117" t="s">
        <v>27</v>
      </c>
      <c r="V114" s="103" t="s">
        <v>23</v>
      </c>
      <c r="W114" s="107">
        <f>'[1]Data Lingkungan_IC'!DL63</f>
        <v>0.1</v>
      </c>
      <c r="X114" s="105" t="s">
        <v>24</v>
      </c>
      <c r="Z114" s="1"/>
      <c r="AA114" s="117" t="s">
        <v>27</v>
      </c>
      <c r="AB114" s="103" t="s">
        <v>23</v>
      </c>
      <c r="AC114" s="107">
        <v>0</v>
      </c>
      <c r="AD114" s="105" t="s">
        <v>24</v>
      </c>
    </row>
    <row r="115" spans="1:30" ht="30" hidden="1" x14ac:dyDescent="0.25">
      <c r="B115" s="1"/>
      <c r="C115" s="118" t="s">
        <v>28</v>
      </c>
      <c r="D115" s="7"/>
      <c r="E115" s="109">
        <f>(E111/E109)</f>
        <v>1</v>
      </c>
      <c r="F115" s="8" t="s">
        <v>29</v>
      </c>
      <c r="H115" s="1"/>
      <c r="I115" s="118" t="s">
        <v>28</v>
      </c>
      <c r="J115" s="7"/>
      <c r="K115" s="109">
        <f>(K111/K109)</f>
        <v>1</v>
      </c>
      <c r="L115" s="8" t="s">
        <v>29</v>
      </c>
      <c r="N115" s="1"/>
      <c r="O115" s="118" t="s">
        <v>28</v>
      </c>
      <c r="P115" s="7"/>
      <c r="Q115" s="109">
        <f>(Q111/Q109)</f>
        <v>0.99972222222222218</v>
      </c>
      <c r="R115" s="8" t="s">
        <v>29</v>
      </c>
      <c r="T115" s="1"/>
      <c r="U115" s="118" t="s">
        <v>28</v>
      </c>
      <c r="V115" s="7"/>
      <c r="W115" s="109">
        <f>(W111/W109)</f>
        <v>0.99972222222222218</v>
      </c>
      <c r="X115" s="8" t="s">
        <v>29</v>
      </c>
      <c r="Z115" s="1"/>
      <c r="AA115" s="118" t="s">
        <v>28</v>
      </c>
      <c r="AB115" s="7"/>
      <c r="AC115" s="109">
        <f>(AC111/AC109)</f>
        <v>1</v>
      </c>
      <c r="AD115" s="8" t="s">
        <v>29</v>
      </c>
    </row>
    <row r="116" spans="1:30" x14ac:dyDescent="0.25">
      <c r="B116" s="1"/>
      <c r="C116" s="118" t="s">
        <v>77</v>
      </c>
      <c r="D116" s="99" t="s">
        <v>30</v>
      </c>
      <c r="E116" s="100"/>
      <c r="F116" s="101"/>
      <c r="H116" s="1"/>
      <c r="I116" s="118" t="s">
        <v>77</v>
      </c>
      <c r="J116" s="99" t="s">
        <v>30</v>
      </c>
      <c r="K116" s="100"/>
      <c r="L116" s="101"/>
      <c r="N116" s="1"/>
      <c r="O116" s="118" t="s">
        <v>77</v>
      </c>
      <c r="P116" s="99" t="s">
        <v>30</v>
      </c>
      <c r="Q116" s="100"/>
      <c r="R116" s="101"/>
      <c r="T116" s="1"/>
      <c r="U116" s="118" t="s">
        <v>77</v>
      </c>
      <c r="V116" s="99" t="s">
        <v>30</v>
      </c>
      <c r="W116" s="100"/>
      <c r="X116" s="101"/>
      <c r="Z116" s="1"/>
      <c r="AA116" s="118" t="s">
        <v>77</v>
      </c>
      <c r="AB116" s="99" t="s">
        <v>30</v>
      </c>
      <c r="AC116" s="100"/>
      <c r="AD116" s="101"/>
    </row>
    <row r="117" spans="1:30" x14ac:dyDescent="0.25">
      <c r="B117" s="1"/>
      <c r="C117" s="118"/>
      <c r="D117" s="117" t="s">
        <v>2</v>
      </c>
      <c r="E117" s="104" t="str">
        <f>'[2]Data Lingkungan (DL)'!AX65</f>
        <v>off</v>
      </c>
      <c r="F117" s="105"/>
      <c r="H117" s="1"/>
      <c r="I117" s="118"/>
      <c r="J117" s="117" t="s">
        <v>2</v>
      </c>
      <c r="K117" s="104" t="str">
        <f>'[2]Data Lingkungan (DL)'!AX66</f>
        <v>off</v>
      </c>
      <c r="L117" s="105"/>
      <c r="N117" s="1"/>
      <c r="O117" s="118"/>
      <c r="P117" s="117" t="s">
        <v>2</v>
      </c>
      <c r="Q117" s="104" t="str">
        <f>'[2]Data Lingkungan (DL)'!CZ64</f>
        <v>off</v>
      </c>
      <c r="R117" s="105"/>
      <c r="T117" s="1"/>
      <c r="U117" s="118"/>
      <c r="V117" s="117" t="s">
        <v>2</v>
      </c>
      <c r="W117" s="104" t="str">
        <f>'[2]Data Lingkungan (DL)'!DI62</f>
        <v>on</v>
      </c>
      <c r="X117" s="105"/>
      <c r="Z117" s="1"/>
      <c r="AA117" s="118"/>
      <c r="AB117" s="117" t="s">
        <v>2</v>
      </c>
      <c r="AC117" s="104" t="str">
        <f>'[2]Data Lingkungan (DL)'!AX64</f>
        <v>off</v>
      </c>
      <c r="AD117" s="105"/>
    </row>
    <row r="118" spans="1:30" x14ac:dyDescent="0.25">
      <c r="B118" s="1"/>
      <c r="C118" s="118"/>
      <c r="D118" s="125" t="s">
        <v>82</v>
      </c>
      <c r="E118" s="112"/>
      <c r="F118" s="126" t="s">
        <v>83</v>
      </c>
      <c r="H118" s="1"/>
      <c r="I118" s="118"/>
      <c r="J118" s="125" t="s">
        <v>82</v>
      </c>
      <c r="K118" s="112"/>
      <c r="L118" s="126" t="s">
        <v>83</v>
      </c>
      <c r="N118" s="1"/>
      <c r="O118" s="118"/>
      <c r="P118" s="125" t="s">
        <v>82</v>
      </c>
      <c r="Q118" s="112"/>
      <c r="R118" s="126" t="s">
        <v>83</v>
      </c>
      <c r="T118" s="1"/>
      <c r="U118" s="118"/>
      <c r="V118" s="125" t="s">
        <v>82</v>
      </c>
      <c r="W118" s="112"/>
      <c r="X118" s="126" t="s">
        <v>83</v>
      </c>
      <c r="Z118" s="1"/>
      <c r="AA118" s="118"/>
      <c r="AB118" s="125" t="s">
        <v>82</v>
      </c>
      <c r="AC118" s="112"/>
      <c r="AD118" s="126" t="s">
        <v>83</v>
      </c>
    </row>
    <row r="119" spans="1:30" x14ac:dyDescent="0.25">
      <c r="B119" s="1"/>
      <c r="C119" s="118"/>
      <c r="D119" s="99" t="s">
        <v>32</v>
      </c>
      <c r="E119" s="100" t="s">
        <v>0</v>
      </c>
      <c r="F119" s="101"/>
      <c r="H119" s="1"/>
      <c r="I119" s="118"/>
      <c r="J119" s="99" t="s">
        <v>32</v>
      </c>
      <c r="K119" s="100" t="s">
        <v>0</v>
      </c>
      <c r="L119" s="101"/>
      <c r="N119" s="1"/>
      <c r="O119" s="118"/>
      <c r="P119" s="99" t="s">
        <v>32</v>
      </c>
      <c r="Q119" s="100" t="s">
        <v>0</v>
      </c>
      <c r="R119" s="101"/>
      <c r="T119" s="1"/>
      <c r="U119" s="118"/>
      <c r="V119" s="99" t="s">
        <v>32</v>
      </c>
      <c r="W119" s="100" t="s">
        <v>0</v>
      </c>
      <c r="X119" s="101"/>
      <c r="Z119" s="1"/>
      <c r="AA119" s="118"/>
      <c r="AB119" s="99" t="s">
        <v>32</v>
      </c>
      <c r="AC119" s="100" t="s">
        <v>0</v>
      </c>
      <c r="AD119" s="101"/>
    </row>
    <row r="120" spans="1:30" x14ac:dyDescent="0.25">
      <c r="A120" s="106"/>
      <c r="B120" s="1"/>
      <c r="C120" s="119"/>
      <c r="D120" s="108" t="s">
        <v>65</v>
      </c>
      <c r="E120" s="100">
        <v>1.4800000000000001E-2</v>
      </c>
      <c r="F120" s="101" t="s">
        <v>33</v>
      </c>
      <c r="H120" s="1"/>
      <c r="I120" s="119"/>
      <c r="J120" s="108" t="s">
        <v>65</v>
      </c>
      <c r="K120" s="100">
        <v>8.8000000000000005E-3</v>
      </c>
      <c r="L120" s="101" t="s">
        <v>33</v>
      </c>
      <c r="N120" s="1"/>
      <c r="O120" s="119"/>
      <c r="P120" s="108" t="s">
        <v>65</v>
      </c>
      <c r="Q120" s="100">
        <v>0.31790000000000002</v>
      </c>
      <c r="R120" s="101" t="s">
        <v>33</v>
      </c>
      <c r="T120" s="1"/>
      <c r="U120" s="119"/>
      <c r="V120" s="108" t="s">
        <v>65</v>
      </c>
      <c r="W120" s="100">
        <v>0.1162</v>
      </c>
      <c r="X120" s="101" t="s">
        <v>33</v>
      </c>
      <c r="Z120" s="1"/>
      <c r="AA120" s="119"/>
      <c r="AB120" s="108" t="s">
        <v>65</v>
      </c>
      <c r="AC120" s="100">
        <v>2.5499999999999998E-2</v>
      </c>
      <c r="AD120" s="101" t="s">
        <v>33</v>
      </c>
    </row>
    <row r="121" spans="1:30" s="106" customFormat="1" ht="30" x14ac:dyDescent="0.25">
      <c r="A121" s="3"/>
      <c r="B121" s="1"/>
      <c r="C121" s="119"/>
      <c r="D121" s="10" t="s">
        <v>66</v>
      </c>
      <c r="E121" s="112">
        <v>6.5</v>
      </c>
      <c r="F121" s="8" t="s">
        <v>35</v>
      </c>
      <c r="H121" s="1"/>
      <c r="I121" s="119"/>
      <c r="J121" s="10" t="s">
        <v>66</v>
      </c>
      <c r="K121" s="112">
        <v>6.3</v>
      </c>
      <c r="L121" s="8" t="s">
        <v>35</v>
      </c>
      <c r="M121" s="3"/>
      <c r="N121" s="1"/>
      <c r="O121" s="119"/>
      <c r="P121" s="10" t="s">
        <v>66</v>
      </c>
      <c r="Q121" s="112">
        <v>0.3</v>
      </c>
      <c r="R121" s="8" t="s">
        <v>35</v>
      </c>
      <c r="T121" s="1"/>
      <c r="U121" s="119"/>
      <c r="V121" s="10" t="s">
        <v>66</v>
      </c>
      <c r="W121" s="112" t="e">
        <f>#REF!</f>
        <v>#REF!</v>
      </c>
      <c r="X121" s="8" t="s">
        <v>35</v>
      </c>
      <c r="Z121" s="1"/>
      <c r="AA121" s="119"/>
      <c r="AB121" s="10" t="s">
        <v>66</v>
      </c>
      <c r="AC121" s="112">
        <v>0.2</v>
      </c>
      <c r="AD121" s="8" t="s">
        <v>35</v>
      </c>
    </row>
    <row r="122" spans="1:30" ht="15" customHeight="1" x14ac:dyDescent="0.25">
      <c r="B122" s="1"/>
      <c r="C122" s="119"/>
      <c r="D122" s="10" t="s">
        <v>72</v>
      </c>
      <c r="E122" s="113">
        <f>E121*E120</f>
        <v>9.6200000000000008E-2</v>
      </c>
      <c r="F122" s="8"/>
      <c r="H122" s="1"/>
      <c r="I122" s="119"/>
      <c r="J122" s="10" t="s">
        <v>72</v>
      </c>
      <c r="K122" s="113">
        <f>K121*K120</f>
        <v>5.5440000000000003E-2</v>
      </c>
      <c r="L122" s="8"/>
      <c r="M122" s="106"/>
      <c r="N122" s="1"/>
      <c r="O122" s="119"/>
      <c r="P122" s="10" t="s">
        <v>72</v>
      </c>
      <c r="Q122" s="113">
        <f>Q121*Q120</f>
        <v>9.5369999999999996E-2</v>
      </c>
      <c r="R122" s="8"/>
      <c r="T122" s="1"/>
      <c r="U122" s="119"/>
      <c r="V122" s="10" t="s">
        <v>72</v>
      </c>
      <c r="W122" s="113" t="e">
        <f>W121*W120</f>
        <v>#REF!</v>
      </c>
      <c r="X122" s="8"/>
      <c r="Z122" s="1"/>
      <c r="AA122" s="119"/>
      <c r="AB122" s="10" t="s">
        <v>72</v>
      </c>
      <c r="AC122" s="113">
        <f>AC121*AC120</f>
        <v>5.1000000000000004E-3</v>
      </c>
      <c r="AD122" s="8"/>
    </row>
    <row r="123" spans="1:30" ht="15" customHeight="1" thickBot="1" x14ac:dyDescent="0.3">
      <c r="B123" s="2"/>
      <c r="C123" s="120"/>
      <c r="D123" s="12" t="s">
        <v>75</v>
      </c>
      <c r="E123" s="123">
        <v>0</v>
      </c>
      <c r="F123" s="15" t="s">
        <v>36</v>
      </c>
      <c r="H123" s="2"/>
      <c r="I123" s="120"/>
      <c r="J123" s="12" t="s">
        <v>75</v>
      </c>
      <c r="K123" s="123">
        <v>0</v>
      </c>
      <c r="L123" s="15" t="s">
        <v>36</v>
      </c>
      <c r="N123" s="2"/>
      <c r="O123" s="120"/>
      <c r="P123" s="12" t="s">
        <v>75</v>
      </c>
      <c r="Q123" s="123">
        <v>0</v>
      </c>
      <c r="R123" s="15" t="s">
        <v>36</v>
      </c>
      <c r="T123" s="2"/>
      <c r="U123" s="120"/>
      <c r="V123" s="12" t="s">
        <v>75</v>
      </c>
      <c r="W123" s="123">
        <v>0</v>
      </c>
      <c r="X123" s="15" t="s">
        <v>36</v>
      </c>
      <c r="Z123" s="1"/>
      <c r="AA123" s="119"/>
      <c r="AB123" s="10" t="s">
        <v>75</v>
      </c>
      <c r="AC123" s="112">
        <v>0</v>
      </c>
      <c r="AD123" s="8" t="s">
        <v>36</v>
      </c>
    </row>
    <row r="125" spans="1:30" ht="15.75" thickBot="1" x14ac:dyDescent="0.3"/>
    <row r="126" spans="1:30" x14ac:dyDescent="0.25">
      <c r="B126" s="202" t="s">
        <v>4</v>
      </c>
      <c r="C126" s="203"/>
      <c r="D126" s="203"/>
      <c r="E126" s="203"/>
      <c r="F126" s="204"/>
      <c r="H126" s="202" t="s">
        <v>4</v>
      </c>
      <c r="I126" s="203"/>
      <c r="J126" s="203"/>
      <c r="K126" s="203"/>
      <c r="L126" s="204"/>
    </row>
    <row r="127" spans="1:30" ht="15.75" thickBot="1" x14ac:dyDescent="0.3">
      <c r="B127" s="205" t="s">
        <v>6</v>
      </c>
      <c r="C127" s="217"/>
      <c r="D127" s="217"/>
      <c r="E127" s="217"/>
      <c r="F127" s="207"/>
      <c r="H127" s="205" t="s">
        <v>6</v>
      </c>
      <c r="I127" s="217"/>
      <c r="J127" s="217"/>
      <c r="K127" s="217"/>
      <c r="L127" s="207"/>
    </row>
    <row r="128" spans="1:30" x14ac:dyDescent="0.25">
      <c r="B128" s="208" t="s">
        <v>80</v>
      </c>
      <c r="C128" s="209"/>
      <c r="D128" s="209"/>
      <c r="E128" s="209"/>
      <c r="F128" s="210"/>
      <c r="H128" s="17" t="s">
        <v>80</v>
      </c>
      <c r="I128" s="18"/>
      <c r="J128" s="18"/>
      <c r="K128" s="18"/>
      <c r="L128" s="19"/>
    </row>
    <row r="129" spans="2:12" ht="15.75" thickBot="1" x14ac:dyDescent="0.3">
      <c r="B129" s="136" t="s">
        <v>3</v>
      </c>
      <c r="C129" s="5" t="s">
        <v>7</v>
      </c>
      <c r="D129" s="5" t="s">
        <v>8</v>
      </c>
      <c r="E129" s="5" t="s">
        <v>9</v>
      </c>
      <c r="F129" s="6" t="s">
        <v>10</v>
      </c>
      <c r="H129" s="136" t="s">
        <v>3</v>
      </c>
      <c r="I129" s="5" t="s">
        <v>7</v>
      </c>
      <c r="J129" s="5" t="s">
        <v>8</v>
      </c>
      <c r="K129" s="5" t="s">
        <v>9</v>
      </c>
      <c r="L129" s="6" t="s">
        <v>10</v>
      </c>
    </row>
    <row r="130" spans="2:12" x14ac:dyDescent="0.25">
      <c r="B130" s="211" t="s">
        <v>79</v>
      </c>
      <c r="C130" s="212"/>
      <c r="D130" s="212"/>
      <c r="E130" s="212"/>
      <c r="F130" s="213"/>
      <c r="H130" s="20" t="s">
        <v>79</v>
      </c>
      <c r="I130" s="21"/>
      <c r="J130" s="21"/>
      <c r="K130" s="21"/>
      <c r="L130" s="22"/>
    </row>
    <row r="131" spans="2:12" x14ac:dyDescent="0.25">
      <c r="B131" s="98"/>
      <c r="C131" s="116" t="s">
        <v>11</v>
      </c>
      <c r="D131" s="99"/>
      <c r="E131" s="100" t="s">
        <v>103</v>
      </c>
      <c r="F131" s="101"/>
      <c r="H131" s="98"/>
      <c r="I131" s="116" t="s">
        <v>11</v>
      </c>
      <c r="J131" s="99"/>
      <c r="K131" s="100" t="s">
        <v>42</v>
      </c>
      <c r="L131" s="101"/>
    </row>
    <row r="132" spans="2:12" x14ac:dyDescent="0.25">
      <c r="B132" s="98"/>
      <c r="C132" s="116" t="s">
        <v>13</v>
      </c>
      <c r="D132" s="99"/>
      <c r="E132" s="100" t="s">
        <v>102</v>
      </c>
      <c r="F132" s="101"/>
      <c r="H132" s="98"/>
      <c r="I132" s="116" t="s">
        <v>13</v>
      </c>
      <c r="J132" s="99"/>
      <c r="K132" s="100" t="s">
        <v>104</v>
      </c>
      <c r="L132" s="101"/>
    </row>
    <row r="133" spans="2:12" ht="15" hidden="1" customHeight="1" x14ac:dyDescent="0.25">
      <c r="B133" s="98"/>
      <c r="C133" s="116" t="s">
        <v>15</v>
      </c>
      <c r="D133" s="99"/>
      <c r="E133" s="102"/>
      <c r="F133" s="101" t="s">
        <v>16</v>
      </c>
      <c r="H133" s="98"/>
      <c r="I133" s="116" t="s">
        <v>15</v>
      </c>
      <c r="J133" s="99"/>
      <c r="K133" s="102"/>
      <c r="L133" s="101" t="s">
        <v>16</v>
      </c>
    </row>
    <row r="134" spans="2:12" ht="15" hidden="1" customHeight="1" x14ac:dyDescent="0.25">
      <c r="B134" s="98"/>
      <c r="C134" s="116" t="s">
        <v>62</v>
      </c>
      <c r="D134" s="99"/>
      <c r="E134" s="100">
        <f>5*12*30</f>
        <v>1800</v>
      </c>
      <c r="F134" s="101" t="s">
        <v>18</v>
      </c>
      <c r="H134" s="98"/>
      <c r="I134" s="116" t="s">
        <v>62</v>
      </c>
      <c r="J134" s="99"/>
      <c r="K134" s="100">
        <f>5*12*30</f>
        <v>1800</v>
      </c>
      <c r="L134" s="101" t="s">
        <v>18</v>
      </c>
    </row>
    <row r="135" spans="2:12" hidden="1" x14ac:dyDescent="0.25">
      <c r="B135" s="1"/>
      <c r="C135" s="118" t="s">
        <v>20</v>
      </c>
      <c r="D135" s="7"/>
      <c r="E135" s="104">
        <v>0</v>
      </c>
      <c r="F135" s="8" t="s">
        <v>18</v>
      </c>
      <c r="H135" s="1"/>
      <c r="I135" s="118" t="s">
        <v>20</v>
      </c>
      <c r="J135" s="7"/>
      <c r="K135" s="104">
        <v>0</v>
      </c>
      <c r="L135" s="8" t="s">
        <v>18</v>
      </c>
    </row>
    <row r="136" spans="2:12" ht="15" hidden="1" customHeight="1" x14ac:dyDescent="0.25">
      <c r="B136" s="1"/>
      <c r="C136" s="118" t="s">
        <v>21</v>
      </c>
      <c r="D136" s="7"/>
      <c r="E136" s="110">
        <f>E134-E135-(E137+E139)/2*10</f>
        <v>1799.5</v>
      </c>
      <c r="F136" s="8" t="s">
        <v>18</v>
      </c>
      <c r="H136" s="1"/>
      <c r="I136" s="118" t="s">
        <v>21</v>
      </c>
      <c r="J136" s="7"/>
      <c r="K136" s="110">
        <f>K134-K135-(K137+K139)/2*10</f>
        <v>1798</v>
      </c>
      <c r="L136" s="8" t="s">
        <v>18</v>
      </c>
    </row>
    <row r="137" spans="2:12" ht="30" hidden="1" customHeight="1" x14ac:dyDescent="0.25">
      <c r="B137" s="1"/>
      <c r="C137" s="118" t="s">
        <v>22</v>
      </c>
      <c r="D137" s="7" t="s">
        <v>23</v>
      </c>
      <c r="E137" s="111">
        <f>((E135/E134)*10-E138)</f>
        <v>0</v>
      </c>
      <c r="F137" s="8" t="s">
        <v>24</v>
      </c>
      <c r="H137" s="1"/>
      <c r="I137" s="118" t="s">
        <v>22</v>
      </c>
      <c r="J137" s="7" t="s">
        <v>23</v>
      </c>
      <c r="K137" s="111">
        <f>((K135/K134)*10-K138)</f>
        <v>0</v>
      </c>
      <c r="L137" s="8" t="s">
        <v>24</v>
      </c>
    </row>
    <row r="138" spans="2:12" ht="15" hidden="1" customHeight="1" x14ac:dyDescent="0.25">
      <c r="B138" s="1"/>
      <c r="C138" s="118"/>
      <c r="D138" s="10" t="s">
        <v>78</v>
      </c>
      <c r="E138" s="107">
        <v>0</v>
      </c>
      <c r="F138" s="8" t="s">
        <v>25</v>
      </c>
      <c r="H138" s="1"/>
      <c r="I138" s="118"/>
      <c r="J138" s="10" t="s">
        <v>78</v>
      </c>
      <c r="K138" s="107">
        <v>0</v>
      </c>
      <c r="L138" s="8" t="s">
        <v>25</v>
      </c>
    </row>
    <row r="139" spans="2:12" hidden="1" x14ac:dyDescent="0.25">
      <c r="B139" s="1"/>
      <c r="C139" s="117" t="s">
        <v>27</v>
      </c>
      <c r="D139" s="103" t="s">
        <v>23</v>
      </c>
      <c r="E139" s="107">
        <f>'[1]Data Lingkungan_IC'!DC65</f>
        <v>0.1</v>
      </c>
      <c r="F139" s="105" t="s">
        <v>24</v>
      </c>
      <c r="H139" s="1"/>
      <c r="I139" s="117" t="s">
        <v>27</v>
      </c>
      <c r="J139" s="103" t="s">
        <v>23</v>
      </c>
      <c r="K139" s="107">
        <f>'[1]Data Lingkungan_IC'!DU63</f>
        <v>0.4</v>
      </c>
      <c r="L139" s="105" t="s">
        <v>24</v>
      </c>
    </row>
    <row r="140" spans="2:12" ht="15" hidden="1" customHeight="1" x14ac:dyDescent="0.25">
      <c r="B140" s="1"/>
      <c r="C140" s="118" t="s">
        <v>28</v>
      </c>
      <c r="D140" s="7"/>
      <c r="E140" s="109">
        <f>(E136/E134)</f>
        <v>0.99972222222222218</v>
      </c>
      <c r="F140" s="8" t="s">
        <v>29</v>
      </c>
      <c r="H140" s="1"/>
      <c r="I140" s="118" t="s">
        <v>28</v>
      </c>
      <c r="J140" s="7"/>
      <c r="K140" s="109">
        <f>(K136/K134)</f>
        <v>0.99888888888888894</v>
      </c>
      <c r="L140" s="8" t="s">
        <v>29</v>
      </c>
    </row>
    <row r="141" spans="2:12" ht="15" customHeight="1" x14ac:dyDescent="0.25">
      <c r="B141" s="1"/>
      <c r="C141" s="118" t="s">
        <v>77</v>
      </c>
      <c r="D141" s="99" t="s">
        <v>30</v>
      </c>
      <c r="E141" s="100"/>
      <c r="F141" s="101"/>
      <c r="H141" s="1"/>
      <c r="I141" s="118" t="s">
        <v>77</v>
      </c>
      <c r="J141" s="99" t="s">
        <v>30</v>
      </c>
      <c r="K141" s="100"/>
      <c r="L141" s="101"/>
    </row>
    <row r="142" spans="2:12" ht="15" customHeight="1" x14ac:dyDescent="0.25">
      <c r="B142" s="1"/>
      <c r="C142" s="118"/>
      <c r="D142" s="117" t="s">
        <v>2</v>
      </c>
      <c r="E142" s="104" t="str">
        <f>'[2]Data Lingkungan (DL)'!CZ63</f>
        <v>off</v>
      </c>
      <c r="F142" s="105"/>
      <c r="H142" s="1"/>
      <c r="I142" s="118"/>
      <c r="J142" s="117" t="s">
        <v>2</v>
      </c>
      <c r="K142" s="104" t="str">
        <f>'[2]Data Lingkungan (DL)'!DR62</f>
        <v>off</v>
      </c>
      <c r="L142" s="105"/>
    </row>
    <row r="143" spans="2:12" ht="15" customHeight="1" x14ac:dyDescent="0.25">
      <c r="B143" s="1"/>
      <c r="C143" s="118"/>
      <c r="D143" s="125" t="s">
        <v>82</v>
      </c>
      <c r="E143" s="112"/>
      <c r="F143" s="126" t="s">
        <v>83</v>
      </c>
      <c r="H143" s="1"/>
      <c r="I143" s="118"/>
      <c r="J143" s="125" t="s">
        <v>82</v>
      </c>
      <c r="K143" s="112"/>
      <c r="L143" s="126" t="s">
        <v>83</v>
      </c>
    </row>
    <row r="144" spans="2:12" ht="15" customHeight="1" x14ac:dyDescent="0.25">
      <c r="B144" s="1"/>
      <c r="C144" s="118"/>
      <c r="D144" s="99" t="s">
        <v>32</v>
      </c>
      <c r="E144" s="100" t="s">
        <v>0</v>
      </c>
      <c r="F144" s="101"/>
      <c r="H144" s="1"/>
      <c r="I144" s="118"/>
      <c r="J144" s="99" t="s">
        <v>32</v>
      </c>
      <c r="K144" s="100" t="s">
        <v>0</v>
      </c>
      <c r="L144" s="101"/>
    </row>
    <row r="145" spans="1:24" ht="15" customHeight="1" x14ac:dyDescent="0.25">
      <c r="A145" s="106"/>
      <c r="B145" s="1"/>
      <c r="C145" s="119"/>
      <c r="D145" s="108" t="s">
        <v>65</v>
      </c>
      <c r="E145" s="100">
        <v>0.503</v>
      </c>
      <c r="F145" s="101" t="s">
        <v>33</v>
      </c>
      <c r="H145" s="1"/>
      <c r="I145" s="119"/>
      <c r="J145" s="108" t="s">
        <v>65</v>
      </c>
      <c r="K145" s="100">
        <v>3.95E-2</v>
      </c>
      <c r="L145" s="101" t="s">
        <v>33</v>
      </c>
    </row>
    <row r="146" spans="1:24" s="106" customFormat="1" ht="30" x14ac:dyDescent="0.25">
      <c r="A146" s="3"/>
      <c r="B146" s="1"/>
      <c r="C146" s="119"/>
      <c r="D146" s="10" t="s">
        <v>66</v>
      </c>
      <c r="E146" s="112">
        <v>0.4</v>
      </c>
      <c r="F146" s="8" t="s">
        <v>35</v>
      </c>
      <c r="H146" s="1"/>
      <c r="I146" s="119"/>
      <c r="J146" s="10" t="s">
        <v>66</v>
      </c>
      <c r="K146" s="112">
        <v>0.5</v>
      </c>
      <c r="L146" s="8" t="s">
        <v>35</v>
      </c>
      <c r="S146" s="3"/>
    </row>
    <row r="147" spans="1:24" ht="15" customHeight="1" x14ac:dyDescent="0.25">
      <c r="B147" s="1"/>
      <c r="C147" s="119"/>
      <c r="D147" s="10" t="s">
        <v>72</v>
      </c>
      <c r="E147" s="113">
        <f>E146*E145</f>
        <v>0.20120000000000002</v>
      </c>
      <c r="F147" s="8"/>
      <c r="H147" s="1"/>
      <c r="I147" s="119"/>
      <c r="J147" s="10" t="s">
        <v>72</v>
      </c>
      <c r="K147" s="113">
        <f>K146*K145</f>
        <v>1.975E-2</v>
      </c>
      <c r="L147" s="8"/>
      <c r="S147" s="106"/>
    </row>
    <row r="148" spans="1:24" ht="15" customHeight="1" thickBot="1" x14ac:dyDescent="0.3">
      <c r="B148" s="2"/>
      <c r="C148" s="120"/>
      <c r="D148" s="12" t="s">
        <v>75</v>
      </c>
      <c r="E148" s="123">
        <v>0</v>
      </c>
      <c r="F148" s="15" t="s">
        <v>36</v>
      </c>
      <c r="H148" s="2"/>
      <c r="I148" s="120"/>
      <c r="J148" s="12" t="s">
        <v>75</v>
      </c>
      <c r="K148" s="123">
        <v>0</v>
      </c>
      <c r="L148" s="15" t="s">
        <v>36</v>
      </c>
    </row>
    <row r="149" spans="1:24" ht="15" customHeight="1" x14ac:dyDescent="0.25"/>
    <row r="150" spans="1:24" ht="15" customHeight="1" thickBot="1" x14ac:dyDescent="0.3"/>
    <row r="151" spans="1:24" x14ac:dyDescent="0.25">
      <c r="B151" s="202" t="s">
        <v>4</v>
      </c>
      <c r="C151" s="203"/>
      <c r="D151" s="203"/>
      <c r="E151" s="203"/>
      <c r="F151" s="204"/>
      <c r="H151" s="202" t="s">
        <v>4</v>
      </c>
      <c r="I151" s="203"/>
      <c r="J151" s="203"/>
      <c r="K151" s="203"/>
      <c r="L151" s="204"/>
      <c r="N151" s="202" t="s">
        <v>4</v>
      </c>
      <c r="O151" s="203"/>
      <c r="P151" s="203"/>
      <c r="Q151" s="203"/>
      <c r="R151" s="204"/>
      <c r="T151" s="202" t="s">
        <v>4</v>
      </c>
      <c r="U151" s="203"/>
      <c r="V151" s="203"/>
      <c r="W151" s="203"/>
      <c r="X151" s="204"/>
    </row>
    <row r="152" spans="1:24" ht="15.75" thickBot="1" x14ac:dyDescent="0.3">
      <c r="B152" s="205" t="s">
        <v>6</v>
      </c>
      <c r="C152" s="217"/>
      <c r="D152" s="217"/>
      <c r="E152" s="217"/>
      <c r="F152" s="207"/>
      <c r="H152" s="205" t="s">
        <v>6</v>
      </c>
      <c r="I152" s="217"/>
      <c r="J152" s="217"/>
      <c r="K152" s="217"/>
      <c r="L152" s="207"/>
      <c r="N152" s="205" t="s">
        <v>6</v>
      </c>
      <c r="O152" s="217"/>
      <c r="P152" s="217"/>
      <c r="Q152" s="217"/>
      <c r="R152" s="207"/>
      <c r="T152" s="205" t="s">
        <v>6</v>
      </c>
      <c r="U152" s="217"/>
      <c r="V152" s="217"/>
      <c r="W152" s="217"/>
      <c r="X152" s="207"/>
    </row>
    <row r="153" spans="1:24" x14ac:dyDescent="0.25">
      <c r="B153" s="17" t="s">
        <v>80</v>
      </c>
      <c r="C153" s="18"/>
      <c r="D153" s="18"/>
      <c r="E153" s="18"/>
      <c r="F153" s="19"/>
      <c r="H153" s="208" t="s">
        <v>80</v>
      </c>
      <c r="I153" s="209"/>
      <c r="J153" s="209"/>
      <c r="K153" s="209"/>
      <c r="L153" s="210"/>
      <c r="N153" s="208" t="s">
        <v>80</v>
      </c>
      <c r="O153" s="209"/>
      <c r="P153" s="209"/>
      <c r="Q153" s="209"/>
      <c r="R153" s="210"/>
      <c r="T153" s="130" t="s">
        <v>80</v>
      </c>
      <c r="U153" s="131"/>
      <c r="V153" s="131"/>
      <c r="W153" s="131"/>
      <c r="X153" s="132"/>
    </row>
    <row r="154" spans="1:24" ht="15.75" thickBot="1" x14ac:dyDescent="0.3">
      <c r="B154" s="136" t="s">
        <v>3</v>
      </c>
      <c r="C154" s="5" t="s">
        <v>7</v>
      </c>
      <c r="D154" s="5" t="s">
        <v>8</v>
      </c>
      <c r="E154" s="5" t="s">
        <v>9</v>
      </c>
      <c r="F154" s="6" t="s">
        <v>10</v>
      </c>
      <c r="H154" s="136" t="s">
        <v>3</v>
      </c>
      <c r="I154" s="5" t="s">
        <v>7</v>
      </c>
      <c r="J154" s="5" t="s">
        <v>8</v>
      </c>
      <c r="K154" s="5" t="s">
        <v>9</v>
      </c>
      <c r="L154" s="6" t="s">
        <v>10</v>
      </c>
      <c r="N154" s="136" t="s">
        <v>3</v>
      </c>
      <c r="O154" s="5" t="s">
        <v>7</v>
      </c>
      <c r="P154" s="5" t="s">
        <v>8</v>
      </c>
      <c r="Q154" s="5" t="s">
        <v>9</v>
      </c>
      <c r="R154" s="6" t="s">
        <v>10</v>
      </c>
      <c r="T154" s="136" t="s">
        <v>3</v>
      </c>
      <c r="U154" s="5" t="s">
        <v>7</v>
      </c>
      <c r="V154" s="5" t="s">
        <v>8</v>
      </c>
      <c r="W154" s="5" t="s">
        <v>9</v>
      </c>
      <c r="X154" s="6" t="s">
        <v>10</v>
      </c>
    </row>
    <row r="155" spans="1:24" x14ac:dyDescent="0.25">
      <c r="B155" s="20" t="s">
        <v>79</v>
      </c>
      <c r="C155" s="21"/>
      <c r="D155" s="21"/>
      <c r="E155" s="21"/>
      <c r="F155" s="22"/>
      <c r="H155" s="211" t="s">
        <v>79</v>
      </c>
      <c r="I155" s="212"/>
      <c r="J155" s="212"/>
      <c r="K155" s="212"/>
      <c r="L155" s="213"/>
      <c r="N155" s="211" t="s">
        <v>79</v>
      </c>
      <c r="O155" s="212"/>
      <c r="P155" s="212"/>
      <c r="Q155" s="212"/>
      <c r="R155" s="213"/>
      <c r="T155" s="133" t="s">
        <v>79</v>
      </c>
      <c r="U155" s="134"/>
      <c r="V155" s="134"/>
      <c r="W155" s="134"/>
      <c r="X155" s="135"/>
    </row>
    <row r="156" spans="1:24" x14ac:dyDescent="0.25">
      <c r="B156" s="98"/>
      <c r="C156" s="116" t="s">
        <v>11</v>
      </c>
      <c r="D156" s="99"/>
      <c r="E156" s="100" t="s">
        <v>95</v>
      </c>
      <c r="F156" s="101"/>
      <c r="H156" s="98"/>
      <c r="I156" s="116" t="s">
        <v>11</v>
      </c>
      <c r="J156" s="99"/>
      <c r="K156" s="100" t="s">
        <v>58</v>
      </c>
      <c r="L156" s="101"/>
      <c r="N156" s="98"/>
      <c r="O156" s="116" t="s">
        <v>11</v>
      </c>
      <c r="P156" s="99"/>
      <c r="Q156" s="100" t="s">
        <v>99</v>
      </c>
      <c r="R156" s="101"/>
      <c r="T156" s="98"/>
      <c r="U156" s="116" t="s">
        <v>11</v>
      </c>
      <c r="V156" s="99"/>
      <c r="W156" s="100" t="s">
        <v>106</v>
      </c>
      <c r="X156" s="101"/>
    </row>
    <row r="157" spans="1:24" x14ac:dyDescent="0.25">
      <c r="B157" s="98"/>
      <c r="C157" s="116" t="s">
        <v>13</v>
      </c>
      <c r="D157" s="99"/>
      <c r="E157" s="100" t="s">
        <v>96</v>
      </c>
      <c r="F157" s="101"/>
      <c r="H157" s="98"/>
      <c r="I157" s="116" t="s">
        <v>13</v>
      </c>
      <c r="J157" s="99"/>
      <c r="K157" s="100" t="s">
        <v>94</v>
      </c>
      <c r="L157" s="101"/>
      <c r="N157" s="98"/>
      <c r="O157" s="116" t="s">
        <v>13</v>
      </c>
      <c r="P157" s="99"/>
      <c r="Q157" s="100" t="s">
        <v>98</v>
      </c>
      <c r="R157" s="101"/>
      <c r="T157" s="98"/>
      <c r="U157" s="116" t="s">
        <v>13</v>
      </c>
      <c r="V157" s="99"/>
      <c r="W157" s="100" t="s">
        <v>142</v>
      </c>
      <c r="X157" s="101"/>
    </row>
    <row r="158" spans="1:24" hidden="1" x14ac:dyDescent="0.25">
      <c r="B158" s="98"/>
      <c r="C158" s="116" t="s">
        <v>15</v>
      </c>
      <c r="D158" s="99"/>
      <c r="E158" s="102"/>
      <c r="F158" s="101" t="s">
        <v>16</v>
      </c>
      <c r="H158" s="98"/>
      <c r="I158" s="116" t="s">
        <v>15</v>
      </c>
      <c r="J158" s="99"/>
      <c r="K158" s="102"/>
      <c r="L158" s="101" t="s">
        <v>16</v>
      </c>
      <c r="N158" s="98"/>
      <c r="O158" s="116" t="s">
        <v>15</v>
      </c>
      <c r="P158" s="99"/>
      <c r="Q158" s="102"/>
      <c r="R158" s="101" t="s">
        <v>16</v>
      </c>
      <c r="T158" s="98"/>
      <c r="U158" s="116" t="s">
        <v>15</v>
      </c>
      <c r="V158" s="99"/>
      <c r="W158" s="102"/>
      <c r="X158" s="101" t="s">
        <v>16</v>
      </c>
    </row>
    <row r="159" spans="1:24" hidden="1" x14ac:dyDescent="0.25">
      <c r="B159" s="98"/>
      <c r="C159" s="116" t="s">
        <v>62</v>
      </c>
      <c r="D159" s="99"/>
      <c r="E159" s="100">
        <f>5*12*30</f>
        <v>1800</v>
      </c>
      <c r="F159" s="101" t="s">
        <v>18</v>
      </c>
      <c r="H159" s="98"/>
      <c r="I159" s="116" t="s">
        <v>62</v>
      </c>
      <c r="J159" s="99"/>
      <c r="K159" s="100">
        <f>5*12*30</f>
        <v>1800</v>
      </c>
      <c r="L159" s="101" t="s">
        <v>18</v>
      </c>
      <c r="N159" s="98"/>
      <c r="O159" s="116" t="s">
        <v>62</v>
      </c>
      <c r="P159" s="99"/>
      <c r="Q159" s="100">
        <f>5*12*30</f>
        <v>1800</v>
      </c>
      <c r="R159" s="101" t="s">
        <v>18</v>
      </c>
      <c r="T159" s="98"/>
      <c r="U159" s="116" t="s">
        <v>62</v>
      </c>
      <c r="V159" s="99"/>
      <c r="W159" s="100">
        <f>5*12*30</f>
        <v>1800</v>
      </c>
      <c r="X159" s="101" t="s">
        <v>18</v>
      </c>
    </row>
    <row r="160" spans="1:24" ht="15" hidden="1" customHeight="1" x14ac:dyDescent="0.25">
      <c r="B160" s="1"/>
      <c r="C160" s="118" t="s">
        <v>20</v>
      </c>
      <c r="D160" s="7"/>
      <c r="E160" s="104">
        <v>0</v>
      </c>
      <c r="F160" s="8" t="s">
        <v>18</v>
      </c>
      <c r="H160" s="1"/>
      <c r="I160" s="118" t="s">
        <v>20</v>
      </c>
      <c r="J160" s="7"/>
      <c r="K160" s="104">
        <v>0</v>
      </c>
      <c r="L160" s="8" t="s">
        <v>18</v>
      </c>
      <c r="N160" s="1"/>
      <c r="O160" s="118" t="s">
        <v>20</v>
      </c>
      <c r="P160" s="7"/>
      <c r="Q160" s="104">
        <v>0</v>
      </c>
      <c r="R160" s="8" t="s">
        <v>18</v>
      </c>
      <c r="T160" s="1"/>
      <c r="U160" s="118" t="s">
        <v>20</v>
      </c>
      <c r="V160" s="7"/>
      <c r="W160" s="104">
        <v>0</v>
      </c>
      <c r="X160" s="8" t="s">
        <v>18</v>
      </c>
    </row>
    <row r="161" spans="2:24" ht="15" hidden="1" customHeight="1" x14ac:dyDescent="0.25">
      <c r="B161" s="1"/>
      <c r="C161" s="118" t="s">
        <v>21</v>
      </c>
      <c r="D161" s="7"/>
      <c r="E161" s="110">
        <f>E159-E160-(E162+E164)/2*10</f>
        <v>1800</v>
      </c>
      <c r="F161" s="8" t="s">
        <v>18</v>
      </c>
      <c r="H161" s="1"/>
      <c r="I161" s="118" t="s">
        <v>21</v>
      </c>
      <c r="J161" s="7"/>
      <c r="K161" s="110">
        <f>K159-K160-(K162+K164)/2*10</f>
        <v>1799.5</v>
      </c>
      <c r="L161" s="8" t="s">
        <v>18</v>
      </c>
      <c r="N161" s="1"/>
      <c r="O161" s="118" t="s">
        <v>21</v>
      </c>
      <c r="P161" s="7"/>
      <c r="Q161" s="110">
        <f>Q159-Q160-(Q162+Q164)/2*10</f>
        <v>1799.5</v>
      </c>
      <c r="R161" s="8" t="s">
        <v>18</v>
      </c>
      <c r="T161" s="1"/>
      <c r="U161" s="118" t="s">
        <v>21</v>
      </c>
      <c r="V161" s="7"/>
      <c r="W161" s="110">
        <f>W159-W160-(W162+W164)/2*10</f>
        <v>1800</v>
      </c>
      <c r="X161" s="8" t="s">
        <v>18</v>
      </c>
    </row>
    <row r="162" spans="2:24" ht="60" hidden="1" customHeight="1" x14ac:dyDescent="0.25">
      <c r="B162" s="1"/>
      <c r="C162" s="118" t="s">
        <v>22</v>
      </c>
      <c r="D162" s="7" t="s">
        <v>23</v>
      </c>
      <c r="E162" s="111">
        <f>((E160/E159)*10-E163)</f>
        <v>0</v>
      </c>
      <c r="F162" s="8" t="s">
        <v>24</v>
      </c>
      <c r="H162" s="1"/>
      <c r="I162" s="118" t="s">
        <v>22</v>
      </c>
      <c r="J162" s="7" t="s">
        <v>23</v>
      </c>
      <c r="K162" s="111">
        <f>((K160/K159)*10-K163)</f>
        <v>0</v>
      </c>
      <c r="L162" s="8" t="s">
        <v>24</v>
      </c>
      <c r="N162" s="1"/>
      <c r="O162" s="118" t="s">
        <v>22</v>
      </c>
      <c r="P162" s="7" t="s">
        <v>23</v>
      </c>
      <c r="Q162" s="111">
        <f>((Q160/Q159)*10-Q163)</f>
        <v>0</v>
      </c>
      <c r="R162" s="8" t="s">
        <v>24</v>
      </c>
      <c r="T162" s="1"/>
      <c r="U162" s="118" t="s">
        <v>22</v>
      </c>
      <c r="V162" s="7" t="s">
        <v>23</v>
      </c>
      <c r="W162" s="111">
        <f>((W160/W159)*10-W163)</f>
        <v>0</v>
      </c>
      <c r="X162" s="8" t="s">
        <v>24</v>
      </c>
    </row>
    <row r="163" spans="2:24" ht="30" hidden="1" x14ac:dyDescent="0.25">
      <c r="B163" s="1"/>
      <c r="C163" s="118"/>
      <c r="D163" s="10" t="s">
        <v>78</v>
      </c>
      <c r="E163" s="107">
        <v>0</v>
      </c>
      <c r="F163" s="8" t="s">
        <v>25</v>
      </c>
      <c r="H163" s="1"/>
      <c r="I163" s="118"/>
      <c r="J163" s="10" t="s">
        <v>78</v>
      </c>
      <c r="K163" s="107">
        <v>0</v>
      </c>
      <c r="L163" s="8" t="s">
        <v>25</v>
      </c>
      <c r="N163" s="1"/>
      <c r="O163" s="118"/>
      <c r="P163" s="10" t="s">
        <v>78</v>
      </c>
      <c r="Q163" s="107">
        <v>0</v>
      </c>
      <c r="R163" s="8" t="s">
        <v>25</v>
      </c>
      <c r="T163" s="1"/>
      <c r="U163" s="118"/>
      <c r="V163" s="10" t="s">
        <v>78</v>
      </c>
      <c r="W163" s="107">
        <v>0</v>
      </c>
      <c r="X163" s="8" t="s">
        <v>25</v>
      </c>
    </row>
    <row r="164" spans="2:24" hidden="1" x14ac:dyDescent="0.25">
      <c r="B164" s="1"/>
      <c r="C164" s="117" t="s">
        <v>27</v>
      </c>
      <c r="D164" s="103" t="s">
        <v>23</v>
      </c>
      <c r="E164" s="107">
        <v>0</v>
      </c>
      <c r="F164" s="105" t="s">
        <v>24</v>
      </c>
      <c r="H164" s="1"/>
      <c r="I164" s="117" t="s">
        <v>27</v>
      </c>
      <c r="J164" s="103" t="s">
        <v>23</v>
      </c>
      <c r="K164" s="107">
        <f>'[1]Data Lingkungan_IC'!CT62</f>
        <v>0.1</v>
      </c>
      <c r="L164" s="105" t="s">
        <v>24</v>
      </c>
      <c r="N164" s="1"/>
      <c r="O164" s="117" t="s">
        <v>27</v>
      </c>
      <c r="P164" s="103" t="s">
        <v>23</v>
      </c>
      <c r="Q164" s="107">
        <f>'[1]Data Lingkungan_IC'!BA63</f>
        <v>0.1</v>
      </c>
      <c r="R164" s="105" t="s">
        <v>24</v>
      </c>
      <c r="T164" s="1"/>
      <c r="U164" s="117" t="s">
        <v>27</v>
      </c>
      <c r="V164" s="103" t="s">
        <v>23</v>
      </c>
      <c r="W164" s="107">
        <v>0</v>
      </c>
      <c r="X164" s="105" t="s">
        <v>24</v>
      </c>
    </row>
    <row r="165" spans="2:24" ht="30" hidden="1" x14ac:dyDescent="0.25">
      <c r="B165" s="1"/>
      <c r="C165" s="118" t="s">
        <v>28</v>
      </c>
      <c r="D165" s="7"/>
      <c r="E165" s="109">
        <f>(E161/E159)</f>
        <v>1</v>
      </c>
      <c r="F165" s="8" t="s">
        <v>29</v>
      </c>
      <c r="H165" s="1"/>
      <c r="I165" s="118" t="s">
        <v>28</v>
      </c>
      <c r="J165" s="7"/>
      <c r="K165" s="109">
        <f>(K161/K159)</f>
        <v>0.99972222222222218</v>
      </c>
      <c r="L165" s="8" t="s">
        <v>29</v>
      </c>
      <c r="N165" s="1"/>
      <c r="O165" s="118" t="s">
        <v>28</v>
      </c>
      <c r="P165" s="7"/>
      <c r="Q165" s="109">
        <f>(Q161/Q159)</f>
        <v>0.99972222222222218</v>
      </c>
      <c r="R165" s="8" t="s">
        <v>29</v>
      </c>
      <c r="T165" s="1"/>
      <c r="U165" s="118" t="s">
        <v>28</v>
      </c>
      <c r="V165" s="7"/>
      <c r="W165" s="109">
        <f>(W161/W159)</f>
        <v>1</v>
      </c>
      <c r="X165" s="8" t="s">
        <v>29</v>
      </c>
    </row>
    <row r="166" spans="2:24" x14ac:dyDescent="0.25">
      <c r="B166" s="1"/>
      <c r="C166" s="118" t="s">
        <v>77</v>
      </c>
      <c r="D166" s="99" t="s">
        <v>30</v>
      </c>
      <c r="E166" s="100" t="s">
        <v>31</v>
      </c>
      <c r="F166" s="101"/>
      <c r="H166" s="1"/>
      <c r="I166" s="118" t="s">
        <v>77</v>
      </c>
      <c r="J166" s="99" t="s">
        <v>30</v>
      </c>
      <c r="K166" s="100"/>
      <c r="L166" s="101"/>
      <c r="N166" s="1"/>
      <c r="O166" s="118" t="s">
        <v>77</v>
      </c>
      <c r="P166" s="99" t="s">
        <v>30</v>
      </c>
      <c r="Q166" s="100"/>
      <c r="R166" s="101"/>
      <c r="T166" s="1"/>
      <c r="U166" s="118" t="s">
        <v>77</v>
      </c>
      <c r="V166" s="99" t="s">
        <v>30</v>
      </c>
      <c r="W166" s="100" t="s">
        <v>31</v>
      </c>
      <c r="X166" s="101"/>
    </row>
    <row r="167" spans="2:24" x14ac:dyDescent="0.25">
      <c r="B167" s="1"/>
      <c r="C167" s="118"/>
      <c r="D167" s="117" t="s">
        <v>2</v>
      </c>
      <c r="E167" s="104" t="str">
        <f>'[2]Data Lingkungan (DL)'!AF62</f>
        <v>off</v>
      </c>
      <c r="F167" s="105"/>
      <c r="H167" s="1"/>
      <c r="I167" s="118"/>
      <c r="J167" s="117" t="s">
        <v>2</v>
      </c>
      <c r="K167" s="104" t="str">
        <f>'[2]Data Lingkungan (DL)'!CQ61</f>
        <v>off</v>
      </c>
      <c r="L167" s="105"/>
      <c r="N167" s="1"/>
      <c r="O167" s="118"/>
      <c r="P167" s="117" t="s">
        <v>2</v>
      </c>
      <c r="Q167" s="104" t="str">
        <f>'[2]Data Lingkungan (DL)'!AX62</f>
        <v>on</v>
      </c>
      <c r="R167" s="105"/>
      <c r="T167" s="1"/>
      <c r="U167" s="118"/>
      <c r="V167" s="117" t="s">
        <v>2</v>
      </c>
      <c r="W167" s="104" t="str">
        <f>'[2]Data Lingkungan (DL)'!AX62</f>
        <v>on</v>
      </c>
      <c r="X167" s="105"/>
    </row>
    <row r="168" spans="2:24" x14ac:dyDescent="0.25">
      <c r="B168" s="1"/>
      <c r="C168" s="118"/>
      <c r="D168" s="125" t="s">
        <v>82</v>
      </c>
      <c r="E168" s="112"/>
      <c r="F168" s="126" t="s">
        <v>83</v>
      </c>
      <c r="H168" s="1"/>
      <c r="I168" s="118"/>
      <c r="J168" s="125" t="s">
        <v>82</v>
      </c>
      <c r="K168" s="112"/>
      <c r="L168" s="126" t="s">
        <v>83</v>
      </c>
      <c r="N168" s="1"/>
      <c r="O168" s="118"/>
      <c r="P168" s="125" t="s">
        <v>82</v>
      </c>
      <c r="Q168" s="112"/>
      <c r="R168" s="126" t="s">
        <v>83</v>
      </c>
      <c r="T168" s="1"/>
      <c r="U168" s="118"/>
      <c r="V168" s="125" t="s">
        <v>82</v>
      </c>
      <c r="W168" s="112"/>
      <c r="X168" s="126" t="s">
        <v>83</v>
      </c>
    </row>
    <row r="169" spans="2:24" x14ac:dyDescent="0.25">
      <c r="B169" s="1"/>
      <c r="C169" s="118"/>
      <c r="D169" s="99" t="s">
        <v>32</v>
      </c>
      <c r="E169" s="100" t="s">
        <v>0</v>
      </c>
      <c r="F169" s="101"/>
      <c r="H169" s="1"/>
      <c r="I169" s="118"/>
      <c r="J169" s="99" t="s">
        <v>32</v>
      </c>
      <c r="K169" s="100" t="s">
        <v>0</v>
      </c>
      <c r="L169" s="101"/>
      <c r="N169" s="1"/>
      <c r="O169" s="118"/>
      <c r="P169" s="99" t="s">
        <v>32</v>
      </c>
      <c r="Q169" s="100" t="s">
        <v>0</v>
      </c>
      <c r="R169" s="101"/>
      <c r="T169" s="1"/>
      <c r="U169" s="118"/>
      <c r="V169" s="99" t="s">
        <v>32</v>
      </c>
      <c r="W169" s="100" t="s">
        <v>0</v>
      </c>
      <c r="X169" s="101"/>
    </row>
    <row r="170" spans="2:24" x14ac:dyDescent="0.25">
      <c r="B170" s="1"/>
      <c r="C170" s="119"/>
      <c r="D170" s="108" t="s">
        <v>65</v>
      </c>
      <c r="E170" s="100">
        <v>3.8800000000000001E-2</v>
      </c>
      <c r="F170" s="101" t="s">
        <v>33</v>
      </c>
      <c r="H170" s="1"/>
      <c r="I170" s="119"/>
      <c r="J170" s="108" t="s">
        <v>65</v>
      </c>
      <c r="K170" s="100">
        <v>0.30549999999999999</v>
      </c>
      <c r="L170" s="101" t="s">
        <v>33</v>
      </c>
      <c r="N170" s="1"/>
      <c r="O170" s="119"/>
      <c r="P170" s="108" t="s">
        <v>65</v>
      </c>
      <c r="Q170" s="100">
        <v>0</v>
      </c>
      <c r="R170" s="101" t="s">
        <v>33</v>
      </c>
      <c r="T170" s="1"/>
      <c r="U170" s="119"/>
      <c r="V170" s="108" t="s">
        <v>65</v>
      </c>
      <c r="W170" s="100">
        <v>9.8599999999999993E-2</v>
      </c>
      <c r="X170" s="101" t="s">
        <v>33</v>
      </c>
    </row>
    <row r="171" spans="2:24" ht="30" x14ac:dyDescent="0.25">
      <c r="B171" s="1"/>
      <c r="C171" s="119"/>
      <c r="D171" s="10" t="s">
        <v>66</v>
      </c>
      <c r="E171" s="112">
        <v>0.8</v>
      </c>
      <c r="F171" s="8" t="s">
        <v>35</v>
      </c>
      <c r="G171" s="106"/>
      <c r="H171" s="1"/>
      <c r="I171" s="119"/>
      <c r="J171" s="10" t="s">
        <v>66</v>
      </c>
      <c r="K171" s="112">
        <v>0.3</v>
      </c>
      <c r="L171" s="8" t="s">
        <v>35</v>
      </c>
      <c r="N171" s="1"/>
      <c r="O171" s="119"/>
      <c r="P171" s="10" t="s">
        <v>66</v>
      </c>
      <c r="Q171" s="112">
        <v>0</v>
      </c>
      <c r="R171" s="8" t="s">
        <v>35</v>
      </c>
      <c r="T171" s="1"/>
      <c r="U171" s="119"/>
      <c r="V171" s="10" t="s">
        <v>66</v>
      </c>
      <c r="W171" s="112">
        <v>0.8</v>
      </c>
      <c r="X171" s="8" t="s">
        <v>35</v>
      </c>
    </row>
    <row r="172" spans="2:24" ht="30" x14ac:dyDescent="0.25">
      <c r="B172" s="1"/>
      <c r="C172" s="119"/>
      <c r="D172" s="10" t="s">
        <v>72</v>
      </c>
      <c r="E172" s="113">
        <f>E171*E170</f>
        <v>3.1040000000000002E-2</v>
      </c>
      <c r="F172" s="8"/>
      <c r="H172" s="1"/>
      <c r="I172" s="119"/>
      <c r="J172" s="10" t="s">
        <v>72</v>
      </c>
      <c r="K172" s="113">
        <f>K171*K170</f>
        <v>9.1649999999999995E-2</v>
      </c>
      <c r="L172" s="8"/>
      <c r="M172" s="106"/>
      <c r="N172" s="1"/>
      <c r="O172" s="119"/>
      <c r="P172" s="10" t="s">
        <v>72</v>
      </c>
      <c r="Q172" s="113">
        <f>Q171*Q170</f>
        <v>0</v>
      </c>
      <c r="R172" s="8"/>
      <c r="T172" s="1"/>
      <c r="U172" s="119"/>
      <c r="V172" s="10" t="s">
        <v>72</v>
      </c>
      <c r="W172" s="113">
        <f>W171*W170</f>
        <v>7.8880000000000006E-2</v>
      </c>
      <c r="X172" s="8"/>
    </row>
    <row r="173" spans="2:24" ht="30.75" thickBot="1" x14ac:dyDescent="0.3">
      <c r="B173" s="2"/>
      <c r="C173" s="120"/>
      <c r="D173" s="12" t="s">
        <v>75</v>
      </c>
      <c r="E173" s="123">
        <v>0</v>
      </c>
      <c r="F173" s="15" t="s">
        <v>36</v>
      </c>
      <c r="H173" s="2"/>
      <c r="I173" s="120"/>
      <c r="J173" s="12" t="s">
        <v>75</v>
      </c>
      <c r="K173" s="123">
        <v>0</v>
      </c>
      <c r="L173" s="15" t="s">
        <v>36</v>
      </c>
      <c r="N173" s="2"/>
      <c r="O173" s="120"/>
      <c r="P173" s="12" t="s">
        <v>75</v>
      </c>
      <c r="Q173" s="123">
        <v>0</v>
      </c>
      <c r="R173" s="15" t="s">
        <v>36</v>
      </c>
      <c r="T173" s="2"/>
      <c r="U173" s="120"/>
      <c r="V173" s="12" t="s">
        <v>75</v>
      </c>
      <c r="W173" s="123">
        <v>0</v>
      </c>
      <c r="X173" s="15" t="s">
        <v>36</v>
      </c>
    </row>
    <row r="174" spans="2:24" x14ac:dyDescent="0.25">
      <c r="C174" s="3"/>
      <c r="O174" s="13"/>
      <c r="P174" s="14"/>
      <c r="Q174" s="13"/>
      <c r="R174" s="13"/>
    </row>
    <row r="175" spans="2:24" x14ac:dyDescent="0.25">
      <c r="C175" s="3"/>
    </row>
  </sheetData>
  <mergeCells count="67">
    <mergeCell ref="Z103:AD103"/>
    <mergeCell ref="H103:L103"/>
    <mergeCell ref="B128:F128"/>
    <mergeCell ref="Z101:AD101"/>
    <mergeCell ref="B101:F101"/>
    <mergeCell ref="H101:L101"/>
    <mergeCell ref="B126:F126"/>
    <mergeCell ref="Z102:AD102"/>
    <mergeCell ref="B102:F102"/>
    <mergeCell ref="H102:L102"/>
    <mergeCell ref="B127:F127"/>
    <mergeCell ref="N102:R102"/>
    <mergeCell ref="H127:L127"/>
    <mergeCell ref="Z105:AD105"/>
    <mergeCell ref="H105:L105"/>
    <mergeCell ref="N101:R101"/>
    <mergeCell ref="H153:L153"/>
    <mergeCell ref="N153:R153"/>
    <mergeCell ref="H55:L55"/>
    <mergeCell ref="H155:L155"/>
    <mergeCell ref="N155:R155"/>
    <mergeCell ref="H126:L126"/>
    <mergeCell ref="N105:R105"/>
    <mergeCell ref="N103:R103"/>
    <mergeCell ref="B152:F152"/>
    <mergeCell ref="H152:L152"/>
    <mergeCell ref="N152:R152"/>
    <mergeCell ref="T152:X152"/>
    <mergeCell ref="H53:L53"/>
    <mergeCell ref="B130:F130"/>
    <mergeCell ref="T105:X105"/>
    <mergeCell ref="T151:X151"/>
    <mergeCell ref="H51:L51"/>
    <mergeCell ref="B151:F151"/>
    <mergeCell ref="H151:L151"/>
    <mergeCell ref="N151:R151"/>
    <mergeCell ref="H52:L52"/>
    <mergeCell ref="H80:L80"/>
    <mergeCell ref="H13:K13"/>
    <mergeCell ref="H14:K14"/>
    <mergeCell ref="H15:K15"/>
    <mergeCell ref="B78:F78"/>
    <mergeCell ref="T103:X103"/>
    <mergeCell ref="B76:F76"/>
    <mergeCell ref="T101:X101"/>
    <mergeCell ref="B77:F77"/>
    <mergeCell ref="T102:X102"/>
    <mergeCell ref="B55:F55"/>
    <mergeCell ref="B80:F80"/>
    <mergeCell ref="B53:F53"/>
    <mergeCell ref="H16:K16"/>
    <mergeCell ref="H76:L76"/>
    <mergeCell ref="H77:L77"/>
    <mergeCell ref="H78:L78"/>
    <mergeCell ref="B2:F2"/>
    <mergeCell ref="B3:F3"/>
    <mergeCell ref="B4:F4"/>
    <mergeCell ref="B6:F6"/>
    <mergeCell ref="B52:F52"/>
    <mergeCell ref="B27:F27"/>
    <mergeCell ref="B51:F51"/>
    <mergeCell ref="B26:F26"/>
    <mergeCell ref="H8:K8"/>
    <mergeCell ref="H9:K9"/>
    <mergeCell ref="H10:K10"/>
    <mergeCell ref="H11:K11"/>
    <mergeCell ref="H12:K12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EQ</vt:lpstr>
      <vt:lpstr>AO-ALL</vt:lpstr>
      <vt:lpstr>EQ!Print_Titles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2021-03-31T04:09:34Z</dcterms:created>
  <dcterms:modified xsi:type="dcterms:W3CDTF">2021-10-20T20:03:52Z</dcterms:modified>
</cp:coreProperties>
</file>