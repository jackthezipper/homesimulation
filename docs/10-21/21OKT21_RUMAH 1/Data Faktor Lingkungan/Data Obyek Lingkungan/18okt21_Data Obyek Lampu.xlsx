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Data Obyek Lingkungan\"/>
    </mc:Choice>
  </mc:AlternateContent>
  <xr:revisionPtr revIDLastSave="0" documentId="13_ncr:1_{8CDE7E5B-49FB-4ABD-8437-98685F1E312E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AO-LIGH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1" i="1" l="1"/>
  <c r="Q137" i="1"/>
  <c r="Q138" i="1" s="1"/>
  <c r="Q125" i="1"/>
  <c r="Q128" i="1" s="1"/>
  <c r="Q127" i="1" s="1"/>
  <c r="Q131" i="1" s="1"/>
  <c r="Q114" i="1"/>
  <c r="Q115" i="1" s="1"/>
  <c r="Q105" i="1"/>
  <c r="Q104" i="1" s="1"/>
  <c r="Q108" i="1" s="1"/>
  <c r="Q102" i="1"/>
  <c r="Q91" i="1"/>
  <c r="Q92" i="1" s="1"/>
  <c r="Q79" i="1"/>
  <c r="Q82" i="1" s="1"/>
  <c r="Q68" i="1"/>
  <c r="Q69" i="1" s="1"/>
  <c r="Q56" i="1"/>
  <c r="Q33" i="1"/>
  <c r="Q36" i="1" s="1"/>
  <c r="E10" i="1"/>
  <c r="K10" i="1"/>
  <c r="K13" i="1" s="1"/>
  <c r="Q10" i="1"/>
  <c r="Q13" i="1" s="1"/>
  <c r="E13" i="1"/>
  <c r="E18" i="1"/>
  <c r="K18" i="1"/>
  <c r="Q18" i="1"/>
  <c r="E33" i="1"/>
  <c r="K33" i="1"/>
  <c r="K36" i="1" s="1"/>
  <c r="E36" i="1"/>
  <c r="E41" i="1"/>
  <c r="K41" i="1"/>
  <c r="E45" i="1"/>
  <c r="E46" i="1" s="1"/>
  <c r="K45" i="1"/>
  <c r="K46" i="1" s="1"/>
  <c r="E56" i="1"/>
  <c r="E59" i="1" s="1"/>
  <c r="E58" i="1" s="1"/>
  <c r="E62" i="1" s="1"/>
  <c r="K56" i="1"/>
  <c r="E64" i="1"/>
  <c r="K68" i="1"/>
  <c r="K69" i="1" s="1"/>
  <c r="E79" i="1"/>
  <c r="E82" i="1" s="1"/>
  <c r="K79" i="1"/>
  <c r="K82" i="1" s="1"/>
  <c r="K81" i="1" s="1"/>
  <c r="K85" i="1" s="1"/>
  <c r="E87" i="1"/>
  <c r="K87" i="1"/>
  <c r="E92" i="1"/>
  <c r="K91" i="1"/>
  <c r="K92" i="1" s="1"/>
  <c r="E102" i="1"/>
  <c r="E105" i="1" s="1"/>
  <c r="E104" i="1" s="1"/>
  <c r="E108" i="1" s="1"/>
  <c r="K102" i="1"/>
  <c r="E110" i="1"/>
  <c r="K110" i="1"/>
  <c r="E125" i="1"/>
  <c r="E128" i="1" s="1"/>
  <c r="K125" i="1"/>
  <c r="K128" i="1" s="1"/>
  <c r="K127" i="1" s="1"/>
  <c r="K131" i="1" s="1"/>
  <c r="E133" i="1"/>
  <c r="K133" i="1"/>
  <c r="K137" i="1"/>
  <c r="K138" i="1" s="1"/>
  <c r="E149" i="1"/>
  <c r="E152" i="1"/>
  <c r="E151" i="1" s="1"/>
  <c r="E155" i="1" s="1"/>
  <c r="E157" i="1"/>
  <c r="Q22" i="1" l="1"/>
  <c r="Q23" i="1" s="1"/>
  <c r="E137" i="1"/>
  <c r="E138" i="1" s="1"/>
  <c r="K114" i="1"/>
  <c r="K115" i="1" s="1"/>
  <c r="E68" i="1"/>
  <c r="E69" i="1" s="1"/>
  <c r="K22" i="1"/>
  <c r="K23" i="1" s="1"/>
  <c r="E12" i="1"/>
  <c r="E16" i="1" s="1"/>
  <c r="Q45" i="1"/>
  <c r="Q46" i="1" s="1"/>
  <c r="E114" i="1"/>
  <c r="E115" i="1" s="1"/>
  <c r="E161" i="1"/>
  <c r="E162" i="1" s="1"/>
  <c r="Q59" i="1"/>
  <c r="Q58" i="1" s="1"/>
  <c r="Q62" i="1" s="1"/>
  <c r="Q81" i="1"/>
  <c r="Q85" i="1" s="1"/>
  <c r="Q35" i="1"/>
  <c r="Q39" i="1" s="1"/>
  <c r="K35" i="1"/>
  <c r="K39" i="1" s="1"/>
  <c r="K12" i="1"/>
  <c r="K16" i="1" s="1"/>
  <c r="E127" i="1"/>
  <c r="E131" i="1" s="1"/>
  <c r="K105" i="1"/>
  <c r="K104" i="1" s="1"/>
  <c r="K108" i="1" s="1"/>
  <c r="E81" i="1"/>
  <c r="E85" i="1" s="1"/>
  <c r="K59" i="1"/>
  <c r="K58" i="1" s="1"/>
  <c r="K62" i="1" s="1"/>
  <c r="E35" i="1"/>
  <c r="E39" i="1" s="1"/>
  <c r="E22" i="1"/>
  <c r="E23" i="1" s="1"/>
  <c r="Q12" i="1"/>
  <c r="Q16" i="1" s="1"/>
</calcChain>
</file>

<file path=xl/sharedStrings.xml><?xml version="1.0" encoding="utf-8"?>
<sst xmlns="http://schemas.openxmlformats.org/spreadsheetml/2006/main" count="842" uniqueCount="77">
  <si>
    <t>kumulatif konsumsi energi</t>
  </si>
  <si>
    <t>Total Cumulative Energy Consumption</t>
  </si>
  <si>
    <t>Current Energy Consumption</t>
  </si>
  <si>
    <t>jam</t>
  </si>
  <si>
    <t>Current Consumption Time</t>
  </si>
  <si>
    <t>kw/j</t>
  </si>
  <si>
    <t>Energy Consumption Rate</t>
  </si>
  <si>
    <t>Listrik</t>
  </si>
  <si>
    <t>Energy Type</t>
  </si>
  <si>
    <t>Status</t>
  </si>
  <si>
    <t>Lighting</t>
  </si>
  <si>
    <t>Function</t>
  </si>
  <si>
    <t>Machine Activity</t>
  </si>
  <si>
    <t>rusak, kurang bagus, bagus, sangat bagus</t>
  </si>
  <si>
    <t>Condition</t>
  </si>
  <si>
    <t>level</t>
  </si>
  <si>
    <t>Current State</t>
  </si>
  <si>
    <t>Cleanliness</t>
  </si>
  <si>
    <t>kumulatif maintenance</t>
  </si>
  <si>
    <t>Total Cumulative Maintenance</t>
  </si>
  <si>
    <t>Maintenance</t>
  </si>
  <si>
    <t>hari</t>
  </si>
  <si>
    <t>Sisa Umur</t>
  </si>
  <si>
    <t>Age</t>
  </si>
  <si>
    <t>Lifespan</t>
  </si>
  <si>
    <t>tanggal dibeli</t>
  </si>
  <si>
    <t>Date Created</t>
  </si>
  <si>
    <t>Code</t>
  </si>
  <si>
    <t>LA15</t>
  </si>
  <si>
    <t>Name</t>
  </si>
  <si>
    <t>LA13</t>
  </si>
  <si>
    <t>A. Active Attribute</t>
  </si>
  <si>
    <t>Note</t>
  </si>
  <si>
    <t xml:space="preserve">Parameter </t>
  </si>
  <si>
    <t>Variable ii</t>
  </si>
  <si>
    <t>Variable i</t>
  </si>
  <si>
    <t>No</t>
  </si>
  <si>
    <t>ACTIVE OBJECT</t>
  </si>
  <si>
    <t>COMPONENTS</t>
  </si>
  <si>
    <t>ABM</t>
  </si>
  <si>
    <t>RDP01-LA12</t>
  </si>
  <si>
    <t>LA14</t>
  </si>
  <si>
    <t>LA12</t>
  </si>
  <si>
    <t>LA11</t>
  </si>
  <si>
    <t>LA09</t>
  </si>
  <si>
    <t>LA10</t>
  </si>
  <si>
    <t>LA19</t>
  </si>
  <si>
    <t>LA16</t>
  </si>
  <si>
    <t>LA08</t>
  </si>
  <si>
    <t>LA17</t>
  </si>
  <si>
    <t>LA07</t>
  </si>
  <si>
    <t>LA06</t>
  </si>
  <si>
    <t>LA05</t>
  </si>
  <si>
    <t>LA18</t>
  </si>
  <si>
    <t>LA03</t>
  </si>
  <si>
    <t>LA04</t>
  </si>
  <si>
    <t>LA02</t>
  </si>
  <si>
    <t>LA01</t>
  </si>
  <si>
    <t>RTS01-LA01</t>
  </si>
  <si>
    <t>RTM01-LA02</t>
  </si>
  <si>
    <t>RKG01-LA03</t>
  </si>
  <si>
    <t>RTU01-LA04</t>
  </si>
  <si>
    <t>RTU02-LA05</t>
  </si>
  <si>
    <t>RKM01-LA06</t>
  </si>
  <si>
    <t>RKM02-LA07</t>
  </si>
  <si>
    <t>RDP02-LA08</t>
  </si>
  <si>
    <t>RGS01-LA09</t>
  </si>
  <si>
    <t>RKM03-LA10</t>
  </si>
  <si>
    <t>RBK01-LA11</t>
  </si>
  <si>
    <t>RTG01-LA13</t>
  </si>
  <si>
    <t>RKJ01-LA14</t>
  </si>
  <si>
    <t>RKJ01-LA15</t>
  </si>
  <si>
    <t>RTD03-LA16</t>
  </si>
  <si>
    <t>RTD01-LA17</t>
  </si>
  <si>
    <t>RTD02-LA18</t>
  </si>
  <si>
    <t>RKM04-LA19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</si>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</sst>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/>
    <xf numFmtId="0" fontId="0" fillId="0" borderId="4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2" borderId="5" xfId="0" quotePrefix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ont="1" applyFill="1" applyBorder="1" applyAlignment="1">
      <alignment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164" fontId="0" fillId="2" borderId="5" xfId="0" applyNumberFormat="1" applyFill="1" applyBorder="1" applyAlignment="1">
      <alignment vertical="center"/>
    </xf>
    <xf numFmtId="1" fontId="0" fillId="2" borderId="5" xfId="0" applyNumberForma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ill="1" applyBorder="1"/>
    <xf numFmtId="14" fontId="0" fillId="3" borderId="5" xfId="0" applyNumberFormat="1" applyFill="1" applyBorder="1" applyAlignment="1">
      <alignment horizontal="center" vertical="center" wrapText="1"/>
    </xf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18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4%20-%20Rumah%2001/Data%20Faktor%20Lingkungan/Data%20Obyek%20Lingkungan/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>
        <row r="59">
          <cell r="N59" t="str">
            <v>on</v>
          </cell>
          <cell r="W59" t="str">
            <v>on</v>
          </cell>
          <cell r="AF59" t="str">
            <v>off</v>
          </cell>
          <cell r="AO59" t="str">
            <v>off</v>
          </cell>
          <cell r="AX59" t="str">
            <v>off</v>
          </cell>
          <cell r="BG59" t="str">
            <v>off</v>
          </cell>
          <cell r="BP59" t="str">
            <v>off</v>
          </cell>
          <cell r="BY59" t="str">
            <v>off</v>
          </cell>
          <cell r="CH59" t="str">
            <v>off</v>
          </cell>
          <cell r="CQ59" t="str">
            <v>off</v>
          </cell>
        </row>
        <row r="60">
          <cell r="AX60" t="str">
            <v>on</v>
          </cell>
          <cell r="BG60" t="str">
            <v>on</v>
          </cell>
          <cell r="BP60" t="str">
            <v>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08"/>
  <sheetViews>
    <sheetView tabSelected="1" topLeftCell="B1" zoomScaleNormal="100" workbookViewId="0">
      <selection activeCell="K22" sqref="K22"/>
    </sheetView>
  </sheetViews>
  <sheetFormatPr defaultRowHeight="15" x14ac:dyDescent="0.25"/>
  <cols>
    <col min="1" max="1" width="9.140625" style="1"/>
    <col min="2" max="2" width="3.42578125" style="1" bestFit="1" customWidth="1"/>
    <col min="3" max="3" width="20.7109375" style="1" customWidth="1"/>
    <col min="4" max="4" width="24.85546875" style="1" customWidth="1"/>
    <col min="5" max="6" width="20.7109375" style="1" customWidth="1"/>
    <col min="7" max="7" width="1.7109375" style="1" customWidth="1"/>
    <col min="8" max="8" width="3.42578125" style="1" bestFit="1" customWidth="1"/>
    <col min="9" max="9" width="20.7109375" style="1" customWidth="1"/>
    <col min="10" max="10" width="24.85546875" style="1" customWidth="1"/>
    <col min="11" max="12" width="20.7109375" style="1" customWidth="1"/>
    <col min="13" max="13" width="1.7109375" style="1" customWidth="1"/>
    <col min="14" max="14" width="3.42578125" style="1" bestFit="1" customWidth="1"/>
    <col min="15" max="15" width="20.7109375" style="1" customWidth="1"/>
    <col min="16" max="16" width="24.85546875" style="1" customWidth="1"/>
    <col min="17" max="18" width="20.7109375" style="1" customWidth="1"/>
    <col min="19" max="16384" width="9.140625" style="1"/>
  </cols>
  <sheetData>
    <row r="1" spans="2:18" ht="15.75" thickBot="1" x14ac:dyDescent="0.3"/>
    <row r="2" spans="2:18" x14ac:dyDescent="0.25">
      <c r="B2" s="45" t="s">
        <v>39</v>
      </c>
      <c r="C2" s="46"/>
      <c r="D2" s="46"/>
      <c r="E2" s="46"/>
      <c r="F2" s="47"/>
      <c r="H2" s="45" t="s">
        <v>39</v>
      </c>
      <c r="I2" s="46"/>
      <c r="J2" s="46"/>
      <c r="K2" s="46"/>
      <c r="L2" s="47"/>
      <c r="N2" s="45" t="s">
        <v>39</v>
      </c>
      <c r="O2" s="46"/>
      <c r="P2" s="46"/>
      <c r="Q2" s="46"/>
      <c r="R2" s="47"/>
    </row>
    <row r="3" spans="2:18" ht="15.75" thickBot="1" x14ac:dyDescent="0.3">
      <c r="B3" s="42" t="s">
        <v>38</v>
      </c>
      <c r="C3" s="43"/>
      <c r="D3" s="43"/>
      <c r="E3" s="43"/>
      <c r="F3" s="44"/>
      <c r="H3" s="42" t="s">
        <v>38</v>
      </c>
      <c r="I3" s="43"/>
      <c r="J3" s="43"/>
      <c r="K3" s="43"/>
      <c r="L3" s="44"/>
      <c r="N3" s="42" t="s">
        <v>38</v>
      </c>
      <c r="O3" s="43"/>
      <c r="P3" s="43"/>
      <c r="Q3" s="43"/>
      <c r="R3" s="44"/>
    </row>
    <row r="4" spans="2:18" x14ac:dyDescent="0.25">
      <c r="B4" s="36" t="s">
        <v>37</v>
      </c>
      <c r="C4" s="37"/>
      <c r="D4" s="37"/>
      <c r="E4" s="37"/>
      <c r="F4" s="38"/>
      <c r="H4" s="36" t="s">
        <v>37</v>
      </c>
      <c r="I4" s="37"/>
      <c r="J4" s="37"/>
      <c r="K4" s="37"/>
      <c r="L4" s="38"/>
      <c r="N4" s="36" t="s">
        <v>37</v>
      </c>
      <c r="O4" s="37"/>
      <c r="P4" s="37"/>
      <c r="Q4" s="37"/>
      <c r="R4" s="38"/>
    </row>
    <row r="5" spans="2:18" ht="15.75" thickBot="1" x14ac:dyDescent="0.3">
      <c r="B5" s="32" t="s">
        <v>36</v>
      </c>
      <c r="C5" s="31" t="s">
        <v>35</v>
      </c>
      <c r="D5" s="31" t="s">
        <v>34</v>
      </c>
      <c r="E5" s="31" t="s">
        <v>33</v>
      </c>
      <c r="F5" s="30" t="s">
        <v>32</v>
      </c>
      <c r="H5" s="32" t="s">
        <v>36</v>
      </c>
      <c r="I5" s="31" t="s">
        <v>35</v>
      </c>
      <c r="J5" s="31" t="s">
        <v>34</v>
      </c>
      <c r="K5" s="31" t="s">
        <v>33</v>
      </c>
      <c r="L5" s="30" t="s">
        <v>32</v>
      </c>
      <c r="N5" s="32" t="s">
        <v>36</v>
      </c>
      <c r="O5" s="31" t="s">
        <v>35</v>
      </c>
      <c r="P5" s="31" t="s">
        <v>34</v>
      </c>
      <c r="Q5" s="31" t="s">
        <v>33</v>
      </c>
      <c r="R5" s="30" t="s">
        <v>32</v>
      </c>
    </row>
    <row r="6" spans="2:18" x14ac:dyDescent="0.25">
      <c r="B6" s="39" t="s">
        <v>31</v>
      </c>
      <c r="C6" s="40"/>
      <c r="D6" s="40"/>
      <c r="E6" s="40"/>
      <c r="F6" s="41"/>
      <c r="H6" s="39" t="s">
        <v>31</v>
      </c>
      <c r="I6" s="40"/>
      <c r="J6" s="40"/>
      <c r="K6" s="40"/>
      <c r="L6" s="41"/>
      <c r="N6" s="39" t="s">
        <v>31</v>
      </c>
      <c r="O6" s="40"/>
      <c r="P6" s="40"/>
      <c r="Q6" s="40"/>
      <c r="R6" s="41"/>
    </row>
    <row r="7" spans="2:18" x14ac:dyDescent="0.25">
      <c r="B7" s="28"/>
      <c r="C7" s="27" t="s">
        <v>29</v>
      </c>
      <c r="D7" s="16"/>
      <c r="E7" s="14" t="s">
        <v>57</v>
      </c>
      <c r="F7" s="13"/>
      <c r="H7" s="28"/>
      <c r="I7" s="27" t="s">
        <v>29</v>
      </c>
      <c r="J7" s="16"/>
      <c r="K7" s="14" t="s">
        <v>56</v>
      </c>
      <c r="L7" s="13"/>
      <c r="N7" s="28"/>
      <c r="O7" s="27" t="s">
        <v>29</v>
      </c>
      <c r="P7" s="16"/>
      <c r="Q7" s="14" t="s">
        <v>54</v>
      </c>
      <c r="R7" s="13"/>
    </row>
    <row r="8" spans="2:18" x14ac:dyDescent="0.25">
      <c r="B8" s="28"/>
      <c r="C8" s="27" t="s">
        <v>27</v>
      </c>
      <c r="D8" s="16"/>
      <c r="E8" s="14" t="s">
        <v>58</v>
      </c>
      <c r="F8" s="13"/>
      <c r="H8" s="28"/>
      <c r="I8" s="27" t="s">
        <v>27</v>
      </c>
      <c r="J8" s="16"/>
      <c r="K8" s="14" t="s">
        <v>59</v>
      </c>
      <c r="L8" s="13"/>
      <c r="N8" s="28"/>
      <c r="O8" s="27" t="s">
        <v>27</v>
      </c>
      <c r="P8" s="16"/>
      <c r="Q8" s="14" t="s">
        <v>60</v>
      </c>
      <c r="R8" s="13"/>
    </row>
    <row r="9" spans="2:18" hidden="1" x14ac:dyDescent="0.25">
      <c r="B9" s="28"/>
      <c r="C9" s="27" t="s">
        <v>26</v>
      </c>
      <c r="D9" s="16"/>
      <c r="E9" s="29"/>
      <c r="F9" s="13" t="s">
        <v>25</v>
      </c>
      <c r="H9" s="28"/>
      <c r="I9" s="27" t="s">
        <v>26</v>
      </c>
      <c r="J9" s="16"/>
      <c r="K9" s="29"/>
      <c r="L9" s="13" t="s">
        <v>25</v>
      </c>
      <c r="N9" s="28"/>
      <c r="O9" s="27" t="s">
        <v>26</v>
      </c>
      <c r="P9" s="16"/>
      <c r="Q9" s="29"/>
      <c r="R9" s="13" t="s">
        <v>25</v>
      </c>
    </row>
    <row r="10" spans="2:18" hidden="1" x14ac:dyDescent="0.25">
      <c r="B10" s="28"/>
      <c r="C10" s="27" t="s">
        <v>24</v>
      </c>
      <c r="D10" s="16"/>
      <c r="E10" s="14">
        <f>13.5*12*30</f>
        <v>4860</v>
      </c>
      <c r="F10" s="13" t="s">
        <v>21</v>
      </c>
      <c r="H10" s="28"/>
      <c r="I10" s="27" t="s">
        <v>24</v>
      </c>
      <c r="J10" s="16"/>
      <c r="K10" s="14">
        <f>13.5*12*30</f>
        <v>4860</v>
      </c>
      <c r="L10" s="13" t="s">
        <v>21</v>
      </c>
      <c r="N10" s="28"/>
      <c r="O10" s="27" t="s">
        <v>24</v>
      </c>
      <c r="P10" s="16"/>
      <c r="Q10" s="14">
        <f>13.5*12*30</f>
        <v>4860</v>
      </c>
      <c r="R10" s="13" t="s">
        <v>21</v>
      </c>
    </row>
    <row r="11" spans="2:18" hidden="1" x14ac:dyDescent="0.25">
      <c r="B11" s="10"/>
      <c r="C11" s="17" t="s">
        <v>23</v>
      </c>
      <c r="D11" s="22"/>
      <c r="E11" s="19">
        <v>0</v>
      </c>
      <c r="F11" s="6" t="s">
        <v>21</v>
      </c>
      <c r="H11" s="10"/>
      <c r="I11" s="17" t="s">
        <v>23</v>
      </c>
      <c r="J11" s="22"/>
      <c r="K11" s="19">
        <v>0</v>
      </c>
      <c r="L11" s="6" t="s">
        <v>21</v>
      </c>
      <c r="N11" s="10"/>
      <c r="O11" s="17" t="s">
        <v>23</v>
      </c>
      <c r="P11" s="22"/>
      <c r="Q11" s="19">
        <v>0</v>
      </c>
      <c r="R11" s="6" t="s">
        <v>21</v>
      </c>
    </row>
    <row r="12" spans="2:18" hidden="1" x14ac:dyDescent="0.25">
      <c r="B12" s="10"/>
      <c r="C12" s="17" t="s">
        <v>22</v>
      </c>
      <c r="D12" s="22"/>
      <c r="E12" s="26">
        <f>E10-E11-(E13+E15)/2*10</f>
        <v>4860</v>
      </c>
      <c r="F12" s="6" t="s">
        <v>21</v>
      </c>
      <c r="H12" s="10"/>
      <c r="I12" s="17" t="s">
        <v>22</v>
      </c>
      <c r="J12" s="22"/>
      <c r="K12" s="26">
        <f>K10-K11-(K13+K15)/2*10</f>
        <v>4860</v>
      </c>
      <c r="L12" s="6" t="s">
        <v>21</v>
      </c>
      <c r="N12" s="10"/>
      <c r="O12" s="17" t="s">
        <v>22</v>
      </c>
      <c r="P12" s="22"/>
      <c r="Q12" s="26">
        <f>Q10-Q11-(Q13+Q15)/2*10</f>
        <v>4860</v>
      </c>
      <c r="R12" s="6" t="s">
        <v>21</v>
      </c>
    </row>
    <row r="13" spans="2:18" hidden="1" x14ac:dyDescent="0.25">
      <c r="B13" s="10"/>
      <c r="C13" s="17" t="s">
        <v>20</v>
      </c>
      <c r="D13" s="22" t="s">
        <v>16</v>
      </c>
      <c r="E13" s="25">
        <f>((E11/E10)*10-E14)</f>
        <v>0</v>
      </c>
      <c r="F13" s="6" t="s">
        <v>15</v>
      </c>
      <c r="H13" s="10"/>
      <c r="I13" s="17" t="s">
        <v>20</v>
      </c>
      <c r="J13" s="22" t="s">
        <v>16</v>
      </c>
      <c r="K13" s="25">
        <f>((K11/K10)*10-K14)</f>
        <v>0</v>
      </c>
      <c r="L13" s="6" t="s">
        <v>15</v>
      </c>
      <c r="N13" s="10"/>
      <c r="O13" s="17" t="s">
        <v>20</v>
      </c>
      <c r="P13" s="22" t="s">
        <v>16</v>
      </c>
      <c r="Q13" s="25">
        <f>((Q11/Q10)*10-Q14)</f>
        <v>0</v>
      </c>
      <c r="R13" s="6" t="s">
        <v>15</v>
      </c>
    </row>
    <row r="14" spans="2:18" ht="30" hidden="1" x14ac:dyDescent="0.25">
      <c r="B14" s="10"/>
      <c r="C14" s="17"/>
      <c r="D14" s="8" t="s">
        <v>19</v>
      </c>
      <c r="E14" s="23">
        <v>0</v>
      </c>
      <c r="F14" s="6" t="s">
        <v>18</v>
      </c>
      <c r="H14" s="10"/>
      <c r="I14" s="17"/>
      <c r="J14" s="8" t="s">
        <v>19</v>
      </c>
      <c r="K14" s="23">
        <v>0</v>
      </c>
      <c r="L14" s="6" t="s">
        <v>18</v>
      </c>
      <c r="N14" s="10"/>
      <c r="O14" s="17"/>
      <c r="P14" s="8" t="s">
        <v>19</v>
      </c>
      <c r="Q14" s="23">
        <v>0</v>
      </c>
      <c r="R14" s="6" t="s">
        <v>18</v>
      </c>
    </row>
    <row r="15" spans="2:18" hidden="1" x14ac:dyDescent="0.25">
      <c r="B15" s="10"/>
      <c r="C15" s="20" t="s">
        <v>17</v>
      </c>
      <c r="D15" s="24" t="s">
        <v>16</v>
      </c>
      <c r="E15" s="23">
        <v>0</v>
      </c>
      <c r="F15" s="18" t="s">
        <v>15</v>
      </c>
      <c r="H15" s="10"/>
      <c r="I15" s="20" t="s">
        <v>17</v>
      </c>
      <c r="J15" s="24" t="s">
        <v>16</v>
      </c>
      <c r="K15" s="23">
        <v>0</v>
      </c>
      <c r="L15" s="18" t="s">
        <v>15</v>
      </c>
      <c r="N15" s="10"/>
      <c r="O15" s="20" t="s">
        <v>17</v>
      </c>
      <c r="P15" s="24" t="s">
        <v>16</v>
      </c>
      <c r="Q15" s="23">
        <v>0</v>
      </c>
      <c r="R15" s="18" t="s">
        <v>15</v>
      </c>
    </row>
    <row r="16" spans="2:18" ht="30" hidden="1" x14ac:dyDescent="0.25">
      <c r="B16" s="10"/>
      <c r="C16" s="17" t="s">
        <v>14</v>
      </c>
      <c r="D16" s="22"/>
      <c r="E16" s="21">
        <f>(E12/E10)</f>
        <v>1</v>
      </c>
      <c r="F16" s="6" t="s">
        <v>13</v>
      </c>
      <c r="H16" s="10"/>
      <c r="I16" s="17" t="s">
        <v>14</v>
      </c>
      <c r="J16" s="22"/>
      <c r="K16" s="21">
        <f>(K12/K10)</f>
        <v>1</v>
      </c>
      <c r="L16" s="6" t="s">
        <v>13</v>
      </c>
      <c r="N16" s="10"/>
      <c r="O16" s="17" t="s">
        <v>14</v>
      </c>
      <c r="P16" s="22"/>
      <c r="Q16" s="21">
        <f>(Q12/Q10)</f>
        <v>1</v>
      </c>
      <c r="R16" s="6" t="s">
        <v>13</v>
      </c>
    </row>
    <row r="17" spans="2:18" x14ac:dyDescent="0.25">
      <c r="B17" s="10"/>
      <c r="C17" s="17" t="s">
        <v>12</v>
      </c>
      <c r="D17" s="16" t="s">
        <v>11</v>
      </c>
      <c r="E17" s="14" t="s">
        <v>10</v>
      </c>
      <c r="F17" s="13"/>
      <c r="H17" s="10"/>
      <c r="I17" s="17" t="s">
        <v>12</v>
      </c>
      <c r="J17" s="16" t="s">
        <v>11</v>
      </c>
      <c r="K17" s="14" t="s">
        <v>10</v>
      </c>
      <c r="L17" s="13"/>
      <c r="N17" s="10"/>
      <c r="O17" s="17" t="s">
        <v>12</v>
      </c>
      <c r="P17" s="16" t="s">
        <v>11</v>
      </c>
      <c r="Q17" s="14" t="s">
        <v>10</v>
      </c>
      <c r="R17" s="13"/>
    </row>
    <row r="18" spans="2:18" x14ac:dyDescent="0.25">
      <c r="B18" s="10"/>
      <c r="D18" s="20" t="s">
        <v>9</v>
      </c>
      <c r="E18" s="19" t="str">
        <f>'[1]Data Lingkungan (DL)'!N59</f>
        <v>on</v>
      </c>
      <c r="F18" s="18"/>
      <c r="H18" s="10"/>
      <c r="J18" s="20" t="s">
        <v>9</v>
      </c>
      <c r="K18" s="19" t="str">
        <f>'[1]Data Lingkungan (DL)'!W59</f>
        <v>on</v>
      </c>
      <c r="L18" s="18"/>
      <c r="N18" s="10"/>
      <c r="P18" s="20" t="s">
        <v>9</v>
      </c>
      <c r="Q18" s="19" t="str">
        <f>'[1]Data Lingkungan (DL)'!AF59</f>
        <v>off</v>
      </c>
      <c r="R18" s="18"/>
    </row>
    <row r="19" spans="2:18" x14ac:dyDescent="0.25">
      <c r="B19" s="10"/>
      <c r="C19" s="17"/>
      <c r="D19" s="16" t="s">
        <v>8</v>
      </c>
      <c r="E19" s="14" t="s">
        <v>7</v>
      </c>
      <c r="F19" s="13"/>
      <c r="H19" s="10"/>
      <c r="I19" s="17"/>
      <c r="J19" s="16" t="s">
        <v>8</v>
      </c>
      <c r="K19" s="14" t="s">
        <v>7</v>
      </c>
      <c r="L19" s="13"/>
      <c r="N19" s="10"/>
      <c r="O19" s="17"/>
      <c r="P19" s="16" t="s">
        <v>8</v>
      </c>
      <c r="Q19" s="14" t="s">
        <v>7</v>
      </c>
      <c r="R19" s="13"/>
    </row>
    <row r="20" spans="2:18" x14ac:dyDescent="0.25">
      <c r="B20" s="10"/>
      <c r="C20" s="9"/>
      <c r="D20" s="15" t="s">
        <v>6</v>
      </c>
      <c r="E20" s="14">
        <v>7.0000000000000001E-3</v>
      </c>
      <c r="F20" s="13" t="s">
        <v>5</v>
      </c>
      <c r="H20" s="10"/>
      <c r="I20" s="9"/>
      <c r="J20" s="15" t="s">
        <v>6</v>
      </c>
      <c r="K20" s="14">
        <v>1.2E-2</v>
      </c>
      <c r="L20" s="13" t="s">
        <v>5</v>
      </c>
      <c r="N20" s="10"/>
      <c r="O20" s="9"/>
      <c r="P20" s="15" t="s">
        <v>6</v>
      </c>
      <c r="Q20" s="14">
        <v>1.4999999999999999E-2</v>
      </c>
      <c r="R20" s="13" t="s">
        <v>5</v>
      </c>
    </row>
    <row r="21" spans="2:18" ht="30" x14ac:dyDescent="0.25">
      <c r="B21" s="10"/>
      <c r="C21" s="9"/>
      <c r="D21" s="8" t="s">
        <v>4</v>
      </c>
      <c r="E21" s="7">
        <v>0</v>
      </c>
      <c r="F21" s="6" t="s">
        <v>3</v>
      </c>
      <c r="G21" s="12"/>
      <c r="H21" s="10"/>
      <c r="I21" s="9"/>
      <c r="J21" s="8" t="s">
        <v>4</v>
      </c>
      <c r="K21" s="7">
        <v>0.3</v>
      </c>
      <c r="L21" s="6" t="s">
        <v>3</v>
      </c>
      <c r="M21" s="12"/>
      <c r="N21" s="10"/>
      <c r="O21" s="9"/>
      <c r="P21" s="8" t="s">
        <v>4</v>
      </c>
      <c r="Q21" s="7">
        <v>24</v>
      </c>
      <c r="R21" s="6" t="s">
        <v>3</v>
      </c>
    </row>
    <row r="22" spans="2:18" ht="30" x14ac:dyDescent="0.25">
      <c r="B22" s="10"/>
      <c r="C22" s="9"/>
      <c r="D22" s="8" t="s">
        <v>2</v>
      </c>
      <c r="E22" s="11">
        <f>E21*E20</f>
        <v>0</v>
      </c>
      <c r="F22" s="6"/>
      <c r="H22" s="10"/>
      <c r="I22" s="9"/>
      <c r="J22" s="8" t="s">
        <v>2</v>
      </c>
      <c r="K22" s="11">
        <f>K21*K20</f>
        <v>3.5999999999999999E-3</v>
      </c>
      <c r="L22" s="6"/>
      <c r="N22" s="10"/>
      <c r="O22" s="9"/>
      <c r="P22" s="8" t="s">
        <v>2</v>
      </c>
      <c r="Q22" s="11">
        <f>Q21*Q20</f>
        <v>0.36</v>
      </c>
      <c r="R22" s="6"/>
    </row>
    <row r="23" spans="2:18" ht="30.75" thickBot="1" x14ac:dyDescent="0.3">
      <c r="B23" s="5"/>
      <c r="C23" s="35"/>
      <c r="D23" s="4" t="s">
        <v>1</v>
      </c>
      <c r="E23" s="34">
        <f>E22</f>
        <v>0</v>
      </c>
      <c r="F23" s="33" t="s">
        <v>0</v>
      </c>
      <c r="H23" s="5"/>
      <c r="I23" s="35"/>
      <c r="J23" s="4" t="s">
        <v>1</v>
      </c>
      <c r="K23" s="34">
        <f>K22</f>
        <v>3.5999999999999999E-3</v>
      </c>
      <c r="L23" s="33" t="s">
        <v>0</v>
      </c>
      <c r="N23" s="5"/>
      <c r="O23" s="35"/>
      <c r="P23" s="4" t="s">
        <v>1</v>
      </c>
      <c r="Q23" s="34">
        <f>Q22</f>
        <v>0.36</v>
      </c>
      <c r="R23" s="33" t="s">
        <v>0</v>
      </c>
    </row>
    <row r="24" spans="2:18" ht="15.75" thickBot="1" x14ac:dyDescent="0.3"/>
    <row r="25" spans="2:18" x14ac:dyDescent="0.25">
      <c r="B25" s="45" t="s">
        <v>39</v>
      </c>
      <c r="C25" s="46"/>
      <c r="D25" s="46"/>
      <c r="E25" s="46"/>
      <c r="F25" s="47"/>
      <c r="H25" s="45" t="s">
        <v>39</v>
      </c>
      <c r="I25" s="46"/>
      <c r="J25" s="46"/>
      <c r="K25" s="46"/>
      <c r="L25" s="47"/>
      <c r="N25" s="45" t="s">
        <v>39</v>
      </c>
      <c r="O25" s="46"/>
      <c r="P25" s="46"/>
      <c r="Q25" s="46"/>
      <c r="R25" s="47"/>
    </row>
    <row r="26" spans="2:18" ht="15.75" thickBot="1" x14ac:dyDescent="0.3">
      <c r="B26" s="42" t="s">
        <v>38</v>
      </c>
      <c r="C26" s="43"/>
      <c r="D26" s="43"/>
      <c r="E26" s="43"/>
      <c r="F26" s="44"/>
      <c r="H26" s="42" t="s">
        <v>38</v>
      </c>
      <c r="I26" s="43"/>
      <c r="J26" s="43"/>
      <c r="K26" s="43"/>
      <c r="L26" s="44"/>
      <c r="N26" s="42" t="s">
        <v>38</v>
      </c>
      <c r="O26" s="43"/>
      <c r="P26" s="43"/>
      <c r="Q26" s="43"/>
      <c r="R26" s="44"/>
    </row>
    <row r="27" spans="2:18" x14ac:dyDescent="0.25">
      <c r="B27" s="36" t="s">
        <v>37</v>
      </c>
      <c r="C27" s="37"/>
      <c r="D27" s="37"/>
      <c r="E27" s="37"/>
      <c r="F27" s="38"/>
      <c r="H27" s="36" t="s">
        <v>37</v>
      </c>
      <c r="I27" s="37"/>
      <c r="J27" s="37"/>
      <c r="K27" s="37"/>
      <c r="L27" s="38"/>
      <c r="N27" s="36" t="s">
        <v>37</v>
      </c>
      <c r="O27" s="37"/>
      <c r="P27" s="37"/>
      <c r="Q27" s="37"/>
      <c r="R27" s="38"/>
    </row>
    <row r="28" spans="2:18" ht="15.75" thickBot="1" x14ac:dyDescent="0.3">
      <c r="B28" s="32" t="s">
        <v>36</v>
      </c>
      <c r="C28" s="31" t="s">
        <v>35</v>
      </c>
      <c r="D28" s="31" t="s">
        <v>34</v>
      </c>
      <c r="E28" s="31" t="s">
        <v>33</v>
      </c>
      <c r="F28" s="30" t="s">
        <v>32</v>
      </c>
      <c r="H28" s="32" t="s">
        <v>36</v>
      </c>
      <c r="I28" s="31" t="s">
        <v>35</v>
      </c>
      <c r="J28" s="31" t="s">
        <v>34</v>
      </c>
      <c r="K28" s="31" t="s">
        <v>33</v>
      </c>
      <c r="L28" s="30" t="s">
        <v>32</v>
      </c>
      <c r="N28" s="32" t="s">
        <v>36</v>
      </c>
      <c r="O28" s="31" t="s">
        <v>35</v>
      </c>
      <c r="P28" s="31" t="s">
        <v>34</v>
      </c>
      <c r="Q28" s="31" t="s">
        <v>33</v>
      </c>
      <c r="R28" s="30" t="s">
        <v>32</v>
      </c>
    </row>
    <row r="29" spans="2:18" x14ac:dyDescent="0.25">
      <c r="B29" s="39" t="s">
        <v>31</v>
      </c>
      <c r="C29" s="40"/>
      <c r="D29" s="40"/>
      <c r="E29" s="40"/>
      <c r="F29" s="41"/>
      <c r="H29" s="39" t="s">
        <v>31</v>
      </c>
      <c r="I29" s="40"/>
      <c r="J29" s="40"/>
      <c r="K29" s="40"/>
      <c r="L29" s="41"/>
      <c r="N29" s="39" t="s">
        <v>31</v>
      </c>
      <c r="O29" s="40"/>
      <c r="P29" s="40"/>
      <c r="Q29" s="40"/>
      <c r="R29" s="41"/>
    </row>
    <row r="30" spans="2:18" x14ac:dyDescent="0.25">
      <c r="B30" s="28"/>
      <c r="C30" s="27" t="s">
        <v>29</v>
      </c>
      <c r="D30" s="16"/>
      <c r="E30" s="14" t="s">
        <v>55</v>
      </c>
      <c r="F30" s="13"/>
      <c r="H30" s="28"/>
      <c r="I30" s="27" t="s">
        <v>29</v>
      </c>
      <c r="J30" s="16"/>
      <c r="K30" s="14" t="s">
        <v>52</v>
      </c>
      <c r="L30" s="13"/>
      <c r="N30" s="28"/>
      <c r="O30" s="27" t="s">
        <v>29</v>
      </c>
      <c r="P30" s="16"/>
      <c r="Q30" s="14" t="s">
        <v>51</v>
      </c>
      <c r="R30" s="13"/>
    </row>
    <row r="31" spans="2:18" x14ac:dyDescent="0.25">
      <c r="B31" s="28"/>
      <c r="C31" s="27" t="s">
        <v>27</v>
      </c>
      <c r="D31" s="16"/>
      <c r="E31" s="14" t="s">
        <v>61</v>
      </c>
      <c r="F31" s="13"/>
      <c r="H31" s="28"/>
      <c r="I31" s="27" t="s">
        <v>27</v>
      </c>
      <c r="J31" s="16"/>
      <c r="K31" s="14" t="s">
        <v>62</v>
      </c>
      <c r="L31" s="13"/>
      <c r="N31" s="28"/>
      <c r="O31" s="27" t="s">
        <v>27</v>
      </c>
      <c r="P31" s="16"/>
      <c r="Q31" s="14" t="s">
        <v>63</v>
      </c>
      <c r="R31" s="13"/>
    </row>
    <row r="32" spans="2:18" hidden="1" x14ac:dyDescent="0.25">
      <c r="B32" s="28"/>
      <c r="C32" s="27" t="s">
        <v>26</v>
      </c>
      <c r="D32" s="16"/>
      <c r="E32" s="29"/>
      <c r="F32" s="13" t="s">
        <v>25</v>
      </c>
      <c r="H32" s="28"/>
      <c r="I32" s="27" t="s">
        <v>26</v>
      </c>
      <c r="J32" s="16"/>
      <c r="K32" s="29"/>
      <c r="L32" s="13" t="s">
        <v>25</v>
      </c>
      <c r="N32" s="28"/>
      <c r="O32" s="27" t="s">
        <v>26</v>
      </c>
      <c r="P32" s="16"/>
      <c r="Q32" s="29"/>
      <c r="R32" s="13" t="s">
        <v>25</v>
      </c>
    </row>
    <row r="33" spans="2:18" hidden="1" x14ac:dyDescent="0.25">
      <c r="B33" s="28"/>
      <c r="C33" s="27" t="s">
        <v>24</v>
      </c>
      <c r="D33" s="16"/>
      <c r="E33" s="14">
        <f>13.5*12*30</f>
        <v>4860</v>
      </c>
      <c r="F33" s="13" t="s">
        <v>21</v>
      </c>
      <c r="H33" s="28"/>
      <c r="I33" s="27" t="s">
        <v>24</v>
      </c>
      <c r="J33" s="16"/>
      <c r="K33" s="14">
        <f>13.5*12*30</f>
        <v>4860</v>
      </c>
      <c r="L33" s="13" t="s">
        <v>21</v>
      </c>
      <c r="N33" s="28"/>
      <c r="O33" s="27" t="s">
        <v>24</v>
      </c>
      <c r="P33" s="16"/>
      <c r="Q33" s="14">
        <f>13.5*12*30</f>
        <v>4860</v>
      </c>
      <c r="R33" s="13" t="s">
        <v>21</v>
      </c>
    </row>
    <row r="34" spans="2:18" hidden="1" x14ac:dyDescent="0.25">
      <c r="B34" s="10"/>
      <c r="C34" s="17" t="s">
        <v>23</v>
      </c>
      <c r="D34" s="22"/>
      <c r="E34" s="19">
        <v>0</v>
      </c>
      <c r="F34" s="6" t="s">
        <v>21</v>
      </c>
      <c r="H34" s="10"/>
      <c r="I34" s="17" t="s">
        <v>23</v>
      </c>
      <c r="J34" s="22"/>
      <c r="K34" s="19">
        <v>0</v>
      </c>
      <c r="L34" s="6" t="s">
        <v>21</v>
      </c>
      <c r="N34" s="10"/>
      <c r="O34" s="17" t="s">
        <v>23</v>
      </c>
      <c r="P34" s="22"/>
      <c r="Q34" s="19">
        <v>0</v>
      </c>
      <c r="R34" s="6" t="s">
        <v>21</v>
      </c>
    </row>
    <row r="35" spans="2:18" hidden="1" x14ac:dyDescent="0.25">
      <c r="B35" s="10"/>
      <c r="C35" s="17" t="s">
        <v>22</v>
      </c>
      <c r="D35" s="22"/>
      <c r="E35" s="26">
        <f>E33-E34-(E36+E38)/2*10</f>
        <v>4860</v>
      </c>
      <c r="F35" s="6" t="s">
        <v>21</v>
      </c>
      <c r="H35" s="10"/>
      <c r="I35" s="17" t="s">
        <v>22</v>
      </c>
      <c r="J35" s="22"/>
      <c r="K35" s="26">
        <f>K33-K34-(K36+K38)/2*10</f>
        <v>4860</v>
      </c>
      <c r="L35" s="6" t="s">
        <v>21</v>
      </c>
      <c r="N35" s="10"/>
      <c r="O35" s="17" t="s">
        <v>22</v>
      </c>
      <c r="P35" s="22"/>
      <c r="Q35" s="26">
        <f>Q33-Q34-(Q36+Q38)/2*10</f>
        <v>4860</v>
      </c>
      <c r="R35" s="6" t="s">
        <v>21</v>
      </c>
    </row>
    <row r="36" spans="2:18" hidden="1" x14ac:dyDescent="0.25">
      <c r="B36" s="10"/>
      <c r="C36" s="17" t="s">
        <v>20</v>
      </c>
      <c r="D36" s="22" t="s">
        <v>16</v>
      </c>
      <c r="E36" s="25">
        <f>((E34/E33)*10-E37)</f>
        <v>0</v>
      </c>
      <c r="F36" s="6" t="s">
        <v>15</v>
      </c>
      <c r="H36" s="10"/>
      <c r="I36" s="17" t="s">
        <v>20</v>
      </c>
      <c r="J36" s="22" t="s">
        <v>16</v>
      </c>
      <c r="K36" s="25">
        <f>((K34/K33)*10-K37)</f>
        <v>0</v>
      </c>
      <c r="L36" s="6" t="s">
        <v>15</v>
      </c>
      <c r="N36" s="10"/>
      <c r="O36" s="17" t="s">
        <v>20</v>
      </c>
      <c r="P36" s="22" t="s">
        <v>16</v>
      </c>
      <c r="Q36" s="25">
        <f>((Q34/Q33)*10-Q37)</f>
        <v>0</v>
      </c>
      <c r="R36" s="6" t="s">
        <v>15</v>
      </c>
    </row>
    <row r="37" spans="2:18" ht="30" hidden="1" x14ac:dyDescent="0.25">
      <c r="B37" s="10"/>
      <c r="C37" s="17"/>
      <c r="D37" s="8" t="s">
        <v>19</v>
      </c>
      <c r="E37" s="23">
        <v>0</v>
      </c>
      <c r="F37" s="6" t="s">
        <v>18</v>
      </c>
      <c r="H37" s="10"/>
      <c r="I37" s="17"/>
      <c r="J37" s="8" t="s">
        <v>19</v>
      </c>
      <c r="K37" s="23">
        <v>0</v>
      </c>
      <c r="L37" s="6" t="s">
        <v>18</v>
      </c>
      <c r="N37" s="10"/>
      <c r="O37" s="17"/>
      <c r="P37" s="8" t="s">
        <v>19</v>
      </c>
      <c r="Q37" s="23">
        <v>0</v>
      </c>
      <c r="R37" s="6" t="s">
        <v>18</v>
      </c>
    </row>
    <row r="38" spans="2:18" hidden="1" x14ac:dyDescent="0.25">
      <c r="B38" s="10"/>
      <c r="C38" s="20" t="s">
        <v>17</v>
      </c>
      <c r="D38" s="24" t="s">
        <v>16</v>
      </c>
      <c r="E38" s="23">
        <v>0</v>
      </c>
      <c r="F38" s="18" t="s">
        <v>15</v>
      </c>
      <c r="H38" s="10"/>
      <c r="I38" s="20" t="s">
        <v>17</v>
      </c>
      <c r="J38" s="24" t="s">
        <v>16</v>
      </c>
      <c r="K38" s="23">
        <v>0</v>
      </c>
      <c r="L38" s="18" t="s">
        <v>15</v>
      </c>
      <c r="N38" s="10"/>
      <c r="O38" s="20" t="s">
        <v>17</v>
      </c>
      <c r="P38" s="24" t="s">
        <v>16</v>
      </c>
      <c r="Q38" s="23">
        <v>0</v>
      </c>
      <c r="R38" s="18" t="s">
        <v>15</v>
      </c>
    </row>
    <row r="39" spans="2:18" ht="30" hidden="1" x14ac:dyDescent="0.25">
      <c r="B39" s="10"/>
      <c r="C39" s="17" t="s">
        <v>14</v>
      </c>
      <c r="D39" s="22"/>
      <c r="E39" s="21">
        <f>(E35/E33)</f>
        <v>1</v>
      </c>
      <c r="F39" s="6" t="s">
        <v>13</v>
      </c>
      <c r="H39" s="10"/>
      <c r="I39" s="17" t="s">
        <v>14</v>
      </c>
      <c r="J39" s="22"/>
      <c r="K39" s="21">
        <f>(K35/K33)</f>
        <v>1</v>
      </c>
      <c r="L39" s="6" t="s">
        <v>13</v>
      </c>
      <c r="N39" s="10"/>
      <c r="O39" s="17" t="s">
        <v>14</v>
      </c>
      <c r="P39" s="22"/>
      <c r="Q39" s="21">
        <f>(Q35/Q33)</f>
        <v>1</v>
      </c>
      <c r="R39" s="6" t="s">
        <v>13</v>
      </c>
    </row>
    <row r="40" spans="2:18" x14ac:dyDescent="0.25">
      <c r="B40" s="10"/>
      <c r="C40" s="17" t="s">
        <v>12</v>
      </c>
      <c r="D40" s="16" t="s">
        <v>11</v>
      </c>
      <c r="E40" s="14" t="s">
        <v>10</v>
      </c>
      <c r="F40" s="13"/>
      <c r="H40" s="10"/>
      <c r="I40" s="17" t="s">
        <v>12</v>
      </c>
      <c r="J40" s="16" t="s">
        <v>11</v>
      </c>
      <c r="K40" s="14" t="s">
        <v>10</v>
      </c>
      <c r="L40" s="13"/>
      <c r="N40" s="10"/>
      <c r="O40" s="17" t="s">
        <v>12</v>
      </c>
      <c r="P40" s="16" t="s">
        <v>11</v>
      </c>
      <c r="Q40" s="14" t="s">
        <v>10</v>
      </c>
      <c r="R40" s="13"/>
    </row>
    <row r="41" spans="2:18" x14ac:dyDescent="0.25">
      <c r="B41" s="10"/>
      <c r="D41" s="20" t="s">
        <v>9</v>
      </c>
      <c r="E41" s="19" t="str">
        <f>'[1]Data Lingkungan (DL)'!AX59</f>
        <v>off</v>
      </c>
      <c r="F41" s="18"/>
      <c r="H41" s="10"/>
      <c r="J41" s="20" t="s">
        <v>9</v>
      </c>
      <c r="K41" s="19" t="str">
        <f>'[1]Data Lingkungan (DL)'!AX60</f>
        <v>on</v>
      </c>
      <c r="L41" s="18"/>
      <c r="N41" s="10"/>
      <c r="P41" s="20" t="s">
        <v>9</v>
      </c>
      <c r="Q41" s="19" t="s">
        <v>76</v>
      </c>
      <c r="R41" s="18"/>
    </row>
    <row r="42" spans="2:18" x14ac:dyDescent="0.25">
      <c r="B42" s="10"/>
      <c r="C42" s="17"/>
      <c r="D42" s="16" t="s">
        <v>8</v>
      </c>
      <c r="E42" s="14" t="s">
        <v>7</v>
      </c>
      <c r="F42" s="13"/>
      <c r="H42" s="10"/>
      <c r="I42" s="17"/>
      <c r="J42" s="16" t="s">
        <v>8</v>
      </c>
      <c r="K42" s="14" t="s">
        <v>7</v>
      </c>
      <c r="L42" s="13"/>
      <c r="N42" s="10"/>
      <c r="O42" s="17"/>
      <c r="P42" s="16" t="s">
        <v>8</v>
      </c>
      <c r="Q42" s="14" t="s">
        <v>7</v>
      </c>
      <c r="R42" s="13"/>
    </row>
    <row r="43" spans="2:18" x14ac:dyDescent="0.25">
      <c r="B43" s="10"/>
      <c r="C43" s="9"/>
      <c r="D43" s="15" t="s">
        <v>6</v>
      </c>
      <c r="E43" s="14">
        <v>0.01</v>
      </c>
      <c r="F43" s="13" t="s">
        <v>5</v>
      </c>
      <c r="H43" s="10"/>
      <c r="I43" s="9"/>
      <c r="J43" s="15" t="s">
        <v>6</v>
      </c>
      <c r="K43" s="14">
        <v>0.01</v>
      </c>
      <c r="L43" s="13" t="s">
        <v>5</v>
      </c>
      <c r="N43" s="10"/>
      <c r="O43" s="9"/>
      <c r="P43" s="15" t="s">
        <v>6</v>
      </c>
      <c r="Q43" s="14">
        <v>5.0000000000000001E-3</v>
      </c>
      <c r="R43" s="13" t="s">
        <v>5</v>
      </c>
    </row>
    <row r="44" spans="2:18" ht="30" x14ac:dyDescent="0.25">
      <c r="B44" s="10"/>
      <c r="C44" s="9"/>
      <c r="D44" s="8" t="s">
        <v>4</v>
      </c>
      <c r="E44" s="7">
        <v>7</v>
      </c>
      <c r="F44" s="6" t="s">
        <v>3</v>
      </c>
      <c r="G44" s="12"/>
      <c r="H44" s="10"/>
      <c r="I44" s="9"/>
      <c r="J44" s="8" t="s">
        <v>4</v>
      </c>
      <c r="K44" s="7">
        <v>24</v>
      </c>
      <c r="L44" s="6" t="s">
        <v>3</v>
      </c>
      <c r="N44" s="10"/>
      <c r="O44" s="9"/>
      <c r="P44" s="8" t="s">
        <v>4</v>
      </c>
      <c r="Q44" s="7">
        <v>24</v>
      </c>
      <c r="R44" s="6" t="s">
        <v>3</v>
      </c>
    </row>
    <row r="45" spans="2:18" ht="30" x14ac:dyDescent="0.25">
      <c r="B45" s="10"/>
      <c r="C45" s="9"/>
      <c r="D45" s="8" t="s">
        <v>2</v>
      </c>
      <c r="E45" s="11">
        <f>E44*E43</f>
        <v>7.0000000000000007E-2</v>
      </c>
      <c r="F45" s="6"/>
      <c r="H45" s="10"/>
      <c r="I45" s="9"/>
      <c r="J45" s="8" t="s">
        <v>2</v>
      </c>
      <c r="K45" s="11">
        <f>K44*K43</f>
        <v>0.24</v>
      </c>
      <c r="L45" s="6"/>
      <c r="N45" s="10"/>
      <c r="O45" s="9"/>
      <c r="P45" s="8" t="s">
        <v>2</v>
      </c>
      <c r="Q45" s="11">
        <f>Q44*Q43</f>
        <v>0.12</v>
      </c>
      <c r="R45" s="6"/>
    </row>
    <row r="46" spans="2:18" ht="30.75" thickBot="1" x14ac:dyDescent="0.3">
      <c r="B46" s="5"/>
      <c r="C46" s="35"/>
      <c r="D46" s="4" t="s">
        <v>1</v>
      </c>
      <c r="E46" s="34">
        <f>E45</f>
        <v>7.0000000000000007E-2</v>
      </c>
      <c r="F46" s="33" t="s">
        <v>0</v>
      </c>
      <c r="H46" s="5"/>
      <c r="I46" s="35"/>
      <c r="J46" s="4" t="s">
        <v>1</v>
      </c>
      <c r="K46" s="34">
        <f>K45</f>
        <v>0.24</v>
      </c>
      <c r="L46" s="33" t="s">
        <v>0</v>
      </c>
      <c r="N46" s="5"/>
      <c r="O46" s="35"/>
      <c r="P46" s="4" t="s">
        <v>1</v>
      </c>
      <c r="Q46" s="34">
        <f>Q45</f>
        <v>0.12</v>
      </c>
      <c r="R46" s="33" t="s">
        <v>0</v>
      </c>
    </row>
    <row r="47" spans="2:18" ht="15.75" thickBot="1" x14ac:dyDescent="0.3"/>
    <row r="48" spans="2:18" x14ac:dyDescent="0.25">
      <c r="B48" s="45" t="s">
        <v>39</v>
      </c>
      <c r="C48" s="46"/>
      <c r="D48" s="46"/>
      <c r="E48" s="46"/>
      <c r="F48" s="47"/>
      <c r="H48" s="45" t="s">
        <v>39</v>
      </c>
      <c r="I48" s="46"/>
      <c r="J48" s="46"/>
      <c r="K48" s="46"/>
      <c r="L48" s="47"/>
      <c r="N48" s="45" t="s">
        <v>39</v>
      </c>
      <c r="O48" s="46"/>
      <c r="P48" s="46"/>
      <c r="Q48" s="46"/>
      <c r="R48" s="47"/>
    </row>
    <row r="49" spans="2:18" ht="15.75" thickBot="1" x14ac:dyDescent="0.3">
      <c r="B49" s="42" t="s">
        <v>38</v>
      </c>
      <c r="C49" s="43"/>
      <c r="D49" s="43"/>
      <c r="E49" s="43"/>
      <c r="F49" s="44"/>
      <c r="H49" s="42" t="s">
        <v>38</v>
      </c>
      <c r="I49" s="43"/>
      <c r="J49" s="43"/>
      <c r="K49" s="43"/>
      <c r="L49" s="44"/>
      <c r="N49" s="42" t="s">
        <v>38</v>
      </c>
      <c r="O49" s="43"/>
      <c r="P49" s="43"/>
      <c r="Q49" s="43"/>
      <c r="R49" s="44"/>
    </row>
    <row r="50" spans="2:18" x14ac:dyDescent="0.25">
      <c r="B50" s="36" t="s">
        <v>37</v>
      </c>
      <c r="C50" s="37"/>
      <c r="D50" s="37"/>
      <c r="E50" s="37"/>
      <c r="F50" s="38"/>
      <c r="H50" s="36" t="s">
        <v>37</v>
      </c>
      <c r="I50" s="37"/>
      <c r="J50" s="37"/>
      <c r="K50" s="37"/>
      <c r="L50" s="38"/>
      <c r="N50" s="36" t="s">
        <v>37</v>
      </c>
      <c r="O50" s="37"/>
      <c r="P50" s="37"/>
      <c r="Q50" s="37"/>
      <c r="R50" s="38"/>
    </row>
    <row r="51" spans="2:18" ht="15.75" thickBot="1" x14ac:dyDescent="0.3">
      <c r="B51" s="32" t="s">
        <v>36</v>
      </c>
      <c r="C51" s="31" t="s">
        <v>35</v>
      </c>
      <c r="D51" s="31" t="s">
        <v>34</v>
      </c>
      <c r="E51" s="31" t="s">
        <v>33</v>
      </c>
      <c r="F51" s="30" t="s">
        <v>32</v>
      </c>
      <c r="H51" s="32" t="s">
        <v>36</v>
      </c>
      <c r="I51" s="31" t="s">
        <v>35</v>
      </c>
      <c r="J51" s="31" t="s">
        <v>34</v>
      </c>
      <c r="K51" s="31" t="s">
        <v>33</v>
      </c>
      <c r="L51" s="30" t="s">
        <v>32</v>
      </c>
      <c r="N51" s="32" t="s">
        <v>36</v>
      </c>
      <c r="O51" s="31" t="s">
        <v>35</v>
      </c>
      <c r="P51" s="31" t="s">
        <v>34</v>
      </c>
      <c r="Q51" s="31" t="s">
        <v>33</v>
      </c>
      <c r="R51" s="30" t="s">
        <v>32</v>
      </c>
    </row>
    <row r="52" spans="2:18" x14ac:dyDescent="0.25">
      <c r="B52" s="39" t="s">
        <v>31</v>
      </c>
      <c r="C52" s="40"/>
      <c r="D52" s="40"/>
      <c r="E52" s="40"/>
      <c r="F52" s="41"/>
      <c r="H52" s="39" t="s">
        <v>31</v>
      </c>
      <c r="I52" s="40"/>
      <c r="J52" s="40"/>
      <c r="K52" s="40"/>
      <c r="L52" s="41"/>
      <c r="N52" s="39" t="s">
        <v>31</v>
      </c>
      <c r="O52" s="40"/>
      <c r="P52" s="40"/>
      <c r="Q52" s="40"/>
      <c r="R52" s="41"/>
    </row>
    <row r="53" spans="2:18" x14ac:dyDescent="0.25">
      <c r="B53" s="28"/>
      <c r="C53" s="27" t="s">
        <v>29</v>
      </c>
      <c r="D53" s="16"/>
      <c r="E53" s="14" t="s">
        <v>50</v>
      </c>
      <c r="F53" s="13"/>
      <c r="H53" s="28"/>
      <c r="I53" s="27" t="s">
        <v>29</v>
      </c>
      <c r="J53" s="16"/>
      <c r="K53" s="14" t="s">
        <v>48</v>
      </c>
      <c r="L53" s="13"/>
      <c r="N53" s="28"/>
      <c r="O53" s="27" t="s">
        <v>29</v>
      </c>
      <c r="P53" s="16"/>
      <c r="Q53" s="14" t="s">
        <v>44</v>
      </c>
      <c r="R53" s="13"/>
    </row>
    <row r="54" spans="2:18" x14ac:dyDescent="0.25">
      <c r="B54" s="28"/>
      <c r="C54" s="27" t="s">
        <v>27</v>
      </c>
      <c r="D54" s="16"/>
      <c r="E54" s="14" t="s">
        <v>64</v>
      </c>
      <c r="F54" s="13"/>
      <c r="H54" s="28"/>
      <c r="I54" s="27" t="s">
        <v>27</v>
      </c>
      <c r="J54" s="16"/>
      <c r="K54" s="14" t="s">
        <v>65</v>
      </c>
      <c r="L54" s="13"/>
      <c r="N54" s="28"/>
      <c r="O54" s="27" t="s">
        <v>27</v>
      </c>
      <c r="P54" s="16"/>
      <c r="Q54" s="14" t="s">
        <v>66</v>
      </c>
      <c r="R54" s="13"/>
    </row>
    <row r="55" spans="2:18" hidden="1" x14ac:dyDescent="0.25">
      <c r="B55" s="28"/>
      <c r="C55" s="27" t="s">
        <v>26</v>
      </c>
      <c r="D55" s="16"/>
      <c r="E55" s="29"/>
      <c r="F55" s="13" t="s">
        <v>25</v>
      </c>
      <c r="H55" s="28"/>
      <c r="I55" s="27" t="s">
        <v>26</v>
      </c>
      <c r="J55" s="16"/>
      <c r="K55" s="29"/>
      <c r="L55" s="13" t="s">
        <v>25</v>
      </c>
      <c r="N55" s="28"/>
      <c r="O55" s="27" t="s">
        <v>26</v>
      </c>
      <c r="P55" s="16"/>
      <c r="Q55" s="29"/>
      <c r="R55" s="13" t="s">
        <v>25</v>
      </c>
    </row>
    <row r="56" spans="2:18" hidden="1" x14ac:dyDescent="0.25">
      <c r="B56" s="28"/>
      <c r="C56" s="27" t="s">
        <v>24</v>
      </c>
      <c r="D56" s="16"/>
      <c r="E56" s="14">
        <f>13.5*12*30</f>
        <v>4860</v>
      </c>
      <c r="F56" s="13" t="s">
        <v>21</v>
      </c>
      <c r="H56" s="28"/>
      <c r="I56" s="27" t="s">
        <v>24</v>
      </c>
      <c r="J56" s="16"/>
      <c r="K56" s="14">
        <f>13.5*12*30</f>
        <v>4860</v>
      </c>
      <c r="L56" s="13" t="s">
        <v>21</v>
      </c>
      <c r="N56" s="28"/>
      <c r="O56" s="27" t="s">
        <v>24</v>
      </c>
      <c r="P56" s="16"/>
      <c r="Q56" s="14">
        <f>13.5*12*30</f>
        <v>4860</v>
      </c>
      <c r="R56" s="13" t="s">
        <v>21</v>
      </c>
    </row>
    <row r="57" spans="2:18" hidden="1" x14ac:dyDescent="0.25">
      <c r="B57" s="10"/>
      <c r="C57" s="17" t="s">
        <v>23</v>
      </c>
      <c r="D57" s="22"/>
      <c r="E57" s="19">
        <v>0</v>
      </c>
      <c r="F57" s="6" t="s">
        <v>21</v>
      </c>
      <c r="H57" s="10"/>
      <c r="I57" s="17" t="s">
        <v>23</v>
      </c>
      <c r="J57" s="22"/>
      <c r="K57" s="19">
        <v>0</v>
      </c>
      <c r="L57" s="6" t="s">
        <v>21</v>
      </c>
      <c r="N57" s="10"/>
      <c r="O57" s="17" t="s">
        <v>23</v>
      </c>
      <c r="P57" s="22"/>
      <c r="Q57" s="19">
        <v>0</v>
      </c>
      <c r="R57" s="6" t="s">
        <v>21</v>
      </c>
    </row>
    <row r="58" spans="2:18" hidden="1" x14ac:dyDescent="0.25">
      <c r="B58" s="10"/>
      <c r="C58" s="17" t="s">
        <v>22</v>
      </c>
      <c r="D58" s="22"/>
      <c r="E58" s="26">
        <f>E56-E57-(E59+E61)/2*10</f>
        <v>4860</v>
      </c>
      <c r="F58" s="6" t="s">
        <v>21</v>
      </c>
      <c r="H58" s="10"/>
      <c r="I58" s="17" t="s">
        <v>22</v>
      </c>
      <c r="J58" s="22"/>
      <c r="K58" s="26">
        <f>K56-K57-(K59+K61)/2*10</f>
        <v>4860</v>
      </c>
      <c r="L58" s="6" t="s">
        <v>21</v>
      </c>
      <c r="N58" s="10"/>
      <c r="O58" s="17" t="s">
        <v>22</v>
      </c>
      <c r="P58" s="22"/>
      <c r="Q58" s="26">
        <f>Q56-Q57-(Q59+Q61)/2*10</f>
        <v>4860</v>
      </c>
      <c r="R58" s="6" t="s">
        <v>21</v>
      </c>
    </row>
    <row r="59" spans="2:18" hidden="1" x14ac:dyDescent="0.25">
      <c r="B59" s="10"/>
      <c r="C59" s="17" t="s">
        <v>20</v>
      </c>
      <c r="D59" s="22" t="s">
        <v>16</v>
      </c>
      <c r="E59" s="25">
        <f>((E57/E56)*10-E60)</f>
        <v>0</v>
      </c>
      <c r="F59" s="6" t="s">
        <v>15</v>
      </c>
      <c r="H59" s="10"/>
      <c r="I59" s="17" t="s">
        <v>20</v>
      </c>
      <c r="J59" s="22" t="s">
        <v>16</v>
      </c>
      <c r="K59" s="25">
        <f>((K57/K56)*10-K60)</f>
        <v>0</v>
      </c>
      <c r="L59" s="6" t="s">
        <v>15</v>
      </c>
      <c r="N59" s="10"/>
      <c r="O59" s="17" t="s">
        <v>20</v>
      </c>
      <c r="P59" s="22" t="s">
        <v>16</v>
      </c>
      <c r="Q59" s="25">
        <f>((Q57/Q56)*10-Q60)</f>
        <v>0</v>
      </c>
      <c r="R59" s="6" t="s">
        <v>15</v>
      </c>
    </row>
    <row r="60" spans="2:18" ht="30" hidden="1" x14ac:dyDescent="0.25">
      <c r="B60" s="10"/>
      <c r="C60" s="17"/>
      <c r="D60" s="8" t="s">
        <v>19</v>
      </c>
      <c r="E60" s="23">
        <v>0</v>
      </c>
      <c r="F60" s="6" t="s">
        <v>18</v>
      </c>
      <c r="H60" s="10"/>
      <c r="I60" s="17"/>
      <c r="J60" s="8" t="s">
        <v>19</v>
      </c>
      <c r="K60" s="23">
        <v>0</v>
      </c>
      <c r="L60" s="6" t="s">
        <v>18</v>
      </c>
      <c r="N60" s="10"/>
      <c r="O60" s="17"/>
      <c r="P60" s="8" t="s">
        <v>19</v>
      </c>
      <c r="Q60" s="23">
        <v>0</v>
      </c>
      <c r="R60" s="6" t="s">
        <v>18</v>
      </c>
    </row>
    <row r="61" spans="2:18" hidden="1" x14ac:dyDescent="0.25">
      <c r="B61" s="10"/>
      <c r="C61" s="20" t="s">
        <v>17</v>
      </c>
      <c r="D61" s="24" t="s">
        <v>16</v>
      </c>
      <c r="E61" s="23">
        <v>0</v>
      </c>
      <c r="F61" s="18" t="s">
        <v>15</v>
      </c>
      <c r="H61" s="10"/>
      <c r="I61" s="20" t="s">
        <v>17</v>
      </c>
      <c r="J61" s="24" t="s">
        <v>16</v>
      </c>
      <c r="K61" s="23">
        <v>0</v>
      </c>
      <c r="L61" s="18" t="s">
        <v>15</v>
      </c>
      <c r="N61" s="10"/>
      <c r="O61" s="20" t="s">
        <v>17</v>
      </c>
      <c r="P61" s="24" t="s">
        <v>16</v>
      </c>
      <c r="Q61" s="23">
        <v>0</v>
      </c>
      <c r="R61" s="18" t="s">
        <v>15</v>
      </c>
    </row>
    <row r="62" spans="2:18" ht="30" hidden="1" x14ac:dyDescent="0.25">
      <c r="B62" s="10"/>
      <c r="C62" s="17" t="s">
        <v>14</v>
      </c>
      <c r="D62" s="22"/>
      <c r="E62" s="21">
        <f>(E58/E56)</f>
        <v>1</v>
      </c>
      <c r="F62" s="6" t="s">
        <v>13</v>
      </c>
      <c r="H62" s="10"/>
      <c r="I62" s="17" t="s">
        <v>14</v>
      </c>
      <c r="J62" s="22"/>
      <c r="K62" s="21">
        <f>(K58/K56)</f>
        <v>1</v>
      </c>
      <c r="L62" s="6" t="s">
        <v>13</v>
      </c>
      <c r="N62" s="10"/>
      <c r="O62" s="17" t="s">
        <v>14</v>
      </c>
      <c r="P62" s="22"/>
      <c r="Q62" s="21">
        <f>(Q58/Q56)</f>
        <v>1</v>
      </c>
      <c r="R62" s="6" t="s">
        <v>13</v>
      </c>
    </row>
    <row r="63" spans="2:18" x14ac:dyDescent="0.25">
      <c r="B63" s="10"/>
      <c r="C63" s="17" t="s">
        <v>12</v>
      </c>
      <c r="D63" s="16" t="s">
        <v>11</v>
      </c>
      <c r="E63" s="14" t="s">
        <v>10</v>
      </c>
      <c r="F63" s="13"/>
      <c r="H63" s="10"/>
      <c r="I63" s="17" t="s">
        <v>12</v>
      </c>
      <c r="J63" s="16" t="s">
        <v>11</v>
      </c>
      <c r="K63" s="14" t="s">
        <v>10</v>
      </c>
      <c r="L63" s="13"/>
      <c r="N63" s="10"/>
      <c r="O63" s="17" t="s">
        <v>12</v>
      </c>
      <c r="P63" s="16" t="s">
        <v>11</v>
      </c>
      <c r="Q63" s="14" t="s">
        <v>10</v>
      </c>
      <c r="R63" s="13"/>
    </row>
    <row r="64" spans="2:18" x14ac:dyDescent="0.25">
      <c r="B64" s="10"/>
      <c r="D64" s="20" t="s">
        <v>9</v>
      </c>
      <c r="E64" s="19" t="str">
        <f>'[1]Data Lingkungan (DL)'!AO59</f>
        <v>off</v>
      </c>
      <c r="F64" s="18"/>
      <c r="H64" s="10"/>
      <c r="J64" s="20" t="s">
        <v>9</v>
      </c>
      <c r="K64" s="19" t="s">
        <v>76</v>
      </c>
      <c r="L64" s="18"/>
      <c r="N64" s="10"/>
      <c r="P64" s="20" t="s">
        <v>9</v>
      </c>
      <c r="Q64" s="19" t="s">
        <v>76</v>
      </c>
      <c r="R64" s="18"/>
    </row>
    <row r="65" spans="2:18" x14ac:dyDescent="0.25">
      <c r="B65" s="10"/>
      <c r="C65" s="17"/>
      <c r="D65" s="16" t="s">
        <v>8</v>
      </c>
      <c r="E65" s="14" t="s">
        <v>7</v>
      </c>
      <c r="F65" s="13"/>
      <c r="H65" s="10"/>
      <c r="I65" s="17"/>
      <c r="J65" s="16" t="s">
        <v>8</v>
      </c>
      <c r="K65" s="14" t="s">
        <v>7</v>
      </c>
      <c r="L65" s="13"/>
      <c r="N65" s="10"/>
      <c r="O65" s="17"/>
      <c r="P65" s="16" t="s">
        <v>8</v>
      </c>
      <c r="Q65" s="14" t="s">
        <v>7</v>
      </c>
      <c r="R65" s="13"/>
    </row>
    <row r="66" spans="2:18" x14ac:dyDescent="0.25">
      <c r="B66" s="10"/>
      <c r="C66" s="9"/>
      <c r="D66" s="15" t="s">
        <v>6</v>
      </c>
      <c r="E66" s="14">
        <v>5.0000000000000001E-3</v>
      </c>
      <c r="F66" s="13" t="s">
        <v>5</v>
      </c>
      <c r="H66" s="10"/>
      <c r="I66" s="9"/>
      <c r="J66" s="15" t="s">
        <v>6</v>
      </c>
      <c r="K66" s="14">
        <v>7.0000000000000001E-3</v>
      </c>
      <c r="L66" s="13" t="s">
        <v>5</v>
      </c>
      <c r="N66" s="10"/>
      <c r="O66" s="9"/>
      <c r="P66" s="15" t="s">
        <v>6</v>
      </c>
      <c r="Q66" s="14">
        <v>8.0000000000000002E-3</v>
      </c>
      <c r="R66" s="13" t="s">
        <v>5</v>
      </c>
    </row>
    <row r="67" spans="2:18" ht="30" x14ac:dyDescent="0.25">
      <c r="B67" s="10"/>
      <c r="C67" s="9"/>
      <c r="D67" s="8" t="s">
        <v>4</v>
      </c>
      <c r="E67" s="7">
        <v>24</v>
      </c>
      <c r="F67" s="6" t="s">
        <v>3</v>
      </c>
      <c r="G67" s="12"/>
      <c r="H67" s="10"/>
      <c r="I67" s="9"/>
      <c r="J67" s="8" t="s">
        <v>4</v>
      </c>
      <c r="K67" s="7">
        <v>24</v>
      </c>
      <c r="L67" s="6" t="s">
        <v>3</v>
      </c>
      <c r="N67" s="10"/>
      <c r="O67" s="9"/>
      <c r="P67" s="8" t="s">
        <v>4</v>
      </c>
      <c r="Q67" s="7">
        <v>5.5</v>
      </c>
      <c r="R67" s="6" t="s">
        <v>3</v>
      </c>
    </row>
    <row r="68" spans="2:18" ht="30" x14ac:dyDescent="0.25">
      <c r="B68" s="10"/>
      <c r="C68" s="9"/>
      <c r="D68" s="8" t="s">
        <v>2</v>
      </c>
      <c r="E68" s="11">
        <f>E67*E66</f>
        <v>0.12</v>
      </c>
      <c r="F68" s="6"/>
      <c r="H68" s="10"/>
      <c r="I68" s="9"/>
      <c r="J68" s="8" t="s">
        <v>2</v>
      </c>
      <c r="K68" s="11">
        <f>K67*K66</f>
        <v>0.16800000000000001</v>
      </c>
      <c r="L68" s="6"/>
      <c r="N68" s="10"/>
      <c r="O68" s="9"/>
      <c r="P68" s="8" t="s">
        <v>2</v>
      </c>
      <c r="Q68" s="11">
        <f>Q67*Q66</f>
        <v>4.3999999999999997E-2</v>
      </c>
      <c r="R68" s="6"/>
    </row>
    <row r="69" spans="2:18" ht="30.75" thickBot="1" x14ac:dyDescent="0.3">
      <c r="B69" s="5"/>
      <c r="C69" s="35"/>
      <c r="D69" s="4" t="s">
        <v>1</v>
      </c>
      <c r="E69" s="34">
        <f>E68</f>
        <v>0.12</v>
      </c>
      <c r="F69" s="33" t="s">
        <v>0</v>
      </c>
      <c r="H69" s="5"/>
      <c r="I69" s="35"/>
      <c r="J69" s="4" t="s">
        <v>1</v>
      </c>
      <c r="K69" s="34">
        <f>K68</f>
        <v>0.16800000000000001</v>
      </c>
      <c r="L69" s="33" t="s">
        <v>0</v>
      </c>
      <c r="N69" s="5"/>
      <c r="O69" s="35"/>
      <c r="P69" s="4" t="s">
        <v>1</v>
      </c>
      <c r="Q69" s="34">
        <f>Q68</f>
        <v>4.3999999999999997E-2</v>
      </c>
      <c r="R69" s="33" t="s">
        <v>0</v>
      </c>
    </row>
    <row r="70" spans="2:18" ht="15.75" thickBot="1" x14ac:dyDescent="0.3"/>
    <row r="71" spans="2:18" x14ac:dyDescent="0.25">
      <c r="B71" s="45" t="s">
        <v>39</v>
      </c>
      <c r="C71" s="46"/>
      <c r="D71" s="46"/>
      <c r="E71" s="46"/>
      <c r="F71" s="47"/>
      <c r="H71" s="45" t="s">
        <v>39</v>
      </c>
      <c r="I71" s="46"/>
      <c r="J71" s="46"/>
      <c r="K71" s="46"/>
      <c r="L71" s="47"/>
      <c r="N71" s="45" t="s">
        <v>39</v>
      </c>
      <c r="O71" s="46"/>
      <c r="P71" s="46"/>
      <c r="Q71" s="46"/>
      <c r="R71" s="47"/>
    </row>
    <row r="72" spans="2:18" ht="15.75" thickBot="1" x14ac:dyDescent="0.3">
      <c r="B72" s="42" t="s">
        <v>38</v>
      </c>
      <c r="C72" s="43"/>
      <c r="D72" s="43"/>
      <c r="E72" s="43"/>
      <c r="F72" s="44"/>
      <c r="H72" s="42" t="s">
        <v>38</v>
      </c>
      <c r="I72" s="43"/>
      <c r="J72" s="43"/>
      <c r="K72" s="43"/>
      <c r="L72" s="44"/>
      <c r="N72" s="42" t="s">
        <v>38</v>
      </c>
      <c r="O72" s="43"/>
      <c r="P72" s="43"/>
      <c r="Q72" s="43"/>
      <c r="R72" s="44"/>
    </row>
    <row r="73" spans="2:18" x14ac:dyDescent="0.25">
      <c r="B73" s="36" t="s">
        <v>37</v>
      </c>
      <c r="C73" s="37"/>
      <c r="D73" s="37"/>
      <c r="E73" s="37"/>
      <c r="F73" s="38"/>
      <c r="H73" s="36" t="s">
        <v>37</v>
      </c>
      <c r="I73" s="37"/>
      <c r="J73" s="37"/>
      <c r="K73" s="37"/>
      <c r="L73" s="38"/>
      <c r="N73" s="36" t="s">
        <v>37</v>
      </c>
      <c r="O73" s="37"/>
      <c r="P73" s="37"/>
      <c r="Q73" s="37"/>
      <c r="R73" s="38"/>
    </row>
    <row r="74" spans="2:18" ht="15.75" thickBot="1" x14ac:dyDescent="0.3">
      <c r="B74" s="32" t="s">
        <v>36</v>
      </c>
      <c r="C74" s="31" t="s">
        <v>35</v>
      </c>
      <c r="D74" s="31" t="s">
        <v>34</v>
      </c>
      <c r="E74" s="31" t="s">
        <v>33</v>
      </c>
      <c r="F74" s="30" t="s">
        <v>32</v>
      </c>
      <c r="H74" s="32" t="s">
        <v>36</v>
      </c>
      <c r="I74" s="31" t="s">
        <v>35</v>
      </c>
      <c r="J74" s="31" t="s">
        <v>34</v>
      </c>
      <c r="K74" s="31" t="s">
        <v>33</v>
      </c>
      <c r="L74" s="30" t="s">
        <v>32</v>
      </c>
      <c r="N74" s="32" t="s">
        <v>36</v>
      </c>
      <c r="O74" s="31" t="s">
        <v>35</v>
      </c>
      <c r="P74" s="31" t="s">
        <v>34</v>
      </c>
      <c r="Q74" s="31" t="s">
        <v>33</v>
      </c>
      <c r="R74" s="30" t="s">
        <v>32</v>
      </c>
    </row>
    <row r="75" spans="2:18" x14ac:dyDescent="0.25">
      <c r="B75" s="39" t="s">
        <v>31</v>
      </c>
      <c r="C75" s="40"/>
      <c r="D75" s="40"/>
      <c r="E75" s="40"/>
      <c r="F75" s="41"/>
      <c r="H75" s="39" t="s">
        <v>31</v>
      </c>
      <c r="I75" s="40"/>
      <c r="J75" s="40"/>
      <c r="K75" s="40"/>
      <c r="L75" s="41"/>
      <c r="N75" s="39" t="s">
        <v>31</v>
      </c>
      <c r="O75" s="40"/>
      <c r="P75" s="40"/>
      <c r="Q75" s="40"/>
      <c r="R75" s="41"/>
    </row>
    <row r="76" spans="2:18" x14ac:dyDescent="0.25">
      <c r="B76" s="28"/>
      <c r="C76" s="27" t="s">
        <v>29</v>
      </c>
      <c r="D76" s="16"/>
      <c r="E76" s="14" t="s">
        <v>45</v>
      </c>
      <c r="F76" s="13"/>
      <c r="H76" s="28"/>
      <c r="I76" s="27" t="s">
        <v>29</v>
      </c>
      <c r="J76" s="16"/>
      <c r="K76" s="14" t="s">
        <v>43</v>
      </c>
      <c r="L76" s="13"/>
      <c r="N76" s="28"/>
      <c r="O76" s="27" t="s">
        <v>29</v>
      </c>
      <c r="P76" s="16"/>
      <c r="Q76" s="14" t="s">
        <v>42</v>
      </c>
      <c r="R76" s="13"/>
    </row>
    <row r="77" spans="2:18" x14ac:dyDescent="0.25">
      <c r="B77" s="28"/>
      <c r="C77" s="27" t="s">
        <v>27</v>
      </c>
      <c r="D77" s="16"/>
      <c r="E77" s="14" t="s">
        <v>67</v>
      </c>
      <c r="F77" s="13"/>
      <c r="H77" s="28"/>
      <c r="I77" s="27" t="s">
        <v>27</v>
      </c>
      <c r="J77" s="16"/>
      <c r="K77" s="14" t="s">
        <v>68</v>
      </c>
      <c r="L77" s="13"/>
      <c r="N77" s="28"/>
      <c r="O77" s="27" t="s">
        <v>27</v>
      </c>
      <c r="P77" s="16"/>
      <c r="Q77" s="14" t="s">
        <v>40</v>
      </c>
      <c r="R77" s="13"/>
    </row>
    <row r="78" spans="2:18" hidden="1" x14ac:dyDescent="0.25">
      <c r="B78" s="28"/>
      <c r="C78" s="27" t="s">
        <v>26</v>
      </c>
      <c r="D78" s="16"/>
      <c r="E78" s="29"/>
      <c r="F78" s="13" t="s">
        <v>25</v>
      </c>
      <c r="H78" s="28"/>
      <c r="I78" s="27" t="s">
        <v>26</v>
      </c>
      <c r="J78" s="16"/>
      <c r="K78" s="29"/>
      <c r="L78" s="13" t="s">
        <v>25</v>
      </c>
      <c r="N78" s="28"/>
      <c r="O78" s="27" t="s">
        <v>26</v>
      </c>
      <c r="P78" s="16"/>
      <c r="Q78" s="29"/>
      <c r="R78" s="13" t="s">
        <v>25</v>
      </c>
    </row>
    <row r="79" spans="2:18" hidden="1" x14ac:dyDescent="0.25">
      <c r="B79" s="28"/>
      <c r="C79" s="27" t="s">
        <v>24</v>
      </c>
      <c r="D79" s="16"/>
      <c r="E79" s="14">
        <f>13.5*12*30</f>
        <v>4860</v>
      </c>
      <c r="F79" s="13" t="s">
        <v>21</v>
      </c>
      <c r="H79" s="28"/>
      <c r="I79" s="27" t="s">
        <v>24</v>
      </c>
      <c r="J79" s="16"/>
      <c r="K79" s="14">
        <f>13.5*12*30</f>
        <v>4860</v>
      </c>
      <c r="L79" s="13" t="s">
        <v>21</v>
      </c>
      <c r="N79" s="28"/>
      <c r="O79" s="27" t="s">
        <v>24</v>
      </c>
      <c r="P79" s="16"/>
      <c r="Q79" s="14">
        <f>13.5*12*30</f>
        <v>4860</v>
      </c>
      <c r="R79" s="13" t="s">
        <v>21</v>
      </c>
    </row>
    <row r="80" spans="2:18" hidden="1" x14ac:dyDescent="0.25">
      <c r="B80" s="10"/>
      <c r="C80" s="17" t="s">
        <v>23</v>
      </c>
      <c r="D80" s="22"/>
      <c r="E80" s="19">
        <v>0</v>
      </c>
      <c r="F80" s="6" t="s">
        <v>21</v>
      </c>
      <c r="H80" s="10"/>
      <c r="I80" s="17" t="s">
        <v>23</v>
      </c>
      <c r="J80" s="22"/>
      <c r="K80" s="19">
        <v>0</v>
      </c>
      <c r="L80" s="6" t="s">
        <v>21</v>
      </c>
      <c r="N80" s="10"/>
      <c r="O80" s="17" t="s">
        <v>23</v>
      </c>
      <c r="P80" s="22"/>
      <c r="Q80" s="19">
        <v>0</v>
      </c>
      <c r="R80" s="6" t="s">
        <v>21</v>
      </c>
    </row>
    <row r="81" spans="2:18" hidden="1" x14ac:dyDescent="0.25">
      <c r="B81" s="10"/>
      <c r="C81" s="17" t="s">
        <v>22</v>
      </c>
      <c r="D81" s="22"/>
      <c r="E81" s="26">
        <f>E79-E80-(E82+E84)/2*10</f>
        <v>4860</v>
      </c>
      <c r="F81" s="6" t="s">
        <v>21</v>
      </c>
      <c r="H81" s="10"/>
      <c r="I81" s="17" t="s">
        <v>22</v>
      </c>
      <c r="J81" s="22"/>
      <c r="K81" s="26">
        <f>K79-K80-(K82+K84)/2*10</f>
        <v>4860</v>
      </c>
      <c r="L81" s="6" t="s">
        <v>21</v>
      </c>
      <c r="N81" s="10"/>
      <c r="O81" s="17" t="s">
        <v>22</v>
      </c>
      <c r="P81" s="22"/>
      <c r="Q81" s="26">
        <f>Q79-Q80-(Q82+Q84)/2*10</f>
        <v>4860</v>
      </c>
      <c r="R81" s="6" t="s">
        <v>21</v>
      </c>
    </row>
    <row r="82" spans="2:18" hidden="1" x14ac:dyDescent="0.25">
      <c r="B82" s="10"/>
      <c r="C82" s="17" t="s">
        <v>20</v>
      </c>
      <c r="D82" s="22" t="s">
        <v>16</v>
      </c>
      <c r="E82" s="25">
        <f>((E80/E79)*10-E83)</f>
        <v>0</v>
      </c>
      <c r="F82" s="6" t="s">
        <v>15</v>
      </c>
      <c r="H82" s="10"/>
      <c r="I82" s="17" t="s">
        <v>20</v>
      </c>
      <c r="J82" s="22" t="s">
        <v>16</v>
      </c>
      <c r="K82" s="25">
        <f>((K80/K79)*10-K83)</f>
        <v>0</v>
      </c>
      <c r="L82" s="6" t="s">
        <v>15</v>
      </c>
      <c r="N82" s="10"/>
      <c r="O82" s="17" t="s">
        <v>20</v>
      </c>
      <c r="P82" s="22" t="s">
        <v>16</v>
      </c>
      <c r="Q82" s="25">
        <f>((Q80/Q79)*10-Q83)</f>
        <v>0</v>
      </c>
      <c r="R82" s="6" t="s">
        <v>15</v>
      </c>
    </row>
    <row r="83" spans="2:18" ht="30" hidden="1" x14ac:dyDescent="0.25">
      <c r="B83" s="10"/>
      <c r="C83" s="17"/>
      <c r="D83" s="8" t="s">
        <v>19</v>
      </c>
      <c r="E83" s="23">
        <v>0</v>
      </c>
      <c r="F83" s="6" t="s">
        <v>18</v>
      </c>
      <c r="H83" s="10"/>
      <c r="I83" s="17"/>
      <c r="J83" s="8" t="s">
        <v>19</v>
      </c>
      <c r="K83" s="23">
        <v>0</v>
      </c>
      <c r="L83" s="6" t="s">
        <v>18</v>
      </c>
      <c r="N83" s="10"/>
      <c r="O83" s="17"/>
      <c r="P83" s="8" t="s">
        <v>19</v>
      </c>
      <c r="Q83" s="23">
        <v>0</v>
      </c>
      <c r="R83" s="6" t="s">
        <v>18</v>
      </c>
    </row>
    <row r="84" spans="2:18" hidden="1" x14ac:dyDescent="0.25">
      <c r="B84" s="10"/>
      <c r="C84" s="20" t="s">
        <v>17</v>
      </c>
      <c r="D84" s="24" t="s">
        <v>16</v>
      </c>
      <c r="E84" s="23">
        <v>0</v>
      </c>
      <c r="F84" s="18" t="s">
        <v>15</v>
      </c>
      <c r="H84" s="10"/>
      <c r="I84" s="20" t="s">
        <v>17</v>
      </c>
      <c r="J84" s="24" t="s">
        <v>16</v>
      </c>
      <c r="K84" s="23">
        <v>0</v>
      </c>
      <c r="L84" s="18" t="s">
        <v>15</v>
      </c>
      <c r="N84" s="10"/>
      <c r="O84" s="20" t="s">
        <v>17</v>
      </c>
      <c r="P84" s="24" t="s">
        <v>16</v>
      </c>
      <c r="Q84" s="23">
        <v>0</v>
      </c>
      <c r="R84" s="18" t="s">
        <v>15</v>
      </c>
    </row>
    <row r="85" spans="2:18" ht="30" hidden="1" x14ac:dyDescent="0.25">
      <c r="B85" s="10"/>
      <c r="C85" s="17" t="s">
        <v>14</v>
      </c>
      <c r="D85" s="22"/>
      <c r="E85" s="21">
        <f>(E81/E79)</f>
        <v>1</v>
      </c>
      <c r="F85" s="6" t="s">
        <v>13</v>
      </c>
      <c r="H85" s="10"/>
      <c r="I85" s="17" t="s">
        <v>14</v>
      </c>
      <c r="J85" s="22"/>
      <c r="K85" s="21">
        <f>(K81/K79)</f>
        <v>1</v>
      </c>
      <c r="L85" s="6" t="s">
        <v>13</v>
      </c>
      <c r="N85" s="10"/>
      <c r="O85" s="17" t="s">
        <v>14</v>
      </c>
      <c r="P85" s="22"/>
      <c r="Q85" s="21">
        <f>(Q81/Q79)</f>
        <v>1</v>
      </c>
      <c r="R85" s="6" t="s">
        <v>13</v>
      </c>
    </row>
    <row r="86" spans="2:18" x14ac:dyDescent="0.25">
      <c r="B86" s="10"/>
      <c r="C86" s="17" t="s">
        <v>12</v>
      </c>
      <c r="D86" s="16" t="s">
        <v>11</v>
      </c>
      <c r="E86" s="14" t="s">
        <v>10</v>
      </c>
      <c r="F86" s="13"/>
      <c r="H86" s="10"/>
      <c r="I86" s="17" t="s">
        <v>12</v>
      </c>
      <c r="J86" s="16" t="s">
        <v>11</v>
      </c>
      <c r="K86" s="14" t="s">
        <v>10</v>
      </c>
      <c r="L86" s="13"/>
      <c r="N86" s="10"/>
      <c r="O86" s="17" t="s">
        <v>12</v>
      </c>
      <c r="P86" s="16" t="s">
        <v>11</v>
      </c>
      <c r="Q86" s="14" t="s">
        <v>10</v>
      </c>
      <c r="R86" s="13"/>
    </row>
    <row r="87" spans="2:18" x14ac:dyDescent="0.25">
      <c r="B87" s="10"/>
      <c r="D87" s="20" t="s">
        <v>9</v>
      </c>
      <c r="E87" s="19" t="str">
        <f>'[1]Data Lingkungan (DL)'!BG59</f>
        <v>off</v>
      </c>
      <c r="F87" s="18"/>
      <c r="H87" s="10"/>
      <c r="J87" s="20" t="s">
        <v>9</v>
      </c>
      <c r="K87" s="19" t="str">
        <f>'[1]Data Lingkungan (DL)'!BG60</f>
        <v>on</v>
      </c>
      <c r="L87" s="18"/>
      <c r="N87" s="10"/>
      <c r="P87" s="20" t="s">
        <v>9</v>
      </c>
      <c r="Q87" s="19" t="s">
        <v>76</v>
      </c>
      <c r="R87" s="18"/>
    </row>
    <row r="88" spans="2:18" x14ac:dyDescent="0.25">
      <c r="B88" s="10"/>
      <c r="C88" s="17"/>
      <c r="D88" s="16" t="s">
        <v>8</v>
      </c>
      <c r="E88" s="14" t="s">
        <v>7</v>
      </c>
      <c r="F88" s="13"/>
      <c r="H88" s="10"/>
      <c r="I88" s="17"/>
      <c r="J88" s="16" t="s">
        <v>8</v>
      </c>
      <c r="K88" s="14" t="s">
        <v>7</v>
      </c>
      <c r="L88" s="13"/>
      <c r="N88" s="10"/>
      <c r="O88" s="17"/>
      <c r="P88" s="16" t="s">
        <v>8</v>
      </c>
      <c r="Q88" s="14" t="s">
        <v>7</v>
      </c>
      <c r="R88" s="13"/>
    </row>
    <row r="89" spans="2:18" x14ac:dyDescent="0.25">
      <c r="B89" s="10"/>
      <c r="C89" s="9"/>
      <c r="D89" s="15" t="s">
        <v>6</v>
      </c>
      <c r="E89" s="14">
        <v>5.0000000000000001E-3</v>
      </c>
      <c r="F89" s="13" t="s">
        <v>5</v>
      </c>
      <c r="H89" s="10"/>
      <c r="I89" s="9"/>
      <c r="J89" s="15" t="s">
        <v>6</v>
      </c>
      <c r="K89" s="14">
        <v>7.0000000000000001E-3</v>
      </c>
      <c r="L89" s="13" t="s">
        <v>5</v>
      </c>
      <c r="N89" s="10"/>
      <c r="O89" s="9"/>
      <c r="P89" s="15" t="s">
        <v>6</v>
      </c>
      <c r="Q89" s="14">
        <v>0.01</v>
      </c>
      <c r="R89" s="13" t="s">
        <v>5</v>
      </c>
    </row>
    <row r="90" spans="2:18" ht="30" x14ac:dyDescent="0.25">
      <c r="B90" s="10"/>
      <c r="C90" s="9"/>
      <c r="D90" s="8" t="s">
        <v>4</v>
      </c>
      <c r="E90" s="7">
        <v>0</v>
      </c>
      <c r="F90" s="6" t="s">
        <v>3</v>
      </c>
      <c r="G90" s="12"/>
      <c r="H90" s="10"/>
      <c r="I90" s="9"/>
      <c r="J90" s="8" t="s">
        <v>4</v>
      </c>
      <c r="K90" s="7">
        <v>24</v>
      </c>
      <c r="L90" s="6" t="s">
        <v>3</v>
      </c>
      <c r="N90" s="10"/>
      <c r="O90" s="9"/>
      <c r="P90" s="8" t="s">
        <v>4</v>
      </c>
      <c r="Q90" s="7">
        <v>24</v>
      </c>
      <c r="R90" s="6" t="s">
        <v>3</v>
      </c>
    </row>
    <row r="91" spans="2:18" ht="30" x14ac:dyDescent="0.25">
      <c r="B91" s="10"/>
      <c r="C91" s="9"/>
      <c r="D91" s="8" t="s">
        <v>2</v>
      </c>
      <c r="E91" s="11">
        <f>E90*E89</f>
        <v>0</v>
      </c>
      <c r="F91" s="6"/>
      <c r="H91" s="10"/>
      <c r="I91" s="9"/>
      <c r="J91" s="8" t="s">
        <v>2</v>
      </c>
      <c r="K91" s="11">
        <f>K90*K89</f>
        <v>0.16800000000000001</v>
      </c>
      <c r="L91" s="6"/>
      <c r="N91" s="10"/>
      <c r="O91" s="9"/>
      <c r="P91" s="8" t="s">
        <v>2</v>
      </c>
      <c r="Q91" s="11">
        <f>Q90*Q89</f>
        <v>0.24</v>
      </c>
      <c r="R91" s="6"/>
    </row>
    <row r="92" spans="2:18" ht="30.75" thickBot="1" x14ac:dyDescent="0.3">
      <c r="B92" s="5"/>
      <c r="C92" s="35"/>
      <c r="D92" s="4" t="s">
        <v>1</v>
      </c>
      <c r="E92" s="34">
        <f>E91</f>
        <v>0</v>
      </c>
      <c r="F92" s="33" t="s">
        <v>0</v>
      </c>
      <c r="H92" s="5"/>
      <c r="I92" s="35"/>
      <c r="J92" s="4" t="s">
        <v>1</v>
      </c>
      <c r="K92" s="34">
        <f>K91</f>
        <v>0.16800000000000001</v>
      </c>
      <c r="L92" s="33" t="s">
        <v>0</v>
      </c>
      <c r="N92" s="5"/>
      <c r="O92" s="35"/>
      <c r="P92" s="4" t="s">
        <v>1</v>
      </c>
      <c r="Q92" s="34">
        <f>Q91</f>
        <v>0.24</v>
      </c>
      <c r="R92" s="33" t="s">
        <v>0</v>
      </c>
    </row>
    <row r="93" spans="2:18" ht="15.75" thickBot="1" x14ac:dyDescent="0.3"/>
    <row r="94" spans="2:18" x14ac:dyDescent="0.25">
      <c r="B94" s="45" t="s">
        <v>39</v>
      </c>
      <c r="C94" s="46"/>
      <c r="D94" s="46"/>
      <c r="E94" s="46"/>
      <c r="F94" s="47"/>
      <c r="H94" s="45" t="s">
        <v>39</v>
      </c>
      <c r="I94" s="46"/>
      <c r="J94" s="46"/>
      <c r="K94" s="46"/>
      <c r="L94" s="47"/>
      <c r="N94" s="45" t="s">
        <v>39</v>
      </c>
      <c r="O94" s="46"/>
      <c r="P94" s="46"/>
      <c r="Q94" s="46"/>
      <c r="R94" s="47"/>
    </row>
    <row r="95" spans="2:18" ht="15.75" thickBot="1" x14ac:dyDescent="0.3">
      <c r="B95" s="42" t="s">
        <v>38</v>
      </c>
      <c r="C95" s="43"/>
      <c r="D95" s="43"/>
      <c r="E95" s="43"/>
      <c r="F95" s="44"/>
      <c r="H95" s="42" t="s">
        <v>38</v>
      </c>
      <c r="I95" s="43"/>
      <c r="J95" s="43"/>
      <c r="K95" s="43"/>
      <c r="L95" s="44"/>
      <c r="N95" s="42" t="s">
        <v>38</v>
      </c>
      <c r="O95" s="43"/>
      <c r="P95" s="43"/>
      <c r="Q95" s="43"/>
      <c r="R95" s="44"/>
    </row>
    <row r="96" spans="2:18" x14ac:dyDescent="0.25">
      <c r="B96" s="36" t="s">
        <v>37</v>
      </c>
      <c r="C96" s="37"/>
      <c r="D96" s="37"/>
      <c r="E96" s="37"/>
      <c r="F96" s="38"/>
      <c r="H96" s="36" t="s">
        <v>37</v>
      </c>
      <c r="I96" s="37"/>
      <c r="J96" s="37"/>
      <c r="K96" s="37"/>
      <c r="L96" s="38"/>
      <c r="N96" s="36" t="s">
        <v>37</v>
      </c>
      <c r="O96" s="37"/>
      <c r="P96" s="37"/>
      <c r="Q96" s="37"/>
      <c r="R96" s="38"/>
    </row>
    <row r="97" spans="2:18" ht="15.75" thickBot="1" x14ac:dyDescent="0.3">
      <c r="B97" s="32" t="s">
        <v>36</v>
      </c>
      <c r="C97" s="31" t="s">
        <v>35</v>
      </c>
      <c r="D97" s="31" t="s">
        <v>34</v>
      </c>
      <c r="E97" s="31" t="s">
        <v>33</v>
      </c>
      <c r="F97" s="30" t="s">
        <v>32</v>
      </c>
      <c r="H97" s="32" t="s">
        <v>36</v>
      </c>
      <c r="I97" s="31" t="s">
        <v>35</v>
      </c>
      <c r="J97" s="31" t="s">
        <v>34</v>
      </c>
      <c r="K97" s="31" t="s">
        <v>33</v>
      </c>
      <c r="L97" s="30" t="s">
        <v>32</v>
      </c>
      <c r="N97" s="32" t="s">
        <v>36</v>
      </c>
      <c r="O97" s="31" t="s">
        <v>35</v>
      </c>
      <c r="P97" s="31" t="s">
        <v>34</v>
      </c>
      <c r="Q97" s="31" t="s">
        <v>33</v>
      </c>
      <c r="R97" s="30" t="s">
        <v>32</v>
      </c>
    </row>
    <row r="98" spans="2:18" x14ac:dyDescent="0.25">
      <c r="B98" s="39" t="s">
        <v>31</v>
      </c>
      <c r="C98" s="40"/>
      <c r="D98" s="40"/>
      <c r="E98" s="40"/>
      <c r="F98" s="41"/>
      <c r="H98" s="39" t="s">
        <v>31</v>
      </c>
      <c r="I98" s="40"/>
      <c r="J98" s="40"/>
      <c r="K98" s="40"/>
      <c r="L98" s="41"/>
      <c r="N98" s="39" t="s">
        <v>31</v>
      </c>
      <c r="O98" s="40"/>
      <c r="P98" s="40"/>
      <c r="Q98" s="40"/>
      <c r="R98" s="41"/>
    </row>
    <row r="99" spans="2:18" x14ac:dyDescent="0.25">
      <c r="B99" s="28"/>
      <c r="C99" s="27" t="s">
        <v>29</v>
      </c>
      <c r="D99" s="16"/>
      <c r="E99" s="14" t="s">
        <v>30</v>
      </c>
      <c r="F99" s="13"/>
      <c r="H99" s="28"/>
      <c r="I99" s="27" t="s">
        <v>29</v>
      </c>
      <c r="J99" s="16"/>
      <c r="K99" s="14" t="s">
        <v>41</v>
      </c>
      <c r="L99" s="13"/>
      <c r="N99" s="28"/>
      <c r="O99" s="27" t="s">
        <v>29</v>
      </c>
      <c r="P99" s="16"/>
      <c r="Q99" s="14" t="s">
        <v>28</v>
      </c>
      <c r="R99" s="13"/>
    </row>
    <row r="100" spans="2:18" x14ac:dyDescent="0.25">
      <c r="B100" s="28"/>
      <c r="C100" s="27" t="s">
        <v>27</v>
      </c>
      <c r="D100" s="16"/>
      <c r="E100" s="14" t="s">
        <v>69</v>
      </c>
      <c r="F100" s="13"/>
      <c r="H100" s="28"/>
      <c r="I100" s="27" t="s">
        <v>27</v>
      </c>
      <c r="J100" s="16"/>
      <c r="K100" s="14" t="s">
        <v>70</v>
      </c>
      <c r="L100" s="13"/>
      <c r="N100" s="28"/>
      <c r="O100" s="27" t="s">
        <v>27</v>
      </c>
      <c r="P100" s="16"/>
      <c r="Q100" s="14" t="s">
        <v>71</v>
      </c>
      <c r="R100" s="13"/>
    </row>
    <row r="101" spans="2:18" hidden="1" x14ac:dyDescent="0.25">
      <c r="B101" s="28"/>
      <c r="C101" s="27" t="s">
        <v>26</v>
      </c>
      <c r="D101" s="16"/>
      <c r="E101" s="29"/>
      <c r="F101" s="13" t="s">
        <v>25</v>
      </c>
      <c r="H101" s="28"/>
      <c r="I101" s="27" t="s">
        <v>26</v>
      </c>
      <c r="J101" s="16"/>
      <c r="K101" s="29"/>
      <c r="L101" s="13" t="s">
        <v>25</v>
      </c>
      <c r="N101" s="28"/>
      <c r="O101" s="27" t="s">
        <v>26</v>
      </c>
      <c r="P101" s="16"/>
      <c r="Q101" s="29"/>
      <c r="R101" s="13" t="s">
        <v>25</v>
      </c>
    </row>
    <row r="102" spans="2:18" hidden="1" x14ac:dyDescent="0.25">
      <c r="B102" s="28"/>
      <c r="C102" s="27" t="s">
        <v>24</v>
      </c>
      <c r="D102" s="16"/>
      <c r="E102" s="14">
        <f>13.5*12*30</f>
        <v>4860</v>
      </c>
      <c r="F102" s="13" t="s">
        <v>21</v>
      </c>
      <c r="H102" s="28"/>
      <c r="I102" s="27" t="s">
        <v>24</v>
      </c>
      <c r="J102" s="16"/>
      <c r="K102" s="14">
        <f>13.5*12*30</f>
        <v>4860</v>
      </c>
      <c r="L102" s="13" t="s">
        <v>21</v>
      </c>
      <c r="N102" s="28"/>
      <c r="O102" s="27" t="s">
        <v>24</v>
      </c>
      <c r="P102" s="16"/>
      <c r="Q102" s="14">
        <f>13.5*12*30</f>
        <v>4860</v>
      </c>
      <c r="R102" s="13" t="s">
        <v>21</v>
      </c>
    </row>
    <row r="103" spans="2:18" hidden="1" x14ac:dyDescent="0.25">
      <c r="B103" s="10"/>
      <c r="C103" s="17" t="s">
        <v>23</v>
      </c>
      <c r="D103" s="22"/>
      <c r="E103" s="19">
        <v>0</v>
      </c>
      <c r="F103" s="6" t="s">
        <v>21</v>
      </c>
      <c r="H103" s="10"/>
      <c r="I103" s="17" t="s">
        <v>23</v>
      </c>
      <c r="J103" s="22"/>
      <c r="K103" s="19">
        <v>0</v>
      </c>
      <c r="L103" s="6" t="s">
        <v>21</v>
      </c>
      <c r="N103" s="10"/>
      <c r="O103" s="17" t="s">
        <v>23</v>
      </c>
      <c r="P103" s="22"/>
      <c r="Q103" s="19">
        <v>0</v>
      </c>
      <c r="R103" s="6" t="s">
        <v>21</v>
      </c>
    </row>
    <row r="104" spans="2:18" hidden="1" x14ac:dyDescent="0.25">
      <c r="B104" s="10"/>
      <c r="C104" s="17" t="s">
        <v>22</v>
      </c>
      <c r="D104" s="22"/>
      <c r="E104" s="26">
        <f>E102-E103-(E105+E107)/2*10</f>
        <v>4860</v>
      </c>
      <c r="F104" s="6" t="s">
        <v>21</v>
      </c>
      <c r="H104" s="10"/>
      <c r="I104" s="17" t="s">
        <v>22</v>
      </c>
      <c r="J104" s="22"/>
      <c r="K104" s="26">
        <f>K102-K103-(K105+K107)/2*10</f>
        <v>4860</v>
      </c>
      <c r="L104" s="6" t="s">
        <v>21</v>
      </c>
      <c r="N104" s="10"/>
      <c r="O104" s="17" t="s">
        <v>22</v>
      </c>
      <c r="P104" s="22"/>
      <c r="Q104" s="26">
        <f>Q102-Q103-(Q105+Q107)/2*10</f>
        <v>4860</v>
      </c>
      <c r="R104" s="6" t="s">
        <v>21</v>
      </c>
    </row>
    <row r="105" spans="2:18" hidden="1" x14ac:dyDescent="0.25">
      <c r="B105" s="10"/>
      <c r="C105" s="17" t="s">
        <v>20</v>
      </c>
      <c r="D105" s="22" t="s">
        <v>16</v>
      </c>
      <c r="E105" s="25">
        <f>((E103/E102)*10-E106)</f>
        <v>0</v>
      </c>
      <c r="F105" s="6" t="s">
        <v>15</v>
      </c>
      <c r="H105" s="10"/>
      <c r="I105" s="17" t="s">
        <v>20</v>
      </c>
      <c r="J105" s="22" t="s">
        <v>16</v>
      </c>
      <c r="K105" s="25">
        <f>((K103/K102)*10-K106)</f>
        <v>0</v>
      </c>
      <c r="L105" s="6" t="s">
        <v>15</v>
      </c>
      <c r="N105" s="10"/>
      <c r="O105" s="17" t="s">
        <v>20</v>
      </c>
      <c r="P105" s="22" t="s">
        <v>16</v>
      </c>
      <c r="Q105" s="25">
        <f>((Q103/Q102)*10-Q106)</f>
        <v>0</v>
      </c>
      <c r="R105" s="6" t="s">
        <v>15</v>
      </c>
    </row>
    <row r="106" spans="2:18" ht="30" hidden="1" x14ac:dyDescent="0.25">
      <c r="B106" s="10"/>
      <c r="C106" s="17"/>
      <c r="D106" s="8" t="s">
        <v>19</v>
      </c>
      <c r="E106" s="23">
        <v>0</v>
      </c>
      <c r="F106" s="6" t="s">
        <v>18</v>
      </c>
      <c r="H106" s="10"/>
      <c r="I106" s="17"/>
      <c r="J106" s="8" t="s">
        <v>19</v>
      </c>
      <c r="K106" s="23">
        <v>0</v>
      </c>
      <c r="L106" s="6" t="s">
        <v>18</v>
      </c>
      <c r="N106" s="10"/>
      <c r="O106" s="17"/>
      <c r="P106" s="8" t="s">
        <v>19</v>
      </c>
      <c r="Q106" s="23">
        <v>0</v>
      </c>
      <c r="R106" s="6" t="s">
        <v>18</v>
      </c>
    </row>
    <row r="107" spans="2:18" hidden="1" x14ac:dyDescent="0.25">
      <c r="B107" s="10"/>
      <c r="C107" s="20" t="s">
        <v>17</v>
      </c>
      <c r="D107" s="24" t="s">
        <v>16</v>
      </c>
      <c r="E107" s="23">
        <v>0</v>
      </c>
      <c r="F107" s="18" t="s">
        <v>15</v>
      </c>
      <c r="H107" s="10"/>
      <c r="I107" s="20" t="s">
        <v>17</v>
      </c>
      <c r="J107" s="24" t="s">
        <v>16</v>
      </c>
      <c r="K107" s="23">
        <v>0</v>
      </c>
      <c r="L107" s="18" t="s">
        <v>15</v>
      </c>
      <c r="N107" s="10"/>
      <c r="O107" s="20" t="s">
        <v>17</v>
      </c>
      <c r="P107" s="24" t="s">
        <v>16</v>
      </c>
      <c r="Q107" s="23">
        <v>0</v>
      </c>
      <c r="R107" s="18" t="s">
        <v>15</v>
      </c>
    </row>
    <row r="108" spans="2:18" ht="30" hidden="1" x14ac:dyDescent="0.25">
      <c r="B108" s="10"/>
      <c r="C108" s="17" t="s">
        <v>14</v>
      </c>
      <c r="D108" s="22"/>
      <c r="E108" s="21">
        <f>(E104/E102)</f>
        <v>1</v>
      </c>
      <c r="F108" s="6" t="s">
        <v>13</v>
      </c>
      <c r="H108" s="10"/>
      <c r="I108" s="17" t="s">
        <v>14</v>
      </c>
      <c r="J108" s="22"/>
      <c r="K108" s="21">
        <f>(K104/K102)</f>
        <v>1</v>
      </c>
      <c r="L108" s="6" t="s">
        <v>13</v>
      </c>
      <c r="N108" s="10"/>
      <c r="O108" s="17" t="s">
        <v>14</v>
      </c>
      <c r="P108" s="22"/>
      <c r="Q108" s="21">
        <f>(Q104/Q102)</f>
        <v>1</v>
      </c>
      <c r="R108" s="6" t="s">
        <v>13</v>
      </c>
    </row>
    <row r="109" spans="2:18" x14ac:dyDescent="0.25">
      <c r="B109" s="10"/>
      <c r="C109" s="17" t="s">
        <v>12</v>
      </c>
      <c r="D109" s="16" t="s">
        <v>11</v>
      </c>
      <c r="E109" s="14" t="s">
        <v>10</v>
      </c>
      <c r="F109" s="13"/>
      <c r="H109" s="10"/>
      <c r="I109" s="17" t="s">
        <v>12</v>
      </c>
      <c r="J109" s="16" t="s">
        <v>11</v>
      </c>
      <c r="K109" s="14" t="s">
        <v>10</v>
      </c>
      <c r="L109" s="13"/>
      <c r="N109" s="10"/>
      <c r="O109" s="17" t="s">
        <v>12</v>
      </c>
      <c r="P109" s="16" t="s">
        <v>11</v>
      </c>
      <c r="Q109" s="14" t="s">
        <v>10</v>
      </c>
      <c r="R109" s="13"/>
    </row>
    <row r="110" spans="2:18" x14ac:dyDescent="0.25">
      <c r="B110" s="10"/>
      <c r="D110" s="20" t="s">
        <v>9</v>
      </c>
      <c r="E110" s="19" t="str">
        <f>'[1]Data Lingkungan (DL)'!BP59</f>
        <v>off</v>
      </c>
      <c r="F110" s="18"/>
      <c r="H110" s="10"/>
      <c r="J110" s="20" t="s">
        <v>9</v>
      </c>
      <c r="K110" s="19" t="str">
        <f>'[1]Data Lingkungan (DL)'!BP60</f>
        <v>on</v>
      </c>
      <c r="L110" s="18"/>
      <c r="N110" s="10"/>
      <c r="P110" s="20" t="s">
        <v>9</v>
      </c>
      <c r="Q110" s="19" t="s">
        <v>76</v>
      </c>
      <c r="R110" s="18"/>
    </row>
    <row r="111" spans="2:18" x14ac:dyDescent="0.25">
      <c r="B111" s="10"/>
      <c r="C111" s="17"/>
      <c r="D111" s="16" t="s">
        <v>8</v>
      </c>
      <c r="E111" s="14" t="s">
        <v>7</v>
      </c>
      <c r="F111" s="13"/>
      <c r="H111" s="10"/>
      <c r="I111" s="17"/>
      <c r="J111" s="16" t="s">
        <v>8</v>
      </c>
      <c r="K111" s="14" t="s">
        <v>7</v>
      </c>
      <c r="L111" s="13"/>
      <c r="N111" s="10"/>
      <c r="O111" s="17"/>
      <c r="P111" s="16" t="s">
        <v>8</v>
      </c>
      <c r="Q111" s="14" t="s">
        <v>7</v>
      </c>
      <c r="R111" s="13"/>
    </row>
    <row r="112" spans="2:18" x14ac:dyDescent="0.25">
      <c r="B112" s="10"/>
      <c r="C112" s="9"/>
      <c r="D112" s="15" t="s">
        <v>6</v>
      </c>
      <c r="E112" s="14">
        <v>7.0000000000000001E-3</v>
      </c>
      <c r="F112" s="13" t="s">
        <v>5</v>
      </c>
      <c r="H112" s="10"/>
      <c r="I112" s="9"/>
      <c r="J112" s="15" t="s">
        <v>6</v>
      </c>
      <c r="K112" s="14">
        <v>7.0000000000000001E-3</v>
      </c>
      <c r="L112" s="13" t="s">
        <v>5</v>
      </c>
      <c r="N112" s="10"/>
      <c r="O112" s="9"/>
      <c r="P112" s="15" t="s">
        <v>6</v>
      </c>
      <c r="Q112" s="14">
        <v>8.9999999999999993E-3</v>
      </c>
      <c r="R112" s="13" t="s">
        <v>5</v>
      </c>
    </row>
    <row r="113" spans="2:18" ht="30" x14ac:dyDescent="0.25">
      <c r="B113" s="10"/>
      <c r="C113" s="9"/>
      <c r="D113" s="8" t="s">
        <v>4</v>
      </c>
      <c r="E113" s="7">
        <v>24</v>
      </c>
      <c r="F113" s="6" t="s">
        <v>3</v>
      </c>
      <c r="G113" s="12"/>
      <c r="H113" s="10"/>
      <c r="I113" s="9"/>
      <c r="J113" s="8" t="s">
        <v>4</v>
      </c>
      <c r="K113" s="7">
        <v>0</v>
      </c>
      <c r="L113" s="6" t="s">
        <v>3</v>
      </c>
      <c r="N113" s="10"/>
      <c r="O113" s="9"/>
      <c r="P113" s="8" t="s">
        <v>4</v>
      </c>
      <c r="Q113" s="7">
        <v>6.5</v>
      </c>
      <c r="R113" s="6" t="s">
        <v>3</v>
      </c>
    </row>
    <row r="114" spans="2:18" ht="30" x14ac:dyDescent="0.25">
      <c r="B114" s="10"/>
      <c r="C114" s="9"/>
      <c r="D114" s="8" t="s">
        <v>2</v>
      </c>
      <c r="E114" s="11">
        <f>E113*E112</f>
        <v>0.16800000000000001</v>
      </c>
      <c r="F114" s="6"/>
      <c r="H114" s="10"/>
      <c r="I114" s="9"/>
      <c r="J114" s="8" t="s">
        <v>2</v>
      </c>
      <c r="K114" s="11">
        <f>K113*K112</f>
        <v>0</v>
      </c>
      <c r="L114" s="6"/>
      <c r="N114" s="10"/>
      <c r="O114" s="9"/>
      <c r="P114" s="8" t="s">
        <v>2</v>
      </c>
      <c r="Q114" s="11">
        <f>Q113*Q112</f>
        <v>5.8499999999999996E-2</v>
      </c>
      <c r="R114" s="6"/>
    </row>
    <row r="115" spans="2:18" ht="30.75" thickBot="1" x14ac:dyDescent="0.3">
      <c r="B115" s="5"/>
      <c r="C115" s="35"/>
      <c r="D115" s="4" t="s">
        <v>1</v>
      </c>
      <c r="E115" s="34">
        <f>E114</f>
        <v>0.16800000000000001</v>
      </c>
      <c r="F115" s="33" t="s">
        <v>0</v>
      </c>
      <c r="H115" s="5"/>
      <c r="I115" s="35"/>
      <c r="J115" s="4" t="s">
        <v>1</v>
      </c>
      <c r="K115" s="34">
        <f>K114</f>
        <v>0</v>
      </c>
      <c r="L115" s="33" t="s">
        <v>0</v>
      </c>
      <c r="N115" s="5"/>
      <c r="O115" s="35"/>
      <c r="P115" s="4" t="s">
        <v>1</v>
      </c>
      <c r="Q115" s="34">
        <f>Q114</f>
        <v>5.8499999999999996E-2</v>
      </c>
      <c r="R115" s="33" t="s">
        <v>0</v>
      </c>
    </row>
    <row r="116" spans="2:18" ht="15.75" thickBot="1" x14ac:dyDescent="0.3"/>
    <row r="117" spans="2:18" x14ac:dyDescent="0.25">
      <c r="B117" s="45" t="s">
        <v>39</v>
      </c>
      <c r="C117" s="46"/>
      <c r="D117" s="46"/>
      <c r="E117" s="46"/>
      <c r="F117" s="47"/>
      <c r="H117" s="45" t="s">
        <v>39</v>
      </c>
      <c r="I117" s="46"/>
      <c r="J117" s="46"/>
      <c r="K117" s="46"/>
      <c r="L117" s="47"/>
      <c r="N117" s="45" t="s">
        <v>39</v>
      </c>
      <c r="O117" s="46"/>
      <c r="P117" s="46"/>
      <c r="Q117" s="46"/>
      <c r="R117" s="47"/>
    </row>
    <row r="118" spans="2:18" ht="15.75" thickBot="1" x14ac:dyDescent="0.3">
      <c r="B118" s="42" t="s">
        <v>38</v>
      </c>
      <c r="C118" s="43"/>
      <c r="D118" s="43"/>
      <c r="E118" s="43"/>
      <c r="F118" s="44"/>
      <c r="H118" s="42" t="s">
        <v>38</v>
      </c>
      <c r="I118" s="43"/>
      <c r="J118" s="43"/>
      <c r="K118" s="43"/>
      <c r="L118" s="44"/>
      <c r="N118" s="42" t="s">
        <v>38</v>
      </c>
      <c r="O118" s="43"/>
      <c r="P118" s="43"/>
      <c r="Q118" s="43"/>
      <c r="R118" s="44"/>
    </row>
    <row r="119" spans="2:18" x14ac:dyDescent="0.25">
      <c r="B119" s="36" t="s">
        <v>37</v>
      </c>
      <c r="C119" s="37"/>
      <c r="D119" s="37"/>
      <c r="E119" s="37"/>
      <c r="F119" s="38"/>
      <c r="H119" s="36" t="s">
        <v>37</v>
      </c>
      <c r="I119" s="37"/>
      <c r="J119" s="37"/>
      <c r="K119" s="37"/>
      <c r="L119" s="38"/>
      <c r="N119" s="36" t="s">
        <v>37</v>
      </c>
      <c r="O119" s="37"/>
      <c r="P119" s="37"/>
      <c r="Q119" s="37"/>
      <c r="R119" s="38"/>
    </row>
    <row r="120" spans="2:18" ht="15.75" thickBot="1" x14ac:dyDescent="0.3">
      <c r="B120" s="32" t="s">
        <v>36</v>
      </c>
      <c r="C120" s="31" t="s">
        <v>35</v>
      </c>
      <c r="D120" s="31" t="s">
        <v>34</v>
      </c>
      <c r="E120" s="31" t="s">
        <v>33</v>
      </c>
      <c r="F120" s="30" t="s">
        <v>32</v>
      </c>
      <c r="H120" s="32" t="s">
        <v>36</v>
      </c>
      <c r="I120" s="31" t="s">
        <v>35</v>
      </c>
      <c r="J120" s="31" t="s">
        <v>34</v>
      </c>
      <c r="K120" s="31" t="s">
        <v>33</v>
      </c>
      <c r="L120" s="30" t="s">
        <v>32</v>
      </c>
      <c r="N120" s="32" t="s">
        <v>36</v>
      </c>
      <c r="O120" s="31" t="s">
        <v>35</v>
      </c>
      <c r="P120" s="31" t="s">
        <v>34</v>
      </c>
      <c r="Q120" s="31" t="s">
        <v>33</v>
      </c>
      <c r="R120" s="30" t="s">
        <v>32</v>
      </c>
    </row>
    <row r="121" spans="2:18" x14ac:dyDescent="0.25">
      <c r="B121" s="39" t="s">
        <v>31</v>
      </c>
      <c r="C121" s="40"/>
      <c r="D121" s="40"/>
      <c r="E121" s="40"/>
      <c r="F121" s="41"/>
      <c r="H121" s="39" t="s">
        <v>31</v>
      </c>
      <c r="I121" s="40"/>
      <c r="J121" s="40"/>
      <c r="K121" s="40"/>
      <c r="L121" s="41"/>
      <c r="N121" s="39" t="s">
        <v>31</v>
      </c>
      <c r="O121" s="40"/>
      <c r="P121" s="40"/>
      <c r="Q121" s="40"/>
      <c r="R121" s="41"/>
    </row>
    <row r="122" spans="2:18" x14ac:dyDescent="0.25">
      <c r="B122" s="28"/>
      <c r="C122" s="27" t="s">
        <v>29</v>
      </c>
      <c r="D122" s="16"/>
      <c r="E122" s="14" t="s">
        <v>47</v>
      </c>
      <c r="F122" s="13"/>
      <c r="H122" s="28"/>
      <c r="I122" s="27" t="s">
        <v>29</v>
      </c>
      <c r="J122" s="16"/>
      <c r="K122" s="14" t="s">
        <v>49</v>
      </c>
      <c r="L122" s="13"/>
      <c r="N122" s="28"/>
      <c r="O122" s="27" t="s">
        <v>29</v>
      </c>
      <c r="P122" s="16"/>
      <c r="Q122" s="14" t="s">
        <v>53</v>
      </c>
      <c r="R122" s="13"/>
    </row>
    <row r="123" spans="2:18" x14ac:dyDescent="0.25">
      <c r="B123" s="28"/>
      <c r="C123" s="27" t="s">
        <v>27</v>
      </c>
      <c r="D123" s="16"/>
      <c r="E123" s="14" t="s">
        <v>72</v>
      </c>
      <c r="F123" s="13"/>
      <c r="H123" s="28"/>
      <c r="I123" s="27" t="s">
        <v>27</v>
      </c>
      <c r="J123" s="16"/>
      <c r="K123" s="14" t="s">
        <v>73</v>
      </c>
      <c r="L123" s="13"/>
      <c r="N123" s="28"/>
      <c r="O123" s="27" t="s">
        <v>27</v>
      </c>
      <c r="P123" s="16"/>
      <c r="Q123" s="14" t="s">
        <v>74</v>
      </c>
      <c r="R123" s="13"/>
    </row>
    <row r="124" spans="2:18" hidden="1" x14ac:dyDescent="0.25">
      <c r="B124" s="28"/>
      <c r="C124" s="27" t="s">
        <v>26</v>
      </c>
      <c r="D124" s="16"/>
      <c r="E124" s="29"/>
      <c r="F124" s="13" t="s">
        <v>25</v>
      </c>
      <c r="H124" s="28"/>
      <c r="I124" s="27" t="s">
        <v>26</v>
      </c>
      <c r="J124" s="16"/>
      <c r="K124" s="29"/>
      <c r="L124" s="13" t="s">
        <v>25</v>
      </c>
      <c r="N124" s="28"/>
      <c r="O124" s="27" t="s">
        <v>26</v>
      </c>
      <c r="P124" s="16"/>
      <c r="Q124" s="29"/>
      <c r="R124" s="13" t="s">
        <v>25</v>
      </c>
    </row>
    <row r="125" spans="2:18" hidden="1" x14ac:dyDescent="0.25">
      <c r="B125" s="28"/>
      <c r="C125" s="27" t="s">
        <v>24</v>
      </c>
      <c r="D125" s="16"/>
      <c r="E125" s="14">
        <f>13.5*12*30</f>
        <v>4860</v>
      </c>
      <c r="F125" s="13" t="s">
        <v>21</v>
      </c>
      <c r="H125" s="28"/>
      <c r="I125" s="27" t="s">
        <v>24</v>
      </c>
      <c r="J125" s="16"/>
      <c r="K125" s="14">
        <f>13.5*12*30</f>
        <v>4860</v>
      </c>
      <c r="L125" s="13" t="s">
        <v>21</v>
      </c>
      <c r="N125" s="28"/>
      <c r="O125" s="27" t="s">
        <v>24</v>
      </c>
      <c r="P125" s="16"/>
      <c r="Q125" s="14">
        <f>13.5*12*30</f>
        <v>4860</v>
      </c>
      <c r="R125" s="13" t="s">
        <v>21</v>
      </c>
    </row>
    <row r="126" spans="2:18" hidden="1" x14ac:dyDescent="0.25">
      <c r="B126" s="10"/>
      <c r="C126" s="17" t="s">
        <v>23</v>
      </c>
      <c r="D126" s="22"/>
      <c r="E126" s="19">
        <v>0</v>
      </c>
      <c r="F126" s="6" t="s">
        <v>21</v>
      </c>
      <c r="H126" s="10"/>
      <c r="I126" s="17" t="s">
        <v>23</v>
      </c>
      <c r="J126" s="22"/>
      <c r="K126" s="19">
        <v>0</v>
      </c>
      <c r="L126" s="6" t="s">
        <v>21</v>
      </c>
      <c r="N126" s="10"/>
      <c r="O126" s="17" t="s">
        <v>23</v>
      </c>
      <c r="P126" s="22"/>
      <c r="Q126" s="19">
        <v>0</v>
      </c>
      <c r="R126" s="6" t="s">
        <v>21</v>
      </c>
    </row>
    <row r="127" spans="2:18" hidden="1" x14ac:dyDescent="0.25">
      <c r="B127" s="10"/>
      <c r="C127" s="17" t="s">
        <v>22</v>
      </c>
      <c r="D127" s="22"/>
      <c r="E127" s="26">
        <f>E125-E126-(E128+E130)/2*10</f>
        <v>4860</v>
      </c>
      <c r="F127" s="6" t="s">
        <v>21</v>
      </c>
      <c r="H127" s="10"/>
      <c r="I127" s="17" t="s">
        <v>22</v>
      </c>
      <c r="J127" s="22"/>
      <c r="K127" s="26">
        <f>K125-K126-(K128+K130)/2*10</f>
        <v>4860</v>
      </c>
      <c r="L127" s="6" t="s">
        <v>21</v>
      </c>
      <c r="N127" s="10"/>
      <c r="O127" s="17" t="s">
        <v>22</v>
      </c>
      <c r="P127" s="22"/>
      <c r="Q127" s="26">
        <f>Q125-Q126-(Q128+Q130)/2*10</f>
        <v>4860</v>
      </c>
      <c r="R127" s="6" t="s">
        <v>21</v>
      </c>
    </row>
    <row r="128" spans="2:18" hidden="1" x14ac:dyDescent="0.25">
      <c r="B128" s="10"/>
      <c r="C128" s="17" t="s">
        <v>20</v>
      </c>
      <c r="D128" s="22" t="s">
        <v>16</v>
      </c>
      <c r="E128" s="25">
        <f>((E126/E125)*10-E129)</f>
        <v>0</v>
      </c>
      <c r="F128" s="6" t="s">
        <v>15</v>
      </c>
      <c r="H128" s="10"/>
      <c r="I128" s="17" t="s">
        <v>20</v>
      </c>
      <c r="J128" s="22" t="s">
        <v>16</v>
      </c>
      <c r="K128" s="25">
        <f>((K126/K125)*10-K129)</f>
        <v>0</v>
      </c>
      <c r="L128" s="6" t="s">
        <v>15</v>
      </c>
      <c r="N128" s="10"/>
      <c r="O128" s="17" t="s">
        <v>20</v>
      </c>
      <c r="P128" s="22" t="s">
        <v>16</v>
      </c>
      <c r="Q128" s="25">
        <f>((Q126/Q125)*10-Q129)</f>
        <v>0</v>
      </c>
      <c r="R128" s="6" t="s">
        <v>15</v>
      </c>
    </row>
    <row r="129" spans="2:18" ht="30" hidden="1" x14ac:dyDescent="0.25">
      <c r="B129" s="10"/>
      <c r="C129" s="17"/>
      <c r="D129" s="8" t="s">
        <v>19</v>
      </c>
      <c r="E129" s="23">
        <v>0</v>
      </c>
      <c r="F129" s="6" t="s">
        <v>18</v>
      </c>
      <c r="H129" s="10"/>
      <c r="I129" s="17"/>
      <c r="J129" s="8" t="s">
        <v>19</v>
      </c>
      <c r="K129" s="23">
        <v>0</v>
      </c>
      <c r="L129" s="6" t="s">
        <v>18</v>
      </c>
      <c r="N129" s="10"/>
      <c r="O129" s="17"/>
      <c r="P129" s="8" t="s">
        <v>19</v>
      </c>
      <c r="Q129" s="23">
        <v>0</v>
      </c>
      <c r="R129" s="6" t="s">
        <v>18</v>
      </c>
    </row>
    <row r="130" spans="2:18" hidden="1" x14ac:dyDescent="0.25">
      <c r="B130" s="10"/>
      <c r="C130" s="20" t="s">
        <v>17</v>
      </c>
      <c r="D130" s="24" t="s">
        <v>16</v>
      </c>
      <c r="E130" s="23">
        <v>0</v>
      </c>
      <c r="F130" s="18" t="s">
        <v>15</v>
      </c>
      <c r="H130" s="10"/>
      <c r="I130" s="20" t="s">
        <v>17</v>
      </c>
      <c r="J130" s="24" t="s">
        <v>16</v>
      </c>
      <c r="K130" s="23">
        <v>0</v>
      </c>
      <c r="L130" s="18" t="s">
        <v>15</v>
      </c>
      <c r="N130" s="10"/>
      <c r="O130" s="20" t="s">
        <v>17</v>
      </c>
      <c r="P130" s="24" t="s">
        <v>16</v>
      </c>
      <c r="Q130" s="23">
        <v>0</v>
      </c>
      <c r="R130" s="18" t="s">
        <v>15</v>
      </c>
    </row>
    <row r="131" spans="2:18" ht="30" hidden="1" x14ac:dyDescent="0.25">
      <c r="B131" s="10"/>
      <c r="C131" s="17" t="s">
        <v>14</v>
      </c>
      <c r="D131" s="22"/>
      <c r="E131" s="21">
        <f>(E127/E125)</f>
        <v>1</v>
      </c>
      <c r="F131" s="6" t="s">
        <v>13</v>
      </c>
      <c r="H131" s="10"/>
      <c r="I131" s="17" t="s">
        <v>14</v>
      </c>
      <c r="J131" s="22"/>
      <c r="K131" s="21">
        <f>(K127/K125)</f>
        <v>1</v>
      </c>
      <c r="L131" s="6" t="s">
        <v>13</v>
      </c>
      <c r="N131" s="10"/>
      <c r="O131" s="17" t="s">
        <v>14</v>
      </c>
      <c r="P131" s="22"/>
      <c r="Q131" s="21">
        <f>(Q127/Q125)</f>
        <v>1</v>
      </c>
      <c r="R131" s="6" t="s">
        <v>13</v>
      </c>
    </row>
    <row r="132" spans="2:18" x14ac:dyDescent="0.25">
      <c r="B132" s="10"/>
      <c r="C132" s="17" t="s">
        <v>12</v>
      </c>
      <c r="D132" s="16" t="s">
        <v>11</v>
      </c>
      <c r="E132" s="14" t="s">
        <v>10</v>
      </c>
      <c r="F132" s="13"/>
      <c r="H132" s="10"/>
      <c r="I132" s="17" t="s">
        <v>12</v>
      </c>
      <c r="J132" s="16" t="s">
        <v>11</v>
      </c>
      <c r="K132" s="14" t="s">
        <v>10</v>
      </c>
      <c r="L132" s="13"/>
      <c r="N132" s="10"/>
      <c r="O132" s="17" t="s">
        <v>12</v>
      </c>
      <c r="P132" s="16" t="s">
        <v>11</v>
      </c>
      <c r="Q132" s="14" t="s">
        <v>10</v>
      </c>
      <c r="R132" s="13"/>
    </row>
    <row r="133" spans="2:18" x14ac:dyDescent="0.25">
      <c r="B133" s="10"/>
      <c r="D133" s="20" t="s">
        <v>9</v>
      </c>
      <c r="E133" s="19" t="str">
        <f>'[1]Data Lingkungan (DL)'!CH59</f>
        <v>off</v>
      </c>
      <c r="F133" s="18"/>
      <c r="H133" s="10"/>
      <c r="J133" s="20" t="s">
        <v>9</v>
      </c>
      <c r="K133" s="19" t="str">
        <f>'[1]Data Lingkungan (DL)'!BY59</f>
        <v>off</v>
      </c>
      <c r="L133" s="18"/>
      <c r="N133" s="10"/>
      <c r="P133" s="20" t="s">
        <v>9</v>
      </c>
      <c r="Q133" s="19" t="s">
        <v>76</v>
      </c>
      <c r="R133" s="18"/>
    </row>
    <row r="134" spans="2:18" x14ac:dyDescent="0.25">
      <c r="B134" s="10"/>
      <c r="C134" s="17"/>
      <c r="D134" s="16" t="s">
        <v>8</v>
      </c>
      <c r="E134" s="14" t="s">
        <v>7</v>
      </c>
      <c r="F134" s="13"/>
      <c r="H134" s="10"/>
      <c r="I134" s="17"/>
      <c r="J134" s="16" t="s">
        <v>8</v>
      </c>
      <c r="K134" s="14" t="s">
        <v>7</v>
      </c>
      <c r="L134" s="13"/>
      <c r="N134" s="10"/>
      <c r="O134" s="17"/>
      <c r="P134" s="16" t="s">
        <v>8</v>
      </c>
      <c r="Q134" s="14" t="s">
        <v>7</v>
      </c>
      <c r="R134" s="13"/>
    </row>
    <row r="135" spans="2:18" x14ac:dyDescent="0.25">
      <c r="B135" s="10"/>
      <c r="C135" s="9"/>
      <c r="D135" s="15" t="s">
        <v>6</v>
      </c>
      <c r="E135" s="14">
        <v>8.9999999999999993E-3</v>
      </c>
      <c r="F135" s="13" t="s">
        <v>5</v>
      </c>
      <c r="H135" s="10"/>
      <c r="I135" s="9"/>
      <c r="J135" s="15" t="s">
        <v>6</v>
      </c>
      <c r="K135" s="14">
        <v>8.9999999999999993E-3</v>
      </c>
      <c r="L135" s="13" t="s">
        <v>5</v>
      </c>
      <c r="N135" s="10"/>
      <c r="O135" s="9"/>
      <c r="P135" s="15" t="s">
        <v>6</v>
      </c>
      <c r="Q135" s="14">
        <v>7.0000000000000001E-3</v>
      </c>
      <c r="R135" s="13" t="s">
        <v>5</v>
      </c>
    </row>
    <row r="136" spans="2:18" ht="30" x14ac:dyDescent="0.25">
      <c r="B136" s="10"/>
      <c r="C136" s="9"/>
      <c r="D136" s="8" t="s">
        <v>4</v>
      </c>
      <c r="E136" s="7">
        <v>9</v>
      </c>
      <c r="F136" s="6" t="s">
        <v>3</v>
      </c>
      <c r="G136" s="12"/>
      <c r="H136" s="10"/>
      <c r="I136" s="9"/>
      <c r="J136" s="8" t="s">
        <v>4</v>
      </c>
      <c r="K136" s="7">
        <v>0</v>
      </c>
      <c r="L136" s="6" t="s">
        <v>3</v>
      </c>
      <c r="N136" s="10"/>
      <c r="O136" s="9"/>
      <c r="P136" s="8" t="s">
        <v>4</v>
      </c>
      <c r="Q136" s="7">
        <v>0</v>
      </c>
      <c r="R136" s="6" t="s">
        <v>3</v>
      </c>
    </row>
    <row r="137" spans="2:18" ht="30" x14ac:dyDescent="0.25">
      <c r="B137" s="10"/>
      <c r="C137" s="9"/>
      <c r="D137" s="8" t="s">
        <v>2</v>
      </c>
      <c r="E137" s="11">
        <f>E136*E135</f>
        <v>8.0999999999999989E-2</v>
      </c>
      <c r="F137" s="6"/>
      <c r="H137" s="10"/>
      <c r="I137" s="9"/>
      <c r="J137" s="8" t="s">
        <v>2</v>
      </c>
      <c r="K137" s="11">
        <f>K136*K135</f>
        <v>0</v>
      </c>
      <c r="L137" s="6"/>
      <c r="N137" s="10"/>
      <c r="O137" s="9"/>
      <c r="P137" s="8" t="s">
        <v>2</v>
      </c>
      <c r="Q137" s="11">
        <f>Q136*Q135</f>
        <v>0</v>
      </c>
      <c r="R137" s="6"/>
    </row>
    <row r="138" spans="2:18" ht="30" x14ac:dyDescent="0.25">
      <c r="B138" s="10"/>
      <c r="C138" s="9"/>
      <c r="D138" s="8" t="s">
        <v>1</v>
      </c>
      <c r="E138" s="7">
        <f>E137</f>
        <v>8.0999999999999989E-2</v>
      </c>
      <c r="F138" s="6" t="s">
        <v>0</v>
      </c>
      <c r="H138" s="10"/>
      <c r="I138" s="9"/>
      <c r="J138" s="8" t="s">
        <v>1</v>
      </c>
      <c r="K138" s="7">
        <f>K137</f>
        <v>0</v>
      </c>
      <c r="L138" s="6" t="s">
        <v>0</v>
      </c>
      <c r="N138" s="10"/>
      <c r="O138" s="9"/>
      <c r="P138" s="8" t="s">
        <v>1</v>
      </c>
      <c r="Q138" s="7">
        <f>Q137</f>
        <v>0</v>
      </c>
      <c r="R138" s="6" t="s">
        <v>0</v>
      </c>
    </row>
    <row r="139" spans="2:18" ht="15.75" thickBot="1" x14ac:dyDescent="0.3">
      <c r="B139" s="5"/>
      <c r="C139" s="3"/>
      <c r="D139" s="4"/>
      <c r="E139" s="3"/>
      <c r="F139" s="2"/>
      <c r="H139" s="5"/>
      <c r="I139" s="3"/>
      <c r="J139" s="4"/>
      <c r="K139" s="3"/>
      <c r="L139" s="2"/>
      <c r="N139" s="5"/>
      <c r="O139" s="3"/>
      <c r="P139" s="4"/>
      <c r="Q139" s="3"/>
      <c r="R139" s="2"/>
    </row>
    <row r="140" spans="2:18" ht="15.75" thickBot="1" x14ac:dyDescent="0.3"/>
    <row r="141" spans="2:18" x14ac:dyDescent="0.25">
      <c r="B141" s="45" t="s">
        <v>39</v>
      </c>
      <c r="C141" s="46"/>
      <c r="D141" s="46"/>
      <c r="E141" s="46"/>
      <c r="F141" s="47"/>
    </row>
    <row r="142" spans="2:18" ht="15.75" thickBot="1" x14ac:dyDescent="0.3">
      <c r="B142" s="42" t="s">
        <v>38</v>
      </c>
      <c r="C142" s="43"/>
      <c r="D142" s="43"/>
      <c r="E142" s="43"/>
      <c r="F142" s="44"/>
    </row>
    <row r="143" spans="2:18" x14ac:dyDescent="0.25">
      <c r="B143" s="36" t="s">
        <v>37</v>
      </c>
      <c r="C143" s="37"/>
      <c r="D143" s="37"/>
      <c r="E143" s="37"/>
      <c r="F143" s="38"/>
    </row>
    <row r="144" spans="2:18" ht="15.75" thickBot="1" x14ac:dyDescent="0.3">
      <c r="B144" s="32" t="s">
        <v>36</v>
      </c>
      <c r="C144" s="31" t="s">
        <v>35</v>
      </c>
      <c r="D144" s="31" t="s">
        <v>34</v>
      </c>
      <c r="E144" s="31" t="s">
        <v>33</v>
      </c>
      <c r="F144" s="30" t="s">
        <v>32</v>
      </c>
    </row>
    <row r="145" spans="2:7" x14ac:dyDescent="0.25">
      <c r="B145" s="39" t="s">
        <v>31</v>
      </c>
      <c r="C145" s="40"/>
      <c r="D145" s="40"/>
      <c r="E145" s="40"/>
      <c r="F145" s="41"/>
    </row>
    <row r="146" spans="2:7" x14ac:dyDescent="0.25">
      <c r="B146" s="28"/>
      <c r="C146" s="27" t="s">
        <v>29</v>
      </c>
      <c r="D146" s="16"/>
      <c r="E146" s="14" t="s">
        <v>46</v>
      </c>
      <c r="F146" s="13"/>
    </row>
    <row r="147" spans="2:7" x14ac:dyDescent="0.25">
      <c r="B147" s="28"/>
      <c r="C147" s="27" t="s">
        <v>27</v>
      </c>
      <c r="D147" s="16"/>
      <c r="E147" s="14" t="s">
        <v>75</v>
      </c>
      <c r="F147" s="13"/>
    </row>
    <row r="148" spans="2:7" hidden="1" x14ac:dyDescent="0.25">
      <c r="B148" s="28"/>
      <c r="C148" s="27" t="s">
        <v>26</v>
      </c>
      <c r="D148" s="16"/>
      <c r="E148" s="29"/>
      <c r="F148" s="13" t="s">
        <v>25</v>
      </c>
    </row>
    <row r="149" spans="2:7" hidden="1" x14ac:dyDescent="0.25">
      <c r="B149" s="28"/>
      <c r="C149" s="27" t="s">
        <v>24</v>
      </c>
      <c r="D149" s="16"/>
      <c r="E149" s="14">
        <f>13.5*12*30</f>
        <v>4860</v>
      </c>
      <c r="F149" s="13" t="s">
        <v>21</v>
      </c>
    </row>
    <row r="150" spans="2:7" hidden="1" x14ac:dyDescent="0.25">
      <c r="B150" s="10"/>
      <c r="C150" s="17" t="s">
        <v>23</v>
      </c>
      <c r="D150" s="22"/>
      <c r="E150" s="19">
        <v>0</v>
      </c>
      <c r="F150" s="6" t="s">
        <v>21</v>
      </c>
    </row>
    <row r="151" spans="2:7" hidden="1" x14ac:dyDescent="0.25">
      <c r="B151" s="10"/>
      <c r="C151" s="17" t="s">
        <v>22</v>
      </c>
      <c r="D151" s="22"/>
      <c r="E151" s="26">
        <f>E149-E150-(E152+E154)/2*10</f>
        <v>4860</v>
      </c>
      <c r="F151" s="6" t="s">
        <v>21</v>
      </c>
    </row>
    <row r="152" spans="2:7" hidden="1" x14ac:dyDescent="0.25">
      <c r="B152" s="10"/>
      <c r="C152" s="17" t="s">
        <v>20</v>
      </c>
      <c r="D152" s="22" t="s">
        <v>16</v>
      </c>
      <c r="E152" s="25">
        <f>((E150/E149)*10-E153)</f>
        <v>0</v>
      </c>
      <c r="F152" s="6" t="s">
        <v>15</v>
      </c>
    </row>
    <row r="153" spans="2:7" ht="30" hidden="1" x14ac:dyDescent="0.25">
      <c r="B153" s="10"/>
      <c r="C153" s="17"/>
      <c r="D153" s="8" t="s">
        <v>19</v>
      </c>
      <c r="E153" s="23">
        <v>0</v>
      </c>
      <c r="F153" s="6" t="s">
        <v>18</v>
      </c>
    </row>
    <row r="154" spans="2:7" hidden="1" x14ac:dyDescent="0.25">
      <c r="B154" s="10"/>
      <c r="C154" s="20" t="s">
        <v>17</v>
      </c>
      <c r="D154" s="24" t="s">
        <v>16</v>
      </c>
      <c r="E154" s="23">
        <v>0</v>
      </c>
      <c r="F154" s="18" t="s">
        <v>15</v>
      </c>
    </row>
    <row r="155" spans="2:7" ht="30" hidden="1" x14ac:dyDescent="0.25">
      <c r="B155" s="10"/>
      <c r="C155" s="17" t="s">
        <v>14</v>
      </c>
      <c r="D155" s="22"/>
      <c r="E155" s="21">
        <f>(E151/E149)</f>
        <v>1</v>
      </c>
      <c r="F155" s="6" t="s">
        <v>13</v>
      </c>
    </row>
    <row r="156" spans="2:7" x14ac:dyDescent="0.25">
      <c r="B156" s="10"/>
      <c r="C156" s="17" t="s">
        <v>12</v>
      </c>
      <c r="D156" s="16" t="s">
        <v>11</v>
      </c>
      <c r="E156" s="14" t="s">
        <v>10</v>
      </c>
      <c r="F156" s="13"/>
    </row>
    <row r="157" spans="2:7" x14ac:dyDescent="0.25">
      <c r="B157" s="10"/>
      <c r="D157" s="20" t="s">
        <v>9</v>
      </c>
      <c r="E157" s="19" t="str">
        <f>'[1]Data Lingkungan (DL)'!CQ59</f>
        <v>off</v>
      </c>
      <c r="F157" s="18"/>
    </row>
    <row r="158" spans="2:7" x14ac:dyDescent="0.25">
      <c r="B158" s="10"/>
      <c r="C158" s="17"/>
      <c r="D158" s="16" t="s">
        <v>8</v>
      </c>
      <c r="E158" s="14" t="s">
        <v>7</v>
      </c>
      <c r="F158" s="13"/>
    </row>
    <row r="159" spans="2:7" x14ac:dyDescent="0.25">
      <c r="B159" s="10"/>
      <c r="C159" s="9"/>
      <c r="D159" s="15" t="s">
        <v>6</v>
      </c>
      <c r="E159" s="14">
        <v>5.0000000000000001E-3</v>
      </c>
      <c r="F159" s="13" t="s">
        <v>5</v>
      </c>
    </row>
    <row r="160" spans="2:7" ht="30" x14ac:dyDescent="0.25">
      <c r="B160" s="10"/>
      <c r="C160" s="9"/>
      <c r="D160" s="8" t="s">
        <v>4</v>
      </c>
      <c r="E160" s="7">
        <v>24</v>
      </c>
      <c r="F160" s="6" t="s">
        <v>3</v>
      </c>
      <c r="G160" s="12"/>
    </row>
    <row r="161" spans="2:6" ht="30" x14ac:dyDescent="0.25">
      <c r="B161" s="10"/>
      <c r="C161" s="9"/>
      <c r="D161" s="8" t="s">
        <v>2</v>
      </c>
      <c r="E161" s="11">
        <f>E160*E159</f>
        <v>0.12</v>
      </c>
      <c r="F161" s="6"/>
    </row>
    <row r="162" spans="2:6" ht="30" x14ac:dyDescent="0.25">
      <c r="B162" s="10"/>
      <c r="C162" s="9"/>
      <c r="D162" s="8" t="s">
        <v>1</v>
      </c>
      <c r="E162" s="7">
        <f>E161</f>
        <v>0.12</v>
      </c>
      <c r="F162" s="6" t="s">
        <v>0</v>
      </c>
    </row>
    <row r="163" spans="2:6" ht="15.75" thickBot="1" x14ac:dyDescent="0.3">
      <c r="B163" s="5"/>
      <c r="C163" s="3"/>
      <c r="D163" s="4"/>
      <c r="E163" s="3"/>
      <c r="F163" s="2"/>
    </row>
    <row r="184" spans="2:2" x14ac:dyDescent="0.25">
      <c r="B184" s="12"/>
    </row>
    <row r="208" spans="2:2" x14ac:dyDescent="0.25">
      <c r="B208" s="12"/>
    </row>
  </sheetData>
  <mergeCells count="76">
    <mergeCell ref="B4:F4"/>
    <mergeCell ref="H4:L4"/>
    <mergeCell ref="N4:R4"/>
    <mergeCell ref="B2:F2"/>
    <mergeCell ref="H2:L2"/>
    <mergeCell ref="N2:R2"/>
    <mergeCell ref="B3:F3"/>
    <mergeCell ref="H3:L3"/>
    <mergeCell ref="N3:R3"/>
    <mergeCell ref="B27:F27"/>
    <mergeCell ref="H27:L27"/>
    <mergeCell ref="B6:F6"/>
    <mergeCell ref="H6:L6"/>
    <mergeCell ref="N6:R6"/>
    <mergeCell ref="B25:F25"/>
    <mergeCell ref="H25:L25"/>
    <mergeCell ref="B26:F26"/>
    <mergeCell ref="H26:L26"/>
    <mergeCell ref="N25:R25"/>
    <mergeCell ref="N26:R26"/>
    <mergeCell ref="N27:R27"/>
    <mergeCell ref="B50:F50"/>
    <mergeCell ref="H50:L50"/>
    <mergeCell ref="B29:F29"/>
    <mergeCell ref="H29:L29"/>
    <mergeCell ref="B48:F48"/>
    <mergeCell ref="H48:L48"/>
    <mergeCell ref="B49:F49"/>
    <mergeCell ref="H49:L49"/>
    <mergeCell ref="B73:F73"/>
    <mergeCell ref="H73:L73"/>
    <mergeCell ref="B52:F52"/>
    <mergeCell ref="H52:L52"/>
    <mergeCell ref="B71:F71"/>
    <mergeCell ref="H71:L71"/>
    <mergeCell ref="B72:F72"/>
    <mergeCell ref="H72:L72"/>
    <mergeCell ref="B96:F96"/>
    <mergeCell ref="H96:L96"/>
    <mergeCell ref="B75:F75"/>
    <mergeCell ref="H75:L75"/>
    <mergeCell ref="B94:F94"/>
    <mergeCell ref="H94:L94"/>
    <mergeCell ref="B95:F95"/>
    <mergeCell ref="H95:L95"/>
    <mergeCell ref="B119:F119"/>
    <mergeCell ref="H119:L119"/>
    <mergeCell ref="B98:F98"/>
    <mergeCell ref="H98:L98"/>
    <mergeCell ref="B117:F117"/>
    <mergeCell ref="H117:L117"/>
    <mergeCell ref="B118:F118"/>
    <mergeCell ref="H118:L118"/>
    <mergeCell ref="B145:F145"/>
    <mergeCell ref="B143:F143"/>
    <mergeCell ref="B121:F121"/>
    <mergeCell ref="H121:L121"/>
    <mergeCell ref="B141:F141"/>
    <mergeCell ref="B142:F142"/>
    <mergeCell ref="N29:R29"/>
    <mergeCell ref="N48:R48"/>
    <mergeCell ref="N49:R49"/>
    <mergeCell ref="N50:R50"/>
    <mergeCell ref="N52:R52"/>
    <mergeCell ref="N71:R71"/>
    <mergeCell ref="N72:R72"/>
    <mergeCell ref="N73:R73"/>
    <mergeCell ref="N75:R75"/>
    <mergeCell ref="N94:R94"/>
    <mergeCell ref="N119:R119"/>
    <mergeCell ref="N121:R121"/>
    <mergeCell ref="N95:R95"/>
    <mergeCell ref="N96:R96"/>
    <mergeCell ref="N98:R98"/>
    <mergeCell ref="N117:R117"/>
    <mergeCell ref="N118:R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AO-LIGHT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2021-08-05T09:24:55Z</dcterms:created>
  <dcterms:modified xsi:type="dcterms:W3CDTF">2021-10-20T20:03:50Z</dcterms:modified>
</cp:coreProperties>
</file>