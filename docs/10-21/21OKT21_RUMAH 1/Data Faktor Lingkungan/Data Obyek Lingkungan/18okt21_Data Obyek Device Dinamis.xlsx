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Data Faktor Lingkungan\Data Obyek Lingkungan\"/>
    </mc:Choice>
  </mc:AlternateContent>
  <xr:revisionPtr revIDLastSave="0" documentId="13_ncr:1_{14D35263-2315-4EB2-8EB0-D1E738A223A3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PMO" sheetId="1" r:id="rId1"/>
  </sheets>
  <externalReferences>
    <externalReference r:id="rId2"/>
    <externalReference r:id="rId3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16" i="1" l="1"/>
  <c r="AI210" i="1"/>
  <c r="AI208" i="1"/>
  <c r="AI207" i="1"/>
  <c r="AI211" i="1" s="1"/>
  <c r="AI205" i="1"/>
  <c r="W14" i="1" l="1"/>
  <c r="W12" i="1"/>
  <c r="W11" i="1" s="1"/>
  <c r="W15" i="1" s="1"/>
  <c r="W9" i="1"/>
  <c r="AC269" i="1"/>
  <c r="AC263" i="1"/>
  <c r="AC258" i="1"/>
  <c r="AC261" i="1" s="1"/>
  <c r="AC260" i="1" s="1"/>
  <c r="AC264" i="1" s="1"/>
  <c r="AC237" i="1"/>
  <c r="AC231" i="1"/>
  <c r="AC226" i="1"/>
  <c r="AC229" i="1" s="1"/>
  <c r="AC216" i="1"/>
  <c r="AC210" i="1"/>
  <c r="AC205" i="1"/>
  <c r="AC208" i="1" s="1"/>
  <c r="K237" i="1"/>
  <c r="K231" i="1"/>
  <c r="K226" i="1"/>
  <c r="K229" i="1" s="1"/>
  <c r="K216" i="1"/>
  <c r="K210" i="1"/>
  <c r="K205" i="1"/>
  <c r="K208" i="1" s="1"/>
  <c r="Q237" i="1"/>
  <c r="Q231" i="1"/>
  <c r="Q226" i="1"/>
  <c r="Q229" i="1" s="1"/>
  <c r="Q269" i="1"/>
  <c r="Q263" i="1"/>
  <c r="Q258" i="1"/>
  <c r="W216" i="1"/>
  <c r="Q216" i="1"/>
  <c r="E216" i="1"/>
  <c r="W196" i="1"/>
  <c r="Q196" i="1"/>
  <c r="Q147" i="1"/>
  <c r="K147" i="1"/>
  <c r="E147" i="1"/>
  <c r="Q142" i="1"/>
  <c r="Q145" i="1" s="1"/>
  <c r="K142" i="1"/>
  <c r="K145" i="1" s="1"/>
  <c r="E142" i="1"/>
  <c r="Q128" i="1"/>
  <c r="K128" i="1"/>
  <c r="E128" i="1"/>
  <c r="Q123" i="1"/>
  <c r="Q126" i="1" s="1"/>
  <c r="K123" i="1"/>
  <c r="E123" i="1"/>
  <c r="E126" i="1" s="1"/>
  <c r="Q109" i="1"/>
  <c r="K109" i="1"/>
  <c r="E109" i="1"/>
  <c r="Q104" i="1"/>
  <c r="Q107" i="1" s="1"/>
  <c r="K104" i="1"/>
  <c r="K107" i="1" s="1"/>
  <c r="E104" i="1"/>
  <c r="E9" i="1"/>
  <c r="E12" i="1" s="1"/>
  <c r="K9" i="1"/>
  <c r="K12" i="1" s="1"/>
  <c r="Q9" i="1"/>
  <c r="Q12" i="1" s="1"/>
  <c r="E205" i="1"/>
  <c r="E14" i="1"/>
  <c r="K14" i="1"/>
  <c r="Q14" i="1"/>
  <c r="E210" i="1"/>
  <c r="E28" i="1"/>
  <c r="E31" i="1" s="1"/>
  <c r="K28" i="1"/>
  <c r="K31" i="1" s="1"/>
  <c r="Q28" i="1"/>
  <c r="Q31" i="1" s="1"/>
  <c r="E33" i="1"/>
  <c r="K33" i="1"/>
  <c r="Q33" i="1"/>
  <c r="E47" i="1"/>
  <c r="K47" i="1"/>
  <c r="K50" i="1" s="1"/>
  <c r="Q47" i="1"/>
  <c r="Q50" i="1" s="1"/>
  <c r="Q205" i="1"/>
  <c r="Q208" i="1" s="1"/>
  <c r="E50" i="1"/>
  <c r="E52" i="1"/>
  <c r="K52" i="1"/>
  <c r="Q52" i="1"/>
  <c r="Q210" i="1"/>
  <c r="E66" i="1"/>
  <c r="K66" i="1"/>
  <c r="K69" i="1" s="1"/>
  <c r="Q66" i="1"/>
  <c r="Q69" i="1" s="1"/>
  <c r="W205" i="1"/>
  <c r="W208" i="1" s="1"/>
  <c r="E69" i="1"/>
  <c r="E71" i="1"/>
  <c r="K71" i="1"/>
  <c r="Q71" i="1"/>
  <c r="W210" i="1"/>
  <c r="E85" i="1"/>
  <c r="E88" i="1" s="1"/>
  <c r="K85" i="1"/>
  <c r="K88" i="1" s="1"/>
  <c r="Q85" i="1"/>
  <c r="Q88" i="1" s="1"/>
  <c r="E90" i="1"/>
  <c r="K90" i="1"/>
  <c r="Q90" i="1"/>
  <c r="E161" i="1"/>
  <c r="K161" i="1"/>
  <c r="Q161" i="1"/>
  <c r="W161" i="1"/>
  <c r="E163" i="1"/>
  <c r="K163" i="1"/>
  <c r="Q163" i="1"/>
  <c r="W163" i="1"/>
  <c r="E172" i="1"/>
  <c r="K172" i="1"/>
  <c r="Q172" i="1"/>
  <c r="W172" i="1"/>
  <c r="E174" i="1"/>
  <c r="K174" i="1"/>
  <c r="Q174" i="1"/>
  <c r="W174" i="1"/>
  <c r="E183" i="1"/>
  <c r="K183" i="1"/>
  <c r="Q183" i="1"/>
  <c r="W183" i="1"/>
  <c r="E185" i="1"/>
  <c r="K185" i="1"/>
  <c r="Q185" i="1"/>
  <c r="W185" i="1"/>
  <c r="E194" i="1"/>
  <c r="E196" i="1"/>
  <c r="K196" i="1"/>
  <c r="AC207" i="1" l="1"/>
  <c r="AC211" i="1" s="1"/>
  <c r="K207" i="1"/>
  <c r="K211" i="1" s="1"/>
  <c r="AC228" i="1"/>
  <c r="AC232" i="1" s="1"/>
  <c r="K228" i="1"/>
  <c r="K232" i="1" s="1"/>
  <c r="Q228" i="1"/>
  <c r="Q232" i="1" s="1"/>
  <c r="Q261" i="1"/>
  <c r="Q260" i="1" s="1"/>
  <c r="Q264" i="1" s="1"/>
  <c r="K144" i="1"/>
  <c r="K148" i="1" s="1"/>
  <c r="E145" i="1"/>
  <c r="E144" i="1" s="1"/>
  <c r="E148" i="1" s="1"/>
  <c r="Q144" i="1"/>
  <c r="Q148" i="1" s="1"/>
  <c r="Q11" i="1"/>
  <c r="Q15" i="1" s="1"/>
  <c r="Q125" i="1"/>
  <c r="Q129" i="1" s="1"/>
  <c r="K126" i="1"/>
  <c r="K125" i="1" s="1"/>
  <c r="K129" i="1" s="1"/>
  <c r="E125" i="1"/>
  <c r="E129" i="1" s="1"/>
  <c r="K106" i="1"/>
  <c r="K110" i="1" s="1"/>
  <c r="E107" i="1"/>
  <c r="E106" i="1" s="1"/>
  <c r="E110" i="1" s="1"/>
  <c r="Q106" i="1"/>
  <c r="Q110" i="1" s="1"/>
  <c r="E11" i="1"/>
  <c r="E15" i="1" s="1"/>
  <c r="K87" i="1"/>
  <c r="K91" i="1" s="1"/>
  <c r="K68" i="1"/>
  <c r="K72" i="1" s="1"/>
  <c r="K49" i="1"/>
  <c r="K53" i="1" s="1"/>
  <c r="K30" i="1"/>
  <c r="K34" i="1" s="1"/>
  <c r="E87" i="1"/>
  <c r="E91" i="1" s="1"/>
  <c r="E68" i="1"/>
  <c r="E72" i="1" s="1"/>
  <c r="E49" i="1"/>
  <c r="E53" i="1" s="1"/>
  <c r="E30" i="1"/>
  <c r="E34" i="1" s="1"/>
  <c r="W207" i="1"/>
  <c r="W211" i="1" s="1"/>
  <c r="Q207" i="1"/>
  <c r="Q211" i="1" s="1"/>
  <c r="Q87" i="1"/>
  <c r="Q91" i="1" s="1"/>
  <c r="Q68" i="1"/>
  <c r="Q72" i="1" s="1"/>
  <c r="Q49" i="1"/>
  <c r="Q53" i="1" s="1"/>
  <c r="Q30" i="1"/>
  <c r="Q34" i="1" s="1"/>
  <c r="K11" i="1"/>
  <c r="K15" i="1" s="1"/>
  <c r="E208" i="1"/>
  <c r="E207" i="1" s="1"/>
  <c r="E211" i="1" s="1"/>
</calcChain>
</file>

<file path=xl/sharedStrings.xml><?xml version="1.0" encoding="utf-8"?>
<sst xmlns="http://schemas.openxmlformats.org/spreadsheetml/2006/main" count="1711" uniqueCount="152">
  <si>
    <t>ON/OFF</t>
  </si>
  <si>
    <t xml:space="preserve">Status </t>
  </si>
  <si>
    <t>Lighting control</t>
  </si>
  <si>
    <t>Function</t>
  </si>
  <si>
    <t>Mechanic</t>
  </si>
  <si>
    <t>rusak, kurang bagus, bagus, sangat bagus</t>
  </si>
  <si>
    <t>Condition</t>
  </si>
  <si>
    <t>SK14</t>
  </si>
  <si>
    <t>Code</t>
  </si>
  <si>
    <t>SK013</t>
  </si>
  <si>
    <t>Saklar 14</t>
  </si>
  <si>
    <t>Name</t>
  </si>
  <si>
    <t>Saklar 13</t>
  </si>
  <si>
    <t>A. Architectural Element Attribute</t>
  </si>
  <si>
    <t>Note</t>
  </si>
  <si>
    <t xml:space="preserve">Parameter </t>
  </si>
  <si>
    <t>Variable ii</t>
  </si>
  <si>
    <t>Variable i</t>
  </si>
  <si>
    <t>No</t>
  </si>
  <si>
    <t>PASSIVE MECHANIC OBJECT</t>
  </si>
  <si>
    <t>COMPONENTS</t>
  </si>
  <si>
    <t>ABM</t>
  </si>
  <si>
    <t>SK012</t>
  </si>
  <si>
    <t>SK011</t>
  </si>
  <si>
    <t>SK10</t>
  </si>
  <si>
    <t>SK09</t>
  </si>
  <si>
    <t>Saklar 12</t>
  </si>
  <si>
    <t>Saklar 11</t>
  </si>
  <si>
    <t>Saklar 10</t>
  </si>
  <si>
    <t>Saklar 09</t>
  </si>
  <si>
    <t>SK08</t>
  </si>
  <si>
    <t>SK07</t>
  </si>
  <si>
    <t>SK06</t>
  </si>
  <si>
    <t>SK05</t>
  </si>
  <si>
    <t>Saklar 08</t>
  </si>
  <si>
    <t>Saklar 07</t>
  </si>
  <si>
    <t>Saklar 06</t>
  </si>
  <si>
    <t>Saklar 05</t>
  </si>
  <si>
    <t>SK04</t>
  </si>
  <si>
    <t>SK03</t>
  </si>
  <si>
    <t>SK02</t>
  </si>
  <si>
    <t>SK01</t>
  </si>
  <si>
    <t>Saklar 04</t>
  </si>
  <si>
    <t>Saklar 03</t>
  </si>
  <si>
    <t>Saklar 02</t>
  </si>
  <si>
    <t>Saklar 01</t>
  </si>
  <si>
    <t xml:space="preserve"> </t>
  </si>
  <si>
    <t>Status compliment</t>
  </si>
  <si>
    <t>tertutup/terbuka</t>
  </si>
  <si>
    <t>Sirkulasi</t>
  </si>
  <si>
    <t>level</t>
  </si>
  <si>
    <t>Current State</t>
  </si>
  <si>
    <t>Cleanliness</t>
  </si>
  <si>
    <t>kumulatif maintenance</t>
  </si>
  <si>
    <t>Total Cumulative Energy Consumption</t>
  </si>
  <si>
    <t>Maintenance</t>
  </si>
  <si>
    <t>hari</t>
  </si>
  <si>
    <t>Sisa Umur</t>
  </si>
  <si>
    <t>Age</t>
  </si>
  <si>
    <t>Lifespan</t>
  </si>
  <si>
    <t>PT08</t>
  </si>
  <si>
    <t>PT11</t>
  </si>
  <si>
    <t>PT12</t>
  </si>
  <si>
    <t>PT06</t>
  </si>
  <si>
    <t>PT09</t>
  </si>
  <si>
    <t>PT05</t>
  </si>
  <si>
    <t>Pintu Gudang</t>
  </si>
  <si>
    <t>JD06</t>
  </si>
  <si>
    <t>PT04</t>
  </si>
  <si>
    <t>A. Pasif Mechanic Attribute</t>
  </si>
  <si>
    <t>JD04</t>
  </si>
  <si>
    <t>PT01</t>
  </si>
  <si>
    <t>JD01</t>
  </si>
  <si>
    <t>PT13</t>
  </si>
  <si>
    <t>Pintu Garasi</t>
  </si>
  <si>
    <t>PJ01</t>
  </si>
  <si>
    <t>Pintu-Jendela 1</t>
  </si>
  <si>
    <t>Pintu-Jendela 2</t>
  </si>
  <si>
    <t>PJ02</t>
  </si>
  <si>
    <t>Pintu-Jendela 3</t>
  </si>
  <si>
    <t>PJ03</t>
  </si>
  <si>
    <t>Pintu Dapur Kotor</t>
  </si>
  <si>
    <t>PT02</t>
  </si>
  <si>
    <t>PT03</t>
  </si>
  <si>
    <t>Pintu KM 3</t>
  </si>
  <si>
    <t>Pintu KM 2</t>
  </si>
  <si>
    <t>Pintu Dapur Bersih 2</t>
  </si>
  <si>
    <t>PT07</t>
  </si>
  <si>
    <t>Pintu Dapur Bersih 1</t>
  </si>
  <si>
    <t>Pintu RTU01</t>
  </si>
  <si>
    <t>Pintu KM 1</t>
  </si>
  <si>
    <t>Pintu RTU02</t>
  </si>
  <si>
    <t>PT10</t>
  </si>
  <si>
    <t>Pintu KM 4</t>
  </si>
  <si>
    <t>Pintu RTD03</t>
  </si>
  <si>
    <t>Pintu RTD01</t>
  </si>
  <si>
    <t>Pintu RTD02</t>
  </si>
  <si>
    <t>PT14</t>
  </si>
  <si>
    <t>Jendela 1</t>
  </si>
  <si>
    <t>Jendela 2</t>
  </si>
  <si>
    <t>JD02</t>
  </si>
  <si>
    <t>Jendela 3</t>
  </si>
  <si>
    <t>JD03</t>
  </si>
  <si>
    <t>Jendela 4</t>
  </si>
  <si>
    <t>Jendela 5</t>
  </si>
  <si>
    <t>JD05</t>
  </si>
  <si>
    <t>Jendela 6</t>
  </si>
  <si>
    <t>Jendela 7</t>
  </si>
  <si>
    <t>JD07</t>
  </si>
  <si>
    <t>RDP02-WT01</t>
  </si>
  <si>
    <t>RKM02-WT03</t>
  </si>
  <si>
    <t>Saklar 15</t>
  </si>
  <si>
    <t>SK15</t>
  </si>
  <si>
    <t>Saklar 16</t>
  </si>
  <si>
    <t>SK16</t>
  </si>
  <si>
    <t>L/s</t>
  </si>
  <si>
    <t>Kran sink RDP02</t>
  </si>
  <si>
    <t>Consumption time</t>
  </si>
  <si>
    <t>s</t>
  </si>
  <si>
    <t>Current water</t>
  </si>
  <si>
    <t>Total Cumulative Water Consumption</t>
  </si>
  <si>
    <t>Sanitary</t>
  </si>
  <si>
    <t>Kran RKM02 (tengah)</t>
  </si>
  <si>
    <t>Kran RKM03 (belakang)</t>
  </si>
  <si>
    <t>Kran RKM04 (lt2)</t>
  </si>
  <si>
    <t>Kran RKM01 (dalam)</t>
  </si>
  <si>
    <t>Kloset RKM01 (dalam)</t>
  </si>
  <si>
    <t>RKM01-WT02</t>
  </si>
  <si>
    <t>RKM02-WT04</t>
  </si>
  <si>
    <t>Kloset RKM02 (tengah)</t>
  </si>
  <si>
    <t>RKM02-WT06</t>
  </si>
  <si>
    <t>Kran jetspray RKM02 (tengah)</t>
  </si>
  <si>
    <t>RKM02-WT05</t>
  </si>
  <si>
    <t>RKM03-WT07</t>
  </si>
  <si>
    <t>RKM04-WT08</t>
  </si>
  <si>
    <t>Kran jetspray RKM04 (lt2)</t>
  </si>
  <si>
    <t>RKM04-WT09</t>
  </si>
  <si>
    <t>Kloset RKM04 (lt2)</t>
  </si>
  <si>
    <t>RKM04-WT10</t>
  </si>
  <si>
    <t>Mesin Jahit</t>
  </si>
  <si>
    <t>RKJ01-SW01</t>
  </si>
  <si>
    <t>Sewing machine</t>
  </si>
  <si>
    <t>on</t>
  </si>
  <si>
    <t>on / off</t>
  </si>
  <si>
    <t>terkunci / tidak terkunci</t>
  </si>
  <si>
    <t>Water flow rate</t>
  </si>
  <si>
    <t>Kompor</t>
  </si>
  <si>
    <t>RDP01-GS01</t>
  </si>
  <si>
    <t>Kitchen Equipment</t>
  </si>
  <si>
    <t>Gas flow rate</t>
  </si>
  <si>
    <t>Current gas used</t>
  </si>
  <si>
    <t>Kg/s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</si>
</sst>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/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6" xfId="0" applyFill="1" applyBorder="1"/>
    <xf numFmtId="0" fontId="0" fillId="0" borderId="1" xfId="0" applyFill="1" applyBorder="1" applyAlignment="1">
      <alignment vertical="center" wrapText="1"/>
    </xf>
    <xf numFmtId="2" fontId="0" fillId="4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0" borderId="7" xfId="0" applyFill="1" applyBorder="1"/>
    <xf numFmtId="0" fontId="0" fillId="0" borderId="8" xfId="0" applyFill="1" applyBorder="1"/>
    <xf numFmtId="0" fontId="0" fillId="0" borderId="8" xfId="0" applyFill="1" applyBorder="1" applyAlignment="1">
      <alignment horizontal="left"/>
    </xf>
    <xf numFmtId="0" fontId="0" fillId="0" borderId="9" xfId="0" applyFill="1" applyBorder="1"/>
    <xf numFmtId="0" fontId="0" fillId="0" borderId="18" xfId="0" applyFill="1" applyBorder="1" applyAlignment="1">
      <alignment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19" xfId="0" applyFill="1" applyBorder="1" applyAlignment="1">
      <alignment vertical="center" wrapText="1"/>
    </xf>
    <xf numFmtId="0" fontId="0" fillId="0" borderId="20" xfId="0" applyFill="1" applyBorder="1"/>
    <xf numFmtId="0" fontId="0" fillId="0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1" fontId="0" fillId="4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0" borderId="21" xfId="0" applyFill="1" applyBorder="1"/>
    <xf numFmtId="0" fontId="0" fillId="0" borderId="22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3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1" fillId="0" borderId="17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4" xfId="0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4%20-%20Rumah%2001/Data%20Faktor%20Lingkungan/Data%20Obyek%20Lingkungan/Initial%20Condition%20(IC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4%20-%20Rumah%2001/Data%20Faktor%20Lingkungan/Data%20Obyek%20Lingkungan/Data%20Kondisi%20R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1">
          <cell r="Z21">
            <v>0.1</v>
          </cell>
        </row>
        <row r="63">
          <cell r="H63">
            <v>0</v>
          </cell>
          <cell r="Q63">
            <v>0</v>
          </cell>
          <cell r="CT63">
            <v>0</v>
          </cell>
        </row>
        <row r="64">
          <cell r="AI64">
            <v>0</v>
          </cell>
          <cell r="BJ64">
            <v>0</v>
          </cell>
          <cell r="CB64">
            <v>0</v>
          </cell>
        </row>
        <row r="65">
          <cell r="AI65">
            <v>0</v>
          </cell>
          <cell r="BS65">
            <v>0</v>
          </cell>
          <cell r="DL65">
            <v>0</v>
          </cell>
        </row>
        <row r="66">
          <cell r="BJ66">
            <v>0</v>
          </cell>
          <cell r="DU66">
            <v>0</v>
          </cell>
        </row>
        <row r="67">
          <cell r="DC67">
            <v>0</v>
          </cell>
        </row>
        <row r="68">
          <cell r="BA68">
            <v>0</v>
          </cell>
          <cell r="DC68">
            <v>0</v>
          </cell>
        </row>
        <row r="69">
          <cell r="BA69">
            <v>0</v>
          </cell>
        </row>
        <row r="71">
          <cell r="BA7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 refreshError="1">
        <row r="59">
          <cell r="N59" t="str">
            <v>on</v>
          </cell>
        </row>
        <row r="69">
          <cell r="AF69" t="str">
            <v>off</v>
          </cell>
        </row>
        <row r="80">
          <cell r="AL80" t="str">
            <v>E.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270"/>
  <sheetViews>
    <sheetView showGridLines="0" tabSelected="1" topLeftCell="W194" zoomScale="85" zoomScaleNormal="85" zoomScalePageLayoutView="85" workbookViewId="0">
      <selection activeCell="AJ214" sqref="AJ214"/>
    </sheetView>
  </sheetViews>
  <sheetFormatPr defaultColWidth="8.85546875" defaultRowHeight="15" x14ac:dyDescent="0.25"/>
  <cols>
    <col min="1" max="1" width="8.85546875" style="1"/>
    <col min="2" max="2" width="3.42578125" style="1" bestFit="1" customWidth="1"/>
    <col min="3" max="3" width="20.7109375" style="1" customWidth="1"/>
    <col min="4" max="4" width="20.7109375" style="2" customWidth="1"/>
    <col min="5" max="6" width="20.7109375" style="1" customWidth="1"/>
    <col min="7" max="7" width="1.7109375" style="1" customWidth="1"/>
    <col min="8" max="8" width="3.42578125" style="1" bestFit="1" customWidth="1"/>
    <col min="9" max="9" width="20.7109375" style="1" customWidth="1"/>
    <col min="10" max="10" width="20.7109375" style="2" customWidth="1"/>
    <col min="11" max="12" width="20.7109375" style="1" customWidth="1"/>
    <col min="13" max="13" width="1.7109375" style="1" customWidth="1"/>
    <col min="14" max="14" width="3.42578125" style="1" bestFit="1" customWidth="1"/>
    <col min="15" max="15" width="20.7109375" style="1" customWidth="1"/>
    <col min="16" max="16" width="20.7109375" style="2" customWidth="1"/>
    <col min="17" max="18" width="20.7109375" style="1" customWidth="1"/>
    <col min="19" max="19" width="1.7109375" style="1" customWidth="1"/>
    <col min="20" max="20" width="3.42578125" style="1" bestFit="1" customWidth="1"/>
    <col min="21" max="21" width="20.7109375" style="1" customWidth="1"/>
    <col min="22" max="22" width="20.7109375" style="2" customWidth="1"/>
    <col min="23" max="24" width="20.7109375" style="1" customWidth="1"/>
    <col min="25" max="25" width="1.7109375" style="1" customWidth="1"/>
    <col min="26" max="26" width="3.42578125" style="1" bestFit="1" customWidth="1"/>
    <col min="27" max="30" width="20.7109375" style="1" customWidth="1"/>
    <col min="31" max="31" width="1.7109375" style="1" customWidth="1"/>
    <col min="32" max="32" width="3.42578125" style="1" bestFit="1" customWidth="1"/>
    <col min="33" max="36" width="20.7109375" style="1" customWidth="1"/>
    <col min="37" max="16384" width="8.85546875" style="1"/>
  </cols>
  <sheetData>
    <row r="1" spans="2:24" ht="15.75" thickBot="1" x14ac:dyDescent="0.3"/>
    <row r="2" spans="2:24" x14ac:dyDescent="0.25">
      <c r="B2" s="48" t="s">
        <v>21</v>
      </c>
      <c r="C2" s="49"/>
      <c r="D2" s="49"/>
      <c r="E2" s="49"/>
      <c r="F2" s="50"/>
      <c r="H2" s="48" t="s">
        <v>21</v>
      </c>
      <c r="I2" s="49"/>
      <c r="J2" s="49"/>
      <c r="K2" s="49"/>
      <c r="L2" s="50"/>
      <c r="N2" s="48" t="s">
        <v>21</v>
      </c>
      <c r="O2" s="49"/>
      <c r="P2" s="49"/>
      <c r="Q2" s="49"/>
      <c r="R2" s="50"/>
      <c r="T2" s="48" t="s">
        <v>21</v>
      </c>
      <c r="U2" s="49"/>
      <c r="V2" s="49"/>
      <c r="W2" s="49"/>
      <c r="X2" s="50"/>
    </row>
    <row r="3" spans="2:24" ht="15.75" thickBot="1" x14ac:dyDescent="0.3">
      <c r="B3" s="51" t="s">
        <v>20</v>
      </c>
      <c r="C3" s="52"/>
      <c r="D3" s="52"/>
      <c r="E3" s="52"/>
      <c r="F3" s="53"/>
      <c r="H3" s="51" t="s">
        <v>20</v>
      </c>
      <c r="I3" s="52"/>
      <c r="J3" s="52"/>
      <c r="K3" s="52"/>
      <c r="L3" s="53"/>
      <c r="N3" s="51" t="s">
        <v>20</v>
      </c>
      <c r="O3" s="52"/>
      <c r="P3" s="52"/>
      <c r="Q3" s="52"/>
      <c r="R3" s="53"/>
      <c r="T3" s="51" t="s">
        <v>20</v>
      </c>
      <c r="U3" s="52"/>
      <c r="V3" s="52"/>
      <c r="W3" s="52"/>
      <c r="X3" s="53"/>
    </row>
    <row r="4" spans="2:24" x14ac:dyDescent="0.25">
      <c r="B4" s="45" t="s">
        <v>19</v>
      </c>
      <c r="C4" s="46"/>
      <c r="D4" s="46"/>
      <c r="E4" s="46"/>
      <c r="F4" s="47"/>
      <c r="H4" s="45" t="s">
        <v>19</v>
      </c>
      <c r="I4" s="46"/>
      <c r="J4" s="46"/>
      <c r="K4" s="46"/>
      <c r="L4" s="47"/>
      <c r="N4" s="45" t="s">
        <v>19</v>
      </c>
      <c r="O4" s="46"/>
      <c r="P4" s="46"/>
      <c r="Q4" s="46"/>
      <c r="R4" s="47"/>
      <c r="T4" s="45" t="s">
        <v>19</v>
      </c>
      <c r="U4" s="46"/>
      <c r="V4" s="46"/>
      <c r="W4" s="46"/>
      <c r="X4" s="47"/>
    </row>
    <row r="5" spans="2:24" ht="15.75" thickBot="1" x14ac:dyDescent="0.3">
      <c r="B5" s="22" t="s">
        <v>18</v>
      </c>
      <c r="C5" s="20" t="s">
        <v>17</v>
      </c>
      <c r="D5" s="21" t="s">
        <v>16</v>
      </c>
      <c r="E5" s="20" t="s">
        <v>15</v>
      </c>
      <c r="F5" s="19" t="s">
        <v>14</v>
      </c>
      <c r="H5" s="22" t="s">
        <v>18</v>
      </c>
      <c r="I5" s="20" t="s">
        <v>17</v>
      </c>
      <c r="J5" s="21" t="s">
        <v>16</v>
      </c>
      <c r="K5" s="20" t="s">
        <v>15</v>
      </c>
      <c r="L5" s="19" t="s">
        <v>14</v>
      </c>
      <c r="N5" s="22" t="s">
        <v>18</v>
      </c>
      <c r="O5" s="20" t="s">
        <v>17</v>
      </c>
      <c r="P5" s="21" t="s">
        <v>16</v>
      </c>
      <c r="Q5" s="20" t="s">
        <v>15</v>
      </c>
      <c r="R5" s="19" t="s">
        <v>14</v>
      </c>
      <c r="T5" s="22" t="s">
        <v>18</v>
      </c>
      <c r="U5" s="20" t="s">
        <v>17</v>
      </c>
      <c r="V5" s="21" t="s">
        <v>16</v>
      </c>
      <c r="W5" s="20" t="s">
        <v>15</v>
      </c>
      <c r="X5" s="19" t="s">
        <v>14</v>
      </c>
    </row>
    <row r="6" spans="2:24" x14ac:dyDescent="0.25">
      <c r="B6" s="54" t="s">
        <v>13</v>
      </c>
      <c r="C6" s="55"/>
      <c r="D6" s="55"/>
      <c r="E6" s="55"/>
      <c r="F6" s="56"/>
      <c r="H6" s="54" t="s">
        <v>13</v>
      </c>
      <c r="I6" s="55"/>
      <c r="J6" s="55"/>
      <c r="K6" s="55"/>
      <c r="L6" s="56"/>
      <c r="N6" s="45" t="s">
        <v>69</v>
      </c>
      <c r="O6" s="46"/>
      <c r="P6" s="46"/>
      <c r="Q6" s="46"/>
      <c r="R6" s="47"/>
      <c r="T6" s="54" t="s">
        <v>13</v>
      </c>
      <c r="U6" s="55"/>
      <c r="V6" s="55"/>
      <c r="W6" s="55"/>
      <c r="X6" s="56"/>
    </row>
    <row r="7" spans="2:24" x14ac:dyDescent="0.25">
      <c r="B7" s="7"/>
      <c r="C7" s="18" t="s">
        <v>11</v>
      </c>
      <c r="D7" s="17"/>
      <c r="E7" s="16" t="s">
        <v>76</v>
      </c>
      <c r="F7" s="15"/>
      <c r="H7" s="7"/>
      <c r="I7" s="18" t="s">
        <v>11</v>
      </c>
      <c r="J7" s="17"/>
      <c r="K7" s="16" t="s">
        <v>66</v>
      </c>
      <c r="L7" s="15"/>
      <c r="N7" s="7"/>
      <c r="O7" s="18" t="s">
        <v>11</v>
      </c>
      <c r="P7" s="17"/>
      <c r="Q7" s="16" t="s">
        <v>96</v>
      </c>
      <c r="R7" s="15"/>
      <c r="T7" s="7"/>
      <c r="U7" s="18" t="s">
        <v>11</v>
      </c>
      <c r="V7" s="17"/>
      <c r="W7" s="16" t="s">
        <v>139</v>
      </c>
      <c r="X7" s="15"/>
    </row>
    <row r="8" spans="2:24" x14ac:dyDescent="0.25">
      <c r="B8" s="7"/>
      <c r="C8" s="18" t="s">
        <v>8</v>
      </c>
      <c r="D8" s="17"/>
      <c r="E8" s="16" t="s">
        <v>75</v>
      </c>
      <c r="F8" s="15"/>
      <c r="H8" s="7"/>
      <c r="I8" s="18" t="s">
        <v>8</v>
      </c>
      <c r="J8" s="17"/>
      <c r="K8" s="16" t="s">
        <v>65</v>
      </c>
      <c r="L8" s="15"/>
      <c r="N8" s="7"/>
      <c r="O8" s="18" t="s">
        <v>8</v>
      </c>
      <c r="P8" s="17"/>
      <c r="Q8" s="16" t="s">
        <v>97</v>
      </c>
      <c r="R8" s="15"/>
      <c r="T8" s="7"/>
      <c r="U8" s="18" t="s">
        <v>8</v>
      </c>
      <c r="V8" s="17"/>
      <c r="W8" s="16" t="s">
        <v>140</v>
      </c>
      <c r="X8" s="15"/>
    </row>
    <row r="9" spans="2:24" ht="15" hidden="1" customHeight="1" x14ac:dyDescent="0.25">
      <c r="B9" s="7"/>
      <c r="C9" s="18" t="s">
        <v>59</v>
      </c>
      <c r="D9" s="17"/>
      <c r="E9" s="16">
        <f>15*12*30</f>
        <v>5400</v>
      </c>
      <c r="F9" s="15" t="s">
        <v>56</v>
      </c>
      <c r="H9" s="7"/>
      <c r="I9" s="18" t="s">
        <v>59</v>
      </c>
      <c r="J9" s="17"/>
      <c r="K9" s="16">
        <f>15*12*30</f>
        <v>5400</v>
      </c>
      <c r="L9" s="15" t="s">
        <v>56</v>
      </c>
      <c r="N9" s="7"/>
      <c r="O9" s="18" t="s">
        <v>59</v>
      </c>
      <c r="P9" s="17"/>
      <c r="Q9" s="16">
        <f>15*12*30</f>
        <v>5400</v>
      </c>
      <c r="R9" s="15" t="s">
        <v>56</v>
      </c>
      <c r="T9" s="7"/>
      <c r="U9" s="18" t="s">
        <v>59</v>
      </c>
      <c r="V9" s="17"/>
      <c r="W9" s="16">
        <f>15*12*30</f>
        <v>5400</v>
      </c>
      <c r="X9" s="15" t="s">
        <v>56</v>
      </c>
    </row>
    <row r="10" spans="2:24" ht="15" hidden="1" customHeight="1" x14ac:dyDescent="0.25">
      <c r="B10" s="7"/>
      <c r="C10" s="32" t="s">
        <v>58</v>
      </c>
      <c r="D10" s="5"/>
      <c r="E10" s="4">
        <v>120</v>
      </c>
      <c r="F10" s="3" t="s">
        <v>56</v>
      </c>
      <c r="H10" s="7"/>
      <c r="I10" s="32" t="s">
        <v>58</v>
      </c>
      <c r="J10" s="5"/>
      <c r="K10" s="4">
        <v>120</v>
      </c>
      <c r="L10" s="3" t="s">
        <v>56</v>
      </c>
      <c r="N10" s="7"/>
      <c r="O10" s="32" t="s">
        <v>58</v>
      </c>
      <c r="P10" s="5"/>
      <c r="Q10" s="4">
        <v>120</v>
      </c>
      <c r="R10" s="3" t="s">
        <v>56</v>
      </c>
      <c r="T10" s="7"/>
      <c r="U10" s="32" t="s">
        <v>58</v>
      </c>
      <c r="V10" s="5"/>
      <c r="W10" s="4">
        <v>120</v>
      </c>
      <c r="X10" s="3" t="s">
        <v>56</v>
      </c>
    </row>
    <row r="11" spans="2:24" ht="15" hidden="1" customHeight="1" x14ac:dyDescent="0.25">
      <c r="B11" s="7"/>
      <c r="C11" s="6" t="s">
        <v>57</v>
      </c>
      <c r="D11" s="14"/>
      <c r="E11" s="31">
        <f>E9-E10-(E12+E14)/2*10</f>
        <v>5275</v>
      </c>
      <c r="F11" s="12" t="s">
        <v>56</v>
      </c>
      <c r="H11" s="7"/>
      <c r="I11" s="6" t="s">
        <v>57</v>
      </c>
      <c r="J11" s="14"/>
      <c r="K11" s="31">
        <f>K9-K10-(K12+K14)/2*10</f>
        <v>5275</v>
      </c>
      <c r="L11" s="12" t="s">
        <v>56</v>
      </c>
      <c r="N11" s="7"/>
      <c r="O11" s="6" t="s">
        <v>57</v>
      </c>
      <c r="P11" s="14"/>
      <c r="Q11" s="31">
        <f>Q9-Q10-(Q12+Q14)/2*10</f>
        <v>5275</v>
      </c>
      <c r="R11" s="12" t="s">
        <v>56</v>
      </c>
      <c r="T11" s="7"/>
      <c r="U11" s="6" t="s">
        <v>57</v>
      </c>
      <c r="V11" s="14"/>
      <c r="W11" s="31" t="e">
        <f>W9-W10-(W12+W14)/2*10</f>
        <v>#REF!</v>
      </c>
      <c r="X11" s="12" t="s">
        <v>56</v>
      </c>
    </row>
    <row r="12" spans="2:24" ht="15.95" hidden="1" customHeight="1" x14ac:dyDescent="0.25">
      <c r="B12" s="7"/>
      <c r="C12" s="6" t="s">
        <v>55</v>
      </c>
      <c r="D12" s="14" t="s">
        <v>51</v>
      </c>
      <c r="E12" s="30">
        <f>((E10/E9)*45-E13)</f>
        <v>1</v>
      </c>
      <c r="F12" s="12" t="s">
        <v>50</v>
      </c>
      <c r="H12" s="7"/>
      <c r="I12" s="6" t="s">
        <v>55</v>
      </c>
      <c r="J12" s="14" t="s">
        <v>51</v>
      </c>
      <c r="K12" s="30">
        <f>((K10/K9)*45-K13)</f>
        <v>1</v>
      </c>
      <c r="L12" s="12" t="s">
        <v>50</v>
      </c>
      <c r="N12" s="7"/>
      <c r="O12" s="6" t="s">
        <v>55</v>
      </c>
      <c r="P12" s="14" t="s">
        <v>51</v>
      </c>
      <c r="Q12" s="30">
        <f>((Q10/Q9)*45-Q13)</f>
        <v>1</v>
      </c>
      <c r="R12" s="12" t="s">
        <v>50</v>
      </c>
      <c r="T12" s="7"/>
      <c r="U12" s="6" t="s">
        <v>55</v>
      </c>
      <c r="V12" s="14" t="s">
        <v>51</v>
      </c>
      <c r="W12" s="30">
        <f>((W10/W9)*45-W13)</f>
        <v>1</v>
      </c>
      <c r="X12" s="12" t="s">
        <v>50</v>
      </c>
    </row>
    <row r="13" spans="2:24" ht="15" hidden="1" customHeight="1" x14ac:dyDescent="0.25">
      <c r="B13" s="7"/>
      <c r="C13" s="6"/>
      <c r="D13" s="14" t="s">
        <v>54</v>
      </c>
      <c r="E13" s="29"/>
      <c r="F13" s="12" t="s">
        <v>53</v>
      </c>
      <c r="H13" s="7"/>
      <c r="I13" s="6"/>
      <c r="J13" s="14" t="s">
        <v>54</v>
      </c>
      <c r="K13" s="29"/>
      <c r="L13" s="12" t="s">
        <v>53</v>
      </c>
      <c r="N13" s="7"/>
      <c r="O13" s="6"/>
      <c r="P13" s="14" t="s">
        <v>54</v>
      </c>
      <c r="Q13" s="29"/>
      <c r="R13" s="12" t="s">
        <v>53</v>
      </c>
      <c r="T13" s="7"/>
      <c r="U13" s="6"/>
      <c r="V13" s="14" t="s">
        <v>54</v>
      </c>
      <c r="W13" s="29"/>
      <c r="X13" s="12" t="s">
        <v>53</v>
      </c>
    </row>
    <row r="14" spans="2:24" ht="15" hidden="1" customHeight="1" x14ac:dyDescent="0.25">
      <c r="B14" s="7"/>
      <c r="C14" s="6" t="s">
        <v>52</v>
      </c>
      <c r="D14" s="14" t="s">
        <v>51</v>
      </c>
      <c r="E14" s="29">
        <f>'[1]Data Lingkungan_IC'!Q63</f>
        <v>0</v>
      </c>
      <c r="F14" s="12" t="s">
        <v>50</v>
      </c>
      <c r="H14" s="7"/>
      <c r="I14" s="6" t="s">
        <v>52</v>
      </c>
      <c r="J14" s="14" t="s">
        <v>51</v>
      </c>
      <c r="K14" s="29">
        <f>'[1]Data Lingkungan_IC'!AI65</f>
        <v>0</v>
      </c>
      <c r="L14" s="12" t="s">
        <v>50</v>
      </c>
      <c r="N14" s="7"/>
      <c r="O14" s="6" t="s">
        <v>52</v>
      </c>
      <c r="P14" s="14" t="s">
        <v>51</v>
      </c>
      <c r="Q14" s="29">
        <f>'[1]Data Lingkungan_IC'!BA71</f>
        <v>0</v>
      </c>
      <c r="R14" s="12" t="s">
        <v>50</v>
      </c>
      <c r="T14" s="7"/>
      <c r="U14" s="6" t="s">
        <v>52</v>
      </c>
      <c r="V14" s="14" t="s">
        <v>51</v>
      </c>
      <c r="W14" s="29" t="e">
        <f>'[1]Data Lingkungan_IC'!#REF!</f>
        <v>#REF!</v>
      </c>
      <c r="X14" s="12" t="s">
        <v>50</v>
      </c>
    </row>
    <row r="15" spans="2:24" ht="15" hidden="1" customHeight="1" x14ac:dyDescent="0.25">
      <c r="B15" s="7"/>
      <c r="C15" s="6" t="s">
        <v>6</v>
      </c>
      <c r="D15" s="14"/>
      <c r="E15" s="13">
        <f>(E11/E9)</f>
        <v>0.97685185185185186</v>
      </c>
      <c r="F15" s="12" t="s">
        <v>5</v>
      </c>
      <c r="H15" s="7"/>
      <c r="I15" s="6" t="s">
        <v>6</v>
      </c>
      <c r="J15" s="14"/>
      <c r="K15" s="13">
        <f>(K11/K9)</f>
        <v>0.97685185185185186</v>
      </c>
      <c r="L15" s="12" t="s">
        <v>5</v>
      </c>
      <c r="N15" s="7"/>
      <c r="O15" s="6" t="s">
        <v>6</v>
      </c>
      <c r="P15" s="14"/>
      <c r="Q15" s="13">
        <f>(Q11/Q9)</f>
        <v>0.97685185185185186</v>
      </c>
      <c r="R15" s="12" t="s">
        <v>5</v>
      </c>
      <c r="T15" s="7"/>
      <c r="U15" s="6" t="s">
        <v>6</v>
      </c>
      <c r="V15" s="14"/>
      <c r="W15" s="13" t="e">
        <f>(W11/W9)</f>
        <v>#REF!</v>
      </c>
      <c r="X15" s="12" t="s">
        <v>5</v>
      </c>
    </row>
    <row r="16" spans="2:24" x14ac:dyDescent="0.25">
      <c r="B16" s="11"/>
      <c r="C16" s="6" t="s">
        <v>4</v>
      </c>
      <c r="D16" s="10" t="s">
        <v>3</v>
      </c>
      <c r="E16" s="9" t="s">
        <v>49</v>
      </c>
      <c r="F16" s="8"/>
      <c r="H16" s="11"/>
      <c r="I16" s="6" t="s">
        <v>4</v>
      </c>
      <c r="J16" s="10" t="s">
        <v>3</v>
      </c>
      <c r="K16" s="9" t="s">
        <v>49</v>
      </c>
      <c r="L16" s="8"/>
      <c r="N16" s="11"/>
      <c r="O16" s="6" t="s">
        <v>4</v>
      </c>
      <c r="P16" s="10" t="s">
        <v>3</v>
      </c>
      <c r="Q16" s="9" t="s">
        <v>49</v>
      </c>
      <c r="R16" s="8"/>
      <c r="T16" s="11"/>
      <c r="U16" s="6" t="s">
        <v>4</v>
      </c>
      <c r="V16" s="10" t="s">
        <v>3</v>
      </c>
      <c r="W16" s="9" t="s">
        <v>141</v>
      </c>
      <c r="X16" s="8"/>
    </row>
    <row r="17" spans="2:24" x14ac:dyDescent="0.25">
      <c r="B17" s="7"/>
      <c r="C17" s="6"/>
      <c r="D17" s="5" t="s">
        <v>1</v>
      </c>
      <c r="E17" s="4"/>
      <c r="F17" s="3" t="s">
        <v>48</v>
      </c>
      <c r="H17" s="7"/>
      <c r="I17" s="6"/>
      <c r="J17" s="5" t="s">
        <v>1</v>
      </c>
      <c r="K17" s="4"/>
      <c r="L17" s="3" t="s">
        <v>48</v>
      </c>
      <c r="N17" s="7"/>
      <c r="O17" s="6"/>
      <c r="P17" s="5" t="s">
        <v>1</v>
      </c>
      <c r="Q17" s="4"/>
      <c r="R17" s="3" t="s">
        <v>48</v>
      </c>
      <c r="T17" s="7"/>
      <c r="U17" s="6"/>
      <c r="V17" s="5" t="s">
        <v>1</v>
      </c>
      <c r="W17" s="4" t="s">
        <v>142</v>
      </c>
      <c r="X17" s="3" t="s">
        <v>143</v>
      </c>
    </row>
    <row r="18" spans="2:24" ht="30" x14ac:dyDescent="0.25">
      <c r="B18" s="7"/>
      <c r="C18" s="28"/>
      <c r="D18" s="5" t="s">
        <v>47</v>
      </c>
      <c r="E18" s="4"/>
      <c r="F18" s="3" t="s">
        <v>144</v>
      </c>
      <c r="H18" s="7"/>
      <c r="I18" s="28"/>
      <c r="J18" s="5" t="s">
        <v>47</v>
      </c>
      <c r="K18" s="4"/>
      <c r="L18" s="3" t="s">
        <v>144</v>
      </c>
      <c r="N18" s="7"/>
      <c r="O18" s="28"/>
      <c r="P18" s="5" t="s">
        <v>47</v>
      </c>
      <c r="Q18" s="4"/>
      <c r="R18" s="3" t="s">
        <v>144</v>
      </c>
      <c r="T18" s="7"/>
      <c r="U18" s="28"/>
      <c r="V18" s="5" t="s">
        <v>47</v>
      </c>
      <c r="W18" s="4"/>
      <c r="X18" s="3" t="s">
        <v>46</v>
      </c>
    </row>
    <row r="19" spans="2:24" ht="30.75" thickBot="1" x14ac:dyDescent="0.3">
      <c r="B19" s="27"/>
      <c r="C19" s="26"/>
      <c r="D19" s="25" t="s">
        <v>6</v>
      </c>
      <c r="E19" s="24">
        <v>1</v>
      </c>
      <c r="F19" s="23" t="s">
        <v>5</v>
      </c>
      <c r="H19" s="27"/>
      <c r="I19" s="26"/>
      <c r="J19" s="25" t="s">
        <v>6</v>
      </c>
      <c r="K19" s="24">
        <v>1</v>
      </c>
      <c r="L19" s="23" t="s">
        <v>5</v>
      </c>
      <c r="N19" s="27"/>
      <c r="O19" s="26"/>
      <c r="P19" s="25" t="s">
        <v>6</v>
      </c>
      <c r="Q19" s="24">
        <v>1</v>
      </c>
      <c r="R19" s="23" t="s">
        <v>5</v>
      </c>
      <c r="T19" s="27"/>
      <c r="U19" s="26"/>
      <c r="V19" s="25" t="s">
        <v>6</v>
      </c>
      <c r="W19" s="24">
        <v>1</v>
      </c>
      <c r="X19" s="23" t="s">
        <v>5</v>
      </c>
    </row>
    <row r="20" spans="2:24" ht="15.75" thickBot="1" x14ac:dyDescent="0.3"/>
    <row r="21" spans="2:24" x14ac:dyDescent="0.25">
      <c r="B21" s="48" t="s">
        <v>21</v>
      </c>
      <c r="C21" s="49"/>
      <c r="D21" s="49"/>
      <c r="E21" s="49"/>
      <c r="F21" s="50"/>
      <c r="H21" s="48" t="s">
        <v>21</v>
      </c>
      <c r="I21" s="49"/>
      <c r="J21" s="49"/>
      <c r="K21" s="49"/>
      <c r="L21" s="50"/>
      <c r="N21" s="48" t="s">
        <v>21</v>
      </c>
      <c r="O21" s="49"/>
      <c r="P21" s="49"/>
      <c r="Q21" s="49"/>
      <c r="R21" s="50"/>
    </row>
    <row r="22" spans="2:24" ht="15.75" thickBot="1" x14ac:dyDescent="0.3">
      <c r="B22" s="51" t="s">
        <v>20</v>
      </c>
      <c r="C22" s="52"/>
      <c r="D22" s="52"/>
      <c r="E22" s="52"/>
      <c r="F22" s="53"/>
      <c r="H22" s="51" t="s">
        <v>20</v>
      </c>
      <c r="I22" s="52"/>
      <c r="J22" s="52"/>
      <c r="K22" s="52"/>
      <c r="L22" s="53"/>
      <c r="N22" s="51" t="s">
        <v>20</v>
      </c>
      <c r="O22" s="52"/>
      <c r="P22" s="52"/>
      <c r="Q22" s="52"/>
      <c r="R22" s="53"/>
    </row>
    <row r="23" spans="2:24" x14ac:dyDescent="0.25">
      <c r="B23" s="45" t="s">
        <v>19</v>
      </c>
      <c r="C23" s="46"/>
      <c r="D23" s="46"/>
      <c r="E23" s="46"/>
      <c r="F23" s="47"/>
      <c r="H23" s="45" t="s">
        <v>19</v>
      </c>
      <c r="I23" s="46"/>
      <c r="J23" s="46"/>
      <c r="K23" s="46"/>
      <c r="L23" s="47"/>
      <c r="N23" s="45" t="s">
        <v>19</v>
      </c>
      <c r="O23" s="46"/>
      <c r="P23" s="46"/>
      <c r="Q23" s="46"/>
      <c r="R23" s="47"/>
    </row>
    <row r="24" spans="2:24" ht="15.75" thickBot="1" x14ac:dyDescent="0.3">
      <c r="B24" s="22" t="s">
        <v>18</v>
      </c>
      <c r="C24" s="20" t="s">
        <v>17</v>
      </c>
      <c r="D24" s="21" t="s">
        <v>16</v>
      </c>
      <c r="E24" s="20" t="s">
        <v>15</v>
      </c>
      <c r="F24" s="19" t="s">
        <v>14</v>
      </c>
      <c r="H24" s="22" t="s">
        <v>18</v>
      </c>
      <c r="I24" s="20" t="s">
        <v>17</v>
      </c>
      <c r="J24" s="21" t="s">
        <v>16</v>
      </c>
      <c r="K24" s="20" t="s">
        <v>15</v>
      </c>
      <c r="L24" s="19" t="s">
        <v>14</v>
      </c>
      <c r="N24" s="22" t="s">
        <v>18</v>
      </c>
      <c r="O24" s="20" t="s">
        <v>17</v>
      </c>
      <c r="P24" s="21" t="s">
        <v>16</v>
      </c>
      <c r="Q24" s="20" t="s">
        <v>15</v>
      </c>
      <c r="R24" s="19" t="s">
        <v>14</v>
      </c>
    </row>
    <row r="25" spans="2:24" x14ac:dyDescent="0.25">
      <c r="B25" s="54" t="s">
        <v>13</v>
      </c>
      <c r="C25" s="55"/>
      <c r="D25" s="55"/>
      <c r="E25" s="55"/>
      <c r="F25" s="56"/>
      <c r="H25" s="54" t="s">
        <v>13</v>
      </c>
      <c r="I25" s="55"/>
      <c r="J25" s="55"/>
      <c r="K25" s="55"/>
      <c r="L25" s="56"/>
      <c r="N25" s="45" t="s">
        <v>69</v>
      </c>
      <c r="O25" s="46"/>
      <c r="P25" s="46"/>
      <c r="Q25" s="46"/>
      <c r="R25" s="47"/>
    </row>
    <row r="26" spans="2:24" x14ac:dyDescent="0.25">
      <c r="B26" s="7"/>
      <c r="C26" s="18" t="s">
        <v>11</v>
      </c>
      <c r="D26" s="17"/>
      <c r="E26" s="16" t="s">
        <v>77</v>
      </c>
      <c r="F26" s="15"/>
      <c r="H26" s="7"/>
      <c r="I26" s="18" t="s">
        <v>11</v>
      </c>
      <c r="J26" s="17"/>
      <c r="K26" s="16" t="s">
        <v>85</v>
      </c>
      <c r="L26" s="15"/>
      <c r="N26" s="7"/>
      <c r="O26" s="18" t="s">
        <v>11</v>
      </c>
      <c r="P26" s="17"/>
      <c r="Q26" s="16" t="s">
        <v>98</v>
      </c>
      <c r="R26" s="15"/>
    </row>
    <row r="27" spans="2:24" x14ac:dyDescent="0.25">
      <c r="B27" s="7"/>
      <c r="C27" s="18" t="s">
        <v>8</v>
      </c>
      <c r="D27" s="17"/>
      <c r="E27" s="16" t="s">
        <v>78</v>
      </c>
      <c r="F27" s="15"/>
      <c r="H27" s="7"/>
      <c r="I27" s="18" t="s">
        <v>8</v>
      </c>
      <c r="J27" s="17"/>
      <c r="K27" s="16" t="s">
        <v>63</v>
      </c>
      <c r="L27" s="15"/>
      <c r="N27" s="7"/>
      <c r="O27" s="18" t="s">
        <v>8</v>
      </c>
      <c r="P27" s="17"/>
      <c r="Q27" s="16" t="s">
        <v>72</v>
      </c>
      <c r="R27" s="15"/>
    </row>
    <row r="28" spans="2:24" ht="15" hidden="1" customHeight="1" x14ac:dyDescent="0.25">
      <c r="B28" s="7"/>
      <c r="C28" s="18" t="s">
        <v>59</v>
      </c>
      <c r="D28" s="17"/>
      <c r="E28" s="16">
        <f>15*12*30</f>
        <v>5400</v>
      </c>
      <c r="F28" s="15" t="s">
        <v>56</v>
      </c>
      <c r="H28" s="7"/>
      <c r="I28" s="18" t="s">
        <v>59</v>
      </c>
      <c r="J28" s="17"/>
      <c r="K28" s="16">
        <f>15*12*30</f>
        <v>5400</v>
      </c>
      <c r="L28" s="15" t="s">
        <v>56</v>
      </c>
      <c r="N28" s="7"/>
      <c r="O28" s="18" t="s">
        <v>59</v>
      </c>
      <c r="P28" s="17"/>
      <c r="Q28" s="16">
        <f>15*12*30</f>
        <v>5400</v>
      </c>
      <c r="R28" s="15" t="s">
        <v>56</v>
      </c>
    </row>
    <row r="29" spans="2:24" ht="15" hidden="1" customHeight="1" x14ac:dyDescent="0.25">
      <c r="B29" s="7"/>
      <c r="C29" s="32" t="s">
        <v>58</v>
      </c>
      <c r="D29" s="5"/>
      <c r="E29" s="4">
        <v>120</v>
      </c>
      <c r="F29" s="3" t="s">
        <v>56</v>
      </c>
      <c r="H29" s="7"/>
      <c r="I29" s="32" t="s">
        <v>58</v>
      </c>
      <c r="J29" s="5"/>
      <c r="K29" s="4">
        <v>120</v>
      </c>
      <c r="L29" s="3" t="s">
        <v>56</v>
      </c>
      <c r="N29" s="7"/>
      <c r="O29" s="32" t="s">
        <v>58</v>
      </c>
      <c r="P29" s="5"/>
      <c r="Q29" s="4">
        <v>120</v>
      </c>
      <c r="R29" s="3" t="s">
        <v>56</v>
      </c>
    </row>
    <row r="30" spans="2:24" ht="15" hidden="1" customHeight="1" x14ac:dyDescent="0.25">
      <c r="B30" s="7"/>
      <c r="C30" s="6" t="s">
        <v>57</v>
      </c>
      <c r="D30" s="14"/>
      <c r="E30" s="31">
        <f>E28-E29-(E31+E33)/2*10</f>
        <v>5275</v>
      </c>
      <c r="F30" s="12" t="s">
        <v>56</v>
      </c>
      <c r="H30" s="7"/>
      <c r="I30" s="6" t="s">
        <v>57</v>
      </c>
      <c r="J30" s="14"/>
      <c r="K30" s="31">
        <f>K28-K29-(K31+K33)/2*10</f>
        <v>5275</v>
      </c>
      <c r="L30" s="12" t="s">
        <v>56</v>
      </c>
      <c r="N30" s="7"/>
      <c r="O30" s="6" t="s">
        <v>57</v>
      </c>
      <c r="P30" s="14"/>
      <c r="Q30" s="31">
        <f>Q28-Q29-(Q31+Q33)/2*10</f>
        <v>5275</v>
      </c>
      <c r="R30" s="12" t="s">
        <v>56</v>
      </c>
    </row>
    <row r="31" spans="2:24" ht="15" hidden="1" customHeight="1" x14ac:dyDescent="0.25">
      <c r="B31" s="7"/>
      <c r="C31" s="6" t="s">
        <v>55</v>
      </c>
      <c r="D31" s="14" t="s">
        <v>51</v>
      </c>
      <c r="E31" s="30">
        <f>((E29/E28)*45-E32)</f>
        <v>1</v>
      </c>
      <c r="F31" s="12" t="s">
        <v>50</v>
      </c>
      <c r="H31" s="7"/>
      <c r="I31" s="6" t="s">
        <v>55</v>
      </c>
      <c r="J31" s="14" t="s">
        <v>51</v>
      </c>
      <c r="K31" s="30">
        <f>((K29/K28)*45-K32)</f>
        <v>1</v>
      </c>
      <c r="L31" s="12" t="s">
        <v>50</v>
      </c>
      <c r="N31" s="7"/>
      <c r="O31" s="6" t="s">
        <v>55</v>
      </c>
      <c r="P31" s="14" t="s">
        <v>51</v>
      </c>
      <c r="Q31" s="30">
        <f>((Q29/Q28)*45-Q32)</f>
        <v>1</v>
      </c>
      <c r="R31" s="12" t="s">
        <v>50</v>
      </c>
    </row>
    <row r="32" spans="2:24" ht="15" hidden="1" customHeight="1" x14ac:dyDescent="0.25">
      <c r="B32" s="7"/>
      <c r="C32" s="6"/>
      <c r="D32" s="14" t="s">
        <v>54</v>
      </c>
      <c r="E32" s="29"/>
      <c r="F32" s="12" t="s">
        <v>53</v>
      </c>
      <c r="H32" s="7"/>
      <c r="I32" s="6"/>
      <c r="J32" s="14" t="s">
        <v>54</v>
      </c>
      <c r="K32" s="29"/>
      <c r="L32" s="12" t="s">
        <v>53</v>
      </c>
      <c r="N32" s="7"/>
      <c r="O32" s="6"/>
      <c r="P32" s="14" t="s">
        <v>54</v>
      </c>
      <c r="Q32" s="29"/>
      <c r="R32" s="12" t="s">
        <v>53</v>
      </c>
    </row>
    <row r="33" spans="2:18" ht="15" hidden="1" customHeight="1" x14ac:dyDescent="0.25">
      <c r="B33" s="7"/>
      <c r="C33" s="6" t="s">
        <v>52</v>
      </c>
      <c r="D33" s="14" t="s">
        <v>51</v>
      </c>
      <c r="E33" s="29">
        <f>'[1]Data Lingkungan_IC'!AI64</f>
        <v>0</v>
      </c>
      <c r="F33" s="12" t="s">
        <v>50</v>
      </c>
      <c r="H33" s="7"/>
      <c r="I33" s="6" t="s">
        <v>52</v>
      </c>
      <c r="J33" s="14" t="s">
        <v>51</v>
      </c>
      <c r="K33" s="29">
        <f>'[1]Data Lingkungan_IC'!BA69</f>
        <v>0</v>
      </c>
      <c r="L33" s="12" t="s">
        <v>50</v>
      </c>
      <c r="N33" s="7"/>
      <c r="O33" s="6" t="s">
        <v>52</v>
      </c>
      <c r="P33" s="14" t="s">
        <v>51</v>
      </c>
      <c r="Q33" s="29">
        <f>'[1]Data Lingkungan_IC'!BJ66</f>
        <v>0</v>
      </c>
      <c r="R33" s="12" t="s">
        <v>50</v>
      </c>
    </row>
    <row r="34" spans="2:18" ht="15" hidden="1" customHeight="1" x14ac:dyDescent="0.25">
      <c r="B34" s="7"/>
      <c r="C34" s="6" t="s">
        <v>6</v>
      </c>
      <c r="D34" s="14"/>
      <c r="E34" s="13">
        <f>(E30/E28)</f>
        <v>0.97685185185185186</v>
      </c>
      <c r="F34" s="12" t="s">
        <v>5</v>
      </c>
      <c r="H34" s="7"/>
      <c r="I34" s="6" t="s">
        <v>6</v>
      </c>
      <c r="J34" s="14"/>
      <c r="K34" s="13">
        <f>(K30/K28)</f>
        <v>0.97685185185185186</v>
      </c>
      <c r="L34" s="12" t="s">
        <v>5</v>
      </c>
      <c r="N34" s="7"/>
      <c r="O34" s="6" t="s">
        <v>6</v>
      </c>
      <c r="P34" s="14"/>
      <c r="Q34" s="13">
        <f>(Q30/Q28)</f>
        <v>0.97685185185185186</v>
      </c>
      <c r="R34" s="12" t="s">
        <v>5</v>
      </c>
    </row>
    <row r="35" spans="2:18" x14ac:dyDescent="0.25">
      <c r="B35" s="11"/>
      <c r="C35" s="6" t="s">
        <v>4</v>
      </c>
      <c r="D35" s="10" t="s">
        <v>3</v>
      </c>
      <c r="E35" s="9" t="s">
        <v>49</v>
      </c>
      <c r="F35" s="8"/>
      <c r="H35" s="11"/>
      <c r="I35" s="6" t="s">
        <v>4</v>
      </c>
      <c r="J35" s="10" t="s">
        <v>3</v>
      </c>
      <c r="K35" s="9" t="s">
        <v>49</v>
      </c>
      <c r="L35" s="8"/>
      <c r="N35" s="11"/>
      <c r="O35" s="6" t="s">
        <v>4</v>
      </c>
      <c r="P35" s="10" t="s">
        <v>3</v>
      </c>
      <c r="Q35" s="9" t="s">
        <v>49</v>
      </c>
      <c r="R35" s="8"/>
    </row>
    <row r="36" spans="2:18" x14ac:dyDescent="0.25">
      <c r="B36" s="7"/>
      <c r="C36" s="6"/>
      <c r="D36" s="5" t="s">
        <v>1</v>
      </c>
      <c r="E36" s="4"/>
      <c r="F36" s="3" t="s">
        <v>48</v>
      </c>
      <c r="H36" s="7"/>
      <c r="I36" s="6"/>
      <c r="J36" s="5" t="s">
        <v>1</v>
      </c>
      <c r="K36" s="4"/>
      <c r="L36" s="3" t="s">
        <v>48</v>
      </c>
      <c r="N36" s="7"/>
      <c r="O36" s="6"/>
      <c r="P36" s="5" t="s">
        <v>1</v>
      </c>
      <c r="Q36" s="4"/>
      <c r="R36" s="3" t="s">
        <v>48</v>
      </c>
    </row>
    <row r="37" spans="2:18" ht="30" x14ac:dyDescent="0.25">
      <c r="B37" s="7"/>
      <c r="C37" s="28"/>
      <c r="D37" s="5" t="s">
        <v>47</v>
      </c>
      <c r="E37" s="4"/>
      <c r="F37" s="3" t="s">
        <v>144</v>
      </c>
      <c r="H37" s="7"/>
      <c r="I37" s="28"/>
      <c r="J37" s="5" t="s">
        <v>47</v>
      </c>
      <c r="K37" s="4"/>
      <c r="L37" s="3" t="s">
        <v>144</v>
      </c>
      <c r="N37" s="7"/>
      <c r="O37" s="28"/>
      <c r="P37" s="5" t="s">
        <v>47</v>
      </c>
      <c r="Q37" s="4"/>
      <c r="R37" s="3" t="s">
        <v>144</v>
      </c>
    </row>
    <row r="38" spans="2:18" ht="30.75" thickBot="1" x14ac:dyDescent="0.3">
      <c r="B38" s="27"/>
      <c r="C38" s="26"/>
      <c r="D38" s="25" t="s">
        <v>6</v>
      </c>
      <c r="E38" s="24">
        <v>1</v>
      </c>
      <c r="F38" s="23" t="s">
        <v>5</v>
      </c>
      <c r="H38" s="27"/>
      <c r="I38" s="26"/>
      <c r="J38" s="25" t="s">
        <v>6</v>
      </c>
      <c r="K38" s="24">
        <v>1</v>
      </c>
      <c r="L38" s="23" t="s">
        <v>5</v>
      </c>
      <c r="N38" s="27"/>
      <c r="O38" s="26"/>
      <c r="P38" s="25" t="s">
        <v>6</v>
      </c>
      <c r="Q38" s="24">
        <v>1</v>
      </c>
      <c r="R38" s="23" t="s">
        <v>5</v>
      </c>
    </row>
    <row r="39" spans="2:18" ht="15.75" thickBot="1" x14ac:dyDescent="0.3"/>
    <row r="40" spans="2:18" x14ac:dyDescent="0.25">
      <c r="B40" s="48" t="s">
        <v>21</v>
      </c>
      <c r="C40" s="49"/>
      <c r="D40" s="49"/>
      <c r="E40" s="49"/>
      <c r="F40" s="50"/>
      <c r="H40" s="48" t="s">
        <v>21</v>
      </c>
      <c r="I40" s="49"/>
      <c r="J40" s="49"/>
      <c r="K40" s="49"/>
      <c r="L40" s="50"/>
      <c r="N40" s="48" t="s">
        <v>21</v>
      </c>
      <c r="O40" s="49"/>
      <c r="P40" s="49"/>
      <c r="Q40" s="49"/>
      <c r="R40" s="50"/>
    </row>
    <row r="41" spans="2:18" ht="15.75" thickBot="1" x14ac:dyDescent="0.3">
      <c r="B41" s="51" t="s">
        <v>20</v>
      </c>
      <c r="C41" s="52"/>
      <c r="D41" s="52"/>
      <c r="E41" s="52"/>
      <c r="F41" s="53"/>
      <c r="H41" s="51" t="s">
        <v>20</v>
      </c>
      <c r="I41" s="52"/>
      <c r="J41" s="52"/>
      <c r="K41" s="52"/>
      <c r="L41" s="53"/>
      <c r="N41" s="51" t="s">
        <v>20</v>
      </c>
      <c r="O41" s="52"/>
      <c r="P41" s="52"/>
      <c r="Q41" s="52"/>
      <c r="R41" s="53"/>
    </row>
    <row r="42" spans="2:18" x14ac:dyDescent="0.25">
      <c r="B42" s="45" t="s">
        <v>19</v>
      </c>
      <c r="C42" s="46"/>
      <c r="D42" s="46"/>
      <c r="E42" s="46"/>
      <c r="F42" s="47"/>
      <c r="H42" s="45" t="s">
        <v>19</v>
      </c>
      <c r="I42" s="46"/>
      <c r="J42" s="46"/>
      <c r="K42" s="46"/>
      <c r="L42" s="47"/>
      <c r="N42" s="45" t="s">
        <v>19</v>
      </c>
      <c r="O42" s="46"/>
      <c r="P42" s="46"/>
      <c r="Q42" s="46"/>
      <c r="R42" s="47"/>
    </row>
    <row r="43" spans="2:18" ht="15.75" thickBot="1" x14ac:dyDescent="0.3">
      <c r="B43" s="22" t="s">
        <v>18</v>
      </c>
      <c r="C43" s="20" t="s">
        <v>17</v>
      </c>
      <c r="D43" s="21" t="s">
        <v>16</v>
      </c>
      <c r="E43" s="20" t="s">
        <v>15</v>
      </c>
      <c r="F43" s="19" t="s">
        <v>14</v>
      </c>
      <c r="H43" s="22" t="s">
        <v>18</v>
      </c>
      <c r="I43" s="20" t="s">
        <v>17</v>
      </c>
      <c r="J43" s="21" t="s">
        <v>16</v>
      </c>
      <c r="K43" s="20" t="s">
        <v>15</v>
      </c>
      <c r="L43" s="19" t="s">
        <v>14</v>
      </c>
      <c r="N43" s="22" t="s">
        <v>18</v>
      </c>
      <c r="O43" s="20" t="s">
        <v>17</v>
      </c>
      <c r="P43" s="21" t="s">
        <v>16</v>
      </c>
      <c r="Q43" s="20" t="s">
        <v>15</v>
      </c>
      <c r="R43" s="19" t="s">
        <v>14</v>
      </c>
    </row>
    <row r="44" spans="2:18" x14ac:dyDescent="0.25">
      <c r="B44" s="54" t="s">
        <v>13</v>
      </c>
      <c r="C44" s="55"/>
      <c r="D44" s="55"/>
      <c r="E44" s="55"/>
      <c r="F44" s="56"/>
      <c r="H44" s="54" t="s">
        <v>13</v>
      </c>
      <c r="I44" s="55"/>
      <c r="J44" s="55"/>
      <c r="K44" s="55"/>
      <c r="L44" s="56"/>
      <c r="N44" s="45" t="s">
        <v>69</v>
      </c>
      <c r="O44" s="46"/>
      <c r="P44" s="46"/>
      <c r="Q44" s="46"/>
      <c r="R44" s="47"/>
    </row>
    <row r="45" spans="2:18" x14ac:dyDescent="0.25">
      <c r="B45" s="7"/>
      <c r="C45" s="18" t="s">
        <v>11</v>
      </c>
      <c r="D45" s="17"/>
      <c r="E45" s="16" t="s">
        <v>79</v>
      </c>
      <c r="F45" s="15"/>
      <c r="H45" s="7"/>
      <c r="I45" s="18" t="s">
        <v>11</v>
      </c>
      <c r="J45" s="17"/>
      <c r="K45" s="16" t="s">
        <v>86</v>
      </c>
      <c r="L45" s="15"/>
      <c r="N45" s="7"/>
      <c r="O45" s="18" t="s">
        <v>11</v>
      </c>
      <c r="P45" s="17"/>
      <c r="Q45" s="16" t="s">
        <v>99</v>
      </c>
      <c r="R45" s="15"/>
    </row>
    <row r="46" spans="2:18" x14ac:dyDescent="0.25">
      <c r="B46" s="7"/>
      <c r="C46" s="18" t="s">
        <v>8</v>
      </c>
      <c r="D46" s="17"/>
      <c r="E46" s="16" t="s">
        <v>80</v>
      </c>
      <c r="F46" s="15"/>
      <c r="H46" s="7"/>
      <c r="I46" s="18" t="s">
        <v>8</v>
      </c>
      <c r="J46" s="17"/>
      <c r="K46" s="16" t="s">
        <v>87</v>
      </c>
      <c r="L46" s="15"/>
      <c r="N46" s="7"/>
      <c r="O46" s="18" t="s">
        <v>8</v>
      </c>
      <c r="P46" s="17"/>
      <c r="Q46" s="16" t="s">
        <v>100</v>
      </c>
      <c r="R46" s="15"/>
    </row>
    <row r="47" spans="2:18" ht="15" hidden="1" customHeight="1" x14ac:dyDescent="0.25">
      <c r="B47" s="7"/>
      <c r="C47" s="18" t="s">
        <v>59</v>
      </c>
      <c r="D47" s="17"/>
      <c r="E47" s="16">
        <f>15*12*30</f>
        <v>5400</v>
      </c>
      <c r="F47" s="15" t="s">
        <v>56</v>
      </c>
      <c r="H47" s="7"/>
      <c r="I47" s="18" t="s">
        <v>59</v>
      </c>
      <c r="J47" s="17"/>
      <c r="K47" s="16">
        <f>15*12*30</f>
        <v>5400</v>
      </c>
      <c r="L47" s="15" t="s">
        <v>56</v>
      </c>
      <c r="N47" s="7"/>
      <c r="O47" s="18" t="s">
        <v>59</v>
      </c>
      <c r="P47" s="17"/>
      <c r="Q47" s="16">
        <f>15*12*30</f>
        <v>5400</v>
      </c>
      <c r="R47" s="15" t="s">
        <v>56</v>
      </c>
    </row>
    <row r="48" spans="2:18" ht="15" hidden="1" customHeight="1" x14ac:dyDescent="0.25">
      <c r="B48" s="7"/>
      <c r="C48" s="32" t="s">
        <v>58</v>
      </c>
      <c r="D48" s="5"/>
      <c r="E48" s="4">
        <v>120</v>
      </c>
      <c r="F48" s="3" t="s">
        <v>56</v>
      </c>
      <c r="H48" s="7"/>
      <c r="I48" s="32" t="s">
        <v>58</v>
      </c>
      <c r="J48" s="5"/>
      <c r="K48" s="4">
        <v>120</v>
      </c>
      <c r="L48" s="3" t="s">
        <v>56</v>
      </c>
      <c r="N48" s="7"/>
      <c r="O48" s="32" t="s">
        <v>58</v>
      </c>
      <c r="P48" s="5"/>
      <c r="Q48" s="4">
        <v>120</v>
      </c>
      <c r="R48" s="3" t="s">
        <v>56</v>
      </c>
    </row>
    <row r="49" spans="2:18" ht="15" hidden="1" customHeight="1" x14ac:dyDescent="0.25">
      <c r="B49" s="7"/>
      <c r="C49" s="6" t="s">
        <v>57</v>
      </c>
      <c r="D49" s="14"/>
      <c r="E49" s="31">
        <f>E47-E48-(E50+E52)/2*10</f>
        <v>5275</v>
      </c>
      <c r="F49" s="12" t="s">
        <v>56</v>
      </c>
      <c r="H49" s="7"/>
      <c r="I49" s="6" t="s">
        <v>57</v>
      </c>
      <c r="J49" s="14"/>
      <c r="K49" s="31" t="e">
        <f>K47-K48-(K50+K52)/2*10</f>
        <v>#REF!</v>
      </c>
      <c r="L49" s="12" t="s">
        <v>56</v>
      </c>
      <c r="N49" s="7"/>
      <c r="O49" s="6" t="s">
        <v>57</v>
      </c>
      <c r="P49" s="14"/>
      <c r="Q49" s="31">
        <f>Q47-Q48-(Q50+Q52)/2*10</f>
        <v>5275</v>
      </c>
      <c r="R49" s="12" t="s">
        <v>56</v>
      </c>
    </row>
    <row r="50" spans="2:18" ht="15" hidden="1" customHeight="1" x14ac:dyDescent="0.25">
      <c r="B50" s="7"/>
      <c r="C50" s="6" t="s">
        <v>55</v>
      </c>
      <c r="D50" s="14" t="s">
        <v>51</v>
      </c>
      <c r="E50" s="30">
        <f>((E48/E47)*45-E51)</f>
        <v>1</v>
      </c>
      <c r="F50" s="12" t="s">
        <v>50</v>
      </c>
      <c r="H50" s="7"/>
      <c r="I50" s="6" t="s">
        <v>55</v>
      </c>
      <c r="J50" s="14" t="s">
        <v>51</v>
      </c>
      <c r="K50" s="30">
        <f>((K48/K47)*45-K51)</f>
        <v>1</v>
      </c>
      <c r="L50" s="12" t="s">
        <v>50</v>
      </c>
      <c r="N50" s="7"/>
      <c r="O50" s="6" t="s">
        <v>55</v>
      </c>
      <c r="P50" s="14" t="s">
        <v>51</v>
      </c>
      <c r="Q50" s="30">
        <f>((Q48/Q47)*45-Q51)</f>
        <v>1</v>
      </c>
      <c r="R50" s="12" t="s">
        <v>50</v>
      </c>
    </row>
    <row r="51" spans="2:18" ht="15" hidden="1" customHeight="1" x14ac:dyDescent="0.25">
      <c r="B51" s="7"/>
      <c r="C51" s="6"/>
      <c r="D51" s="14" t="s">
        <v>54</v>
      </c>
      <c r="E51" s="29"/>
      <c r="F51" s="12" t="s">
        <v>53</v>
      </c>
      <c r="H51" s="7"/>
      <c r="I51" s="6"/>
      <c r="J51" s="14" t="s">
        <v>54</v>
      </c>
      <c r="K51" s="29"/>
      <c r="L51" s="12" t="s">
        <v>53</v>
      </c>
      <c r="N51" s="7"/>
      <c r="O51" s="6"/>
      <c r="P51" s="14" t="s">
        <v>54</v>
      </c>
      <c r="Q51" s="29"/>
      <c r="R51" s="12" t="s">
        <v>53</v>
      </c>
    </row>
    <row r="52" spans="2:18" ht="15" hidden="1" customHeight="1" x14ac:dyDescent="0.25">
      <c r="B52" s="7"/>
      <c r="C52" s="6" t="s">
        <v>52</v>
      </c>
      <c r="D52" s="14" t="s">
        <v>51</v>
      </c>
      <c r="E52" s="29">
        <f>'[1]Data Lingkungan_IC'!BA68</f>
        <v>0</v>
      </c>
      <c r="F52" s="12" t="s">
        <v>50</v>
      </c>
      <c r="H52" s="7"/>
      <c r="I52" s="6" t="s">
        <v>52</v>
      </c>
      <c r="J52" s="14" t="s">
        <v>51</v>
      </c>
      <c r="K52" s="29" t="e">
        <f>'[1]Data Lingkungan_IC'!AG108</f>
        <v>#REF!</v>
      </c>
      <c r="L52" s="12" t="s">
        <v>50</v>
      </c>
      <c r="N52" s="7"/>
      <c r="O52" s="6" t="s">
        <v>52</v>
      </c>
      <c r="P52" s="14" t="s">
        <v>51</v>
      </c>
      <c r="Q52" s="29">
        <f>'[1]Data Lingkungan_IC'!H63</f>
        <v>0</v>
      </c>
      <c r="R52" s="12" t="s">
        <v>50</v>
      </c>
    </row>
    <row r="53" spans="2:18" ht="15" hidden="1" customHeight="1" x14ac:dyDescent="0.25">
      <c r="B53" s="7"/>
      <c r="C53" s="6" t="s">
        <v>6</v>
      </c>
      <c r="D53" s="14"/>
      <c r="E53" s="13">
        <f>(E49/E47)</f>
        <v>0.97685185185185186</v>
      </c>
      <c r="F53" s="12" t="s">
        <v>5</v>
      </c>
      <c r="H53" s="7"/>
      <c r="I53" s="6" t="s">
        <v>6</v>
      </c>
      <c r="J53" s="14"/>
      <c r="K53" s="13" t="e">
        <f>(K49/K47)</f>
        <v>#REF!</v>
      </c>
      <c r="L53" s="12" t="s">
        <v>5</v>
      </c>
      <c r="N53" s="7"/>
      <c r="O53" s="6" t="s">
        <v>6</v>
      </c>
      <c r="P53" s="14"/>
      <c r="Q53" s="13">
        <f>(Q49/Q47)</f>
        <v>0.97685185185185186</v>
      </c>
      <c r="R53" s="12" t="s">
        <v>5</v>
      </c>
    </row>
    <row r="54" spans="2:18" x14ac:dyDescent="0.25">
      <c r="B54" s="11"/>
      <c r="C54" s="6" t="s">
        <v>4</v>
      </c>
      <c r="D54" s="10" t="s">
        <v>3</v>
      </c>
      <c r="E54" s="9" t="s">
        <v>49</v>
      </c>
      <c r="F54" s="8"/>
      <c r="H54" s="11"/>
      <c r="I54" s="6" t="s">
        <v>4</v>
      </c>
      <c r="J54" s="10" t="s">
        <v>3</v>
      </c>
      <c r="K54" s="9" t="s">
        <v>49</v>
      </c>
      <c r="L54" s="8"/>
      <c r="N54" s="11"/>
      <c r="O54" s="6" t="s">
        <v>4</v>
      </c>
      <c r="P54" s="10" t="s">
        <v>3</v>
      </c>
      <c r="Q54" s="9" t="s">
        <v>49</v>
      </c>
      <c r="R54" s="8"/>
    </row>
    <row r="55" spans="2:18" x14ac:dyDescent="0.25">
      <c r="B55" s="7"/>
      <c r="C55" s="6"/>
      <c r="D55" s="5" t="s">
        <v>1</v>
      </c>
      <c r="E55" s="4"/>
      <c r="F55" s="3" t="s">
        <v>48</v>
      </c>
      <c r="H55" s="7"/>
      <c r="I55" s="6"/>
      <c r="J55" s="5" t="s">
        <v>1</v>
      </c>
      <c r="K55" s="4"/>
      <c r="L55" s="3" t="s">
        <v>48</v>
      </c>
      <c r="N55" s="7"/>
      <c r="O55" s="6"/>
      <c r="P55" s="5" t="s">
        <v>1</v>
      </c>
      <c r="Q55" s="4"/>
      <c r="R55" s="3" t="s">
        <v>48</v>
      </c>
    </row>
    <row r="56" spans="2:18" ht="30" x14ac:dyDescent="0.25">
      <c r="B56" s="7"/>
      <c r="C56" s="28"/>
      <c r="D56" s="5" t="s">
        <v>47</v>
      </c>
      <c r="E56" s="4"/>
      <c r="F56" s="3" t="s">
        <v>144</v>
      </c>
      <c r="H56" s="7"/>
      <c r="I56" s="28"/>
      <c r="J56" s="5" t="s">
        <v>47</v>
      </c>
      <c r="K56" s="4"/>
      <c r="L56" s="3" t="s">
        <v>144</v>
      </c>
      <c r="N56" s="7"/>
      <c r="O56" s="28"/>
      <c r="P56" s="5" t="s">
        <v>47</v>
      </c>
      <c r="Q56" s="4"/>
      <c r="R56" s="3" t="s">
        <v>144</v>
      </c>
    </row>
    <row r="57" spans="2:18" ht="30.75" thickBot="1" x14ac:dyDescent="0.3">
      <c r="B57" s="27"/>
      <c r="C57" s="26"/>
      <c r="D57" s="25" t="s">
        <v>6</v>
      </c>
      <c r="E57" s="24">
        <v>1</v>
      </c>
      <c r="F57" s="23" t="s">
        <v>5</v>
      </c>
      <c r="H57" s="27"/>
      <c r="I57" s="26"/>
      <c r="J57" s="25" t="s">
        <v>6</v>
      </c>
      <c r="K57" s="24">
        <v>1</v>
      </c>
      <c r="L57" s="23" t="s">
        <v>5</v>
      </c>
      <c r="N57" s="27"/>
      <c r="O57" s="26"/>
      <c r="P57" s="25" t="s">
        <v>6</v>
      </c>
      <c r="Q57" s="24">
        <v>1</v>
      </c>
      <c r="R57" s="23" t="s">
        <v>5</v>
      </c>
    </row>
    <row r="58" spans="2:18" ht="15.75" thickBot="1" x14ac:dyDescent="0.3"/>
    <row r="59" spans="2:18" x14ac:dyDescent="0.25">
      <c r="B59" s="48" t="s">
        <v>21</v>
      </c>
      <c r="C59" s="49"/>
      <c r="D59" s="49"/>
      <c r="E59" s="49"/>
      <c r="F59" s="50"/>
      <c r="H59" s="48" t="s">
        <v>21</v>
      </c>
      <c r="I59" s="49"/>
      <c r="J59" s="49"/>
      <c r="K59" s="49"/>
      <c r="L59" s="50"/>
      <c r="N59" s="48" t="s">
        <v>21</v>
      </c>
      <c r="O59" s="49"/>
      <c r="P59" s="49"/>
      <c r="Q59" s="49"/>
      <c r="R59" s="50"/>
    </row>
    <row r="60" spans="2:18" ht="15.75" thickBot="1" x14ac:dyDescent="0.3">
      <c r="B60" s="51" t="s">
        <v>20</v>
      </c>
      <c r="C60" s="52"/>
      <c r="D60" s="52"/>
      <c r="E60" s="52"/>
      <c r="F60" s="53"/>
      <c r="H60" s="51" t="s">
        <v>20</v>
      </c>
      <c r="I60" s="52"/>
      <c r="J60" s="52"/>
      <c r="K60" s="52"/>
      <c r="L60" s="53"/>
      <c r="N60" s="51" t="s">
        <v>20</v>
      </c>
      <c r="O60" s="52"/>
      <c r="P60" s="52"/>
      <c r="Q60" s="52"/>
      <c r="R60" s="53"/>
    </row>
    <row r="61" spans="2:18" x14ac:dyDescent="0.25">
      <c r="B61" s="45" t="s">
        <v>19</v>
      </c>
      <c r="C61" s="46"/>
      <c r="D61" s="46"/>
      <c r="E61" s="46"/>
      <c r="F61" s="47"/>
      <c r="H61" s="45" t="s">
        <v>19</v>
      </c>
      <c r="I61" s="46"/>
      <c r="J61" s="46"/>
      <c r="K61" s="46"/>
      <c r="L61" s="47"/>
      <c r="N61" s="45" t="s">
        <v>19</v>
      </c>
      <c r="O61" s="46"/>
      <c r="P61" s="46"/>
      <c r="Q61" s="46"/>
      <c r="R61" s="47"/>
    </row>
    <row r="62" spans="2:18" ht="15.75" thickBot="1" x14ac:dyDescent="0.3">
      <c r="B62" s="22" t="s">
        <v>18</v>
      </c>
      <c r="C62" s="20" t="s">
        <v>17</v>
      </c>
      <c r="D62" s="21" t="s">
        <v>16</v>
      </c>
      <c r="E62" s="20" t="s">
        <v>15</v>
      </c>
      <c r="F62" s="19" t="s">
        <v>14</v>
      </c>
      <c r="H62" s="22" t="s">
        <v>18</v>
      </c>
      <c r="I62" s="20" t="s">
        <v>17</v>
      </c>
      <c r="J62" s="21" t="s">
        <v>16</v>
      </c>
      <c r="K62" s="20" t="s">
        <v>15</v>
      </c>
      <c r="L62" s="19" t="s">
        <v>14</v>
      </c>
      <c r="N62" s="22" t="s">
        <v>18</v>
      </c>
      <c r="O62" s="20" t="s">
        <v>17</v>
      </c>
      <c r="P62" s="21" t="s">
        <v>16</v>
      </c>
      <c r="Q62" s="20" t="s">
        <v>15</v>
      </c>
      <c r="R62" s="19" t="s">
        <v>14</v>
      </c>
    </row>
    <row r="63" spans="2:18" x14ac:dyDescent="0.25">
      <c r="B63" s="54" t="s">
        <v>13</v>
      </c>
      <c r="C63" s="55"/>
      <c r="D63" s="55"/>
      <c r="E63" s="55"/>
      <c r="F63" s="56"/>
      <c r="H63" s="54" t="s">
        <v>13</v>
      </c>
      <c r="I63" s="55"/>
      <c r="J63" s="55"/>
      <c r="K63" s="55"/>
      <c r="L63" s="56"/>
      <c r="N63" s="54" t="s">
        <v>13</v>
      </c>
      <c r="O63" s="55"/>
      <c r="P63" s="55"/>
      <c r="Q63" s="55"/>
      <c r="R63" s="56"/>
    </row>
    <row r="64" spans="2:18" x14ac:dyDescent="0.25">
      <c r="B64" s="7"/>
      <c r="C64" s="18" t="s">
        <v>11</v>
      </c>
      <c r="D64" s="17"/>
      <c r="E64" s="16" t="s">
        <v>74</v>
      </c>
      <c r="F64" s="15"/>
      <c r="H64" s="7"/>
      <c r="I64" s="18" t="s">
        <v>11</v>
      </c>
      <c r="J64" s="17"/>
      <c r="K64" s="16" t="s">
        <v>89</v>
      </c>
      <c r="L64" s="15"/>
      <c r="N64" s="7"/>
      <c r="O64" s="18" t="s">
        <v>11</v>
      </c>
      <c r="P64" s="17"/>
      <c r="Q64" s="16" t="s">
        <v>101</v>
      </c>
      <c r="R64" s="15"/>
    </row>
    <row r="65" spans="2:18" x14ac:dyDescent="0.25">
      <c r="B65" s="7"/>
      <c r="C65" s="18" t="s">
        <v>8</v>
      </c>
      <c r="D65" s="17"/>
      <c r="E65" s="16" t="s">
        <v>71</v>
      </c>
      <c r="F65" s="15"/>
      <c r="H65" s="7"/>
      <c r="I65" s="18" t="s">
        <v>8</v>
      </c>
      <c r="J65" s="17"/>
      <c r="K65" s="16" t="s">
        <v>60</v>
      </c>
      <c r="L65" s="15"/>
      <c r="N65" s="7"/>
      <c r="O65" s="18" t="s">
        <v>8</v>
      </c>
      <c r="P65" s="17"/>
      <c r="Q65" s="16" t="s">
        <v>102</v>
      </c>
      <c r="R65" s="15"/>
    </row>
    <row r="66" spans="2:18" ht="15" hidden="1" customHeight="1" x14ac:dyDescent="0.25">
      <c r="B66" s="7"/>
      <c r="C66" s="18" t="s">
        <v>59</v>
      </c>
      <c r="D66" s="17"/>
      <c r="E66" s="16">
        <f>15*12*30</f>
        <v>5400</v>
      </c>
      <c r="F66" s="15" t="s">
        <v>56</v>
      </c>
      <c r="H66" s="7"/>
      <c r="I66" s="18" t="s">
        <v>59</v>
      </c>
      <c r="J66" s="17"/>
      <c r="K66" s="16">
        <f>15*12*30</f>
        <v>5400</v>
      </c>
      <c r="L66" s="15" t="s">
        <v>56</v>
      </c>
      <c r="N66" s="7"/>
      <c r="O66" s="18" t="s">
        <v>59</v>
      </c>
      <c r="P66" s="17"/>
      <c r="Q66" s="16">
        <f>15*12*30</f>
        <v>5400</v>
      </c>
      <c r="R66" s="15" t="s">
        <v>56</v>
      </c>
    </row>
    <row r="67" spans="2:18" ht="15" hidden="1" customHeight="1" x14ac:dyDescent="0.25">
      <c r="B67" s="7"/>
      <c r="C67" s="32" t="s">
        <v>58</v>
      </c>
      <c r="D67" s="5"/>
      <c r="E67" s="4">
        <v>120</v>
      </c>
      <c r="F67" s="3" t="s">
        <v>56</v>
      </c>
      <c r="H67" s="7"/>
      <c r="I67" s="32" t="s">
        <v>58</v>
      </c>
      <c r="J67" s="5"/>
      <c r="K67" s="4">
        <v>120</v>
      </c>
      <c r="L67" s="3" t="s">
        <v>56</v>
      </c>
      <c r="N67" s="7"/>
      <c r="O67" s="32" t="s">
        <v>58</v>
      </c>
      <c r="P67" s="5"/>
      <c r="Q67" s="4">
        <v>120</v>
      </c>
      <c r="R67" s="3" t="s">
        <v>56</v>
      </c>
    </row>
    <row r="68" spans="2:18" ht="15" hidden="1" customHeight="1" x14ac:dyDescent="0.25">
      <c r="B68" s="7"/>
      <c r="C68" s="6" t="s">
        <v>57</v>
      </c>
      <c r="D68" s="14"/>
      <c r="E68" s="31">
        <f>E66-E67-(E69+E71)/2*10</f>
        <v>5275</v>
      </c>
      <c r="F68" s="12" t="s">
        <v>56</v>
      </c>
      <c r="H68" s="7"/>
      <c r="I68" s="6" t="s">
        <v>57</v>
      </c>
      <c r="J68" s="14"/>
      <c r="K68" s="31">
        <f>K66-K67-(K69+K71)/2*10</f>
        <v>5275</v>
      </c>
      <c r="L68" s="12" t="s">
        <v>56</v>
      </c>
      <c r="N68" s="7"/>
      <c r="O68" s="6" t="s">
        <v>57</v>
      </c>
      <c r="P68" s="14"/>
      <c r="Q68" s="31">
        <f>Q66-Q67-(Q69+Q71)/2*10</f>
        <v>5275</v>
      </c>
      <c r="R68" s="12" t="s">
        <v>56</v>
      </c>
    </row>
    <row r="69" spans="2:18" ht="15" hidden="1" customHeight="1" x14ac:dyDescent="0.25">
      <c r="B69" s="7"/>
      <c r="C69" s="6" t="s">
        <v>55</v>
      </c>
      <c r="D69" s="14" t="s">
        <v>51</v>
      </c>
      <c r="E69" s="30">
        <f>((E67/E66)*45-E70)</f>
        <v>1</v>
      </c>
      <c r="F69" s="12" t="s">
        <v>50</v>
      </c>
      <c r="H69" s="7"/>
      <c r="I69" s="6" t="s">
        <v>55</v>
      </c>
      <c r="J69" s="14" t="s">
        <v>51</v>
      </c>
      <c r="K69" s="30">
        <f>((K67/K66)*45-K70)</f>
        <v>1</v>
      </c>
      <c r="L69" s="12" t="s">
        <v>50</v>
      </c>
      <c r="N69" s="7"/>
      <c r="O69" s="6" t="s">
        <v>55</v>
      </c>
      <c r="P69" s="14" t="s">
        <v>51</v>
      </c>
      <c r="Q69" s="30">
        <f>((Q67/Q66)*45-Q70)</f>
        <v>1</v>
      </c>
      <c r="R69" s="12" t="s">
        <v>50</v>
      </c>
    </row>
    <row r="70" spans="2:18" ht="15" hidden="1" customHeight="1" x14ac:dyDescent="0.25">
      <c r="B70" s="7"/>
      <c r="C70" s="6"/>
      <c r="D70" s="14" t="s">
        <v>54</v>
      </c>
      <c r="E70" s="29"/>
      <c r="F70" s="12" t="s">
        <v>53</v>
      </c>
      <c r="H70" s="7"/>
      <c r="I70" s="6"/>
      <c r="J70" s="14" t="s">
        <v>54</v>
      </c>
      <c r="K70" s="29"/>
      <c r="L70" s="12" t="s">
        <v>53</v>
      </c>
      <c r="N70" s="7"/>
      <c r="O70" s="6"/>
      <c r="P70" s="14" t="s">
        <v>54</v>
      </c>
      <c r="Q70" s="29"/>
      <c r="R70" s="12" t="s">
        <v>53</v>
      </c>
    </row>
    <row r="71" spans="2:18" ht="15" hidden="1" customHeight="1" x14ac:dyDescent="0.25">
      <c r="B71" s="7"/>
      <c r="C71" s="6" t="s">
        <v>52</v>
      </c>
      <c r="D71" s="14" t="s">
        <v>51</v>
      </c>
      <c r="E71" s="29">
        <f>'[1]Data Lingkungan_IC'!BJ64</f>
        <v>0</v>
      </c>
      <c r="F71" s="12" t="s">
        <v>50</v>
      </c>
      <c r="H71" s="7"/>
      <c r="I71" s="6" t="s">
        <v>52</v>
      </c>
      <c r="J71" s="14" t="s">
        <v>51</v>
      </c>
      <c r="K71" s="29">
        <f>'[1]Data Lingkungan_IC'!DC68</f>
        <v>0</v>
      </c>
      <c r="L71" s="12" t="s">
        <v>50</v>
      </c>
      <c r="N71" s="7"/>
      <c r="O71" s="6" t="s">
        <v>52</v>
      </c>
      <c r="P71" s="14" t="s">
        <v>51</v>
      </c>
      <c r="Q71" s="29">
        <f>'[1]Data Lingkungan_IC'!CT63</f>
        <v>0</v>
      </c>
      <c r="R71" s="12" t="s">
        <v>50</v>
      </c>
    </row>
    <row r="72" spans="2:18" ht="15" hidden="1" customHeight="1" x14ac:dyDescent="0.25">
      <c r="B72" s="7"/>
      <c r="C72" s="6" t="s">
        <v>6</v>
      </c>
      <c r="D72" s="14"/>
      <c r="E72" s="13">
        <f>(E68/E66)</f>
        <v>0.97685185185185186</v>
      </c>
      <c r="F72" s="12" t="s">
        <v>5</v>
      </c>
      <c r="H72" s="7"/>
      <c r="I72" s="6" t="s">
        <v>6</v>
      </c>
      <c r="J72" s="14"/>
      <c r="K72" s="13">
        <f>(K68/K66)</f>
        <v>0.97685185185185186</v>
      </c>
      <c r="L72" s="12" t="s">
        <v>5</v>
      </c>
      <c r="N72" s="7"/>
      <c r="O72" s="6" t="s">
        <v>6</v>
      </c>
      <c r="P72" s="14"/>
      <c r="Q72" s="13">
        <f>(Q68/Q66)</f>
        <v>0.97685185185185186</v>
      </c>
      <c r="R72" s="12" t="s">
        <v>5</v>
      </c>
    </row>
    <row r="73" spans="2:18" ht="15" customHeight="1" x14ac:dyDescent="0.25">
      <c r="B73" s="11"/>
      <c r="C73" s="6" t="s">
        <v>4</v>
      </c>
      <c r="D73" s="10" t="s">
        <v>3</v>
      </c>
      <c r="E73" s="9" t="s">
        <v>49</v>
      </c>
      <c r="F73" s="8"/>
      <c r="H73" s="11"/>
      <c r="I73" s="6" t="s">
        <v>4</v>
      </c>
      <c r="J73" s="10" t="s">
        <v>3</v>
      </c>
      <c r="K73" s="9" t="s">
        <v>49</v>
      </c>
      <c r="L73" s="8"/>
      <c r="N73" s="11"/>
      <c r="O73" s="6" t="s">
        <v>4</v>
      </c>
      <c r="P73" s="10" t="s">
        <v>3</v>
      </c>
      <c r="Q73" s="9" t="s">
        <v>49</v>
      </c>
      <c r="R73" s="8"/>
    </row>
    <row r="74" spans="2:18" x14ac:dyDescent="0.25">
      <c r="B74" s="7"/>
      <c r="C74" s="6"/>
      <c r="D74" s="5" t="s">
        <v>1</v>
      </c>
      <c r="E74" s="4"/>
      <c r="F74" s="3" t="s">
        <v>48</v>
      </c>
      <c r="H74" s="7"/>
      <c r="I74" s="6"/>
      <c r="J74" s="5" t="s">
        <v>1</v>
      </c>
      <c r="K74" s="4"/>
      <c r="L74" s="3" t="s">
        <v>48</v>
      </c>
      <c r="N74" s="7"/>
      <c r="O74" s="6"/>
      <c r="P74" s="5" t="s">
        <v>1</v>
      </c>
      <c r="Q74" s="4"/>
      <c r="R74" s="3" t="s">
        <v>48</v>
      </c>
    </row>
    <row r="75" spans="2:18" ht="30" x14ac:dyDescent="0.25">
      <c r="B75" s="7"/>
      <c r="C75" s="28"/>
      <c r="D75" s="5" t="s">
        <v>47</v>
      </c>
      <c r="E75" s="4"/>
      <c r="F75" s="3" t="s">
        <v>144</v>
      </c>
      <c r="H75" s="7"/>
      <c r="I75" s="28"/>
      <c r="J75" s="5" t="s">
        <v>47</v>
      </c>
      <c r="K75" s="4"/>
      <c r="L75" s="3" t="s">
        <v>144</v>
      </c>
      <c r="N75" s="7"/>
      <c r="O75" s="28"/>
      <c r="P75" s="5" t="s">
        <v>47</v>
      </c>
      <c r="Q75" s="4"/>
      <c r="R75" s="3" t="s">
        <v>144</v>
      </c>
    </row>
    <row r="76" spans="2:18" ht="30.75" thickBot="1" x14ac:dyDescent="0.3">
      <c r="B76" s="27"/>
      <c r="C76" s="26"/>
      <c r="D76" s="25" t="s">
        <v>6</v>
      </c>
      <c r="E76" s="24">
        <v>1</v>
      </c>
      <c r="F76" s="23" t="s">
        <v>5</v>
      </c>
      <c r="H76" s="27"/>
      <c r="I76" s="26"/>
      <c r="J76" s="25" t="s">
        <v>6</v>
      </c>
      <c r="K76" s="24">
        <v>1</v>
      </c>
      <c r="L76" s="23" t="s">
        <v>5</v>
      </c>
      <c r="N76" s="27"/>
      <c r="O76" s="26"/>
      <c r="P76" s="25" t="s">
        <v>6</v>
      </c>
      <c r="Q76" s="24">
        <v>1</v>
      </c>
      <c r="R76" s="23" t="s">
        <v>5</v>
      </c>
    </row>
    <row r="77" spans="2:18" ht="15.75" thickBot="1" x14ac:dyDescent="0.3"/>
    <row r="78" spans="2:18" x14ac:dyDescent="0.25">
      <c r="B78" s="48" t="s">
        <v>21</v>
      </c>
      <c r="C78" s="49"/>
      <c r="D78" s="49"/>
      <c r="E78" s="49"/>
      <c r="F78" s="50"/>
      <c r="H78" s="48" t="s">
        <v>21</v>
      </c>
      <c r="I78" s="49"/>
      <c r="J78" s="49"/>
      <c r="K78" s="49"/>
      <c r="L78" s="50"/>
      <c r="N78" s="48" t="s">
        <v>21</v>
      </c>
      <c r="O78" s="49"/>
      <c r="P78" s="49"/>
      <c r="Q78" s="49"/>
      <c r="R78" s="50"/>
    </row>
    <row r="79" spans="2:18" ht="15.75" thickBot="1" x14ac:dyDescent="0.3">
      <c r="B79" s="51" t="s">
        <v>20</v>
      </c>
      <c r="C79" s="52"/>
      <c r="D79" s="52"/>
      <c r="E79" s="52"/>
      <c r="F79" s="53"/>
      <c r="H79" s="51" t="s">
        <v>20</v>
      </c>
      <c r="I79" s="52"/>
      <c r="J79" s="52"/>
      <c r="K79" s="52"/>
      <c r="L79" s="53"/>
      <c r="N79" s="51" t="s">
        <v>20</v>
      </c>
      <c r="O79" s="52"/>
      <c r="P79" s="52"/>
      <c r="Q79" s="52"/>
      <c r="R79" s="53"/>
    </row>
    <row r="80" spans="2:18" x14ac:dyDescent="0.25">
      <c r="B80" s="45" t="s">
        <v>19</v>
      </c>
      <c r="C80" s="46"/>
      <c r="D80" s="46"/>
      <c r="E80" s="46"/>
      <c r="F80" s="47"/>
      <c r="H80" s="45" t="s">
        <v>19</v>
      </c>
      <c r="I80" s="46"/>
      <c r="J80" s="46"/>
      <c r="K80" s="46"/>
      <c r="L80" s="47"/>
      <c r="N80" s="45" t="s">
        <v>19</v>
      </c>
      <c r="O80" s="46"/>
      <c r="P80" s="46"/>
      <c r="Q80" s="46"/>
      <c r="R80" s="47"/>
    </row>
    <row r="81" spans="2:18" ht="15.75" thickBot="1" x14ac:dyDescent="0.3">
      <c r="B81" s="22" t="s">
        <v>18</v>
      </c>
      <c r="C81" s="20" t="s">
        <v>17</v>
      </c>
      <c r="D81" s="21" t="s">
        <v>16</v>
      </c>
      <c r="E81" s="20" t="s">
        <v>15</v>
      </c>
      <c r="F81" s="19" t="s">
        <v>14</v>
      </c>
      <c r="H81" s="22" t="s">
        <v>18</v>
      </c>
      <c r="I81" s="20" t="s">
        <v>17</v>
      </c>
      <c r="J81" s="21" t="s">
        <v>16</v>
      </c>
      <c r="K81" s="20" t="s">
        <v>15</v>
      </c>
      <c r="L81" s="19" t="s">
        <v>14</v>
      </c>
      <c r="N81" s="22" t="s">
        <v>18</v>
      </c>
      <c r="O81" s="20" t="s">
        <v>17</v>
      </c>
      <c r="P81" s="21" t="s">
        <v>16</v>
      </c>
      <c r="Q81" s="20" t="s">
        <v>15</v>
      </c>
      <c r="R81" s="19" t="s">
        <v>14</v>
      </c>
    </row>
    <row r="82" spans="2:18" x14ac:dyDescent="0.25">
      <c r="B82" s="54" t="s">
        <v>13</v>
      </c>
      <c r="C82" s="55"/>
      <c r="D82" s="55"/>
      <c r="E82" s="55"/>
      <c r="F82" s="56"/>
      <c r="H82" s="54" t="s">
        <v>13</v>
      </c>
      <c r="I82" s="55"/>
      <c r="J82" s="55"/>
      <c r="K82" s="55"/>
      <c r="L82" s="56"/>
      <c r="N82" s="54" t="s">
        <v>13</v>
      </c>
      <c r="O82" s="55"/>
      <c r="P82" s="55"/>
      <c r="Q82" s="55"/>
      <c r="R82" s="56"/>
    </row>
    <row r="83" spans="2:18" x14ac:dyDescent="0.25">
      <c r="B83" s="7"/>
      <c r="C83" s="18" t="s">
        <v>11</v>
      </c>
      <c r="D83" s="17"/>
      <c r="E83" s="16" t="s">
        <v>81</v>
      </c>
      <c r="F83" s="15"/>
      <c r="H83" s="7"/>
      <c r="I83" s="18" t="s">
        <v>11</v>
      </c>
      <c r="J83" s="17"/>
      <c r="K83" s="16" t="s">
        <v>90</v>
      </c>
      <c r="L83" s="15"/>
      <c r="N83" s="7"/>
      <c r="O83" s="18" t="s">
        <v>11</v>
      </c>
      <c r="P83" s="17"/>
      <c r="Q83" s="16" t="s">
        <v>103</v>
      </c>
      <c r="R83" s="15"/>
    </row>
    <row r="84" spans="2:18" x14ac:dyDescent="0.25">
      <c r="B84" s="7"/>
      <c r="C84" s="18" t="s">
        <v>8</v>
      </c>
      <c r="D84" s="17"/>
      <c r="E84" s="16" t="s">
        <v>82</v>
      </c>
      <c r="F84" s="15"/>
      <c r="H84" s="7"/>
      <c r="I84" s="18" t="s">
        <v>8</v>
      </c>
      <c r="J84" s="17"/>
      <c r="K84" s="16" t="s">
        <v>64</v>
      </c>
      <c r="L84" s="15"/>
      <c r="N84" s="7"/>
      <c r="O84" s="18" t="s">
        <v>8</v>
      </c>
      <c r="P84" s="17"/>
      <c r="Q84" s="16" t="s">
        <v>70</v>
      </c>
      <c r="R84" s="15"/>
    </row>
    <row r="85" spans="2:18" ht="15" hidden="1" customHeight="1" x14ac:dyDescent="0.25">
      <c r="B85" s="7"/>
      <c r="C85" s="18" t="s">
        <v>59</v>
      </c>
      <c r="D85" s="17"/>
      <c r="E85" s="16">
        <f>15*12*30</f>
        <v>5400</v>
      </c>
      <c r="F85" s="15" t="s">
        <v>56</v>
      </c>
      <c r="H85" s="7"/>
      <c r="I85" s="18" t="s">
        <v>59</v>
      </c>
      <c r="J85" s="17"/>
      <c r="K85" s="16">
        <f>15*12*30</f>
        <v>5400</v>
      </c>
      <c r="L85" s="15" t="s">
        <v>56</v>
      </c>
      <c r="N85" s="7"/>
      <c r="O85" s="18" t="s">
        <v>59</v>
      </c>
      <c r="P85" s="17"/>
      <c r="Q85" s="16">
        <f>15*12*30</f>
        <v>5400</v>
      </c>
      <c r="R85" s="15" t="s">
        <v>56</v>
      </c>
    </row>
    <row r="86" spans="2:18" ht="15" hidden="1" customHeight="1" x14ac:dyDescent="0.25">
      <c r="B86" s="7"/>
      <c r="C86" s="32" t="s">
        <v>58</v>
      </c>
      <c r="D86" s="5"/>
      <c r="E86" s="4">
        <v>120</v>
      </c>
      <c r="F86" s="3" t="s">
        <v>56</v>
      </c>
      <c r="H86" s="7"/>
      <c r="I86" s="32" t="s">
        <v>58</v>
      </c>
      <c r="J86" s="5"/>
      <c r="K86" s="4">
        <v>120</v>
      </c>
      <c r="L86" s="3" t="s">
        <v>56</v>
      </c>
      <c r="N86" s="7"/>
      <c r="O86" s="32" t="s">
        <v>58</v>
      </c>
      <c r="P86" s="5"/>
      <c r="Q86" s="4">
        <v>120</v>
      </c>
      <c r="R86" s="3" t="s">
        <v>56</v>
      </c>
    </row>
    <row r="87" spans="2:18" ht="15" hidden="1" customHeight="1" x14ac:dyDescent="0.25">
      <c r="B87" s="7"/>
      <c r="C87" s="6" t="s">
        <v>57</v>
      </c>
      <c r="D87" s="14"/>
      <c r="E87" s="31">
        <f>E85-E86-(E88+E90)/2*10</f>
        <v>5275</v>
      </c>
      <c r="F87" s="12" t="s">
        <v>56</v>
      </c>
      <c r="H87" s="7"/>
      <c r="I87" s="6" t="s">
        <v>57</v>
      </c>
      <c r="J87" s="14"/>
      <c r="K87" s="31">
        <f>K85-K86-(K88+K90)/2*10</f>
        <v>5275</v>
      </c>
      <c r="L87" s="12" t="s">
        <v>56</v>
      </c>
      <c r="N87" s="7"/>
      <c r="O87" s="6" t="s">
        <v>57</v>
      </c>
      <c r="P87" s="14"/>
      <c r="Q87" s="31">
        <f>Q85-Q86-(Q88+Q90)/2*10</f>
        <v>5275</v>
      </c>
      <c r="R87" s="12" t="s">
        <v>56</v>
      </c>
    </row>
    <row r="88" spans="2:18" ht="15" hidden="1" customHeight="1" x14ac:dyDescent="0.25">
      <c r="B88" s="7"/>
      <c r="C88" s="6" t="s">
        <v>55</v>
      </c>
      <c r="D88" s="14" t="s">
        <v>51</v>
      </c>
      <c r="E88" s="30">
        <f>((E86/E85)*45-E89)</f>
        <v>1</v>
      </c>
      <c r="F88" s="12" t="s">
        <v>50</v>
      </c>
      <c r="H88" s="7"/>
      <c r="I88" s="6" t="s">
        <v>55</v>
      </c>
      <c r="J88" s="14" t="s">
        <v>51</v>
      </c>
      <c r="K88" s="30">
        <f>((K86/K85)*45-K89)</f>
        <v>1</v>
      </c>
      <c r="L88" s="12" t="s">
        <v>50</v>
      </c>
      <c r="N88" s="7"/>
      <c r="O88" s="6" t="s">
        <v>55</v>
      </c>
      <c r="P88" s="14" t="s">
        <v>51</v>
      </c>
      <c r="Q88" s="30">
        <f>((Q86/Q85)*45-Q89)</f>
        <v>1</v>
      </c>
      <c r="R88" s="12" t="s">
        <v>50</v>
      </c>
    </row>
    <row r="89" spans="2:18" ht="15" hidden="1" customHeight="1" x14ac:dyDescent="0.25">
      <c r="B89" s="7"/>
      <c r="C89" s="6"/>
      <c r="D89" s="14" t="s">
        <v>54</v>
      </c>
      <c r="E89" s="29"/>
      <c r="F89" s="12" t="s">
        <v>53</v>
      </c>
      <c r="H89" s="7"/>
      <c r="I89" s="6"/>
      <c r="J89" s="14" t="s">
        <v>54</v>
      </c>
      <c r="K89" s="29"/>
      <c r="L89" s="12" t="s">
        <v>53</v>
      </c>
      <c r="N89" s="7"/>
      <c r="O89" s="6"/>
      <c r="P89" s="14" t="s">
        <v>54</v>
      </c>
      <c r="Q89" s="29"/>
      <c r="R89" s="12" t="s">
        <v>53</v>
      </c>
    </row>
    <row r="90" spans="2:18" ht="15" hidden="1" customHeight="1" x14ac:dyDescent="0.25">
      <c r="B90" s="7"/>
      <c r="C90" s="6" t="s">
        <v>52</v>
      </c>
      <c r="D90" s="14" t="s">
        <v>51</v>
      </c>
      <c r="E90" s="29">
        <f>'[1]Data Lingkungan_IC'!BS65</f>
        <v>0</v>
      </c>
      <c r="F90" s="12" t="s">
        <v>50</v>
      </c>
      <c r="H90" s="7"/>
      <c r="I90" s="6" t="s">
        <v>52</v>
      </c>
      <c r="J90" s="14" t="s">
        <v>51</v>
      </c>
      <c r="K90" s="29">
        <f>'[1]Data Lingkungan_IC'!DU66</f>
        <v>0</v>
      </c>
      <c r="L90" s="12" t="s">
        <v>50</v>
      </c>
      <c r="N90" s="7"/>
      <c r="O90" s="6" t="s">
        <v>52</v>
      </c>
      <c r="P90" s="14" t="s">
        <v>51</v>
      </c>
      <c r="Q90" s="29">
        <f>'[1]Data Lingkungan_IC'!DC67</f>
        <v>0</v>
      </c>
      <c r="R90" s="12" t="s">
        <v>50</v>
      </c>
    </row>
    <row r="91" spans="2:18" ht="15" hidden="1" customHeight="1" x14ac:dyDescent="0.25">
      <c r="B91" s="7"/>
      <c r="C91" s="6" t="s">
        <v>6</v>
      </c>
      <c r="D91" s="14"/>
      <c r="E91" s="13">
        <f>(E87/E85)</f>
        <v>0.97685185185185186</v>
      </c>
      <c r="F91" s="12" t="s">
        <v>5</v>
      </c>
      <c r="H91" s="7"/>
      <c r="I91" s="6" t="s">
        <v>6</v>
      </c>
      <c r="J91" s="14"/>
      <c r="K91" s="13">
        <f>(K87/K85)</f>
        <v>0.97685185185185186</v>
      </c>
      <c r="L91" s="12" t="s">
        <v>5</v>
      </c>
      <c r="N91" s="7"/>
      <c r="O91" s="6" t="s">
        <v>6</v>
      </c>
      <c r="P91" s="14"/>
      <c r="Q91" s="13">
        <f>(Q87/Q85)</f>
        <v>0.97685185185185186</v>
      </c>
      <c r="R91" s="12" t="s">
        <v>5</v>
      </c>
    </row>
    <row r="92" spans="2:18" ht="15" customHeight="1" x14ac:dyDescent="0.25">
      <c r="B92" s="11"/>
      <c r="C92" s="6" t="s">
        <v>4</v>
      </c>
      <c r="D92" s="10" t="s">
        <v>3</v>
      </c>
      <c r="E92" s="9" t="s">
        <v>49</v>
      </c>
      <c r="F92" s="8"/>
      <c r="H92" s="11"/>
      <c r="I92" s="6" t="s">
        <v>4</v>
      </c>
      <c r="J92" s="10" t="s">
        <v>3</v>
      </c>
      <c r="K92" s="9" t="s">
        <v>49</v>
      </c>
      <c r="L92" s="8"/>
      <c r="N92" s="11"/>
      <c r="O92" s="6" t="s">
        <v>4</v>
      </c>
      <c r="P92" s="10" t="s">
        <v>3</v>
      </c>
      <c r="Q92" s="9" t="s">
        <v>49</v>
      </c>
      <c r="R92" s="8"/>
    </row>
    <row r="93" spans="2:18" x14ac:dyDescent="0.25">
      <c r="B93" s="7"/>
      <c r="C93" s="6"/>
      <c r="D93" s="5" t="s">
        <v>1</v>
      </c>
      <c r="E93" s="4"/>
      <c r="F93" s="3" t="s">
        <v>48</v>
      </c>
      <c r="H93" s="7"/>
      <c r="I93" s="6"/>
      <c r="J93" s="5" t="s">
        <v>1</v>
      </c>
      <c r="K93" s="4"/>
      <c r="L93" s="3" t="s">
        <v>48</v>
      </c>
      <c r="N93" s="7"/>
      <c r="O93" s="6"/>
      <c r="P93" s="5" t="s">
        <v>1</v>
      </c>
      <c r="Q93" s="4"/>
      <c r="R93" s="3" t="s">
        <v>48</v>
      </c>
    </row>
    <row r="94" spans="2:18" ht="30" x14ac:dyDescent="0.25">
      <c r="B94" s="7"/>
      <c r="C94" s="28"/>
      <c r="D94" s="5" t="s">
        <v>47</v>
      </c>
      <c r="E94" s="4"/>
      <c r="F94" s="3" t="s">
        <v>144</v>
      </c>
      <c r="H94" s="7"/>
      <c r="I94" s="28"/>
      <c r="J94" s="5" t="s">
        <v>47</v>
      </c>
      <c r="K94" s="4"/>
      <c r="L94" s="3" t="s">
        <v>144</v>
      </c>
      <c r="N94" s="7"/>
      <c r="O94" s="28"/>
      <c r="P94" s="5" t="s">
        <v>47</v>
      </c>
      <c r="Q94" s="4"/>
      <c r="R94" s="3" t="s">
        <v>144</v>
      </c>
    </row>
    <row r="95" spans="2:18" ht="30.75" thickBot="1" x14ac:dyDescent="0.3">
      <c r="B95" s="27"/>
      <c r="C95" s="26"/>
      <c r="D95" s="25" t="s">
        <v>6</v>
      </c>
      <c r="E95" s="24">
        <v>1</v>
      </c>
      <c r="F95" s="23" t="s">
        <v>5</v>
      </c>
      <c r="H95" s="27"/>
      <c r="I95" s="26"/>
      <c r="J95" s="25" t="s">
        <v>6</v>
      </c>
      <c r="K95" s="24">
        <v>1</v>
      </c>
      <c r="L95" s="23" t="s">
        <v>5</v>
      </c>
      <c r="N95" s="27"/>
      <c r="O95" s="26"/>
      <c r="P95" s="25" t="s">
        <v>6</v>
      </c>
      <c r="Q95" s="24">
        <v>1</v>
      </c>
      <c r="R95" s="23" t="s">
        <v>5</v>
      </c>
    </row>
    <row r="96" spans="2:18" ht="15.75" thickBot="1" x14ac:dyDescent="0.3"/>
    <row r="97" spans="2:18" x14ac:dyDescent="0.25">
      <c r="B97" s="48" t="s">
        <v>21</v>
      </c>
      <c r="C97" s="49"/>
      <c r="D97" s="49"/>
      <c r="E97" s="49"/>
      <c r="F97" s="50"/>
      <c r="H97" s="48" t="s">
        <v>21</v>
      </c>
      <c r="I97" s="49"/>
      <c r="J97" s="49"/>
      <c r="K97" s="49"/>
      <c r="L97" s="50"/>
      <c r="N97" s="48" t="s">
        <v>21</v>
      </c>
      <c r="O97" s="49"/>
      <c r="P97" s="49"/>
      <c r="Q97" s="49"/>
      <c r="R97" s="50"/>
    </row>
    <row r="98" spans="2:18" ht="15.75" thickBot="1" x14ac:dyDescent="0.3">
      <c r="B98" s="51" t="s">
        <v>20</v>
      </c>
      <c r="C98" s="52"/>
      <c r="D98" s="52"/>
      <c r="E98" s="52"/>
      <c r="F98" s="53"/>
      <c r="H98" s="51" t="s">
        <v>20</v>
      </c>
      <c r="I98" s="52"/>
      <c r="J98" s="52"/>
      <c r="K98" s="52"/>
      <c r="L98" s="53"/>
      <c r="N98" s="51" t="s">
        <v>20</v>
      </c>
      <c r="O98" s="52"/>
      <c r="P98" s="52"/>
      <c r="Q98" s="52"/>
      <c r="R98" s="53"/>
    </row>
    <row r="99" spans="2:18" x14ac:dyDescent="0.25">
      <c r="B99" s="45" t="s">
        <v>19</v>
      </c>
      <c r="C99" s="46"/>
      <c r="D99" s="46"/>
      <c r="E99" s="46"/>
      <c r="F99" s="47"/>
      <c r="H99" s="45" t="s">
        <v>19</v>
      </c>
      <c r="I99" s="46"/>
      <c r="J99" s="46"/>
      <c r="K99" s="46"/>
      <c r="L99" s="47"/>
      <c r="N99" s="45" t="s">
        <v>19</v>
      </c>
      <c r="O99" s="46"/>
      <c r="P99" s="46"/>
      <c r="Q99" s="46"/>
      <c r="R99" s="47"/>
    </row>
    <row r="100" spans="2:18" ht="15.75" thickBot="1" x14ac:dyDescent="0.3">
      <c r="B100" s="22" t="s">
        <v>18</v>
      </c>
      <c r="C100" s="20" t="s">
        <v>17</v>
      </c>
      <c r="D100" s="21" t="s">
        <v>16</v>
      </c>
      <c r="E100" s="20" t="s">
        <v>15</v>
      </c>
      <c r="F100" s="19" t="s">
        <v>14</v>
      </c>
      <c r="H100" s="22" t="s">
        <v>18</v>
      </c>
      <c r="I100" s="20" t="s">
        <v>17</v>
      </c>
      <c r="J100" s="21" t="s">
        <v>16</v>
      </c>
      <c r="K100" s="20" t="s">
        <v>15</v>
      </c>
      <c r="L100" s="19" t="s">
        <v>14</v>
      </c>
      <c r="N100" s="22" t="s">
        <v>18</v>
      </c>
      <c r="O100" s="20" t="s">
        <v>17</v>
      </c>
      <c r="P100" s="21" t="s">
        <v>16</v>
      </c>
      <c r="Q100" s="20" t="s">
        <v>15</v>
      </c>
      <c r="R100" s="19" t="s">
        <v>14</v>
      </c>
    </row>
    <row r="101" spans="2:18" x14ac:dyDescent="0.25">
      <c r="B101" s="54" t="s">
        <v>13</v>
      </c>
      <c r="C101" s="55"/>
      <c r="D101" s="55"/>
      <c r="E101" s="55"/>
      <c r="F101" s="56"/>
      <c r="H101" s="54" t="s">
        <v>13</v>
      </c>
      <c r="I101" s="55"/>
      <c r="J101" s="55"/>
      <c r="K101" s="55"/>
      <c r="L101" s="56"/>
      <c r="N101" s="54" t="s">
        <v>13</v>
      </c>
      <c r="O101" s="55"/>
      <c r="P101" s="55"/>
      <c r="Q101" s="55"/>
      <c r="R101" s="56"/>
    </row>
    <row r="102" spans="2:18" x14ac:dyDescent="0.25">
      <c r="B102" s="7"/>
      <c r="C102" s="18" t="s">
        <v>11</v>
      </c>
      <c r="D102" s="17"/>
      <c r="E102" s="16" t="s">
        <v>88</v>
      </c>
      <c r="F102" s="15"/>
      <c r="H102" s="7"/>
      <c r="I102" s="18" t="s">
        <v>11</v>
      </c>
      <c r="J102" s="17"/>
      <c r="K102" s="16" t="s">
        <v>91</v>
      </c>
      <c r="L102" s="15"/>
      <c r="N102" s="7"/>
      <c r="O102" s="18" t="s">
        <v>11</v>
      </c>
      <c r="P102" s="17"/>
      <c r="Q102" s="16" t="s">
        <v>104</v>
      </c>
      <c r="R102" s="15"/>
    </row>
    <row r="103" spans="2:18" x14ac:dyDescent="0.25">
      <c r="B103" s="7"/>
      <c r="C103" s="18" t="s">
        <v>8</v>
      </c>
      <c r="D103" s="17"/>
      <c r="E103" s="16" t="s">
        <v>83</v>
      </c>
      <c r="F103" s="15"/>
      <c r="H103" s="7"/>
      <c r="I103" s="18" t="s">
        <v>8</v>
      </c>
      <c r="J103" s="17"/>
      <c r="K103" s="16" t="s">
        <v>92</v>
      </c>
      <c r="L103" s="15"/>
      <c r="N103" s="7"/>
      <c r="O103" s="18" t="s">
        <v>8</v>
      </c>
      <c r="P103" s="17"/>
      <c r="Q103" s="16" t="s">
        <v>105</v>
      </c>
      <c r="R103" s="15"/>
    </row>
    <row r="104" spans="2:18" ht="15" hidden="1" customHeight="1" x14ac:dyDescent="0.25">
      <c r="B104" s="7"/>
      <c r="C104" s="18" t="s">
        <v>59</v>
      </c>
      <c r="D104" s="17"/>
      <c r="E104" s="16">
        <f>15*12*30</f>
        <v>5400</v>
      </c>
      <c r="F104" s="15" t="s">
        <v>56</v>
      </c>
      <c r="H104" s="7"/>
      <c r="I104" s="18" t="s">
        <v>59</v>
      </c>
      <c r="J104" s="17"/>
      <c r="K104" s="16">
        <f>15*12*30</f>
        <v>5400</v>
      </c>
      <c r="L104" s="15" t="s">
        <v>56</v>
      </c>
      <c r="N104" s="7"/>
      <c r="O104" s="18" t="s">
        <v>59</v>
      </c>
      <c r="P104" s="17"/>
      <c r="Q104" s="16">
        <f>15*12*30</f>
        <v>5400</v>
      </c>
      <c r="R104" s="15" t="s">
        <v>56</v>
      </c>
    </row>
    <row r="105" spans="2:18" ht="15" hidden="1" customHeight="1" x14ac:dyDescent="0.25">
      <c r="B105" s="7"/>
      <c r="C105" s="32" t="s">
        <v>58</v>
      </c>
      <c r="D105" s="5"/>
      <c r="E105" s="4">
        <v>120</v>
      </c>
      <c r="F105" s="3" t="s">
        <v>56</v>
      </c>
      <c r="H105" s="7"/>
      <c r="I105" s="32" t="s">
        <v>58</v>
      </c>
      <c r="J105" s="5"/>
      <c r="K105" s="4">
        <v>120</v>
      </c>
      <c r="L105" s="3" t="s">
        <v>56</v>
      </c>
      <c r="N105" s="7"/>
      <c r="O105" s="32" t="s">
        <v>58</v>
      </c>
      <c r="P105" s="5"/>
      <c r="Q105" s="4">
        <v>120</v>
      </c>
      <c r="R105" s="3" t="s">
        <v>56</v>
      </c>
    </row>
    <row r="106" spans="2:18" ht="15" hidden="1" customHeight="1" x14ac:dyDescent="0.25">
      <c r="B106" s="7"/>
      <c r="C106" s="6" t="s">
        <v>57</v>
      </c>
      <c r="D106" s="14"/>
      <c r="E106" s="31" t="e">
        <f>E104-E105-(E107+E109)/2*10</f>
        <v>#REF!</v>
      </c>
      <c r="F106" s="12" t="s">
        <v>56</v>
      </c>
      <c r="H106" s="7"/>
      <c r="I106" s="6" t="s">
        <v>57</v>
      </c>
      <c r="J106" s="14"/>
      <c r="K106" s="31" t="e">
        <f>K104-K105-(K107+K109)/2*10</f>
        <v>#REF!</v>
      </c>
      <c r="L106" s="12" t="s">
        <v>56</v>
      </c>
      <c r="N106" s="7"/>
      <c r="O106" s="6" t="s">
        <v>57</v>
      </c>
      <c r="P106" s="14"/>
      <c r="Q106" s="31" t="e">
        <f>Q104-Q105-(Q107+Q109)/2*10</f>
        <v>#REF!</v>
      </c>
      <c r="R106" s="12" t="s">
        <v>56</v>
      </c>
    </row>
    <row r="107" spans="2:18" ht="15" hidden="1" customHeight="1" x14ac:dyDescent="0.25">
      <c r="B107" s="7"/>
      <c r="C107" s="6" t="s">
        <v>55</v>
      </c>
      <c r="D107" s="14" t="s">
        <v>51</v>
      </c>
      <c r="E107" s="30">
        <f>((E105/E104)*45-E108)</f>
        <v>1</v>
      </c>
      <c r="F107" s="12" t="s">
        <v>50</v>
      </c>
      <c r="H107" s="7"/>
      <c r="I107" s="6" t="s">
        <v>55</v>
      </c>
      <c r="J107" s="14" t="s">
        <v>51</v>
      </c>
      <c r="K107" s="30">
        <f>((K105/K104)*45-K108)</f>
        <v>1</v>
      </c>
      <c r="L107" s="12" t="s">
        <v>50</v>
      </c>
      <c r="N107" s="7"/>
      <c r="O107" s="6" t="s">
        <v>55</v>
      </c>
      <c r="P107" s="14" t="s">
        <v>51</v>
      </c>
      <c r="Q107" s="30">
        <f>((Q105/Q104)*45-Q108)</f>
        <v>1</v>
      </c>
      <c r="R107" s="12" t="s">
        <v>50</v>
      </c>
    </row>
    <row r="108" spans="2:18" ht="15" hidden="1" customHeight="1" x14ac:dyDescent="0.25">
      <c r="B108" s="7"/>
      <c r="C108" s="6"/>
      <c r="D108" s="14" t="s">
        <v>54</v>
      </c>
      <c r="E108" s="29"/>
      <c r="F108" s="12" t="s">
        <v>53</v>
      </c>
      <c r="H108" s="7"/>
      <c r="I108" s="6"/>
      <c r="J108" s="14" t="s">
        <v>54</v>
      </c>
      <c r="K108" s="29"/>
      <c r="L108" s="12" t="s">
        <v>53</v>
      </c>
      <c r="N108" s="7"/>
      <c r="O108" s="6"/>
      <c r="P108" s="14" t="s">
        <v>54</v>
      </c>
      <c r="Q108" s="29"/>
      <c r="R108" s="12" t="s">
        <v>53</v>
      </c>
    </row>
    <row r="109" spans="2:18" ht="15" hidden="1" customHeight="1" x14ac:dyDescent="0.25">
      <c r="B109" s="7"/>
      <c r="C109" s="6" t="s">
        <v>52</v>
      </c>
      <c r="D109" s="14" t="s">
        <v>51</v>
      </c>
      <c r="E109" s="29" t="e">
        <f>'[1]Data Lingkungan_IC'!BS84</f>
        <v>#REF!</v>
      </c>
      <c r="F109" s="12" t="s">
        <v>50</v>
      </c>
      <c r="H109" s="7"/>
      <c r="I109" s="6" t="s">
        <v>52</v>
      </c>
      <c r="J109" s="14" t="s">
        <v>51</v>
      </c>
      <c r="K109" s="29" t="e">
        <f>'[1]Data Lingkungan_IC'!DU85</f>
        <v>#REF!</v>
      </c>
      <c r="L109" s="12" t="s">
        <v>50</v>
      </c>
      <c r="N109" s="7"/>
      <c r="O109" s="6" t="s">
        <v>52</v>
      </c>
      <c r="P109" s="14" t="s">
        <v>51</v>
      </c>
      <c r="Q109" s="29" t="e">
        <f>'[1]Data Lingkungan_IC'!DC86</f>
        <v>#REF!</v>
      </c>
      <c r="R109" s="12" t="s">
        <v>50</v>
      </c>
    </row>
    <row r="110" spans="2:18" ht="15" hidden="1" customHeight="1" x14ac:dyDescent="0.25">
      <c r="B110" s="7"/>
      <c r="C110" s="6" t="s">
        <v>6</v>
      </c>
      <c r="D110" s="14"/>
      <c r="E110" s="13" t="e">
        <f>(E106/E104)</f>
        <v>#REF!</v>
      </c>
      <c r="F110" s="12" t="s">
        <v>5</v>
      </c>
      <c r="H110" s="7"/>
      <c r="I110" s="6" t="s">
        <v>6</v>
      </c>
      <c r="J110" s="14"/>
      <c r="K110" s="13" t="e">
        <f>(K106/K104)</f>
        <v>#REF!</v>
      </c>
      <c r="L110" s="12" t="s">
        <v>5</v>
      </c>
      <c r="N110" s="7"/>
      <c r="O110" s="6" t="s">
        <v>6</v>
      </c>
      <c r="P110" s="14"/>
      <c r="Q110" s="13" t="e">
        <f>(Q106/Q104)</f>
        <v>#REF!</v>
      </c>
      <c r="R110" s="12" t="s">
        <v>5</v>
      </c>
    </row>
    <row r="111" spans="2:18" ht="15" customHeight="1" x14ac:dyDescent="0.25">
      <c r="B111" s="11"/>
      <c r="C111" s="6" t="s">
        <v>4</v>
      </c>
      <c r="D111" s="10" t="s">
        <v>3</v>
      </c>
      <c r="E111" s="9" t="s">
        <v>49</v>
      </c>
      <c r="F111" s="8"/>
      <c r="H111" s="11"/>
      <c r="I111" s="6" t="s">
        <v>4</v>
      </c>
      <c r="J111" s="10" t="s">
        <v>3</v>
      </c>
      <c r="K111" s="9" t="s">
        <v>49</v>
      </c>
      <c r="L111" s="8"/>
      <c r="N111" s="11"/>
      <c r="O111" s="6" t="s">
        <v>4</v>
      </c>
      <c r="P111" s="10" t="s">
        <v>3</v>
      </c>
      <c r="Q111" s="9" t="s">
        <v>49</v>
      </c>
      <c r="R111" s="8"/>
    </row>
    <row r="112" spans="2:18" x14ac:dyDescent="0.25">
      <c r="B112" s="7"/>
      <c r="C112" s="6"/>
      <c r="D112" s="5" t="s">
        <v>1</v>
      </c>
      <c r="E112" s="4"/>
      <c r="F112" s="3" t="s">
        <v>48</v>
      </c>
      <c r="H112" s="7"/>
      <c r="I112" s="6"/>
      <c r="J112" s="5" t="s">
        <v>1</v>
      </c>
      <c r="K112" s="4"/>
      <c r="L112" s="3" t="s">
        <v>48</v>
      </c>
      <c r="N112" s="7"/>
      <c r="O112" s="6"/>
      <c r="P112" s="5" t="s">
        <v>1</v>
      </c>
      <c r="Q112" s="4"/>
      <c r="R112" s="3" t="s">
        <v>48</v>
      </c>
    </row>
    <row r="113" spans="2:18" ht="30" x14ac:dyDescent="0.25">
      <c r="B113" s="7"/>
      <c r="C113" s="28"/>
      <c r="D113" s="5" t="s">
        <v>47</v>
      </c>
      <c r="E113" s="4"/>
      <c r="F113" s="3" t="s">
        <v>144</v>
      </c>
      <c r="H113" s="7"/>
      <c r="I113" s="28"/>
      <c r="J113" s="5" t="s">
        <v>47</v>
      </c>
      <c r="K113" s="4"/>
      <c r="L113" s="3" t="s">
        <v>144</v>
      </c>
      <c r="N113" s="7"/>
      <c r="O113" s="28"/>
      <c r="P113" s="5" t="s">
        <v>47</v>
      </c>
      <c r="Q113" s="4"/>
      <c r="R113" s="3" t="s">
        <v>144</v>
      </c>
    </row>
    <row r="114" spans="2:18" ht="30.75" thickBot="1" x14ac:dyDescent="0.3">
      <c r="B114" s="27"/>
      <c r="C114" s="26"/>
      <c r="D114" s="25" t="s">
        <v>6</v>
      </c>
      <c r="E114" s="24">
        <v>1</v>
      </c>
      <c r="F114" s="23" t="s">
        <v>5</v>
      </c>
      <c r="H114" s="27"/>
      <c r="I114" s="26"/>
      <c r="J114" s="25" t="s">
        <v>6</v>
      </c>
      <c r="K114" s="24">
        <v>1</v>
      </c>
      <c r="L114" s="23" t="s">
        <v>5</v>
      </c>
      <c r="N114" s="27"/>
      <c r="O114" s="26"/>
      <c r="P114" s="25" t="s">
        <v>6</v>
      </c>
      <c r="Q114" s="24">
        <v>1</v>
      </c>
      <c r="R114" s="23" t="s">
        <v>5</v>
      </c>
    </row>
    <row r="115" spans="2:18" ht="15.75" thickBot="1" x14ac:dyDescent="0.3"/>
    <row r="116" spans="2:18" x14ac:dyDescent="0.25">
      <c r="B116" s="48" t="s">
        <v>21</v>
      </c>
      <c r="C116" s="49"/>
      <c r="D116" s="49"/>
      <c r="E116" s="49"/>
      <c r="F116" s="50"/>
      <c r="H116" s="48" t="s">
        <v>21</v>
      </c>
      <c r="I116" s="49"/>
      <c r="J116" s="49"/>
      <c r="K116" s="49"/>
      <c r="L116" s="50"/>
      <c r="N116" s="48" t="s">
        <v>21</v>
      </c>
      <c r="O116" s="49"/>
      <c r="P116" s="49"/>
      <c r="Q116" s="49"/>
      <c r="R116" s="50"/>
    </row>
    <row r="117" spans="2:18" ht="15.75" thickBot="1" x14ac:dyDescent="0.3">
      <c r="B117" s="51" t="s">
        <v>20</v>
      </c>
      <c r="C117" s="52"/>
      <c r="D117" s="52"/>
      <c r="E117" s="52"/>
      <c r="F117" s="53"/>
      <c r="H117" s="51" t="s">
        <v>20</v>
      </c>
      <c r="I117" s="52"/>
      <c r="J117" s="52"/>
      <c r="K117" s="52"/>
      <c r="L117" s="53"/>
      <c r="N117" s="51" t="s">
        <v>20</v>
      </c>
      <c r="O117" s="52"/>
      <c r="P117" s="52"/>
      <c r="Q117" s="52"/>
      <c r="R117" s="53"/>
    </row>
    <row r="118" spans="2:18" x14ac:dyDescent="0.25">
      <c r="B118" s="45" t="s">
        <v>19</v>
      </c>
      <c r="C118" s="46"/>
      <c r="D118" s="46"/>
      <c r="E118" s="46"/>
      <c r="F118" s="47"/>
      <c r="H118" s="45" t="s">
        <v>19</v>
      </c>
      <c r="I118" s="46"/>
      <c r="J118" s="46"/>
      <c r="K118" s="46"/>
      <c r="L118" s="47"/>
      <c r="N118" s="45" t="s">
        <v>19</v>
      </c>
      <c r="O118" s="46"/>
      <c r="P118" s="46"/>
      <c r="Q118" s="46"/>
      <c r="R118" s="47"/>
    </row>
    <row r="119" spans="2:18" ht="15.75" thickBot="1" x14ac:dyDescent="0.3">
      <c r="B119" s="22" t="s">
        <v>18</v>
      </c>
      <c r="C119" s="20" t="s">
        <v>17</v>
      </c>
      <c r="D119" s="21" t="s">
        <v>16</v>
      </c>
      <c r="E119" s="20" t="s">
        <v>15</v>
      </c>
      <c r="F119" s="19" t="s">
        <v>14</v>
      </c>
      <c r="H119" s="22" t="s">
        <v>18</v>
      </c>
      <c r="I119" s="20" t="s">
        <v>17</v>
      </c>
      <c r="J119" s="21" t="s">
        <v>16</v>
      </c>
      <c r="K119" s="20" t="s">
        <v>15</v>
      </c>
      <c r="L119" s="19" t="s">
        <v>14</v>
      </c>
      <c r="N119" s="22" t="s">
        <v>18</v>
      </c>
      <c r="O119" s="20" t="s">
        <v>17</v>
      </c>
      <c r="P119" s="21" t="s">
        <v>16</v>
      </c>
      <c r="Q119" s="20" t="s">
        <v>15</v>
      </c>
      <c r="R119" s="19" t="s">
        <v>14</v>
      </c>
    </row>
    <row r="120" spans="2:18" x14ac:dyDescent="0.25">
      <c r="B120" s="54" t="s">
        <v>13</v>
      </c>
      <c r="C120" s="55"/>
      <c r="D120" s="55"/>
      <c r="E120" s="55"/>
      <c r="F120" s="56"/>
      <c r="H120" s="54" t="s">
        <v>13</v>
      </c>
      <c r="I120" s="55"/>
      <c r="J120" s="55"/>
      <c r="K120" s="55"/>
      <c r="L120" s="56"/>
      <c r="N120" s="54" t="s">
        <v>13</v>
      </c>
      <c r="O120" s="55"/>
      <c r="P120" s="55"/>
      <c r="Q120" s="55"/>
      <c r="R120" s="56"/>
    </row>
    <row r="121" spans="2:18" x14ac:dyDescent="0.25">
      <c r="B121" s="7"/>
      <c r="C121" s="18" t="s">
        <v>11</v>
      </c>
      <c r="D121" s="17"/>
      <c r="E121" s="16" t="s">
        <v>84</v>
      </c>
      <c r="F121" s="15"/>
      <c r="H121" s="7"/>
      <c r="I121" s="18" t="s">
        <v>11</v>
      </c>
      <c r="J121" s="17"/>
      <c r="K121" s="16" t="s">
        <v>93</v>
      </c>
      <c r="L121" s="15"/>
      <c r="N121" s="7"/>
      <c r="O121" s="18" t="s">
        <v>11</v>
      </c>
      <c r="P121" s="17"/>
      <c r="Q121" s="16" t="s">
        <v>106</v>
      </c>
      <c r="R121" s="15"/>
    </row>
    <row r="122" spans="2:18" x14ac:dyDescent="0.25">
      <c r="B122" s="7"/>
      <c r="C122" s="18" t="s">
        <v>8</v>
      </c>
      <c r="D122" s="17"/>
      <c r="E122" s="16" t="s">
        <v>68</v>
      </c>
      <c r="F122" s="15"/>
      <c r="H122" s="7"/>
      <c r="I122" s="18" t="s">
        <v>8</v>
      </c>
      <c r="J122" s="17"/>
      <c r="K122" s="16" t="s">
        <v>61</v>
      </c>
      <c r="L122" s="15"/>
      <c r="N122" s="7"/>
      <c r="O122" s="18" t="s">
        <v>8</v>
      </c>
      <c r="P122" s="17"/>
      <c r="Q122" s="16" t="s">
        <v>67</v>
      </c>
      <c r="R122" s="15"/>
    </row>
    <row r="123" spans="2:18" ht="15" hidden="1" customHeight="1" x14ac:dyDescent="0.25">
      <c r="B123" s="7"/>
      <c r="C123" s="18" t="s">
        <v>59</v>
      </c>
      <c r="D123" s="17"/>
      <c r="E123" s="16">
        <f>15*12*30</f>
        <v>5400</v>
      </c>
      <c r="F123" s="15" t="s">
        <v>56</v>
      </c>
      <c r="H123" s="7"/>
      <c r="I123" s="18" t="s">
        <v>59</v>
      </c>
      <c r="J123" s="17"/>
      <c r="K123" s="16">
        <f>15*12*30</f>
        <v>5400</v>
      </c>
      <c r="L123" s="15" t="s">
        <v>56</v>
      </c>
      <c r="N123" s="7"/>
      <c r="O123" s="18" t="s">
        <v>59</v>
      </c>
      <c r="P123" s="17"/>
      <c r="Q123" s="16">
        <f>15*12*30</f>
        <v>5400</v>
      </c>
      <c r="R123" s="15" t="s">
        <v>56</v>
      </c>
    </row>
    <row r="124" spans="2:18" ht="15" hidden="1" customHeight="1" x14ac:dyDescent="0.25">
      <c r="B124" s="7"/>
      <c r="C124" s="32" t="s">
        <v>58</v>
      </c>
      <c r="D124" s="5"/>
      <c r="E124" s="4">
        <v>120</v>
      </c>
      <c r="F124" s="3" t="s">
        <v>56</v>
      </c>
      <c r="H124" s="7"/>
      <c r="I124" s="32" t="s">
        <v>58</v>
      </c>
      <c r="J124" s="5"/>
      <c r="K124" s="4">
        <v>120</v>
      </c>
      <c r="L124" s="3" t="s">
        <v>56</v>
      </c>
      <c r="N124" s="7"/>
      <c r="O124" s="32" t="s">
        <v>58</v>
      </c>
      <c r="P124" s="5"/>
      <c r="Q124" s="4">
        <v>120</v>
      </c>
      <c r="R124" s="3" t="s">
        <v>56</v>
      </c>
    </row>
    <row r="125" spans="2:18" ht="15" hidden="1" customHeight="1" x14ac:dyDescent="0.25">
      <c r="B125" s="7"/>
      <c r="C125" s="6" t="s">
        <v>57</v>
      </c>
      <c r="D125" s="14"/>
      <c r="E125" s="31" t="e">
        <f>E123-E124-(E126+E128)/2*10</f>
        <v>#REF!</v>
      </c>
      <c r="F125" s="12" t="s">
        <v>56</v>
      </c>
      <c r="H125" s="7"/>
      <c r="I125" s="6" t="s">
        <v>57</v>
      </c>
      <c r="J125" s="14"/>
      <c r="K125" s="31" t="e">
        <f>K123-K124-(K126+K128)/2*10</f>
        <v>#REF!</v>
      </c>
      <c r="L125" s="12" t="s">
        <v>56</v>
      </c>
      <c r="N125" s="7"/>
      <c r="O125" s="6" t="s">
        <v>57</v>
      </c>
      <c r="P125" s="14"/>
      <c r="Q125" s="31" t="e">
        <f>Q123-Q124-(Q126+Q128)/2*10</f>
        <v>#REF!</v>
      </c>
      <c r="R125" s="12" t="s">
        <v>56</v>
      </c>
    </row>
    <row r="126" spans="2:18" ht="15" hidden="1" customHeight="1" x14ac:dyDescent="0.25">
      <c r="B126" s="7"/>
      <c r="C126" s="6" t="s">
        <v>55</v>
      </c>
      <c r="D126" s="14" t="s">
        <v>51</v>
      </c>
      <c r="E126" s="30">
        <f>((E124/E123)*45-E127)</f>
        <v>1</v>
      </c>
      <c r="F126" s="12" t="s">
        <v>50</v>
      </c>
      <c r="H126" s="7"/>
      <c r="I126" s="6" t="s">
        <v>55</v>
      </c>
      <c r="J126" s="14" t="s">
        <v>51</v>
      </c>
      <c r="K126" s="30">
        <f>((K124/K123)*45-K127)</f>
        <v>1</v>
      </c>
      <c r="L126" s="12" t="s">
        <v>50</v>
      </c>
      <c r="N126" s="7"/>
      <c r="O126" s="6" t="s">
        <v>55</v>
      </c>
      <c r="P126" s="14" t="s">
        <v>51</v>
      </c>
      <c r="Q126" s="30">
        <f>((Q124/Q123)*45-Q127)</f>
        <v>1</v>
      </c>
      <c r="R126" s="12" t="s">
        <v>50</v>
      </c>
    </row>
    <row r="127" spans="2:18" ht="15" hidden="1" customHeight="1" x14ac:dyDescent="0.25">
      <c r="B127" s="7"/>
      <c r="C127" s="6"/>
      <c r="D127" s="14" t="s">
        <v>54</v>
      </c>
      <c r="E127" s="29"/>
      <c r="F127" s="12" t="s">
        <v>53</v>
      </c>
      <c r="H127" s="7"/>
      <c r="I127" s="6"/>
      <c r="J127" s="14" t="s">
        <v>54</v>
      </c>
      <c r="K127" s="29"/>
      <c r="L127" s="12" t="s">
        <v>53</v>
      </c>
      <c r="N127" s="7"/>
      <c r="O127" s="6"/>
      <c r="P127" s="14" t="s">
        <v>54</v>
      </c>
      <c r="Q127" s="29"/>
      <c r="R127" s="12" t="s">
        <v>53</v>
      </c>
    </row>
    <row r="128" spans="2:18" ht="15" hidden="1" customHeight="1" x14ac:dyDescent="0.25">
      <c r="B128" s="7"/>
      <c r="C128" s="6" t="s">
        <v>52</v>
      </c>
      <c r="D128" s="14" t="s">
        <v>51</v>
      </c>
      <c r="E128" s="29" t="e">
        <f>'[1]Data Lingkungan_IC'!BS103</f>
        <v>#REF!</v>
      </c>
      <c r="F128" s="12" t="s">
        <v>50</v>
      </c>
      <c r="H128" s="7"/>
      <c r="I128" s="6" t="s">
        <v>52</v>
      </c>
      <c r="J128" s="14" t="s">
        <v>51</v>
      </c>
      <c r="K128" s="29" t="e">
        <f>'[1]Data Lingkungan_IC'!DU104</f>
        <v>#REF!</v>
      </c>
      <c r="L128" s="12" t="s">
        <v>50</v>
      </c>
      <c r="N128" s="7"/>
      <c r="O128" s="6" t="s">
        <v>52</v>
      </c>
      <c r="P128" s="14" t="s">
        <v>51</v>
      </c>
      <c r="Q128" s="29" t="e">
        <f>'[1]Data Lingkungan_IC'!DC105</f>
        <v>#REF!</v>
      </c>
      <c r="R128" s="12" t="s">
        <v>50</v>
      </c>
    </row>
    <row r="129" spans="2:18" ht="15" hidden="1" customHeight="1" x14ac:dyDescent="0.25">
      <c r="B129" s="7"/>
      <c r="C129" s="6" t="s">
        <v>6</v>
      </c>
      <c r="D129" s="14"/>
      <c r="E129" s="13" t="e">
        <f>(E125/E123)</f>
        <v>#REF!</v>
      </c>
      <c r="F129" s="12" t="s">
        <v>5</v>
      </c>
      <c r="H129" s="7"/>
      <c r="I129" s="6" t="s">
        <v>6</v>
      </c>
      <c r="J129" s="14"/>
      <c r="K129" s="13" t="e">
        <f>(K125/K123)</f>
        <v>#REF!</v>
      </c>
      <c r="L129" s="12" t="s">
        <v>5</v>
      </c>
      <c r="N129" s="7"/>
      <c r="O129" s="6" t="s">
        <v>6</v>
      </c>
      <c r="P129" s="14"/>
      <c r="Q129" s="13" t="e">
        <f>(Q125/Q123)</f>
        <v>#REF!</v>
      </c>
      <c r="R129" s="12" t="s">
        <v>5</v>
      </c>
    </row>
    <row r="130" spans="2:18" ht="15" customHeight="1" x14ac:dyDescent="0.25">
      <c r="B130" s="11"/>
      <c r="C130" s="6" t="s">
        <v>4</v>
      </c>
      <c r="D130" s="10" t="s">
        <v>3</v>
      </c>
      <c r="E130" s="9" t="s">
        <v>49</v>
      </c>
      <c r="F130" s="8"/>
      <c r="H130" s="11"/>
      <c r="I130" s="6" t="s">
        <v>4</v>
      </c>
      <c r="J130" s="10" t="s">
        <v>3</v>
      </c>
      <c r="K130" s="9" t="s">
        <v>49</v>
      </c>
      <c r="L130" s="8"/>
      <c r="N130" s="11"/>
      <c r="O130" s="6" t="s">
        <v>4</v>
      </c>
      <c r="P130" s="10" t="s">
        <v>3</v>
      </c>
      <c r="Q130" s="9" t="s">
        <v>49</v>
      </c>
      <c r="R130" s="8"/>
    </row>
    <row r="131" spans="2:18" x14ac:dyDescent="0.25">
      <c r="B131" s="7"/>
      <c r="C131" s="6"/>
      <c r="D131" s="5" t="s">
        <v>1</v>
      </c>
      <c r="E131" s="4"/>
      <c r="F131" s="3" t="s">
        <v>48</v>
      </c>
      <c r="H131" s="7"/>
      <c r="I131" s="6"/>
      <c r="J131" s="5" t="s">
        <v>1</v>
      </c>
      <c r="K131" s="4"/>
      <c r="L131" s="3" t="s">
        <v>48</v>
      </c>
      <c r="N131" s="7"/>
      <c r="O131" s="6"/>
      <c r="P131" s="5" t="s">
        <v>1</v>
      </c>
      <c r="Q131" s="4"/>
      <c r="R131" s="3" t="s">
        <v>48</v>
      </c>
    </row>
    <row r="132" spans="2:18" ht="30" x14ac:dyDescent="0.25">
      <c r="B132" s="7"/>
      <c r="C132" s="28"/>
      <c r="D132" s="5" t="s">
        <v>47</v>
      </c>
      <c r="E132" s="4"/>
      <c r="F132" s="3" t="s">
        <v>144</v>
      </c>
      <c r="H132" s="7"/>
      <c r="I132" s="28"/>
      <c r="J132" s="5" t="s">
        <v>47</v>
      </c>
      <c r="K132" s="4"/>
      <c r="L132" s="3" t="s">
        <v>144</v>
      </c>
      <c r="N132" s="7"/>
      <c r="O132" s="28"/>
      <c r="P132" s="5" t="s">
        <v>47</v>
      </c>
      <c r="Q132" s="4"/>
      <c r="R132" s="3" t="s">
        <v>144</v>
      </c>
    </row>
    <row r="133" spans="2:18" ht="30.75" thickBot="1" x14ac:dyDescent="0.3">
      <c r="B133" s="27"/>
      <c r="C133" s="26"/>
      <c r="D133" s="25" t="s">
        <v>6</v>
      </c>
      <c r="E133" s="24">
        <v>1</v>
      </c>
      <c r="F133" s="23" t="s">
        <v>5</v>
      </c>
      <c r="H133" s="27"/>
      <c r="I133" s="26"/>
      <c r="J133" s="25" t="s">
        <v>6</v>
      </c>
      <c r="K133" s="24">
        <v>1</v>
      </c>
      <c r="L133" s="23" t="s">
        <v>5</v>
      </c>
      <c r="N133" s="27"/>
      <c r="O133" s="26"/>
      <c r="P133" s="25" t="s">
        <v>6</v>
      </c>
      <c r="Q133" s="24">
        <v>1</v>
      </c>
      <c r="R133" s="23" t="s">
        <v>5</v>
      </c>
    </row>
    <row r="134" spans="2:18" ht="15.75" thickBot="1" x14ac:dyDescent="0.3"/>
    <row r="135" spans="2:18" x14ac:dyDescent="0.25">
      <c r="B135" s="48" t="s">
        <v>21</v>
      </c>
      <c r="C135" s="49"/>
      <c r="D135" s="49"/>
      <c r="E135" s="49"/>
      <c r="F135" s="50"/>
      <c r="H135" s="48" t="s">
        <v>21</v>
      </c>
      <c r="I135" s="49"/>
      <c r="J135" s="49"/>
      <c r="K135" s="49"/>
      <c r="L135" s="50"/>
      <c r="N135" s="48" t="s">
        <v>21</v>
      </c>
      <c r="O135" s="49"/>
      <c r="P135" s="49"/>
      <c r="Q135" s="49"/>
      <c r="R135" s="50"/>
    </row>
    <row r="136" spans="2:18" ht="15.75" thickBot="1" x14ac:dyDescent="0.3">
      <c r="B136" s="51" t="s">
        <v>20</v>
      </c>
      <c r="C136" s="52"/>
      <c r="D136" s="52"/>
      <c r="E136" s="52"/>
      <c r="F136" s="53"/>
      <c r="H136" s="51" t="s">
        <v>20</v>
      </c>
      <c r="I136" s="52"/>
      <c r="J136" s="52"/>
      <c r="K136" s="52"/>
      <c r="L136" s="53"/>
      <c r="N136" s="51" t="s">
        <v>20</v>
      </c>
      <c r="O136" s="52"/>
      <c r="P136" s="52"/>
      <c r="Q136" s="52"/>
      <c r="R136" s="53"/>
    </row>
    <row r="137" spans="2:18" x14ac:dyDescent="0.25">
      <c r="B137" s="45" t="s">
        <v>19</v>
      </c>
      <c r="C137" s="46"/>
      <c r="D137" s="46"/>
      <c r="E137" s="46"/>
      <c r="F137" s="47"/>
      <c r="H137" s="45" t="s">
        <v>19</v>
      </c>
      <c r="I137" s="46"/>
      <c r="J137" s="46"/>
      <c r="K137" s="46"/>
      <c r="L137" s="47"/>
      <c r="N137" s="45" t="s">
        <v>19</v>
      </c>
      <c r="O137" s="46"/>
      <c r="P137" s="46"/>
      <c r="Q137" s="46"/>
      <c r="R137" s="47"/>
    </row>
    <row r="138" spans="2:18" ht="15.75" thickBot="1" x14ac:dyDescent="0.3">
      <c r="B138" s="22" t="s">
        <v>18</v>
      </c>
      <c r="C138" s="20" t="s">
        <v>17</v>
      </c>
      <c r="D138" s="21" t="s">
        <v>16</v>
      </c>
      <c r="E138" s="20" t="s">
        <v>15</v>
      </c>
      <c r="F138" s="19" t="s">
        <v>14</v>
      </c>
      <c r="H138" s="22" t="s">
        <v>18</v>
      </c>
      <c r="I138" s="20" t="s">
        <v>17</v>
      </c>
      <c r="J138" s="21" t="s">
        <v>16</v>
      </c>
      <c r="K138" s="20" t="s">
        <v>15</v>
      </c>
      <c r="L138" s="19" t="s">
        <v>14</v>
      </c>
      <c r="N138" s="22" t="s">
        <v>18</v>
      </c>
      <c r="O138" s="20" t="s">
        <v>17</v>
      </c>
      <c r="P138" s="21" t="s">
        <v>16</v>
      </c>
      <c r="Q138" s="20" t="s">
        <v>15</v>
      </c>
      <c r="R138" s="19" t="s">
        <v>14</v>
      </c>
    </row>
    <row r="139" spans="2:18" x14ac:dyDescent="0.25">
      <c r="B139" s="54" t="s">
        <v>13</v>
      </c>
      <c r="C139" s="55"/>
      <c r="D139" s="55"/>
      <c r="E139" s="55"/>
      <c r="F139" s="56"/>
      <c r="H139" s="54" t="s">
        <v>13</v>
      </c>
      <c r="I139" s="55"/>
      <c r="J139" s="55"/>
      <c r="K139" s="55"/>
      <c r="L139" s="56"/>
      <c r="N139" s="54" t="s">
        <v>13</v>
      </c>
      <c r="O139" s="55"/>
      <c r="P139" s="55"/>
      <c r="Q139" s="55"/>
      <c r="R139" s="56"/>
    </row>
    <row r="140" spans="2:18" x14ac:dyDescent="0.25">
      <c r="B140" s="7"/>
      <c r="C140" s="18" t="s">
        <v>11</v>
      </c>
      <c r="D140" s="17"/>
      <c r="E140" s="16" t="s">
        <v>94</v>
      </c>
      <c r="F140" s="15"/>
      <c r="H140" s="7"/>
      <c r="I140" s="18" t="s">
        <v>11</v>
      </c>
      <c r="J140" s="17"/>
      <c r="K140" s="16" t="s">
        <v>95</v>
      </c>
      <c r="L140" s="15"/>
      <c r="N140" s="7"/>
      <c r="O140" s="18" t="s">
        <v>11</v>
      </c>
      <c r="P140" s="17"/>
      <c r="Q140" s="16" t="s">
        <v>107</v>
      </c>
      <c r="R140" s="15"/>
    </row>
    <row r="141" spans="2:18" x14ac:dyDescent="0.25">
      <c r="B141" s="7"/>
      <c r="C141" s="18" t="s">
        <v>8</v>
      </c>
      <c r="D141" s="17"/>
      <c r="E141" s="16" t="s">
        <v>62</v>
      </c>
      <c r="F141" s="15"/>
      <c r="H141" s="7"/>
      <c r="I141" s="18" t="s">
        <v>8</v>
      </c>
      <c r="J141" s="17"/>
      <c r="K141" s="16" t="s">
        <v>73</v>
      </c>
      <c r="L141" s="15"/>
      <c r="N141" s="7"/>
      <c r="O141" s="18" t="s">
        <v>8</v>
      </c>
      <c r="P141" s="17"/>
      <c r="Q141" s="16" t="s">
        <v>108</v>
      </c>
      <c r="R141" s="15"/>
    </row>
    <row r="142" spans="2:18" ht="15" hidden="1" customHeight="1" x14ac:dyDescent="0.25">
      <c r="B142" s="7"/>
      <c r="C142" s="18" t="s">
        <v>59</v>
      </c>
      <c r="D142" s="17"/>
      <c r="E142" s="16">
        <f>15*12*30</f>
        <v>5400</v>
      </c>
      <c r="F142" s="15" t="s">
        <v>56</v>
      </c>
      <c r="H142" s="7"/>
      <c r="I142" s="18" t="s">
        <v>59</v>
      </c>
      <c r="J142" s="17"/>
      <c r="K142" s="16">
        <f>15*12*30</f>
        <v>5400</v>
      </c>
      <c r="L142" s="15" t="s">
        <v>56</v>
      </c>
      <c r="N142" s="7"/>
      <c r="O142" s="18" t="s">
        <v>59</v>
      </c>
      <c r="P142" s="17"/>
      <c r="Q142" s="16">
        <f>15*12*30</f>
        <v>5400</v>
      </c>
      <c r="R142" s="15" t="s">
        <v>56</v>
      </c>
    </row>
    <row r="143" spans="2:18" ht="15" hidden="1" customHeight="1" x14ac:dyDescent="0.25">
      <c r="B143" s="7"/>
      <c r="C143" s="32" t="s">
        <v>58</v>
      </c>
      <c r="D143" s="5"/>
      <c r="E143" s="4">
        <v>120</v>
      </c>
      <c r="F143" s="3" t="s">
        <v>56</v>
      </c>
      <c r="H143" s="7"/>
      <c r="I143" s="32" t="s">
        <v>58</v>
      </c>
      <c r="J143" s="5"/>
      <c r="K143" s="4">
        <v>120</v>
      </c>
      <c r="L143" s="3" t="s">
        <v>56</v>
      </c>
      <c r="N143" s="7"/>
      <c r="O143" s="32" t="s">
        <v>58</v>
      </c>
      <c r="P143" s="5"/>
      <c r="Q143" s="4">
        <v>120</v>
      </c>
      <c r="R143" s="3" t="s">
        <v>56</v>
      </c>
    </row>
    <row r="144" spans="2:18" ht="15" hidden="1" customHeight="1" x14ac:dyDescent="0.25">
      <c r="B144" s="7"/>
      <c r="C144" s="6" t="s">
        <v>57</v>
      </c>
      <c r="D144" s="14"/>
      <c r="E144" s="31" t="e">
        <f>E142-E143-(E145+E147)/2*10</f>
        <v>#REF!</v>
      </c>
      <c r="F144" s="12" t="s">
        <v>56</v>
      </c>
      <c r="H144" s="7"/>
      <c r="I144" s="6" t="s">
        <v>57</v>
      </c>
      <c r="J144" s="14"/>
      <c r="K144" s="31" t="e">
        <f>K142-K143-(K145+K147)/2*10</f>
        <v>#REF!</v>
      </c>
      <c r="L144" s="12" t="s">
        <v>56</v>
      </c>
      <c r="N144" s="7"/>
      <c r="O144" s="6" t="s">
        <v>57</v>
      </c>
      <c r="P144" s="14"/>
      <c r="Q144" s="31" t="e">
        <f>Q142-Q143-(Q145+Q147)/2*10</f>
        <v>#REF!</v>
      </c>
      <c r="R144" s="12" t="s">
        <v>56</v>
      </c>
    </row>
    <row r="145" spans="2:24" ht="15" hidden="1" customHeight="1" x14ac:dyDescent="0.25">
      <c r="B145" s="7"/>
      <c r="C145" s="6" t="s">
        <v>55</v>
      </c>
      <c r="D145" s="14" t="s">
        <v>51</v>
      </c>
      <c r="E145" s="30">
        <f>((E143/E142)*45-E146)</f>
        <v>1</v>
      </c>
      <c r="F145" s="12" t="s">
        <v>50</v>
      </c>
      <c r="H145" s="7"/>
      <c r="I145" s="6" t="s">
        <v>55</v>
      </c>
      <c r="J145" s="14" t="s">
        <v>51</v>
      </c>
      <c r="K145" s="30">
        <f>((K143/K142)*45-K146)</f>
        <v>1</v>
      </c>
      <c r="L145" s="12" t="s">
        <v>50</v>
      </c>
      <c r="N145" s="7"/>
      <c r="O145" s="6" t="s">
        <v>55</v>
      </c>
      <c r="P145" s="14" t="s">
        <v>51</v>
      </c>
      <c r="Q145" s="30">
        <f>((Q143/Q142)*45-Q146)</f>
        <v>1</v>
      </c>
      <c r="R145" s="12" t="s">
        <v>50</v>
      </c>
    </row>
    <row r="146" spans="2:24" ht="15" hidden="1" customHeight="1" x14ac:dyDescent="0.25">
      <c r="B146" s="7"/>
      <c r="C146" s="6"/>
      <c r="D146" s="14" t="s">
        <v>54</v>
      </c>
      <c r="E146" s="29"/>
      <c r="F146" s="12" t="s">
        <v>53</v>
      </c>
      <c r="H146" s="7"/>
      <c r="I146" s="6"/>
      <c r="J146" s="14" t="s">
        <v>54</v>
      </c>
      <c r="K146" s="29"/>
      <c r="L146" s="12" t="s">
        <v>53</v>
      </c>
      <c r="N146" s="7"/>
      <c r="O146" s="6"/>
      <c r="P146" s="14" t="s">
        <v>54</v>
      </c>
      <c r="Q146" s="29"/>
      <c r="R146" s="12" t="s">
        <v>53</v>
      </c>
    </row>
    <row r="147" spans="2:24" ht="15" hidden="1" customHeight="1" x14ac:dyDescent="0.25">
      <c r="B147" s="7"/>
      <c r="C147" s="6" t="s">
        <v>52</v>
      </c>
      <c r="D147" s="14" t="s">
        <v>51</v>
      </c>
      <c r="E147" s="29" t="e">
        <f>'[1]Data Lingkungan_IC'!BS122</f>
        <v>#REF!</v>
      </c>
      <c r="F147" s="12" t="s">
        <v>50</v>
      </c>
      <c r="H147" s="7"/>
      <c r="I147" s="6" t="s">
        <v>52</v>
      </c>
      <c r="J147" s="14" t="s">
        <v>51</v>
      </c>
      <c r="K147" s="29" t="e">
        <f>'[1]Data Lingkungan_IC'!DU123</f>
        <v>#REF!</v>
      </c>
      <c r="L147" s="12" t="s">
        <v>50</v>
      </c>
      <c r="N147" s="7"/>
      <c r="O147" s="6" t="s">
        <v>52</v>
      </c>
      <c r="P147" s="14" t="s">
        <v>51</v>
      </c>
      <c r="Q147" s="29" t="e">
        <f>'[1]Data Lingkungan_IC'!DC124</f>
        <v>#REF!</v>
      </c>
      <c r="R147" s="12" t="s">
        <v>50</v>
      </c>
    </row>
    <row r="148" spans="2:24" ht="15" hidden="1" customHeight="1" x14ac:dyDescent="0.25">
      <c r="B148" s="7"/>
      <c r="C148" s="6" t="s">
        <v>6</v>
      </c>
      <c r="D148" s="14"/>
      <c r="E148" s="13" t="e">
        <f>(E144/E142)</f>
        <v>#REF!</v>
      </c>
      <c r="F148" s="12" t="s">
        <v>5</v>
      </c>
      <c r="H148" s="7"/>
      <c r="I148" s="6" t="s">
        <v>6</v>
      </c>
      <c r="J148" s="14"/>
      <c r="K148" s="13" t="e">
        <f>(K144/K142)</f>
        <v>#REF!</v>
      </c>
      <c r="L148" s="12" t="s">
        <v>5</v>
      </c>
      <c r="N148" s="7"/>
      <c r="O148" s="6" t="s">
        <v>6</v>
      </c>
      <c r="P148" s="14"/>
      <c r="Q148" s="13" t="e">
        <f>(Q144/Q142)</f>
        <v>#REF!</v>
      </c>
      <c r="R148" s="12" t="s">
        <v>5</v>
      </c>
    </row>
    <row r="149" spans="2:24" ht="15" customHeight="1" x14ac:dyDescent="0.25">
      <c r="B149" s="11"/>
      <c r="C149" s="6" t="s">
        <v>4</v>
      </c>
      <c r="D149" s="10" t="s">
        <v>3</v>
      </c>
      <c r="E149" s="9" t="s">
        <v>49</v>
      </c>
      <c r="F149" s="8"/>
      <c r="H149" s="11"/>
      <c r="I149" s="6" t="s">
        <v>4</v>
      </c>
      <c r="J149" s="10" t="s">
        <v>3</v>
      </c>
      <c r="K149" s="9" t="s">
        <v>49</v>
      </c>
      <c r="L149" s="8"/>
      <c r="N149" s="11"/>
      <c r="O149" s="6" t="s">
        <v>4</v>
      </c>
      <c r="P149" s="10" t="s">
        <v>3</v>
      </c>
      <c r="Q149" s="9" t="s">
        <v>49</v>
      </c>
      <c r="R149" s="8"/>
    </row>
    <row r="150" spans="2:24" x14ac:dyDescent="0.25">
      <c r="B150" s="7"/>
      <c r="C150" s="6"/>
      <c r="D150" s="5" t="s">
        <v>1</v>
      </c>
      <c r="E150" s="4"/>
      <c r="F150" s="3" t="s">
        <v>48</v>
      </c>
      <c r="H150" s="7"/>
      <c r="I150" s="6"/>
      <c r="J150" s="5" t="s">
        <v>1</v>
      </c>
      <c r="K150" s="4"/>
      <c r="L150" s="3" t="s">
        <v>48</v>
      </c>
      <c r="N150" s="7"/>
      <c r="O150" s="6"/>
      <c r="P150" s="5" t="s">
        <v>1</v>
      </c>
      <c r="Q150" s="4"/>
      <c r="R150" s="3" t="s">
        <v>48</v>
      </c>
    </row>
    <row r="151" spans="2:24" ht="30" x14ac:dyDescent="0.25">
      <c r="B151" s="7"/>
      <c r="C151" s="28"/>
      <c r="D151" s="5" t="s">
        <v>47</v>
      </c>
      <c r="E151" s="4"/>
      <c r="F151" s="3" t="s">
        <v>144</v>
      </c>
      <c r="H151" s="7"/>
      <c r="I151" s="28"/>
      <c r="J151" s="5" t="s">
        <v>47</v>
      </c>
      <c r="K151" s="4"/>
      <c r="L151" s="3" t="s">
        <v>144</v>
      </c>
      <c r="N151" s="7"/>
      <c r="O151" s="28"/>
      <c r="P151" s="5" t="s">
        <v>47</v>
      </c>
      <c r="Q151" s="4"/>
      <c r="R151" s="3" t="s">
        <v>144</v>
      </c>
    </row>
    <row r="152" spans="2:24" ht="30.75" thickBot="1" x14ac:dyDescent="0.3">
      <c r="B152" s="27"/>
      <c r="C152" s="26"/>
      <c r="D152" s="25" t="s">
        <v>6</v>
      </c>
      <c r="E152" s="24">
        <v>1</v>
      </c>
      <c r="F152" s="23" t="s">
        <v>5</v>
      </c>
      <c r="H152" s="27"/>
      <c r="I152" s="26"/>
      <c r="J152" s="25" t="s">
        <v>6</v>
      </c>
      <c r="K152" s="24">
        <v>1</v>
      </c>
      <c r="L152" s="23" t="s">
        <v>5</v>
      </c>
      <c r="N152" s="27"/>
      <c r="O152" s="26"/>
      <c r="P152" s="25" t="s">
        <v>6</v>
      </c>
      <c r="Q152" s="24">
        <v>1</v>
      </c>
      <c r="R152" s="23" t="s">
        <v>5</v>
      </c>
    </row>
    <row r="153" spans="2:24" ht="15.75" thickBot="1" x14ac:dyDescent="0.3"/>
    <row r="154" spans="2:24" x14ac:dyDescent="0.25">
      <c r="B154" s="48" t="s">
        <v>21</v>
      </c>
      <c r="C154" s="49"/>
      <c r="D154" s="49"/>
      <c r="E154" s="49"/>
      <c r="F154" s="50"/>
      <c r="H154" s="48" t="s">
        <v>21</v>
      </c>
      <c r="I154" s="49"/>
      <c r="J154" s="49"/>
      <c r="K154" s="49"/>
      <c r="L154" s="50"/>
      <c r="N154" s="48" t="s">
        <v>21</v>
      </c>
      <c r="O154" s="49"/>
      <c r="P154" s="49"/>
      <c r="Q154" s="49"/>
      <c r="R154" s="50"/>
      <c r="T154" s="48" t="s">
        <v>21</v>
      </c>
      <c r="U154" s="49"/>
      <c r="V154" s="49"/>
      <c r="W154" s="49"/>
      <c r="X154" s="50"/>
    </row>
    <row r="155" spans="2:24" ht="15.75" thickBot="1" x14ac:dyDescent="0.3">
      <c r="B155" s="51" t="s">
        <v>20</v>
      </c>
      <c r="C155" s="52"/>
      <c r="D155" s="52"/>
      <c r="E155" s="52"/>
      <c r="F155" s="53"/>
      <c r="H155" s="51" t="s">
        <v>20</v>
      </c>
      <c r="I155" s="52"/>
      <c r="J155" s="52"/>
      <c r="K155" s="52"/>
      <c r="L155" s="53"/>
      <c r="N155" s="51" t="s">
        <v>20</v>
      </c>
      <c r="O155" s="52"/>
      <c r="P155" s="52"/>
      <c r="Q155" s="52"/>
      <c r="R155" s="53"/>
      <c r="T155" s="51" t="s">
        <v>20</v>
      </c>
      <c r="U155" s="52"/>
      <c r="V155" s="52"/>
      <c r="W155" s="52"/>
      <c r="X155" s="53"/>
    </row>
    <row r="156" spans="2:24" x14ac:dyDescent="0.25">
      <c r="B156" s="45" t="s">
        <v>19</v>
      </c>
      <c r="C156" s="46"/>
      <c r="D156" s="46"/>
      <c r="E156" s="46"/>
      <c r="F156" s="47"/>
      <c r="H156" s="45" t="s">
        <v>19</v>
      </c>
      <c r="I156" s="46"/>
      <c r="J156" s="46"/>
      <c r="K156" s="46"/>
      <c r="L156" s="47"/>
      <c r="N156" s="45" t="s">
        <v>19</v>
      </c>
      <c r="O156" s="46"/>
      <c r="P156" s="46"/>
      <c r="Q156" s="46"/>
      <c r="R156" s="47"/>
      <c r="T156" s="45" t="s">
        <v>19</v>
      </c>
      <c r="U156" s="46"/>
      <c r="V156" s="46"/>
      <c r="W156" s="46"/>
      <c r="X156" s="47"/>
    </row>
    <row r="157" spans="2:24" ht="15.75" thickBot="1" x14ac:dyDescent="0.3">
      <c r="B157" s="22" t="s">
        <v>18</v>
      </c>
      <c r="C157" s="20" t="s">
        <v>17</v>
      </c>
      <c r="D157" s="21" t="s">
        <v>16</v>
      </c>
      <c r="E157" s="20" t="s">
        <v>15</v>
      </c>
      <c r="F157" s="19" t="s">
        <v>14</v>
      </c>
      <c r="H157" s="22" t="s">
        <v>18</v>
      </c>
      <c r="I157" s="20" t="s">
        <v>17</v>
      </c>
      <c r="J157" s="21" t="s">
        <v>16</v>
      </c>
      <c r="K157" s="20" t="s">
        <v>15</v>
      </c>
      <c r="L157" s="19" t="s">
        <v>14</v>
      </c>
      <c r="N157" s="22" t="s">
        <v>18</v>
      </c>
      <c r="O157" s="20" t="s">
        <v>17</v>
      </c>
      <c r="P157" s="21" t="s">
        <v>16</v>
      </c>
      <c r="Q157" s="20" t="s">
        <v>15</v>
      </c>
      <c r="R157" s="19" t="s">
        <v>14</v>
      </c>
      <c r="T157" s="22" t="s">
        <v>18</v>
      </c>
      <c r="U157" s="20" t="s">
        <v>17</v>
      </c>
      <c r="V157" s="21" t="s">
        <v>16</v>
      </c>
      <c r="W157" s="20" t="s">
        <v>15</v>
      </c>
      <c r="X157" s="19" t="s">
        <v>14</v>
      </c>
    </row>
    <row r="158" spans="2:24" x14ac:dyDescent="0.25">
      <c r="B158" s="54" t="s">
        <v>13</v>
      </c>
      <c r="C158" s="55"/>
      <c r="D158" s="55"/>
      <c r="E158" s="55"/>
      <c r="F158" s="56"/>
      <c r="H158" s="54" t="s">
        <v>13</v>
      </c>
      <c r="I158" s="55"/>
      <c r="J158" s="55"/>
      <c r="K158" s="55"/>
      <c r="L158" s="56"/>
      <c r="N158" s="54" t="s">
        <v>13</v>
      </c>
      <c r="O158" s="55"/>
      <c r="P158" s="55"/>
      <c r="Q158" s="55"/>
      <c r="R158" s="56"/>
      <c r="T158" s="54" t="s">
        <v>13</v>
      </c>
      <c r="U158" s="55"/>
      <c r="V158" s="55"/>
      <c r="W158" s="55"/>
      <c r="X158" s="56"/>
    </row>
    <row r="159" spans="2:24" x14ac:dyDescent="0.25">
      <c r="B159" s="7"/>
      <c r="C159" s="18" t="s">
        <v>11</v>
      </c>
      <c r="D159" s="17"/>
      <c r="E159" s="16" t="s">
        <v>45</v>
      </c>
      <c r="F159" s="15"/>
      <c r="H159" s="7"/>
      <c r="I159" s="18" t="s">
        <v>11</v>
      </c>
      <c r="J159" s="17"/>
      <c r="K159" s="16" t="s">
        <v>44</v>
      </c>
      <c r="L159" s="15"/>
      <c r="N159" s="7"/>
      <c r="O159" s="18" t="s">
        <v>11</v>
      </c>
      <c r="P159" s="17"/>
      <c r="Q159" s="16" t="s">
        <v>43</v>
      </c>
      <c r="R159" s="15"/>
      <c r="T159" s="7"/>
      <c r="U159" s="18" t="s">
        <v>11</v>
      </c>
      <c r="V159" s="17"/>
      <c r="W159" s="16" t="s">
        <v>42</v>
      </c>
      <c r="X159" s="15"/>
    </row>
    <row r="160" spans="2:24" x14ac:dyDescent="0.25">
      <c r="B160" s="7"/>
      <c r="C160" s="18" t="s">
        <v>8</v>
      </c>
      <c r="D160" s="17"/>
      <c r="E160" s="16" t="s">
        <v>41</v>
      </c>
      <c r="F160" s="15"/>
      <c r="H160" s="7"/>
      <c r="I160" s="18" t="s">
        <v>8</v>
      </c>
      <c r="J160" s="17"/>
      <c r="K160" s="16" t="s">
        <v>40</v>
      </c>
      <c r="L160" s="15"/>
      <c r="N160" s="7"/>
      <c r="O160" s="18" t="s">
        <v>8</v>
      </c>
      <c r="P160" s="17"/>
      <c r="Q160" s="16" t="s">
        <v>39</v>
      </c>
      <c r="R160" s="15"/>
      <c r="T160" s="7"/>
      <c r="U160" s="18" t="s">
        <v>8</v>
      </c>
      <c r="V160" s="17"/>
      <c r="W160" s="16" t="s">
        <v>38</v>
      </c>
      <c r="X160" s="15"/>
    </row>
    <row r="161" spans="2:24" ht="15" customHeight="1" x14ac:dyDescent="0.25">
      <c r="B161" s="7"/>
      <c r="C161" s="6" t="s">
        <v>6</v>
      </c>
      <c r="D161" s="14"/>
      <c r="E161" s="13" t="e">
        <f>'[2]Data Lingkungan (DL)'!Z69</f>
        <v>#REF!</v>
      </c>
      <c r="F161" s="12" t="s">
        <v>5</v>
      </c>
      <c r="H161" s="7"/>
      <c r="I161" s="6" t="s">
        <v>6</v>
      </c>
      <c r="J161" s="14"/>
      <c r="K161" s="13" t="str">
        <f>'[2]Data Lingkungan (DL)'!AF69</f>
        <v>off</v>
      </c>
      <c r="L161" s="12" t="s">
        <v>5</v>
      </c>
      <c r="N161" s="7"/>
      <c r="O161" s="6" t="s">
        <v>6</v>
      </c>
      <c r="P161" s="14"/>
      <c r="Q161" s="13" t="e">
        <f>'[2]Data Lingkungan (DL)'!AL69</f>
        <v>#REF!</v>
      </c>
      <c r="R161" s="12" t="s">
        <v>5</v>
      </c>
      <c r="T161" s="7"/>
      <c r="U161" s="6" t="s">
        <v>6</v>
      </c>
      <c r="V161" s="14"/>
      <c r="W161" s="13" t="e">
        <f>'[2]Data Lingkungan (DL)'!AR69</f>
        <v>#REF!</v>
      </c>
      <c r="X161" s="12" t="s">
        <v>5</v>
      </c>
    </row>
    <row r="162" spans="2:24" ht="15" customHeight="1" x14ac:dyDescent="0.25">
      <c r="B162" s="11"/>
      <c r="C162" s="6" t="s">
        <v>4</v>
      </c>
      <c r="D162" s="10" t="s">
        <v>3</v>
      </c>
      <c r="E162" s="9" t="s">
        <v>2</v>
      </c>
      <c r="F162" s="8"/>
      <c r="H162" s="11"/>
      <c r="I162" s="6" t="s">
        <v>4</v>
      </c>
      <c r="J162" s="10" t="s">
        <v>3</v>
      </c>
      <c r="K162" s="9" t="s">
        <v>2</v>
      </c>
      <c r="L162" s="8"/>
      <c r="N162" s="11"/>
      <c r="O162" s="6" t="s">
        <v>4</v>
      </c>
      <c r="P162" s="10" t="s">
        <v>3</v>
      </c>
      <c r="Q162" s="9" t="s">
        <v>2</v>
      </c>
      <c r="R162" s="8"/>
      <c r="T162" s="11"/>
      <c r="U162" s="6" t="s">
        <v>4</v>
      </c>
      <c r="V162" s="10" t="s">
        <v>3</v>
      </c>
      <c r="W162" s="9" t="s">
        <v>2</v>
      </c>
      <c r="X162" s="8"/>
    </row>
    <row r="163" spans="2:24" ht="15" customHeight="1" x14ac:dyDescent="0.25">
      <c r="B163" s="7"/>
      <c r="C163" s="6"/>
      <c r="D163" s="5" t="s">
        <v>1</v>
      </c>
      <c r="E163" s="4" t="e">
        <f>'[2]Data Lingkungan (DL)'!W69</f>
        <v>#REF!</v>
      </c>
      <c r="F163" s="3" t="s">
        <v>0</v>
      </c>
      <c r="H163" s="7"/>
      <c r="I163" s="6"/>
      <c r="J163" s="5" t="s">
        <v>1</v>
      </c>
      <c r="K163" s="4" t="e">
        <f>'[2]Data Lingkungan (DL)'!W70</f>
        <v>#REF!</v>
      </c>
      <c r="L163" s="3" t="s">
        <v>0</v>
      </c>
      <c r="N163" s="7"/>
      <c r="O163" s="6"/>
      <c r="P163" s="5" t="s">
        <v>1</v>
      </c>
      <c r="Q163" s="4" t="e">
        <f>'[2]Data Lingkungan (DL)'!AF78</f>
        <v>#REF!</v>
      </c>
      <c r="R163" s="3" t="s">
        <v>0</v>
      </c>
      <c r="T163" s="7"/>
      <c r="U163" s="6"/>
      <c r="V163" s="5" t="s">
        <v>1</v>
      </c>
      <c r="W163" s="4" t="e">
        <f>'[2]Data Lingkungan (DL)'!AF79</f>
        <v>#REF!</v>
      </c>
      <c r="X163" s="3" t="s">
        <v>0</v>
      </c>
    </row>
    <row r="164" spans="2:24" ht="15.75" thickBot="1" x14ac:dyDescent="0.3"/>
    <row r="165" spans="2:24" x14ac:dyDescent="0.25">
      <c r="B165" s="48" t="s">
        <v>21</v>
      </c>
      <c r="C165" s="49"/>
      <c r="D165" s="49"/>
      <c r="E165" s="49"/>
      <c r="F165" s="50"/>
      <c r="H165" s="48" t="s">
        <v>21</v>
      </c>
      <c r="I165" s="49"/>
      <c r="J165" s="49"/>
      <c r="K165" s="49"/>
      <c r="L165" s="50"/>
      <c r="N165" s="48" t="s">
        <v>21</v>
      </c>
      <c r="O165" s="49"/>
      <c r="P165" s="49"/>
      <c r="Q165" s="49"/>
      <c r="R165" s="50"/>
      <c r="T165" s="48" t="s">
        <v>21</v>
      </c>
      <c r="U165" s="49"/>
      <c r="V165" s="49"/>
      <c r="W165" s="49"/>
      <c r="X165" s="50"/>
    </row>
    <row r="166" spans="2:24" ht="15.75" thickBot="1" x14ac:dyDescent="0.3">
      <c r="B166" s="51" t="s">
        <v>20</v>
      </c>
      <c r="C166" s="52"/>
      <c r="D166" s="52"/>
      <c r="E166" s="52"/>
      <c r="F166" s="53"/>
      <c r="H166" s="51" t="s">
        <v>20</v>
      </c>
      <c r="I166" s="52"/>
      <c r="J166" s="52"/>
      <c r="K166" s="52"/>
      <c r="L166" s="53"/>
      <c r="N166" s="51" t="s">
        <v>20</v>
      </c>
      <c r="O166" s="52"/>
      <c r="P166" s="52"/>
      <c r="Q166" s="52"/>
      <c r="R166" s="53"/>
      <c r="T166" s="51" t="s">
        <v>20</v>
      </c>
      <c r="U166" s="52"/>
      <c r="V166" s="52"/>
      <c r="W166" s="52"/>
      <c r="X166" s="53"/>
    </row>
    <row r="167" spans="2:24" x14ac:dyDescent="0.25">
      <c r="B167" s="45" t="s">
        <v>19</v>
      </c>
      <c r="C167" s="46"/>
      <c r="D167" s="46"/>
      <c r="E167" s="46"/>
      <c r="F167" s="47"/>
      <c r="H167" s="45" t="s">
        <v>19</v>
      </c>
      <c r="I167" s="46"/>
      <c r="J167" s="46"/>
      <c r="K167" s="46"/>
      <c r="L167" s="47"/>
      <c r="N167" s="45" t="s">
        <v>19</v>
      </c>
      <c r="O167" s="46"/>
      <c r="P167" s="46"/>
      <c r="Q167" s="46"/>
      <c r="R167" s="47"/>
      <c r="T167" s="45" t="s">
        <v>19</v>
      </c>
      <c r="U167" s="46"/>
      <c r="V167" s="46"/>
      <c r="W167" s="46"/>
      <c r="X167" s="47"/>
    </row>
    <row r="168" spans="2:24" ht="15.75" thickBot="1" x14ac:dyDescent="0.3">
      <c r="B168" s="22" t="s">
        <v>18</v>
      </c>
      <c r="C168" s="20" t="s">
        <v>17</v>
      </c>
      <c r="D168" s="21" t="s">
        <v>16</v>
      </c>
      <c r="E168" s="20" t="s">
        <v>15</v>
      </c>
      <c r="F168" s="19" t="s">
        <v>14</v>
      </c>
      <c r="H168" s="22" t="s">
        <v>18</v>
      </c>
      <c r="I168" s="20" t="s">
        <v>17</v>
      </c>
      <c r="J168" s="21" t="s">
        <v>16</v>
      </c>
      <c r="K168" s="20" t="s">
        <v>15</v>
      </c>
      <c r="L168" s="19" t="s">
        <v>14</v>
      </c>
      <c r="N168" s="22" t="s">
        <v>18</v>
      </c>
      <c r="O168" s="20" t="s">
        <v>17</v>
      </c>
      <c r="P168" s="21" t="s">
        <v>16</v>
      </c>
      <c r="Q168" s="20" t="s">
        <v>15</v>
      </c>
      <c r="R168" s="19" t="s">
        <v>14</v>
      </c>
      <c r="T168" s="22" t="s">
        <v>18</v>
      </c>
      <c r="U168" s="20" t="s">
        <v>17</v>
      </c>
      <c r="V168" s="21" t="s">
        <v>16</v>
      </c>
      <c r="W168" s="20" t="s">
        <v>15</v>
      </c>
      <c r="X168" s="19" t="s">
        <v>14</v>
      </c>
    </row>
    <row r="169" spans="2:24" x14ac:dyDescent="0.25">
      <c r="B169" s="54" t="s">
        <v>13</v>
      </c>
      <c r="C169" s="55"/>
      <c r="D169" s="55"/>
      <c r="E169" s="55"/>
      <c r="F169" s="56"/>
      <c r="H169" s="54" t="s">
        <v>13</v>
      </c>
      <c r="I169" s="55"/>
      <c r="J169" s="55"/>
      <c r="K169" s="55"/>
      <c r="L169" s="56"/>
      <c r="N169" s="54" t="s">
        <v>13</v>
      </c>
      <c r="O169" s="55"/>
      <c r="P169" s="55"/>
      <c r="Q169" s="55"/>
      <c r="R169" s="56"/>
      <c r="T169" s="54" t="s">
        <v>13</v>
      </c>
      <c r="U169" s="55"/>
      <c r="V169" s="55"/>
      <c r="W169" s="55"/>
      <c r="X169" s="56"/>
    </row>
    <row r="170" spans="2:24" x14ac:dyDescent="0.25">
      <c r="B170" s="7"/>
      <c r="C170" s="18" t="s">
        <v>11</v>
      </c>
      <c r="D170" s="17"/>
      <c r="E170" s="16" t="s">
        <v>37</v>
      </c>
      <c r="F170" s="15"/>
      <c r="H170" s="7"/>
      <c r="I170" s="18" t="s">
        <v>11</v>
      </c>
      <c r="J170" s="17"/>
      <c r="K170" s="16" t="s">
        <v>36</v>
      </c>
      <c r="L170" s="15"/>
      <c r="N170" s="7"/>
      <c r="O170" s="18" t="s">
        <v>11</v>
      </c>
      <c r="P170" s="17"/>
      <c r="Q170" s="16" t="s">
        <v>35</v>
      </c>
      <c r="R170" s="15"/>
      <c r="T170" s="7"/>
      <c r="U170" s="18" t="s">
        <v>11</v>
      </c>
      <c r="V170" s="17"/>
      <c r="W170" s="16" t="s">
        <v>34</v>
      </c>
      <c r="X170" s="15"/>
    </row>
    <row r="171" spans="2:24" x14ac:dyDescent="0.25">
      <c r="B171" s="7"/>
      <c r="C171" s="18" t="s">
        <v>8</v>
      </c>
      <c r="D171" s="17"/>
      <c r="E171" s="16" t="s">
        <v>33</v>
      </c>
      <c r="F171" s="15"/>
      <c r="H171" s="7"/>
      <c r="I171" s="18" t="s">
        <v>8</v>
      </c>
      <c r="J171" s="17"/>
      <c r="K171" s="16" t="s">
        <v>32</v>
      </c>
      <c r="L171" s="15"/>
      <c r="N171" s="7"/>
      <c r="O171" s="18" t="s">
        <v>8</v>
      </c>
      <c r="P171" s="17"/>
      <c r="Q171" s="16" t="s">
        <v>31</v>
      </c>
      <c r="R171" s="15"/>
      <c r="T171" s="7"/>
      <c r="U171" s="18" t="s">
        <v>8</v>
      </c>
      <c r="V171" s="17"/>
      <c r="W171" s="16" t="s">
        <v>30</v>
      </c>
      <c r="X171" s="15"/>
    </row>
    <row r="172" spans="2:24" ht="30" x14ac:dyDescent="0.25">
      <c r="B172" s="7"/>
      <c r="C172" s="6" t="s">
        <v>6</v>
      </c>
      <c r="D172" s="14"/>
      <c r="E172" s="13" t="e">
        <f>'[2]Data Lingkungan (DL)'!Z80</f>
        <v>#REF!</v>
      </c>
      <c r="F172" s="12" t="s">
        <v>5</v>
      </c>
      <c r="H172" s="7"/>
      <c r="I172" s="6" t="s">
        <v>6</v>
      </c>
      <c r="J172" s="14"/>
      <c r="K172" s="13" t="e">
        <f>'[2]Data Lingkungan (DL)'!AF80</f>
        <v>#REF!</v>
      </c>
      <c r="L172" s="12" t="s">
        <v>5</v>
      </c>
      <c r="N172" s="7"/>
      <c r="O172" s="6" t="s">
        <v>6</v>
      </c>
      <c r="P172" s="14"/>
      <c r="Q172" s="13" t="str">
        <f>'[2]Data Lingkungan (DL)'!AL80</f>
        <v>E.</v>
      </c>
      <c r="R172" s="12" t="s">
        <v>5</v>
      </c>
      <c r="T172" s="7"/>
      <c r="U172" s="6" t="s">
        <v>6</v>
      </c>
      <c r="V172" s="14"/>
      <c r="W172" s="13" t="e">
        <f>'[2]Data Lingkungan (DL)'!AR80</f>
        <v>#REF!</v>
      </c>
      <c r="X172" s="12" t="s">
        <v>5</v>
      </c>
    </row>
    <row r="173" spans="2:24" x14ac:dyDescent="0.25">
      <c r="B173" s="11"/>
      <c r="C173" s="6" t="s">
        <v>4</v>
      </c>
      <c r="D173" s="10" t="s">
        <v>3</v>
      </c>
      <c r="E173" s="9" t="s">
        <v>2</v>
      </c>
      <c r="F173" s="8"/>
      <c r="H173" s="11"/>
      <c r="I173" s="6" t="s">
        <v>4</v>
      </c>
      <c r="J173" s="10" t="s">
        <v>3</v>
      </c>
      <c r="K173" s="9" t="s">
        <v>2</v>
      </c>
      <c r="L173" s="8"/>
      <c r="N173" s="11"/>
      <c r="O173" s="6" t="s">
        <v>4</v>
      </c>
      <c r="P173" s="10" t="s">
        <v>3</v>
      </c>
      <c r="Q173" s="9" t="s">
        <v>2</v>
      </c>
      <c r="R173" s="8"/>
      <c r="T173" s="11"/>
      <c r="U173" s="6" t="s">
        <v>4</v>
      </c>
      <c r="V173" s="10" t="s">
        <v>3</v>
      </c>
      <c r="W173" s="9" t="s">
        <v>2</v>
      </c>
      <c r="X173" s="8"/>
    </row>
    <row r="174" spans="2:24" ht="15" customHeight="1" x14ac:dyDescent="0.25">
      <c r="B174" s="7"/>
      <c r="C174" s="6"/>
      <c r="D174" s="5" t="s">
        <v>1</v>
      </c>
      <c r="E174" s="4" t="e">
        <f>'[2]Data Lingkungan (DL)'!AO77</f>
        <v>#REF!</v>
      </c>
      <c r="F174" s="3" t="s">
        <v>0</v>
      </c>
      <c r="H174" s="7"/>
      <c r="I174" s="6"/>
      <c r="J174" s="5" t="s">
        <v>1</v>
      </c>
      <c r="K174" s="4" t="e">
        <f>'[2]Data Lingkungan (DL)'!AX76</f>
        <v>#REF!</v>
      </c>
      <c r="L174" s="3" t="s">
        <v>0</v>
      </c>
      <c r="N174" s="7"/>
      <c r="O174" s="6"/>
      <c r="P174" s="5" t="s">
        <v>1</v>
      </c>
      <c r="Q174" s="4" t="e">
        <f>'[2]Data Lingkungan (DL)'!AX77</f>
        <v>#REF!</v>
      </c>
      <c r="R174" s="3" t="s">
        <v>0</v>
      </c>
      <c r="T174" s="7"/>
      <c r="U174" s="6"/>
      <c r="V174" s="5" t="s">
        <v>1</v>
      </c>
      <c r="W174" s="4" t="e">
        <f>'[2]Data Lingkungan (DL)'!BG71</f>
        <v>#REF!</v>
      </c>
      <c r="X174" s="3" t="s">
        <v>0</v>
      </c>
    </row>
    <row r="175" spans="2:24" ht="15.75" thickBot="1" x14ac:dyDescent="0.3"/>
    <row r="176" spans="2:24" x14ac:dyDescent="0.25">
      <c r="B176" s="48" t="s">
        <v>21</v>
      </c>
      <c r="C176" s="49"/>
      <c r="D176" s="49"/>
      <c r="E176" s="49"/>
      <c r="F176" s="50"/>
      <c r="H176" s="48" t="s">
        <v>21</v>
      </c>
      <c r="I176" s="49"/>
      <c r="J176" s="49"/>
      <c r="K176" s="49"/>
      <c r="L176" s="50"/>
      <c r="N176" s="48" t="s">
        <v>21</v>
      </c>
      <c r="O176" s="49"/>
      <c r="P176" s="49"/>
      <c r="Q176" s="49"/>
      <c r="R176" s="50"/>
      <c r="T176" s="48" t="s">
        <v>21</v>
      </c>
      <c r="U176" s="49"/>
      <c r="V176" s="49"/>
      <c r="W176" s="49"/>
      <c r="X176" s="50"/>
    </row>
    <row r="177" spans="2:24" ht="15.75" thickBot="1" x14ac:dyDescent="0.3">
      <c r="B177" s="51" t="s">
        <v>20</v>
      </c>
      <c r="C177" s="52"/>
      <c r="D177" s="52"/>
      <c r="E177" s="52"/>
      <c r="F177" s="53"/>
      <c r="H177" s="51" t="s">
        <v>20</v>
      </c>
      <c r="I177" s="52"/>
      <c r="J177" s="52"/>
      <c r="K177" s="52"/>
      <c r="L177" s="53"/>
      <c r="N177" s="51" t="s">
        <v>20</v>
      </c>
      <c r="O177" s="52"/>
      <c r="P177" s="52"/>
      <c r="Q177" s="52"/>
      <c r="R177" s="53"/>
      <c r="T177" s="51" t="s">
        <v>20</v>
      </c>
      <c r="U177" s="52"/>
      <c r="V177" s="52"/>
      <c r="W177" s="52"/>
      <c r="X177" s="53"/>
    </row>
    <row r="178" spans="2:24" x14ac:dyDescent="0.25">
      <c r="B178" s="45" t="s">
        <v>19</v>
      </c>
      <c r="C178" s="46"/>
      <c r="D178" s="46"/>
      <c r="E178" s="46"/>
      <c r="F178" s="47"/>
      <c r="H178" s="45" t="s">
        <v>19</v>
      </c>
      <c r="I178" s="46"/>
      <c r="J178" s="46"/>
      <c r="K178" s="46"/>
      <c r="L178" s="47"/>
      <c r="N178" s="45" t="s">
        <v>19</v>
      </c>
      <c r="O178" s="46"/>
      <c r="P178" s="46"/>
      <c r="Q178" s="46"/>
      <c r="R178" s="47"/>
      <c r="T178" s="45" t="s">
        <v>19</v>
      </c>
      <c r="U178" s="46"/>
      <c r="V178" s="46"/>
      <c r="W178" s="46"/>
      <c r="X178" s="47"/>
    </row>
    <row r="179" spans="2:24" ht="15.75" thickBot="1" x14ac:dyDescent="0.3">
      <c r="B179" s="22" t="s">
        <v>18</v>
      </c>
      <c r="C179" s="20" t="s">
        <v>17</v>
      </c>
      <c r="D179" s="21" t="s">
        <v>16</v>
      </c>
      <c r="E179" s="20" t="s">
        <v>15</v>
      </c>
      <c r="F179" s="19" t="s">
        <v>14</v>
      </c>
      <c r="H179" s="22" t="s">
        <v>18</v>
      </c>
      <c r="I179" s="20" t="s">
        <v>17</v>
      </c>
      <c r="J179" s="21" t="s">
        <v>16</v>
      </c>
      <c r="K179" s="20" t="s">
        <v>15</v>
      </c>
      <c r="L179" s="19" t="s">
        <v>14</v>
      </c>
      <c r="N179" s="22" t="s">
        <v>18</v>
      </c>
      <c r="O179" s="20" t="s">
        <v>17</v>
      </c>
      <c r="P179" s="21" t="s">
        <v>16</v>
      </c>
      <c r="Q179" s="20" t="s">
        <v>15</v>
      </c>
      <c r="R179" s="19" t="s">
        <v>14</v>
      </c>
      <c r="T179" s="22" t="s">
        <v>18</v>
      </c>
      <c r="U179" s="20" t="s">
        <v>17</v>
      </c>
      <c r="V179" s="21" t="s">
        <v>16</v>
      </c>
      <c r="W179" s="20" t="s">
        <v>15</v>
      </c>
      <c r="X179" s="19" t="s">
        <v>14</v>
      </c>
    </row>
    <row r="180" spans="2:24" x14ac:dyDescent="0.25">
      <c r="B180" s="54" t="s">
        <v>13</v>
      </c>
      <c r="C180" s="55"/>
      <c r="D180" s="55"/>
      <c r="E180" s="55"/>
      <c r="F180" s="56"/>
      <c r="H180" s="54" t="s">
        <v>13</v>
      </c>
      <c r="I180" s="55"/>
      <c r="J180" s="55"/>
      <c r="K180" s="55"/>
      <c r="L180" s="56"/>
      <c r="N180" s="54" t="s">
        <v>13</v>
      </c>
      <c r="O180" s="55"/>
      <c r="P180" s="55"/>
      <c r="Q180" s="55"/>
      <c r="R180" s="56"/>
      <c r="T180" s="54" t="s">
        <v>13</v>
      </c>
      <c r="U180" s="55"/>
      <c r="V180" s="55"/>
      <c r="W180" s="55"/>
      <c r="X180" s="56"/>
    </row>
    <row r="181" spans="2:24" x14ac:dyDescent="0.25">
      <c r="B181" s="7"/>
      <c r="C181" s="18" t="s">
        <v>11</v>
      </c>
      <c r="D181" s="17"/>
      <c r="E181" s="16" t="s">
        <v>29</v>
      </c>
      <c r="F181" s="15"/>
      <c r="H181" s="7"/>
      <c r="I181" s="18" t="s">
        <v>11</v>
      </c>
      <c r="J181" s="17"/>
      <c r="K181" s="16" t="s">
        <v>28</v>
      </c>
      <c r="L181" s="15"/>
      <c r="N181" s="7"/>
      <c r="O181" s="18" t="s">
        <v>11</v>
      </c>
      <c r="P181" s="17"/>
      <c r="Q181" s="16" t="s">
        <v>27</v>
      </c>
      <c r="R181" s="15"/>
      <c r="T181" s="7"/>
      <c r="U181" s="18" t="s">
        <v>11</v>
      </c>
      <c r="V181" s="17"/>
      <c r="W181" s="16" t="s">
        <v>26</v>
      </c>
      <c r="X181" s="15"/>
    </row>
    <row r="182" spans="2:24" x14ac:dyDescent="0.25">
      <c r="B182" s="7"/>
      <c r="C182" s="18" t="s">
        <v>8</v>
      </c>
      <c r="D182" s="17"/>
      <c r="E182" s="16" t="s">
        <v>25</v>
      </c>
      <c r="F182" s="15"/>
      <c r="H182" s="7"/>
      <c r="I182" s="18" t="s">
        <v>8</v>
      </c>
      <c r="J182" s="17"/>
      <c r="K182" s="16" t="s">
        <v>24</v>
      </c>
      <c r="L182" s="15"/>
      <c r="N182" s="7"/>
      <c r="O182" s="18" t="s">
        <v>8</v>
      </c>
      <c r="P182" s="17"/>
      <c r="Q182" s="16" t="s">
        <v>23</v>
      </c>
      <c r="R182" s="15"/>
      <c r="T182" s="7"/>
      <c r="U182" s="18" t="s">
        <v>8</v>
      </c>
      <c r="V182" s="17"/>
      <c r="W182" s="16" t="s">
        <v>22</v>
      </c>
      <c r="X182" s="15"/>
    </row>
    <row r="183" spans="2:24" ht="30" x14ac:dyDescent="0.25">
      <c r="B183" s="7"/>
      <c r="C183" s="6" t="s">
        <v>6</v>
      </c>
      <c r="D183" s="14"/>
      <c r="E183" s="13" t="e">
        <f>'[2]Data Lingkungan (DL)'!Z91</f>
        <v>#REF!</v>
      </c>
      <c r="F183" s="12" t="s">
        <v>5</v>
      </c>
      <c r="H183" s="7"/>
      <c r="I183" s="6" t="s">
        <v>6</v>
      </c>
      <c r="J183" s="14"/>
      <c r="K183" s="13" t="e">
        <f>'[2]Data Lingkungan (DL)'!AF91</f>
        <v>#REF!</v>
      </c>
      <c r="L183" s="12" t="s">
        <v>5</v>
      </c>
      <c r="N183" s="7"/>
      <c r="O183" s="6" t="s">
        <v>6</v>
      </c>
      <c r="P183" s="14"/>
      <c r="Q183" s="13" t="e">
        <f>'[2]Data Lingkungan (DL)'!AL91</f>
        <v>#REF!</v>
      </c>
      <c r="R183" s="12" t="s">
        <v>5</v>
      </c>
      <c r="T183" s="7"/>
      <c r="U183" s="6" t="s">
        <v>6</v>
      </c>
      <c r="V183" s="14"/>
      <c r="W183" s="13" t="e">
        <f>'[2]Data Lingkungan (DL)'!AR91</f>
        <v>#REF!</v>
      </c>
      <c r="X183" s="12" t="s">
        <v>5</v>
      </c>
    </row>
    <row r="184" spans="2:24" x14ac:dyDescent="0.25">
      <c r="B184" s="11"/>
      <c r="C184" s="6" t="s">
        <v>4</v>
      </c>
      <c r="D184" s="10" t="s">
        <v>3</v>
      </c>
      <c r="E184" s="9" t="s">
        <v>2</v>
      </c>
      <c r="F184" s="8"/>
      <c r="H184" s="11"/>
      <c r="I184" s="6" t="s">
        <v>4</v>
      </c>
      <c r="J184" s="10" t="s">
        <v>3</v>
      </c>
      <c r="K184" s="9" t="s">
        <v>2</v>
      </c>
      <c r="L184" s="8"/>
      <c r="N184" s="11"/>
      <c r="O184" s="6" t="s">
        <v>4</v>
      </c>
      <c r="P184" s="10" t="s">
        <v>3</v>
      </c>
      <c r="Q184" s="9" t="s">
        <v>2</v>
      </c>
      <c r="R184" s="8"/>
      <c r="T184" s="11"/>
      <c r="U184" s="6" t="s">
        <v>4</v>
      </c>
      <c r="V184" s="10" t="s">
        <v>3</v>
      </c>
      <c r="W184" s="9" t="s">
        <v>2</v>
      </c>
      <c r="X184" s="8"/>
    </row>
    <row r="185" spans="2:24" ht="15" customHeight="1" x14ac:dyDescent="0.25">
      <c r="B185" s="7"/>
      <c r="C185" s="6"/>
      <c r="D185" s="5" t="s">
        <v>1</v>
      </c>
      <c r="E185" s="4" t="e">
        <f>'[2]Data Lingkungan (DL)'!BG72</f>
        <v>#REF!</v>
      </c>
      <c r="F185" s="3" t="s">
        <v>0</v>
      </c>
      <c r="H185" s="7"/>
      <c r="I185" s="6"/>
      <c r="J185" s="5" t="s">
        <v>1</v>
      </c>
      <c r="K185" s="4" t="e">
        <f>'[2]Data Lingkungan (DL)'!T101</f>
        <v>#REF!</v>
      </c>
      <c r="L185" s="3" t="s">
        <v>0</v>
      </c>
      <c r="N185" s="7"/>
      <c r="O185" s="6"/>
      <c r="P185" s="5" t="s">
        <v>1</v>
      </c>
      <c r="Q185" s="4" t="e">
        <f>'[2]Data Lingkungan (DL)'!Z101</f>
        <v>#REF!</v>
      </c>
      <c r="R185" s="3" t="s">
        <v>0</v>
      </c>
      <c r="T185" s="7"/>
      <c r="U185" s="6"/>
      <c r="V185" s="5" t="s">
        <v>1</v>
      </c>
      <c r="W185" s="4" t="e">
        <f>'[2]Data Lingkungan (DL)'!AF101</f>
        <v>#REF!</v>
      </c>
      <c r="X185" s="3" t="s">
        <v>0</v>
      </c>
    </row>
    <row r="186" spans="2:24" ht="15.75" thickBot="1" x14ac:dyDescent="0.3"/>
    <row r="187" spans="2:24" x14ac:dyDescent="0.25">
      <c r="B187" s="48" t="s">
        <v>21</v>
      </c>
      <c r="C187" s="49"/>
      <c r="D187" s="49"/>
      <c r="E187" s="49"/>
      <c r="F187" s="50"/>
      <c r="H187" s="48" t="s">
        <v>21</v>
      </c>
      <c r="I187" s="49"/>
      <c r="J187" s="49"/>
      <c r="K187" s="49"/>
      <c r="L187" s="50"/>
      <c r="N187" s="48" t="s">
        <v>21</v>
      </c>
      <c r="O187" s="49"/>
      <c r="P187" s="49"/>
      <c r="Q187" s="49"/>
      <c r="R187" s="50"/>
      <c r="T187" s="48" t="s">
        <v>21</v>
      </c>
      <c r="U187" s="49"/>
      <c r="V187" s="49"/>
      <c r="W187" s="49"/>
      <c r="X187" s="50"/>
    </row>
    <row r="188" spans="2:24" ht="15.75" thickBot="1" x14ac:dyDescent="0.3">
      <c r="B188" s="51" t="s">
        <v>20</v>
      </c>
      <c r="C188" s="52"/>
      <c r="D188" s="52"/>
      <c r="E188" s="52"/>
      <c r="F188" s="53"/>
      <c r="H188" s="51" t="s">
        <v>20</v>
      </c>
      <c r="I188" s="52"/>
      <c r="J188" s="52"/>
      <c r="K188" s="52"/>
      <c r="L188" s="53"/>
      <c r="N188" s="51" t="s">
        <v>20</v>
      </c>
      <c r="O188" s="52"/>
      <c r="P188" s="52"/>
      <c r="Q188" s="52"/>
      <c r="R188" s="53"/>
      <c r="T188" s="51" t="s">
        <v>20</v>
      </c>
      <c r="U188" s="52"/>
      <c r="V188" s="52"/>
      <c r="W188" s="52"/>
      <c r="X188" s="53"/>
    </row>
    <row r="189" spans="2:24" x14ac:dyDescent="0.25">
      <c r="B189" s="45" t="s">
        <v>19</v>
      </c>
      <c r="C189" s="46"/>
      <c r="D189" s="46"/>
      <c r="E189" s="46"/>
      <c r="F189" s="47"/>
      <c r="H189" s="45" t="s">
        <v>19</v>
      </c>
      <c r="I189" s="46"/>
      <c r="J189" s="46"/>
      <c r="K189" s="46"/>
      <c r="L189" s="47"/>
      <c r="N189" s="45" t="s">
        <v>19</v>
      </c>
      <c r="O189" s="46"/>
      <c r="P189" s="46"/>
      <c r="Q189" s="46"/>
      <c r="R189" s="47"/>
      <c r="T189" s="45" t="s">
        <v>19</v>
      </c>
      <c r="U189" s="46"/>
      <c r="V189" s="46"/>
      <c r="W189" s="46"/>
      <c r="X189" s="47"/>
    </row>
    <row r="190" spans="2:24" ht="15.75" thickBot="1" x14ac:dyDescent="0.3">
      <c r="B190" s="22" t="s">
        <v>18</v>
      </c>
      <c r="C190" s="20" t="s">
        <v>17</v>
      </c>
      <c r="D190" s="21" t="s">
        <v>16</v>
      </c>
      <c r="E190" s="20" t="s">
        <v>15</v>
      </c>
      <c r="F190" s="19" t="s">
        <v>14</v>
      </c>
      <c r="H190" s="22" t="s">
        <v>18</v>
      </c>
      <c r="I190" s="20" t="s">
        <v>17</v>
      </c>
      <c r="J190" s="21" t="s">
        <v>16</v>
      </c>
      <c r="K190" s="20" t="s">
        <v>15</v>
      </c>
      <c r="L190" s="19" t="s">
        <v>14</v>
      </c>
      <c r="N190" s="22" t="s">
        <v>18</v>
      </c>
      <c r="O190" s="20" t="s">
        <v>17</v>
      </c>
      <c r="P190" s="21" t="s">
        <v>16</v>
      </c>
      <c r="Q190" s="20" t="s">
        <v>15</v>
      </c>
      <c r="R190" s="19" t="s">
        <v>14</v>
      </c>
      <c r="T190" s="22" t="s">
        <v>18</v>
      </c>
      <c r="U190" s="20" t="s">
        <v>17</v>
      </c>
      <c r="V190" s="21" t="s">
        <v>16</v>
      </c>
      <c r="W190" s="20" t="s">
        <v>15</v>
      </c>
      <c r="X190" s="19" t="s">
        <v>14</v>
      </c>
    </row>
    <row r="191" spans="2:24" x14ac:dyDescent="0.25">
      <c r="B191" s="54" t="s">
        <v>13</v>
      </c>
      <c r="C191" s="55"/>
      <c r="D191" s="55"/>
      <c r="E191" s="55"/>
      <c r="F191" s="56"/>
      <c r="H191" s="54" t="s">
        <v>13</v>
      </c>
      <c r="I191" s="55"/>
      <c r="J191" s="55"/>
      <c r="K191" s="55"/>
      <c r="L191" s="56"/>
      <c r="N191" s="54" t="s">
        <v>13</v>
      </c>
      <c r="O191" s="55"/>
      <c r="P191" s="55"/>
      <c r="Q191" s="55"/>
      <c r="R191" s="56"/>
      <c r="T191" s="54" t="s">
        <v>13</v>
      </c>
      <c r="U191" s="55"/>
      <c r="V191" s="55"/>
      <c r="W191" s="55"/>
      <c r="X191" s="56"/>
    </row>
    <row r="192" spans="2:24" x14ac:dyDescent="0.25">
      <c r="B192" s="7"/>
      <c r="C192" s="18" t="s">
        <v>11</v>
      </c>
      <c r="D192" s="17"/>
      <c r="E192" s="16" t="s">
        <v>12</v>
      </c>
      <c r="F192" s="15"/>
      <c r="H192" s="7"/>
      <c r="I192" s="18" t="s">
        <v>11</v>
      </c>
      <c r="J192" s="17"/>
      <c r="K192" s="16" t="s">
        <v>10</v>
      </c>
      <c r="L192" s="15"/>
      <c r="N192" s="7"/>
      <c r="O192" s="18" t="s">
        <v>11</v>
      </c>
      <c r="P192" s="17"/>
      <c r="Q192" s="16" t="s">
        <v>111</v>
      </c>
      <c r="R192" s="15"/>
      <c r="T192" s="7"/>
      <c r="U192" s="18" t="s">
        <v>11</v>
      </c>
      <c r="V192" s="17"/>
      <c r="W192" s="16" t="s">
        <v>113</v>
      </c>
      <c r="X192" s="15"/>
    </row>
    <row r="193" spans="2:36" x14ac:dyDescent="0.25">
      <c r="B193" s="7"/>
      <c r="C193" s="18" t="s">
        <v>8</v>
      </c>
      <c r="D193" s="17"/>
      <c r="E193" s="16" t="s">
        <v>9</v>
      </c>
      <c r="F193" s="15"/>
      <c r="H193" s="7"/>
      <c r="I193" s="18" t="s">
        <v>8</v>
      </c>
      <c r="J193" s="17"/>
      <c r="K193" s="16" t="s">
        <v>7</v>
      </c>
      <c r="L193" s="15"/>
      <c r="N193" s="7"/>
      <c r="O193" s="18" t="s">
        <v>8</v>
      </c>
      <c r="P193" s="17"/>
      <c r="Q193" s="16" t="s">
        <v>112</v>
      </c>
      <c r="R193" s="15"/>
      <c r="T193" s="7"/>
      <c r="U193" s="18" t="s">
        <v>8</v>
      </c>
      <c r="V193" s="17"/>
      <c r="W193" s="16" t="s">
        <v>114</v>
      </c>
      <c r="X193" s="15"/>
    </row>
    <row r="194" spans="2:36" ht="30" x14ac:dyDescent="0.25">
      <c r="B194" s="7"/>
      <c r="C194" s="6" t="s">
        <v>6</v>
      </c>
      <c r="D194" s="14"/>
      <c r="E194" s="13" t="e">
        <f>'[2]Data Lingkungan (DL)'!Z102</f>
        <v>#REF!</v>
      </c>
      <c r="F194" s="12" t="s">
        <v>5</v>
      </c>
      <c r="H194" s="7"/>
      <c r="I194" s="6" t="s">
        <v>6</v>
      </c>
      <c r="J194" s="14"/>
      <c r="K194" s="16"/>
      <c r="L194" s="12" t="s">
        <v>5</v>
      </c>
      <c r="N194" s="7"/>
      <c r="O194" s="6" t="s">
        <v>6</v>
      </c>
      <c r="P194" s="14"/>
      <c r="Q194" s="16"/>
      <c r="R194" s="12" t="s">
        <v>5</v>
      </c>
      <c r="T194" s="7"/>
      <c r="U194" s="6" t="s">
        <v>6</v>
      </c>
      <c r="V194" s="14"/>
      <c r="W194" s="16"/>
      <c r="X194" s="12" t="s">
        <v>5</v>
      </c>
    </row>
    <row r="195" spans="2:36" x14ac:dyDescent="0.25">
      <c r="B195" s="11"/>
      <c r="C195" s="6" t="s">
        <v>4</v>
      </c>
      <c r="D195" s="10" t="s">
        <v>3</v>
      </c>
      <c r="E195" s="9" t="s">
        <v>2</v>
      </c>
      <c r="F195" s="8"/>
      <c r="H195" s="11"/>
      <c r="I195" s="6" t="s">
        <v>4</v>
      </c>
      <c r="J195" s="10" t="s">
        <v>3</v>
      </c>
      <c r="K195" s="9" t="s">
        <v>2</v>
      </c>
      <c r="L195" s="8"/>
      <c r="N195" s="11"/>
      <c r="O195" s="6" t="s">
        <v>4</v>
      </c>
      <c r="P195" s="10" t="s">
        <v>3</v>
      </c>
      <c r="Q195" s="9" t="s">
        <v>2</v>
      </c>
      <c r="R195" s="8"/>
      <c r="T195" s="11"/>
      <c r="U195" s="6" t="s">
        <v>4</v>
      </c>
      <c r="V195" s="10" t="s">
        <v>3</v>
      </c>
      <c r="W195" s="9" t="s">
        <v>2</v>
      </c>
      <c r="X195" s="8"/>
    </row>
    <row r="196" spans="2:36" ht="15" customHeight="1" x14ac:dyDescent="0.25">
      <c r="B196" s="7"/>
      <c r="C196" s="6"/>
      <c r="D196" s="5" t="s">
        <v>1</v>
      </c>
      <c r="E196" s="4" t="e">
        <f>'[2]Data Lingkungan (DL)'!N112</f>
        <v>#REF!</v>
      </c>
      <c r="F196" s="3" t="s">
        <v>0</v>
      </c>
      <c r="H196" s="7"/>
      <c r="I196" s="6"/>
      <c r="J196" s="5" t="s">
        <v>1</v>
      </c>
      <c r="K196" s="4" t="e">
        <f>'[2]Data Lingkungan (DL)'!T112</f>
        <v>#REF!</v>
      </c>
      <c r="L196" s="3" t="s">
        <v>0</v>
      </c>
      <c r="N196" s="7"/>
      <c r="O196" s="6"/>
      <c r="P196" s="5" t="s">
        <v>1</v>
      </c>
      <c r="Q196" s="4" t="e">
        <f>'[2]Data Lingkungan (DL)'!Z112</f>
        <v>#REF!</v>
      </c>
      <c r="R196" s="3" t="s">
        <v>0</v>
      </c>
      <c r="T196" s="7"/>
      <c r="U196" s="6"/>
      <c r="V196" s="5" t="s">
        <v>1</v>
      </c>
      <c r="W196" s="4" t="e">
        <f>'[2]Data Lingkungan (DL)'!AF112</f>
        <v>#REF!</v>
      </c>
      <c r="X196" s="3" t="s">
        <v>0</v>
      </c>
    </row>
    <row r="197" spans="2:36" ht="15.75" thickBot="1" x14ac:dyDescent="0.3"/>
    <row r="198" spans="2:36" x14ac:dyDescent="0.25">
      <c r="B198" s="48" t="s">
        <v>21</v>
      </c>
      <c r="C198" s="49"/>
      <c r="D198" s="49"/>
      <c r="E198" s="49"/>
      <c r="F198" s="50"/>
      <c r="G198" s="38"/>
      <c r="H198" s="48" t="s">
        <v>21</v>
      </c>
      <c r="I198" s="49"/>
      <c r="J198" s="49"/>
      <c r="K198" s="49"/>
      <c r="L198" s="50"/>
      <c r="N198" s="48" t="s">
        <v>21</v>
      </c>
      <c r="O198" s="49"/>
      <c r="P198" s="49"/>
      <c r="Q198" s="49"/>
      <c r="R198" s="50"/>
      <c r="T198" s="48" t="s">
        <v>21</v>
      </c>
      <c r="U198" s="49"/>
      <c r="V198" s="49"/>
      <c r="W198" s="49"/>
      <c r="X198" s="50"/>
      <c r="Z198" s="48" t="s">
        <v>21</v>
      </c>
      <c r="AA198" s="49"/>
      <c r="AB198" s="49"/>
      <c r="AC198" s="49"/>
      <c r="AD198" s="50"/>
      <c r="AF198" s="48" t="s">
        <v>21</v>
      </c>
      <c r="AG198" s="49"/>
      <c r="AH198" s="49"/>
      <c r="AI198" s="49"/>
      <c r="AJ198" s="50"/>
    </row>
    <row r="199" spans="2:36" ht="15.75" thickBot="1" x14ac:dyDescent="0.3">
      <c r="B199" s="51" t="s">
        <v>20</v>
      </c>
      <c r="C199" s="52"/>
      <c r="D199" s="52"/>
      <c r="E199" s="52"/>
      <c r="F199" s="53"/>
      <c r="G199" s="39"/>
      <c r="H199" s="51" t="s">
        <v>20</v>
      </c>
      <c r="I199" s="52"/>
      <c r="J199" s="52"/>
      <c r="K199" s="52"/>
      <c r="L199" s="53"/>
      <c r="N199" s="51" t="s">
        <v>20</v>
      </c>
      <c r="O199" s="52"/>
      <c r="P199" s="52"/>
      <c r="Q199" s="52"/>
      <c r="R199" s="53"/>
      <c r="T199" s="51" t="s">
        <v>20</v>
      </c>
      <c r="U199" s="52"/>
      <c r="V199" s="52"/>
      <c r="W199" s="52"/>
      <c r="X199" s="53"/>
      <c r="Z199" s="51" t="s">
        <v>20</v>
      </c>
      <c r="AA199" s="52"/>
      <c r="AB199" s="52"/>
      <c r="AC199" s="52"/>
      <c r="AD199" s="53"/>
      <c r="AF199" s="51" t="s">
        <v>20</v>
      </c>
      <c r="AG199" s="52"/>
      <c r="AH199" s="52"/>
      <c r="AI199" s="52"/>
      <c r="AJ199" s="53"/>
    </row>
    <row r="200" spans="2:36" x14ac:dyDescent="0.25">
      <c r="B200" s="45" t="s">
        <v>19</v>
      </c>
      <c r="C200" s="46"/>
      <c r="D200" s="46"/>
      <c r="E200" s="46"/>
      <c r="F200" s="47"/>
      <c r="G200" s="40"/>
      <c r="H200" s="45" t="s">
        <v>19</v>
      </c>
      <c r="I200" s="46"/>
      <c r="J200" s="46"/>
      <c r="K200" s="46"/>
      <c r="L200" s="47"/>
      <c r="N200" s="45" t="s">
        <v>19</v>
      </c>
      <c r="O200" s="46"/>
      <c r="P200" s="46"/>
      <c r="Q200" s="46"/>
      <c r="R200" s="47"/>
      <c r="T200" s="45" t="s">
        <v>19</v>
      </c>
      <c r="U200" s="46"/>
      <c r="V200" s="46"/>
      <c r="W200" s="46"/>
      <c r="X200" s="47"/>
      <c r="Z200" s="45" t="s">
        <v>19</v>
      </c>
      <c r="AA200" s="46"/>
      <c r="AB200" s="46"/>
      <c r="AC200" s="46"/>
      <c r="AD200" s="47"/>
      <c r="AF200" s="45" t="s">
        <v>19</v>
      </c>
      <c r="AG200" s="46"/>
      <c r="AH200" s="46"/>
      <c r="AI200" s="46"/>
      <c r="AJ200" s="47"/>
    </row>
    <row r="201" spans="2:36" ht="15.75" thickBot="1" x14ac:dyDescent="0.3">
      <c r="B201" s="22" t="s">
        <v>18</v>
      </c>
      <c r="C201" s="20" t="s">
        <v>17</v>
      </c>
      <c r="D201" s="21" t="s">
        <v>16</v>
      </c>
      <c r="E201" s="20" t="s">
        <v>15</v>
      </c>
      <c r="F201" s="19" t="s">
        <v>14</v>
      </c>
      <c r="G201" s="41"/>
      <c r="H201" s="22" t="s">
        <v>18</v>
      </c>
      <c r="I201" s="20" t="s">
        <v>17</v>
      </c>
      <c r="J201" s="21" t="s">
        <v>16</v>
      </c>
      <c r="K201" s="20" t="s">
        <v>15</v>
      </c>
      <c r="L201" s="19" t="s">
        <v>14</v>
      </c>
      <c r="N201" s="22" t="s">
        <v>18</v>
      </c>
      <c r="O201" s="20" t="s">
        <v>17</v>
      </c>
      <c r="P201" s="21" t="s">
        <v>16</v>
      </c>
      <c r="Q201" s="20" t="s">
        <v>15</v>
      </c>
      <c r="R201" s="19" t="s">
        <v>14</v>
      </c>
      <c r="T201" s="22" t="s">
        <v>18</v>
      </c>
      <c r="U201" s="20" t="s">
        <v>17</v>
      </c>
      <c r="V201" s="21" t="s">
        <v>16</v>
      </c>
      <c r="W201" s="20" t="s">
        <v>15</v>
      </c>
      <c r="X201" s="19" t="s">
        <v>14</v>
      </c>
      <c r="Z201" s="22" t="s">
        <v>18</v>
      </c>
      <c r="AA201" s="20" t="s">
        <v>17</v>
      </c>
      <c r="AB201" s="21" t="s">
        <v>16</v>
      </c>
      <c r="AC201" s="20" t="s">
        <v>15</v>
      </c>
      <c r="AD201" s="19" t="s">
        <v>14</v>
      </c>
      <c r="AF201" s="22" t="s">
        <v>18</v>
      </c>
      <c r="AG201" s="20" t="s">
        <v>17</v>
      </c>
      <c r="AH201" s="21" t="s">
        <v>16</v>
      </c>
      <c r="AI201" s="20" t="s">
        <v>15</v>
      </c>
      <c r="AJ201" s="19" t="s">
        <v>14</v>
      </c>
    </row>
    <row r="202" spans="2:36" x14ac:dyDescent="0.25">
      <c r="B202" s="45" t="s">
        <v>69</v>
      </c>
      <c r="C202" s="46"/>
      <c r="D202" s="46"/>
      <c r="E202" s="46"/>
      <c r="F202" s="47"/>
      <c r="G202" s="40"/>
      <c r="H202" s="45" t="s">
        <v>69</v>
      </c>
      <c r="I202" s="46"/>
      <c r="J202" s="46"/>
      <c r="K202" s="46"/>
      <c r="L202" s="47"/>
      <c r="N202" s="45" t="s">
        <v>69</v>
      </c>
      <c r="O202" s="46"/>
      <c r="P202" s="46"/>
      <c r="Q202" s="46"/>
      <c r="R202" s="47"/>
      <c r="T202" s="54" t="s">
        <v>13</v>
      </c>
      <c r="U202" s="55"/>
      <c r="V202" s="55"/>
      <c r="W202" s="55"/>
      <c r="X202" s="56"/>
      <c r="Z202" s="45" t="s">
        <v>69</v>
      </c>
      <c r="AA202" s="46"/>
      <c r="AB202" s="46"/>
      <c r="AC202" s="46"/>
      <c r="AD202" s="47"/>
      <c r="AF202" s="45" t="s">
        <v>69</v>
      </c>
      <c r="AG202" s="46"/>
      <c r="AH202" s="46"/>
      <c r="AI202" s="46"/>
      <c r="AJ202" s="47"/>
    </row>
    <row r="203" spans="2:36" ht="30" x14ac:dyDescent="0.25">
      <c r="B203" s="7"/>
      <c r="C203" s="18" t="s">
        <v>11</v>
      </c>
      <c r="D203" s="17"/>
      <c r="E203" s="16" t="s">
        <v>116</v>
      </c>
      <c r="F203" s="15"/>
      <c r="G203" s="42"/>
      <c r="H203" s="7"/>
      <c r="I203" s="18" t="s">
        <v>11</v>
      </c>
      <c r="J203" s="17"/>
      <c r="K203" s="16" t="s">
        <v>125</v>
      </c>
      <c r="L203" s="15"/>
      <c r="N203" s="7"/>
      <c r="O203" s="18" t="s">
        <v>11</v>
      </c>
      <c r="P203" s="17"/>
      <c r="Q203" s="16" t="s">
        <v>122</v>
      </c>
      <c r="R203" s="15"/>
      <c r="T203" s="7"/>
      <c r="U203" s="18" t="s">
        <v>11</v>
      </c>
      <c r="V203" s="17"/>
      <c r="W203" s="16" t="s">
        <v>123</v>
      </c>
      <c r="X203" s="15"/>
      <c r="Z203" s="7"/>
      <c r="AA203" s="18" t="s">
        <v>11</v>
      </c>
      <c r="AB203" s="17"/>
      <c r="AC203" s="16" t="s">
        <v>124</v>
      </c>
      <c r="AD203" s="15"/>
      <c r="AF203" s="7"/>
      <c r="AG203" s="18" t="s">
        <v>11</v>
      </c>
      <c r="AH203" s="17"/>
      <c r="AI203" s="16" t="s">
        <v>146</v>
      </c>
      <c r="AJ203" s="15"/>
    </row>
    <row r="204" spans="2:36" x14ac:dyDescent="0.25">
      <c r="B204" s="7"/>
      <c r="C204" s="18" t="s">
        <v>8</v>
      </c>
      <c r="D204" s="17"/>
      <c r="E204" s="16" t="s">
        <v>109</v>
      </c>
      <c r="F204" s="15"/>
      <c r="G204" s="42"/>
      <c r="H204" s="7"/>
      <c r="I204" s="18" t="s">
        <v>8</v>
      </c>
      <c r="J204" s="17"/>
      <c r="K204" s="16" t="s">
        <v>127</v>
      </c>
      <c r="L204" s="15"/>
      <c r="N204" s="7"/>
      <c r="O204" s="18" t="s">
        <v>8</v>
      </c>
      <c r="P204" s="17"/>
      <c r="Q204" s="16" t="s">
        <v>128</v>
      </c>
      <c r="R204" s="15"/>
      <c r="T204" s="7"/>
      <c r="U204" s="18" t="s">
        <v>8</v>
      </c>
      <c r="V204" s="17"/>
      <c r="W204" s="16" t="s">
        <v>133</v>
      </c>
      <c r="X204" s="15"/>
      <c r="Z204" s="7"/>
      <c r="AA204" s="18" t="s">
        <v>8</v>
      </c>
      <c r="AB204" s="17"/>
      <c r="AC204" s="16" t="s">
        <v>134</v>
      </c>
      <c r="AD204" s="15"/>
      <c r="AF204" s="7"/>
      <c r="AG204" s="18" t="s">
        <v>8</v>
      </c>
      <c r="AH204" s="17"/>
      <c r="AI204" s="16" t="s">
        <v>147</v>
      </c>
      <c r="AJ204" s="15"/>
    </row>
    <row r="205" spans="2:36" ht="15" hidden="1" customHeight="1" x14ac:dyDescent="0.25">
      <c r="B205" s="7"/>
      <c r="C205" s="18" t="s">
        <v>59</v>
      </c>
      <c r="D205" s="17"/>
      <c r="E205" s="16">
        <f>15*12*30</f>
        <v>5400</v>
      </c>
      <c r="F205" s="15" t="s">
        <v>56</v>
      </c>
      <c r="G205" s="42"/>
      <c r="H205" s="7"/>
      <c r="I205" s="18" t="s">
        <v>59</v>
      </c>
      <c r="J205" s="17"/>
      <c r="K205" s="16">
        <f>15*12*30</f>
        <v>5400</v>
      </c>
      <c r="L205" s="15" t="s">
        <v>56</v>
      </c>
      <c r="N205" s="7"/>
      <c r="O205" s="18" t="s">
        <v>59</v>
      </c>
      <c r="P205" s="17"/>
      <c r="Q205" s="16">
        <f>15*12*30</f>
        <v>5400</v>
      </c>
      <c r="R205" s="15" t="s">
        <v>56</v>
      </c>
      <c r="T205" s="7"/>
      <c r="U205" s="18" t="s">
        <v>59</v>
      </c>
      <c r="V205" s="17"/>
      <c r="W205" s="16">
        <f>15*12*30</f>
        <v>5400</v>
      </c>
      <c r="X205" s="15" t="s">
        <v>56</v>
      </c>
      <c r="Z205" s="7"/>
      <c r="AA205" s="18" t="s">
        <v>59</v>
      </c>
      <c r="AB205" s="17"/>
      <c r="AC205" s="16">
        <f>15*12*30</f>
        <v>5400</v>
      </c>
      <c r="AD205" s="15" t="s">
        <v>56</v>
      </c>
      <c r="AF205" s="7"/>
      <c r="AG205" s="18" t="s">
        <v>59</v>
      </c>
      <c r="AH205" s="17"/>
      <c r="AI205" s="16">
        <f>15*12*30</f>
        <v>5400</v>
      </c>
      <c r="AJ205" s="15" t="s">
        <v>56</v>
      </c>
    </row>
    <row r="206" spans="2:36" ht="15" hidden="1" customHeight="1" x14ac:dyDescent="0.25">
      <c r="B206" s="7"/>
      <c r="C206" s="32" t="s">
        <v>58</v>
      </c>
      <c r="D206" s="5"/>
      <c r="E206" s="4">
        <v>120</v>
      </c>
      <c r="F206" s="3" t="s">
        <v>56</v>
      </c>
      <c r="G206" s="43"/>
      <c r="H206" s="7"/>
      <c r="I206" s="32" t="s">
        <v>58</v>
      </c>
      <c r="J206" s="5"/>
      <c r="K206" s="4">
        <v>120</v>
      </c>
      <c r="L206" s="3" t="s">
        <v>56</v>
      </c>
      <c r="N206" s="7"/>
      <c r="O206" s="32" t="s">
        <v>58</v>
      </c>
      <c r="P206" s="5"/>
      <c r="Q206" s="4">
        <v>120</v>
      </c>
      <c r="R206" s="3" t="s">
        <v>56</v>
      </c>
      <c r="T206" s="7"/>
      <c r="U206" s="32" t="s">
        <v>58</v>
      </c>
      <c r="V206" s="5"/>
      <c r="W206" s="4">
        <v>120</v>
      </c>
      <c r="X206" s="3" t="s">
        <v>56</v>
      </c>
      <c r="Z206" s="7"/>
      <c r="AA206" s="32" t="s">
        <v>58</v>
      </c>
      <c r="AB206" s="5"/>
      <c r="AC206" s="4">
        <v>120</v>
      </c>
      <c r="AD206" s="3" t="s">
        <v>56</v>
      </c>
      <c r="AF206" s="7"/>
      <c r="AG206" s="32" t="s">
        <v>58</v>
      </c>
      <c r="AH206" s="5"/>
      <c r="AI206" s="4">
        <v>120</v>
      </c>
      <c r="AJ206" s="3" t="s">
        <v>56</v>
      </c>
    </row>
    <row r="207" spans="2:36" ht="30" hidden="1" customHeight="1" x14ac:dyDescent="0.25">
      <c r="B207" s="7"/>
      <c r="C207" s="6" t="s">
        <v>57</v>
      </c>
      <c r="D207" s="14"/>
      <c r="E207" s="31">
        <f>E205-E206-(E208+E210)/2*10</f>
        <v>5275</v>
      </c>
      <c r="F207" s="12" t="s">
        <v>56</v>
      </c>
      <c r="G207" s="44"/>
      <c r="H207" s="7"/>
      <c r="I207" s="6" t="s">
        <v>57</v>
      </c>
      <c r="J207" s="14"/>
      <c r="K207" s="31" t="e">
        <f>K205-K206-(K208+K210)/2*10</f>
        <v>#REF!</v>
      </c>
      <c r="L207" s="12" t="s">
        <v>56</v>
      </c>
      <c r="N207" s="7"/>
      <c r="O207" s="6" t="s">
        <v>57</v>
      </c>
      <c r="P207" s="14"/>
      <c r="Q207" s="31" t="e">
        <f>Q205-Q206-(Q208+Q210)/2*10</f>
        <v>#REF!</v>
      </c>
      <c r="R207" s="12" t="s">
        <v>56</v>
      </c>
      <c r="T207" s="7"/>
      <c r="U207" s="6" t="s">
        <v>57</v>
      </c>
      <c r="V207" s="14"/>
      <c r="W207" s="31">
        <f>W205-W206-(W208+W210)/2*10</f>
        <v>5275</v>
      </c>
      <c r="X207" s="12" t="s">
        <v>56</v>
      </c>
      <c r="Z207" s="7"/>
      <c r="AA207" s="6" t="s">
        <v>57</v>
      </c>
      <c r="AB207" s="14"/>
      <c r="AC207" s="31" t="e">
        <f>AC205-AC206-(AC208+AC210)/2*10</f>
        <v>#REF!</v>
      </c>
      <c r="AD207" s="12" t="s">
        <v>56</v>
      </c>
      <c r="AF207" s="7"/>
      <c r="AG207" s="6" t="s">
        <v>57</v>
      </c>
      <c r="AH207" s="14"/>
      <c r="AI207" s="31" t="e">
        <f>AI205-AI206-(AI208+AI210)/2*10</f>
        <v>#REF!</v>
      </c>
      <c r="AJ207" s="12" t="s">
        <v>56</v>
      </c>
    </row>
    <row r="208" spans="2:36" ht="30" hidden="1" customHeight="1" x14ac:dyDescent="0.25">
      <c r="B208" s="7"/>
      <c r="C208" s="6" t="s">
        <v>55</v>
      </c>
      <c r="D208" s="14" t="s">
        <v>51</v>
      </c>
      <c r="E208" s="30">
        <f>((E206/E205)*45-E209)</f>
        <v>1</v>
      </c>
      <c r="F208" s="12" t="s">
        <v>50</v>
      </c>
      <c r="G208" s="44"/>
      <c r="H208" s="7"/>
      <c r="I208" s="6" t="s">
        <v>55</v>
      </c>
      <c r="J208" s="14" t="s">
        <v>51</v>
      </c>
      <c r="K208" s="30">
        <f>((K206/K205)*45-K209)</f>
        <v>1</v>
      </c>
      <c r="L208" s="12" t="s">
        <v>50</v>
      </c>
      <c r="N208" s="7"/>
      <c r="O208" s="6" t="s">
        <v>55</v>
      </c>
      <c r="P208" s="14" t="s">
        <v>51</v>
      </c>
      <c r="Q208" s="30">
        <f>((Q206/Q205)*45-Q209)</f>
        <v>1</v>
      </c>
      <c r="R208" s="12" t="s">
        <v>50</v>
      </c>
      <c r="T208" s="7"/>
      <c r="U208" s="6" t="s">
        <v>55</v>
      </c>
      <c r="V208" s="14" t="s">
        <v>51</v>
      </c>
      <c r="W208" s="30">
        <f>((W206/W205)*45-W209)</f>
        <v>1</v>
      </c>
      <c r="X208" s="12" t="s">
        <v>50</v>
      </c>
      <c r="Z208" s="7"/>
      <c r="AA208" s="6" t="s">
        <v>55</v>
      </c>
      <c r="AB208" s="14" t="s">
        <v>51</v>
      </c>
      <c r="AC208" s="30">
        <f>((AC206/AC205)*45-AC209)</f>
        <v>1</v>
      </c>
      <c r="AD208" s="12" t="s">
        <v>50</v>
      </c>
      <c r="AF208" s="7"/>
      <c r="AG208" s="6" t="s">
        <v>55</v>
      </c>
      <c r="AH208" s="14" t="s">
        <v>51</v>
      </c>
      <c r="AI208" s="30">
        <f>((AI206/AI205)*45-AI209)</f>
        <v>1</v>
      </c>
      <c r="AJ208" s="12" t="s">
        <v>50</v>
      </c>
    </row>
    <row r="209" spans="2:36" ht="90" hidden="1" customHeight="1" x14ac:dyDescent="0.25">
      <c r="B209" s="7"/>
      <c r="C209" s="6"/>
      <c r="D209" s="14" t="s">
        <v>54</v>
      </c>
      <c r="E209" s="29"/>
      <c r="F209" s="12" t="s">
        <v>53</v>
      </c>
      <c r="G209" s="44"/>
      <c r="H209" s="7"/>
      <c r="I209" s="6"/>
      <c r="J209" s="14" t="s">
        <v>54</v>
      </c>
      <c r="K209" s="29"/>
      <c r="L209" s="12" t="s">
        <v>53</v>
      </c>
      <c r="N209" s="7"/>
      <c r="O209" s="6"/>
      <c r="P209" s="14" t="s">
        <v>54</v>
      </c>
      <c r="Q209" s="29"/>
      <c r="R209" s="12" t="s">
        <v>53</v>
      </c>
      <c r="T209" s="7"/>
      <c r="U209" s="6"/>
      <c r="V209" s="14" t="s">
        <v>54</v>
      </c>
      <c r="W209" s="29"/>
      <c r="X209" s="12" t="s">
        <v>53</v>
      </c>
      <c r="Z209" s="7"/>
      <c r="AA209" s="6"/>
      <c r="AB209" s="14" t="s">
        <v>54</v>
      </c>
      <c r="AC209" s="29"/>
      <c r="AD209" s="12" t="s">
        <v>53</v>
      </c>
      <c r="AF209" s="7"/>
      <c r="AG209" s="6"/>
      <c r="AH209" s="14" t="s">
        <v>54</v>
      </c>
      <c r="AI209" s="29"/>
      <c r="AJ209" s="12" t="s">
        <v>53</v>
      </c>
    </row>
    <row r="210" spans="2:36" ht="30" hidden="1" customHeight="1" x14ac:dyDescent="0.25">
      <c r="B210" s="7"/>
      <c r="C210" s="6" t="s">
        <v>52</v>
      </c>
      <c r="D210" s="14" t="s">
        <v>51</v>
      </c>
      <c r="E210" s="29">
        <f>'[1]Data Lingkungan_IC'!CB64</f>
        <v>0</v>
      </c>
      <c r="F210" s="12" t="s">
        <v>50</v>
      </c>
      <c r="G210" s="44"/>
      <c r="H210" s="7"/>
      <c r="I210" s="6" t="s">
        <v>52</v>
      </c>
      <c r="J210" s="14" t="s">
        <v>51</v>
      </c>
      <c r="K210" s="29" t="e">
        <f>'[1]Data Lingkungan_IC'!AN113</f>
        <v>#REF!</v>
      </c>
      <c r="L210" s="12" t="s">
        <v>50</v>
      </c>
      <c r="N210" s="7"/>
      <c r="O210" s="6" t="s">
        <v>52</v>
      </c>
      <c r="P210" s="14" t="s">
        <v>51</v>
      </c>
      <c r="Q210" s="29" t="e">
        <f>'[1]Data Lingkungan_IC'!AT113</f>
        <v>#REF!</v>
      </c>
      <c r="R210" s="12" t="s">
        <v>50</v>
      </c>
      <c r="T210" s="7"/>
      <c r="U210" s="6" t="s">
        <v>52</v>
      </c>
      <c r="V210" s="14" t="s">
        <v>51</v>
      </c>
      <c r="W210" s="29">
        <f>'[1]Data Lingkungan_IC'!$DL$65</f>
        <v>0</v>
      </c>
      <c r="X210" s="12" t="s">
        <v>50</v>
      </c>
      <c r="Z210" s="7"/>
      <c r="AA210" s="6" t="s">
        <v>52</v>
      </c>
      <c r="AB210" s="14" t="s">
        <v>51</v>
      </c>
      <c r="AC210" s="29" t="e">
        <f>'[1]Data Lingkungan_IC'!BF113</f>
        <v>#REF!</v>
      </c>
      <c r="AD210" s="12" t="s">
        <v>50</v>
      </c>
      <c r="AF210" s="7"/>
      <c r="AG210" s="6" t="s">
        <v>52</v>
      </c>
      <c r="AH210" s="14" t="s">
        <v>51</v>
      </c>
      <c r="AI210" s="29" t="e">
        <f>'[1]Data Lingkungan_IC'!BL113</f>
        <v>#REF!</v>
      </c>
      <c r="AJ210" s="12" t="s">
        <v>50</v>
      </c>
    </row>
    <row r="211" spans="2:36" ht="90" hidden="1" customHeight="1" x14ac:dyDescent="0.25">
      <c r="B211" s="7"/>
      <c r="C211" s="6" t="s">
        <v>6</v>
      </c>
      <c r="D211" s="14"/>
      <c r="E211" s="13">
        <f>(E207/E205)</f>
        <v>0.97685185185185186</v>
      </c>
      <c r="F211" s="12" t="s">
        <v>5</v>
      </c>
      <c r="G211" s="44"/>
      <c r="H211" s="7"/>
      <c r="I211" s="6" t="s">
        <v>6</v>
      </c>
      <c r="J211" s="14"/>
      <c r="K211" s="13" t="e">
        <f>(K207/K205)</f>
        <v>#REF!</v>
      </c>
      <c r="L211" s="12" t="s">
        <v>5</v>
      </c>
      <c r="N211" s="7"/>
      <c r="O211" s="6" t="s">
        <v>6</v>
      </c>
      <c r="P211" s="14"/>
      <c r="Q211" s="13" t="e">
        <f>(Q207/Q205)</f>
        <v>#REF!</v>
      </c>
      <c r="R211" s="12" t="s">
        <v>5</v>
      </c>
      <c r="T211" s="7"/>
      <c r="U211" s="6" t="s">
        <v>6</v>
      </c>
      <c r="V211" s="14"/>
      <c r="W211" s="13">
        <f>(W207/W205)</f>
        <v>0.97685185185185186</v>
      </c>
      <c r="X211" s="12" t="s">
        <v>5</v>
      </c>
      <c r="Z211" s="7"/>
      <c r="AA211" s="6" t="s">
        <v>6</v>
      </c>
      <c r="AB211" s="14"/>
      <c r="AC211" s="13" t="e">
        <f>(AC207/AC205)</f>
        <v>#REF!</v>
      </c>
      <c r="AD211" s="12" t="s">
        <v>5</v>
      </c>
      <c r="AF211" s="7"/>
      <c r="AG211" s="6" t="s">
        <v>6</v>
      </c>
      <c r="AH211" s="14"/>
      <c r="AI211" s="13" t="e">
        <f>(AI207/AI205)</f>
        <v>#REF!</v>
      </c>
      <c r="AJ211" s="12" t="s">
        <v>5</v>
      </c>
    </row>
    <row r="212" spans="2:36" x14ac:dyDescent="0.25">
      <c r="B212" s="11"/>
      <c r="C212" s="6" t="s">
        <v>4</v>
      </c>
      <c r="D212" s="10" t="s">
        <v>3</v>
      </c>
      <c r="E212" s="9" t="s">
        <v>121</v>
      </c>
      <c r="F212" s="8"/>
      <c r="G212" s="42"/>
      <c r="H212" s="11"/>
      <c r="I212" s="6" t="s">
        <v>4</v>
      </c>
      <c r="J212" s="10" t="s">
        <v>3</v>
      </c>
      <c r="K212" s="9" t="s">
        <v>121</v>
      </c>
      <c r="L212" s="8"/>
      <c r="N212" s="11"/>
      <c r="O212" s="6" t="s">
        <v>4</v>
      </c>
      <c r="P212" s="10" t="s">
        <v>3</v>
      </c>
      <c r="Q212" s="9" t="s">
        <v>121</v>
      </c>
      <c r="R212" s="8"/>
      <c r="T212" s="11"/>
      <c r="U212" s="6" t="s">
        <v>4</v>
      </c>
      <c r="V212" s="10" t="s">
        <v>3</v>
      </c>
      <c r="W212" s="9" t="s">
        <v>121</v>
      </c>
      <c r="X212" s="8"/>
      <c r="Z212" s="11"/>
      <c r="AA212" s="6" t="s">
        <v>4</v>
      </c>
      <c r="AB212" s="10" t="s">
        <v>3</v>
      </c>
      <c r="AC212" s="9" t="s">
        <v>121</v>
      </c>
      <c r="AD212" s="8"/>
      <c r="AF212" s="11"/>
      <c r="AG212" s="6" t="s">
        <v>4</v>
      </c>
      <c r="AH212" s="10" t="s">
        <v>3</v>
      </c>
      <c r="AI212" s="9" t="s">
        <v>148</v>
      </c>
      <c r="AJ212" s="8"/>
    </row>
    <row r="213" spans="2:36" x14ac:dyDescent="0.25">
      <c r="B213" s="11"/>
      <c r="D213" s="5" t="s">
        <v>1</v>
      </c>
      <c r="E213" s="4"/>
      <c r="F213" s="3" t="s">
        <v>48</v>
      </c>
      <c r="G213" s="43"/>
      <c r="H213" s="11"/>
      <c r="J213" s="5" t="s">
        <v>1</v>
      </c>
      <c r="K213" s="4"/>
      <c r="L213" s="3" t="s">
        <v>48</v>
      </c>
      <c r="N213" s="11"/>
      <c r="P213" s="5" t="s">
        <v>1</v>
      </c>
      <c r="Q213" s="4"/>
      <c r="R213" s="3" t="s">
        <v>48</v>
      </c>
      <c r="T213" s="11"/>
      <c r="V213" s="5" t="s">
        <v>1</v>
      </c>
      <c r="W213" s="4"/>
      <c r="X213" s="3" t="s">
        <v>48</v>
      </c>
      <c r="Z213" s="11"/>
      <c r="AB213" s="5" t="s">
        <v>1</v>
      </c>
      <c r="AC213" s="4"/>
      <c r="AD213" s="3" t="s">
        <v>48</v>
      </c>
      <c r="AF213" s="11"/>
      <c r="AH213" s="5" t="s">
        <v>1</v>
      </c>
      <c r="AI213" s="4"/>
      <c r="AJ213" s="3" t="s">
        <v>48</v>
      </c>
    </row>
    <row r="214" spans="2:36" x14ac:dyDescent="0.25">
      <c r="B214" s="7"/>
      <c r="C214" s="6"/>
      <c r="D214" s="17" t="s">
        <v>145</v>
      </c>
      <c r="E214" s="16">
        <v>4.2999999999999997E-2</v>
      </c>
      <c r="F214" s="15" t="s">
        <v>115</v>
      </c>
      <c r="G214" s="42"/>
      <c r="H214" s="7"/>
      <c r="I214" s="6"/>
      <c r="J214" s="17" t="s">
        <v>145</v>
      </c>
      <c r="K214" s="16">
        <v>0.2</v>
      </c>
      <c r="L214" s="15" t="s">
        <v>115</v>
      </c>
      <c r="N214" s="7"/>
      <c r="O214" s="6"/>
      <c r="P214" s="17" t="s">
        <v>145</v>
      </c>
      <c r="Q214" s="16">
        <v>0.25</v>
      </c>
      <c r="R214" s="15" t="s">
        <v>115</v>
      </c>
      <c r="T214" s="7"/>
      <c r="U214" s="6"/>
      <c r="V214" s="17" t="s">
        <v>145</v>
      </c>
      <c r="W214" s="16">
        <v>0.25</v>
      </c>
      <c r="X214" s="15" t="s">
        <v>115</v>
      </c>
      <c r="Z214" s="7"/>
      <c r="AA214" s="6"/>
      <c r="AB214" s="17" t="s">
        <v>145</v>
      </c>
      <c r="AC214" s="16">
        <v>9.0999999999999998E-2</v>
      </c>
      <c r="AD214" s="15" t="s">
        <v>115</v>
      </c>
      <c r="AF214" s="7"/>
      <c r="AG214" s="6"/>
      <c r="AH214" s="17" t="s">
        <v>149</v>
      </c>
      <c r="AI214" s="16">
        <v>4.7999999999999996E-3</v>
      </c>
      <c r="AJ214" s="15" t="s">
        <v>151</v>
      </c>
    </row>
    <row r="215" spans="2:36" x14ac:dyDescent="0.25">
      <c r="B215" s="7"/>
      <c r="C215" s="14"/>
      <c r="D215" s="17" t="s">
        <v>117</v>
      </c>
      <c r="E215" s="16"/>
      <c r="F215" s="15" t="s">
        <v>118</v>
      </c>
      <c r="G215" s="42"/>
      <c r="H215" s="7"/>
      <c r="I215" s="14"/>
      <c r="J215" s="17" t="s">
        <v>117</v>
      </c>
      <c r="K215" s="16"/>
      <c r="L215" s="15" t="s">
        <v>118</v>
      </c>
      <c r="N215" s="7"/>
      <c r="O215" s="14"/>
      <c r="P215" s="17" t="s">
        <v>117</v>
      </c>
      <c r="Q215" s="16"/>
      <c r="R215" s="15" t="s">
        <v>118</v>
      </c>
      <c r="T215" s="7"/>
      <c r="U215" s="14"/>
      <c r="V215" s="17" t="s">
        <v>117</v>
      </c>
      <c r="W215" s="16"/>
      <c r="X215" s="15" t="s">
        <v>118</v>
      </c>
      <c r="Z215" s="7"/>
      <c r="AA215" s="14"/>
      <c r="AB215" s="17" t="s">
        <v>117</v>
      </c>
      <c r="AC215" s="16"/>
      <c r="AD215" s="15" t="s">
        <v>118</v>
      </c>
      <c r="AF215" s="7"/>
      <c r="AG215" s="14"/>
      <c r="AH215" s="17" t="s">
        <v>117</v>
      </c>
      <c r="AI215" s="16"/>
      <c r="AJ215" s="15" t="s">
        <v>118</v>
      </c>
    </row>
    <row r="216" spans="2:36" x14ac:dyDescent="0.25">
      <c r="B216" s="33"/>
      <c r="C216" s="34"/>
      <c r="D216" s="35" t="s">
        <v>119</v>
      </c>
      <c r="E216" s="36">
        <f>E214*E215</f>
        <v>0</v>
      </c>
      <c r="F216" s="37"/>
      <c r="G216" s="42"/>
      <c r="H216" s="33"/>
      <c r="I216" s="34"/>
      <c r="J216" s="35" t="s">
        <v>119</v>
      </c>
      <c r="K216" s="36">
        <f>K214*K215</f>
        <v>0</v>
      </c>
      <c r="L216" s="37"/>
      <c r="N216" s="33"/>
      <c r="O216" s="34"/>
      <c r="P216" s="35" t="s">
        <v>119</v>
      </c>
      <c r="Q216" s="36">
        <f>Q214*Q215</f>
        <v>0</v>
      </c>
      <c r="R216" s="37"/>
      <c r="T216" s="33"/>
      <c r="U216" s="34"/>
      <c r="V216" s="35" t="s">
        <v>119</v>
      </c>
      <c r="W216" s="36">
        <f>W214*W215</f>
        <v>0</v>
      </c>
      <c r="X216" s="37"/>
      <c r="Z216" s="33"/>
      <c r="AA216" s="34"/>
      <c r="AB216" s="35" t="s">
        <v>119</v>
      </c>
      <c r="AC216" s="36">
        <f>AC214*AC215</f>
        <v>0</v>
      </c>
      <c r="AD216" s="37"/>
      <c r="AF216" s="33"/>
      <c r="AG216" s="34"/>
      <c r="AH216" s="35" t="s">
        <v>150</v>
      </c>
      <c r="AI216" s="36">
        <f>AI214*AI215</f>
        <v>0</v>
      </c>
      <c r="AJ216" s="37"/>
    </row>
    <row r="217" spans="2:36" ht="30.75" thickBot="1" x14ac:dyDescent="0.3">
      <c r="B217" s="27"/>
      <c r="C217" s="26"/>
      <c r="D217" s="25" t="s">
        <v>120</v>
      </c>
      <c r="E217" s="24"/>
      <c r="F217" s="23"/>
      <c r="G217" s="44"/>
      <c r="H217" s="27"/>
      <c r="I217" s="26"/>
      <c r="J217" s="25" t="s">
        <v>120</v>
      </c>
      <c r="K217" s="24"/>
      <c r="L217" s="23"/>
      <c r="N217" s="27"/>
      <c r="O217" s="26"/>
      <c r="P217" s="25" t="s">
        <v>120</v>
      </c>
      <c r="Q217" s="24"/>
      <c r="R217" s="23"/>
      <c r="T217" s="27"/>
      <c r="U217" s="26"/>
      <c r="V217" s="25" t="s">
        <v>120</v>
      </c>
      <c r="W217" s="24"/>
      <c r="X217" s="23"/>
      <c r="Z217" s="27"/>
      <c r="AA217" s="26"/>
      <c r="AB217" s="25" t="s">
        <v>120</v>
      </c>
      <c r="AC217" s="24"/>
      <c r="AD217" s="23"/>
      <c r="AF217" s="27"/>
      <c r="AG217" s="26"/>
      <c r="AH217" s="25" t="s">
        <v>120</v>
      </c>
      <c r="AI217" s="24"/>
      <c r="AJ217" s="23"/>
    </row>
    <row r="218" spans="2:36" ht="15.75" thickBot="1" x14ac:dyDescent="0.3">
      <c r="AB218" s="2"/>
    </row>
    <row r="219" spans="2:36" x14ac:dyDescent="0.25">
      <c r="H219" s="48" t="s">
        <v>21</v>
      </c>
      <c r="I219" s="49"/>
      <c r="J219" s="49"/>
      <c r="K219" s="49"/>
      <c r="L219" s="50"/>
      <c r="N219" s="48" t="s">
        <v>21</v>
      </c>
      <c r="O219" s="49"/>
      <c r="P219" s="49"/>
      <c r="Q219" s="49"/>
      <c r="R219" s="50"/>
      <c r="Z219" s="48" t="s">
        <v>21</v>
      </c>
      <c r="AA219" s="49"/>
      <c r="AB219" s="49"/>
      <c r="AC219" s="49"/>
      <c r="AD219" s="50"/>
    </row>
    <row r="220" spans="2:36" ht="15.75" thickBot="1" x14ac:dyDescent="0.3">
      <c r="H220" s="51" t="s">
        <v>20</v>
      </c>
      <c r="I220" s="52"/>
      <c r="J220" s="52"/>
      <c r="K220" s="52"/>
      <c r="L220" s="53"/>
      <c r="N220" s="51" t="s">
        <v>20</v>
      </c>
      <c r="O220" s="52"/>
      <c r="P220" s="52"/>
      <c r="Q220" s="52"/>
      <c r="R220" s="53"/>
      <c r="Z220" s="51" t="s">
        <v>20</v>
      </c>
      <c r="AA220" s="52"/>
      <c r="AB220" s="52"/>
      <c r="AC220" s="52"/>
      <c r="AD220" s="53"/>
    </row>
    <row r="221" spans="2:36" x14ac:dyDescent="0.25">
      <c r="H221" s="45" t="s">
        <v>19</v>
      </c>
      <c r="I221" s="46"/>
      <c r="J221" s="46"/>
      <c r="K221" s="46"/>
      <c r="L221" s="47"/>
      <c r="N221" s="45" t="s">
        <v>19</v>
      </c>
      <c r="O221" s="46"/>
      <c r="P221" s="46"/>
      <c r="Q221" s="46"/>
      <c r="R221" s="47"/>
      <c r="Z221" s="45" t="s">
        <v>19</v>
      </c>
      <c r="AA221" s="46"/>
      <c r="AB221" s="46"/>
      <c r="AC221" s="46"/>
      <c r="AD221" s="47"/>
    </row>
    <row r="222" spans="2:36" ht="15.75" thickBot="1" x14ac:dyDescent="0.3">
      <c r="H222" s="22" t="s">
        <v>18</v>
      </c>
      <c r="I222" s="20" t="s">
        <v>17</v>
      </c>
      <c r="J222" s="21" t="s">
        <v>16</v>
      </c>
      <c r="K222" s="20" t="s">
        <v>15</v>
      </c>
      <c r="L222" s="19" t="s">
        <v>14</v>
      </c>
      <c r="N222" s="22" t="s">
        <v>18</v>
      </c>
      <c r="O222" s="20" t="s">
        <v>17</v>
      </c>
      <c r="P222" s="21" t="s">
        <v>16</v>
      </c>
      <c r="Q222" s="20" t="s">
        <v>15</v>
      </c>
      <c r="R222" s="19" t="s">
        <v>14</v>
      </c>
      <c r="Z222" s="22" t="s">
        <v>18</v>
      </c>
      <c r="AA222" s="20" t="s">
        <v>17</v>
      </c>
      <c r="AB222" s="21" t="s">
        <v>16</v>
      </c>
      <c r="AC222" s="20" t="s">
        <v>15</v>
      </c>
      <c r="AD222" s="19" t="s">
        <v>14</v>
      </c>
    </row>
    <row r="223" spans="2:36" x14ac:dyDescent="0.25">
      <c r="H223" s="45" t="s">
        <v>69</v>
      </c>
      <c r="I223" s="46"/>
      <c r="J223" s="46"/>
      <c r="K223" s="46"/>
      <c r="L223" s="47"/>
      <c r="N223" s="45" t="s">
        <v>69</v>
      </c>
      <c r="O223" s="46"/>
      <c r="P223" s="46"/>
      <c r="Q223" s="46"/>
      <c r="R223" s="47"/>
      <c r="Z223" s="45" t="s">
        <v>69</v>
      </c>
      <c r="AA223" s="46"/>
      <c r="AB223" s="46"/>
      <c r="AC223" s="46"/>
      <c r="AD223" s="47"/>
    </row>
    <row r="224" spans="2:36" ht="30" x14ac:dyDescent="0.25">
      <c r="H224" s="7"/>
      <c r="I224" s="18" t="s">
        <v>11</v>
      </c>
      <c r="J224" s="17"/>
      <c r="K224" s="16" t="s">
        <v>126</v>
      </c>
      <c r="L224" s="15"/>
      <c r="N224" s="7"/>
      <c r="O224" s="18" t="s">
        <v>11</v>
      </c>
      <c r="P224" s="17"/>
      <c r="Q224" s="16" t="s">
        <v>131</v>
      </c>
      <c r="R224" s="15"/>
      <c r="Z224" s="7"/>
      <c r="AA224" s="18" t="s">
        <v>11</v>
      </c>
      <c r="AB224" s="17"/>
      <c r="AC224" s="16" t="s">
        <v>135</v>
      </c>
      <c r="AD224" s="15"/>
    </row>
    <row r="225" spans="8:30" x14ac:dyDescent="0.25">
      <c r="H225" s="7"/>
      <c r="I225" s="18" t="s">
        <v>8</v>
      </c>
      <c r="J225" s="17"/>
      <c r="K225" s="16" t="s">
        <v>110</v>
      </c>
      <c r="L225" s="15"/>
      <c r="N225" s="7"/>
      <c r="O225" s="18" t="s">
        <v>8</v>
      </c>
      <c r="P225" s="17"/>
      <c r="Q225" s="16" t="s">
        <v>132</v>
      </c>
      <c r="R225" s="15"/>
      <c r="Z225" s="7"/>
      <c r="AA225" s="18" t="s">
        <v>8</v>
      </c>
      <c r="AB225" s="17"/>
      <c r="AC225" s="16" t="s">
        <v>136</v>
      </c>
      <c r="AD225" s="15"/>
    </row>
    <row r="226" spans="8:30" ht="15" hidden="1" customHeight="1" x14ac:dyDescent="0.25">
      <c r="H226" s="7"/>
      <c r="I226" s="18" t="s">
        <v>59</v>
      </c>
      <c r="J226" s="17"/>
      <c r="K226" s="16">
        <f>15*12*30</f>
        <v>5400</v>
      </c>
      <c r="L226" s="15" t="s">
        <v>56</v>
      </c>
      <c r="N226" s="7"/>
      <c r="O226" s="18" t="s">
        <v>59</v>
      </c>
      <c r="P226" s="17"/>
      <c r="Q226" s="16">
        <f>15*12*30</f>
        <v>5400</v>
      </c>
      <c r="R226" s="15" t="s">
        <v>56</v>
      </c>
      <c r="Z226" s="7"/>
      <c r="AA226" s="18" t="s">
        <v>59</v>
      </c>
      <c r="AB226" s="17"/>
      <c r="AC226" s="16">
        <f>15*12*30</f>
        <v>5400</v>
      </c>
      <c r="AD226" s="15" t="s">
        <v>56</v>
      </c>
    </row>
    <row r="227" spans="8:30" ht="15" hidden="1" customHeight="1" x14ac:dyDescent="0.25">
      <c r="H227" s="7"/>
      <c r="I227" s="32" t="s">
        <v>58</v>
      </c>
      <c r="J227" s="5"/>
      <c r="K227" s="4">
        <v>120</v>
      </c>
      <c r="L227" s="3" t="s">
        <v>56</v>
      </c>
      <c r="N227" s="7"/>
      <c r="O227" s="32" t="s">
        <v>58</v>
      </c>
      <c r="P227" s="5"/>
      <c r="Q227" s="4">
        <v>120</v>
      </c>
      <c r="R227" s="3" t="s">
        <v>56</v>
      </c>
      <c r="Z227" s="7"/>
      <c r="AA227" s="32" t="s">
        <v>58</v>
      </c>
      <c r="AB227" s="5"/>
      <c r="AC227" s="4">
        <v>120</v>
      </c>
      <c r="AD227" s="3" t="s">
        <v>56</v>
      </c>
    </row>
    <row r="228" spans="8:30" ht="15" hidden="1" customHeight="1" x14ac:dyDescent="0.25">
      <c r="H228" s="7"/>
      <c r="I228" s="6" t="s">
        <v>57</v>
      </c>
      <c r="J228" s="14"/>
      <c r="K228" s="31" t="e">
        <f>K226-K227-(K229+K231)/2*10</f>
        <v>#REF!</v>
      </c>
      <c r="L228" s="12" t="s">
        <v>56</v>
      </c>
      <c r="N228" s="7"/>
      <c r="O228" s="6" t="s">
        <v>57</v>
      </c>
      <c r="P228" s="14"/>
      <c r="Q228" s="31" t="e">
        <f>Q226-Q227-(Q229+Q231)/2*10</f>
        <v>#REF!</v>
      </c>
      <c r="R228" s="12" t="s">
        <v>56</v>
      </c>
      <c r="Z228" s="7"/>
      <c r="AA228" s="6" t="s">
        <v>57</v>
      </c>
      <c r="AB228" s="14"/>
      <c r="AC228" s="31" t="e">
        <f>AC226-AC227-(AC229+AC231)/2*10</f>
        <v>#REF!</v>
      </c>
      <c r="AD228" s="12" t="s">
        <v>56</v>
      </c>
    </row>
    <row r="229" spans="8:30" ht="15" hidden="1" customHeight="1" x14ac:dyDescent="0.25">
      <c r="H229" s="7"/>
      <c r="I229" s="6" t="s">
        <v>55</v>
      </c>
      <c r="J229" s="14" t="s">
        <v>51</v>
      </c>
      <c r="K229" s="30">
        <f>((K227/K226)*45-K230)</f>
        <v>1</v>
      </c>
      <c r="L229" s="12" t="s">
        <v>50</v>
      </c>
      <c r="N229" s="7"/>
      <c r="O229" s="6" t="s">
        <v>55</v>
      </c>
      <c r="P229" s="14" t="s">
        <v>51</v>
      </c>
      <c r="Q229" s="30">
        <f>((Q227/Q226)*45-Q230)</f>
        <v>1</v>
      </c>
      <c r="R229" s="12" t="s">
        <v>50</v>
      </c>
      <c r="Z229" s="7"/>
      <c r="AA229" s="6" t="s">
        <v>55</v>
      </c>
      <c r="AB229" s="14" t="s">
        <v>51</v>
      </c>
      <c r="AC229" s="30">
        <f>((AC227/AC226)*45-AC230)</f>
        <v>1</v>
      </c>
      <c r="AD229" s="12" t="s">
        <v>50</v>
      </c>
    </row>
    <row r="230" spans="8:30" ht="30" hidden="1" customHeight="1" x14ac:dyDescent="0.25">
      <c r="H230" s="7"/>
      <c r="I230" s="6"/>
      <c r="J230" s="14" t="s">
        <v>54</v>
      </c>
      <c r="K230" s="29"/>
      <c r="L230" s="12" t="s">
        <v>53</v>
      </c>
      <c r="N230" s="7"/>
      <c r="O230" s="6"/>
      <c r="P230" s="14" t="s">
        <v>54</v>
      </c>
      <c r="Q230" s="29"/>
      <c r="R230" s="12" t="s">
        <v>53</v>
      </c>
      <c r="Z230" s="7"/>
      <c r="AA230" s="6"/>
      <c r="AB230" s="14" t="s">
        <v>54</v>
      </c>
      <c r="AC230" s="29"/>
      <c r="AD230" s="12" t="s">
        <v>53</v>
      </c>
    </row>
    <row r="231" spans="8:30" ht="15" hidden="1" customHeight="1" x14ac:dyDescent="0.25">
      <c r="H231" s="7"/>
      <c r="I231" s="6" t="s">
        <v>52</v>
      </c>
      <c r="J231" s="14" t="s">
        <v>51</v>
      </c>
      <c r="K231" s="29" t="e">
        <f>'[1]Data Lingkungan_IC'!BV85</f>
        <v>#REF!</v>
      </c>
      <c r="L231" s="12" t="s">
        <v>50</v>
      </c>
      <c r="N231" s="7"/>
      <c r="O231" s="6" t="s">
        <v>52</v>
      </c>
      <c r="P231" s="14" t="s">
        <v>51</v>
      </c>
      <c r="Q231" s="29" t="e">
        <f>'[1]Data Lingkungan_IC'!CB117</f>
        <v>#REF!</v>
      </c>
      <c r="R231" s="12" t="s">
        <v>50</v>
      </c>
      <c r="Z231" s="7"/>
      <c r="AA231" s="6" t="s">
        <v>52</v>
      </c>
      <c r="AB231" s="14" t="s">
        <v>51</v>
      </c>
      <c r="AC231" s="29" t="e">
        <f>'[1]Data Lingkungan_IC'!CN85</f>
        <v>#REF!</v>
      </c>
      <c r="AD231" s="12" t="s">
        <v>50</v>
      </c>
    </row>
    <row r="232" spans="8:30" ht="30" hidden="1" customHeight="1" x14ac:dyDescent="0.25">
      <c r="H232" s="7"/>
      <c r="I232" s="6" t="s">
        <v>6</v>
      </c>
      <c r="J232" s="14"/>
      <c r="K232" s="13" t="e">
        <f>(K228/K226)</f>
        <v>#REF!</v>
      </c>
      <c r="L232" s="12" t="s">
        <v>5</v>
      </c>
      <c r="N232" s="7"/>
      <c r="O232" s="6" t="s">
        <v>6</v>
      </c>
      <c r="P232" s="14"/>
      <c r="Q232" s="13" t="e">
        <f>(Q228/Q226)</f>
        <v>#REF!</v>
      </c>
      <c r="R232" s="12" t="s">
        <v>5</v>
      </c>
      <c r="Z232" s="7"/>
      <c r="AA232" s="6" t="s">
        <v>6</v>
      </c>
      <c r="AB232" s="14"/>
      <c r="AC232" s="13" t="e">
        <f>(AC228/AC226)</f>
        <v>#REF!</v>
      </c>
      <c r="AD232" s="12" t="s">
        <v>5</v>
      </c>
    </row>
    <row r="233" spans="8:30" x14ac:dyDescent="0.25">
      <c r="H233" s="11"/>
      <c r="I233" s="6" t="s">
        <v>4</v>
      </c>
      <c r="J233" s="10" t="s">
        <v>3</v>
      </c>
      <c r="K233" s="9" t="s">
        <v>121</v>
      </c>
      <c r="L233" s="8"/>
      <c r="N233" s="11"/>
      <c r="O233" s="6" t="s">
        <v>4</v>
      </c>
      <c r="P233" s="10" t="s">
        <v>3</v>
      </c>
      <c r="Q233" s="9" t="s">
        <v>121</v>
      </c>
      <c r="R233" s="8"/>
      <c r="Z233" s="11"/>
      <c r="AA233" s="6" t="s">
        <v>4</v>
      </c>
      <c r="AB233" s="10" t="s">
        <v>3</v>
      </c>
      <c r="AC233" s="9" t="s">
        <v>121</v>
      </c>
      <c r="AD233" s="8"/>
    </row>
    <row r="234" spans="8:30" x14ac:dyDescent="0.25">
      <c r="H234" s="11"/>
      <c r="J234" s="5" t="s">
        <v>1</v>
      </c>
      <c r="K234" s="4"/>
      <c r="L234" s="3" t="s">
        <v>48</v>
      </c>
      <c r="N234" s="11"/>
      <c r="P234" s="5" t="s">
        <v>1</v>
      </c>
      <c r="Q234" s="4"/>
      <c r="R234" s="3" t="s">
        <v>48</v>
      </c>
      <c r="Z234" s="11"/>
      <c r="AB234" s="5" t="s">
        <v>1</v>
      </c>
      <c r="AC234" s="4"/>
      <c r="AD234" s="3" t="s">
        <v>48</v>
      </c>
    </row>
    <row r="235" spans="8:30" ht="30" x14ac:dyDescent="0.25">
      <c r="H235" s="7"/>
      <c r="I235" s="6"/>
      <c r="J235" s="17" t="s">
        <v>145</v>
      </c>
      <c r="K235" s="16">
        <v>10</v>
      </c>
      <c r="L235" s="15" t="s">
        <v>115</v>
      </c>
      <c r="N235" s="7"/>
      <c r="O235" s="6"/>
      <c r="P235" s="17" t="s">
        <v>145</v>
      </c>
      <c r="Q235" s="16">
        <v>9.5000000000000001E-2</v>
      </c>
      <c r="R235" s="15" t="s">
        <v>115</v>
      </c>
      <c r="Z235" s="7"/>
      <c r="AA235" s="6"/>
      <c r="AB235" s="17" t="s">
        <v>145</v>
      </c>
      <c r="AC235" s="16">
        <v>7.3999999999999996E-2</v>
      </c>
      <c r="AD235" s="15" t="s">
        <v>115</v>
      </c>
    </row>
    <row r="236" spans="8:30" x14ac:dyDescent="0.25">
      <c r="H236" s="7"/>
      <c r="I236" s="14"/>
      <c r="J236" s="17" t="s">
        <v>117</v>
      </c>
      <c r="K236" s="16"/>
      <c r="L236" s="15" t="s">
        <v>118</v>
      </c>
      <c r="N236" s="7"/>
      <c r="O236" s="14"/>
      <c r="P236" s="17" t="s">
        <v>117</v>
      </c>
      <c r="Q236" s="16"/>
      <c r="R236" s="15" t="s">
        <v>118</v>
      </c>
      <c r="Z236" s="7"/>
      <c r="AA236" s="14"/>
      <c r="AB236" s="17" t="s">
        <v>117</v>
      </c>
      <c r="AC236" s="16"/>
      <c r="AD236" s="15" t="s">
        <v>118</v>
      </c>
    </row>
    <row r="237" spans="8:30" x14ac:dyDescent="0.25">
      <c r="H237" s="33"/>
      <c r="I237" s="34"/>
      <c r="J237" s="35" t="s">
        <v>119</v>
      </c>
      <c r="K237" s="36">
        <f>K235*K236</f>
        <v>0</v>
      </c>
      <c r="L237" s="37"/>
      <c r="N237" s="33"/>
      <c r="O237" s="34"/>
      <c r="P237" s="35" t="s">
        <v>119</v>
      </c>
      <c r="Q237" s="36">
        <f>Q235*Q236</f>
        <v>0</v>
      </c>
      <c r="R237" s="37"/>
      <c r="Z237" s="33"/>
      <c r="AA237" s="34"/>
      <c r="AB237" s="35" t="s">
        <v>119</v>
      </c>
      <c r="AC237" s="36">
        <f>AC235*AC236</f>
        <v>0</v>
      </c>
      <c r="AD237" s="37"/>
    </row>
    <row r="238" spans="8:30" ht="30.75" thickBot="1" x14ac:dyDescent="0.3">
      <c r="H238" s="27"/>
      <c r="I238" s="26"/>
      <c r="J238" s="25" t="s">
        <v>120</v>
      </c>
      <c r="K238" s="24"/>
      <c r="L238" s="23"/>
      <c r="N238" s="27"/>
      <c r="O238" s="26"/>
      <c r="P238" s="25" t="s">
        <v>120</v>
      </c>
      <c r="Q238" s="24"/>
      <c r="R238" s="23"/>
      <c r="Z238" s="27"/>
      <c r="AA238" s="26"/>
      <c r="AB238" s="25" t="s">
        <v>120</v>
      </c>
      <c r="AC238" s="24"/>
      <c r="AD238" s="23"/>
    </row>
    <row r="239" spans="8:30" ht="15" hidden="1" customHeight="1" x14ac:dyDescent="0.25">
      <c r="AB239" s="2"/>
    </row>
    <row r="240" spans="8:30" ht="15" hidden="1" customHeight="1" x14ac:dyDescent="0.25">
      <c r="AB240" s="2"/>
    </row>
    <row r="241" spans="14:30" ht="15" hidden="1" customHeight="1" x14ac:dyDescent="0.25">
      <c r="AB241" s="2"/>
    </row>
    <row r="242" spans="14:30" ht="15" hidden="1" customHeight="1" x14ac:dyDescent="0.25">
      <c r="AB242" s="2"/>
    </row>
    <row r="243" spans="14:30" ht="15" hidden="1" customHeight="1" x14ac:dyDescent="0.25">
      <c r="AB243" s="2"/>
    </row>
    <row r="244" spans="14:30" ht="15" hidden="1" customHeight="1" x14ac:dyDescent="0.25">
      <c r="AB244" s="2"/>
    </row>
    <row r="245" spans="14:30" ht="15" hidden="1" customHeight="1" x14ac:dyDescent="0.25">
      <c r="AB245" s="2"/>
    </row>
    <row r="246" spans="14:30" ht="15" hidden="1" customHeight="1" x14ac:dyDescent="0.25">
      <c r="AB246" s="2"/>
    </row>
    <row r="247" spans="14:30" ht="15" hidden="1" customHeight="1" x14ac:dyDescent="0.25">
      <c r="AB247" s="2"/>
    </row>
    <row r="248" spans="14:30" ht="15" hidden="1" customHeight="1" x14ac:dyDescent="0.25">
      <c r="AB248" s="2"/>
    </row>
    <row r="249" spans="14:30" ht="15" hidden="1" customHeight="1" x14ac:dyDescent="0.25">
      <c r="AB249" s="2"/>
    </row>
    <row r="250" spans="14:30" ht="15.75" thickBot="1" x14ac:dyDescent="0.3">
      <c r="AB250" s="2"/>
    </row>
    <row r="251" spans="14:30" x14ac:dyDescent="0.25">
      <c r="N251" s="48" t="s">
        <v>21</v>
      </c>
      <c r="O251" s="49"/>
      <c r="P251" s="49"/>
      <c r="Q251" s="49"/>
      <c r="R251" s="50"/>
      <c r="Z251" s="48" t="s">
        <v>21</v>
      </c>
      <c r="AA251" s="49"/>
      <c r="AB251" s="49"/>
      <c r="AC251" s="49"/>
      <c r="AD251" s="50"/>
    </row>
    <row r="252" spans="14:30" ht="15.75" thickBot="1" x14ac:dyDescent="0.3">
      <c r="N252" s="51" t="s">
        <v>20</v>
      </c>
      <c r="O252" s="52"/>
      <c r="P252" s="52"/>
      <c r="Q252" s="52"/>
      <c r="R252" s="53"/>
      <c r="Z252" s="51" t="s">
        <v>20</v>
      </c>
      <c r="AA252" s="52"/>
      <c r="AB252" s="52"/>
      <c r="AC252" s="52"/>
      <c r="AD252" s="53"/>
    </row>
    <row r="253" spans="14:30" x14ac:dyDescent="0.25">
      <c r="N253" s="45" t="s">
        <v>19</v>
      </c>
      <c r="O253" s="46"/>
      <c r="P253" s="46"/>
      <c r="Q253" s="46"/>
      <c r="R253" s="47"/>
      <c r="Z253" s="45" t="s">
        <v>19</v>
      </c>
      <c r="AA253" s="46"/>
      <c r="AB253" s="46"/>
      <c r="AC253" s="46"/>
      <c r="AD253" s="47"/>
    </row>
    <row r="254" spans="14:30" ht="15.75" thickBot="1" x14ac:dyDescent="0.3">
      <c r="N254" s="22" t="s">
        <v>18</v>
      </c>
      <c r="O254" s="20" t="s">
        <v>17</v>
      </c>
      <c r="P254" s="21" t="s">
        <v>16</v>
      </c>
      <c r="Q254" s="20" t="s">
        <v>15</v>
      </c>
      <c r="R254" s="19" t="s">
        <v>14</v>
      </c>
      <c r="Z254" s="22" t="s">
        <v>18</v>
      </c>
      <c r="AA254" s="20" t="s">
        <v>17</v>
      </c>
      <c r="AB254" s="21" t="s">
        <v>16</v>
      </c>
      <c r="AC254" s="20" t="s">
        <v>15</v>
      </c>
      <c r="AD254" s="19" t="s">
        <v>14</v>
      </c>
    </row>
    <row r="255" spans="14:30" x14ac:dyDescent="0.25">
      <c r="N255" s="45" t="s">
        <v>69</v>
      </c>
      <c r="O255" s="46"/>
      <c r="P255" s="46"/>
      <c r="Q255" s="46"/>
      <c r="R255" s="47"/>
      <c r="Z255" s="45" t="s">
        <v>69</v>
      </c>
      <c r="AA255" s="46"/>
      <c r="AB255" s="46"/>
      <c r="AC255" s="46"/>
      <c r="AD255" s="47"/>
    </row>
    <row r="256" spans="14:30" ht="30" x14ac:dyDescent="0.25">
      <c r="N256" s="7"/>
      <c r="O256" s="18" t="s">
        <v>11</v>
      </c>
      <c r="P256" s="17"/>
      <c r="Q256" s="16" t="s">
        <v>129</v>
      </c>
      <c r="R256" s="15"/>
      <c r="Z256" s="7"/>
      <c r="AA256" s="18" t="s">
        <v>11</v>
      </c>
      <c r="AB256" s="17"/>
      <c r="AC256" s="16" t="s">
        <v>137</v>
      </c>
      <c r="AD256" s="15"/>
    </row>
    <row r="257" spans="14:30" x14ac:dyDescent="0.25">
      <c r="N257" s="7"/>
      <c r="O257" s="18" t="s">
        <v>8</v>
      </c>
      <c r="P257" s="17"/>
      <c r="Q257" s="16" t="s">
        <v>130</v>
      </c>
      <c r="R257" s="15"/>
      <c r="Z257" s="7"/>
      <c r="AA257" s="18" t="s">
        <v>8</v>
      </c>
      <c r="AB257" s="17"/>
      <c r="AC257" s="16" t="s">
        <v>138</v>
      </c>
      <c r="AD257" s="15"/>
    </row>
    <row r="258" spans="14:30" ht="15" hidden="1" customHeight="1" x14ac:dyDescent="0.25">
      <c r="N258" s="7"/>
      <c r="O258" s="18" t="s">
        <v>59</v>
      </c>
      <c r="P258" s="17"/>
      <c r="Q258" s="16">
        <f>15*12*30</f>
        <v>5400</v>
      </c>
      <c r="R258" s="15" t="s">
        <v>56</v>
      </c>
      <c r="Z258" s="7"/>
      <c r="AA258" s="18" t="s">
        <v>59</v>
      </c>
      <c r="AB258" s="17"/>
      <c r="AC258" s="16">
        <f>15*12*30</f>
        <v>5400</v>
      </c>
      <c r="AD258" s="15" t="s">
        <v>56</v>
      </c>
    </row>
    <row r="259" spans="14:30" ht="15" hidden="1" customHeight="1" x14ac:dyDescent="0.25">
      <c r="N259" s="7"/>
      <c r="O259" s="32" t="s">
        <v>58</v>
      </c>
      <c r="P259" s="5"/>
      <c r="Q259" s="4">
        <v>120</v>
      </c>
      <c r="R259" s="3" t="s">
        <v>56</v>
      </c>
      <c r="Z259" s="7"/>
      <c r="AA259" s="32" t="s">
        <v>58</v>
      </c>
      <c r="AB259" s="5"/>
      <c r="AC259" s="4">
        <v>120</v>
      </c>
      <c r="AD259" s="3" t="s">
        <v>56</v>
      </c>
    </row>
    <row r="260" spans="14:30" ht="15" hidden="1" customHeight="1" x14ac:dyDescent="0.25">
      <c r="N260" s="7"/>
      <c r="O260" s="6" t="s">
        <v>57</v>
      </c>
      <c r="P260" s="14"/>
      <c r="Q260" s="31" t="e">
        <f>Q258-Q259-(Q261+Q263)/2*10</f>
        <v>#REF!</v>
      </c>
      <c r="R260" s="12" t="s">
        <v>56</v>
      </c>
      <c r="Z260" s="7"/>
      <c r="AA260" s="6" t="s">
        <v>57</v>
      </c>
      <c r="AB260" s="14"/>
      <c r="AC260" s="31" t="e">
        <f>AC258-AC259-(AC261+AC263)/2*10</f>
        <v>#REF!</v>
      </c>
      <c r="AD260" s="12" t="s">
        <v>56</v>
      </c>
    </row>
    <row r="261" spans="14:30" ht="15" hidden="1" customHeight="1" x14ac:dyDescent="0.25">
      <c r="N261" s="7"/>
      <c r="O261" s="6" t="s">
        <v>55</v>
      </c>
      <c r="P261" s="14" t="s">
        <v>51</v>
      </c>
      <c r="Q261" s="30">
        <f>((Q259/Q258)*45-Q262)</f>
        <v>1</v>
      </c>
      <c r="R261" s="12" t="s">
        <v>50</v>
      </c>
      <c r="Z261" s="7"/>
      <c r="AA261" s="6" t="s">
        <v>55</v>
      </c>
      <c r="AB261" s="14" t="s">
        <v>51</v>
      </c>
      <c r="AC261" s="30">
        <f>((AC259/AC258)*45-AC262)</f>
        <v>1</v>
      </c>
      <c r="AD261" s="12" t="s">
        <v>50</v>
      </c>
    </row>
    <row r="262" spans="14:30" ht="30" hidden="1" customHeight="1" x14ac:dyDescent="0.25">
      <c r="N262" s="7"/>
      <c r="O262" s="6"/>
      <c r="P262" s="14" t="s">
        <v>54</v>
      </c>
      <c r="Q262" s="29"/>
      <c r="R262" s="12" t="s">
        <v>53</v>
      </c>
      <c r="Z262" s="7"/>
      <c r="AA262" s="6"/>
      <c r="AB262" s="14" t="s">
        <v>54</v>
      </c>
      <c r="AC262" s="29"/>
      <c r="AD262" s="12" t="s">
        <v>53</v>
      </c>
    </row>
    <row r="263" spans="14:30" ht="15" hidden="1" customHeight="1" x14ac:dyDescent="0.25">
      <c r="N263" s="7"/>
      <c r="O263" s="6" t="s">
        <v>52</v>
      </c>
      <c r="P263" s="14" t="s">
        <v>51</v>
      </c>
      <c r="Q263" s="29" t="e">
        <f>'[1]Data Lingkungan_IC'!CB85</f>
        <v>#REF!</v>
      </c>
      <c r="R263" s="12" t="s">
        <v>50</v>
      </c>
      <c r="Z263" s="7"/>
      <c r="AA263" s="6" t="s">
        <v>52</v>
      </c>
      <c r="AB263" s="14" t="s">
        <v>51</v>
      </c>
      <c r="AC263" s="29" t="e">
        <f>'[1]Data Lingkungan_IC'!CN117</f>
        <v>#REF!</v>
      </c>
      <c r="AD263" s="12" t="s">
        <v>50</v>
      </c>
    </row>
    <row r="264" spans="14:30" ht="30" hidden="1" customHeight="1" x14ac:dyDescent="0.25">
      <c r="N264" s="7"/>
      <c r="O264" s="6" t="s">
        <v>6</v>
      </c>
      <c r="P264" s="14"/>
      <c r="Q264" s="13" t="e">
        <f>(Q260/Q258)</f>
        <v>#REF!</v>
      </c>
      <c r="R264" s="12" t="s">
        <v>5</v>
      </c>
      <c r="Z264" s="7"/>
      <c r="AA264" s="6" t="s">
        <v>6</v>
      </c>
      <c r="AB264" s="14"/>
      <c r="AC264" s="13" t="e">
        <f>(AC260/AC258)</f>
        <v>#REF!</v>
      </c>
      <c r="AD264" s="12" t="s">
        <v>5</v>
      </c>
    </row>
    <row r="265" spans="14:30" x14ac:dyDescent="0.25">
      <c r="N265" s="11"/>
      <c r="O265" s="6" t="s">
        <v>4</v>
      </c>
      <c r="P265" s="10" t="s">
        <v>3</v>
      </c>
      <c r="Q265" s="9" t="s">
        <v>121</v>
      </c>
      <c r="R265" s="8"/>
      <c r="Z265" s="11"/>
      <c r="AA265" s="6" t="s">
        <v>4</v>
      </c>
      <c r="AB265" s="10" t="s">
        <v>3</v>
      </c>
      <c r="AC265" s="9" t="s">
        <v>121</v>
      </c>
      <c r="AD265" s="8"/>
    </row>
    <row r="266" spans="14:30" x14ac:dyDescent="0.25">
      <c r="N266" s="11"/>
      <c r="P266" s="5" t="s">
        <v>1</v>
      </c>
      <c r="Q266" s="4"/>
      <c r="R266" s="3" t="s">
        <v>48</v>
      </c>
      <c r="Z266" s="11"/>
      <c r="AB266" s="5" t="s">
        <v>1</v>
      </c>
      <c r="AC266" s="4"/>
      <c r="AD266" s="3" t="s">
        <v>48</v>
      </c>
    </row>
    <row r="267" spans="14:30" x14ac:dyDescent="0.25">
      <c r="N267" s="7"/>
      <c r="O267" s="6"/>
      <c r="P267" s="17" t="s">
        <v>145</v>
      </c>
      <c r="Q267" s="16">
        <v>10</v>
      </c>
      <c r="R267" s="15" t="s">
        <v>115</v>
      </c>
      <c r="Z267" s="7"/>
      <c r="AA267" s="6"/>
      <c r="AB267" s="17" t="s">
        <v>145</v>
      </c>
      <c r="AC267" s="16">
        <v>10</v>
      </c>
      <c r="AD267" s="15" t="s">
        <v>115</v>
      </c>
    </row>
    <row r="268" spans="14:30" x14ac:dyDescent="0.25">
      <c r="N268" s="7"/>
      <c r="O268" s="14"/>
      <c r="P268" s="17" t="s">
        <v>117</v>
      </c>
      <c r="Q268" s="16"/>
      <c r="R268" s="15" t="s">
        <v>118</v>
      </c>
      <c r="Z268" s="7"/>
      <c r="AA268" s="14"/>
      <c r="AB268" s="17" t="s">
        <v>117</v>
      </c>
      <c r="AC268" s="16"/>
      <c r="AD268" s="15" t="s">
        <v>118</v>
      </c>
    </row>
    <row r="269" spans="14:30" x14ac:dyDescent="0.25">
      <c r="N269" s="33"/>
      <c r="O269" s="34"/>
      <c r="P269" s="35" t="s">
        <v>119</v>
      </c>
      <c r="Q269" s="36">
        <f>Q267*Q268</f>
        <v>0</v>
      </c>
      <c r="R269" s="37"/>
      <c r="Z269" s="33"/>
      <c r="AA269" s="34"/>
      <c r="AB269" s="35" t="s">
        <v>119</v>
      </c>
      <c r="AC269" s="36">
        <f>AC267*AC268</f>
        <v>0</v>
      </c>
      <c r="AD269" s="37"/>
    </row>
    <row r="270" spans="14:30" ht="30.75" thickBot="1" x14ac:dyDescent="0.3">
      <c r="N270" s="27"/>
      <c r="O270" s="26"/>
      <c r="P270" s="25" t="s">
        <v>120</v>
      </c>
      <c r="Q270" s="24"/>
      <c r="R270" s="23"/>
      <c r="Z270" s="27"/>
      <c r="AA270" s="26"/>
      <c r="AB270" s="25" t="s">
        <v>120</v>
      </c>
      <c r="AC270" s="24"/>
      <c r="AD270" s="23"/>
    </row>
  </sheetData>
  <mergeCells count="208">
    <mergeCell ref="T202:X202"/>
    <mergeCell ref="N61:R61"/>
    <mergeCell ref="AF198:AJ198"/>
    <mergeCell ref="AF199:AJ199"/>
    <mergeCell ref="AF200:AJ200"/>
    <mergeCell ref="AF202:AJ202"/>
    <mergeCell ref="N59:R59"/>
    <mergeCell ref="N60:R60"/>
    <mergeCell ref="Z251:AD251"/>
    <mergeCell ref="Z252:AD252"/>
    <mergeCell ref="Z253:AD253"/>
    <mergeCell ref="Z255:AD255"/>
    <mergeCell ref="T2:X2"/>
    <mergeCell ref="T3:X3"/>
    <mergeCell ref="T4:X4"/>
    <mergeCell ref="T6:X6"/>
    <mergeCell ref="N221:R221"/>
    <mergeCell ref="N223:R223"/>
    <mergeCell ref="Z219:AD219"/>
    <mergeCell ref="Z220:AD220"/>
    <mergeCell ref="Z221:AD221"/>
    <mergeCell ref="Z223:AD223"/>
    <mergeCell ref="N219:R219"/>
    <mergeCell ref="N220:R220"/>
    <mergeCell ref="N251:R251"/>
    <mergeCell ref="N253:R253"/>
    <mergeCell ref="N255:R255"/>
    <mergeCell ref="T198:X198"/>
    <mergeCell ref="T199:X199"/>
    <mergeCell ref="T200:X200"/>
    <mergeCell ref="T189:X189"/>
    <mergeCell ref="T191:X191"/>
    <mergeCell ref="B41:F41"/>
    <mergeCell ref="H41:L41"/>
    <mergeCell ref="B21:F21"/>
    <mergeCell ref="H21:L21"/>
    <mergeCell ref="N21:R21"/>
    <mergeCell ref="N23:R23"/>
    <mergeCell ref="N41:R41"/>
    <mergeCell ref="B25:F25"/>
    <mergeCell ref="H25:L25"/>
    <mergeCell ref="N25:R25"/>
    <mergeCell ref="B23:F23"/>
    <mergeCell ref="H23:L23"/>
    <mergeCell ref="B40:F40"/>
    <mergeCell ref="B44:F44"/>
    <mergeCell ref="H44:L44"/>
    <mergeCell ref="N44:R44"/>
    <mergeCell ref="N40:R40"/>
    <mergeCell ref="H40:L40"/>
    <mergeCell ref="B118:F118"/>
    <mergeCell ref="H118:L118"/>
    <mergeCell ref="N118:R118"/>
    <mergeCell ref="B136:F136"/>
    <mergeCell ref="N252:R252"/>
    <mergeCell ref="B42:F42"/>
    <mergeCell ref="H42:L42"/>
    <mergeCell ref="N42:R42"/>
    <mergeCell ref="N200:R200"/>
    <mergeCell ref="B63:F63"/>
    <mergeCell ref="H63:L63"/>
    <mergeCell ref="B59:F59"/>
    <mergeCell ref="H59:L59"/>
    <mergeCell ref="B60:F60"/>
    <mergeCell ref="H60:L60"/>
    <mergeCell ref="B199:F199"/>
    <mergeCell ref="H198:L198"/>
    <mergeCell ref="H199:L199"/>
    <mergeCell ref="H200:L200"/>
    <mergeCell ref="H202:L202"/>
    <mergeCell ref="H219:L219"/>
    <mergeCell ref="H220:L220"/>
    <mergeCell ref="H221:L221"/>
    <mergeCell ref="B202:F202"/>
    <mergeCell ref="B200:F200"/>
    <mergeCell ref="N199:R199"/>
    <mergeCell ref="N202:R202"/>
    <mergeCell ref="N198:R198"/>
    <mergeCell ref="H80:L80"/>
    <mergeCell ref="N78:R78"/>
    <mergeCell ref="N79:R79"/>
    <mergeCell ref="N80:R80"/>
    <mergeCell ref="B2:F2"/>
    <mergeCell ref="H2:L2"/>
    <mergeCell ref="N2:R2"/>
    <mergeCell ref="B198:F198"/>
    <mergeCell ref="B3:F3"/>
    <mergeCell ref="B22:F22"/>
    <mergeCell ref="H22:L22"/>
    <mergeCell ref="N22:R22"/>
    <mergeCell ref="H3:L3"/>
    <mergeCell ref="N3:R3"/>
    <mergeCell ref="B6:F6"/>
    <mergeCell ref="H6:L6"/>
    <mergeCell ref="B4:F4"/>
    <mergeCell ref="H4:L4"/>
    <mergeCell ref="N4:R4"/>
    <mergeCell ref="N6:R6"/>
    <mergeCell ref="H136:L136"/>
    <mergeCell ref="N136:R136"/>
    <mergeCell ref="H158:L158"/>
    <mergeCell ref="H165:L165"/>
    <mergeCell ref="Z199:AD199"/>
    <mergeCell ref="B99:F99"/>
    <mergeCell ref="H99:L99"/>
    <mergeCell ref="N99:R99"/>
    <mergeCell ref="B116:F116"/>
    <mergeCell ref="H116:L116"/>
    <mergeCell ref="N116:R116"/>
    <mergeCell ref="B117:F117"/>
    <mergeCell ref="H117:L117"/>
    <mergeCell ref="N117:R117"/>
    <mergeCell ref="H166:L166"/>
    <mergeCell ref="H167:L167"/>
    <mergeCell ref="H169:L169"/>
    <mergeCell ref="H176:L176"/>
    <mergeCell ref="H191:L191"/>
    <mergeCell ref="B178:F178"/>
    <mergeCell ref="B180:F180"/>
    <mergeCell ref="B187:F187"/>
    <mergeCell ref="B188:F188"/>
    <mergeCell ref="B101:F101"/>
    <mergeCell ref="H101:L101"/>
    <mergeCell ref="N101:R101"/>
    <mergeCell ref="T187:X187"/>
    <mergeCell ref="T188:X188"/>
    <mergeCell ref="T166:X166"/>
    <mergeCell ref="T167:X167"/>
    <mergeCell ref="Z198:AD198"/>
    <mergeCell ref="T169:X169"/>
    <mergeCell ref="N166:R166"/>
    <mergeCell ref="N167:R167"/>
    <mergeCell ref="N169:R169"/>
    <mergeCell ref="B61:F61"/>
    <mergeCell ref="H61:L61"/>
    <mergeCell ref="B98:F98"/>
    <mergeCell ref="H98:L98"/>
    <mergeCell ref="N98:R98"/>
    <mergeCell ref="N63:R63"/>
    <mergeCell ref="N82:R82"/>
    <mergeCell ref="B97:F97"/>
    <mergeCell ref="H97:L97"/>
    <mergeCell ref="N97:R97"/>
    <mergeCell ref="B82:F82"/>
    <mergeCell ref="H82:L82"/>
    <mergeCell ref="B78:F78"/>
    <mergeCell ref="H78:L78"/>
    <mergeCell ref="B79:F79"/>
    <mergeCell ref="H79:L79"/>
    <mergeCell ref="B80:F80"/>
    <mergeCell ref="N154:R154"/>
    <mergeCell ref="N155:R155"/>
    <mergeCell ref="N156:R156"/>
    <mergeCell ref="N158:R158"/>
    <mergeCell ref="N165:R165"/>
    <mergeCell ref="T154:X154"/>
    <mergeCell ref="T155:X155"/>
    <mergeCell ref="T156:X156"/>
    <mergeCell ref="T158:X158"/>
    <mergeCell ref="T165:X165"/>
    <mergeCell ref="B189:F189"/>
    <mergeCell ref="B166:F166"/>
    <mergeCell ref="B120:F120"/>
    <mergeCell ref="H120:L120"/>
    <mergeCell ref="N120:R120"/>
    <mergeCell ref="B135:F135"/>
    <mergeCell ref="H135:L135"/>
    <mergeCell ref="N135:R135"/>
    <mergeCell ref="Z202:AD202"/>
    <mergeCell ref="B167:F167"/>
    <mergeCell ref="B169:F169"/>
    <mergeCell ref="B176:F176"/>
    <mergeCell ref="B177:F177"/>
    <mergeCell ref="B154:F154"/>
    <mergeCell ref="B155:F155"/>
    <mergeCell ref="B156:F156"/>
    <mergeCell ref="B158:F158"/>
    <mergeCell ref="B165:F165"/>
    <mergeCell ref="H156:L156"/>
    <mergeCell ref="Z200:AD200"/>
    <mergeCell ref="T176:X176"/>
    <mergeCell ref="T177:X177"/>
    <mergeCell ref="T178:X178"/>
    <mergeCell ref="T180:X180"/>
    <mergeCell ref="H223:L223"/>
    <mergeCell ref="N187:R187"/>
    <mergeCell ref="N188:R188"/>
    <mergeCell ref="N189:R189"/>
    <mergeCell ref="N191:R191"/>
    <mergeCell ref="B137:F137"/>
    <mergeCell ref="H137:L137"/>
    <mergeCell ref="N137:R137"/>
    <mergeCell ref="B139:F139"/>
    <mergeCell ref="H139:L139"/>
    <mergeCell ref="N139:R139"/>
    <mergeCell ref="N180:R180"/>
    <mergeCell ref="N176:R176"/>
    <mergeCell ref="N177:R177"/>
    <mergeCell ref="N178:R178"/>
    <mergeCell ref="H177:L177"/>
    <mergeCell ref="H178:L178"/>
    <mergeCell ref="H180:L180"/>
    <mergeCell ref="H187:L187"/>
    <mergeCell ref="H188:L188"/>
    <mergeCell ref="H189:L189"/>
    <mergeCell ref="B191:F191"/>
    <mergeCell ref="H154:L154"/>
    <mergeCell ref="H155:L155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DINAMIS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PMO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2021-08-05T09:24:06Z</dcterms:created>
  <dcterms:modified xsi:type="dcterms:W3CDTF">2021-10-21T00:04:40Z</dcterms:modified>
</cp:coreProperties>
</file>