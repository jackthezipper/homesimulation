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19OKT21_RUMAH 1\Proses Dalam Otak\Data Dasar Agen\"/>
    </mc:Choice>
  </mc:AlternateContent>
  <xr:revisionPtr revIDLastSave="0" documentId="13_ncr:1_{D53A528E-C3B1-4AC9-B3DA-CF4952D98718}" xr6:coauthVersionLast="47" xr6:coauthVersionMax="47" xr10:uidLastSave="{00000000-0000-0000-0000-000000000000}"/>
  <bookViews>
    <workbookView xWindow="-120" yWindow="360" windowWidth="20730" windowHeight="11280" tabRatio="806" xr2:uid="{00000000-000D-0000-FFFF-FFFF00000000}"/>
  </bookViews>
  <sheets>
    <sheet name="Data Aktivita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6" i="1" l="1"/>
  <c r="T26" i="1"/>
  <c r="T27" i="1" s="1"/>
  <c r="T28" i="1" s="1"/>
  <c r="T29" i="1" s="1"/>
  <c r="T30" i="1" s="1"/>
  <c r="T31" i="1" s="1"/>
  <c r="T32" i="1" s="1"/>
  <c r="T33" i="1" s="1"/>
  <c r="T34" i="1" s="1"/>
  <c r="I26" i="1"/>
  <c r="I64" i="1" l="1"/>
  <c r="X64" i="1"/>
  <c r="X24" i="1"/>
  <c r="I24" i="1"/>
  <c r="T72" i="1" l="1"/>
  <c r="T81" i="1"/>
  <c r="T82" i="1" s="1"/>
  <c r="T83" i="1" s="1"/>
  <c r="T84" i="1" s="1"/>
  <c r="T14" i="1"/>
  <c r="T18" i="1"/>
  <c r="T19" i="1" s="1"/>
  <c r="T20" i="1" s="1"/>
  <c r="T21" i="1" s="1"/>
  <c r="T22" i="1" s="1"/>
  <c r="T23" i="1" s="1"/>
  <c r="X57" i="1"/>
  <c r="X14" i="1"/>
  <c r="X84" i="1"/>
  <c r="X81" i="1"/>
  <c r="X86" i="1"/>
  <c r="X71" i="1"/>
  <c r="X67" i="1"/>
  <c r="X66" i="1"/>
  <c r="X44" i="1"/>
  <c r="X42" i="1"/>
  <c r="X41" i="1"/>
  <c r="I15" i="1"/>
  <c r="I39" i="1"/>
  <c r="I17" i="1"/>
  <c r="I18" i="1"/>
  <c r="I19" i="1"/>
  <c r="I20" i="1"/>
  <c r="I21" i="1"/>
  <c r="I22" i="1"/>
  <c r="I23" i="1"/>
  <c r="I25" i="1"/>
  <c r="I27" i="1"/>
  <c r="I28" i="1"/>
  <c r="I29" i="1"/>
  <c r="I30" i="1"/>
  <c r="I31" i="1"/>
  <c r="I32" i="1"/>
  <c r="I34" i="1"/>
  <c r="I50" i="1"/>
  <c r="I51" i="1"/>
  <c r="I52" i="1"/>
  <c r="I53" i="1"/>
  <c r="I40" i="1"/>
  <c r="I41" i="1"/>
  <c r="I16" i="1"/>
  <c r="I35" i="1"/>
  <c r="I37" i="1"/>
  <c r="I36" i="1"/>
  <c r="I42" i="1"/>
  <c r="I43" i="1"/>
  <c r="I45" i="1"/>
  <c r="I47" i="1"/>
  <c r="I44" i="1"/>
  <c r="I46" i="1"/>
  <c r="I82" i="1"/>
  <c r="I83" i="1"/>
  <c r="I91" i="1"/>
  <c r="I49" i="1"/>
  <c r="I54" i="1"/>
  <c r="I55" i="1"/>
  <c r="I56" i="1"/>
  <c r="I58" i="1"/>
  <c r="I74" i="1"/>
  <c r="I59" i="1"/>
  <c r="I48" i="1"/>
  <c r="I60" i="1"/>
  <c r="I62" i="1"/>
  <c r="I63" i="1"/>
  <c r="I61" i="1"/>
  <c r="I65" i="1"/>
  <c r="I66" i="1"/>
  <c r="I67" i="1"/>
  <c r="I68" i="1"/>
  <c r="I69" i="1"/>
  <c r="I71" i="1"/>
  <c r="I72" i="1"/>
  <c r="I78" i="1"/>
  <c r="I70" i="1"/>
  <c r="I73" i="1"/>
  <c r="I76" i="1"/>
  <c r="I75" i="1"/>
  <c r="I77" i="1"/>
  <c r="I79" i="1"/>
  <c r="I80" i="1"/>
  <c r="I86" i="1"/>
  <c r="I81" i="1"/>
  <c r="I87" i="1"/>
  <c r="I84" i="1"/>
  <c r="I14" i="1"/>
  <c r="I85" i="1"/>
  <c r="I88" i="1"/>
  <c r="I89" i="1"/>
  <c r="I90" i="1"/>
  <c r="I57" i="1"/>
  <c r="I92" i="1"/>
  <c r="I13" i="1"/>
  <c r="I38" i="1"/>
  <c r="X29" i="1"/>
  <c r="X19" i="1"/>
  <c r="X15" i="1"/>
  <c r="X17" i="1"/>
  <c r="X18" i="1"/>
  <c r="X20" i="1"/>
  <c r="X21" i="1"/>
  <c r="X22" i="1"/>
  <c r="X23" i="1"/>
  <c r="X25" i="1"/>
  <c r="X27" i="1"/>
  <c r="X28" i="1"/>
  <c r="X30" i="1"/>
  <c r="X31" i="1"/>
  <c r="X32" i="1"/>
  <c r="X34" i="1"/>
  <c r="X50" i="1"/>
  <c r="X51" i="1"/>
  <c r="X52" i="1"/>
  <c r="X53" i="1"/>
  <c r="X40" i="1"/>
  <c r="X16" i="1"/>
  <c r="X35" i="1"/>
  <c r="X85" i="1"/>
  <c r="X37" i="1"/>
  <c r="X36" i="1"/>
  <c r="X43" i="1"/>
  <c r="X45" i="1"/>
  <c r="X47" i="1"/>
  <c r="X46" i="1"/>
  <c r="X49" i="1"/>
  <c r="X54" i="1"/>
  <c r="X55" i="1"/>
  <c r="X56" i="1"/>
  <c r="X58" i="1"/>
  <c r="X74" i="1"/>
  <c r="X59" i="1"/>
  <c r="X48" i="1"/>
  <c r="X60" i="1"/>
  <c r="X62" i="1"/>
  <c r="X63" i="1"/>
  <c r="X61" i="1"/>
  <c r="X65" i="1"/>
  <c r="X68" i="1"/>
  <c r="X69" i="1"/>
  <c r="X72" i="1"/>
  <c r="X78" i="1"/>
  <c r="X70" i="1"/>
  <c r="X73" i="1"/>
  <c r="X76" i="1"/>
  <c r="X75" i="1"/>
  <c r="X77" i="1"/>
  <c r="X79" i="1"/>
  <c r="X80" i="1"/>
  <c r="X87" i="1"/>
  <c r="X88" i="1"/>
  <c r="X89" i="1"/>
  <c r="X90" i="1"/>
  <c r="T24" i="1" l="1"/>
  <c r="T25" i="1" s="1"/>
  <c r="T43" i="1" s="1"/>
  <c r="T51" i="1"/>
  <c r="T52" i="1" s="1"/>
  <c r="T53" i="1" s="1"/>
  <c r="T56" i="1" s="1"/>
  <c r="T62" i="1" s="1"/>
  <c r="T63" i="1" s="1"/>
  <c r="X95" i="1"/>
  <c r="X96" i="1"/>
  <c r="X97" i="1"/>
  <c r="X98" i="1"/>
  <c r="X99" i="1"/>
  <c r="X100" i="1"/>
  <c r="X94" i="1"/>
  <c r="T64" i="1" l="1"/>
  <c r="T65" i="1" s="1"/>
  <c r="T66" i="1" s="1"/>
  <c r="T67" i="1" s="1"/>
  <c r="I99" i="1"/>
  <c r="I98" i="1"/>
  <c r="I96" i="1"/>
  <c r="I95" i="1"/>
  <c r="I100" i="1"/>
</calcChain>
</file>

<file path=xl/sharedStrings.xml><?xml version="1.0" encoding="utf-8"?>
<sst xmlns="http://schemas.openxmlformats.org/spreadsheetml/2006/main" count="832" uniqueCount="321">
  <si>
    <t xml:space="preserve">No </t>
  </si>
  <si>
    <t>Kode</t>
  </si>
  <si>
    <t>Aktivitas</t>
  </si>
  <si>
    <t>Rentang Waktu Insidental</t>
  </si>
  <si>
    <t>R/I</t>
  </si>
  <si>
    <t>R</t>
  </si>
  <si>
    <t>Menyapu Ruang Keluarga</t>
  </si>
  <si>
    <t>Menyapu Teras</t>
  </si>
  <si>
    <t>Mengepel Ruang Keluarga</t>
  </si>
  <si>
    <t>Menyiram tanaman pagi hari</t>
  </si>
  <si>
    <t>Mengepel Teras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</si>
  <si>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</si>
  <si>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</si>
  <si>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</si>
  <si>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</si>
  <si>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</si>
  <si>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</si>
  <si>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</si>
  <si>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</si>
  <si>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</si>
  <si>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</si>
  <si>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</si>
  <si>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</si>
  <si>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</si>
  <si>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</si>
  <si>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</si>
  <si>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</si>
  <si>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</si>
  <si>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YA</t>
  </si>
  <si>
    <t>BAK</t>
  </si>
  <si>
    <t>BAB</t>
  </si>
  <si>
    <t>AL</t>
  </si>
  <si>
    <t>Keuntungan</t>
  </si>
  <si>
    <t>Aturan</t>
  </si>
  <si>
    <t>Ya / Tidak</t>
  </si>
  <si>
    <t>Otoritas</t>
  </si>
  <si>
    <t>Minum</t>
  </si>
  <si>
    <t>Bangun tidur</t>
  </si>
  <si>
    <t>DI/MI</t>
  </si>
  <si>
    <t>DI</t>
  </si>
  <si>
    <t>MI</t>
  </si>
  <si>
    <t>Pergi memasukan laundry</t>
  </si>
  <si>
    <t>Pergi mengambil laundry</t>
  </si>
  <si>
    <t>Rentang Waktu Prioritas</t>
  </si>
  <si>
    <t>PA-I</t>
  </si>
  <si>
    <t>UA-I</t>
  </si>
  <si>
    <t>PA-O</t>
  </si>
  <si>
    <t>DLA</t>
  </si>
  <si>
    <t>Jenis</t>
  </si>
  <si>
    <t>Karakter Aktivitas</t>
  </si>
  <si>
    <t>Keinginan</t>
  </si>
  <si>
    <t>Kebutuhan</t>
  </si>
  <si>
    <t>SN Urgensi</t>
  </si>
  <si>
    <t>SN</t>
  </si>
  <si>
    <t>SN Kepatuhan</t>
  </si>
  <si>
    <t>Informasi</t>
  </si>
  <si>
    <t>Daftar Aktivitas</t>
  </si>
  <si>
    <t>H</t>
  </si>
  <si>
    <t>6/7 ; 7/7</t>
  </si>
  <si>
    <t>YA / Tidak</t>
  </si>
  <si>
    <t>Menghidupkan lampu garasi di sore hari</t>
  </si>
  <si>
    <t>Mematikan lampu garasi di pagi hari</t>
  </si>
  <si>
    <t>Makan</t>
  </si>
  <si>
    <t>Tidur</t>
  </si>
  <si>
    <t>Mandi</t>
  </si>
  <si>
    <t>Waktu dibatalkan</t>
  </si>
  <si>
    <t>Durasi</t>
  </si>
  <si>
    <t>Berdandan setelah mandi</t>
  </si>
  <si>
    <t>A1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</si>
  <si>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</si>
  <si>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</si>
  <si>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</si>
  <si>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</si>
  <si>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</si>
  <si>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</si>
  <si>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</si>
  <si>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</si>
  <si>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</si>
  <si>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</si>
  <si>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</si>
  <si>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</si>
  <si>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</si>
  <si>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</si>
  <si>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</si>
  <si>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</si>
  <si>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</si>
  <si>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</si>
  <si>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</si>
  <si>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</si>
  <si>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</si>
  <si>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</si>
  <si>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</si>
  <si>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</si>
  <si>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</si>
  <si>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</si>
  <si>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</si>
  <si>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</si>
  <si>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</si>
  <si>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</si>
  <si>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</si>
  <si>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</si>
  <si>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</si>
  <si>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</si>
  <si>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</si>
  <si>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</si>
  <si>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</si>
  <si>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</si>
  <si>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</si>
  <si>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</si>
  <si>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</si>
  <si>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</si>
  <si>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</si>
  <si>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</si>
  <si>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</si>
  <si>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</si>
  <si>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</si>
  <si>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</si>
  <si>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</si>
  <si>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</si>
  <si>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</si>
  <si>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</si>
  <si>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</si>
  <si>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</si>
  <si>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</si>
  <si>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</si>
  <si>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</si>
  <si>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</si>
  <si>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</si>
  <si>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</si>
  <si>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</si>
  <si>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</si>
  <si>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</si>
  <si>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</si>
  <si>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</si>
  <si>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</si>
  <si>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</si>
  <si>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</si>
  <si>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</si>
  <si>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</si>
  <si>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</si>
  <si>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</si>
  <si>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</si>
  <si>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B1</t>
  </si>
  <si>
    <t>B2</t>
  </si>
  <si>
    <t>B3</t>
  </si>
  <si>
    <t>B4</t>
  </si>
  <si>
    <t>B5</t>
  </si>
  <si>
    <t>B6</t>
  </si>
  <si>
    <t>B7</t>
  </si>
  <si>
    <t>PR;A5</t>
  </si>
  <si>
    <t>PR;A12</t>
  </si>
  <si>
    <t>PR;A11</t>
  </si>
  <si>
    <t>Batas Waktu Insidental</t>
  </si>
  <si>
    <t>KETERANGAN</t>
  </si>
  <si>
    <t>Data yang bisa berubah karena waktu dibatalkan, status R/I, batas waktu insidental</t>
  </si>
  <si>
    <t>Data konstan</t>
  </si>
  <si>
    <t>Status Aktivitas</t>
  </si>
  <si>
    <t>Batas Mulai (Preference)</t>
  </si>
  <si>
    <t>Ruang</t>
  </si>
  <si>
    <t>RDP01</t>
  </si>
  <si>
    <t>RTS01</t>
  </si>
  <si>
    <t>RHD01</t>
  </si>
  <si>
    <t>RTU01</t>
  </si>
  <si>
    <t>RTU02</t>
  </si>
  <si>
    <t>RKG01</t>
  </si>
  <si>
    <t>RGS01</t>
  </si>
  <si>
    <t>RKM01</t>
  </si>
  <si>
    <t>Aktivitas prasyarat: hanya bisa dilakukan jika didahului aktivitas tertentu (PR;KODE AKTIVITAS PENDAHULU)</t>
  </si>
  <si>
    <t>Aktivitas fisiologis tidak memiliki waktu preference di jadwal, tetapi langsung di tabel kalkulasi; waktu kebiasaan | Aktivitas UA (unplanned)</t>
  </si>
  <si>
    <t>JENIS AKTIVITAS</t>
  </si>
  <si>
    <t>PA</t>
  </si>
  <si>
    <t>PR</t>
  </si>
  <si>
    <t>UA</t>
  </si>
  <si>
    <t>I</t>
  </si>
  <si>
    <t>planned</t>
  </si>
  <si>
    <t>prerequisite</t>
  </si>
  <si>
    <t>unplanned</t>
  </si>
  <si>
    <t>outdoor</t>
  </si>
  <si>
    <t>indoor</t>
  </si>
  <si>
    <t>PRIORITAS</t>
  </si>
  <si>
    <t>Tidak mengubah status R ke I, aktivitas tertunda bisa terkalkulasi di proses pilih selanjutnya</t>
  </si>
  <si>
    <t>Mengubah R ke I, aktivitas tidak terkalkulasi dalam proses pilih hingga 6 jam berikutnya</t>
  </si>
  <si>
    <t>Mengubah R ke I, aktivitas tidak terkalkulasi dalam proses pilih hingga 12 jam berikutnya</t>
  </si>
  <si>
    <t>Mengubah R ke I, aktivitas tidak terkalkulasi dalam proses pilih hingga 24 jam berikutnya (hari berikutnya di jadwal yang sama)</t>
  </si>
  <si>
    <t>Mengubah R ke I, aktivitas tidak terkalkulasi dalam proses pilih hingga minggu berikutnya di jadwal yang sama</t>
  </si>
  <si>
    <t>-</t>
  </si>
  <si>
    <t>Kode Pengulangan Waktu (aktivitas berjalan)</t>
  </si>
  <si>
    <t xml:space="preserve">Waktu </t>
  </si>
  <si>
    <t>set mencuci pakaian</t>
  </si>
  <si>
    <t>set kerja</t>
  </si>
  <si>
    <t>set hidup-mati lampu garasi</t>
  </si>
  <si>
    <t>PR;A7</t>
  </si>
  <si>
    <t>PR;A10</t>
  </si>
  <si>
    <t>Pengulangan (kalau batal dalam H/M)</t>
  </si>
  <si>
    <t>Prioritas (kalau batal dalam H/M)</t>
  </si>
  <si>
    <t>Batas Mulai (sequence)</t>
  </si>
  <si>
    <t>M;2</t>
  </si>
  <si>
    <t>A</t>
  </si>
  <si>
    <t>auto (Durasi = lama alat listrik digunakan, durasi kalkulasi aktivitas agen = 5 menit)</t>
  </si>
  <si>
    <t>1/7 s/d 5/7</t>
  </si>
  <si>
    <t>Membuat susu anak di pagi hari</t>
  </si>
  <si>
    <t>Membangunkan anak di pagi hari</t>
  </si>
  <si>
    <t>Membereskan kasur &amp; karpet tidur di pagi hari</t>
  </si>
  <si>
    <t>Menyapu Ruang Kerja</t>
  </si>
  <si>
    <t>Menyapu Dapur Kotor</t>
  </si>
  <si>
    <t>Menyapu Dapur Bersih</t>
  </si>
  <si>
    <t>Mengepel Ruang Kerja</t>
  </si>
  <si>
    <t>Mengepel Dapur Kotor</t>
  </si>
  <si>
    <t>Mengepel Dapur Bersih</t>
  </si>
  <si>
    <t>Membersihkan KM Tengah</t>
  </si>
  <si>
    <t>Membersihkan KM Dalam</t>
  </si>
  <si>
    <t>Membersihkan KM Lt. 2</t>
  </si>
  <si>
    <t>Membuang sampah</t>
  </si>
  <si>
    <t>Membakar sampah</t>
  </si>
  <si>
    <t>Memasak makan pagi dengan rice cooker</t>
  </si>
  <si>
    <t>Pergi membeli makan pagi di luar rumah</t>
  </si>
  <si>
    <t>Memasak air untuk mandi di pagi hari</t>
  </si>
  <si>
    <t>Memandikan anak pagi hari</t>
  </si>
  <si>
    <t>Menyuapi anak makan pagi</t>
  </si>
  <si>
    <t>Membuat minuman herbal</t>
  </si>
  <si>
    <t>Bekerja menggunakan komputer</t>
  </si>
  <si>
    <t>Menggunakan printer</t>
  </si>
  <si>
    <t>Mengoperasikan gadget</t>
  </si>
  <si>
    <t>Pergi jalan ke luar rumah di akhir pekan</t>
  </si>
  <si>
    <t>Menonton TV pagi</t>
  </si>
  <si>
    <t>Bermain dengan anak di pagi hari</t>
  </si>
  <si>
    <t>Memasak makan siang dengan rice cooker</t>
  </si>
  <si>
    <t>Menyuapi anak makan siang</t>
  </si>
  <si>
    <t>Pergi membeli makan siang di luar rumah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</si>
  <si>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</si>
  <si>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</si>
  <si>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</si>
  <si>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</si>
  <si>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</si>
  <si>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</si>
  <si>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</si>
  <si>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</si>
  <si>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</si>
  <si>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Menyiapkan kasur &amp; karpet tidur</t>
  </si>
  <si>
    <t>Mengisi ulang daya gadget</t>
  </si>
  <si>
    <t>Menjahit</t>
  </si>
  <si>
    <t>Menerima tamu</t>
  </si>
  <si>
    <t>RDP02</t>
  </si>
  <si>
    <t>RKJ01</t>
  </si>
  <si>
    <t>RKM02</t>
  </si>
  <si>
    <t>RKM03</t>
  </si>
  <si>
    <t>RKM04</t>
  </si>
  <si>
    <t>Mematikan rice cooker</t>
  </si>
  <si>
    <t>RBK01</t>
  </si>
  <si>
    <t>M;5</t>
  </si>
  <si>
    <t>M;3</t>
  </si>
  <si>
    <t>M;4</t>
  </si>
  <si>
    <t>6/7 s/d 7/7</t>
  </si>
  <si>
    <t>B;3</t>
  </si>
  <si>
    <t>1 set membersihkan rumah</t>
  </si>
  <si>
    <t>set mandi anak</t>
  </si>
  <si>
    <t>M;1</t>
  </si>
  <si>
    <t xml:space="preserve">Mencuci piring dan alat masak </t>
  </si>
  <si>
    <t>set bersih KM</t>
  </si>
  <si>
    <t>A3</t>
  </si>
  <si>
    <t>A48</t>
  </si>
  <si>
    <t>A55</t>
  </si>
  <si>
    <t>PR;A55</t>
  </si>
  <si>
    <t>PR;A6</t>
  </si>
  <si>
    <t>PR;A9</t>
  </si>
  <si>
    <t>E</t>
  </si>
  <si>
    <t>Membereskan mainan anak</t>
  </si>
  <si>
    <t>tereliminasi karena aktivitas lain</t>
  </si>
  <si>
    <t>Bekerja di luar rumah</t>
  </si>
  <si>
    <t>Belanja</t>
  </si>
  <si>
    <t>KODE PENGULANGAN WAKTU</t>
  </si>
  <si>
    <t>dilakukan 7 hari dalam seminggu</t>
  </si>
  <si>
    <t>M;angka</t>
  </si>
  <si>
    <t>dilakukan sebanyak sejumlah angka (5 kali/ 3 kali dst.) dalam seminggu, di hari yang acak</t>
  </si>
  <si>
    <t>angka/7</t>
  </si>
  <si>
    <t>dilakukan setiap hari ke-angka dalam seminggu (1/7 s.d 5/7, hanya di hari senin-jumat)</t>
  </si>
  <si>
    <t>B;angka</t>
  </si>
  <si>
    <t>dilakukan sebanyak sejumlah angka (5 kali/ 3 kali dst.) dalam sebulan, di hari yang acak</t>
  </si>
  <si>
    <t>angka/7 ; angka/7</t>
  </si>
  <si>
    <t>(;) = atau. Dilakukan pada hari ke-angka (atau) hari ke-angka dalam seminggu (1/7 ; 5/7, hanya di hari senin ; jumat)</t>
  </si>
  <si>
    <t>PR-D;DLA;B7</t>
  </si>
  <si>
    <t>D</t>
  </si>
  <si>
    <t>direct (aktivitas langsung dilakukan setelah aktivitas pendahulu selesai (berdandan, langsung setelah aktivitas mandi))</t>
  </si>
  <si>
    <t>PA-I;A</t>
  </si>
  <si>
    <t>Menyapu Ruang Belakang</t>
  </si>
  <si>
    <t>Menyapu Ruang Tamu</t>
  </si>
  <si>
    <t>Mengepel Ruang Tamu</t>
  </si>
  <si>
    <t>A78</t>
  </si>
  <si>
    <t>A79</t>
  </si>
  <si>
    <t>RTM01</t>
  </si>
  <si>
    <t>PR;A13</t>
  </si>
  <si>
    <t>PA-O;E;A24</t>
  </si>
  <si>
    <t>PA-I;E;A23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</si>
  <si>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</si>
  <si>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</si>
  <si>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</si>
  <si>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</si>
  <si>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</si>
  <si>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</si>
  <si>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</si>
  <si>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</si>
  <si>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</si>
  <si>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</si>
  <si>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</si>
  <si>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</si>
  <si>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</si>
  <si>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</si>
  <si>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</si>
  <si>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</si>
  <si>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Bermain dengan anak di siang hari</t>
  </si>
  <si>
    <t>Membersihkan KM Belakang</t>
  </si>
  <si>
    <t>PR-D;A69</t>
  </si>
  <si>
    <t>RTS01/ RTM01</t>
  </si>
  <si>
    <t>RKG01/ RTU01</t>
  </si>
  <si>
    <t>19okt21_perbaikan</t>
  </si>
  <si>
    <t>RKG01/ RDP02</t>
  </si>
  <si>
    <t>A80</t>
  </si>
  <si>
    <t>Menyapu Halaman Depan</t>
  </si>
  <si>
    <t>RKM02/ RKM03</t>
  </si>
  <si>
    <t>RKM02/ RKM04</t>
  </si>
  <si>
    <t>RKG01/ RTM01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</si>
</sst>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9" fillId="3" borderId="1" applyNumberFormat="0" applyAlignment="0" applyProtection="0"/>
  </cellStyleXfs>
  <cellXfs count="202">
    <xf numFmtId="0" fontId="0" fillId="0" borderId="0" xfId="0"/>
    <xf numFmtId="0" fontId="5" fillId="0" borderId="0" xfId="2"/>
    <xf numFmtId="0" fontId="6" fillId="0" borderId="0" xfId="2" applyFont="1" applyFill="1" applyAlignment="1">
      <alignment horizontal="center"/>
    </xf>
    <xf numFmtId="0" fontId="5" fillId="0" borderId="0" xfId="2" applyFill="1"/>
    <xf numFmtId="0" fontId="5" fillId="0" borderId="0" xfId="2" applyFill="1" applyAlignment="1">
      <alignment horizontal="left"/>
    </xf>
    <xf numFmtId="0" fontId="4" fillId="0" borderId="0" xfId="2" applyFont="1"/>
    <xf numFmtId="0" fontId="3" fillId="0" borderId="0" xfId="2" applyFont="1" applyAlignment="1">
      <alignment wrapText="1"/>
    </xf>
    <xf numFmtId="0" fontId="1" fillId="0" borderId="11" xfId="2" applyFont="1" applyFill="1" applyBorder="1" applyAlignment="1">
      <alignment horizontal="center" vertical="center"/>
    </xf>
    <xf numFmtId="0" fontId="10" fillId="0" borderId="0" xfId="2" applyFont="1" applyFill="1"/>
    <xf numFmtId="0" fontId="5" fillId="0" borderId="0" xfId="2" applyFill="1" applyAlignment="1">
      <alignment wrapText="1"/>
    </xf>
    <xf numFmtId="0" fontId="10" fillId="0" borderId="0" xfId="2" applyFont="1" applyFill="1" applyAlignment="1">
      <alignment horizontal="center"/>
    </xf>
    <xf numFmtId="0" fontId="0" fillId="0" borderId="3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20" fontId="1" fillId="0" borderId="0" xfId="2" applyNumberFormat="1" applyFont="1" applyFill="1" applyBorder="1" applyAlignment="1">
      <alignment horizontal="center"/>
    </xf>
    <xf numFmtId="20" fontId="0" fillId="0" borderId="0" xfId="2" applyNumberFormat="1" applyFont="1" applyFill="1" applyBorder="1" applyAlignment="1">
      <alignment horizontal="left"/>
    </xf>
    <xf numFmtId="0" fontId="1" fillId="0" borderId="15" xfId="2" applyFont="1" applyFill="1" applyBorder="1" applyAlignment="1">
      <alignment horizontal="center" vertical="center"/>
    </xf>
    <xf numFmtId="0" fontId="7" fillId="0" borderId="35" xfId="2" applyFont="1" applyFill="1" applyBorder="1" applyAlignment="1">
      <alignment horizontal="center" vertical="center" wrapText="1"/>
    </xf>
    <xf numFmtId="0" fontId="7" fillId="0" borderId="33" xfId="2" applyFont="1" applyFill="1" applyBorder="1" applyAlignment="1">
      <alignment horizontal="center" vertical="center" wrapText="1"/>
    </xf>
    <xf numFmtId="0" fontId="7" fillId="0" borderId="26" xfId="1" applyFont="1" applyFill="1" applyBorder="1" applyAlignment="1">
      <alignment horizontal="center" vertical="center" wrapText="1"/>
    </xf>
    <xf numFmtId="0" fontId="7" fillId="0" borderId="32" xfId="1" applyFont="1" applyFill="1" applyBorder="1" applyAlignment="1">
      <alignment horizontal="center" vertical="center" wrapText="1"/>
    </xf>
    <xf numFmtId="0" fontId="7" fillId="0" borderId="33" xfId="1" applyFont="1" applyFill="1" applyBorder="1" applyAlignment="1">
      <alignment horizontal="center" vertical="center" wrapText="1"/>
    </xf>
    <xf numFmtId="20" fontId="8" fillId="0" borderId="46" xfId="2" applyNumberFormat="1" applyFont="1" applyFill="1" applyBorder="1" applyAlignment="1">
      <alignment horizontal="right" vertical="center"/>
    </xf>
    <xf numFmtId="0" fontId="7" fillId="5" borderId="33" xfId="2" applyFont="1" applyFill="1" applyBorder="1" applyAlignment="1">
      <alignment horizontal="center" vertical="center" wrapText="1"/>
    </xf>
    <xf numFmtId="0" fontId="7" fillId="5" borderId="35" xfId="2" applyFont="1" applyFill="1" applyBorder="1" applyAlignment="1">
      <alignment horizontal="center" vertical="center" wrapText="1"/>
    </xf>
    <xf numFmtId="0" fontId="7" fillId="5" borderId="34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wrapText="1"/>
    </xf>
    <xf numFmtId="0" fontId="1" fillId="0" borderId="0" xfId="2" applyFont="1" applyFill="1" applyBorder="1" applyAlignment="1">
      <alignment horizontal="center" wrapText="1"/>
    </xf>
    <xf numFmtId="0" fontId="8" fillId="0" borderId="0" xfId="2" applyFont="1" applyFill="1" applyBorder="1" applyAlignment="1">
      <alignment horizontal="center"/>
    </xf>
    <xf numFmtId="0" fontId="5" fillId="0" borderId="0" xfId="2" applyAlignment="1">
      <alignment horizontal="left" vertical="center"/>
    </xf>
    <xf numFmtId="0" fontId="8" fillId="0" borderId="0" xfId="2" applyFont="1" applyFill="1" applyAlignment="1">
      <alignment horizontal="left"/>
    </xf>
    <xf numFmtId="20" fontId="8" fillId="0" borderId="0" xfId="2" applyNumberFormat="1" applyFont="1" applyFill="1" applyBorder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Fill="1"/>
    <xf numFmtId="0" fontId="6" fillId="0" borderId="0" xfId="2" applyFont="1" applyFill="1"/>
    <xf numFmtId="0" fontId="7" fillId="0" borderId="27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4" fillId="0" borderId="27" xfId="2" applyFont="1" applyFill="1" applyBorder="1" applyAlignment="1">
      <alignment horizontal="center" vertical="center" wrapText="1"/>
    </xf>
    <xf numFmtId="0" fontId="0" fillId="0" borderId="21" xfId="2" applyFont="1" applyBorder="1" applyAlignment="1">
      <alignment horizontal="center" vertical="center" wrapText="1"/>
    </xf>
    <xf numFmtId="0" fontId="0" fillId="0" borderId="12" xfId="2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center" wrapText="1"/>
    </xf>
    <xf numFmtId="0" fontId="0" fillId="0" borderId="0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1" fillId="0" borderId="29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 wrapText="1"/>
    </xf>
    <xf numFmtId="0" fontId="12" fillId="0" borderId="0" xfId="2" applyFont="1" applyBorder="1" applyAlignment="1">
      <alignment horizontal="center" vertical="center" wrapText="1"/>
    </xf>
    <xf numFmtId="0" fontId="5" fillId="0" borderId="0" xfId="2" applyFill="1" applyAlignment="1">
      <alignment horizontal="center" vertical="center" wrapText="1"/>
    </xf>
    <xf numFmtId="20" fontId="0" fillId="0" borderId="9" xfId="2" applyNumberFormat="1" applyFont="1" applyFill="1" applyBorder="1" applyAlignment="1">
      <alignment horizontal="center" vertical="center" wrapText="1"/>
    </xf>
    <xf numFmtId="0" fontId="4" fillId="4" borderId="43" xfId="2" applyFont="1" applyFill="1" applyBorder="1" applyAlignment="1">
      <alignment horizontal="center" vertical="center"/>
    </xf>
    <xf numFmtId="20" fontId="1" fillId="0" borderId="0" xfId="2" applyNumberFormat="1" applyFont="1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11" fillId="0" borderId="0" xfId="2" applyFont="1" applyBorder="1" applyAlignment="1">
      <alignment vertical="center"/>
    </xf>
    <xf numFmtId="0" fontId="12" fillId="0" borderId="0" xfId="2" applyFont="1" applyBorder="1" applyAlignment="1">
      <alignment vertical="center"/>
    </xf>
    <xf numFmtId="0" fontId="6" fillId="0" borderId="0" xfId="2" applyFont="1" applyFill="1" applyAlignment="1">
      <alignment horizontal="center" vertical="center" wrapText="1"/>
    </xf>
    <xf numFmtId="0" fontId="11" fillId="0" borderId="0" xfId="2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0" fillId="0" borderId="0" xfId="2" applyFont="1" applyFill="1" applyAlignment="1">
      <alignment vertical="center"/>
    </xf>
    <xf numFmtId="0" fontId="10" fillId="0" borderId="0" xfId="2" applyFont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13" fillId="0" borderId="0" xfId="2" applyFont="1" applyBorder="1" applyAlignment="1">
      <alignment vertical="center"/>
    </xf>
    <xf numFmtId="0" fontId="8" fillId="0" borderId="0" xfId="2" applyFont="1" applyFill="1" applyAlignment="1">
      <alignment horizontal="left" vertical="center"/>
    </xf>
    <xf numFmtId="0" fontId="5" fillId="0" borderId="0" xfId="2" applyFill="1" applyAlignment="1">
      <alignment horizontal="left" vertical="center"/>
    </xf>
    <xf numFmtId="0" fontId="5" fillId="0" borderId="0" xfId="2" applyFill="1" applyAlignment="1">
      <alignment vertical="center"/>
    </xf>
    <xf numFmtId="0" fontId="5" fillId="5" borderId="0" xfId="2" applyFill="1" applyAlignment="1">
      <alignment vertical="center"/>
    </xf>
    <xf numFmtId="0" fontId="5" fillId="0" borderId="36" xfId="2" applyFill="1" applyBorder="1" applyAlignment="1">
      <alignment vertical="center"/>
    </xf>
    <xf numFmtId="0" fontId="12" fillId="0" borderId="0" xfId="2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1" fillId="0" borderId="3" xfId="2" applyFont="1" applyFill="1" applyBorder="1" applyAlignment="1">
      <alignment horizontal="center" vertical="center"/>
    </xf>
    <xf numFmtId="0" fontId="0" fillId="0" borderId="46" xfId="2" applyFont="1" applyFill="1" applyBorder="1" applyAlignment="1">
      <alignment horizontal="center" vertical="center"/>
    </xf>
    <xf numFmtId="0" fontId="0" fillId="0" borderId="11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vertical="center" wrapText="1"/>
    </xf>
    <xf numFmtId="0" fontId="0" fillId="0" borderId="12" xfId="2" applyFont="1" applyFill="1" applyBorder="1" applyAlignment="1">
      <alignment horizontal="center" vertical="center"/>
    </xf>
    <xf numFmtId="0" fontId="0" fillId="0" borderId="36" xfId="2" applyFont="1" applyFill="1" applyBorder="1" applyAlignment="1">
      <alignment horizontal="center" vertical="center"/>
    </xf>
    <xf numFmtId="0" fontId="8" fillId="0" borderId="36" xfId="2" applyFont="1" applyFill="1" applyBorder="1" applyAlignment="1">
      <alignment horizontal="center" vertical="center" wrapText="1"/>
    </xf>
    <xf numFmtId="0" fontId="8" fillId="0" borderId="36" xfId="2" applyFont="1" applyFill="1" applyBorder="1" applyAlignment="1">
      <alignment horizontal="center" vertical="center"/>
    </xf>
    <xf numFmtId="0" fontId="8" fillId="0" borderId="39" xfId="2" applyFont="1" applyBorder="1" applyAlignment="1">
      <alignment horizontal="center" vertical="center"/>
    </xf>
    <xf numFmtId="0" fontId="8" fillId="0" borderId="9" xfId="2" applyFont="1" applyFill="1" applyBorder="1" applyAlignment="1">
      <alignment horizontal="center" vertical="center"/>
    </xf>
    <xf numFmtId="0" fontId="0" fillId="0" borderId="28" xfId="2" applyFont="1" applyFill="1" applyBorder="1" applyAlignment="1">
      <alignment horizontal="center" vertical="center"/>
    </xf>
    <xf numFmtId="0" fontId="1" fillId="0" borderId="9" xfId="2" applyFont="1" applyFill="1" applyBorder="1" applyAlignment="1">
      <alignment horizontal="center" vertical="center"/>
    </xf>
    <xf numFmtId="0" fontId="1" fillId="0" borderId="31" xfId="2" applyFont="1" applyFill="1" applyBorder="1" applyAlignment="1">
      <alignment horizontal="center" vertical="center"/>
    </xf>
    <xf numFmtId="0" fontId="1" fillId="0" borderId="14" xfId="2" applyFont="1" applyFill="1" applyBorder="1" applyAlignment="1">
      <alignment horizontal="center" vertical="center"/>
    </xf>
    <xf numFmtId="20" fontId="0" fillId="0" borderId="38" xfId="2" applyNumberFormat="1" applyFont="1" applyFill="1" applyBorder="1" applyAlignment="1">
      <alignment horizontal="center" vertical="center"/>
    </xf>
    <xf numFmtId="20" fontId="8" fillId="0" borderId="7" xfId="2" applyNumberFormat="1" applyFont="1" applyFill="1" applyBorder="1" applyAlignment="1">
      <alignment horizontal="center" vertical="center"/>
    </xf>
    <xf numFmtId="20" fontId="0" fillId="0" borderId="30" xfId="2" applyNumberFormat="1" applyFont="1" applyFill="1" applyBorder="1" applyAlignment="1">
      <alignment horizontal="center" vertical="center"/>
    </xf>
    <xf numFmtId="20" fontId="0" fillId="0" borderId="9" xfId="2" applyNumberFormat="1" applyFont="1" applyFill="1" applyBorder="1" applyAlignment="1">
      <alignment horizontal="left" vertical="center"/>
    </xf>
    <xf numFmtId="0" fontId="0" fillId="0" borderId="37" xfId="2" applyFont="1" applyFill="1" applyBorder="1" applyAlignment="1">
      <alignment horizontal="center" vertical="center"/>
    </xf>
    <xf numFmtId="12" fontId="0" fillId="0" borderId="36" xfId="2" applyNumberFormat="1" applyFont="1" applyFill="1" applyBorder="1" applyAlignment="1">
      <alignment horizontal="center" vertical="center"/>
    </xf>
    <xf numFmtId="20" fontId="0" fillId="0" borderId="28" xfId="2" applyNumberFormat="1" applyFont="1" applyFill="1" applyBorder="1" applyAlignment="1">
      <alignment horizontal="center" vertical="center"/>
    </xf>
    <xf numFmtId="0" fontId="4" fillId="4" borderId="43" xfId="2" applyFont="1" applyFill="1" applyBorder="1" applyAlignment="1">
      <alignment horizontal="left" vertical="center"/>
    </xf>
    <xf numFmtId="0" fontId="4" fillId="4" borderId="24" xfId="2" applyFont="1" applyFill="1" applyBorder="1" applyAlignment="1">
      <alignment horizontal="left" vertical="center"/>
    </xf>
    <xf numFmtId="0" fontId="5" fillId="0" borderId="0" xfId="2" applyFill="1" applyAlignment="1">
      <alignment vertical="center" wrapText="1"/>
    </xf>
    <xf numFmtId="0" fontId="1" fillId="0" borderId="7" xfId="2" applyFont="1" applyFill="1" applyBorder="1" applyAlignment="1">
      <alignment horizontal="center" vertical="center"/>
    </xf>
    <xf numFmtId="0" fontId="1" fillId="0" borderId="35" xfId="2" applyFont="1" applyFill="1" applyBorder="1" applyAlignment="1">
      <alignment horizontal="center" vertical="center"/>
    </xf>
    <xf numFmtId="0" fontId="0" fillId="0" borderId="35" xfId="2" applyFont="1" applyFill="1" applyBorder="1" applyAlignment="1">
      <alignment horizontal="center" vertical="center" wrapText="1"/>
    </xf>
    <xf numFmtId="0" fontId="8" fillId="0" borderId="35" xfId="2" applyFont="1" applyFill="1" applyBorder="1" applyAlignment="1">
      <alignment horizontal="center" vertical="center"/>
    </xf>
    <xf numFmtId="0" fontId="8" fillId="0" borderId="20" xfId="2" applyFont="1" applyFill="1" applyBorder="1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20" fontId="8" fillId="0" borderId="10" xfId="2" applyNumberFormat="1" applyFont="1" applyFill="1" applyBorder="1" applyAlignment="1">
      <alignment horizontal="center" vertical="center"/>
    </xf>
    <xf numFmtId="20" fontId="1" fillId="0" borderId="6" xfId="2" applyNumberFormat="1" applyFont="1" applyFill="1" applyBorder="1" applyAlignment="1">
      <alignment horizontal="center" vertical="center"/>
    </xf>
    <xf numFmtId="0" fontId="1" fillId="0" borderId="36" xfId="2" applyFont="1" applyFill="1" applyBorder="1" applyAlignment="1">
      <alignment horizontal="center" vertical="center"/>
    </xf>
    <xf numFmtId="0" fontId="0" fillId="0" borderId="36" xfId="2" applyFont="1" applyFill="1" applyBorder="1" applyAlignment="1">
      <alignment horizontal="center" vertical="center" wrapText="1"/>
    </xf>
    <xf numFmtId="0" fontId="1" fillId="0" borderId="36" xfId="2" applyFont="1" applyFill="1" applyBorder="1" applyAlignment="1">
      <alignment horizontal="center" vertical="center" wrapText="1"/>
    </xf>
    <xf numFmtId="20" fontId="8" fillId="0" borderId="9" xfId="2" applyNumberFormat="1" applyFont="1" applyFill="1" applyBorder="1" applyAlignment="1">
      <alignment horizontal="center" vertical="center"/>
    </xf>
    <xf numFmtId="20" fontId="1" fillId="0" borderId="13" xfId="2" applyNumberFormat="1" applyFont="1" applyFill="1" applyBorder="1" applyAlignment="1">
      <alignment horizontal="center" vertical="center"/>
    </xf>
    <xf numFmtId="0" fontId="1" fillId="0" borderId="33" xfId="2" applyFont="1" applyFill="1" applyBorder="1" applyAlignment="1">
      <alignment horizontal="center" vertical="center"/>
    </xf>
    <xf numFmtId="0" fontId="0" fillId="0" borderId="33" xfId="2" applyFont="1" applyFill="1" applyBorder="1" applyAlignment="1">
      <alignment horizontal="center" vertical="center" wrapText="1"/>
    </xf>
    <xf numFmtId="0" fontId="8" fillId="0" borderId="33" xfId="2" applyFont="1" applyFill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/>
    </xf>
    <xf numFmtId="20" fontId="8" fillId="0" borderId="40" xfId="2" applyNumberFormat="1" applyFont="1" applyFill="1" applyBorder="1" applyAlignment="1">
      <alignment horizontal="center" vertical="center"/>
    </xf>
    <xf numFmtId="20" fontId="1" fillId="0" borderId="16" xfId="2" applyNumberFormat="1" applyFont="1" applyFill="1" applyBorder="1" applyAlignment="1">
      <alignment horizontal="center" vertical="center"/>
    </xf>
    <xf numFmtId="20" fontId="0" fillId="0" borderId="17" xfId="2" applyNumberFormat="1" applyFont="1" applyFill="1" applyBorder="1" applyAlignment="1">
      <alignment horizontal="left" vertical="center"/>
    </xf>
    <xf numFmtId="0" fontId="12" fillId="0" borderId="0" xfId="2" applyFont="1" applyFill="1" applyBorder="1" applyAlignment="1">
      <alignment vertical="center"/>
    </xf>
    <xf numFmtId="0" fontId="12" fillId="0" borderId="0" xfId="2" applyFont="1" applyFill="1" applyBorder="1" applyAlignment="1">
      <alignment horizontal="center" vertical="center"/>
    </xf>
    <xf numFmtId="0" fontId="0" fillId="0" borderId="23" xfId="2" applyFont="1" applyFill="1" applyBorder="1" applyAlignment="1">
      <alignment horizontal="center" vertical="center"/>
    </xf>
    <xf numFmtId="0" fontId="0" fillId="0" borderId="40" xfId="2" applyFont="1" applyFill="1" applyBorder="1" applyAlignment="1">
      <alignment horizontal="center" vertical="center"/>
    </xf>
    <xf numFmtId="0" fontId="0" fillId="0" borderId="15" xfId="2" applyFont="1" applyFill="1" applyBorder="1" applyAlignment="1">
      <alignment horizontal="center" vertical="center"/>
    </xf>
    <xf numFmtId="0" fontId="0" fillId="4" borderId="46" xfId="2" applyFont="1" applyFill="1" applyBorder="1" applyAlignment="1">
      <alignment horizontal="center" vertical="center"/>
    </xf>
    <xf numFmtId="0" fontId="0" fillId="4" borderId="37" xfId="2" applyFont="1" applyFill="1" applyBorder="1" applyAlignment="1">
      <alignment horizontal="center" vertical="center"/>
    </xf>
    <xf numFmtId="0" fontId="0" fillId="6" borderId="46" xfId="2" applyFont="1" applyFill="1" applyBorder="1" applyAlignment="1">
      <alignment horizontal="center" vertical="center"/>
    </xf>
    <xf numFmtId="0" fontId="0" fillId="6" borderId="37" xfId="2" applyFont="1" applyFill="1" applyBorder="1" applyAlignment="1">
      <alignment horizontal="center" vertical="center"/>
    </xf>
    <xf numFmtId="0" fontId="5" fillId="4" borderId="0" xfId="2" applyFill="1" applyAlignment="1">
      <alignment vertical="center"/>
    </xf>
    <xf numFmtId="20" fontId="0" fillId="7" borderId="18" xfId="2" applyNumberFormat="1" applyFont="1" applyFill="1" applyBorder="1" applyAlignment="1">
      <alignment horizontal="center" vertical="center"/>
    </xf>
    <xf numFmtId="20" fontId="1" fillId="7" borderId="19" xfId="2" applyNumberFormat="1" applyFont="1" applyFill="1" applyBorder="1" applyAlignment="1">
      <alignment horizontal="center" vertical="center" wrapText="1"/>
    </xf>
    <xf numFmtId="20" fontId="1" fillId="7" borderId="13" xfId="2" applyNumberFormat="1" applyFont="1" applyFill="1" applyBorder="1" applyAlignment="1">
      <alignment horizontal="center" vertical="center"/>
    </xf>
    <xf numFmtId="20" fontId="1" fillId="7" borderId="14" xfId="2" applyNumberFormat="1" applyFont="1" applyFill="1" applyBorder="1" applyAlignment="1">
      <alignment horizontal="center" vertical="center" wrapText="1"/>
    </xf>
    <xf numFmtId="20" fontId="1" fillId="7" borderId="16" xfId="2" applyNumberFormat="1" applyFont="1" applyFill="1" applyBorder="1" applyAlignment="1">
      <alignment horizontal="center" vertical="center"/>
    </xf>
    <xf numFmtId="20" fontId="1" fillId="7" borderId="17" xfId="2" applyNumberFormat="1" applyFont="1" applyFill="1" applyBorder="1" applyAlignment="1">
      <alignment horizontal="center" vertical="center" wrapText="1"/>
    </xf>
    <xf numFmtId="0" fontId="5" fillId="7" borderId="0" xfId="2" applyFill="1" applyAlignment="1">
      <alignment vertical="center"/>
    </xf>
    <xf numFmtId="0" fontId="1" fillId="0" borderId="29" xfId="2" applyFont="1" applyFill="1" applyBorder="1" applyAlignment="1">
      <alignment horizontal="center" vertical="center"/>
    </xf>
    <xf numFmtId="0" fontId="11" fillId="0" borderId="0" xfId="2" applyFont="1" applyBorder="1" applyAlignment="1">
      <alignment horizontal="left" vertical="center"/>
    </xf>
    <xf numFmtId="0" fontId="1" fillId="0" borderId="29" xfId="2" applyFont="1" applyFill="1" applyBorder="1" applyAlignment="1">
      <alignment horizontal="center" vertical="center"/>
    </xf>
    <xf numFmtId="0" fontId="12" fillId="0" borderId="0" xfId="2" applyFont="1" applyFill="1" applyBorder="1" applyAlignment="1">
      <alignment vertical="center" wrapText="1"/>
    </xf>
    <xf numFmtId="0" fontId="10" fillId="0" borderId="0" xfId="2" applyFont="1" applyFill="1" applyAlignment="1">
      <alignment vertical="center" wrapText="1"/>
    </xf>
    <xf numFmtId="0" fontId="12" fillId="0" borderId="0" xfId="2" applyFont="1" applyFill="1" applyBorder="1" applyAlignment="1">
      <alignment horizontal="center" vertical="center" wrapText="1"/>
    </xf>
    <xf numFmtId="0" fontId="0" fillId="0" borderId="8" xfId="2" applyFont="1" applyFill="1" applyBorder="1" applyAlignment="1">
      <alignment horizontal="left" vertical="center" wrapText="1"/>
    </xf>
    <xf numFmtId="0" fontId="0" fillId="0" borderId="12" xfId="2" applyFont="1" applyFill="1" applyBorder="1" applyAlignment="1">
      <alignment horizontal="left" vertical="center" wrapText="1"/>
    </xf>
    <xf numFmtId="0" fontId="1" fillId="0" borderId="12" xfId="2" applyFont="1" applyFill="1" applyBorder="1" applyAlignment="1">
      <alignment horizontal="left" vertical="center" wrapText="1"/>
    </xf>
    <xf numFmtId="0" fontId="0" fillId="0" borderId="16" xfId="2" applyFont="1" applyFill="1" applyBorder="1" applyAlignment="1">
      <alignment horizontal="left" vertical="center" wrapText="1"/>
    </xf>
    <xf numFmtId="0" fontId="8" fillId="0" borderId="15" xfId="2" applyFont="1" applyFill="1" applyBorder="1" applyAlignment="1">
      <alignment vertical="center" wrapText="1"/>
    </xf>
    <xf numFmtId="0" fontId="8" fillId="8" borderId="12" xfId="2" applyFont="1" applyFill="1" applyBorder="1" applyAlignment="1">
      <alignment vertical="center" wrapText="1"/>
    </xf>
    <xf numFmtId="0" fontId="0" fillId="8" borderId="37" xfId="2" applyFont="1" applyFill="1" applyBorder="1" applyAlignment="1">
      <alignment horizontal="center" vertical="center"/>
    </xf>
    <xf numFmtId="0" fontId="0" fillId="8" borderId="12" xfId="2" applyFont="1" applyFill="1" applyBorder="1" applyAlignment="1">
      <alignment horizontal="center" vertical="center"/>
    </xf>
    <xf numFmtId="0" fontId="0" fillId="0" borderId="12" xfId="2" applyFont="1" applyFill="1" applyBorder="1" applyAlignment="1">
      <alignment horizontal="center" vertical="center" wrapText="1"/>
    </xf>
    <xf numFmtId="0" fontId="0" fillId="8" borderId="12" xfId="2" applyFont="1" applyFill="1" applyBorder="1" applyAlignment="1">
      <alignment horizontal="center" vertical="center" wrapText="1"/>
    </xf>
    <xf numFmtId="0" fontId="4" fillId="4" borderId="43" xfId="2" applyFont="1" applyFill="1" applyBorder="1" applyAlignment="1">
      <alignment horizontal="left" vertical="center" wrapText="1"/>
    </xf>
    <xf numFmtId="0" fontId="1" fillId="8" borderId="12" xfId="2" applyFont="1" applyFill="1" applyBorder="1" applyAlignment="1">
      <alignment horizontal="center" vertical="center" wrapText="1"/>
    </xf>
    <xf numFmtId="0" fontId="1" fillId="8" borderId="32" xfId="2" applyFont="1" applyFill="1" applyBorder="1" applyAlignment="1">
      <alignment horizontal="center" vertical="center" wrapText="1"/>
    </xf>
    <xf numFmtId="0" fontId="12" fillId="8" borderId="0" xfId="2" applyFont="1" applyFill="1" applyBorder="1" applyAlignment="1">
      <alignment horizontal="center" vertical="center"/>
    </xf>
    <xf numFmtId="0" fontId="11" fillId="0" borderId="0" xfId="2" applyFont="1" applyFill="1" applyAlignment="1">
      <alignment vertical="center"/>
    </xf>
    <xf numFmtId="20" fontId="0" fillId="8" borderId="38" xfId="2" applyNumberFormat="1" applyFont="1" applyFill="1" applyBorder="1" applyAlignment="1">
      <alignment horizontal="center" vertical="center"/>
    </xf>
    <xf numFmtId="0" fontId="0" fillId="8" borderId="46" xfId="2" applyFont="1" applyFill="1" applyBorder="1" applyAlignment="1">
      <alignment horizontal="center" vertical="center"/>
    </xf>
    <xf numFmtId="0" fontId="0" fillId="8" borderId="11" xfId="2" applyFont="1" applyFill="1" applyBorder="1" applyAlignment="1">
      <alignment horizontal="center" vertical="center"/>
    </xf>
    <xf numFmtId="0" fontId="0" fillId="8" borderId="36" xfId="2" applyFont="1" applyFill="1" applyBorder="1" applyAlignment="1">
      <alignment horizontal="center" vertical="center"/>
    </xf>
    <xf numFmtId="0" fontId="8" fillId="8" borderId="36" xfId="2" applyFont="1" applyFill="1" applyBorder="1" applyAlignment="1">
      <alignment horizontal="center" vertical="center" wrapText="1"/>
    </xf>
    <xf numFmtId="0" fontId="8" fillId="8" borderId="36" xfId="2" applyFont="1" applyFill="1" applyBorder="1" applyAlignment="1">
      <alignment horizontal="center" vertical="center"/>
    </xf>
    <xf numFmtId="0" fontId="8" fillId="8" borderId="39" xfId="2" applyFont="1" applyFill="1" applyBorder="1" applyAlignment="1">
      <alignment horizontal="center" vertical="center"/>
    </xf>
    <xf numFmtId="0" fontId="8" fillId="8" borderId="9" xfId="2" applyFont="1" applyFill="1" applyBorder="1" applyAlignment="1">
      <alignment horizontal="center" vertical="center"/>
    </xf>
    <xf numFmtId="0" fontId="0" fillId="8" borderId="28" xfId="2" applyFont="1" applyFill="1" applyBorder="1" applyAlignment="1">
      <alignment horizontal="center" vertical="center"/>
    </xf>
    <xf numFmtId="0" fontId="1" fillId="8" borderId="9" xfId="2" applyFont="1" applyFill="1" applyBorder="1" applyAlignment="1">
      <alignment horizontal="center" vertical="center"/>
    </xf>
    <xf numFmtId="0" fontId="1" fillId="8" borderId="31" xfId="2" applyFont="1" applyFill="1" applyBorder="1" applyAlignment="1">
      <alignment horizontal="center" vertical="center"/>
    </xf>
    <xf numFmtId="0" fontId="1" fillId="8" borderId="29" xfId="2" applyFont="1" applyFill="1" applyBorder="1" applyAlignment="1">
      <alignment horizontal="center" vertical="center"/>
    </xf>
    <xf numFmtId="0" fontId="1" fillId="8" borderId="14" xfId="2" applyFont="1" applyFill="1" applyBorder="1" applyAlignment="1">
      <alignment horizontal="center" vertical="center"/>
    </xf>
    <xf numFmtId="20" fontId="8" fillId="8" borderId="7" xfId="2" applyNumberFormat="1" applyFont="1" applyFill="1" applyBorder="1" applyAlignment="1">
      <alignment horizontal="center" vertical="center"/>
    </xf>
    <xf numFmtId="20" fontId="0" fillId="8" borderId="30" xfId="2" applyNumberFormat="1" applyFont="1" applyFill="1" applyBorder="1" applyAlignment="1">
      <alignment horizontal="center" vertical="center"/>
    </xf>
    <xf numFmtId="20" fontId="0" fillId="8" borderId="9" xfId="2" applyNumberFormat="1" applyFont="1" applyFill="1" applyBorder="1" applyAlignment="1">
      <alignment horizontal="left" vertical="center"/>
    </xf>
    <xf numFmtId="0" fontId="4" fillId="0" borderId="42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41" xfId="2" applyFont="1" applyFill="1" applyBorder="1" applyAlignment="1">
      <alignment horizontal="center" vertical="center" wrapText="1"/>
    </xf>
    <xf numFmtId="0" fontId="4" fillId="0" borderId="25" xfId="2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21" xfId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48" xfId="2" applyFont="1" applyFill="1" applyBorder="1" applyAlignment="1">
      <alignment horizontal="center" vertical="center" wrapText="1"/>
    </xf>
    <xf numFmtId="0" fontId="4" fillId="0" borderId="21" xfId="2" applyFont="1" applyFill="1" applyBorder="1" applyAlignment="1">
      <alignment horizontal="center" vertical="center" wrapText="1"/>
    </xf>
    <xf numFmtId="0" fontId="4" fillId="0" borderId="23" xfId="2" applyFont="1" applyFill="1" applyBorder="1" applyAlignment="1">
      <alignment horizontal="center" vertical="center" wrapText="1"/>
    </xf>
    <xf numFmtId="0" fontId="4" fillId="0" borderId="42" xfId="2" applyFont="1" applyFill="1" applyBorder="1" applyAlignment="1">
      <alignment horizontal="center" vertical="center"/>
    </xf>
    <xf numFmtId="0" fontId="4" fillId="0" borderId="43" xfId="2" applyFont="1" applyFill="1" applyBorder="1" applyAlignment="1">
      <alignment horizontal="center" vertical="center"/>
    </xf>
    <xf numFmtId="0" fontId="4" fillId="0" borderId="44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3" fillId="0" borderId="6" xfId="2" applyFont="1" applyFill="1" applyBorder="1" applyAlignment="1">
      <alignment horizontal="left" vertical="center" wrapText="1"/>
    </xf>
    <xf numFmtId="0" fontId="3" fillId="0" borderId="0" xfId="2" applyFont="1" applyFill="1" applyBorder="1" applyAlignment="1">
      <alignment horizontal="left" vertical="center" wrapText="1"/>
    </xf>
    <xf numFmtId="0" fontId="7" fillId="0" borderId="41" xfId="2" applyFont="1" applyFill="1" applyBorder="1" applyAlignment="1">
      <alignment horizontal="center" vertical="center" wrapText="1"/>
    </xf>
    <xf numFmtId="0" fontId="7" fillId="0" borderId="25" xfId="2" applyFont="1" applyFill="1" applyBorder="1" applyAlignment="1">
      <alignment horizontal="center" vertical="center" wrapText="1"/>
    </xf>
    <xf numFmtId="0" fontId="7" fillId="0" borderId="19" xfId="2" applyFont="1" applyFill="1" applyBorder="1" applyAlignment="1">
      <alignment horizontal="center" vertical="center" wrapText="1"/>
    </xf>
    <xf numFmtId="0" fontId="7" fillId="0" borderId="27" xfId="2" applyFont="1" applyFill="1" applyBorder="1" applyAlignment="1">
      <alignment horizontal="center" vertical="center" wrapText="1"/>
    </xf>
    <xf numFmtId="0" fontId="4" fillId="0" borderId="47" xfId="2" applyFont="1" applyFill="1" applyBorder="1" applyAlignment="1">
      <alignment horizontal="center" vertical="center" wrapText="1"/>
    </xf>
    <xf numFmtId="0" fontId="4" fillId="0" borderId="34" xfId="2" applyFont="1" applyFill="1" applyBorder="1" applyAlignment="1">
      <alignment horizontal="center" vertical="center" wrapText="1"/>
    </xf>
    <xf numFmtId="20" fontId="0" fillId="0" borderId="14" xfId="2" applyNumberFormat="1" applyFont="1" applyFill="1" applyBorder="1" applyAlignment="1">
      <alignment horizontal="center" vertical="center" wrapText="1"/>
    </xf>
    <xf numFmtId="20" fontId="0" fillId="0" borderId="45" xfId="2" applyNumberFormat="1" applyFont="1" applyFill="1" applyBorder="1" applyAlignment="1">
      <alignment horizontal="center" vertical="center" wrapText="1"/>
    </xf>
    <xf numFmtId="20" fontId="0" fillId="0" borderId="10" xfId="2" applyNumberFormat="1" applyFont="1" applyFill="1" applyBorder="1" applyAlignment="1">
      <alignment horizontal="center" vertical="center" wrapText="1"/>
    </xf>
  </cellXfs>
  <cellStyles count="4"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B1:AH102"/>
  <sheetViews>
    <sheetView showGridLines="0" tabSelected="1" topLeftCell="A10" zoomScale="85" zoomScaleNormal="85" workbookViewId="0">
      <selection activeCell="J20" sqref="J20"/>
    </sheetView>
  </sheetViews>
  <sheetFormatPr defaultColWidth="8.85546875" defaultRowHeight="15" x14ac:dyDescent="0.25"/>
  <cols>
    <col min="1" max="1" width="4.140625" style="1" customWidth="1"/>
    <col min="2" max="2" width="4" style="1" customWidth="1"/>
    <col min="3" max="3" width="14.42578125" style="34" customWidth="1"/>
    <col min="4" max="4" width="5.5703125" style="1" customWidth="1"/>
    <col min="5" max="5" width="26.5703125" style="9" customWidth="1"/>
    <col min="6" max="6" width="8" style="45" customWidth="1"/>
    <col min="7" max="9" width="12.7109375" style="2" customWidth="1"/>
    <col min="10" max="10" width="12.7109375" style="35" customWidth="1"/>
    <col min="11" max="11" width="12.7109375" style="32" customWidth="1"/>
    <col min="12" max="12" width="6.7109375" style="8" customWidth="1"/>
    <col min="13" max="13" width="8.7109375" style="33" customWidth="1"/>
    <col min="14" max="14" width="11.7109375" style="35" customWidth="1"/>
    <col min="15" max="15" width="6.7109375" style="35" customWidth="1"/>
    <col min="16" max="17" width="11.7109375" style="35" customWidth="1"/>
    <col min="18" max="18" width="6.7109375" style="35" customWidth="1"/>
    <col min="19" max="19" width="8.7109375" style="35" customWidth="1"/>
    <col min="20" max="20" width="15.7109375" style="1" customWidth="1"/>
    <col min="21" max="21" width="15.7109375" style="51" customWidth="1"/>
    <col min="22" max="22" width="8.7109375" style="30" customWidth="1"/>
    <col min="23" max="23" width="11.7109375" style="4" customWidth="1"/>
    <col min="24" max="24" width="11.7109375" style="34" customWidth="1"/>
    <col min="25" max="25" width="9.140625" style="1" hidden="1" customWidth="1"/>
    <col min="26" max="16384" width="8.85546875" style="1"/>
  </cols>
  <sheetData>
    <row r="1" spans="2:34" ht="18.75" x14ac:dyDescent="0.25">
      <c r="B1" s="56" t="s">
        <v>153</v>
      </c>
      <c r="C1" s="118"/>
      <c r="D1" s="57"/>
      <c r="E1" s="138"/>
      <c r="F1" s="58"/>
      <c r="G1" s="59" t="s">
        <v>169</v>
      </c>
      <c r="H1" s="59"/>
      <c r="I1" s="136" t="s">
        <v>270</v>
      </c>
      <c r="J1" s="59"/>
      <c r="K1" s="57"/>
      <c r="L1" s="56" t="s">
        <v>179</v>
      </c>
      <c r="M1" s="57"/>
      <c r="N1" s="60"/>
      <c r="O1" s="61"/>
      <c r="P1" s="62"/>
      <c r="Q1" s="63"/>
      <c r="R1" s="63"/>
      <c r="S1" s="63"/>
      <c r="T1" s="63"/>
      <c r="U1" s="57"/>
      <c r="V1" s="56"/>
      <c r="W1" s="57"/>
      <c r="X1" s="50"/>
      <c r="Y1" s="64"/>
      <c r="Z1" s="57"/>
      <c r="AA1" s="57"/>
      <c r="AB1" s="55"/>
      <c r="AC1" s="55"/>
      <c r="AD1" s="55"/>
      <c r="AE1" s="55"/>
      <c r="AF1" s="55"/>
      <c r="AG1" s="55"/>
      <c r="AH1" s="55"/>
    </row>
    <row r="2" spans="2:34" x14ac:dyDescent="0.25">
      <c r="B2" s="127"/>
      <c r="C2" s="61" t="s">
        <v>167</v>
      </c>
      <c r="D2" s="60"/>
      <c r="E2" s="139"/>
      <c r="F2" s="58"/>
      <c r="G2" s="62">
        <v>0</v>
      </c>
      <c r="H2" s="63" t="s">
        <v>177</v>
      </c>
      <c r="I2" s="63" t="s">
        <v>57</v>
      </c>
      <c r="J2" s="63" t="s">
        <v>271</v>
      </c>
      <c r="K2" s="63"/>
      <c r="L2" s="62">
        <v>0</v>
      </c>
      <c r="M2" s="63" t="s">
        <v>180</v>
      </c>
      <c r="N2" s="60"/>
      <c r="O2" s="61"/>
      <c r="P2" s="62"/>
      <c r="Q2" s="63"/>
      <c r="R2" s="63"/>
      <c r="S2" s="63"/>
      <c r="T2" s="63"/>
      <c r="U2" s="63"/>
      <c r="V2" s="62"/>
      <c r="W2" s="63"/>
      <c r="X2" s="51"/>
      <c r="Y2" s="65"/>
      <c r="Z2" s="66"/>
      <c r="AA2" s="67"/>
      <c r="AB2" s="55"/>
      <c r="AC2" s="55"/>
      <c r="AD2" s="55"/>
      <c r="AE2" s="55"/>
      <c r="AF2" s="55"/>
      <c r="AG2" s="55"/>
      <c r="AH2" s="55"/>
    </row>
    <row r="3" spans="2:34" x14ac:dyDescent="0.25">
      <c r="B3" s="68"/>
      <c r="C3" s="61" t="s">
        <v>154</v>
      </c>
      <c r="D3" s="60"/>
      <c r="E3" s="139"/>
      <c r="F3" s="58"/>
      <c r="G3" s="62" t="s">
        <v>173</v>
      </c>
      <c r="H3" s="63" t="s">
        <v>178</v>
      </c>
      <c r="I3" s="63" t="s">
        <v>272</v>
      </c>
      <c r="J3" s="63" t="s">
        <v>273</v>
      </c>
      <c r="K3" s="63"/>
      <c r="L3" s="62">
        <v>1</v>
      </c>
      <c r="M3" s="63" t="s">
        <v>181</v>
      </c>
      <c r="N3" s="60"/>
      <c r="O3" s="61"/>
      <c r="P3" s="62"/>
      <c r="Q3" s="63"/>
      <c r="R3" s="63"/>
      <c r="S3" s="63"/>
      <c r="T3" s="63"/>
      <c r="U3" s="63"/>
      <c r="V3" s="63"/>
      <c r="W3" s="55"/>
      <c r="X3" s="51"/>
      <c r="Y3" s="65"/>
      <c r="Z3" s="66"/>
      <c r="AA3" s="67"/>
      <c r="AB3" s="55"/>
      <c r="AC3" s="55"/>
      <c r="AD3" s="55"/>
      <c r="AE3" s="55"/>
      <c r="AF3" s="55"/>
      <c r="AG3" s="55"/>
      <c r="AH3" s="55"/>
    </row>
    <row r="4" spans="2:34" x14ac:dyDescent="0.25">
      <c r="B4" s="134"/>
      <c r="C4" s="61" t="s">
        <v>168</v>
      </c>
      <c r="D4" s="60"/>
      <c r="E4" s="139"/>
      <c r="F4" s="58"/>
      <c r="G4" s="62" t="s">
        <v>171</v>
      </c>
      <c r="H4" s="63" t="s">
        <v>175</v>
      </c>
      <c r="I4" s="63" t="s">
        <v>276</v>
      </c>
      <c r="J4" s="63" t="s">
        <v>277</v>
      </c>
      <c r="K4" s="63"/>
      <c r="L4" s="62">
        <v>2</v>
      </c>
      <c r="M4" s="63" t="s">
        <v>182</v>
      </c>
      <c r="N4" s="60"/>
      <c r="O4" s="61"/>
      <c r="P4" s="62"/>
      <c r="Q4" s="63"/>
      <c r="R4" s="63"/>
      <c r="S4" s="63"/>
      <c r="T4" s="63"/>
      <c r="U4" s="63"/>
      <c r="V4" s="63"/>
      <c r="W4" s="55"/>
      <c r="X4" s="51"/>
      <c r="Y4" s="65"/>
      <c r="Z4" s="66"/>
      <c r="AA4" s="67"/>
      <c r="AB4" s="55"/>
      <c r="AC4" s="55"/>
      <c r="AD4" s="55"/>
      <c r="AE4" s="55"/>
      <c r="AF4" s="55"/>
      <c r="AG4" s="55"/>
      <c r="AH4" s="55"/>
    </row>
    <row r="5" spans="2:34" x14ac:dyDescent="0.25">
      <c r="B5" s="69"/>
      <c r="C5" s="61" t="s">
        <v>155</v>
      </c>
      <c r="D5" s="60"/>
      <c r="E5" s="139"/>
      <c r="F5" s="58"/>
      <c r="G5" s="62" t="s">
        <v>170</v>
      </c>
      <c r="H5" s="63" t="s">
        <v>174</v>
      </c>
      <c r="I5" s="63" t="s">
        <v>274</v>
      </c>
      <c r="J5" s="63" t="s">
        <v>275</v>
      </c>
      <c r="K5" s="63"/>
      <c r="L5" s="62">
        <v>3</v>
      </c>
      <c r="M5" s="63" t="s">
        <v>183</v>
      </c>
      <c r="N5" s="60"/>
      <c r="O5" s="61"/>
      <c r="P5" s="62"/>
      <c r="Q5" s="63"/>
      <c r="R5" s="63"/>
      <c r="S5" s="63"/>
      <c r="T5" s="63"/>
      <c r="U5" s="63"/>
      <c r="V5" s="63"/>
      <c r="W5" s="55"/>
      <c r="X5" s="51"/>
      <c r="Y5" s="65"/>
      <c r="Z5" s="66"/>
      <c r="AA5" s="67"/>
      <c r="AB5" s="55"/>
      <c r="AC5" s="55"/>
      <c r="AD5" s="55"/>
      <c r="AE5" s="55"/>
      <c r="AF5" s="55"/>
      <c r="AG5" s="55"/>
      <c r="AH5" s="55"/>
    </row>
    <row r="6" spans="2:34" ht="15" customHeight="1" x14ac:dyDescent="0.25">
      <c r="B6" s="154"/>
      <c r="C6" s="155" t="s">
        <v>314</v>
      </c>
      <c r="D6" s="70"/>
      <c r="E6" s="140"/>
      <c r="F6" s="58"/>
      <c r="G6" s="62" t="s">
        <v>172</v>
      </c>
      <c r="H6" s="63" t="s">
        <v>176</v>
      </c>
      <c r="I6" s="63" t="s">
        <v>278</v>
      </c>
      <c r="J6" s="63" t="s">
        <v>279</v>
      </c>
      <c r="K6" s="63"/>
      <c r="L6" s="62">
        <v>4</v>
      </c>
      <c r="M6" s="63" t="s">
        <v>184</v>
      </c>
      <c r="N6" s="60"/>
      <c r="O6" s="61"/>
      <c r="P6" s="62"/>
      <c r="Q6" s="63"/>
      <c r="R6" s="63"/>
      <c r="S6" s="63"/>
      <c r="T6" s="63"/>
      <c r="U6" s="70"/>
      <c r="V6" s="70"/>
      <c r="W6" s="70"/>
      <c r="X6" s="50"/>
      <c r="Y6" s="71"/>
      <c r="Z6" s="70"/>
      <c r="AA6" s="70"/>
      <c r="AB6" s="55"/>
      <c r="AC6" s="55"/>
      <c r="AD6" s="55"/>
      <c r="AE6" s="55"/>
      <c r="AF6" s="55"/>
      <c r="AG6" s="55"/>
      <c r="AH6" s="55"/>
    </row>
    <row r="7" spans="2:34" ht="15" customHeight="1" x14ac:dyDescent="0.25">
      <c r="D7" s="70"/>
      <c r="E7" s="140"/>
      <c r="F7" s="58"/>
      <c r="G7" s="62" t="s">
        <v>197</v>
      </c>
      <c r="H7" s="72" t="s">
        <v>198</v>
      </c>
      <c r="I7" s="72"/>
      <c r="J7" s="72"/>
      <c r="K7" s="72"/>
      <c r="L7" s="62"/>
      <c r="M7" s="63"/>
      <c r="N7" s="60"/>
      <c r="O7" s="61"/>
      <c r="P7" s="62"/>
      <c r="Q7" s="63"/>
      <c r="R7" s="63"/>
      <c r="S7" s="63"/>
      <c r="T7" s="63"/>
      <c r="U7" s="70"/>
      <c r="V7" s="70"/>
      <c r="W7" s="70"/>
      <c r="X7" s="50"/>
      <c r="Y7" s="71"/>
      <c r="Z7" s="70"/>
      <c r="AA7" s="70"/>
      <c r="AB7" s="55"/>
      <c r="AC7" s="55"/>
      <c r="AD7" s="55"/>
      <c r="AE7" s="55"/>
      <c r="AF7" s="55"/>
      <c r="AG7" s="55"/>
      <c r="AH7" s="55"/>
    </row>
    <row r="8" spans="2:34" ht="15" customHeight="1" x14ac:dyDescent="0.25">
      <c r="B8" s="70"/>
      <c r="C8" s="119"/>
      <c r="D8" s="70"/>
      <c r="E8" s="140"/>
      <c r="F8" s="58"/>
      <c r="G8" s="62" t="s">
        <v>265</v>
      </c>
      <c r="H8" s="72" t="s">
        <v>267</v>
      </c>
      <c r="I8" s="72"/>
      <c r="J8" s="72"/>
      <c r="K8" s="72"/>
      <c r="L8" s="62"/>
      <c r="M8" s="63"/>
      <c r="N8" s="60"/>
      <c r="O8" s="61"/>
      <c r="P8" s="62"/>
      <c r="Q8" s="63"/>
      <c r="R8" s="63"/>
      <c r="S8" s="63"/>
      <c r="T8" s="63"/>
      <c r="U8" s="70"/>
      <c r="V8" s="70"/>
      <c r="W8" s="70"/>
      <c r="X8" s="50"/>
      <c r="Y8" s="71"/>
      <c r="Z8" s="70"/>
      <c r="AA8" s="70"/>
      <c r="AB8" s="55"/>
      <c r="AC8" s="55"/>
      <c r="AD8" s="55"/>
      <c r="AE8" s="55"/>
      <c r="AF8" s="55"/>
      <c r="AG8" s="55"/>
      <c r="AH8" s="55"/>
    </row>
    <row r="9" spans="2:34" ht="15" customHeight="1" thickBot="1" x14ac:dyDescent="0.3">
      <c r="B9" s="70"/>
      <c r="C9" s="119"/>
      <c r="D9" s="70"/>
      <c r="E9" s="140"/>
      <c r="F9" s="58"/>
      <c r="G9" s="62" t="s">
        <v>281</v>
      </c>
      <c r="H9" s="72" t="s">
        <v>282</v>
      </c>
      <c r="I9" s="72"/>
      <c r="J9" s="72"/>
      <c r="K9" s="72"/>
      <c r="L9" s="62"/>
      <c r="M9" s="63"/>
      <c r="N9" s="60"/>
      <c r="O9" s="61"/>
      <c r="P9" s="62"/>
      <c r="Q9" s="63"/>
      <c r="R9" s="63"/>
      <c r="S9" s="63"/>
      <c r="T9" s="63"/>
      <c r="U9" s="70"/>
      <c r="V9" s="70"/>
      <c r="W9" s="70"/>
      <c r="X9" s="50"/>
      <c r="Y9" s="71"/>
      <c r="Z9" s="70"/>
      <c r="AA9" s="70"/>
      <c r="AB9" s="55"/>
      <c r="AC9" s="55"/>
      <c r="AD9" s="55"/>
      <c r="AE9" s="55"/>
      <c r="AF9" s="55"/>
      <c r="AG9" s="55"/>
      <c r="AH9" s="55"/>
    </row>
    <row r="10" spans="2:34" s="5" customFormat="1" ht="15.75" thickBot="1" x14ac:dyDescent="0.3">
      <c r="B10" s="172" t="s">
        <v>56</v>
      </c>
      <c r="C10" s="173"/>
      <c r="D10" s="173"/>
      <c r="E10" s="173"/>
      <c r="F10" s="185" t="s">
        <v>55</v>
      </c>
      <c r="G10" s="186"/>
      <c r="H10" s="186"/>
      <c r="I10" s="186"/>
      <c r="J10" s="186"/>
      <c r="K10" s="187"/>
      <c r="L10" s="185" t="s">
        <v>49</v>
      </c>
      <c r="M10" s="186"/>
      <c r="N10" s="186"/>
      <c r="O10" s="186"/>
      <c r="P10" s="186"/>
      <c r="Q10" s="186"/>
      <c r="R10" s="186"/>
      <c r="S10" s="187"/>
      <c r="T10" s="185" t="s">
        <v>187</v>
      </c>
      <c r="U10" s="186"/>
      <c r="V10" s="186"/>
      <c r="W10" s="186"/>
      <c r="X10" s="186"/>
      <c r="Y10" s="187"/>
      <c r="Z10" s="73"/>
      <c r="AA10" s="73"/>
      <c r="AB10" s="73"/>
      <c r="AC10" s="73"/>
      <c r="AD10" s="73"/>
      <c r="AE10" s="73"/>
    </row>
    <row r="11" spans="2:34" s="12" customFormat="1" ht="30" customHeight="1" x14ac:dyDescent="0.25">
      <c r="B11" s="181" t="s">
        <v>0</v>
      </c>
      <c r="C11" s="181" t="s">
        <v>48</v>
      </c>
      <c r="D11" s="181" t="s">
        <v>1</v>
      </c>
      <c r="E11" s="189" t="s">
        <v>2</v>
      </c>
      <c r="F11" s="197" t="s">
        <v>158</v>
      </c>
      <c r="G11" s="174" t="s">
        <v>186</v>
      </c>
      <c r="H11" s="16" t="s">
        <v>156</v>
      </c>
      <c r="I11" s="23" t="s">
        <v>156</v>
      </c>
      <c r="J11" s="193" t="s">
        <v>193</v>
      </c>
      <c r="K11" s="195" t="s">
        <v>194</v>
      </c>
      <c r="L11" s="178" t="s">
        <v>50</v>
      </c>
      <c r="M11" s="179"/>
      <c r="N11" s="47" t="s">
        <v>32</v>
      </c>
      <c r="O11" s="178" t="s">
        <v>33</v>
      </c>
      <c r="P11" s="180"/>
      <c r="Q11" s="179"/>
      <c r="R11" s="183" t="s">
        <v>51</v>
      </c>
      <c r="S11" s="184"/>
      <c r="T11" s="178" t="s">
        <v>187</v>
      </c>
      <c r="U11" s="179"/>
      <c r="V11" s="176" t="s">
        <v>66</v>
      </c>
      <c r="W11" s="178" t="s">
        <v>3</v>
      </c>
      <c r="X11" s="179"/>
      <c r="Y11" s="176" t="s">
        <v>43</v>
      </c>
    </row>
    <row r="12" spans="2:34" s="12" customFormat="1" ht="45.75" thickBot="1" x14ac:dyDescent="0.3">
      <c r="B12" s="182"/>
      <c r="C12" s="188"/>
      <c r="D12" s="188"/>
      <c r="E12" s="190"/>
      <c r="F12" s="198"/>
      <c r="G12" s="175"/>
      <c r="H12" s="17" t="s">
        <v>38</v>
      </c>
      <c r="I12" s="22" t="s">
        <v>4</v>
      </c>
      <c r="J12" s="194"/>
      <c r="K12" s="196"/>
      <c r="L12" s="38" t="s">
        <v>59</v>
      </c>
      <c r="M12" s="39" t="s">
        <v>53</v>
      </c>
      <c r="N12" s="18" t="s">
        <v>53</v>
      </c>
      <c r="O12" s="19" t="s">
        <v>34</v>
      </c>
      <c r="P12" s="20" t="s">
        <v>35</v>
      </c>
      <c r="Q12" s="39" t="s">
        <v>54</v>
      </c>
      <c r="R12" s="38" t="s">
        <v>34</v>
      </c>
      <c r="S12" s="40" t="s">
        <v>52</v>
      </c>
      <c r="T12" s="19" t="s">
        <v>195</v>
      </c>
      <c r="U12" s="39" t="s">
        <v>157</v>
      </c>
      <c r="V12" s="177"/>
      <c r="W12" s="24" t="s">
        <v>65</v>
      </c>
      <c r="X12" s="36" t="s">
        <v>152</v>
      </c>
      <c r="Y12" s="177"/>
    </row>
    <row r="13" spans="2:34" ht="30" x14ac:dyDescent="0.25">
      <c r="B13" s="74">
        <v>1</v>
      </c>
      <c r="C13" s="120" t="s">
        <v>44</v>
      </c>
      <c r="D13" s="11" t="s">
        <v>68</v>
      </c>
      <c r="E13" s="77" t="s">
        <v>202</v>
      </c>
      <c r="F13" s="149" t="s">
        <v>162</v>
      </c>
      <c r="G13" s="79" t="s">
        <v>57</v>
      </c>
      <c r="H13" s="80" t="s">
        <v>39</v>
      </c>
      <c r="I13" s="81" t="str">
        <f t="shared" ref="I13:I67" si="0">IF(W13&gt;0,IF(X13-W13&gt;0,"I","R"),"R")</f>
        <v>R</v>
      </c>
      <c r="J13" s="82">
        <v>2</v>
      </c>
      <c r="K13" s="83">
        <v>0</v>
      </c>
      <c r="L13" s="84" t="s">
        <v>28</v>
      </c>
      <c r="M13" s="85">
        <v>3</v>
      </c>
      <c r="N13" s="86">
        <v>5</v>
      </c>
      <c r="O13" s="84"/>
      <c r="P13" s="48"/>
      <c r="Q13" s="85"/>
      <c r="R13" s="78" t="s">
        <v>28</v>
      </c>
      <c r="S13" s="87">
        <v>5</v>
      </c>
      <c r="T13" s="88">
        <v>0.20833333333333334</v>
      </c>
      <c r="U13" s="46">
        <v>0.20833333333333334</v>
      </c>
      <c r="V13" s="89">
        <v>3.472222222222222E-3</v>
      </c>
      <c r="W13" s="90"/>
      <c r="X13" s="91"/>
      <c r="Y13" s="67"/>
      <c r="Z13" s="55"/>
      <c r="AA13" s="55"/>
      <c r="AB13" s="55"/>
      <c r="AC13" s="55"/>
      <c r="AD13" s="55"/>
      <c r="AE13" s="55"/>
    </row>
    <row r="14" spans="2:34" ht="30" x14ac:dyDescent="0.25">
      <c r="B14" s="7">
        <v>2</v>
      </c>
      <c r="C14" s="92" t="s">
        <v>283</v>
      </c>
      <c r="D14" s="76" t="s">
        <v>69</v>
      </c>
      <c r="E14" s="77" t="s">
        <v>239</v>
      </c>
      <c r="F14" s="150" t="s">
        <v>315</v>
      </c>
      <c r="G14" s="79" t="s">
        <v>57</v>
      </c>
      <c r="H14" s="80" t="s">
        <v>39</v>
      </c>
      <c r="I14" s="81" t="str">
        <f>IF(W14&gt;0,IF(X14-W14&gt;0,"I","R"),"R")</f>
        <v>R</v>
      </c>
      <c r="J14" s="82">
        <v>3</v>
      </c>
      <c r="K14" s="83">
        <v>0</v>
      </c>
      <c r="L14" s="84" t="s">
        <v>28</v>
      </c>
      <c r="M14" s="85">
        <v>5</v>
      </c>
      <c r="N14" s="86">
        <v>8</v>
      </c>
      <c r="O14" s="84"/>
      <c r="P14" s="48"/>
      <c r="Q14" s="85"/>
      <c r="R14" s="78" t="s">
        <v>28</v>
      </c>
      <c r="S14" s="87">
        <v>7</v>
      </c>
      <c r="T14" s="88">
        <f t="shared" ref="T14" si="1">T13+V13</f>
        <v>0.21180555555555555</v>
      </c>
      <c r="U14" s="46">
        <v>0.20833333333333334</v>
      </c>
      <c r="V14" s="89">
        <v>0.14583333333333334</v>
      </c>
      <c r="W14" s="90"/>
      <c r="X14" s="91">
        <f>IF(K14=0,0,IF(K14=1,W14+#REF!,IF(K14=2,W14+$Y$39,IF(K14=3,W14+$Y$38,IF(K14=4,W14+#REF!,0)))))</f>
        <v>0</v>
      </c>
      <c r="Y14" s="67"/>
      <c r="Z14" s="55"/>
      <c r="AA14" s="55"/>
      <c r="AB14" s="55"/>
      <c r="AC14" s="55"/>
      <c r="AD14" s="55"/>
      <c r="AE14" s="55"/>
    </row>
    <row r="15" spans="2:34" ht="30" x14ac:dyDescent="0.25">
      <c r="B15" s="7">
        <v>3</v>
      </c>
      <c r="C15" s="123" t="s">
        <v>262</v>
      </c>
      <c r="D15" s="76" t="s">
        <v>259</v>
      </c>
      <c r="E15" s="77" t="s">
        <v>61</v>
      </c>
      <c r="F15" s="149" t="s">
        <v>165</v>
      </c>
      <c r="G15" s="79" t="s">
        <v>57</v>
      </c>
      <c r="H15" s="80" t="s">
        <v>39</v>
      </c>
      <c r="I15" s="81" t="str">
        <f t="shared" si="0"/>
        <v>R</v>
      </c>
      <c r="J15" s="82">
        <v>3</v>
      </c>
      <c r="K15" s="83">
        <v>0</v>
      </c>
      <c r="L15" s="84" t="s">
        <v>28</v>
      </c>
      <c r="M15" s="85">
        <v>5</v>
      </c>
      <c r="N15" s="86">
        <v>8</v>
      </c>
      <c r="O15" s="84" t="s">
        <v>28</v>
      </c>
      <c r="P15" s="48">
        <v>1</v>
      </c>
      <c r="Q15" s="85">
        <v>8</v>
      </c>
      <c r="R15" s="78" t="s">
        <v>28</v>
      </c>
      <c r="S15" s="87">
        <v>7</v>
      </c>
      <c r="T15" s="88">
        <v>0.21388888888888891</v>
      </c>
      <c r="U15" s="46" t="s">
        <v>190</v>
      </c>
      <c r="V15" s="89">
        <v>2.0833333333333333E-3</v>
      </c>
      <c r="W15" s="90"/>
      <c r="X15" s="91">
        <f>IF(K15=0,0,IF(K15=1,W15+#REF!,IF(K15=2,W15+$Y$39,IF(K15=3,W15+$Y$38,IF(K15=4,W15+#REF!,0)))))</f>
        <v>0</v>
      </c>
      <c r="Y15" s="67"/>
      <c r="Z15" s="55"/>
      <c r="AA15" s="55"/>
      <c r="AB15" s="55"/>
      <c r="AC15" s="55"/>
      <c r="AD15" s="55"/>
      <c r="AE15" s="55"/>
    </row>
    <row r="16" spans="2:34" x14ac:dyDescent="0.25">
      <c r="B16" s="7">
        <v>4</v>
      </c>
      <c r="C16" s="75" t="s">
        <v>46</v>
      </c>
      <c r="D16" s="76" t="s">
        <v>70</v>
      </c>
      <c r="E16" s="77" t="s">
        <v>269</v>
      </c>
      <c r="F16" s="149" t="s">
        <v>160</v>
      </c>
      <c r="G16" s="79" t="s">
        <v>249</v>
      </c>
      <c r="H16" s="80" t="s">
        <v>38</v>
      </c>
      <c r="I16" s="81" t="str">
        <f>IF(W16&gt;0,IF(X16-W16&gt;0,"I","R"),"R")</f>
        <v>R</v>
      </c>
      <c r="J16" s="82">
        <v>-1</v>
      </c>
      <c r="K16" s="83">
        <v>3</v>
      </c>
      <c r="L16" s="84" t="s">
        <v>28</v>
      </c>
      <c r="M16" s="85">
        <v>5</v>
      </c>
      <c r="N16" s="86">
        <v>8</v>
      </c>
      <c r="O16" s="84"/>
      <c r="P16" s="48"/>
      <c r="Q16" s="85"/>
      <c r="R16" s="78" t="s">
        <v>28</v>
      </c>
      <c r="S16" s="87">
        <v>8</v>
      </c>
      <c r="T16" s="88">
        <v>0.22916666666666666</v>
      </c>
      <c r="U16" s="46">
        <v>0.22916666666666666</v>
      </c>
      <c r="V16" s="89">
        <v>2.0833333333333332E-2</v>
      </c>
      <c r="W16" s="90"/>
      <c r="X16" s="91">
        <f>IF(K16=0,0,IF(K16=1,W16+#REF!,IF(K16=2,W16+$Y$39,IF(K16=3,W16+$Y$38,IF(K16=4,W16+#REF!,0)))))</f>
        <v>0.99930555555555556</v>
      </c>
      <c r="Y16" s="67"/>
      <c r="Z16" s="55"/>
      <c r="AA16" s="55"/>
      <c r="AB16" s="55"/>
      <c r="AC16" s="55"/>
      <c r="AD16" s="55"/>
      <c r="AE16" s="55"/>
    </row>
    <row r="17" spans="2:31" ht="30" x14ac:dyDescent="0.25">
      <c r="B17" s="7">
        <v>5</v>
      </c>
      <c r="C17" s="75" t="s">
        <v>44</v>
      </c>
      <c r="D17" s="76" t="s">
        <v>71</v>
      </c>
      <c r="E17" s="77" t="s">
        <v>17</v>
      </c>
      <c r="F17" s="149" t="s">
        <v>162</v>
      </c>
      <c r="G17" s="79" t="s">
        <v>57</v>
      </c>
      <c r="H17" s="80" t="s">
        <v>38</v>
      </c>
      <c r="I17" s="81" t="str">
        <f t="shared" si="0"/>
        <v>R</v>
      </c>
      <c r="J17" s="82">
        <v>3</v>
      </c>
      <c r="K17" s="83">
        <v>0</v>
      </c>
      <c r="L17" s="84" t="s">
        <v>28</v>
      </c>
      <c r="M17" s="85">
        <v>2</v>
      </c>
      <c r="N17" s="86">
        <v>10</v>
      </c>
      <c r="O17" s="84" t="s">
        <v>28</v>
      </c>
      <c r="P17" s="48">
        <v>1</v>
      </c>
      <c r="Q17" s="85">
        <v>5</v>
      </c>
      <c r="R17" s="78" t="s">
        <v>28</v>
      </c>
      <c r="S17" s="87">
        <v>3</v>
      </c>
      <c r="T17" s="88">
        <v>0.22916666666666666</v>
      </c>
      <c r="U17" s="46">
        <v>0.22916666666666666</v>
      </c>
      <c r="V17" s="89">
        <v>2.7777777777777779E-3</v>
      </c>
      <c r="W17" s="90"/>
      <c r="X17" s="91">
        <f>IF(K17=0,0,IF(K17=1,W17+#REF!,IF(K17=2,W17+$Y$39,IF(K17=3,W17+$Y$38,IF(K17=4,W17+#REF!,0)))))</f>
        <v>0</v>
      </c>
      <c r="Y17" s="67"/>
      <c r="Z17" s="55"/>
      <c r="AA17" s="55"/>
      <c r="AB17" s="55"/>
      <c r="AC17" s="55"/>
      <c r="AD17" s="55"/>
      <c r="AE17" s="55"/>
    </row>
    <row r="18" spans="2:31" ht="30" customHeight="1" x14ac:dyDescent="0.25">
      <c r="B18" s="7">
        <v>6</v>
      </c>
      <c r="C18" s="75" t="s">
        <v>44</v>
      </c>
      <c r="D18" s="76" t="s">
        <v>72</v>
      </c>
      <c r="E18" s="77" t="s">
        <v>18</v>
      </c>
      <c r="F18" s="149" t="s">
        <v>163</v>
      </c>
      <c r="G18" s="79" t="s">
        <v>57</v>
      </c>
      <c r="H18" s="80" t="s">
        <v>38</v>
      </c>
      <c r="I18" s="81" t="str">
        <f t="shared" si="0"/>
        <v>R</v>
      </c>
      <c r="J18" s="82">
        <v>3</v>
      </c>
      <c r="K18" s="83">
        <v>0</v>
      </c>
      <c r="L18" s="84" t="s">
        <v>28</v>
      </c>
      <c r="M18" s="85">
        <v>2</v>
      </c>
      <c r="N18" s="86">
        <v>10</v>
      </c>
      <c r="O18" s="84" t="s">
        <v>28</v>
      </c>
      <c r="P18" s="48">
        <v>1</v>
      </c>
      <c r="Q18" s="85">
        <v>5</v>
      </c>
      <c r="R18" s="78" t="s">
        <v>28</v>
      </c>
      <c r="S18" s="87">
        <v>3</v>
      </c>
      <c r="T18" s="88">
        <f>T17+V17</f>
        <v>0.23194444444444443</v>
      </c>
      <c r="U18" s="199" t="s">
        <v>254</v>
      </c>
      <c r="V18" s="89">
        <v>3.472222222222222E-3</v>
      </c>
      <c r="W18" s="90"/>
      <c r="X18" s="91">
        <f>IF(K18=0,0,IF(K18=1,W18+#REF!,IF(K18=2,W18+$Y$39,IF(K18=3,W18+$Y$38,IF(K18=4,W18+#REF!,0)))))</f>
        <v>0</v>
      </c>
      <c r="Y18" s="67"/>
      <c r="Z18" s="55"/>
      <c r="AA18" s="55"/>
      <c r="AB18" s="55"/>
      <c r="AC18" s="55"/>
      <c r="AD18" s="55"/>
      <c r="AE18" s="55"/>
    </row>
    <row r="19" spans="2:31" x14ac:dyDescent="0.25">
      <c r="B19" s="7">
        <v>7</v>
      </c>
      <c r="C19" s="75" t="s">
        <v>44</v>
      </c>
      <c r="D19" s="76" t="s">
        <v>73</v>
      </c>
      <c r="E19" s="77" t="s">
        <v>203</v>
      </c>
      <c r="F19" s="149" t="s">
        <v>243</v>
      </c>
      <c r="G19" s="79" t="s">
        <v>57</v>
      </c>
      <c r="H19" s="80" t="s">
        <v>38</v>
      </c>
      <c r="I19" s="81" t="str">
        <f t="shared" si="0"/>
        <v>R</v>
      </c>
      <c r="J19" s="82">
        <v>3</v>
      </c>
      <c r="K19" s="83">
        <v>0</v>
      </c>
      <c r="L19" s="84" t="s">
        <v>28</v>
      </c>
      <c r="M19" s="85">
        <v>2</v>
      </c>
      <c r="N19" s="86">
        <v>10</v>
      </c>
      <c r="O19" s="84" t="s">
        <v>28</v>
      </c>
      <c r="P19" s="48">
        <v>1</v>
      </c>
      <c r="Q19" s="85">
        <v>5</v>
      </c>
      <c r="R19" s="78" t="s">
        <v>28</v>
      </c>
      <c r="S19" s="87">
        <v>3</v>
      </c>
      <c r="T19" s="88">
        <f t="shared" ref="T19:T84" si="2">T18+V18</f>
        <v>0.23541666666666664</v>
      </c>
      <c r="U19" s="200"/>
      <c r="V19" s="89">
        <v>4.8611111111111112E-3</v>
      </c>
      <c r="W19" s="90"/>
      <c r="X19" s="91">
        <f>IF(K19=0,0,IF(K19=1,W19+#REF!,IF(K19=2,W19+$Y$39,IF(K19=3,W19+$Y$38,IF(K19=4,W19+#REF!,0)))))</f>
        <v>0</v>
      </c>
      <c r="Y19" s="67"/>
      <c r="Z19" s="55"/>
      <c r="AA19" s="55"/>
      <c r="AB19" s="55"/>
      <c r="AC19" s="55"/>
      <c r="AD19" s="55"/>
      <c r="AE19" s="55"/>
    </row>
    <row r="20" spans="2:31" x14ac:dyDescent="0.25">
      <c r="B20" s="7">
        <v>8</v>
      </c>
      <c r="C20" s="75" t="s">
        <v>44</v>
      </c>
      <c r="D20" s="76" t="s">
        <v>74</v>
      </c>
      <c r="E20" s="77" t="s">
        <v>284</v>
      </c>
      <c r="F20" s="149" t="s">
        <v>248</v>
      </c>
      <c r="G20" s="79" t="s">
        <v>57</v>
      </c>
      <c r="H20" s="80" t="s">
        <v>38</v>
      </c>
      <c r="I20" s="81" t="str">
        <f t="shared" si="0"/>
        <v>R</v>
      </c>
      <c r="J20" s="82">
        <v>3</v>
      </c>
      <c r="K20" s="83">
        <v>0</v>
      </c>
      <c r="L20" s="84" t="s">
        <v>28</v>
      </c>
      <c r="M20" s="85">
        <v>2</v>
      </c>
      <c r="N20" s="86">
        <v>10</v>
      </c>
      <c r="O20" s="84" t="s">
        <v>28</v>
      </c>
      <c r="P20" s="48">
        <v>1</v>
      </c>
      <c r="Q20" s="85">
        <v>5</v>
      </c>
      <c r="R20" s="78" t="s">
        <v>28</v>
      </c>
      <c r="S20" s="87">
        <v>3</v>
      </c>
      <c r="T20" s="88">
        <f t="shared" si="2"/>
        <v>0.24027777777777776</v>
      </c>
      <c r="U20" s="200"/>
      <c r="V20" s="89">
        <v>1.3888888888888889E-3</v>
      </c>
      <c r="W20" s="90"/>
      <c r="X20" s="91">
        <f>IF(K20=0,0,IF(K20=1,W20+#REF!,IF(K20=2,W20+$Y$39,IF(K20=3,W20+$Y$38,IF(K20=4,W20+#REF!,0)))))</f>
        <v>0</v>
      </c>
      <c r="Y20" s="67"/>
      <c r="Z20" s="55"/>
      <c r="AA20" s="55"/>
      <c r="AB20" s="55"/>
      <c r="AC20" s="55"/>
      <c r="AD20" s="55"/>
      <c r="AE20" s="55"/>
    </row>
    <row r="21" spans="2:31" ht="15" customHeight="1" x14ac:dyDescent="0.25">
      <c r="B21" s="7">
        <v>9</v>
      </c>
      <c r="C21" s="75" t="s">
        <v>44</v>
      </c>
      <c r="D21" s="76" t="s">
        <v>75</v>
      </c>
      <c r="E21" s="77" t="s">
        <v>204</v>
      </c>
      <c r="F21" s="149" t="s">
        <v>159</v>
      </c>
      <c r="G21" s="79" t="s">
        <v>57</v>
      </c>
      <c r="H21" s="80" t="s">
        <v>38</v>
      </c>
      <c r="I21" s="81" t="str">
        <f t="shared" si="0"/>
        <v>R</v>
      </c>
      <c r="J21" s="82">
        <v>3</v>
      </c>
      <c r="K21" s="83">
        <v>0</v>
      </c>
      <c r="L21" s="84" t="s">
        <v>28</v>
      </c>
      <c r="M21" s="85">
        <v>2</v>
      </c>
      <c r="N21" s="86">
        <v>10</v>
      </c>
      <c r="O21" s="84" t="s">
        <v>28</v>
      </c>
      <c r="P21" s="48">
        <v>1</v>
      </c>
      <c r="Q21" s="85">
        <v>5</v>
      </c>
      <c r="R21" s="78" t="s">
        <v>28</v>
      </c>
      <c r="S21" s="87">
        <v>3</v>
      </c>
      <c r="T21" s="88">
        <f t="shared" si="2"/>
        <v>0.24166666666666664</v>
      </c>
      <c r="U21" s="200"/>
      <c r="V21" s="89">
        <v>4.1666666666666666E-3</v>
      </c>
      <c r="W21" s="90"/>
      <c r="X21" s="91">
        <f>IF(K21=0,0,IF(K21=1,W21+#REF!,IF(K21=2,W21+$Y$39,IF(K21=3,W21+$Y$38,IF(K21=4,W21+#REF!,0)))))</f>
        <v>0</v>
      </c>
      <c r="Y21" s="67"/>
      <c r="Z21" s="55"/>
      <c r="AA21" s="55"/>
      <c r="AB21" s="55"/>
      <c r="AC21" s="55"/>
      <c r="AD21" s="55"/>
      <c r="AE21" s="55"/>
    </row>
    <row r="22" spans="2:31" x14ac:dyDescent="0.25">
      <c r="B22" s="7">
        <v>10</v>
      </c>
      <c r="C22" s="75" t="s">
        <v>44</v>
      </c>
      <c r="D22" s="76" t="s">
        <v>76</v>
      </c>
      <c r="E22" s="77" t="s">
        <v>205</v>
      </c>
      <c r="F22" s="149" t="s">
        <v>242</v>
      </c>
      <c r="G22" s="79" t="s">
        <v>57</v>
      </c>
      <c r="H22" s="80" t="s">
        <v>38</v>
      </c>
      <c r="I22" s="81" t="str">
        <f t="shared" si="0"/>
        <v>R</v>
      </c>
      <c r="J22" s="82">
        <v>3</v>
      </c>
      <c r="K22" s="83">
        <v>0</v>
      </c>
      <c r="L22" s="84" t="s">
        <v>28</v>
      </c>
      <c r="M22" s="85">
        <v>2</v>
      </c>
      <c r="N22" s="86">
        <v>10</v>
      </c>
      <c r="O22" s="84" t="s">
        <v>28</v>
      </c>
      <c r="P22" s="48">
        <v>1</v>
      </c>
      <c r="Q22" s="85">
        <v>5</v>
      </c>
      <c r="R22" s="78" t="s">
        <v>28</v>
      </c>
      <c r="S22" s="87">
        <v>3</v>
      </c>
      <c r="T22" s="88">
        <f t="shared" si="2"/>
        <v>0.24583333333333332</v>
      </c>
      <c r="U22" s="200"/>
      <c r="V22" s="89">
        <v>2.0833333333333333E-3</v>
      </c>
      <c r="W22" s="90"/>
      <c r="X22" s="91">
        <f>IF(K22=0,0,IF(K22=1,W22+#REF!,IF(K22=2,W22+$Y$39,IF(K22=3,W22+$Y$38,IF(K22=4,W22+#REF!,0)))))</f>
        <v>0</v>
      </c>
      <c r="Y22" s="67"/>
      <c r="Z22" s="55"/>
      <c r="AA22" s="55"/>
      <c r="AB22" s="55"/>
      <c r="AC22" s="55"/>
      <c r="AD22" s="55"/>
      <c r="AE22" s="55"/>
    </row>
    <row r="23" spans="2:31" ht="15" customHeight="1" x14ac:dyDescent="0.25">
      <c r="B23" s="7">
        <v>11</v>
      </c>
      <c r="C23" s="75" t="s">
        <v>44</v>
      </c>
      <c r="D23" s="76" t="s">
        <v>77</v>
      </c>
      <c r="E23" s="77" t="s">
        <v>6</v>
      </c>
      <c r="F23" s="149" t="s">
        <v>164</v>
      </c>
      <c r="G23" s="79" t="s">
        <v>57</v>
      </c>
      <c r="H23" s="80" t="s">
        <v>38</v>
      </c>
      <c r="I23" s="81" t="str">
        <f t="shared" si="0"/>
        <v>R</v>
      </c>
      <c r="J23" s="82">
        <v>3</v>
      </c>
      <c r="K23" s="83">
        <v>0</v>
      </c>
      <c r="L23" s="84" t="s">
        <v>28</v>
      </c>
      <c r="M23" s="85">
        <v>2</v>
      </c>
      <c r="N23" s="86">
        <v>10</v>
      </c>
      <c r="O23" s="84" t="s">
        <v>28</v>
      </c>
      <c r="P23" s="48">
        <v>1</v>
      </c>
      <c r="Q23" s="85">
        <v>5</v>
      </c>
      <c r="R23" s="78" t="s">
        <v>28</v>
      </c>
      <c r="S23" s="87">
        <v>3</v>
      </c>
      <c r="T23" s="88">
        <f t="shared" si="2"/>
        <v>0.24791666666666665</v>
      </c>
      <c r="U23" s="200"/>
      <c r="V23" s="89">
        <v>5.5555555555555558E-3</v>
      </c>
      <c r="W23" s="90"/>
      <c r="X23" s="91">
        <f>IF(K23=0,0,IF(K23=1,W23+#REF!,IF(K23=2,W23+$Y$39,IF(K23=3,W23+$Y$38,IF(K23=4,W23+#REF!,0)))))</f>
        <v>0</v>
      </c>
      <c r="Y23" s="67"/>
      <c r="Z23" s="55"/>
      <c r="AA23" s="55"/>
      <c r="AB23" s="55"/>
      <c r="AC23" s="55"/>
      <c r="AD23" s="55"/>
      <c r="AE23" s="55"/>
    </row>
    <row r="24" spans="2:31" ht="15" customHeight="1" x14ac:dyDescent="0.25">
      <c r="B24" s="7">
        <v>12</v>
      </c>
      <c r="C24" s="75" t="s">
        <v>44</v>
      </c>
      <c r="D24" s="76" t="s">
        <v>78</v>
      </c>
      <c r="E24" s="77" t="s">
        <v>285</v>
      </c>
      <c r="F24" s="149" t="s">
        <v>289</v>
      </c>
      <c r="G24" s="79" t="s">
        <v>57</v>
      </c>
      <c r="H24" s="80" t="s">
        <v>38</v>
      </c>
      <c r="I24" s="81" t="str">
        <f t="shared" si="0"/>
        <v>R</v>
      </c>
      <c r="J24" s="82">
        <v>3</v>
      </c>
      <c r="K24" s="83">
        <v>0</v>
      </c>
      <c r="L24" s="84" t="s">
        <v>28</v>
      </c>
      <c r="M24" s="85">
        <v>2</v>
      </c>
      <c r="N24" s="86">
        <v>10</v>
      </c>
      <c r="O24" s="84" t="s">
        <v>28</v>
      </c>
      <c r="P24" s="137">
        <v>1</v>
      </c>
      <c r="Q24" s="85">
        <v>5</v>
      </c>
      <c r="R24" s="78" t="s">
        <v>28</v>
      </c>
      <c r="S24" s="87">
        <v>3</v>
      </c>
      <c r="T24" s="88">
        <f t="shared" si="2"/>
        <v>0.25347222222222221</v>
      </c>
      <c r="U24" s="200"/>
      <c r="V24" s="89">
        <v>4.1666666666666666E-3</v>
      </c>
      <c r="W24" s="90"/>
      <c r="X24" s="91">
        <f>IF(K24=0,0,IF(K24=1,W24+#REF!,IF(K24=2,W24+$Y$39,IF(K24=3,W24+$Y$38,IF(K24=4,W24+#REF!,0)))))</f>
        <v>0</v>
      </c>
      <c r="Y24" s="67"/>
      <c r="Z24" s="55"/>
      <c r="AA24" s="55"/>
      <c r="AB24" s="55"/>
      <c r="AC24" s="55"/>
      <c r="AD24" s="55"/>
      <c r="AE24" s="55"/>
    </row>
    <row r="25" spans="2:31" x14ac:dyDescent="0.25">
      <c r="B25" s="7">
        <v>13</v>
      </c>
      <c r="C25" s="75" t="s">
        <v>44</v>
      </c>
      <c r="D25" s="76" t="s">
        <v>79</v>
      </c>
      <c r="E25" s="77" t="s">
        <v>7</v>
      </c>
      <c r="F25" s="149" t="s">
        <v>160</v>
      </c>
      <c r="G25" s="79" t="s">
        <v>57</v>
      </c>
      <c r="H25" s="80" t="s">
        <v>38</v>
      </c>
      <c r="I25" s="81" t="str">
        <f t="shared" si="0"/>
        <v>R</v>
      </c>
      <c r="J25" s="82">
        <v>3</v>
      </c>
      <c r="K25" s="83">
        <v>0</v>
      </c>
      <c r="L25" s="84" t="s">
        <v>28</v>
      </c>
      <c r="M25" s="85">
        <v>2</v>
      </c>
      <c r="N25" s="86">
        <v>10</v>
      </c>
      <c r="O25" s="84" t="s">
        <v>28</v>
      </c>
      <c r="P25" s="48">
        <v>1</v>
      </c>
      <c r="Q25" s="85">
        <v>5</v>
      </c>
      <c r="R25" s="78" t="s">
        <v>28</v>
      </c>
      <c r="S25" s="87">
        <v>3</v>
      </c>
      <c r="T25" s="88">
        <f t="shared" si="2"/>
        <v>0.25763888888888886</v>
      </c>
      <c r="U25" s="200"/>
      <c r="V25" s="89">
        <v>1.8750000000000001E-3</v>
      </c>
      <c r="W25" s="90"/>
      <c r="X25" s="91">
        <f>IF(K25=0,0,IF(K25=1,W25+#REF!,IF(K25=2,W25+$Y$39,IF(K25=3,W25+$Y$38,IF(K25=4,W25+#REF!,0)))))</f>
        <v>0</v>
      </c>
      <c r="Y25" s="67"/>
      <c r="Z25" s="55"/>
      <c r="AA25" s="55"/>
      <c r="AB25" s="55"/>
      <c r="AC25" s="55"/>
      <c r="AD25" s="55"/>
      <c r="AE25" s="55"/>
    </row>
    <row r="26" spans="2:31" x14ac:dyDescent="0.25">
      <c r="B26" s="7">
        <v>14</v>
      </c>
      <c r="C26" s="157" t="s">
        <v>44</v>
      </c>
      <c r="D26" s="158" t="s">
        <v>316</v>
      </c>
      <c r="E26" s="146" t="s">
        <v>317</v>
      </c>
      <c r="F26" s="150" t="s">
        <v>161</v>
      </c>
      <c r="G26" s="159" t="s">
        <v>57</v>
      </c>
      <c r="H26" s="160" t="s">
        <v>38</v>
      </c>
      <c r="I26" s="161" t="str">
        <f t="shared" ref="I26" si="3">IF(W26&gt;0,IF(X26-W26&gt;0,"I","R"),"R")</f>
        <v>R</v>
      </c>
      <c r="J26" s="162">
        <v>3</v>
      </c>
      <c r="K26" s="163">
        <v>0</v>
      </c>
      <c r="L26" s="164" t="s">
        <v>28</v>
      </c>
      <c r="M26" s="165">
        <v>2</v>
      </c>
      <c r="N26" s="166">
        <v>10</v>
      </c>
      <c r="O26" s="164" t="s">
        <v>28</v>
      </c>
      <c r="P26" s="167">
        <v>1</v>
      </c>
      <c r="Q26" s="165">
        <v>5</v>
      </c>
      <c r="R26" s="148" t="s">
        <v>28</v>
      </c>
      <c r="S26" s="168">
        <v>3</v>
      </c>
      <c r="T26" s="156">
        <f t="shared" si="2"/>
        <v>0.25951388888888888</v>
      </c>
      <c r="U26" s="200"/>
      <c r="V26" s="169">
        <v>6.9444444444444441E-3</v>
      </c>
      <c r="W26" s="170"/>
      <c r="X26" s="171">
        <f>IF(K26=0,0,IF(K26=1,W26+#REF!,IF(K26=2,W26+$Y$39,IF(K26=3,W26+$Y$38,IF(K26=4,W26+#REF!,0)))))</f>
        <v>0</v>
      </c>
      <c r="Y26" s="67"/>
      <c r="Z26" s="55"/>
      <c r="AA26" s="55"/>
      <c r="AB26" s="55"/>
      <c r="AC26" s="55"/>
      <c r="AD26" s="55"/>
      <c r="AE26" s="55"/>
    </row>
    <row r="27" spans="2:31" ht="30" x14ac:dyDescent="0.25">
      <c r="B27" s="7">
        <v>15</v>
      </c>
      <c r="C27" s="124" t="s">
        <v>149</v>
      </c>
      <c r="D27" s="76" t="s">
        <v>80</v>
      </c>
      <c r="E27" s="77" t="s">
        <v>19</v>
      </c>
      <c r="F27" s="149" t="s">
        <v>162</v>
      </c>
      <c r="G27" s="79" t="s">
        <v>57</v>
      </c>
      <c r="H27" s="80" t="s">
        <v>40</v>
      </c>
      <c r="I27" s="81" t="str">
        <f t="shared" si="0"/>
        <v>R</v>
      </c>
      <c r="J27" s="82">
        <v>2</v>
      </c>
      <c r="K27" s="83">
        <v>0</v>
      </c>
      <c r="L27" s="84" t="s">
        <v>28</v>
      </c>
      <c r="M27" s="85">
        <v>4</v>
      </c>
      <c r="N27" s="86">
        <v>10</v>
      </c>
      <c r="O27" s="84" t="s">
        <v>28</v>
      </c>
      <c r="P27" s="48">
        <v>1</v>
      </c>
      <c r="Q27" s="85">
        <v>5</v>
      </c>
      <c r="R27" s="78" t="s">
        <v>28</v>
      </c>
      <c r="S27" s="87">
        <v>5</v>
      </c>
      <c r="T27" s="156">
        <f t="shared" si="2"/>
        <v>0.2664583333333333</v>
      </c>
      <c r="U27" s="200"/>
      <c r="V27" s="89">
        <v>2.7777777777777779E-3</v>
      </c>
      <c r="W27" s="90"/>
      <c r="X27" s="91">
        <f>IF(K27=0,0,IF(K27=1,W27+#REF!,IF(K27=2,W27+$Y$39,IF(K27=3,W27+$Y$38,IF(K27=4,W27+#REF!,0)))))</f>
        <v>0</v>
      </c>
      <c r="Y27" s="67"/>
      <c r="Z27" s="55"/>
      <c r="AA27" s="55"/>
      <c r="AB27" s="55"/>
      <c r="AC27" s="55"/>
      <c r="AD27" s="55"/>
      <c r="AE27" s="55"/>
    </row>
    <row r="28" spans="2:31" ht="30" x14ac:dyDescent="0.25">
      <c r="B28" s="7">
        <v>16</v>
      </c>
      <c r="C28" s="124" t="s">
        <v>263</v>
      </c>
      <c r="D28" s="76" t="s">
        <v>81</v>
      </c>
      <c r="E28" s="77" t="s">
        <v>20</v>
      </c>
      <c r="F28" s="149" t="s">
        <v>163</v>
      </c>
      <c r="G28" s="79" t="s">
        <v>57</v>
      </c>
      <c r="H28" s="80" t="s">
        <v>40</v>
      </c>
      <c r="I28" s="81" t="str">
        <f t="shared" si="0"/>
        <v>R</v>
      </c>
      <c r="J28" s="82">
        <v>2</v>
      </c>
      <c r="K28" s="83">
        <v>0</v>
      </c>
      <c r="L28" s="84" t="s">
        <v>28</v>
      </c>
      <c r="M28" s="85">
        <v>4</v>
      </c>
      <c r="N28" s="86">
        <v>10</v>
      </c>
      <c r="O28" s="84" t="s">
        <v>28</v>
      </c>
      <c r="P28" s="48">
        <v>1</v>
      </c>
      <c r="Q28" s="85">
        <v>5</v>
      </c>
      <c r="R28" s="78" t="s">
        <v>28</v>
      </c>
      <c r="S28" s="87">
        <v>5</v>
      </c>
      <c r="T28" s="156">
        <f t="shared" si="2"/>
        <v>0.26923611111111106</v>
      </c>
      <c r="U28" s="200"/>
      <c r="V28" s="89">
        <v>2.7777777777777779E-3</v>
      </c>
      <c r="W28" s="90"/>
      <c r="X28" s="91">
        <f>IF(K28=0,0,IF(K28=1,W28+#REF!,IF(K28=2,W28+$Y$39,IF(K28=3,W28+$Y$38,IF(K28=4,W28+#REF!,0)))))</f>
        <v>0</v>
      </c>
      <c r="Y28" s="67"/>
      <c r="Z28" s="55"/>
      <c r="AA28" s="55"/>
      <c r="AB28" s="55"/>
      <c r="AC28" s="55"/>
      <c r="AD28" s="55"/>
      <c r="AE28" s="55"/>
    </row>
    <row r="29" spans="2:31" x14ac:dyDescent="0.25">
      <c r="B29" s="7">
        <v>17</v>
      </c>
      <c r="C29" s="124" t="s">
        <v>191</v>
      </c>
      <c r="D29" s="76" t="s">
        <v>82</v>
      </c>
      <c r="E29" s="77" t="s">
        <v>206</v>
      </c>
      <c r="F29" s="149" t="s">
        <v>243</v>
      </c>
      <c r="G29" s="79" t="s">
        <v>57</v>
      </c>
      <c r="H29" s="80" t="s">
        <v>40</v>
      </c>
      <c r="I29" s="81" t="str">
        <f t="shared" si="0"/>
        <v>R</v>
      </c>
      <c r="J29" s="82">
        <v>2</v>
      </c>
      <c r="K29" s="83">
        <v>0</v>
      </c>
      <c r="L29" s="84" t="s">
        <v>28</v>
      </c>
      <c r="M29" s="85">
        <v>4</v>
      </c>
      <c r="N29" s="86">
        <v>6</v>
      </c>
      <c r="O29" s="84" t="s">
        <v>28</v>
      </c>
      <c r="P29" s="48">
        <v>1</v>
      </c>
      <c r="Q29" s="85">
        <v>5</v>
      </c>
      <c r="R29" s="78" t="s">
        <v>28</v>
      </c>
      <c r="S29" s="87">
        <v>5</v>
      </c>
      <c r="T29" s="156">
        <f t="shared" si="2"/>
        <v>0.27201388888888883</v>
      </c>
      <c r="U29" s="200"/>
      <c r="V29" s="89">
        <v>3.472222222222222E-3</v>
      </c>
      <c r="W29" s="90"/>
      <c r="X29" s="91">
        <f>IF(K29=0,0,IF(K29=1,W29+#REF!,IF(K29=2,W29+$Y$39,IF(K29=3,W29+$Y$38,IF(K29=4,W29+#REF!,0)))))</f>
        <v>0</v>
      </c>
      <c r="Y29" s="67"/>
      <c r="Z29" s="55"/>
      <c r="AA29" s="55"/>
      <c r="AB29" s="55"/>
      <c r="AC29" s="55"/>
      <c r="AD29" s="55"/>
      <c r="AE29" s="55"/>
    </row>
    <row r="30" spans="2:31" x14ac:dyDescent="0.25">
      <c r="B30" s="7">
        <v>18</v>
      </c>
      <c r="C30" s="123" t="s">
        <v>264</v>
      </c>
      <c r="D30" s="76" t="s">
        <v>83</v>
      </c>
      <c r="E30" s="77" t="s">
        <v>207</v>
      </c>
      <c r="F30" s="149" t="s">
        <v>159</v>
      </c>
      <c r="G30" s="79" t="s">
        <v>57</v>
      </c>
      <c r="H30" s="80" t="s">
        <v>40</v>
      </c>
      <c r="I30" s="81" t="str">
        <f t="shared" si="0"/>
        <v>R</v>
      </c>
      <c r="J30" s="82">
        <v>2</v>
      </c>
      <c r="K30" s="83">
        <v>0</v>
      </c>
      <c r="L30" s="84" t="s">
        <v>28</v>
      </c>
      <c r="M30" s="85">
        <v>4</v>
      </c>
      <c r="N30" s="86">
        <v>10</v>
      </c>
      <c r="O30" s="84" t="s">
        <v>28</v>
      </c>
      <c r="P30" s="48">
        <v>1</v>
      </c>
      <c r="Q30" s="85">
        <v>5</v>
      </c>
      <c r="R30" s="78" t="s">
        <v>28</v>
      </c>
      <c r="S30" s="87">
        <v>5</v>
      </c>
      <c r="T30" s="156">
        <f t="shared" si="2"/>
        <v>0.27548611111111104</v>
      </c>
      <c r="U30" s="200"/>
      <c r="V30" s="89">
        <v>4.1666666666666666E-3</v>
      </c>
      <c r="W30" s="90"/>
      <c r="X30" s="91">
        <f>IF(K30=0,0,IF(K30=1,W30+#REF!,IF(K30=2,W30+$Y$39,IF(K30=3,W30+$Y$38,IF(K30=4,W30+#REF!,0)))))</f>
        <v>0</v>
      </c>
      <c r="Y30" s="67"/>
      <c r="Z30" s="55"/>
      <c r="AA30" s="55"/>
      <c r="AB30" s="55"/>
      <c r="AC30" s="55"/>
      <c r="AD30" s="55"/>
      <c r="AE30" s="55"/>
    </row>
    <row r="31" spans="2:31" x14ac:dyDescent="0.25">
      <c r="B31" s="7">
        <v>19</v>
      </c>
      <c r="C31" s="123" t="s">
        <v>192</v>
      </c>
      <c r="D31" s="76" t="s">
        <v>84</v>
      </c>
      <c r="E31" s="77" t="s">
        <v>208</v>
      </c>
      <c r="F31" s="149" t="s">
        <v>242</v>
      </c>
      <c r="G31" s="79" t="s">
        <v>57</v>
      </c>
      <c r="H31" s="80" t="s">
        <v>40</v>
      </c>
      <c r="I31" s="81" t="str">
        <f t="shared" si="0"/>
        <v>R</v>
      </c>
      <c r="J31" s="82">
        <v>2</v>
      </c>
      <c r="K31" s="83">
        <v>0</v>
      </c>
      <c r="L31" s="84" t="s">
        <v>28</v>
      </c>
      <c r="M31" s="85">
        <v>4</v>
      </c>
      <c r="N31" s="86">
        <v>8</v>
      </c>
      <c r="O31" s="84" t="s">
        <v>28</v>
      </c>
      <c r="P31" s="48">
        <v>1</v>
      </c>
      <c r="Q31" s="85">
        <v>5</v>
      </c>
      <c r="R31" s="78" t="s">
        <v>28</v>
      </c>
      <c r="S31" s="87">
        <v>5</v>
      </c>
      <c r="T31" s="156">
        <f t="shared" si="2"/>
        <v>0.27965277777777769</v>
      </c>
      <c r="U31" s="200"/>
      <c r="V31" s="89">
        <v>2.0833333333333333E-3</v>
      </c>
      <c r="W31" s="90"/>
      <c r="X31" s="91">
        <f>IF(K31=0,0,IF(K31=1,W31+#REF!,IF(K31=2,W31+$Y$39,IF(K31=3,W31+$Y$38,IF(K31=4,W31+#REF!,0)))))</f>
        <v>0</v>
      </c>
      <c r="Y31" s="67"/>
      <c r="Z31" s="55"/>
      <c r="AA31" s="55"/>
      <c r="AB31" s="55"/>
      <c r="AC31" s="55"/>
      <c r="AD31" s="55"/>
      <c r="AE31" s="55"/>
    </row>
    <row r="32" spans="2:31" x14ac:dyDescent="0.25">
      <c r="B32" s="7">
        <v>20</v>
      </c>
      <c r="C32" s="123" t="s">
        <v>151</v>
      </c>
      <c r="D32" s="76" t="s">
        <v>85</v>
      </c>
      <c r="E32" s="77" t="s">
        <v>8</v>
      </c>
      <c r="F32" s="149" t="s">
        <v>164</v>
      </c>
      <c r="G32" s="79" t="s">
        <v>57</v>
      </c>
      <c r="H32" s="80" t="s">
        <v>40</v>
      </c>
      <c r="I32" s="81" t="str">
        <f t="shared" si="0"/>
        <v>R</v>
      </c>
      <c r="J32" s="82">
        <v>2</v>
      </c>
      <c r="K32" s="83">
        <v>0</v>
      </c>
      <c r="L32" s="84" t="s">
        <v>28</v>
      </c>
      <c r="M32" s="85">
        <v>4</v>
      </c>
      <c r="N32" s="86">
        <v>8</v>
      </c>
      <c r="O32" s="84" t="s">
        <v>28</v>
      </c>
      <c r="P32" s="48">
        <v>1</v>
      </c>
      <c r="Q32" s="85">
        <v>5</v>
      </c>
      <c r="R32" s="78" t="s">
        <v>28</v>
      </c>
      <c r="S32" s="87">
        <v>5</v>
      </c>
      <c r="T32" s="156">
        <f t="shared" si="2"/>
        <v>0.28173611111111102</v>
      </c>
      <c r="U32" s="200"/>
      <c r="V32" s="89">
        <v>5.5555555555555558E-3</v>
      </c>
      <c r="W32" s="90"/>
      <c r="X32" s="91">
        <f>IF(K32=0,0,IF(K32=1,W32+#REF!,IF(K32=2,W32+$Y$39,IF(K32=3,W32+$Y$38,IF(K32=4,W32+#REF!,0)))))</f>
        <v>0</v>
      </c>
      <c r="Y32" s="67"/>
      <c r="Z32" s="55"/>
      <c r="AA32" s="55"/>
      <c r="AB32" s="55"/>
      <c r="AC32" s="55"/>
      <c r="AD32" s="55"/>
      <c r="AE32" s="55"/>
    </row>
    <row r="33" spans="2:31" x14ac:dyDescent="0.25">
      <c r="B33" s="7">
        <v>21</v>
      </c>
      <c r="C33" s="123" t="s">
        <v>150</v>
      </c>
      <c r="D33" s="76" t="s">
        <v>86</v>
      </c>
      <c r="E33" s="77" t="s">
        <v>286</v>
      </c>
      <c r="F33" s="149"/>
      <c r="G33" s="79"/>
      <c r="H33" s="80"/>
      <c r="I33" s="81"/>
      <c r="J33" s="82"/>
      <c r="K33" s="83"/>
      <c r="L33" s="84"/>
      <c r="M33" s="85"/>
      <c r="N33" s="86"/>
      <c r="O33" s="84"/>
      <c r="P33" s="135"/>
      <c r="Q33" s="85"/>
      <c r="R33" s="78"/>
      <c r="S33" s="87"/>
      <c r="T33" s="156">
        <f t="shared" si="2"/>
        <v>0.28729166666666656</v>
      </c>
      <c r="U33" s="200"/>
      <c r="V33" s="89">
        <v>4.1666666666666666E-3</v>
      </c>
      <c r="W33" s="90"/>
      <c r="X33" s="91"/>
      <c r="Y33" s="67"/>
      <c r="Z33" s="55"/>
      <c r="AA33" s="55"/>
      <c r="AB33" s="55"/>
      <c r="AC33" s="55"/>
      <c r="AD33" s="55"/>
      <c r="AE33" s="55"/>
    </row>
    <row r="34" spans="2:31" x14ac:dyDescent="0.25">
      <c r="B34" s="7">
        <v>22</v>
      </c>
      <c r="C34" s="123" t="s">
        <v>290</v>
      </c>
      <c r="D34" s="76" t="s">
        <v>87</v>
      </c>
      <c r="E34" s="77" t="s">
        <v>10</v>
      </c>
      <c r="F34" s="149" t="s">
        <v>160</v>
      </c>
      <c r="G34" s="79" t="s">
        <v>57</v>
      </c>
      <c r="H34" s="80" t="s">
        <v>40</v>
      </c>
      <c r="I34" s="81" t="str">
        <f t="shared" si="0"/>
        <v>R</v>
      </c>
      <c r="J34" s="82">
        <v>2</v>
      </c>
      <c r="K34" s="83">
        <v>0</v>
      </c>
      <c r="L34" s="84" t="s">
        <v>28</v>
      </c>
      <c r="M34" s="85">
        <v>4</v>
      </c>
      <c r="N34" s="86">
        <v>8</v>
      </c>
      <c r="O34" s="84" t="s">
        <v>28</v>
      </c>
      <c r="P34" s="48">
        <v>1</v>
      </c>
      <c r="Q34" s="85">
        <v>5</v>
      </c>
      <c r="R34" s="78" t="s">
        <v>28</v>
      </c>
      <c r="S34" s="87">
        <v>5</v>
      </c>
      <c r="T34" s="156">
        <f t="shared" si="2"/>
        <v>0.29145833333333321</v>
      </c>
      <c r="U34" s="201"/>
      <c r="V34" s="89">
        <v>1.3888888888888889E-3</v>
      </c>
      <c r="W34" s="90"/>
      <c r="X34" s="91">
        <f>IF(K34=0,0,IF(K34=1,W34+#REF!,IF(K34=2,W34+$Y$39,IF(K34=3,W34+$Y$38,IF(K34=4,W34+#REF!,0)))))</f>
        <v>0</v>
      </c>
      <c r="Y34" s="67"/>
      <c r="Z34" s="55"/>
      <c r="AA34" s="55"/>
      <c r="AB34" s="55"/>
      <c r="AC34" s="55"/>
      <c r="AD34" s="55"/>
      <c r="AE34" s="55"/>
    </row>
    <row r="35" spans="2:31" ht="30" x14ac:dyDescent="0.25">
      <c r="B35" s="7">
        <v>23</v>
      </c>
      <c r="C35" s="75" t="s">
        <v>283</v>
      </c>
      <c r="D35" s="76" t="s">
        <v>88</v>
      </c>
      <c r="E35" s="77" t="s">
        <v>214</v>
      </c>
      <c r="F35" s="149" t="s">
        <v>242</v>
      </c>
      <c r="G35" s="79" t="s">
        <v>57</v>
      </c>
      <c r="H35" s="80" t="s">
        <v>38</v>
      </c>
      <c r="I35" s="81" t="str">
        <f t="shared" ref="I35:I57" si="4">IF(W35&gt;0,IF(X35-W35&gt;0,"I","R"),"R")</f>
        <v>R</v>
      </c>
      <c r="J35" s="82">
        <v>3</v>
      </c>
      <c r="K35" s="83">
        <v>0</v>
      </c>
      <c r="L35" s="84" t="s">
        <v>28</v>
      </c>
      <c r="M35" s="85">
        <v>5</v>
      </c>
      <c r="N35" s="86">
        <v>8</v>
      </c>
      <c r="O35" s="84" t="s">
        <v>28</v>
      </c>
      <c r="P35" s="48">
        <v>1</v>
      </c>
      <c r="Q35" s="85">
        <v>4</v>
      </c>
      <c r="R35" s="78" t="s">
        <v>28</v>
      </c>
      <c r="S35" s="87">
        <v>8</v>
      </c>
      <c r="T35" s="156">
        <v>0.25</v>
      </c>
      <c r="U35" s="46">
        <v>0.25</v>
      </c>
      <c r="V35" s="89">
        <v>1.3888888888888888E-2</v>
      </c>
      <c r="W35" s="90"/>
      <c r="X35" s="91">
        <f>IF(K35=0,0,IF(K35=1,W35+#REF!,IF(K35=2,W35+$Y$39,IF(K35=3,W35+$Y$38,IF(K35=4,W35+#REF!,0)))))</f>
        <v>0</v>
      </c>
      <c r="Y35" s="67"/>
      <c r="Z35" s="55"/>
      <c r="AA35" s="55"/>
      <c r="AB35" s="55"/>
      <c r="AC35" s="55"/>
      <c r="AD35" s="55"/>
      <c r="AE35" s="55"/>
    </row>
    <row r="36" spans="2:31" ht="30" x14ac:dyDescent="0.25">
      <c r="B36" s="7">
        <v>24</v>
      </c>
      <c r="C36" s="125" t="s">
        <v>291</v>
      </c>
      <c r="D36" s="76" t="s">
        <v>89</v>
      </c>
      <c r="E36" s="77" t="s">
        <v>215</v>
      </c>
      <c r="F36" s="150" t="s">
        <v>165</v>
      </c>
      <c r="G36" s="93" t="s">
        <v>251</v>
      </c>
      <c r="H36" s="80" t="s">
        <v>39</v>
      </c>
      <c r="I36" s="81" t="str">
        <f t="shared" si="4"/>
        <v>R</v>
      </c>
      <c r="J36" s="82">
        <v>-1</v>
      </c>
      <c r="K36" s="83">
        <v>3</v>
      </c>
      <c r="L36" s="84" t="s">
        <v>28</v>
      </c>
      <c r="M36" s="85">
        <v>8</v>
      </c>
      <c r="N36" s="86">
        <v>8</v>
      </c>
      <c r="O36" s="84"/>
      <c r="P36" s="48"/>
      <c r="Q36" s="85"/>
      <c r="R36" s="78" t="s">
        <v>28</v>
      </c>
      <c r="S36" s="87">
        <v>5</v>
      </c>
      <c r="T36" s="88">
        <v>0.28125</v>
      </c>
      <c r="U36" s="46">
        <v>0.28125</v>
      </c>
      <c r="V36" s="89">
        <v>1.0416666666666666E-2</v>
      </c>
      <c r="W36" s="90"/>
      <c r="X36" s="91">
        <f>IF(K36=0,0,IF(K36=1,W36+#REF!,IF(K36=2,W36+$Y$39,IF(K36=3,W36+$Y$38,IF(K36=4,W36+#REF!,0)))))</f>
        <v>0.99930555555555556</v>
      </c>
      <c r="Y36" s="67"/>
      <c r="Z36" s="55"/>
      <c r="AA36" s="55"/>
      <c r="AB36" s="55"/>
      <c r="AC36" s="55"/>
      <c r="AD36" s="55"/>
      <c r="AE36" s="55"/>
    </row>
    <row r="37" spans="2:31" ht="30" x14ac:dyDescent="0.25">
      <c r="B37" s="7">
        <v>25</v>
      </c>
      <c r="C37" s="125" t="s">
        <v>292</v>
      </c>
      <c r="D37" s="76" t="s">
        <v>90</v>
      </c>
      <c r="E37" s="77" t="s">
        <v>11</v>
      </c>
      <c r="F37" s="149" t="s">
        <v>159</v>
      </c>
      <c r="G37" s="79" t="s">
        <v>250</v>
      </c>
      <c r="H37" s="80" t="s">
        <v>38</v>
      </c>
      <c r="I37" s="81" t="str">
        <f t="shared" si="4"/>
        <v>R</v>
      </c>
      <c r="J37" s="82">
        <v>-1</v>
      </c>
      <c r="K37" s="83">
        <v>3</v>
      </c>
      <c r="L37" s="84" t="s">
        <v>28</v>
      </c>
      <c r="M37" s="85">
        <v>3</v>
      </c>
      <c r="N37" s="86">
        <v>6</v>
      </c>
      <c r="O37" s="84"/>
      <c r="P37" s="48"/>
      <c r="Q37" s="85"/>
      <c r="R37" s="78" t="s">
        <v>28</v>
      </c>
      <c r="S37" s="87">
        <v>7</v>
      </c>
      <c r="T37" s="88">
        <v>0.28125</v>
      </c>
      <c r="U37" s="46">
        <v>0.28125</v>
      </c>
      <c r="V37" s="89">
        <v>2.0833333333333332E-2</v>
      </c>
      <c r="W37" s="90"/>
      <c r="X37" s="91">
        <f>IF(K37=0,0,IF(K37=1,W37+#REF!,IF(K37=2,W37+$Y$39,IF(K37=3,W37+$Y$38,IF(K37=4,W37+#REF!,0)))))</f>
        <v>0.99930555555555556</v>
      </c>
      <c r="Y37" s="67"/>
      <c r="Z37" s="55"/>
      <c r="AA37" s="55"/>
      <c r="AB37" s="55"/>
      <c r="AC37" s="55"/>
      <c r="AD37" s="55"/>
      <c r="AE37" s="55"/>
    </row>
    <row r="38" spans="2:31" ht="30" x14ac:dyDescent="0.25">
      <c r="B38" s="7">
        <v>26</v>
      </c>
      <c r="C38" s="75" t="s">
        <v>44</v>
      </c>
      <c r="D38" s="76" t="s">
        <v>91</v>
      </c>
      <c r="E38" s="77" t="s">
        <v>201</v>
      </c>
      <c r="F38" s="149" t="s">
        <v>162</v>
      </c>
      <c r="G38" s="79" t="s">
        <v>57</v>
      </c>
      <c r="H38" s="80" t="s">
        <v>40</v>
      </c>
      <c r="I38" s="81" t="str">
        <f t="shared" si="4"/>
        <v>R</v>
      </c>
      <c r="J38" s="82">
        <v>2</v>
      </c>
      <c r="K38" s="83">
        <v>0</v>
      </c>
      <c r="L38" s="84" t="s">
        <v>28</v>
      </c>
      <c r="M38" s="85">
        <v>4</v>
      </c>
      <c r="N38" s="86">
        <v>8</v>
      </c>
      <c r="O38" s="84"/>
      <c r="P38" s="48"/>
      <c r="Q38" s="85"/>
      <c r="R38" s="78" t="s">
        <v>28</v>
      </c>
      <c r="S38" s="87">
        <v>6</v>
      </c>
      <c r="T38" s="88">
        <v>0.29166666666666669</v>
      </c>
      <c r="U38" s="46">
        <v>0.29166666666666669</v>
      </c>
      <c r="V38" s="89">
        <v>6.9444444444444441E-3</v>
      </c>
      <c r="W38" s="90"/>
      <c r="X38" s="91"/>
      <c r="Y38" s="21">
        <v>0.99930555555555556</v>
      </c>
      <c r="Z38" s="29"/>
      <c r="AA38" s="55"/>
      <c r="AB38" s="55"/>
      <c r="AC38" s="55"/>
      <c r="AD38" s="55"/>
      <c r="AE38" s="55"/>
    </row>
    <row r="39" spans="2:31" ht="30" x14ac:dyDescent="0.25">
      <c r="B39" s="7">
        <v>27</v>
      </c>
      <c r="C39" s="123" t="s">
        <v>293</v>
      </c>
      <c r="D39" s="76" t="s">
        <v>92</v>
      </c>
      <c r="E39" s="77" t="s">
        <v>200</v>
      </c>
      <c r="F39" s="149" t="s">
        <v>242</v>
      </c>
      <c r="G39" s="79" t="s">
        <v>57</v>
      </c>
      <c r="H39" s="80" t="s">
        <v>40</v>
      </c>
      <c r="I39" s="81" t="str">
        <f>IF(W39&gt;0,IF(X39-W39&gt;0,"I","R"),"R")</f>
        <v>R</v>
      </c>
      <c r="J39" s="82">
        <v>3</v>
      </c>
      <c r="K39" s="83">
        <v>0</v>
      </c>
      <c r="L39" s="84" t="s">
        <v>28</v>
      </c>
      <c r="M39" s="85">
        <v>3</v>
      </c>
      <c r="N39" s="86">
        <v>6</v>
      </c>
      <c r="O39" s="84"/>
      <c r="P39" s="48"/>
      <c r="Q39" s="85"/>
      <c r="R39" s="78" t="s">
        <v>28</v>
      </c>
      <c r="S39" s="87">
        <v>6</v>
      </c>
      <c r="T39" s="88">
        <v>0.28125</v>
      </c>
      <c r="U39" s="46">
        <v>0.28125</v>
      </c>
      <c r="V39" s="89">
        <v>6.9444444444444441E-3</v>
      </c>
      <c r="W39" s="90"/>
      <c r="X39" s="91"/>
      <c r="Y39" s="21">
        <v>0.5</v>
      </c>
      <c r="Z39" s="29"/>
      <c r="AA39" s="55"/>
      <c r="AB39" s="55"/>
      <c r="AC39" s="55"/>
      <c r="AD39" s="55"/>
      <c r="AE39" s="55"/>
    </row>
    <row r="40" spans="2:31" x14ac:dyDescent="0.25">
      <c r="B40" s="7">
        <v>28</v>
      </c>
      <c r="C40" s="75" t="s">
        <v>44</v>
      </c>
      <c r="D40" s="76" t="s">
        <v>93</v>
      </c>
      <c r="E40" s="77" t="s">
        <v>212</v>
      </c>
      <c r="F40" s="150" t="s">
        <v>159</v>
      </c>
      <c r="G40" s="79" t="s">
        <v>57</v>
      </c>
      <c r="H40" s="80" t="s">
        <v>40</v>
      </c>
      <c r="I40" s="81" t="str">
        <f t="shared" si="4"/>
        <v>R</v>
      </c>
      <c r="J40" s="82">
        <v>1</v>
      </c>
      <c r="K40" s="83">
        <v>2</v>
      </c>
      <c r="L40" s="84" t="s">
        <v>28</v>
      </c>
      <c r="M40" s="85">
        <v>5</v>
      </c>
      <c r="N40" s="86">
        <v>8</v>
      </c>
      <c r="O40" s="84" t="s">
        <v>28</v>
      </c>
      <c r="P40" s="48">
        <v>1</v>
      </c>
      <c r="Q40" s="85">
        <v>5</v>
      </c>
      <c r="R40" s="78" t="s">
        <v>28</v>
      </c>
      <c r="S40" s="87">
        <v>5</v>
      </c>
      <c r="T40" s="88">
        <v>0.29166666666666669</v>
      </c>
      <c r="U40" s="46">
        <v>0.29166666666666669</v>
      </c>
      <c r="V40" s="89">
        <v>3.472222222222222E-3</v>
      </c>
      <c r="W40" s="90"/>
      <c r="X40" s="91">
        <f>IF(K40=0,0,IF(K40=1,W40+#REF!,IF(K40=2,W40+$Y$39,IF(K40=3,W40+$Y$38,IF(K40=4,W40+#REF!,0)))))</f>
        <v>0.5</v>
      </c>
      <c r="Y40" s="67"/>
      <c r="Z40" s="55"/>
      <c r="AA40" s="55"/>
      <c r="AB40" s="55"/>
      <c r="AC40" s="55"/>
      <c r="AD40" s="55"/>
      <c r="AE40" s="55"/>
    </row>
    <row r="41" spans="2:31" x14ac:dyDescent="0.25">
      <c r="B41" s="7">
        <v>29</v>
      </c>
      <c r="C41" s="75" t="s">
        <v>44</v>
      </c>
      <c r="D41" s="76" t="s">
        <v>94</v>
      </c>
      <c r="E41" s="77" t="s">
        <v>213</v>
      </c>
      <c r="F41" s="149" t="s">
        <v>161</v>
      </c>
      <c r="G41" s="93" t="s">
        <v>256</v>
      </c>
      <c r="H41" s="80" t="s">
        <v>40</v>
      </c>
      <c r="I41" s="81" t="str">
        <f t="shared" si="4"/>
        <v>R</v>
      </c>
      <c r="J41" s="82">
        <v>-1</v>
      </c>
      <c r="K41" s="83">
        <v>3</v>
      </c>
      <c r="L41" s="84" t="s">
        <v>28</v>
      </c>
      <c r="M41" s="85">
        <v>2</v>
      </c>
      <c r="N41" s="86">
        <v>5</v>
      </c>
      <c r="O41" s="84" t="s">
        <v>28</v>
      </c>
      <c r="P41" s="48">
        <v>1</v>
      </c>
      <c r="Q41" s="85">
        <v>5</v>
      </c>
      <c r="R41" s="78" t="s">
        <v>28</v>
      </c>
      <c r="S41" s="87">
        <v>5</v>
      </c>
      <c r="T41" s="88">
        <v>0.3125</v>
      </c>
      <c r="U41" s="46">
        <v>0.3125</v>
      </c>
      <c r="V41" s="89">
        <v>1.3888888888888888E-2</v>
      </c>
      <c r="W41" s="90"/>
      <c r="X41" s="91">
        <f>IF(K41=0,0,IF(K41=1,W41+#REF!,IF(K41=2,W41+$Y$39,IF(K41=3,W41+$Y$38,IF(K41=4,W41+#REF!,0)))))</f>
        <v>0.99930555555555556</v>
      </c>
      <c r="Y41" s="67"/>
      <c r="Z41" s="55"/>
      <c r="AA41" s="55"/>
      <c r="AB41" s="55"/>
      <c r="AC41" s="55"/>
      <c r="AD41" s="55"/>
      <c r="AE41" s="55"/>
    </row>
    <row r="42" spans="2:31" ht="30" x14ac:dyDescent="0.25">
      <c r="B42" s="7">
        <v>30</v>
      </c>
      <c r="C42" s="92" t="s">
        <v>283</v>
      </c>
      <c r="D42" s="76" t="s">
        <v>95</v>
      </c>
      <c r="E42" s="77" t="s">
        <v>216</v>
      </c>
      <c r="F42" s="149" t="s">
        <v>159</v>
      </c>
      <c r="G42" s="79" t="s">
        <v>57</v>
      </c>
      <c r="H42" s="80" t="s">
        <v>38</v>
      </c>
      <c r="I42" s="81" t="str">
        <f t="shared" si="4"/>
        <v>R</v>
      </c>
      <c r="J42" s="82">
        <v>3</v>
      </c>
      <c r="K42" s="83">
        <v>0</v>
      </c>
      <c r="L42" s="84" t="s">
        <v>28</v>
      </c>
      <c r="M42" s="85">
        <v>3</v>
      </c>
      <c r="N42" s="86">
        <v>8</v>
      </c>
      <c r="O42" s="84" t="s">
        <v>28</v>
      </c>
      <c r="P42" s="48">
        <v>1</v>
      </c>
      <c r="Q42" s="85">
        <v>8</v>
      </c>
      <c r="R42" s="78" t="s">
        <v>28</v>
      </c>
      <c r="S42" s="87">
        <v>6</v>
      </c>
      <c r="T42" s="88">
        <v>0.3125</v>
      </c>
      <c r="U42" s="46">
        <v>0.3125</v>
      </c>
      <c r="V42" s="89">
        <v>6.9444444444444441E-3</v>
      </c>
      <c r="W42" s="90"/>
      <c r="X42" s="91">
        <f>IF(K42=0,0,IF(K42=1,W42+#REF!,IF(K42=2,W42+$Y$39,IF(K42=3,W42+$Y$38,IF(K42=4,W42+#REF!,0)))))</f>
        <v>0</v>
      </c>
      <c r="Y42" s="67"/>
      <c r="Z42" s="55"/>
      <c r="AA42" s="55"/>
      <c r="AB42" s="55"/>
      <c r="AC42" s="55"/>
      <c r="AD42" s="55"/>
      <c r="AE42" s="55"/>
    </row>
    <row r="43" spans="2:31" ht="30" x14ac:dyDescent="0.25">
      <c r="B43" s="7">
        <v>31</v>
      </c>
      <c r="C43" s="124" t="s">
        <v>294</v>
      </c>
      <c r="D43" s="76" t="s">
        <v>96</v>
      </c>
      <c r="E43" s="77" t="s">
        <v>217</v>
      </c>
      <c r="F43" s="150" t="s">
        <v>319</v>
      </c>
      <c r="G43" s="79" t="s">
        <v>57</v>
      </c>
      <c r="H43" s="80" t="s">
        <v>40</v>
      </c>
      <c r="I43" s="81" t="str">
        <f t="shared" si="4"/>
        <v>R</v>
      </c>
      <c r="J43" s="82">
        <v>3</v>
      </c>
      <c r="K43" s="83">
        <v>0</v>
      </c>
      <c r="L43" s="84" t="s">
        <v>28</v>
      </c>
      <c r="M43" s="85">
        <v>5</v>
      </c>
      <c r="N43" s="86">
        <v>8</v>
      </c>
      <c r="O43" s="84"/>
      <c r="P43" s="48"/>
      <c r="Q43" s="85"/>
      <c r="R43" s="78" t="s">
        <v>28</v>
      </c>
      <c r="S43" s="87">
        <v>5</v>
      </c>
      <c r="T43" s="88">
        <f t="shared" si="2"/>
        <v>0.31944444444444442</v>
      </c>
      <c r="U43" s="46" t="s">
        <v>255</v>
      </c>
      <c r="V43" s="89">
        <v>1.3888888888888888E-2</v>
      </c>
      <c r="W43" s="90"/>
      <c r="X43" s="91">
        <f>IF(K43=0,0,IF(K43=1,W43+#REF!,IF(K43=2,W43+$Y$39,IF(K43=3,W43+$Y$38,IF(K43=4,W43+#REF!,0)))))</f>
        <v>0</v>
      </c>
      <c r="Y43" s="67"/>
      <c r="Z43" s="55"/>
      <c r="AA43" s="55"/>
      <c r="AB43" s="55"/>
      <c r="AC43" s="55"/>
      <c r="AD43" s="55"/>
      <c r="AE43" s="55"/>
    </row>
    <row r="44" spans="2:31" x14ac:dyDescent="0.25">
      <c r="B44" s="7">
        <v>32</v>
      </c>
      <c r="C44" s="75" t="s">
        <v>44</v>
      </c>
      <c r="D44" s="76" t="s">
        <v>97</v>
      </c>
      <c r="E44" s="77" t="s">
        <v>219</v>
      </c>
      <c r="F44" s="150" t="s">
        <v>242</v>
      </c>
      <c r="G44" s="79" t="s">
        <v>57</v>
      </c>
      <c r="H44" s="80" t="s">
        <v>40</v>
      </c>
      <c r="I44" s="81" t="str">
        <f t="shared" si="4"/>
        <v>R</v>
      </c>
      <c r="J44" s="82">
        <v>3</v>
      </c>
      <c r="K44" s="83">
        <v>0</v>
      </c>
      <c r="L44" s="84" t="s">
        <v>28</v>
      </c>
      <c r="M44" s="85">
        <v>6</v>
      </c>
      <c r="N44" s="86">
        <v>8</v>
      </c>
      <c r="O44" s="84" t="s">
        <v>28</v>
      </c>
      <c r="P44" s="48">
        <v>1</v>
      </c>
      <c r="Q44" s="85">
        <v>8</v>
      </c>
      <c r="R44" s="78" t="s">
        <v>28</v>
      </c>
      <c r="S44" s="87">
        <v>6</v>
      </c>
      <c r="T44" s="88">
        <v>0.32291666666666669</v>
      </c>
      <c r="U44" s="46">
        <v>0.32291666666666669</v>
      </c>
      <c r="V44" s="89">
        <v>6.9444444444444441E-3</v>
      </c>
      <c r="W44" s="90"/>
      <c r="X44" s="91">
        <f>IF(K44=0,0,IF(K44=1,W44+#REF!,IF(K44=2,W44+$Y$39,IF(K44=3,W44+$Y$38,IF(K44=4,W44+#REF!,0)))))</f>
        <v>0</v>
      </c>
      <c r="Y44" s="67"/>
      <c r="Z44" s="55"/>
      <c r="AA44" s="55"/>
      <c r="AB44" s="55"/>
      <c r="AC44" s="55"/>
      <c r="AD44" s="55"/>
      <c r="AE44" s="55"/>
    </row>
    <row r="45" spans="2:31" ht="30" x14ac:dyDescent="0.25">
      <c r="B45" s="7">
        <v>33</v>
      </c>
      <c r="C45" s="75" t="s">
        <v>44</v>
      </c>
      <c r="D45" s="76" t="s">
        <v>98</v>
      </c>
      <c r="E45" s="77" t="s">
        <v>218</v>
      </c>
      <c r="F45" s="150" t="s">
        <v>320</v>
      </c>
      <c r="G45" s="79" t="s">
        <v>57</v>
      </c>
      <c r="H45" s="80" t="s">
        <v>40</v>
      </c>
      <c r="I45" s="81" t="str">
        <f t="shared" si="4"/>
        <v>R</v>
      </c>
      <c r="J45" s="82">
        <v>3</v>
      </c>
      <c r="K45" s="83">
        <v>0</v>
      </c>
      <c r="L45" s="84" t="s">
        <v>28</v>
      </c>
      <c r="M45" s="85">
        <v>5</v>
      </c>
      <c r="N45" s="86">
        <v>8</v>
      </c>
      <c r="O45" s="84"/>
      <c r="P45" s="48"/>
      <c r="Q45" s="85"/>
      <c r="R45" s="78" t="s">
        <v>28</v>
      </c>
      <c r="S45" s="87">
        <v>5</v>
      </c>
      <c r="T45" s="88">
        <v>0.33333333333333331</v>
      </c>
      <c r="U45" s="46">
        <v>0.33333333333333331</v>
      </c>
      <c r="V45" s="89">
        <v>1.0416666666666666E-2</v>
      </c>
      <c r="W45" s="90"/>
      <c r="X45" s="91">
        <f>IF(K45=0,0,IF(K45=1,W45+#REF!,IF(K45=2,W45+$Y$39,IF(K45=3,W45+$Y$38,IF(K45=4,W45+#REF!,0)))))</f>
        <v>0</v>
      </c>
      <c r="Y45" s="67"/>
      <c r="Z45" s="55"/>
      <c r="AA45" s="55"/>
      <c r="AB45" s="55"/>
      <c r="AC45" s="55"/>
      <c r="AD45" s="55"/>
      <c r="AE45" s="55"/>
    </row>
    <row r="46" spans="2:31" x14ac:dyDescent="0.25">
      <c r="B46" s="7">
        <v>34</v>
      </c>
      <c r="C46" s="92" t="s">
        <v>46</v>
      </c>
      <c r="D46" s="76" t="s">
        <v>99</v>
      </c>
      <c r="E46" s="77" t="s">
        <v>268</v>
      </c>
      <c r="F46" s="149" t="s">
        <v>165</v>
      </c>
      <c r="G46" s="79" t="s">
        <v>199</v>
      </c>
      <c r="H46" s="80" t="s">
        <v>40</v>
      </c>
      <c r="I46" s="81" t="str">
        <f t="shared" si="4"/>
        <v>R</v>
      </c>
      <c r="J46" s="82">
        <v>3</v>
      </c>
      <c r="K46" s="83">
        <v>0</v>
      </c>
      <c r="L46" s="84" t="s">
        <v>28</v>
      </c>
      <c r="M46" s="85">
        <v>7</v>
      </c>
      <c r="N46" s="86">
        <v>10</v>
      </c>
      <c r="O46" s="84" t="s">
        <v>28</v>
      </c>
      <c r="P46" s="48">
        <v>1</v>
      </c>
      <c r="Q46" s="85">
        <v>8</v>
      </c>
      <c r="R46" s="78" t="s">
        <v>28</v>
      </c>
      <c r="S46" s="87">
        <v>5</v>
      </c>
      <c r="T46" s="88">
        <v>0.35416666666666669</v>
      </c>
      <c r="U46" s="46">
        <v>0.35416666666666669</v>
      </c>
      <c r="V46" s="89">
        <v>0.375</v>
      </c>
      <c r="W46" s="90"/>
      <c r="X46" s="91">
        <f>IF(K46=0,0,IF(K46=1,W46+#REF!,IF(K46=2,W46+$Y$39,IF(K46=3,W46+$Y$38,IF(K46=4,W46+#REF!,0)))))</f>
        <v>0</v>
      </c>
      <c r="Y46" s="67"/>
      <c r="Z46" s="55"/>
      <c r="AA46" s="55"/>
      <c r="AB46" s="55"/>
      <c r="AC46" s="55"/>
      <c r="AD46" s="55"/>
      <c r="AE46" s="55"/>
    </row>
    <row r="47" spans="2:31" ht="30" x14ac:dyDescent="0.25">
      <c r="B47" s="7">
        <v>35</v>
      </c>
      <c r="C47" s="92" t="s">
        <v>44</v>
      </c>
      <c r="D47" s="76" t="s">
        <v>100</v>
      </c>
      <c r="E47" s="77" t="s">
        <v>9</v>
      </c>
      <c r="F47" s="149" t="s">
        <v>161</v>
      </c>
      <c r="G47" s="79" t="s">
        <v>57</v>
      </c>
      <c r="H47" s="80" t="s">
        <v>39</v>
      </c>
      <c r="I47" s="81" t="str">
        <f t="shared" si="4"/>
        <v>R</v>
      </c>
      <c r="J47" s="82">
        <v>-1</v>
      </c>
      <c r="K47" s="83">
        <v>3</v>
      </c>
      <c r="L47" s="84" t="s">
        <v>28</v>
      </c>
      <c r="M47" s="85">
        <v>8</v>
      </c>
      <c r="N47" s="86">
        <v>5</v>
      </c>
      <c r="O47" s="84"/>
      <c r="P47" s="48"/>
      <c r="Q47" s="85"/>
      <c r="R47" s="78" t="s">
        <v>28</v>
      </c>
      <c r="S47" s="87">
        <v>3</v>
      </c>
      <c r="T47" s="88">
        <v>0.375</v>
      </c>
      <c r="U47" s="46">
        <v>0.375</v>
      </c>
      <c r="V47" s="89">
        <v>2.0833333333333332E-2</v>
      </c>
      <c r="W47" s="90"/>
      <c r="X47" s="91">
        <f>IF(K47=0,0,IF(K47=1,W47+#REF!,IF(K47=2,W47+$Y$39,IF(K47=3,W47+$Y$38,IF(K47=4,W47+#REF!,0)))))</f>
        <v>0.99930555555555556</v>
      </c>
      <c r="Y47" s="67"/>
      <c r="Z47" s="55"/>
      <c r="AA47" s="55"/>
      <c r="AB47" s="55"/>
      <c r="AC47" s="55"/>
      <c r="AD47" s="55"/>
      <c r="AE47" s="55"/>
    </row>
    <row r="48" spans="2:31" ht="30" x14ac:dyDescent="0.25">
      <c r="B48" s="7">
        <v>36</v>
      </c>
      <c r="C48" s="92" t="s">
        <v>44</v>
      </c>
      <c r="D48" s="76" t="s">
        <v>101</v>
      </c>
      <c r="E48" s="77" t="s">
        <v>225</v>
      </c>
      <c r="F48" s="150" t="s">
        <v>313</v>
      </c>
      <c r="G48" s="79" t="s">
        <v>57</v>
      </c>
      <c r="H48" s="80" t="s">
        <v>39</v>
      </c>
      <c r="I48" s="81" t="str">
        <f t="shared" si="4"/>
        <v>R</v>
      </c>
      <c r="J48" s="82">
        <v>-1</v>
      </c>
      <c r="K48" s="83">
        <v>3</v>
      </c>
      <c r="L48" s="84" t="s">
        <v>28</v>
      </c>
      <c r="M48" s="85">
        <v>5</v>
      </c>
      <c r="N48" s="86">
        <v>3</v>
      </c>
      <c r="O48" s="84"/>
      <c r="P48" s="48"/>
      <c r="Q48" s="85"/>
      <c r="R48" s="78" t="s">
        <v>28</v>
      </c>
      <c r="S48" s="87">
        <v>5</v>
      </c>
      <c r="T48" s="88">
        <v>0.375</v>
      </c>
      <c r="U48" s="46">
        <v>0.375</v>
      </c>
      <c r="V48" s="89">
        <v>4.1666666666666664E-2</v>
      </c>
      <c r="W48" s="90"/>
      <c r="X48" s="91">
        <f>IF(K48=0,0,IF(K48=1,W48+#REF!,IF(K48=2,W48+$Y$39,IF(K48=3,W48+$Y$38,IF(K48=4,W48+#REF!,0)))))</f>
        <v>0.99930555555555556</v>
      </c>
      <c r="Y48" s="67"/>
      <c r="Z48" s="55"/>
      <c r="AA48" s="55"/>
      <c r="AB48" s="55"/>
      <c r="AC48" s="55"/>
      <c r="AD48" s="55"/>
      <c r="AE48" s="55"/>
    </row>
    <row r="49" spans="2:31" ht="30" x14ac:dyDescent="0.25">
      <c r="B49" s="7">
        <v>37</v>
      </c>
      <c r="C49" s="75" t="s">
        <v>46</v>
      </c>
      <c r="D49" s="76" t="s">
        <v>102</v>
      </c>
      <c r="E49" s="77" t="s">
        <v>223</v>
      </c>
      <c r="F49" s="149" t="s">
        <v>165</v>
      </c>
      <c r="G49" s="79" t="s">
        <v>58</v>
      </c>
      <c r="H49" s="80" t="s">
        <v>39</v>
      </c>
      <c r="I49" s="81" t="str">
        <f t="shared" si="4"/>
        <v>R</v>
      </c>
      <c r="J49" s="82">
        <v>-1</v>
      </c>
      <c r="K49" s="83">
        <v>4</v>
      </c>
      <c r="L49" s="84" t="s">
        <v>28</v>
      </c>
      <c r="M49" s="85">
        <v>8</v>
      </c>
      <c r="N49" s="86">
        <v>8</v>
      </c>
      <c r="O49" s="84"/>
      <c r="P49" s="48"/>
      <c r="Q49" s="85"/>
      <c r="R49" s="78" t="s">
        <v>28</v>
      </c>
      <c r="S49" s="87">
        <v>3</v>
      </c>
      <c r="T49" s="88">
        <v>0.375</v>
      </c>
      <c r="U49" s="46">
        <v>0.375</v>
      </c>
      <c r="V49" s="89">
        <v>0.10416666666666667</v>
      </c>
      <c r="W49" s="90"/>
      <c r="X49" s="91" t="e">
        <f>IF(K49=0,0,IF(K49=1,W49+#REF!,IF(K49=2,W49+$Y$39,IF(K49=3,W49+$Y$38,IF(K49=4,W49+#REF!,0)))))</f>
        <v>#REF!</v>
      </c>
      <c r="Y49" s="67"/>
      <c r="Z49" s="55"/>
      <c r="AA49" s="55"/>
      <c r="AB49" s="55"/>
      <c r="AC49" s="55"/>
      <c r="AD49" s="55"/>
      <c r="AE49" s="55"/>
    </row>
    <row r="50" spans="2:31" x14ac:dyDescent="0.25">
      <c r="B50" s="7">
        <v>38</v>
      </c>
      <c r="C50" s="75" t="s">
        <v>44</v>
      </c>
      <c r="D50" s="76" t="s">
        <v>103</v>
      </c>
      <c r="E50" s="146" t="s">
        <v>210</v>
      </c>
      <c r="F50" s="149" t="s">
        <v>166</v>
      </c>
      <c r="G50" s="79" t="s">
        <v>57</v>
      </c>
      <c r="H50" s="80" t="s">
        <v>40</v>
      </c>
      <c r="I50" s="81" t="str">
        <f t="shared" si="4"/>
        <v>R</v>
      </c>
      <c r="J50" s="82">
        <v>1</v>
      </c>
      <c r="K50" s="83">
        <v>2</v>
      </c>
      <c r="L50" s="84" t="s">
        <v>28</v>
      </c>
      <c r="M50" s="85">
        <v>5</v>
      </c>
      <c r="N50" s="86">
        <v>8</v>
      </c>
      <c r="O50" s="84" t="s">
        <v>28</v>
      </c>
      <c r="P50" s="48">
        <v>1</v>
      </c>
      <c r="Q50" s="85">
        <v>5</v>
      </c>
      <c r="R50" s="78" t="s">
        <v>28</v>
      </c>
      <c r="S50" s="87">
        <v>5</v>
      </c>
      <c r="T50" s="88">
        <v>0.39583333333333331</v>
      </c>
      <c r="U50" s="199" t="s">
        <v>258</v>
      </c>
      <c r="V50" s="89">
        <v>5.5555555555555558E-3</v>
      </c>
      <c r="W50" s="90"/>
      <c r="X50" s="91">
        <f>IF(K50=0,0,IF(K50=1,W50+#REF!,IF(K50=2,W50+$Y$39,IF(K50=3,W50+$Y$38,IF(K50=4,W50+#REF!,0)))))</f>
        <v>0.5</v>
      </c>
      <c r="Y50" s="67"/>
      <c r="Z50" s="55"/>
      <c r="AA50" s="55"/>
      <c r="AB50" s="55"/>
      <c r="AC50" s="55"/>
      <c r="AD50" s="55"/>
      <c r="AE50" s="55"/>
    </row>
    <row r="51" spans="2:31" x14ac:dyDescent="0.25">
      <c r="B51" s="7">
        <v>39</v>
      </c>
      <c r="C51" s="75" t="s">
        <v>44</v>
      </c>
      <c r="D51" s="76" t="s">
        <v>104</v>
      </c>
      <c r="E51" s="77" t="s">
        <v>209</v>
      </c>
      <c r="F51" s="149" t="s">
        <v>244</v>
      </c>
      <c r="G51" s="79" t="s">
        <v>57</v>
      </c>
      <c r="H51" s="80" t="s">
        <v>40</v>
      </c>
      <c r="I51" s="81" t="str">
        <f t="shared" si="4"/>
        <v>R</v>
      </c>
      <c r="J51" s="82">
        <v>1</v>
      </c>
      <c r="K51" s="83">
        <v>2</v>
      </c>
      <c r="L51" s="84" t="s">
        <v>28</v>
      </c>
      <c r="M51" s="85">
        <v>5</v>
      </c>
      <c r="N51" s="86">
        <v>10</v>
      </c>
      <c r="O51" s="84" t="s">
        <v>28</v>
      </c>
      <c r="P51" s="48">
        <v>1</v>
      </c>
      <c r="Q51" s="85">
        <v>5</v>
      </c>
      <c r="R51" s="78" t="s">
        <v>28</v>
      </c>
      <c r="S51" s="87">
        <v>5</v>
      </c>
      <c r="T51" s="88">
        <f t="shared" si="2"/>
        <v>0.40138888888888885</v>
      </c>
      <c r="U51" s="200"/>
      <c r="V51" s="89">
        <v>6.9444444444444441E-3</v>
      </c>
      <c r="W51" s="90"/>
      <c r="X51" s="91">
        <f>IF(K51=0,0,IF(K51=1,W51+#REF!,IF(K51=2,W51+$Y$39,IF(K51=3,W51+$Y$38,IF(K51=4,W51+#REF!,0)))))</f>
        <v>0.5</v>
      </c>
      <c r="Y51" s="67"/>
      <c r="Z51" s="55"/>
      <c r="AA51" s="55"/>
      <c r="AB51" s="55"/>
      <c r="AC51" s="55"/>
      <c r="AD51" s="55"/>
      <c r="AE51" s="55"/>
    </row>
    <row r="52" spans="2:31" x14ac:dyDescent="0.25">
      <c r="B52" s="7">
        <v>40</v>
      </c>
      <c r="C52" s="75" t="s">
        <v>44</v>
      </c>
      <c r="D52" s="76" t="s">
        <v>105</v>
      </c>
      <c r="E52" s="146" t="s">
        <v>310</v>
      </c>
      <c r="F52" s="149" t="s">
        <v>245</v>
      </c>
      <c r="G52" s="79" t="s">
        <v>57</v>
      </c>
      <c r="H52" s="80" t="s">
        <v>40</v>
      </c>
      <c r="I52" s="81" t="str">
        <f t="shared" si="4"/>
        <v>R</v>
      </c>
      <c r="J52" s="82">
        <v>1</v>
      </c>
      <c r="K52" s="83">
        <v>2</v>
      </c>
      <c r="L52" s="84" t="s">
        <v>28</v>
      </c>
      <c r="M52" s="85">
        <v>5</v>
      </c>
      <c r="N52" s="86">
        <v>10</v>
      </c>
      <c r="O52" s="84" t="s">
        <v>28</v>
      </c>
      <c r="P52" s="48">
        <v>1</v>
      </c>
      <c r="Q52" s="85">
        <v>5</v>
      </c>
      <c r="R52" s="78" t="s">
        <v>28</v>
      </c>
      <c r="S52" s="87">
        <v>5</v>
      </c>
      <c r="T52" s="88">
        <f t="shared" si="2"/>
        <v>0.40833333333333327</v>
      </c>
      <c r="U52" s="200"/>
      <c r="V52" s="89">
        <v>6.9444444444444441E-3</v>
      </c>
      <c r="W52" s="90"/>
      <c r="X52" s="91">
        <f>IF(K52=0,0,IF(K52=1,W52+#REF!,IF(K52=2,W52+$Y$39,IF(K52=3,W52+$Y$38,IF(K52=4,W52+#REF!,0)))))</f>
        <v>0.5</v>
      </c>
      <c r="Y52" s="67"/>
      <c r="Z52" s="55"/>
      <c r="AA52" s="55"/>
      <c r="AB52" s="55"/>
      <c r="AC52" s="55"/>
      <c r="AD52" s="55"/>
      <c r="AE52" s="55"/>
    </row>
    <row r="53" spans="2:31" x14ac:dyDescent="0.25">
      <c r="B53" s="7">
        <v>41</v>
      </c>
      <c r="C53" s="75" t="s">
        <v>44</v>
      </c>
      <c r="D53" s="76" t="s">
        <v>106</v>
      </c>
      <c r="E53" s="77" t="s">
        <v>211</v>
      </c>
      <c r="F53" s="149" t="s">
        <v>246</v>
      </c>
      <c r="G53" s="79" t="s">
        <v>57</v>
      </c>
      <c r="H53" s="80" t="s">
        <v>40</v>
      </c>
      <c r="I53" s="81" t="str">
        <f t="shared" si="4"/>
        <v>R</v>
      </c>
      <c r="J53" s="82">
        <v>1</v>
      </c>
      <c r="K53" s="83">
        <v>2</v>
      </c>
      <c r="L53" s="84" t="s">
        <v>28</v>
      </c>
      <c r="M53" s="85">
        <v>5</v>
      </c>
      <c r="N53" s="86">
        <v>6</v>
      </c>
      <c r="O53" s="84" t="s">
        <v>28</v>
      </c>
      <c r="P53" s="48">
        <v>1</v>
      </c>
      <c r="Q53" s="85">
        <v>5</v>
      </c>
      <c r="R53" s="78" t="s">
        <v>28</v>
      </c>
      <c r="S53" s="87">
        <v>5</v>
      </c>
      <c r="T53" s="88">
        <f t="shared" si="2"/>
        <v>0.41527777777777769</v>
      </c>
      <c r="U53" s="201"/>
      <c r="V53" s="89">
        <v>6.9444444444444441E-3</v>
      </c>
      <c r="W53" s="90"/>
      <c r="X53" s="91">
        <f>IF(K53=0,0,IF(K53=1,W53+#REF!,IF(K53=2,W53+$Y$39,IF(K53=3,W53+$Y$38,IF(K53=4,W53+#REF!,0)))))</f>
        <v>0.5</v>
      </c>
      <c r="Y53" s="67"/>
      <c r="Z53" s="55"/>
      <c r="AA53" s="55"/>
      <c r="AB53" s="55"/>
      <c r="AC53" s="55"/>
      <c r="AD53" s="55"/>
      <c r="AE53" s="55"/>
    </row>
    <row r="54" spans="2:31" x14ac:dyDescent="0.25">
      <c r="B54" s="7">
        <v>42</v>
      </c>
      <c r="C54" s="126" t="s">
        <v>295</v>
      </c>
      <c r="D54" s="76" t="s">
        <v>107</v>
      </c>
      <c r="E54" s="77" t="s">
        <v>13</v>
      </c>
      <c r="F54" s="149" t="s">
        <v>248</v>
      </c>
      <c r="G54" s="79" t="s">
        <v>57</v>
      </c>
      <c r="H54" s="80" t="s">
        <v>39</v>
      </c>
      <c r="I54" s="81" t="str">
        <f t="shared" si="4"/>
        <v>R</v>
      </c>
      <c r="J54" s="82">
        <v>2</v>
      </c>
      <c r="K54" s="83">
        <v>1</v>
      </c>
      <c r="L54" s="84" t="s">
        <v>28</v>
      </c>
      <c r="M54" s="85">
        <v>3</v>
      </c>
      <c r="N54" s="86">
        <v>6</v>
      </c>
      <c r="O54" s="84" t="s">
        <v>28</v>
      </c>
      <c r="P54" s="48">
        <v>1</v>
      </c>
      <c r="Q54" s="85">
        <v>5</v>
      </c>
      <c r="R54" s="78" t="s">
        <v>28</v>
      </c>
      <c r="S54" s="87">
        <v>6</v>
      </c>
      <c r="T54" s="88">
        <v>0.41666666666666669</v>
      </c>
      <c r="U54" s="46">
        <v>0.41666666666666669</v>
      </c>
      <c r="V54" s="89">
        <v>4.1666666666666664E-2</v>
      </c>
      <c r="W54" s="90"/>
      <c r="X54" s="91" t="e">
        <f>IF(K54=0,0,IF(K54=1,W54+#REF!,IF(K54=2,W54+$Y$39,IF(K54=3,W54+$Y$38,IF(K54=4,W54+#REF!,0)))))</f>
        <v>#REF!</v>
      </c>
      <c r="Y54" s="67"/>
      <c r="Z54" s="55"/>
      <c r="AA54" s="55"/>
      <c r="AB54" s="55"/>
      <c r="AC54" s="55"/>
      <c r="AD54" s="55"/>
      <c r="AE54" s="55"/>
    </row>
    <row r="55" spans="2:31" x14ac:dyDescent="0.25">
      <c r="B55" s="7">
        <v>43</v>
      </c>
      <c r="C55" s="126" t="s">
        <v>296</v>
      </c>
      <c r="D55" s="76" t="s">
        <v>108</v>
      </c>
      <c r="E55" s="77" t="s">
        <v>12</v>
      </c>
      <c r="F55" s="149" t="s">
        <v>248</v>
      </c>
      <c r="G55" s="79" t="s">
        <v>57</v>
      </c>
      <c r="H55" s="80" t="s">
        <v>39</v>
      </c>
      <c r="I55" s="81" t="str">
        <f t="shared" si="4"/>
        <v>R</v>
      </c>
      <c r="J55" s="82">
        <v>3</v>
      </c>
      <c r="K55" s="83">
        <v>1</v>
      </c>
      <c r="L55" s="84" t="s">
        <v>28</v>
      </c>
      <c r="M55" s="85">
        <v>5</v>
      </c>
      <c r="N55" s="86">
        <v>7</v>
      </c>
      <c r="O55" s="84" t="s">
        <v>28</v>
      </c>
      <c r="P55" s="48">
        <v>1</v>
      </c>
      <c r="Q55" s="85">
        <v>7</v>
      </c>
      <c r="R55" s="78" t="s">
        <v>28</v>
      </c>
      <c r="S55" s="87">
        <v>6</v>
      </c>
      <c r="T55" s="88">
        <v>0.41666666666666669</v>
      </c>
      <c r="U55" s="46">
        <v>0.41666666666666669</v>
      </c>
      <c r="V55" s="89">
        <v>2.0833333333333332E-2</v>
      </c>
      <c r="W55" s="90"/>
      <c r="X55" s="91" t="e">
        <f>IF(K55=0,0,IF(K55=1,W55+#REF!,IF(K55=2,W55+$Y$39,IF(K55=3,W55+$Y$38,IF(K55=4,W55+#REF!,0)))))</f>
        <v>#REF!</v>
      </c>
      <c r="Y55" s="67"/>
      <c r="Z55" s="55"/>
      <c r="AA55" s="55"/>
      <c r="AB55" s="55"/>
      <c r="AC55" s="55"/>
      <c r="AD55" s="55"/>
      <c r="AE55" s="55"/>
    </row>
    <row r="56" spans="2:31" ht="30" x14ac:dyDescent="0.25">
      <c r="B56" s="7">
        <v>44</v>
      </c>
      <c r="C56" s="123" t="s">
        <v>297</v>
      </c>
      <c r="D56" s="76" t="s">
        <v>109</v>
      </c>
      <c r="E56" s="77" t="s">
        <v>14</v>
      </c>
      <c r="F56" s="149" t="s">
        <v>248</v>
      </c>
      <c r="G56" s="79" t="s">
        <v>57</v>
      </c>
      <c r="H56" s="80" t="s">
        <v>39</v>
      </c>
      <c r="I56" s="81" t="str">
        <f t="shared" si="4"/>
        <v>R</v>
      </c>
      <c r="J56" s="82">
        <v>3</v>
      </c>
      <c r="K56" s="83">
        <v>0</v>
      </c>
      <c r="L56" s="84" t="s">
        <v>28</v>
      </c>
      <c r="M56" s="85">
        <v>5</v>
      </c>
      <c r="N56" s="86">
        <v>10</v>
      </c>
      <c r="O56" s="84"/>
      <c r="P56" s="48"/>
      <c r="Q56" s="85"/>
      <c r="R56" s="78" t="s">
        <v>28</v>
      </c>
      <c r="S56" s="87">
        <v>5</v>
      </c>
      <c r="T56" s="88">
        <f t="shared" si="2"/>
        <v>0.4375</v>
      </c>
      <c r="U56" s="46" t="s">
        <v>188</v>
      </c>
      <c r="V56" s="89">
        <v>2.0833333333333332E-2</v>
      </c>
      <c r="W56" s="90"/>
      <c r="X56" s="91">
        <f>IF(K56=0,0,IF(K56=1,W56+#REF!,IF(K56=2,W56+$Y$39,IF(K56=3,W56+$Y$38,IF(K56=4,W56+#REF!,0)))))</f>
        <v>0</v>
      </c>
      <c r="Y56" s="67"/>
      <c r="Z56" s="55"/>
      <c r="AA56" s="55"/>
      <c r="AB56" s="55"/>
      <c r="AC56" s="55"/>
      <c r="AD56" s="55"/>
      <c r="AE56" s="55"/>
    </row>
    <row r="57" spans="2:31" x14ac:dyDescent="0.25">
      <c r="B57" s="7">
        <v>45</v>
      </c>
      <c r="C57" s="92" t="s">
        <v>44</v>
      </c>
      <c r="D57" s="76" t="s">
        <v>110</v>
      </c>
      <c r="E57" s="77" t="s">
        <v>240</v>
      </c>
      <c r="F57" s="150" t="s">
        <v>243</v>
      </c>
      <c r="G57" s="79" t="s">
        <v>57</v>
      </c>
      <c r="H57" s="80" t="s">
        <v>39</v>
      </c>
      <c r="I57" s="81" t="str">
        <f t="shared" si="4"/>
        <v>R</v>
      </c>
      <c r="J57" s="82">
        <v>1</v>
      </c>
      <c r="K57" s="83">
        <v>2</v>
      </c>
      <c r="L57" s="84" t="s">
        <v>28</v>
      </c>
      <c r="M57" s="85">
        <v>10</v>
      </c>
      <c r="N57" s="86">
        <v>8</v>
      </c>
      <c r="O57" s="84"/>
      <c r="P57" s="48"/>
      <c r="Q57" s="85"/>
      <c r="R57" s="78" t="s">
        <v>28</v>
      </c>
      <c r="S57" s="87">
        <v>8</v>
      </c>
      <c r="T57" s="88">
        <v>0.41666666666666669</v>
      </c>
      <c r="U57" s="46">
        <v>0.41666666666666669</v>
      </c>
      <c r="V57" s="89">
        <v>8.3333333333333329E-2</v>
      </c>
      <c r="W57" s="90"/>
      <c r="X57" s="91">
        <f>IF(K57=0,0,IF(K57=1,W57+#REF!,IF(K57=2,W57+$Y$39,IF(K57=3,W57+$Y$38,IF(K57=4,W57+#REF!,0)))))</f>
        <v>0.5</v>
      </c>
      <c r="Y57" s="67"/>
      <c r="Z57" s="55"/>
      <c r="AA57" s="55"/>
      <c r="AB57" s="55"/>
      <c r="AC57" s="55"/>
      <c r="AD57" s="55"/>
      <c r="AE57" s="55"/>
    </row>
    <row r="58" spans="2:31" x14ac:dyDescent="0.25">
      <c r="B58" s="7">
        <v>46</v>
      </c>
      <c r="C58" s="126" t="s">
        <v>298</v>
      </c>
      <c r="D58" s="76" t="s">
        <v>111</v>
      </c>
      <c r="E58" s="77" t="s">
        <v>41</v>
      </c>
      <c r="F58" s="149" t="s">
        <v>165</v>
      </c>
      <c r="G58" s="79" t="s">
        <v>196</v>
      </c>
      <c r="H58" s="80" t="s">
        <v>40</v>
      </c>
      <c r="I58" s="81" t="str">
        <f t="shared" si="0"/>
        <v>R</v>
      </c>
      <c r="J58" s="82">
        <v>-1</v>
      </c>
      <c r="K58" s="83">
        <v>3</v>
      </c>
      <c r="L58" s="84" t="s">
        <v>28</v>
      </c>
      <c r="M58" s="85">
        <v>3</v>
      </c>
      <c r="N58" s="86">
        <v>6</v>
      </c>
      <c r="O58" s="84"/>
      <c r="P58" s="48"/>
      <c r="Q58" s="85"/>
      <c r="R58" s="78" t="s">
        <v>28</v>
      </c>
      <c r="S58" s="87">
        <v>5</v>
      </c>
      <c r="T58" s="88">
        <v>0.4375</v>
      </c>
      <c r="U58" s="46">
        <v>0.4375</v>
      </c>
      <c r="V58" s="89">
        <v>2.0833333333333332E-2</v>
      </c>
      <c r="W58" s="90"/>
      <c r="X58" s="91">
        <f>IF(K58=0,0,IF(K58=1,W58+#REF!,IF(K58=2,W58+$Y$39,IF(K58=3,W58+$Y$38,IF(K58=4,W58+#REF!,0)))))</f>
        <v>0.99930555555555556</v>
      </c>
      <c r="Y58" s="67"/>
      <c r="Z58" s="55"/>
      <c r="AA58" s="55"/>
      <c r="AB58" s="55"/>
      <c r="AC58" s="55"/>
      <c r="AD58" s="55"/>
      <c r="AE58" s="55"/>
    </row>
    <row r="59" spans="2:31" x14ac:dyDescent="0.25">
      <c r="B59" s="7">
        <v>47</v>
      </c>
      <c r="C59" s="92" t="s">
        <v>44</v>
      </c>
      <c r="D59" s="76" t="s">
        <v>112</v>
      </c>
      <c r="E59" s="77" t="s">
        <v>224</v>
      </c>
      <c r="F59" s="149" t="s">
        <v>164</v>
      </c>
      <c r="G59" s="79" t="s">
        <v>252</v>
      </c>
      <c r="H59" s="80" t="s">
        <v>39</v>
      </c>
      <c r="I59" s="81" t="str">
        <f>IF(W59&gt;0,IF(X59-W59&gt;0,"I","R"),"R")</f>
        <v>R</v>
      </c>
      <c r="J59" s="82">
        <v>-1</v>
      </c>
      <c r="K59" s="83">
        <v>3</v>
      </c>
      <c r="L59" s="84" t="s">
        <v>28</v>
      </c>
      <c r="M59" s="85">
        <v>5</v>
      </c>
      <c r="N59" s="86">
        <v>3</v>
      </c>
      <c r="O59" s="84"/>
      <c r="P59" s="48"/>
      <c r="Q59" s="85"/>
      <c r="R59" s="78" t="s">
        <v>28</v>
      </c>
      <c r="S59" s="87">
        <v>3</v>
      </c>
      <c r="T59" s="88">
        <v>0.4375</v>
      </c>
      <c r="U59" s="46">
        <v>0.4375</v>
      </c>
      <c r="V59" s="89">
        <v>4.1666666666666664E-2</v>
      </c>
      <c r="W59" s="90"/>
      <c r="X59" s="91">
        <f>IF(K59=0,0,IF(K59=1,W59+#REF!,IF(K59=2,W59+$Y$39,IF(K59=3,W59+$Y$38,IF(K59=4,W59+#REF!,0)))))</f>
        <v>0.99930555555555556</v>
      </c>
      <c r="Y59" s="67"/>
      <c r="Z59" s="55"/>
      <c r="AA59" s="55"/>
      <c r="AB59" s="55"/>
      <c r="AC59" s="55"/>
      <c r="AD59" s="55"/>
      <c r="AE59" s="55"/>
    </row>
    <row r="60" spans="2:31" ht="30" x14ac:dyDescent="0.25">
      <c r="B60" s="7">
        <v>48</v>
      </c>
      <c r="C60" s="92" t="s">
        <v>283</v>
      </c>
      <c r="D60" s="76" t="s">
        <v>113</v>
      </c>
      <c r="E60" s="77" t="s">
        <v>226</v>
      </c>
      <c r="F60" s="149" t="s">
        <v>242</v>
      </c>
      <c r="G60" s="79" t="s">
        <v>57</v>
      </c>
      <c r="H60" s="80" t="s">
        <v>38</v>
      </c>
      <c r="I60" s="81" t="str">
        <f t="shared" si="0"/>
        <v>R</v>
      </c>
      <c r="J60" s="82">
        <v>3</v>
      </c>
      <c r="K60" s="83">
        <v>0</v>
      </c>
      <c r="L60" s="84" t="s">
        <v>28</v>
      </c>
      <c r="M60" s="85">
        <v>5</v>
      </c>
      <c r="N60" s="86">
        <v>8</v>
      </c>
      <c r="O60" s="84" t="s">
        <v>28</v>
      </c>
      <c r="P60" s="48">
        <v>1</v>
      </c>
      <c r="Q60" s="85">
        <v>8</v>
      </c>
      <c r="R60" s="78" t="s">
        <v>28</v>
      </c>
      <c r="S60" s="87">
        <v>8</v>
      </c>
      <c r="T60" s="88">
        <v>0.5</v>
      </c>
      <c r="U60" s="46">
        <v>0.5</v>
      </c>
      <c r="V60" s="89">
        <v>1.3888888888888888E-2</v>
      </c>
      <c r="W60" s="90"/>
      <c r="X60" s="91">
        <f>IF(K60=0,0,IF(K60=1,W60+#REF!,IF(K60=2,W60+$Y$39,IF(K60=3,W60+$Y$38,IF(K60=4,W60+#REF!,0)))))</f>
        <v>0</v>
      </c>
      <c r="Y60" s="67"/>
      <c r="Z60" s="55"/>
      <c r="AA60" s="55"/>
      <c r="AB60" s="55"/>
      <c r="AC60" s="55"/>
      <c r="AD60" s="55"/>
      <c r="AE60" s="55"/>
    </row>
    <row r="61" spans="2:31" ht="30" x14ac:dyDescent="0.25">
      <c r="B61" s="7">
        <v>49</v>
      </c>
      <c r="C61" s="126" t="s">
        <v>299</v>
      </c>
      <c r="D61" s="76" t="s">
        <v>260</v>
      </c>
      <c r="E61" s="77" t="s">
        <v>228</v>
      </c>
      <c r="F61" s="149" t="s">
        <v>165</v>
      </c>
      <c r="G61" s="79" t="s">
        <v>250</v>
      </c>
      <c r="H61" s="80" t="s">
        <v>39</v>
      </c>
      <c r="I61" s="81" t="str">
        <f>IF(W61&gt;0,IF(X61-W61&gt;0,"I","R"),"R")</f>
        <v>R</v>
      </c>
      <c r="J61" s="82">
        <v>-1</v>
      </c>
      <c r="K61" s="83">
        <v>3</v>
      </c>
      <c r="L61" s="84" t="s">
        <v>28</v>
      </c>
      <c r="M61" s="85">
        <v>3</v>
      </c>
      <c r="N61" s="86">
        <v>5</v>
      </c>
      <c r="O61" s="84"/>
      <c r="P61" s="48"/>
      <c r="Q61" s="85"/>
      <c r="R61" s="78" t="s">
        <v>28</v>
      </c>
      <c r="S61" s="87">
        <v>4</v>
      </c>
      <c r="T61" s="88">
        <v>0.50208333333333333</v>
      </c>
      <c r="U61" s="46">
        <v>0.52083333333333337</v>
      </c>
      <c r="V61" s="89">
        <v>2.0833333333333332E-2</v>
      </c>
      <c r="W61" s="90"/>
      <c r="X61" s="91">
        <f>IF(K61=0,0,IF(K61=1,W61+#REF!,IF(K61=2,W61+$Y$39,IF(K61=3,W61+$Y$38,IF(K61=4,W61+#REF!,0)))))</f>
        <v>0.99930555555555556</v>
      </c>
      <c r="Y61" s="67"/>
      <c r="Z61" s="55"/>
      <c r="AA61" s="55"/>
      <c r="AB61" s="55"/>
      <c r="AC61" s="55"/>
      <c r="AD61" s="55"/>
      <c r="AE61" s="55"/>
    </row>
    <row r="62" spans="2:31" ht="30" x14ac:dyDescent="0.25">
      <c r="B62" s="7">
        <v>50</v>
      </c>
      <c r="C62" s="126" t="s">
        <v>300</v>
      </c>
      <c r="D62" s="76" t="s">
        <v>114</v>
      </c>
      <c r="E62" s="77" t="s">
        <v>15</v>
      </c>
      <c r="F62" s="149" t="s">
        <v>159</v>
      </c>
      <c r="G62" s="79" t="s">
        <v>251</v>
      </c>
      <c r="H62" s="80" t="s">
        <v>38</v>
      </c>
      <c r="I62" s="81" t="str">
        <f t="shared" si="0"/>
        <v>R</v>
      </c>
      <c r="J62" s="82">
        <v>-1</v>
      </c>
      <c r="K62" s="83">
        <v>3</v>
      </c>
      <c r="L62" s="84" t="s">
        <v>28</v>
      </c>
      <c r="M62" s="85">
        <v>8</v>
      </c>
      <c r="N62" s="86">
        <v>6</v>
      </c>
      <c r="O62" s="84"/>
      <c r="P62" s="48"/>
      <c r="Q62" s="85"/>
      <c r="R62" s="78" t="s">
        <v>28</v>
      </c>
      <c r="S62" s="87">
        <v>5</v>
      </c>
      <c r="T62" s="88">
        <f t="shared" si="2"/>
        <v>0.5229166666666667</v>
      </c>
      <c r="U62" s="46">
        <v>0.52083333333333337</v>
      </c>
      <c r="V62" s="89">
        <v>3.125E-2</v>
      </c>
      <c r="W62" s="90"/>
      <c r="X62" s="91">
        <f>IF(K62=0,0,IF(K62=1,W62+#REF!,IF(K62=2,W62+$Y$39,IF(K62=3,W62+$Y$38,IF(K62=4,W62+#REF!,0)))))</f>
        <v>0.99930555555555556</v>
      </c>
      <c r="Y62" s="67"/>
      <c r="Z62" s="55"/>
      <c r="AA62" s="55"/>
      <c r="AB62" s="55"/>
      <c r="AC62" s="55"/>
      <c r="AD62" s="55"/>
      <c r="AE62" s="55"/>
    </row>
    <row r="63" spans="2:31" x14ac:dyDescent="0.25">
      <c r="B63" s="7">
        <v>51</v>
      </c>
      <c r="C63" s="92" t="s">
        <v>44</v>
      </c>
      <c r="D63" s="76" t="s">
        <v>115</v>
      </c>
      <c r="E63" s="77" t="s">
        <v>227</v>
      </c>
      <c r="F63" s="149" t="s">
        <v>164</v>
      </c>
      <c r="G63" s="79" t="s">
        <v>57</v>
      </c>
      <c r="H63" s="80" t="s">
        <v>40</v>
      </c>
      <c r="I63" s="81" t="str">
        <f>IF(W63&gt;0,IF(X63-W63&gt;0,"I","R"),"R")</f>
        <v>R</v>
      </c>
      <c r="J63" s="82">
        <v>3</v>
      </c>
      <c r="K63" s="83">
        <v>0</v>
      </c>
      <c r="L63" s="84" t="s">
        <v>28</v>
      </c>
      <c r="M63" s="85">
        <v>5</v>
      </c>
      <c r="N63" s="86">
        <v>8</v>
      </c>
      <c r="O63" s="84"/>
      <c r="P63" s="48"/>
      <c r="Q63" s="85"/>
      <c r="R63" s="78" t="s">
        <v>28</v>
      </c>
      <c r="S63" s="87">
        <v>5</v>
      </c>
      <c r="T63" s="88">
        <f t="shared" si="2"/>
        <v>0.5541666666666667</v>
      </c>
      <c r="U63" s="46">
        <v>0.54166666666666663</v>
      </c>
      <c r="V63" s="89">
        <v>2.0833333333333332E-2</v>
      </c>
      <c r="W63" s="90"/>
      <c r="X63" s="91">
        <f>IF(K63=0,0,IF(K63=1,W63+#REF!,IF(K63=2,W63+$Y$39,IF(K63=3,W63+$Y$38,IF(K63=4,W63+#REF!,0)))))</f>
        <v>0</v>
      </c>
      <c r="Y63" s="67"/>
      <c r="Z63" s="55"/>
      <c r="AA63" s="55"/>
      <c r="AB63" s="55"/>
      <c r="AC63" s="55"/>
      <c r="AD63" s="55"/>
      <c r="AE63" s="55"/>
    </row>
    <row r="64" spans="2:31" x14ac:dyDescent="0.25">
      <c r="B64" s="7">
        <v>52</v>
      </c>
      <c r="C64" s="92" t="s">
        <v>44</v>
      </c>
      <c r="D64" s="76" t="s">
        <v>116</v>
      </c>
      <c r="E64" s="77" t="s">
        <v>16</v>
      </c>
      <c r="F64" s="149" t="s">
        <v>164</v>
      </c>
      <c r="G64" s="79" t="s">
        <v>57</v>
      </c>
      <c r="H64" s="80" t="s">
        <v>39</v>
      </c>
      <c r="I64" s="81" t="str">
        <f t="shared" si="0"/>
        <v>R</v>
      </c>
      <c r="J64" s="82">
        <v>-1</v>
      </c>
      <c r="K64" s="83">
        <v>3</v>
      </c>
      <c r="L64" s="84" t="s">
        <v>28</v>
      </c>
      <c r="M64" s="85">
        <v>5</v>
      </c>
      <c r="N64" s="86">
        <v>5</v>
      </c>
      <c r="O64" s="84"/>
      <c r="P64" s="48"/>
      <c r="Q64" s="85"/>
      <c r="R64" s="78" t="s">
        <v>28</v>
      </c>
      <c r="S64" s="87">
        <v>3</v>
      </c>
      <c r="T64" s="88">
        <f t="shared" si="2"/>
        <v>0.57500000000000007</v>
      </c>
      <c r="U64" s="46">
        <v>0.5625</v>
      </c>
      <c r="V64" s="89">
        <v>8.3333333333333329E-2</v>
      </c>
      <c r="W64" s="90"/>
      <c r="X64" s="91">
        <f>IF(K64=0,0,IF(K64=1,W64+#REF!,IF(K64=2,W64+$Y$39,IF(K64=3,W64+$Y$38,IF(K64=4,W64+#REF!,0)))))</f>
        <v>0.99930555555555556</v>
      </c>
      <c r="Y64" s="67"/>
      <c r="Z64" s="55"/>
      <c r="AA64" s="55"/>
      <c r="AB64" s="55"/>
      <c r="AC64" s="55"/>
      <c r="AD64" s="55"/>
      <c r="AE64" s="55"/>
    </row>
    <row r="65" spans="2:31" ht="30" x14ac:dyDescent="0.25">
      <c r="B65" s="7">
        <v>53</v>
      </c>
      <c r="C65" s="92" t="s">
        <v>44</v>
      </c>
      <c r="D65" s="76" t="s">
        <v>117</v>
      </c>
      <c r="E65" s="77" t="s">
        <v>309</v>
      </c>
      <c r="F65" s="150" t="s">
        <v>313</v>
      </c>
      <c r="G65" s="79" t="s">
        <v>57</v>
      </c>
      <c r="H65" s="80" t="s">
        <v>39</v>
      </c>
      <c r="I65" s="81" t="str">
        <f t="shared" si="0"/>
        <v>R</v>
      </c>
      <c r="J65" s="82">
        <v>3</v>
      </c>
      <c r="K65" s="83">
        <v>0</v>
      </c>
      <c r="L65" s="84" t="s">
        <v>28</v>
      </c>
      <c r="M65" s="85">
        <v>6</v>
      </c>
      <c r="N65" s="86">
        <v>7</v>
      </c>
      <c r="O65" s="84"/>
      <c r="P65" s="48"/>
      <c r="Q65" s="85"/>
      <c r="R65" s="78" t="s">
        <v>28</v>
      </c>
      <c r="S65" s="87">
        <v>5</v>
      </c>
      <c r="T65" s="88">
        <f>T64+V64</f>
        <v>0.65833333333333344</v>
      </c>
      <c r="U65" s="46">
        <v>0.58333333333333337</v>
      </c>
      <c r="V65" s="89">
        <v>4.1666666666666664E-2</v>
      </c>
      <c r="W65" s="90"/>
      <c r="X65" s="91">
        <f>IF(K65=0,0,IF(K65=1,W65+#REF!,IF(K65=2,W65+$Y$39,IF(K65=3,W65+$Y$38,IF(K65=4,W65+#REF!,0)))))</f>
        <v>0</v>
      </c>
      <c r="Y65" s="67"/>
      <c r="Z65" s="55"/>
      <c r="AA65" s="55"/>
      <c r="AB65" s="55"/>
      <c r="AC65" s="55"/>
      <c r="AD65" s="55"/>
      <c r="AE65" s="55"/>
    </row>
    <row r="66" spans="2:31" ht="30" x14ac:dyDescent="0.25">
      <c r="B66" s="7">
        <v>54</v>
      </c>
      <c r="C66" s="92" t="s">
        <v>44</v>
      </c>
      <c r="D66" s="76" t="s">
        <v>118</v>
      </c>
      <c r="E66" s="77" t="s">
        <v>229</v>
      </c>
      <c r="F66" s="149" t="s">
        <v>242</v>
      </c>
      <c r="G66" s="79" t="s">
        <v>57</v>
      </c>
      <c r="H66" s="80" t="s">
        <v>40</v>
      </c>
      <c r="I66" s="81" t="str">
        <f t="shared" si="0"/>
        <v>R</v>
      </c>
      <c r="J66" s="82">
        <v>3</v>
      </c>
      <c r="K66" s="83">
        <v>0</v>
      </c>
      <c r="L66" s="84" t="s">
        <v>28</v>
      </c>
      <c r="M66" s="85">
        <v>5</v>
      </c>
      <c r="N66" s="86">
        <v>8</v>
      </c>
      <c r="O66" s="84"/>
      <c r="P66" s="48"/>
      <c r="Q66" s="85"/>
      <c r="R66" s="78" t="s">
        <v>28</v>
      </c>
      <c r="S66" s="87">
        <v>8</v>
      </c>
      <c r="T66" s="88">
        <f t="shared" si="2"/>
        <v>0.70000000000000007</v>
      </c>
      <c r="U66" s="46">
        <v>0.625</v>
      </c>
      <c r="V66" s="89">
        <v>6.9444444444444441E-3</v>
      </c>
      <c r="W66" s="90"/>
      <c r="X66" s="91">
        <f>IF(K66=0,0,IF(K66=1,W66+#REF!,IF(K66=2,W66+$Y$39,IF(K66=3,W66+$Y$38,IF(K66=4,W66+#REF!,0)))))</f>
        <v>0</v>
      </c>
      <c r="Y66" s="67"/>
      <c r="Z66" s="55"/>
      <c r="AA66" s="55"/>
      <c r="AB66" s="55"/>
      <c r="AC66" s="55"/>
      <c r="AD66" s="55"/>
      <c r="AE66" s="55"/>
    </row>
    <row r="67" spans="2:31" ht="30" x14ac:dyDescent="0.25">
      <c r="B67" s="7">
        <v>55</v>
      </c>
      <c r="C67" s="92" t="s">
        <v>46</v>
      </c>
      <c r="D67" s="76" t="s">
        <v>119</v>
      </c>
      <c r="E67" s="77" t="s">
        <v>230</v>
      </c>
      <c r="F67" s="149" t="s">
        <v>161</v>
      </c>
      <c r="G67" s="79" t="s">
        <v>252</v>
      </c>
      <c r="H67" s="80" t="s">
        <v>39</v>
      </c>
      <c r="I67" s="81" t="str">
        <f t="shared" si="0"/>
        <v>R</v>
      </c>
      <c r="J67" s="82">
        <v>-1</v>
      </c>
      <c r="K67" s="83">
        <v>3</v>
      </c>
      <c r="L67" s="84" t="s">
        <v>28</v>
      </c>
      <c r="M67" s="85">
        <v>8</v>
      </c>
      <c r="N67" s="86">
        <v>7</v>
      </c>
      <c r="O67" s="84"/>
      <c r="P67" s="48"/>
      <c r="Q67" s="85"/>
      <c r="R67" s="78" t="s">
        <v>28</v>
      </c>
      <c r="S67" s="87">
        <v>8</v>
      </c>
      <c r="T67" s="88">
        <f t="shared" si="2"/>
        <v>0.70694444444444449</v>
      </c>
      <c r="U67" s="46">
        <v>0.64583333333333337</v>
      </c>
      <c r="V67" s="89">
        <v>3.125E-2</v>
      </c>
      <c r="W67" s="90"/>
      <c r="X67" s="91">
        <f>IF(K67=0,0,IF(K67=1,W67+#REF!,IF(K67=2,W67+$Y$39,IF(K67=3,W67+$Y$38,IF(K67=4,W67+#REF!,0)))))</f>
        <v>0.99930555555555556</v>
      </c>
      <c r="Y67" s="67"/>
      <c r="Z67" s="55"/>
      <c r="AA67" s="55"/>
      <c r="AB67" s="55"/>
      <c r="AC67" s="55"/>
      <c r="AD67" s="55"/>
      <c r="AE67" s="55"/>
    </row>
    <row r="68" spans="2:31" ht="30" x14ac:dyDescent="0.25">
      <c r="B68" s="7">
        <v>56</v>
      </c>
      <c r="C68" s="92" t="s">
        <v>44</v>
      </c>
      <c r="D68" s="76" t="s">
        <v>261</v>
      </c>
      <c r="E68" s="77" t="s">
        <v>24</v>
      </c>
      <c r="F68" s="149" t="s">
        <v>161</v>
      </c>
      <c r="G68" s="79" t="s">
        <v>57</v>
      </c>
      <c r="H68" s="80" t="s">
        <v>39</v>
      </c>
      <c r="I68" s="81" t="str">
        <f t="shared" ref="I68:I92" si="5">IF(W68&gt;0,IF(X68-W68&gt;0,"I","R"),"R")</f>
        <v>R</v>
      </c>
      <c r="J68" s="82">
        <v>3</v>
      </c>
      <c r="K68" s="83">
        <v>0</v>
      </c>
      <c r="L68" s="84" t="s">
        <v>28</v>
      </c>
      <c r="M68" s="85">
        <v>10</v>
      </c>
      <c r="N68" s="86">
        <v>9</v>
      </c>
      <c r="O68" s="84"/>
      <c r="P68" s="48"/>
      <c r="Q68" s="85"/>
      <c r="R68" s="78" t="s">
        <v>28</v>
      </c>
      <c r="S68" s="87">
        <v>7</v>
      </c>
      <c r="T68" s="88">
        <v>0.66666666666666663</v>
      </c>
      <c r="U68" s="46">
        <v>0.66666666666666663</v>
      </c>
      <c r="V68" s="89">
        <v>2.0833333333333332E-2</v>
      </c>
      <c r="W68" s="90"/>
      <c r="X68" s="91">
        <f>IF(K68=0,0,IF(K68=1,W68+#REF!,IF(K68=2,W68+$Y$39,IF(K68=3,W68+$Y$38,IF(K68=4,W68+#REF!,0)))))</f>
        <v>0</v>
      </c>
      <c r="Y68" s="67"/>
      <c r="Z68" s="55"/>
      <c r="AA68" s="55"/>
      <c r="AB68" s="55"/>
      <c r="AC68" s="55"/>
      <c r="AD68" s="55"/>
      <c r="AE68" s="55"/>
    </row>
    <row r="69" spans="2:31" x14ac:dyDescent="0.25">
      <c r="B69" s="7">
        <v>57</v>
      </c>
      <c r="C69" s="123" t="s">
        <v>301</v>
      </c>
      <c r="D69" s="76" t="s">
        <v>120</v>
      </c>
      <c r="E69" s="77" t="s">
        <v>22</v>
      </c>
      <c r="F69" s="149" t="s">
        <v>248</v>
      </c>
      <c r="G69" s="79" t="s">
        <v>57</v>
      </c>
      <c r="H69" s="80" t="s">
        <v>38</v>
      </c>
      <c r="I69" s="81" t="str">
        <f t="shared" si="5"/>
        <v>R</v>
      </c>
      <c r="J69" s="82">
        <v>3</v>
      </c>
      <c r="K69" s="83">
        <v>0</v>
      </c>
      <c r="L69" s="84" t="s">
        <v>28</v>
      </c>
      <c r="M69" s="85">
        <v>4</v>
      </c>
      <c r="N69" s="86">
        <v>10</v>
      </c>
      <c r="O69" s="84" t="s">
        <v>28</v>
      </c>
      <c r="P69" s="48">
        <v>1</v>
      </c>
      <c r="Q69" s="85">
        <v>8</v>
      </c>
      <c r="R69" s="78" t="s">
        <v>28</v>
      </c>
      <c r="S69" s="87">
        <v>6</v>
      </c>
      <c r="T69" s="88">
        <v>0.66666666666666663</v>
      </c>
      <c r="U69" s="46">
        <v>0.66666666666666663</v>
      </c>
      <c r="V69" s="89">
        <v>1.3888888888888888E-2</v>
      </c>
      <c r="W69" s="90"/>
      <c r="X69" s="91">
        <f>IF(K69=0,0,IF(K69=1,W69+#REF!,IF(K69=2,W69+$Y$39,IF(K69=3,W69+$Y$38,IF(K69=4,W69+#REF!,0)))))</f>
        <v>0</v>
      </c>
      <c r="Y69" s="67"/>
      <c r="Z69" s="55"/>
      <c r="AA69" s="55"/>
      <c r="AB69" s="55"/>
      <c r="AC69" s="55"/>
      <c r="AD69" s="55"/>
      <c r="AE69" s="55"/>
    </row>
    <row r="70" spans="2:31" ht="30" x14ac:dyDescent="0.25">
      <c r="B70" s="7">
        <v>58</v>
      </c>
      <c r="C70" s="92" t="s">
        <v>44</v>
      </c>
      <c r="D70" s="76" t="s">
        <v>121</v>
      </c>
      <c r="E70" s="77" t="s">
        <v>60</v>
      </c>
      <c r="F70" s="149" t="s">
        <v>165</v>
      </c>
      <c r="G70" s="79" t="s">
        <v>57</v>
      </c>
      <c r="H70" s="80" t="s">
        <v>38</v>
      </c>
      <c r="I70" s="81" t="str">
        <f>IF(W70&gt;0,IF(X70-W70&gt;0,"I","R"),"R")</f>
        <v>R</v>
      </c>
      <c r="J70" s="82">
        <v>2</v>
      </c>
      <c r="K70" s="83">
        <v>0</v>
      </c>
      <c r="L70" s="84" t="s">
        <v>28</v>
      </c>
      <c r="M70" s="85">
        <v>8</v>
      </c>
      <c r="N70" s="86">
        <v>10</v>
      </c>
      <c r="O70" s="84" t="s">
        <v>28</v>
      </c>
      <c r="P70" s="48">
        <v>1</v>
      </c>
      <c r="Q70" s="85">
        <v>8</v>
      </c>
      <c r="R70" s="78" t="s">
        <v>28</v>
      </c>
      <c r="S70" s="87">
        <v>7</v>
      </c>
      <c r="T70" s="88">
        <v>0.6875</v>
      </c>
      <c r="U70" s="46">
        <v>0.6875</v>
      </c>
      <c r="V70" s="89">
        <v>0.52083333333333337</v>
      </c>
      <c r="W70" s="90"/>
      <c r="X70" s="91">
        <f>IF(K70=0,0,IF(K70=1,W70+#REF!,IF(K70=2,W70+$Y$39,IF(K70=3,W70+$Y$38,IF(K70=4,W70+#REF!,0)))))</f>
        <v>0</v>
      </c>
      <c r="Y70" s="67"/>
      <c r="Z70" s="55"/>
      <c r="AA70" s="55"/>
      <c r="AB70" s="55"/>
      <c r="AC70" s="55"/>
      <c r="AD70" s="55"/>
      <c r="AE70" s="55"/>
    </row>
    <row r="71" spans="2:31" ht="30" x14ac:dyDescent="0.25">
      <c r="B71" s="7">
        <v>59</v>
      </c>
      <c r="C71" s="92" t="s">
        <v>283</v>
      </c>
      <c r="D71" s="76" t="s">
        <v>122</v>
      </c>
      <c r="E71" s="77" t="s">
        <v>231</v>
      </c>
      <c r="F71" s="149" t="s">
        <v>159</v>
      </c>
      <c r="G71" s="79" t="s">
        <v>57</v>
      </c>
      <c r="H71" s="80" t="s">
        <v>38</v>
      </c>
      <c r="I71" s="81" t="str">
        <f t="shared" si="5"/>
        <v>R</v>
      </c>
      <c r="J71" s="82">
        <v>3</v>
      </c>
      <c r="K71" s="83">
        <v>0</v>
      </c>
      <c r="L71" s="84" t="s">
        <v>28</v>
      </c>
      <c r="M71" s="85">
        <v>5</v>
      </c>
      <c r="N71" s="86">
        <v>8</v>
      </c>
      <c r="O71" s="84" t="s">
        <v>28</v>
      </c>
      <c r="P71" s="48">
        <v>1</v>
      </c>
      <c r="Q71" s="85"/>
      <c r="R71" s="78" t="s">
        <v>28</v>
      </c>
      <c r="S71" s="87">
        <v>8</v>
      </c>
      <c r="T71" s="88">
        <v>0.72916666666666663</v>
      </c>
      <c r="U71" s="46">
        <v>0.72916666666666663</v>
      </c>
      <c r="V71" s="89">
        <v>6.9444444444444441E-3</v>
      </c>
      <c r="W71" s="90"/>
      <c r="X71" s="91">
        <f>IF(K71=0,0,IF(K71=1,W71+#REF!,IF(K71=2,W71+$Y$39,IF(K71=3,W71+$Y$38,IF(K71=4,W71+#REF!,0)))))</f>
        <v>0</v>
      </c>
      <c r="Y71" s="67"/>
      <c r="Z71" s="55"/>
      <c r="AA71" s="55"/>
      <c r="AB71" s="55"/>
      <c r="AC71" s="55"/>
      <c r="AD71" s="55"/>
      <c r="AE71" s="55"/>
    </row>
    <row r="72" spans="2:31" x14ac:dyDescent="0.25">
      <c r="B72" s="7">
        <v>60</v>
      </c>
      <c r="C72" s="124" t="s">
        <v>302</v>
      </c>
      <c r="D72" s="76" t="s">
        <v>123</v>
      </c>
      <c r="E72" s="77" t="s">
        <v>232</v>
      </c>
      <c r="F72" s="149" t="s">
        <v>244</v>
      </c>
      <c r="G72" s="79" t="s">
        <v>57</v>
      </c>
      <c r="H72" s="80" t="s">
        <v>40</v>
      </c>
      <c r="I72" s="81" t="str">
        <f t="shared" si="5"/>
        <v>R</v>
      </c>
      <c r="J72" s="82">
        <v>3</v>
      </c>
      <c r="K72" s="83">
        <v>0</v>
      </c>
      <c r="L72" s="84" t="s">
        <v>28</v>
      </c>
      <c r="M72" s="85">
        <v>5</v>
      </c>
      <c r="N72" s="86">
        <v>8</v>
      </c>
      <c r="O72" s="84"/>
      <c r="P72" s="48"/>
      <c r="Q72" s="85"/>
      <c r="R72" s="78" t="s">
        <v>28</v>
      </c>
      <c r="S72" s="87">
        <v>5</v>
      </c>
      <c r="T72" s="88">
        <f t="shared" si="2"/>
        <v>0.73611111111111105</v>
      </c>
      <c r="U72" s="46" t="s">
        <v>255</v>
      </c>
      <c r="V72" s="89">
        <v>6.9444444444444441E-3</v>
      </c>
      <c r="W72" s="90"/>
      <c r="X72" s="91">
        <f>IF(K72=0,0,IF(K72=1,W72+#REF!,IF(K72=2,W72+$Y$39,IF(K72=3,W72+$Y$38,IF(K72=4,W72+#REF!,0)))))</f>
        <v>0</v>
      </c>
      <c r="Y72" s="67"/>
      <c r="Z72" s="55"/>
      <c r="AA72" s="55"/>
      <c r="AB72" s="55"/>
      <c r="AC72" s="55"/>
      <c r="AD72" s="55"/>
      <c r="AE72" s="55"/>
    </row>
    <row r="73" spans="2:31" ht="30" x14ac:dyDescent="0.25">
      <c r="B73" s="7">
        <v>61</v>
      </c>
      <c r="C73" s="92" t="s">
        <v>283</v>
      </c>
      <c r="D73" s="76" t="s">
        <v>124</v>
      </c>
      <c r="E73" s="77" t="s">
        <v>233</v>
      </c>
      <c r="F73" s="149" t="s">
        <v>242</v>
      </c>
      <c r="G73" s="79" t="s">
        <v>57</v>
      </c>
      <c r="H73" s="80" t="s">
        <v>38</v>
      </c>
      <c r="I73" s="81" t="str">
        <f t="shared" si="5"/>
        <v>R</v>
      </c>
      <c r="J73" s="82">
        <v>3</v>
      </c>
      <c r="K73" s="83">
        <v>0</v>
      </c>
      <c r="L73" s="84" t="s">
        <v>28</v>
      </c>
      <c r="M73" s="85">
        <v>5</v>
      </c>
      <c r="N73" s="86">
        <v>8</v>
      </c>
      <c r="O73" s="84" t="s">
        <v>28</v>
      </c>
      <c r="P73" s="48">
        <v>1</v>
      </c>
      <c r="Q73" s="85">
        <v>5</v>
      </c>
      <c r="R73" s="78" t="s">
        <v>28</v>
      </c>
      <c r="S73" s="87">
        <v>6</v>
      </c>
      <c r="T73" s="88">
        <v>0.75</v>
      </c>
      <c r="U73" s="46">
        <v>0.75</v>
      </c>
      <c r="V73" s="89">
        <v>1.3888888888888888E-2</v>
      </c>
      <c r="W73" s="90"/>
      <c r="X73" s="91">
        <f>IF(K73=0,0,IF(K73=1,W73+#REF!,IF(K73=2,W73+$Y$39,IF(K73=3,W73+$Y$38,IF(K73=4,W73+#REF!,0)))))</f>
        <v>0</v>
      </c>
      <c r="Y73" s="67"/>
      <c r="Z73" s="55"/>
      <c r="AA73" s="55"/>
      <c r="AB73" s="55"/>
      <c r="AC73" s="55"/>
      <c r="AD73" s="55"/>
      <c r="AE73" s="55"/>
    </row>
    <row r="74" spans="2:31" x14ac:dyDescent="0.25">
      <c r="B74" s="7">
        <v>62</v>
      </c>
      <c r="C74" s="92" t="s">
        <v>46</v>
      </c>
      <c r="D74" s="76" t="s">
        <v>125</v>
      </c>
      <c r="E74" s="77" t="s">
        <v>42</v>
      </c>
      <c r="F74" s="149" t="s">
        <v>165</v>
      </c>
      <c r="G74" s="79" t="s">
        <v>196</v>
      </c>
      <c r="H74" s="80" t="s">
        <v>40</v>
      </c>
      <c r="I74" s="81" t="str">
        <f>IF(W74&gt;0,IF(X74-W74&gt;0,"I","R"),"R")</f>
        <v>R</v>
      </c>
      <c r="J74" s="82">
        <v>-1</v>
      </c>
      <c r="K74" s="83">
        <v>3</v>
      </c>
      <c r="L74" s="84" t="s">
        <v>28</v>
      </c>
      <c r="M74" s="85">
        <v>3</v>
      </c>
      <c r="N74" s="86">
        <v>6</v>
      </c>
      <c r="O74" s="84"/>
      <c r="P74" s="48"/>
      <c r="Q74" s="85"/>
      <c r="R74" s="78" t="s">
        <v>28</v>
      </c>
      <c r="S74" s="87">
        <v>5</v>
      </c>
      <c r="T74" s="88">
        <v>0.75</v>
      </c>
      <c r="U74" s="46">
        <v>0.75</v>
      </c>
      <c r="V74" s="89">
        <v>2.0833333333333332E-2</v>
      </c>
      <c r="W74" s="90"/>
      <c r="X74" s="91">
        <f>IF(K74=0,0,IF(K74=1,W74+#REF!,IF(K74=2,W74+$Y$39,IF(K74=3,W74+$Y$38,IF(K74=4,W74+#REF!,0)))))</f>
        <v>0.99930555555555556</v>
      </c>
      <c r="Y74" s="67"/>
      <c r="Z74" s="55"/>
      <c r="AA74" s="55"/>
      <c r="AB74" s="55"/>
      <c r="AC74" s="55"/>
      <c r="AD74" s="55"/>
      <c r="AE74" s="55"/>
    </row>
    <row r="75" spans="2:31" ht="30" x14ac:dyDescent="0.25">
      <c r="B75" s="7">
        <v>63</v>
      </c>
      <c r="C75" s="126" t="s">
        <v>303</v>
      </c>
      <c r="D75" s="76" t="s">
        <v>126</v>
      </c>
      <c r="E75" s="77" t="s">
        <v>234</v>
      </c>
      <c r="F75" s="149" t="s">
        <v>165</v>
      </c>
      <c r="G75" s="79" t="s">
        <v>251</v>
      </c>
      <c r="H75" s="80" t="s">
        <v>39</v>
      </c>
      <c r="I75" s="81" t="str">
        <f>IF(W75&gt;0,IF(X75-W75&gt;0,"I","R"),"R")</f>
        <v>R</v>
      </c>
      <c r="J75" s="82">
        <v>-1</v>
      </c>
      <c r="K75" s="83">
        <v>3</v>
      </c>
      <c r="L75" s="84" t="s">
        <v>28</v>
      </c>
      <c r="M75" s="85">
        <v>6</v>
      </c>
      <c r="N75" s="86">
        <v>7</v>
      </c>
      <c r="O75" s="84"/>
      <c r="P75" s="48"/>
      <c r="Q75" s="85"/>
      <c r="R75" s="78" t="s">
        <v>28</v>
      </c>
      <c r="S75" s="87">
        <v>6</v>
      </c>
      <c r="T75" s="88">
        <v>0.77083333333333337</v>
      </c>
      <c r="U75" s="46">
        <v>0.77083333333333337</v>
      </c>
      <c r="V75" s="89">
        <v>2.0833333333333332E-2</v>
      </c>
      <c r="W75" s="90"/>
      <c r="X75" s="91">
        <f>IF(K75=0,0,IF(K75=1,W75+#REF!,IF(K75=2,W75+$Y$39,IF(K75=3,W75+$Y$38,IF(K75=4,W75+#REF!,0)))))</f>
        <v>0.99930555555555556</v>
      </c>
      <c r="Y75" s="67"/>
      <c r="Z75" s="55"/>
      <c r="AA75" s="55"/>
      <c r="AB75" s="55"/>
      <c r="AC75" s="55"/>
      <c r="AD75" s="55"/>
      <c r="AE75" s="55"/>
    </row>
    <row r="76" spans="2:31" ht="30" x14ac:dyDescent="0.25">
      <c r="B76" s="7">
        <v>64</v>
      </c>
      <c r="C76" s="126" t="s">
        <v>304</v>
      </c>
      <c r="D76" s="76" t="s">
        <v>127</v>
      </c>
      <c r="E76" s="77" t="s">
        <v>25</v>
      </c>
      <c r="F76" s="149" t="s">
        <v>159</v>
      </c>
      <c r="G76" s="79" t="s">
        <v>250</v>
      </c>
      <c r="H76" s="80" t="s">
        <v>38</v>
      </c>
      <c r="I76" s="81" t="str">
        <f t="shared" si="5"/>
        <v>R</v>
      </c>
      <c r="J76" s="82">
        <v>-1</v>
      </c>
      <c r="K76" s="83">
        <v>3</v>
      </c>
      <c r="L76" s="84" t="s">
        <v>28</v>
      </c>
      <c r="M76" s="85">
        <v>3</v>
      </c>
      <c r="N76" s="86">
        <v>5</v>
      </c>
      <c r="O76" s="84"/>
      <c r="P76" s="48"/>
      <c r="Q76" s="85"/>
      <c r="R76" s="78" t="s">
        <v>28</v>
      </c>
      <c r="S76" s="87">
        <v>5</v>
      </c>
      <c r="T76" s="88">
        <v>0.77083333333333337</v>
      </c>
      <c r="U76" s="46">
        <v>0.77083333333333337</v>
      </c>
      <c r="V76" s="89">
        <v>3.125E-2</v>
      </c>
      <c r="W76" s="90"/>
      <c r="X76" s="91">
        <f>IF(K76=0,0,IF(K76=1,W76+#REF!,IF(K76=2,W76+$Y$39,IF(K76=3,W76+$Y$38,IF(K76=4,W76+#REF!,0)))))</f>
        <v>0.99930555555555556</v>
      </c>
      <c r="Y76" s="67"/>
      <c r="Z76" s="55"/>
      <c r="AA76" s="55"/>
      <c r="AB76" s="55"/>
      <c r="AC76" s="55"/>
      <c r="AD76" s="55"/>
      <c r="AE76" s="55"/>
    </row>
    <row r="77" spans="2:31" ht="30" x14ac:dyDescent="0.25">
      <c r="B77" s="7">
        <v>65</v>
      </c>
      <c r="C77" s="92" t="s">
        <v>44</v>
      </c>
      <c r="D77" s="76" t="s">
        <v>128</v>
      </c>
      <c r="E77" s="77" t="s">
        <v>235</v>
      </c>
      <c r="F77" s="149" t="s">
        <v>164</v>
      </c>
      <c r="G77" s="79" t="s">
        <v>57</v>
      </c>
      <c r="H77" s="80" t="s">
        <v>40</v>
      </c>
      <c r="I77" s="81" t="str">
        <f t="shared" si="5"/>
        <v>R</v>
      </c>
      <c r="J77" s="82">
        <v>3</v>
      </c>
      <c r="K77" s="83">
        <v>0</v>
      </c>
      <c r="L77" s="84" t="s">
        <v>28</v>
      </c>
      <c r="M77" s="85">
        <v>5</v>
      </c>
      <c r="N77" s="86">
        <v>8</v>
      </c>
      <c r="O77" s="84"/>
      <c r="P77" s="48"/>
      <c r="Q77" s="85"/>
      <c r="R77" s="78" t="s">
        <v>28</v>
      </c>
      <c r="S77" s="87">
        <v>5</v>
      </c>
      <c r="T77" s="88">
        <v>0.79166666666666663</v>
      </c>
      <c r="U77" s="46">
        <v>0.79166666666666663</v>
      </c>
      <c r="V77" s="89">
        <v>2.0833333333333332E-2</v>
      </c>
      <c r="W77" s="90"/>
      <c r="X77" s="91">
        <f>IF(K77=0,0,IF(K77=1,W77+#REF!,IF(K77=2,W77+$Y$39,IF(K77=3,W77+$Y$38,IF(K77=4,W77+#REF!,0)))))</f>
        <v>0</v>
      </c>
      <c r="Y77" s="67"/>
      <c r="Z77" s="55"/>
      <c r="AA77" s="55"/>
      <c r="AB77" s="55"/>
      <c r="AC77" s="55"/>
      <c r="AD77" s="55"/>
      <c r="AE77" s="55"/>
    </row>
    <row r="78" spans="2:31" x14ac:dyDescent="0.25">
      <c r="B78" s="7">
        <v>66</v>
      </c>
      <c r="C78" s="123" t="s">
        <v>305</v>
      </c>
      <c r="D78" s="76" t="s">
        <v>129</v>
      </c>
      <c r="E78" s="77" t="s">
        <v>23</v>
      </c>
      <c r="F78" s="149" t="s">
        <v>243</v>
      </c>
      <c r="G78" s="79" t="s">
        <v>57</v>
      </c>
      <c r="H78" s="80" t="s">
        <v>39</v>
      </c>
      <c r="I78" s="81" t="str">
        <f>IF(W78&gt;0,IF(X78-W78&gt;0,"I","R"),"R")</f>
        <v>R</v>
      </c>
      <c r="J78" s="82">
        <v>1</v>
      </c>
      <c r="K78" s="83">
        <v>2</v>
      </c>
      <c r="L78" s="84" t="s">
        <v>28</v>
      </c>
      <c r="M78" s="85">
        <v>6</v>
      </c>
      <c r="N78" s="86">
        <v>8</v>
      </c>
      <c r="O78" s="84" t="s">
        <v>28</v>
      </c>
      <c r="P78" s="48">
        <v>1</v>
      </c>
      <c r="Q78" s="85">
        <v>6</v>
      </c>
      <c r="R78" s="78" t="s">
        <v>28</v>
      </c>
      <c r="S78" s="87">
        <v>6</v>
      </c>
      <c r="T78" s="88">
        <v>0.8125</v>
      </c>
      <c r="U78" s="46">
        <v>0.8125</v>
      </c>
      <c r="V78" s="89">
        <v>8.3333333333333329E-2</v>
      </c>
      <c r="W78" s="90"/>
      <c r="X78" s="91">
        <f>IF(K78=0,0,IF(K78=1,W78+#REF!,IF(K78=2,W78+$Y$39,IF(K78=3,W78+$Y$38,IF(K78=4,W78+#REF!,0)))))</f>
        <v>0.5</v>
      </c>
      <c r="Y78" s="67"/>
      <c r="Z78" s="55"/>
      <c r="AA78" s="55"/>
      <c r="AB78" s="55"/>
      <c r="AC78" s="55"/>
      <c r="AD78" s="55"/>
      <c r="AE78" s="55"/>
    </row>
    <row r="79" spans="2:31" x14ac:dyDescent="0.25">
      <c r="B79" s="7">
        <v>67</v>
      </c>
      <c r="C79" s="92" t="s">
        <v>44</v>
      </c>
      <c r="D79" s="76" t="s">
        <v>130</v>
      </c>
      <c r="E79" s="77" t="s">
        <v>27</v>
      </c>
      <c r="F79" s="149" t="s">
        <v>164</v>
      </c>
      <c r="G79" s="79" t="s">
        <v>57</v>
      </c>
      <c r="H79" s="80" t="s">
        <v>39</v>
      </c>
      <c r="I79" s="81" t="str">
        <f t="shared" si="5"/>
        <v>R</v>
      </c>
      <c r="J79" s="82">
        <v>2</v>
      </c>
      <c r="K79" s="83">
        <v>0</v>
      </c>
      <c r="L79" s="84" t="s">
        <v>28</v>
      </c>
      <c r="M79" s="85">
        <v>8</v>
      </c>
      <c r="N79" s="86">
        <v>6</v>
      </c>
      <c r="O79" s="84"/>
      <c r="P79" s="48"/>
      <c r="Q79" s="85"/>
      <c r="R79" s="78" t="s">
        <v>28</v>
      </c>
      <c r="S79" s="87">
        <v>5</v>
      </c>
      <c r="T79" s="88">
        <v>0.8125</v>
      </c>
      <c r="U79" s="46">
        <v>0.8125</v>
      </c>
      <c r="V79" s="89">
        <v>6.25E-2</v>
      </c>
      <c r="W79" s="90"/>
      <c r="X79" s="91">
        <f>IF(K79=0,0,IF(K79=1,W79+#REF!,IF(K79=2,W79+$Y$39,IF(K79=3,W79+$Y$38,IF(K79=4,W79+#REF!,0)))))</f>
        <v>0</v>
      </c>
      <c r="Y79" s="67"/>
      <c r="Z79" s="55"/>
      <c r="AA79" s="55"/>
      <c r="AB79" s="55"/>
      <c r="AC79" s="55"/>
      <c r="AD79" s="55"/>
      <c r="AE79" s="55"/>
    </row>
    <row r="80" spans="2:31" ht="30" x14ac:dyDescent="0.25">
      <c r="B80" s="7">
        <v>68</v>
      </c>
      <c r="C80" s="92" t="s">
        <v>44</v>
      </c>
      <c r="D80" s="76" t="s">
        <v>131</v>
      </c>
      <c r="E80" s="77" t="s">
        <v>236</v>
      </c>
      <c r="F80" s="150" t="s">
        <v>313</v>
      </c>
      <c r="G80" s="79" t="s">
        <v>57</v>
      </c>
      <c r="H80" s="80" t="s">
        <v>40</v>
      </c>
      <c r="I80" s="81" t="str">
        <f t="shared" si="5"/>
        <v>R</v>
      </c>
      <c r="J80" s="82">
        <v>2</v>
      </c>
      <c r="K80" s="83">
        <v>0</v>
      </c>
      <c r="L80" s="84" t="s">
        <v>28</v>
      </c>
      <c r="M80" s="85">
        <v>5</v>
      </c>
      <c r="N80" s="86">
        <v>8</v>
      </c>
      <c r="O80" s="84"/>
      <c r="P80" s="48"/>
      <c r="Q80" s="85"/>
      <c r="R80" s="78" t="s">
        <v>28</v>
      </c>
      <c r="S80" s="87">
        <v>5</v>
      </c>
      <c r="T80" s="88">
        <v>0.8125</v>
      </c>
      <c r="U80" s="46">
        <v>0.8125</v>
      </c>
      <c r="V80" s="89">
        <v>4.1666666666666664E-2</v>
      </c>
      <c r="W80" s="90"/>
      <c r="X80" s="91">
        <f>IF(K80=0,0,IF(K80=1,W80+#REF!,IF(K80=2,W80+$Y$39,IF(K80=3,W80+$Y$38,IF(K80=4,W80+#REF!,0)))))</f>
        <v>0</v>
      </c>
      <c r="Y80" s="67"/>
      <c r="Z80" s="55"/>
      <c r="AA80" s="55"/>
      <c r="AB80" s="55"/>
      <c r="AC80" s="55"/>
      <c r="AD80" s="55"/>
      <c r="AE80" s="55"/>
    </row>
    <row r="81" spans="2:31" ht="30" x14ac:dyDescent="0.25">
      <c r="B81" s="7">
        <v>69</v>
      </c>
      <c r="C81" s="92" t="s">
        <v>44</v>
      </c>
      <c r="D81" s="76" t="s">
        <v>132</v>
      </c>
      <c r="E81" s="77" t="s">
        <v>237</v>
      </c>
      <c r="F81" s="149" t="s">
        <v>242</v>
      </c>
      <c r="G81" s="79" t="s">
        <v>57</v>
      </c>
      <c r="H81" s="80" t="s">
        <v>40</v>
      </c>
      <c r="I81" s="81" t="str">
        <f t="shared" si="5"/>
        <v>R</v>
      </c>
      <c r="J81" s="82">
        <v>3</v>
      </c>
      <c r="K81" s="83">
        <v>0</v>
      </c>
      <c r="L81" s="84" t="s">
        <v>28</v>
      </c>
      <c r="M81" s="85">
        <v>6</v>
      </c>
      <c r="N81" s="86">
        <v>8</v>
      </c>
      <c r="O81" s="84"/>
      <c r="P81" s="48"/>
      <c r="Q81" s="85"/>
      <c r="R81" s="78" t="s">
        <v>28</v>
      </c>
      <c r="S81" s="87">
        <v>8</v>
      </c>
      <c r="T81" s="88">
        <f t="shared" si="2"/>
        <v>0.85416666666666663</v>
      </c>
      <c r="U81" s="46">
        <v>0.83333333333333337</v>
      </c>
      <c r="V81" s="89">
        <v>6.9444444444444441E-3</v>
      </c>
      <c r="W81" s="90"/>
      <c r="X81" s="91">
        <f>IF(K81=0,0,IF(K81=1,W81+#REF!,IF(K81=2,W81+$Y$39,IF(K81=3,W81+$Y$38,IF(K81=4,W81+#REF!,0)))))</f>
        <v>0</v>
      </c>
      <c r="Y81" s="67"/>
      <c r="Z81" s="55"/>
      <c r="AA81" s="55"/>
      <c r="AB81" s="55"/>
      <c r="AC81" s="55"/>
      <c r="AD81" s="55"/>
      <c r="AE81" s="55"/>
    </row>
    <row r="82" spans="2:31" ht="30" x14ac:dyDescent="0.25">
      <c r="B82" s="7">
        <v>70</v>
      </c>
      <c r="C82" s="92" t="s">
        <v>44</v>
      </c>
      <c r="D82" s="76" t="s">
        <v>133</v>
      </c>
      <c r="E82" s="77" t="s">
        <v>220</v>
      </c>
      <c r="F82" s="149" t="s">
        <v>243</v>
      </c>
      <c r="G82" s="79" t="s">
        <v>250</v>
      </c>
      <c r="H82" s="80" t="s">
        <v>38</v>
      </c>
      <c r="I82" s="81" t="str">
        <f>IF(W82&gt;0,IF(X82-W82&gt;0,"I","R"),"R")</f>
        <v>R</v>
      </c>
      <c r="J82" s="82">
        <v>-1</v>
      </c>
      <c r="K82" s="83">
        <v>3</v>
      </c>
      <c r="L82" s="84" t="s">
        <v>28</v>
      </c>
      <c r="M82" s="85">
        <v>5</v>
      </c>
      <c r="N82" s="86">
        <v>10</v>
      </c>
      <c r="O82" s="84"/>
      <c r="P82" s="48"/>
      <c r="Q82" s="85"/>
      <c r="R82" s="78" t="s">
        <v>28</v>
      </c>
      <c r="S82" s="87">
        <v>6</v>
      </c>
      <c r="T82" s="88">
        <f t="shared" si="2"/>
        <v>0.86111111111111105</v>
      </c>
      <c r="U82" s="46">
        <v>0.85416666666666663</v>
      </c>
      <c r="V82" s="89">
        <v>8.3333333333333329E-2</v>
      </c>
      <c r="W82" s="90"/>
      <c r="X82" s="91"/>
      <c r="Y82" s="67"/>
      <c r="Z82" s="55"/>
      <c r="AA82" s="55"/>
      <c r="AB82" s="55"/>
      <c r="AC82" s="55"/>
      <c r="AD82" s="55"/>
      <c r="AE82" s="55"/>
    </row>
    <row r="83" spans="2:31" x14ac:dyDescent="0.25">
      <c r="B83" s="7">
        <v>71</v>
      </c>
      <c r="C83" s="147" t="s">
        <v>311</v>
      </c>
      <c r="D83" s="76" t="s">
        <v>134</v>
      </c>
      <c r="E83" s="77" t="s">
        <v>221</v>
      </c>
      <c r="F83" s="149" t="s">
        <v>243</v>
      </c>
      <c r="G83" s="79" t="s">
        <v>196</v>
      </c>
      <c r="H83" s="80" t="s">
        <v>39</v>
      </c>
      <c r="I83" s="81" t="str">
        <f>IF(W83&gt;0,IF(X83-W83&gt;0,"I","R"),"R")</f>
        <v>R</v>
      </c>
      <c r="J83" s="82">
        <v>2</v>
      </c>
      <c r="K83" s="83">
        <v>0</v>
      </c>
      <c r="L83" s="84" t="s">
        <v>28</v>
      </c>
      <c r="M83" s="85">
        <v>3</v>
      </c>
      <c r="N83" s="86">
        <v>6</v>
      </c>
      <c r="O83" s="84"/>
      <c r="P83" s="48"/>
      <c r="Q83" s="85"/>
      <c r="R83" s="78" t="s">
        <v>28</v>
      </c>
      <c r="S83" s="87">
        <v>6</v>
      </c>
      <c r="T83" s="88">
        <f t="shared" si="2"/>
        <v>0.94444444444444442</v>
      </c>
      <c r="U83" s="46" t="s">
        <v>189</v>
      </c>
      <c r="V83" s="89">
        <v>1.0416666666666666E-2</v>
      </c>
      <c r="W83" s="90"/>
      <c r="X83" s="91"/>
      <c r="Y83" s="67"/>
      <c r="Z83" s="55"/>
      <c r="AA83" s="55"/>
      <c r="AB83" s="55"/>
      <c r="AC83" s="55"/>
      <c r="AD83" s="55"/>
      <c r="AE83" s="55"/>
    </row>
    <row r="84" spans="2:31" ht="30" x14ac:dyDescent="0.25">
      <c r="B84" s="7">
        <v>72</v>
      </c>
      <c r="C84" s="92" t="s">
        <v>44</v>
      </c>
      <c r="D84" s="76" t="s">
        <v>135</v>
      </c>
      <c r="E84" s="77" t="s">
        <v>238</v>
      </c>
      <c r="F84" s="149" t="s">
        <v>162</v>
      </c>
      <c r="G84" s="79" t="s">
        <v>57</v>
      </c>
      <c r="H84" s="80" t="s">
        <v>40</v>
      </c>
      <c r="I84" s="81" t="str">
        <f t="shared" si="5"/>
        <v>R</v>
      </c>
      <c r="J84" s="82">
        <v>3</v>
      </c>
      <c r="K84" s="83">
        <v>0</v>
      </c>
      <c r="L84" s="84" t="s">
        <v>28</v>
      </c>
      <c r="M84" s="85">
        <v>5</v>
      </c>
      <c r="N84" s="86">
        <v>10</v>
      </c>
      <c r="O84" s="84" t="s">
        <v>28</v>
      </c>
      <c r="P84" s="48">
        <v>1</v>
      </c>
      <c r="Q84" s="85"/>
      <c r="R84" s="78" t="s">
        <v>28</v>
      </c>
      <c r="S84" s="87">
        <v>8</v>
      </c>
      <c r="T84" s="88">
        <f t="shared" si="2"/>
        <v>0.95486111111111105</v>
      </c>
      <c r="U84" s="46">
        <v>0.91666666666666663</v>
      </c>
      <c r="V84" s="89">
        <v>3.472222222222222E-3</v>
      </c>
      <c r="W84" s="90"/>
      <c r="X84" s="91">
        <f>IF(K84=0,0,IF(K84=1,W84+#REF!,IF(K84=2,W84+$Y$39,IF(K84=3,W84+$Y$38,IF(K84=4,W84+#REF!,0)))))</f>
        <v>0</v>
      </c>
      <c r="Y84" s="67"/>
      <c r="Z84" s="55"/>
      <c r="AA84" s="55"/>
      <c r="AB84" s="55"/>
      <c r="AC84" s="55"/>
      <c r="AD84" s="55"/>
      <c r="AE84" s="55"/>
    </row>
    <row r="85" spans="2:31" x14ac:dyDescent="0.25">
      <c r="B85" s="7">
        <v>73</v>
      </c>
      <c r="C85" s="123" t="s">
        <v>306</v>
      </c>
      <c r="D85" s="76" t="s">
        <v>136</v>
      </c>
      <c r="E85" s="77" t="s">
        <v>247</v>
      </c>
      <c r="F85" s="149" t="s">
        <v>242</v>
      </c>
      <c r="G85" s="79" t="s">
        <v>57</v>
      </c>
      <c r="H85" s="80" t="s">
        <v>40</v>
      </c>
      <c r="I85" s="81" t="str">
        <f t="shared" si="5"/>
        <v>R</v>
      </c>
      <c r="J85" s="82">
        <v>1</v>
      </c>
      <c r="K85" s="83">
        <v>0</v>
      </c>
      <c r="L85" s="84" t="s">
        <v>28</v>
      </c>
      <c r="M85" s="85">
        <v>8</v>
      </c>
      <c r="N85" s="86">
        <v>10</v>
      </c>
      <c r="O85" s="84" t="s">
        <v>28</v>
      </c>
      <c r="P85" s="48">
        <v>1</v>
      </c>
      <c r="Q85" s="85">
        <v>10</v>
      </c>
      <c r="R85" s="78" t="s">
        <v>28</v>
      </c>
      <c r="S85" s="87">
        <v>8</v>
      </c>
      <c r="T85" s="94" t="s">
        <v>185</v>
      </c>
      <c r="U85" s="52" t="s">
        <v>185</v>
      </c>
      <c r="V85" s="89">
        <v>2.0833333333333333E-3</v>
      </c>
      <c r="W85" s="90"/>
      <c r="X85" s="91">
        <f>IF(K85=0,0,IF(K85=1,W85+#REF!,IF(K85=2,W85+$Y$39,IF(K85=3,W85+$Y$38,IF(K85=4,W85+#REF!,0)))))</f>
        <v>0</v>
      </c>
      <c r="Y85" s="67"/>
      <c r="Z85" s="55"/>
      <c r="AA85" s="55"/>
      <c r="AB85" s="55"/>
      <c r="AC85" s="55"/>
      <c r="AD85" s="55"/>
      <c r="AE85" s="55"/>
    </row>
    <row r="86" spans="2:31" ht="30" x14ac:dyDescent="0.25">
      <c r="B86" s="7">
        <v>74</v>
      </c>
      <c r="C86" s="123" t="s">
        <v>307</v>
      </c>
      <c r="D86" s="76" t="s">
        <v>137</v>
      </c>
      <c r="E86" s="77" t="s">
        <v>266</v>
      </c>
      <c r="F86" s="150" t="s">
        <v>313</v>
      </c>
      <c r="G86" s="79" t="s">
        <v>57</v>
      </c>
      <c r="H86" s="80" t="s">
        <v>40</v>
      </c>
      <c r="I86" s="81" t="str">
        <f>IF(W86&gt;0,IF(X86-W86&gt;0,"I","R"),"R")</f>
        <v>R</v>
      </c>
      <c r="J86" s="82">
        <v>1</v>
      </c>
      <c r="K86" s="83">
        <v>0</v>
      </c>
      <c r="L86" s="84" t="s">
        <v>28</v>
      </c>
      <c r="M86" s="85">
        <v>3</v>
      </c>
      <c r="N86" s="86">
        <v>5</v>
      </c>
      <c r="O86" s="84" t="s">
        <v>28</v>
      </c>
      <c r="P86" s="48">
        <v>1</v>
      </c>
      <c r="Q86" s="85">
        <v>6</v>
      </c>
      <c r="R86" s="78" t="s">
        <v>28</v>
      </c>
      <c r="S86" s="87">
        <v>6</v>
      </c>
      <c r="T86" s="88" t="s">
        <v>185</v>
      </c>
      <c r="U86" s="46" t="s">
        <v>185</v>
      </c>
      <c r="V86" s="89">
        <v>6.9444444444444441E-3</v>
      </c>
      <c r="W86" s="90"/>
      <c r="X86" s="91">
        <f>IF(K86=0,0,IF(K86=1,W86+#REF!,IF(K86=2,W86+$Y$39,IF(K86=3,W86+$Y$38,IF(K86=4,W86+#REF!,0)))))</f>
        <v>0</v>
      </c>
      <c r="Y86" s="67"/>
      <c r="Z86" s="55"/>
      <c r="AA86" s="55"/>
      <c r="AB86" s="55"/>
      <c r="AC86" s="55"/>
      <c r="AD86" s="55"/>
      <c r="AE86" s="55"/>
    </row>
    <row r="87" spans="2:31" ht="30" x14ac:dyDescent="0.25">
      <c r="B87" s="7">
        <v>75</v>
      </c>
      <c r="C87" s="123" t="s">
        <v>308</v>
      </c>
      <c r="D87" s="76" t="s">
        <v>138</v>
      </c>
      <c r="E87" s="77" t="s">
        <v>257</v>
      </c>
      <c r="F87" s="149" t="s">
        <v>159</v>
      </c>
      <c r="G87" s="79" t="s">
        <v>57</v>
      </c>
      <c r="H87" s="80" t="s">
        <v>39</v>
      </c>
      <c r="I87" s="81" t="str">
        <f>IF(W87&gt;0,IF(X87-W87&gt;0,"I","R"),"R")</f>
        <v>R</v>
      </c>
      <c r="J87" s="82">
        <v>2</v>
      </c>
      <c r="K87" s="83">
        <v>0</v>
      </c>
      <c r="L87" s="84" t="s">
        <v>28</v>
      </c>
      <c r="M87" s="85">
        <v>3</v>
      </c>
      <c r="N87" s="86">
        <v>9</v>
      </c>
      <c r="O87" s="84" t="s">
        <v>28</v>
      </c>
      <c r="P87" s="48">
        <v>1</v>
      </c>
      <c r="Q87" s="85">
        <v>8</v>
      </c>
      <c r="R87" s="78" t="s">
        <v>28</v>
      </c>
      <c r="S87" s="87">
        <v>2</v>
      </c>
      <c r="T87" s="88" t="s">
        <v>185</v>
      </c>
      <c r="U87" s="46" t="s">
        <v>185</v>
      </c>
      <c r="V87" s="89">
        <v>1.3888888888888888E-2</v>
      </c>
      <c r="W87" s="90"/>
      <c r="X87" s="91">
        <f>IF(K87=0,0,IF(K87=1,W87+#REF!,IF(K87=2,W87+$Y$39,IF(K87=3,W87+$Y$38,IF(K87=4,W87+#REF!,0)))))</f>
        <v>0</v>
      </c>
      <c r="Y87" s="67"/>
      <c r="Z87" s="55"/>
      <c r="AA87" s="55"/>
      <c r="AB87" s="55"/>
      <c r="AC87" s="55"/>
      <c r="AD87" s="55"/>
      <c r="AE87" s="55"/>
    </row>
    <row r="88" spans="2:31" x14ac:dyDescent="0.25">
      <c r="B88" s="7">
        <v>76</v>
      </c>
      <c r="C88" s="123" t="s">
        <v>280</v>
      </c>
      <c r="D88" s="76" t="s">
        <v>139</v>
      </c>
      <c r="E88" s="77" t="s">
        <v>67</v>
      </c>
      <c r="F88" s="149" t="s">
        <v>162</v>
      </c>
      <c r="G88" s="79" t="s">
        <v>57</v>
      </c>
      <c r="H88" s="80" t="s">
        <v>40</v>
      </c>
      <c r="I88" s="81" t="str">
        <f t="shared" si="5"/>
        <v>R</v>
      </c>
      <c r="J88" s="82">
        <v>-1</v>
      </c>
      <c r="K88" s="83">
        <v>0</v>
      </c>
      <c r="L88" s="84" t="s">
        <v>28</v>
      </c>
      <c r="M88" s="85">
        <v>6</v>
      </c>
      <c r="N88" s="86">
        <v>8</v>
      </c>
      <c r="O88" s="84"/>
      <c r="P88" s="48"/>
      <c r="Q88" s="85"/>
      <c r="R88" s="78" t="s">
        <v>28</v>
      </c>
      <c r="S88" s="87">
        <v>5</v>
      </c>
      <c r="T88" s="88" t="s">
        <v>185</v>
      </c>
      <c r="U88" s="46" t="s">
        <v>185</v>
      </c>
      <c r="V88" s="89">
        <v>6.9444444444444441E-3</v>
      </c>
      <c r="W88" s="90"/>
      <c r="X88" s="91">
        <f>IF(K88=0,0,IF(K88=1,W88+#REF!,IF(K88=2,W88+$Y$39,IF(K88=3,W88+$Y$38,IF(K88=4,W88+#REF!,0)))))</f>
        <v>0</v>
      </c>
      <c r="Y88" s="67"/>
      <c r="Z88" s="55"/>
      <c r="AA88" s="55"/>
      <c r="AB88" s="55"/>
      <c r="AC88" s="55"/>
      <c r="AD88" s="55"/>
      <c r="AE88" s="55"/>
    </row>
    <row r="89" spans="2:31" x14ac:dyDescent="0.25">
      <c r="B89" s="7">
        <v>77</v>
      </c>
      <c r="C89" s="92" t="s">
        <v>45</v>
      </c>
      <c r="D89" s="76" t="s">
        <v>140</v>
      </c>
      <c r="E89" s="77" t="s">
        <v>21</v>
      </c>
      <c r="F89" s="149" t="s">
        <v>243</v>
      </c>
      <c r="G89" s="79" t="s">
        <v>57</v>
      </c>
      <c r="H89" s="80" t="s">
        <v>39</v>
      </c>
      <c r="I89" s="81" t="str">
        <f t="shared" si="5"/>
        <v>R</v>
      </c>
      <c r="J89" s="82">
        <v>-1</v>
      </c>
      <c r="K89" s="83">
        <v>3</v>
      </c>
      <c r="L89" s="84" t="s">
        <v>28</v>
      </c>
      <c r="M89" s="85">
        <v>6</v>
      </c>
      <c r="N89" s="86">
        <v>8</v>
      </c>
      <c r="O89" s="84"/>
      <c r="P89" s="48"/>
      <c r="Q89" s="85"/>
      <c r="R89" s="78" t="s">
        <v>28</v>
      </c>
      <c r="S89" s="87">
        <v>6</v>
      </c>
      <c r="T89" s="88" t="s">
        <v>185</v>
      </c>
      <c r="U89" s="46" t="s">
        <v>185</v>
      </c>
      <c r="V89" s="89">
        <v>2.0833333333333332E-2</v>
      </c>
      <c r="W89" s="90"/>
      <c r="X89" s="91">
        <f>IF(K89=0,0,IF(K89=1,W89+#REF!,IF(K89=2,W89+$Y$39,IF(K89=3,W89+$Y$38,IF(K89=4,W89+#REF!,0)))))</f>
        <v>0.99930555555555556</v>
      </c>
      <c r="Y89" s="67"/>
      <c r="Z89" s="55"/>
      <c r="AA89" s="55"/>
      <c r="AB89" s="55"/>
      <c r="AC89" s="55"/>
      <c r="AD89" s="55"/>
      <c r="AE89" s="55"/>
    </row>
    <row r="90" spans="2:31" ht="30" x14ac:dyDescent="0.25">
      <c r="B90" s="7">
        <v>78</v>
      </c>
      <c r="C90" s="92" t="s">
        <v>45</v>
      </c>
      <c r="D90" s="76" t="s">
        <v>141</v>
      </c>
      <c r="E90" s="77" t="s">
        <v>26</v>
      </c>
      <c r="F90" s="150" t="s">
        <v>313</v>
      </c>
      <c r="G90" s="79" t="s">
        <v>57</v>
      </c>
      <c r="H90" s="80" t="s">
        <v>39</v>
      </c>
      <c r="I90" s="81" t="str">
        <f t="shared" si="5"/>
        <v>R</v>
      </c>
      <c r="J90" s="82">
        <v>-1</v>
      </c>
      <c r="K90" s="83">
        <v>0</v>
      </c>
      <c r="L90" s="84" t="s">
        <v>28</v>
      </c>
      <c r="M90" s="85">
        <v>8</v>
      </c>
      <c r="N90" s="86">
        <v>6</v>
      </c>
      <c r="O90" s="84"/>
      <c r="P90" s="48"/>
      <c r="Q90" s="85"/>
      <c r="R90" s="78" t="s">
        <v>28</v>
      </c>
      <c r="S90" s="87">
        <v>8</v>
      </c>
      <c r="T90" s="88" t="s">
        <v>185</v>
      </c>
      <c r="U90" s="46" t="s">
        <v>185</v>
      </c>
      <c r="V90" s="89">
        <v>6.25E-2</v>
      </c>
      <c r="W90" s="90"/>
      <c r="X90" s="91">
        <f>IF(K90=0,0,IF(K90=1,W90+#REF!,IF(K90=2,W90+$Y$39,IF(K90=3,W90+$Y$38,IF(K90=4,W90+#REF!,0)))))</f>
        <v>0</v>
      </c>
      <c r="Y90" s="67"/>
      <c r="Z90" s="55"/>
      <c r="AA90" s="55"/>
      <c r="AB90" s="55"/>
      <c r="AC90" s="55"/>
      <c r="AD90" s="55"/>
      <c r="AE90" s="55"/>
    </row>
    <row r="91" spans="2:31" x14ac:dyDescent="0.25">
      <c r="B91" s="7">
        <v>79</v>
      </c>
      <c r="C91" s="92" t="s">
        <v>45</v>
      </c>
      <c r="D91" s="76" t="s">
        <v>287</v>
      </c>
      <c r="E91" s="77" t="s">
        <v>222</v>
      </c>
      <c r="F91" s="149" t="s">
        <v>243</v>
      </c>
      <c r="G91" s="79" t="s">
        <v>57</v>
      </c>
      <c r="H91" s="80" t="s">
        <v>39</v>
      </c>
      <c r="I91" s="81" t="str">
        <f>IF(W91&gt;0,IF(X91-W91&gt;0,"I","R"),"R")</f>
        <v>R</v>
      </c>
      <c r="J91" s="82">
        <v>3</v>
      </c>
      <c r="K91" s="83">
        <v>0</v>
      </c>
      <c r="L91" s="84" t="s">
        <v>28</v>
      </c>
      <c r="M91" s="85">
        <v>6</v>
      </c>
      <c r="N91" s="86">
        <v>6</v>
      </c>
      <c r="O91" s="84"/>
      <c r="P91" s="48"/>
      <c r="Q91" s="85"/>
      <c r="R91" s="78" t="s">
        <v>28</v>
      </c>
      <c r="S91" s="87">
        <v>5</v>
      </c>
      <c r="T91" s="88" t="s">
        <v>185</v>
      </c>
      <c r="U91" s="46" t="s">
        <v>185</v>
      </c>
      <c r="V91" s="89">
        <v>8.3333333333333329E-2</v>
      </c>
      <c r="W91" s="90"/>
      <c r="X91" s="91"/>
      <c r="Y91" s="67"/>
      <c r="Z91" s="55"/>
      <c r="AA91" s="55"/>
      <c r="AB91" s="55"/>
      <c r="AC91" s="55"/>
      <c r="AD91" s="55"/>
      <c r="AE91" s="55"/>
    </row>
    <row r="92" spans="2:31" ht="30.75" thickBot="1" x14ac:dyDescent="0.3">
      <c r="B92" s="15">
        <v>80</v>
      </c>
      <c r="C92" s="121" t="s">
        <v>45</v>
      </c>
      <c r="D92" s="122" t="s">
        <v>288</v>
      </c>
      <c r="E92" s="145" t="s">
        <v>241</v>
      </c>
      <c r="F92" s="150" t="s">
        <v>312</v>
      </c>
      <c r="G92" s="79" t="s">
        <v>253</v>
      </c>
      <c r="H92" s="80" t="s">
        <v>40</v>
      </c>
      <c r="I92" s="81" t="str">
        <f t="shared" si="5"/>
        <v>R</v>
      </c>
      <c r="J92" s="82">
        <v>3</v>
      </c>
      <c r="K92" s="83">
        <v>0</v>
      </c>
      <c r="L92" s="84" t="s">
        <v>28</v>
      </c>
      <c r="M92" s="85">
        <v>5</v>
      </c>
      <c r="N92" s="86">
        <v>5</v>
      </c>
      <c r="O92" s="84"/>
      <c r="P92" s="48"/>
      <c r="Q92" s="85"/>
      <c r="R92" s="78" t="s">
        <v>28</v>
      </c>
      <c r="S92" s="87">
        <v>3</v>
      </c>
      <c r="T92" s="88" t="s">
        <v>185</v>
      </c>
      <c r="U92" s="46" t="s">
        <v>185</v>
      </c>
      <c r="V92" s="89">
        <v>3.125E-2</v>
      </c>
      <c r="W92" s="90"/>
      <c r="X92" s="91"/>
      <c r="Y92" s="67"/>
      <c r="Z92" s="55"/>
      <c r="AA92" s="55"/>
      <c r="AB92" s="55"/>
      <c r="AC92" s="55"/>
      <c r="AD92" s="55"/>
      <c r="AE92" s="55"/>
    </row>
    <row r="93" spans="2:31" ht="15.75" thickBot="1" x14ac:dyDescent="0.3">
      <c r="B93" s="96"/>
      <c r="C93" s="96"/>
      <c r="D93" s="96"/>
      <c r="E93" s="96"/>
      <c r="F93" s="151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53"/>
      <c r="V93" s="95"/>
      <c r="W93" s="95"/>
      <c r="X93" s="95"/>
      <c r="Y93" s="67"/>
      <c r="Z93" s="97"/>
      <c r="AA93" s="97"/>
      <c r="AB93" s="97"/>
      <c r="AC93" s="97"/>
      <c r="AD93" s="97"/>
      <c r="AE93" s="55"/>
    </row>
    <row r="94" spans="2:31" x14ac:dyDescent="0.25">
      <c r="B94" s="74">
        <v>1</v>
      </c>
      <c r="C94" s="11" t="s">
        <v>47</v>
      </c>
      <c r="D94" s="11" t="s">
        <v>142</v>
      </c>
      <c r="E94" s="141" t="s">
        <v>37</v>
      </c>
      <c r="F94" s="41" t="s">
        <v>162</v>
      </c>
      <c r="G94" s="99" t="s">
        <v>57</v>
      </c>
      <c r="H94" s="100" t="s">
        <v>40</v>
      </c>
      <c r="I94" s="101" t="s">
        <v>5</v>
      </c>
      <c r="J94" s="100"/>
      <c r="K94" s="102">
        <v>0</v>
      </c>
      <c r="L94" s="63"/>
      <c r="M94" s="61"/>
      <c r="N94" s="61"/>
      <c r="O94" s="103"/>
      <c r="P94" s="63"/>
      <c r="Q94" s="63"/>
      <c r="R94" s="63"/>
      <c r="S94" s="63"/>
      <c r="T94" s="128" t="s">
        <v>185</v>
      </c>
      <c r="U94" s="129" t="s">
        <v>185</v>
      </c>
      <c r="V94" s="104">
        <v>3.472222222222222E-3</v>
      </c>
      <c r="W94" s="105"/>
      <c r="X94" s="91">
        <f>IF(K94=0,0,IF(K94=1,W94+#REF!,IF(K94=2,W94+$Y$39,IF(K94=3,W94+$Y$38,IF(K94=4,W94+#REF!,0)))))</f>
        <v>0</v>
      </c>
      <c r="Y94" s="67"/>
      <c r="Z94" s="97"/>
      <c r="AA94" s="97"/>
      <c r="AB94" s="97"/>
      <c r="AC94" s="97"/>
      <c r="AD94" s="97"/>
      <c r="AE94" s="55"/>
    </row>
    <row r="95" spans="2:31" ht="30" x14ac:dyDescent="0.25">
      <c r="B95" s="98">
        <v>2</v>
      </c>
      <c r="C95" s="7" t="s">
        <v>47</v>
      </c>
      <c r="D95" s="7" t="s">
        <v>143</v>
      </c>
      <c r="E95" s="142" t="s">
        <v>62</v>
      </c>
      <c r="F95" s="150" t="s">
        <v>320</v>
      </c>
      <c r="G95" s="106" t="s">
        <v>57</v>
      </c>
      <c r="H95" s="107" t="s">
        <v>40</v>
      </c>
      <c r="I95" s="81" t="str">
        <f t="shared" ref="I95:I99" si="6">IF(W95&gt;0,IF(X95-W95&gt;0,"I","R"),"R")</f>
        <v>R</v>
      </c>
      <c r="J95" s="108"/>
      <c r="K95" s="83">
        <v>0</v>
      </c>
      <c r="L95" s="63"/>
      <c r="M95" s="61"/>
      <c r="N95" s="61"/>
      <c r="O95" s="103"/>
      <c r="P95" s="63"/>
      <c r="Q95" s="63"/>
      <c r="R95" s="63"/>
      <c r="S95" s="63"/>
      <c r="T95" s="130" t="s">
        <v>185</v>
      </c>
      <c r="U95" s="131" t="s">
        <v>185</v>
      </c>
      <c r="V95" s="109">
        <v>1.0416666666666666E-2</v>
      </c>
      <c r="W95" s="110"/>
      <c r="X95" s="91">
        <f>IF(K95=0,0,IF(K95=1,W95+#REF!,IF(K95=2,W95+$Y$39,IF(K95=3,W95+$Y$38,IF(K95=4,W95+#REF!,0)))))</f>
        <v>0</v>
      </c>
      <c r="Y95" s="67"/>
      <c r="Z95" s="55"/>
      <c r="AA95" s="55"/>
      <c r="AB95" s="55"/>
      <c r="AC95" s="55"/>
      <c r="AD95" s="55"/>
      <c r="AE95" s="55"/>
    </row>
    <row r="96" spans="2:31" x14ac:dyDescent="0.25">
      <c r="B96" s="98">
        <v>3</v>
      </c>
      <c r="C96" s="7" t="s">
        <v>47</v>
      </c>
      <c r="D96" s="7" t="s">
        <v>144</v>
      </c>
      <c r="E96" s="143" t="s">
        <v>36</v>
      </c>
      <c r="F96" s="43" t="s">
        <v>242</v>
      </c>
      <c r="G96" s="106" t="s">
        <v>57</v>
      </c>
      <c r="H96" s="107" t="s">
        <v>40</v>
      </c>
      <c r="I96" s="81" t="str">
        <f t="shared" si="6"/>
        <v>R</v>
      </c>
      <c r="J96" s="108"/>
      <c r="K96" s="83">
        <v>0</v>
      </c>
      <c r="L96" s="63"/>
      <c r="M96" s="61"/>
      <c r="N96" s="61"/>
      <c r="O96" s="103"/>
      <c r="P96" s="63"/>
      <c r="Q96" s="63"/>
      <c r="R96" s="63"/>
      <c r="S96" s="63"/>
      <c r="T96" s="130" t="s">
        <v>185</v>
      </c>
      <c r="U96" s="131" t="s">
        <v>185</v>
      </c>
      <c r="V96" s="109">
        <v>3.472222222222222E-3</v>
      </c>
      <c r="W96" s="110"/>
      <c r="X96" s="91">
        <f>IF(K96=0,0,IF(K96=1,W96+#REF!,IF(K96=2,W96+$Y$39,IF(K96=3,W96+$Y$38,IF(K96=4,W96+#REF!,0)))))</f>
        <v>0</v>
      </c>
      <c r="Y96" s="191"/>
      <c r="Z96" s="192"/>
      <c r="AA96" s="192"/>
      <c r="AB96" s="192"/>
      <c r="AC96" s="192"/>
      <c r="AD96" s="192"/>
      <c r="AE96" s="192"/>
    </row>
    <row r="97" spans="2:31" x14ac:dyDescent="0.25">
      <c r="B97" s="98">
        <v>4</v>
      </c>
      <c r="C97" s="7" t="s">
        <v>47</v>
      </c>
      <c r="D97" s="7" t="s">
        <v>145</v>
      </c>
      <c r="E97" s="142" t="s">
        <v>63</v>
      </c>
      <c r="F97" s="42" t="s">
        <v>162</v>
      </c>
      <c r="G97" s="106" t="s">
        <v>57</v>
      </c>
      <c r="H97" s="107" t="s">
        <v>40</v>
      </c>
      <c r="I97" s="81" t="s">
        <v>5</v>
      </c>
      <c r="J97" s="108"/>
      <c r="K97" s="83">
        <v>0</v>
      </c>
      <c r="L97" s="63"/>
      <c r="M97" s="61"/>
      <c r="N97" s="61"/>
      <c r="O97" s="103"/>
      <c r="P97" s="63"/>
      <c r="Q97" s="63"/>
      <c r="R97" s="63"/>
      <c r="S97" s="63"/>
      <c r="T97" s="130" t="s">
        <v>185</v>
      </c>
      <c r="U97" s="131" t="s">
        <v>185</v>
      </c>
      <c r="V97" s="109" t="s">
        <v>31</v>
      </c>
      <c r="W97" s="110"/>
      <c r="X97" s="91">
        <f>IF(K97=0,0,IF(K97=1,W97+#REF!,IF(K97=2,W97+$Y$39,IF(K97=3,W97+$Y$38,IF(K97=4,W97+#REF!,0)))))</f>
        <v>0</v>
      </c>
      <c r="Y97" s="191"/>
      <c r="Z97" s="192"/>
      <c r="AA97" s="192"/>
      <c r="AB97" s="192"/>
      <c r="AC97" s="192"/>
      <c r="AD97" s="192"/>
      <c r="AE97" s="192"/>
    </row>
    <row r="98" spans="2:31" ht="30" x14ac:dyDescent="0.25">
      <c r="B98" s="98">
        <v>5</v>
      </c>
      <c r="C98" s="7" t="s">
        <v>47</v>
      </c>
      <c r="D98" s="7" t="s">
        <v>146</v>
      </c>
      <c r="E98" s="143" t="s">
        <v>29</v>
      </c>
      <c r="F98" s="152" t="s">
        <v>318</v>
      </c>
      <c r="G98" s="106" t="s">
        <v>57</v>
      </c>
      <c r="H98" s="108" t="s">
        <v>40</v>
      </c>
      <c r="I98" s="81" t="str">
        <f t="shared" si="6"/>
        <v>R</v>
      </c>
      <c r="J98" s="108"/>
      <c r="K98" s="83">
        <v>0</v>
      </c>
      <c r="L98" s="63"/>
      <c r="M98" s="61"/>
      <c r="N98" s="61"/>
      <c r="O98" s="103"/>
      <c r="P98" s="63"/>
      <c r="Q98" s="63"/>
      <c r="R98" s="63"/>
      <c r="S98" s="63"/>
      <c r="T98" s="130" t="s">
        <v>185</v>
      </c>
      <c r="U98" s="131" t="s">
        <v>185</v>
      </c>
      <c r="V98" s="109">
        <v>3.472222222222222E-3</v>
      </c>
      <c r="W98" s="110"/>
      <c r="X98" s="91">
        <f>IF(K98=0,0,IF(K98=1,W98+#REF!,IF(K98=2,W98+$Y$39,IF(K98=3,W98+$Y$38,IF(K98=4,W98+#REF!,0)))))</f>
        <v>0</v>
      </c>
      <c r="Y98" s="67"/>
      <c r="Z98" s="55"/>
      <c r="AA98" s="55"/>
      <c r="AB98" s="55"/>
      <c r="AC98" s="55"/>
      <c r="AD98" s="55"/>
      <c r="AE98" s="55"/>
    </row>
    <row r="99" spans="2:31" ht="30" x14ac:dyDescent="0.25">
      <c r="B99" s="98">
        <v>6</v>
      </c>
      <c r="C99" s="7" t="s">
        <v>47</v>
      </c>
      <c r="D99" s="7" t="s">
        <v>147</v>
      </c>
      <c r="E99" s="143" t="s">
        <v>30</v>
      </c>
      <c r="F99" s="152" t="s">
        <v>318</v>
      </c>
      <c r="G99" s="106" t="s">
        <v>57</v>
      </c>
      <c r="H99" s="108" t="s">
        <v>40</v>
      </c>
      <c r="I99" s="81" t="str">
        <f t="shared" si="6"/>
        <v>R</v>
      </c>
      <c r="J99" s="108"/>
      <c r="K99" s="83">
        <v>0</v>
      </c>
      <c r="L99" s="63"/>
      <c r="M99" s="61"/>
      <c r="N99" s="61"/>
      <c r="O99" s="103"/>
      <c r="P99" s="63"/>
      <c r="Q99" s="63"/>
      <c r="R99" s="63"/>
      <c r="S99" s="63"/>
      <c r="T99" s="130" t="s">
        <v>185</v>
      </c>
      <c r="U99" s="131" t="s">
        <v>185</v>
      </c>
      <c r="V99" s="109">
        <v>6.9444444444444441E-3</v>
      </c>
      <c r="W99" s="110"/>
      <c r="X99" s="91">
        <f>IF(K99=0,0,IF(K99=1,W99+#REF!,IF(K99=2,W99+$Y$39,IF(K99=3,W99+$Y$38,IF(K99=4,W99+#REF!,0)))))</f>
        <v>0</v>
      </c>
      <c r="Y99" s="67"/>
      <c r="Z99" s="55"/>
      <c r="AA99" s="55"/>
      <c r="AB99" s="55"/>
      <c r="AC99" s="55"/>
      <c r="AD99" s="55"/>
      <c r="AE99" s="55"/>
    </row>
    <row r="100" spans="2:31" s="3" customFormat="1" ht="30.75" thickBot="1" x14ac:dyDescent="0.3">
      <c r="B100" s="15">
        <v>7</v>
      </c>
      <c r="C100" s="15" t="s">
        <v>47</v>
      </c>
      <c r="D100" s="15" t="s">
        <v>148</v>
      </c>
      <c r="E100" s="144" t="s">
        <v>64</v>
      </c>
      <c r="F100" s="153" t="s">
        <v>319</v>
      </c>
      <c r="G100" s="111" t="s">
        <v>57</v>
      </c>
      <c r="H100" s="112" t="s">
        <v>40</v>
      </c>
      <c r="I100" s="113" t="str">
        <f t="shared" ref="I100" si="7">IF(W100&gt;0,IF(X100-W100&gt;0,"I","R"),"R")</f>
        <v>R</v>
      </c>
      <c r="J100" s="113"/>
      <c r="K100" s="114">
        <v>0</v>
      </c>
      <c r="L100" s="63"/>
      <c r="M100" s="61"/>
      <c r="N100" s="61"/>
      <c r="O100" s="103"/>
      <c r="P100" s="63"/>
      <c r="Q100" s="63"/>
      <c r="R100" s="63"/>
      <c r="S100" s="63"/>
      <c r="T100" s="132" t="s">
        <v>185</v>
      </c>
      <c r="U100" s="133" t="s">
        <v>185</v>
      </c>
      <c r="V100" s="115">
        <v>1.0416666666666666E-2</v>
      </c>
      <c r="W100" s="116"/>
      <c r="X100" s="117">
        <f>IF(K100=0,0,IF(K100=1,W100+#REF!,IF(K100=2,W100+$Y$39,IF(K100=3,W100+$Y$38,IF(K100=4,W100+#REF!,0)))))</f>
        <v>0</v>
      </c>
      <c r="Y100" s="67"/>
      <c r="Z100" s="67"/>
      <c r="AA100" s="67"/>
      <c r="AB100" s="67"/>
      <c r="AC100" s="67"/>
      <c r="AD100" s="67"/>
      <c r="AE100" s="67"/>
    </row>
    <row r="101" spans="2:31" s="3" customFormat="1" x14ac:dyDescent="0.25">
      <c r="B101" s="37"/>
      <c r="C101" s="25"/>
      <c r="D101" s="25"/>
      <c r="E101" s="49"/>
      <c r="F101" s="44"/>
      <c r="G101" s="37"/>
      <c r="H101" s="26"/>
      <c r="I101" s="28"/>
      <c r="J101" s="27"/>
      <c r="K101" s="28"/>
      <c r="L101" s="35"/>
      <c r="M101" s="8"/>
      <c r="N101" s="8"/>
      <c r="O101" s="10"/>
      <c r="P101" s="35"/>
      <c r="Q101" s="35"/>
      <c r="R101" s="35"/>
      <c r="S101" s="35"/>
      <c r="T101" s="13"/>
      <c r="U101" s="54"/>
      <c r="V101" s="31"/>
      <c r="W101" s="13"/>
      <c r="X101" s="14"/>
      <c r="Y101" s="34"/>
      <c r="Z101" s="34"/>
      <c r="AA101" s="34"/>
      <c r="AB101" s="34"/>
      <c r="AC101" s="34"/>
      <c r="AD101" s="34"/>
      <c r="AE101" s="34"/>
    </row>
    <row r="102" spans="2:31" x14ac:dyDescent="0.25">
      <c r="B102" s="37"/>
      <c r="C102" s="25"/>
      <c r="D102" s="25"/>
      <c r="E102" s="49"/>
      <c r="F102" s="44"/>
      <c r="G102" s="37"/>
      <c r="H102" s="27"/>
      <c r="I102" s="26"/>
      <c r="J102" s="28"/>
      <c r="K102" s="28"/>
      <c r="L102" s="35"/>
      <c r="M102" s="8"/>
      <c r="N102" s="8"/>
      <c r="O102" s="10"/>
      <c r="T102" s="13"/>
      <c r="U102" s="54"/>
      <c r="V102" s="31"/>
      <c r="W102" s="13"/>
      <c r="X102" s="14"/>
      <c r="Y102" s="6"/>
      <c r="Z102" s="6"/>
      <c r="AA102" s="6"/>
      <c r="AB102" s="6"/>
      <c r="AC102" s="6"/>
      <c r="AD102" s="6"/>
    </row>
  </sheetData>
  <mergeCells count="22">
    <mergeCell ref="Y96:AE97"/>
    <mergeCell ref="C11:C12"/>
    <mergeCell ref="J11:J12"/>
    <mergeCell ref="K11:K12"/>
    <mergeCell ref="Y11:Y12"/>
    <mergeCell ref="F11:F12"/>
    <mergeCell ref="U18:U34"/>
    <mergeCell ref="U50:U53"/>
    <mergeCell ref="B10:E10"/>
    <mergeCell ref="G11:G12"/>
    <mergeCell ref="V11:V12"/>
    <mergeCell ref="W11:X11"/>
    <mergeCell ref="O11:Q11"/>
    <mergeCell ref="L11:M11"/>
    <mergeCell ref="T11:U11"/>
    <mergeCell ref="B11:B12"/>
    <mergeCell ref="R11:S11"/>
    <mergeCell ref="L10:S10"/>
    <mergeCell ref="T10:Y10"/>
    <mergeCell ref="F10:K10"/>
    <mergeCell ref="D11:D12"/>
    <mergeCell ref="E11:E12"/>
  </mergeCells>
  <phoneticPr fontId="14" type="noConversion"/>
  <pageMargins left="0.7" right="0.7" top="0.75" bottom="0.75" header="0.3" footer="0.3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Aktivitas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cp:lastPrinted>2021-03-29T11:37:07Z</cp:lastPrinted>
  <dcterms:created xsi:type="dcterms:W3CDTF">2021-03-29T09:53:50Z</dcterms:created>
  <dcterms:modified xsi:type="dcterms:W3CDTF">2021-10-20T16:50:57Z</dcterms:modified>
</cp:coreProperties>
</file>