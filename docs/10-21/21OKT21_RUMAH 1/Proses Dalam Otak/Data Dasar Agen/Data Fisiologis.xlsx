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\Proses Dalam Otak\Data Pribadi (Survei)\"/>
    </mc:Choice>
  </mc:AlternateContent>
  <xr:revisionPtr revIDLastSave="0" documentId="8_{51607BF6-31A1-4B1D-BC6F-28F13AB01AFA}" xr6:coauthVersionLast="47" xr6:coauthVersionMax="47" xr10:uidLastSave="{00000000-0000-0000-0000-000000000000}"/>
  <bookViews>
    <workbookView xWindow="-120" yWindow="360" windowWidth="20730" windowHeight="11280" xr2:uid="{629782EC-9FDC-451C-8E49-3C510D1480D0}"/>
  </bookViews>
  <sheets>
    <sheet name="Data Fisiolog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E5" i="1"/>
  <c r="H5" i="1"/>
  <c r="I5" i="1"/>
  <c r="J5" i="1"/>
  <c r="K5" i="1"/>
  <c r="L5" i="1"/>
  <c r="M5" i="1"/>
  <c r="N5" i="1"/>
  <c r="O5" i="1"/>
  <c r="P5" i="1"/>
  <c r="Q5" i="1"/>
  <c r="R5" i="1"/>
  <c r="S5" i="1"/>
  <c r="D7" i="1"/>
  <c r="E7" i="1"/>
  <c r="H7" i="1"/>
  <c r="I7" i="1"/>
  <c r="L7" i="1"/>
  <c r="M7" i="1"/>
  <c r="N7" i="1"/>
  <c r="O7" i="1" s="1"/>
  <c r="H9" i="1"/>
  <c r="I9" i="1"/>
  <c r="L9" i="1"/>
  <c r="M9" i="1"/>
  <c r="N9" i="1"/>
  <c r="O9" i="1"/>
  <c r="L11" i="1"/>
  <c r="M11" i="1"/>
  <c r="N11" i="1"/>
  <c r="O11" i="1"/>
  <c r="E12" i="1"/>
  <c r="G22" i="1"/>
</calcChain>
</file>

<file path=xl/sharedStrings.xml><?xml version="1.0" encoding="utf-8"?>
<sst xmlns="http://schemas.openxmlformats.org/spreadsheetml/2006/main" count="71" uniqueCount="69">
  <si>
    <t>Daya Tampung Terkini</t>
  </si>
  <si>
    <t>+300</t>
  </si>
  <si>
    <t>Daya Tampung (1200 ml)</t>
  </si>
  <si>
    <t>Kondisi Terkini (intake/defekasi)</t>
  </si>
  <si>
    <t>Kolon</t>
  </si>
  <si>
    <t>Batas Kemih dan Kolon</t>
  </si>
  <si>
    <t>Lj BAB Kebiasaan/Menit</t>
  </si>
  <si>
    <t>Lj BAB Kebiasaan/Jam</t>
  </si>
  <si>
    <t>Lj BAB Normal/Menit</t>
  </si>
  <si>
    <t>Lj BAB Normal/Jam</t>
  </si>
  <si>
    <t>Tekanan Klep Rektum/Menit</t>
  </si>
  <si>
    <t>Tekanan Klep Rektum/Jam</t>
  </si>
  <si>
    <t>+100</t>
  </si>
  <si>
    <t>Lj Minum Kebiasaan/Menit</t>
  </si>
  <si>
    <t>Lj Minum Kebiasaan/Jam</t>
  </si>
  <si>
    <t>Lj Makan Kebiasaan/Menit</t>
  </si>
  <si>
    <t>Lj Makan Kebiasaan/Jam</t>
  </si>
  <si>
    <t>Lj Kolon ke Rektum/Menit</t>
  </si>
  <si>
    <t>Lj Kolon ke Rektum/Jam</t>
  </si>
  <si>
    <t>Daya Tampung (500 ml)</t>
  </si>
  <si>
    <t>Kondisi Terkini (intake/urinasi)</t>
  </si>
  <si>
    <t>Kemih</t>
  </si>
  <si>
    <t>Lj Minum Normal/Menit</t>
  </si>
  <si>
    <t>Lj Minum Normal/Jam</t>
  </si>
  <si>
    <t>Lj Makan Normal/Menit</t>
  </si>
  <si>
    <t>Lj Makan Normal/Jam</t>
  </si>
  <si>
    <t>Lj Mandi Kebiasaan/Menit</t>
  </si>
  <si>
    <t>Lj Mandi Kebiasaan/Jam</t>
  </si>
  <si>
    <t>Lj di Ujung Kolon/Menit</t>
  </si>
  <si>
    <t>Lj di Ujung Kolon/Jam</t>
  </si>
  <si>
    <t>Lj Haus Pasif/Menit</t>
  </si>
  <si>
    <t>Lj Haus Pasif/Jam</t>
  </si>
  <si>
    <t>Lj Lapar Pasif/Menit</t>
  </si>
  <si>
    <t>Lj Lapar Pasif/Jam</t>
  </si>
  <si>
    <t>Lj Mandi Normal/Menit</t>
  </si>
  <si>
    <t>Lj Mandi Normal/Jam</t>
  </si>
  <si>
    <t>Lj Usus Halus ke Kolon/Menit</t>
  </si>
  <si>
    <t>Lj Usus Halus ke Kolon/Jam</t>
  </si>
  <si>
    <t>Lj Urinasi Normal/Menit</t>
  </si>
  <si>
    <t>Lj Urinasi Normal/Jam</t>
  </si>
  <si>
    <t>IB21</t>
  </si>
  <si>
    <t>Ibu</t>
  </si>
  <si>
    <t>Lj Kantuk/Menit</t>
  </si>
  <si>
    <t>Lj Kantuk/Jam</t>
  </si>
  <si>
    <t>Lj Lelah/Menit</t>
  </si>
  <si>
    <t>Lj Lelah/Jam</t>
  </si>
  <si>
    <t>Lj Haus Aktif/Menit</t>
  </si>
  <si>
    <t>Lj Haus Aktif/Jam</t>
  </si>
  <si>
    <t>Lj Lapar Aktif/Menit</t>
  </si>
  <si>
    <t>Lj Lapar Aktif/Jam</t>
  </si>
  <si>
    <t>Lj Energi/Menit</t>
  </si>
  <si>
    <t>Lj Energi/Jam</t>
  </si>
  <si>
    <t>Lj Kotor/Menit</t>
  </si>
  <si>
    <t>Lj Kotor/Jam</t>
  </si>
  <si>
    <t>Lj Lambung ke Usus Halus/Menit</t>
  </si>
  <si>
    <t>Lj Lambung ke Usus Halus/Jam</t>
  </si>
  <si>
    <t>Lj Kemih/Menit</t>
  </si>
  <si>
    <t>Lj Kemih/Jam</t>
  </si>
  <si>
    <t>Kantuk (1,25 poin/jam)</t>
  </si>
  <si>
    <t>Kelelahan (1,25 poin/jam)</t>
  </si>
  <si>
    <t>Kehausan (3,33 poin/jam)</t>
  </si>
  <si>
    <t>Kelaparan (1,6 poin/jam)</t>
  </si>
  <si>
    <t>Energi</t>
  </si>
  <si>
    <t>Kotor</t>
  </si>
  <si>
    <t>Defekasi</t>
  </si>
  <si>
    <t>Urinasi</t>
  </si>
  <si>
    <t>Data Reaksi Biologis</t>
  </si>
  <si>
    <t>Kode</t>
  </si>
  <si>
    <t>Identitas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</si>
</sst>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0" fontId="3" fillId="0" borderId="0" xfId="1" applyAlignment="1">
      <alignment horizontal="center"/>
    </xf>
    <xf numFmtId="0" fontId="3" fillId="0" borderId="1" xfId="1" applyBorder="1"/>
    <xf numFmtId="0" fontId="3" fillId="0" borderId="2" xfId="1" applyBorder="1" applyAlignment="1">
      <alignment wrapText="1"/>
    </xf>
    <xf numFmtId="0" fontId="3" fillId="0" borderId="3" xfId="1" quotePrefix="1" applyBorder="1"/>
    <xf numFmtId="0" fontId="3" fillId="0" borderId="4" xfId="1" applyBorder="1"/>
    <xf numFmtId="0" fontId="4" fillId="0" borderId="3" xfId="1" applyFont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" fontId="1" fillId="0" borderId="4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 vertical="center"/>
    </xf>
    <xf numFmtId="0" fontId="3" fillId="0" borderId="7" xfId="1" applyBorder="1" applyAlignment="1">
      <alignment wrapText="1"/>
    </xf>
    <xf numFmtId="0" fontId="3" fillId="0" borderId="4" xfId="1" quotePrefix="1" applyBorder="1"/>
    <xf numFmtId="0" fontId="3" fillId="0" borderId="8" xfId="1" applyBorder="1"/>
    <xf numFmtId="0" fontId="4" fillId="0" borderId="4" xfId="1" applyFont="1" applyBorder="1" applyAlignment="1">
      <alignment horizontal="center" vertical="center" wrapText="1"/>
    </xf>
    <xf numFmtId="0" fontId="3" fillId="0" borderId="8" xfId="1" applyBorder="1" applyAlignment="1">
      <alignment horizontal="center" vertical="center" wrapText="1"/>
    </xf>
    <xf numFmtId="0" fontId="3" fillId="0" borderId="8" xfId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/>
    </xf>
    <xf numFmtId="164" fontId="3" fillId="0" borderId="4" xfId="1" applyNumberFormat="1" applyBorder="1" applyAlignment="1">
      <alignment horizontal="center"/>
    </xf>
    <xf numFmtId="0" fontId="3" fillId="0" borderId="4" xfId="1" applyBorder="1" applyAlignment="1">
      <alignment horizontal="center"/>
    </xf>
    <xf numFmtId="0" fontId="2" fillId="0" borderId="0" xfId="1" applyFont="1" applyAlignment="1">
      <alignment horizontal="center"/>
    </xf>
    <xf numFmtId="0" fontId="2" fillId="2" borderId="9" xfId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EFA18A76-2380-4C83-8536-F2DAA0F48A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3985-6442-417C-92A0-A931B534A3BC}">
  <sheetPr>
    <pageSetUpPr fitToPage="1"/>
  </sheetPr>
  <dimension ref="B2:S22"/>
  <sheetViews>
    <sheetView showGridLines="0" tabSelected="1" zoomScale="85" zoomScaleNormal="85" zoomScalePageLayoutView="80" workbookViewId="0">
      <selection activeCell="G22" sqref="G22"/>
    </sheetView>
  </sheetViews>
  <sheetFormatPr defaultColWidth="8.85546875" defaultRowHeight="15" x14ac:dyDescent="0.25"/>
  <cols>
    <col min="1" max="1" width="8.85546875" style="1"/>
    <col min="2" max="2" width="8.85546875" style="1" bestFit="1" customWidth="1"/>
    <col min="3" max="3" width="5.5703125" style="1" bestFit="1" customWidth="1"/>
    <col min="4" max="4" width="20.7109375" style="1" customWidth="1"/>
    <col min="5" max="5" width="22.85546875" style="1" customWidth="1"/>
    <col min="6" max="6" width="28.28515625" style="1" customWidth="1"/>
    <col min="7" max="7" width="30.42578125" style="1" customWidth="1"/>
    <col min="8" max="8" width="22.7109375" style="1" customWidth="1"/>
    <col min="9" max="9" width="24.7109375" style="1" customWidth="1"/>
    <col min="10" max="10" width="12.7109375" style="1" customWidth="1"/>
    <col min="11" max="11" width="14.85546875" style="1" customWidth="1"/>
    <col min="12" max="12" width="23" style="1" customWidth="1"/>
    <col min="13" max="13" width="25" style="1" customWidth="1"/>
    <col min="14" max="14" width="23.42578125" style="1" customWidth="1"/>
    <col min="15" max="15" width="25.5703125" style="1" customWidth="1"/>
    <col min="16" max="16" width="11.85546875" style="1" customWidth="1"/>
    <col min="17" max="17" width="14" style="1" customWidth="1"/>
    <col min="18" max="18" width="13.42578125" style="1" customWidth="1"/>
    <col min="19" max="19" width="15.42578125" style="1" customWidth="1"/>
    <col min="20" max="20" width="7.28515625" style="1" customWidth="1"/>
    <col min="21" max="16384" width="8.85546875" style="1"/>
  </cols>
  <sheetData>
    <row r="2" spans="2:19" s="30" customFormat="1" ht="28.35" customHeight="1" x14ac:dyDescent="0.25">
      <c r="B2" s="34" t="s">
        <v>68</v>
      </c>
      <c r="C2" s="34" t="s">
        <v>67</v>
      </c>
      <c r="D2" s="33" t="s">
        <v>66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1"/>
    </row>
    <row r="3" spans="2:19" s="23" customFormat="1" ht="15.75" customHeight="1" x14ac:dyDescent="0.25">
      <c r="B3" s="29"/>
      <c r="C3" s="29"/>
      <c r="D3" s="26" t="s">
        <v>65</v>
      </c>
      <c r="E3" s="25"/>
      <c r="F3" s="26" t="s">
        <v>64</v>
      </c>
      <c r="G3" s="25"/>
      <c r="H3" s="28" t="s">
        <v>63</v>
      </c>
      <c r="I3" s="27"/>
      <c r="J3" s="28" t="s">
        <v>62</v>
      </c>
      <c r="K3" s="27"/>
      <c r="L3" s="26" t="s">
        <v>61</v>
      </c>
      <c r="M3" s="25"/>
      <c r="N3" s="26" t="s">
        <v>60</v>
      </c>
      <c r="O3" s="25"/>
      <c r="P3" s="28" t="s">
        <v>59</v>
      </c>
      <c r="Q3" s="27"/>
      <c r="R3" s="26" t="s">
        <v>58</v>
      </c>
      <c r="S3" s="25"/>
    </row>
    <row r="4" spans="2:19" s="23" customFormat="1" x14ac:dyDescent="0.25">
      <c r="B4" s="24"/>
      <c r="C4" s="24"/>
      <c r="D4" s="13" t="s">
        <v>57</v>
      </c>
      <c r="E4" s="13" t="s">
        <v>56</v>
      </c>
      <c r="F4" s="13" t="s">
        <v>55</v>
      </c>
      <c r="G4" s="13" t="s">
        <v>54</v>
      </c>
      <c r="H4" s="13" t="s">
        <v>53</v>
      </c>
      <c r="I4" s="13" t="s">
        <v>52</v>
      </c>
      <c r="J4" s="13" t="s">
        <v>51</v>
      </c>
      <c r="K4" s="13" t="s">
        <v>50</v>
      </c>
      <c r="L4" s="13" t="s">
        <v>49</v>
      </c>
      <c r="M4" s="13" t="s">
        <v>48</v>
      </c>
      <c r="N4" s="13" t="s">
        <v>47</v>
      </c>
      <c r="O4" s="13" t="s">
        <v>46</v>
      </c>
      <c r="P4" s="13" t="s">
        <v>45</v>
      </c>
      <c r="Q4" s="13" t="s">
        <v>44</v>
      </c>
      <c r="R4" s="13" t="s">
        <v>43</v>
      </c>
      <c r="S4" s="13" t="s">
        <v>42</v>
      </c>
    </row>
    <row r="5" spans="2:19" ht="15.75" customHeight="1" x14ac:dyDescent="0.25">
      <c r="B5" s="22" t="s">
        <v>41</v>
      </c>
      <c r="C5" s="22" t="s">
        <v>40</v>
      </c>
      <c r="D5" s="21">
        <f>60/10</f>
        <v>6</v>
      </c>
      <c r="E5" s="20">
        <f>60/10/60</f>
        <v>0.1</v>
      </c>
      <c r="F5" s="12"/>
      <c r="G5" s="11"/>
      <c r="H5" s="11">
        <f>10/12</f>
        <v>0.83333333333333337</v>
      </c>
      <c r="I5" s="11">
        <f>10/12/60</f>
        <v>1.388888888888889E-2</v>
      </c>
      <c r="J5" s="11">
        <f>10/16</f>
        <v>0.625</v>
      </c>
      <c r="K5" s="11">
        <f>10/16/60</f>
        <v>1.0416666666666666E-2</v>
      </c>
      <c r="L5" s="11">
        <f>10/6</f>
        <v>1.6666666666666667</v>
      </c>
      <c r="M5" s="11">
        <f>10/6/60</f>
        <v>2.777777777777778E-2</v>
      </c>
      <c r="N5" s="11">
        <f>10/3</f>
        <v>3.3333333333333335</v>
      </c>
      <c r="O5" s="11">
        <f>10/3/60</f>
        <v>5.5555555555555559E-2</v>
      </c>
      <c r="P5" s="11">
        <f>10/8</f>
        <v>1.25</v>
      </c>
      <c r="Q5" s="11">
        <f>10/8/60</f>
        <v>2.0833333333333332E-2</v>
      </c>
      <c r="R5" s="11">
        <f>10/8</f>
        <v>1.25</v>
      </c>
      <c r="S5" s="11">
        <f>10/8/60</f>
        <v>2.0833333333333332E-2</v>
      </c>
    </row>
    <row r="6" spans="2:19" x14ac:dyDescent="0.25">
      <c r="D6" s="13" t="s">
        <v>39</v>
      </c>
      <c r="E6" s="13" t="s">
        <v>38</v>
      </c>
      <c r="F6" s="13" t="s">
        <v>37</v>
      </c>
      <c r="G6" s="13" t="s">
        <v>36</v>
      </c>
      <c r="H6" s="13" t="s">
        <v>35</v>
      </c>
      <c r="I6" s="13" t="s">
        <v>34</v>
      </c>
      <c r="L6" s="13" t="s">
        <v>33</v>
      </c>
      <c r="M6" s="13" t="s">
        <v>32</v>
      </c>
      <c r="N6" s="13" t="s">
        <v>31</v>
      </c>
      <c r="O6" s="13" t="s">
        <v>30</v>
      </c>
    </row>
    <row r="7" spans="2:19" ht="15.75" thickBot="1" x14ac:dyDescent="0.3">
      <c r="D7" s="21">
        <f>100/10</f>
        <v>10</v>
      </c>
      <c r="E7" s="20">
        <f>100/10/60</f>
        <v>0.16666666666666666</v>
      </c>
      <c r="F7" s="12"/>
      <c r="G7" s="11"/>
      <c r="H7" s="11">
        <f>10</f>
        <v>10</v>
      </c>
      <c r="I7" s="11">
        <f>10/60</f>
        <v>0.16666666666666666</v>
      </c>
      <c r="L7" s="11">
        <f>L5/2</f>
        <v>0.83333333333333337</v>
      </c>
      <c r="M7" s="11">
        <f>M5/2</f>
        <v>1.388888888888889E-2</v>
      </c>
      <c r="N7" s="11">
        <f>N5/2</f>
        <v>1.6666666666666667</v>
      </c>
      <c r="O7" s="11">
        <f>N7/60</f>
        <v>2.777777777777778E-2</v>
      </c>
    </row>
    <row r="8" spans="2:19" x14ac:dyDescent="0.25">
      <c r="D8" s="10" t="s">
        <v>5</v>
      </c>
      <c r="E8" s="9"/>
      <c r="F8" s="13" t="s">
        <v>29</v>
      </c>
      <c r="G8" s="13" t="s">
        <v>28</v>
      </c>
      <c r="H8" s="13" t="s">
        <v>27</v>
      </c>
      <c r="I8" s="13" t="s">
        <v>26</v>
      </c>
      <c r="L8" s="13" t="s">
        <v>25</v>
      </c>
      <c r="M8" s="13" t="s">
        <v>24</v>
      </c>
      <c r="N8" s="13" t="s">
        <v>23</v>
      </c>
      <c r="O8" s="13" t="s">
        <v>22</v>
      </c>
    </row>
    <row r="9" spans="2:19" x14ac:dyDescent="0.25">
      <c r="D9" s="19" t="s">
        <v>21</v>
      </c>
      <c r="E9" s="17" t="s">
        <v>20</v>
      </c>
      <c r="F9" s="12"/>
      <c r="G9" s="11"/>
      <c r="H9" s="11">
        <f>8</f>
        <v>8</v>
      </c>
      <c r="I9" s="11">
        <f>8/60</f>
        <v>0.13333333333333333</v>
      </c>
      <c r="L9" s="11">
        <f>10</f>
        <v>10</v>
      </c>
      <c r="M9" s="11">
        <f>10/60</f>
        <v>0.16666666666666666</v>
      </c>
      <c r="N9" s="11">
        <f>10</f>
        <v>10</v>
      </c>
      <c r="O9" s="11">
        <f>10/60</f>
        <v>0.16666666666666666</v>
      </c>
    </row>
    <row r="10" spans="2:19" ht="30" x14ac:dyDescent="0.25">
      <c r="D10" s="18" t="s">
        <v>19</v>
      </c>
      <c r="E10" s="17"/>
      <c r="F10" s="13" t="s">
        <v>18</v>
      </c>
      <c r="G10" s="13" t="s">
        <v>17</v>
      </c>
      <c r="L10" s="13" t="s">
        <v>16</v>
      </c>
      <c r="M10" s="13" t="s">
        <v>15</v>
      </c>
      <c r="N10" s="13" t="s">
        <v>14</v>
      </c>
      <c r="O10" s="13" t="s">
        <v>13</v>
      </c>
    </row>
    <row r="11" spans="2:19" x14ac:dyDescent="0.25">
      <c r="D11" s="16">
        <v>320</v>
      </c>
      <c r="E11" s="15" t="s">
        <v>12</v>
      </c>
      <c r="F11" s="12"/>
      <c r="G11" s="11"/>
      <c r="L11" s="11">
        <f>8</f>
        <v>8</v>
      </c>
      <c r="M11" s="11">
        <f>8/60</f>
        <v>0.13333333333333333</v>
      </c>
      <c r="N11" s="11">
        <f>8</f>
        <v>8</v>
      </c>
      <c r="O11" s="11">
        <f>8/60</f>
        <v>0.13333333333333333</v>
      </c>
    </row>
    <row r="12" spans="2:19" ht="15.75" thickBot="1" x14ac:dyDescent="0.3">
      <c r="D12" s="14" t="s">
        <v>0</v>
      </c>
      <c r="E12" s="3">
        <f>D11+E11</f>
        <v>420</v>
      </c>
      <c r="F12" s="13" t="s">
        <v>11</v>
      </c>
      <c r="G12" s="13" t="s">
        <v>10</v>
      </c>
    </row>
    <row r="13" spans="2:19" x14ac:dyDescent="0.25">
      <c r="F13" s="12"/>
      <c r="G13" s="11"/>
    </row>
    <row r="14" spans="2:19" ht="15" customHeight="1" x14ac:dyDescent="0.25">
      <c r="F14" s="13" t="s">
        <v>9</v>
      </c>
      <c r="G14" s="13" t="s">
        <v>8</v>
      </c>
    </row>
    <row r="15" spans="2:19" x14ac:dyDescent="0.25">
      <c r="F15" s="12"/>
      <c r="G15" s="11"/>
    </row>
    <row r="16" spans="2:19" x14ac:dyDescent="0.25">
      <c r="F16" s="13" t="s">
        <v>7</v>
      </c>
      <c r="G16" s="13" t="s">
        <v>6</v>
      </c>
    </row>
    <row r="17" spans="6:7" ht="15.75" thickBot="1" x14ac:dyDescent="0.3">
      <c r="F17" s="12"/>
      <c r="G17" s="11"/>
    </row>
    <row r="18" spans="6:7" x14ac:dyDescent="0.25">
      <c r="F18" s="10" t="s">
        <v>5</v>
      </c>
      <c r="G18" s="9"/>
    </row>
    <row r="19" spans="6:7" x14ac:dyDescent="0.25">
      <c r="F19" s="8" t="s">
        <v>4</v>
      </c>
      <c r="G19" s="6" t="s">
        <v>3</v>
      </c>
    </row>
    <row r="20" spans="6:7" x14ac:dyDescent="0.25">
      <c r="F20" s="7" t="s">
        <v>2</v>
      </c>
      <c r="G20" s="6"/>
    </row>
    <row r="21" spans="6:7" x14ac:dyDescent="0.25">
      <c r="F21" s="5">
        <v>850</v>
      </c>
      <c r="G21" s="4" t="s">
        <v>1</v>
      </c>
    </row>
    <row r="22" spans="6:7" ht="15.75" thickBot="1" x14ac:dyDescent="0.3">
      <c r="F22" s="3" t="s">
        <v>0</v>
      </c>
      <c r="G22" s="2">
        <f>F21+G21</f>
        <v>1150</v>
      </c>
    </row>
  </sheetData>
  <mergeCells count="15">
    <mergeCell ref="E9:E10"/>
    <mergeCell ref="G19:G20"/>
    <mergeCell ref="D8:E8"/>
    <mergeCell ref="F18:G18"/>
    <mergeCell ref="L3:M3"/>
    <mergeCell ref="P3:Q3"/>
    <mergeCell ref="D2:S2"/>
    <mergeCell ref="C2:C4"/>
    <mergeCell ref="B2:B4"/>
    <mergeCell ref="R3:S3"/>
    <mergeCell ref="H3:I3"/>
    <mergeCell ref="N3:O3"/>
    <mergeCell ref="D3:E3"/>
    <mergeCell ref="F3:G3"/>
    <mergeCell ref="J3:K3"/>
  </mergeCells>
  <pageMargins left="0.23622047244094491" right="0.23622047244094491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&amp;14REAKSI BIOLOGIS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Fisiologi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2021-09-28T05:27:06Z</dcterms:created>
  <dcterms:modified xsi:type="dcterms:W3CDTF">2021-09-28T05:27:30Z</dcterms:modified>
</cp:coreProperties>
</file>