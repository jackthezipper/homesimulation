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ii\Dropbox\My PC (DESKTOP-C80LV6H)\Documents\PENELITIAN VCP\ABM\Tabel Flow ABM 13 20 Aug\Tabel Flow ABM 14\Proses Dalam Otak\Data Pribadi (Survei)\"/>
    </mc:Choice>
  </mc:AlternateContent>
  <xr:revisionPtr revIDLastSave="0" documentId="13_ncr:1_{D505F7C3-E8AB-408E-BC6F-984D13025A09}" xr6:coauthVersionLast="47" xr6:coauthVersionMax="47" xr10:uidLastSave="{00000000-0000-0000-0000-000000000000}"/>
  <bookViews>
    <workbookView xWindow="-120" yWindow="360" windowWidth="20730" windowHeight="11280" activeTab="1" xr2:uid="{5A62ED21-0FBB-41DE-919A-13A54A160986}"/>
  </bookViews>
  <sheets>
    <sheet name="Data Emosi" sheetId="1" r:id="rId1"/>
    <sheet name="Data Sosial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6" i="1" l="1"/>
  <c r="F7" i="1"/>
  <c r="F8" i="1"/>
  <c r="F9" i="1"/>
  <c r="J10" i="1"/>
  <c r="J12" i="1" s="1"/>
  <c r="M10" i="1"/>
  <c r="M12" i="1" s="1"/>
</calcChain>
</file>

<file path=xl/sharedStrings.xml><?xml version="1.0" encoding="utf-8"?>
<sst xmlns="http://schemas.openxmlformats.org/spreadsheetml/2006/main" count="58" uniqueCount="52">
  <si>
    <t>P/L</t>
  </si>
  <si>
    <t>Agen 1</t>
  </si>
  <si>
    <t>Agen 6</t>
  </si>
  <si>
    <t>Agen 5</t>
  </si>
  <si>
    <t>Agen 4</t>
  </si>
  <si>
    <t>Agen 3</t>
  </si>
  <si>
    <t>Agen 2</t>
  </si>
  <si>
    <t>LN Bad</t>
  </si>
  <si>
    <t>LN Good</t>
  </si>
  <si>
    <t>PN</t>
  </si>
  <si>
    <t>CCE</t>
  </si>
  <si>
    <t>Tingkat ingin bersosialisasi dengan</t>
  </si>
  <si>
    <t>Suasana Hati</t>
  </si>
  <si>
    <t>Kode P/L</t>
  </si>
  <si>
    <t>Kode</t>
  </si>
  <si>
    <t>No</t>
  </si>
  <si>
    <t>poin/menit</t>
  </si>
  <si>
    <t>Laju ke Normal</t>
  </si>
  <si>
    <t>Waktu (jam)</t>
  </si>
  <si>
    <t>Posisi maks</t>
  </si>
  <si>
    <t>Total bad feeling</t>
  </si>
  <si>
    <t>Total good feeling</t>
  </si>
  <si>
    <t>Sedih/ Menderita</t>
  </si>
  <si>
    <t>Gembira/Bahagia</t>
  </si>
  <si>
    <t>M</t>
  </si>
  <si>
    <t>-1</t>
  </si>
  <si>
    <t>Phlegmatic</t>
  </si>
  <si>
    <t>Takut</t>
  </si>
  <si>
    <t>Percaya Diri</t>
  </si>
  <si>
    <t>S</t>
  </si>
  <si>
    <t>-0.5</t>
  </si>
  <si>
    <t>Sanguine</t>
  </si>
  <si>
    <t>Lesu</t>
  </si>
  <si>
    <t>Bersemangat</t>
  </si>
  <si>
    <t>P</t>
  </si>
  <si>
    <t>+0.5</t>
  </si>
  <si>
    <t>Melancholic</t>
  </si>
  <si>
    <t>Cemas/ Khawatir</t>
  </si>
  <si>
    <t>Tenang</t>
  </si>
  <si>
    <t>C</t>
  </si>
  <si>
    <t>+1</t>
  </si>
  <si>
    <t>nilai tertinggi</t>
  </si>
  <si>
    <t>Choleric</t>
  </si>
  <si>
    <t>Ibu</t>
  </si>
  <si>
    <t>Nilai</t>
  </si>
  <si>
    <t>Bad Feeling</t>
  </si>
  <si>
    <t>Good Feeling</t>
  </si>
  <si>
    <t>Grid Posisi Normal</t>
  </si>
  <si>
    <t>Tes Web Karakter Tempramen</t>
  </si>
  <si>
    <t>LAJU KE NORMAL</t>
  </si>
  <si>
    <t>POSISI NORMAL</t>
  </si>
  <si>
    <t>TABEL DATA EMOSI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</si>
</sst>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53">
    <xf numFmtId="0" fontId="0" fillId="0" borderId="0" xfId="0"/>
    <xf numFmtId="0" fontId="2" fillId="0" borderId="1" xfId="1" applyBorder="1"/>
    <xf numFmtId="164" fontId="3" fillId="0" borderId="2" xfId="0" applyNumberFormat="1" applyFont="1" applyBorder="1" applyAlignment="1">
      <alignment horizontal="right" vertical="center"/>
    </xf>
    <xf numFmtId="164" fontId="3" fillId="0" borderId="1" xfId="0" quotePrefix="1" applyNumberFormat="1" applyFont="1" applyBorder="1" applyAlignment="1">
      <alignment horizontal="right" vertical="center"/>
    </xf>
    <xf numFmtId="164" fontId="3" fillId="0" borderId="1" xfId="0" applyNumberFormat="1" applyFont="1" applyBorder="1" applyAlignment="1">
      <alignment horizontal="right" vertical="center"/>
    </xf>
    <xf numFmtId="164" fontId="3" fillId="0" borderId="3" xfId="0" quotePrefix="1" applyNumberFormat="1" applyFont="1" applyBorder="1" applyAlignment="1">
      <alignment horizontal="right" vertical="center"/>
    </xf>
    <xf numFmtId="165" fontId="3" fillId="0" borderId="2" xfId="0" quotePrefix="1" applyNumberFormat="1" applyFont="1" applyBorder="1" applyAlignment="1">
      <alignment horizontal="right" vertical="center"/>
    </xf>
    <xf numFmtId="165" fontId="3" fillId="0" borderId="1" xfId="0" quotePrefix="1" applyNumberFormat="1" applyFont="1" applyBorder="1" applyAlignment="1">
      <alignment horizontal="right" vertical="center"/>
    </xf>
    <xf numFmtId="0" fontId="2" fillId="0" borderId="3" xfId="1" applyBorder="1"/>
    <xf numFmtId="0" fontId="1" fillId="2" borderId="4" xfId="1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6" xfId="1" applyFont="1" applyFill="1" applyBorder="1" applyAlignment="1">
      <alignment horizontal="center" vertical="center" wrapText="1"/>
    </xf>
    <xf numFmtId="0" fontId="1" fillId="2" borderId="7" xfId="1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9" xfId="1" applyFont="1" applyFill="1" applyBorder="1" applyAlignment="1">
      <alignment horizontal="center" vertical="center" wrapText="1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165" fontId="0" fillId="3" borderId="14" xfId="0" applyNumberFormat="1" applyFill="1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 applyAlignment="1">
      <alignment horizontal="center" vertical="center"/>
    </xf>
    <xf numFmtId="0" fontId="0" fillId="0" borderId="0" xfId="0" quotePrefix="1" applyAlignment="1">
      <alignment horizontal="right"/>
    </xf>
    <xf numFmtId="2" fontId="0" fillId="0" borderId="0" xfId="0" applyNumberFormat="1"/>
    <xf numFmtId="0" fontId="0" fillId="0" borderId="19" xfId="0" applyBorder="1" applyAlignment="1">
      <alignment horizontal="center" vertical="center"/>
    </xf>
    <xf numFmtId="164" fontId="0" fillId="3" borderId="14" xfId="0" applyNumberFormat="1" applyFill="1" applyBorder="1"/>
    <xf numFmtId="0" fontId="0" fillId="0" borderId="14" xfId="0" applyBorder="1"/>
    <xf numFmtId="0" fontId="0" fillId="0" borderId="19" xfId="0" applyBorder="1"/>
    <xf numFmtId="0" fontId="0" fillId="0" borderId="21" xfId="0" applyBorder="1" applyAlignment="1">
      <alignment horizontal="center" vertical="center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1" fillId="3" borderId="20" xfId="0" applyFont="1" applyFill="1" applyBorder="1" applyAlignment="1">
      <alignment horizontal="center" vertical="center"/>
    </xf>
    <xf numFmtId="0" fontId="1" fillId="3" borderId="24" xfId="0" applyFont="1" applyFill="1" applyBorder="1" applyAlignment="1">
      <alignment horizontal="center" vertical="center"/>
    </xf>
    <xf numFmtId="0" fontId="1" fillId="3" borderId="25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</cellXfs>
  <cellStyles count="2">
    <cellStyle name="Normal" xfId="0" builtinId="0"/>
    <cellStyle name="Normal 2" xfId="1" xr:uid="{A1E8E6F4-3EB2-44EB-9F6B-A10BD5C6B4A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B84AE-9A36-4A5C-A5CB-6CA2A9B5A4FD}">
  <sheetPr codeName="Sheet1">
    <pageSetUpPr fitToPage="1"/>
  </sheetPr>
  <dimension ref="B1:N13"/>
  <sheetViews>
    <sheetView zoomScaleNormal="100" workbookViewId="0">
      <selection activeCell="I2" sqref="I2:N3"/>
    </sheetView>
  </sheetViews>
  <sheetFormatPr defaultRowHeight="15" x14ac:dyDescent="0.25"/>
  <cols>
    <col min="2" max="2" width="3.85546875" bestFit="1" customWidth="1"/>
    <col min="3" max="3" width="11.7109375" bestFit="1" customWidth="1"/>
    <col min="4" max="4" width="5.140625" bestFit="1" customWidth="1"/>
    <col min="5" max="5" width="12.85546875" bestFit="1" customWidth="1"/>
    <col min="6" max="8" width="6.7109375" customWidth="1"/>
    <col min="9" max="9" width="12.7109375" bestFit="1" customWidth="1"/>
    <col min="10" max="10" width="7.5703125" bestFit="1" customWidth="1"/>
    <col min="11" max="11" width="11.140625" bestFit="1" customWidth="1"/>
    <col min="12" max="12" width="11.28515625" bestFit="1" customWidth="1"/>
    <col min="13" max="13" width="7.5703125" bestFit="1" customWidth="1"/>
    <col min="14" max="14" width="11.140625" bestFit="1" customWidth="1"/>
  </cols>
  <sheetData>
    <row r="1" spans="2:14" ht="15.75" thickBot="1" x14ac:dyDescent="0.3">
      <c r="B1" s="50" t="s">
        <v>51</v>
      </c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</row>
    <row r="2" spans="2:14" x14ac:dyDescent="0.25">
      <c r="B2" s="49" t="s">
        <v>50</v>
      </c>
      <c r="C2" s="48"/>
      <c r="D2" s="48"/>
      <c r="E2" s="48"/>
      <c r="F2" s="48"/>
      <c r="G2" s="48"/>
      <c r="H2" s="48"/>
      <c r="I2" s="49" t="s">
        <v>49</v>
      </c>
      <c r="J2" s="48"/>
      <c r="K2" s="48"/>
      <c r="L2" s="48"/>
      <c r="M2" s="48"/>
      <c r="N2" s="47"/>
    </row>
    <row r="3" spans="2:14" ht="15.75" thickBot="1" x14ac:dyDescent="0.3">
      <c r="B3" s="46"/>
      <c r="C3" s="45"/>
      <c r="D3" s="45"/>
      <c r="E3" s="45"/>
      <c r="F3" s="45"/>
      <c r="G3" s="45"/>
      <c r="H3" s="45"/>
      <c r="I3" s="44"/>
      <c r="J3" s="43"/>
      <c r="K3" s="43"/>
      <c r="L3" s="43"/>
      <c r="M3" s="43"/>
      <c r="N3" s="42"/>
    </row>
    <row r="4" spans="2:14" ht="30" customHeight="1" x14ac:dyDescent="0.25">
      <c r="B4" s="52" t="s">
        <v>48</v>
      </c>
      <c r="C4" s="51"/>
      <c r="D4" s="37" t="s">
        <v>44</v>
      </c>
      <c r="E4" s="37"/>
      <c r="F4" s="41" t="s">
        <v>47</v>
      </c>
      <c r="G4" s="41"/>
      <c r="H4" s="41"/>
      <c r="I4" s="39" t="s">
        <v>46</v>
      </c>
      <c r="J4" s="37" t="s">
        <v>44</v>
      </c>
      <c r="K4" s="38"/>
      <c r="L4" s="38" t="s">
        <v>45</v>
      </c>
      <c r="M4" s="37" t="s">
        <v>44</v>
      </c>
      <c r="N4" s="40"/>
    </row>
    <row r="5" spans="2:14" ht="15.75" thickBot="1" x14ac:dyDescent="0.3">
      <c r="B5" s="36"/>
      <c r="I5" s="27"/>
      <c r="N5" s="25"/>
    </row>
    <row r="6" spans="2:14" ht="15.75" thickBot="1" x14ac:dyDescent="0.3">
      <c r="B6" s="33" t="s">
        <v>43</v>
      </c>
      <c r="C6" t="s">
        <v>42</v>
      </c>
      <c r="D6" s="35">
        <v>10</v>
      </c>
      <c r="E6" t="s">
        <v>41</v>
      </c>
      <c r="F6" s="34">
        <f>(D6/24)*G6</f>
        <v>0.41666666666666669</v>
      </c>
      <c r="G6" s="31" t="s">
        <v>40</v>
      </c>
      <c r="H6" s="30" t="s">
        <v>39</v>
      </c>
      <c r="I6" s="27" t="s">
        <v>38</v>
      </c>
      <c r="J6">
        <v>0.5</v>
      </c>
      <c r="L6" t="s">
        <v>37</v>
      </c>
      <c r="M6">
        <v>1</v>
      </c>
      <c r="N6" s="25"/>
    </row>
    <row r="7" spans="2:14" x14ac:dyDescent="0.25">
      <c r="B7" s="33"/>
      <c r="C7" t="s">
        <v>36</v>
      </c>
      <c r="D7">
        <v>2</v>
      </c>
      <c r="F7" s="32">
        <f>(D9/24)*G7</f>
        <v>0.10416666666666667</v>
      </c>
      <c r="G7" s="31" t="s">
        <v>35</v>
      </c>
      <c r="H7" s="30" t="s">
        <v>34</v>
      </c>
      <c r="I7" s="27" t="s">
        <v>33</v>
      </c>
      <c r="J7">
        <v>1</v>
      </c>
      <c r="L7" t="s">
        <v>32</v>
      </c>
      <c r="M7">
        <v>0.2</v>
      </c>
      <c r="N7" s="25"/>
    </row>
    <row r="8" spans="2:14" x14ac:dyDescent="0.25">
      <c r="B8" s="33"/>
      <c r="C8" t="s">
        <v>31</v>
      </c>
      <c r="D8">
        <v>4</v>
      </c>
      <c r="F8" s="32">
        <f>(D8/24)*G8</f>
        <v>-8.3333333333333329E-2</v>
      </c>
      <c r="G8" s="31" t="s">
        <v>30</v>
      </c>
      <c r="H8" s="30" t="s">
        <v>29</v>
      </c>
      <c r="I8" s="27" t="s">
        <v>28</v>
      </c>
      <c r="J8">
        <v>0.9</v>
      </c>
      <c r="L8" t="s">
        <v>27</v>
      </c>
      <c r="M8">
        <v>0.7</v>
      </c>
      <c r="N8" s="25"/>
    </row>
    <row r="9" spans="2:14" x14ac:dyDescent="0.25">
      <c r="B9" s="33"/>
      <c r="C9" t="s">
        <v>26</v>
      </c>
      <c r="D9">
        <v>5</v>
      </c>
      <c r="F9" s="32">
        <f>(D7/24)*G9</f>
        <v>-8.3333333333333329E-2</v>
      </c>
      <c r="G9" s="31" t="s">
        <v>25</v>
      </c>
      <c r="H9" s="30" t="s">
        <v>24</v>
      </c>
      <c r="I9" s="27" t="s">
        <v>23</v>
      </c>
      <c r="J9">
        <v>1</v>
      </c>
      <c r="L9" t="s">
        <v>22</v>
      </c>
      <c r="M9">
        <v>1</v>
      </c>
      <c r="N9" s="25"/>
    </row>
    <row r="10" spans="2:14" x14ac:dyDescent="0.25">
      <c r="B10" s="27"/>
      <c r="I10" s="29" t="s">
        <v>21</v>
      </c>
      <c r="J10" s="28">
        <f>SUM(J6:J9)/4</f>
        <v>0.85</v>
      </c>
      <c r="K10" t="s">
        <v>19</v>
      </c>
      <c r="L10" s="28" t="s">
        <v>20</v>
      </c>
      <c r="M10" s="28">
        <f>SUM(M6:M9)/4</f>
        <v>0.72499999999999998</v>
      </c>
      <c r="N10" s="25" t="s">
        <v>19</v>
      </c>
    </row>
    <row r="11" spans="2:14" ht="15.75" thickBot="1" x14ac:dyDescent="0.3">
      <c r="B11" s="27"/>
      <c r="I11" s="27" t="s">
        <v>18</v>
      </c>
      <c r="J11">
        <v>10</v>
      </c>
      <c r="L11" t="s">
        <v>18</v>
      </c>
      <c r="M11">
        <v>6</v>
      </c>
      <c r="N11" s="25"/>
    </row>
    <row r="12" spans="2:14" ht="15.75" thickBot="1" x14ac:dyDescent="0.3">
      <c r="B12" s="27"/>
      <c r="I12" s="27" t="s">
        <v>17</v>
      </c>
      <c r="J12" s="26">
        <f>J10/J11/60</f>
        <v>1.4166666666666666E-3</v>
      </c>
      <c r="K12" t="s">
        <v>16</v>
      </c>
      <c r="L12" t="s">
        <v>17</v>
      </c>
      <c r="M12" s="26">
        <f>M10/M11/60</f>
        <v>2.0138888888888888E-3</v>
      </c>
      <c r="N12" s="25" t="s">
        <v>16</v>
      </c>
    </row>
    <row r="13" spans="2:14" ht="15.75" thickBot="1" x14ac:dyDescent="0.3">
      <c r="B13" s="24"/>
      <c r="C13" s="23"/>
      <c r="D13" s="23"/>
      <c r="E13" s="23"/>
      <c r="F13" s="23"/>
      <c r="G13" s="23"/>
      <c r="H13" s="23"/>
      <c r="I13" s="24"/>
      <c r="J13" s="23"/>
      <c r="K13" s="23"/>
      <c r="L13" s="23"/>
      <c r="M13" s="23"/>
      <c r="N13" s="22"/>
    </row>
  </sheetData>
  <mergeCells count="6">
    <mergeCell ref="B4:C4"/>
    <mergeCell ref="B1:N1"/>
    <mergeCell ref="I2:N3"/>
    <mergeCell ref="B2:H3"/>
    <mergeCell ref="F4:H4"/>
    <mergeCell ref="B6:B9"/>
  </mergeCells>
  <pageMargins left="0.7" right="0.7" top="0.75" bottom="0.75" header="0.3" footer="0.3"/>
  <pageSetup scale="74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2436B-6FC8-4C32-AE7F-BFB927A598B3}">
  <sheetPr codeName="Sheet2"/>
  <dimension ref="B1:M4"/>
  <sheetViews>
    <sheetView tabSelected="1" workbookViewId="0">
      <selection activeCell="E15" sqref="E15"/>
    </sheetView>
  </sheetViews>
  <sheetFormatPr defaultRowHeight="15" x14ac:dyDescent="0.25"/>
  <sheetData>
    <row r="1" spans="2:13" ht="15.75" thickBot="1" x14ac:dyDescent="0.3"/>
    <row r="2" spans="2:13" x14ac:dyDescent="0.25">
      <c r="B2" s="21" t="s">
        <v>15</v>
      </c>
      <c r="C2" s="17" t="s">
        <v>14</v>
      </c>
      <c r="D2" s="17" t="s">
        <v>13</v>
      </c>
      <c r="E2" s="20" t="s">
        <v>12</v>
      </c>
      <c r="F2" s="19"/>
      <c r="G2" s="18"/>
      <c r="H2" s="20" t="s">
        <v>11</v>
      </c>
      <c r="I2" s="19"/>
      <c r="J2" s="19"/>
      <c r="K2" s="19"/>
      <c r="L2" s="18"/>
      <c r="M2" s="17" t="s">
        <v>10</v>
      </c>
    </row>
    <row r="3" spans="2:13" ht="15.75" thickBot="1" x14ac:dyDescent="0.3">
      <c r="B3" s="16"/>
      <c r="C3" s="9"/>
      <c r="D3" s="9"/>
      <c r="E3" s="15" t="s">
        <v>9</v>
      </c>
      <c r="F3" s="14" t="s">
        <v>8</v>
      </c>
      <c r="G3" s="13" t="s">
        <v>7</v>
      </c>
      <c r="H3" s="12" t="s">
        <v>6</v>
      </c>
      <c r="I3" s="11" t="s">
        <v>5</v>
      </c>
      <c r="J3" s="11" t="s">
        <v>4</v>
      </c>
      <c r="K3" s="11" t="s">
        <v>3</v>
      </c>
      <c r="L3" s="10" t="s">
        <v>2</v>
      </c>
      <c r="M3" s="9"/>
    </row>
    <row r="4" spans="2:13" ht="15.75" thickBot="1" x14ac:dyDescent="0.3">
      <c r="B4" s="8">
        <v>1</v>
      </c>
      <c r="C4" s="1" t="s">
        <v>1</v>
      </c>
      <c r="D4" s="1" t="s">
        <v>0</v>
      </c>
      <c r="E4" s="5">
        <v>0</v>
      </c>
      <c r="F4" s="7">
        <v>0</v>
      </c>
      <c r="G4" s="6">
        <v>0</v>
      </c>
      <c r="H4" s="5">
        <v>0</v>
      </c>
      <c r="I4" s="3">
        <v>0</v>
      </c>
      <c r="J4" s="4">
        <v>0</v>
      </c>
      <c r="K4" s="3">
        <v>0</v>
      </c>
      <c r="L4" s="2">
        <v>0</v>
      </c>
      <c r="M4" s="1">
        <v>0</v>
      </c>
    </row>
  </sheetData>
  <mergeCells count="6">
    <mergeCell ref="H2:L2"/>
    <mergeCell ref="B2:B3"/>
    <mergeCell ref="M2:M3"/>
    <mergeCell ref="C2:C3"/>
    <mergeCell ref="D2:D3"/>
    <mergeCell ref="E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Emosi</vt:lpstr>
      <vt:lpstr>Data Sosial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ii</dc:creator>
  <cp:lastModifiedBy>ii</cp:lastModifiedBy>
  <dcterms:created xsi:type="dcterms:W3CDTF">2021-09-28T05:22:44Z</dcterms:created>
  <dcterms:modified xsi:type="dcterms:W3CDTF">2021-09-28T06:14:14Z</dcterms:modified>
</cp:coreProperties>
</file>