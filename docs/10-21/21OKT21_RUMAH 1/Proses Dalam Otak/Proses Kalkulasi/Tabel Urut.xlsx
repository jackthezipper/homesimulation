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360" windowWidth="20730" windowHeight="11280"/>
  </bookViews>
  <sheets>
    <sheet name="URUT" sheetId="1" r:id="rId1"/>
  </sheets>
  <calcPr calcId="145621"/>
</workbook>
</file>

<file path=xl/calcChain.xml><?xml version="1.0" encoding="utf-8"?>
<calcChain xmlns="http://schemas.openxmlformats.org/spreadsheetml/2006/main">
  <c r="K94" i="1" l="1"/>
  <c r="L94" i="1"/>
  <c r="M94" i="1"/>
  <c r="M93" i="1"/>
  <c r="L93" i="1"/>
  <c r="K93" i="1"/>
  <c r="E215" i="1"/>
  <c r="E203" i="1"/>
  <c r="H215" i="1"/>
  <c r="M223" i="1"/>
  <c r="L223" i="1"/>
  <c r="K223" i="1"/>
  <c r="M222" i="1"/>
  <c r="L222" i="1"/>
  <c r="K222" i="1"/>
  <c r="M221" i="1"/>
  <c r="L221" i="1"/>
  <c r="K221" i="1"/>
  <c r="M173" i="1"/>
  <c r="L173" i="1"/>
  <c r="K173" i="1"/>
  <c r="M172" i="1"/>
  <c r="L172" i="1"/>
  <c r="K172" i="1"/>
  <c r="E151" i="1"/>
  <c r="M159" i="1"/>
  <c r="L159" i="1"/>
  <c r="K159" i="1"/>
  <c r="M158" i="1"/>
  <c r="L158" i="1"/>
  <c r="K158" i="1"/>
  <c r="M157" i="1"/>
  <c r="L157" i="1"/>
  <c r="K157" i="1"/>
  <c r="E138" i="1"/>
  <c r="K108" i="1"/>
  <c r="L108" i="1"/>
  <c r="M108" i="1"/>
  <c r="H151" i="1"/>
  <c r="M107" i="1"/>
  <c r="L107" i="1"/>
  <c r="K107" i="1"/>
  <c r="H87" i="1"/>
  <c r="E87" i="1"/>
  <c r="E74" i="1"/>
  <c r="M44" i="1"/>
  <c r="L44" i="1"/>
  <c r="K44" i="1"/>
  <c r="H31" i="1" l="1"/>
  <c r="H17" i="1"/>
</calcChain>
</file>

<file path=xl/sharedStrings.xml><?xml version="1.0" encoding="utf-8"?>
<sst xmlns="http://schemas.openxmlformats.org/spreadsheetml/2006/main" count="457" uniqueCount="100">
  <si>
    <t>Kegiatan sosial di pagi hari</t>
  </si>
  <si>
    <t>Menonton TV siang</t>
  </si>
  <si>
    <t>Menggunakan blender</t>
  </si>
  <si>
    <t>Memasak makan siang dengan peralatan listrik</t>
  </si>
  <si>
    <t>Memasak makan siang dengan kompor gas</t>
  </si>
  <si>
    <t>Mencuci dengan mesin cuci</t>
  </si>
  <si>
    <t>****membandingkan keputusan di ruang</t>
  </si>
  <si>
    <t>Berdandan</t>
  </si>
  <si>
    <t>***terisi setelah sampai di ruang</t>
  </si>
  <si>
    <t>Menyuapi anak2 makan pagi</t>
  </si>
  <si>
    <r>
      <rPr>
        <b/>
        <sz val="9"/>
        <color rgb="FFFF0000"/>
        <rFont val="Calibri"/>
        <family val="2"/>
        <scheme val="minor"/>
      </rPr>
      <t>**</t>
    </r>
    <r>
      <rPr>
        <sz val="9"/>
        <color rgb="FFFF0000"/>
        <rFont val="Calibri"/>
        <family val="2"/>
        <scheme val="minor"/>
      </rPr>
      <t>jika tidak dalam satu ruang maka prog. "berjalan dari A ke B"</t>
    </r>
  </si>
  <si>
    <t>Mencuci piring dan alat masak siang</t>
  </si>
  <si>
    <t>*ambil dari data agen posisi ruang terkini</t>
  </si>
  <si>
    <t>Mencuci piring dan alat masak pagi</t>
  </si>
  <si>
    <t>Menjemur pakaian</t>
  </si>
  <si>
    <t>RKM01</t>
  </si>
  <si>
    <t>RMK01</t>
  </si>
  <si>
    <t>Memandikan anak 2 pagi hari</t>
  </si>
  <si>
    <r>
      <t>Nilai</t>
    </r>
    <r>
      <rPr>
        <b/>
        <sz val="11"/>
        <color rgb="FFFF0000"/>
        <rFont val="Calibri"/>
        <family val="2"/>
        <scheme val="minor"/>
      </rPr>
      <t>****</t>
    </r>
  </si>
  <si>
    <r>
      <t>Kode Orang</t>
    </r>
    <r>
      <rPr>
        <b/>
        <sz val="11"/>
        <color rgb="FFFF0000"/>
        <rFont val="Calibri"/>
        <family val="2"/>
        <scheme val="minor"/>
      </rPr>
      <t>***</t>
    </r>
  </si>
  <si>
    <t>Batas Sosial</t>
  </si>
  <si>
    <r>
      <t>Tujuan</t>
    </r>
    <r>
      <rPr>
        <sz val="11"/>
        <color rgb="FFFF0000"/>
        <rFont val="Calibri"/>
        <family val="2"/>
        <scheme val="minor"/>
      </rPr>
      <t>**</t>
    </r>
  </si>
  <si>
    <r>
      <t xml:space="preserve">Awal </t>
    </r>
    <r>
      <rPr>
        <b/>
        <sz val="11"/>
        <color rgb="FFFF0000"/>
        <rFont val="Calibri"/>
        <family val="2"/>
        <scheme val="minor"/>
      </rPr>
      <t>*</t>
    </r>
  </si>
  <si>
    <t>Nilai</t>
  </si>
  <si>
    <t>Aktivitas</t>
  </si>
  <si>
    <t>Kode</t>
  </si>
  <si>
    <t>ambil dari Kal. F di sheet Kal.B</t>
  </si>
  <si>
    <t>ambil dari Syarat_Akt Terencana</t>
  </si>
  <si>
    <t>HASIL URUT</t>
  </si>
  <si>
    <r>
      <rPr>
        <b/>
        <sz val="9"/>
        <color rgb="FFFF0000"/>
        <rFont val="Calibri"/>
        <family val="2"/>
        <scheme val="minor"/>
      </rPr>
      <t>**</t>
    </r>
    <r>
      <rPr>
        <sz val="9"/>
        <color rgb="FFFF0000"/>
        <rFont val="Calibri"/>
        <family val="2"/>
        <scheme val="minor"/>
      </rPr>
      <t>jika tidak dalam satu ruang maka prog. "berjalan dari A ke B" alt 1/2</t>
    </r>
  </si>
  <si>
    <t>CONTOH URUT</t>
  </si>
  <si>
    <t>Pilih/Tidak</t>
  </si>
  <si>
    <t>PR</t>
  </si>
  <si>
    <t>Mandi pagi</t>
  </si>
  <si>
    <t xml:space="preserve">No </t>
  </si>
  <si>
    <t>Tabel Aktivitas Berjalan</t>
  </si>
  <si>
    <t>Diinterupsi</t>
  </si>
  <si>
    <t>Menginterupsi</t>
  </si>
  <si>
    <t xml:space="preserve">Waktu </t>
  </si>
  <si>
    <t>Status</t>
  </si>
  <si>
    <t>Ya/ Tidak</t>
  </si>
  <si>
    <t>Durasi Aktivitas</t>
  </si>
  <si>
    <t>Waktu Berjalan</t>
  </si>
  <si>
    <t>Sisa Waktu</t>
  </si>
  <si>
    <t>Terpenuhi (%)</t>
  </si>
  <si>
    <t>BM/ BS/ SL</t>
  </si>
  <si>
    <t>Ya</t>
  </si>
  <si>
    <t>Tidak</t>
  </si>
  <si>
    <t>MD</t>
  </si>
  <si>
    <t>No.</t>
  </si>
  <si>
    <t>Memasak makan pagi dengan kompor gas</t>
  </si>
  <si>
    <t>Memasak makan pagi dengan peralatan listrik</t>
  </si>
  <si>
    <t>Menyeterika pakaian</t>
  </si>
  <si>
    <t>Meyuapi anak 2 makan pagi</t>
  </si>
  <si>
    <t>nilai tertinggi</t>
  </si>
  <si>
    <t>TABEL URUT</t>
  </si>
  <si>
    <t>nilai tertinggi = Terpilih</t>
  </si>
  <si>
    <t>SKENARIO AKTIVITAS PREREQ (PR)</t>
  </si>
  <si>
    <t>HASIL URUT SEMENTARA</t>
  </si>
  <si>
    <t>HASIL URUT FINAL + IF-THEN PR</t>
  </si>
  <si>
    <t>jika Capability Terkini &gt;= Syarat, maka Jalan</t>
  </si>
  <si>
    <t>Syarat Capability</t>
  </si>
  <si>
    <t>Capability Terkini</t>
  </si>
  <si>
    <t>Capability cukup = Terpilih</t>
  </si>
  <si>
    <t>Syarat</t>
  </si>
  <si>
    <t>Terkini</t>
  </si>
  <si>
    <t>Prasyarat-1: Kemammpuan Fisik (Capability)</t>
  </si>
  <si>
    <t>CONTOH 01</t>
  </si>
  <si>
    <t>CONTOH 02</t>
  </si>
  <si>
    <t>Menyapu halaman</t>
  </si>
  <si>
    <t>IF Sisa waktu "Mencuci dengan mesin cuci "=durasi-waktu berjalan = 1, THEN "Menjemur pakaian"= nilai aktivitas tertinggi +1</t>
  </si>
  <si>
    <t xml:space="preserve">Mencuci dengan mesin cuci </t>
  </si>
  <si>
    <t>Aktivitas PreReq (PR)</t>
  </si>
  <si>
    <t>Formula PR untuk aktivitas 1</t>
  </si>
  <si>
    <t>Aktivitas berjalan 1</t>
  </si>
  <si>
    <t>Aktivitas berjalan 2</t>
  </si>
  <si>
    <t>No</t>
  </si>
  <si>
    <t>Komponen</t>
  </si>
  <si>
    <t xml:space="preserve">Aktivitas / Formula / Keterangan </t>
  </si>
  <si>
    <t>Kode PR</t>
  </si>
  <si>
    <t>Jenis aktivitas 1</t>
  </si>
  <si>
    <t>Tidak bisa ditinggal | siklus berjalan pada diri agen</t>
  </si>
  <si>
    <t>Aktivitas bisa ditinggal | siklus berjalan pada data mesin cuci | agen bisa melakukan aktivitas 2</t>
  </si>
  <si>
    <t>IF Sisa waktu "Mandi pagi "=durasi-waktu berjalan = 1, THEN "Berdandan"= nilai aktivitas tertinggi +1</t>
  </si>
  <si>
    <t>Menjemur Pakaian</t>
  </si>
  <si>
    <t>Menyapu RTU01</t>
  </si>
  <si>
    <t>Mengepel RTU01</t>
  </si>
  <si>
    <t>Menyapu RGD01</t>
  </si>
  <si>
    <t>menyiram tanaman</t>
  </si>
  <si>
    <t>Mengepel RDP01</t>
  </si>
  <si>
    <t>jika aktivitas berjalan 1 ada di siklus terakhir, PR tidak menjadi urut 1, maka nilai PR harus tertinggi</t>
  </si>
  <si>
    <t>nilai tertinggi | sedang berjalan</t>
  </si>
  <si>
    <t>Terinterupsi</t>
  </si>
  <si>
    <t>SKENARIO AKTIVITAS PREREQ (PR) prioritas 1: setelah aktivitas 1 selesai</t>
  </si>
  <si>
    <t>SKENARIO AKTIVITAS PREREQ (PR) prioritas 2: setelah aktivitas 2 selesai</t>
  </si>
  <si>
    <t>IF Sisa waktu "Menyapu halaman"=durasi-waktu berjalan = 1, THEN "Menjemur pakaian"= nilai aktivitas tertinggi +1</t>
  </si>
  <si>
    <t>jika aktivitas berjalan 2 ada di siklus terakhir, PR tidak menjadi urut 1, maka nilai PR harus tertinggi</t>
  </si>
  <si>
    <t>CONTOH 03</t>
  </si>
  <si>
    <t>Aktivitas "Menjemur Pakaian" masuk dalam Tabel Aktivitas Berjalan | Status BM: Belum Mulai</t>
  </si>
  <si>
    <t>Aktivitas "Berdandan" masuk dalam Tabel Aktivitas Berjalan | Status BM: Belum Mulai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</si>
</sst>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0">
    <xf numFmtId="0" fontId="0" fillId="0" borderId="0" xfId="0"/>
    <xf numFmtId="2" fontId="0" fillId="0" borderId="1" xfId="0" applyNumberFormat="1" applyBorder="1"/>
    <xf numFmtId="0" fontId="4" fillId="0" borderId="1" xfId="1" applyFont="1" applyBorder="1"/>
    <xf numFmtId="0" fontId="0" fillId="0" borderId="1" xfId="0" applyBorder="1"/>
    <xf numFmtId="0" fontId="5" fillId="0" borderId="0" xfId="0" applyFont="1"/>
    <xf numFmtId="0" fontId="7" fillId="0" borderId="0" xfId="0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2" borderId="1" xfId="0" applyNumberFormat="1" applyFill="1" applyBorder="1"/>
    <xf numFmtId="0" fontId="4" fillId="2" borderId="1" xfId="1" applyFont="1" applyFill="1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/>
    <xf numFmtId="0" fontId="2" fillId="0" borderId="1" xfId="0" applyFont="1" applyBorder="1"/>
    <xf numFmtId="0" fontId="2" fillId="0" borderId="0" xfId="0" applyFont="1"/>
    <xf numFmtId="0" fontId="5" fillId="0" borderId="0" xfId="0" applyFont="1" applyAlignment="1">
      <alignment wrapText="1"/>
    </xf>
    <xf numFmtId="0" fontId="2" fillId="0" borderId="9" xfId="0" applyFont="1" applyBorder="1"/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Border="1"/>
    <xf numFmtId="0" fontId="4" fillId="0" borderId="0" xfId="1" applyFont="1" applyBorder="1"/>
    <xf numFmtId="2" fontId="0" fillId="0" borderId="0" xfId="0" applyNumberFormat="1" applyBorder="1"/>
    <xf numFmtId="0" fontId="2" fillId="0" borderId="0" xfId="0" applyFont="1" applyAlignment="1">
      <alignment wrapText="1"/>
    </xf>
    <xf numFmtId="0" fontId="9" fillId="0" borderId="13" xfId="1" applyFont="1" applyBorder="1" applyAlignment="1">
      <alignment horizontal="center"/>
    </xf>
    <xf numFmtId="0" fontId="0" fillId="0" borderId="14" xfId="1" applyFont="1" applyBorder="1" applyAlignment="1">
      <alignment horizontal="center"/>
    </xf>
    <xf numFmtId="0" fontId="0" fillId="0" borderId="15" xfId="1" applyFont="1" applyFill="1" applyBorder="1" applyAlignment="1">
      <alignment horizontal="left"/>
    </xf>
    <xf numFmtId="0" fontId="2" fillId="3" borderId="3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 wrapText="1"/>
    </xf>
    <xf numFmtId="0" fontId="2" fillId="3" borderId="16" xfId="1" applyFont="1" applyFill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 wrapText="1"/>
    </xf>
    <xf numFmtId="2" fontId="0" fillId="0" borderId="13" xfId="1" applyNumberFormat="1" applyFont="1" applyFill="1" applyBorder="1" applyAlignment="1">
      <alignment horizontal="center"/>
    </xf>
    <xf numFmtId="1" fontId="0" fillId="0" borderId="14" xfId="1" applyNumberFormat="1" applyFont="1" applyFill="1" applyBorder="1" applyAlignment="1">
      <alignment horizontal="center"/>
    </xf>
    <xf numFmtId="2" fontId="9" fillId="0" borderId="14" xfId="1" applyNumberFormat="1" applyFont="1" applyFill="1" applyBorder="1" applyAlignment="1">
      <alignment horizontal="center"/>
    </xf>
    <xf numFmtId="1" fontId="9" fillId="0" borderId="17" xfId="1" applyNumberFormat="1" applyFont="1" applyFill="1" applyBorder="1" applyAlignment="1">
      <alignment horizontal="center"/>
    </xf>
    <xf numFmtId="0" fontId="9" fillId="0" borderId="13" xfId="1" applyFont="1" applyFill="1" applyBorder="1" applyAlignment="1">
      <alignment horizontal="right"/>
    </xf>
    <xf numFmtId="0" fontId="9" fillId="0" borderId="14" xfId="1" applyFont="1" applyFill="1" applyBorder="1" applyAlignment="1">
      <alignment horizontal="right"/>
    </xf>
    <xf numFmtId="0" fontId="9" fillId="0" borderId="17" xfId="1" applyFont="1" applyFill="1" applyBorder="1" applyAlignment="1">
      <alignment horizontal="right"/>
    </xf>
    <xf numFmtId="0" fontId="0" fillId="0" borderId="17" xfId="1" quotePrefix="1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22" xfId="0" applyFill="1" applyBorder="1" applyAlignment="1">
      <alignment wrapText="1"/>
    </xf>
    <xf numFmtId="0" fontId="1" fillId="0" borderId="1" xfId="0" applyFont="1" applyBorder="1" applyAlignment="1">
      <alignment wrapText="1"/>
    </xf>
    <xf numFmtId="2" fontId="1" fillId="0" borderId="1" xfId="0" applyNumberFormat="1" applyFont="1" applyBorder="1"/>
    <xf numFmtId="0" fontId="11" fillId="0" borderId="0" xfId="0" applyFont="1"/>
    <xf numFmtId="0" fontId="12" fillId="0" borderId="1" xfId="1" applyFont="1" applyBorder="1"/>
    <xf numFmtId="0" fontId="2" fillId="0" borderId="1" xfId="0" applyFont="1" applyBorder="1" applyAlignment="1">
      <alignment wrapText="1"/>
    </xf>
    <xf numFmtId="2" fontId="2" fillId="0" borderId="1" xfId="0" applyNumberFormat="1" applyFont="1" applyBorder="1"/>
    <xf numFmtId="0" fontId="0" fillId="0" borderId="1" xfId="0" applyFill="1" applyBorder="1" applyAlignment="1">
      <alignment wrapText="1"/>
    </xf>
    <xf numFmtId="0" fontId="0" fillId="0" borderId="22" xfId="0" applyBorder="1" applyAlignment="1">
      <alignment wrapText="1"/>
    </xf>
    <xf numFmtId="0" fontId="8" fillId="0" borderId="1" xfId="1" applyFont="1" applyBorder="1"/>
    <xf numFmtId="0" fontId="8" fillId="0" borderId="1" xfId="0" applyFont="1" applyBorder="1" applyAlignment="1">
      <alignment wrapText="1"/>
    </xf>
    <xf numFmtId="2" fontId="8" fillId="0" borderId="1" xfId="0" applyNumberFormat="1" applyFont="1" applyBorder="1"/>
    <xf numFmtId="2" fontId="8" fillId="0" borderId="8" xfId="0" applyNumberFormat="1" applyFont="1" applyBorder="1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/>
    <xf numFmtId="0" fontId="4" fillId="0" borderId="0" xfId="1" applyFont="1" applyFill="1" applyBorder="1"/>
    <xf numFmtId="2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0" fontId="0" fillId="4" borderId="0" xfId="0" applyFill="1"/>
    <xf numFmtId="0" fontId="4" fillId="4" borderId="0" xfId="1" applyFont="1" applyFill="1" applyBorder="1"/>
    <xf numFmtId="2" fontId="0" fillId="4" borderId="0" xfId="0" applyNumberFormat="1" applyFill="1" applyBorder="1"/>
    <xf numFmtId="0" fontId="0" fillId="4" borderId="0" xfId="0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9" fillId="0" borderId="0" xfId="1" applyFont="1" applyBorder="1" applyAlignment="1">
      <alignment horizontal="center"/>
    </xf>
    <xf numFmtId="0" fontId="0" fillId="0" borderId="0" xfId="1" applyFont="1" applyBorder="1" applyAlignment="1">
      <alignment horizontal="center"/>
    </xf>
    <xf numFmtId="0" fontId="0" fillId="0" borderId="0" xfId="1" applyFont="1" applyFill="1" applyBorder="1" applyAlignment="1">
      <alignment horizontal="left"/>
    </xf>
    <xf numFmtId="2" fontId="0" fillId="0" borderId="0" xfId="1" applyNumberFormat="1" applyFont="1" applyFill="1" applyBorder="1" applyAlignment="1">
      <alignment horizontal="center"/>
    </xf>
    <xf numFmtId="1" fontId="0" fillId="0" borderId="0" xfId="1" applyNumberFormat="1" applyFont="1" applyFill="1" applyBorder="1" applyAlignment="1">
      <alignment horizontal="center"/>
    </xf>
    <xf numFmtId="2" fontId="9" fillId="0" borderId="0" xfId="1" applyNumberFormat="1" applyFont="1" applyFill="1" applyBorder="1" applyAlignment="1">
      <alignment horizontal="center"/>
    </xf>
    <xf numFmtId="1" fontId="9" fillId="0" borderId="0" xfId="1" applyNumberFormat="1" applyFont="1" applyFill="1" applyBorder="1" applyAlignment="1">
      <alignment horizontal="center"/>
    </xf>
    <xf numFmtId="0" fontId="9" fillId="0" borderId="0" xfId="1" applyFont="1" applyFill="1" applyBorder="1" applyAlignment="1">
      <alignment horizontal="right"/>
    </xf>
    <xf numFmtId="0" fontId="0" fillId="0" borderId="0" xfId="1" quotePrefix="1" applyFont="1" applyFill="1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Alignment="1"/>
    <xf numFmtId="0" fontId="0" fillId="0" borderId="0" xfId="0" applyFill="1" applyBorder="1"/>
    <xf numFmtId="0" fontId="8" fillId="0" borderId="0" xfId="1" applyFont="1" applyFill="1" applyBorder="1"/>
    <xf numFmtId="0" fontId="8" fillId="0" borderId="0" xfId="0" applyFont="1" applyFill="1" applyBorder="1" applyAlignment="1">
      <alignment wrapText="1"/>
    </xf>
    <xf numFmtId="2" fontId="8" fillId="0" borderId="0" xfId="0" applyNumberFormat="1" applyFont="1" applyFill="1" applyBorder="1"/>
    <xf numFmtId="0" fontId="11" fillId="0" borderId="0" xfId="0" applyFont="1" applyFill="1"/>
    <xf numFmtId="0" fontId="0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9" fillId="0" borderId="6" xfId="1" applyFont="1" applyBorder="1" applyAlignment="1">
      <alignment horizontal="center"/>
    </xf>
    <xf numFmtId="0" fontId="0" fillId="0" borderId="5" xfId="1" applyFont="1" applyBorder="1" applyAlignment="1">
      <alignment horizontal="center"/>
    </xf>
    <xf numFmtId="0" fontId="0" fillId="0" borderId="7" xfId="1" applyFont="1" applyFill="1" applyBorder="1" applyAlignment="1">
      <alignment horizontal="left"/>
    </xf>
    <xf numFmtId="2" fontId="0" fillId="0" borderId="6" xfId="1" applyNumberFormat="1" applyFont="1" applyFill="1" applyBorder="1" applyAlignment="1">
      <alignment horizontal="center"/>
    </xf>
    <xf numFmtId="1" fontId="0" fillId="0" borderId="5" xfId="1" applyNumberFormat="1" applyFont="1" applyFill="1" applyBorder="1" applyAlignment="1">
      <alignment horizontal="center"/>
    </xf>
    <xf numFmtId="2" fontId="9" fillId="0" borderId="5" xfId="1" applyNumberFormat="1" applyFont="1" applyFill="1" applyBorder="1" applyAlignment="1">
      <alignment horizontal="center"/>
    </xf>
    <xf numFmtId="1" fontId="9" fillId="0" borderId="12" xfId="1" applyNumberFormat="1" applyFont="1" applyFill="1" applyBorder="1" applyAlignment="1">
      <alignment horizontal="center"/>
    </xf>
    <xf numFmtId="0" fontId="9" fillId="0" borderId="6" xfId="1" applyFont="1" applyFill="1" applyBorder="1" applyAlignment="1">
      <alignment horizontal="right"/>
    </xf>
    <xf numFmtId="0" fontId="9" fillId="0" borderId="5" xfId="1" applyFont="1" applyFill="1" applyBorder="1" applyAlignment="1">
      <alignment horizontal="right"/>
    </xf>
    <xf numFmtId="0" fontId="9" fillId="0" borderId="12" xfId="1" applyFont="1" applyFill="1" applyBorder="1" applyAlignment="1">
      <alignment horizontal="right"/>
    </xf>
    <xf numFmtId="0" fontId="0" fillId="0" borderId="12" xfId="1" quotePrefix="1" applyFont="1" applyFill="1" applyBorder="1" applyAlignment="1">
      <alignment horizontal="center"/>
    </xf>
    <xf numFmtId="0" fontId="1" fillId="7" borderId="1" xfId="1" applyFont="1" applyFill="1" applyBorder="1"/>
    <xf numFmtId="0" fontId="13" fillId="0" borderId="0" xfId="0" applyFont="1"/>
    <xf numFmtId="0" fontId="14" fillId="0" borderId="1" xfId="0" applyFont="1" applyBorder="1" applyAlignment="1">
      <alignment wrapText="1"/>
    </xf>
    <xf numFmtId="2" fontId="14" fillId="0" borderId="1" xfId="0" applyNumberFormat="1" applyFont="1" applyBorder="1"/>
    <xf numFmtId="0" fontId="0" fillId="0" borderId="5" xfId="1" applyFont="1" applyFill="1" applyBorder="1" applyAlignment="1">
      <alignment horizontal="center"/>
    </xf>
    <xf numFmtId="0" fontId="9" fillId="0" borderId="25" xfId="1" applyFont="1" applyBorder="1" applyAlignment="1">
      <alignment horizontal="center"/>
    </xf>
    <xf numFmtId="0" fontId="0" fillId="6" borderId="1" xfId="1" applyFont="1" applyFill="1" applyBorder="1" applyAlignment="1">
      <alignment horizontal="center"/>
    </xf>
    <xf numFmtId="0" fontId="0" fillId="0" borderId="8" xfId="1" applyFont="1" applyFill="1" applyBorder="1" applyAlignment="1">
      <alignment horizontal="left"/>
    </xf>
    <xf numFmtId="2" fontId="0" fillId="0" borderId="25" xfId="1" applyNumberFormat="1" applyFont="1" applyFill="1" applyBorder="1" applyAlignment="1">
      <alignment horizontal="center"/>
    </xf>
    <xf numFmtId="1" fontId="0" fillId="0" borderId="1" xfId="1" applyNumberFormat="1" applyFont="1" applyFill="1" applyBorder="1" applyAlignment="1">
      <alignment horizontal="center"/>
    </xf>
    <xf numFmtId="2" fontId="9" fillId="0" borderId="1" xfId="1" applyNumberFormat="1" applyFont="1" applyFill="1" applyBorder="1" applyAlignment="1">
      <alignment horizontal="center"/>
    </xf>
    <xf numFmtId="1" fontId="9" fillId="0" borderId="26" xfId="1" applyNumberFormat="1" applyFont="1" applyFill="1" applyBorder="1" applyAlignment="1">
      <alignment horizontal="center"/>
    </xf>
    <xf numFmtId="0" fontId="9" fillId="0" borderId="25" xfId="1" applyFont="1" applyFill="1" applyBorder="1" applyAlignment="1">
      <alignment horizontal="right"/>
    </xf>
    <xf numFmtId="0" fontId="9" fillId="0" borderId="1" xfId="1" applyFont="1" applyFill="1" applyBorder="1" applyAlignment="1">
      <alignment horizontal="right"/>
    </xf>
    <xf numFmtId="0" fontId="9" fillId="0" borderId="26" xfId="1" applyFont="1" applyFill="1" applyBorder="1" applyAlignment="1">
      <alignment horizontal="right"/>
    </xf>
    <xf numFmtId="0" fontId="0" fillId="0" borderId="26" xfId="1" quotePrefix="1" applyFont="1" applyFill="1" applyBorder="1" applyAlignment="1">
      <alignment horizontal="center"/>
    </xf>
    <xf numFmtId="0" fontId="9" fillId="0" borderId="3" xfId="1" applyFont="1" applyBorder="1" applyAlignment="1">
      <alignment horizontal="center"/>
    </xf>
    <xf numFmtId="0" fontId="0" fillId="0" borderId="4" xfId="1" applyFont="1" applyFill="1" applyBorder="1" applyAlignment="1">
      <alignment horizontal="left"/>
    </xf>
    <xf numFmtId="2" fontId="0" fillId="0" borderId="3" xfId="1" applyNumberFormat="1" applyFont="1" applyFill="1" applyBorder="1" applyAlignment="1">
      <alignment horizontal="center"/>
    </xf>
    <xf numFmtId="1" fontId="0" fillId="0" borderId="2" xfId="1" applyNumberFormat="1" applyFont="1" applyFill="1" applyBorder="1" applyAlignment="1">
      <alignment horizontal="center"/>
    </xf>
    <xf numFmtId="0" fontId="9" fillId="0" borderId="3" xfId="1" applyFont="1" applyFill="1" applyBorder="1" applyAlignment="1">
      <alignment horizontal="right"/>
    </xf>
    <xf numFmtId="0" fontId="9" fillId="0" borderId="2" xfId="1" applyFont="1" applyFill="1" applyBorder="1" applyAlignment="1">
      <alignment horizontal="right"/>
    </xf>
    <xf numFmtId="0" fontId="9" fillId="0" borderId="16" xfId="1" applyFont="1" applyFill="1" applyBorder="1" applyAlignment="1">
      <alignment horizontal="right"/>
    </xf>
    <xf numFmtId="0" fontId="0" fillId="0" borderId="16" xfId="1" quotePrefix="1" applyFont="1" applyFill="1" applyBorder="1" applyAlignment="1">
      <alignment horizontal="center"/>
    </xf>
    <xf numFmtId="2" fontId="0" fillId="0" borderId="2" xfId="1" applyNumberFormat="1" applyFont="1" applyFill="1" applyBorder="1" applyAlignment="1">
      <alignment horizontal="center"/>
    </xf>
    <xf numFmtId="1" fontId="0" fillId="0" borderId="16" xfId="1" applyNumberFormat="1" applyFont="1" applyFill="1" applyBorder="1" applyAlignment="1">
      <alignment horizontal="center"/>
    </xf>
    <xf numFmtId="0" fontId="0" fillId="0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center"/>
    </xf>
    <xf numFmtId="0" fontId="2" fillId="0" borderId="14" xfId="1" applyFont="1" applyBorder="1" applyAlignment="1">
      <alignment horizontal="center"/>
    </xf>
    <xf numFmtId="0" fontId="2" fillId="0" borderId="0" xfId="1" applyFont="1" applyBorder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5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21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12" xfId="1" applyFont="1" applyFill="1" applyBorder="1" applyAlignment="1">
      <alignment horizontal="center" vertical="center" wrapText="1"/>
    </xf>
    <xf numFmtId="0" fontId="2" fillId="3" borderId="18" xfId="1" applyFont="1" applyFill="1" applyBorder="1" applyAlignment="1">
      <alignment horizontal="center" vertical="center"/>
    </xf>
    <xf numFmtId="0" fontId="2" fillId="3" borderId="20" xfId="1" applyFont="1" applyFill="1" applyBorder="1" applyAlignment="1">
      <alignment horizontal="center" vertical="center"/>
    </xf>
    <xf numFmtId="0" fontId="2" fillId="3" borderId="19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  <xf numFmtId="0" fontId="0" fillId="0" borderId="23" xfId="0" applyFont="1" applyBorder="1" applyAlignment="1">
      <alignment horizontal="left" vertical="center"/>
    </xf>
    <xf numFmtId="0" fontId="0" fillId="0" borderId="24" xfId="0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P223"/>
  <sheetViews>
    <sheetView tabSelected="1" zoomScaleNormal="100" workbookViewId="0">
      <selection activeCell="J51" sqref="J51"/>
    </sheetView>
  </sheetViews>
  <sheetFormatPr defaultRowHeight="15" x14ac:dyDescent="0.25"/>
  <cols>
    <col min="2" max="2" width="14.140625" bestFit="1" customWidth="1"/>
    <col min="3" max="3" width="5.5703125" customWidth="1"/>
    <col min="4" max="4" width="27.140625" customWidth="1"/>
    <col min="5" max="5" width="8.28515625" customWidth="1"/>
    <col min="6" max="6" width="12.7109375" customWidth="1"/>
    <col min="7" max="7" width="13.5703125" customWidth="1"/>
    <col min="8" max="8" width="11" customWidth="1"/>
    <col min="9" max="9" width="6.85546875" customWidth="1"/>
    <col min="10" max="10" width="9" customWidth="1"/>
    <col min="11" max="11" width="11.28515625" bestFit="1" customWidth="1"/>
    <col min="12" max="12" width="14.42578125" bestFit="1" customWidth="1"/>
    <col min="13" max="13" width="9.140625" customWidth="1"/>
  </cols>
  <sheetData>
    <row r="1" spans="3:15" ht="49.5" thickBot="1" x14ac:dyDescent="0.3">
      <c r="C1" s="18" t="s">
        <v>30</v>
      </c>
      <c r="D1" s="18"/>
      <c r="E1" s="18"/>
      <c r="F1" s="17" t="s">
        <v>27</v>
      </c>
      <c r="G1" s="17" t="s">
        <v>26</v>
      </c>
      <c r="H1" s="17" t="s">
        <v>60</v>
      </c>
      <c r="I1" s="18"/>
      <c r="J1" s="18"/>
      <c r="K1" s="18"/>
      <c r="L1" s="18"/>
      <c r="M1" s="18"/>
    </row>
    <row r="2" spans="3:15" x14ac:dyDescent="0.25">
      <c r="C2" s="15" t="s">
        <v>25</v>
      </c>
      <c r="D2" s="15" t="s">
        <v>24</v>
      </c>
      <c r="E2" s="14" t="s">
        <v>23</v>
      </c>
      <c r="F2" s="12" t="s">
        <v>61</v>
      </c>
      <c r="G2" s="11" t="s">
        <v>62</v>
      </c>
      <c r="H2" s="13" t="s">
        <v>31</v>
      </c>
      <c r="I2" s="12" t="s">
        <v>22</v>
      </c>
      <c r="J2" s="11" t="s">
        <v>21</v>
      </c>
      <c r="K2" s="11" t="s">
        <v>20</v>
      </c>
      <c r="L2" s="11" t="s">
        <v>19</v>
      </c>
      <c r="M2" s="11" t="s">
        <v>18</v>
      </c>
      <c r="O2" s="4"/>
    </row>
    <row r="3" spans="3:15" ht="15.75" thickBot="1" x14ac:dyDescent="0.3">
      <c r="C3" s="2"/>
      <c r="D3" s="2" t="s">
        <v>2</v>
      </c>
      <c r="E3" s="1">
        <v>41.825839199596665</v>
      </c>
      <c r="F3" s="7"/>
      <c r="G3" s="6"/>
      <c r="H3" s="8"/>
      <c r="I3" s="7"/>
      <c r="J3" s="6"/>
      <c r="K3" s="6"/>
      <c r="L3" s="6"/>
      <c r="M3" s="6"/>
      <c r="O3" s="4"/>
    </row>
    <row r="4" spans="3:15" x14ac:dyDescent="0.25">
      <c r="C4" s="2"/>
      <c r="D4" s="2" t="s">
        <v>17</v>
      </c>
      <c r="E4" s="1">
        <v>72.713802676333572</v>
      </c>
      <c r="L4" s="5"/>
      <c r="M4" s="5"/>
      <c r="O4" s="4"/>
    </row>
    <row r="5" spans="3:15" x14ac:dyDescent="0.25">
      <c r="C5" s="2"/>
      <c r="D5" s="2" t="s">
        <v>9</v>
      </c>
      <c r="E5" s="1">
        <v>62.822847387989832</v>
      </c>
      <c r="F5" s="4" t="s">
        <v>12</v>
      </c>
      <c r="O5" s="4"/>
    </row>
    <row r="6" spans="3:15" x14ac:dyDescent="0.25">
      <c r="C6" s="2"/>
      <c r="D6" s="2" t="s">
        <v>0</v>
      </c>
      <c r="E6" s="1">
        <v>21.921744779052812</v>
      </c>
      <c r="F6" s="4" t="s">
        <v>29</v>
      </c>
    </row>
    <row r="7" spans="3:15" x14ac:dyDescent="0.25">
      <c r="C7" s="2"/>
      <c r="D7" s="2" t="s">
        <v>5</v>
      </c>
      <c r="E7" s="1">
        <v>54.733955937965121</v>
      </c>
      <c r="F7" s="4" t="s">
        <v>8</v>
      </c>
    </row>
    <row r="8" spans="3:15" x14ac:dyDescent="0.25">
      <c r="C8" s="2"/>
      <c r="D8" s="2" t="s">
        <v>13</v>
      </c>
      <c r="E8" s="1">
        <v>63.429700430210758</v>
      </c>
      <c r="F8" s="4" t="s">
        <v>6</v>
      </c>
    </row>
    <row r="9" spans="3:15" x14ac:dyDescent="0.25">
      <c r="C9" s="2"/>
      <c r="D9" s="2" t="s">
        <v>14</v>
      </c>
      <c r="E9" s="1">
        <v>67.029700430210767</v>
      </c>
    </row>
    <row r="10" spans="3:15" x14ac:dyDescent="0.25">
      <c r="C10" s="2"/>
      <c r="D10" s="2" t="s">
        <v>4</v>
      </c>
      <c r="E10" s="1">
        <v>47.622847387989829</v>
      </c>
    </row>
    <row r="11" spans="3:15" x14ac:dyDescent="0.25">
      <c r="C11" s="3"/>
      <c r="D11" s="3" t="s">
        <v>3</v>
      </c>
      <c r="E11" s="1">
        <v>43.822847387989832</v>
      </c>
    </row>
    <row r="12" spans="3:15" x14ac:dyDescent="0.25">
      <c r="C12" s="3"/>
      <c r="D12" s="3" t="s">
        <v>1</v>
      </c>
      <c r="E12" s="1">
        <v>25.005583691842304</v>
      </c>
    </row>
    <row r="13" spans="3:15" x14ac:dyDescent="0.25">
      <c r="C13" s="3"/>
      <c r="D13" s="3" t="s">
        <v>11</v>
      </c>
      <c r="E13" s="1">
        <v>63.429700430210758</v>
      </c>
    </row>
    <row r="14" spans="3:15" x14ac:dyDescent="0.25">
      <c r="C14" s="3"/>
      <c r="D14" s="2" t="s">
        <v>7</v>
      </c>
      <c r="E14" s="1">
        <v>58.687494850754611</v>
      </c>
    </row>
    <row r="15" spans="3:15" ht="49.5" thickBot="1" x14ac:dyDescent="0.3">
      <c r="C15" s="18" t="s">
        <v>28</v>
      </c>
      <c r="D15" s="18"/>
      <c r="E15" s="18"/>
      <c r="F15" s="17" t="s">
        <v>27</v>
      </c>
      <c r="G15" s="17" t="s">
        <v>26</v>
      </c>
      <c r="H15" s="17" t="s">
        <v>60</v>
      </c>
      <c r="I15" s="16"/>
      <c r="J15" s="16"/>
      <c r="K15" s="16"/>
      <c r="L15" s="16"/>
      <c r="M15" s="16"/>
    </row>
    <row r="16" spans="3:15" x14ac:dyDescent="0.25">
      <c r="C16" s="15" t="s">
        <v>25</v>
      </c>
      <c r="D16" s="15" t="s">
        <v>24</v>
      </c>
      <c r="E16" s="14" t="s">
        <v>23</v>
      </c>
      <c r="F16" s="19" t="s">
        <v>61</v>
      </c>
      <c r="G16" s="20" t="s">
        <v>62</v>
      </c>
      <c r="H16" s="21" t="s">
        <v>31</v>
      </c>
      <c r="I16" s="12" t="s">
        <v>22</v>
      </c>
      <c r="J16" s="11" t="s">
        <v>21</v>
      </c>
      <c r="K16" s="11" t="s">
        <v>20</v>
      </c>
      <c r="L16" s="11" t="s">
        <v>19</v>
      </c>
      <c r="M16" s="11" t="s">
        <v>18</v>
      </c>
    </row>
    <row r="17" spans="3:13" ht="15.75" thickBot="1" x14ac:dyDescent="0.3">
      <c r="C17" s="10"/>
      <c r="D17" s="10" t="s">
        <v>17</v>
      </c>
      <c r="E17" s="9">
        <v>72.713802676333572</v>
      </c>
      <c r="F17" s="22">
        <v>6</v>
      </c>
      <c r="G17" s="23">
        <v>6</v>
      </c>
      <c r="H17" s="24" t="str">
        <f>IF(G17&gt;=F17,"Pilih","Tidak")</f>
        <v>Pilih</v>
      </c>
      <c r="I17" s="7" t="s">
        <v>16</v>
      </c>
      <c r="J17" s="6" t="s">
        <v>15</v>
      </c>
      <c r="K17" s="6">
        <v>0.2</v>
      </c>
      <c r="L17" s="6">
        <v>0</v>
      </c>
      <c r="M17" s="6">
        <v>0</v>
      </c>
    </row>
    <row r="18" spans="3:13" x14ac:dyDescent="0.25">
      <c r="C18" s="2"/>
      <c r="D18" s="2" t="s">
        <v>14</v>
      </c>
      <c r="E18" s="1">
        <v>67.029700430210767</v>
      </c>
      <c r="L18" s="5"/>
      <c r="M18" s="5"/>
    </row>
    <row r="19" spans="3:13" x14ac:dyDescent="0.25">
      <c r="C19" s="2"/>
      <c r="D19" s="2" t="s">
        <v>13</v>
      </c>
      <c r="E19" s="1">
        <v>63.429700430210758</v>
      </c>
      <c r="F19" s="4" t="s">
        <v>12</v>
      </c>
    </row>
    <row r="20" spans="3:13" x14ac:dyDescent="0.25">
      <c r="C20" s="2"/>
      <c r="D20" s="3" t="s">
        <v>11</v>
      </c>
      <c r="E20" s="1">
        <v>63.429700430210758</v>
      </c>
      <c r="F20" s="4" t="s">
        <v>10</v>
      </c>
    </row>
    <row r="21" spans="3:13" x14ac:dyDescent="0.25">
      <c r="C21" s="2"/>
      <c r="D21" s="2" t="s">
        <v>9</v>
      </c>
      <c r="E21" s="1">
        <v>62.822847387989832</v>
      </c>
      <c r="F21" s="4" t="s">
        <v>8</v>
      </c>
    </row>
    <row r="22" spans="3:13" x14ac:dyDescent="0.25">
      <c r="C22" s="2"/>
      <c r="D22" s="2" t="s">
        <v>7</v>
      </c>
      <c r="E22" s="1">
        <v>58.687494850754611</v>
      </c>
      <c r="F22" s="4" t="s">
        <v>6</v>
      </c>
    </row>
    <row r="23" spans="3:13" x14ac:dyDescent="0.25">
      <c r="C23" s="2"/>
      <c r="D23" s="2" t="s">
        <v>5</v>
      </c>
      <c r="E23" s="1">
        <v>54.733955937965121</v>
      </c>
    </row>
    <row r="24" spans="3:13" x14ac:dyDescent="0.25">
      <c r="C24" s="2"/>
      <c r="D24" s="2" t="s">
        <v>4</v>
      </c>
      <c r="E24" s="1">
        <v>47.622847387989829</v>
      </c>
    </row>
    <row r="25" spans="3:13" x14ac:dyDescent="0.25">
      <c r="C25" s="2"/>
      <c r="D25" s="3" t="s">
        <v>3</v>
      </c>
      <c r="E25" s="1">
        <v>43.822847387989832</v>
      </c>
    </row>
    <row r="26" spans="3:13" x14ac:dyDescent="0.25">
      <c r="C26" s="3"/>
      <c r="D26" s="3" t="s">
        <v>2</v>
      </c>
      <c r="E26" s="1">
        <v>41.825839199596665</v>
      </c>
    </row>
    <row r="27" spans="3:13" x14ac:dyDescent="0.25">
      <c r="C27" s="3"/>
      <c r="D27" s="3" t="s">
        <v>1</v>
      </c>
      <c r="E27" s="1">
        <v>25.005583691842304</v>
      </c>
    </row>
    <row r="28" spans="3:13" x14ac:dyDescent="0.25">
      <c r="C28" s="3"/>
      <c r="D28" s="2" t="s">
        <v>0</v>
      </c>
      <c r="E28" s="1">
        <v>21.921744779052812</v>
      </c>
    </row>
    <row r="29" spans="3:13" ht="15.75" thickBot="1" x14ac:dyDescent="0.3"/>
    <row r="30" spans="3:13" x14ac:dyDescent="0.25">
      <c r="C30" s="15" t="s">
        <v>25</v>
      </c>
      <c r="D30" s="15" t="s">
        <v>24</v>
      </c>
      <c r="E30" s="14" t="s">
        <v>23</v>
      </c>
      <c r="F30" s="19" t="s">
        <v>61</v>
      </c>
      <c r="G30" s="20" t="s">
        <v>62</v>
      </c>
      <c r="H30" s="21" t="s">
        <v>31</v>
      </c>
    </row>
    <row r="31" spans="3:13" ht="15.75" thickBot="1" x14ac:dyDescent="0.3">
      <c r="C31" s="10"/>
      <c r="D31" s="10" t="s">
        <v>14</v>
      </c>
      <c r="E31" s="9">
        <v>67.03</v>
      </c>
      <c r="F31" s="22">
        <v>4.5</v>
      </c>
      <c r="G31" s="23">
        <v>6</v>
      </c>
      <c r="H31" s="24" t="str">
        <f>IF(G31&gt;=F31,"Pilih","Tidak")</f>
        <v>Pilih</v>
      </c>
    </row>
    <row r="32" spans="3:13" s="61" customFormat="1" x14ac:dyDescent="0.25">
      <c r="C32" s="62"/>
      <c r="D32" s="62"/>
      <c r="E32" s="63"/>
      <c r="F32" s="64"/>
      <c r="G32" s="64"/>
      <c r="H32" s="64"/>
    </row>
    <row r="33" spans="1:16" s="65" customFormat="1" x14ac:dyDescent="0.25">
      <c r="C33" s="66"/>
      <c r="D33" s="66"/>
      <c r="E33" s="67"/>
      <c r="F33" s="68"/>
      <c r="G33" s="68"/>
      <c r="H33" s="68"/>
    </row>
    <row r="35" spans="1:16" s="16" customFormat="1" x14ac:dyDescent="0.25">
      <c r="A35" s="133" t="s">
        <v>67</v>
      </c>
      <c r="B35" s="134" t="s">
        <v>57</v>
      </c>
      <c r="C35" s="15" t="s">
        <v>76</v>
      </c>
      <c r="D35" s="15" t="s">
        <v>77</v>
      </c>
      <c r="E35" s="15" t="s">
        <v>79</v>
      </c>
      <c r="F35" s="135" t="s">
        <v>78</v>
      </c>
      <c r="G35" s="136"/>
      <c r="H35" s="136"/>
      <c r="I35" s="136"/>
      <c r="J35" s="136"/>
      <c r="K35" s="136"/>
      <c r="L35" s="136"/>
      <c r="M35" s="136"/>
      <c r="N35" s="136"/>
      <c r="O35" s="136"/>
      <c r="P35" s="137"/>
    </row>
    <row r="36" spans="1:16" ht="15" customHeight="1" x14ac:dyDescent="0.25">
      <c r="A36" s="133"/>
      <c r="B36" s="134"/>
      <c r="C36" s="86">
        <v>1</v>
      </c>
      <c r="D36" s="87" t="s">
        <v>74</v>
      </c>
      <c r="E36" s="88"/>
      <c r="F36" s="154" t="s">
        <v>33</v>
      </c>
      <c r="G36" s="155"/>
      <c r="H36" s="155"/>
      <c r="I36" s="155"/>
      <c r="J36" s="155"/>
      <c r="K36" s="155"/>
      <c r="L36" s="155"/>
      <c r="M36" s="155"/>
      <c r="N36" s="155"/>
      <c r="O36" s="155"/>
      <c r="P36" s="156"/>
    </row>
    <row r="37" spans="1:16" x14ac:dyDescent="0.25">
      <c r="A37" s="133"/>
      <c r="B37" s="134"/>
      <c r="C37" s="86">
        <v>2</v>
      </c>
      <c r="D37" s="87" t="s">
        <v>80</v>
      </c>
      <c r="E37" s="87"/>
      <c r="F37" s="157" t="s">
        <v>81</v>
      </c>
      <c r="G37" s="158"/>
      <c r="H37" s="158"/>
      <c r="I37" s="158"/>
      <c r="J37" s="158"/>
      <c r="K37" s="158"/>
      <c r="L37" s="158"/>
      <c r="M37" s="158"/>
      <c r="N37" s="158"/>
      <c r="O37" s="158"/>
      <c r="P37" s="159"/>
    </row>
    <row r="38" spans="1:16" x14ac:dyDescent="0.25">
      <c r="A38" s="133"/>
      <c r="B38" s="134"/>
      <c r="C38" s="86">
        <v>3</v>
      </c>
      <c r="D38" s="89" t="s">
        <v>72</v>
      </c>
      <c r="E38" s="90"/>
      <c r="F38" s="154" t="s">
        <v>7</v>
      </c>
      <c r="G38" s="155"/>
      <c r="H38" s="155"/>
      <c r="I38" s="155"/>
      <c r="J38" s="155"/>
      <c r="K38" s="155"/>
      <c r="L38" s="155"/>
      <c r="M38" s="155"/>
      <c r="N38" s="155"/>
      <c r="O38" s="155"/>
      <c r="P38" s="156"/>
    </row>
    <row r="39" spans="1:16" x14ac:dyDescent="0.25">
      <c r="A39" s="133"/>
      <c r="B39" s="134"/>
      <c r="C39" s="86">
        <v>4</v>
      </c>
      <c r="D39" s="89" t="s">
        <v>73</v>
      </c>
      <c r="E39" s="91"/>
      <c r="F39" s="157" t="s">
        <v>83</v>
      </c>
      <c r="G39" s="158"/>
      <c r="H39" s="158"/>
      <c r="I39" s="158"/>
      <c r="J39" s="158"/>
      <c r="K39" s="158"/>
      <c r="L39" s="158"/>
      <c r="M39" s="158"/>
      <c r="N39" s="158"/>
      <c r="O39" s="158"/>
      <c r="P39" s="159"/>
    </row>
    <row r="40" spans="1:16" ht="15.75" thickBot="1" x14ac:dyDescent="0.3">
      <c r="B40" s="28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</row>
    <row r="41" spans="1:16" ht="16.5" thickBot="1" x14ac:dyDescent="0.3">
      <c r="B41" s="142" t="s">
        <v>35</v>
      </c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4"/>
    </row>
    <row r="42" spans="1:16" ht="15" customHeight="1" x14ac:dyDescent="0.25">
      <c r="B42" s="145" t="s">
        <v>34</v>
      </c>
      <c r="C42" s="138" t="s">
        <v>25</v>
      </c>
      <c r="D42" s="140" t="s">
        <v>24</v>
      </c>
      <c r="E42" s="147" t="s">
        <v>36</v>
      </c>
      <c r="F42" s="148"/>
      <c r="G42" s="148" t="s">
        <v>37</v>
      </c>
      <c r="H42" s="149"/>
      <c r="I42" s="150" t="s">
        <v>38</v>
      </c>
      <c r="J42" s="151"/>
      <c r="K42" s="152"/>
      <c r="L42" s="153" t="s">
        <v>39</v>
      </c>
      <c r="M42" s="140"/>
    </row>
    <row r="43" spans="1:16" ht="15" customHeight="1" thickBot="1" x14ac:dyDescent="0.3">
      <c r="B43" s="146"/>
      <c r="C43" s="139"/>
      <c r="D43" s="141"/>
      <c r="E43" s="32" t="s">
        <v>40</v>
      </c>
      <c r="F43" s="33" t="s">
        <v>24</v>
      </c>
      <c r="G43" s="34" t="s">
        <v>40</v>
      </c>
      <c r="H43" s="35" t="s">
        <v>24</v>
      </c>
      <c r="I43" s="32" t="s">
        <v>41</v>
      </c>
      <c r="J43" s="34" t="s">
        <v>42</v>
      </c>
      <c r="K43" s="36" t="s">
        <v>43</v>
      </c>
      <c r="L43" s="32" t="s">
        <v>44</v>
      </c>
      <c r="M43" s="36" t="s">
        <v>45</v>
      </c>
    </row>
    <row r="44" spans="1:16" ht="15" customHeight="1" thickBot="1" x14ac:dyDescent="0.3">
      <c r="B44" s="29">
        <v>1</v>
      </c>
      <c r="C44" s="30" t="s">
        <v>48</v>
      </c>
      <c r="D44" s="31" t="s">
        <v>33</v>
      </c>
      <c r="E44" s="37" t="s">
        <v>47</v>
      </c>
      <c r="F44" s="38">
        <v>0</v>
      </c>
      <c r="G44" s="39" t="s">
        <v>47</v>
      </c>
      <c r="H44" s="40">
        <v>0</v>
      </c>
      <c r="I44" s="41">
        <v>20</v>
      </c>
      <c r="J44" s="42">
        <v>19</v>
      </c>
      <c r="K44" s="43">
        <f>I44-J44</f>
        <v>1</v>
      </c>
      <c r="L44" s="41">
        <f>J44/I44*100</f>
        <v>95</v>
      </c>
      <c r="M44" s="44" t="str">
        <f>IF(J44=0,"BM",IF(E44="Ya","BS",IF(J44&lt;I44,"BS","SL")))</f>
        <v>BS</v>
      </c>
    </row>
    <row r="45" spans="1:16" ht="15" customHeight="1" x14ac:dyDescent="0.25">
      <c r="B45" s="70"/>
      <c r="C45" s="71"/>
      <c r="D45" s="72"/>
      <c r="E45" s="73"/>
      <c r="F45" s="74"/>
      <c r="G45" s="75"/>
      <c r="H45" s="76"/>
      <c r="I45" s="77"/>
      <c r="J45" s="77"/>
      <c r="K45" s="77"/>
      <c r="L45" s="77"/>
      <c r="M45" s="78"/>
    </row>
    <row r="46" spans="1:16" x14ac:dyDescent="0.25">
      <c r="B46" s="18" t="s">
        <v>55</v>
      </c>
      <c r="D46" s="18"/>
      <c r="E46" s="18"/>
      <c r="F46" s="17"/>
      <c r="G46" s="17"/>
      <c r="H46" s="17"/>
      <c r="I46" s="16"/>
      <c r="J46" s="16"/>
      <c r="K46" s="16"/>
      <c r="L46" s="16"/>
      <c r="M46" s="16"/>
    </row>
    <row r="47" spans="1:16" x14ac:dyDescent="0.25">
      <c r="B47" s="3" t="s">
        <v>49</v>
      </c>
      <c r="C47" s="15" t="s">
        <v>25</v>
      </c>
      <c r="D47" s="15" t="s">
        <v>24</v>
      </c>
      <c r="E47" s="15" t="s">
        <v>23</v>
      </c>
    </row>
    <row r="48" spans="1:16" ht="30" x14ac:dyDescent="0.25">
      <c r="B48" s="3">
        <v>1</v>
      </c>
      <c r="C48" s="3"/>
      <c r="D48" s="45" t="s">
        <v>13</v>
      </c>
      <c r="E48" s="1">
        <v>41.825839199596665</v>
      </c>
    </row>
    <row r="49" spans="2:13" x14ac:dyDescent="0.25">
      <c r="B49" s="3">
        <v>2</v>
      </c>
      <c r="C49" s="2"/>
      <c r="D49" s="45" t="s">
        <v>2</v>
      </c>
      <c r="E49" s="1">
        <v>62.822847387989832</v>
      </c>
      <c r="F49" s="4"/>
      <c r="L49" s="5"/>
      <c r="M49" s="5"/>
    </row>
    <row r="50" spans="2:13" ht="30" x14ac:dyDescent="0.25">
      <c r="B50" s="3">
        <v>3</v>
      </c>
      <c r="C50" s="2"/>
      <c r="D50" s="47" t="s">
        <v>50</v>
      </c>
      <c r="E50" s="48">
        <v>72.713802676333572</v>
      </c>
      <c r="F50" s="49" t="s">
        <v>54</v>
      </c>
    </row>
    <row r="51" spans="2:13" ht="30" x14ac:dyDescent="0.25">
      <c r="B51" s="3">
        <v>4</v>
      </c>
      <c r="C51" s="2"/>
      <c r="D51" s="45" t="s">
        <v>51</v>
      </c>
      <c r="E51" s="1">
        <v>21.921744779052812</v>
      </c>
      <c r="F51" s="4"/>
    </row>
    <row r="52" spans="2:13" x14ac:dyDescent="0.25">
      <c r="B52" s="3">
        <v>5</v>
      </c>
      <c r="C52" s="3"/>
      <c r="D52" s="45" t="s">
        <v>17</v>
      </c>
      <c r="E52" s="1">
        <v>54.733955937965121</v>
      </c>
      <c r="F52" s="4"/>
    </row>
    <row r="53" spans="2:13" x14ac:dyDescent="0.25">
      <c r="B53" s="3">
        <v>6</v>
      </c>
      <c r="C53" s="50" t="s">
        <v>32</v>
      </c>
      <c r="D53" s="51" t="s">
        <v>7</v>
      </c>
      <c r="E53" s="52">
        <v>63.429700430210758</v>
      </c>
    </row>
    <row r="54" spans="2:13" x14ac:dyDescent="0.25">
      <c r="B54" s="3">
        <v>7</v>
      </c>
      <c r="C54" s="2"/>
      <c r="D54" s="45" t="s">
        <v>5</v>
      </c>
      <c r="E54" s="1">
        <v>67.029700430210767</v>
      </c>
    </row>
    <row r="55" spans="2:13" x14ac:dyDescent="0.25">
      <c r="B55" s="3">
        <v>8</v>
      </c>
      <c r="C55" s="2"/>
      <c r="D55" s="2" t="s">
        <v>0</v>
      </c>
      <c r="E55" s="1">
        <v>47.622847387989829</v>
      </c>
    </row>
    <row r="56" spans="2:13" x14ac:dyDescent="0.25">
      <c r="B56" s="3">
        <v>9</v>
      </c>
      <c r="C56" s="2"/>
      <c r="D56" s="46" t="s">
        <v>52</v>
      </c>
      <c r="E56" s="1">
        <v>43.822847387989832</v>
      </c>
    </row>
    <row r="57" spans="2:13" x14ac:dyDescent="0.25">
      <c r="B57" s="3">
        <v>10</v>
      </c>
      <c r="C57" s="2"/>
      <c r="D57" s="45" t="s">
        <v>53</v>
      </c>
      <c r="E57" s="1">
        <v>25.005583691842304</v>
      </c>
    </row>
    <row r="59" spans="2:13" x14ac:dyDescent="0.25">
      <c r="B59" s="18" t="s">
        <v>58</v>
      </c>
      <c r="D59" s="18"/>
      <c r="E59" s="18"/>
      <c r="F59" s="17"/>
    </row>
    <row r="60" spans="2:13" x14ac:dyDescent="0.25">
      <c r="B60" s="3" t="s">
        <v>49</v>
      </c>
      <c r="C60" s="15" t="s">
        <v>25</v>
      </c>
      <c r="D60" s="15" t="s">
        <v>24</v>
      </c>
      <c r="E60" s="15" t="s">
        <v>23</v>
      </c>
    </row>
    <row r="61" spans="2:13" ht="30" x14ac:dyDescent="0.25">
      <c r="B61" s="3">
        <v>1</v>
      </c>
      <c r="C61" s="2"/>
      <c r="D61" s="47" t="s">
        <v>50</v>
      </c>
      <c r="E61" s="48">
        <v>72.713802676333572</v>
      </c>
      <c r="F61" s="49" t="s">
        <v>54</v>
      </c>
    </row>
    <row r="62" spans="2:13" x14ac:dyDescent="0.25">
      <c r="B62" s="3">
        <v>2</v>
      </c>
      <c r="C62" s="2"/>
      <c r="D62" s="45" t="s">
        <v>5</v>
      </c>
      <c r="E62" s="1">
        <v>67.029700430210767</v>
      </c>
      <c r="F62" s="4"/>
    </row>
    <row r="63" spans="2:13" x14ac:dyDescent="0.25">
      <c r="B63" s="3">
        <v>3</v>
      </c>
      <c r="C63" s="50" t="s">
        <v>32</v>
      </c>
      <c r="D63" s="51" t="s">
        <v>7</v>
      </c>
      <c r="E63" s="52">
        <v>63.429700430210758</v>
      </c>
      <c r="F63" s="16" t="s">
        <v>90</v>
      </c>
    </row>
    <row r="64" spans="2:13" x14ac:dyDescent="0.25">
      <c r="B64" s="3">
        <v>4</v>
      </c>
      <c r="C64" s="2"/>
      <c r="D64" s="45" t="s">
        <v>2</v>
      </c>
      <c r="E64" s="1">
        <v>62.822847387989832</v>
      </c>
      <c r="F64" s="4"/>
    </row>
    <row r="65" spans="2:6" x14ac:dyDescent="0.25">
      <c r="B65" s="3">
        <v>5</v>
      </c>
      <c r="C65" s="3"/>
      <c r="D65" s="45" t="s">
        <v>17</v>
      </c>
      <c r="E65" s="1">
        <v>54.733955937965121</v>
      </c>
      <c r="F65" s="4"/>
    </row>
    <row r="66" spans="2:6" x14ac:dyDescent="0.25">
      <c r="B66" s="3">
        <v>6</v>
      </c>
      <c r="C66" s="2"/>
      <c r="D66" s="2" t="s">
        <v>0</v>
      </c>
      <c r="E66" s="1">
        <v>47.622847387989829</v>
      </c>
    </row>
    <row r="67" spans="2:6" x14ac:dyDescent="0.25">
      <c r="B67" s="3">
        <v>7</v>
      </c>
      <c r="C67" s="2"/>
      <c r="D67" s="53" t="s">
        <v>52</v>
      </c>
      <c r="E67" s="1">
        <v>43.822847387989832</v>
      </c>
    </row>
    <row r="68" spans="2:6" ht="30" x14ac:dyDescent="0.25">
      <c r="B68" s="3">
        <v>8</v>
      </c>
      <c r="C68" s="3"/>
      <c r="D68" s="45" t="s">
        <v>13</v>
      </c>
      <c r="E68" s="1">
        <v>41.825839199596665</v>
      </c>
    </row>
    <row r="69" spans="2:6" x14ac:dyDescent="0.25">
      <c r="B69" s="3">
        <v>9</v>
      </c>
      <c r="C69" s="2"/>
      <c r="D69" s="54" t="s">
        <v>53</v>
      </c>
      <c r="E69" s="1">
        <v>25.005583691842304</v>
      </c>
    </row>
    <row r="70" spans="2:6" ht="30" x14ac:dyDescent="0.25">
      <c r="B70" s="3">
        <v>10</v>
      </c>
      <c r="C70" s="2"/>
      <c r="D70" s="45" t="s">
        <v>51</v>
      </c>
      <c r="E70" s="1">
        <v>21.921744779052812</v>
      </c>
    </row>
    <row r="72" spans="2:6" x14ac:dyDescent="0.25">
      <c r="B72" s="18" t="s">
        <v>59</v>
      </c>
      <c r="D72" s="18"/>
      <c r="E72" s="18"/>
    </row>
    <row r="73" spans="2:6" x14ac:dyDescent="0.25">
      <c r="B73" s="3" t="s">
        <v>49</v>
      </c>
      <c r="C73" s="15" t="s">
        <v>25</v>
      </c>
      <c r="D73" s="15" t="s">
        <v>24</v>
      </c>
      <c r="E73" s="15" t="s">
        <v>23</v>
      </c>
    </row>
    <row r="74" spans="2:6" x14ac:dyDescent="0.25">
      <c r="B74" s="3">
        <v>1</v>
      </c>
      <c r="C74" s="55" t="s">
        <v>32</v>
      </c>
      <c r="D74" s="56" t="s">
        <v>7</v>
      </c>
      <c r="E74" s="57">
        <f>IF(C74="PR",$E$61+1)</f>
        <v>73.713802676333572</v>
      </c>
      <c r="F74" s="49" t="s">
        <v>56</v>
      </c>
    </row>
    <row r="75" spans="2:6" ht="30" x14ac:dyDescent="0.25">
      <c r="B75" s="3">
        <v>2</v>
      </c>
      <c r="C75" s="2"/>
      <c r="D75" s="45" t="s">
        <v>50</v>
      </c>
      <c r="E75" s="1">
        <v>72.713802676333572</v>
      </c>
    </row>
    <row r="76" spans="2:6" x14ac:dyDescent="0.25">
      <c r="B76" s="3">
        <v>3</v>
      </c>
      <c r="C76" s="2"/>
      <c r="D76" s="45" t="s">
        <v>5</v>
      </c>
      <c r="E76" s="1">
        <v>67.029700430210767</v>
      </c>
    </row>
    <row r="77" spans="2:6" x14ac:dyDescent="0.25">
      <c r="B77" s="3">
        <v>4</v>
      </c>
      <c r="C77" s="2"/>
      <c r="D77" s="45" t="s">
        <v>2</v>
      </c>
      <c r="E77" s="1">
        <v>62.822847387989832</v>
      </c>
    </row>
    <row r="78" spans="2:6" x14ac:dyDescent="0.25">
      <c r="B78" s="3">
        <v>5</v>
      </c>
      <c r="C78" s="3"/>
      <c r="D78" s="45" t="s">
        <v>17</v>
      </c>
      <c r="E78" s="1">
        <v>54.733955937965121</v>
      </c>
    </row>
    <row r="79" spans="2:6" x14ac:dyDescent="0.25">
      <c r="B79" s="3">
        <v>6</v>
      </c>
      <c r="C79" s="2"/>
      <c r="D79" s="2" t="s">
        <v>0</v>
      </c>
      <c r="E79" s="1">
        <v>47.622847387989829</v>
      </c>
    </row>
    <row r="80" spans="2:6" x14ac:dyDescent="0.25">
      <c r="B80" s="3">
        <v>7</v>
      </c>
      <c r="C80" s="2"/>
      <c r="D80" s="53" t="s">
        <v>52</v>
      </c>
      <c r="E80" s="1">
        <v>43.822847387989832</v>
      </c>
    </row>
    <row r="81" spans="2:13" ht="30" x14ac:dyDescent="0.25">
      <c r="B81" s="3">
        <v>8</v>
      </c>
      <c r="C81" s="3"/>
      <c r="D81" s="45" t="s">
        <v>13</v>
      </c>
      <c r="E81" s="1">
        <v>41.825839199596665</v>
      </c>
    </row>
    <row r="82" spans="2:13" x14ac:dyDescent="0.25">
      <c r="B82" s="3">
        <v>9</v>
      </c>
      <c r="C82" s="2"/>
      <c r="D82" s="54" t="s">
        <v>53</v>
      </c>
      <c r="E82" s="1">
        <v>25.005583691842304</v>
      </c>
    </row>
    <row r="83" spans="2:13" ht="30" x14ac:dyDescent="0.25">
      <c r="B83" s="3">
        <v>10</v>
      </c>
      <c r="C83" s="2"/>
      <c r="D83" s="45" t="s">
        <v>51</v>
      </c>
      <c r="E83" s="1">
        <v>21.921744779052812</v>
      </c>
    </row>
    <row r="84" spans="2:13" x14ac:dyDescent="0.25">
      <c r="B84" s="25"/>
      <c r="C84" s="26"/>
      <c r="D84" s="79"/>
      <c r="E84" s="27"/>
    </row>
    <row r="85" spans="2:13" x14ac:dyDescent="0.25">
      <c r="B85" s="16" t="s">
        <v>66</v>
      </c>
    </row>
    <row r="86" spans="2:13" x14ac:dyDescent="0.25">
      <c r="B86" s="3" t="s">
        <v>49</v>
      </c>
      <c r="C86" s="15" t="s">
        <v>25</v>
      </c>
      <c r="D86" s="15" t="s">
        <v>24</v>
      </c>
      <c r="E86" s="14" t="s">
        <v>23</v>
      </c>
      <c r="F86" s="59" t="s">
        <v>64</v>
      </c>
      <c r="G86" s="59" t="s">
        <v>65</v>
      </c>
      <c r="H86" s="59" t="s">
        <v>31</v>
      </c>
    </row>
    <row r="87" spans="2:13" x14ac:dyDescent="0.25">
      <c r="B87" s="3">
        <v>1</v>
      </c>
      <c r="C87" s="55" t="s">
        <v>32</v>
      </c>
      <c r="D87" s="56" t="s">
        <v>7</v>
      </c>
      <c r="E87" s="58">
        <f>IF(C87="PR",$E$61+1)</f>
        <v>73.713802676333572</v>
      </c>
      <c r="F87" s="60">
        <v>2.5</v>
      </c>
      <c r="G87" s="60">
        <v>6</v>
      </c>
      <c r="H87" s="60" t="str">
        <f>IF(G87&gt;=F87,"Pilih","Tidak")</f>
        <v>Pilih</v>
      </c>
      <c r="I87" s="49" t="s">
        <v>63</v>
      </c>
    </row>
    <row r="88" spans="2:13" s="61" customFormat="1" x14ac:dyDescent="0.25">
      <c r="B88" s="81"/>
      <c r="C88" s="82"/>
      <c r="D88" s="83"/>
      <c r="E88" s="84"/>
      <c r="F88" s="64"/>
      <c r="G88" s="64"/>
      <c r="H88" s="64"/>
      <c r="I88" s="85"/>
    </row>
    <row r="89" spans="2:13" s="61" customFormat="1" ht="15.75" thickBot="1" x14ac:dyDescent="0.3">
      <c r="B89" s="61" t="s">
        <v>99</v>
      </c>
      <c r="C89" s="82"/>
      <c r="D89" s="83"/>
      <c r="E89" s="84"/>
      <c r="F89" s="64"/>
      <c r="G89" s="64"/>
      <c r="H89" s="64"/>
      <c r="I89" s="85"/>
    </row>
    <row r="90" spans="2:13" s="61" customFormat="1" ht="16.5" thickBot="1" x14ac:dyDescent="0.3">
      <c r="B90" s="142" t="s">
        <v>35</v>
      </c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4"/>
    </row>
    <row r="91" spans="2:13" s="61" customFormat="1" x14ac:dyDescent="0.25">
      <c r="B91" s="145" t="s">
        <v>34</v>
      </c>
      <c r="C91" s="138" t="s">
        <v>25</v>
      </c>
      <c r="D91" s="140" t="s">
        <v>24</v>
      </c>
      <c r="E91" s="147" t="s">
        <v>36</v>
      </c>
      <c r="F91" s="148"/>
      <c r="G91" s="148" t="s">
        <v>37</v>
      </c>
      <c r="H91" s="149"/>
      <c r="I91" s="150" t="s">
        <v>38</v>
      </c>
      <c r="J91" s="151"/>
      <c r="K91" s="152"/>
      <c r="L91" s="153" t="s">
        <v>39</v>
      </c>
      <c r="M91" s="140"/>
    </row>
    <row r="92" spans="2:13" s="61" customFormat="1" ht="45.75" thickBot="1" x14ac:dyDescent="0.3">
      <c r="B92" s="146"/>
      <c r="C92" s="139"/>
      <c r="D92" s="141"/>
      <c r="E92" s="32" t="s">
        <v>40</v>
      </c>
      <c r="F92" s="33" t="s">
        <v>24</v>
      </c>
      <c r="G92" s="34" t="s">
        <v>40</v>
      </c>
      <c r="H92" s="35" t="s">
        <v>24</v>
      </c>
      <c r="I92" s="32" t="s">
        <v>41</v>
      </c>
      <c r="J92" s="34" t="s">
        <v>42</v>
      </c>
      <c r="K92" s="36" t="s">
        <v>43</v>
      </c>
      <c r="L92" s="32" t="s">
        <v>44</v>
      </c>
      <c r="M92" s="36" t="s">
        <v>45</v>
      </c>
    </row>
    <row r="93" spans="2:13" s="61" customFormat="1" x14ac:dyDescent="0.25">
      <c r="B93" s="92">
        <v>1</v>
      </c>
      <c r="C93" s="93" t="s">
        <v>48</v>
      </c>
      <c r="D93" s="94" t="s">
        <v>33</v>
      </c>
      <c r="E93" s="95" t="s">
        <v>47</v>
      </c>
      <c r="F93" s="96">
        <v>0</v>
      </c>
      <c r="G93" s="97" t="s">
        <v>47</v>
      </c>
      <c r="H93" s="98">
        <v>0</v>
      </c>
      <c r="I93" s="99">
        <v>20</v>
      </c>
      <c r="J93" s="100">
        <v>20</v>
      </c>
      <c r="K93" s="101">
        <f>I93-J93</f>
        <v>0</v>
      </c>
      <c r="L93" s="99">
        <f>J93/I93*100</f>
        <v>100</v>
      </c>
      <c r="M93" s="102" t="str">
        <f>IF(J93=0,"BM",IF(E93="Ya","BS",IF(J93&lt;I93,"BS","SL")))</f>
        <v>SL</v>
      </c>
    </row>
    <row r="94" spans="2:13" s="61" customFormat="1" ht="15.75" thickBot="1" x14ac:dyDescent="0.3">
      <c r="B94" s="29">
        <v>2</v>
      </c>
      <c r="C94" s="131" t="s">
        <v>32</v>
      </c>
      <c r="D94" s="31" t="s">
        <v>7</v>
      </c>
      <c r="E94" s="37" t="s">
        <v>47</v>
      </c>
      <c r="F94" s="38">
        <v>0</v>
      </c>
      <c r="G94" s="39" t="s">
        <v>47</v>
      </c>
      <c r="H94" s="40">
        <v>0</v>
      </c>
      <c r="I94" s="41">
        <v>5</v>
      </c>
      <c r="J94" s="42">
        <v>0</v>
      </c>
      <c r="K94" s="125">
        <f>I94-J94</f>
        <v>5</v>
      </c>
      <c r="L94" s="123">
        <f>J94/I94*100</f>
        <v>0</v>
      </c>
      <c r="M94" s="126" t="str">
        <f>IF(J94=0,"BM",IF(E94="Ya","BS",IF(J94&lt;I94,"BS","SL")))</f>
        <v>BM</v>
      </c>
    </row>
    <row r="95" spans="2:13" s="61" customFormat="1" x14ac:dyDescent="0.25">
      <c r="B95" s="70"/>
      <c r="C95" s="132"/>
      <c r="D95" s="72"/>
      <c r="E95" s="73"/>
      <c r="F95" s="74"/>
      <c r="G95" s="75"/>
      <c r="H95" s="76"/>
      <c r="I95" s="77"/>
      <c r="J95" s="77"/>
      <c r="K95" s="77"/>
      <c r="L95" s="77"/>
      <c r="M95" s="78"/>
    </row>
    <row r="96" spans="2:13" s="61" customFormat="1" x14ac:dyDescent="0.25">
      <c r="B96" s="81"/>
      <c r="C96" s="82"/>
      <c r="D96" s="83"/>
      <c r="E96" s="84"/>
      <c r="F96" s="64"/>
      <c r="G96" s="64"/>
      <c r="H96" s="64"/>
      <c r="I96" s="85"/>
    </row>
    <row r="97" spans="1:16" s="16" customFormat="1" x14ac:dyDescent="0.25">
      <c r="A97" s="133" t="s">
        <v>68</v>
      </c>
      <c r="B97" s="134" t="s">
        <v>93</v>
      </c>
      <c r="C97" s="15" t="s">
        <v>76</v>
      </c>
      <c r="D97" s="15" t="s">
        <v>77</v>
      </c>
      <c r="E97" s="15" t="s">
        <v>79</v>
      </c>
      <c r="F97" s="135" t="s">
        <v>78</v>
      </c>
      <c r="G97" s="136"/>
      <c r="H97" s="136"/>
      <c r="I97" s="136"/>
      <c r="J97" s="136"/>
      <c r="K97" s="136"/>
      <c r="L97" s="136"/>
      <c r="M97" s="136"/>
      <c r="N97" s="136"/>
      <c r="O97" s="136"/>
      <c r="P97" s="137"/>
    </row>
    <row r="98" spans="1:16" ht="15" customHeight="1" x14ac:dyDescent="0.25">
      <c r="A98" s="133"/>
      <c r="B98" s="134"/>
      <c r="C98" s="86">
        <v>1</v>
      </c>
      <c r="D98" s="87" t="s">
        <v>74</v>
      </c>
      <c r="E98" s="88"/>
      <c r="F98" s="154" t="s">
        <v>71</v>
      </c>
      <c r="G98" s="155"/>
      <c r="H98" s="155"/>
      <c r="I98" s="155"/>
      <c r="J98" s="155"/>
      <c r="K98" s="155"/>
      <c r="L98" s="155"/>
      <c r="M98" s="155"/>
      <c r="N98" s="155"/>
      <c r="O98" s="155"/>
      <c r="P98" s="156"/>
    </row>
    <row r="99" spans="1:16" x14ac:dyDescent="0.25">
      <c r="A99" s="133"/>
      <c r="B99" s="134"/>
      <c r="C99" s="86">
        <v>2</v>
      </c>
      <c r="D99" s="87" t="s">
        <v>80</v>
      </c>
      <c r="E99" s="87"/>
      <c r="F99" s="157" t="s">
        <v>82</v>
      </c>
      <c r="G99" s="158"/>
      <c r="H99" s="158"/>
      <c r="I99" s="158"/>
      <c r="J99" s="158"/>
      <c r="K99" s="158"/>
      <c r="L99" s="158"/>
      <c r="M99" s="158"/>
      <c r="N99" s="158"/>
      <c r="O99" s="158"/>
      <c r="P99" s="159"/>
    </row>
    <row r="100" spans="1:16" s="80" customFormat="1" x14ac:dyDescent="0.25">
      <c r="A100" s="133"/>
      <c r="B100" s="134"/>
      <c r="C100" s="86">
        <v>3</v>
      </c>
      <c r="D100" s="89" t="s">
        <v>75</v>
      </c>
      <c r="E100" s="89"/>
      <c r="F100" s="157" t="s">
        <v>69</v>
      </c>
      <c r="G100" s="158"/>
      <c r="H100" s="158"/>
      <c r="I100" s="158"/>
      <c r="J100" s="158"/>
      <c r="K100" s="158"/>
      <c r="L100" s="158"/>
      <c r="M100" s="158"/>
      <c r="N100" s="158"/>
      <c r="O100" s="158"/>
      <c r="P100" s="159"/>
    </row>
    <row r="101" spans="1:16" x14ac:dyDescent="0.25">
      <c r="A101" s="133"/>
      <c r="B101" s="134"/>
      <c r="C101" s="86">
        <v>4</v>
      </c>
      <c r="D101" s="89" t="s">
        <v>72</v>
      </c>
      <c r="E101" s="90"/>
      <c r="F101" s="154" t="s">
        <v>14</v>
      </c>
      <c r="G101" s="155"/>
      <c r="H101" s="155"/>
      <c r="I101" s="155"/>
      <c r="J101" s="155"/>
      <c r="K101" s="155"/>
      <c r="L101" s="155"/>
      <c r="M101" s="155"/>
      <c r="N101" s="155"/>
      <c r="O101" s="155"/>
      <c r="P101" s="156"/>
    </row>
    <row r="102" spans="1:16" x14ac:dyDescent="0.25">
      <c r="A102" s="133"/>
      <c r="B102" s="134"/>
      <c r="C102" s="86">
        <v>5</v>
      </c>
      <c r="D102" s="89" t="s">
        <v>73</v>
      </c>
      <c r="E102" s="91"/>
      <c r="F102" s="157" t="s">
        <v>70</v>
      </c>
      <c r="G102" s="158"/>
      <c r="H102" s="158"/>
      <c r="I102" s="158"/>
      <c r="J102" s="158"/>
      <c r="K102" s="158"/>
      <c r="L102" s="158"/>
      <c r="M102" s="158"/>
      <c r="N102" s="158"/>
      <c r="O102" s="158"/>
      <c r="P102" s="159"/>
    </row>
    <row r="103" spans="1:16" ht="15.75" thickBot="1" x14ac:dyDescent="0.3">
      <c r="B103" s="28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</row>
    <row r="104" spans="1:16" ht="16.5" thickBot="1" x14ac:dyDescent="0.3">
      <c r="B104" s="142" t="s">
        <v>35</v>
      </c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4"/>
    </row>
    <row r="105" spans="1:16" x14ac:dyDescent="0.25">
      <c r="B105" s="145" t="s">
        <v>34</v>
      </c>
      <c r="C105" s="138" t="s">
        <v>25</v>
      </c>
      <c r="D105" s="140" t="s">
        <v>24</v>
      </c>
      <c r="E105" s="147" t="s">
        <v>36</v>
      </c>
      <c r="F105" s="148"/>
      <c r="G105" s="148" t="s">
        <v>37</v>
      </c>
      <c r="H105" s="149"/>
      <c r="I105" s="150" t="s">
        <v>38</v>
      </c>
      <c r="J105" s="151"/>
      <c r="K105" s="152"/>
      <c r="L105" s="153" t="s">
        <v>39</v>
      </c>
      <c r="M105" s="140"/>
    </row>
    <row r="106" spans="1:16" ht="45.75" thickBot="1" x14ac:dyDescent="0.3">
      <c r="B106" s="146"/>
      <c r="C106" s="139"/>
      <c r="D106" s="141"/>
      <c r="E106" s="32" t="s">
        <v>40</v>
      </c>
      <c r="F106" s="33" t="s">
        <v>24</v>
      </c>
      <c r="G106" s="34" t="s">
        <v>40</v>
      </c>
      <c r="H106" s="35" t="s">
        <v>24</v>
      </c>
      <c r="I106" s="32" t="s">
        <v>41</v>
      </c>
      <c r="J106" s="34" t="s">
        <v>42</v>
      </c>
      <c r="K106" s="36" t="s">
        <v>43</v>
      </c>
      <c r="L106" s="32" t="s">
        <v>44</v>
      </c>
      <c r="M106" s="36" t="s">
        <v>45</v>
      </c>
    </row>
    <row r="107" spans="1:16" x14ac:dyDescent="0.25">
      <c r="B107" s="92">
        <v>1</v>
      </c>
      <c r="C107" s="107"/>
      <c r="D107" s="94" t="s">
        <v>5</v>
      </c>
      <c r="E107" s="95" t="s">
        <v>47</v>
      </c>
      <c r="F107" s="96">
        <v>0</v>
      </c>
      <c r="G107" s="97" t="s">
        <v>47</v>
      </c>
      <c r="H107" s="98">
        <v>0</v>
      </c>
      <c r="I107" s="99">
        <v>30</v>
      </c>
      <c r="J107" s="100">
        <v>29</v>
      </c>
      <c r="K107" s="101">
        <f>I107-J107</f>
        <v>1</v>
      </c>
      <c r="L107" s="99">
        <f>J107/I107*100</f>
        <v>96.666666666666671</v>
      </c>
      <c r="M107" s="102" t="str">
        <f>IF(J107=0,"BM",IF(E107="Ya","BS",IF(J107&lt;I107,"BS","SL")))</f>
        <v>BS</v>
      </c>
    </row>
    <row r="108" spans="1:16" ht="15.75" thickBot="1" x14ac:dyDescent="0.3">
      <c r="B108" s="29">
        <v>2</v>
      </c>
      <c r="C108" s="30"/>
      <c r="D108" s="31" t="s">
        <v>69</v>
      </c>
      <c r="E108" s="37" t="s">
        <v>47</v>
      </c>
      <c r="F108" s="38">
        <v>0</v>
      </c>
      <c r="G108" s="39" t="s">
        <v>47</v>
      </c>
      <c r="H108" s="40">
        <v>0</v>
      </c>
      <c r="I108" s="41">
        <v>10</v>
      </c>
      <c r="J108" s="42">
        <v>3</v>
      </c>
      <c r="K108" s="43">
        <f>I108-J108</f>
        <v>7</v>
      </c>
      <c r="L108" s="41">
        <f>J108/I108*100</f>
        <v>30</v>
      </c>
      <c r="M108" s="44" t="str">
        <f>IF(J108=0,"BM",IF(E108="Ya","BS",IF(J108&lt;I108,"BS","SL")))</f>
        <v>BS</v>
      </c>
    </row>
    <row r="109" spans="1:16" x14ac:dyDescent="0.25">
      <c r="B109" s="70"/>
      <c r="C109" s="71"/>
      <c r="D109" s="72"/>
      <c r="E109" s="73"/>
      <c r="F109" s="74"/>
      <c r="G109" s="75"/>
      <c r="H109" s="76"/>
      <c r="I109" s="77"/>
      <c r="J109" s="77"/>
      <c r="K109" s="77"/>
      <c r="L109" s="77"/>
      <c r="M109" s="78"/>
    </row>
    <row r="110" spans="1:16" x14ac:dyDescent="0.25">
      <c r="B110" s="18" t="s">
        <v>55</v>
      </c>
      <c r="D110" s="18"/>
      <c r="E110" s="18"/>
      <c r="F110" s="17"/>
      <c r="G110" s="17"/>
      <c r="H110" s="17"/>
      <c r="I110" s="16"/>
      <c r="J110" s="16"/>
      <c r="K110" s="16"/>
      <c r="L110" s="16"/>
      <c r="M110" s="16"/>
    </row>
    <row r="111" spans="1:16" x14ac:dyDescent="0.25">
      <c r="B111" s="3" t="s">
        <v>49</v>
      </c>
      <c r="C111" s="15" t="s">
        <v>25</v>
      </c>
      <c r="D111" s="15" t="s">
        <v>24</v>
      </c>
      <c r="E111" s="15" t="s">
        <v>23</v>
      </c>
    </row>
    <row r="112" spans="1:16" x14ac:dyDescent="0.25">
      <c r="B112" s="3">
        <v>1</v>
      </c>
      <c r="C112" s="3"/>
      <c r="D112" s="45" t="s">
        <v>88</v>
      </c>
      <c r="E112" s="1">
        <v>41.825839199596665</v>
      </c>
    </row>
    <row r="113" spans="2:13" x14ac:dyDescent="0.25">
      <c r="B113" s="3">
        <v>2</v>
      </c>
      <c r="C113" s="2"/>
      <c r="D113" s="45" t="s">
        <v>2</v>
      </c>
      <c r="E113" s="1">
        <v>62.822847387989832</v>
      </c>
      <c r="F113" s="4"/>
      <c r="L113" s="5"/>
      <c r="M113" s="5"/>
    </row>
    <row r="114" spans="2:13" x14ac:dyDescent="0.25">
      <c r="B114" s="3">
        <v>3</v>
      </c>
      <c r="C114" s="2"/>
      <c r="D114" s="47" t="s">
        <v>69</v>
      </c>
      <c r="E114" s="48">
        <v>75.760000000000005</v>
      </c>
      <c r="F114" s="49" t="s">
        <v>91</v>
      </c>
    </row>
    <row r="115" spans="2:13" x14ac:dyDescent="0.25">
      <c r="B115" s="3">
        <v>4</v>
      </c>
      <c r="C115" s="2"/>
      <c r="D115" s="45" t="s">
        <v>89</v>
      </c>
      <c r="E115" s="1">
        <v>21.921744779052812</v>
      </c>
      <c r="F115" s="4"/>
    </row>
    <row r="116" spans="2:13" x14ac:dyDescent="0.25">
      <c r="B116" s="3">
        <v>5</v>
      </c>
      <c r="C116" s="3"/>
      <c r="D116" s="45" t="s">
        <v>85</v>
      </c>
      <c r="E116" s="1">
        <v>54.733955937965121</v>
      </c>
      <c r="F116" s="4"/>
    </row>
    <row r="117" spans="2:13" x14ac:dyDescent="0.25">
      <c r="B117" s="3">
        <v>6</v>
      </c>
      <c r="D117" s="45" t="s">
        <v>86</v>
      </c>
      <c r="E117" s="1">
        <v>63.429700430210758</v>
      </c>
    </row>
    <row r="118" spans="2:13" x14ac:dyDescent="0.25">
      <c r="B118" s="3">
        <v>7</v>
      </c>
      <c r="C118" s="2"/>
      <c r="D118" s="45" t="s">
        <v>87</v>
      </c>
      <c r="E118" s="1">
        <v>67.029700430210767</v>
      </c>
    </row>
    <row r="119" spans="2:13" x14ac:dyDescent="0.25">
      <c r="B119" s="3">
        <v>8</v>
      </c>
      <c r="C119" s="2"/>
      <c r="D119" s="2" t="s">
        <v>0</v>
      </c>
      <c r="E119" s="1">
        <v>47.622847387989829</v>
      </c>
    </row>
    <row r="120" spans="2:13" x14ac:dyDescent="0.25">
      <c r="B120" s="3">
        <v>9</v>
      </c>
      <c r="C120" s="2"/>
      <c r="D120" s="46" t="s">
        <v>52</v>
      </c>
      <c r="E120" s="1">
        <v>43.822847387989832</v>
      </c>
    </row>
    <row r="121" spans="2:13" x14ac:dyDescent="0.25">
      <c r="B121" s="3">
        <v>10</v>
      </c>
      <c r="C121" s="50" t="s">
        <v>32</v>
      </c>
      <c r="D121" s="51" t="s">
        <v>84</v>
      </c>
      <c r="E121" s="52">
        <v>12</v>
      </c>
    </row>
    <row r="123" spans="2:13" x14ac:dyDescent="0.25">
      <c r="B123" s="18" t="s">
        <v>58</v>
      </c>
      <c r="D123" s="18"/>
      <c r="E123" s="18"/>
      <c r="F123" s="17"/>
    </row>
    <row r="124" spans="2:13" x14ac:dyDescent="0.25">
      <c r="B124" s="3" t="s">
        <v>49</v>
      </c>
      <c r="C124" s="15" t="s">
        <v>25</v>
      </c>
      <c r="D124" s="15" t="s">
        <v>24</v>
      </c>
      <c r="E124" s="15" t="s">
        <v>23</v>
      </c>
    </row>
    <row r="125" spans="2:13" x14ac:dyDescent="0.25">
      <c r="B125" s="3">
        <v>1</v>
      </c>
      <c r="C125" s="2"/>
      <c r="D125" s="47" t="s">
        <v>69</v>
      </c>
      <c r="E125" s="48">
        <v>75.760000000000005</v>
      </c>
      <c r="F125" s="49" t="s">
        <v>91</v>
      </c>
    </row>
    <row r="126" spans="2:13" x14ac:dyDescent="0.25">
      <c r="B126" s="3">
        <v>2</v>
      </c>
      <c r="C126" s="2"/>
      <c r="D126" s="45" t="s">
        <v>87</v>
      </c>
      <c r="E126" s="1">
        <v>67.029700430210767</v>
      </c>
      <c r="F126" s="4"/>
    </row>
    <row r="127" spans="2:13" x14ac:dyDescent="0.25">
      <c r="B127" s="3">
        <v>3</v>
      </c>
      <c r="C127" s="3"/>
      <c r="D127" s="45" t="s">
        <v>86</v>
      </c>
      <c r="E127" s="1">
        <v>63.429700430210758</v>
      </c>
    </row>
    <row r="128" spans="2:13" x14ac:dyDescent="0.25">
      <c r="B128" s="3">
        <v>4</v>
      </c>
      <c r="C128" s="2"/>
      <c r="D128" s="45" t="s">
        <v>2</v>
      </c>
      <c r="E128" s="1">
        <v>62.822847387989832</v>
      </c>
      <c r="F128" s="4"/>
    </row>
    <row r="129" spans="2:6" x14ac:dyDescent="0.25">
      <c r="B129" s="3">
        <v>5</v>
      </c>
      <c r="C129" s="3"/>
      <c r="D129" s="45" t="s">
        <v>85</v>
      </c>
      <c r="E129" s="1">
        <v>54.733955937965121</v>
      </c>
      <c r="F129" s="4"/>
    </row>
    <row r="130" spans="2:6" x14ac:dyDescent="0.25">
      <c r="B130" s="3">
        <v>6</v>
      </c>
      <c r="C130" s="26"/>
      <c r="D130" s="2" t="s">
        <v>0</v>
      </c>
      <c r="E130" s="1">
        <v>47.622847387989829</v>
      </c>
    </row>
    <row r="131" spans="2:6" x14ac:dyDescent="0.25">
      <c r="B131" s="3">
        <v>7</v>
      </c>
      <c r="C131" s="2"/>
      <c r="D131" s="53" t="s">
        <v>52</v>
      </c>
      <c r="E131" s="1">
        <v>43.822847387989832</v>
      </c>
    </row>
    <row r="132" spans="2:6" x14ac:dyDescent="0.25">
      <c r="B132" s="3">
        <v>8</v>
      </c>
      <c r="C132" s="3"/>
      <c r="D132" s="45" t="s">
        <v>88</v>
      </c>
      <c r="E132" s="1">
        <v>41.825839199596665</v>
      </c>
    </row>
    <row r="133" spans="2:6" x14ac:dyDescent="0.25">
      <c r="B133" s="3">
        <v>9</v>
      </c>
      <c r="C133" s="2"/>
      <c r="D133" s="54" t="s">
        <v>89</v>
      </c>
      <c r="E133" s="1">
        <v>21.921744779052812</v>
      </c>
    </row>
    <row r="134" spans="2:6" x14ac:dyDescent="0.25">
      <c r="B134" s="3">
        <v>10</v>
      </c>
      <c r="C134" s="50" t="s">
        <v>32</v>
      </c>
      <c r="D134" s="51" t="s">
        <v>84</v>
      </c>
      <c r="E134" s="52">
        <v>12</v>
      </c>
      <c r="F134" s="16" t="s">
        <v>90</v>
      </c>
    </row>
    <row r="136" spans="2:6" x14ac:dyDescent="0.25">
      <c r="B136" s="18" t="s">
        <v>59</v>
      </c>
      <c r="D136" s="18"/>
      <c r="E136" s="18"/>
    </row>
    <row r="137" spans="2:6" x14ac:dyDescent="0.25">
      <c r="B137" s="3" t="s">
        <v>49</v>
      </c>
      <c r="C137" s="15" t="s">
        <v>25</v>
      </c>
      <c r="D137" s="15" t="s">
        <v>24</v>
      </c>
      <c r="E137" s="15" t="s">
        <v>23</v>
      </c>
    </row>
    <row r="138" spans="2:6" x14ac:dyDescent="0.25">
      <c r="B138" s="3">
        <v>1</v>
      </c>
      <c r="C138" s="55" t="s">
        <v>32</v>
      </c>
      <c r="D138" s="56" t="s">
        <v>84</v>
      </c>
      <c r="E138" s="57">
        <f>IF(C138="PR",$E$125+1)</f>
        <v>76.760000000000005</v>
      </c>
      <c r="F138" s="49" t="s">
        <v>56</v>
      </c>
    </row>
    <row r="139" spans="2:6" x14ac:dyDescent="0.25">
      <c r="B139" s="3">
        <v>2</v>
      </c>
      <c r="C139" s="103"/>
      <c r="D139" s="105" t="s">
        <v>69</v>
      </c>
      <c r="E139" s="106">
        <v>75.760000000000005</v>
      </c>
      <c r="F139" s="104" t="s">
        <v>92</v>
      </c>
    </row>
    <row r="140" spans="2:6" x14ac:dyDescent="0.25">
      <c r="B140" s="3">
        <v>3</v>
      </c>
      <c r="C140" s="2"/>
      <c r="D140" s="45" t="s">
        <v>87</v>
      </c>
      <c r="E140" s="1">
        <v>67.029700430210767</v>
      </c>
    </row>
    <row r="141" spans="2:6" x14ac:dyDescent="0.25">
      <c r="B141" s="3">
        <v>4</v>
      </c>
      <c r="C141" s="3"/>
      <c r="D141" s="45" t="s">
        <v>86</v>
      </c>
      <c r="E141" s="1">
        <v>63.429700430210758</v>
      </c>
      <c r="F141" s="4"/>
    </row>
    <row r="142" spans="2:6" x14ac:dyDescent="0.25">
      <c r="B142" s="3">
        <v>5</v>
      </c>
      <c r="C142" s="2"/>
      <c r="D142" s="45" t="s">
        <v>2</v>
      </c>
      <c r="E142" s="1">
        <v>62.822847387989832</v>
      </c>
      <c r="F142" s="4"/>
    </row>
    <row r="143" spans="2:6" x14ac:dyDescent="0.25">
      <c r="B143" s="3">
        <v>6</v>
      </c>
      <c r="C143" s="25"/>
      <c r="D143" s="45" t="s">
        <v>85</v>
      </c>
      <c r="E143" s="1">
        <v>54.733955937965121</v>
      </c>
    </row>
    <row r="144" spans="2:6" x14ac:dyDescent="0.25">
      <c r="B144" s="3">
        <v>7</v>
      </c>
      <c r="C144" s="2"/>
      <c r="D144" s="2" t="s">
        <v>0</v>
      </c>
      <c r="E144" s="1">
        <v>47.622847387989829</v>
      </c>
    </row>
    <row r="145" spans="2:13" x14ac:dyDescent="0.25">
      <c r="B145" s="3">
        <v>8</v>
      </c>
      <c r="C145" s="2"/>
      <c r="D145" s="53" t="s">
        <v>52</v>
      </c>
      <c r="E145" s="1">
        <v>43.822847387989832</v>
      </c>
    </row>
    <row r="146" spans="2:13" x14ac:dyDescent="0.25">
      <c r="B146" s="3">
        <v>9</v>
      </c>
      <c r="C146" s="3"/>
      <c r="D146" s="54" t="s">
        <v>88</v>
      </c>
      <c r="E146" s="1">
        <v>41.825839199596665</v>
      </c>
    </row>
    <row r="147" spans="2:13" x14ac:dyDescent="0.25">
      <c r="B147" s="3">
        <v>10</v>
      </c>
      <c r="C147" s="2"/>
      <c r="D147" s="45" t="s">
        <v>89</v>
      </c>
      <c r="E147" s="1">
        <v>21.921744779052812</v>
      </c>
      <c r="F147" s="16"/>
    </row>
    <row r="148" spans="2:13" x14ac:dyDescent="0.25">
      <c r="B148" s="25"/>
      <c r="C148" s="26"/>
      <c r="D148" s="79"/>
      <c r="E148" s="27"/>
    </row>
    <row r="149" spans="2:13" x14ac:dyDescent="0.25">
      <c r="B149" s="16" t="s">
        <v>66</v>
      </c>
    </row>
    <row r="150" spans="2:13" x14ac:dyDescent="0.25">
      <c r="B150" s="3" t="s">
        <v>49</v>
      </c>
      <c r="C150" s="15" t="s">
        <v>25</v>
      </c>
      <c r="D150" s="15" t="s">
        <v>24</v>
      </c>
      <c r="E150" s="14" t="s">
        <v>23</v>
      </c>
      <c r="F150" s="59" t="s">
        <v>64</v>
      </c>
      <c r="G150" s="59" t="s">
        <v>65</v>
      </c>
      <c r="H150" s="59" t="s">
        <v>31</v>
      </c>
    </row>
    <row r="151" spans="2:13" x14ac:dyDescent="0.25">
      <c r="B151" s="3">
        <v>1</v>
      </c>
      <c r="C151" s="55" t="s">
        <v>32</v>
      </c>
      <c r="D151" s="56" t="s">
        <v>84</v>
      </c>
      <c r="E151" s="57">
        <f>IF(C151="PR",$E$125+1)</f>
        <v>76.760000000000005</v>
      </c>
      <c r="F151" s="60">
        <v>5</v>
      </c>
      <c r="G151" s="60">
        <v>6</v>
      </c>
      <c r="H151" s="60" t="str">
        <f>IF(G151&gt;=F151,"Pilih","Tidak")</f>
        <v>Pilih</v>
      </c>
      <c r="I151" s="49" t="s">
        <v>63</v>
      </c>
    </row>
    <row r="152" spans="2:13" s="61" customFormat="1" x14ac:dyDescent="0.25">
      <c r="B152" s="81"/>
      <c r="C152" s="82"/>
      <c r="D152" s="83"/>
      <c r="E152" s="84"/>
      <c r="F152" s="64"/>
      <c r="G152" s="64"/>
      <c r="H152" s="64"/>
      <c r="I152" s="85"/>
    </row>
    <row r="153" spans="2:13" ht="15.75" thickBot="1" x14ac:dyDescent="0.3">
      <c r="B153" t="s">
        <v>98</v>
      </c>
    </row>
    <row r="154" spans="2:13" ht="16.5" thickBot="1" x14ac:dyDescent="0.3">
      <c r="B154" s="142" t="s">
        <v>35</v>
      </c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4"/>
    </row>
    <row r="155" spans="2:13" x14ac:dyDescent="0.25">
      <c r="B155" s="145" t="s">
        <v>34</v>
      </c>
      <c r="C155" s="138" t="s">
        <v>25</v>
      </c>
      <c r="D155" s="140" t="s">
        <v>24</v>
      </c>
      <c r="E155" s="147" t="s">
        <v>36</v>
      </c>
      <c r="F155" s="148"/>
      <c r="G155" s="148" t="s">
        <v>37</v>
      </c>
      <c r="H155" s="149"/>
      <c r="I155" s="150" t="s">
        <v>38</v>
      </c>
      <c r="J155" s="151"/>
      <c r="K155" s="152"/>
      <c r="L155" s="153" t="s">
        <v>39</v>
      </c>
      <c r="M155" s="140"/>
    </row>
    <row r="156" spans="2:13" ht="45.75" thickBot="1" x14ac:dyDescent="0.3">
      <c r="B156" s="146"/>
      <c r="C156" s="139"/>
      <c r="D156" s="141"/>
      <c r="E156" s="32" t="s">
        <v>40</v>
      </c>
      <c r="F156" s="33" t="s">
        <v>24</v>
      </c>
      <c r="G156" s="34" t="s">
        <v>40</v>
      </c>
      <c r="H156" s="35" t="s">
        <v>24</v>
      </c>
      <c r="I156" s="32" t="s">
        <v>41</v>
      </c>
      <c r="J156" s="34" t="s">
        <v>42</v>
      </c>
      <c r="K156" s="36" t="s">
        <v>43</v>
      </c>
      <c r="L156" s="32" t="s">
        <v>44</v>
      </c>
      <c r="M156" s="36" t="s">
        <v>45</v>
      </c>
    </row>
    <row r="157" spans="2:13" x14ac:dyDescent="0.25">
      <c r="B157" s="92">
        <v>1</v>
      </c>
      <c r="C157" s="107"/>
      <c r="D157" s="94" t="s">
        <v>5</v>
      </c>
      <c r="E157" s="95" t="s">
        <v>47</v>
      </c>
      <c r="F157" s="96">
        <v>0</v>
      </c>
      <c r="G157" s="97" t="s">
        <v>47</v>
      </c>
      <c r="H157" s="98">
        <v>0</v>
      </c>
      <c r="I157" s="99">
        <v>30</v>
      </c>
      <c r="J157" s="100">
        <v>30</v>
      </c>
      <c r="K157" s="101">
        <f>I157-J157</f>
        <v>0</v>
      </c>
      <c r="L157" s="99">
        <f>J157/I157*100</f>
        <v>100</v>
      </c>
      <c r="M157" s="102" t="str">
        <f>IF(J157=0,"BM",IF(E157="Ya","BS",IF(J157&lt;I157,"BS","SL")))</f>
        <v>SL</v>
      </c>
    </row>
    <row r="158" spans="2:13" x14ac:dyDescent="0.25">
      <c r="B158" s="108">
        <v>2</v>
      </c>
      <c r="C158" s="109"/>
      <c r="D158" s="110" t="s">
        <v>69</v>
      </c>
      <c r="E158" s="111" t="s">
        <v>46</v>
      </c>
      <c r="F158" s="112" t="s">
        <v>84</v>
      </c>
      <c r="G158" s="113" t="s">
        <v>47</v>
      </c>
      <c r="H158" s="114">
        <v>0</v>
      </c>
      <c r="I158" s="115">
        <v>10</v>
      </c>
      <c r="J158" s="116">
        <v>3</v>
      </c>
      <c r="K158" s="117">
        <f>I158-J158</f>
        <v>7</v>
      </c>
      <c r="L158" s="115">
        <f>J158/I158*100</f>
        <v>30</v>
      </c>
      <c r="M158" s="118" t="str">
        <f>IF(J158=0,"BM",IF(E158="Ya","BS",IF(J158&lt;I158,"BS","SL")))</f>
        <v>BS</v>
      </c>
    </row>
    <row r="159" spans="2:13" ht="15.75" thickBot="1" x14ac:dyDescent="0.3">
      <c r="B159" s="119">
        <v>3</v>
      </c>
      <c r="C159" s="130" t="s">
        <v>32</v>
      </c>
      <c r="D159" s="120" t="s">
        <v>14</v>
      </c>
      <c r="E159" s="121" t="s">
        <v>47</v>
      </c>
      <c r="F159" s="122">
        <v>0</v>
      </c>
      <c r="G159" s="127" t="s">
        <v>46</v>
      </c>
      <c r="H159" s="128" t="s">
        <v>69</v>
      </c>
      <c r="I159" s="123">
        <v>20</v>
      </c>
      <c r="J159" s="124">
        <v>0</v>
      </c>
      <c r="K159" s="125">
        <f>I159-J159</f>
        <v>20</v>
      </c>
      <c r="L159" s="123">
        <f>J159/I159*100</f>
        <v>0</v>
      </c>
      <c r="M159" s="126" t="str">
        <f>IF(J159=0,"BM",IF(E159="Ya","BS",IF(J159&lt;I159,"BS","SL")))</f>
        <v>BM</v>
      </c>
    </row>
    <row r="160" spans="2:13" x14ac:dyDescent="0.25">
      <c r="B160" s="25"/>
      <c r="C160" s="26"/>
      <c r="D160" s="79"/>
      <c r="E160" s="27"/>
    </row>
    <row r="162" spans="1:16" x14ac:dyDescent="0.25">
      <c r="A162" s="133" t="s">
        <v>97</v>
      </c>
      <c r="B162" s="134" t="s">
        <v>94</v>
      </c>
      <c r="C162" s="15" t="s">
        <v>76</v>
      </c>
      <c r="D162" s="15" t="s">
        <v>77</v>
      </c>
      <c r="E162" s="15" t="s">
        <v>79</v>
      </c>
      <c r="F162" s="135" t="s">
        <v>78</v>
      </c>
      <c r="G162" s="136"/>
      <c r="H162" s="136"/>
      <c r="I162" s="136"/>
      <c r="J162" s="136"/>
      <c r="K162" s="136"/>
      <c r="L162" s="136"/>
      <c r="M162" s="136"/>
      <c r="N162" s="136"/>
      <c r="O162" s="136"/>
      <c r="P162" s="137"/>
    </row>
    <row r="163" spans="1:16" x14ac:dyDescent="0.25">
      <c r="A163" s="133"/>
      <c r="B163" s="134"/>
      <c r="C163" s="86">
        <v>1</v>
      </c>
      <c r="D163" s="87" t="s">
        <v>74</v>
      </c>
      <c r="E163" s="88"/>
      <c r="F163" s="154" t="s">
        <v>71</v>
      </c>
      <c r="G163" s="155"/>
      <c r="H163" s="155"/>
      <c r="I163" s="155"/>
      <c r="J163" s="155"/>
      <c r="K163" s="155"/>
      <c r="L163" s="155"/>
      <c r="M163" s="155"/>
      <c r="N163" s="155"/>
      <c r="O163" s="155"/>
      <c r="P163" s="156"/>
    </row>
    <row r="164" spans="1:16" x14ac:dyDescent="0.25">
      <c r="A164" s="133"/>
      <c r="B164" s="134"/>
      <c r="C164" s="86">
        <v>2</v>
      </c>
      <c r="D164" s="87" t="s">
        <v>80</v>
      </c>
      <c r="E164" s="87"/>
      <c r="F164" s="157" t="s">
        <v>82</v>
      </c>
      <c r="G164" s="158"/>
      <c r="H164" s="158"/>
      <c r="I164" s="158"/>
      <c r="J164" s="158"/>
      <c r="K164" s="158"/>
      <c r="L164" s="158"/>
      <c r="M164" s="158"/>
      <c r="N164" s="158"/>
      <c r="O164" s="158"/>
      <c r="P164" s="159"/>
    </row>
    <row r="165" spans="1:16" x14ac:dyDescent="0.25">
      <c r="A165" s="133"/>
      <c r="B165" s="134"/>
      <c r="C165" s="86">
        <v>3</v>
      </c>
      <c r="D165" s="89" t="s">
        <v>75</v>
      </c>
      <c r="E165" s="89"/>
      <c r="F165" s="157" t="s">
        <v>69</v>
      </c>
      <c r="G165" s="158"/>
      <c r="H165" s="158"/>
      <c r="I165" s="158"/>
      <c r="J165" s="158"/>
      <c r="K165" s="158"/>
      <c r="L165" s="158"/>
      <c r="M165" s="158"/>
      <c r="N165" s="158"/>
      <c r="O165" s="158"/>
      <c r="P165" s="159"/>
    </row>
    <row r="166" spans="1:16" x14ac:dyDescent="0.25">
      <c r="A166" s="133"/>
      <c r="B166" s="134"/>
      <c r="C166" s="86">
        <v>4</v>
      </c>
      <c r="D166" s="89" t="s">
        <v>72</v>
      </c>
      <c r="E166" s="90"/>
      <c r="F166" s="154" t="s">
        <v>14</v>
      </c>
      <c r="G166" s="155"/>
      <c r="H166" s="155"/>
      <c r="I166" s="155"/>
      <c r="J166" s="155"/>
      <c r="K166" s="155"/>
      <c r="L166" s="155"/>
      <c r="M166" s="155"/>
      <c r="N166" s="155"/>
      <c r="O166" s="155"/>
      <c r="P166" s="156"/>
    </row>
    <row r="167" spans="1:16" x14ac:dyDescent="0.25">
      <c r="A167" s="133"/>
      <c r="B167" s="134"/>
      <c r="C167" s="86">
        <v>5</v>
      </c>
      <c r="D167" s="89" t="s">
        <v>73</v>
      </c>
      <c r="E167" s="91"/>
      <c r="F167" s="157" t="s">
        <v>95</v>
      </c>
      <c r="G167" s="158"/>
      <c r="H167" s="158"/>
      <c r="I167" s="158"/>
      <c r="J167" s="158"/>
      <c r="K167" s="158"/>
      <c r="L167" s="158"/>
      <c r="M167" s="158"/>
      <c r="N167" s="158"/>
      <c r="O167" s="158"/>
      <c r="P167" s="159"/>
    </row>
    <row r="168" spans="1:16" ht="15.75" thickBot="1" x14ac:dyDescent="0.3">
      <c r="B168" s="28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</row>
    <row r="169" spans="1:16" ht="16.5" thickBot="1" x14ac:dyDescent="0.3">
      <c r="B169" s="142" t="s">
        <v>35</v>
      </c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4"/>
    </row>
    <row r="170" spans="1:16" x14ac:dyDescent="0.25">
      <c r="B170" s="145" t="s">
        <v>34</v>
      </c>
      <c r="C170" s="138" t="s">
        <v>25</v>
      </c>
      <c r="D170" s="140" t="s">
        <v>24</v>
      </c>
      <c r="E170" s="147" t="s">
        <v>36</v>
      </c>
      <c r="F170" s="148"/>
      <c r="G170" s="148" t="s">
        <v>37</v>
      </c>
      <c r="H170" s="149"/>
      <c r="I170" s="150" t="s">
        <v>38</v>
      </c>
      <c r="J170" s="151"/>
      <c r="K170" s="152"/>
      <c r="L170" s="153" t="s">
        <v>39</v>
      </c>
      <c r="M170" s="140"/>
    </row>
    <row r="171" spans="1:16" ht="45.75" thickBot="1" x14ac:dyDescent="0.3">
      <c r="B171" s="146"/>
      <c r="C171" s="139"/>
      <c r="D171" s="141"/>
      <c r="E171" s="32" t="s">
        <v>40</v>
      </c>
      <c r="F171" s="33" t="s">
        <v>24</v>
      </c>
      <c r="G171" s="34" t="s">
        <v>40</v>
      </c>
      <c r="H171" s="35" t="s">
        <v>24</v>
      </c>
      <c r="I171" s="32" t="s">
        <v>41</v>
      </c>
      <c r="J171" s="34" t="s">
        <v>42</v>
      </c>
      <c r="K171" s="36" t="s">
        <v>43</v>
      </c>
      <c r="L171" s="32" t="s">
        <v>44</v>
      </c>
      <c r="M171" s="36" t="s">
        <v>45</v>
      </c>
    </row>
    <row r="172" spans="1:16" x14ac:dyDescent="0.25">
      <c r="B172" s="92">
        <v>1</v>
      </c>
      <c r="C172" s="107"/>
      <c r="D172" s="94" t="s">
        <v>5</v>
      </c>
      <c r="E172" s="95" t="s">
        <v>47</v>
      </c>
      <c r="F172" s="96">
        <v>0</v>
      </c>
      <c r="G172" s="97" t="s">
        <v>47</v>
      </c>
      <c r="H172" s="98">
        <v>0</v>
      </c>
      <c r="I172" s="99">
        <v>30</v>
      </c>
      <c r="J172" s="100">
        <v>30</v>
      </c>
      <c r="K172" s="101">
        <f>I172-J172</f>
        <v>0</v>
      </c>
      <c r="L172" s="99">
        <f>J172/I172*100</f>
        <v>100</v>
      </c>
      <c r="M172" s="102" t="str">
        <f>IF(J172=0,"BM",IF(E172="Ya","BS",IF(J172&lt;I172,"BS","SL")))</f>
        <v>SL</v>
      </c>
    </row>
    <row r="173" spans="1:16" ht="15.75" thickBot="1" x14ac:dyDescent="0.3">
      <c r="B173" s="29">
        <v>2</v>
      </c>
      <c r="C173" s="30"/>
      <c r="D173" s="31" t="s">
        <v>69</v>
      </c>
      <c r="E173" s="37" t="s">
        <v>47</v>
      </c>
      <c r="F173" s="38">
        <v>0</v>
      </c>
      <c r="G173" s="39" t="s">
        <v>47</v>
      </c>
      <c r="H173" s="40">
        <v>0</v>
      </c>
      <c r="I173" s="41">
        <v>10</v>
      </c>
      <c r="J173" s="42">
        <v>9</v>
      </c>
      <c r="K173" s="43">
        <f>I173-J173</f>
        <v>1</v>
      </c>
      <c r="L173" s="41">
        <f>J173/I173*100</f>
        <v>90</v>
      </c>
      <c r="M173" s="44" t="str">
        <f>IF(J173=0,"BM",IF(E173="Ya","BS",IF(J173&lt;I173,"BS","SL")))</f>
        <v>BS</v>
      </c>
    </row>
    <row r="174" spans="1:16" x14ac:dyDescent="0.25">
      <c r="B174" s="70"/>
      <c r="C174" s="71"/>
      <c r="D174" s="72"/>
      <c r="E174" s="73"/>
      <c r="F174" s="74"/>
      <c r="G174" s="75"/>
      <c r="H174" s="76"/>
      <c r="I174" s="77"/>
      <c r="J174" s="77"/>
      <c r="K174" s="77"/>
      <c r="L174" s="77"/>
      <c r="M174" s="78"/>
    </row>
    <row r="175" spans="1:16" x14ac:dyDescent="0.25">
      <c r="B175" s="18" t="s">
        <v>55</v>
      </c>
      <c r="D175" s="18"/>
      <c r="E175" s="18"/>
      <c r="F175" s="17"/>
      <c r="G175" s="17"/>
      <c r="H175" s="17"/>
      <c r="I175" s="16"/>
      <c r="J175" s="16"/>
      <c r="K175" s="16"/>
      <c r="L175" s="16"/>
      <c r="M175" s="16"/>
    </row>
    <row r="176" spans="1:16" x14ac:dyDescent="0.25">
      <c r="B176" s="3" t="s">
        <v>49</v>
      </c>
      <c r="C176" s="15" t="s">
        <v>25</v>
      </c>
      <c r="D176" s="15" t="s">
        <v>24</v>
      </c>
      <c r="E176" s="15" t="s">
        <v>23</v>
      </c>
    </row>
    <row r="177" spans="2:13" x14ac:dyDescent="0.25">
      <c r="B177" s="3">
        <v>1</v>
      </c>
      <c r="C177" s="3"/>
      <c r="D177" s="45" t="s">
        <v>88</v>
      </c>
      <c r="E177" s="1">
        <v>41.825839199596665</v>
      </c>
    </row>
    <row r="178" spans="2:13" x14ac:dyDescent="0.25">
      <c r="B178" s="3">
        <v>2</v>
      </c>
      <c r="C178" s="2"/>
      <c r="D178" s="45" t="s">
        <v>2</v>
      </c>
      <c r="E178" s="1">
        <v>62.822847387989832</v>
      </c>
      <c r="F178" s="4"/>
      <c r="L178" s="5"/>
      <c r="M178" s="5"/>
    </row>
    <row r="179" spans="2:13" x14ac:dyDescent="0.25">
      <c r="B179" s="3">
        <v>3</v>
      </c>
      <c r="C179" s="2"/>
      <c r="D179" s="47" t="s">
        <v>69</v>
      </c>
      <c r="E179" s="48">
        <v>75.760000000000005</v>
      </c>
      <c r="F179" s="49" t="s">
        <v>91</v>
      </c>
    </row>
    <row r="180" spans="2:13" x14ac:dyDescent="0.25">
      <c r="B180" s="3">
        <v>4</v>
      </c>
      <c r="C180" s="2"/>
      <c r="D180" s="45" t="s">
        <v>89</v>
      </c>
      <c r="E180" s="1">
        <v>21.921744779052812</v>
      </c>
      <c r="F180" s="4"/>
    </row>
    <row r="181" spans="2:13" x14ac:dyDescent="0.25">
      <c r="B181" s="3">
        <v>5</v>
      </c>
      <c r="C181" s="3"/>
      <c r="D181" s="45" t="s">
        <v>85</v>
      </c>
      <c r="E181" s="1">
        <v>54.733955937965121</v>
      </c>
      <c r="F181" s="4"/>
    </row>
    <row r="182" spans="2:13" x14ac:dyDescent="0.25">
      <c r="B182" s="3">
        <v>6</v>
      </c>
      <c r="D182" s="45" t="s">
        <v>86</v>
      </c>
      <c r="E182" s="1">
        <v>63.429700430210758</v>
      </c>
    </row>
    <row r="183" spans="2:13" x14ac:dyDescent="0.25">
      <c r="B183" s="3">
        <v>7</v>
      </c>
      <c r="C183" s="2"/>
      <c r="D183" s="45" t="s">
        <v>87</v>
      </c>
      <c r="E183" s="1">
        <v>67.029700430210767</v>
      </c>
    </row>
    <row r="184" spans="2:13" x14ac:dyDescent="0.25">
      <c r="B184" s="3">
        <v>8</v>
      </c>
      <c r="C184" s="2"/>
      <c r="D184" s="2" t="s">
        <v>0</v>
      </c>
      <c r="E184" s="1">
        <v>47.622847387989829</v>
      </c>
    </row>
    <row r="185" spans="2:13" x14ac:dyDescent="0.25">
      <c r="B185" s="3">
        <v>9</v>
      </c>
      <c r="C185" s="2"/>
      <c r="D185" s="46" t="s">
        <v>52</v>
      </c>
      <c r="E185" s="1">
        <v>43.822847387989832</v>
      </c>
    </row>
    <row r="186" spans="2:13" x14ac:dyDescent="0.25">
      <c r="B186" s="3">
        <v>10</v>
      </c>
      <c r="C186" s="50" t="s">
        <v>32</v>
      </c>
      <c r="D186" s="51" t="s">
        <v>84</v>
      </c>
      <c r="E186" s="52">
        <v>12</v>
      </c>
    </row>
    <row r="188" spans="2:13" x14ac:dyDescent="0.25">
      <c r="B188" s="18" t="s">
        <v>58</v>
      </c>
      <c r="D188" s="18"/>
      <c r="E188" s="18"/>
      <c r="F188" s="17"/>
    </row>
    <row r="189" spans="2:13" x14ac:dyDescent="0.25">
      <c r="B189" s="3" t="s">
        <v>49</v>
      </c>
      <c r="C189" s="15" t="s">
        <v>25</v>
      </c>
      <c r="D189" s="15" t="s">
        <v>24</v>
      </c>
      <c r="E189" s="15" t="s">
        <v>23</v>
      </c>
    </row>
    <row r="190" spans="2:13" x14ac:dyDescent="0.25">
      <c r="B190" s="3">
        <v>1</v>
      </c>
      <c r="C190" s="2"/>
      <c r="D190" s="47" t="s">
        <v>69</v>
      </c>
      <c r="E190" s="48">
        <v>75.760000000000005</v>
      </c>
      <c r="F190" s="49" t="s">
        <v>91</v>
      </c>
    </row>
    <row r="191" spans="2:13" x14ac:dyDescent="0.25">
      <c r="B191" s="3">
        <v>2</v>
      </c>
      <c r="C191" s="2"/>
      <c r="D191" s="45" t="s">
        <v>87</v>
      </c>
      <c r="E191" s="1">
        <v>67.029700430210767</v>
      </c>
      <c r="F191" s="4"/>
    </row>
    <row r="192" spans="2:13" x14ac:dyDescent="0.25">
      <c r="B192" s="3">
        <v>3</v>
      </c>
      <c r="C192" s="3"/>
      <c r="D192" s="45" t="s">
        <v>86</v>
      </c>
      <c r="E192" s="1">
        <v>63.429700430210758</v>
      </c>
    </row>
    <row r="193" spans="2:6" x14ac:dyDescent="0.25">
      <c r="B193" s="3">
        <v>4</v>
      </c>
      <c r="C193" s="2"/>
      <c r="D193" s="45" t="s">
        <v>2</v>
      </c>
      <c r="E193" s="1">
        <v>62.822847387989832</v>
      </c>
      <c r="F193" s="4"/>
    </row>
    <row r="194" spans="2:6" x14ac:dyDescent="0.25">
      <c r="B194" s="3">
        <v>5</v>
      </c>
      <c r="C194" s="3"/>
      <c r="D194" s="45" t="s">
        <v>85</v>
      </c>
      <c r="E194" s="1">
        <v>54.733955937965121</v>
      </c>
      <c r="F194" s="4"/>
    </row>
    <row r="195" spans="2:6" x14ac:dyDescent="0.25">
      <c r="B195" s="3">
        <v>6</v>
      </c>
      <c r="C195" s="26"/>
      <c r="D195" s="2" t="s">
        <v>0</v>
      </c>
      <c r="E195" s="1">
        <v>47.622847387989829</v>
      </c>
    </row>
    <row r="196" spans="2:6" x14ac:dyDescent="0.25">
      <c r="B196" s="3">
        <v>7</v>
      </c>
      <c r="C196" s="2"/>
      <c r="D196" s="53" t="s">
        <v>52</v>
      </c>
      <c r="E196" s="1">
        <v>43.822847387989832</v>
      </c>
    </row>
    <row r="197" spans="2:6" x14ac:dyDescent="0.25">
      <c r="B197" s="3">
        <v>8</v>
      </c>
      <c r="C197" s="3"/>
      <c r="D197" s="45" t="s">
        <v>88</v>
      </c>
      <c r="E197" s="1">
        <v>41.825839199596665</v>
      </c>
    </row>
    <row r="198" spans="2:6" x14ac:dyDescent="0.25">
      <c r="B198" s="3">
        <v>9</v>
      </c>
      <c r="C198" s="2"/>
      <c r="D198" s="54" t="s">
        <v>89</v>
      </c>
      <c r="E198" s="1">
        <v>21.921744779052812</v>
      </c>
    </row>
    <row r="199" spans="2:6" x14ac:dyDescent="0.25">
      <c r="B199" s="3">
        <v>10</v>
      </c>
      <c r="C199" s="50" t="s">
        <v>32</v>
      </c>
      <c r="D199" s="51" t="s">
        <v>84</v>
      </c>
      <c r="E199" s="52">
        <v>12</v>
      </c>
      <c r="F199" s="16" t="s">
        <v>96</v>
      </c>
    </row>
    <row r="201" spans="2:6" x14ac:dyDescent="0.25">
      <c r="B201" s="18" t="s">
        <v>59</v>
      </c>
      <c r="D201" s="18"/>
      <c r="E201" s="18"/>
    </row>
    <row r="202" spans="2:6" x14ac:dyDescent="0.25">
      <c r="B202" s="3" t="s">
        <v>49</v>
      </c>
      <c r="C202" s="15" t="s">
        <v>25</v>
      </c>
      <c r="D202" s="15" t="s">
        <v>24</v>
      </c>
      <c r="E202" s="15" t="s">
        <v>23</v>
      </c>
    </row>
    <row r="203" spans="2:6" x14ac:dyDescent="0.25">
      <c r="B203" s="3">
        <v>1</v>
      </c>
      <c r="C203" s="55" t="s">
        <v>32</v>
      </c>
      <c r="D203" s="56" t="s">
        <v>84</v>
      </c>
      <c r="E203" s="57">
        <f>IF(C203="PR",$E$190+1)</f>
        <v>76.760000000000005</v>
      </c>
      <c r="F203" s="49" t="s">
        <v>56</v>
      </c>
    </row>
    <row r="204" spans="2:6" x14ac:dyDescent="0.25">
      <c r="B204" s="3">
        <v>2</v>
      </c>
      <c r="C204" s="2"/>
      <c r="D204" s="45" t="s">
        <v>87</v>
      </c>
      <c r="E204" s="1">
        <v>67.029700430210767</v>
      </c>
    </row>
    <row r="205" spans="2:6" x14ac:dyDescent="0.25">
      <c r="B205" s="3">
        <v>3</v>
      </c>
      <c r="C205" s="3"/>
      <c r="D205" s="45" t="s">
        <v>86</v>
      </c>
      <c r="E205" s="1">
        <v>63.429700430210758</v>
      </c>
      <c r="F205" s="4"/>
    </row>
    <row r="206" spans="2:6" x14ac:dyDescent="0.25">
      <c r="B206" s="3">
        <v>4</v>
      </c>
      <c r="C206" s="2"/>
      <c r="D206" s="45" t="s">
        <v>2</v>
      </c>
      <c r="E206" s="1">
        <v>62.822847387989832</v>
      </c>
      <c r="F206" s="4"/>
    </row>
    <row r="207" spans="2:6" x14ac:dyDescent="0.25">
      <c r="B207" s="3">
        <v>5</v>
      </c>
      <c r="C207" s="25"/>
      <c r="D207" s="45" t="s">
        <v>85</v>
      </c>
      <c r="E207" s="1">
        <v>54.733955937965121</v>
      </c>
    </row>
    <row r="208" spans="2:6" x14ac:dyDescent="0.25">
      <c r="B208" s="3">
        <v>6</v>
      </c>
      <c r="C208" s="2"/>
      <c r="D208" s="2" t="s">
        <v>0</v>
      </c>
      <c r="E208" s="1">
        <v>47.622847387989829</v>
      </c>
    </row>
    <row r="209" spans="2:13" x14ac:dyDescent="0.25">
      <c r="B209" s="3">
        <v>7</v>
      </c>
      <c r="C209" s="2"/>
      <c r="D209" s="53" t="s">
        <v>52</v>
      </c>
      <c r="E209" s="1">
        <v>43.822847387989832</v>
      </c>
    </row>
    <row r="210" spans="2:13" x14ac:dyDescent="0.25">
      <c r="B210" s="3">
        <v>8</v>
      </c>
      <c r="C210" s="3"/>
      <c r="D210" s="54" t="s">
        <v>88</v>
      </c>
      <c r="E210" s="1">
        <v>41.825839199596665</v>
      </c>
    </row>
    <row r="211" spans="2:13" x14ac:dyDescent="0.25">
      <c r="B211" s="3">
        <v>9</v>
      </c>
      <c r="C211" s="2"/>
      <c r="D211" s="45" t="s">
        <v>89</v>
      </c>
      <c r="E211" s="1">
        <v>21.921744779052812</v>
      </c>
      <c r="F211" s="16"/>
    </row>
    <row r="212" spans="2:13" x14ac:dyDescent="0.25">
      <c r="B212" s="25"/>
      <c r="C212" s="26"/>
      <c r="D212" s="79"/>
      <c r="E212" s="27"/>
    </row>
    <row r="213" spans="2:13" x14ac:dyDescent="0.25">
      <c r="B213" s="16" t="s">
        <v>66</v>
      </c>
    </row>
    <row r="214" spans="2:13" x14ac:dyDescent="0.25">
      <c r="B214" s="3" t="s">
        <v>49</v>
      </c>
      <c r="C214" s="15" t="s">
        <v>25</v>
      </c>
      <c r="D214" s="15" t="s">
        <v>24</v>
      </c>
      <c r="E214" s="14" t="s">
        <v>23</v>
      </c>
      <c r="F214" s="59" t="s">
        <v>64</v>
      </c>
      <c r="G214" s="59" t="s">
        <v>65</v>
      </c>
      <c r="H214" s="59" t="s">
        <v>31</v>
      </c>
    </row>
    <row r="215" spans="2:13" x14ac:dyDescent="0.25">
      <c r="B215" s="3">
        <v>1</v>
      </c>
      <c r="C215" s="55" t="s">
        <v>32</v>
      </c>
      <c r="D215" s="56" t="s">
        <v>84</v>
      </c>
      <c r="E215" s="57">
        <f>IF(C215="PR",E190+1)</f>
        <v>76.760000000000005</v>
      </c>
      <c r="F215" s="60">
        <v>3</v>
      </c>
      <c r="G215" s="60">
        <v>6</v>
      </c>
      <c r="H215" s="60" t="str">
        <f>IF(G215&gt;=F215,"Pilih","Tidak")</f>
        <v>Pilih</v>
      </c>
      <c r="I215" s="49" t="s">
        <v>63</v>
      </c>
    </row>
    <row r="217" spans="2:13" ht="15.75" thickBot="1" x14ac:dyDescent="0.3">
      <c r="B217" t="s">
        <v>98</v>
      </c>
    </row>
    <row r="218" spans="2:13" ht="16.5" thickBot="1" x14ac:dyDescent="0.3">
      <c r="B218" s="142" t="s">
        <v>35</v>
      </c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4"/>
    </row>
    <row r="219" spans="2:13" x14ac:dyDescent="0.25">
      <c r="B219" s="145" t="s">
        <v>34</v>
      </c>
      <c r="C219" s="138" t="s">
        <v>25</v>
      </c>
      <c r="D219" s="140" t="s">
        <v>24</v>
      </c>
      <c r="E219" s="147" t="s">
        <v>36</v>
      </c>
      <c r="F219" s="148"/>
      <c r="G219" s="148" t="s">
        <v>37</v>
      </c>
      <c r="H219" s="149"/>
      <c r="I219" s="150" t="s">
        <v>38</v>
      </c>
      <c r="J219" s="151"/>
      <c r="K219" s="152"/>
      <c r="L219" s="153" t="s">
        <v>39</v>
      </c>
      <c r="M219" s="140"/>
    </row>
    <row r="220" spans="2:13" ht="45.75" thickBot="1" x14ac:dyDescent="0.3">
      <c r="B220" s="146"/>
      <c r="C220" s="139"/>
      <c r="D220" s="141"/>
      <c r="E220" s="32" t="s">
        <v>40</v>
      </c>
      <c r="F220" s="33" t="s">
        <v>24</v>
      </c>
      <c r="G220" s="34" t="s">
        <v>40</v>
      </c>
      <c r="H220" s="35" t="s">
        <v>24</v>
      </c>
      <c r="I220" s="32" t="s">
        <v>41</v>
      </c>
      <c r="J220" s="34" t="s">
        <v>42</v>
      </c>
      <c r="K220" s="36" t="s">
        <v>43</v>
      </c>
      <c r="L220" s="32" t="s">
        <v>44</v>
      </c>
      <c r="M220" s="36" t="s">
        <v>45</v>
      </c>
    </row>
    <row r="221" spans="2:13" x14ac:dyDescent="0.25">
      <c r="B221" s="92">
        <v>1</v>
      </c>
      <c r="C221" s="107"/>
      <c r="D221" s="94" t="s">
        <v>5</v>
      </c>
      <c r="E221" s="95" t="s">
        <v>47</v>
      </c>
      <c r="F221" s="96">
        <v>0</v>
      </c>
      <c r="G221" s="97" t="s">
        <v>47</v>
      </c>
      <c r="H221" s="98">
        <v>0</v>
      </c>
      <c r="I221" s="99">
        <v>30</v>
      </c>
      <c r="J221" s="100">
        <v>30</v>
      </c>
      <c r="K221" s="101">
        <f>I221-J221</f>
        <v>0</v>
      </c>
      <c r="L221" s="99">
        <f>J221/I221*100</f>
        <v>100</v>
      </c>
      <c r="M221" s="102" t="str">
        <f>IF(J221=0,"BM",IF(E221="Ya","BS",IF(J221&lt;I221,"BS","SL")))</f>
        <v>SL</v>
      </c>
    </row>
    <row r="222" spans="2:13" x14ac:dyDescent="0.25">
      <c r="B222" s="108">
        <v>2</v>
      </c>
      <c r="C222" s="129"/>
      <c r="D222" s="110" t="s">
        <v>69</v>
      </c>
      <c r="E222" s="111" t="s">
        <v>47</v>
      </c>
      <c r="F222" s="112">
        <v>0</v>
      </c>
      <c r="G222" s="113" t="s">
        <v>47</v>
      </c>
      <c r="H222" s="114">
        <v>0</v>
      </c>
      <c r="I222" s="115">
        <v>10</v>
      </c>
      <c r="J222" s="116">
        <v>10</v>
      </c>
      <c r="K222" s="117">
        <f>I222-J222</f>
        <v>0</v>
      </c>
      <c r="L222" s="115">
        <f>J222/I222*100</f>
        <v>100</v>
      </c>
      <c r="M222" s="118" t="str">
        <f>IF(J222=0,"BM",IF(E222="Ya","BS",IF(J222&lt;I222,"BS","SL")))</f>
        <v>SL</v>
      </c>
    </row>
    <row r="223" spans="2:13" ht="15.75" thickBot="1" x14ac:dyDescent="0.3">
      <c r="B223" s="119">
        <v>3</v>
      </c>
      <c r="C223" s="130" t="s">
        <v>32</v>
      </c>
      <c r="D223" s="120" t="s">
        <v>14</v>
      </c>
      <c r="E223" s="121" t="s">
        <v>47</v>
      </c>
      <c r="F223" s="122">
        <v>0</v>
      </c>
      <c r="G223" s="127" t="s">
        <v>47</v>
      </c>
      <c r="H223" s="128">
        <v>0</v>
      </c>
      <c r="I223" s="123">
        <v>20</v>
      </c>
      <c r="J223" s="124">
        <v>0</v>
      </c>
      <c r="K223" s="125">
        <f>I223-J223</f>
        <v>20</v>
      </c>
      <c r="L223" s="123">
        <f>J223/I223*100</f>
        <v>0</v>
      </c>
      <c r="M223" s="126" t="str">
        <f>IF(J223=0,"BM",IF(E223="Ya","BS",IF(J223&lt;I223,"BS","SL")))</f>
        <v>BM</v>
      </c>
    </row>
  </sheetData>
  <sortState ref="C195:E204">
    <sortCondition descending="1" ref="E195:E204"/>
  </sortState>
  <mergeCells count="71">
    <mergeCell ref="B169:M169"/>
    <mergeCell ref="B170:B171"/>
    <mergeCell ref="C170:C171"/>
    <mergeCell ref="D170:D171"/>
    <mergeCell ref="E170:F170"/>
    <mergeCell ref="B218:M218"/>
    <mergeCell ref="B219:B220"/>
    <mergeCell ref="C219:C220"/>
    <mergeCell ref="D219:D220"/>
    <mergeCell ref="E219:F219"/>
    <mergeCell ref="G219:H219"/>
    <mergeCell ref="I219:K219"/>
    <mergeCell ref="L219:M219"/>
    <mergeCell ref="G170:H170"/>
    <mergeCell ref="I170:K170"/>
    <mergeCell ref="L170:M170"/>
    <mergeCell ref="L155:M155"/>
    <mergeCell ref="A162:A167"/>
    <mergeCell ref="B162:B167"/>
    <mergeCell ref="F162:P162"/>
    <mergeCell ref="F163:P163"/>
    <mergeCell ref="F164:P164"/>
    <mergeCell ref="F165:P165"/>
    <mergeCell ref="F166:P166"/>
    <mergeCell ref="F167:P167"/>
    <mergeCell ref="B155:B156"/>
    <mergeCell ref="C155:C156"/>
    <mergeCell ref="D155:D156"/>
    <mergeCell ref="E155:F155"/>
    <mergeCell ref="G155:H155"/>
    <mergeCell ref="I155:K155"/>
    <mergeCell ref="F36:P36"/>
    <mergeCell ref="F37:P37"/>
    <mergeCell ref="F38:P38"/>
    <mergeCell ref="F39:P39"/>
    <mergeCell ref="B154:M154"/>
    <mergeCell ref="B90:M90"/>
    <mergeCell ref="B91:B92"/>
    <mergeCell ref="C91:C92"/>
    <mergeCell ref="D91:D92"/>
    <mergeCell ref="B97:B102"/>
    <mergeCell ref="B104:M104"/>
    <mergeCell ref="B105:B106"/>
    <mergeCell ref="C105:C106"/>
    <mergeCell ref="D105:D106"/>
    <mergeCell ref="A97:A102"/>
    <mergeCell ref="F97:P97"/>
    <mergeCell ref="F98:P98"/>
    <mergeCell ref="F99:P99"/>
    <mergeCell ref="F100:P100"/>
    <mergeCell ref="F101:P101"/>
    <mergeCell ref="F102:P102"/>
    <mergeCell ref="E105:F105"/>
    <mergeCell ref="G105:H105"/>
    <mergeCell ref="I105:K105"/>
    <mergeCell ref="L105:M105"/>
    <mergeCell ref="E91:F91"/>
    <mergeCell ref="G91:H91"/>
    <mergeCell ref="I91:K91"/>
    <mergeCell ref="L91:M91"/>
    <mergeCell ref="A35:A39"/>
    <mergeCell ref="B35:B39"/>
    <mergeCell ref="F35:P35"/>
    <mergeCell ref="C42:C43"/>
    <mergeCell ref="D42:D43"/>
    <mergeCell ref="B41:M41"/>
    <mergeCell ref="B42:B43"/>
    <mergeCell ref="E42:F42"/>
    <mergeCell ref="G42:H42"/>
    <mergeCell ref="I42:K42"/>
    <mergeCell ref="L42:M42"/>
  </mergeCells>
  <pageMargins left="0.7" right="0.7" top="0.75" bottom="0.75" header="0.3" footer="0.3"/>
  <pageSetup paperSize="9" scale="83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URUT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STUDIO_10</cp:lastModifiedBy>
  <dcterms:created xsi:type="dcterms:W3CDTF">2021-06-02T01:16:42Z</dcterms:created>
  <dcterms:modified xsi:type="dcterms:W3CDTF">2021-08-05T09:40:29Z</dcterms:modified>
</cp:coreProperties>
</file>