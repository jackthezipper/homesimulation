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Dalam Otak\Proses Kalkulasi\"/>
    </mc:Choice>
  </mc:AlternateContent>
  <xr:revisionPtr revIDLastSave="0" documentId="13_ncr:1_{86A072F7-4572-4963-8AC5-BC8EC74335D4}" xr6:coauthVersionLast="47" xr6:coauthVersionMax="47" xr10:uidLastSave="{00000000-0000-0000-0000-000000000000}"/>
  <bookViews>
    <workbookView xWindow="-120" yWindow="360" windowWidth="20730" windowHeight="11280" tabRatio="803" activeTab="3" xr2:uid="{00000000-000D-0000-FFFF-FFFF00000000}"/>
  </bookViews>
  <sheets>
    <sheet name="CCF" sheetId="13" r:id="rId1"/>
    <sheet name="CCE" sheetId="14" r:id="rId2"/>
    <sheet name="Data Agen" sheetId="15" r:id="rId3"/>
    <sheet name="Pilih_Tergabung" sheetId="11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26" i="11" l="1"/>
  <c r="BE26" i="11"/>
  <c r="BJ26" i="11"/>
  <c r="AX26" i="11"/>
  <c r="AY26" i="11"/>
  <c r="AV25" i="11"/>
  <c r="AV26" i="11"/>
  <c r="AT26" i="11" s="1"/>
  <c r="U26" i="11"/>
  <c r="T26" i="11" s="1"/>
  <c r="V26" i="11"/>
  <c r="W26" i="11"/>
  <c r="X26" i="11"/>
  <c r="Y26" i="11"/>
  <c r="Z26" i="11"/>
  <c r="AA26" i="11"/>
  <c r="AB26" i="11"/>
  <c r="AS26" i="11" l="1"/>
  <c r="S26" i="11" l="1"/>
  <c r="P26" i="11"/>
  <c r="O26" i="11" s="1"/>
  <c r="I26" i="11"/>
  <c r="N26" i="11" s="1"/>
  <c r="I16" i="11"/>
  <c r="I13" i="11"/>
  <c r="I14" i="11"/>
  <c r="I15" i="11"/>
  <c r="I17" i="11"/>
  <c r="I18" i="11"/>
  <c r="I19" i="11"/>
  <c r="I20" i="11"/>
  <c r="I21" i="11"/>
  <c r="I22" i="11"/>
  <c r="I23" i="11"/>
  <c r="I24" i="11"/>
  <c r="I25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P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I40" i="11" s="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13" i="11"/>
  <c r="P64" i="11"/>
  <c r="O64" i="11" s="1"/>
  <c r="U64" i="11"/>
  <c r="V64" i="11"/>
  <c r="W64" i="11"/>
  <c r="X64" i="11"/>
  <c r="Y64" i="11"/>
  <c r="Z64" i="11"/>
  <c r="AA64" i="11"/>
  <c r="AB64" i="11"/>
  <c r="AV64" i="11"/>
  <c r="AT64" i="11" s="1"/>
  <c r="AX64" i="11"/>
  <c r="AY64" i="11"/>
  <c r="BB64" i="11"/>
  <c r="BE64" i="11"/>
  <c r="BJ64" i="11"/>
  <c r="AS64" i="11" l="1"/>
  <c r="T64" i="11"/>
  <c r="N64" i="11" l="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7" i="11"/>
  <c r="BJ28" i="11"/>
  <c r="BJ29" i="11"/>
  <c r="BJ30" i="11"/>
  <c r="BJ31" i="11"/>
  <c r="BJ32" i="11"/>
  <c r="BJ33" i="11"/>
  <c r="BJ34" i="11"/>
  <c r="BJ35" i="11"/>
  <c r="BJ36" i="11"/>
  <c r="BJ37" i="11"/>
  <c r="BJ38" i="11"/>
  <c r="BJ39" i="11"/>
  <c r="BJ40" i="11"/>
  <c r="BJ41" i="11"/>
  <c r="BJ42" i="11"/>
  <c r="BJ43" i="11"/>
  <c r="BJ44" i="11"/>
  <c r="BJ45" i="11"/>
  <c r="BJ46" i="11"/>
  <c r="BJ47" i="11"/>
  <c r="BJ48" i="11"/>
  <c r="BJ49" i="11"/>
  <c r="BJ50" i="11"/>
  <c r="BJ51" i="11"/>
  <c r="BJ52" i="11"/>
  <c r="BJ53" i="11"/>
  <c r="BJ54" i="11"/>
  <c r="BJ55" i="11"/>
  <c r="BJ56" i="11"/>
  <c r="BJ57" i="11"/>
  <c r="BJ58" i="11"/>
  <c r="BJ59" i="11"/>
  <c r="BJ60" i="11"/>
  <c r="BJ61" i="11"/>
  <c r="BJ62" i="11"/>
  <c r="BJ63" i="11"/>
  <c r="BJ65" i="11"/>
  <c r="BJ66" i="11"/>
  <c r="BJ67" i="11"/>
  <c r="BJ68" i="11"/>
  <c r="BJ69" i="11"/>
  <c r="BJ70" i="11"/>
  <c r="BJ71" i="11"/>
  <c r="BJ72" i="11"/>
  <c r="BJ73" i="11"/>
  <c r="BJ74" i="11"/>
  <c r="BJ75" i="11"/>
  <c r="BJ76" i="11"/>
  <c r="BJ77" i="11"/>
  <c r="BJ78" i="11"/>
  <c r="BJ79" i="11"/>
  <c r="BJ80" i="11"/>
  <c r="BJ81" i="11"/>
  <c r="BJ82" i="11"/>
  <c r="BJ83" i="11"/>
  <c r="BJ84" i="11"/>
  <c r="BJ85" i="11"/>
  <c r="BJ86" i="11"/>
  <c r="BJ87" i="11"/>
  <c r="BJ88" i="11"/>
  <c r="BJ89" i="11"/>
  <c r="BJ90" i="11"/>
  <c r="BJ91" i="11"/>
  <c r="BJ92" i="11"/>
  <c r="BJ13" i="11"/>
  <c r="AX13" i="11"/>
  <c r="AY13" i="11"/>
  <c r="AV13" i="11"/>
  <c r="O13" i="11" l="1"/>
  <c r="P14" i="11"/>
  <c r="O14" i="11" s="1"/>
  <c r="P15" i="11"/>
  <c r="O15" i="11" s="1"/>
  <c r="P16" i="11"/>
  <c r="O16" i="11" s="1"/>
  <c r="P17" i="11"/>
  <c r="O17" i="11" s="1"/>
  <c r="P18" i="11"/>
  <c r="O18" i="11" s="1"/>
  <c r="P19" i="11"/>
  <c r="O19" i="11" s="1"/>
  <c r="P20" i="11"/>
  <c r="O20" i="11" s="1"/>
  <c r="P21" i="11"/>
  <c r="O21" i="11" s="1"/>
  <c r="P22" i="11"/>
  <c r="O22" i="11" s="1"/>
  <c r="P23" i="11"/>
  <c r="O23" i="11" s="1"/>
  <c r="P24" i="11"/>
  <c r="O24" i="11" s="1"/>
  <c r="P25" i="11"/>
  <c r="O25" i="11" s="1"/>
  <c r="P27" i="11"/>
  <c r="O27" i="11" s="1"/>
  <c r="P28" i="11"/>
  <c r="O28" i="11" s="1"/>
  <c r="P29" i="11"/>
  <c r="O29" i="11" s="1"/>
  <c r="P30" i="11"/>
  <c r="O30" i="11" s="1"/>
  <c r="P31" i="11"/>
  <c r="O31" i="11" s="1"/>
  <c r="P32" i="11"/>
  <c r="O32" i="11" s="1"/>
  <c r="P33" i="11"/>
  <c r="O33" i="11" s="1"/>
  <c r="P34" i="11"/>
  <c r="O34" i="11" s="1"/>
  <c r="P35" i="11"/>
  <c r="O35" i="11" s="1"/>
  <c r="P36" i="11"/>
  <c r="O36" i="11" s="1"/>
  <c r="P37" i="11"/>
  <c r="O37" i="11" s="1"/>
  <c r="P38" i="11"/>
  <c r="O38" i="11" s="1"/>
  <c r="P39" i="11"/>
  <c r="O39" i="11" s="1"/>
  <c r="P40" i="11"/>
  <c r="O40" i="11" s="1"/>
  <c r="P41" i="11"/>
  <c r="O41" i="11" s="1"/>
  <c r="P42" i="11"/>
  <c r="O42" i="11" s="1"/>
  <c r="P43" i="11"/>
  <c r="P44" i="11"/>
  <c r="O44" i="11" s="1"/>
  <c r="P45" i="11"/>
  <c r="O45" i="11" s="1"/>
  <c r="P46" i="11"/>
  <c r="O46" i="11" s="1"/>
  <c r="P47" i="11"/>
  <c r="O47" i="11" s="1"/>
  <c r="P48" i="11"/>
  <c r="O48" i="11" s="1"/>
  <c r="P49" i="11"/>
  <c r="O49" i="11" s="1"/>
  <c r="P50" i="11"/>
  <c r="O50" i="11" s="1"/>
  <c r="P51" i="11"/>
  <c r="O51" i="11" s="1"/>
  <c r="P52" i="11"/>
  <c r="O52" i="11" s="1"/>
  <c r="P53" i="11"/>
  <c r="O53" i="11" s="1"/>
  <c r="P54" i="11"/>
  <c r="O54" i="11" s="1"/>
  <c r="P55" i="11"/>
  <c r="P56" i="11"/>
  <c r="O56" i="11" s="1"/>
  <c r="P57" i="11"/>
  <c r="O57" i="11" s="1"/>
  <c r="P58" i="11"/>
  <c r="O58" i="11" s="1"/>
  <c r="P59" i="11"/>
  <c r="O59" i="11" s="1"/>
  <c r="P60" i="11"/>
  <c r="O60" i="11" s="1"/>
  <c r="P61" i="11"/>
  <c r="O61" i="11" s="1"/>
  <c r="P62" i="11"/>
  <c r="O62" i="11" s="1"/>
  <c r="P63" i="11"/>
  <c r="O63" i="11" s="1"/>
  <c r="P65" i="11"/>
  <c r="O65" i="11" s="1"/>
  <c r="P66" i="11"/>
  <c r="O66" i="11" s="1"/>
  <c r="P67" i="11"/>
  <c r="O67" i="11" s="1"/>
  <c r="P68" i="11"/>
  <c r="O68" i="11" s="1"/>
  <c r="P69" i="11"/>
  <c r="O69" i="11" s="1"/>
  <c r="P70" i="11"/>
  <c r="O70" i="11" s="1"/>
  <c r="P71" i="11"/>
  <c r="O71" i="11" s="1"/>
  <c r="P72" i="11"/>
  <c r="O72" i="11" s="1"/>
  <c r="P73" i="11"/>
  <c r="O73" i="11" s="1"/>
  <c r="P74" i="11"/>
  <c r="O74" i="11" s="1"/>
  <c r="P75" i="11"/>
  <c r="O75" i="11" s="1"/>
  <c r="P76" i="11"/>
  <c r="O76" i="11" s="1"/>
  <c r="P77" i="11"/>
  <c r="O77" i="11" s="1"/>
  <c r="P78" i="11"/>
  <c r="O78" i="11" s="1"/>
  <c r="P79" i="11"/>
  <c r="O79" i="11" s="1"/>
  <c r="P80" i="11"/>
  <c r="O80" i="11" s="1"/>
  <c r="P81" i="11"/>
  <c r="O81" i="11" s="1"/>
  <c r="P82" i="11"/>
  <c r="O82" i="11" s="1"/>
  <c r="P83" i="11"/>
  <c r="O83" i="11" s="1"/>
  <c r="P84" i="11"/>
  <c r="O84" i="11" s="1"/>
  <c r="P85" i="11"/>
  <c r="O85" i="11" s="1"/>
  <c r="P86" i="11"/>
  <c r="O86" i="11" s="1"/>
  <c r="P87" i="11"/>
  <c r="O87" i="11" s="1"/>
  <c r="P88" i="11"/>
  <c r="O88" i="11" s="1"/>
  <c r="P89" i="11"/>
  <c r="O89" i="11" s="1"/>
  <c r="P90" i="11"/>
  <c r="O90" i="11" s="1"/>
  <c r="P91" i="11"/>
  <c r="O91" i="11" s="1"/>
  <c r="P92" i="11"/>
  <c r="O92" i="11" s="1"/>
  <c r="O43" i="11"/>
  <c r="O55" i="11"/>
  <c r="AX16" i="11" l="1"/>
  <c r="BB88" i="11"/>
  <c r="BB20" i="11"/>
  <c r="BB21" i="11"/>
  <c r="BB22" i="11"/>
  <c r="BB23" i="11"/>
  <c r="BB24" i="11"/>
  <c r="BB25" i="11"/>
  <c r="BB30" i="11"/>
  <c r="BB31" i="11"/>
  <c r="BB32" i="11"/>
  <c r="BB33" i="11"/>
  <c r="BB27" i="11"/>
  <c r="BB28" i="11"/>
  <c r="BB29" i="11"/>
  <c r="BB34" i="11"/>
  <c r="BB35" i="11"/>
  <c r="BB36" i="11"/>
  <c r="BB37" i="11"/>
  <c r="BB38" i="11"/>
  <c r="BB39" i="11"/>
  <c r="BB40" i="11"/>
  <c r="BB41" i="11"/>
  <c r="BB42" i="11"/>
  <c r="BB43" i="11"/>
  <c r="BB44" i="11"/>
  <c r="BB45" i="11"/>
  <c r="BB58" i="11"/>
  <c r="BB53" i="11"/>
  <c r="BB47" i="11"/>
  <c r="BB48" i="11"/>
  <c r="BB59" i="11"/>
  <c r="BB49" i="11"/>
  <c r="BB50" i="11"/>
  <c r="BB60" i="11"/>
  <c r="BB55" i="11"/>
  <c r="BB56" i="11"/>
  <c r="BB57" i="11"/>
  <c r="BB18" i="11"/>
  <c r="BB61" i="11"/>
  <c r="BB62" i="11"/>
  <c r="BB51" i="11"/>
  <c r="BB46" i="11"/>
  <c r="BB66" i="11"/>
  <c r="BB67" i="11"/>
  <c r="BB68" i="11"/>
  <c r="BB63" i="11"/>
  <c r="BB69" i="11"/>
  <c r="BB65" i="11"/>
  <c r="BB70" i="11"/>
  <c r="BB75" i="11"/>
  <c r="BB72" i="11"/>
  <c r="BB73" i="11"/>
  <c r="BB76" i="11"/>
  <c r="BB81" i="11"/>
  <c r="BB82" i="11"/>
  <c r="BB14" i="11"/>
  <c r="BB77" i="11"/>
  <c r="BB78" i="11"/>
  <c r="BB83" i="11"/>
  <c r="BB74" i="11"/>
  <c r="BB84" i="11"/>
  <c r="BB71" i="11"/>
  <c r="BB79" i="11"/>
  <c r="BB85" i="11"/>
  <c r="BB87" i="11"/>
  <c r="BB54" i="11"/>
  <c r="BB89" i="11"/>
  <c r="BB91" i="11"/>
  <c r="BB92" i="11"/>
  <c r="BB90" i="11"/>
  <c r="BB80" i="11"/>
  <c r="AY15" i="11"/>
  <c r="AV15" i="11" s="1"/>
  <c r="AT15" i="11" s="1"/>
  <c r="AY16" i="11"/>
  <c r="AV16" i="11" s="1"/>
  <c r="AT16" i="11" s="1"/>
  <c r="AY52" i="11"/>
  <c r="AV52" i="11" s="1"/>
  <c r="AT52" i="11" s="1"/>
  <c r="AY17" i="11"/>
  <c r="AV17" i="11" s="1"/>
  <c r="AT17" i="11" s="1"/>
  <c r="AY19" i="11"/>
  <c r="AV19" i="11" s="1"/>
  <c r="AT19" i="11" s="1"/>
  <c r="AY86" i="11"/>
  <c r="AV86" i="11" s="1"/>
  <c r="AT86" i="11" s="1"/>
  <c r="AY88" i="11"/>
  <c r="AV88" i="11" s="1"/>
  <c r="AT88" i="11" s="1"/>
  <c r="AY21" i="11"/>
  <c r="AV21" i="11" s="1"/>
  <c r="AT21" i="11" s="1"/>
  <c r="AY22" i="11"/>
  <c r="AV22" i="11" s="1"/>
  <c r="AT22" i="11" s="1"/>
  <c r="AY23" i="11"/>
  <c r="AV23" i="11" s="1"/>
  <c r="AT23" i="11" s="1"/>
  <c r="AY24" i="11"/>
  <c r="AV24" i="11" s="1"/>
  <c r="AT24" i="11" s="1"/>
  <c r="AY25" i="11"/>
  <c r="AT25" i="11" s="1"/>
  <c r="AY30" i="11"/>
  <c r="AV30" i="11" s="1"/>
  <c r="AT30" i="11" s="1"/>
  <c r="AY31" i="11"/>
  <c r="AV31" i="11" s="1"/>
  <c r="AT31" i="11" s="1"/>
  <c r="AY32" i="11"/>
  <c r="AV32" i="11" s="1"/>
  <c r="AT32" i="11" s="1"/>
  <c r="AY33" i="11"/>
  <c r="AV33" i="11" s="1"/>
  <c r="AT33" i="11" s="1"/>
  <c r="AY20" i="11"/>
  <c r="AV20" i="11" s="1"/>
  <c r="AT20" i="11" s="1"/>
  <c r="AY27" i="11"/>
  <c r="AV27" i="11" s="1"/>
  <c r="AT27" i="11" s="1"/>
  <c r="AY28" i="11"/>
  <c r="AV28" i="11" s="1"/>
  <c r="AT28" i="11" s="1"/>
  <c r="AY29" i="11"/>
  <c r="AV29" i="11" s="1"/>
  <c r="AT29" i="11" s="1"/>
  <c r="AY34" i="11"/>
  <c r="AV34" i="11" s="1"/>
  <c r="AT34" i="11" s="1"/>
  <c r="AY35" i="11"/>
  <c r="AV35" i="11" s="1"/>
  <c r="AT35" i="11" s="1"/>
  <c r="AY36" i="11"/>
  <c r="AV36" i="11" s="1"/>
  <c r="AT36" i="11" s="1"/>
  <c r="AY37" i="11"/>
  <c r="AV37" i="11" s="1"/>
  <c r="AT37" i="11" s="1"/>
  <c r="AY38" i="11"/>
  <c r="AV38" i="11" s="1"/>
  <c r="AT38" i="11" s="1"/>
  <c r="AY39" i="11"/>
  <c r="AV39" i="11" s="1"/>
  <c r="AT39" i="11" s="1"/>
  <c r="AY40" i="11"/>
  <c r="AV40" i="11" s="1"/>
  <c r="AT40" i="11" s="1"/>
  <c r="AY41" i="11"/>
  <c r="AV41" i="11" s="1"/>
  <c r="AT41" i="11" s="1"/>
  <c r="AY42" i="11"/>
  <c r="AV42" i="11" s="1"/>
  <c r="AT42" i="11" s="1"/>
  <c r="AY43" i="11"/>
  <c r="AV43" i="11" s="1"/>
  <c r="AT43" i="11" s="1"/>
  <c r="AY44" i="11"/>
  <c r="AV44" i="11" s="1"/>
  <c r="AT44" i="11" s="1"/>
  <c r="AY45" i="11"/>
  <c r="AV45" i="11" s="1"/>
  <c r="AT45" i="11" s="1"/>
  <c r="AY58" i="11"/>
  <c r="AV58" i="11" s="1"/>
  <c r="AT58" i="11" s="1"/>
  <c r="AY53" i="11"/>
  <c r="AV53" i="11" s="1"/>
  <c r="AT53" i="11" s="1"/>
  <c r="AY47" i="11"/>
  <c r="AV47" i="11" s="1"/>
  <c r="AT47" i="11" s="1"/>
  <c r="AY48" i="11"/>
  <c r="AV48" i="11" s="1"/>
  <c r="AT48" i="11" s="1"/>
  <c r="AY59" i="11"/>
  <c r="AV59" i="11" s="1"/>
  <c r="AT59" i="11" s="1"/>
  <c r="AY49" i="11"/>
  <c r="AV49" i="11" s="1"/>
  <c r="AT49" i="11" s="1"/>
  <c r="AY50" i="11"/>
  <c r="AV50" i="11" s="1"/>
  <c r="AT50" i="11" s="1"/>
  <c r="AY60" i="11"/>
  <c r="AV60" i="11" s="1"/>
  <c r="AT60" i="11" s="1"/>
  <c r="AY55" i="11"/>
  <c r="AV55" i="11" s="1"/>
  <c r="AT55" i="11" s="1"/>
  <c r="AY56" i="11"/>
  <c r="AV56" i="11" s="1"/>
  <c r="AT56" i="11" s="1"/>
  <c r="AY57" i="11"/>
  <c r="AV57" i="11" s="1"/>
  <c r="AT57" i="11" s="1"/>
  <c r="AY18" i="11"/>
  <c r="AV18" i="11" s="1"/>
  <c r="AT18" i="11" s="1"/>
  <c r="AY61" i="11"/>
  <c r="AV61" i="11" s="1"/>
  <c r="AT61" i="11" s="1"/>
  <c r="AY62" i="11"/>
  <c r="AV62" i="11" s="1"/>
  <c r="AT62" i="11" s="1"/>
  <c r="AY51" i="11"/>
  <c r="AV51" i="11" s="1"/>
  <c r="AT51" i="11" s="1"/>
  <c r="AY46" i="11"/>
  <c r="AV46" i="11" s="1"/>
  <c r="AT46" i="11" s="1"/>
  <c r="AY66" i="11"/>
  <c r="AV66" i="11" s="1"/>
  <c r="AT66" i="11" s="1"/>
  <c r="AY67" i="11"/>
  <c r="AV67" i="11" s="1"/>
  <c r="AT67" i="11" s="1"/>
  <c r="AY68" i="11"/>
  <c r="AV68" i="11" s="1"/>
  <c r="AT68" i="11" s="1"/>
  <c r="AY63" i="11"/>
  <c r="AV63" i="11" s="1"/>
  <c r="AT63" i="11" s="1"/>
  <c r="AY69" i="11"/>
  <c r="AV69" i="11" s="1"/>
  <c r="AT69" i="11" s="1"/>
  <c r="AY65" i="11"/>
  <c r="AV65" i="11" s="1"/>
  <c r="AT65" i="11" s="1"/>
  <c r="AY70" i="11"/>
  <c r="AV70" i="11" s="1"/>
  <c r="AT70" i="11" s="1"/>
  <c r="AY75" i="11"/>
  <c r="AV75" i="11" s="1"/>
  <c r="AT75" i="11" s="1"/>
  <c r="AY72" i="11"/>
  <c r="AV72" i="11" s="1"/>
  <c r="AT72" i="11" s="1"/>
  <c r="AY73" i="11"/>
  <c r="AV73" i="11" s="1"/>
  <c r="AT73" i="11" s="1"/>
  <c r="AY76" i="11"/>
  <c r="AV76" i="11" s="1"/>
  <c r="AT76" i="11" s="1"/>
  <c r="AY81" i="11"/>
  <c r="AV81" i="11" s="1"/>
  <c r="AT81" i="11" s="1"/>
  <c r="AY82" i="11"/>
  <c r="AV82" i="11" s="1"/>
  <c r="AT82" i="11" s="1"/>
  <c r="AY14" i="11"/>
  <c r="AV14" i="11" s="1"/>
  <c r="AT14" i="11" s="1"/>
  <c r="AY77" i="11"/>
  <c r="AV77" i="11" s="1"/>
  <c r="AT77" i="11" s="1"/>
  <c r="AY78" i="11"/>
  <c r="AV78" i="11" s="1"/>
  <c r="AT78" i="11" s="1"/>
  <c r="AY83" i="11"/>
  <c r="AV83" i="11" s="1"/>
  <c r="AT83" i="11" s="1"/>
  <c r="AY74" i="11"/>
  <c r="AV74" i="11" s="1"/>
  <c r="AT74" i="11" s="1"/>
  <c r="AY84" i="11"/>
  <c r="AV84" i="11" s="1"/>
  <c r="AT84" i="11" s="1"/>
  <c r="AY71" i="11"/>
  <c r="AV71" i="11" s="1"/>
  <c r="AT71" i="11" s="1"/>
  <c r="AY79" i="11"/>
  <c r="AV79" i="11" s="1"/>
  <c r="AT79" i="11" s="1"/>
  <c r="AY85" i="11"/>
  <c r="AV85" i="11" s="1"/>
  <c r="AT85" i="11" s="1"/>
  <c r="AY87" i="11"/>
  <c r="AV87" i="11" s="1"/>
  <c r="AT87" i="11" s="1"/>
  <c r="AY54" i="11"/>
  <c r="AV54" i="11" s="1"/>
  <c r="AT54" i="11" s="1"/>
  <c r="AY89" i="11"/>
  <c r="AV89" i="11" s="1"/>
  <c r="AT89" i="11" s="1"/>
  <c r="AY91" i="11"/>
  <c r="AV91" i="11" s="1"/>
  <c r="AT91" i="11" s="1"/>
  <c r="AY92" i="11"/>
  <c r="AV92" i="11" s="1"/>
  <c r="AT92" i="11" s="1"/>
  <c r="AY90" i="11"/>
  <c r="AV90" i="11" s="1"/>
  <c r="AT90" i="11" s="1"/>
  <c r="AY80" i="11"/>
  <c r="AV80" i="11" s="1"/>
  <c r="AT80" i="11" s="1"/>
  <c r="AX15" i="11"/>
  <c r="AX52" i="11"/>
  <c r="AX17" i="11"/>
  <c r="AX19" i="11"/>
  <c r="AX86" i="11"/>
  <c r="AX88" i="11"/>
  <c r="AX21" i="11"/>
  <c r="AX22" i="11"/>
  <c r="AX23" i="11"/>
  <c r="AX24" i="11"/>
  <c r="AX25" i="11"/>
  <c r="AX30" i="11"/>
  <c r="AX31" i="11"/>
  <c r="AX32" i="11"/>
  <c r="AX33" i="11"/>
  <c r="AX20" i="11"/>
  <c r="AX27" i="11"/>
  <c r="AX28" i="11"/>
  <c r="AX29" i="11"/>
  <c r="AX34" i="11"/>
  <c r="AX35" i="11"/>
  <c r="AX36" i="11"/>
  <c r="AX37" i="11"/>
  <c r="AX38" i="11"/>
  <c r="AX39" i="11"/>
  <c r="AX40" i="11"/>
  <c r="AX41" i="11"/>
  <c r="AX42" i="11"/>
  <c r="AX43" i="11"/>
  <c r="AX44" i="11"/>
  <c r="AX45" i="11"/>
  <c r="AX58" i="11"/>
  <c r="AX53" i="11"/>
  <c r="AX47" i="11"/>
  <c r="AX48" i="11"/>
  <c r="AX59" i="11"/>
  <c r="AX49" i="11"/>
  <c r="AX50" i="11"/>
  <c r="AX60" i="11"/>
  <c r="AX55" i="11"/>
  <c r="AX56" i="11"/>
  <c r="AX57" i="11"/>
  <c r="AX18" i="11"/>
  <c r="AX61" i="11"/>
  <c r="AX62" i="11"/>
  <c r="AX51" i="11"/>
  <c r="AX46" i="11"/>
  <c r="AX66" i="11"/>
  <c r="AX67" i="11"/>
  <c r="AX68" i="11"/>
  <c r="AX63" i="11"/>
  <c r="AX69" i="11"/>
  <c r="AX65" i="11"/>
  <c r="AX70" i="11"/>
  <c r="AX75" i="11"/>
  <c r="AX72" i="11"/>
  <c r="AX73" i="11"/>
  <c r="AX76" i="11"/>
  <c r="AX81" i="11"/>
  <c r="AX82" i="11"/>
  <c r="AX14" i="11"/>
  <c r="AX77" i="11"/>
  <c r="AX78" i="11"/>
  <c r="AX83" i="11"/>
  <c r="AX74" i="11"/>
  <c r="AX84" i="11"/>
  <c r="AX71" i="11"/>
  <c r="AX79" i="11"/>
  <c r="AX85" i="11"/>
  <c r="AX87" i="11"/>
  <c r="AX54" i="11"/>
  <c r="AX89" i="11"/>
  <c r="AX91" i="11"/>
  <c r="AX92" i="11"/>
  <c r="AX90" i="11"/>
  <c r="AX80" i="11"/>
  <c r="BB15" i="11"/>
  <c r="BB16" i="11"/>
  <c r="BB52" i="11"/>
  <c r="BB17" i="11"/>
  <c r="BB19" i="11"/>
  <c r="BB86" i="11"/>
  <c r="BB13" i="11"/>
  <c r="BE15" i="11"/>
  <c r="BE16" i="11"/>
  <c r="BE52" i="11"/>
  <c r="BE17" i="11"/>
  <c r="BE19" i="11"/>
  <c r="BE86" i="11"/>
  <c r="BE88" i="11"/>
  <c r="BE21" i="11"/>
  <c r="BE22" i="11"/>
  <c r="BE23" i="11"/>
  <c r="BE24" i="11"/>
  <c r="BE25" i="11"/>
  <c r="BE30" i="11"/>
  <c r="BE31" i="11"/>
  <c r="BE32" i="11"/>
  <c r="BE33" i="11"/>
  <c r="BE20" i="11"/>
  <c r="BE27" i="11"/>
  <c r="BE28" i="11"/>
  <c r="BE29" i="11"/>
  <c r="BE34" i="11"/>
  <c r="BE35" i="11"/>
  <c r="BE36" i="11"/>
  <c r="BE37" i="11"/>
  <c r="BE38" i="11"/>
  <c r="BE39" i="11"/>
  <c r="BE40" i="11"/>
  <c r="BE41" i="11"/>
  <c r="BE42" i="11"/>
  <c r="BE43" i="11"/>
  <c r="BE44" i="11"/>
  <c r="BE45" i="11"/>
  <c r="BE58" i="11"/>
  <c r="BE53" i="11"/>
  <c r="BE47" i="11"/>
  <c r="BE48" i="11"/>
  <c r="BE59" i="11"/>
  <c r="BE49" i="11"/>
  <c r="BE50" i="11"/>
  <c r="BE60" i="11"/>
  <c r="BE55" i="11"/>
  <c r="BE56" i="11"/>
  <c r="BE57" i="11"/>
  <c r="BE18" i="11"/>
  <c r="BE61" i="11"/>
  <c r="BE62" i="11"/>
  <c r="BE51" i="11"/>
  <c r="BE46" i="11"/>
  <c r="BE66" i="11"/>
  <c r="BE67" i="11"/>
  <c r="BE68" i="11"/>
  <c r="BE63" i="11"/>
  <c r="BE69" i="11"/>
  <c r="BE65" i="11"/>
  <c r="BE70" i="11"/>
  <c r="BE75" i="11"/>
  <c r="BE72" i="11"/>
  <c r="BE73" i="11"/>
  <c r="BE76" i="11"/>
  <c r="BE81" i="11"/>
  <c r="BE82" i="11"/>
  <c r="BE14" i="11"/>
  <c r="BE77" i="11"/>
  <c r="BE78" i="11"/>
  <c r="BE83" i="11"/>
  <c r="BE74" i="11"/>
  <c r="BE84" i="11"/>
  <c r="BE71" i="11"/>
  <c r="BE79" i="11"/>
  <c r="BE85" i="11"/>
  <c r="BE87" i="11"/>
  <c r="BE54" i="11"/>
  <c r="BE89" i="11"/>
  <c r="BE91" i="11"/>
  <c r="BE92" i="11"/>
  <c r="BE90" i="11"/>
  <c r="BE80" i="11"/>
  <c r="BE13" i="11"/>
  <c r="AT13" i="11" l="1"/>
  <c r="AS13" i="11" s="1"/>
  <c r="AS54" i="11"/>
  <c r="AS71" i="11"/>
  <c r="AS78" i="11"/>
  <c r="AS81" i="11"/>
  <c r="AS75" i="11"/>
  <c r="AS63" i="11"/>
  <c r="AS61" i="11"/>
  <c r="AS55" i="11"/>
  <c r="AS59" i="11"/>
  <c r="AS43" i="11"/>
  <c r="AS39" i="11"/>
  <c r="AS35" i="11"/>
  <c r="AS27" i="11"/>
  <c r="AS31" i="11"/>
  <c r="AS77" i="11"/>
  <c r="AS68" i="11"/>
  <c r="AS60" i="11"/>
  <c r="AS38" i="11"/>
  <c r="AS22" i="11"/>
  <c r="AS87" i="11"/>
  <c r="AS70" i="11"/>
  <c r="AS18" i="11"/>
  <c r="AS58" i="11"/>
  <c r="AS20" i="11"/>
  <c r="AS15" i="11"/>
  <c r="AS90" i="11"/>
  <c r="AS91" i="11"/>
  <c r="AS85" i="11"/>
  <c r="AS74" i="11"/>
  <c r="AS14" i="11"/>
  <c r="AS73" i="11"/>
  <c r="AS65" i="11"/>
  <c r="AS67" i="11"/>
  <c r="AS51" i="11"/>
  <c r="AS57" i="11"/>
  <c r="AS50" i="11"/>
  <c r="AS47" i="11"/>
  <c r="AS45" i="11"/>
  <c r="AS41" i="11"/>
  <c r="AS37" i="11"/>
  <c r="AS29" i="11"/>
  <c r="AS33" i="11"/>
  <c r="AS25" i="11"/>
  <c r="AS21" i="11"/>
  <c r="AS17" i="11"/>
  <c r="AS80" i="11"/>
  <c r="AS84" i="11"/>
  <c r="AS76" i="11"/>
  <c r="AS46" i="11"/>
  <c r="AS48" i="11"/>
  <c r="AS42" i="11"/>
  <c r="AS34" i="11"/>
  <c r="AS30" i="11"/>
  <c r="AS19" i="11"/>
  <c r="AS92" i="11"/>
  <c r="AS89" i="11"/>
  <c r="AS79" i="11"/>
  <c r="AS83" i="11"/>
  <c r="AS82" i="11"/>
  <c r="AS72" i="11"/>
  <c r="AS69" i="11"/>
  <c r="AS66" i="11"/>
  <c r="AS62" i="11"/>
  <c r="AS56" i="11"/>
  <c r="AS49" i="11"/>
  <c r="AS53" i="11"/>
  <c r="AS44" i="11"/>
  <c r="AS40" i="11"/>
  <c r="AS36" i="11"/>
  <c r="AS28" i="11"/>
  <c r="AS32" i="11"/>
  <c r="AS24" i="11"/>
  <c r="AS88" i="11"/>
  <c r="AS52" i="11"/>
  <c r="AS23" i="11"/>
  <c r="AS86" i="11"/>
  <c r="AS16" i="11"/>
  <c r="C4" i="14" l="1"/>
  <c r="F6" i="15" l="1"/>
  <c r="J6" i="15"/>
  <c r="G6" i="15"/>
  <c r="K6" i="15"/>
  <c r="H6" i="15"/>
  <c r="L6" i="15"/>
  <c r="E6" i="15"/>
  <c r="I6" i="15"/>
  <c r="AB16" i="11" l="1"/>
  <c r="AB52" i="11"/>
  <c r="AB17" i="11"/>
  <c r="AB19" i="11"/>
  <c r="AB86" i="11"/>
  <c r="AB88" i="11"/>
  <c r="AB21" i="11"/>
  <c r="AB22" i="11"/>
  <c r="AB23" i="11"/>
  <c r="AB24" i="11"/>
  <c r="AB25" i="11"/>
  <c r="AB30" i="11"/>
  <c r="AB31" i="11"/>
  <c r="AB32" i="11"/>
  <c r="AB33" i="11"/>
  <c r="AB20" i="11"/>
  <c r="AB27" i="11"/>
  <c r="AB28" i="11"/>
  <c r="AB29" i="11"/>
  <c r="AB34" i="11"/>
  <c r="AB35" i="11"/>
  <c r="AB38" i="11"/>
  <c r="AB37" i="11"/>
  <c r="AB53" i="11"/>
  <c r="AB60" i="11"/>
  <c r="AB55" i="11"/>
  <c r="AB56" i="11"/>
  <c r="AB57" i="11"/>
  <c r="AB18" i="11"/>
  <c r="AB61" i="11"/>
  <c r="AB62" i="11"/>
  <c r="AB51" i="11"/>
  <c r="AB46" i="11"/>
  <c r="AB66" i="11"/>
  <c r="AB67" i="11"/>
  <c r="AB68" i="11"/>
  <c r="AB63" i="11"/>
  <c r="AB69" i="11"/>
  <c r="AB65" i="11"/>
  <c r="AB70" i="11"/>
  <c r="AB75" i="11"/>
  <c r="AB72" i="11"/>
  <c r="AB73" i="11"/>
  <c r="AB76" i="11"/>
  <c r="AB81" i="11"/>
  <c r="AB82" i="11"/>
  <c r="AB14" i="11"/>
  <c r="AB77" i="11"/>
  <c r="AB36" i="11"/>
  <c r="AB39" i="11"/>
  <c r="AB40" i="11"/>
  <c r="AB41" i="11"/>
  <c r="AB42" i="11"/>
  <c r="AB43" i="11"/>
  <c r="AB44" i="11"/>
  <c r="AB45" i="11"/>
  <c r="AB58" i="11"/>
  <c r="AB47" i="11"/>
  <c r="AB48" i="11"/>
  <c r="AB59" i="11"/>
  <c r="AB49" i="11"/>
  <c r="AB50" i="11"/>
  <c r="AB92" i="11"/>
  <c r="AB80" i="11"/>
  <c r="AB74" i="11"/>
  <c r="AB84" i="11"/>
  <c r="AB71" i="11"/>
  <c r="AB79" i="11"/>
  <c r="AB85" i="11"/>
  <c r="AB87" i="11"/>
  <c r="AB54" i="11"/>
  <c r="AB78" i="11"/>
  <c r="AB83" i="11"/>
  <c r="AB89" i="11"/>
  <c r="AB91" i="11"/>
  <c r="AB90" i="11"/>
  <c r="Y16" i="11"/>
  <c r="Y52" i="11"/>
  <c r="Y17" i="11"/>
  <c r="Y19" i="11"/>
  <c r="Y86" i="11"/>
  <c r="Y24" i="11"/>
  <c r="Y25" i="11"/>
  <c r="Y88" i="11"/>
  <c r="Y21" i="11"/>
  <c r="Y22" i="11"/>
  <c r="Y23" i="11"/>
  <c r="Y36" i="11"/>
  <c r="Y37" i="11"/>
  <c r="Y40" i="11"/>
  <c r="Y41" i="11"/>
  <c r="Y42" i="11"/>
  <c r="Y43" i="11"/>
  <c r="Y44" i="11"/>
  <c r="Y45" i="11"/>
  <c r="Y58" i="11"/>
  <c r="Y38" i="11"/>
  <c r="Y39" i="11"/>
  <c r="Y31" i="11"/>
  <c r="Y27" i="11"/>
  <c r="Y35" i="11"/>
  <c r="Y32" i="11"/>
  <c r="Y28" i="11"/>
  <c r="Y53" i="11"/>
  <c r="Y33" i="11"/>
  <c r="Y29" i="11"/>
  <c r="Y47" i="11"/>
  <c r="Y48" i="11"/>
  <c r="Y59" i="11"/>
  <c r="Y49" i="11"/>
  <c r="Y50" i="11"/>
  <c r="Y60" i="11"/>
  <c r="Y55" i="11"/>
  <c r="Y56" i="11"/>
  <c r="Y57" i="11"/>
  <c r="Y18" i="11"/>
  <c r="Y61" i="11"/>
  <c r="Y62" i="11"/>
  <c r="Y51" i="11"/>
  <c r="Y46" i="11"/>
  <c r="Y66" i="11"/>
  <c r="Y67" i="11"/>
  <c r="Y68" i="11"/>
  <c r="Y63" i="11"/>
  <c r="Y69" i="11"/>
  <c r="Y65" i="11"/>
  <c r="Y70" i="11"/>
  <c r="Y75" i="11"/>
  <c r="Y72" i="11"/>
  <c r="Y73" i="11"/>
  <c r="Y76" i="11"/>
  <c r="Y81" i="11"/>
  <c r="Y82" i="11"/>
  <c r="Y14" i="11"/>
  <c r="Y77" i="11"/>
  <c r="Y78" i="11"/>
  <c r="Y83" i="11"/>
  <c r="Y30" i="11"/>
  <c r="Y74" i="11"/>
  <c r="Y84" i="11"/>
  <c r="Y71" i="11"/>
  <c r="Y79" i="11"/>
  <c r="Y85" i="11"/>
  <c r="Y87" i="11"/>
  <c r="Y54" i="11"/>
  <c r="Y89" i="11"/>
  <c r="Y91" i="11"/>
  <c r="Y92" i="11"/>
  <c r="Y90" i="11"/>
  <c r="Y80" i="11"/>
  <c r="Y20" i="11"/>
  <c r="Y34" i="11"/>
  <c r="Z16" i="11"/>
  <c r="Z52" i="11"/>
  <c r="Z17" i="11"/>
  <c r="Z19" i="11"/>
  <c r="Z86" i="11"/>
  <c r="Z88" i="11"/>
  <c r="Z21" i="11"/>
  <c r="Z22" i="11"/>
  <c r="Z23" i="11"/>
  <c r="AA16" i="11"/>
  <c r="AA52" i="11"/>
  <c r="AA17" i="11"/>
  <c r="AA19" i="11"/>
  <c r="AA86" i="11"/>
  <c r="AA88" i="11"/>
  <c r="AA21" i="11"/>
  <c r="AA22" i="11"/>
  <c r="AA23" i="11"/>
  <c r="Z30" i="11"/>
  <c r="Z31" i="11"/>
  <c r="Z32" i="11"/>
  <c r="Z33" i="11"/>
  <c r="Z20" i="11"/>
  <c r="Z27" i="11"/>
  <c r="Z28" i="11"/>
  <c r="Z29" i="11"/>
  <c r="Z34" i="11"/>
  <c r="Z35" i="11"/>
  <c r="Z24" i="11"/>
  <c r="Z25" i="11"/>
  <c r="AA25" i="11"/>
  <c r="AA30" i="11"/>
  <c r="AA31" i="11"/>
  <c r="AA32" i="11"/>
  <c r="AA33" i="11"/>
  <c r="AA20" i="11"/>
  <c r="AA27" i="11"/>
  <c r="AA28" i="11"/>
  <c r="AA29" i="11"/>
  <c r="AA34" i="11"/>
  <c r="AA35" i="11"/>
  <c r="AA24" i="11"/>
  <c r="Z36" i="11"/>
  <c r="Z37" i="11"/>
  <c r="AA38" i="11"/>
  <c r="AA39" i="11"/>
  <c r="AA40" i="11"/>
  <c r="AA41" i="11"/>
  <c r="AA42" i="11"/>
  <c r="AA43" i="11"/>
  <c r="AA44" i="11"/>
  <c r="AA45" i="11"/>
  <c r="AA58" i="11"/>
  <c r="AA36" i="11"/>
  <c r="AA37" i="11"/>
  <c r="Z60" i="11"/>
  <c r="Z55" i="11"/>
  <c r="Z56" i="11"/>
  <c r="Z57" i="11"/>
  <c r="Z18" i="11"/>
  <c r="Z61" i="11"/>
  <c r="Z62" i="11"/>
  <c r="Z51" i="11"/>
  <c r="Z46" i="11"/>
  <c r="Z66" i="11"/>
  <c r="Z67" i="11"/>
  <c r="Z68" i="11"/>
  <c r="Z63" i="11"/>
  <c r="Z69" i="11"/>
  <c r="Z65" i="11"/>
  <c r="Z70" i="11"/>
  <c r="Z75" i="11"/>
  <c r="Z72" i="11"/>
  <c r="Z73" i="11"/>
  <c r="Z76" i="11"/>
  <c r="Z81" i="11"/>
  <c r="Z82" i="11"/>
  <c r="Z14" i="11"/>
  <c r="Z77" i="11"/>
  <c r="Z78" i="11"/>
  <c r="Z39" i="11"/>
  <c r="Z40" i="11"/>
  <c r="Z41" i="11"/>
  <c r="Z42" i="11"/>
  <c r="Z43" i="11"/>
  <c r="Z44" i="11"/>
  <c r="Z45" i="11"/>
  <c r="Z58" i="11"/>
  <c r="AA47" i="11"/>
  <c r="AA48" i="11"/>
  <c r="AA59" i="11"/>
  <c r="AA49" i="11"/>
  <c r="AA50" i="11"/>
  <c r="Z38" i="11"/>
  <c r="Z53" i="11"/>
  <c r="AA60" i="11"/>
  <c r="AA55" i="11"/>
  <c r="AA56" i="11"/>
  <c r="AA57" i="11"/>
  <c r="AA18" i="11"/>
  <c r="AA61" i="11"/>
  <c r="AA62" i="11"/>
  <c r="AA51" i="11"/>
  <c r="AA46" i="11"/>
  <c r="AA66" i="11"/>
  <c r="AA67" i="11"/>
  <c r="AA68" i="11"/>
  <c r="AA63" i="11"/>
  <c r="AA69" i="11"/>
  <c r="AA65" i="11"/>
  <c r="AA70" i="11"/>
  <c r="AA75" i="11"/>
  <c r="AA72" i="11"/>
  <c r="AA73" i="11"/>
  <c r="AA76" i="11"/>
  <c r="AA81" i="11"/>
  <c r="AA82" i="11"/>
  <c r="AA14" i="11"/>
  <c r="AA77" i="11"/>
  <c r="AA78" i="11"/>
  <c r="AA83" i="11"/>
  <c r="AA53" i="11"/>
  <c r="Z59" i="11"/>
  <c r="AA74" i="11"/>
  <c r="AA84" i="11"/>
  <c r="AA71" i="11"/>
  <c r="AA79" i="11"/>
  <c r="AA85" i="11"/>
  <c r="AA87" i="11"/>
  <c r="AA54" i="11"/>
  <c r="Z89" i="11"/>
  <c r="Z91" i="11"/>
  <c r="Z48" i="11"/>
  <c r="Z83" i="11"/>
  <c r="AA89" i="11"/>
  <c r="AA91" i="11"/>
  <c r="AA92" i="11"/>
  <c r="AA90" i="11"/>
  <c r="AA80" i="11"/>
  <c r="Z90" i="11"/>
  <c r="Z47" i="11"/>
  <c r="Z50" i="11"/>
  <c r="Z49" i="11"/>
  <c r="Z74" i="11"/>
  <c r="Z84" i="11"/>
  <c r="Z71" i="11"/>
  <c r="Z79" i="11"/>
  <c r="Z85" i="11"/>
  <c r="Z87" i="11"/>
  <c r="Z54" i="11"/>
  <c r="Z92" i="11"/>
  <c r="Z80" i="11"/>
  <c r="U16" i="11"/>
  <c r="U52" i="11"/>
  <c r="U17" i="11"/>
  <c r="U19" i="11"/>
  <c r="U86" i="11"/>
  <c r="U88" i="11"/>
  <c r="U21" i="11"/>
  <c r="U22" i="11"/>
  <c r="U23" i="11"/>
  <c r="U24" i="11"/>
  <c r="U25" i="11"/>
  <c r="U37" i="11"/>
  <c r="U38" i="11"/>
  <c r="U39" i="11"/>
  <c r="U30" i="11"/>
  <c r="U31" i="11"/>
  <c r="U32" i="11"/>
  <c r="U33" i="11"/>
  <c r="U20" i="11"/>
  <c r="U27" i="11"/>
  <c r="U28" i="11"/>
  <c r="U29" i="11"/>
  <c r="U34" i="11"/>
  <c r="U35" i="11"/>
  <c r="U36" i="11"/>
  <c r="U40" i="11"/>
  <c r="U41" i="11"/>
  <c r="U42" i="11"/>
  <c r="U43" i="11"/>
  <c r="U44" i="11"/>
  <c r="U45" i="11"/>
  <c r="U58" i="11"/>
  <c r="U48" i="11"/>
  <c r="U59" i="11"/>
  <c r="U49" i="11"/>
  <c r="U50" i="11"/>
  <c r="U60" i="11"/>
  <c r="U53" i="11"/>
  <c r="U47" i="11"/>
  <c r="U55" i="11"/>
  <c r="U56" i="11"/>
  <c r="U57" i="11"/>
  <c r="U18" i="11"/>
  <c r="U61" i="11"/>
  <c r="U62" i="11"/>
  <c r="U51" i="11"/>
  <c r="U46" i="11"/>
  <c r="U66" i="11"/>
  <c r="U67" i="11"/>
  <c r="U68" i="11"/>
  <c r="U63" i="11"/>
  <c r="U69" i="11"/>
  <c r="U65" i="11"/>
  <c r="U70" i="11"/>
  <c r="U75" i="11"/>
  <c r="U72" i="11"/>
  <c r="U73" i="11"/>
  <c r="U76" i="11"/>
  <c r="U81" i="11"/>
  <c r="U82" i="11"/>
  <c r="U14" i="11"/>
  <c r="U77" i="11"/>
  <c r="U78" i="11"/>
  <c r="U83" i="11"/>
  <c r="U74" i="11"/>
  <c r="U91" i="11"/>
  <c r="U92" i="11"/>
  <c r="U90" i="11"/>
  <c r="U80" i="11"/>
  <c r="U84" i="11"/>
  <c r="U71" i="11"/>
  <c r="U79" i="11"/>
  <c r="U85" i="11"/>
  <c r="U87" i="11"/>
  <c r="U54" i="11"/>
  <c r="U89" i="11"/>
  <c r="X16" i="11"/>
  <c r="X52" i="11"/>
  <c r="X17" i="11"/>
  <c r="X19" i="11"/>
  <c r="X86" i="11"/>
  <c r="X88" i="11"/>
  <c r="X21" i="11"/>
  <c r="X22" i="11"/>
  <c r="X23" i="11"/>
  <c r="X30" i="11"/>
  <c r="X31" i="11"/>
  <c r="X32" i="11"/>
  <c r="X33" i="11"/>
  <c r="X20" i="11"/>
  <c r="X27" i="11"/>
  <c r="X28" i="11"/>
  <c r="X29" i="11"/>
  <c r="X34" i="11"/>
  <c r="X35" i="11"/>
  <c r="X24" i="11"/>
  <c r="X38" i="11"/>
  <c r="X39" i="11"/>
  <c r="X40" i="11"/>
  <c r="X41" i="11"/>
  <c r="X42" i="11"/>
  <c r="X43" i="11"/>
  <c r="X44" i="11"/>
  <c r="X45" i="11"/>
  <c r="X58" i="11"/>
  <c r="X53" i="11"/>
  <c r="X47" i="11"/>
  <c r="X48" i="11"/>
  <c r="X59" i="11"/>
  <c r="X49" i="11"/>
  <c r="X50" i="11"/>
  <c r="X60" i="11"/>
  <c r="X55" i="11"/>
  <c r="X56" i="11"/>
  <c r="X57" i="11"/>
  <c r="X18" i="11"/>
  <c r="X61" i="11"/>
  <c r="X62" i="11"/>
  <c r="X51" i="11"/>
  <c r="X46" i="11"/>
  <c r="X66" i="11"/>
  <c r="X67" i="11"/>
  <c r="X68" i="11"/>
  <c r="X63" i="11"/>
  <c r="X69" i="11"/>
  <c r="X65" i="11"/>
  <c r="X70" i="11"/>
  <c r="X75" i="11"/>
  <c r="X72" i="11"/>
  <c r="X73" i="11"/>
  <c r="X76" i="11"/>
  <c r="X81" i="11"/>
  <c r="X82" i="11"/>
  <c r="X14" i="11"/>
  <c r="X77" i="11"/>
  <c r="X78" i="11"/>
  <c r="X36" i="11"/>
  <c r="X25" i="11"/>
  <c r="X37" i="11"/>
  <c r="X74" i="11"/>
  <c r="X84" i="11"/>
  <c r="X71" i="11"/>
  <c r="X79" i="11"/>
  <c r="X85" i="11"/>
  <c r="X87" i="11"/>
  <c r="X54" i="11"/>
  <c r="X89" i="11"/>
  <c r="X92" i="11"/>
  <c r="X90" i="11"/>
  <c r="X80" i="11"/>
  <c r="X83" i="11"/>
  <c r="X91" i="11"/>
  <c r="W16" i="11"/>
  <c r="W52" i="11"/>
  <c r="W17" i="11"/>
  <c r="W19" i="11"/>
  <c r="W86" i="11"/>
  <c r="W88" i="11"/>
  <c r="W21" i="11"/>
  <c r="W22" i="11"/>
  <c r="W23" i="11"/>
  <c r="W24" i="11"/>
  <c r="W25" i="11"/>
  <c r="W40" i="11"/>
  <c r="W41" i="11"/>
  <c r="W42" i="11"/>
  <c r="W43" i="11"/>
  <c r="W44" i="11"/>
  <c r="W45" i="11"/>
  <c r="W58" i="11"/>
  <c r="W30" i="11"/>
  <c r="W31" i="11"/>
  <c r="W32" i="11"/>
  <c r="W33" i="11"/>
  <c r="W20" i="11"/>
  <c r="W27" i="11"/>
  <c r="W28" i="11"/>
  <c r="W29" i="11"/>
  <c r="W34" i="11"/>
  <c r="W35" i="11"/>
  <c r="W36" i="11"/>
  <c r="W37" i="11"/>
  <c r="W39" i="11"/>
  <c r="W38" i="11"/>
  <c r="W55" i="11"/>
  <c r="W56" i="11"/>
  <c r="W57" i="11"/>
  <c r="W18" i="11"/>
  <c r="W61" i="11"/>
  <c r="W62" i="11"/>
  <c r="W51" i="11"/>
  <c r="W46" i="11"/>
  <c r="W66" i="11"/>
  <c r="W67" i="11"/>
  <c r="W68" i="11"/>
  <c r="W63" i="11"/>
  <c r="W69" i="11"/>
  <c r="W65" i="11"/>
  <c r="W70" i="11"/>
  <c r="W75" i="11"/>
  <c r="W72" i="11"/>
  <c r="W73" i="11"/>
  <c r="W76" i="11"/>
  <c r="W81" i="11"/>
  <c r="W82" i="11"/>
  <c r="W14" i="11"/>
  <c r="W77" i="11"/>
  <c r="W78" i="11"/>
  <c r="W83" i="11"/>
  <c r="W48" i="11"/>
  <c r="W60" i="11"/>
  <c r="W47" i="11"/>
  <c r="W50" i="11"/>
  <c r="W91" i="11"/>
  <c r="W92" i="11"/>
  <c r="W90" i="11"/>
  <c r="W80" i="11"/>
  <c r="W49" i="11"/>
  <c r="W74" i="11"/>
  <c r="W84" i="11"/>
  <c r="W71" i="11"/>
  <c r="W79" i="11"/>
  <c r="W85" i="11"/>
  <c r="W87" i="11"/>
  <c r="W54" i="11"/>
  <c r="W89" i="11"/>
  <c r="W53" i="11"/>
  <c r="W59" i="11"/>
  <c r="V16" i="11"/>
  <c r="V52" i="11"/>
  <c r="V17" i="11"/>
  <c r="V19" i="11"/>
  <c r="V86" i="11"/>
  <c r="V88" i="11"/>
  <c r="V21" i="11"/>
  <c r="V22" i="11"/>
  <c r="V23" i="11"/>
  <c r="V24" i="11"/>
  <c r="V25" i="11"/>
  <c r="V30" i="11"/>
  <c r="V31" i="11"/>
  <c r="V32" i="11"/>
  <c r="V33" i="11"/>
  <c r="V20" i="11"/>
  <c r="V27" i="11"/>
  <c r="V28" i="11"/>
  <c r="V29" i="11"/>
  <c r="V34" i="11"/>
  <c r="V35" i="11"/>
  <c r="V36" i="11"/>
  <c r="V37" i="11"/>
  <c r="V38" i="11"/>
  <c r="V39" i="11"/>
  <c r="V55" i="11"/>
  <c r="V56" i="11"/>
  <c r="V57" i="11"/>
  <c r="V18" i="11"/>
  <c r="V61" i="11"/>
  <c r="V62" i="11"/>
  <c r="V51" i="11"/>
  <c r="V46" i="11"/>
  <c r="V66" i="11"/>
  <c r="V67" i="11"/>
  <c r="V68" i="11"/>
  <c r="V63" i="11"/>
  <c r="V69" i="11"/>
  <c r="V65" i="11"/>
  <c r="V70" i="11"/>
  <c r="V75" i="11"/>
  <c r="V72" i="11"/>
  <c r="V73" i="11"/>
  <c r="V76" i="11"/>
  <c r="V81" i="11"/>
  <c r="V82" i="11"/>
  <c r="V14" i="11"/>
  <c r="V77" i="11"/>
  <c r="V78" i="11"/>
  <c r="V48" i="11"/>
  <c r="V59" i="11"/>
  <c r="V49" i="11"/>
  <c r="V50" i="11"/>
  <c r="V60" i="11"/>
  <c r="V53" i="11"/>
  <c r="V47" i="11"/>
  <c r="V42" i="11"/>
  <c r="V58" i="11"/>
  <c r="V92" i="11"/>
  <c r="V80" i="11"/>
  <c r="V43" i="11"/>
  <c r="V83" i="11"/>
  <c r="V74" i="11"/>
  <c r="V84" i="11"/>
  <c r="V71" i="11"/>
  <c r="V79" i="11"/>
  <c r="V85" i="11"/>
  <c r="V87" i="11"/>
  <c r="V54" i="11"/>
  <c r="V89" i="11"/>
  <c r="V91" i="11"/>
  <c r="V40" i="11"/>
  <c r="V44" i="11"/>
  <c r="V41" i="11"/>
  <c r="V45" i="11"/>
  <c r="V90" i="11"/>
  <c r="V15" i="11"/>
  <c r="U13" i="11"/>
  <c r="X13" i="11"/>
  <c r="W13" i="11"/>
  <c r="U15" i="11"/>
  <c r="X15" i="11"/>
  <c r="W15" i="11"/>
  <c r="AB13" i="11"/>
  <c r="AB15" i="11"/>
  <c r="V13" i="11"/>
  <c r="Y13" i="11"/>
  <c r="Z13" i="11"/>
  <c r="AA13" i="11"/>
  <c r="Y15" i="11"/>
  <c r="Z15" i="11"/>
  <c r="AA15" i="11"/>
  <c r="T92" i="11" l="1"/>
  <c r="T74" i="11"/>
  <c r="N74" i="11" s="1"/>
  <c r="T53" i="11"/>
  <c r="T59" i="11"/>
  <c r="N59" i="11" s="1"/>
  <c r="T34" i="11"/>
  <c r="T20" i="11"/>
  <c r="T30" i="11"/>
  <c r="T21" i="11"/>
  <c r="T17" i="11"/>
  <c r="T65" i="11"/>
  <c r="T51" i="11"/>
  <c r="T73" i="11"/>
  <c r="T57" i="11"/>
  <c r="T14" i="11"/>
  <c r="T67" i="11"/>
  <c r="T25" i="11"/>
  <c r="T89" i="11"/>
  <c r="T41" i="11"/>
  <c r="T13" i="11"/>
  <c r="N13" i="11" s="1"/>
  <c r="T79" i="11"/>
  <c r="T15" i="11"/>
  <c r="T54" i="11"/>
  <c r="N54" i="11" s="1"/>
  <c r="T71" i="11"/>
  <c r="T83" i="11"/>
  <c r="N83" i="11" s="1"/>
  <c r="T82" i="11"/>
  <c r="N82" i="11" s="1"/>
  <c r="T72" i="11"/>
  <c r="N72" i="11" s="1"/>
  <c r="T69" i="11"/>
  <c r="N69" i="11" s="1"/>
  <c r="T66" i="11"/>
  <c r="N66" i="11" s="1"/>
  <c r="T62" i="11"/>
  <c r="N62" i="11" s="1"/>
  <c r="T56" i="11"/>
  <c r="N56" i="11" s="1"/>
  <c r="T60" i="11"/>
  <c r="T48" i="11"/>
  <c r="T44" i="11"/>
  <c r="T40" i="11"/>
  <c r="T29" i="11"/>
  <c r="N29" i="11" s="1"/>
  <c r="T33" i="11"/>
  <c r="N33" i="11" s="1"/>
  <c r="T39" i="11"/>
  <c r="T24" i="11"/>
  <c r="T88" i="11"/>
  <c r="N88" i="11" s="1"/>
  <c r="T52" i="11"/>
  <c r="T45" i="11"/>
  <c r="T87" i="11"/>
  <c r="N87" i="11" s="1"/>
  <c r="T84" i="11"/>
  <c r="N84" i="11" s="1"/>
  <c r="T80" i="11"/>
  <c r="N80" i="11" s="1"/>
  <c r="T78" i="11"/>
  <c r="N78" i="11" s="1"/>
  <c r="T81" i="11"/>
  <c r="N81" i="11" s="1"/>
  <c r="T75" i="11"/>
  <c r="N75" i="11" s="1"/>
  <c r="T63" i="11"/>
  <c r="N63" i="11" s="1"/>
  <c r="T61" i="11"/>
  <c r="N61" i="11" s="1"/>
  <c r="T55" i="11"/>
  <c r="N55" i="11" s="1"/>
  <c r="T50" i="11"/>
  <c r="T43" i="11"/>
  <c r="T36" i="11"/>
  <c r="N36" i="11" s="1"/>
  <c r="T28" i="11"/>
  <c r="N28" i="11" s="1"/>
  <c r="T32" i="11"/>
  <c r="N32" i="11" s="1"/>
  <c r="T38" i="11"/>
  <c r="N38" i="11" s="1"/>
  <c r="T23" i="11"/>
  <c r="N23" i="11" s="1"/>
  <c r="T86" i="11"/>
  <c r="N86" i="11" s="1"/>
  <c r="T16" i="11"/>
  <c r="N16" i="11" s="1"/>
  <c r="T85" i="11"/>
  <c r="N85" i="11" s="1"/>
  <c r="T90" i="11"/>
  <c r="N90" i="11" s="1"/>
  <c r="T91" i="11"/>
  <c r="T77" i="11"/>
  <c r="N77" i="11" s="1"/>
  <c r="T76" i="11"/>
  <c r="N76" i="11" s="1"/>
  <c r="T70" i="11"/>
  <c r="T68" i="11"/>
  <c r="N68" i="11" s="1"/>
  <c r="T46" i="11"/>
  <c r="N46" i="11" s="1"/>
  <c r="T18" i="11"/>
  <c r="N18" i="11" s="1"/>
  <c r="T47" i="11"/>
  <c r="T49" i="11"/>
  <c r="T58" i="11"/>
  <c r="N58" i="11" s="1"/>
  <c r="T42" i="11"/>
  <c r="N42" i="11" s="1"/>
  <c r="T35" i="11"/>
  <c r="T27" i="11"/>
  <c r="T31" i="11"/>
  <c r="T37" i="11"/>
  <c r="N37" i="11" s="1"/>
  <c r="T22" i="11"/>
  <c r="T19" i="11"/>
  <c r="N50" i="11" l="1"/>
  <c r="N71" i="11"/>
  <c r="N60" i="11"/>
  <c r="N45" i="11"/>
  <c r="N15" i="11"/>
  <c r="N89" i="11"/>
  <c r="N39" i="11"/>
  <c r="N57" i="11"/>
  <c r="N43" i="11"/>
  <c r="N52" i="11"/>
  <c r="N48" i="11"/>
  <c r="N79" i="11"/>
  <c r="N92" i="11"/>
  <c r="N47" i="11"/>
  <c r="N41" i="11"/>
  <c r="N35" i="11"/>
  <c r="N22" i="11"/>
  <c r="N70" i="11"/>
  <c r="N24" i="11"/>
  <c r="N67" i="11"/>
  <c r="N53" i="11"/>
  <c r="N40" i="11"/>
  <c r="N65" i="11"/>
  <c r="N20" i="11"/>
  <c r="N19" i="11"/>
  <c r="N91" i="11"/>
  <c r="N27" i="11"/>
  <c r="N49" i="11"/>
  <c r="N51" i="11"/>
  <c r="N30" i="11"/>
  <c r="N14" i="11"/>
  <c r="N17" i="11"/>
  <c r="N21" i="11"/>
  <c r="N25" i="11"/>
  <c r="N44" i="11"/>
  <c r="N34" i="11"/>
  <c r="N31" i="11"/>
  <c r="N73" i="11"/>
</calcChain>
</file>

<file path=xl/sharedStrings.xml><?xml version="1.0" encoding="utf-8"?>
<sst xmlns="http://schemas.openxmlformats.org/spreadsheetml/2006/main" count="619" uniqueCount="333">
  <si>
    <t>Kode</t>
  </si>
  <si>
    <t xml:space="preserve">No </t>
  </si>
  <si>
    <t>Aktivitas</t>
  </si>
  <si>
    <t>Rentang Waktu Insidental</t>
  </si>
  <si>
    <t>R/I</t>
  </si>
  <si>
    <t>Menyapu Ruang Keluarga</t>
  </si>
  <si>
    <t>Menyapu Ruang Tamu</t>
  </si>
  <si>
    <t>Menyapu Teras</t>
  </si>
  <si>
    <t>Mengepel Ruang Tamu</t>
  </si>
  <si>
    <t>I</t>
  </si>
  <si>
    <t>Mengepel Ruang Keluarga</t>
  </si>
  <si>
    <t>Menyiram tanaman pagi hari</t>
  </si>
  <si>
    <t>Mengepel Teras</t>
  </si>
  <si>
    <t>Belanja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</si>
  <si>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</si>
  <si>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</si>
  <si>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</si>
  <si>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</si>
  <si>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</si>
  <si>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</si>
  <si>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</si>
  <si>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</si>
  <si>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</si>
  <si>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</si>
  <si>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</si>
  <si>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</si>
  <si>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</si>
  <si>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</si>
  <si>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</si>
  <si>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</si>
  <si>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</si>
  <si>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CCB</t>
  </si>
  <si>
    <t>Total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</si>
  <si>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</si>
  <si>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</si>
  <si>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</si>
  <si>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</si>
  <si>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</si>
  <si>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</si>
  <si>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</si>
  <si>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</si>
  <si>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UR</t>
  </si>
  <si>
    <t>DF</t>
  </si>
  <si>
    <t>DR</t>
  </si>
  <si>
    <t>EN</t>
  </si>
  <si>
    <t>HG</t>
  </si>
  <si>
    <t>TH</t>
  </si>
  <si>
    <t>EX</t>
  </si>
  <si>
    <t>SL</t>
  </si>
  <si>
    <t>CCE</t>
  </si>
  <si>
    <t>Selisih</t>
  </si>
  <si>
    <t>Keuntungan</t>
  </si>
  <si>
    <t>Aturan</t>
  </si>
  <si>
    <t>Kebutuhan</t>
  </si>
  <si>
    <t>Otoritas</t>
  </si>
  <si>
    <t>Kepatuhan</t>
  </si>
  <si>
    <t>Diri sendiri</t>
  </si>
  <si>
    <t>Ayah</t>
  </si>
  <si>
    <t>Nenek</t>
  </si>
  <si>
    <t>Anak 1</t>
  </si>
  <si>
    <t>Anak 2</t>
  </si>
  <si>
    <t>Urgensi Lingkungan</t>
  </si>
  <si>
    <t>Waktu</t>
  </si>
  <si>
    <t>RMK01</t>
  </si>
  <si>
    <t>YA/ TIDAK</t>
  </si>
  <si>
    <r>
      <t>Kondisi Terkini Emosi</t>
    </r>
    <r>
      <rPr>
        <sz val="11"/>
        <color rgb="FFFF0000"/>
        <rFont val="Calibri"/>
        <family val="2"/>
        <scheme val="minor"/>
      </rPr>
      <t>*</t>
    </r>
  </si>
  <si>
    <r>
      <t>CCE</t>
    </r>
    <r>
      <rPr>
        <sz val="11"/>
        <color rgb="FFFF0000"/>
        <rFont val="Calibri"/>
        <family val="2"/>
        <scheme val="minor"/>
      </rPr>
      <t>**</t>
    </r>
  </si>
  <si>
    <r>
      <t>*</t>
    </r>
    <r>
      <rPr>
        <sz val="11"/>
        <color rgb="FFFF0000"/>
        <rFont val="Calibri"/>
        <family val="2"/>
        <scheme val="minor"/>
      </rPr>
      <t>Rekap data setiap ada perubahan pada KAL.E</t>
    </r>
  </si>
  <si>
    <t>**Total efek di KAL.E, terjadi perubahan di Total Efek setiap aktivitas berubah atau terinterupsi</t>
  </si>
  <si>
    <t xml:space="preserve">CCE dan Standar Emosi masuk dalam perhitungan di pilih </t>
  </si>
  <si>
    <t>TOTAL EF.E</t>
  </si>
  <si>
    <t>TOTAL NILAI</t>
  </si>
  <si>
    <t>OPERASI</t>
  </si>
  <si>
    <t>Rekap Data Agen Terkini</t>
  </si>
  <si>
    <t>Fisik</t>
  </si>
  <si>
    <t>Posisi Ruang</t>
  </si>
  <si>
    <t>Posisi Titik</t>
  </si>
  <si>
    <t>waktu terakhir</t>
  </si>
  <si>
    <t>copy Kal.E</t>
  </si>
  <si>
    <t>copy Kal.B</t>
  </si>
  <si>
    <t>aktivitas terakhir</t>
  </si>
  <si>
    <t>ruang apa</t>
  </si>
  <si>
    <t>duduk/tidur/berdiri dimana</t>
  </si>
  <si>
    <t>KU02</t>
  </si>
  <si>
    <t>TOTAL JADWAL</t>
  </si>
  <si>
    <t>Copy Kal.F</t>
  </si>
  <si>
    <t>Keinginan</t>
  </si>
  <si>
    <t>Informasi</t>
  </si>
  <si>
    <t>PA-I</t>
  </si>
  <si>
    <t>PA-O</t>
  </si>
  <si>
    <t>Pergi memasukan laundry</t>
  </si>
  <si>
    <t>Pergi mengambil laundry</t>
  </si>
  <si>
    <t>UA-I</t>
  </si>
  <si>
    <t>DI/MI</t>
  </si>
  <si>
    <t>MI</t>
  </si>
  <si>
    <t>DI</t>
  </si>
  <si>
    <t>Status (SL/ BM/ BS)</t>
  </si>
  <si>
    <t>Standar Fisiologis</t>
  </si>
  <si>
    <t>CCF</t>
  </si>
  <si>
    <t>Total EF.F</t>
  </si>
  <si>
    <t>Emosi</t>
  </si>
  <si>
    <t>Karakter Aktivitas</t>
  </si>
  <si>
    <t>Fisiologis</t>
  </si>
  <si>
    <t>SN</t>
  </si>
  <si>
    <t>Nilai Matriks</t>
  </si>
  <si>
    <t>SN Urgensi</t>
  </si>
  <si>
    <t>Mematikan lampu garasi di pagi hari</t>
  </si>
  <si>
    <t>Menghidupkan lampu garasi di sore hari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</si>
  <si>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</si>
  <si>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</si>
  <si>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</si>
  <si>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</si>
  <si>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</si>
  <si>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</si>
  <si>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</si>
  <si>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</si>
  <si>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</si>
  <si>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</si>
  <si>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</si>
  <si>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</si>
  <si>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</si>
  <si>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</si>
  <si>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</si>
  <si>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</si>
  <si>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</si>
  <si>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</si>
  <si>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</si>
  <si>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</si>
  <si>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</si>
  <si>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</si>
  <si>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</si>
  <si>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</si>
  <si>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</si>
  <si>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</si>
  <si>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PR;A13</t>
  </si>
  <si>
    <t>A27</t>
  </si>
  <si>
    <t>PR;A12</t>
  </si>
  <si>
    <t>A28</t>
  </si>
  <si>
    <t>A29</t>
  </si>
  <si>
    <t>PR;A11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</si>
  <si>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</si>
  <si>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</si>
  <si>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</si>
  <si>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</si>
  <si>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</si>
  <si>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</si>
  <si>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</si>
  <si>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</si>
  <si>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</si>
  <si>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</si>
  <si>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</si>
  <si>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</si>
  <si>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</si>
  <si>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</si>
  <si>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</si>
  <si>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</si>
  <si>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PR;A5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</si>
  <si>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</si>
  <si>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</si>
  <si>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</si>
  <si>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</si>
  <si>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</si>
  <si>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</si>
  <si>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</si>
  <si>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</si>
  <si>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</si>
  <si>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</si>
  <si>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</si>
  <si>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</si>
  <si>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</si>
  <si>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</si>
  <si>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</si>
  <si>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</si>
  <si>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</si>
  <si>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</si>
  <si>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</si>
  <si>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</si>
  <si>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</si>
  <si>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</si>
  <si>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</si>
  <si>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</si>
  <si>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</si>
  <si>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</si>
  <si>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</si>
  <si>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</si>
  <si>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</si>
  <si>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</si>
  <si>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</si>
  <si>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</si>
  <si>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</si>
  <si>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</si>
  <si>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Berdandan setelah mandi</t>
  </si>
  <si>
    <t>Waktu dibatalkan</t>
  </si>
  <si>
    <t>Batas Waktu Insidental</t>
  </si>
  <si>
    <t>Status Aktivitas</t>
  </si>
  <si>
    <t>H</t>
  </si>
  <si>
    <t>6/7 ; 7/7</t>
  </si>
  <si>
    <t>Pengaruh agen otoritas</t>
  </si>
  <si>
    <t>Standar Emosi</t>
  </si>
  <si>
    <t>Selisih batas waktu</t>
  </si>
  <si>
    <t>Urgensi waktu terpilih</t>
  </si>
  <si>
    <t>Sisa</t>
  </si>
  <si>
    <t>Jumlah</t>
  </si>
  <si>
    <t>KETERANGAN</t>
  </si>
  <si>
    <t>Urutan Pengali Emosi</t>
  </si>
  <si>
    <t>Total Nilai = Total Jadwal + Total EF.F + Urgensi waktu terpilih</t>
  </si>
  <si>
    <t>Data konstan dari Data Dasar Survei Agen 25 Aug</t>
  </si>
  <si>
    <t>Input data eksternal agen (tingkat fisiologis agen lain, urgensi lingkungan) dari Data Dasar Agen Dummy 25 Aug</t>
  </si>
  <si>
    <t>Data yang bisa berubah: dari CCF &amp; CCE; tingkat kotor diri sendiri; berubah karena waktu dibatalkan; status R/I; batas waktu insidental; status SL/ BM/ BS; sisa pengulangan; Pengali emosi; Urutan pengali emosi</t>
  </si>
  <si>
    <t>Kalkulasi urgensi waktu; kalkulasi selisih nilai fisiologis; kalkulasi per karakteristik aktivitas</t>
  </si>
  <si>
    <t>Aktivitas prasyarat: hanya bisa dilakukan jika didahului aktivitas tertentu (PR;KODE AKTIVITAS PENDAHULU)</t>
  </si>
  <si>
    <t>JENIS AKTIVITAS</t>
  </si>
  <si>
    <t>PRIORITAS</t>
  </si>
  <si>
    <t>outdoor</t>
  </si>
  <si>
    <t>Tidak mengubah status R ke I, aktivitas tertunda bisa terkalkulasi di proses pilih selanjutnya</t>
  </si>
  <si>
    <t>indoor</t>
  </si>
  <si>
    <t>Mengubah R ke I, aktivitas tidak terkalkulasi dalam proses pilih hingga 6 jam berikutnya</t>
  </si>
  <si>
    <t>PR</t>
  </si>
  <si>
    <t>prerequisite</t>
  </si>
  <si>
    <t>Mengubah R ke I, aktivitas tidak terkalkulasi dalam proses pilih hingga 12 jam berikutnya</t>
  </si>
  <si>
    <t>PA</t>
  </si>
  <si>
    <t>planned</t>
  </si>
  <si>
    <t>Mengubah R ke I, aktivitas tidak terkalkulasi dalam proses pilih hingga 24 jam berikutnya (hari berikutnya di jadwal yang sama)</t>
  </si>
  <si>
    <t>UA</t>
  </si>
  <si>
    <t>unplanned</t>
  </si>
  <si>
    <t>STATUS</t>
  </si>
  <si>
    <t>BM</t>
  </si>
  <si>
    <t>BS</t>
  </si>
  <si>
    <t>Selesai</t>
  </si>
  <si>
    <t>Belum mulai</t>
  </si>
  <si>
    <t>Belum selesai</t>
  </si>
  <si>
    <t>Aktivitas selesai, sisa pengulangan &gt; 0, R: bisa terkalkulasi pada proses pilih selanjutnya</t>
  </si>
  <si>
    <t>Aktivitas belum mulai, sisa pengulangan &gt; 0, R/I: bisa terkalkulasi pada proses pilih selanjutnya (jika I, hanya terkalkulasi ketika waktu terkini &gt; batas waktu I) | sisa pengulangan = 0, R/I: tidak bisa terkalkulasi pada proses pilih selanjutnya (jika I, hanya terkalkulasi pada hari/ minggu berikutnya sesuai dengan nilai prioritas 3/4)</t>
  </si>
  <si>
    <t>Aktivitas sedang berjalan/ tertunda, sisa pengulangan &gt; 0, status R ke I (prioritas 1-4): bisa terkalkulasi pada proses pilih selanjutnya (jika I, hanya terkalkulasi ketika waktu terkini &gt; batas waktu I)</t>
  </si>
  <si>
    <t>Mengubah R ke I, aktivitas tidak terkalkulasi dalam proses pilih hingga minggu berikutnya di jadwal yang sama</t>
  </si>
  <si>
    <t>PR;A7</t>
  </si>
  <si>
    <t>PR;A10</t>
  </si>
  <si>
    <t>Jenis</t>
  </si>
  <si>
    <t>Kode Pengulangan Waktu (aktivitas berjalan)</t>
  </si>
  <si>
    <t>Pengulangan (kalau batal dalam H/M)</t>
  </si>
  <si>
    <t>Prioritas (kalau batal dalam H/M)</t>
  </si>
  <si>
    <t>-</t>
  </si>
  <si>
    <t>M;2</t>
  </si>
  <si>
    <t>A</t>
  </si>
  <si>
    <r>
      <t>Kondisi Terkini Fisiologis</t>
    </r>
    <r>
      <rPr>
        <sz val="11"/>
        <color rgb="FFFF0000"/>
        <rFont val="Calibri"/>
        <family val="2"/>
        <scheme val="minor"/>
      </rPr>
      <t>*</t>
    </r>
  </si>
  <si>
    <t xml:space="preserve">CCF dan Standar Fisiologis masuk dalam perhitungan di pilih </t>
  </si>
  <si>
    <r>
      <t>*</t>
    </r>
    <r>
      <rPr>
        <sz val="11"/>
        <color rgb="FFFF0000"/>
        <rFont val="Calibri"/>
        <family val="2"/>
        <scheme val="minor"/>
      </rPr>
      <t>Rekap data setiap ada perubahan pada KAL.F</t>
    </r>
  </si>
  <si>
    <t>auto (durasi = durasi alat listrik digunakan, durasi aktivitas agen = 5 menit)</t>
  </si>
  <si>
    <t>Membereskan kasur &amp; karpet tidur di pagi hari</t>
  </si>
  <si>
    <t>PA-I;A</t>
  </si>
  <si>
    <t>Mengisi ulang daya gadget</t>
  </si>
  <si>
    <t>PR;A55</t>
  </si>
  <si>
    <t>Menyapu Ruang Kerja</t>
  </si>
  <si>
    <t>Menyapu Ruang Belakang</t>
  </si>
  <si>
    <t>Menyapu Dapur Kotor</t>
  </si>
  <si>
    <t>Menyapu Dapur Bersih</t>
  </si>
  <si>
    <t>PR;A6</t>
  </si>
  <si>
    <t>Mengepel Ruang Kerja</t>
  </si>
  <si>
    <t>PR;A9</t>
  </si>
  <si>
    <t>Mengepel Dapur Kotor</t>
  </si>
  <si>
    <t>Mengepel Dapur Bersih</t>
  </si>
  <si>
    <t>Memasak makan pagi dengan rice cooker</t>
  </si>
  <si>
    <t>PA-O;E;A24</t>
  </si>
  <si>
    <t>Pergi membeli makan pagi di luar rumah</t>
  </si>
  <si>
    <t>PA-I;E;A23</t>
  </si>
  <si>
    <t>Membangunkan anak di pagi hari</t>
  </si>
  <si>
    <t>PR-D;A25</t>
  </si>
  <si>
    <t>Membuat susu anak di pagi hari</t>
  </si>
  <si>
    <t>Membuang sampah</t>
  </si>
  <si>
    <t>Membakar sampah</t>
  </si>
  <si>
    <t>Memasak air untuk mandi di pagi hari</t>
  </si>
  <si>
    <t>PR-D;A29</t>
  </si>
  <si>
    <t>Memandikan anak pagi hari</t>
  </si>
  <si>
    <t>Membuat minuman herbal</t>
  </si>
  <si>
    <t>Menyuapi anak makan pagi</t>
  </si>
  <si>
    <t>Bekerja di luar rumah</t>
  </si>
  <si>
    <t>Bermain dengan anak di pagi hari</t>
  </si>
  <si>
    <t>Pergi jalan ke luar rumah di akhir pekan</t>
  </si>
  <si>
    <t>Membersihkan KM Tengah</t>
  </si>
  <si>
    <t>Membersihkan KM Dalam</t>
  </si>
  <si>
    <t>Membersihkan KM Lt. 2</t>
  </si>
  <si>
    <t>PA-I;E;A42</t>
  </si>
  <si>
    <t>PA-I;E;A41</t>
  </si>
  <si>
    <t>PR-D;A41;A42</t>
  </si>
  <si>
    <t>Menjahit</t>
  </si>
  <si>
    <t>PA-O;E;A41/A42</t>
  </si>
  <si>
    <t>Menonton TV pagi</t>
  </si>
  <si>
    <t>Memasak makan siang dengan rice cooker</t>
  </si>
  <si>
    <t>PA-O;E;A49</t>
  </si>
  <si>
    <t>Pergi membeli makan siang di luar rumah</t>
  </si>
  <si>
    <t>PA-I;E;A48</t>
  </si>
  <si>
    <t>Menyuapi anak makan siang</t>
  </si>
  <si>
    <t>Membuat susu anak di siang hari</t>
  </si>
  <si>
    <t>Pergi jalan ke luar rumah di siang hari</t>
  </si>
  <si>
    <t>PR;A43</t>
  </si>
  <si>
    <t>Memasak air untuk mandi di sore hari</t>
  </si>
  <si>
    <t>PR-D;A58</t>
  </si>
  <si>
    <t>Memandikan anak sore hari</t>
  </si>
  <si>
    <t>Memasak makan malam dengan rice cooker</t>
  </si>
  <si>
    <t>PA-O;E;A63</t>
  </si>
  <si>
    <t>Pergi membeli makan malam di luar rumah</t>
  </si>
  <si>
    <t>PA-I;E;A62</t>
  </si>
  <si>
    <t>Menyuapi anak makan malam</t>
  </si>
  <si>
    <t>PR;A56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</si>
  <si>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</si>
  <si>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</si>
  <si>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</si>
  <si>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</si>
  <si>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</si>
  <si>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PR;A22/A47/A60</t>
  </si>
  <si>
    <t>Mematikan rice cooker</t>
  </si>
  <si>
    <t>PR-D;A35/A52/A67</t>
  </si>
  <si>
    <t>Membereskan mainan anak</t>
  </si>
  <si>
    <t>PR;A32/A50/A64</t>
  </si>
  <si>
    <t xml:space="preserve">Mencuci piring dan alat masak </t>
  </si>
  <si>
    <t>PR-D;DLA;B7</t>
  </si>
  <si>
    <t>Mengoperasikan gadget</t>
  </si>
  <si>
    <t>Menerima tamu</t>
  </si>
  <si>
    <t>M;5</t>
  </si>
  <si>
    <t>M;4</t>
  </si>
  <si>
    <t>M;3</t>
  </si>
  <si>
    <t>M;1</t>
  </si>
  <si>
    <t>1/7 s/d 5/7</t>
  </si>
  <si>
    <t>6/7 s/d 7/7</t>
  </si>
  <si>
    <t>B;3</t>
  </si>
  <si>
    <t>Obligate time (belum diperhitungkan)</t>
  </si>
  <si>
    <t>Batas Mulai (Sequence by survey)</t>
  </si>
  <si>
    <t>Bermain dengan anak di siang hari</t>
  </si>
  <si>
    <t>Pengali Emosi</t>
  </si>
  <si>
    <t>PR-D;A69</t>
  </si>
  <si>
    <t>Membersihkan KM Belakang</t>
  </si>
  <si>
    <t>A80</t>
  </si>
  <si>
    <t>Menyapu Halaman Depan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</si>
</sst>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9"/>
      <color rgb="FFFF00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CC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14" fillId="5" borderId="53" applyNumberFormat="0" applyAlignment="0" applyProtection="0"/>
    <xf numFmtId="43" fontId="1" fillId="0" borderId="0" applyFont="0" applyFill="0" applyBorder="0" applyAlignment="0" applyProtection="0"/>
  </cellStyleXfs>
  <cellXfs count="344">
    <xf numFmtId="0" fontId="0" fillId="0" borderId="0" xfId="0"/>
    <xf numFmtId="0" fontId="5" fillId="0" borderId="0" xfId="2"/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Alignment="1">
      <alignment horizontal="left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0" xfId="2" applyBorder="1"/>
    <xf numFmtId="0" fontId="0" fillId="0" borderId="0" xfId="0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0" fontId="5" fillId="0" borderId="0" xfId="2" applyFill="1" applyBorder="1"/>
    <xf numFmtId="0" fontId="5" fillId="0" borderId="0" xfId="2" applyFill="1"/>
    <xf numFmtId="0" fontId="4" fillId="0" borderId="0" xfId="0" applyFont="1"/>
    <xf numFmtId="0" fontId="4" fillId="6" borderId="3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164" fontId="4" fillId="6" borderId="3" xfId="2" applyNumberFormat="1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15" xfId="2" applyFont="1" applyFill="1" applyBorder="1" applyAlignment="1">
      <alignment horizontal="center"/>
    </xf>
    <xf numFmtId="2" fontId="0" fillId="0" borderId="3" xfId="0" applyNumberFormat="1" applyFill="1" applyBorder="1"/>
    <xf numFmtId="0" fontId="1" fillId="0" borderId="17" xfId="2" applyFont="1" applyFill="1" applyBorder="1" applyAlignment="1">
      <alignment horizontal="center"/>
    </xf>
    <xf numFmtId="0" fontId="1" fillId="0" borderId="33" xfId="2" applyFont="1" applyFill="1" applyBorder="1" applyAlignment="1">
      <alignment horizontal="center"/>
    </xf>
    <xf numFmtId="0" fontId="5" fillId="0" borderId="17" xfId="2" applyFill="1" applyBorder="1"/>
    <xf numFmtId="2" fontId="9" fillId="0" borderId="19" xfId="2" applyNumberFormat="1" applyFont="1" applyFill="1" applyBorder="1"/>
    <xf numFmtId="0" fontId="1" fillId="0" borderId="18" xfId="2" applyFont="1" applyFill="1" applyBorder="1" applyAlignment="1">
      <alignment horizontal="center"/>
    </xf>
    <xf numFmtId="0" fontId="1" fillId="0" borderId="40" xfId="2" applyFont="1" applyFill="1" applyBorder="1" applyAlignment="1">
      <alignment horizontal="center"/>
    </xf>
    <xf numFmtId="0" fontId="5" fillId="0" borderId="7" xfId="2" applyFill="1" applyBorder="1"/>
    <xf numFmtId="0" fontId="5" fillId="0" borderId="18" xfId="2" applyFill="1" applyBorder="1"/>
    <xf numFmtId="0" fontId="16" fillId="0" borderId="0" xfId="2" applyFont="1" applyFill="1" applyBorder="1" applyAlignment="1">
      <alignment horizontal="left" wrapText="1"/>
    </xf>
    <xf numFmtId="0" fontId="5" fillId="0" borderId="0" xfId="2" applyFill="1" applyBorder="1" applyAlignment="1">
      <alignment horizontal="left"/>
    </xf>
    <xf numFmtId="0" fontId="0" fillId="0" borderId="33" xfId="2" applyFont="1" applyFill="1" applyBorder="1" applyAlignment="1">
      <alignment horizontal="center"/>
    </xf>
    <xf numFmtId="2" fontId="0" fillId="0" borderId="17" xfId="0" applyNumberFormat="1" applyFill="1" applyBorder="1"/>
    <xf numFmtId="2" fontId="0" fillId="0" borderId="19" xfId="0" applyNumberFormat="1" applyFill="1" applyBorder="1"/>
    <xf numFmtId="2" fontId="0" fillId="0" borderId="38" xfId="0" applyNumberFormat="1" applyFill="1" applyBorder="1" applyAlignment="1">
      <alignment horizontal="center" vertical="center"/>
    </xf>
    <xf numFmtId="2" fontId="0" fillId="0" borderId="41" xfId="0" applyNumberFormat="1" applyFill="1" applyBorder="1" applyAlignment="1">
      <alignment horizontal="center" vertical="center"/>
    </xf>
    <xf numFmtId="2" fontId="0" fillId="0" borderId="42" xfId="0" applyNumberForma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5" fillId="0" borderId="0" xfId="2" applyFont="1" applyFill="1"/>
    <xf numFmtId="0" fontId="15" fillId="0" borderId="33" xfId="2" applyFont="1" applyFill="1" applyBorder="1" applyAlignment="1">
      <alignment horizontal="center"/>
    </xf>
    <xf numFmtId="0" fontId="16" fillId="0" borderId="0" xfId="2" applyFont="1" applyFill="1" applyBorder="1" applyAlignment="1">
      <alignment horizontal="left"/>
    </xf>
    <xf numFmtId="2" fontId="9" fillId="0" borderId="47" xfId="2" applyNumberFormat="1" applyFont="1" applyFill="1" applyBorder="1"/>
    <xf numFmtId="0" fontId="5" fillId="0" borderId="0" xfId="2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8" fillId="0" borderId="29" xfId="2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39" xfId="0" applyFont="1" applyFill="1" applyBorder="1" applyAlignment="1">
      <alignment horizontal="center" vertical="center"/>
    </xf>
    <xf numFmtId="0" fontId="18" fillId="0" borderId="36" xfId="2" applyFont="1" applyFill="1" applyBorder="1" applyAlignment="1">
      <alignment horizontal="center" vertical="center" wrapText="1"/>
    </xf>
    <xf numFmtId="0" fontId="19" fillId="0" borderId="36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51" xfId="0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horizontal="center" vertical="center"/>
    </xf>
    <xf numFmtId="0" fontId="19" fillId="0" borderId="8" xfId="2" applyFont="1" applyFill="1" applyBorder="1" applyAlignment="1">
      <alignment horizontal="center" vertical="center" wrapText="1"/>
    </xf>
    <xf numFmtId="0" fontId="12" fillId="0" borderId="0" xfId="2" applyFont="1" applyFill="1" applyAlignment="1">
      <alignment horizontal="left"/>
    </xf>
    <xf numFmtId="0" fontId="5" fillId="0" borderId="0" xfId="2" applyFill="1" applyAlignment="1">
      <alignment horizontal="left"/>
    </xf>
    <xf numFmtId="0" fontId="10" fillId="0" borderId="0" xfId="2" applyFont="1" applyFill="1" applyAlignment="1"/>
    <xf numFmtId="0" fontId="10" fillId="0" borderId="0" xfId="2" applyFont="1" applyFill="1" applyAlignment="1">
      <alignment horizontal="center"/>
    </xf>
    <xf numFmtId="0" fontId="5" fillId="0" borderId="0" xfId="2" applyFill="1" applyAlignment="1"/>
    <xf numFmtId="0" fontId="10" fillId="0" borderId="0" xfId="2" applyFont="1" applyFill="1"/>
    <xf numFmtId="0" fontId="11" fillId="0" borderId="41" xfId="1" applyFont="1" applyFill="1" applyBorder="1" applyAlignment="1">
      <alignment horizontal="center" vertical="center" wrapText="1"/>
    </xf>
    <xf numFmtId="0" fontId="18" fillId="0" borderId="38" xfId="2" applyFont="1" applyFill="1" applyBorder="1" applyAlignment="1">
      <alignment horizontal="center" vertical="center" wrapText="1"/>
    </xf>
    <xf numFmtId="2" fontId="3" fillId="0" borderId="32" xfId="2" applyNumberFormat="1" applyFont="1" applyFill="1" applyBorder="1"/>
    <xf numFmtId="2" fontId="9" fillId="0" borderId="32" xfId="2" applyNumberFormat="1" applyFont="1" applyFill="1" applyBorder="1"/>
    <xf numFmtId="2" fontId="3" fillId="0" borderId="47" xfId="2" applyNumberFormat="1" applyFont="1" applyFill="1" applyBorder="1"/>
    <xf numFmtId="2" fontId="9" fillId="0" borderId="50" xfId="2" applyNumberFormat="1" applyFont="1" applyFill="1" applyBorder="1"/>
    <xf numFmtId="2" fontId="15" fillId="0" borderId="47" xfId="2" applyNumberFormat="1" applyFont="1" applyFill="1" applyBorder="1"/>
    <xf numFmtId="0" fontId="1" fillId="0" borderId="19" xfId="2" applyFont="1" applyFill="1" applyBorder="1" applyAlignment="1">
      <alignment horizontal="center"/>
    </xf>
    <xf numFmtId="0" fontId="5" fillId="0" borderId="0" xfId="2"/>
    <xf numFmtId="0" fontId="5" fillId="0" borderId="0" xfId="2" applyFill="1"/>
    <xf numFmtId="0" fontId="5" fillId="3" borderId="0" xfId="2" applyFill="1"/>
    <xf numFmtId="0" fontId="8" fillId="0" borderId="0" xfId="2" applyFont="1"/>
    <xf numFmtId="0" fontId="5" fillId="0" borderId="3" xfId="2" applyFill="1" applyBorder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0" fontId="5" fillId="4" borderId="0" xfId="2" applyFill="1"/>
    <xf numFmtId="20" fontId="1" fillId="0" borderId="20" xfId="2" applyNumberFormat="1" applyFont="1" applyFill="1" applyBorder="1" applyAlignment="1">
      <alignment horizontal="center"/>
    </xf>
    <xf numFmtId="20" fontId="0" fillId="0" borderId="45" xfId="2" applyNumberFormat="1" applyFont="1" applyFill="1" applyBorder="1" applyAlignment="1">
      <alignment horizontal="center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21" xfId="2" applyNumberFormat="1" applyFont="1" applyFill="1" applyBorder="1" applyAlignment="1">
      <alignment horizontal="center"/>
    </xf>
    <xf numFmtId="20" fontId="9" fillId="0" borderId="18" xfId="2" applyNumberFormat="1" applyFont="1" applyFill="1" applyBorder="1" applyAlignment="1">
      <alignment horizontal="right" vertical="center"/>
    </xf>
    <xf numFmtId="20" fontId="0" fillId="0" borderId="26" xfId="2" applyNumberFormat="1" applyFont="1" applyFill="1" applyBorder="1" applyAlignment="1">
      <alignment horizontal="left"/>
    </xf>
    <xf numFmtId="20" fontId="0" fillId="0" borderId="17" xfId="2" applyNumberFormat="1" applyFont="1" applyFill="1" applyBorder="1" applyAlignment="1">
      <alignment horizontal="left"/>
    </xf>
    <xf numFmtId="46" fontId="3" fillId="0" borderId="23" xfId="2" applyNumberFormat="1" applyFont="1" applyFill="1" applyBorder="1"/>
    <xf numFmtId="20" fontId="0" fillId="0" borderId="18" xfId="2" applyNumberFormat="1" applyFont="1" applyFill="1" applyBorder="1" applyAlignment="1">
      <alignment horizontal="left"/>
    </xf>
    <xf numFmtId="20" fontId="1" fillId="0" borderId="21" xfId="2" applyNumberFormat="1" applyFont="1" applyFill="1" applyBorder="1" applyAlignment="1">
      <alignment horizontal="center"/>
    </xf>
    <xf numFmtId="0" fontId="5" fillId="7" borderId="0" xfId="2" applyFill="1"/>
    <xf numFmtId="0" fontId="18" fillId="7" borderId="29" xfId="2" applyFont="1" applyFill="1" applyBorder="1" applyAlignment="1">
      <alignment horizontal="center" vertical="center" wrapText="1"/>
    </xf>
    <xf numFmtId="0" fontId="18" fillId="7" borderId="36" xfId="2" applyFont="1" applyFill="1" applyBorder="1" applyAlignment="1">
      <alignment horizontal="center" vertical="center" wrapText="1"/>
    </xf>
    <xf numFmtId="0" fontId="5" fillId="8" borderId="0" xfId="2" applyFill="1"/>
    <xf numFmtId="0" fontId="11" fillId="7" borderId="37" xfId="1" applyFont="1" applyFill="1" applyBorder="1" applyAlignment="1">
      <alignment horizontal="center" vertical="center" wrapText="1"/>
    </xf>
    <xf numFmtId="0" fontId="18" fillId="7" borderId="42" xfId="2" applyFont="1" applyFill="1" applyBorder="1" applyAlignment="1">
      <alignment horizontal="center" vertical="center" wrapText="1"/>
    </xf>
    <xf numFmtId="0" fontId="5" fillId="9" borderId="0" xfId="2" applyFill="1"/>
    <xf numFmtId="0" fontId="19" fillId="9" borderId="36" xfId="0" applyFont="1" applyFill="1" applyBorder="1" applyAlignment="1">
      <alignment horizontal="center" vertical="center" wrapText="1"/>
    </xf>
    <xf numFmtId="20" fontId="18" fillId="3" borderId="26" xfId="2" applyNumberFormat="1" applyFont="1" applyFill="1" applyBorder="1" applyAlignment="1">
      <alignment horizontal="center" vertical="center" wrapText="1"/>
    </xf>
    <xf numFmtId="0" fontId="19" fillId="3" borderId="2" xfId="2" applyFont="1" applyFill="1" applyBorder="1" applyAlignment="1">
      <alignment horizontal="center" vertical="center" wrapText="1"/>
    </xf>
    <xf numFmtId="0" fontId="19" fillId="7" borderId="4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9" fillId="7" borderId="57" xfId="0" applyFont="1" applyFill="1" applyBorder="1" applyAlignment="1">
      <alignment horizontal="center" vertical="center" wrapText="1"/>
    </xf>
    <xf numFmtId="0" fontId="20" fillId="0" borderId="0" xfId="2" applyFont="1" applyBorder="1" applyAlignment="1">
      <alignment horizontal="center"/>
    </xf>
    <xf numFmtId="0" fontId="10" fillId="0" borderId="0" xfId="2" applyFont="1" applyFill="1"/>
    <xf numFmtId="0" fontId="8" fillId="0" borderId="0" xfId="2" applyFont="1" applyAlignment="1">
      <alignment horizontal="center"/>
    </xf>
    <xf numFmtId="0" fontId="21" fillId="0" borderId="0" xfId="2" applyFont="1" applyBorder="1" applyAlignment="1"/>
    <xf numFmtId="0" fontId="20" fillId="0" borderId="0" xfId="2" applyFont="1" applyBorder="1" applyAlignment="1"/>
    <xf numFmtId="20" fontId="0" fillId="0" borderId="16" xfId="2" applyNumberFormat="1" applyFont="1" applyFill="1" applyBorder="1" applyAlignment="1">
      <alignment horizontal="center"/>
    </xf>
    <xf numFmtId="20" fontId="0" fillId="0" borderId="20" xfId="2" applyNumberFormat="1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20" fontId="1" fillId="0" borderId="20" xfId="2" applyNumberFormat="1" applyFont="1" applyFill="1" applyBorder="1" applyAlignment="1">
      <alignment horizontal="center"/>
    </xf>
    <xf numFmtId="20" fontId="0" fillId="0" borderId="45" xfId="2" applyNumberFormat="1" applyFont="1" applyFill="1" applyBorder="1" applyAlignment="1">
      <alignment horizontal="center"/>
    </xf>
    <xf numFmtId="20" fontId="0" fillId="0" borderId="21" xfId="2" applyNumberFormat="1" applyFont="1" applyFill="1" applyBorder="1" applyAlignment="1">
      <alignment horizontal="center"/>
    </xf>
    <xf numFmtId="0" fontId="9" fillId="0" borderId="15" xfId="2" applyFont="1" applyFill="1" applyBorder="1" applyAlignment="1">
      <alignment horizontal="center" vertical="center"/>
    </xf>
    <xf numFmtId="0" fontId="15" fillId="0" borderId="19" xfId="2" applyFont="1" applyFill="1" applyBorder="1" applyAlignment="1">
      <alignment horizontal="center" vertical="center"/>
    </xf>
    <xf numFmtId="0" fontId="9" fillId="0" borderId="19" xfId="2" applyFont="1" applyFill="1" applyBorder="1" applyAlignment="1">
      <alignment horizontal="center" vertical="center"/>
    </xf>
    <xf numFmtId="0" fontId="10" fillId="0" borderId="30" xfId="2" applyFont="1" applyFill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0" fillId="0" borderId="46" xfId="2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0" fillId="0" borderId="34" xfId="2" applyFont="1" applyBorder="1" applyAlignment="1">
      <alignment horizontal="center" vertical="center"/>
    </xf>
    <xf numFmtId="0" fontId="0" fillId="0" borderId="19" xfId="2" applyFont="1" applyBorder="1" applyAlignment="1">
      <alignment horizontal="center" vertical="center"/>
    </xf>
    <xf numFmtId="0" fontId="0" fillId="10" borderId="43" xfId="2" applyFont="1" applyFill="1" applyBorder="1" applyAlignment="1">
      <alignment horizontal="center" vertical="center"/>
    </xf>
    <xf numFmtId="0" fontId="0" fillId="0" borderId="43" xfId="2" applyFont="1" applyBorder="1" applyAlignment="1">
      <alignment horizontal="center" vertical="center"/>
    </xf>
    <xf numFmtId="0" fontId="0" fillId="10" borderId="34" xfId="2" applyFont="1" applyFill="1" applyBorder="1" applyAlignment="1">
      <alignment horizontal="center" vertical="center"/>
    </xf>
    <xf numFmtId="0" fontId="0" fillId="11" borderId="43" xfId="2" applyFont="1" applyFill="1" applyBorder="1" applyAlignment="1">
      <alignment horizontal="center" vertical="center"/>
    </xf>
    <xf numFmtId="0" fontId="0" fillId="11" borderId="34" xfId="2" applyFont="1" applyFill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0" fillId="0" borderId="44" xfId="2" applyFont="1" applyBorder="1" applyAlignment="1">
      <alignment horizontal="center" vertical="center"/>
    </xf>
    <xf numFmtId="0" fontId="0" fillId="0" borderId="22" xfId="2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/>
    </xf>
    <xf numFmtId="12" fontId="0" fillId="0" borderId="3" xfId="2" applyNumberFormat="1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5" fillId="0" borderId="31" xfId="2" applyBorder="1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17" xfId="2" applyBorder="1" applyAlignment="1">
      <alignment horizontal="center" vertical="center"/>
    </xf>
    <xf numFmtId="0" fontId="5" fillId="0" borderId="35" xfId="2" applyBorder="1" applyAlignment="1">
      <alignment horizontal="center" vertical="center"/>
    </xf>
    <xf numFmtId="0" fontId="5" fillId="0" borderId="36" xfId="2" applyBorder="1" applyAlignment="1">
      <alignment horizontal="center" vertical="center"/>
    </xf>
    <xf numFmtId="0" fontId="5" fillId="0" borderId="23" xfId="2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1" fillId="0" borderId="33" xfId="2" applyFont="1" applyBorder="1" applyAlignment="1">
      <alignment horizontal="center" vertical="center"/>
    </xf>
    <xf numFmtId="0" fontId="9" fillId="0" borderId="20" xfId="2" applyFont="1" applyFill="1" applyBorder="1" applyAlignment="1">
      <alignment vertical="center" wrapText="1"/>
    </xf>
    <xf numFmtId="0" fontId="10" fillId="0" borderId="0" xfId="2" applyFont="1" applyFill="1" applyAlignment="1">
      <alignment wrapText="1"/>
    </xf>
    <xf numFmtId="0" fontId="5" fillId="0" borderId="0" xfId="2" applyFill="1" applyAlignment="1">
      <alignment wrapText="1"/>
    </xf>
    <xf numFmtId="43" fontId="0" fillId="0" borderId="15" xfId="4" quotePrefix="1" applyFont="1" applyBorder="1"/>
    <xf numFmtId="43" fontId="0" fillId="0" borderId="22" xfId="4" quotePrefix="1" applyFont="1" applyBorder="1"/>
    <xf numFmtId="2" fontId="9" fillId="0" borderId="20" xfId="2" applyNumberFormat="1" applyFont="1" applyFill="1" applyBorder="1"/>
    <xf numFmtId="0" fontId="1" fillId="0" borderId="31" xfId="2" applyFont="1" applyBorder="1" applyAlignment="1">
      <alignment horizontal="center" vertical="center"/>
    </xf>
    <xf numFmtId="0" fontId="1" fillId="0" borderId="35" xfId="2" applyFont="1" applyBorder="1" applyAlignment="1">
      <alignment horizontal="center" vertical="center"/>
    </xf>
    <xf numFmtId="0" fontId="1" fillId="0" borderId="39" xfId="2" applyFont="1" applyBorder="1" applyAlignment="1">
      <alignment horizontal="center" vertical="center"/>
    </xf>
    <xf numFmtId="0" fontId="19" fillId="7" borderId="61" xfId="0" applyFont="1" applyFill="1" applyBorder="1" applyAlignment="1">
      <alignment horizontal="center" vertical="center" wrapText="1"/>
    </xf>
    <xf numFmtId="0" fontId="19" fillId="0" borderId="61" xfId="0" applyFont="1" applyFill="1" applyBorder="1" applyAlignment="1">
      <alignment horizontal="center" vertical="center" wrapText="1"/>
    </xf>
    <xf numFmtId="0" fontId="1" fillId="0" borderId="16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59" xfId="2" applyFont="1" applyBorder="1" applyAlignment="1">
      <alignment horizontal="center" vertical="center"/>
    </xf>
    <xf numFmtId="2" fontId="9" fillId="0" borderId="39" xfId="2" applyNumberFormat="1" applyFont="1" applyFill="1" applyBorder="1"/>
    <xf numFmtId="2" fontId="15" fillId="0" borderId="31" xfId="2" applyNumberFormat="1" applyFont="1" applyFill="1" applyBorder="1"/>
    <xf numFmtId="2" fontId="9" fillId="0" borderId="31" xfId="2" applyNumberFormat="1" applyFont="1" applyFill="1" applyBorder="1"/>
    <xf numFmtId="2" fontId="0" fillId="0" borderId="31" xfId="0" applyNumberFormat="1" applyFill="1" applyBorder="1"/>
    <xf numFmtId="0" fontId="5" fillId="0" borderId="31" xfId="2" applyFill="1" applyBorder="1"/>
    <xf numFmtId="2" fontId="9" fillId="0" borderId="35" xfId="2" applyNumberFormat="1" applyFont="1" applyFill="1" applyBorder="1"/>
    <xf numFmtId="164" fontId="0" fillId="0" borderId="3" xfId="0" applyNumberFormat="1" applyFill="1" applyBorder="1"/>
    <xf numFmtId="164" fontId="0" fillId="0" borderId="36" xfId="0" applyNumberFormat="1" applyFill="1" applyBorder="1"/>
    <xf numFmtId="2" fontId="0" fillId="0" borderId="36" xfId="0" applyNumberFormat="1" applyFill="1" applyBorder="1"/>
    <xf numFmtId="164" fontId="0" fillId="0" borderId="7" xfId="0" applyNumberFormat="1" applyFill="1" applyBorder="1"/>
    <xf numFmtId="2" fontId="0" fillId="0" borderId="7" xfId="0" applyNumberFormat="1" applyFill="1" applyBorder="1"/>
    <xf numFmtId="164" fontId="0" fillId="0" borderId="17" xfId="0" applyNumberFormat="1" applyFill="1" applyBorder="1"/>
    <xf numFmtId="164" fontId="0" fillId="0" borderId="23" xfId="0" applyNumberFormat="1" applyFill="1" applyBorder="1"/>
    <xf numFmtId="0" fontId="19" fillId="3" borderId="62" xfId="0" applyFont="1" applyFill="1" applyBorder="1" applyAlignment="1">
      <alignment horizontal="center" vertical="center" wrapText="1"/>
    </xf>
    <xf numFmtId="164" fontId="0" fillId="0" borderId="18" xfId="0" applyNumberFormat="1" applyFill="1" applyBorder="1"/>
    <xf numFmtId="43" fontId="0" fillId="0" borderId="19" xfId="4" quotePrefix="1" applyFont="1" applyBorder="1"/>
    <xf numFmtId="0" fontId="19" fillId="7" borderId="8" xfId="0" applyFont="1" applyFill="1" applyBorder="1" applyAlignment="1">
      <alignment horizontal="center" vertical="center"/>
    </xf>
    <xf numFmtId="164" fontId="0" fillId="0" borderId="8" xfId="0" applyNumberFormat="1" applyFill="1" applyBorder="1"/>
    <xf numFmtId="2" fontId="9" fillId="0" borderId="22" xfId="2" applyNumberFormat="1" applyFont="1" applyFill="1" applyBorder="1"/>
    <xf numFmtId="2" fontId="9" fillId="0" borderId="59" xfId="2" applyNumberFormat="1" applyFont="1" applyFill="1" applyBorder="1"/>
    <xf numFmtId="0" fontId="1" fillId="0" borderId="3" xfId="2" applyFont="1" applyFill="1" applyBorder="1" applyAlignment="1">
      <alignment horizontal="center"/>
    </xf>
    <xf numFmtId="0" fontId="19" fillId="7" borderId="29" xfId="2" applyFont="1" applyFill="1" applyBorder="1" applyAlignment="1">
      <alignment horizontal="center" vertical="center" wrapText="1"/>
    </xf>
    <xf numFmtId="0" fontId="1" fillId="0" borderId="36" xfId="2" applyFont="1" applyFill="1" applyBorder="1" applyAlignment="1">
      <alignment horizontal="center"/>
    </xf>
    <xf numFmtId="0" fontId="5" fillId="0" borderId="36" xfId="2" applyFill="1" applyBorder="1"/>
    <xf numFmtId="0" fontId="5" fillId="0" borderId="23" xfId="2" applyFill="1" applyBorder="1"/>
    <xf numFmtId="0" fontId="1" fillId="0" borderId="7" xfId="2" applyFont="1" applyFill="1" applyBorder="1" applyAlignment="1">
      <alignment horizontal="center"/>
    </xf>
    <xf numFmtId="0" fontId="19" fillId="7" borderId="36" xfId="2" applyFont="1" applyFill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/>
    </xf>
    <xf numFmtId="0" fontId="1" fillId="0" borderId="23" xfId="2" applyFont="1" applyFill="1" applyBorder="1" applyAlignment="1">
      <alignment horizontal="center"/>
    </xf>
    <xf numFmtId="0" fontId="1" fillId="0" borderId="22" xfId="2" applyFont="1" applyFill="1" applyBorder="1" applyAlignment="1">
      <alignment horizontal="center"/>
    </xf>
    <xf numFmtId="0" fontId="1" fillId="0" borderId="51" xfId="2" applyFont="1" applyFill="1" applyBorder="1" applyAlignment="1">
      <alignment horizontal="center"/>
    </xf>
    <xf numFmtId="0" fontId="1" fillId="0" borderId="51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12" borderId="33" xfId="2" applyFont="1" applyFill="1" applyBorder="1" applyAlignment="1">
      <alignment horizontal="center"/>
    </xf>
    <xf numFmtId="0" fontId="15" fillId="12" borderId="33" xfId="2" applyFont="1" applyFill="1" applyBorder="1" applyAlignment="1">
      <alignment horizontal="center"/>
    </xf>
    <xf numFmtId="0" fontId="1" fillId="12" borderId="40" xfId="2" applyFont="1" applyFill="1" applyBorder="1" applyAlignment="1">
      <alignment horizontal="center"/>
    </xf>
    <xf numFmtId="0" fontId="0" fillId="12" borderId="33" xfId="2" applyFont="1" applyFill="1" applyBorder="1" applyAlignment="1">
      <alignment horizontal="center"/>
    </xf>
    <xf numFmtId="0" fontId="5" fillId="12" borderId="0" xfId="2" applyFill="1" applyBorder="1"/>
    <xf numFmtId="0" fontId="1" fillId="12" borderId="51" xfId="2" applyFont="1" applyFill="1" applyBorder="1" applyAlignment="1">
      <alignment horizontal="center"/>
    </xf>
    <xf numFmtId="0" fontId="0" fillId="4" borderId="34" xfId="2" applyFont="1" applyFill="1" applyBorder="1" applyAlignment="1">
      <alignment horizontal="center" vertical="center"/>
    </xf>
    <xf numFmtId="0" fontId="9" fillId="4" borderId="20" xfId="2" applyFont="1" applyFill="1" applyBorder="1" applyAlignment="1">
      <alignment vertical="center" wrapText="1"/>
    </xf>
    <xf numFmtId="0" fontId="9" fillId="0" borderId="20" xfId="2" applyFont="1" applyBorder="1" applyAlignment="1">
      <alignment vertical="center" wrapText="1"/>
    </xf>
    <xf numFmtId="0" fontId="0" fillId="4" borderId="43" xfId="2" applyFont="1" applyFill="1" applyBorder="1" applyAlignment="1">
      <alignment horizontal="center" vertical="center"/>
    </xf>
    <xf numFmtId="0" fontId="0" fillId="4" borderId="19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9" fillId="4" borderId="19" xfId="2" applyFont="1" applyFill="1" applyBorder="1" applyAlignment="1">
      <alignment horizontal="center" vertical="center"/>
    </xf>
    <xf numFmtId="0" fontId="0" fillId="4" borderId="3" xfId="2" applyFont="1" applyFill="1" applyBorder="1" applyAlignment="1">
      <alignment horizontal="center" vertical="center"/>
    </xf>
    <xf numFmtId="0" fontId="9" fillId="4" borderId="3" xfId="2" applyFont="1" applyFill="1" applyBorder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/>
    </xf>
    <xf numFmtId="0" fontId="9" fillId="4" borderId="7" xfId="2" applyFont="1" applyFill="1" applyBorder="1" applyAlignment="1">
      <alignment horizontal="center" vertical="center"/>
    </xf>
    <xf numFmtId="0" fontId="9" fillId="4" borderId="17" xfId="2" applyFont="1" applyFill="1" applyBorder="1" applyAlignment="1">
      <alignment horizontal="center" vertical="center"/>
    </xf>
    <xf numFmtId="2" fontId="9" fillId="4" borderId="19" xfId="2" applyNumberFormat="1" applyFont="1" applyFill="1" applyBorder="1"/>
    <xf numFmtId="2" fontId="9" fillId="4" borderId="47" xfId="2" applyNumberFormat="1" applyFont="1" applyFill="1" applyBorder="1"/>
    <xf numFmtId="20" fontId="0" fillId="4" borderId="16" xfId="2" applyNumberFormat="1" applyFont="1" applyFill="1" applyBorder="1" applyAlignment="1">
      <alignment horizontal="center"/>
    </xf>
    <xf numFmtId="20" fontId="0" fillId="4" borderId="17" xfId="2" applyNumberFormat="1" applyFont="1" applyFill="1" applyBorder="1" applyAlignment="1">
      <alignment horizontal="left"/>
    </xf>
    <xf numFmtId="2" fontId="0" fillId="4" borderId="19" xfId="0" applyNumberFormat="1" applyFill="1" applyBorder="1"/>
    <xf numFmtId="2" fontId="0" fillId="4" borderId="3" xfId="0" applyNumberFormat="1" applyFill="1" applyBorder="1"/>
    <xf numFmtId="2" fontId="0" fillId="4" borderId="17" xfId="0" applyNumberFormat="1" applyFill="1" applyBorder="1"/>
    <xf numFmtId="0" fontId="5" fillId="4" borderId="31" xfId="2" applyFill="1" applyBorder="1" applyAlignment="1">
      <alignment horizontal="center" vertical="center"/>
    </xf>
    <xf numFmtId="0" fontId="5" fillId="4" borderId="3" xfId="2" applyFill="1" applyBorder="1" applyAlignment="1">
      <alignment horizontal="center" vertical="center"/>
    </xf>
    <xf numFmtId="0" fontId="5" fillId="4" borderId="17" xfId="2" applyFill="1" applyBorder="1" applyAlignment="1">
      <alignment horizontal="center" vertical="center"/>
    </xf>
    <xf numFmtId="2" fontId="9" fillId="4" borderId="20" xfId="2" applyNumberFormat="1" applyFont="1" applyFill="1" applyBorder="1"/>
    <xf numFmtId="0" fontId="1" fillId="4" borderId="20" xfId="2" applyFont="1" applyFill="1" applyBorder="1" applyAlignment="1">
      <alignment horizontal="center" vertical="center"/>
    </xf>
    <xf numFmtId="2" fontId="9" fillId="4" borderId="31" xfId="2" applyNumberFormat="1" applyFont="1" applyFill="1" applyBorder="1"/>
    <xf numFmtId="164" fontId="0" fillId="4" borderId="3" xfId="0" applyNumberFormat="1" applyFill="1" applyBorder="1"/>
    <xf numFmtId="164" fontId="0" fillId="4" borderId="17" xfId="0" applyNumberFormat="1" applyFill="1" applyBorder="1"/>
    <xf numFmtId="0" fontId="5" fillId="4" borderId="0" xfId="2" applyFill="1" applyBorder="1"/>
    <xf numFmtId="43" fontId="0" fillId="4" borderId="19" xfId="4" quotePrefix="1" applyFont="1" applyFill="1" applyBorder="1"/>
    <xf numFmtId="0" fontId="1" fillId="4" borderId="19" xfId="2" applyFont="1" applyFill="1" applyBorder="1" applyAlignment="1">
      <alignment horizontal="center"/>
    </xf>
    <xf numFmtId="0" fontId="1" fillId="4" borderId="21" xfId="2" applyFont="1" applyFill="1" applyBorder="1" applyAlignment="1">
      <alignment horizontal="center" vertical="center"/>
    </xf>
    <xf numFmtId="0" fontId="1" fillId="4" borderId="17" xfId="2" applyFont="1" applyFill="1" applyBorder="1" applyAlignment="1">
      <alignment horizontal="center"/>
    </xf>
    <xf numFmtId="0" fontId="1" fillId="4" borderId="33" xfId="2" applyFont="1" applyFill="1" applyBorder="1" applyAlignment="1">
      <alignment horizontal="center"/>
    </xf>
    <xf numFmtId="0" fontId="1" fillId="4" borderId="33" xfId="2" applyFont="1" applyFill="1" applyBorder="1" applyAlignment="1">
      <alignment horizontal="center" vertical="center"/>
    </xf>
    <xf numFmtId="0" fontId="1" fillId="4" borderId="17" xfId="2" applyFont="1" applyFill="1" applyBorder="1" applyAlignment="1">
      <alignment horizontal="center" vertical="center"/>
    </xf>
    <xf numFmtId="0" fontId="1" fillId="4" borderId="31" xfId="2" applyFont="1" applyFill="1" applyBorder="1" applyAlignment="1">
      <alignment horizontal="center" vertical="center"/>
    </xf>
    <xf numFmtId="0" fontId="1" fillId="4" borderId="3" xfId="2" applyFont="1" applyFill="1" applyBorder="1" applyAlignment="1">
      <alignment horizontal="center"/>
    </xf>
    <xf numFmtId="0" fontId="5" fillId="4" borderId="3" xfId="2" applyFill="1" applyBorder="1"/>
    <xf numFmtId="0" fontId="5" fillId="4" borderId="17" xfId="2" applyFill="1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19" fillId="0" borderId="24" xfId="2" applyFont="1" applyBorder="1" applyAlignment="1">
      <alignment horizontal="center" vertical="center"/>
    </xf>
    <xf numFmtId="0" fontId="19" fillId="0" borderId="27" xfId="2" applyFont="1" applyBorder="1" applyAlignment="1">
      <alignment horizontal="center" vertical="center"/>
    </xf>
    <xf numFmtId="0" fontId="19" fillId="0" borderId="28" xfId="2" applyFont="1" applyBorder="1" applyAlignment="1">
      <alignment horizontal="center" vertical="center"/>
    </xf>
    <xf numFmtId="0" fontId="18" fillId="0" borderId="24" xfId="2" applyFont="1" applyFill="1" applyBorder="1" applyAlignment="1">
      <alignment horizontal="center" vertical="center" wrapText="1"/>
    </xf>
    <xf numFmtId="0" fontId="18" fillId="0" borderId="27" xfId="2" applyFont="1" applyFill="1" applyBorder="1" applyAlignment="1">
      <alignment horizontal="center" vertical="center" wrapText="1"/>
    </xf>
    <xf numFmtId="0" fontId="18" fillId="0" borderId="28" xfId="2" applyFont="1" applyFill="1" applyBorder="1" applyAlignment="1">
      <alignment horizontal="center" vertical="center" wrapText="1"/>
    </xf>
    <xf numFmtId="0" fontId="18" fillId="0" borderId="13" xfId="2" applyFont="1" applyFill="1" applyBorder="1" applyAlignment="1">
      <alignment horizontal="center" vertical="center" wrapText="1"/>
    </xf>
    <xf numFmtId="0" fontId="18" fillId="0" borderId="1" xfId="2" applyFont="1" applyFill="1" applyBorder="1" applyAlignment="1">
      <alignment horizontal="center" vertical="center" wrapText="1"/>
    </xf>
    <xf numFmtId="0" fontId="18" fillId="0" borderId="48" xfId="2" applyFont="1" applyFill="1" applyBorder="1" applyAlignment="1">
      <alignment horizontal="center" vertical="center" wrapText="1"/>
    </xf>
    <xf numFmtId="0" fontId="18" fillId="0" borderId="9" xfId="1" applyFont="1" applyFill="1" applyBorder="1" applyAlignment="1">
      <alignment horizontal="center" vertical="center" wrapText="1"/>
    </xf>
    <xf numFmtId="0" fontId="18" fillId="0" borderId="12" xfId="1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0" borderId="27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0" fontId="19" fillId="8" borderId="12" xfId="0" applyFont="1" applyFill="1" applyBorder="1" applyAlignment="1">
      <alignment horizontal="center" vertical="center" wrapText="1"/>
    </xf>
    <xf numFmtId="0" fontId="19" fillId="0" borderId="5" xfId="2" applyFont="1" applyFill="1" applyBorder="1" applyAlignment="1">
      <alignment horizontal="center" vertical="center"/>
    </xf>
    <xf numFmtId="0" fontId="19" fillId="0" borderId="6" xfId="2" applyFont="1" applyFill="1" applyBorder="1" applyAlignment="1">
      <alignment horizontal="center" vertical="center"/>
    </xf>
    <xf numFmtId="0" fontId="19" fillId="0" borderId="11" xfId="2" applyFont="1" applyFill="1" applyBorder="1" applyAlignment="1">
      <alignment horizontal="center" vertical="center"/>
    </xf>
    <xf numFmtId="0" fontId="18" fillId="0" borderId="58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 wrapText="1"/>
    </xf>
    <xf numFmtId="0" fontId="19" fillId="0" borderId="55" xfId="2" applyFont="1" applyFill="1" applyBorder="1" applyAlignment="1">
      <alignment horizontal="center" vertical="center" wrapText="1"/>
    </xf>
    <xf numFmtId="0" fontId="19" fillId="0" borderId="37" xfId="2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1" fillId="0" borderId="45" xfId="1" applyFont="1" applyFill="1" applyBorder="1" applyAlignment="1">
      <alignment horizontal="center" vertical="center" wrapText="1"/>
    </xf>
    <xf numFmtId="0" fontId="11" fillId="0" borderId="46" xfId="1" applyFont="1" applyFill="1" applyBorder="1" applyAlignment="1">
      <alignment horizontal="center" vertical="center" wrapText="1"/>
    </xf>
    <xf numFmtId="0" fontId="18" fillId="0" borderId="56" xfId="2" applyFont="1" applyFill="1" applyBorder="1" applyAlignment="1">
      <alignment horizontal="center" vertical="center" wrapText="1"/>
    </xf>
    <xf numFmtId="0" fontId="18" fillId="0" borderId="54" xfId="2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 wrapText="1"/>
    </xf>
    <xf numFmtId="0" fontId="18" fillId="0" borderId="27" xfId="1" applyFont="1" applyFill="1" applyBorder="1" applyAlignment="1">
      <alignment horizontal="center" vertical="center" wrapText="1"/>
    </xf>
    <xf numFmtId="0" fontId="18" fillId="0" borderId="28" xfId="1" applyFont="1" applyFill="1" applyBorder="1" applyAlignment="1">
      <alignment horizontal="center" vertical="center" wrapText="1"/>
    </xf>
    <xf numFmtId="0" fontId="18" fillId="0" borderId="5" xfId="1" applyFont="1" applyFill="1" applyBorder="1" applyAlignment="1">
      <alignment horizontal="center" vertical="center"/>
    </xf>
    <xf numFmtId="0" fontId="18" fillId="0" borderId="6" xfId="1" applyFont="1" applyFill="1" applyBorder="1" applyAlignment="1">
      <alignment horizontal="center" vertical="center"/>
    </xf>
    <xf numFmtId="0" fontId="18" fillId="0" borderId="11" xfId="1" applyFont="1" applyFill="1" applyBorder="1" applyAlignment="1">
      <alignment horizontal="center" vertical="center"/>
    </xf>
    <xf numFmtId="0" fontId="18" fillId="0" borderId="42" xfId="1" applyFont="1" applyFill="1" applyBorder="1" applyAlignment="1">
      <alignment horizontal="center" vertical="center" wrapText="1"/>
    </xf>
    <xf numFmtId="0" fontId="18" fillId="0" borderId="38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0" borderId="55" xfId="1" applyFont="1" applyFill="1" applyBorder="1" applyAlignment="1">
      <alignment horizontal="center" vertical="center" wrapText="1"/>
    </xf>
    <xf numFmtId="0" fontId="18" fillId="0" borderId="37" xfId="1" applyFont="1" applyFill="1" applyBorder="1" applyAlignment="1">
      <alignment horizontal="center" vertical="center" wrapText="1"/>
    </xf>
    <xf numFmtId="0" fontId="19" fillId="3" borderId="9" xfId="2" applyFont="1" applyFill="1" applyBorder="1" applyAlignment="1">
      <alignment horizontal="center" vertical="center"/>
    </xf>
    <xf numFmtId="0" fontId="19" fillId="3" borderId="12" xfId="2" applyFont="1" applyFill="1" applyBorder="1" applyAlignment="1">
      <alignment horizontal="center" vertical="center"/>
    </xf>
    <xf numFmtId="0" fontId="19" fillId="0" borderId="57" xfId="2" applyFont="1" applyFill="1" applyBorder="1" applyAlignment="1">
      <alignment horizontal="center" vertical="center" wrapText="1"/>
    </xf>
    <xf numFmtId="0" fontId="19" fillId="0" borderId="52" xfId="2" applyFont="1" applyFill="1" applyBorder="1" applyAlignment="1">
      <alignment horizontal="center" vertical="center" wrapText="1"/>
    </xf>
    <xf numFmtId="0" fontId="19" fillId="0" borderId="25" xfId="2" applyFont="1" applyFill="1" applyBorder="1" applyAlignment="1">
      <alignment horizontal="center" vertical="center" wrapText="1"/>
    </xf>
    <xf numFmtId="0" fontId="19" fillId="3" borderId="45" xfId="0" applyFont="1" applyFill="1" applyBorder="1" applyAlignment="1">
      <alignment horizontal="center" vertical="center" wrapText="1"/>
    </xf>
    <xf numFmtId="0" fontId="19" fillId="3" borderId="59" xfId="0" applyFont="1" applyFill="1" applyBorder="1" applyAlignment="1">
      <alignment horizontal="center" vertical="center" wrapText="1"/>
    </xf>
    <xf numFmtId="0" fontId="18" fillId="0" borderId="45" xfId="1" applyFont="1" applyFill="1" applyBorder="1" applyAlignment="1">
      <alignment horizontal="center" vertical="center" wrapText="1"/>
    </xf>
    <xf numFmtId="0" fontId="18" fillId="0" borderId="59" xfId="1" applyFont="1" applyFill="1" applyBorder="1" applyAlignment="1">
      <alignment horizontal="center" vertical="center" wrapText="1"/>
    </xf>
    <xf numFmtId="0" fontId="18" fillId="0" borderId="52" xfId="1" applyFont="1" applyFill="1" applyBorder="1" applyAlignment="1">
      <alignment horizontal="center" vertical="center" wrapText="1"/>
    </xf>
    <xf numFmtId="0" fontId="18" fillId="9" borderId="25" xfId="1" applyFont="1" applyFill="1" applyBorder="1" applyAlignment="1">
      <alignment horizontal="center" vertical="center" wrapText="1"/>
    </xf>
    <xf numFmtId="0" fontId="18" fillId="9" borderId="41" xfId="1" applyFont="1" applyFill="1" applyBorder="1" applyAlignment="1">
      <alignment horizontal="center" vertical="center" wrapText="1"/>
    </xf>
    <xf numFmtId="0" fontId="19" fillId="9" borderId="26" xfId="0" applyFont="1" applyFill="1" applyBorder="1" applyAlignment="1">
      <alignment horizontal="center" vertical="center" wrapText="1"/>
    </xf>
    <xf numFmtId="0" fontId="19" fillId="9" borderId="23" xfId="0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center" vertical="center" wrapText="1"/>
    </xf>
    <xf numFmtId="0" fontId="18" fillId="9" borderId="52" xfId="1" applyFont="1" applyFill="1" applyBorder="1" applyAlignment="1">
      <alignment horizontal="center" vertical="center" wrapText="1"/>
    </xf>
    <xf numFmtId="0" fontId="18" fillId="9" borderId="38" xfId="1" applyFont="1" applyFill="1" applyBorder="1" applyAlignment="1">
      <alignment horizontal="center" vertical="center" wrapText="1"/>
    </xf>
    <xf numFmtId="0" fontId="18" fillId="3" borderId="9" xfId="1" applyFont="1" applyFill="1" applyBorder="1" applyAlignment="1">
      <alignment horizontal="center" vertical="center" wrapText="1"/>
    </xf>
    <xf numFmtId="0" fontId="18" fillId="3" borderId="12" xfId="1" applyFont="1" applyFill="1" applyBorder="1" applyAlignment="1">
      <alignment horizontal="center" vertical="center" wrapText="1"/>
    </xf>
    <xf numFmtId="0" fontId="19" fillId="0" borderId="60" xfId="2" applyFont="1" applyFill="1" applyBorder="1" applyAlignment="1">
      <alignment horizontal="center" vertical="center" wrapText="1"/>
    </xf>
    <xf numFmtId="0" fontId="19" fillId="0" borderId="35" xfId="2" applyFont="1" applyFill="1" applyBorder="1" applyAlignment="1">
      <alignment horizontal="center" vertical="center" wrapText="1"/>
    </xf>
    <xf numFmtId="0" fontId="18" fillId="0" borderId="25" xfId="1" applyFont="1" applyFill="1" applyBorder="1" applyAlignment="1">
      <alignment horizontal="center" vertical="center" wrapText="1"/>
    </xf>
    <xf numFmtId="0" fontId="18" fillId="12" borderId="52" xfId="1" applyFont="1" applyFill="1" applyBorder="1" applyAlignment="1">
      <alignment horizontal="center" vertical="center" wrapText="1"/>
    </xf>
    <xf numFmtId="0" fontId="18" fillId="12" borderId="38" xfId="1" applyFont="1" applyFill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30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11" fillId="0" borderId="30" xfId="2" applyFont="1" applyFill="1" applyBorder="1" applyAlignment="1">
      <alignment horizontal="center" vertical="center" wrapText="1"/>
    </xf>
    <xf numFmtId="0" fontId="11" fillId="0" borderId="12" xfId="2" applyFont="1" applyFill="1" applyBorder="1" applyAlignment="1">
      <alignment horizontal="center" vertical="center" wrapText="1"/>
    </xf>
    <xf numFmtId="0" fontId="18" fillId="7" borderId="9" xfId="2" applyFont="1" applyFill="1" applyBorder="1" applyAlignment="1">
      <alignment horizontal="center" vertical="center" wrapText="1"/>
    </xf>
    <xf numFmtId="0" fontId="18" fillId="7" borderId="12" xfId="2" applyFont="1" applyFill="1" applyBorder="1" applyAlignment="1">
      <alignment horizontal="center" vertical="center" wrapText="1"/>
    </xf>
  </cellXfs>
  <cellStyles count="5">
    <cellStyle name="Comma" xfId="4" builtinId="3"/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A%20PENELITIAN/ANDRI/Kalkulasi/Kalkulasi%20Emosi/Kal.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wal Terencana"/>
      <sheetName val="Data Emosi"/>
      <sheetName val="Daftar Efek"/>
      <sheetName val="Kal.E"/>
      <sheetName val="Kal.E (2)"/>
      <sheetName val="CCE"/>
    </sheetNames>
    <sheetDataSet>
      <sheetData sheetId="0"/>
      <sheetData sheetId="1"/>
      <sheetData sheetId="2"/>
      <sheetData sheetId="3">
        <row r="7">
          <cell r="L7">
            <v>1.0617000000000001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zoomScale="130" zoomScaleNormal="130" workbookViewId="0">
      <selection activeCell="E4" sqref="E4"/>
    </sheetView>
  </sheetViews>
  <sheetFormatPr defaultRowHeight="15" x14ac:dyDescent="0.25"/>
  <cols>
    <col min="1" max="2" width="9.140625" style="11"/>
    <col min="3" max="3" width="7.140625" style="11" bestFit="1" customWidth="1"/>
    <col min="4" max="4" width="8.7109375" style="11" bestFit="1" customWidth="1"/>
    <col min="5" max="5" width="5.85546875" style="11" bestFit="1" customWidth="1"/>
    <col min="6" max="6" width="6.5703125" style="11" bestFit="1" customWidth="1"/>
    <col min="7" max="9" width="5.7109375" style="11" bestFit="1" customWidth="1"/>
    <col min="10" max="10" width="7.140625" style="11" bestFit="1" customWidth="1"/>
    <col min="11" max="16384" width="9.140625" style="11"/>
  </cols>
  <sheetData>
    <row r="2" spans="2:10" ht="15.75" thickBot="1" x14ac:dyDescent="0.3">
      <c r="B2" s="256" t="s">
        <v>244</v>
      </c>
      <c r="C2" s="256"/>
      <c r="D2" s="256"/>
      <c r="E2" s="256"/>
      <c r="F2" s="256"/>
      <c r="G2" s="256"/>
      <c r="H2" s="256"/>
      <c r="I2" s="256"/>
      <c r="J2" s="256"/>
    </row>
    <row r="3" spans="2:10" x14ac:dyDescent="0.25">
      <c r="B3" s="257" t="s">
        <v>62</v>
      </c>
      <c r="C3" s="260" t="s">
        <v>98</v>
      </c>
      <c r="D3" s="261"/>
      <c r="E3" s="261"/>
      <c r="F3" s="261"/>
      <c r="G3" s="261"/>
      <c r="H3" s="261"/>
      <c r="I3" s="261"/>
      <c r="J3" s="262"/>
    </row>
    <row r="4" spans="2:10" x14ac:dyDescent="0.25">
      <c r="B4" s="258"/>
      <c r="C4" s="9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5" t="s">
        <v>40</v>
      </c>
    </row>
    <row r="5" spans="2:10" ht="15.75" thickBot="1" x14ac:dyDescent="0.3">
      <c r="B5" s="259"/>
      <c r="C5" s="12" t="s">
        <v>41</v>
      </c>
      <c r="D5" s="7" t="s">
        <v>42</v>
      </c>
      <c r="E5" s="13" t="s">
        <v>43</v>
      </c>
      <c r="F5" s="7" t="s">
        <v>44</v>
      </c>
      <c r="G5" s="13" t="s">
        <v>45</v>
      </c>
      <c r="H5" s="7" t="s">
        <v>46</v>
      </c>
      <c r="I5" s="13" t="s">
        <v>47</v>
      </c>
      <c r="J5" s="8" t="s">
        <v>48</v>
      </c>
    </row>
    <row r="6" spans="2:10" ht="15.75" thickBot="1" x14ac:dyDescent="0.3">
      <c r="B6" s="14">
        <v>0.31944444444444448</v>
      </c>
      <c r="C6" s="52">
        <v>6</v>
      </c>
      <c r="D6" s="50">
        <v>3</v>
      </c>
      <c r="E6" s="50">
        <v>2</v>
      </c>
      <c r="F6" s="50">
        <v>9</v>
      </c>
      <c r="G6" s="50">
        <v>4</v>
      </c>
      <c r="H6" s="50">
        <v>2</v>
      </c>
      <c r="I6" s="50">
        <v>1</v>
      </c>
      <c r="J6" s="51">
        <v>0.75</v>
      </c>
    </row>
    <row r="8" spans="2:10" x14ac:dyDescent="0.25">
      <c r="B8" s="15" t="s">
        <v>246</v>
      </c>
    </row>
    <row r="9" spans="2:10" x14ac:dyDescent="0.25">
      <c r="B9" s="16" t="s">
        <v>245</v>
      </c>
    </row>
  </sheetData>
  <mergeCells count="3">
    <mergeCell ref="B2:J2"/>
    <mergeCell ref="B3:B5"/>
    <mergeCell ref="C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8"/>
  <sheetViews>
    <sheetView zoomScale="145" zoomScaleNormal="145" workbookViewId="0">
      <selection activeCell="E4" sqref="E4"/>
    </sheetView>
  </sheetViews>
  <sheetFormatPr defaultRowHeight="15" x14ac:dyDescent="0.25"/>
  <cols>
    <col min="1" max="2" width="9.140625" style="11"/>
    <col min="3" max="3" width="7.140625" style="11" bestFit="1" customWidth="1"/>
    <col min="4" max="4" width="8.7109375" style="11" bestFit="1" customWidth="1"/>
    <col min="5" max="5" width="5.85546875" style="11" bestFit="1" customWidth="1"/>
    <col min="6" max="6" width="6.5703125" style="11" bestFit="1" customWidth="1"/>
    <col min="7" max="9" width="5.7109375" style="11" bestFit="1" customWidth="1"/>
    <col min="10" max="10" width="7.140625" style="11" bestFit="1" customWidth="1"/>
    <col min="11" max="16384" width="9.140625" style="11"/>
  </cols>
  <sheetData>
    <row r="2" spans="2:10" ht="15.75" thickBot="1" x14ac:dyDescent="0.3">
      <c r="B2" s="17" t="s">
        <v>65</v>
      </c>
      <c r="C2" s="17"/>
      <c r="D2" s="18"/>
      <c r="E2" s="18"/>
      <c r="F2" s="18"/>
      <c r="G2" s="18"/>
      <c r="H2" s="18"/>
      <c r="I2" s="18"/>
      <c r="J2" s="18"/>
    </row>
    <row r="3" spans="2:10" ht="15.75" thickBot="1" x14ac:dyDescent="0.3">
      <c r="B3" s="19" t="s">
        <v>62</v>
      </c>
      <c r="C3" s="20" t="s">
        <v>66</v>
      </c>
      <c r="D3" s="21"/>
      <c r="E3" s="21"/>
      <c r="F3" s="21"/>
      <c r="G3" s="21"/>
      <c r="H3" s="21"/>
      <c r="I3" s="21"/>
      <c r="J3" s="21"/>
    </row>
    <row r="4" spans="2:10" ht="15.75" thickBot="1" x14ac:dyDescent="0.3">
      <c r="B4" s="14">
        <v>0.33333333333333331</v>
      </c>
      <c r="C4" s="22">
        <f>[1]Kal.E!L7</f>
        <v>1.0617000000000001</v>
      </c>
    </row>
    <row r="6" spans="2:10" x14ac:dyDescent="0.25">
      <c r="B6" s="15" t="s">
        <v>67</v>
      </c>
    </row>
    <row r="7" spans="2:10" x14ac:dyDescent="0.25">
      <c r="B7" s="16" t="s">
        <v>68</v>
      </c>
    </row>
    <row r="8" spans="2:10" x14ac:dyDescent="0.25">
      <c r="B8" s="16" t="s">
        <v>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zoomScale="130" zoomScaleNormal="130" workbookViewId="0">
      <selection activeCell="E4" sqref="E4:L4"/>
    </sheetView>
  </sheetViews>
  <sheetFormatPr defaultRowHeight="15" x14ac:dyDescent="0.25"/>
  <cols>
    <col min="2" max="2" width="6.85546875" customWidth="1"/>
    <col min="3" max="3" width="5" customWidth="1"/>
    <col min="4" max="4" width="4.7109375" customWidth="1"/>
    <col min="13" max="13" width="8.7109375" customWidth="1"/>
    <col min="14" max="14" width="12" bestFit="1" customWidth="1"/>
    <col min="15" max="15" width="10.42578125" bestFit="1" customWidth="1"/>
  </cols>
  <sheetData>
    <row r="1" spans="1:15" x14ac:dyDescent="0.25">
      <c r="A1" t="s">
        <v>72</v>
      </c>
    </row>
    <row r="2" spans="1:15" x14ac:dyDescent="0.25">
      <c r="B2" s="25" t="s">
        <v>73</v>
      </c>
      <c r="C2" s="25"/>
      <c r="D2" s="25"/>
    </row>
    <row r="4" spans="1:15" x14ac:dyDescent="0.25">
      <c r="B4" s="263" t="s">
        <v>62</v>
      </c>
      <c r="C4" s="263" t="s">
        <v>74</v>
      </c>
      <c r="D4" s="263" t="s">
        <v>49</v>
      </c>
      <c r="E4" s="266" t="s">
        <v>31</v>
      </c>
      <c r="F4" s="266"/>
      <c r="G4" s="266"/>
      <c r="H4" s="266"/>
      <c r="I4" s="266"/>
      <c r="J4" s="266"/>
      <c r="K4" s="266"/>
      <c r="L4" s="266"/>
      <c r="M4" s="263" t="s">
        <v>2</v>
      </c>
      <c r="N4" s="263" t="s">
        <v>75</v>
      </c>
      <c r="O4" s="263" t="s">
        <v>76</v>
      </c>
    </row>
    <row r="5" spans="1:15" x14ac:dyDescent="0.25">
      <c r="B5" s="264"/>
      <c r="C5" s="264"/>
      <c r="D5" s="264"/>
      <c r="E5" s="26" t="s">
        <v>41</v>
      </c>
      <c r="F5" s="27" t="s">
        <v>42</v>
      </c>
      <c r="G5" s="26" t="s">
        <v>43</v>
      </c>
      <c r="H5" s="27" t="s">
        <v>44</v>
      </c>
      <c r="I5" s="26" t="s">
        <v>45</v>
      </c>
      <c r="J5" s="27" t="s">
        <v>46</v>
      </c>
      <c r="K5" s="26" t="s">
        <v>47</v>
      </c>
      <c r="L5" s="27" t="s">
        <v>48</v>
      </c>
      <c r="M5" s="264"/>
      <c r="N5" s="264"/>
      <c r="O5" s="264"/>
    </row>
    <row r="6" spans="1:15" s="32" customFormat="1" x14ac:dyDescent="0.25">
      <c r="B6" s="33"/>
      <c r="C6" s="33"/>
      <c r="D6" s="34"/>
      <c r="E6" s="28">
        <f>CCF!C6</f>
        <v>6</v>
      </c>
      <c r="F6" s="29">
        <f>CCF!D6</f>
        <v>3</v>
      </c>
      <c r="G6" s="28">
        <f>CCF!E6</f>
        <v>2</v>
      </c>
      <c r="H6" s="29">
        <f>CCF!F6</f>
        <v>9</v>
      </c>
      <c r="I6" s="28">
        <f>CCF!G6</f>
        <v>4</v>
      </c>
      <c r="J6" s="29">
        <f>CCF!H6</f>
        <v>2</v>
      </c>
      <c r="K6" s="28">
        <f>CCF!I6</f>
        <v>1</v>
      </c>
      <c r="L6" s="29">
        <f>CCF!J6</f>
        <v>0.75</v>
      </c>
      <c r="M6" s="33"/>
      <c r="N6" s="33" t="s">
        <v>63</v>
      </c>
      <c r="O6" s="33" t="s">
        <v>83</v>
      </c>
    </row>
    <row r="7" spans="1:15" s="30" customFormat="1" ht="36" x14ac:dyDescent="0.25">
      <c r="B7" s="31" t="s">
        <v>77</v>
      </c>
      <c r="C7" s="31" t="s">
        <v>85</v>
      </c>
      <c r="D7" s="31" t="s">
        <v>78</v>
      </c>
      <c r="E7" s="265" t="s">
        <v>79</v>
      </c>
      <c r="F7" s="265"/>
      <c r="G7" s="265"/>
      <c r="H7" s="265"/>
      <c r="I7" s="265"/>
      <c r="J7" s="265"/>
      <c r="K7" s="265"/>
      <c r="L7" s="265"/>
      <c r="M7" s="31" t="s">
        <v>80</v>
      </c>
      <c r="N7" s="31" t="s">
        <v>81</v>
      </c>
      <c r="O7" s="31" t="s">
        <v>82</v>
      </c>
    </row>
  </sheetData>
  <mergeCells count="8">
    <mergeCell ref="O4:O5"/>
    <mergeCell ref="E7:L7"/>
    <mergeCell ref="B4:B5"/>
    <mergeCell ref="C4:C5"/>
    <mergeCell ref="D4:D5"/>
    <mergeCell ref="E4:L4"/>
    <mergeCell ref="M4:M5"/>
    <mergeCell ref="N4:N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CA160"/>
  <sheetViews>
    <sheetView showGridLines="0" tabSelected="1" topLeftCell="A7" zoomScale="115" zoomScaleNormal="115" workbookViewId="0">
      <selection activeCell="A15" sqref="A15"/>
    </sheetView>
  </sheetViews>
  <sheetFormatPr defaultColWidth="8.85546875" defaultRowHeight="15" x14ac:dyDescent="0.25"/>
  <cols>
    <col min="1" max="1" width="8.85546875" style="87"/>
    <col min="2" max="2" width="4" style="1" customWidth="1"/>
    <col min="3" max="3" width="14.42578125" style="1" customWidth="1"/>
    <col min="4" max="4" width="5.5703125" style="1" customWidth="1"/>
    <col min="5" max="5" width="26.5703125" style="165" customWidth="1"/>
    <col min="6" max="6" width="8.140625" style="54" customWidth="1"/>
    <col min="7" max="7" width="12.7109375" style="54" customWidth="1"/>
    <col min="8" max="12" width="8.7109375" style="2" customWidth="1"/>
    <col min="13" max="13" width="9.140625" style="1" bestFit="1" customWidth="1"/>
    <col min="14" max="14" width="8.42578125" style="2" customWidth="1"/>
    <col min="15" max="15" width="8.7109375" style="3" customWidth="1"/>
    <col min="16" max="16" width="8.7109375" style="1" customWidth="1"/>
    <col min="17" max="17" width="8.7109375" style="4" customWidth="1"/>
    <col min="18" max="19" width="10.7109375" style="1" customWidth="1"/>
    <col min="20" max="27" width="8.7109375" style="1" customWidth="1"/>
    <col min="28" max="28" width="8.85546875" style="1"/>
    <col min="29" max="43" width="8.7109375" style="1" customWidth="1"/>
    <col min="44" max="44" width="8.85546875" style="1"/>
    <col min="45" max="46" width="8.7109375" style="1" customWidth="1"/>
    <col min="47" max="48" width="8.7109375" style="24" customWidth="1"/>
    <col min="49" max="49" width="8.7109375" style="1" customWidth="1"/>
    <col min="50" max="50" width="6.7109375" style="1" customWidth="1"/>
    <col min="51" max="52" width="8.7109375" style="1" customWidth="1"/>
    <col min="53" max="58" width="8.85546875" style="1"/>
    <col min="59" max="59" width="0" style="87" hidden="1" customWidth="1"/>
    <col min="60" max="71" width="8.85546875" style="1"/>
    <col min="72" max="72" width="11.5703125" style="1" customWidth="1"/>
    <col min="73" max="16384" width="8.85546875" style="1"/>
  </cols>
  <sheetData>
    <row r="1" spans="2:79" s="10" customFormat="1" ht="18.75" x14ac:dyDescent="0.3">
      <c r="B1" s="99" t="s">
        <v>203</v>
      </c>
      <c r="C1" s="98"/>
      <c r="D1" s="23"/>
      <c r="E1" s="57"/>
      <c r="F1" s="125" t="s">
        <v>211</v>
      </c>
      <c r="G1" s="124"/>
      <c r="H1" s="121" t="s">
        <v>225</v>
      </c>
      <c r="I1" s="124"/>
      <c r="J1" s="124"/>
      <c r="K1" s="124"/>
      <c r="L1" s="125" t="s">
        <v>212</v>
      </c>
      <c r="N1" s="124"/>
      <c r="S1" s="23"/>
      <c r="T1" s="45"/>
      <c r="U1" s="23"/>
      <c r="V1" s="46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</row>
    <row r="2" spans="2:79" s="10" customFormat="1" x14ac:dyDescent="0.25">
      <c r="B2" s="95"/>
      <c r="C2" s="90" t="s">
        <v>210</v>
      </c>
      <c r="D2" s="23"/>
      <c r="E2" s="57"/>
      <c r="F2" s="123">
        <v>0</v>
      </c>
      <c r="G2" s="122" t="s">
        <v>213</v>
      </c>
      <c r="H2" s="123" t="s">
        <v>48</v>
      </c>
      <c r="I2" s="122" t="s">
        <v>228</v>
      </c>
      <c r="J2" s="122" t="s">
        <v>231</v>
      </c>
      <c r="K2" s="122"/>
      <c r="L2" s="123">
        <v>0</v>
      </c>
      <c r="M2" s="122" t="s">
        <v>214</v>
      </c>
      <c r="S2" s="23"/>
      <c r="T2" s="45"/>
      <c r="U2" s="23"/>
      <c r="V2" s="46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</row>
    <row r="3" spans="2:79" s="10" customFormat="1" x14ac:dyDescent="0.25">
      <c r="B3" s="107"/>
      <c r="C3" s="90" t="s">
        <v>208</v>
      </c>
      <c r="D3" s="23"/>
      <c r="E3" s="57"/>
      <c r="F3" s="123" t="s">
        <v>9</v>
      </c>
      <c r="G3" s="122" t="s">
        <v>215</v>
      </c>
      <c r="H3" s="123" t="s">
        <v>226</v>
      </c>
      <c r="I3" s="122" t="s">
        <v>229</v>
      </c>
      <c r="J3" s="122" t="s">
        <v>232</v>
      </c>
      <c r="K3" s="122"/>
      <c r="L3" s="123">
        <v>1</v>
      </c>
      <c r="M3" s="122" t="s">
        <v>216</v>
      </c>
      <c r="S3" s="23"/>
      <c r="T3" s="45"/>
      <c r="U3" s="23"/>
      <c r="V3" s="46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</row>
    <row r="4" spans="2:79" s="10" customFormat="1" x14ac:dyDescent="0.25">
      <c r="B4" s="113"/>
      <c r="C4" s="90" t="s">
        <v>207</v>
      </c>
      <c r="D4" s="23"/>
      <c r="E4" s="57"/>
      <c r="F4" s="123" t="s">
        <v>217</v>
      </c>
      <c r="G4" s="122" t="s">
        <v>218</v>
      </c>
      <c r="H4" s="123" t="s">
        <v>227</v>
      </c>
      <c r="I4" s="122" t="s">
        <v>230</v>
      </c>
      <c r="J4" s="122" t="s">
        <v>233</v>
      </c>
      <c r="K4" s="122"/>
      <c r="L4" s="123">
        <v>2</v>
      </c>
      <c r="M4" s="122" t="s">
        <v>219</v>
      </c>
      <c r="S4" s="23"/>
      <c r="T4" s="45"/>
      <c r="U4" s="23"/>
      <c r="V4" s="46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</row>
    <row r="5" spans="2:79" s="10" customFormat="1" x14ac:dyDescent="0.25">
      <c r="B5" s="110"/>
      <c r="C5" s="90" t="s">
        <v>205</v>
      </c>
      <c r="D5" s="23"/>
      <c r="E5" s="57"/>
      <c r="F5" s="123" t="s">
        <v>220</v>
      </c>
      <c r="G5" s="122" t="s">
        <v>221</v>
      </c>
      <c r="L5" s="123">
        <v>3</v>
      </c>
      <c r="M5" s="122" t="s">
        <v>222</v>
      </c>
      <c r="S5" s="23"/>
      <c r="T5" s="45"/>
      <c r="U5" s="23"/>
      <c r="V5" s="46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spans="2:79" s="10" customFormat="1" x14ac:dyDescent="0.25">
      <c r="B6" s="89"/>
      <c r="C6" s="90" t="s">
        <v>209</v>
      </c>
      <c r="D6" s="23"/>
      <c r="E6" s="57"/>
      <c r="F6" s="123" t="s">
        <v>223</v>
      </c>
      <c r="G6" s="122" t="s">
        <v>224</v>
      </c>
      <c r="L6" s="123">
        <v>4</v>
      </c>
      <c r="M6" s="122" t="s">
        <v>234</v>
      </c>
      <c r="S6" s="23"/>
      <c r="T6" s="45"/>
      <c r="U6" s="23"/>
      <c r="V6" s="46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</row>
    <row r="7" spans="2:79" s="10" customFormat="1" x14ac:dyDescent="0.25">
      <c r="B7" s="91"/>
      <c r="C7" s="90" t="s">
        <v>206</v>
      </c>
      <c r="D7" s="23"/>
      <c r="E7" s="57"/>
      <c r="F7" s="123" t="s">
        <v>243</v>
      </c>
      <c r="G7" s="122" t="s">
        <v>247</v>
      </c>
      <c r="H7" s="57"/>
      <c r="I7" s="57"/>
      <c r="J7" s="57"/>
      <c r="K7" s="57"/>
      <c r="L7" s="45"/>
      <c r="M7" s="46"/>
      <c r="S7" s="23"/>
      <c r="T7" s="45"/>
      <c r="U7" s="23"/>
      <c r="V7" s="46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</row>
    <row r="8" spans="2:79" s="10" customFormat="1" ht="15.75" thickBot="1" x14ac:dyDescent="0.3">
      <c r="B8" s="23"/>
      <c r="C8" s="87"/>
      <c r="D8" s="23"/>
      <c r="E8" s="57"/>
      <c r="F8" s="53"/>
      <c r="G8" s="53"/>
      <c r="H8" s="57"/>
      <c r="I8" s="57"/>
      <c r="J8" s="57"/>
      <c r="K8" s="57"/>
      <c r="L8" s="57"/>
      <c r="M8" s="57"/>
      <c r="N8" s="57"/>
      <c r="O8" s="45"/>
      <c r="P8" s="45"/>
      <c r="Q8" s="45"/>
      <c r="R8" s="46"/>
      <c r="S8" s="23"/>
      <c r="T8" s="45"/>
      <c r="U8" s="23"/>
      <c r="V8" s="46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</row>
    <row r="9" spans="2:79" s="59" customFormat="1" ht="15.75" customHeight="1" thickBot="1" x14ac:dyDescent="0.3">
      <c r="B9" s="333" t="s">
        <v>1</v>
      </c>
      <c r="C9" s="336" t="s">
        <v>237</v>
      </c>
      <c r="D9" s="336" t="s">
        <v>0</v>
      </c>
      <c r="E9" s="339" t="s">
        <v>2</v>
      </c>
      <c r="F9" s="270" t="s">
        <v>87</v>
      </c>
      <c r="G9" s="271"/>
      <c r="H9" s="271"/>
      <c r="I9" s="271"/>
      <c r="J9" s="271"/>
      <c r="K9" s="271"/>
      <c r="L9" s="271"/>
      <c r="M9" s="272"/>
      <c r="N9" s="282" t="s">
        <v>71</v>
      </c>
      <c r="O9" s="280" t="s">
        <v>62</v>
      </c>
      <c r="P9" s="280"/>
      <c r="Q9" s="280"/>
      <c r="R9" s="280"/>
      <c r="S9" s="280"/>
      <c r="T9" s="285" t="s">
        <v>102</v>
      </c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6"/>
      <c r="AG9" s="286"/>
      <c r="AH9" s="286"/>
      <c r="AI9" s="286"/>
      <c r="AJ9" s="286"/>
      <c r="AK9" s="286"/>
      <c r="AL9" s="286"/>
      <c r="AM9" s="286"/>
      <c r="AN9" s="286"/>
      <c r="AO9" s="286"/>
      <c r="AP9" s="286"/>
      <c r="AQ9" s="286"/>
      <c r="AR9" s="287"/>
      <c r="AS9" s="285" t="s">
        <v>101</v>
      </c>
      <c r="AT9" s="286"/>
      <c r="AU9" s="286"/>
      <c r="AV9" s="286"/>
      <c r="AW9" s="286"/>
      <c r="AX9" s="286"/>
      <c r="AY9" s="286"/>
      <c r="AZ9" s="286"/>
      <c r="BA9" s="286"/>
      <c r="BB9" s="286"/>
      <c r="BC9" s="286"/>
      <c r="BD9" s="286"/>
      <c r="BE9" s="286"/>
      <c r="BF9" s="286"/>
      <c r="BG9" s="286"/>
      <c r="BH9" s="286"/>
      <c r="BI9" s="286"/>
      <c r="BJ9" s="286"/>
      <c r="BK9" s="286"/>
      <c r="BL9" s="286"/>
      <c r="BM9" s="286"/>
      <c r="BN9" s="286"/>
      <c r="BO9" s="286"/>
      <c r="BP9" s="286"/>
      <c r="BQ9" s="286"/>
      <c r="BR9" s="286"/>
      <c r="BS9" s="286"/>
      <c r="BT9" s="286"/>
      <c r="BU9" s="286"/>
      <c r="BV9" s="287"/>
    </row>
    <row r="10" spans="2:79" s="59" customFormat="1" ht="15.75" customHeight="1" thickBot="1" x14ac:dyDescent="0.3">
      <c r="B10" s="334"/>
      <c r="C10" s="337"/>
      <c r="D10" s="337"/>
      <c r="E10" s="340"/>
      <c r="F10" s="273"/>
      <c r="G10" s="274"/>
      <c r="H10" s="274"/>
      <c r="I10" s="274"/>
      <c r="J10" s="274"/>
      <c r="K10" s="274"/>
      <c r="L10" s="274"/>
      <c r="M10" s="275"/>
      <c r="N10" s="283"/>
      <c r="O10" s="281"/>
      <c r="P10" s="281"/>
      <c r="Q10" s="281"/>
      <c r="R10" s="281"/>
      <c r="S10" s="281"/>
      <c r="T10" s="282" t="s">
        <v>99</v>
      </c>
      <c r="U10" s="292" t="s">
        <v>50</v>
      </c>
      <c r="V10" s="292"/>
      <c r="W10" s="292"/>
      <c r="X10" s="292"/>
      <c r="Y10" s="292"/>
      <c r="Z10" s="292"/>
      <c r="AA10" s="292"/>
      <c r="AB10" s="293"/>
      <c r="AC10" s="292" t="s">
        <v>98</v>
      </c>
      <c r="AD10" s="292"/>
      <c r="AE10" s="292"/>
      <c r="AF10" s="292"/>
      <c r="AG10" s="292"/>
      <c r="AH10" s="292"/>
      <c r="AI10" s="292"/>
      <c r="AJ10" s="293"/>
      <c r="AK10" s="285" t="s">
        <v>97</v>
      </c>
      <c r="AL10" s="286"/>
      <c r="AM10" s="286"/>
      <c r="AN10" s="286"/>
      <c r="AO10" s="286"/>
      <c r="AP10" s="286"/>
      <c r="AQ10" s="286"/>
      <c r="AR10" s="287"/>
      <c r="AS10" s="282" t="s">
        <v>84</v>
      </c>
      <c r="AT10" s="311" t="s">
        <v>86</v>
      </c>
      <c r="AU10" s="312"/>
      <c r="AV10" s="312"/>
      <c r="AW10" s="312"/>
      <c r="AX10" s="312"/>
      <c r="AY10" s="312"/>
      <c r="AZ10" s="312"/>
      <c r="BA10" s="313"/>
      <c r="BB10" s="304" t="s">
        <v>51</v>
      </c>
      <c r="BC10" s="305"/>
      <c r="BD10" s="306"/>
      <c r="BE10" s="301" t="s">
        <v>52</v>
      </c>
      <c r="BF10" s="302"/>
      <c r="BG10" s="302"/>
      <c r="BH10" s="302"/>
      <c r="BI10" s="303"/>
      <c r="BJ10" s="298" t="s">
        <v>53</v>
      </c>
      <c r="BK10" s="299"/>
      <c r="BL10" s="299"/>
      <c r="BM10" s="299"/>
      <c r="BN10" s="299"/>
      <c r="BO10" s="299"/>
      <c r="BP10" s="299"/>
      <c r="BQ10" s="299"/>
      <c r="BR10" s="299"/>
      <c r="BS10" s="299"/>
      <c r="BT10" s="299"/>
      <c r="BU10" s="299"/>
      <c r="BV10" s="300"/>
    </row>
    <row r="11" spans="2:79" s="60" customFormat="1" ht="30.75" customHeight="1" thickBot="1" x14ac:dyDescent="0.3">
      <c r="B11" s="334"/>
      <c r="C11" s="337"/>
      <c r="D11" s="337"/>
      <c r="E11" s="340"/>
      <c r="F11" s="342" t="s">
        <v>96</v>
      </c>
      <c r="G11" s="290" t="s">
        <v>238</v>
      </c>
      <c r="H11" s="61" t="s">
        <v>194</v>
      </c>
      <c r="I11" s="108" t="s">
        <v>194</v>
      </c>
      <c r="J11" s="296" t="s">
        <v>239</v>
      </c>
      <c r="K11" s="297"/>
      <c r="L11" s="288" t="s">
        <v>240</v>
      </c>
      <c r="M11" s="272"/>
      <c r="N11" s="283"/>
      <c r="O11" s="278" t="s">
        <v>200</v>
      </c>
      <c r="P11" s="115">
        <v>0.31944444444444448</v>
      </c>
      <c r="Q11" s="276" t="s">
        <v>326</v>
      </c>
      <c r="R11" s="294" t="s">
        <v>3</v>
      </c>
      <c r="S11" s="295"/>
      <c r="T11" s="283"/>
      <c r="U11" s="64" t="s">
        <v>33</v>
      </c>
      <c r="V11" s="62" t="s">
        <v>34</v>
      </c>
      <c r="W11" s="62" t="s">
        <v>35</v>
      </c>
      <c r="X11" s="62" t="s">
        <v>36</v>
      </c>
      <c r="Y11" s="62" t="s">
        <v>37</v>
      </c>
      <c r="Z11" s="62" t="s">
        <v>38</v>
      </c>
      <c r="AA11" s="62" t="s">
        <v>39</v>
      </c>
      <c r="AB11" s="63" t="s">
        <v>40</v>
      </c>
      <c r="AC11" s="117" t="s">
        <v>33</v>
      </c>
      <c r="AD11" s="118" t="s">
        <v>34</v>
      </c>
      <c r="AE11" s="118" t="s">
        <v>35</v>
      </c>
      <c r="AF11" s="118" t="s">
        <v>36</v>
      </c>
      <c r="AG11" s="118" t="s">
        <v>37</v>
      </c>
      <c r="AH11" s="118" t="s">
        <v>38</v>
      </c>
      <c r="AI11" s="118" t="s">
        <v>39</v>
      </c>
      <c r="AJ11" s="119" t="s">
        <v>40</v>
      </c>
      <c r="AK11" s="64" t="s">
        <v>33</v>
      </c>
      <c r="AL11" s="62" t="s">
        <v>34</v>
      </c>
      <c r="AM11" s="62" t="s">
        <v>35</v>
      </c>
      <c r="AN11" s="62" t="s">
        <v>36</v>
      </c>
      <c r="AO11" s="62" t="s">
        <v>37</v>
      </c>
      <c r="AP11" s="62" t="s">
        <v>38</v>
      </c>
      <c r="AQ11" s="62" t="s">
        <v>39</v>
      </c>
      <c r="AR11" s="63" t="s">
        <v>40</v>
      </c>
      <c r="AS11" s="283"/>
      <c r="AT11" s="314" t="s">
        <v>32</v>
      </c>
      <c r="AU11" s="316" t="s">
        <v>103</v>
      </c>
      <c r="AV11" s="267" t="s">
        <v>100</v>
      </c>
      <c r="AW11" s="268"/>
      <c r="AX11" s="268"/>
      <c r="AY11" s="268"/>
      <c r="AZ11" s="268"/>
      <c r="BA11" s="269"/>
      <c r="BB11" s="309" t="s">
        <v>32</v>
      </c>
      <c r="BC11" s="307" t="s">
        <v>103</v>
      </c>
      <c r="BD11" s="319" t="s">
        <v>104</v>
      </c>
      <c r="BE11" s="326" t="s">
        <v>32</v>
      </c>
      <c r="BF11" s="324" t="s">
        <v>197</v>
      </c>
      <c r="BG11" s="331" t="s">
        <v>325</v>
      </c>
      <c r="BH11" s="318" t="s">
        <v>54</v>
      </c>
      <c r="BI11" s="330" t="s">
        <v>55</v>
      </c>
      <c r="BJ11" s="326" t="s">
        <v>32</v>
      </c>
      <c r="BK11" s="328" t="s">
        <v>105</v>
      </c>
      <c r="BL11" s="199" t="s">
        <v>56</v>
      </c>
      <c r="BM11" s="323" t="s">
        <v>57</v>
      </c>
      <c r="BN11" s="323"/>
      <c r="BO11" s="323" t="s">
        <v>58</v>
      </c>
      <c r="BP11" s="323"/>
      <c r="BQ11" s="323" t="s">
        <v>59</v>
      </c>
      <c r="BR11" s="323"/>
      <c r="BS11" s="323" t="s">
        <v>60</v>
      </c>
      <c r="BT11" s="323"/>
      <c r="BU11" s="323"/>
      <c r="BV11" s="321" t="s">
        <v>61</v>
      </c>
    </row>
    <row r="12" spans="2:79" s="60" customFormat="1" ht="45.75" thickBot="1" x14ac:dyDescent="0.3">
      <c r="B12" s="335"/>
      <c r="C12" s="338"/>
      <c r="D12" s="338"/>
      <c r="E12" s="341"/>
      <c r="F12" s="343"/>
      <c r="G12" s="291"/>
      <c r="H12" s="65" t="s">
        <v>93</v>
      </c>
      <c r="I12" s="109" t="s">
        <v>4</v>
      </c>
      <c r="J12" s="80" t="s">
        <v>202</v>
      </c>
      <c r="K12" s="112" t="s">
        <v>201</v>
      </c>
      <c r="L12" s="289"/>
      <c r="M12" s="275"/>
      <c r="N12" s="284"/>
      <c r="O12" s="279"/>
      <c r="P12" s="116" t="s">
        <v>199</v>
      </c>
      <c r="Q12" s="277"/>
      <c r="R12" s="111" t="s">
        <v>192</v>
      </c>
      <c r="S12" s="79" t="s">
        <v>193</v>
      </c>
      <c r="T12" s="284"/>
      <c r="U12" s="66" t="s">
        <v>41</v>
      </c>
      <c r="V12" s="66" t="s">
        <v>42</v>
      </c>
      <c r="W12" s="66" t="s">
        <v>43</v>
      </c>
      <c r="X12" s="66" t="s">
        <v>44</v>
      </c>
      <c r="Y12" s="66" t="s">
        <v>45</v>
      </c>
      <c r="Z12" s="66" t="s">
        <v>46</v>
      </c>
      <c r="AA12" s="66" t="s">
        <v>47</v>
      </c>
      <c r="AB12" s="67" t="s">
        <v>48</v>
      </c>
      <c r="AC12" s="68" t="s">
        <v>41</v>
      </c>
      <c r="AD12" s="69" t="s">
        <v>42</v>
      </c>
      <c r="AE12" s="69" t="s">
        <v>43</v>
      </c>
      <c r="AF12" s="69" t="s">
        <v>44</v>
      </c>
      <c r="AG12" s="69" t="s">
        <v>45</v>
      </c>
      <c r="AH12" s="69" t="s">
        <v>46</v>
      </c>
      <c r="AI12" s="69" t="s">
        <v>47</v>
      </c>
      <c r="AJ12" s="70" t="s">
        <v>48</v>
      </c>
      <c r="AK12" s="71" t="s">
        <v>41</v>
      </c>
      <c r="AL12" s="69" t="s">
        <v>42</v>
      </c>
      <c r="AM12" s="69" t="s">
        <v>43</v>
      </c>
      <c r="AN12" s="69" t="s">
        <v>44</v>
      </c>
      <c r="AO12" s="69" t="s">
        <v>45</v>
      </c>
      <c r="AP12" s="69" t="s">
        <v>46</v>
      </c>
      <c r="AQ12" s="69" t="s">
        <v>47</v>
      </c>
      <c r="AR12" s="70" t="s">
        <v>48</v>
      </c>
      <c r="AS12" s="284"/>
      <c r="AT12" s="315"/>
      <c r="AU12" s="317"/>
      <c r="AV12" s="120" t="s">
        <v>328</v>
      </c>
      <c r="AW12" s="173" t="s">
        <v>204</v>
      </c>
      <c r="AX12" s="174" t="s">
        <v>64</v>
      </c>
      <c r="AY12" s="191" t="s">
        <v>70</v>
      </c>
      <c r="AZ12" s="194" t="s">
        <v>49</v>
      </c>
      <c r="BA12" s="72" t="s">
        <v>198</v>
      </c>
      <c r="BB12" s="310"/>
      <c r="BC12" s="308"/>
      <c r="BD12" s="320"/>
      <c r="BE12" s="327"/>
      <c r="BF12" s="325"/>
      <c r="BG12" s="332"/>
      <c r="BH12" s="305"/>
      <c r="BI12" s="306"/>
      <c r="BJ12" s="327"/>
      <c r="BK12" s="329"/>
      <c r="BL12" s="204" t="s">
        <v>35</v>
      </c>
      <c r="BM12" s="114" t="s">
        <v>37</v>
      </c>
      <c r="BN12" s="114" t="s">
        <v>38</v>
      </c>
      <c r="BO12" s="114" t="s">
        <v>37</v>
      </c>
      <c r="BP12" s="114" t="s">
        <v>38</v>
      </c>
      <c r="BQ12" s="114" t="s">
        <v>37</v>
      </c>
      <c r="BR12" s="114" t="s">
        <v>38</v>
      </c>
      <c r="BS12" s="114" t="s">
        <v>37</v>
      </c>
      <c r="BT12" s="114" t="s">
        <v>38</v>
      </c>
      <c r="BU12" s="114" t="s">
        <v>35</v>
      </c>
      <c r="BV12" s="322"/>
    </row>
    <row r="13" spans="2:79" ht="30.75" thickBot="1" x14ac:dyDescent="0.3">
      <c r="B13" s="136">
        <v>1</v>
      </c>
      <c r="C13" s="137" t="s">
        <v>88</v>
      </c>
      <c r="D13" s="138" t="s">
        <v>108</v>
      </c>
      <c r="E13" s="164" t="s">
        <v>248</v>
      </c>
      <c r="F13" s="132"/>
      <c r="G13" s="150" t="s">
        <v>195</v>
      </c>
      <c r="H13" s="151" t="s">
        <v>95</v>
      </c>
      <c r="I13" s="152" t="str">
        <f t="shared" ref="I13:I39" si="0">IF(R13&gt;0,IF(S13-$P$11&gt;0,"I","R"),"R")</f>
        <v>R</v>
      </c>
      <c r="J13" s="154">
        <v>2</v>
      </c>
      <c r="K13" s="155"/>
      <c r="L13" s="155">
        <v>0</v>
      </c>
      <c r="M13" s="101">
        <v>0.25</v>
      </c>
      <c r="N13" s="40">
        <f t="shared" ref="N13:N45" si="1">IF(I13="I",0,IF(AX13="YA",O13+T13+AS13,0))</f>
        <v>16.364583333333332</v>
      </c>
      <c r="O13" s="58">
        <f>IF(P13="-",5,IF(10-(P13/60)&gt;10,10+(P13/60*10),10-(P13/60)))</f>
        <v>7.333333333333333</v>
      </c>
      <c r="P13" s="58">
        <f>IF(Q13="-","-",IF((Q13-$P$11)*1440&gt;1,(Q13-$P$11)*1440,-1*(Q13-$P$11)*1440))</f>
        <v>160.00000000000003</v>
      </c>
      <c r="Q13" s="130">
        <v>0.20833333333333334</v>
      </c>
      <c r="R13" s="97"/>
      <c r="S13" s="102">
        <f t="shared" ref="S13:S45" si="2">IF(L13=0,0,IF(L13=1,R13+$M$13,IF(L13=2,R13+$M$14,IF(L13=3,R13+$M$15,IF(L13=4,R13+$M$16,0)))))</f>
        <v>0</v>
      </c>
      <c r="T13" s="49">
        <f>SUM(U13:AB13)/8</f>
        <v>4.03125</v>
      </c>
      <c r="U13" s="36">
        <f>AK13-$AC$13</f>
        <v>3</v>
      </c>
      <c r="V13" s="36">
        <f>AL13-$AD$13</f>
        <v>5</v>
      </c>
      <c r="W13" s="36">
        <f>AM13-$AE$13</f>
        <v>7</v>
      </c>
      <c r="X13" s="36">
        <f>$AF$13-AN13</f>
        <v>2</v>
      </c>
      <c r="Y13" s="36">
        <f>AO13-$AG$13</f>
        <v>5</v>
      </c>
      <c r="Z13" s="36">
        <f t="shared" ref="Z13:AA15" si="3">AP13-$AH$13</f>
        <v>7</v>
      </c>
      <c r="AA13" s="36">
        <f t="shared" si="3"/>
        <v>1</v>
      </c>
      <c r="AB13" s="48">
        <f>AR13-$AJ$13</f>
        <v>2.25</v>
      </c>
      <c r="AC13" s="52">
        <v>6</v>
      </c>
      <c r="AD13" s="50">
        <v>3</v>
      </c>
      <c r="AE13" s="50">
        <v>2</v>
      </c>
      <c r="AF13" s="50">
        <v>9</v>
      </c>
      <c r="AG13" s="50">
        <v>4</v>
      </c>
      <c r="AH13" s="50">
        <v>2</v>
      </c>
      <c r="AI13" s="50">
        <v>1</v>
      </c>
      <c r="AJ13" s="51">
        <v>0.75</v>
      </c>
      <c r="AK13" s="156">
        <v>9</v>
      </c>
      <c r="AL13" s="157">
        <v>8</v>
      </c>
      <c r="AM13" s="157">
        <v>9</v>
      </c>
      <c r="AN13" s="157">
        <v>7</v>
      </c>
      <c r="AO13" s="157">
        <v>9</v>
      </c>
      <c r="AP13" s="157">
        <v>9</v>
      </c>
      <c r="AQ13" s="157">
        <v>3</v>
      </c>
      <c r="AR13" s="158">
        <v>3</v>
      </c>
      <c r="AS13" s="40">
        <f t="shared" ref="AS13:AS45" si="4">(AT13+BB13+BE13+BJ13)/4</f>
        <v>5</v>
      </c>
      <c r="AT13" s="169">
        <f>AU13*AV13</f>
        <v>0</v>
      </c>
      <c r="AU13" s="175">
        <v>3</v>
      </c>
      <c r="AV13" s="178">
        <f>IF(AW13=1,1,IF(AW13=2,0.9,IF(AW13=3,0.8,IF(AW13=4,0.7,IF(AW13=5,0.6,IF(AW13=6,0.5,IF(AW13=7,0.4,IF(AW13=8,0.3,IF(AW13=9,0.2,IF(AW13=10,0.1,IF(AW13=0,0,0)))))))))))</f>
        <v>0</v>
      </c>
      <c r="AW13" s="187"/>
      <c r="AX13" s="188" t="str">
        <f>IF($AZ$13&gt;=BA13,"YA","TIDAK")</f>
        <v>YA</v>
      </c>
      <c r="AY13" s="192">
        <f>IF($AZ$13-BA13&gt;0,$AZ$13-BA13,"0")</f>
        <v>0.26</v>
      </c>
      <c r="AZ13" s="195">
        <v>1.01</v>
      </c>
      <c r="BA13" s="167">
        <v>0.75</v>
      </c>
      <c r="BB13" s="86">
        <f>BC13+BD13</f>
        <v>5</v>
      </c>
      <c r="BC13" s="205">
        <v>5</v>
      </c>
      <c r="BD13" s="37"/>
      <c r="BE13" s="86">
        <f t="shared" ref="BE13:BE45" si="5">BF13*BH13*BI13</f>
        <v>0</v>
      </c>
      <c r="BF13" s="38"/>
      <c r="BG13" s="211"/>
      <c r="BH13" s="163"/>
      <c r="BI13" s="162"/>
      <c r="BJ13" s="86">
        <f>SUM(BK13:BV13)</f>
        <v>15</v>
      </c>
      <c r="BK13" s="172">
        <v>5</v>
      </c>
      <c r="BL13" s="203"/>
      <c r="BM13" s="43"/>
      <c r="BN13" s="43"/>
      <c r="BO13" s="43"/>
      <c r="BP13" s="43"/>
      <c r="BQ13" s="43"/>
      <c r="BR13" s="43"/>
      <c r="BS13" s="43"/>
      <c r="BT13" s="43"/>
      <c r="BU13" s="43"/>
      <c r="BV13" s="44">
        <v>10</v>
      </c>
    </row>
    <row r="14" spans="2:79" x14ac:dyDescent="0.25">
      <c r="B14" s="139">
        <v>2</v>
      </c>
      <c r="C14" s="140" t="s">
        <v>249</v>
      </c>
      <c r="D14" s="141" t="s">
        <v>109</v>
      </c>
      <c r="E14" s="164" t="s">
        <v>250</v>
      </c>
      <c r="F14" s="133"/>
      <c r="G14" s="150" t="s">
        <v>195</v>
      </c>
      <c r="H14" s="151" t="s">
        <v>95</v>
      </c>
      <c r="I14" s="152" t="str">
        <f t="shared" si="0"/>
        <v>R</v>
      </c>
      <c r="J14" s="154">
        <v>3</v>
      </c>
      <c r="K14" s="155"/>
      <c r="L14" s="155">
        <v>0</v>
      </c>
      <c r="M14" s="101">
        <v>0.5</v>
      </c>
      <c r="N14" s="40">
        <f t="shared" si="1"/>
        <v>15.697916666666666</v>
      </c>
      <c r="O14" s="58">
        <f>IF(P14="-",5,IF(10-(P14/60)&gt;10,10+(P14/60*10),10-(P14/60)))</f>
        <v>7.4166666666666661</v>
      </c>
      <c r="P14" s="85">
        <f t="shared" ref="P14:P77" si="6">IF(Q14="-","-",IF((Q14-$P$11)*1440&gt;1,(Q14-$P$11)*1440,-1*(Q14-$P$11)*1440))</f>
        <v>155.00000000000006</v>
      </c>
      <c r="Q14" s="126">
        <v>0.21180555555555555</v>
      </c>
      <c r="R14" s="92"/>
      <c r="S14" s="105">
        <f t="shared" si="2"/>
        <v>0</v>
      </c>
      <c r="T14" s="49">
        <f t="shared" ref="T14:T78" si="7">SUM(U14:AB14)/8</f>
        <v>4.53125</v>
      </c>
      <c r="U14" s="36">
        <f>AK14-$AC$13</f>
        <v>3</v>
      </c>
      <c r="V14" s="36">
        <f>AL14-$AD$13</f>
        <v>5</v>
      </c>
      <c r="W14" s="36">
        <f>AM14-$AE$13</f>
        <v>7</v>
      </c>
      <c r="X14" s="36">
        <f>$AF$13-AN14</f>
        <v>2</v>
      </c>
      <c r="Y14" s="36">
        <f>AO14-$AG$13</f>
        <v>5</v>
      </c>
      <c r="Z14" s="36">
        <f t="shared" si="3"/>
        <v>7</v>
      </c>
      <c r="AA14" s="36">
        <f t="shared" si="3"/>
        <v>3</v>
      </c>
      <c r="AB14" s="48">
        <f>AR14-$AJ$13</f>
        <v>4.25</v>
      </c>
      <c r="AC14" s="55"/>
      <c r="AD14" s="55"/>
      <c r="AE14" s="55"/>
      <c r="AF14" s="55"/>
      <c r="AG14" s="55"/>
      <c r="AH14" s="55"/>
      <c r="AI14" s="55"/>
      <c r="AJ14" s="55"/>
      <c r="AK14" s="156">
        <v>9</v>
      </c>
      <c r="AL14" s="157">
        <v>8</v>
      </c>
      <c r="AM14" s="157">
        <v>9</v>
      </c>
      <c r="AN14" s="157">
        <v>7</v>
      </c>
      <c r="AO14" s="157">
        <v>9</v>
      </c>
      <c r="AP14" s="157">
        <v>9</v>
      </c>
      <c r="AQ14" s="157">
        <v>5</v>
      </c>
      <c r="AR14" s="158">
        <v>5</v>
      </c>
      <c r="AS14" s="40">
        <f t="shared" si="4"/>
        <v>3.75</v>
      </c>
      <c r="AT14" s="169">
        <f>AU14*AV14</f>
        <v>0</v>
      </c>
      <c r="AU14" s="176">
        <v>5</v>
      </c>
      <c r="AV14" s="179">
        <f>IF(AW14=1,1,IF(AW14=2,0.9,IF(AW14=3,0.8,IF(AW14=4,0.7,IF(AW14=5,0.6,IF(AW14=6,0.5,IF(AW14=7,0.4,IF(AW14=8,0.3,IF(AW14=9,0.2,IF(AW14=10,0.1,IF(AW14=0,0,0)))))))))))</f>
        <v>0</v>
      </c>
      <c r="AW14" s="184"/>
      <c r="AX14" s="36" t="str">
        <f>IF($AZ$13&gt;=BA14,"YA","TIDAK")</f>
        <v>YA</v>
      </c>
      <c r="AY14" s="189">
        <f>IF($AZ$13-BA14&gt;0,$AZ$13-BA14,"0")</f>
        <v>0.76</v>
      </c>
      <c r="AZ14" s="10"/>
      <c r="BA14" s="193">
        <v>0.25</v>
      </c>
      <c r="BB14" s="86">
        <f>BC14+BD14</f>
        <v>8</v>
      </c>
      <c r="BC14" s="205">
        <v>8</v>
      </c>
      <c r="BD14" s="37"/>
      <c r="BE14" s="86">
        <f t="shared" si="5"/>
        <v>0</v>
      </c>
      <c r="BF14" s="56"/>
      <c r="BG14" s="212"/>
      <c r="BH14" s="163"/>
      <c r="BI14" s="162"/>
      <c r="BJ14" s="86">
        <f t="shared" ref="BJ14:BJ78" si="8">SUM(BK14:BV14)</f>
        <v>7</v>
      </c>
      <c r="BK14" s="170">
        <v>7</v>
      </c>
      <c r="BL14" s="198"/>
      <c r="BM14" s="91"/>
      <c r="BN14" s="91"/>
      <c r="BO14" s="91"/>
      <c r="BP14" s="91"/>
      <c r="BQ14" s="91"/>
      <c r="BR14" s="91"/>
      <c r="BS14" s="91"/>
      <c r="BT14" s="91"/>
      <c r="BU14" s="91"/>
      <c r="BV14" s="39"/>
    </row>
    <row r="15" spans="2:79" ht="30" x14ac:dyDescent="0.25">
      <c r="B15" s="139">
        <v>3</v>
      </c>
      <c r="C15" s="142" t="s">
        <v>251</v>
      </c>
      <c r="D15" s="141" t="s">
        <v>110</v>
      </c>
      <c r="E15" s="164" t="s">
        <v>106</v>
      </c>
      <c r="F15" s="132"/>
      <c r="G15" s="150" t="s">
        <v>195</v>
      </c>
      <c r="H15" s="151" t="s">
        <v>95</v>
      </c>
      <c r="I15" s="152" t="str">
        <f t="shared" si="0"/>
        <v>R</v>
      </c>
      <c r="J15" s="154">
        <v>3</v>
      </c>
      <c r="K15" s="155"/>
      <c r="L15" s="155">
        <v>0</v>
      </c>
      <c r="M15" s="101">
        <v>0.99930555555555556</v>
      </c>
      <c r="N15" s="40">
        <f t="shared" si="1"/>
        <v>15.747916666666667</v>
      </c>
      <c r="O15" s="58">
        <f t="shared" ref="O15:O79" si="9">IF(P15="-",5,IF(10-(P15/60)&gt;10,10+(P15/60*10),10-(P15/60)))</f>
        <v>7.4666666666666668</v>
      </c>
      <c r="P15" s="58">
        <f t="shared" si="6"/>
        <v>152.00000000000003</v>
      </c>
      <c r="Q15" s="126">
        <v>0.21388888888888891</v>
      </c>
      <c r="R15" s="92"/>
      <c r="S15" s="103">
        <f t="shared" si="2"/>
        <v>0</v>
      </c>
      <c r="T15" s="49">
        <f t="shared" si="7"/>
        <v>4.53125</v>
      </c>
      <c r="U15" s="36">
        <f>AK15-$AC$13</f>
        <v>3</v>
      </c>
      <c r="V15" s="36">
        <f>AL15-$AD$13</f>
        <v>5</v>
      </c>
      <c r="W15" s="36">
        <f>AM15-$AE$13</f>
        <v>7</v>
      </c>
      <c r="X15" s="36">
        <f>$AF$13-AN15</f>
        <v>2</v>
      </c>
      <c r="Y15" s="36">
        <f>AO15-$AG$13</f>
        <v>5</v>
      </c>
      <c r="Z15" s="36">
        <f t="shared" si="3"/>
        <v>7</v>
      </c>
      <c r="AA15" s="36">
        <f t="shared" si="3"/>
        <v>3</v>
      </c>
      <c r="AB15" s="48">
        <f>AR15-$AJ$13</f>
        <v>4.25</v>
      </c>
      <c r="AK15" s="156">
        <v>9</v>
      </c>
      <c r="AL15" s="157">
        <v>8</v>
      </c>
      <c r="AM15" s="157">
        <v>9</v>
      </c>
      <c r="AN15" s="157">
        <v>7</v>
      </c>
      <c r="AO15" s="157">
        <v>9</v>
      </c>
      <c r="AP15" s="157">
        <v>9</v>
      </c>
      <c r="AQ15" s="157">
        <v>5</v>
      </c>
      <c r="AR15" s="158">
        <v>5</v>
      </c>
      <c r="AS15" s="40">
        <f t="shared" si="4"/>
        <v>3.75</v>
      </c>
      <c r="AT15" s="169">
        <f t="shared" ref="AT15:AT82" si="10">AU15*AV15</f>
        <v>0</v>
      </c>
      <c r="AU15" s="176">
        <v>5</v>
      </c>
      <c r="AV15" s="180">
        <f t="shared" ref="AV15:AV82" si="11">IF(AW15=1,1,IF(AW15=2,0.9,IF(AW15=3,0.8,IF(AW15=4,0.7,IF(AW15=5,0.6,IF(AW15=6,0.5,IF(AW15=7,0.4,IF(AW15=8,0.3,IF(AW15=9,0.2,IF(AW15=10,0.1,IF(AW15=0,0,0)))))))))))</f>
        <v>0</v>
      </c>
      <c r="AW15" s="184"/>
      <c r="AX15" s="36" t="str">
        <f t="shared" ref="AX15:AX82" si="12">IF($AZ$13&gt;=BA15,"YA","TIDAK")</f>
        <v>YA</v>
      </c>
      <c r="AY15" s="189">
        <f t="shared" ref="AY15:AY82" si="13">IF($AZ$13-BA15&gt;0,$AZ$13-BA15,"0")</f>
        <v>0.76</v>
      </c>
      <c r="AZ15" s="10"/>
      <c r="BA15" s="193">
        <v>0.25</v>
      </c>
      <c r="BB15" s="86">
        <f t="shared" ref="BB15:BB82" si="14">BC15+BD15</f>
        <v>8</v>
      </c>
      <c r="BC15" s="205">
        <v>8</v>
      </c>
      <c r="BD15" s="37"/>
      <c r="BE15" s="86">
        <f t="shared" si="5"/>
        <v>0</v>
      </c>
      <c r="BF15" s="38"/>
      <c r="BG15" s="211"/>
      <c r="BH15" s="163">
        <v>1</v>
      </c>
      <c r="BI15" s="162">
        <v>8</v>
      </c>
      <c r="BJ15" s="86">
        <f t="shared" si="8"/>
        <v>7</v>
      </c>
      <c r="BK15" s="170">
        <v>7</v>
      </c>
      <c r="BL15" s="198"/>
      <c r="BM15" s="91"/>
      <c r="BN15" s="91"/>
      <c r="BO15" s="91"/>
      <c r="BP15" s="91"/>
      <c r="BQ15" s="91"/>
      <c r="BR15" s="91"/>
      <c r="BS15" s="91"/>
      <c r="BT15" s="91"/>
      <c r="BU15" s="91"/>
      <c r="BV15" s="39"/>
    </row>
    <row r="16" spans="2:79" ht="15.75" thickBot="1" x14ac:dyDescent="0.3">
      <c r="B16" s="139">
        <v>4</v>
      </c>
      <c r="C16" s="143" t="s">
        <v>89</v>
      </c>
      <c r="D16" s="141" t="s">
        <v>111</v>
      </c>
      <c r="E16" s="164" t="s">
        <v>13</v>
      </c>
      <c r="F16" s="132"/>
      <c r="G16" s="150" t="s">
        <v>318</v>
      </c>
      <c r="H16" s="151" t="s">
        <v>93</v>
      </c>
      <c r="I16" s="152" t="str">
        <f>IF(R16&gt;0,IF(S16-$P$11&gt;0,"I","R"),"R")</f>
        <v>R</v>
      </c>
      <c r="J16" s="154">
        <v>-1</v>
      </c>
      <c r="K16" s="155"/>
      <c r="L16" s="155">
        <v>3</v>
      </c>
      <c r="M16" s="104">
        <v>7</v>
      </c>
      <c r="N16" s="40">
        <f t="shared" si="1"/>
        <v>14.489583333333332</v>
      </c>
      <c r="O16" s="58">
        <f t="shared" si="9"/>
        <v>7.8333333333333321</v>
      </c>
      <c r="P16" s="58">
        <f t="shared" si="6"/>
        <v>130.00000000000006</v>
      </c>
      <c r="Q16" s="126">
        <v>0.22916666666666666</v>
      </c>
      <c r="R16" s="92"/>
      <c r="S16" s="103">
        <f t="shared" si="2"/>
        <v>0.99930555555555556</v>
      </c>
      <c r="T16" s="49">
        <f t="shared" si="7"/>
        <v>2.65625</v>
      </c>
      <c r="U16" s="36">
        <f t="shared" ref="U16:U82" si="15">AK16-$AC$13</f>
        <v>2</v>
      </c>
      <c r="V16" s="36">
        <f t="shared" ref="V16:V82" si="16">AL16-$AD$13</f>
        <v>5</v>
      </c>
      <c r="W16" s="36">
        <f t="shared" ref="W16:W82" si="17">AM16-$AE$13</f>
        <v>6</v>
      </c>
      <c r="X16" s="36">
        <f t="shared" ref="X16:X82" si="18">$AF$13-AN16</f>
        <v>5</v>
      </c>
      <c r="Y16" s="36">
        <f t="shared" ref="Y16:Y82" si="19">AO16-$AG$13</f>
        <v>1</v>
      </c>
      <c r="Z16" s="36">
        <f t="shared" ref="Z16:Z82" si="20">AP16-$AH$13</f>
        <v>0</v>
      </c>
      <c r="AA16" s="36">
        <f t="shared" ref="AA16:AA82" si="21">AQ16-$AH$13</f>
        <v>0</v>
      </c>
      <c r="AB16" s="48">
        <f t="shared" ref="AB16:AB82" si="22">AR16-$AJ$13</f>
        <v>2.25</v>
      </c>
      <c r="AK16" s="156">
        <v>8</v>
      </c>
      <c r="AL16" s="157">
        <v>8</v>
      </c>
      <c r="AM16" s="157">
        <v>8</v>
      </c>
      <c r="AN16" s="157">
        <v>4</v>
      </c>
      <c r="AO16" s="157">
        <v>5</v>
      </c>
      <c r="AP16" s="157">
        <v>2</v>
      </c>
      <c r="AQ16" s="157">
        <v>2</v>
      </c>
      <c r="AR16" s="158">
        <v>3</v>
      </c>
      <c r="AS16" s="40">
        <f t="shared" si="4"/>
        <v>4</v>
      </c>
      <c r="AT16" s="169">
        <f t="shared" si="10"/>
        <v>0</v>
      </c>
      <c r="AU16" s="176">
        <v>5</v>
      </c>
      <c r="AV16" s="180">
        <f t="shared" si="11"/>
        <v>0</v>
      </c>
      <c r="AW16" s="184"/>
      <c r="AX16" s="36" t="str">
        <f t="shared" si="12"/>
        <v>YA</v>
      </c>
      <c r="AY16" s="189">
        <f t="shared" si="13"/>
        <v>1.0000000000000009E-2</v>
      </c>
      <c r="AZ16" s="10"/>
      <c r="BA16" s="193">
        <v>1</v>
      </c>
      <c r="BB16" s="35">
        <f t="shared" si="14"/>
        <v>8</v>
      </c>
      <c r="BC16" s="205">
        <v>8</v>
      </c>
      <c r="BD16" s="41"/>
      <c r="BE16" s="86">
        <f t="shared" si="5"/>
        <v>0</v>
      </c>
      <c r="BF16" s="42"/>
      <c r="BG16" s="213"/>
      <c r="BH16" s="163"/>
      <c r="BI16" s="162"/>
      <c r="BJ16" s="86">
        <f t="shared" si="8"/>
        <v>8</v>
      </c>
      <c r="BK16" s="170">
        <v>8</v>
      </c>
      <c r="BL16" s="198"/>
      <c r="BM16" s="91"/>
      <c r="BN16" s="91"/>
      <c r="BO16" s="91"/>
      <c r="BP16" s="91"/>
      <c r="BQ16" s="91"/>
      <c r="BR16" s="91"/>
      <c r="BS16" s="91"/>
      <c r="BT16" s="91"/>
      <c r="BU16" s="91"/>
      <c r="BV16" s="39"/>
    </row>
    <row r="17" spans="1:74" ht="30" x14ac:dyDescent="0.25">
      <c r="B17" s="139">
        <v>5</v>
      </c>
      <c r="C17" s="143" t="s">
        <v>88</v>
      </c>
      <c r="D17" s="141" t="s">
        <v>112</v>
      </c>
      <c r="E17" s="164" t="s">
        <v>20</v>
      </c>
      <c r="F17" s="132"/>
      <c r="G17" s="150" t="s">
        <v>195</v>
      </c>
      <c r="H17" s="151" t="s">
        <v>93</v>
      </c>
      <c r="I17" s="152" t="str">
        <f t="shared" si="0"/>
        <v>R</v>
      </c>
      <c r="J17" s="154">
        <v>3</v>
      </c>
      <c r="K17" s="155"/>
      <c r="L17" s="155">
        <v>0</v>
      </c>
      <c r="M17" s="88"/>
      <c r="N17" s="40">
        <f t="shared" si="1"/>
        <v>15.739583333333332</v>
      </c>
      <c r="O17" s="58">
        <f t="shared" si="9"/>
        <v>7.8333333333333321</v>
      </c>
      <c r="P17" s="58">
        <f t="shared" si="6"/>
        <v>130.00000000000006</v>
      </c>
      <c r="Q17" s="126">
        <v>0.22916666666666666</v>
      </c>
      <c r="R17" s="92"/>
      <c r="S17" s="103">
        <f t="shared" si="2"/>
        <v>0</v>
      </c>
      <c r="T17" s="49">
        <f t="shared" si="7"/>
        <v>4.65625</v>
      </c>
      <c r="U17" s="36">
        <f t="shared" si="15"/>
        <v>3</v>
      </c>
      <c r="V17" s="36">
        <f t="shared" si="16"/>
        <v>5</v>
      </c>
      <c r="W17" s="36">
        <f t="shared" si="17"/>
        <v>7</v>
      </c>
      <c r="X17" s="36">
        <f t="shared" si="18"/>
        <v>3</v>
      </c>
      <c r="Y17" s="36">
        <f t="shared" si="19"/>
        <v>5</v>
      </c>
      <c r="Z17" s="36">
        <f t="shared" si="20"/>
        <v>7</v>
      </c>
      <c r="AA17" s="36">
        <f t="shared" si="21"/>
        <v>1</v>
      </c>
      <c r="AB17" s="48">
        <f t="shared" si="22"/>
        <v>6.25</v>
      </c>
      <c r="AK17" s="156">
        <v>9</v>
      </c>
      <c r="AL17" s="157">
        <v>8</v>
      </c>
      <c r="AM17" s="157">
        <v>9</v>
      </c>
      <c r="AN17" s="157">
        <v>6</v>
      </c>
      <c r="AO17" s="157">
        <v>9</v>
      </c>
      <c r="AP17" s="157">
        <v>9</v>
      </c>
      <c r="AQ17" s="157">
        <v>3</v>
      </c>
      <c r="AR17" s="158">
        <v>7</v>
      </c>
      <c r="AS17" s="40">
        <f t="shared" si="4"/>
        <v>3.25</v>
      </c>
      <c r="AT17" s="169">
        <f t="shared" si="10"/>
        <v>0</v>
      </c>
      <c r="AU17" s="176">
        <v>2</v>
      </c>
      <c r="AV17" s="180">
        <f t="shared" si="11"/>
        <v>0</v>
      </c>
      <c r="AW17" s="184"/>
      <c r="AX17" s="36" t="str">
        <f t="shared" si="12"/>
        <v>YA</v>
      </c>
      <c r="AY17" s="189">
        <f t="shared" si="13"/>
        <v>0.26</v>
      </c>
      <c r="AZ17" s="10"/>
      <c r="BA17" s="193">
        <v>0.75</v>
      </c>
      <c r="BB17" s="86">
        <f t="shared" si="14"/>
        <v>10</v>
      </c>
      <c r="BC17" s="205">
        <v>10</v>
      </c>
      <c r="BD17" s="37"/>
      <c r="BE17" s="86">
        <f t="shared" si="5"/>
        <v>0</v>
      </c>
      <c r="BF17" s="38"/>
      <c r="BG17" s="211"/>
      <c r="BH17" s="163">
        <v>1</v>
      </c>
      <c r="BI17" s="162">
        <v>5</v>
      </c>
      <c r="BJ17" s="86">
        <f t="shared" si="8"/>
        <v>3</v>
      </c>
      <c r="BK17" s="170">
        <v>3</v>
      </c>
      <c r="BL17" s="198"/>
      <c r="BM17" s="91"/>
      <c r="BN17" s="91"/>
      <c r="BO17" s="91"/>
      <c r="BP17" s="91"/>
      <c r="BQ17" s="91"/>
      <c r="BR17" s="91"/>
      <c r="BS17" s="91"/>
      <c r="BT17" s="91"/>
      <c r="BU17" s="91"/>
      <c r="BV17" s="39"/>
    </row>
    <row r="18" spans="1:74" ht="30" x14ac:dyDescent="0.25">
      <c r="B18" s="139">
        <v>6</v>
      </c>
      <c r="C18" s="143" t="s">
        <v>88</v>
      </c>
      <c r="D18" s="141" t="s">
        <v>113</v>
      </c>
      <c r="E18" s="164" t="s">
        <v>21</v>
      </c>
      <c r="F18" s="134"/>
      <c r="G18" s="150" t="s">
        <v>195</v>
      </c>
      <c r="H18" s="151" t="s">
        <v>93</v>
      </c>
      <c r="I18" s="152" t="str">
        <f t="shared" si="0"/>
        <v>R</v>
      </c>
      <c r="J18" s="154">
        <v>3</v>
      </c>
      <c r="K18" s="155"/>
      <c r="L18" s="155">
        <v>0</v>
      </c>
      <c r="M18" s="88"/>
      <c r="N18" s="40">
        <f t="shared" si="1"/>
        <v>15.806249999999999</v>
      </c>
      <c r="O18" s="58">
        <f t="shared" si="9"/>
        <v>7.8999999999999986</v>
      </c>
      <c r="P18" s="82">
        <f t="shared" si="6"/>
        <v>126.00000000000007</v>
      </c>
      <c r="Q18" s="126">
        <v>0.23194444444444443</v>
      </c>
      <c r="R18" s="92"/>
      <c r="S18" s="103">
        <f t="shared" si="2"/>
        <v>0</v>
      </c>
      <c r="T18" s="49">
        <f t="shared" si="7"/>
        <v>4.65625</v>
      </c>
      <c r="U18" s="36">
        <f>AK18-$AC$13</f>
        <v>3</v>
      </c>
      <c r="V18" s="36">
        <f>AL18-$AD$13</f>
        <v>5</v>
      </c>
      <c r="W18" s="36">
        <f>AM18-$AE$13</f>
        <v>7</v>
      </c>
      <c r="X18" s="36">
        <f>$AF$13-AN18</f>
        <v>3</v>
      </c>
      <c r="Y18" s="36">
        <f>AO18-$AG$13</f>
        <v>5</v>
      </c>
      <c r="Z18" s="36">
        <f>AP18-$AH$13</f>
        <v>7</v>
      </c>
      <c r="AA18" s="36">
        <f>AQ18-$AH$13</f>
        <v>1</v>
      </c>
      <c r="AB18" s="48">
        <f>AR18-$AJ$13</f>
        <v>6.25</v>
      </c>
      <c r="AK18" s="156">
        <v>9</v>
      </c>
      <c r="AL18" s="157">
        <v>8</v>
      </c>
      <c r="AM18" s="157">
        <v>9</v>
      </c>
      <c r="AN18" s="157">
        <v>6</v>
      </c>
      <c r="AO18" s="157">
        <v>9</v>
      </c>
      <c r="AP18" s="157">
        <v>9</v>
      </c>
      <c r="AQ18" s="157">
        <v>3</v>
      </c>
      <c r="AR18" s="158">
        <v>7</v>
      </c>
      <c r="AS18" s="40">
        <f t="shared" si="4"/>
        <v>3.25</v>
      </c>
      <c r="AT18" s="169">
        <f>AU18*AV18</f>
        <v>0</v>
      </c>
      <c r="AU18" s="176">
        <v>2</v>
      </c>
      <c r="AV18" s="180">
        <f>IF(AW18=1,1,IF(AW18=2,0.9,IF(AW18=3,0.8,IF(AW18=4,0.7,IF(AW18=5,0.6,IF(AW18=6,0.5,IF(AW18=7,0.4,IF(AW18=8,0.3,IF(AW18=9,0.2,IF(AW18=10,0.1,IF(AW18=0,0,0)))))))))))</f>
        <v>0</v>
      </c>
      <c r="AW18" s="184"/>
      <c r="AX18" s="36" t="str">
        <f>IF($AZ$13&gt;=BA18,"YA","TIDAK")</f>
        <v>YA</v>
      </c>
      <c r="AY18" s="189">
        <f>IF($AZ$13-BA18&gt;0,$AZ$13-BA18,"0")</f>
        <v>0.26</v>
      </c>
      <c r="AZ18" s="10"/>
      <c r="BA18" s="193">
        <v>0.75</v>
      </c>
      <c r="BB18" s="86">
        <f>BC18+BD18</f>
        <v>10</v>
      </c>
      <c r="BC18" s="205">
        <v>10</v>
      </c>
      <c r="BD18" s="37"/>
      <c r="BE18" s="86">
        <f t="shared" si="5"/>
        <v>0</v>
      </c>
      <c r="BF18" s="38"/>
      <c r="BG18" s="211"/>
      <c r="BH18" s="163">
        <v>1</v>
      </c>
      <c r="BI18" s="162">
        <v>5</v>
      </c>
      <c r="BJ18" s="86">
        <f t="shared" si="8"/>
        <v>3</v>
      </c>
      <c r="BK18" s="170">
        <v>3</v>
      </c>
      <c r="BL18" s="198"/>
      <c r="BM18" s="91"/>
      <c r="BN18" s="91"/>
      <c r="BO18" s="91"/>
      <c r="BP18" s="91"/>
      <c r="BQ18" s="91"/>
      <c r="BR18" s="91"/>
      <c r="BS18" s="91"/>
      <c r="BT18" s="91"/>
      <c r="BU18" s="91"/>
      <c r="BV18" s="39"/>
    </row>
    <row r="19" spans="1:74" x14ac:dyDescent="0.25">
      <c r="B19" s="139">
        <v>7</v>
      </c>
      <c r="C19" s="143" t="s">
        <v>88</v>
      </c>
      <c r="D19" s="141" t="s">
        <v>114</v>
      </c>
      <c r="E19" s="164" t="s">
        <v>252</v>
      </c>
      <c r="F19" s="132"/>
      <c r="G19" s="150" t="s">
        <v>195</v>
      </c>
      <c r="H19" s="151" t="s">
        <v>93</v>
      </c>
      <c r="I19" s="152" t="str">
        <f t="shared" si="0"/>
        <v>R</v>
      </c>
      <c r="J19" s="154">
        <v>3</v>
      </c>
      <c r="K19" s="155"/>
      <c r="L19" s="155">
        <v>0</v>
      </c>
      <c r="M19" s="88"/>
      <c r="N19" s="40">
        <f t="shared" si="1"/>
        <v>15.889583333333333</v>
      </c>
      <c r="O19" s="58">
        <f t="shared" si="9"/>
        <v>7.9833333333333325</v>
      </c>
      <c r="P19" s="58">
        <f t="shared" si="6"/>
        <v>121.00000000000009</v>
      </c>
      <c r="Q19" s="126">
        <v>0.23541666666666664</v>
      </c>
      <c r="R19" s="92"/>
      <c r="S19" s="103">
        <f t="shared" si="2"/>
        <v>0</v>
      </c>
      <c r="T19" s="49">
        <f t="shared" si="7"/>
        <v>4.65625</v>
      </c>
      <c r="U19" s="36">
        <f t="shared" si="15"/>
        <v>3</v>
      </c>
      <c r="V19" s="36">
        <f t="shared" si="16"/>
        <v>5</v>
      </c>
      <c r="W19" s="36">
        <f t="shared" si="17"/>
        <v>7</v>
      </c>
      <c r="X19" s="36">
        <f t="shared" si="18"/>
        <v>3</v>
      </c>
      <c r="Y19" s="36">
        <f t="shared" si="19"/>
        <v>5</v>
      </c>
      <c r="Z19" s="36">
        <f t="shared" si="20"/>
        <v>7</v>
      </c>
      <c r="AA19" s="36">
        <f t="shared" si="21"/>
        <v>1</v>
      </c>
      <c r="AB19" s="48">
        <f t="shared" si="22"/>
        <v>6.25</v>
      </c>
      <c r="AK19" s="156">
        <v>9</v>
      </c>
      <c r="AL19" s="157">
        <v>8</v>
      </c>
      <c r="AM19" s="157">
        <v>9</v>
      </c>
      <c r="AN19" s="157">
        <v>6</v>
      </c>
      <c r="AO19" s="157">
        <v>9</v>
      </c>
      <c r="AP19" s="157">
        <v>9</v>
      </c>
      <c r="AQ19" s="157">
        <v>3</v>
      </c>
      <c r="AR19" s="158">
        <v>7</v>
      </c>
      <c r="AS19" s="40">
        <f t="shared" si="4"/>
        <v>3.25</v>
      </c>
      <c r="AT19" s="169">
        <f t="shared" si="10"/>
        <v>0</v>
      </c>
      <c r="AU19" s="176">
        <v>2</v>
      </c>
      <c r="AV19" s="180">
        <f t="shared" si="11"/>
        <v>0</v>
      </c>
      <c r="AW19" s="184"/>
      <c r="AX19" s="36" t="str">
        <f t="shared" si="12"/>
        <v>YA</v>
      </c>
      <c r="AY19" s="189">
        <f t="shared" si="13"/>
        <v>0.26</v>
      </c>
      <c r="AZ19" s="10"/>
      <c r="BA19" s="193">
        <v>0.75</v>
      </c>
      <c r="BB19" s="86">
        <f t="shared" si="14"/>
        <v>10</v>
      </c>
      <c r="BC19" s="205">
        <v>10</v>
      </c>
      <c r="BD19" s="37"/>
      <c r="BE19" s="86">
        <f t="shared" si="5"/>
        <v>0</v>
      </c>
      <c r="BF19" s="38"/>
      <c r="BG19" s="211"/>
      <c r="BH19" s="163">
        <v>1</v>
      </c>
      <c r="BI19" s="162">
        <v>5</v>
      </c>
      <c r="BJ19" s="86">
        <f t="shared" si="8"/>
        <v>3</v>
      </c>
      <c r="BK19" s="170">
        <v>3</v>
      </c>
      <c r="BL19" s="198"/>
      <c r="BM19" s="91"/>
      <c r="BN19" s="91"/>
      <c r="BO19" s="91"/>
      <c r="BP19" s="91"/>
      <c r="BQ19" s="91"/>
      <c r="BR19" s="91"/>
      <c r="BS19" s="91"/>
      <c r="BT19" s="91"/>
      <c r="BU19" s="91"/>
      <c r="BV19" s="39"/>
    </row>
    <row r="20" spans="1:74" x14ac:dyDescent="0.25">
      <c r="B20" s="139">
        <v>8</v>
      </c>
      <c r="C20" s="143" t="s">
        <v>88</v>
      </c>
      <c r="D20" s="141" t="s">
        <v>115</v>
      </c>
      <c r="E20" s="164" t="s">
        <v>253</v>
      </c>
      <c r="F20" s="132"/>
      <c r="G20" s="150" t="s">
        <v>195</v>
      </c>
      <c r="H20" s="151" t="s">
        <v>93</v>
      </c>
      <c r="I20" s="152" t="str">
        <f t="shared" si="0"/>
        <v>R</v>
      </c>
      <c r="J20" s="154">
        <v>3</v>
      </c>
      <c r="K20" s="155"/>
      <c r="L20" s="155">
        <v>0</v>
      </c>
      <c r="M20" s="88"/>
      <c r="N20" s="40">
        <f t="shared" si="1"/>
        <v>16.006249999999998</v>
      </c>
      <c r="O20" s="58">
        <f t="shared" si="9"/>
        <v>8.0999999999999979</v>
      </c>
      <c r="P20" s="58">
        <f t="shared" si="6"/>
        <v>114.00000000000007</v>
      </c>
      <c r="Q20" s="126">
        <v>0.24027777777777776</v>
      </c>
      <c r="R20" s="92"/>
      <c r="S20" s="103">
        <f t="shared" si="2"/>
        <v>0</v>
      </c>
      <c r="T20" s="49">
        <f t="shared" si="7"/>
        <v>4.65625</v>
      </c>
      <c r="U20" s="36">
        <f>AK20-$AC$13</f>
        <v>3</v>
      </c>
      <c r="V20" s="36">
        <f>AL20-$AD$13</f>
        <v>5</v>
      </c>
      <c r="W20" s="36">
        <f>AM20-$AE$13</f>
        <v>7</v>
      </c>
      <c r="X20" s="36">
        <f>$AF$13-AN20</f>
        <v>3</v>
      </c>
      <c r="Y20" s="36">
        <f>AO20-$AG$13</f>
        <v>5</v>
      </c>
      <c r="Z20" s="36">
        <f>AP20-$AH$13</f>
        <v>7</v>
      </c>
      <c r="AA20" s="36">
        <f>AQ20-$AH$13</f>
        <v>1</v>
      </c>
      <c r="AB20" s="48">
        <f>AR20-$AJ$13</f>
        <v>6.25</v>
      </c>
      <c r="AK20" s="156">
        <v>9</v>
      </c>
      <c r="AL20" s="157">
        <v>8</v>
      </c>
      <c r="AM20" s="157">
        <v>9</v>
      </c>
      <c r="AN20" s="157">
        <v>6</v>
      </c>
      <c r="AO20" s="157">
        <v>9</v>
      </c>
      <c r="AP20" s="157">
        <v>9</v>
      </c>
      <c r="AQ20" s="157">
        <v>3</v>
      </c>
      <c r="AR20" s="158">
        <v>7</v>
      </c>
      <c r="AS20" s="40">
        <f t="shared" si="4"/>
        <v>3.25</v>
      </c>
      <c r="AT20" s="169">
        <f>AU20*AV20</f>
        <v>0</v>
      </c>
      <c r="AU20" s="176">
        <v>2</v>
      </c>
      <c r="AV20" s="180">
        <f>IF(AW20=1,1,IF(AW20=2,0.9,IF(AW20=3,0.8,IF(AW20=4,0.7,IF(AW20=5,0.6,IF(AW20=6,0.5,IF(AW20=7,0.4,IF(AW20=8,0.3,IF(AW20=9,0.2,IF(AW20=10,0.1,IF(AW20=0,0,0)))))))))))</f>
        <v>0</v>
      </c>
      <c r="AW20" s="184"/>
      <c r="AX20" s="36" t="str">
        <f>IF($AZ$13&gt;=BA20,"YA","TIDAK")</f>
        <v>YA</v>
      </c>
      <c r="AY20" s="189">
        <f>IF($AZ$13-BA20&gt;0,$AZ$13-BA20,"0")</f>
        <v>0.26</v>
      </c>
      <c r="AZ20" s="10"/>
      <c r="BA20" s="193">
        <v>0.75</v>
      </c>
      <c r="BB20" s="86">
        <f>BC20+BD20</f>
        <v>10</v>
      </c>
      <c r="BC20" s="205">
        <v>10</v>
      </c>
      <c r="BD20" s="37"/>
      <c r="BE20" s="86">
        <f t="shared" si="5"/>
        <v>0</v>
      </c>
      <c r="BF20" s="47"/>
      <c r="BG20" s="214"/>
      <c r="BH20" s="163">
        <v>1</v>
      </c>
      <c r="BI20" s="162">
        <v>5</v>
      </c>
      <c r="BJ20" s="86">
        <f t="shared" si="8"/>
        <v>3</v>
      </c>
      <c r="BK20" s="170">
        <v>3</v>
      </c>
      <c r="BL20" s="198"/>
      <c r="BM20" s="91"/>
      <c r="BN20" s="91"/>
      <c r="BO20" s="91"/>
      <c r="BP20" s="91"/>
      <c r="BQ20" s="91"/>
      <c r="BR20" s="91"/>
      <c r="BS20" s="91"/>
      <c r="BT20" s="91"/>
      <c r="BU20" s="91"/>
      <c r="BV20" s="39"/>
    </row>
    <row r="21" spans="1:74" x14ac:dyDescent="0.25">
      <c r="B21" s="139">
        <v>9</v>
      </c>
      <c r="C21" s="143" t="s">
        <v>88</v>
      </c>
      <c r="D21" s="141" t="s">
        <v>116</v>
      </c>
      <c r="E21" s="164" t="s">
        <v>254</v>
      </c>
      <c r="F21" s="132"/>
      <c r="G21" s="150" t="s">
        <v>195</v>
      </c>
      <c r="H21" s="151" t="s">
        <v>93</v>
      </c>
      <c r="I21" s="152" t="str">
        <f t="shared" si="0"/>
        <v>R</v>
      </c>
      <c r="J21" s="154">
        <v>3</v>
      </c>
      <c r="K21" s="155"/>
      <c r="L21" s="155">
        <v>0</v>
      </c>
      <c r="M21" s="88"/>
      <c r="N21" s="40">
        <f t="shared" si="1"/>
        <v>16.039583333333333</v>
      </c>
      <c r="O21" s="58">
        <f t="shared" si="9"/>
        <v>8.1333333333333329</v>
      </c>
      <c r="P21" s="58">
        <f t="shared" si="6"/>
        <v>112.00000000000009</v>
      </c>
      <c r="Q21" s="126">
        <v>0.24166666666666664</v>
      </c>
      <c r="R21" s="92"/>
      <c r="S21" s="105">
        <f t="shared" si="2"/>
        <v>0</v>
      </c>
      <c r="T21" s="49">
        <f t="shared" si="7"/>
        <v>4.65625</v>
      </c>
      <c r="U21" s="36">
        <f t="shared" si="15"/>
        <v>3</v>
      </c>
      <c r="V21" s="36">
        <f t="shared" si="16"/>
        <v>5</v>
      </c>
      <c r="W21" s="36">
        <f t="shared" si="17"/>
        <v>7</v>
      </c>
      <c r="X21" s="36">
        <f t="shared" si="18"/>
        <v>3</v>
      </c>
      <c r="Y21" s="36">
        <f t="shared" si="19"/>
        <v>5</v>
      </c>
      <c r="Z21" s="36">
        <f t="shared" si="20"/>
        <v>7</v>
      </c>
      <c r="AA21" s="36">
        <f t="shared" si="21"/>
        <v>1</v>
      </c>
      <c r="AB21" s="48">
        <f t="shared" si="22"/>
        <v>6.25</v>
      </c>
      <c r="AK21" s="156">
        <v>9</v>
      </c>
      <c r="AL21" s="157">
        <v>8</v>
      </c>
      <c r="AM21" s="157">
        <v>9</v>
      </c>
      <c r="AN21" s="157">
        <v>6</v>
      </c>
      <c r="AO21" s="157">
        <v>9</v>
      </c>
      <c r="AP21" s="157">
        <v>9</v>
      </c>
      <c r="AQ21" s="157">
        <v>3</v>
      </c>
      <c r="AR21" s="158">
        <v>7</v>
      </c>
      <c r="AS21" s="40">
        <f t="shared" si="4"/>
        <v>3.25</v>
      </c>
      <c r="AT21" s="169">
        <f t="shared" si="10"/>
        <v>0</v>
      </c>
      <c r="AU21" s="176">
        <v>2</v>
      </c>
      <c r="AV21" s="181">
        <f t="shared" si="11"/>
        <v>0</v>
      </c>
      <c r="AW21" s="184"/>
      <c r="AX21" s="36" t="str">
        <f t="shared" si="12"/>
        <v>YA</v>
      </c>
      <c r="AY21" s="189">
        <f t="shared" si="13"/>
        <v>0.26</v>
      </c>
      <c r="AZ21" s="10"/>
      <c r="BA21" s="193">
        <v>0.75</v>
      </c>
      <c r="BB21" s="86">
        <f t="shared" si="14"/>
        <v>10</v>
      </c>
      <c r="BC21" s="205">
        <v>10</v>
      </c>
      <c r="BD21" s="37"/>
      <c r="BE21" s="86">
        <f t="shared" si="5"/>
        <v>0</v>
      </c>
      <c r="BF21" s="42"/>
      <c r="BG21" s="213"/>
      <c r="BH21" s="163">
        <v>1</v>
      </c>
      <c r="BI21" s="162">
        <v>5</v>
      </c>
      <c r="BJ21" s="86">
        <f t="shared" si="8"/>
        <v>3</v>
      </c>
      <c r="BK21" s="170">
        <v>3</v>
      </c>
      <c r="BL21" s="198"/>
      <c r="BM21" s="91"/>
      <c r="BN21" s="91"/>
      <c r="BO21" s="91"/>
      <c r="BP21" s="91"/>
      <c r="BQ21" s="91"/>
      <c r="BR21" s="91"/>
      <c r="BS21" s="91"/>
      <c r="BT21" s="91"/>
      <c r="BU21" s="91"/>
      <c r="BV21" s="39"/>
    </row>
    <row r="22" spans="1:74" x14ac:dyDescent="0.25">
      <c r="B22" s="139">
        <v>10</v>
      </c>
      <c r="C22" s="143" t="s">
        <v>88</v>
      </c>
      <c r="D22" s="141" t="s">
        <v>117</v>
      </c>
      <c r="E22" s="164" t="s">
        <v>255</v>
      </c>
      <c r="F22" s="134"/>
      <c r="G22" s="150" t="s">
        <v>195</v>
      </c>
      <c r="H22" s="151" t="s">
        <v>93</v>
      </c>
      <c r="I22" s="152" t="str">
        <f t="shared" si="0"/>
        <v>R</v>
      </c>
      <c r="J22" s="154">
        <v>3</v>
      </c>
      <c r="K22" s="155"/>
      <c r="L22" s="155">
        <v>0</v>
      </c>
      <c r="M22" s="88"/>
      <c r="N22" s="40">
        <f t="shared" si="1"/>
        <v>16.139583333333334</v>
      </c>
      <c r="O22" s="58">
        <f t="shared" si="9"/>
        <v>8.2333333333333325</v>
      </c>
      <c r="P22" s="58">
        <f t="shared" si="6"/>
        <v>106.00000000000006</v>
      </c>
      <c r="Q22" s="126">
        <v>0.24583333333333332</v>
      </c>
      <c r="R22" s="92"/>
      <c r="S22" s="103">
        <f t="shared" si="2"/>
        <v>0</v>
      </c>
      <c r="T22" s="49">
        <f t="shared" si="7"/>
        <v>4.65625</v>
      </c>
      <c r="U22" s="36">
        <f t="shared" si="15"/>
        <v>3</v>
      </c>
      <c r="V22" s="36">
        <f t="shared" si="16"/>
        <v>5</v>
      </c>
      <c r="W22" s="36">
        <f t="shared" si="17"/>
        <v>7</v>
      </c>
      <c r="X22" s="36">
        <f t="shared" si="18"/>
        <v>3</v>
      </c>
      <c r="Y22" s="36">
        <f t="shared" si="19"/>
        <v>5</v>
      </c>
      <c r="Z22" s="36">
        <f t="shared" si="20"/>
        <v>7</v>
      </c>
      <c r="AA22" s="36">
        <f t="shared" si="21"/>
        <v>1</v>
      </c>
      <c r="AB22" s="48">
        <f t="shared" si="22"/>
        <v>6.25</v>
      </c>
      <c r="AK22" s="156">
        <v>9</v>
      </c>
      <c r="AL22" s="157">
        <v>8</v>
      </c>
      <c r="AM22" s="157">
        <v>9</v>
      </c>
      <c r="AN22" s="157">
        <v>6</v>
      </c>
      <c r="AO22" s="157">
        <v>9</v>
      </c>
      <c r="AP22" s="157">
        <v>9</v>
      </c>
      <c r="AQ22" s="157">
        <v>3</v>
      </c>
      <c r="AR22" s="158">
        <v>7</v>
      </c>
      <c r="AS22" s="40">
        <f t="shared" si="4"/>
        <v>3.25</v>
      </c>
      <c r="AT22" s="169">
        <f t="shared" si="10"/>
        <v>0</v>
      </c>
      <c r="AU22" s="176">
        <v>2</v>
      </c>
      <c r="AV22" s="180">
        <f t="shared" si="11"/>
        <v>0</v>
      </c>
      <c r="AW22" s="184"/>
      <c r="AX22" s="36" t="str">
        <f t="shared" si="12"/>
        <v>YA</v>
      </c>
      <c r="AY22" s="189">
        <f t="shared" si="13"/>
        <v>0.26</v>
      </c>
      <c r="AZ22" s="10"/>
      <c r="BA22" s="193">
        <v>0.75</v>
      </c>
      <c r="BB22" s="86">
        <f t="shared" si="14"/>
        <v>10</v>
      </c>
      <c r="BC22" s="205">
        <v>10</v>
      </c>
      <c r="BD22" s="37"/>
      <c r="BE22" s="86">
        <f t="shared" si="5"/>
        <v>0</v>
      </c>
      <c r="BF22" s="38"/>
      <c r="BG22" s="211"/>
      <c r="BH22" s="163">
        <v>1</v>
      </c>
      <c r="BI22" s="162">
        <v>5</v>
      </c>
      <c r="BJ22" s="86">
        <f t="shared" si="8"/>
        <v>3</v>
      </c>
      <c r="BK22" s="170">
        <v>3</v>
      </c>
      <c r="BL22" s="198"/>
      <c r="BM22" s="91"/>
      <c r="BN22" s="91"/>
      <c r="BO22" s="91"/>
      <c r="BP22" s="91"/>
      <c r="BQ22" s="91"/>
      <c r="BR22" s="91"/>
      <c r="BS22" s="91"/>
      <c r="BT22" s="91"/>
      <c r="BU22" s="91"/>
      <c r="BV22" s="39"/>
    </row>
    <row r="23" spans="1:74" s="24" customFormat="1" x14ac:dyDescent="0.25">
      <c r="A23" s="88"/>
      <c r="B23" s="139">
        <v>11</v>
      </c>
      <c r="C23" s="143" t="s">
        <v>88</v>
      </c>
      <c r="D23" s="141" t="s">
        <v>118</v>
      </c>
      <c r="E23" s="164" t="s">
        <v>5</v>
      </c>
      <c r="F23" s="134"/>
      <c r="G23" s="150" t="s">
        <v>195</v>
      </c>
      <c r="H23" s="151" t="s">
        <v>93</v>
      </c>
      <c r="I23" s="152" t="str">
        <f t="shared" si="0"/>
        <v>R</v>
      </c>
      <c r="J23" s="154">
        <v>3</v>
      </c>
      <c r="K23" s="155"/>
      <c r="L23" s="155">
        <v>0</v>
      </c>
      <c r="M23" s="88"/>
      <c r="N23" s="40">
        <f t="shared" si="1"/>
        <v>16.189583333333331</v>
      </c>
      <c r="O23" s="58">
        <f t="shared" si="9"/>
        <v>8.2833333333333314</v>
      </c>
      <c r="P23" s="58">
        <f t="shared" si="6"/>
        <v>103.00000000000007</v>
      </c>
      <c r="Q23" s="126">
        <v>0.24791666666666665</v>
      </c>
      <c r="R23" s="92"/>
      <c r="S23" s="103">
        <f t="shared" si="2"/>
        <v>0</v>
      </c>
      <c r="T23" s="49">
        <f t="shared" si="7"/>
        <v>4.65625</v>
      </c>
      <c r="U23" s="36">
        <f t="shared" si="15"/>
        <v>3</v>
      </c>
      <c r="V23" s="36">
        <f t="shared" si="16"/>
        <v>5</v>
      </c>
      <c r="W23" s="36">
        <f t="shared" si="17"/>
        <v>7</v>
      </c>
      <c r="X23" s="36">
        <f t="shared" si="18"/>
        <v>3</v>
      </c>
      <c r="Y23" s="36">
        <f t="shared" si="19"/>
        <v>5</v>
      </c>
      <c r="Z23" s="36">
        <f t="shared" si="20"/>
        <v>7</v>
      </c>
      <c r="AA23" s="36">
        <f t="shared" si="21"/>
        <v>1</v>
      </c>
      <c r="AB23" s="48">
        <f t="shared" si="22"/>
        <v>6.25</v>
      </c>
      <c r="AC23" s="1"/>
      <c r="AD23" s="1"/>
      <c r="AE23" s="1"/>
      <c r="AF23" s="1"/>
      <c r="AG23" s="1"/>
      <c r="AH23" s="1"/>
      <c r="AI23" s="1"/>
      <c r="AJ23" s="1"/>
      <c r="AK23" s="156">
        <v>9</v>
      </c>
      <c r="AL23" s="157">
        <v>8</v>
      </c>
      <c r="AM23" s="157">
        <v>9</v>
      </c>
      <c r="AN23" s="157">
        <v>6</v>
      </c>
      <c r="AO23" s="157">
        <v>9</v>
      </c>
      <c r="AP23" s="157">
        <v>9</v>
      </c>
      <c r="AQ23" s="157">
        <v>3</v>
      </c>
      <c r="AR23" s="158">
        <v>7</v>
      </c>
      <c r="AS23" s="40">
        <f t="shared" si="4"/>
        <v>3.25</v>
      </c>
      <c r="AT23" s="169">
        <f t="shared" si="10"/>
        <v>0</v>
      </c>
      <c r="AU23" s="176">
        <v>2</v>
      </c>
      <c r="AV23" s="180">
        <f t="shared" si="11"/>
        <v>0</v>
      </c>
      <c r="AW23" s="184"/>
      <c r="AX23" s="36" t="str">
        <f t="shared" si="12"/>
        <v>YA</v>
      </c>
      <c r="AY23" s="189">
        <f t="shared" si="13"/>
        <v>0.26</v>
      </c>
      <c r="AZ23" s="10"/>
      <c r="BA23" s="193">
        <v>0.75</v>
      </c>
      <c r="BB23" s="86">
        <f t="shared" si="14"/>
        <v>10</v>
      </c>
      <c r="BC23" s="205">
        <v>10</v>
      </c>
      <c r="BD23" s="37"/>
      <c r="BE23" s="86">
        <f t="shared" si="5"/>
        <v>0</v>
      </c>
      <c r="BF23" s="38"/>
      <c r="BG23" s="211"/>
      <c r="BH23" s="163">
        <v>1</v>
      </c>
      <c r="BI23" s="162">
        <v>5</v>
      </c>
      <c r="BJ23" s="86">
        <f t="shared" si="8"/>
        <v>3</v>
      </c>
      <c r="BK23" s="170">
        <v>3</v>
      </c>
      <c r="BL23" s="198"/>
      <c r="BM23" s="91"/>
      <c r="BN23" s="91"/>
      <c r="BO23" s="91"/>
      <c r="BP23" s="91"/>
      <c r="BQ23" s="91"/>
      <c r="BR23" s="91"/>
      <c r="BS23" s="91"/>
      <c r="BT23" s="91"/>
      <c r="BU23" s="91"/>
      <c r="BV23" s="39"/>
    </row>
    <row r="24" spans="1:74" s="24" customFormat="1" x14ac:dyDescent="0.25">
      <c r="A24" s="88"/>
      <c r="B24" s="139">
        <v>12</v>
      </c>
      <c r="C24" s="143" t="s">
        <v>88</v>
      </c>
      <c r="D24" s="141" t="s">
        <v>119</v>
      </c>
      <c r="E24" s="164" t="s">
        <v>6</v>
      </c>
      <c r="F24" s="134"/>
      <c r="G24" s="150" t="s">
        <v>195</v>
      </c>
      <c r="H24" s="151" t="s">
        <v>93</v>
      </c>
      <c r="I24" s="152" t="str">
        <f t="shared" si="0"/>
        <v>R</v>
      </c>
      <c r="J24" s="154">
        <v>3</v>
      </c>
      <c r="K24" s="155"/>
      <c r="L24" s="155">
        <v>0</v>
      </c>
      <c r="M24" s="88"/>
      <c r="N24" s="40">
        <f t="shared" si="1"/>
        <v>16.322916666666664</v>
      </c>
      <c r="O24" s="58">
        <f t="shared" si="9"/>
        <v>8.4166666666666661</v>
      </c>
      <c r="P24" s="58">
        <f t="shared" si="6"/>
        <v>95.000000000000057</v>
      </c>
      <c r="Q24" s="126">
        <v>0.25347222222222221</v>
      </c>
      <c r="R24" s="92"/>
      <c r="S24" s="103">
        <f t="shared" si="2"/>
        <v>0</v>
      </c>
      <c r="T24" s="49">
        <f t="shared" si="7"/>
        <v>4.65625</v>
      </c>
      <c r="U24" s="36">
        <f t="shared" si="15"/>
        <v>3</v>
      </c>
      <c r="V24" s="36">
        <f t="shared" si="16"/>
        <v>5</v>
      </c>
      <c r="W24" s="36">
        <f t="shared" si="17"/>
        <v>7</v>
      </c>
      <c r="X24" s="36">
        <f t="shared" si="18"/>
        <v>3</v>
      </c>
      <c r="Y24" s="36">
        <f t="shared" si="19"/>
        <v>5</v>
      </c>
      <c r="Z24" s="36">
        <f t="shared" si="20"/>
        <v>7</v>
      </c>
      <c r="AA24" s="36">
        <f t="shared" si="21"/>
        <v>1</v>
      </c>
      <c r="AB24" s="48">
        <f t="shared" si="22"/>
        <v>6.25</v>
      </c>
      <c r="AC24" s="1"/>
      <c r="AD24" s="1"/>
      <c r="AE24" s="1"/>
      <c r="AF24" s="1"/>
      <c r="AG24" s="1"/>
      <c r="AH24" s="1"/>
      <c r="AI24" s="1"/>
      <c r="AJ24" s="1"/>
      <c r="AK24" s="156">
        <v>9</v>
      </c>
      <c r="AL24" s="157">
        <v>8</v>
      </c>
      <c r="AM24" s="157">
        <v>9</v>
      </c>
      <c r="AN24" s="157">
        <v>6</v>
      </c>
      <c r="AO24" s="157">
        <v>9</v>
      </c>
      <c r="AP24" s="157">
        <v>9</v>
      </c>
      <c r="AQ24" s="157">
        <v>3</v>
      </c>
      <c r="AR24" s="158">
        <v>7</v>
      </c>
      <c r="AS24" s="40">
        <f t="shared" si="4"/>
        <v>3.25</v>
      </c>
      <c r="AT24" s="169">
        <f t="shared" si="10"/>
        <v>0</v>
      </c>
      <c r="AU24" s="176">
        <v>2</v>
      </c>
      <c r="AV24" s="180">
        <f t="shared" si="11"/>
        <v>0</v>
      </c>
      <c r="AW24" s="184"/>
      <c r="AX24" s="36" t="str">
        <f t="shared" si="12"/>
        <v>YA</v>
      </c>
      <c r="AY24" s="189">
        <f t="shared" si="13"/>
        <v>0.26</v>
      </c>
      <c r="AZ24" s="10"/>
      <c r="BA24" s="193">
        <v>0.75</v>
      </c>
      <c r="BB24" s="86">
        <f t="shared" si="14"/>
        <v>10</v>
      </c>
      <c r="BC24" s="205">
        <v>10</v>
      </c>
      <c r="BD24" s="37"/>
      <c r="BE24" s="86">
        <f t="shared" si="5"/>
        <v>0</v>
      </c>
      <c r="BF24" s="38"/>
      <c r="BG24" s="211"/>
      <c r="BH24" s="163">
        <v>1</v>
      </c>
      <c r="BI24" s="162">
        <v>5</v>
      </c>
      <c r="BJ24" s="86">
        <f t="shared" si="8"/>
        <v>3</v>
      </c>
      <c r="BK24" s="170">
        <v>3</v>
      </c>
      <c r="BL24" s="198"/>
      <c r="BM24" s="91"/>
      <c r="BN24" s="91"/>
      <c r="BO24" s="91"/>
      <c r="BP24" s="91"/>
      <c r="BQ24" s="91"/>
      <c r="BR24" s="91"/>
      <c r="BS24" s="91"/>
      <c r="BT24" s="91"/>
      <c r="BU24" s="91"/>
      <c r="BV24" s="39"/>
    </row>
    <row r="25" spans="1:74" x14ac:dyDescent="0.25">
      <c r="B25" s="139">
        <v>13</v>
      </c>
      <c r="C25" s="143" t="s">
        <v>88</v>
      </c>
      <c r="D25" s="141" t="s">
        <v>120</v>
      </c>
      <c r="E25" s="164" t="s">
        <v>7</v>
      </c>
      <c r="F25" s="134"/>
      <c r="G25" s="150" t="s">
        <v>195</v>
      </c>
      <c r="H25" s="151" t="s">
        <v>93</v>
      </c>
      <c r="I25" s="152" t="str">
        <f t="shared" si="0"/>
        <v>R</v>
      </c>
      <c r="J25" s="154">
        <v>3</v>
      </c>
      <c r="K25" s="155"/>
      <c r="L25" s="155">
        <v>0</v>
      </c>
      <c r="M25" s="88"/>
      <c r="N25" s="40">
        <f t="shared" si="1"/>
        <v>16.422916666666666</v>
      </c>
      <c r="O25" s="58">
        <f t="shared" si="9"/>
        <v>8.5166666666666657</v>
      </c>
      <c r="P25" s="58">
        <f t="shared" si="6"/>
        <v>89.000000000000085</v>
      </c>
      <c r="Q25" s="126">
        <v>0.25763888888888886</v>
      </c>
      <c r="R25" s="92"/>
      <c r="S25" s="103">
        <f t="shared" si="2"/>
        <v>0</v>
      </c>
      <c r="T25" s="49">
        <f t="shared" si="7"/>
        <v>4.65625</v>
      </c>
      <c r="U25" s="36">
        <f t="shared" si="15"/>
        <v>3</v>
      </c>
      <c r="V25" s="36">
        <f t="shared" si="16"/>
        <v>5</v>
      </c>
      <c r="W25" s="36">
        <f t="shared" si="17"/>
        <v>7</v>
      </c>
      <c r="X25" s="36">
        <f t="shared" si="18"/>
        <v>3</v>
      </c>
      <c r="Y25" s="36">
        <f t="shared" si="19"/>
        <v>5</v>
      </c>
      <c r="Z25" s="36">
        <f t="shared" si="20"/>
        <v>7</v>
      </c>
      <c r="AA25" s="36">
        <f t="shared" si="21"/>
        <v>1</v>
      </c>
      <c r="AB25" s="48">
        <f t="shared" si="22"/>
        <v>6.25</v>
      </c>
      <c r="AK25" s="156">
        <v>9</v>
      </c>
      <c r="AL25" s="157">
        <v>8</v>
      </c>
      <c r="AM25" s="157">
        <v>9</v>
      </c>
      <c r="AN25" s="157">
        <v>6</v>
      </c>
      <c r="AO25" s="157">
        <v>9</v>
      </c>
      <c r="AP25" s="157">
        <v>9</v>
      </c>
      <c r="AQ25" s="157">
        <v>3</v>
      </c>
      <c r="AR25" s="158">
        <v>7</v>
      </c>
      <c r="AS25" s="40">
        <f t="shared" si="4"/>
        <v>3.25</v>
      </c>
      <c r="AT25" s="169">
        <f t="shared" si="10"/>
        <v>0</v>
      </c>
      <c r="AU25" s="176">
        <v>2</v>
      </c>
      <c r="AV25" s="180">
        <f t="shared" si="11"/>
        <v>0</v>
      </c>
      <c r="AW25" s="184"/>
      <c r="AX25" s="36" t="str">
        <f t="shared" si="12"/>
        <v>YA</v>
      </c>
      <c r="AY25" s="189">
        <f t="shared" si="13"/>
        <v>0.26</v>
      </c>
      <c r="AZ25" s="10"/>
      <c r="BA25" s="193">
        <v>0.75</v>
      </c>
      <c r="BB25" s="86">
        <f t="shared" si="14"/>
        <v>10</v>
      </c>
      <c r="BC25" s="205">
        <v>10</v>
      </c>
      <c r="BD25" s="37"/>
      <c r="BE25" s="86">
        <f t="shared" si="5"/>
        <v>0</v>
      </c>
      <c r="BF25" s="38"/>
      <c r="BG25" s="211"/>
      <c r="BH25" s="163">
        <v>1</v>
      </c>
      <c r="BI25" s="162">
        <v>5</v>
      </c>
      <c r="BJ25" s="86">
        <f t="shared" si="8"/>
        <v>3</v>
      </c>
      <c r="BK25" s="170">
        <v>3</v>
      </c>
      <c r="BL25" s="198"/>
      <c r="BM25" s="91"/>
      <c r="BN25" s="91"/>
      <c r="BO25" s="91"/>
      <c r="BP25" s="91"/>
      <c r="BQ25" s="91"/>
      <c r="BR25" s="91"/>
      <c r="BS25" s="91"/>
      <c r="BT25" s="91"/>
      <c r="BU25" s="91"/>
      <c r="BV25" s="39"/>
    </row>
    <row r="26" spans="1:74" s="87" customFormat="1" x14ac:dyDescent="0.25">
      <c r="B26" s="222">
        <v>14</v>
      </c>
      <c r="C26" s="220" t="s">
        <v>88</v>
      </c>
      <c r="D26" s="221" t="s">
        <v>331</v>
      </c>
      <c r="E26" s="218" t="s">
        <v>332</v>
      </c>
      <c r="F26" s="223"/>
      <c r="G26" s="224" t="s">
        <v>195</v>
      </c>
      <c r="H26" s="225" t="s">
        <v>93</v>
      </c>
      <c r="I26" s="226" t="str">
        <f t="shared" ref="I26" si="23">IF(R26&gt;0,IF(S26-$P$11&gt;0,"I","R"),"R")</f>
        <v>R</v>
      </c>
      <c r="J26" s="227">
        <v>3</v>
      </c>
      <c r="K26" s="228"/>
      <c r="L26" s="228">
        <v>0</v>
      </c>
      <c r="M26" s="95"/>
      <c r="N26" s="229">
        <f t="shared" ref="N26" si="24">IF(I26="I",0,IF(AX26="YA",O26+T26+AS26,0))</f>
        <v>16.467916666666667</v>
      </c>
      <c r="O26" s="230">
        <f t="shared" ref="O26" si="25">IF(P26="-",5,IF(10-(P26/60)&gt;10,10+(P26/60*10),10-(P26/60)))</f>
        <v>8.5616666666666656</v>
      </c>
      <c r="P26" s="230">
        <f t="shared" ref="P26" si="26">IF(Q26="-","-",IF((Q26-$P$11)*1440&gt;1,(Q26-$P$11)*1440,-1*(Q26-$P$11)*1440))</f>
        <v>86.300000000000068</v>
      </c>
      <c r="Q26" s="231">
        <v>0.25951388888888888</v>
      </c>
      <c r="R26" s="231"/>
      <c r="S26" s="232">
        <f t="shared" ref="S26" si="27">IF(L26=0,0,IF(L26=1,R26+$M$13,IF(L26=2,R26+$M$14,IF(L26=3,R26+$M$15,IF(L26=4,R26+$M$16,0)))))</f>
        <v>0</v>
      </c>
      <c r="T26" s="233">
        <f t="shared" ref="T26" si="28">SUM(U26:AB26)/8</f>
        <v>4.65625</v>
      </c>
      <c r="U26" s="234">
        <f t="shared" ref="U26" si="29">AK26-$AC$13</f>
        <v>3</v>
      </c>
      <c r="V26" s="234">
        <f t="shared" ref="V26" si="30">AL26-$AD$13</f>
        <v>5</v>
      </c>
      <c r="W26" s="234">
        <f t="shared" ref="W26" si="31">AM26-$AE$13</f>
        <v>7</v>
      </c>
      <c r="X26" s="234">
        <f t="shared" ref="X26" si="32">$AF$13-AN26</f>
        <v>3</v>
      </c>
      <c r="Y26" s="234">
        <f t="shared" ref="Y26" si="33">AO26-$AG$13</f>
        <v>5</v>
      </c>
      <c r="Z26" s="234">
        <f t="shared" ref="Z26" si="34">AP26-$AH$13</f>
        <v>7</v>
      </c>
      <c r="AA26" s="234">
        <f t="shared" ref="AA26" si="35">AQ26-$AH$13</f>
        <v>1</v>
      </c>
      <c r="AB26" s="235">
        <f t="shared" ref="AB26" si="36">AR26-$AJ$13</f>
        <v>6.25</v>
      </c>
      <c r="AC26" s="95"/>
      <c r="AD26" s="95"/>
      <c r="AE26" s="95"/>
      <c r="AF26" s="95"/>
      <c r="AG26" s="95"/>
      <c r="AH26" s="95"/>
      <c r="AI26" s="95"/>
      <c r="AJ26" s="95"/>
      <c r="AK26" s="236">
        <v>9</v>
      </c>
      <c r="AL26" s="237">
        <v>8</v>
      </c>
      <c r="AM26" s="237">
        <v>9</v>
      </c>
      <c r="AN26" s="237">
        <v>6</v>
      </c>
      <c r="AO26" s="237">
        <v>9</v>
      </c>
      <c r="AP26" s="237">
        <v>9</v>
      </c>
      <c r="AQ26" s="237">
        <v>3</v>
      </c>
      <c r="AR26" s="238">
        <v>7</v>
      </c>
      <c r="AS26" s="229">
        <f t="shared" si="4"/>
        <v>3.25</v>
      </c>
      <c r="AT26" s="239">
        <f t="shared" si="10"/>
        <v>0</v>
      </c>
      <c r="AU26" s="240">
        <v>2</v>
      </c>
      <c r="AV26" s="241">
        <f t="shared" si="11"/>
        <v>0</v>
      </c>
      <c r="AW26" s="242"/>
      <c r="AX26" s="234" t="str">
        <f t="shared" ref="AX26" si="37">IF($AZ$13&gt;=BA26,"YA","TIDAK")</f>
        <v>YA</v>
      </c>
      <c r="AY26" s="243">
        <f t="shared" ref="AY26" si="38">IF($AZ$13-BA26&gt;0,$AZ$13-BA26,"0")</f>
        <v>0.26</v>
      </c>
      <c r="AZ26" s="244"/>
      <c r="BA26" s="245">
        <v>0.75</v>
      </c>
      <c r="BB26" s="246">
        <f t="shared" ref="BB26" si="39">BC26+BD26</f>
        <v>10</v>
      </c>
      <c r="BC26" s="247">
        <v>10</v>
      </c>
      <c r="BD26" s="248"/>
      <c r="BE26" s="246">
        <f t="shared" ref="BE26" si="40">BF26*BH26*BI26</f>
        <v>0</v>
      </c>
      <c r="BF26" s="249"/>
      <c r="BG26" s="249"/>
      <c r="BH26" s="250">
        <v>1</v>
      </c>
      <c r="BI26" s="251">
        <v>5</v>
      </c>
      <c r="BJ26" s="246">
        <f t="shared" ref="BJ26" si="41">SUM(BK26:BV26)</f>
        <v>3</v>
      </c>
      <c r="BK26" s="252">
        <v>3</v>
      </c>
      <c r="BL26" s="253"/>
      <c r="BM26" s="254"/>
      <c r="BN26" s="254"/>
      <c r="BO26" s="254"/>
      <c r="BP26" s="254"/>
      <c r="BQ26" s="254"/>
      <c r="BR26" s="254"/>
      <c r="BS26" s="254"/>
      <c r="BT26" s="254"/>
      <c r="BU26" s="254"/>
      <c r="BV26" s="255"/>
    </row>
    <row r="27" spans="1:74" ht="30" x14ac:dyDescent="0.25">
      <c r="B27" s="139">
        <v>14</v>
      </c>
      <c r="C27" s="144" t="s">
        <v>156</v>
      </c>
      <c r="D27" s="141" t="s">
        <v>121</v>
      </c>
      <c r="E27" s="164" t="s">
        <v>22</v>
      </c>
      <c r="F27" s="134"/>
      <c r="G27" s="150" t="s">
        <v>195</v>
      </c>
      <c r="H27" s="151" t="s">
        <v>94</v>
      </c>
      <c r="I27" s="152" t="str">
        <f t="shared" si="0"/>
        <v>R</v>
      </c>
      <c r="J27" s="154">
        <v>2</v>
      </c>
      <c r="K27" s="155"/>
      <c r="L27" s="155">
        <v>0</v>
      </c>
      <c r="M27" s="88"/>
      <c r="N27" s="40">
        <f t="shared" si="1"/>
        <v>17.134583333333332</v>
      </c>
      <c r="O27" s="58">
        <f t="shared" si="9"/>
        <v>8.7283333333333317</v>
      </c>
      <c r="P27" s="58">
        <f t="shared" si="6"/>
        <v>76.300000000000097</v>
      </c>
      <c r="Q27" s="231">
        <v>0.2664583333333333</v>
      </c>
      <c r="R27" s="92"/>
      <c r="S27" s="103">
        <f t="shared" si="2"/>
        <v>0</v>
      </c>
      <c r="T27" s="49">
        <f t="shared" si="7"/>
        <v>4.65625</v>
      </c>
      <c r="U27" s="36">
        <f>AK27-$AC$13</f>
        <v>3</v>
      </c>
      <c r="V27" s="36">
        <f>AL27-$AD$13</f>
        <v>5</v>
      </c>
      <c r="W27" s="36">
        <f>AM27-$AE$13</f>
        <v>7</v>
      </c>
      <c r="X27" s="36">
        <f>$AF$13-AN27</f>
        <v>3</v>
      </c>
      <c r="Y27" s="36">
        <f>AO27-$AG$13</f>
        <v>5</v>
      </c>
      <c r="Z27" s="36">
        <f t="shared" ref="Z27:AA29" si="42">AP27-$AH$13</f>
        <v>7</v>
      </c>
      <c r="AA27" s="36">
        <f t="shared" si="42"/>
        <v>1</v>
      </c>
      <c r="AB27" s="48">
        <f>AR27-$AJ$13</f>
        <v>6.25</v>
      </c>
      <c r="AK27" s="156">
        <v>9</v>
      </c>
      <c r="AL27" s="157">
        <v>8</v>
      </c>
      <c r="AM27" s="157">
        <v>9</v>
      </c>
      <c r="AN27" s="157">
        <v>6</v>
      </c>
      <c r="AO27" s="157">
        <v>9</v>
      </c>
      <c r="AP27" s="157">
        <v>9</v>
      </c>
      <c r="AQ27" s="157">
        <v>3</v>
      </c>
      <c r="AR27" s="158">
        <v>7</v>
      </c>
      <c r="AS27" s="40">
        <f t="shared" si="4"/>
        <v>3.75</v>
      </c>
      <c r="AT27" s="169">
        <f>AU27*AV27</f>
        <v>0</v>
      </c>
      <c r="AU27" s="176">
        <v>4</v>
      </c>
      <c r="AV27" s="180">
        <f>IF(AW27=1,1,IF(AW27=2,0.9,IF(AW27=3,0.8,IF(AW27=4,0.7,IF(AW27=5,0.6,IF(AW27=6,0.5,IF(AW27=7,0.4,IF(AW27=8,0.3,IF(AW27=9,0.2,IF(AW27=10,0.1,IF(AW27=0,0,0)))))))))))</f>
        <v>0</v>
      </c>
      <c r="AW27" s="184"/>
      <c r="AX27" s="36" t="str">
        <f>IF($AZ$13&gt;=BA27,"YA","TIDAK")</f>
        <v>YA</v>
      </c>
      <c r="AY27" s="189">
        <f>IF($AZ$13-BA27&gt;0,$AZ$13-BA27,"0")</f>
        <v>0.26</v>
      </c>
      <c r="AZ27" s="10"/>
      <c r="BA27" s="193">
        <v>0.75</v>
      </c>
      <c r="BB27" s="86">
        <f>BC27+BD27</f>
        <v>10</v>
      </c>
      <c r="BC27" s="205">
        <v>10</v>
      </c>
      <c r="BD27" s="37"/>
      <c r="BE27" s="86">
        <f t="shared" si="5"/>
        <v>0</v>
      </c>
      <c r="BF27" s="38"/>
      <c r="BG27" s="211"/>
      <c r="BH27" s="163">
        <v>1</v>
      </c>
      <c r="BI27" s="162">
        <v>5</v>
      </c>
      <c r="BJ27" s="86">
        <f t="shared" si="8"/>
        <v>5</v>
      </c>
      <c r="BK27" s="170">
        <v>5</v>
      </c>
      <c r="BL27" s="198"/>
      <c r="BM27" s="91"/>
      <c r="BN27" s="91"/>
      <c r="BO27" s="91"/>
      <c r="BP27" s="91"/>
      <c r="BQ27" s="91"/>
      <c r="BR27" s="91"/>
      <c r="BS27" s="91"/>
      <c r="BT27" s="91"/>
      <c r="BU27" s="91"/>
      <c r="BV27" s="39"/>
    </row>
    <row r="28" spans="1:74" ht="30" x14ac:dyDescent="0.25">
      <c r="B28" s="139">
        <v>15</v>
      </c>
      <c r="C28" s="144" t="s">
        <v>256</v>
      </c>
      <c r="D28" s="141" t="s">
        <v>122</v>
      </c>
      <c r="E28" s="164" t="s">
        <v>23</v>
      </c>
      <c r="F28" s="134"/>
      <c r="G28" s="150" t="s">
        <v>195</v>
      </c>
      <c r="H28" s="151" t="s">
        <v>94</v>
      </c>
      <c r="I28" s="152" t="str">
        <f t="shared" si="0"/>
        <v>R</v>
      </c>
      <c r="J28" s="154">
        <v>2</v>
      </c>
      <c r="K28" s="155"/>
      <c r="L28" s="155">
        <v>0</v>
      </c>
      <c r="M28" s="88"/>
      <c r="N28" s="40">
        <f t="shared" si="1"/>
        <v>17.201249999999998</v>
      </c>
      <c r="O28" s="58">
        <f t="shared" si="9"/>
        <v>8.7949999999999982</v>
      </c>
      <c r="P28" s="58">
        <f t="shared" si="6"/>
        <v>72.300000000000111</v>
      </c>
      <c r="Q28" s="231">
        <v>0.26923611111111106</v>
      </c>
      <c r="R28" s="92"/>
      <c r="S28" s="103">
        <f t="shared" si="2"/>
        <v>0</v>
      </c>
      <c r="T28" s="49">
        <f t="shared" si="7"/>
        <v>4.65625</v>
      </c>
      <c r="U28" s="36">
        <f>AK28-$AC$13</f>
        <v>3</v>
      </c>
      <c r="V28" s="36">
        <f>AL28-$AD$13</f>
        <v>5</v>
      </c>
      <c r="W28" s="36">
        <f>AM28-$AE$13</f>
        <v>7</v>
      </c>
      <c r="X28" s="36">
        <f>$AF$13-AN28</f>
        <v>3</v>
      </c>
      <c r="Y28" s="36">
        <f>AO28-$AG$13</f>
        <v>5</v>
      </c>
      <c r="Z28" s="36">
        <f t="shared" si="42"/>
        <v>7</v>
      </c>
      <c r="AA28" s="36">
        <f t="shared" si="42"/>
        <v>1</v>
      </c>
      <c r="AB28" s="48">
        <f>AR28-$AJ$13</f>
        <v>6.25</v>
      </c>
      <c r="AK28" s="156">
        <v>9</v>
      </c>
      <c r="AL28" s="157">
        <v>8</v>
      </c>
      <c r="AM28" s="157">
        <v>9</v>
      </c>
      <c r="AN28" s="157">
        <v>6</v>
      </c>
      <c r="AO28" s="157">
        <v>9</v>
      </c>
      <c r="AP28" s="157">
        <v>9</v>
      </c>
      <c r="AQ28" s="157">
        <v>3</v>
      </c>
      <c r="AR28" s="158">
        <v>7</v>
      </c>
      <c r="AS28" s="40">
        <f t="shared" si="4"/>
        <v>3.75</v>
      </c>
      <c r="AT28" s="169">
        <f>AU28*AV28</f>
        <v>0</v>
      </c>
      <c r="AU28" s="176">
        <v>4</v>
      </c>
      <c r="AV28" s="180">
        <f>IF(AW28=1,1,IF(AW28=2,0.9,IF(AW28=3,0.8,IF(AW28=4,0.7,IF(AW28=5,0.6,IF(AW28=6,0.5,IF(AW28=7,0.4,IF(AW28=8,0.3,IF(AW28=9,0.2,IF(AW28=10,0.1,IF(AW28=0,0,0)))))))))))</f>
        <v>0</v>
      </c>
      <c r="AW28" s="184"/>
      <c r="AX28" s="36" t="str">
        <f>IF($AZ$13&gt;=BA28,"YA","TIDAK")</f>
        <v>YA</v>
      </c>
      <c r="AY28" s="189">
        <f>IF($AZ$13-BA28&gt;0,$AZ$13-BA28,"0")</f>
        <v>0.26</v>
      </c>
      <c r="AZ28" s="10"/>
      <c r="BA28" s="193">
        <v>0.75</v>
      </c>
      <c r="BB28" s="86">
        <f>BC28+BD28</f>
        <v>10</v>
      </c>
      <c r="BC28" s="205">
        <v>10</v>
      </c>
      <c r="BD28" s="37"/>
      <c r="BE28" s="86">
        <f t="shared" si="5"/>
        <v>0</v>
      </c>
      <c r="BF28" s="38"/>
      <c r="BG28" s="211"/>
      <c r="BH28" s="163">
        <v>1</v>
      </c>
      <c r="BI28" s="162">
        <v>5</v>
      </c>
      <c r="BJ28" s="86">
        <f t="shared" si="8"/>
        <v>5</v>
      </c>
      <c r="BK28" s="170">
        <v>5</v>
      </c>
      <c r="BL28" s="198"/>
      <c r="BM28" s="91"/>
      <c r="BN28" s="91"/>
      <c r="BO28" s="91"/>
      <c r="BP28" s="91"/>
      <c r="BQ28" s="91"/>
      <c r="BR28" s="91"/>
      <c r="BS28" s="91"/>
      <c r="BT28" s="91"/>
      <c r="BU28" s="91"/>
      <c r="BV28" s="39"/>
    </row>
    <row r="29" spans="1:74" x14ac:dyDescent="0.25">
      <c r="B29" s="139">
        <v>16</v>
      </c>
      <c r="C29" s="144" t="s">
        <v>235</v>
      </c>
      <c r="D29" s="141" t="s">
        <v>123</v>
      </c>
      <c r="E29" s="164" t="s">
        <v>257</v>
      </c>
      <c r="F29" s="134"/>
      <c r="G29" s="150" t="s">
        <v>195</v>
      </c>
      <c r="H29" s="151" t="s">
        <v>94</v>
      </c>
      <c r="I29" s="152" t="str">
        <f t="shared" si="0"/>
        <v>R</v>
      </c>
      <c r="J29" s="154">
        <v>2</v>
      </c>
      <c r="K29" s="155"/>
      <c r="L29" s="155">
        <v>0</v>
      </c>
      <c r="M29" s="88"/>
      <c r="N29" s="40">
        <f t="shared" si="1"/>
        <v>16.267916666666665</v>
      </c>
      <c r="O29" s="58">
        <f t="shared" si="9"/>
        <v>8.8616666666666646</v>
      </c>
      <c r="P29" s="58">
        <f t="shared" si="6"/>
        <v>68.300000000000125</v>
      </c>
      <c r="Q29" s="231">
        <v>0.27201388888888883</v>
      </c>
      <c r="R29" s="92"/>
      <c r="S29" s="103">
        <f t="shared" si="2"/>
        <v>0</v>
      </c>
      <c r="T29" s="49">
        <f t="shared" si="7"/>
        <v>4.65625</v>
      </c>
      <c r="U29" s="36">
        <f>AK29-$AC$13</f>
        <v>3</v>
      </c>
      <c r="V29" s="36">
        <f>AL29-$AD$13</f>
        <v>5</v>
      </c>
      <c r="W29" s="36">
        <f>AM29-$AE$13</f>
        <v>7</v>
      </c>
      <c r="X29" s="36">
        <f>$AF$13-AN29</f>
        <v>3</v>
      </c>
      <c r="Y29" s="36">
        <f>AO29-$AG$13</f>
        <v>5</v>
      </c>
      <c r="Z29" s="36">
        <f t="shared" si="42"/>
        <v>7</v>
      </c>
      <c r="AA29" s="36">
        <f t="shared" si="42"/>
        <v>1</v>
      </c>
      <c r="AB29" s="48">
        <f>AR29-$AJ$13</f>
        <v>6.25</v>
      </c>
      <c r="AK29" s="156">
        <v>9</v>
      </c>
      <c r="AL29" s="157">
        <v>8</v>
      </c>
      <c r="AM29" s="157">
        <v>9</v>
      </c>
      <c r="AN29" s="157">
        <v>6</v>
      </c>
      <c r="AO29" s="157">
        <v>9</v>
      </c>
      <c r="AP29" s="157">
        <v>9</v>
      </c>
      <c r="AQ29" s="157">
        <v>3</v>
      </c>
      <c r="AR29" s="158">
        <v>7</v>
      </c>
      <c r="AS29" s="40">
        <f t="shared" si="4"/>
        <v>2.75</v>
      </c>
      <c r="AT29" s="169">
        <f>AU29*AV29</f>
        <v>0</v>
      </c>
      <c r="AU29" s="176">
        <v>4</v>
      </c>
      <c r="AV29" s="180">
        <f>IF(AW29=1,1,IF(AW29=2,0.9,IF(AW29=3,0.8,IF(AW29=4,0.7,IF(AW29=5,0.6,IF(AW29=6,0.5,IF(AW29=7,0.4,IF(AW29=8,0.3,IF(AW29=9,0.2,IF(AW29=10,0.1,IF(AW29=0,0,0)))))))))))</f>
        <v>0</v>
      </c>
      <c r="AW29" s="184"/>
      <c r="AX29" s="36" t="str">
        <f>IF($AZ$13&gt;=BA29,"YA","TIDAK")</f>
        <v>YA</v>
      </c>
      <c r="AY29" s="189">
        <f>IF($AZ$13-BA29&gt;0,$AZ$13-BA29,"0")</f>
        <v>0.26</v>
      </c>
      <c r="AZ29" s="10"/>
      <c r="BA29" s="193">
        <v>0.75</v>
      </c>
      <c r="BB29" s="86">
        <f>BC29+BD29</f>
        <v>6</v>
      </c>
      <c r="BC29" s="205">
        <v>6</v>
      </c>
      <c r="BD29" s="37"/>
      <c r="BE29" s="86">
        <f t="shared" si="5"/>
        <v>0</v>
      </c>
      <c r="BF29" s="38"/>
      <c r="BG29" s="211"/>
      <c r="BH29" s="163">
        <v>1</v>
      </c>
      <c r="BI29" s="162">
        <v>5</v>
      </c>
      <c r="BJ29" s="86">
        <f t="shared" si="8"/>
        <v>5</v>
      </c>
      <c r="BK29" s="170">
        <v>5</v>
      </c>
      <c r="BL29" s="198"/>
      <c r="BM29" s="91"/>
      <c r="BN29" s="91"/>
      <c r="BO29" s="91"/>
      <c r="BP29" s="91"/>
      <c r="BQ29" s="91"/>
      <c r="BR29" s="91"/>
      <c r="BS29" s="91"/>
      <c r="BT29" s="91"/>
      <c r="BU29" s="91"/>
      <c r="BV29" s="39"/>
    </row>
    <row r="30" spans="1:74" x14ac:dyDescent="0.25">
      <c r="B30" s="139">
        <v>17</v>
      </c>
      <c r="C30" s="142" t="s">
        <v>258</v>
      </c>
      <c r="D30" s="141" t="s">
        <v>124</v>
      </c>
      <c r="E30" s="164" t="s">
        <v>259</v>
      </c>
      <c r="F30" s="134"/>
      <c r="G30" s="150" t="s">
        <v>195</v>
      </c>
      <c r="H30" s="151" t="s">
        <v>94</v>
      </c>
      <c r="I30" s="152" t="str">
        <f t="shared" si="0"/>
        <v>R</v>
      </c>
      <c r="J30" s="154">
        <v>2</v>
      </c>
      <c r="K30" s="155"/>
      <c r="L30" s="155">
        <v>0</v>
      </c>
      <c r="M30" s="88"/>
      <c r="N30" s="40">
        <f t="shared" si="1"/>
        <v>17.351249999999997</v>
      </c>
      <c r="O30" s="58">
        <f t="shared" si="9"/>
        <v>8.9449999999999967</v>
      </c>
      <c r="P30" s="58">
        <f t="shared" si="6"/>
        <v>63.300000000000139</v>
      </c>
      <c r="Q30" s="231">
        <v>0.27548611111111104</v>
      </c>
      <c r="R30" s="92"/>
      <c r="S30" s="103">
        <f t="shared" si="2"/>
        <v>0</v>
      </c>
      <c r="T30" s="49">
        <f t="shared" si="7"/>
        <v>4.65625</v>
      </c>
      <c r="U30" s="36">
        <f t="shared" si="15"/>
        <v>3</v>
      </c>
      <c r="V30" s="36">
        <f t="shared" si="16"/>
        <v>5</v>
      </c>
      <c r="W30" s="36">
        <f t="shared" si="17"/>
        <v>7</v>
      </c>
      <c r="X30" s="36">
        <f t="shared" si="18"/>
        <v>3</v>
      </c>
      <c r="Y30" s="36">
        <f t="shared" si="19"/>
        <v>5</v>
      </c>
      <c r="Z30" s="36">
        <f t="shared" si="20"/>
        <v>7</v>
      </c>
      <c r="AA30" s="36">
        <f t="shared" si="21"/>
        <v>1</v>
      </c>
      <c r="AB30" s="48">
        <f t="shared" si="22"/>
        <v>6.25</v>
      </c>
      <c r="AK30" s="156">
        <v>9</v>
      </c>
      <c r="AL30" s="157">
        <v>8</v>
      </c>
      <c r="AM30" s="157">
        <v>9</v>
      </c>
      <c r="AN30" s="157">
        <v>6</v>
      </c>
      <c r="AO30" s="157">
        <v>9</v>
      </c>
      <c r="AP30" s="157">
        <v>9</v>
      </c>
      <c r="AQ30" s="157">
        <v>3</v>
      </c>
      <c r="AR30" s="158">
        <v>7</v>
      </c>
      <c r="AS30" s="40">
        <f t="shared" si="4"/>
        <v>3.75</v>
      </c>
      <c r="AT30" s="169">
        <f t="shared" si="10"/>
        <v>0</v>
      </c>
      <c r="AU30" s="176">
        <v>4</v>
      </c>
      <c r="AV30" s="180">
        <f t="shared" si="11"/>
        <v>0</v>
      </c>
      <c r="AW30" s="184"/>
      <c r="AX30" s="36" t="str">
        <f t="shared" si="12"/>
        <v>YA</v>
      </c>
      <c r="AY30" s="189">
        <f t="shared" si="13"/>
        <v>0.26</v>
      </c>
      <c r="AZ30" s="10"/>
      <c r="BA30" s="193">
        <v>0.75</v>
      </c>
      <c r="BB30" s="86">
        <f t="shared" si="14"/>
        <v>10</v>
      </c>
      <c r="BC30" s="205">
        <v>10</v>
      </c>
      <c r="BD30" s="37"/>
      <c r="BE30" s="86">
        <f t="shared" si="5"/>
        <v>0</v>
      </c>
      <c r="BF30" s="38"/>
      <c r="BG30" s="211"/>
      <c r="BH30" s="163">
        <v>1</v>
      </c>
      <c r="BI30" s="162">
        <v>5</v>
      </c>
      <c r="BJ30" s="86">
        <f t="shared" si="8"/>
        <v>5</v>
      </c>
      <c r="BK30" s="170">
        <v>5</v>
      </c>
      <c r="BL30" s="198"/>
      <c r="BM30" s="91"/>
      <c r="BN30" s="91"/>
      <c r="BO30" s="91"/>
      <c r="BP30" s="91"/>
      <c r="BQ30" s="91"/>
      <c r="BR30" s="91"/>
      <c r="BS30" s="91"/>
      <c r="BT30" s="91"/>
      <c r="BU30" s="91"/>
      <c r="BV30" s="39"/>
    </row>
    <row r="31" spans="1:74" x14ac:dyDescent="0.25">
      <c r="B31" s="139">
        <v>18</v>
      </c>
      <c r="C31" s="142" t="s">
        <v>236</v>
      </c>
      <c r="D31" s="141" t="s">
        <v>125</v>
      </c>
      <c r="E31" s="164" t="s">
        <v>260</v>
      </c>
      <c r="F31" s="134"/>
      <c r="G31" s="150" t="s">
        <v>195</v>
      </c>
      <c r="H31" s="151" t="s">
        <v>94</v>
      </c>
      <c r="I31" s="152" t="str">
        <f t="shared" si="0"/>
        <v>R</v>
      </c>
      <c r="J31" s="154">
        <v>2</v>
      </c>
      <c r="K31" s="155"/>
      <c r="L31" s="155">
        <v>0</v>
      </c>
      <c r="M31" s="88"/>
      <c r="N31" s="40">
        <f t="shared" si="1"/>
        <v>16.951249999999995</v>
      </c>
      <c r="O31" s="58">
        <f t="shared" si="9"/>
        <v>9.0449999999999964</v>
      </c>
      <c r="P31" s="58">
        <f t="shared" si="6"/>
        <v>57.300000000000168</v>
      </c>
      <c r="Q31" s="231">
        <v>0.27965277777777769</v>
      </c>
      <c r="R31" s="92"/>
      <c r="S31" s="103">
        <f t="shared" si="2"/>
        <v>0</v>
      </c>
      <c r="T31" s="49">
        <f t="shared" si="7"/>
        <v>4.65625</v>
      </c>
      <c r="U31" s="36">
        <f t="shared" si="15"/>
        <v>3</v>
      </c>
      <c r="V31" s="36">
        <f t="shared" si="16"/>
        <v>5</v>
      </c>
      <c r="W31" s="36">
        <f t="shared" si="17"/>
        <v>7</v>
      </c>
      <c r="X31" s="36">
        <f t="shared" si="18"/>
        <v>3</v>
      </c>
      <c r="Y31" s="36">
        <f t="shared" si="19"/>
        <v>5</v>
      </c>
      <c r="Z31" s="36">
        <f t="shared" si="20"/>
        <v>7</v>
      </c>
      <c r="AA31" s="36">
        <f t="shared" si="21"/>
        <v>1</v>
      </c>
      <c r="AB31" s="48">
        <f t="shared" si="22"/>
        <v>6.25</v>
      </c>
      <c r="AK31" s="156">
        <v>9</v>
      </c>
      <c r="AL31" s="157">
        <v>8</v>
      </c>
      <c r="AM31" s="157">
        <v>9</v>
      </c>
      <c r="AN31" s="157">
        <v>6</v>
      </c>
      <c r="AO31" s="157">
        <v>9</v>
      </c>
      <c r="AP31" s="157">
        <v>9</v>
      </c>
      <c r="AQ31" s="157">
        <v>3</v>
      </c>
      <c r="AR31" s="158">
        <v>7</v>
      </c>
      <c r="AS31" s="40">
        <f t="shared" si="4"/>
        <v>3.25</v>
      </c>
      <c r="AT31" s="169">
        <f t="shared" si="10"/>
        <v>0</v>
      </c>
      <c r="AU31" s="176">
        <v>4</v>
      </c>
      <c r="AV31" s="180">
        <f t="shared" si="11"/>
        <v>0</v>
      </c>
      <c r="AW31" s="184"/>
      <c r="AX31" s="36" t="str">
        <f t="shared" si="12"/>
        <v>YA</v>
      </c>
      <c r="AY31" s="189">
        <f t="shared" si="13"/>
        <v>0.26</v>
      </c>
      <c r="AZ31" s="10"/>
      <c r="BA31" s="193">
        <v>0.75</v>
      </c>
      <c r="BB31" s="86">
        <f t="shared" si="14"/>
        <v>8</v>
      </c>
      <c r="BC31" s="205">
        <v>8</v>
      </c>
      <c r="BD31" s="37"/>
      <c r="BE31" s="86">
        <f t="shared" si="5"/>
        <v>0</v>
      </c>
      <c r="BF31" s="38"/>
      <c r="BG31" s="211"/>
      <c r="BH31" s="163">
        <v>1</v>
      </c>
      <c r="BI31" s="162">
        <v>5</v>
      </c>
      <c r="BJ31" s="86">
        <f t="shared" si="8"/>
        <v>5</v>
      </c>
      <c r="BK31" s="170">
        <v>5</v>
      </c>
      <c r="BL31" s="198"/>
      <c r="BM31" s="91"/>
      <c r="BN31" s="91"/>
      <c r="BO31" s="91"/>
      <c r="BP31" s="91"/>
      <c r="BQ31" s="91"/>
      <c r="BR31" s="91"/>
      <c r="BS31" s="91"/>
      <c r="BT31" s="91"/>
      <c r="BU31" s="91"/>
      <c r="BV31" s="39"/>
    </row>
    <row r="32" spans="1:74" x14ac:dyDescent="0.25">
      <c r="B32" s="139">
        <v>19</v>
      </c>
      <c r="C32" s="142" t="s">
        <v>139</v>
      </c>
      <c r="D32" s="141" t="s">
        <v>126</v>
      </c>
      <c r="E32" s="164" t="s">
        <v>10</v>
      </c>
      <c r="F32" s="134"/>
      <c r="G32" s="150" t="s">
        <v>195</v>
      </c>
      <c r="H32" s="151" t="s">
        <v>94</v>
      </c>
      <c r="I32" s="152" t="str">
        <f t="shared" si="0"/>
        <v>R</v>
      </c>
      <c r="J32" s="154">
        <v>2</v>
      </c>
      <c r="K32" s="155"/>
      <c r="L32" s="155">
        <v>0</v>
      </c>
      <c r="M32" s="88"/>
      <c r="N32" s="40">
        <f t="shared" si="1"/>
        <v>17.001249999999999</v>
      </c>
      <c r="O32" s="58">
        <f t="shared" si="9"/>
        <v>9.0949999999999971</v>
      </c>
      <c r="P32" s="58">
        <f t="shared" si="6"/>
        <v>54.300000000000175</v>
      </c>
      <c r="Q32" s="231">
        <v>0.28173611111111102</v>
      </c>
      <c r="R32" s="92"/>
      <c r="S32" s="103">
        <f t="shared" si="2"/>
        <v>0</v>
      </c>
      <c r="T32" s="49">
        <f t="shared" si="7"/>
        <v>4.65625</v>
      </c>
      <c r="U32" s="36">
        <f t="shared" si="15"/>
        <v>3</v>
      </c>
      <c r="V32" s="36">
        <f t="shared" si="16"/>
        <v>5</v>
      </c>
      <c r="W32" s="36">
        <f t="shared" si="17"/>
        <v>7</v>
      </c>
      <c r="X32" s="36">
        <f t="shared" si="18"/>
        <v>3</v>
      </c>
      <c r="Y32" s="36">
        <f t="shared" si="19"/>
        <v>5</v>
      </c>
      <c r="Z32" s="36">
        <f t="shared" si="20"/>
        <v>7</v>
      </c>
      <c r="AA32" s="36">
        <f t="shared" si="21"/>
        <v>1</v>
      </c>
      <c r="AB32" s="48">
        <f t="shared" si="22"/>
        <v>6.25</v>
      </c>
      <c r="AK32" s="156">
        <v>9</v>
      </c>
      <c r="AL32" s="157">
        <v>8</v>
      </c>
      <c r="AM32" s="157">
        <v>9</v>
      </c>
      <c r="AN32" s="157">
        <v>6</v>
      </c>
      <c r="AO32" s="157">
        <v>9</v>
      </c>
      <c r="AP32" s="157">
        <v>9</v>
      </c>
      <c r="AQ32" s="157">
        <v>3</v>
      </c>
      <c r="AR32" s="158">
        <v>7</v>
      </c>
      <c r="AS32" s="40">
        <f t="shared" si="4"/>
        <v>3.25</v>
      </c>
      <c r="AT32" s="169">
        <f t="shared" si="10"/>
        <v>0</v>
      </c>
      <c r="AU32" s="176">
        <v>4</v>
      </c>
      <c r="AV32" s="180">
        <f t="shared" si="11"/>
        <v>0</v>
      </c>
      <c r="AW32" s="184"/>
      <c r="AX32" s="36" t="str">
        <f t="shared" si="12"/>
        <v>YA</v>
      </c>
      <c r="AY32" s="189">
        <f t="shared" si="13"/>
        <v>0.26</v>
      </c>
      <c r="AZ32" s="10"/>
      <c r="BA32" s="193">
        <v>0.75</v>
      </c>
      <c r="BB32" s="86">
        <f t="shared" si="14"/>
        <v>8</v>
      </c>
      <c r="BC32" s="205">
        <v>8</v>
      </c>
      <c r="BD32" s="37"/>
      <c r="BE32" s="86">
        <f t="shared" si="5"/>
        <v>0</v>
      </c>
      <c r="BF32" s="38"/>
      <c r="BG32" s="211"/>
      <c r="BH32" s="163">
        <v>1</v>
      </c>
      <c r="BI32" s="162">
        <v>5</v>
      </c>
      <c r="BJ32" s="86">
        <f t="shared" si="8"/>
        <v>5</v>
      </c>
      <c r="BK32" s="170">
        <v>5</v>
      </c>
      <c r="BL32" s="198"/>
      <c r="BM32" s="91"/>
      <c r="BN32" s="91"/>
      <c r="BO32" s="91"/>
      <c r="BP32" s="91"/>
      <c r="BQ32" s="91"/>
      <c r="BR32" s="91"/>
      <c r="BS32" s="91"/>
      <c r="BT32" s="91"/>
      <c r="BU32" s="91"/>
      <c r="BV32" s="39"/>
    </row>
    <row r="33" spans="2:74" x14ac:dyDescent="0.25">
      <c r="B33" s="139">
        <v>20</v>
      </c>
      <c r="C33" s="142" t="s">
        <v>136</v>
      </c>
      <c r="D33" s="141" t="s">
        <v>127</v>
      </c>
      <c r="E33" s="164" t="s">
        <v>8</v>
      </c>
      <c r="F33" s="134"/>
      <c r="G33" s="150"/>
      <c r="H33" s="151"/>
      <c r="I33" s="152" t="str">
        <f t="shared" si="0"/>
        <v>R</v>
      </c>
      <c r="J33" s="154"/>
      <c r="K33" s="155"/>
      <c r="L33" s="155"/>
      <c r="M33" s="88"/>
      <c r="N33" s="40">
        <f t="shared" si="1"/>
        <v>13.88458333333333</v>
      </c>
      <c r="O33" s="58">
        <f t="shared" si="9"/>
        <v>9.2283333333333299</v>
      </c>
      <c r="P33" s="58">
        <f t="shared" si="6"/>
        <v>46.300000000000203</v>
      </c>
      <c r="Q33" s="231">
        <v>0.28729166666666656</v>
      </c>
      <c r="R33" s="92"/>
      <c r="S33" s="103">
        <f t="shared" si="2"/>
        <v>0</v>
      </c>
      <c r="T33" s="49">
        <f t="shared" si="7"/>
        <v>4.65625</v>
      </c>
      <c r="U33" s="36">
        <f t="shared" si="15"/>
        <v>3</v>
      </c>
      <c r="V33" s="36">
        <f t="shared" si="16"/>
        <v>5</v>
      </c>
      <c r="W33" s="36">
        <f t="shared" si="17"/>
        <v>7</v>
      </c>
      <c r="X33" s="36">
        <f t="shared" si="18"/>
        <v>3</v>
      </c>
      <c r="Y33" s="36">
        <f t="shared" si="19"/>
        <v>5</v>
      </c>
      <c r="Z33" s="36">
        <f t="shared" si="20"/>
        <v>7</v>
      </c>
      <c r="AA33" s="36">
        <f t="shared" si="21"/>
        <v>1</v>
      </c>
      <c r="AB33" s="48">
        <f t="shared" si="22"/>
        <v>6.25</v>
      </c>
      <c r="AK33" s="156">
        <v>9</v>
      </c>
      <c r="AL33" s="157">
        <v>8</v>
      </c>
      <c r="AM33" s="157">
        <v>9</v>
      </c>
      <c r="AN33" s="157">
        <v>6</v>
      </c>
      <c r="AO33" s="157">
        <v>9</v>
      </c>
      <c r="AP33" s="157">
        <v>9</v>
      </c>
      <c r="AQ33" s="157">
        <v>3</v>
      </c>
      <c r="AR33" s="158">
        <v>7</v>
      </c>
      <c r="AS33" s="40">
        <f t="shared" si="4"/>
        <v>0</v>
      </c>
      <c r="AT33" s="169">
        <f t="shared" si="10"/>
        <v>0</v>
      </c>
      <c r="AU33" s="176"/>
      <c r="AV33" s="180">
        <f t="shared" si="11"/>
        <v>0</v>
      </c>
      <c r="AW33" s="184"/>
      <c r="AX33" s="36" t="str">
        <f t="shared" si="12"/>
        <v>YA</v>
      </c>
      <c r="AY33" s="189">
        <f t="shared" si="13"/>
        <v>0.26</v>
      </c>
      <c r="AZ33" s="10"/>
      <c r="BA33" s="193">
        <v>0.75</v>
      </c>
      <c r="BB33" s="86">
        <f t="shared" si="14"/>
        <v>0</v>
      </c>
      <c r="BC33" s="205"/>
      <c r="BD33" s="37"/>
      <c r="BE33" s="86">
        <f t="shared" si="5"/>
        <v>0</v>
      </c>
      <c r="BF33" s="47"/>
      <c r="BG33" s="214"/>
      <c r="BH33" s="163"/>
      <c r="BI33" s="162"/>
      <c r="BJ33" s="86">
        <f t="shared" si="8"/>
        <v>0</v>
      </c>
      <c r="BK33" s="170"/>
      <c r="BL33" s="198"/>
      <c r="BM33" s="91"/>
      <c r="BN33" s="91"/>
      <c r="BO33" s="91"/>
      <c r="BP33" s="91"/>
      <c r="BQ33" s="91"/>
      <c r="BR33" s="91"/>
      <c r="BS33" s="91"/>
      <c r="BT33" s="91"/>
      <c r="BU33" s="91"/>
      <c r="BV33" s="39"/>
    </row>
    <row r="34" spans="2:74" x14ac:dyDescent="0.25">
      <c r="B34" s="139">
        <v>21</v>
      </c>
      <c r="C34" s="142" t="s">
        <v>134</v>
      </c>
      <c r="D34" s="141" t="s">
        <v>128</v>
      </c>
      <c r="E34" s="164" t="s">
        <v>12</v>
      </c>
      <c r="F34" s="134"/>
      <c r="G34" s="150" t="s">
        <v>195</v>
      </c>
      <c r="H34" s="151" t="s">
        <v>94</v>
      </c>
      <c r="I34" s="152" t="str">
        <f t="shared" si="0"/>
        <v>R</v>
      </c>
      <c r="J34" s="154">
        <v>2</v>
      </c>
      <c r="K34" s="155"/>
      <c r="L34" s="155">
        <v>0</v>
      </c>
      <c r="M34" s="88"/>
      <c r="N34" s="40">
        <f t="shared" si="1"/>
        <v>17.23458333333333</v>
      </c>
      <c r="O34" s="58">
        <f t="shared" si="9"/>
        <v>9.3283333333333296</v>
      </c>
      <c r="P34" s="58">
        <f t="shared" si="6"/>
        <v>40.300000000000225</v>
      </c>
      <c r="Q34" s="231">
        <v>0.29145833333333321</v>
      </c>
      <c r="R34" s="92"/>
      <c r="S34" s="105">
        <f t="shared" si="2"/>
        <v>0</v>
      </c>
      <c r="T34" s="49">
        <f t="shared" si="7"/>
        <v>4.65625</v>
      </c>
      <c r="U34" s="36">
        <f t="shared" si="15"/>
        <v>3</v>
      </c>
      <c r="V34" s="36">
        <f t="shared" si="16"/>
        <v>5</v>
      </c>
      <c r="W34" s="36">
        <f t="shared" si="17"/>
        <v>7</v>
      </c>
      <c r="X34" s="36">
        <f t="shared" si="18"/>
        <v>3</v>
      </c>
      <c r="Y34" s="36">
        <f t="shared" si="19"/>
        <v>5</v>
      </c>
      <c r="Z34" s="36">
        <f t="shared" si="20"/>
        <v>7</v>
      </c>
      <c r="AA34" s="36">
        <f t="shared" si="21"/>
        <v>1</v>
      </c>
      <c r="AB34" s="48">
        <f t="shared" si="22"/>
        <v>6.25</v>
      </c>
      <c r="AK34" s="156">
        <v>9</v>
      </c>
      <c r="AL34" s="157">
        <v>8</v>
      </c>
      <c r="AM34" s="157">
        <v>9</v>
      </c>
      <c r="AN34" s="157">
        <v>6</v>
      </c>
      <c r="AO34" s="157">
        <v>9</v>
      </c>
      <c r="AP34" s="157">
        <v>9</v>
      </c>
      <c r="AQ34" s="157">
        <v>3</v>
      </c>
      <c r="AR34" s="158">
        <v>7</v>
      </c>
      <c r="AS34" s="40">
        <f t="shared" si="4"/>
        <v>3.25</v>
      </c>
      <c r="AT34" s="169">
        <f t="shared" si="10"/>
        <v>0</v>
      </c>
      <c r="AU34" s="176">
        <v>4</v>
      </c>
      <c r="AV34" s="180">
        <f t="shared" si="11"/>
        <v>0</v>
      </c>
      <c r="AW34" s="184"/>
      <c r="AX34" s="36" t="str">
        <f t="shared" si="12"/>
        <v>YA</v>
      </c>
      <c r="AY34" s="189">
        <f t="shared" si="13"/>
        <v>0.26</v>
      </c>
      <c r="AZ34" s="10"/>
      <c r="BA34" s="193">
        <v>0.75</v>
      </c>
      <c r="BB34" s="86">
        <f t="shared" si="14"/>
        <v>8</v>
      </c>
      <c r="BC34" s="205">
        <v>8</v>
      </c>
      <c r="BD34" s="37"/>
      <c r="BE34" s="86">
        <f t="shared" si="5"/>
        <v>0</v>
      </c>
      <c r="BF34" s="38"/>
      <c r="BG34" s="211"/>
      <c r="BH34" s="163">
        <v>1</v>
      </c>
      <c r="BI34" s="162">
        <v>5</v>
      </c>
      <c r="BJ34" s="86">
        <f t="shared" si="8"/>
        <v>5</v>
      </c>
      <c r="BK34" s="170">
        <v>5</v>
      </c>
      <c r="BL34" s="198"/>
      <c r="BM34" s="91"/>
      <c r="BN34" s="91"/>
      <c r="BO34" s="91"/>
      <c r="BP34" s="91"/>
      <c r="BQ34" s="91"/>
      <c r="BR34" s="91"/>
      <c r="BS34" s="91"/>
      <c r="BT34" s="91"/>
      <c r="BU34" s="91"/>
      <c r="BV34" s="39"/>
    </row>
    <row r="35" spans="2:74" ht="30" x14ac:dyDescent="0.25">
      <c r="B35" s="139">
        <v>22</v>
      </c>
      <c r="C35" s="143" t="s">
        <v>249</v>
      </c>
      <c r="D35" s="141" t="s">
        <v>129</v>
      </c>
      <c r="E35" s="164" t="s">
        <v>261</v>
      </c>
      <c r="F35" s="134"/>
      <c r="G35" s="150" t="s">
        <v>195</v>
      </c>
      <c r="H35" s="151" t="s">
        <v>93</v>
      </c>
      <c r="I35" s="152" t="str">
        <f t="shared" si="0"/>
        <v>R</v>
      </c>
      <c r="J35" s="154">
        <v>3</v>
      </c>
      <c r="K35" s="155"/>
      <c r="L35" s="155">
        <v>0</v>
      </c>
      <c r="M35" s="88"/>
      <c r="N35" s="40">
        <f t="shared" si="1"/>
        <v>14.864583333333332</v>
      </c>
      <c r="O35" s="58">
        <f t="shared" si="9"/>
        <v>8.3333333333333321</v>
      </c>
      <c r="P35" s="58">
        <f t="shared" si="6"/>
        <v>100.00000000000004</v>
      </c>
      <c r="Q35" s="231">
        <v>0.25</v>
      </c>
      <c r="R35" s="92"/>
      <c r="S35" s="103">
        <f t="shared" si="2"/>
        <v>0</v>
      </c>
      <c r="T35" s="49">
        <f t="shared" si="7"/>
        <v>2.53125</v>
      </c>
      <c r="U35" s="36">
        <f t="shared" si="15"/>
        <v>2</v>
      </c>
      <c r="V35" s="36">
        <f t="shared" si="16"/>
        <v>5</v>
      </c>
      <c r="W35" s="36">
        <f t="shared" si="17"/>
        <v>6</v>
      </c>
      <c r="X35" s="36">
        <f t="shared" si="18"/>
        <v>3</v>
      </c>
      <c r="Y35" s="36">
        <f t="shared" si="19"/>
        <v>1</v>
      </c>
      <c r="Z35" s="36">
        <f t="shared" si="20"/>
        <v>2</v>
      </c>
      <c r="AA35" s="36">
        <f t="shared" si="21"/>
        <v>0</v>
      </c>
      <c r="AB35" s="48">
        <f t="shared" si="22"/>
        <v>1.25</v>
      </c>
      <c r="AK35" s="156">
        <v>8</v>
      </c>
      <c r="AL35" s="157">
        <v>8</v>
      </c>
      <c r="AM35" s="157">
        <v>8</v>
      </c>
      <c r="AN35" s="157">
        <v>6</v>
      </c>
      <c r="AO35" s="157">
        <v>5</v>
      </c>
      <c r="AP35" s="157">
        <v>4</v>
      </c>
      <c r="AQ35" s="157">
        <v>2</v>
      </c>
      <c r="AR35" s="158">
        <v>2</v>
      </c>
      <c r="AS35" s="40">
        <f t="shared" si="4"/>
        <v>4</v>
      </c>
      <c r="AT35" s="169">
        <f t="shared" si="10"/>
        <v>0</v>
      </c>
      <c r="AU35" s="176">
        <v>5</v>
      </c>
      <c r="AV35" s="180">
        <f t="shared" si="11"/>
        <v>0</v>
      </c>
      <c r="AW35" s="184"/>
      <c r="AX35" s="36" t="str">
        <f t="shared" si="12"/>
        <v>YA</v>
      </c>
      <c r="AY35" s="189">
        <f t="shared" si="13"/>
        <v>1.0000000000000009E-2</v>
      </c>
      <c r="AZ35" s="10"/>
      <c r="BA35" s="193">
        <v>1</v>
      </c>
      <c r="BB35" s="86">
        <f t="shared" si="14"/>
        <v>8</v>
      </c>
      <c r="BC35" s="205">
        <v>8</v>
      </c>
      <c r="BD35" s="37"/>
      <c r="BE35" s="86">
        <f t="shared" si="5"/>
        <v>0</v>
      </c>
      <c r="BF35" s="38"/>
      <c r="BG35" s="211"/>
      <c r="BH35" s="163">
        <v>1</v>
      </c>
      <c r="BI35" s="162">
        <v>4</v>
      </c>
      <c r="BJ35" s="86">
        <f t="shared" si="8"/>
        <v>8</v>
      </c>
      <c r="BK35" s="170">
        <v>8</v>
      </c>
      <c r="BL35" s="198"/>
      <c r="BM35" s="91"/>
      <c r="BN35" s="91"/>
      <c r="BO35" s="91"/>
      <c r="BP35" s="91"/>
      <c r="BQ35" s="91"/>
      <c r="BR35" s="91"/>
      <c r="BS35" s="91"/>
      <c r="BT35" s="91"/>
      <c r="BU35" s="91"/>
      <c r="BV35" s="39"/>
    </row>
    <row r="36" spans="2:74" ht="30" x14ac:dyDescent="0.25">
      <c r="B36" s="139">
        <v>23</v>
      </c>
      <c r="C36" s="145" t="s">
        <v>262</v>
      </c>
      <c r="D36" s="141" t="s">
        <v>130</v>
      </c>
      <c r="E36" s="164" t="s">
        <v>263</v>
      </c>
      <c r="F36" s="134"/>
      <c r="G36" s="153" t="s">
        <v>319</v>
      </c>
      <c r="H36" s="151" t="s">
        <v>95</v>
      </c>
      <c r="I36" s="152" t="str">
        <f t="shared" si="0"/>
        <v>R</v>
      </c>
      <c r="J36" s="154">
        <v>-1</v>
      </c>
      <c r="K36" s="155"/>
      <c r="L36" s="155">
        <v>3</v>
      </c>
      <c r="M36" s="88"/>
      <c r="N36" s="40">
        <f t="shared" si="1"/>
        <v>17.364583333333332</v>
      </c>
      <c r="O36" s="58">
        <f t="shared" si="9"/>
        <v>9.0833333333333321</v>
      </c>
      <c r="P36" s="58">
        <f t="shared" si="6"/>
        <v>55.000000000000043</v>
      </c>
      <c r="Q36" s="126">
        <v>0.28125</v>
      </c>
      <c r="R36" s="92"/>
      <c r="S36" s="103">
        <f t="shared" si="2"/>
        <v>0.99930555555555556</v>
      </c>
      <c r="T36" s="49">
        <f t="shared" si="7"/>
        <v>5.03125</v>
      </c>
      <c r="U36" s="36">
        <f t="shared" si="15"/>
        <v>3</v>
      </c>
      <c r="V36" s="36">
        <f t="shared" si="16"/>
        <v>5</v>
      </c>
      <c r="W36" s="36">
        <f t="shared" si="17"/>
        <v>7</v>
      </c>
      <c r="X36" s="36">
        <f t="shared" si="18"/>
        <v>6</v>
      </c>
      <c r="Y36" s="36">
        <f t="shared" si="19"/>
        <v>5</v>
      </c>
      <c r="Z36" s="36">
        <f t="shared" si="20"/>
        <v>7</v>
      </c>
      <c r="AA36" s="36">
        <f t="shared" si="21"/>
        <v>1</v>
      </c>
      <c r="AB36" s="48">
        <f t="shared" si="22"/>
        <v>6.25</v>
      </c>
      <c r="AK36" s="156">
        <v>9</v>
      </c>
      <c r="AL36" s="157">
        <v>8</v>
      </c>
      <c r="AM36" s="157">
        <v>9</v>
      </c>
      <c r="AN36" s="157">
        <v>3</v>
      </c>
      <c r="AO36" s="157">
        <v>9</v>
      </c>
      <c r="AP36" s="157">
        <v>9</v>
      </c>
      <c r="AQ36" s="157">
        <v>3</v>
      </c>
      <c r="AR36" s="158">
        <v>7</v>
      </c>
      <c r="AS36" s="40">
        <f t="shared" si="4"/>
        <v>3.25</v>
      </c>
      <c r="AT36" s="169">
        <f t="shared" si="10"/>
        <v>0</v>
      </c>
      <c r="AU36" s="176">
        <v>8</v>
      </c>
      <c r="AV36" s="180">
        <f t="shared" si="11"/>
        <v>0</v>
      </c>
      <c r="AW36" s="184"/>
      <c r="AX36" s="36" t="str">
        <f t="shared" si="12"/>
        <v>YA</v>
      </c>
      <c r="AY36" s="189">
        <f t="shared" si="13"/>
        <v>0.51</v>
      </c>
      <c r="AZ36" s="10"/>
      <c r="BA36" s="193">
        <v>0.5</v>
      </c>
      <c r="BB36" s="86">
        <f t="shared" si="14"/>
        <v>8</v>
      </c>
      <c r="BC36" s="205">
        <v>8</v>
      </c>
      <c r="BD36" s="37"/>
      <c r="BE36" s="86">
        <f t="shared" si="5"/>
        <v>0</v>
      </c>
      <c r="BF36" s="38"/>
      <c r="BG36" s="211"/>
      <c r="BH36" s="163"/>
      <c r="BI36" s="162"/>
      <c r="BJ36" s="86">
        <f t="shared" si="8"/>
        <v>5</v>
      </c>
      <c r="BK36" s="170">
        <v>5</v>
      </c>
      <c r="BL36" s="198"/>
      <c r="BM36" s="91"/>
      <c r="BN36" s="91"/>
      <c r="BO36" s="91"/>
      <c r="BP36" s="91"/>
      <c r="BQ36" s="91"/>
      <c r="BR36" s="91"/>
      <c r="BS36" s="91"/>
      <c r="BT36" s="91"/>
      <c r="BU36" s="91"/>
      <c r="BV36" s="39"/>
    </row>
    <row r="37" spans="2:74" ht="30" x14ac:dyDescent="0.25">
      <c r="B37" s="139">
        <v>24</v>
      </c>
      <c r="C37" s="145" t="s">
        <v>264</v>
      </c>
      <c r="D37" s="141" t="s">
        <v>131</v>
      </c>
      <c r="E37" s="164" t="s">
        <v>14</v>
      </c>
      <c r="F37" s="134"/>
      <c r="G37" s="150" t="s">
        <v>320</v>
      </c>
      <c r="H37" s="151" t="s">
        <v>93</v>
      </c>
      <c r="I37" s="152" t="str">
        <f t="shared" si="0"/>
        <v>R</v>
      </c>
      <c r="J37" s="154">
        <v>-1</v>
      </c>
      <c r="K37" s="155"/>
      <c r="L37" s="155">
        <v>3</v>
      </c>
      <c r="M37" s="88"/>
      <c r="N37" s="40">
        <f t="shared" si="1"/>
        <v>14.864583333333332</v>
      </c>
      <c r="O37" s="58">
        <f t="shared" si="9"/>
        <v>9.0833333333333321</v>
      </c>
      <c r="P37" s="58">
        <f t="shared" si="6"/>
        <v>55.000000000000043</v>
      </c>
      <c r="Q37" s="126">
        <v>0.28125</v>
      </c>
      <c r="R37" s="92"/>
      <c r="S37" s="103">
        <f t="shared" si="2"/>
        <v>0.99930555555555556</v>
      </c>
      <c r="T37" s="49">
        <f t="shared" si="7"/>
        <v>2.53125</v>
      </c>
      <c r="U37" s="36">
        <f t="shared" si="15"/>
        <v>2</v>
      </c>
      <c r="V37" s="36">
        <f t="shared" si="16"/>
        <v>5</v>
      </c>
      <c r="W37" s="36">
        <f t="shared" si="17"/>
        <v>6</v>
      </c>
      <c r="X37" s="36">
        <f t="shared" si="18"/>
        <v>3</v>
      </c>
      <c r="Y37" s="36">
        <f t="shared" si="19"/>
        <v>1</v>
      </c>
      <c r="Z37" s="36">
        <f t="shared" si="20"/>
        <v>2</v>
      </c>
      <c r="AA37" s="36">
        <f t="shared" si="21"/>
        <v>0</v>
      </c>
      <c r="AB37" s="48">
        <f t="shared" si="22"/>
        <v>1.25</v>
      </c>
      <c r="AK37" s="156">
        <v>8</v>
      </c>
      <c r="AL37" s="157">
        <v>8</v>
      </c>
      <c r="AM37" s="157">
        <v>8</v>
      </c>
      <c r="AN37" s="157">
        <v>6</v>
      </c>
      <c r="AO37" s="157">
        <v>5</v>
      </c>
      <c r="AP37" s="157">
        <v>4</v>
      </c>
      <c r="AQ37" s="157">
        <v>2</v>
      </c>
      <c r="AR37" s="158">
        <v>2</v>
      </c>
      <c r="AS37" s="40">
        <f t="shared" si="4"/>
        <v>3.25</v>
      </c>
      <c r="AT37" s="169">
        <f t="shared" si="10"/>
        <v>0</v>
      </c>
      <c r="AU37" s="176">
        <v>3</v>
      </c>
      <c r="AV37" s="180">
        <f t="shared" si="11"/>
        <v>0</v>
      </c>
      <c r="AW37" s="184"/>
      <c r="AX37" s="36" t="str">
        <f t="shared" si="12"/>
        <v>YA</v>
      </c>
      <c r="AY37" s="189">
        <f t="shared" si="13"/>
        <v>0.26</v>
      </c>
      <c r="AZ37" s="10"/>
      <c r="BA37" s="193">
        <v>0.75</v>
      </c>
      <c r="BB37" s="86">
        <f t="shared" si="14"/>
        <v>6</v>
      </c>
      <c r="BC37" s="205">
        <v>6</v>
      </c>
      <c r="BD37" s="37"/>
      <c r="BE37" s="86">
        <f t="shared" si="5"/>
        <v>0</v>
      </c>
      <c r="BF37" s="38"/>
      <c r="BG37" s="211"/>
      <c r="BH37" s="163"/>
      <c r="BI37" s="162"/>
      <c r="BJ37" s="86">
        <f t="shared" si="8"/>
        <v>7</v>
      </c>
      <c r="BK37" s="170">
        <v>7</v>
      </c>
      <c r="BL37" s="198"/>
      <c r="BM37" s="91"/>
      <c r="BN37" s="91"/>
      <c r="BO37" s="91"/>
      <c r="BP37" s="91"/>
      <c r="BQ37" s="91"/>
      <c r="BR37" s="91"/>
      <c r="BS37" s="91"/>
      <c r="BT37" s="91"/>
      <c r="BU37" s="91"/>
      <c r="BV37" s="39"/>
    </row>
    <row r="38" spans="2:74" ht="30" x14ac:dyDescent="0.25">
      <c r="B38" s="139">
        <v>25</v>
      </c>
      <c r="C38" s="143" t="s">
        <v>88</v>
      </c>
      <c r="D38" s="141" t="s">
        <v>132</v>
      </c>
      <c r="E38" s="164" t="s">
        <v>265</v>
      </c>
      <c r="F38" s="134"/>
      <c r="G38" s="150" t="s">
        <v>195</v>
      </c>
      <c r="H38" s="151" t="s">
        <v>94</v>
      </c>
      <c r="I38" s="152" t="str">
        <f t="shared" si="0"/>
        <v>R</v>
      </c>
      <c r="J38" s="154">
        <v>2</v>
      </c>
      <c r="K38" s="155"/>
      <c r="L38" s="155">
        <v>0</v>
      </c>
      <c r="M38" s="88"/>
      <c r="N38" s="40">
        <f t="shared" si="1"/>
        <v>15.364583333333334</v>
      </c>
      <c r="O38" s="58">
        <f t="shared" si="9"/>
        <v>9.3333333333333339</v>
      </c>
      <c r="P38" s="58">
        <f t="shared" si="6"/>
        <v>40.000000000000014</v>
      </c>
      <c r="Q38" s="126">
        <v>0.29166666666666669</v>
      </c>
      <c r="R38" s="92"/>
      <c r="S38" s="103">
        <f t="shared" si="2"/>
        <v>0</v>
      </c>
      <c r="T38" s="49">
        <f t="shared" si="7"/>
        <v>2.53125</v>
      </c>
      <c r="U38" s="36">
        <f t="shared" si="15"/>
        <v>2</v>
      </c>
      <c r="V38" s="36">
        <f t="shared" si="16"/>
        <v>5</v>
      </c>
      <c r="W38" s="36">
        <f t="shared" si="17"/>
        <v>6</v>
      </c>
      <c r="X38" s="36">
        <f t="shared" si="18"/>
        <v>3</v>
      </c>
      <c r="Y38" s="36">
        <f t="shared" si="19"/>
        <v>1</v>
      </c>
      <c r="Z38" s="36">
        <f t="shared" si="20"/>
        <v>2</v>
      </c>
      <c r="AA38" s="36">
        <f t="shared" si="21"/>
        <v>0</v>
      </c>
      <c r="AB38" s="48">
        <f t="shared" si="22"/>
        <v>1.25</v>
      </c>
      <c r="AK38" s="156">
        <v>8</v>
      </c>
      <c r="AL38" s="157">
        <v>8</v>
      </c>
      <c r="AM38" s="157">
        <v>8</v>
      </c>
      <c r="AN38" s="157">
        <v>6</v>
      </c>
      <c r="AO38" s="157">
        <v>5</v>
      </c>
      <c r="AP38" s="157">
        <v>4</v>
      </c>
      <c r="AQ38" s="157">
        <v>2</v>
      </c>
      <c r="AR38" s="158">
        <v>2</v>
      </c>
      <c r="AS38" s="40">
        <f t="shared" si="4"/>
        <v>3.5</v>
      </c>
      <c r="AT38" s="169">
        <f t="shared" si="10"/>
        <v>0</v>
      </c>
      <c r="AU38" s="176">
        <v>4</v>
      </c>
      <c r="AV38" s="180">
        <f t="shared" si="11"/>
        <v>0</v>
      </c>
      <c r="AW38" s="184"/>
      <c r="AX38" s="36" t="str">
        <f t="shared" si="12"/>
        <v>YA</v>
      </c>
      <c r="AY38" s="189">
        <f t="shared" si="13"/>
        <v>0.76</v>
      </c>
      <c r="AZ38" s="10"/>
      <c r="BA38" s="193">
        <v>0.25</v>
      </c>
      <c r="BB38" s="86">
        <f t="shared" si="14"/>
        <v>8</v>
      </c>
      <c r="BC38" s="205">
        <v>8</v>
      </c>
      <c r="BD38" s="37"/>
      <c r="BE38" s="86">
        <f t="shared" si="5"/>
        <v>0</v>
      </c>
      <c r="BF38" s="38"/>
      <c r="BG38" s="211"/>
      <c r="BH38" s="163"/>
      <c r="BI38" s="162"/>
      <c r="BJ38" s="86">
        <f t="shared" si="8"/>
        <v>6</v>
      </c>
      <c r="BK38" s="170">
        <v>6</v>
      </c>
      <c r="BL38" s="198"/>
      <c r="BM38" s="91"/>
      <c r="BN38" s="91"/>
      <c r="BO38" s="91"/>
      <c r="BP38" s="91"/>
      <c r="BQ38" s="91"/>
      <c r="BR38" s="91"/>
      <c r="BS38" s="91"/>
      <c r="BT38" s="91"/>
      <c r="BU38" s="91"/>
      <c r="BV38" s="39"/>
    </row>
    <row r="39" spans="2:74" ht="30" x14ac:dyDescent="0.25">
      <c r="B39" s="139">
        <v>26</v>
      </c>
      <c r="C39" s="142" t="s">
        <v>266</v>
      </c>
      <c r="D39" s="141" t="s">
        <v>133</v>
      </c>
      <c r="E39" s="164" t="s">
        <v>267</v>
      </c>
      <c r="F39" s="134"/>
      <c r="G39" s="150" t="s">
        <v>195</v>
      </c>
      <c r="H39" s="151" t="s">
        <v>94</v>
      </c>
      <c r="I39" s="152" t="str">
        <f t="shared" si="0"/>
        <v>R</v>
      </c>
      <c r="J39" s="154">
        <v>3</v>
      </c>
      <c r="K39" s="155"/>
      <c r="L39" s="155">
        <v>0</v>
      </c>
      <c r="M39" s="88"/>
      <c r="N39" s="40">
        <f t="shared" si="1"/>
        <v>16.864583333333332</v>
      </c>
      <c r="O39" s="58">
        <f t="shared" si="9"/>
        <v>9.0833333333333321</v>
      </c>
      <c r="P39" s="58">
        <f t="shared" si="6"/>
        <v>55.000000000000043</v>
      </c>
      <c r="Q39" s="126">
        <v>0.28125</v>
      </c>
      <c r="R39" s="92"/>
      <c r="S39" s="103">
        <f t="shared" si="2"/>
        <v>0</v>
      </c>
      <c r="T39" s="49">
        <f t="shared" si="7"/>
        <v>4.78125</v>
      </c>
      <c r="U39" s="36">
        <f t="shared" si="15"/>
        <v>3</v>
      </c>
      <c r="V39" s="36">
        <f t="shared" si="16"/>
        <v>5</v>
      </c>
      <c r="W39" s="36">
        <f t="shared" si="17"/>
        <v>7</v>
      </c>
      <c r="X39" s="36">
        <f t="shared" si="18"/>
        <v>4</v>
      </c>
      <c r="Y39" s="36">
        <f t="shared" si="19"/>
        <v>5</v>
      </c>
      <c r="Z39" s="36">
        <f t="shared" si="20"/>
        <v>7</v>
      </c>
      <c r="AA39" s="36">
        <f t="shared" si="21"/>
        <v>1</v>
      </c>
      <c r="AB39" s="48">
        <f t="shared" si="22"/>
        <v>6.25</v>
      </c>
      <c r="AK39" s="156">
        <v>9</v>
      </c>
      <c r="AL39" s="157">
        <v>8</v>
      </c>
      <c r="AM39" s="157">
        <v>9</v>
      </c>
      <c r="AN39" s="157">
        <v>5</v>
      </c>
      <c r="AO39" s="157">
        <v>9</v>
      </c>
      <c r="AP39" s="157">
        <v>9</v>
      </c>
      <c r="AQ39" s="157">
        <v>3</v>
      </c>
      <c r="AR39" s="158">
        <v>7</v>
      </c>
      <c r="AS39" s="40">
        <f t="shared" si="4"/>
        <v>3</v>
      </c>
      <c r="AT39" s="169">
        <f t="shared" si="10"/>
        <v>0</v>
      </c>
      <c r="AU39" s="176">
        <v>3</v>
      </c>
      <c r="AV39" s="180">
        <f t="shared" si="11"/>
        <v>0</v>
      </c>
      <c r="AW39" s="184"/>
      <c r="AX39" s="36" t="str">
        <f t="shared" si="12"/>
        <v>YA</v>
      </c>
      <c r="AY39" s="189">
        <f t="shared" si="13"/>
        <v>0.76</v>
      </c>
      <c r="AZ39" s="10"/>
      <c r="BA39" s="193">
        <v>0.25</v>
      </c>
      <c r="BB39" s="86">
        <f t="shared" si="14"/>
        <v>6</v>
      </c>
      <c r="BC39" s="205">
        <v>6</v>
      </c>
      <c r="BD39" s="37"/>
      <c r="BE39" s="86">
        <f t="shared" si="5"/>
        <v>0</v>
      </c>
      <c r="BF39" s="38"/>
      <c r="BG39" s="211"/>
      <c r="BH39" s="163"/>
      <c r="BI39" s="162"/>
      <c r="BJ39" s="86">
        <f t="shared" si="8"/>
        <v>6</v>
      </c>
      <c r="BK39" s="170">
        <v>6</v>
      </c>
      <c r="BL39" s="198"/>
      <c r="BM39" s="91"/>
      <c r="BN39" s="91"/>
      <c r="BO39" s="91"/>
      <c r="BP39" s="91"/>
      <c r="BQ39" s="91"/>
      <c r="BR39" s="91"/>
      <c r="BS39" s="91"/>
      <c r="BT39" s="91"/>
      <c r="BU39" s="91"/>
      <c r="BV39" s="39"/>
    </row>
    <row r="40" spans="2:74" x14ac:dyDescent="0.25">
      <c r="B40" s="139">
        <v>27</v>
      </c>
      <c r="C40" s="143" t="s">
        <v>88</v>
      </c>
      <c r="D40" s="141" t="s">
        <v>135</v>
      </c>
      <c r="E40" s="164" t="s">
        <v>268</v>
      </c>
      <c r="F40" s="134"/>
      <c r="G40" s="150" t="s">
        <v>195</v>
      </c>
      <c r="H40" s="151" t="s">
        <v>94</v>
      </c>
      <c r="I40" s="152" t="str">
        <f>IF(R40&gt;0,IF(S40-$P$11&gt;0,"I","R"),"R")</f>
        <v>I</v>
      </c>
      <c r="J40" s="154">
        <v>1</v>
      </c>
      <c r="K40" s="155"/>
      <c r="L40" s="155">
        <v>2</v>
      </c>
      <c r="M40" s="88"/>
      <c r="N40" s="40">
        <f t="shared" si="1"/>
        <v>0</v>
      </c>
      <c r="O40" s="58">
        <f t="shared" si="9"/>
        <v>9.3333333333333339</v>
      </c>
      <c r="P40" s="58">
        <f t="shared" si="6"/>
        <v>40.000000000000014</v>
      </c>
      <c r="Q40" s="126">
        <v>0.29166666666666669</v>
      </c>
      <c r="R40" s="92">
        <v>0.29166666666666669</v>
      </c>
      <c r="S40" s="103">
        <f t="shared" si="2"/>
        <v>0.79166666666666674</v>
      </c>
      <c r="T40" s="49">
        <f t="shared" si="7"/>
        <v>4.65625</v>
      </c>
      <c r="U40" s="36">
        <f t="shared" si="15"/>
        <v>3</v>
      </c>
      <c r="V40" s="36">
        <f t="shared" si="16"/>
        <v>5</v>
      </c>
      <c r="W40" s="36">
        <f t="shared" si="17"/>
        <v>7</v>
      </c>
      <c r="X40" s="36">
        <f t="shared" si="18"/>
        <v>3</v>
      </c>
      <c r="Y40" s="36">
        <f t="shared" si="19"/>
        <v>5</v>
      </c>
      <c r="Z40" s="36">
        <f t="shared" si="20"/>
        <v>7</v>
      </c>
      <c r="AA40" s="36">
        <f t="shared" si="21"/>
        <v>1</v>
      </c>
      <c r="AB40" s="48">
        <f t="shared" si="22"/>
        <v>6.25</v>
      </c>
      <c r="AK40" s="156">
        <v>9</v>
      </c>
      <c r="AL40" s="157">
        <v>8</v>
      </c>
      <c r="AM40" s="157">
        <v>9</v>
      </c>
      <c r="AN40" s="157">
        <v>6</v>
      </c>
      <c r="AO40" s="157">
        <v>9</v>
      </c>
      <c r="AP40" s="157">
        <v>9</v>
      </c>
      <c r="AQ40" s="157">
        <v>3</v>
      </c>
      <c r="AR40" s="158">
        <v>7</v>
      </c>
      <c r="AS40" s="40">
        <f t="shared" si="4"/>
        <v>3.25</v>
      </c>
      <c r="AT40" s="169">
        <f t="shared" si="10"/>
        <v>0</v>
      </c>
      <c r="AU40" s="176">
        <v>5</v>
      </c>
      <c r="AV40" s="180">
        <f t="shared" si="11"/>
        <v>0</v>
      </c>
      <c r="AW40" s="184"/>
      <c r="AX40" s="36" t="str">
        <f t="shared" si="12"/>
        <v>YA</v>
      </c>
      <c r="AY40" s="189">
        <f t="shared" si="13"/>
        <v>0.76</v>
      </c>
      <c r="AZ40" s="10"/>
      <c r="BA40" s="193">
        <v>0.25</v>
      </c>
      <c r="BB40" s="86">
        <f t="shared" si="14"/>
        <v>8</v>
      </c>
      <c r="BC40" s="205">
        <v>8</v>
      </c>
      <c r="BD40" s="37"/>
      <c r="BE40" s="86">
        <f t="shared" si="5"/>
        <v>0</v>
      </c>
      <c r="BF40" s="38"/>
      <c r="BG40" s="211"/>
      <c r="BH40" s="163">
        <v>1</v>
      </c>
      <c r="BI40" s="162">
        <v>5</v>
      </c>
      <c r="BJ40" s="86">
        <f t="shared" si="8"/>
        <v>5</v>
      </c>
      <c r="BK40" s="170">
        <v>5</v>
      </c>
      <c r="BL40" s="198"/>
      <c r="BM40" s="91"/>
      <c r="BN40" s="91"/>
      <c r="BO40" s="91"/>
      <c r="BP40" s="91"/>
      <c r="BQ40" s="91"/>
      <c r="BR40" s="91"/>
      <c r="BS40" s="91"/>
      <c r="BT40" s="91"/>
      <c r="BU40" s="91"/>
      <c r="BV40" s="39"/>
    </row>
    <row r="41" spans="2:74" x14ac:dyDescent="0.25">
      <c r="B41" s="139">
        <v>28</v>
      </c>
      <c r="C41" s="143" t="s">
        <v>88</v>
      </c>
      <c r="D41" s="141" t="s">
        <v>137</v>
      </c>
      <c r="E41" s="164" t="s">
        <v>269</v>
      </c>
      <c r="F41" s="134"/>
      <c r="G41" s="153" t="s">
        <v>321</v>
      </c>
      <c r="H41" s="151" t="s">
        <v>94</v>
      </c>
      <c r="I41" s="152" t="str">
        <f t="shared" ref="I41:I92" si="43">IF(R41&gt;0,IF(S41-$P$11&gt;0,"I","R"),"R")</f>
        <v>R</v>
      </c>
      <c r="J41" s="154">
        <v>-1</v>
      </c>
      <c r="K41" s="155"/>
      <c r="L41" s="155">
        <v>3</v>
      </c>
      <c r="M41" s="88"/>
      <c r="N41" s="40">
        <f t="shared" si="1"/>
        <v>16.489583333333332</v>
      </c>
      <c r="O41" s="58">
        <f t="shared" si="9"/>
        <v>9.8333333333333321</v>
      </c>
      <c r="P41" s="58">
        <f t="shared" si="6"/>
        <v>10.000000000000044</v>
      </c>
      <c r="Q41" s="126">
        <v>0.3125</v>
      </c>
      <c r="R41" s="92"/>
      <c r="S41" s="103">
        <f t="shared" si="2"/>
        <v>0.99930555555555556</v>
      </c>
      <c r="T41" s="49">
        <f t="shared" si="7"/>
        <v>4.15625</v>
      </c>
      <c r="U41" s="36">
        <f t="shared" si="15"/>
        <v>3</v>
      </c>
      <c r="V41" s="36">
        <f t="shared" si="16"/>
        <v>5</v>
      </c>
      <c r="W41" s="36">
        <f t="shared" si="17"/>
        <v>7</v>
      </c>
      <c r="X41" s="36">
        <f t="shared" si="18"/>
        <v>3</v>
      </c>
      <c r="Y41" s="36">
        <f t="shared" si="19"/>
        <v>5</v>
      </c>
      <c r="Z41" s="36">
        <f t="shared" si="20"/>
        <v>7</v>
      </c>
      <c r="AA41" s="36">
        <f t="shared" si="21"/>
        <v>1</v>
      </c>
      <c r="AB41" s="48">
        <f t="shared" si="22"/>
        <v>2.25</v>
      </c>
      <c r="AK41" s="156">
        <v>9</v>
      </c>
      <c r="AL41" s="157">
        <v>8</v>
      </c>
      <c r="AM41" s="157">
        <v>9</v>
      </c>
      <c r="AN41" s="157">
        <v>6</v>
      </c>
      <c r="AO41" s="157">
        <v>9</v>
      </c>
      <c r="AP41" s="157">
        <v>9</v>
      </c>
      <c r="AQ41" s="157">
        <v>3</v>
      </c>
      <c r="AR41" s="158">
        <v>3</v>
      </c>
      <c r="AS41" s="40">
        <f t="shared" si="4"/>
        <v>2.5</v>
      </c>
      <c r="AT41" s="169">
        <f t="shared" si="10"/>
        <v>0</v>
      </c>
      <c r="AU41" s="176">
        <v>2</v>
      </c>
      <c r="AV41" s="180">
        <f t="shared" si="11"/>
        <v>0</v>
      </c>
      <c r="AW41" s="184"/>
      <c r="AX41" s="36" t="str">
        <f t="shared" si="12"/>
        <v>YA</v>
      </c>
      <c r="AY41" s="189">
        <f t="shared" si="13"/>
        <v>1.0000000000000009E-2</v>
      </c>
      <c r="AZ41" s="10"/>
      <c r="BA41" s="193">
        <v>1</v>
      </c>
      <c r="BB41" s="86">
        <f t="shared" si="14"/>
        <v>5</v>
      </c>
      <c r="BC41" s="205">
        <v>5</v>
      </c>
      <c r="BD41" s="37"/>
      <c r="BE41" s="86">
        <f t="shared" si="5"/>
        <v>0</v>
      </c>
      <c r="BF41" s="38"/>
      <c r="BG41" s="211"/>
      <c r="BH41" s="163">
        <v>1</v>
      </c>
      <c r="BI41" s="162">
        <v>5</v>
      </c>
      <c r="BJ41" s="86">
        <f t="shared" si="8"/>
        <v>5</v>
      </c>
      <c r="BK41" s="170">
        <v>5</v>
      </c>
      <c r="BL41" s="198"/>
      <c r="BM41" s="91"/>
      <c r="BN41" s="91"/>
      <c r="BO41" s="91"/>
      <c r="BP41" s="91"/>
      <c r="BQ41" s="91"/>
      <c r="BR41" s="91"/>
      <c r="BS41" s="91"/>
      <c r="BT41" s="91"/>
      <c r="BU41" s="91"/>
      <c r="BV41" s="39"/>
    </row>
    <row r="42" spans="2:74" ht="30" x14ac:dyDescent="0.25">
      <c r="B42" s="139">
        <v>29</v>
      </c>
      <c r="C42" s="140" t="s">
        <v>249</v>
      </c>
      <c r="D42" s="141" t="s">
        <v>138</v>
      </c>
      <c r="E42" s="164" t="s">
        <v>270</v>
      </c>
      <c r="F42" s="134"/>
      <c r="G42" s="150" t="s">
        <v>195</v>
      </c>
      <c r="H42" s="151" t="s">
        <v>93</v>
      </c>
      <c r="I42" s="152" t="str">
        <f t="shared" si="43"/>
        <v>R</v>
      </c>
      <c r="J42" s="154">
        <v>3</v>
      </c>
      <c r="K42" s="155"/>
      <c r="L42" s="155">
        <v>0</v>
      </c>
      <c r="M42" s="88"/>
      <c r="N42" s="40">
        <f t="shared" si="1"/>
        <v>17.864583333333332</v>
      </c>
      <c r="O42" s="58">
        <f t="shared" si="9"/>
        <v>9.8333333333333321</v>
      </c>
      <c r="P42" s="58">
        <f t="shared" si="6"/>
        <v>10.000000000000044</v>
      </c>
      <c r="Q42" s="126">
        <v>0.3125</v>
      </c>
      <c r="R42" s="92"/>
      <c r="S42" s="103">
        <f t="shared" si="2"/>
        <v>0</v>
      </c>
      <c r="T42" s="49">
        <f t="shared" si="7"/>
        <v>4.53125</v>
      </c>
      <c r="U42" s="36">
        <f t="shared" si="15"/>
        <v>3</v>
      </c>
      <c r="V42" s="36">
        <f t="shared" si="16"/>
        <v>5</v>
      </c>
      <c r="W42" s="36">
        <f t="shared" si="17"/>
        <v>7</v>
      </c>
      <c r="X42" s="36">
        <f t="shared" si="18"/>
        <v>2</v>
      </c>
      <c r="Y42" s="36">
        <f t="shared" si="19"/>
        <v>5</v>
      </c>
      <c r="Z42" s="36">
        <f t="shared" si="20"/>
        <v>7</v>
      </c>
      <c r="AA42" s="36">
        <f t="shared" si="21"/>
        <v>3</v>
      </c>
      <c r="AB42" s="48">
        <f t="shared" si="22"/>
        <v>4.25</v>
      </c>
      <c r="AK42" s="156">
        <v>9</v>
      </c>
      <c r="AL42" s="157">
        <v>8</v>
      </c>
      <c r="AM42" s="157">
        <v>9</v>
      </c>
      <c r="AN42" s="157">
        <v>7</v>
      </c>
      <c r="AO42" s="157">
        <v>9</v>
      </c>
      <c r="AP42" s="157">
        <v>9</v>
      </c>
      <c r="AQ42" s="157">
        <v>5</v>
      </c>
      <c r="AR42" s="158">
        <v>5</v>
      </c>
      <c r="AS42" s="40">
        <f t="shared" si="4"/>
        <v>3.5</v>
      </c>
      <c r="AT42" s="169">
        <f t="shared" si="10"/>
        <v>0</v>
      </c>
      <c r="AU42" s="176">
        <v>3</v>
      </c>
      <c r="AV42" s="180">
        <f t="shared" si="11"/>
        <v>0</v>
      </c>
      <c r="AW42" s="184"/>
      <c r="AX42" s="36" t="str">
        <f t="shared" si="12"/>
        <v>YA</v>
      </c>
      <c r="AY42" s="189">
        <f t="shared" si="13"/>
        <v>0.76</v>
      </c>
      <c r="AZ42" s="10"/>
      <c r="BA42" s="193">
        <v>0.25</v>
      </c>
      <c r="BB42" s="86">
        <f t="shared" si="14"/>
        <v>8</v>
      </c>
      <c r="BC42" s="205">
        <v>8</v>
      </c>
      <c r="BD42" s="37"/>
      <c r="BE42" s="86">
        <f t="shared" si="5"/>
        <v>0</v>
      </c>
      <c r="BF42" s="38"/>
      <c r="BG42" s="211"/>
      <c r="BH42" s="163">
        <v>1</v>
      </c>
      <c r="BI42" s="162">
        <v>8</v>
      </c>
      <c r="BJ42" s="86">
        <f t="shared" si="8"/>
        <v>6</v>
      </c>
      <c r="BK42" s="170">
        <v>6</v>
      </c>
      <c r="BL42" s="198"/>
      <c r="BM42" s="91"/>
      <c r="BN42" s="91"/>
      <c r="BO42" s="91"/>
      <c r="BP42" s="91"/>
      <c r="BQ42" s="91"/>
      <c r="BR42" s="91"/>
      <c r="BS42" s="91"/>
      <c r="BT42" s="91"/>
      <c r="BU42" s="91"/>
      <c r="BV42" s="39"/>
    </row>
    <row r="43" spans="2:74" x14ac:dyDescent="0.25">
      <c r="B43" s="139">
        <v>30</v>
      </c>
      <c r="C43" s="144" t="s">
        <v>271</v>
      </c>
      <c r="D43" s="141" t="s">
        <v>140</v>
      </c>
      <c r="E43" s="164" t="s">
        <v>272</v>
      </c>
      <c r="F43" s="134"/>
      <c r="G43" s="150" t="s">
        <v>195</v>
      </c>
      <c r="H43" s="151" t="s">
        <v>94</v>
      </c>
      <c r="I43" s="152" t="str">
        <f t="shared" si="43"/>
        <v>R</v>
      </c>
      <c r="J43" s="154">
        <v>3</v>
      </c>
      <c r="K43" s="155"/>
      <c r="L43" s="155">
        <v>0</v>
      </c>
      <c r="M43" s="88"/>
      <c r="N43" s="40">
        <f t="shared" si="1"/>
        <v>18.15625</v>
      </c>
      <c r="O43" s="58">
        <f t="shared" si="9"/>
        <v>9.9999999999999982</v>
      </c>
      <c r="P43" s="58">
        <f t="shared" si="6"/>
        <v>7.9936057773011271E-14</v>
      </c>
      <c r="Q43" s="126">
        <v>0.31944444444444442</v>
      </c>
      <c r="R43" s="92"/>
      <c r="S43" s="103">
        <f t="shared" si="2"/>
        <v>0</v>
      </c>
      <c r="T43" s="49">
        <f t="shared" si="7"/>
        <v>4.90625</v>
      </c>
      <c r="U43" s="36">
        <f t="shared" si="15"/>
        <v>3</v>
      </c>
      <c r="V43" s="36">
        <f t="shared" si="16"/>
        <v>5</v>
      </c>
      <c r="W43" s="36">
        <f t="shared" si="17"/>
        <v>7</v>
      </c>
      <c r="X43" s="36">
        <f t="shared" si="18"/>
        <v>5</v>
      </c>
      <c r="Y43" s="36">
        <f t="shared" si="19"/>
        <v>5</v>
      </c>
      <c r="Z43" s="36">
        <f t="shared" si="20"/>
        <v>7</v>
      </c>
      <c r="AA43" s="36">
        <f t="shared" si="21"/>
        <v>1</v>
      </c>
      <c r="AB43" s="48">
        <f t="shared" si="22"/>
        <v>6.25</v>
      </c>
      <c r="AK43" s="156">
        <v>9</v>
      </c>
      <c r="AL43" s="157">
        <v>8</v>
      </c>
      <c r="AM43" s="157">
        <v>9</v>
      </c>
      <c r="AN43" s="157">
        <v>4</v>
      </c>
      <c r="AO43" s="157">
        <v>9</v>
      </c>
      <c r="AP43" s="157">
        <v>9</v>
      </c>
      <c r="AQ43" s="157">
        <v>3</v>
      </c>
      <c r="AR43" s="158">
        <v>7</v>
      </c>
      <c r="AS43" s="40">
        <f t="shared" si="4"/>
        <v>3.25</v>
      </c>
      <c r="AT43" s="169">
        <f t="shared" si="10"/>
        <v>0</v>
      </c>
      <c r="AU43" s="176">
        <v>5</v>
      </c>
      <c r="AV43" s="180">
        <f t="shared" si="11"/>
        <v>0</v>
      </c>
      <c r="AW43" s="184"/>
      <c r="AX43" s="36" t="str">
        <f t="shared" si="12"/>
        <v>YA</v>
      </c>
      <c r="AY43" s="189">
        <f t="shared" si="13"/>
        <v>0.76</v>
      </c>
      <c r="AZ43" s="10"/>
      <c r="BA43" s="193">
        <v>0.25</v>
      </c>
      <c r="BB43" s="86">
        <f t="shared" si="14"/>
        <v>8</v>
      </c>
      <c r="BC43" s="205">
        <v>8</v>
      </c>
      <c r="BD43" s="37"/>
      <c r="BE43" s="86">
        <f t="shared" si="5"/>
        <v>0</v>
      </c>
      <c r="BF43" s="38"/>
      <c r="BG43" s="211"/>
      <c r="BH43" s="163"/>
      <c r="BI43" s="162"/>
      <c r="BJ43" s="86">
        <f t="shared" si="8"/>
        <v>5</v>
      </c>
      <c r="BK43" s="170">
        <v>5</v>
      </c>
      <c r="BL43" s="198"/>
      <c r="BM43" s="91"/>
      <c r="BN43" s="91"/>
      <c r="BO43" s="91"/>
      <c r="BP43" s="91"/>
      <c r="BQ43" s="91"/>
      <c r="BR43" s="91"/>
      <c r="BS43" s="91"/>
      <c r="BT43" s="91"/>
      <c r="BU43" s="91"/>
      <c r="BV43" s="39"/>
    </row>
    <row r="44" spans="2:74" x14ac:dyDescent="0.25">
      <c r="B44" s="139">
        <v>31</v>
      </c>
      <c r="C44" s="143" t="s">
        <v>88</v>
      </c>
      <c r="D44" s="141" t="s">
        <v>141</v>
      </c>
      <c r="E44" s="164" t="s">
        <v>273</v>
      </c>
      <c r="F44" s="134"/>
      <c r="G44" s="150" t="s">
        <v>195</v>
      </c>
      <c r="H44" s="151" t="s">
        <v>94</v>
      </c>
      <c r="I44" s="152" t="str">
        <f t="shared" si="43"/>
        <v>R</v>
      </c>
      <c r="J44" s="154">
        <v>3</v>
      </c>
      <c r="K44" s="155"/>
      <c r="L44" s="155">
        <v>0</v>
      </c>
      <c r="M44" s="88"/>
      <c r="N44" s="40">
        <f t="shared" si="1"/>
        <v>18.197916666666668</v>
      </c>
      <c r="O44" s="58">
        <f t="shared" si="9"/>
        <v>9.9166666666666679</v>
      </c>
      <c r="P44" s="82">
        <f t="shared" si="6"/>
        <v>4.9999999999999822</v>
      </c>
      <c r="Q44" s="127">
        <v>0.32291666666666669</v>
      </c>
      <c r="R44" s="93"/>
      <c r="S44" s="103">
        <f t="shared" si="2"/>
        <v>0</v>
      </c>
      <c r="T44" s="49">
        <f t="shared" si="7"/>
        <v>4.78125</v>
      </c>
      <c r="U44" s="36">
        <f t="shared" si="15"/>
        <v>3</v>
      </c>
      <c r="V44" s="36">
        <f t="shared" si="16"/>
        <v>5</v>
      </c>
      <c r="W44" s="36">
        <f t="shared" si="17"/>
        <v>7</v>
      </c>
      <c r="X44" s="36">
        <f t="shared" si="18"/>
        <v>4</v>
      </c>
      <c r="Y44" s="36">
        <f t="shared" si="19"/>
        <v>5</v>
      </c>
      <c r="Z44" s="36">
        <f t="shared" si="20"/>
        <v>7</v>
      </c>
      <c r="AA44" s="36">
        <f t="shared" si="21"/>
        <v>1</v>
      </c>
      <c r="AB44" s="48">
        <f t="shared" si="22"/>
        <v>6.25</v>
      </c>
      <c r="AK44" s="156">
        <v>9</v>
      </c>
      <c r="AL44" s="157">
        <v>8</v>
      </c>
      <c r="AM44" s="157">
        <v>9</v>
      </c>
      <c r="AN44" s="157">
        <v>5</v>
      </c>
      <c r="AO44" s="157">
        <v>9</v>
      </c>
      <c r="AP44" s="157">
        <v>9</v>
      </c>
      <c r="AQ44" s="157">
        <v>3</v>
      </c>
      <c r="AR44" s="158">
        <v>7</v>
      </c>
      <c r="AS44" s="40">
        <f t="shared" si="4"/>
        <v>3.5</v>
      </c>
      <c r="AT44" s="169">
        <f t="shared" si="10"/>
        <v>0</v>
      </c>
      <c r="AU44" s="176">
        <v>6</v>
      </c>
      <c r="AV44" s="180">
        <f t="shared" si="11"/>
        <v>0</v>
      </c>
      <c r="AW44" s="184"/>
      <c r="AX44" s="36" t="str">
        <f t="shared" si="12"/>
        <v>YA</v>
      </c>
      <c r="AY44" s="189">
        <f t="shared" si="13"/>
        <v>0.76</v>
      </c>
      <c r="AZ44" s="10"/>
      <c r="BA44" s="193">
        <v>0.25</v>
      </c>
      <c r="BB44" s="86">
        <f t="shared" si="14"/>
        <v>8</v>
      </c>
      <c r="BC44" s="205">
        <v>8</v>
      </c>
      <c r="BD44" s="37"/>
      <c r="BE44" s="86">
        <f t="shared" si="5"/>
        <v>0</v>
      </c>
      <c r="BF44" s="38"/>
      <c r="BG44" s="211"/>
      <c r="BH44" s="163">
        <v>1</v>
      </c>
      <c r="BI44" s="162">
        <v>8</v>
      </c>
      <c r="BJ44" s="86">
        <f t="shared" si="8"/>
        <v>6</v>
      </c>
      <c r="BK44" s="170">
        <v>6</v>
      </c>
      <c r="BL44" s="198"/>
      <c r="BM44" s="91"/>
      <c r="BN44" s="91"/>
      <c r="BO44" s="91"/>
      <c r="BP44" s="91"/>
      <c r="BQ44" s="91"/>
      <c r="BR44" s="91"/>
      <c r="BS44" s="91"/>
      <c r="BT44" s="91"/>
      <c r="BU44" s="91"/>
      <c r="BV44" s="39"/>
    </row>
    <row r="45" spans="2:74" x14ac:dyDescent="0.25">
      <c r="B45" s="139">
        <v>32</v>
      </c>
      <c r="C45" s="143" t="s">
        <v>88</v>
      </c>
      <c r="D45" s="141" t="s">
        <v>142</v>
      </c>
      <c r="E45" s="164" t="s">
        <v>274</v>
      </c>
      <c r="F45" s="134"/>
      <c r="G45" s="150" t="s">
        <v>195</v>
      </c>
      <c r="H45" s="151" t="s">
        <v>94</v>
      </c>
      <c r="I45" s="152" t="str">
        <f t="shared" si="43"/>
        <v>R</v>
      </c>
      <c r="J45" s="154">
        <v>3</v>
      </c>
      <c r="K45" s="155"/>
      <c r="L45" s="155">
        <v>0</v>
      </c>
      <c r="M45" s="88"/>
      <c r="N45" s="40">
        <f t="shared" si="1"/>
        <v>16.447916666666668</v>
      </c>
      <c r="O45" s="58">
        <f t="shared" si="9"/>
        <v>9.6666666666666679</v>
      </c>
      <c r="P45" s="82">
        <f t="shared" si="6"/>
        <v>19.999999999999929</v>
      </c>
      <c r="Q45" s="127">
        <v>0.33333333333333331</v>
      </c>
      <c r="R45" s="93"/>
      <c r="S45" s="103">
        <f t="shared" si="2"/>
        <v>0</v>
      </c>
      <c r="T45" s="49">
        <f t="shared" si="7"/>
        <v>3.53125</v>
      </c>
      <c r="U45" s="36">
        <f t="shared" si="15"/>
        <v>2</v>
      </c>
      <c r="V45" s="36">
        <f t="shared" si="16"/>
        <v>5</v>
      </c>
      <c r="W45" s="36">
        <f t="shared" si="17"/>
        <v>7</v>
      </c>
      <c r="X45" s="36">
        <f t="shared" si="18"/>
        <v>6</v>
      </c>
      <c r="Y45" s="36">
        <f t="shared" si="19"/>
        <v>5</v>
      </c>
      <c r="Z45" s="36">
        <f t="shared" si="20"/>
        <v>2</v>
      </c>
      <c r="AA45" s="36">
        <f t="shared" si="21"/>
        <v>0</v>
      </c>
      <c r="AB45" s="48">
        <f t="shared" si="22"/>
        <v>1.25</v>
      </c>
      <c r="AK45" s="156">
        <v>8</v>
      </c>
      <c r="AL45" s="157">
        <v>8</v>
      </c>
      <c r="AM45" s="157">
        <v>9</v>
      </c>
      <c r="AN45" s="157">
        <v>3</v>
      </c>
      <c r="AO45" s="157">
        <v>9</v>
      </c>
      <c r="AP45" s="157">
        <v>4</v>
      </c>
      <c r="AQ45" s="157">
        <v>2</v>
      </c>
      <c r="AR45" s="158">
        <v>2</v>
      </c>
      <c r="AS45" s="40">
        <f t="shared" si="4"/>
        <v>3.25</v>
      </c>
      <c r="AT45" s="169">
        <f t="shared" si="10"/>
        <v>0</v>
      </c>
      <c r="AU45" s="176">
        <v>5</v>
      </c>
      <c r="AV45" s="180">
        <f t="shared" si="11"/>
        <v>0</v>
      </c>
      <c r="AW45" s="184"/>
      <c r="AX45" s="36" t="str">
        <f t="shared" si="12"/>
        <v>YA</v>
      </c>
      <c r="AY45" s="189">
        <f t="shared" si="13"/>
        <v>0.76</v>
      </c>
      <c r="AZ45" s="10"/>
      <c r="BA45" s="193">
        <v>0.25</v>
      </c>
      <c r="BB45" s="86">
        <f t="shared" si="14"/>
        <v>8</v>
      </c>
      <c r="BC45" s="205">
        <v>8</v>
      </c>
      <c r="BD45" s="37"/>
      <c r="BE45" s="86">
        <f t="shared" si="5"/>
        <v>0</v>
      </c>
      <c r="BF45" s="38"/>
      <c r="BG45" s="211"/>
      <c r="BH45" s="163"/>
      <c r="BI45" s="162"/>
      <c r="BJ45" s="86">
        <f t="shared" si="8"/>
        <v>5</v>
      </c>
      <c r="BK45" s="170">
        <v>5</v>
      </c>
      <c r="BL45" s="198"/>
      <c r="BM45" s="91"/>
      <c r="BN45" s="91"/>
      <c r="BO45" s="91"/>
      <c r="BP45" s="91"/>
      <c r="BQ45" s="91"/>
      <c r="BR45" s="91"/>
      <c r="BS45" s="91"/>
      <c r="BT45" s="91"/>
      <c r="BU45" s="91"/>
      <c r="BV45" s="39"/>
    </row>
    <row r="46" spans="2:74" x14ac:dyDescent="0.25">
      <c r="B46" s="139">
        <v>33</v>
      </c>
      <c r="C46" s="140" t="s">
        <v>89</v>
      </c>
      <c r="D46" s="141" t="s">
        <v>143</v>
      </c>
      <c r="E46" s="164" t="s">
        <v>275</v>
      </c>
      <c r="F46" s="134"/>
      <c r="G46" s="150" t="s">
        <v>322</v>
      </c>
      <c r="H46" s="151" t="s">
        <v>94</v>
      </c>
      <c r="I46" s="152" t="str">
        <f t="shared" si="43"/>
        <v>R</v>
      </c>
      <c r="J46" s="154">
        <v>3</v>
      </c>
      <c r="K46" s="155"/>
      <c r="L46" s="155">
        <v>0</v>
      </c>
      <c r="M46" s="88"/>
      <c r="N46" s="40">
        <f t="shared" ref="N46:N77" si="44">IF(I46="I",0,IF(AX46="YA",O46+T46+AS46,0))</f>
        <v>15.072916666666666</v>
      </c>
      <c r="O46" s="58">
        <f t="shared" si="9"/>
        <v>9.1666666666666661</v>
      </c>
      <c r="P46" s="82">
        <f t="shared" si="6"/>
        <v>49.999999999999986</v>
      </c>
      <c r="Q46" s="127">
        <v>0.35416666666666669</v>
      </c>
      <c r="R46" s="93"/>
      <c r="S46" s="103">
        <f t="shared" ref="S46:S77" si="45">IF(L46=0,0,IF(L46=1,R46+$M$13,IF(L46=2,R46+$M$14,IF(L46=3,R46+$M$15,IF(L46=4,R46+$M$16,0)))))</f>
        <v>0</v>
      </c>
      <c r="T46" s="49">
        <f t="shared" si="7"/>
        <v>2.15625</v>
      </c>
      <c r="U46" s="36">
        <f t="shared" ref="U46:U52" si="46">AK46-$AC$13</f>
        <v>-1</v>
      </c>
      <c r="V46" s="36">
        <f t="shared" ref="V46:V52" si="47">AL46-$AD$13</f>
        <v>2</v>
      </c>
      <c r="W46" s="36">
        <f t="shared" ref="W46:W52" si="48">AM46-$AE$13</f>
        <v>3</v>
      </c>
      <c r="X46" s="36">
        <f t="shared" ref="X46:X52" si="49">$AF$13-AN46</f>
        <v>3</v>
      </c>
      <c r="Y46" s="36">
        <f t="shared" ref="Y46:Y52" si="50">AO46-$AG$13</f>
        <v>1</v>
      </c>
      <c r="Z46" s="36">
        <f t="shared" ref="Z46:Z52" si="51">AP46-$AH$13</f>
        <v>3</v>
      </c>
      <c r="AA46" s="36">
        <f t="shared" ref="AA46:AA52" si="52">AQ46-$AH$13</f>
        <v>1</v>
      </c>
      <c r="AB46" s="48">
        <f t="shared" ref="AB46:AB52" si="53">AR46-$AJ$13</f>
        <v>5.25</v>
      </c>
      <c r="AK46" s="156">
        <v>5</v>
      </c>
      <c r="AL46" s="157">
        <v>5</v>
      </c>
      <c r="AM46" s="157">
        <v>5</v>
      </c>
      <c r="AN46" s="157">
        <v>6</v>
      </c>
      <c r="AO46" s="157">
        <v>5</v>
      </c>
      <c r="AP46" s="157">
        <v>5</v>
      </c>
      <c r="AQ46" s="157">
        <v>3</v>
      </c>
      <c r="AR46" s="158">
        <v>6</v>
      </c>
      <c r="AS46" s="40">
        <f t="shared" ref="AS46:AS77" si="54">(AT46+BB46+BE46+BJ46)/4</f>
        <v>3.75</v>
      </c>
      <c r="AT46" s="169">
        <f t="shared" ref="AT46:AT52" si="55">AU46*AV46</f>
        <v>0</v>
      </c>
      <c r="AU46" s="176">
        <v>7</v>
      </c>
      <c r="AV46" s="180">
        <f t="shared" ref="AV46:AV52" si="56">IF(AW46=1,1,IF(AW46=2,0.9,IF(AW46=3,0.8,IF(AW46=4,0.7,IF(AW46=5,0.6,IF(AW46=6,0.5,IF(AW46=7,0.4,IF(AW46=8,0.3,IF(AW46=9,0.2,IF(AW46=10,0.1,IF(AW46=0,0,0)))))))))))</f>
        <v>0</v>
      </c>
      <c r="AW46" s="184"/>
      <c r="AX46" s="36" t="str">
        <f t="shared" ref="AX46:AX52" si="57">IF($AZ$13&gt;=BA46,"YA","TIDAK")</f>
        <v>YA</v>
      </c>
      <c r="AY46" s="189">
        <f t="shared" ref="AY46:AY52" si="58">IF($AZ$13-BA46&gt;0,$AZ$13-BA46,"0")</f>
        <v>0.26</v>
      </c>
      <c r="AZ46" s="10"/>
      <c r="BA46" s="193">
        <v>0.75</v>
      </c>
      <c r="BB46" s="86">
        <f t="shared" ref="BB46:BB52" si="59">BC46+BD46</f>
        <v>10</v>
      </c>
      <c r="BC46" s="205">
        <v>10</v>
      </c>
      <c r="BD46" s="37"/>
      <c r="BE46" s="86">
        <f t="shared" ref="BE46:BE77" si="60">BF46*BH46*BI46</f>
        <v>0</v>
      </c>
      <c r="BF46" s="38"/>
      <c r="BG46" s="211"/>
      <c r="BH46" s="163">
        <v>1</v>
      </c>
      <c r="BI46" s="162">
        <v>8</v>
      </c>
      <c r="BJ46" s="86">
        <f t="shared" si="8"/>
        <v>5</v>
      </c>
      <c r="BK46" s="170">
        <v>5</v>
      </c>
      <c r="BL46" s="198"/>
      <c r="BM46" s="91"/>
      <c r="BN46" s="91"/>
      <c r="BO46" s="91"/>
      <c r="BP46" s="91"/>
      <c r="BQ46" s="91"/>
      <c r="BR46" s="91"/>
      <c r="BS46" s="91"/>
      <c r="BT46" s="91"/>
      <c r="BU46" s="91"/>
      <c r="BV46" s="39"/>
    </row>
    <row r="47" spans="2:74" x14ac:dyDescent="0.25">
      <c r="B47" s="139">
        <v>34</v>
      </c>
      <c r="C47" s="140" t="s">
        <v>88</v>
      </c>
      <c r="D47" s="141" t="s">
        <v>144</v>
      </c>
      <c r="E47" s="164" t="s">
        <v>11</v>
      </c>
      <c r="F47" s="134"/>
      <c r="G47" s="150" t="s">
        <v>195</v>
      </c>
      <c r="H47" s="151" t="s">
        <v>95</v>
      </c>
      <c r="I47" s="152" t="str">
        <f t="shared" si="43"/>
        <v>R</v>
      </c>
      <c r="J47" s="154">
        <v>-1</v>
      </c>
      <c r="K47" s="155"/>
      <c r="L47" s="155">
        <v>3</v>
      </c>
      <c r="M47" s="88"/>
      <c r="N47" s="40">
        <f t="shared" si="44"/>
        <v>12.822916666666668</v>
      </c>
      <c r="O47" s="58">
        <f t="shared" si="9"/>
        <v>8.6666666666666679</v>
      </c>
      <c r="P47" s="82">
        <f t="shared" si="6"/>
        <v>79.999999999999957</v>
      </c>
      <c r="Q47" s="127">
        <v>0.375</v>
      </c>
      <c r="R47" s="93"/>
      <c r="S47" s="103">
        <f t="shared" si="45"/>
        <v>0.99930555555555556</v>
      </c>
      <c r="T47" s="49">
        <f t="shared" si="7"/>
        <v>2.15625</v>
      </c>
      <c r="U47" s="36">
        <f t="shared" si="46"/>
        <v>0</v>
      </c>
      <c r="V47" s="36">
        <f t="shared" si="47"/>
        <v>5</v>
      </c>
      <c r="W47" s="36">
        <f t="shared" si="48"/>
        <v>6</v>
      </c>
      <c r="X47" s="36">
        <f t="shared" si="49"/>
        <v>5</v>
      </c>
      <c r="Y47" s="36">
        <f t="shared" si="50"/>
        <v>0</v>
      </c>
      <c r="Z47" s="36">
        <f t="shared" si="51"/>
        <v>0</v>
      </c>
      <c r="AA47" s="36">
        <f t="shared" si="52"/>
        <v>-1</v>
      </c>
      <c r="AB47" s="48">
        <f t="shared" si="53"/>
        <v>2.25</v>
      </c>
      <c r="AK47" s="156">
        <v>6</v>
      </c>
      <c r="AL47" s="157">
        <v>8</v>
      </c>
      <c r="AM47" s="157">
        <v>8</v>
      </c>
      <c r="AN47" s="157">
        <v>4</v>
      </c>
      <c r="AO47" s="157">
        <v>4</v>
      </c>
      <c r="AP47" s="157">
        <v>2</v>
      </c>
      <c r="AQ47" s="157">
        <v>1</v>
      </c>
      <c r="AR47" s="158">
        <v>3</v>
      </c>
      <c r="AS47" s="40">
        <f t="shared" si="54"/>
        <v>2</v>
      </c>
      <c r="AT47" s="169">
        <f t="shared" si="55"/>
        <v>0</v>
      </c>
      <c r="AU47" s="176">
        <v>8</v>
      </c>
      <c r="AV47" s="180">
        <f t="shared" si="56"/>
        <v>0</v>
      </c>
      <c r="AW47" s="184"/>
      <c r="AX47" s="36" t="str">
        <f t="shared" si="57"/>
        <v>YA</v>
      </c>
      <c r="AY47" s="189">
        <f t="shared" si="58"/>
        <v>0.76</v>
      </c>
      <c r="AZ47" s="10"/>
      <c r="BA47" s="193">
        <v>0.25</v>
      </c>
      <c r="BB47" s="86">
        <f t="shared" si="59"/>
        <v>5</v>
      </c>
      <c r="BC47" s="205">
        <v>5</v>
      </c>
      <c r="BD47" s="37"/>
      <c r="BE47" s="86">
        <f t="shared" si="60"/>
        <v>0</v>
      </c>
      <c r="BF47" s="38"/>
      <c r="BG47" s="211"/>
      <c r="BH47" s="163"/>
      <c r="BI47" s="162"/>
      <c r="BJ47" s="86">
        <f t="shared" si="8"/>
        <v>3</v>
      </c>
      <c r="BK47" s="170">
        <v>3</v>
      </c>
      <c r="BL47" s="198"/>
      <c r="BM47" s="91"/>
      <c r="BN47" s="91"/>
      <c r="BO47" s="91"/>
      <c r="BP47" s="91"/>
      <c r="BQ47" s="91"/>
      <c r="BR47" s="91"/>
      <c r="BS47" s="91"/>
      <c r="BT47" s="91"/>
      <c r="BU47" s="91"/>
      <c r="BV47" s="39"/>
    </row>
    <row r="48" spans="2:74" ht="30" x14ac:dyDescent="0.25">
      <c r="B48" s="139">
        <v>35</v>
      </c>
      <c r="C48" s="140" t="s">
        <v>88</v>
      </c>
      <c r="D48" s="141" t="s">
        <v>145</v>
      </c>
      <c r="E48" s="164" t="s">
        <v>276</v>
      </c>
      <c r="F48" s="134"/>
      <c r="G48" s="150" t="s">
        <v>195</v>
      </c>
      <c r="H48" s="151" t="s">
        <v>95</v>
      </c>
      <c r="I48" s="152" t="str">
        <f t="shared" si="43"/>
        <v>R</v>
      </c>
      <c r="J48" s="154">
        <v>-1</v>
      </c>
      <c r="K48" s="155"/>
      <c r="L48" s="155">
        <v>3</v>
      </c>
      <c r="M48" s="88"/>
      <c r="N48" s="40">
        <f t="shared" si="44"/>
        <v>13.447916666666668</v>
      </c>
      <c r="O48" s="58">
        <f t="shared" si="9"/>
        <v>8.6666666666666679</v>
      </c>
      <c r="P48" s="82">
        <f t="shared" si="6"/>
        <v>79.999999999999957</v>
      </c>
      <c r="Q48" s="127">
        <v>0.375</v>
      </c>
      <c r="R48" s="93"/>
      <c r="S48" s="103">
        <f t="shared" si="45"/>
        <v>0.99930555555555556</v>
      </c>
      <c r="T48" s="49">
        <f t="shared" si="7"/>
        <v>2.78125</v>
      </c>
      <c r="U48" s="36">
        <f t="shared" si="46"/>
        <v>2</v>
      </c>
      <c r="V48" s="36">
        <f t="shared" si="47"/>
        <v>5</v>
      </c>
      <c r="W48" s="36">
        <f t="shared" si="48"/>
        <v>4</v>
      </c>
      <c r="X48" s="36">
        <f t="shared" si="49"/>
        <v>6</v>
      </c>
      <c r="Y48" s="36">
        <f t="shared" si="50"/>
        <v>2</v>
      </c>
      <c r="Z48" s="36">
        <f t="shared" si="51"/>
        <v>2</v>
      </c>
      <c r="AA48" s="36">
        <f t="shared" si="52"/>
        <v>0</v>
      </c>
      <c r="AB48" s="48">
        <f t="shared" si="53"/>
        <v>1.25</v>
      </c>
      <c r="AK48" s="156">
        <v>8</v>
      </c>
      <c r="AL48" s="157">
        <v>8</v>
      </c>
      <c r="AM48" s="157">
        <v>6</v>
      </c>
      <c r="AN48" s="157">
        <v>3</v>
      </c>
      <c r="AO48" s="157">
        <v>6</v>
      </c>
      <c r="AP48" s="157">
        <v>4</v>
      </c>
      <c r="AQ48" s="157">
        <v>2</v>
      </c>
      <c r="AR48" s="158">
        <v>2</v>
      </c>
      <c r="AS48" s="40">
        <f t="shared" si="54"/>
        <v>2</v>
      </c>
      <c r="AT48" s="169">
        <f t="shared" si="55"/>
        <v>0</v>
      </c>
      <c r="AU48" s="176">
        <v>5</v>
      </c>
      <c r="AV48" s="180">
        <f t="shared" si="56"/>
        <v>0</v>
      </c>
      <c r="AW48" s="184"/>
      <c r="AX48" s="36" t="str">
        <f t="shared" si="57"/>
        <v>YA</v>
      </c>
      <c r="AY48" s="189">
        <f t="shared" si="58"/>
        <v>0.51</v>
      </c>
      <c r="AZ48" s="10"/>
      <c r="BA48" s="193">
        <v>0.5</v>
      </c>
      <c r="BB48" s="86">
        <f t="shared" si="59"/>
        <v>3</v>
      </c>
      <c r="BC48" s="205">
        <v>3</v>
      </c>
      <c r="BD48" s="37"/>
      <c r="BE48" s="86">
        <f t="shared" si="60"/>
        <v>0</v>
      </c>
      <c r="BF48" s="38"/>
      <c r="BG48" s="211"/>
      <c r="BH48" s="163"/>
      <c r="BI48" s="162"/>
      <c r="BJ48" s="86">
        <f t="shared" si="8"/>
        <v>5</v>
      </c>
      <c r="BK48" s="170">
        <v>5</v>
      </c>
      <c r="BL48" s="198"/>
      <c r="BM48" s="91"/>
      <c r="BN48" s="91"/>
      <c r="BO48" s="91"/>
      <c r="BP48" s="91"/>
      <c r="BQ48" s="91"/>
      <c r="BR48" s="91"/>
      <c r="BS48" s="91"/>
      <c r="BT48" s="91"/>
      <c r="BU48" s="91"/>
      <c r="BV48" s="39"/>
    </row>
    <row r="49" spans="2:74" ht="30" x14ac:dyDescent="0.25">
      <c r="B49" s="139">
        <v>36</v>
      </c>
      <c r="C49" s="143" t="s">
        <v>89</v>
      </c>
      <c r="D49" s="141" t="s">
        <v>146</v>
      </c>
      <c r="E49" s="164" t="s">
        <v>277</v>
      </c>
      <c r="F49" s="134"/>
      <c r="G49" s="150" t="s">
        <v>196</v>
      </c>
      <c r="H49" s="151" t="s">
        <v>95</v>
      </c>
      <c r="I49" s="152" t="str">
        <f t="shared" si="43"/>
        <v>R</v>
      </c>
      <c r="J49" s="154">
        <v>-1</v>
      </c>
      <c r="K49" s="155"/>
      <c r="L49" s="155">
        <v>4</v>
      </c>
      <c r="M49" s="88"/>
      <c r="N49" s="40">
        <f t="shared" si="44"/>
        <v>13.572916666666668</v>
      </c>
      <c r="O49" s="58">
        <f t="shared" si="9"/>
        <v>8.6666666666666679</v>
      </c>
      <c r="P49" s="82">
        <f t="shared" si="6"/>
        <v>79.999999999999957</v>
      </c>
      <c r="Q49" s="129">
        <v>0.375</v>
      </c>
      <c r="R49" s="96"/>
      <c r="S49" s="103">
        <f t="shared" si="45"/>
        <v>7</v>
      </c>
      <c r="T49" s="49">
        <f t="shared" si="7"/>
        <v>2.15625</v>
      </c>
      <c r="U49" s="36">
        <f t="shared" si="46"/>
        <v>-1</v>
      </c>
      <c r="V49" s="36">
        <f t="shared" si="47"/>
        <v>2</v>
      </c>
      <c r="W49" s="36">
        <f t="shared" si="48"/>
        <v>3</v>
      </c>
      <c r="X49" s="36">
        <f t="shared" si="49"/>
        <v>3</v>
      </c>
      <c r="Y49" s="36">
        <f t="shared" si="50"/>
        <v>1</v>
      </c>
      <c r="Z49" s="36">
        <f t="shared" si="51"/>
        <v>3</v>
      </c>
      <c r="AA49" s="36">
        <f t="shared" si="52"/>
        <v>1</v>
      </c>
      <c r="AB49" s="48">
        <f t="shared" si="53"/>
        <v>5.25</v>
      </c>
      <c r="AK49" s="156">
        <v>5</v>
      </c>
      <c r="AL49" s="157">
        <v>5</v>
      </c>
      <c r="AM49" s="157">
        <v>5</v>
      </c>
      <c r="AN49" s="157">
        <v>6</v>
      </c>
      <c r="AO49" s="157">
        <v>5</v>
      </c>
      <c r="AP49" s="157">
        <v>5</v>
      </c>
      <c r="AQ49" s="157">
        <v>3</v>
      </c>
      <c r="AR49" s="158">
        <v>6</v>
      </c>
      <c r="AS49" s="40">
        <f t="shared" si="54"/>
        <v>2.75</v>
      </c>
      <c r="AT49" s="169">
        <f t="shared" si="55"/>
        <v>0</v>
      </c>
      <c r="AU49" s="176">
        <v>8</v>
      </c>
      <c r="AV49" s="180">
        <f t="shared" si="56"/>
        <v>0</v>
      </c>
      <c r="AW49" s="184"/>
      <c r="AX49" s="36" t="str">
        <f t="shared" si="57"/>
        <v>YA</v>
      </c>
      <c r="AY49" s="189">
        <f t="shared" si="58"/>
        <v>0.76</v>
      </c>
      <c r="AZ49" s="10"/>
      <c r="BA49" s="193">
        <v>0.25</v>
      </c>
      <c r="BB49" s="86">
        <f t="shared" si="59"/>
        <v>8</v>
      </c>
      <c r="BC49" s="205">
        <v>8</v>
      </c>
      <c r="BD49" s="37"/>
      <c r="BE49" s="86">
        <f t="shared" si="60"/>
        <v>0</v>
      </c>
      <c r="BF49" s="38"/>
      <c r="BG49" s="211"/>
      <c r="BH49" s="163"/>
      <c r="BI49" s="162"/>
      <c r="BJ49" s="86">
        <f t="shared" si="8"/>
        <v>3</v>
      </c>
      <c r="BK49" s="170">
        <v>3</v>
      </c>
      <c r="BL49" s="198"/>
      <c r="BM49" s="91"/>
      <c r="BN49" s="91"/>
      <c r="BO49" s="91"/>
      <c r="BP49" s="91"/>
      <c r="BQ49" s="91"/>
      <c r="BR49" s="91"/>
      <c r="BS49" s="91"/>
      <c r="BT49" s="91"/>
      <c r="BU49" s="91"/>
      <c r="BV49" s="39"/>
    </row>
    <row r="50" spans="2:74" x14ac:dyDescent="0.25">
      <c r="B50" s="139">
        <v>37</v>
      </c>
      <c r="C50" s="143" t="s">
        <v>88</v>
      </c>
      <c r="D50" s="141" t="s">
        <v>147</v>
      </c>
      <c r="E50" s="218" t="s">
        <v>279</v>
      </c>
      <c r="F50" s="134"/>
      <c r="G50" s="150" t="s">
        <v>195</v>
      </c>
      <c r="H50" s="151" t="s">
        <v>94</v>
      </c>
      <c r="I50" s="152" t="str">
        <f t="shared" si="43"/>
        <v>R</v>
      </c>
      <c r="J50" s="154">
        <v>1</v>
      </c>
      <c r="K50" s="155"/>
      <c r="L50" s="155">
        <v>2</v>
      </c>
      <c r="M50" s="88"/>
      <c r="N50" s="40">
        <f t="shared" si="44"/>
        <v>14.197916666666668</v>
      </c>
      <c r="O50" s="58">
        <f t="shared" si="9"/>
        <v>8.1666666666666679</v>
      </c>
      <c r="P50" s="58">
        <f t="shared" si="6"/>
        <v>109.99999999999993</v>
      </c>
      <c r="Q50" s="126">
        <v>0.39583333333333331</v>
      </c>
      <c r="R50" s="92"/>
      <c r="S50" s="103">
        <f t="shared" si="45"/>
        <v>0.5</v>
      </c>
      <c r="T50" s="49">
        <f t="shared" si="7"/>
        <v>2.78125</v>
      </c>
      <c r="U50" s="36">
        <f t="shared" si="46"/>
        <v>4</v>
      </c>
      <c r="V50" s="36">
        <f t="shared" si="47"/>
        <v>5</v>
      </c>
      <c r="W50" s="36">
        <f t="shared" si="48"/>
        <v>6</v>
      </c>
      <c r="X50" s="36">
        <f t="shared" si="49"/>
        <v>3</v>
      </c>
      <c r="Y50" s="36">
        <f t="shared" si="50"/>
        <v>0</v>
      </c>
      <c r="Z50" s="36">
        <f t="shared" si="51"/>
        <v>1</v>
      </c>
      <c r="AA50" s="36">
        <f t="shared" si="52"/>
        <v>1</v>
      </c>
      <c r="AB50" s="48">
        <f t="shared" si="53"/>
        <v>2.25</v>
      </c>
      <c r="AK50" s="156">
        <v>10</v>
      </c>
      <c r="AL50" s="157">
        <v>8</v>
      </c>
      <c r="AM50" s="157">
        <v>8</v>
      </c>
      <c r="AN50" s="157">
        <v>6</v>
      </c>
      <c r="AO50" s="157">
        <v>4</v>
      </c>
      <c r="AP50" s="157">
        <v>3</v>
      </c>
      <c r="AQ50" s="157">
        <v>3</v>
      </c>
      <c r="AR50" s="158">
        <v>3</v>
      </c>
      <c r="AS50" s="40">
        <f t="shared" si="54"/>
        <v>3.25</v>
      </c>
      <c r="AT50" s="169">
        <f t="shared" si="55"/>
        <v>0</v>
      </c>
      <c r="AU50" s="176">
        <v>5</v>
      </c>
      <c r="AV50" s="180">
        <f t="shared" si="56"/>
        <v>0</v>
      </c>
      <c r="AW50" s="184"/>
      <c r="AX50" s="36" t="str">
        <f t="shared" si="57"/>
        <v>YA</v>
      </c>
      <c r="AY50" s="189">
        <f t="shared" si="58"/>
        <v>0.26</v>
      </c>
      <c r="AZ50" s="10"/>
      <c r="BA50" s="193">
        <v>0.75</v>
      </c>
      <c r="BB50" s="86">
        <f t="shared" si="59"/>
        <v>8</v>
      </c>
      <c r="BC50" s="205">
        <v>8</v>
      </c>
      <c r="BD50" s="37"/>
      <c r="BE50" s="86">
        <f t="shared" si="60"/>
        <v>0</v>
      </c>
      <c r="BF50" s="38"/>
      <c r="BG50" s="211"/>
      <c r="BH50" s="163">
        <v>1</v>
      </c>
      <c r="BI50" s="162">
        <v>5</v>
      </c>
      <c r="BJ50" s="86">
        <f t="shared" si="8"/>
        <v>5</v>
      </c>
      <c r="BK50" s="170">
        <v>5</v>
      </c>
      <c r="BL50" s="198"/>
      <c r="BM50" s="91"/>
      <c r="BN50" s="91"/>
      <c r="BO50" s="91"/>
      <c r="BP50" s="91"/>
      <c r="BQ50" s="91"/>
      <c r="BR50" s="91"/>
      <c r="BS50" s="91"/>
      <c r="BT50" s="91"/>
      <c r="BU50" s="91"/>
      <c r="BV50" s="39"/>
    </row>
    <row r="51" spans="2:74" x14ac:dyDescent="0.25">
      <c r="B51" s="139">
        <v>38</v>
      </c>
      <c r="C51" s="143" t="s">
        <v>88</v>
      </c>
      <c r="D51" s="141" t="s">
        <v>148</v>
      </c>
      <c r="E51" s="219" t="s">
        <v>278</v>
      </c>
      <c r="F51" s="135"/>
      <c r="G51" s="150" t="s">
        <v>195</v>
      </c>
      <c r="H51" s="151" t="s">
        <v>94</v>
      </c>
      <c r="I51" s="152" t="str">
        <f t="shared" si="43"/>
        <v>R</v>
      </c>
      <c r="J51" s="154">
        <v>1</v>
      </c>
      <c r="K51" s="155"/>
      <c r="L51" s="155">
        <v>2</v>
      </c>
      <c r="N51" s="40">
        <f t="shared" si="44"/>
        <v>14.564583333333335</v>
      </c>
      <c r="O51" s="58">
        <f t="shared" si="9"/>
        <v>8.033333333333335</v>
      </c>
      <c r="P51" s="58">
        <f t="shared" si="6"/>
        <v>117.9999999999999</v>
      </c>
      <c r="Q51" s="128">
        <v>0.40138888888888885</v>
      </c>
      <c r="R51" s="94"/>
      <c r="S51" s="103">
        <f t="shared" si="45"/>
        <v>0.5</v>
      </c>
      <c r="T51" s="49">
        <f t="shared" si="7"/>
        <v>2.78125</v>
      </c>
      <c r="U51" s="36">
        <f t="shared" si="46"/>
        <v>4</v>
      </c>
      <c r="V51" s="36">
        <f t="shared" si="47"/>
        <v>5</v>
      </c>
      <c r="W51" s="36">
        <f t="shared" si="48"/>
        <v>6</v>
      </c>
      <c r="X51" s="36">
        <f t="shared" si="49"/>
        <v>3</v>
      </c>
      <c r="Y51" s="36">
        <f t="shared" si="50"/>
        <v>0</v>
      </c>
      <c r="Z51" s="36">
        <f t="shared" si="51"/>
        <v>1</v>
      </c>
      <c r="AA51" s="36">
        <f t="shared" si="52"/>
        <v>1</v>
      </c>
      <c r="AB51" s="48">
        <f t="shared" si="53"/>
        <v>2.25</v>
      </c>
      <c r="AK51" s="156">
        <v>10</v>
      </c>
      <c r="AL51" s="157">
        <v>8</v>
      </c>
      <c r="AM51" s="157">
        <v>8</v>
      </c>
      <c r="AN51" s="157">
        <v>6</v>
      </c>
      <c r="AO51" s="157">
        <v>4</v>
      </c>
      <c r="AP51" s="157">
        <v>3</v>
      </c>
      <c r="AQ51" s="157">
        <v>3</v>
      </c>
      <c r="AR51" s="158">
        <v>3</v>
      </c>
      <c r="AS51" s="40">
        <f t="shared" si="54"/>
        <v>3.75</v>
      </c>
      <c r="AT51" s="169">
        <f t="shared" si="55"/>
        <v>0</v>
      </c>
      <c r="AU51" s="176">
        <v>5</v>
      </c>
      <c r="AV51" s="182">
        <f t="shared" si="56"/>
        <v>0</v>
      </c>
      <c r="AW51" s="184"/>
      <c r="AX51" s="36" t="str">
        <f t="shared" si="57"/>
        <v>YA</v>
      </c>
      <c r="AY51" s="189">
        <f t="shared" si="58"/>
        <v>0.26</v>
      </c>
      <c r="AZ51" s="10"/>
      <c r="BA51" s="193">
        <v>0.75</v>
      </c>
      <c r="BB51" s="86">
        <f t="shared" si="59"/>
        <v>10</v>
      </c>
      <c r="BC51" s="205">
        <v>10</v>
      </c>
      <c r="BD51" s="37"/>
      <c r="BE51" s="86">
        <f t="shared" si="60"/>
        <v>0</v>
      </c>
      <c r="BF51" s="38"/>
      <c r="BG51" s="215"/>
      <c r="BH51" s="163">
        <v>1</v>
      </c>
      <c r="BI51" s="162">
        <v>5</v>
      </c>
      <c r="BJ51" s="86">
        <f t="shared" si="8"/>
        <v>5</v>
      </c>
      <c r="BK51" s="170">
        <v>5</v>
      </c>
      <c r="BL51" s="198"/>
      <c r="BM51" s="91"/>
      <c r="BN51" s="91"/>
      <c r="BO51" s="91"/>
      <c r="BP51" s="91"/>
      <c r="BQ51" s="91"/>
      <c r="BR51" s="91"/>
      <c r="BS51" s="91"/>
      <c r="BT51" s="91"/>
      <c r="BU51" s="91"/>
      <c r="BV51" s="39"/>
    </row>
    <row r="52" spans="2:74" ht="30" x14ac:dyDescent="0.25">
      <c r="B52" s="139">
        <v>39</v>
      </c>
      <c r="C52" s="143" t="s">
        <v>88</v>
      </c>
      <c r="D52" s="141" t="s">
        <v>149</v>
      </c>
      <c r="E52" s="218" t="s">
        <v>330</v>
      </c>
      <c r="F52" s="132"/>
      <c r="G52" s="150" t="s">
        <v>195</v>
      </c>
      <c r="H52" s="151" t="s">
        <v>94</v>
      </c>
      <c r="I52" s="152" t="str">
        <f t="shared" si="43"/>
        <v>R</v>
      </c>
      <c r="J52" s="154">
        <v>1</v>
      </c>
      <c r="K52" s="155"/>
      <c r="L52" s="155">
        <v>2</v>
      </c>
      <c r="M52" s="88"/>
      <c r="N52" s="40">
        <f t="shared" si="44"/>
        <v>14.397916666666669</v>
      </c>
      <c r="O52" s="58">
        <f t="shared" si="9"/>
        <v>7.8666666666666689</v>
      </c>
      <c r="P52" s="58">
        <f t="shared" si="6"/>
        <v>127.99999999999986</v>
      </c>
      <c r="Q52" s="126">
        <v>0.40833333333333327</v>
      </c>
      <c r="R52" s="92"/>
      <c r="S52" s="103">
        <f t="shared" si="45"/>
        <v>0.5</v>
      </c>
      <c r="T52" s="49">
        <f t="shared" si="7"/>
        <v>2.78125</v>
      </c>
      <c r="U52" s="36">
        <f t="shared" si="46"/>
        <v>4</v>
      </c>
      <c r="V52" s="36">
        <f t="shared" si="47"/>
        <v>5</v>
      </c>
      <c r="W52" s="36">
        <f t="shared" si="48"/>
        <v>6</v>
      </c>
      <c r="X52" s="36">
        <f t="shared" si="49"/>
        <v>3</v>
      </c>
      <c r="Y52" s="36">
        <f t="shared" si="50"/>
        <v>0</v>
      </c>
      <c r="Z52" s="36">
        <f t="shared" si="51"/>
        <v>1</v>
      </c>
      <c r="AA52" s="36">
        <f t="shared" si="52"/>
        <v>1</v>
      </c>
      <c r="AB52" s="48">
        <f t="shared" si="53"/>
        <v>2.25</v>
      </c>
      <c r="AK52" s="156">
        <v>10</v>
      </c>
      <c r="AL52" s="157">
        <v>8</v>
      </c>
      <c r="AM52" s="157">
        <v>8</v>
      </c>
      <c r="AN52" s="157">
        <v>6</v>
      </c>
      <c r="AO52" s="157">
        <v>4</v>
      </c>
      <c r="AP52" s="157">
        <v>3</v>
      </c>
      <c r="AQ52" s="157">
        <v>3</v>
      </c>
      <c r="AR52" s="158">
        <v>3</v>
      </c>
      <c r="AS52" s="40">
        <f t="shared" si="54"/>
        <v>3.75</v>
      </c>
      <c r="AT52" s="169">
        <f t="shared" si="55"/>
        <v>0</v>
      </c>
      <c r="AU52" s="176">
        <v>5</v>
      </c>
      <c r="AV52" s="180">
        <f t="shared" si="56"/>
        <v>0</v>
      </c>
      <c r="AW52" s="184"/>
      <c r="AX52" s="36" t="str">
        <f t="shared" si="57"/>
        <v>YA</v>
      </c>
      <c r="AY52" s="189">
        <f t="shared" si="58"/>
        <v>0.26</v>
      </c>
      <c r="AZ52" s="10"/>
      <c r="BA52" s="193">
        <v>0.75</v>
      </c>
      <c r="BB52" s="86">
        <f t="shared" si="59"/>
        <v>10</v>
      </c>
      <c r="BC52" s="205">
        <v>10</v>
      </c>
      <c r="BD52" s="37"/>
      <c r="BE52" s="86">
        <f t="shared" si="60"/>
        <v>0</v>
      </c>
      <c r="BF52" s="38"/>
      <c r="BG52" s="211"/>
      <c r="BH52" s="163">
        <v>1</v>
      </c>
      <c r="BI52" s="162">
        <v>5</v>
      </c>
      <c r="BJ52" s="86">
        <f t="shared" si="8"/>
        <v>5</v>
      </c>
      <c r="BK52" s="170">
        <v>5</v>
      </c>
      <c r="BL52" s="198"/>
      <c r="BM52" s="91"/>
      <c r="BN52" s="91"/>
      <c r="BO52" s="91"/>
      <c r="BP52" s="91"/>
      <c r="BQ52" s="91"/>
      <c r="BR52" s="91"/>
      <c r="BS52" s="91"/>
      <c r="BT52" s="91"/>
      <c r="BU52" s="91"/>
      <c r="BV52" s="39"/>
    </row>
    <row r="53" spans="2:74" x14ac:dyDescent="0.25">
      <c r="B53" s="139">
        <v>40</v>
      </c>
      <c r="C53" s="143" t="s">
        <v>88</v>
      </c>
      <c r="D53" s="141" t="s">
        <v>150</v>
      </c>
      <c r="E53" s="164" t="s">
        <v>280</v>
      </c>
      <c r="F53" s="134"/>
      <c r="G53" s="150" t="s">
        <v>195</v>
      </c>
      <c r="H53" s="151" t="s">
        <v>94</v>
      </c>
      <c r="I53" s="152" t="str">
        <f t="shared" si="43"/>
        <v>R</v>
      </c>
      <c r="J53" s="154">
        <v>1</v>
      </c>
      <c r="K53" s="155"/>
      <c r="L53" s="155">
        <v>2</v>
      </c>
      <c r="M53" s="88"/>
      <c r="N53" s="40">
        <f t="shared" si="44"/>
        <v>13.231250000000003</v>
      </c>
      <c r="O53" s="58">
        <f t="shared" si="9"/>
        <v>7.7000000000000028</v>
      </c>
      <c r="P53" s="58">
        <f t="shared" si="6"/>
        <v>137.99999999999983</v>
      </c>
      <c r="Q53" s="128">
        <v>0.41527777777777769</v>
      </c>
      <c r="R53" s="94"/>
      <c r="S53" s="103">
        <f t="shared" si="45"/>
        <v>0.5</v>
      </c>
      <c r="T53" s="49">
        <f t="shared" si="7"/>
        <v>2.78125</v>
      </c>
      <c r="U53" s="36">
        <f t="shared" si="15"/>
        <v>4</v>
      </c>
      <c r="V53" s="36">
        <f t="shared" si="16"/>
        <v>5</v>
      </c>
      <c r="W53" s="36">
        <f t="shared" si="17"/>
        <v>6</v>
      </c>
      <c r="X53" s="36">
        <f t="shared" si="18"/>
        <v>3</v>
      </c>
      <c r="Y53" s="36">
        <f t="shared" si="19"/>
        <v>0</v>
      </c>
      <c r="Z53" s="36">
        <f t="shared" si="20"/>
        <v>1</v>
      </c>
      <c r="AA53" s="36">
        <f t="shared" si="21"/>
        <v>1</v>
      </c>
      <c r="AB53" s="48">
        <f t="shared" si="22"/>
        <v>2.25</v>
      </c>
      <c r="AK53" s="156">
        <v>10</v>
      </c>
      <c r="AL53" s="157">
        <v>8</v>
      </c>
      <c r="AM53" s="157">
        <v>8</v>
      </c>
      <c r="AN53" s="157">
        <v>6</v>
      </c>
      <c r="AO53" s="157">
        <v>4</v>
      </c>
      <c r="AP53" s="157">
        <v>3</v>
      </c>
      <c r="AQ53" s="157">
        <v>3</v>
      </c>
      <c r="AR53" s="158">
        <v>3</v>
      </c>
      <c r="AS53" s="40">
        <f t="shared" si="54"/>
        <v>2.75</v>
      </c>
      <c r="AT53" s="169">
        <f t="shared" si="10"/>
        <v>0</v>
      </c>
      <c r="AU53" s="176">
        <v>5</v>
      </c>
      <c r="AV53" s="180">
        <f t="shared" si="11"/>
        <v>0</v>
      </c>
      <c r="AW53" s="184"/>
      <c r="AX53" s="36" t="str">
        <f t="shared" si="12"/>
        <v>YA</v>
      </c>
      <c r="AY53" s="189">
        <f t="shared" si="13"/>
        <v>0.26</v>
      </c>
      <c r="AZ53" s="10"/>
      <c r="BA53" s="193">
        <v>0.75</v>
      </c>
      <c r="BB53" s="86">
        <f t="shared" si="14"/>
        <v>6</v>
      </c>
      <c r="BC53" s="205">
        <v>6</v>
      </c>
      <c r="BD53" s="37"/>
      <c r="BE53" s="86">
        <f t="shared" si="60"/>
        <v>0</v>
      </c>
      <c r="BF53" s="38"/>
      <c r="BG53" s="211"/>
      <c r="BH53" s="163">
        <v>1</v>
      </c>
      <c r="BI53" s="162">
        <v>5</v>
      </c>
      <c r="BJ53" s="86">
        <f t="shared" si="8"/>
        <v>5</v>
      </c>
      <c r="BK53" s="170">
        <v>5</v>
      </c>
      <c r="BL53" s="198"/>
      <c r="BM53" s="91"/>
      <c r="BN53" s="91"/>
      <c r="BO53" s="91"/>
      <c r="BP53" s="91"/>
      <c r="BQ53" s="91"/>
      <c r="BR53" s="91"/>
      <c r="BS53" s="91"/>
      <c r="BT53" s="91"/>
      <c r="BU53" s="91"/>
      <c r="BV53" s="39"/>
    </row>
    <row r="54" spans="2:74" x14ac:dyDescent="0.25">
      <c r="B54" s="139">
        <v>41</v>
      </c>
      <c r="C54" s="146" t="s">
        <v>281</v>
      </c>
      <c r="D54" s="141" t="s">
        <v>151</v>
      </c>
      <c r="E54" s="164" t="s">
        <v>16</v>
      </c>
      <c r="F54" s="134"/>
      <c r="G54" s="150" t="s">
        <v>195</v>
      </c>
      <c r="H54" s="151" t="s">
        <v>95</v>
      </c>
      <c r="I54" s="152" t="str">
        <f t="shared" si="43"/>
        <v>R</v>
      </c>
      <c r="J54" s="154">
        <v>2</v>
      </c>
      <c r="K54" s="155"/>
      <c r="L54" s="155">
        <v>1</v>
      </c>
      <c r="M54" s="88"/>
      <c r="N54" s="40">
        <f t="shared" si="44"/>
        <v>15.197916666666668</v>
      </c>
      <c r="O54" s="58">
        <f t="shared" si="9"/>
        <v>7.666666666666667</v>
      </c>
      <c r="P54" s="58">
        <f t="shared" si="6"/>
        <v>139.99999999999997</v>
      </c>
      <c r="Q54" s="126">
        <v>0.41666666666666669</v>
      </c>
      <c r="R54" s="92"/>
      <c r="S54" s="105">
        <f t="shared" si="45"/>
        <v>0.25</v>
      </c>
      <c r="T54" s="49">
        <f t="shared" si="7"/>
        <v>4.53125</v>
      </c>
      <c r="U54" s="36">
        <f t="shared" ref="U54:U59" si="61">AK54-$AC$13</f>
        <v>3</v>
      </c>
      <c r="V54" s="36">
        <f t="shared" ref="V54:V59" si="62">AL54-$AD$13</f>
        <v>5</v>
      </c>
      <c r="W54" s="36">
        <f t="shared" ref="W54:W59" si="63">AM54-$AE$13</f>
        <v>7</v>
      </c>
      <c r="X54" s="36">
        <f t="shared" ref="X54:X59" si="64">$AF$13-AN54</f>
        <v>2</v>
      </c>
      <c r="Y54" s="36">
        <f t="shared" ref="Y54:Y59" si="65">AO54-$AG$13</f>
        <v>5</v>
      </c>
      <c r="Z54" s="36">
        <f t="shared" ref="Z54:Z59" si="66">AP54-$AH$13</f>
        <v>7</v>
      </c>
      <c r="AA54" s="36">
        <f t="shared" ref="AA54:AA59" si="67">AQ54-$AH$13</f>
        <v>1</v>
      </c>
      <c r="AB54" s="48">
        <f t="shared" ref="AB54:AB59" si="68">AR54-$AJ$13</f>
        <v>6.25</v>
      </c>
      <c r="AK54" s="156">
        <v>9</v>
      </c>
      <c r="AL54" s="157">
        <v>8</v>
      </c>
      <c r="AM54" s="157">
        <v>9</v>
      </c>
      <c r="AN54" s="157">
        <v>7</v>
      </c>
      <c r="AO54" s="157">
        <v>9</v>
      </c>
      <c r="AP54" s="157">
        <v>9</v>
      </c>
      <c r="AQ54" s="157">
        <v>3</v>
      </c>
      <c r="AR54" s="158">
        <v>7</v>
      </c>
      <c r="AS54" s="40">
        <f t="shared" si="54"/>
        <v>3</v>
      </c>
      <c r="AT54" s="169">
        <f t="shared" ref="AT54:AT59" si="69">AU54*AV54</f>
        <v>0</v>
      </c>
      <c r="AU54" s="176">
        <v>3</v>
      </c>
      <c r="AV54" s="180">
        <f t="shared" ref="AV54:AV59" si="70">IF(AW54=1,1,IF(AW54=2,0.9,IF(AW54=3,0.8,IF(AW54=4,0.7,IF(AW54=5,0.6,IF(AW54=6,0.5,IF(AW54=7,0.4,IF(AW54=8,0.3,IF(AW54=9,0.2,IF(AW54=10,0.1,IF(AW54=0,0,0)))))))))))</f>
        <v>0</v>
      </c>
      <c r="AW54" s="184"/>
      <c r="AX54" s="36" t="str">
        <f t="shared" ref="AX54:AX59" si="71">IF($AZ$13&gt;=BA54,"YA","TIDAK")</f>
        <v>YA</v>
      </c>
      <c r="AY54" s="189">
        <f t="shared" ref="AY54:AY59" si="72">IF($AZ$13-BA54&gt;0,$AZ$13-BA54,"0")</f>
        <v>0.51</v>
      </c>
      <c r="AZ54" s="10"/>
      <c r="BA54" s="193">
        <v>0.5</v>
      </c>
      <c r="BB54" s="86">
        <f t="shared" ref="BB54:BB59" si="73">BC54+BD54</f>
        <v>6</v>
      </c>
      <c r="BC54" s="205">
        <v>6</v>
      </c>
      <c r="BD54" s="37"/>
      <c r="BE54" s="86">
        <f t="shared" si="60"/>
        <v>0</v>
      </c>
      <c r="BF54" s="38"/>
      <c r="BG54" s="211"/>
      <c r="BH54" s="163">
        <v>1</v>
      </c>
      <c r="BI54" s="162">
        <v>5</v>
      </c>
      <c r="BJ54" s="86">
        <f t="shared" si="8"/>
        <v>6</v>
      </c>
      <c r="BK54" s="170">
        <v>6</v>
      </c>
      <c r="BL54" s="198"/>
      <c r="BM54" s="91"/>
      <c r="BN54" s="91"/>
      <c r="BO54" s="91"/>
      <c r="BP54" s="91"/>
      <c r="BQ54" s="91"/>
      <c r="BR54" s="91"/>
      <c r="BS54" s="91"/>
      <c r="BT54" s="91"/>
      <c r="BU54" s="91"/>
      <c r="BV54" s="39"/>
    </row>
    <row r="55" spans="2:74" s="55" customFormat="1" x14ac:dyDescent="0.25">
      <c r="B55" s="139">
        <v>42</v>
      </c>
      <c r="C55" s="146" t="s">
        <v>282</v>
      </c>
      <c r="D55" s="141" t="s">
        <v>152</v>
      </c>
      <c r="E55" s="164" t="s">
        <v>15</v>
      </c>
      <c r="F55" s="134"/>
      <c r="G55" s="150" t="s">
        <v>195</v>
      </c>
      <c r="H55" s="151" t="s">
        <v>95</v>
      </c>
      <c r="I55" s="152" t="str">
        <f t="shared" si="43"/>
        <v>R</v>
      </c>
      <c r="J55" s="154">
        <v>3</v>
      </c>
      <c r="K55" s="155"/>
      <c r="L55" s="155">
        <v>1</v>
      </c>
      <c r="M55" s="88"/>
      <c r="N55" s="40">
        <f t="shared" si="44"/>
        <v>15.697916666666668</v>
      </c>
      <c r="O55" s="58">
        <f t="shared" si="9"/>
        <v>7.666666666666667</v>
      </c>
      <c r="P55" s="58">
        <f t="shared" si="6"/>
        <v>139.99999999999997</v>
      </c>
      <c r="Q55" s="127">
        <v>0.41666666666666669</v>
      </c>
      <c r="R55" s="93"/>
      <c r="S55" s="103">
        <f t="shared" si="45"/>
        <v>0.25</v>
      </c>
      <c r="T55" s="49">
        <f t="shared" si="7"/>
        <v>4.78125</v>
      </c>
      <c r="U55" s="36">
        <f t="shared" si="61"/>
        <v>3</v>
      </c>
      <c r="V55" s="36">
        <f t="shared" si="62"/>
        <v>5</v>
      </c>
      <c r="W55" s="36">
        <f t="shared" si="63"/>
        <v>7</v>
      </c>
      <c r="X55" s="36">
        <f t="shared" si="64"/>
        <v>4</v>
      </c>
      <c r="Y55" s="36">
        <f t="shared" si="65"/>
        <v>5</v>
      </c>
      <c r="Z55" s="36">
        <f t="shared" si="66"/>
        <v>7</v>
      </c>
      <c r="AA55" s="36">
        <f t="shared" si="67"/>
        <v>1</v>
      </c>
      <c r="AB55" s="48">
        <f t="shared" si="68"/>
        <v>6.25</v>
      </c>
      <c r="AC55" s="1"/>
      <c r="AD55" s="1"/>
      <c r="AE55" s="1"/>
      <c r="AF55" s="1"/>
      <c r="AG55" s="1"/>
      <c r="AH55" s="1"/>
      <c r="AI55" s="1"/>
      <c r="AJ55" s="1"/>
      <c r="AK55" s="156">
        <v>9</v>
      </c>
      <c r="AL55" s="157">
        <v>8</v>
      </c>
      <c r="AM55" s="157">
        <v>9</v>
      </c>
      <c r="AN55" s="157">
        <v>5</v>
      </c>
      <c r="AO55" s="157">
        <v>9</v>
      </c>
      <c r="AP55" s="157">
        <v>9</v>
      </c>
      <c r="AQ55" s="157">
        <v>3</v>
      </c>
      <c r="AR55" s="158">
        <v>7</v>
      </c>
      <c r="AS55" s="40">
        <f t="shared" si="54"/>
        <v>3.25</v>
      </c>
      <c r="AT55" s="169">
        <f t="shared" si="69"/>
        <v>0</v>
      </c>
      <c r="AU55" s="176">
        <v>5</v>
      </c>
      <c r="AV55" s="180">
        <f t="shared" si="70"/>
        <v>0</v>
      </c>
      <c r="AW55" s="184"/>
      <c r="AX55" s="36" t="str">
        <f t="shared" si="71"/>
        <v>YA</v>
      </c>
      <c r="AY55" s="189">
        <f t="shared" si="72"/>
        <v>0.76</v>
      </c>
      <c r="AZ55" s="10"/>
      <c r="BA55" s="193">
        <v>0.25</v>
      </c>
      <c r="BB55" s="86">
        <f t="shared" si="73"/>
        <v>7</v>
      </c>
      <c r="BC55" s="205">
        <v>7</v>
      </c>
      <c r="BD55" s="37"/>
      <c r="BE55" s="86">
        <f t="shared" si="60"/>
        <v>0</v>
      </c>
      <c r="BF55" s="38"/>
      <c r="BG55" s="211"/>
      <c r="BH55" s="163">
        <v>1</v>
      </c>
      <c r="BI55" s="162">
        <v>7</v>
      </c>
      <c r="BJ55" s="86">
        <f t="shared" si="8"/>
        <v>6</v>
      </c>
      <c r="BK55" s="170">
        <v>6</v>
      </c>
      <c r="BL55" s="198"/>
      <c r="BM55" s="91"/>
      <c r="BN55" s="91"/>
      <c r="BO55" s="91"/>
      <c r="BP55" s="91"/>
      <c r="BQ55" s="91"/>
      <c r="BR55" s="91"/>
      <c r="BS55" s="91"/>
      <c r="BT55" s="91"/>
      <c r="BU55" s="91"/>
      <c r="BV55" s="39"/>
    </row>
    <row r="56" spans="2:74" x14ac:dyDescent="0.25">
      <c r="B56" s="139">
        <v>43</v>
      </c>
      <c r="C56" s="142" t="s">
        <v>283</v>
      </c>
      <c r="D56" s="141" t="s">
        <v>153</v>
      </c>
      <c r="E56" s="164" t="s">
        <v>17</v>
      </c>
      <c r="F56" s="134"/>
      <c r="G56" s="150" t="s">
        <v>195</v>
      </c>
      <c r="H56" s="151" t="s">
        <v>95</v>
      </c>
      <c r="I56" s="152" t="str">
        <f t="shared" si="43"/>
        <v>R</v>
      </c>
      <c r="J56" s="154">
        <v>3</v>
      </c>
      <c r="K56" s="155"/>
      <c r="L56" s="155">
        <v>0</v>
      </c>
      <c r="M56" s="88"/>
      <c r="N56" s="40">
        <f t="shared" si="44"/>
        <v>15.572916666666668</v>
      </c>
      <c r="O56" s="58">
        <f t="shared" si="9"/>
        <v>7.1666666666666679</v>
      </c>
      <c r="P56" s="58">
        <f t="shared" si="6"/>
        <v>169.99999999999994</v>
      </c>
      <c r="Q56" s="127">
        <v>0.4375</v>
      </c>
      <c r="R56" s="93"/>
      <c r="S56" s="105">
        <f t="shared" si="45"/>
        <v>0</v>
      </c>
      <c r="T56" s="49">
        <f t="shared" si="7"/>
        <v>4.65625</v>
      </c>
      <c r="U56" s="36">
        <f t="shared" si="61"/>
        <v>3</v>
      </c>
      <c r="V56" s="36">
        <f t="shared" si="62"/>
        <v>5</v>
      </c>
      <c r="W56" s="36">
        <f t="shared" si="63"/>
        <v>7</v>
      </c>
      <c r="X56" s="36">
        <f t="shared" si="64"/>
        <v>3</v>
      </c>
      <c r="Y56" s="36">
        <f t="shared" si="65"/>
        <v>5</v>
      </c>
      <c r="Z56" s="36">
        <f t="shared" si="66"/>
        <v>7</v>
      </c>
      <c r="AA56" s="36">
        <f t="shared" si="67"/>
        <v>1</v>
      </c>
      <c r="AB56" s="48">
        <f t="shared" si="68"/>
        <v>6.25</v>
      </c>
      <c r="AK56" s="156">
        <v>9</v>
      </c>
      <c r="AL56" s="157">
        <v>8</v>
      </c>
      <c r="AM56" s="157">
        <v>9</v>
      </c>
      <c r="AN56" s="157">
        <v>6</v>
      </c>
      <c r="AO56" s="157">
        <v>9</v>
      </c>
      <c r="AP56" s="157">
        <v>9</v>
      </c>
      <c r="AQ56" s="157">
        <v>3</v>
      </c>
      <c r="AR56" s="158">
        <v>7</v>
      </c>
      <c r="AS56" s="40">
        <f t="shared" si="54"/>
        <v>3.75</v>
      </c>
      <c r="AT56" s="169">
        <f t="shared" si="69"/>
        <v>0</v>
      </c>
      <c r="AU56" s="176">
        <v>5</v>
      </c>
      <c r="AV56" s="180">
        <f t="shared" si="70"/>
        <v>0</v>
      </c>
      <c r="AW56" s="184"/>
      <c r="AX56" s="36" t="str">
        <f t="shared" si="71"/>
        <v>YA</v>
      </c>
      <c r="AY56" s="189">
        <f t="shared" si="72"/>
        <v>0.26</v>
      </c>
      <c r="AZ56" s="10"/>
      <c r="BA56" s="193">
        <v>0.75</v>
      </c>
      <c r="BB56" s="86">
        <f t="shared" si="73"/>
        <v>10</v>
      </c>
      <c r="BC56" s="205">
        <v>10</v>
      </c>
      <c r="BD56" s="37"/>
      <c r="BE56" s="86">
        <f t="shared" si="60"/>
        <v>0</v>
      </c>
      <c r="BF56" s="38"/>
      <c r="BG56" s="211"/>
      <c r="BH56" s="163"/>
      <c r="BI56" s="162"/>
      <c r="BJ56" s="86">
        <f t="shared" si="8"/>
        <v>5</v>
      </c>
      <c r="BK56" s="170">
        <v>5</v>
      </c>
      <c r="BL56" s="198"/>
      <c r="BM56" s="91"/>
      <c r="BN56" s="91"/>
      <c r="BO56" s="91"/>
      <c r="BP56" s="91"/>
      <c r="BQ56" s="91"/>
      <c r="BR56" s="91"/>
      <c r="BS56" s="91"/>
      <c r="BT56" s="91"/>
      <c r="BU56" s="91"/>
      <c r="BV56" s="39"/>
    </row>
    <row r="57" spans="2:74" x14ac:dyDescent="0.25">
      <c r="B57" s="139">
        <v>44</v>
      </c>
      <c r="C57" s="140" t="s">
        <v>88</v>
      </c>
      <c r="D57" s="141" t="s">
        <v>154</v>
      </c>
      <c r="E57" s="164" t="s">
        <v>284</v>
      </c>
      <c r="F57" s="134"/>
      <c r="G57" s="150" t="s">
        <v>195</v>
      </c>
      <c r="H57" s="151" t="s">
        <v>95</v>
      </c>
      <c r="I57" s="152" t="str">
        <f t="shared" si="43"/>
        <v>R</v>
      </c>
      <c r="J57" s="154">
        <v>1</v>
      </c>
      <c r="K57" s="155"/>
      <c r="L57" s="155">
        <v>2</v>
      </c>
      <c r="M57" s="88"/>
      <c r="N57" s="40">
        <f t="shared" si="44"/>
        <v>13.822916666666668</v>
      </c>
      <c r="O57" s="58">
        <f t="shared" si="9"/>
        <v>7.666666666666667</v>
      </c>
      <c r="P57" s="58">
        <f t="shared" si="6"/>
        <v>139.99999999999997</v>
      </c>
      <c r="Q57" s="127">
        <v>0.41666666666666669</v>
      </c>
      <c r="R57" s="93"/>
      <c r="S57" s="103">
        <f t="shared" si="45"/>
        <v>0.5</v>
      </c>
      <c r="T57" s="49">
        <f t="shared" si="7"/>
        <v>2.15625</v>
      </c>
      <c r="U57" s="36">
        <f t="shared" si="61"/>
        <v>0</v>
      </c>
      <c r="V57" s="36">
        <f t="shared" si="62"/>
        <v>5</v>
      </c>
      <c r="W57" s="36">
        <f t="shared" si="63"/>
        <v>6</v>
      </c>
      <c r="X57" s="36">
        <f t="shared" si="64"/>
        <v>5</v>
      </c>
      <c r="Y57" s="36">
        <f t="shared" si="65"/>
        <v>0</v>
      </c>
      <c r="Z57" s="36">
        <f t="shared" si="66"/>
        <v>0</v>
      </c>
      <c r="AA57" s="36">
        <f t="shared" si="67"/>
        <v>-1</v>
      </c>
      <c r="AB57" s="48">
        <f t="shared" si="68"/>
        <v>2.25</v>
      </c>
      <c r="AK57" s="156">
        <v>6</v>
      </c>
      <c r="AL57" s="157">
        <v>8</v>
      </c>
      <c r="AM57" s="157">
        <v>8</v>
      </c>
      <c r="AN57" s="157">
        <v>4</v>
      </c>
      <c r="AO57" s="157">
        <v>4</v>
      </c>
      <c r="AP57" s="157">
        <v>2</v>
      </c>
      <c r="AQ57" s="157">
        <v>1</v>
      </c>
      <c r="AR57" s="158">
        <v>3</v>
      </c>
      <c r="AS57" s="40">
        <f t="shared" si="54"/>
        <v>4</v>
      </c>
      <c r="AT57" s="169">
        <f t="shared" si="69"/>
        <v>0</v>
      </c>
      <c r="AU57" s="176">
        <v>10</v>
      </c>
      <c r="AV57" s="180">
        <f t="shared" si="70"/>
        <v>0</v>
      </c>
      <c r="AW57" s="184"/>
      <c r="AX57" s="36" t="str">
        <f t="shared" si="71"/>
        <v>YA</v>
      </c>
      <c r="AY57" s="189">
        <f t="shared" si="72"/>
        <v>0.76</v>
      </c>
      <c r="AZ57" s="10"/>
      <c r="BA57" s="193">
        <v>0.25</v>
      </c>
      <c r="BB57" s="86">
        <f t="shared" si="73"/>
        <v>8</v>
      </c>
      <c r="BC57" s="205">
        <v>8</v>
      </c>
      <c r="BD57" s="37"/>
      <c r="BE57" s="86">
        <f t="shared" si="60"/>
        <v>0</v>
      </c>
      <c r="BF57" s="38"/>
      <c r="BG57" s="211"/>
      <c r="BH57" s="163"/>
      <c r="BI57" s="162"/>
      <c r="BJ57" s="86">
        <f t="shared" si="8"/>
        <v>8</v>
      </c>
      <c r="BK57" s="170">
        <v>8</v>
      </c>
      <c r="BL57" s="198"/>
      <c r="BM57" s="91"/>
      <c r="BN57" s="91"/>
      <c r="BO57" s="91"/>
      <c r="BP57" s="91"/>
      <c r="BQ57" s="91"/>
      <c r="BR57" s="91"/>
      <c r="BS57" s="91"/>
      <c r="BT57" s="91"/>
      <c r="BU57" s="91"/>
      <c r="BV57" s="39"/>
    </row>
    <row r="58" spans="2:74" x14ac:dyDescent="0.25">
      <c r="B58" s="139">
        <v>45</v>
      </c>
      <c r="C58" s="146" t="s">
        <v>285</v>
      </c>
      <c r="D58" s="141" t="s">
        <v>155</v>
      </c>
      <c r="E58" s="164" t="s">
        <v>90</v>
      </c>
      <c r="F58" s="134"/>
      <c r="G58" s="150" t="s">
        <v>242</v>
      </c>
      <c r="H58" s="151" t="s">
        <v>94</v>
      </c>
      <c r="I58" s="152" t="str">
        <f t="shared" si="43"/>
        <v>R</v>
      </c>
      <c r="J58" s="154">
        <v>-1</v>
      </c>
      <c r="K58" s="155"/>
      <c r="L58" s="155">
        <v>3</v>
      </c>
      <c r="M58" s="88"/>
      <c r="N58" s="40">
        <f t="shared" si="44"/>
        <v>12.072916666666668</v>
      </c>
      <c r="O58" s="58">
        <f t="shared" si="9"/>
        <v>7.1666666666666679</v>
      </c>
      <c r="P58" s="58">
        <f t="shared" si="6"/>
        <v>169.99999999999994</v>
      </c>
      <c r="Q58" s="128">
        <v>0.4375</v>
      </c>
      <c r="R58" s="94"/>
      <c r="S58" s="103">
        <f t="shared" si="45"/>
        <v>0.99930555555555556</v>
      </c>
      <c r="T58" s="49">
        <f t="shared" si="7"/>
        <v>2.15625</v>
      </c>
      <c r="U58" s="36">
        <f t="shared" si="61"/>
        <v>-1</v>
      </c>
      <c r="V58" s="36">
        <f t="shared" si="62"/>
        <v>2</v>
      </c>
      <c r="W58" s="36">
        <f t="shared" si="63"/>
        <v>3</v>
      </c>
      <c r="X58" s="36">
        <f t="shared" si="64"/>
        <v>3</v>
      </c>
      <c r="Y58" s="36">
        <f t="shared" si="65"/>
        <v>1</v>
      </c>
      <c r="Z58" s="36">
        <f t="shared" si="66"/>
        <v>3</v>
      </c>
      <c r="AA58" s="36">
        <f t="shared" si="67"/>
        <v>1</v>
      </c>
      <c r="AB58" s="48">
        <f t="shared" si="68"/>
        <v>5.25</v>
      </c>
      <c r="AK58" s="156">
        <v>5</v>
      </c>
      <c r="AL58" s="157">
        <v>5</v>
      </c>
      <c r="AM58" s="157">
        <v>5</v>
      </c>
      <c r="AN58" s="157">
        <v>6</v>
      </c>
      <c r="AO58" s="157">
        <v>5</v>
      </c>
      <c r="AP58" s="157">
        <v>5</v>
      </c>
      <c r="AQ58" s="157">
        <v>3</v>
      </c>
      <c r="AR58" s="158">
        <v>6</v>
      </c>
      <c r="AS58" s="40">
        <f t="shared" si="54"/>
        <v>2.75</v>
      </c>
      <c r="AT58" s="169">
        <f t="shared" si="69"/>
        <v>0</v>
      </c>
      <c r="AU58" s="176">
        <v>3</v>
      </c>
      <c r="AV58" s="180">
        <f t="shared" si="70"/>
        <v>0</v>
      </c>
      <c r="AW58" s="184"/>
      <c r="AX58" s="36" t="str">
        <f t="shared" si="71"/>
        <v>YA</v>
      </c>
      <c r="AY58" s="189">
        <f t="shared" si="72"/>
        <v>0.76</v>
      </c>
      <c r="AZ58" s="10"/>
      <c r="BA58" s="193">
        <v>0.25</v>
      </c>
      <c r="BB58" s="86">
        <f t="shared" si="73"/>
        <v>6</v>
      </c>
      <c r="BC58" s="205">
        <v>6</v>
      </c>
      <c r="BD58" s="37"/>
      <c r="BE58" s="86">
        <f t="shared" si="60"/>
        <v>0</v>
      </c>
      <c r="BF58" s="38"/>
      <c r="BG58" s="211"/>
      <c r="BH58" s="163"/>
      <c r="BI58" s="162"/>
      <c r="BJ58" s="86">
        <f t="shared" si="8"/>
        <v>5</v>
      </c>
      <c r="BK58" s="170">
        <v>5</v>
      </c>
      <c r="BL58" s="198"/>
      <c r="BM58" s="91"/>
      <c r="BN58" s="91"/>
      <c r="BO58" s="91"/>
      <c r="BP58" s="91"/>
      <c r="BQ58" s="91"/>
      <c r="BR58" s="91"/>
      <c r="BS58" s="91"/>
      <c r="BT58" s="91"/>
      <c r="BU58" s="91"/>
      <c r="BV58" s="39"/>
    </row>
    <row r="59" spans="2:74" x14ac:dyDescent="0.25">
      <c r="B59" s="139">
        <v>46</v>
      </c>
      <c r="C59" s="140" t="s">
        <v>88</v>
      </c>
      <c r="D59" s="141" t="s">
        <v>157</v>
      </c>
      <c r="E59" s="164" t="s">
        <v>286</v>
      </c>
      <c r="F59" s="134"/>
      <c r="G59" s="150" t="s">
        <v>323</v>
      </c>
      <c r="H59" s="151" t="s">
        <v>95</v>
      </c>
      <c r="I59" s="152" t="str">
        <f t="shared" si="43"/>
        <v>R</v>
      </c>
      <c r="J59" s="154">
        <v>-1</v>
      </c>
      <c r="K59" s="155"/>
      <c r="L59" s="155">
        <v>3</v>
      </c>
      <c r="M59" s="88"/>
      <c r="N59" s="40">
        <f t="shared" si="44"/>
        <v>10.572916666666668</v>
      </c>
      <c r="O59" s="58">
        <f t="shared" si="9"/>
        <v>7.1666666666666679</v>
      </c>
      <c r="P59" s="82">
        <f t="shared" si="6"/>
        <v>169.99999999999994</v>
      </c>
      <c r="Q59" s="129">
        <v>0.4375</v>
      </c>
      <c r="R59" s="96"/>
      <c r="S59" s="103">
        <f t="shared" si="45"/>
        <v>0.99930555555555556</v>
      </c>
      <c r="T59" s="49">
        <f t="shared" si="7"/>
        <v>1.90625</v>
      </c>
      <c r="U59" s="36">
        <f t="shared" si="61"/>
        <v>0</v>
      </c>
      <c r="V59" s="36">
        <f t="shared" si="62"/>
        <v>5</v>
      </c>
      <c r="W59" s="36">
        <f t="shared" si="63"/>
        <v>6</v>
      </c>
      <c r="X59" s="36">
        <f t="shared" si="64"/>
        <v>3</v>
      </c>
      <c r="Y59" s="36">
        <f t="shared" si="65"/>
        <v>0</v>
      </c>
      <c r="Z59" s="36">
        <f t="shared" si="66"/>
        <v>0</v>
      </c>
      <c r="AA59" s="36">
        <f t="shared" si="67"/>
        <v>-1</v>
      </c>
      <c r="AB59" s="48">
        <f t="shared" si="68"/>
        <v>2.25</v>
      </c>
      <c r="AK59" s="156">
        <v>6</v>
      </c>
      <c r="AL59" s="157">
        <v>8</v>
      </c>
      <c r="AM59" s="157">
        <v>8</v>
      </c>
      <c r="AN59" s="157">
        <v>6</v>
      </c>
      <c r="AO59" s="157">
        <v>4</v>
      </c>
      <c r="AP59" s="157">
        <v>2</v>
      </c>
      <c r="AQ59" s="157">
        <v>1</v>
      </c>
      <c r="AR59" s="158">
        <v>3</v>
      </c>
      <c r="AS59" s="40">
        <f t="shared" si="54"/>
        <v>1.5</v>
      </c>
      <c r="AT59" s="169">
        <f t="shared" si="69"/>
        <v>0</v>
      </c>
      <c r="AU59" s="176">
        <v>5</v>
      </c>
      <c r="AV59" s="180">
        <f t="shared" si="70"/>
        <v>0</v>
      </c>
      <c r="AW59" s="184"/>
      <c r="AX59" s="36" t="str">
        <f t="shared" si="71"/>
        <v>YA</v>
      </c>
      <c r="AY59" s="189">
        <f t="shared" si="72"/>
        <v>0.26</v>
      </c>
      <c r="AZ59" s="10"/>
      <c r="BA59" s="193">
        <v>0.75</v>
      </c>
      <c r="BB59" s="86">
        <f t="shared" si="73"/>
        <v>3</v>
      </c>
      <c r="BC59" s="205">
        <v>3</v>
      </c>
      <c r="BD59" s="37"/>
      <c r="BE59" s="86">
        <f t="shared" si="60"/>
        <v>0</v>
      </c>
      <c r="BF59" s="38"/>
      <c r="BG59" s="211"/>
      <c r="BH59" s="163"/>
      <c r="BI59" s="162"/>
      <c r="BJ59" s="86">
        <f t="shared" si="8"/>
        <v>3</v>
      </c>
      <c r="BK59" s="170">
        <v>3</v>
      </c>
      <c r="BL59" s="198"/>
      <c r="BM59" s="91"/>
      <c r="BN59" s="91"/>
      <c r="BO59" s="91"/>
      <c r="BP59" s="91"/>
      <c r="BQ59" s="91"/>
      <c r="BR59" s="91"/>
      <c r="BS59" s="91"/>
      <c r="BT59" s="91"/>
      <c r="BU59" s="91"/>
      <c r="BV59" s="39"/>
    </row>
    <row r="60" spans="2:74" ht="30" x14ac:dyDescent="0.25">
      <c r="B60" s="139">
        <v>47</v>
      </c>
      <c r="C60" s="140" t="s">
        <v>249</v>
      </c>
      <c r="D60" s="141" t="s">
        <v>158</v>
      </c>
      <c r="E60" s="164" t="s">
        <v>287</v>
      </c>
      <c r="F60" s="134"/>
      <c r="G60" s="150" t="s">
        <v>195</v>
      </c>
      <c r="H60" s="151" t="s">
        <v>93</v>
      </c>
      <c r="I60" s="152" t="str">
        <f t="shared" si="43"/>
        <v>R</v>
      </c>
      <c r="J60" s="154">
        <v>3</v>
      </c>
      <c r="K60" s="155"/>
      <c r="L60" s="155">
        <v>0</v>
      </c>
      <c r="M60" s="88"/>
      <c r="N60" s="40">
        <f t="shared" si="44"/>
        <v>12.197916666666668</v>
      </c>
      <c r="O60" s="58">
        <f t="shared" si="9"/>
        <v>5.6666666666666679</v>
      </c>
      <c r="P60" s="58">
        <f t="shared" si="6"/>
        <v>259.99999999999994</v>
      </c>
      <c r="Q60" s="126">
        <v>0.5</v>
      </c>
      <c r="R60" s="92"/>
      <c r="S60" s="103">
        <f t="shared" si="45"/>
        <v>0</v>
      </c>
      <c r="T60" s="49">
        <f t="shared" si="7"/>
        <v>2.53125</v>
      </c>
      <c r="U60" s="36">
        <f t="shared" si="15"/>
        <v>2</v>
      </c>
      <c r="V60" s="36">
        <f t="shared" si="16"/>
        <v>5</v>
      </c>
      <c r="W60" s="36">
        <f t="shared" si="17"/>
        <v>6</v>
      </c>
      <c r="X60" s="36">
        <f t="shared" si="18"/>
        <v>3</v>
      </c>
      <c r="Y60" s="36">
        <f t="shared" si="19"/>
        <v>1</v>
      </c>
      <c r="Z60" s="36">
        <f t="shared" si="20"/>
        <v>2</v>
      </c>
      <c r="AA60" s="36">
        <f t="shared" si="21"/>
        <v>0</v>
      </c>
      <c r="AB60" s="48">
        <f t="shared" si="22"/>
        <v>1.25</v>
      </c>
      <c r="AK60" s="156">
        <v>8</v>
      </c>
      <c r="AL60" s="157">
        <v>8</v>
      </c>
      <c r="AM60" s="157">
        <v>8</v>
      </c>
      <c r="AN60" s="157">
        <v>6</v>
      </c>
      <c r="AO60" s="157">
        <v>5</v>
      </c>
      <c r="AP60" s="157">
        <v>4</v>
      </c>
      <c r="AQ60" s="157">
        <v>2</v>
      </c>
      <c r="AR60" s="158">
        <v>2</v>
      </c>
      <c r="AS60" s="40">
        <f t="shared" si="54"/>
        <v>4</v>
      </c>
      <c r="AT60" s="169">
        <f t="shared" si="10"/>
        <v>0</v>
      </c>
      <c r="AU60" s="176">
        <v>5</v>
      </c>
      <c r="AV60" s="180">
        <f t="shared" si="11"/>
        <v>0</v>
      </c>
      <c r="AW60" s="184"/>
      <c r="AX60" s="36" t="str">
        <f t="shared" si="12"/>
        <v>YA</v>
      </c>
      <c r="AY60" s="189">
        <f t="shared" si="13"/>
        <v>0.76</v>
      </c>
      <c r="AZ60" s="10"/>
      <c r="BA60" s="193">
        <v>0.25</v>
      </c>
      <c r="BB60" s="86">
        <f t="shared" si="14"/>
        <v>8</v>
      </c>
      <c r="BC60" s="205">
        <v>8</v>
      </c>
      <c r="BD60" s="37"/>
      <c r="BE60" s="86">
        <f t="shared" si="60"/>
        <v>0</v>
      </c>
      <c r="BF60" s="38"/>
      <c r="BG60" s="211"/>
      <c r="BH60" s="163">
        <v>1</v>
      </c>
      <c r="BI60" s="162">
        <v>8</v>
      </c>
      <c r="BJ60" s="86">
        <f t="shared" si="8"/>
        <v>8</v>
      </c>
      <c r="BK60" s="170">
        <v>8</v>
      </c>
      <c r="BL60" s="198"/>
      <c r="BM60" s="91"/>
      <c r="BN60" s="91"/>
      <c r="BO60" s="91"/>
      <c r="BP60" s="91"/>
      <c r="BQ60" s="91"/>
      <c r="BR60" s="91"/>
      <c r="BS60" s="91"/>
      <c r="BT60" s="91"/>
      <c r="BU60" s="91"/>
      <c r="BV60" s="39"/>
    </row>
    <row r="61" spans="2:74" ht="30" x14ac:dyDescent="0.25">
      <c r="B61" s="139">
        <v>48</v>
      </c>
      <c r="C61" s="146" t="s">
        <v>288</v>
      </c>
      <c r="D61" s="141" t="s">
        <v>159</v>
      </c>
      <c r="E61" s="164" t="s">
        <v>289</v>
      </c>
      <c r="F61" s="134"/>
      <c r="G61" s="150" t="s">
        <v>320</v>
      </c>
      <c r="H61" s="151" t="s">
        <v>95</v>
      </c>
      <c r="I61" s="152" t="str">
        <f t="shared" si="43"/>
        <v>R</v>
      </c>
      <c r="J61" s="154">
        <v>-1</v>
      </c>
      <c r="K61" s="155"/>
      <c r="L61" s="155">
        <v>3</v>
      </c>
      <c r="M61" s="88"/>
      <c r="N61" s="40">
        <f t="shared" si="44"/>
        <v>12.897916666666667</v>
      </c>
      <c r="O61" s="58">
        <f t="shared" si="9"/>
        <v>5.616666666666668</v>
      </c>
      <c r="P61" s="82">
        <f t="shared" si="6"/>
        <v>262.99999999999994</v>
      </c>
      <c r="Q61" s="127">
        <v>0.50208333333333333</v>
      </c>
      <c r="R61" s="93"/>
      <c r="S61" s="103">
        <f t="shared" si="45"/>
        <v>0.99930555555555556</v>
      </c>
      <c r="T61" s="49">
        <f t="shared" si="7"/>
        <v>5.03125</v>
      </c>
      <c r="U61" s="36">
        <f t="shared" ref="U61:U80" si="74">AK61-$AC$13</f>
        <v>3</v>
      </c>
      <c r="V61" s="36">
        <f t="shared" ref="V61:V80" si="75">AL61-$AD$13</f>
        <v>5</v>
      </c>
      <c r="W61" s="36">
        <f t="shared" ref="W61:W80" si="76">AM61-$AE$13</f>
        <v>7</v>
      </c>
      <c r="X61" s="36">
        <f t="shared" ref="X61:X80" si="77">$AF$13-AN61</f>
        <v>6</v>
      </c>
      <c r="Y61" s="36">
        <f t="shared" ref="Y61:Y80" si="78">AO61-$AG$13</f>
        <v>5</v>
      </c>
      <c r="Z61" s="36">
        <f t="shared" ref="Z61:Z80" si="79">AP61-$AH$13</f>
        <v>7</v>
      </c>
      <c r="AA61" s="36">
        <f t="shared" ref="AA61:AA80" si="80">AQ61-$AH$13</f>
        <v>1</v>
      </c>
      <c r="AB61" s="48">
        <f t="shared" ref="AB61:AB80" si="81">AR61-$AJ$13</f>
        <v>6.25</v>
      </c>
      <c r="AK61" s="156">
        <v>9</v>
      </c>
      <c r="AL61" s="157">
        <v>8</v>
      </c>
      <c r="AM61" s="157">
        <v>9</v>
      </c>
      <c r="AN61" s="157">
        <v>3</v>
      </c>
      <c r="AO61" s="157">
        <v>9</v>
      </c>
      <c r="AP61" s="157">
        <v>9</v>
      </c>
      <c r="AQ61" s="157">
        <v>3</v>
      </c>
      <c r="AR61" s="158">
        <v>7</v>
      </c>
      <c r="AS61" s="40">
        <f t="shared" si="54"/>
        <v>2.25</v>
      </c>
      <c r="AT61" s="169">
        <f t="shared" ref="AT61:AT80" si="82">AU61*AV61</f>
        <v>0</v>
      </c>
      <c r="AU61" s="176">
        <v>3</v>
      </c>
      <c r="AV61" s="180">
        <f t="shared" ref="AV61:AV80" si="83">IF(AW61=1,1,IF(AW61=2,0.9,IF(AW61=3,0.8,IF(AW61=4,0.7,IF(AW61=5,0.6,IF(AW61=6,0.5,IF(AW61=7,0.4,IF(AW61=8,0.3,IF(AW61=9,0.2,IF(AW61=10,0.1,IF(AW61=0,0,0)))))))))))</f>
        <v>0</v>
      </c>
      <c r="AW61" s="184"/>
      <c r="AX61" s="36" t="str">
        <f t="shared" ref="AX61:AX80" si="84">IF($AZ$13&gt;=BA61,"YA","TIDAK")</f>
        <v>YA</v>
      </c>
      <c r="AY61" s="189">
        <f t="shared" ref="AY61:AY80" si="85">IF($AZ$13-BA61&gt;0,$AZ$13-BA61,"0")</f>
        <v>0.26</v>
      </c>
      <c r="AZ61" s="10"/>
      <c r="BA61" s="193">
        <v>0.75</v>
      </c>
      <c r="BB61" s="86">
        <f t="shared" ref="BB61:BB80" si="86">BC61+BD61</f>
        <v>5</v>
      </c>
      <c r="BC61" s="205">
        <v>5</v>
      </c>
      <c r="BD61" s="37"/>
      <c r="BE61" s="86">
        <f t="shared" si="60"/>
        <v>0</v>
      </c>
      <c r="BF61" s="38"/>
      <c r="BG61" s="211"/>
      <c r="BH61" s="163"/>
      <c r="BI61" s="162"/>
      <c r="BJ61" s="86">
        <f t="shared" si="8"/>
        <v>4</v>
      </c>
      <c r="BK61" s="170">
        <v>4</v>
      </c>
      <c r="BL61" s="198"/>
      <c r="BM61" s="91"/>
      <c r="BN61" s="91"/>
      <c r="BO61" s="91"/>
      <c r="BP61" s="91"/>
      <c r="BQ61" s="91"/>
      <c r="BR61" s="91"/>
      <c r="BS61" s="91"/>
      <c r="BT61" s="91"/>
      <c r="BU61" s="91"/>
      <c r="BV61" s="39"/>
    </row>
    <row r="62" spans="2:74" ht="30" x14ac:dyDescent="0.25">
      <c r="B62" s="139">
        <v>49</v>
      </c>
      <c r="C62" s="146" t="s">
        <v>290</v>
      </c>
      <c r="D62" s="141" t="s">
        <v>160</v>
      </c>
      <c r="E62" s="164" t="s">
        <v>18</v>
      </c>
      <c r="F62" s="134"/>
      <c r="G62" s="150" t="s">
        <v>319</v>
      </c>
      <c r="H62" s="151" t="s">
        <v>93</v>
      </c>
      <c r="I62" s="152" t="str">
        <f t="shared" si="43"/>
        <v>R</v>
      </c>
      <c r="J62" s="154">
        <v>-1</v>
      </c>
      <c r="K62" s="155"/>
      <c r="L62" s="155">
        <v>3</v>
      </c>
      <c r="M62" s="88"/>
      <c r="N62" s="40">
        <f t="shared" si="44"/>
        <v>10.397916666666667</v>
      </c>
      <c r="O62" s="58">
        <f t="shared" si="9"/>
        <v>5.1166666666666663</v>
      </c>
      <c r="P62" s="58">
        <f t="shared" si="6"/>
        <v>293</v>
      </c>
      <c r="Q62" s="128">
        <v>0.5229166666666667</v>
      </c>
      <c r="R62" s="94"/>
      <c r="S62" s="103">
        <f t="shared" si="45"/>
        <v>0.99930555555555556</v>
      </c>
      <c r="T62" s="49">
        <f t="shared" si="7"/>
        <v>2.53125</v>
      </c>
      <c r="U62" s="36">
        <f t="shared" si="74"/>
        <v>2</v>
      </c>
      <c r="V62" s="36">
        <f t="shared" si="75"/>
        <v>5</v>
      </c>
      <c r="W62" s="36">
        <f t="shared" si="76"/>
        <v>6</v>
      </c>
      <c r="X62" s="36">
        <f t="shared" si="77"/>
        <v>3</v>
      </c>
      <c r="Y62" s="36">
        <f t="shared" si="78"/>
        <v>1</v>
      </c>
      <c r="Z62" s="36">
        <f t="shared" si="79"/>
        <v>2</v>
      </c>
      <c r="AA62" s="36">
        <f t="shared" si="80"/>
        <v>0</v>
      </c>
      <c r="AB62" s="48">
        <f t="shared" si="81"/>
        <v>1.25</v>
      </c>
      <c r="AK62" s="156">
        <v>8</v>
      </c>
      <c r="AL62" s="157">
        <v>8</v>
      </c>
      <c r="AM62" s="157">
        <v>8</v>
      </c>
      <c r="AN62" s="157">
        <v>6</v>
      </c>
      <c r="AO62" s="157">
        <v>5</v>
      </c>
      <c r="AP62" s="157">
        <v>4</v>
      </c>
      <c r="AQ62" s="157">
        <v>2</v>
      </c>
      <c r="AR62" s="158">
        <v>2</v>
      </c>
      <c r="AS62" s="40">
        <f t="shared" si="54"/>
        <v>2.75</v>
      </c>
      <c r="AT62" s="169">
        <f t="shared" si="82"/>
        <v>0</v>
      </c>
      <c r="AU62" s="176">
        <v>8</v>
      </c>
      <c r="AV62" s="180">
        <f t="shared" si="83"/>
        <v>0</v>
      </c>
      <c r="AW62" s="184"/>
      <c r="AX62" s="36" t="str">
        <f t="shared" si="84"/>
        <v>YA</v>
      </c>
      <c r="AY62" s="189">
        <f t="shared" si="85"/>
        <v>0.76</v>
      </c>
      <c r="AZ62" s="10"/>
      <c r="BA62" s="193">
        <v>0.25</v>
      </c>
      <c r="BB62" s="86">
        <f t="shared" si="86"/>
        <v>6</v>
      </c>
      <c r="BC62" s="205">
        <v>6</v>
      </c>
      <c r="BD62" s="37"/>
      <c r="BE62" s="86">
        <f t="shared" si="60"/>
        <v>0</v>
      </c>
      <c r="BF62" s="38"/>
      <c r="BG62" s="211"/>
      <c r="BH62" s="163"/>
      <c r="BI62" s="162"/>
      <c r="BJ62" s="86">
        <f t="shared" si="8"/>
        <v>5</v>
      </c>
      <c r="BK62" s="170">
        <v>5</v>
      </c>
      <c r="BL62" s="198"/>
      <c r="BM62" s="91"/>
      <c r="BN62" s="91"/>
      <c r="BO62" s="91"/>
      <c r="BP62" s="91"/>
      <c r="BQ62" s="91"/>
      <c r="BR62" s="91"/>
      <c r="BS62" s="91"/>
      <c r="BT62" s="91"/>
      <c r="BU62" s="91"/>
      <c r="BV62" s="39"/>
    </row>
    <row r="63" spans="2:74" x14ac:dyDescent="0.25">
      <c r="B63" s="139">
        <v>50</v>
      </c>
      <c r="C63" s="140" t="s">
        <v>88</v>
      </c>
      <c r="D63" s="141" t="s">
        <v>161</v>
      </c>
      <c r="E63" s="164" t="s">
        <v>291</v>
      </c>
      <c r="F63" s="134"/>
      <c r="G63" s="150" t="s">
        <v>195</v>
      </c>
      <c r="H63" s="151" t="s">
        <v>94</v>
      </c>
      <c r="I63" s="152" t="str">
        <f t="shared" si="43"/>
        <v>R</v>
      </c>
      <c r="J63" s="154">
        <v>3</v>
      </c>
      <c r="K63" s="155"/>
      <c r="L63" s="155">
        <v>0</v>
      </c>
      <c r="M63" s="88"/>
      <c r="N63" s="40">
        <f t="shared" si="44"/>
        <v>11.147916666666667</v>
      </c>
      <c r="O63" s="58">
        <f t="shared" si="9"/>
        <v>4.3666666666666663</v>
      </c>
      <c r="P63" s="82">
        <f t="shared" si="6"/>
        <v>338</v>
      </c>
      <c r="Q63" s="127">
        <v>0.5541666666666667</v>
      </c>
      <c r="R63" s="93"/>
      <c r="S63" s="103">
        <f t="shared" si="45"/>
        <v>0</v>
      </c>
      <c r="T63" s="49">
        <f t="shared" si="7"/>
        <v>3.53125</v>
      </c>
      <c r="U63" s="36">
        <f t="shared" si="74"/>
        <v>2</v>
      </c>
      <c r="V63" s="36">
        <f t="shared" si="75"/>
        <v>5</v>
      </c>
      <c r="W63" s="36">
        <f t="shared" si="76"/>
        <v>7</v>
      </c>
      <c r="X63" s="36">
        <f t="shared" si="77"/>
        <v>6</v>
      </c>
      <c r="Y63" s="36">
        <f t="shared" si="78"/>
        <v>5</v>
      </c>
      <c r="Z63" s="36">
        <f t="shared" si="79"/>
        <v>2</v>
      </c>
      <c r="AA63" s="36">
        <f t="shared" si="80"/>
        <v>0</v>
      </c>
      <c r="AB63" s="48">
        <f t="shared" si="81"/>
        <v>1.25</v>
      </c>
      <c r="AK63" s="156">
        <v>8</v>
      </c>
      <c r="AL63" s="157">
        <v>8</v>
      </c>
      <c r="AM63" s="157">
        <v>9</v>
      </c>
      <c r="AN63" s="157">
        <v>3</v>
      </c>
      <c r="AO63" s="157">
        <v>9</v>
      </c>
      <c r="AP63" s="157">
        <v>4</v>
      </c>
      <c r="AQ63" s="157">
        <v>2</v>
      </c>
      <c r="AR63" s="158">
        <v>2</v>
      </c>
      <c r="AS63" s="40">
        <f t="shared" si="54"/>
        <v>3.25</v>
      </c>
      <c r="AT63" s="169">
        <f t="shared" si="82"/>
        <v>0</v>
      </c>
      <c r="AU63" s="176">
        <v>5</v>
      </c>
      <c r="AV63" s="180">
        <f t="shared" si="83"/>
        <v>0</v>
      </c>
      <c r="AW63" s="184"/>
      <c r="AX63" s="36" t="str">
        <f t="shared" si="84"/>
        <v>YA</v>
      </c>
      <c r="AY63" s="189">
        <f t="shared" si="85"/>
        <v>0.76</v>
      </c>
      <c r="AZ63" s="10"/>
      <c r="BA63" s="193">
        <v>0.25</v>
      </c>
      <c r="BB63" s="86">
        <f t="shared" si="86"/>
        <v>8</v>
      </c>
      <c r="BC63" s="205">
        <v>8</v>
      </c>
      <c r="BD63" s="37"/>
      <c r="BE63" s="86">
        <f t="shared" si="60"/>
        <v>0</v>
      </c>
      <c r="BF63" s="38"/>
      <c r="BG63" s="211"/>
      <c r="BH63" s="163"/>
      <c r="BI63" s="162"/>
      <c r="BJ63" s="86">
        <f t="shared" si="8"/>
        <v>5</v>
      </c>
      <c r="BK63" s="170">
        <v>5</v>
      </c>
      <c r="BL63" s="198"/>
      <c r="BM63" s="91"/>
      <c r="BN63" s="91"/>
      <c r="BO63" s="91"/>
      <c r="BP63" s="91"/>
      <c r="BQ63" s="91"/>
      <c r="BR63" s="91"/>
      <c r="BS63" s="91"/>
      <c r="BT63" s="91"/>
      <c r="BU63" s="91"/>
      <c r="BV63" s="39"/>
    </row>
    <row r="64" spans="2:74" x14ac:dyDescent="0.25">
      <c r="B64" s="139">
        <v>51</v>
      </c>
      <c r="C64" s="140" t="s">
        <v>88</v>
      </c>
      <c r="D64" s="141" t="s">
        <v>162</v>
      </c>
      <c r="E64" s="164" t="s">
        <v>19</v>
      </c>
      <c r="F64" s="134"/>
      <c r="G64" s="150" t="s">
        <v>195</v>
      </c>
      <c r="H64" s="151" t="s">
        <v>95</v>
      </c>
      <c r="I64" s="152" t="str">
        <f t="shared" si="43"/>
        <v>R</v>
      </c>
      <c r="J64" s="154">
        <v>-1</v>
      </c>
      <c r="K64" s="155"/>
      <c r="L64" s="155">
        <v>3</v>
      </c>
      <c r="M64" s="88"/>
      <c r="N64" s="40">
        <f t="shared" si="44"/>
        <v>7.7729166666666654</v>
      </c>
      <c r="O64" s="58">
        <f t="shared" si="9"/>
        <v>3.8666666666666654</v>
      </c>
      <c r="P64" s="82">
        <f t="shared" si="6"/>
        <v>368.00000000000006</v>
      </c>
      <c r="Q64" s="129">
        <v>0.57500000000000007</v>
      </c>
      <c r="R64" s="96"/>
      <c r="S64" s="103">
        <f t="shared" si="45"/>
        <v>0.99930555555555556</v>
      </c>
      <c r="T64" s="49">
        <f t="shared" si="7"/>
        <v>1.90625</v>
      </c>
      <c r="U64" s="36">
        <f t="shared" si="74"/>
        <v>0</v>
      </c>
      <c r="V64" s="36">
        <f t="shared" si="75"/>
        <v>5</v>
      </c>
      <c r="W64" s="36">
        <f t="shared" si="76"/>
        <v>6</v>
      </c>
      <c r="X64" s="36">
        <f t="shared" si="77"/>
        <v>3</v>
      </c>
      <c r="Y64" s="36">
        <f t="shared" si="78"/>
        <v>0</v>
      </c>
      <c r="Z64" s="36">
        <f t="shared" si="79"/>
        <v>0</v>
      </c>
      <c r="AA64" s="36">
        <f t="shared" si="80"/>
        <v>-1</v>
      </c>
      <c r="AB64" s="48">
        <f t="shared" si="81"/>
        <v>2.25</v>
      </c>
      <c r="AK64" s="156">
        <v>6</v>
      </c>
      <c r="AL64" s="157">
        <v>8</v>
      </c>
      <c r="AM64" s="157">
        <v>8</v>
      </c>
      <c r="AN64" s="157">
        <v>6</v>
      </c>
      <c r="AO64" s="157">
        <v>4</v>
      </c>
      <c r="AP64" s="157">
        <v>2</v>
      </c>
      <c r="AQ64" s="157">
        <v>1</v>
      </c>
      <c r="AR64" s="158">
        <v>3</v>
      </c>
      <c r="AS64" s="40">
        <f t="shared" si="54"/>
        <v>2</v>
      </c>
      <c r="AT64" s="169">
        <f t="shared" si="82"/>
        <v>0</v>
      </c>
      <c r="AU64" s="176">
        <v>5</v>
      </c>
      <c r="AV64" s="180">
        <f t="shared" si="83"/>
        <v>0</v>
      </c>
      <c r="AW64" s="184"/>
      <c r="AX64" s="36" t="str">
        <f t="shared" si="84"/>
        <v>YA</v>
      </c>
      <c r="AY64" s="189">
        <f t="shared" si="85"/>
        <v>0.26</v>
      </c>
      <c r="AZ64" s="10"/>
      <c r="BA64" s="193">
        <v>0.75</v>
      </c>
      <c r="BB64" s="86">
        <f t="shared" si="86"/>
        <v>5</v>
      </c>
      <c r="BC64" s="205">
        <v>5</v>
      </c>
      <c r="BD64" s="37"/>
      <c r="BE64" s="86">
        <f t="shared" si="60"/>
        <v>0</v>
      </c>
      <c r="BF64" s="38"/>
      <c r="BG64" s="211"/>
      <c r="BH64" s="163"/>
      <c r="BI64" s="162"/>
      <c r="BJ64" s="86">
        <f t="shared" si="8"/>
        <v>3</v>
      </c>
      <c r="BK64" s="170">
        <v>3</v>
      </c>
      <c r="BL64" s="198"/>
      <c r="BM64" s="91"/>
      <c r="BN64" s="91"/>
      <c r="BO64" s="91"/>
      <c r="BP64" s="91"/>
      <c r="BQ64" s="91"/>
      <c r="BR64" s="91"/>
      <c r="BS64" s="91"/>
      <c r="BT64" s="91"/>
      <c r="BU64" s="91"/>
      <c r="BV64" s="39"/>
    </row>
    <row r="65" spans="2:74" ht="30" x14ac:dyDescent="0.25">
      <c r="B65" s="139">
        <v>52</v>
      </c>
      <c r="C65" s="140" t="s">
        <v>88</v>
      </c>
      <c r="D65" s="141" t="s">
        <v>163</v>
      </c>
      <c r="E65" s="164" t="s">
        <v>327</v>
      </c>
      <c r="F65" s="134"/>
      <c r="G65" s="150" t="s">
        <v>195</v>
      </c>
      <c r="H65" s="151" t="s">
        <v>95</v>
      </c>
      <c r="I65" s="152" t="str">
        <f t="shared" si="43"/>
        <v>R</v>
      </c>
      <c r="J65" s="154">
        <v>3</v>
      </c>
      <c r="K65" s="155"/>
      <c r="L65" s="155">
        <v>0</v>
      </c>
      <c r="M65" s="88"/>
      <c r="N65" s="40">
        <f t="shared" si="44"/>
        <v>7.6479166666666654</v>
      </c>
      <c r="O65" s="58">
        <f t="shared" si="9"/>
        <v>1.8666666666666654</v>
      </c>
      <c r="P65" s="84">
        <f t="shared" si="6"/>
        <v>488.00000000000011</v>
      </c>
      <c r="Q65" s="127">
        <v>0.65833333333333344</v>
      </c>
      <c r="R65" s="106"/>
      <c r="S65" s="103">
        <f t="shared" si="45"/>
        <v>0</v>
      </c>
      <c r="T65" s="49">
        <f t="shared" si="7"/>
        <v>2.78125</v>
      </c>
      <c r="U65" s="36">
        <f t="shared" si="74"/>
        <v>2</v>
      </c>
      <c r="V65" s="36">
        <f t="shared" si="75"/>
        <v>5</v>
      </c>
      <c r="W65" s="36">
        <f t="shared" si="76"/>
        <v>4</v>
      </c>
      <c r="X65" s="36">
        <f t="shared" si="77"/>
        <v>6</v>
      </c>
      <c r="Y65" s="36">
        <f t="shared" si="78"/>
        <v>2</v>
      </c>
      <c r="Z65" s="36">
        <f t="shared" si="79"/>
        <v>2</v>
      </c>
      <c r="AA65" s="36">
        <f t="shared" si="80"/>
        <v>0</v>
      </c>
      <c r="AB65" s="48">
        <f t="shared" si="81"/>
        <v>1.25</v>
      </c>
      <c r="AK65" s="156">
        <v>8</v>
      </c>
      <c r="AL65" s="157">
        <v>8</v>
      </c>
      <c r="AM65" s="157">
        <v>6</v>
      </c>
      <c r="AN65" s="157">
        <v>3</v>
      </c>
      <c r="AO65" s="157">
        <v>6</v>
      </c>
      <c r="AP65" s="157">
        <v>4</v>
      </c>
      <c r="AQ65" s="157">
        <v>2</v>
      </c>
      <c r="AR65" s="158">
        <v>2</v>
      </c>
      <c r="AS65" s="40">
        <f t="shared" si="54"/>
        <v>3</v>
      </c>
      <c r="AT65" s="169">
        <f t="shared" si="82"/>
        <v>0</v>
      </c>
      <c r="AU65" s="176">
        <v>6</v>
      </c>
      <c r="AV65" s="180">
        <f t="shared" si="83"/>
        <v>0</v>
      </c>
      <c r="AW65" s="184"/>
      <c r="AX65" s="36" t="str">
        <f t="shared" si="84"/>
        <v>YA</v>
      </c>
      <c r="AY65" s="189">
        <f t="shared" si="85"/>
        <v>0.51</v>
      </c>
      <c r="AZ65" s="10"/>
      <c r="BA65" s="193">
        <v>0.5</v>
      </c>
      <c r="BB65" s="86">
        <f t="shared" si="86"/>
        <v>7</v>
      </c>
      <c r="BC65" s="205">
        <v>7</v>
      </c>
      <c r="BD65" s="37"/>
      <c r="BE65" s="86">
        <f t="shared" si="60"/>
        <v>0</v>
      </c>
      <c r="BF65" s="38"/>
      <c r="BG65" s="211"/>
      <c r="BH65" s="163"/>
      <c r="BI65" s="162"/>
      <c r="BJ65" s="86">
        <f t="shared" si="8"/>
        <v>5</v>
      </c>
      <c r="BK65" s="170">
        <v>5</v>
      </c>
      <c r="BL65" s="198"/>
      <c r="BM65" s="91"/>
      <c r="BN65" s="91"/>
      <c r="BO65" s="91"/>
      <c r="BP65" s="91"/>
      <c r="BQ65" s="91"/>
      <c r="BR65" s="91"/>
      <c r="BS65" s="91"/>
      <c r="BT65" s="91"/>
      <c r="BU65" s="91"/>
      <c r="BV65" s="39"/>
    </row>
    <row r="66" spans="2:74" ht="30" x14ac:dyDescent="0.25">
      <c r="B66" s="139">
        <v>53</v>
      </c>
      <c r="C66" s="140" t="s">
        <v>88</v>
      </c>
      <c r="D66" s="141" t="s">
        <v>164</v>
      </c>
      <c r="E66" s="164" t="s">
        <v>292</v>
      </c>
      <c r="F66" s="134"/>
      <c r="G66" s="150" t="s">
        <v>195</v>
      </c>
      <c r="H66" s="151" t="s">
        <v>94</v>
      </c>
      <c r="I66" s="152" t="str">
        <f t="shared" si="43"/>
        <v>R</v>
      </c>
      <c r="J66" s="154">
        <v>3</v>
      </c>
      <c r="K66" s="155"/>
      <c r="L66" s="155">
        <v>0</v>
      </c>
      <c r="M66" s="88"/>
      <c r="N66" s="40">
        <f t="shared" si="44"/>
        <v>9.6479166666666671</v>
      </c>
      <c r="O66" s="58">
        <f t="shared" si="9"/>
        <v>0.86666666666666714</v>
      </c>
      <c r="P66" s="81">
        <f t="shared" si="6"/>
        <v>548</v>
      </c>
      <c r="Q66" s="129">
        <v>0.70000000000000007</v>
      </c>
      <c r="R66" s="96"/>
      <c r="S66" s="103">
        <f t="shared" si="45"/>
        <v>0</v>
      </c>
      <c r="T66" s="49">
        <f t="shared" si="7"/>
        <v>4.78125</v>
      </c>
      <c r="U66" s="36">
        <f t="shared" si="74"/>
        <v>3</v>
      </c>
      <c r="V66" s="36">
        <f t="shared" si="75"/>
        <v>5</v>
      </c>
      <c r="W66" s="36">
        <f t="shared" si="76"/>
        <v>7</v>
      </c>
      <c r="X66" s="36">
        <f t="shared" si="77"/>
        <v>4</v>
      </c>
      <c r="Y66" s="36">
        <f t="shared" si="78"/>
        <v>5</v>
      </c>
      <c r="Z66" s="36">
        <f t="shared" si="79"/>
        <v>7</v>
      </c>
      <c r="AA66" s="36">
        <f t="shared" si="80"/>
        <v>1</v>
      </c>
      <c r="AB66" s="48">
        <f t="shared" si="81"/>
        <v>6.25</v>
      </c>
      <c r="AK66" s="156">
        <v>9</v>
      </c>
      <c r="AL66" s="157">
        <v>8</v>
      </c>
      <c r="AM66" s="157">
        <v>9</v>
      </c>
      <c r="AN66" s="157">
        <v>5</v>
      </c>
      <c r="AO66" s="157">
        <v>9</v>
      </c>
      <c r="AP66" s="157">
        <v>9</v>
      </c>
      <c r="AQ66" s="157">
        <v>3</v>
      </c>
      <c r="AR66" s="158">
        <v>7</v>
      </c>
      <c r="AS66" s="40">
        <f t="shared" si="54"/>
        <v>4</v>
      </c>
      <c r="AT66" s="169">
        <f t="shared" si="82"/>
        <v>0</v>
      </c>
      <c r="AU66" s="176">
        <v>5</v>
      </c>
      <c r="AV66" s="180">
        <f t="shared" si="83"/>
        <v>0</v>
      </c>
      <c r="AW66" s="184"/>
      <c r="AX66" s="36" t="str">
        <f t="shared" si="84"/>
        <v>YA</v>
      </c>
      <c r="AY66" s="189">
        <f t="shared" si="85"/>
        <v>0.76</v>
      </c>
      <c r="AZ66" s="10"/>
      <c r="BA66" s="193">
        <v>0.25</v>
      </c>
      <c r="BB66" s="86">
        <f t="shared" si="86"/>
        <v>8</v>
      </c>
      <c r="BC66" s="205">
        <v>8</v>
      </c>
      <c r="BD66" s="37"/>
      <c r="BE66" s="86">
        <f t="shared" si="60"/>
        <v>0</v>
      </c>
      <c r="BF66" s="38"/>
      <c r="BG66" s="211"/>
      <c r="BH66" s="163"/>
      <c r="BI66" s="162"/>
      <c r="BJ66" s="86">
        <f t="shared" si="8"/>
        <v>8</v>
      </c>
      <c r="BK66" s="170">
        <v>8</v>
      </c>
      <c r="BL66" s="198"/>
      <c r="BM66" s="91"/>
      <c r="BN66" s="91"/>
      <c r="BO66" s="91"/>
      <c r="BP66" s="91"/>
      <c r="BQ66" s="91"/>
      <c r="BR66" s="91"/>
      <c r="BS66" s="91"/>
      <c r="BT66" s="91"/>
      <c r="BU66" s="91"/>
      <c r="BV66" s="39"/>
    </row>
    <row r="67" spans="2:74" ht="30" x14ac:dyDescent="0.25">
      <c r="B67" s="139">
        <v>54</v>
      </c>
      <c r="C67" s="140" t="s">
        <v>89</v>
      </c>
      <c r="D67" s="141" t="s">
        <v>165</v>
      </c>
      <c r="E67" s="164" t="s">
        <v>293</v>
      </c>
      <c r="F67" s="134"/>
      <c r="G67" s="150" t="s">
        <v>323</v>
      </c>
      <c r="H67" s="151" t="s">
        <v>95</v>
      </c>
      <c r="I67" s="152" t="str">
        <f t="shared" si="43"/>
        <v>R</v>
      </c>
      <c r="J67" s="154">
        <v>-1</v>
      </c>
      <c r="K67" s="155"/>
      <c r="L67" s="155">
        <v>3</v>
      </c>
      <c r="M67" s="88"/>
      <c r="N67" s="40">
        <f t="shared" si="44"/>
        <v>6.6062499999999993</v>
      </c>
      <c r="O67" s="58">
        <f t="shared" si="9"/>
        <v>0.69999999999999929</v>
      </c>
      <c r="P67" s="83">
        <f t="shared" si="6"/>
        <v>558</v>
      </c>
      <c r="Q67" s="126">
        <v>0.70694444444444449</v>
      </c>
      <c r="R67" s="92"/>
      <c r="S67" s="103">
        <f t="shared" si="45"/>
        <v>0.99930555555555556</v>
      </c>
      <c r="T67" s="49">
        <f t="shared" si="7"/>
        <v>2.15625</v>
      </c>
      <c r="U67" s="36">
        <f t="shared" si="74"/>
        <v>-1</v>
      </c>
      <c r="V67" s="36">
        <f t="shared" si="75"/>
        <v>2</v>
      </c>
      <c r="W67" s="36">
        <f t="shared" si="76"/>
        <v>3</v>
      </c>
      <c r="X67" s="36">
        <f t="shared" si="77"/>
        <v>3</v>
      </c>
      <c r="Y67" s="36">
        <f t="shared" si="78"/>
        <v>1</v>
      </c>
      <c r="Z67" s="36">
        <f t="shared" si="79"/>
        <v>3</v>
      </c>
      <c r="AA67" s="36">
        <f t="shared" si="80"/>
        <v>1</v>
      </c>
      <c r="AB67" s="48">
        <f t="shared" si="81"/>
        <v>5.25</v>
      </c>
      <c r="AK67" s="156">
        <v>5</v>
      </c>
      <c r="AL67" s="157">
        <v>5</v>
      </c>
      <c r="AM67" s="157">
        <v>5</v>
      </c>
      <c r="AN67" s="157">
        <v>6</v>
      </c>
      <c r="AO67" s="157">
        <v>5</v>
      </c>
      <c r="AP67" s="157">
        <v>5</v>
      </c>
      <c r="AQ67" s="157">
        <v>3</v>
      </c>
      <c r="AR67" s="158">
        <v>6</v>
      </c>
      <c r="AS67" s="40">
        <f t="shared" si="54"/>
        <v>3.75</v>
      </c>
      <c r="AT67" s="169">
        <f t="shared" si="82"/>
        <v>0</v>
      </c>
      <c r="AU67" s="176">
        <v>8</v>
      </c>
      <c r="AV67" s="180">
        <f t="shared" si="83"/>
        <v>0</v>
      </c>
      <c r="AW67" s="184"/>
      <c r="AX67" s="36" t="str">
        <f t="shared" si="84"/>
        <v>YA</v>
      </c>
      <c r="AY67" s="189">
        <f t="shared" si="85"/>
        <v>0.26</v>
      </c>
      <c r="AZ67" s="10"/>
      <c r="BA67" s="193">
        <v>0.75</v>
      </c>
      <c r="BB67" s="86">
        <f t="shared" si="86"/>
        <v>7</v>
      </c>
      <c r="BC67" s="205">
        <v>7</v>
      </c>
      <c r="BD67" s="37"/>
      <c r="BE67" s="86">
        <f t="shared" si="60"/>
        <v>0</v>
      </c>
      <c r="BF67" s="38"/>
      <c r="BG67" s="211"/>
      <c r="BH67" s="163"/>
      <c r="BI67" s="162"/>
      <c r="BJ67" s="86">
        <f t="shared" si="8"/>
        <v>8</v>
      </c>
      <c r="BK67" s="170">
        <v>8</v>
      </c>
      <c r="BL67" s="198"/>
      <c r="BM67" s="91"/>
      <c r="BN67" s="91"/>
      <c r="BO67" s="91"/>
      <c r="BP67" s="91"/>
      <c r="BQ67" s="91"/>
      <c r="BR67" s="91"/>
      <c r="BS67" s="91"/>
      <c r="BT67" s="91"/>
      <c r="BU67" s="91"/>
      <c r="BV67" s="39"/>
    </row>
    <row r="68" spans="2:74" ht="30" x14ac:dyDescent="0.25">
      <c r="B68" s="139">
        <v>55</v>
      </c>
      <c r="C68" s="140" t="s">
        <v>88</v>
      </c>
      <c r="D68" s="141" t="s">
        <v>166</v>
      </c>
      <c r="E68" s="164" t="s">
        <v>27</v>
      </c>
      <c r="F68" s="134"/>
      <c r="G68" s="150" t="s">
        <v>195</v>
      </c>
      <c r="H68" s="151" t="s">
        <v>95</v>
      </c>
      <c r="I68" s="152" t="str">
        <f t="shared" si="43"/>
        <v>R</v>
      </c>
      <c r="J68" s="154">
        <v>3</v>
      </c>
      <c r="K68" s="155"/>
      <c r="L68" s="155">
        <v>0</v>
      </c>
      <c r="M68" s="88"/>
      <c r="N68" s="40">
        <f t="shared" si="44"/>
        <v>7.8229166666666679</v>
      </c>
      <c r="O68" s="58">
        <f t="shared" si="9"/>
        <v>1.6666666666666679</v>
      </c>
      <c r="P68" s="58">
        <f t="shared" si="6"/>
        <v>499.99999999999989</v>
      </c>
      <c r="Q68" s="128">
        <v>0.66666666666666663</v>
      </c>
      <c r="R68" s="94"/>
      <c r="S68" s="103">
        <f t="shared" si="45"/>
        <v>0</v>
      </c>
      <c r="T68" s="49">
        <f t="shared" si="7"/>
        <v>2.15625</v>
      </c>
      <c r="U68" s="36">
        <f t="shared" si="74"/>
        <v>0</v>
      </c>
      <c r="V68" s="36">
        <f t="shared" si="75"/>
        <v>5</v>
      </c>
      <c r="W68" s="36">
        <f t="shared" si="76"/>
        <v>6</v>
      </c>
      <c r="X68" s="36">
        <f t="shared" si="77"/>
        <v>5</v>
      </c>
      <c r="Y68" s="36">
        <f t="shared" si="78"/>
        <v>0</v>
      </c>
      <c r="Z68" s="36">
        <f t="shared" si="79"/>
        <v>0</v>
      </c>
      <c r="AA68" s="36">
        <f t="shared" si="80"/>
        <v>-1</v>
      </c>
      <c r="AB68" s="48">
        <f t="shared" si="81"/>
        <v>2.25</v>
      </c>
      <c r="AK68" s="156">
        <v>6</v>
      </c>
      <c r="AL68" s="157">
        <v>8</v>
      </c>
      <c r="AM68" s="157">
        <v>8</v>
      </c>
      <c r="AN68" s="157">
        <v>4</v>
      </c>
      <c r="AO68" s="157">
        <v>4</v>
      </c>
      <c r="AP68" s="157">
        <v>2</v>
      </c>
      <c r="AQ68" s="157">
        <v>1</v>
      </c>
      <c r="AR68" s="158">
        <v>3</v>
      </c>
      <c r="AS68" s="40">
        <f t="shared" si="54"/>
        <v>4</v>
      </c>
      <c r="AT68" s="169">
        <f t="shared" si="82"/>
        <v>0</v>
      </c>
      <c r="AU68" s="176">
        <v>10</v>
      </c>
      <c r="AV68" s="180">
        <f t="shared" si="83"/>
        <v>0</v>
      </c>
      <c r="AW68" s="184"/>
      <c r="AX68" s="36" t="str">
        <f t="shared" si="84"/>
        <v>YA</v>
      </c>
      <c r="AY68" s="189">
        <f t="shared" si="85"/>
        <v>0.76</v>
      </c>
      <c r="AZ68" s="10"/>
      <c r="BA68" s="193">
        <v>0.25</v>
      </c>
      <c r="BB68" s="86">
        <f t="shared" si="86"/>
        <v>9</v>
      </c>
      <c r="BC68" s="205">
        <v>9</v>
      </c>
      <c r="BD68" s="37"/>
      <c r="BE68" s="86">
        <f t="shared" si="60"/>
        <v>0</v>
      </c>
      <c r="BF68" s="38"/>
      <c r="BG68" s="211"/>
      <c r="BH68" s="163"/>
      <c r="BI68" s="162"/>
      <c r="BJ68" s="86">
        <f t="shared" si="8"/>
        <v>7</v>
      </c>
      <c r="BK68" s="170">
        <v>7</v>
      </c>
      <c r="BL68" s="198"/>
      <c r="BM68" s="91"/>
      <c r="BN68" s="91"/>
      <c r="BO68" s="91"/>
      <c r="BP68" s="91"/>
      <c r="BQ68" s="91"/>
      <c r="BR68" s="91"/>
      <c r="BS68" s="91"/>
      <c r="BT68" s="91"/>
      <c r="BU68" s="91"/>
      <c r="BV68" s="39"/>
    </row>
    <row r="69" spans="2:74" x14ac:dyDescent="0.25">
      <c r="B69" s="139">
        <v>56</v>
      </c>
      <c r="C69" s="142" t="s">
        <v>294</v>
      </c>
      <c r="D69" s="141" t="s">
        <v>167</v>
      </c>
      <c r="E69" s="164" t="s">
        <v>25</v>
      </c>
      <c r="F69" s="134"/>
      <c r="G69" s="150" t="s">
        <v>195</v>
      </c>
      <c r="H69" s="151" t="s">
        <v>93</v>
      </c>
      <c r="I69" s="152" t="str">
        <f t="shared" si="43"/>
        <v>R</v>
      </c>
      <c r="J69" s="154">
        <v>3</v>
      </c>
      <c r="K69" s="155"/>
      <c r="L69" s="155">
        <v>0</v>
      </c>
      <c r="M69" s="88"/>
      <c r="N69" s="40">
        <f t="shared" si="44"/>
        <v>7.8229166666666679</v>
      </c>
      <c r="O69" s="58">
        <f t="shared" si="9"/>
        <v>1.6666666666666679</v>
      </c>
      <c r="P69" s="84">
        <f t="shared" si="6"/>
        <v>499.99999999999989</v>
      </c>
      <c r="Q69" s="128">
        <v>0.66666666666666663</v>
      </c>
      <c r="R69" s="106"/>
      <c r="S69" s="103">
        <f t="shared" si="45"/>
        <v>0</v>
      </c>
      <c r="T69" s="49">
        <f t="shared" si="7"/>
        <v>2.15625</v>
      </c>
      <c r="U69" s="36">
        <f t="shared" si="74"/>
        <v>0</v>
      </c>
      <c r="V69" s="36">
        <f t="shared" si="75"/>
        <v>5</v>
      </c>
      <c r="W69" s="36">
        <f t="shared" si="76"/>
        <v>6</v>
      </c>
      <c r="X69" s="36">
        <f t="shared" si="77"/>
        <v>5</v>
      </c>
      <c r="Y69" s="36">
        <f t="shared" si="78"/>
        <v>0</v>
      </c>
      <c r="Z69" s="36">
        <f t="shared" si="79"/>
        <v>0</v>
      </c>
      <c r="AA69" s="36">
        <f t="shared" si="80"/>
        <v>-1</v>
      </c>
      <c r="AB69" s="48">
        <f t="shared" si="81"/>
        <v>2.25</v>
      </c>
      <c r="AK69" s="156">
        <v>6</v>
      </c>
      <c r="AL69" s="157">
        <v>8</v>
      </c>
      <c r="AM69" s="157">
        <v>8</v>
      </c>
      <c r="AN69" s="157">
        <v>4</v>
      </c>
      <c r="AO69" s="157">
        <v>4</v>
      </c>
      <c r="AP69" s="157">
        <v>2</v>
      </c>
      <c r="AQ69" s="157">
        <v>1</v>
      </c>
      <c r="AR69" s="158">
        <v>3</v>
      </c>
      <c r="AS69" s="40">
        <f t="shared" si="54"/>
        <v>4</v>
      </c>
      <c r="AT69" s="169">
        <f t="shared" si="82"/>
        <v>0</v>
      </c>
      <c r="AU69" s="176">
        <v>4</v>
      </c>
      <c r="AV69" s="180">
        <f t="shared" si="83"/>
        <v>0</v>
      </c>
      <c r="AW69" s="184"/>
      <c r="AX69" s="36" t="str">
        <f t="shared" si="84"/>
        <v>YA</v>
      </c>
      <c r="AY69" s="189">
        <f t="shared" si="85"/>
        <v>0.76</v>
      </c>
      <c r="AZ69" s="10"/>
      <c r="BA69" s="193">
        <v>0.25</v>
      </c>
      <c r="BB69" s="86">
        <f t="shared" si="86"/>
        <v>10</v>
      </c>
      <c r="BC69" s="205">
        <v>10</v>
      </c>
      <c r="BD69" s="37"/>
      <c r="BE69" s="86">
        <f t="shared" si="60"/>
        <v>0</v>
      </c>
      <c r="BF69" s="38"/>
      <c r="BG69" s="211"/>
      <c r="BH69" s="163">
        <v>1</v>
      </c>
      <c r="BI69" s="162">
        <v>8</v>
      </c>
      <c r="BJ69" s="86">
        <f t="shared" si="8"/>
        <v>6</v>
      </c>
      <c r="BK69" s="170">
        <v>6</v>
      </c>
      <c r="BL69" s="198"/>
      <c r="BM69" s="91"/>
      <c r="BN69" s="91"/>
      <c r="BO69" s="91"/>
      <c r="BP69" s="91"/>
      <c r="BQ69" s="91"/>
      <c r="BR69" s="91"/>
      <c r="BS69" s="91"/>
      <c r="BT69" s="91"/>
      <c r="BU69" s="91"/>
      <c r="BV69" s="39"/>
    </row>
    <row r="70" spans="2:74" ht="30" x14ac:dyDescent="0.25">
      <c r="B70" s="139">
        <v>57</v>
      </c>
      <c r="C70" s="140" t="s">
        <v>88</v>
      </c>
      <c r="D70" s="141" t="s">
        <v>168</v>
      </c>
      <c r="E70" s="164" t="s">
        <v>107</v>
      </c>
      <c r="F70" s="134"/>
      <c r="G70" s="150" t="s">
        <v>195</v>
      </c>
      <c r="H70" s="151" t="s">
        <v>93</v>
      </c>
      <c r="I70" s="152" t="str">
        <f t="shared" si="43"/>
        <v>R</v>
      </c>
      <c r="J70" s="154">
        <v>2</v>
      </c>
      <c r="K70" s="155"/>
      <c r="L70" s="155">
        <v>0</v>
      </c>
      <c r="M70" s="88"/>
      <c r="N70" s="40">
        <f t="shared" si="44"/>
        <v>9.1979166666666661</v>
      </c>
      <c r="O70" s="58">
        <f t="shared" si="9"/>
        <v>1.1666666666666661</v>
      </c>
      <c r="P70" s="83">
        <f t="shared" si="6"/>
        <v>530</v>
      </c>
      <c r="Q70" s="127">
        <v>0.6875</v>
      </c>
      <c r="R70" s="94"/>
      <c r="S70" s="103">
        <f t="shared" si="45"/>
        <v>0</v>
      </c>
      <c r="T70" s="49">
        <f t="shared" si="7"/>
        <v>3.78125</v>
      </c>
      <c r="U70" s="36">
        <f t="shared" si="74"/>
        <v>3</v>
      </c>
      <c r="V70" s="36">
        <f t="shared" si="75"/>
        <v>6</v>
      </c>
      <c r="W70" s="36">
        <f t="shared" si="76"/>
        <v>6</v>
      </c>
      <c r="X70" s="36">
        <f t="shared" si="77"/>
        <v>3</v>
      </c>
      <c r="Y70" s="36">
        <f t="shared" si="78"/>
        <v>1</v>
      </c>
      <c r="Z70" s="36">
        <f t="shared" si="79"/>
        <v>4</v>
      </c>
      <c r="AA70" s="36">
        <f t="shared" si="80"/>
        <v>3</v>
      </c>
      <c r="AB70" s="48">
        <f t="shared" si="81"/>
        <v>4.25</v>
      </c>
      <c r="AK70" s="156">
        <v>9</v>
      </c>
      <c r="AL70" s="157">
        <v>9</v>
      </c>
      <c r="AM70" s="157">
        <v>8</v>
      </c>
      <c r="AN70" s="157">
        <v>6</v>
      </c>
      <c r="AO70" s="157">
        <v>5</v>
      </c>
      <c r="AP70" s="157">
        <v>6</v>
      </c>
      <c r="AQ70" s="157">
        <v>5</v>
      </c>
      <c r="AR70" s="158">
        <v>5</v>
      </c>
      <c r="AS70" s="40">
        <f t="shared" si="54"/>
        <v>4.25</v>
      </c>
      <c r="AT70" s="169">
        <f t="shared" si="82"/>
        <v>0</v>
      </c>
      <c r="AU70" s="176">
        <v>8</v>
      </c>
      <c r="AV70" s="180">
        <f t="shared" si="83"/>
        <v>0</v>
      </c>
      <c r="AW70" s="184"/>
      <c r="AX70" s="36" t="str">
        <f t="shared" si="84"/>
        <v>YA</v>
      </c>
      <c r="AY70" s="189">
        <f t="shared" si="85"/>
        <v>0.51</v>
      </c>
      <c r="AZ70" s="10"/>
      <c r="BA70" s="193">
        <v>0.5</v>
      </c>
      <c r="BB70" s="86">
        <f t="shared" si="86"/>
        <v>10</v>
      </c>
      <c r="BC70" s="205">
        <v>10</v>
      </c>
      <c r="BD70" s="37"/>
      <c r="BE70" s="86">
        <f t="shared" si="60"/>
        <v>0</v>
      </c>
      <c r="BF70" s="38"/>
      <c r="BG70" s="211"/>
      <c r="BH70" s="163">
        <v>1</v>
      </c>
      <c r="BI70" s="162">
        <v>8</v>
      </c>
      <c r="BJ70" s="86">
        <f t="shared" si="8"/>
        <v>7</v>
      </c>
      <c r="BK70" s="170">
        <v>7</v>
      </c>
      <c r="BL70" s="198"/>
      <c r="BM70" s="91"/>
      <c r="BN70" s="91"/>
      <c r="BO70" s="91"/>
      <c r="BP70" s="91"/>
      <c r="BQ70" s="91"/>
      <c r="BR70" s="91"/>
      <c r="BS70" s="91"/>
      <c r="BT70" s="91"/>
      <c r="BU70" s="91"/>
      <c r="BV70" s="39"/>
    </row>
    <row r="71" spans="2:74" ht="30" x14ac:dyDescent="0.25">
      <c r="B71" s="139">
        <v>58</v>
      </c>
      <c r="C71" s="140" t="s">
        <v>249</v>
      </c>
      <c r="D71" s="141" t="s">
        <v>169</v>
      </c>
      <c r="E71" s="164" t="s">
        <v>295</v>
      </c>
      <c r="F71" s="135"/>
      <c r="G71" s="150" t="s">
        <v>195</v>
      </c>
      <c r="H71" s="151" t="s">
        <v>93</v>
      </c>
      <c r="I71" s="152" t="str">
        <f t="shared" si="43"/>
        <v>R</v>
      </c>
      <c r="J71" s="154">
        <v>3</v>
      </c>
      <c r="K71" s="155"/>
      <c r="L71" s="155">
        <v>0</v>
      </c>
      <c r="M71" s="88"/>
      <c r="N71" s="40">
        <f t="shared" si="44"/>
        <v>8.6979166666666679</v>
      </c>
      <c r="O71" s="58">
        <f t="shared" si="9"/>
        <v>0.16666666666666785</v>
      </c>
      <c r="P71" s="82">
        <f t="shared" si="6"/>
        <v>589.99999999999989</v>
      </c>
      <c r="Q71" s="129">
        <v>0.72916666666666663</v>
      </c>
      <c r="R71" s="96"/>
      <c r="S71" s="103">
        <f t="shared" si="45"/>
        <v>0</v>
      </c>
      <c r="T71" s="49">
        <f t="shared" si="7"/>
        <v>4.53125</v>
      </c>
      <c r="U71" s="36">
        <f t="shared" si="74"/>
        <v>3</v>
      </c>
      <c r="V71" s="36">
        <f t="shared" si="75"/>
        <v>5</v>
      </c>
      <c r="W71" s="36">
        <f t="shared" si="76"/>
        <v>7</v>
      </c>
      <c r="X71" s="36">
        <f t="shared" si="77"/>
        <v>2</v>
      </c>
      <c r="Y71" s="36">
        <f t="shared" si="78"/>
        <v>5</v>
      </c>
      <c r="Z71" s="36">
        <f t="shared" si="79"/>
        <v>7</v>
      </c>
      <c r="AA71" s="36">
        <f t="shared" si="80"/>
        <v>3</v>
      </c>
      <c r="AB71" s="48">
        <f t="shared" si="81"/>
        <v>4.25</v>
      </c>
      <c r="AK71" s="156">
        <v>9</v>
      </c>
      <c r="AL71" s="157">
        <v>8</v>
      </c>
      <c r="AM71" s="157">
        <v>9</v>
      </c>
      <c r="AN71" s="157">
        <v>7</v>
      </c>
      <c r="AO71" s="157">
        <v>9</v>
      </c>
      <c r="AP71" s="157">
        <v>9</v>
      </c>
      <c r="AQ71" s="157">
        <v>5</v>
      </c>
      <c r="AR71" s="158">
        <v>5</v>
      </c>
      <c r="AS71" s="40">
        <f t="shared" si="54"/>
        <v>4</v>
      </c>
      <c r="AT71" s="169">
        <f t="shared" si="82"/>
        <v>0</v>
      </c>
      <c r="AU71" s="176">
        <v>5</v>
      </c>
      <c r="AV71" s="182">
        <f t="shared" si="83"/>
        <v>0</v>
      </c>
      <c r="AW71" s="184"/>
      <c r="AX71" s="36" t="str">
        <f t="shared" si="84"/>
        <v>YA</v>
      </c>
      <c r="AY71" s="189">
        <f t="shared" si="85"/>
        <v>0.76</v>
      </c>
      <c r="AZ71" s="10"/>
      <c r="BA71" s="193">
        <v>0.25</v>
      </c>
      <c r="BB71" s="86">
        <f t="shared" si="86"/>
        <v>8</v>
      </c>
      <c r="BC71" s="205">
        <v>8</v>
      </c>
      <c r="BD71" s="37"/>
      <c r="BE71" s="86">
        <f t="shared" si="60"/>
        <v>0</v>
      </c>
      <c r="BF71" s="38"/>
      <c r="BG71" s="215"/>
      <c r="BH71" s="163">
        <v>1</v>
      </c>
      <c r="BI71" s="162"/>
      <c r="BJ71" s="86">
        <f t="shared" si="8"/>
        <v>8</v>
      </c>
      <c r="BK71" s="170">
        <v>8</v>
      </c>
      <c r="BL71" s="198"/>
      <c r="BM71" s="91"/>
      <c r="BN71" s="91"/>
      <c r="BO71" s="91"/>
      <c r="BP71" s="91"/>
      <c r="BQ71" s="91"/>
      <c r="BR71" s="91"/>
      <c r="BS71" s="91"/>
      <c r="BT71" s="91"/>
      <c r="BU71" s="91"/>
      <c r="BV71" s="39"/>
    </row>
    <row r="72" spans="2:74" x14ac:dyDescent="0.25">
      <c r="B72" s="139">
        <v>59</v>
      </c>
      <c r="C72" s="144" t="s">
        <v>296</v>
      </c>
      <c r="D72" s="141" t="s">
        <v>170</v>
      </c>
      <c r="E72" s="164" t="s">
        <v>297</v>
      </c>
      <c r="F72" s="134"/>
      <c r="G72" s="150" t="s">
        <v>195</v>
      </c>
      <c r="H72" s="151" t="s">
        <v>94</v>
      </c>
      <c r="I72" s="152" t="str">
        <f t="shared" si="43"/>
        <v>R</v>
      </c>
      <c r="J72" s="154">
        <v>3</v>
      </c>
      <c r="K72" s="155"/>
      <c r="L72" s="155">
        <v>0</v>
      </c>
      <c r="M72" s="88"/>
      <c r="N72" s="40">
        <f t="shared" si="44"/>
        <v>8.1562500000000018</v>
      </c>
      <c r="O72" s="58">
        <f t="shared" si="9"/>
        <v>1.7763568394002505E-15</v>
      </c>
      <c r="P72" s="82">
        <f t="shared" si="6"/>
        <v>599.99999999999989</v>
      </c>
      <c r="Q72" s="126">
        <v>0.73611111111111105</v>
      </c>
      <c r="R72" s="92"/>
      <c r="S72" s="103">
        <f t="shared" si="45"/>
        <v>0</v>
      </c>
      <c r="T72" s="49">
        <f t="shared" si="7"/>
        <v>4.90625</v>
      </c>
      <c r="U72" s="36">
        <f t="shared" si="74"/>
        <v>3</v>
      </c>
      <c r="V72" s="36">
        <f t="shared" si="75"/>
        <v>5</v>
      </c>
      <c r="W72" s="36">
        <f t="shared" si="76"/>
        <v>7</v>
      </c>
      <c r="X72" s="36">
        <f t="shared" si="77"/>
        <v>5</v>
      </c>
      <c r="Y72" s="36">
        <f t="shared" si="78"/>
        <v>5</v>
      </c>
      <c r="Z72" s="36">
        <f t="shared" si="79"/>
        <v>7</v>
      </c>
      <c r="AA72" s="36">
        <f t="shared" si="80"/>
        <v>1</v>
      </c>
      <c r="AB72" s="48">
        <f t="shared" si="81"/>
        <v>6.25</v>
      </c>
      <c r="AK72" s="156">
        <v>9</v>
      </c>
      <c r="AL72" s="157">
        <v>8</v>
      </c>
      <c r="AM72" s="157">
        <v>9</v>
      </c>
      <c r="AN72" s="157">
        <v>4</v>
      </c>
      <c r="AO72" s="157">
        <v>9</v>
      </c>
      <c r="AP72" s="157">
        <v>9</v>
      </c>
      <c r="AQ72" s="157">
        <v>3</v>
      </c>
      <c r="AR72" s="158">
        <v>7</v>
      </c>
      <c r="AS72" s="40">
        <f t="shared" si="54"/>
        <v>3.25</v>
      </c>
      <c r="AT72" s="169">
        <f t="shared" si="82"/>
        <v>0</v>
      </c>
      <c r="AU72" s="176">
        <v>5</v>
      </c>
      <c r="AV72" s="180">
        <f t="shared" si="83"/>
        <v>0</v>
      </c>
      <c r="AW72" s="184"/>
      <c r="AX72" s="36" t="str">
        <f t="shared" si="84"/>
        <v>YA</v>
      </c>
      <c r="AY72" s="189">
        <f t="shared" si="85"/>
        <v>0.76</v>
      </c>
      <c r="AZ72" s="10"/>
      <c r="BA72" s="193">
        <v>0.25</v>
      </c>
      <c r="BB72" s="86">
        <f t="shared" si="86"/>
        <v>8</v>
      </c>
      <c r="BC72" s="205">
        <v>8</v>
      </c>
      <c r="BD72" s="37"/>
      <c r="BE72" s="86">
        <f t="shared" si="60"/>
        <v>0</v>
      </c>
      <c r="BF72" s="38"/>
      <c r="BG72" s="211"/>
      <c r="BH72" s="163"/>
      <c r="BI72" s="162"/>
      <c r="BJ72" s="86">
        <f t="shared" si="8"/>
        <v>5</v>
      </c>
      <c r="BK72" s="170">
        <v>5</v>
      </c>
      <c r="BL72" s="198"/>
      <c r="BM72" s="91"/>
      <c r="BN72" s="91"/>
      <c r="BO72" s="91"/>
      <c r="BP72" s="91"/>
      <c r="BQ72" s="91"/>
      <c r="BR72" s="91"/>
      <c r="BS72" s="91"/>
      <c r="BT72" s="91"/>
      <c r="BU72" s="91"/>
      <c r="BV72" s="39"/>
    </row>
    <row r="73" spans="2:74" ht="30" x14ac:dyDescent="0.25">
      <c r="B73" s="139">
        <v>60</v>
      </c>
      <c r="C73" s="140" t="s">
        <v>249</v>
      </c>
      <c r="D73" s="141" t="s">
        <v>171</v>
      </c>
      <c r="E73" s="164" t="s">
        <v>298</v>
      </c>
      <c r="F73" s="132"/>
      <c r="G73" s="150" t="s">
        <v>195</v>
      </c>
      <c r="H73" s="151" t="s">
        <v>93</v>
      </c>
      <c r="I73" s="152" t="str">
        <f t="shared" si="43"/>
        <v>R</v>
      </c>
      <c r="J73" s="154">
        <v>3</v>
      </c>
      <c r="K73" s="155"/>
      <c r="L73" s="155">
        <v>0</v>
      </c>
      <c r="M73" s="88"/>
      <c r="N73" s="40">
        <f t="shared" si="44"/>
        <v>5.6979166666666661</v>
      </c>
      <c r="O73" s="58">
        <f t="shared" si="9"/>
        <v>-0.33333333333333393</v>
      </c>
      <c r="P73" s="58">
        <f t="shared" si="6"/>
        <v>620</v>
      </c>
      <c r="Q73" s="126">
        <v>0.75</v>
      </c>
      <c r="R73" s="92"/>
      <c r="S73" s="103">
        <f t="shared" si="45"/>
        <v>0</v>
      </c>
      <c r="T73" s="49">
        <f t="shared" si="7"/>
        <v>2.53125</v>
      </c>
      <c r="U73" s="36">
        <f t="shared" si="74"/>
        <v>2</v>
      </c>
      <c r="V73" s="36">
        <f t="shared" si="75"/>
        <v>5</v>
      </c>
      <c r="W73" s="36">
        <f t="shared" si="76"/>
        <v>6</v>
      </c>
      <c r="X73" s="36">
        <f t="shared" si="77"/>
        <v>3</v>
      </c>
      <c r="Y73" s="36">
        <f t="shared" si="78"/>
        <v>1</v>
      </c>
      <c r="Z73" s="36">
        <f t="shared" si="79"/>
        <v>2</v>
      </c>
      <c r="AA73" s="36">
        <f t="shared" si="80"/>
        <v>0</v>
      </c>
      <c r="AB73" s="48">
        <f t="shared" si="81"/>
        <v>1.25</v>
      </c>
      <c r="AK73" s="156">
        <v>8</v>
      </c>
      <c r="AL73" s="157">
        <v>8</v>
      </c>
      <c r="AM73" s="157">
        <v>8</v>
      </c>
      <c r="AN73" s="157">
        <v>6</v>
      </c>
      <c r="AO73" s="157">
        <v>5</v>
      </c>
      <c r="AP73" s="157">
        <v>4</v>
      </c>
      <c r="AQ73" s="157">
        <v>2</v>
      </c>
      <c r="AR73" s="158">
        <v>2</v>
      </c>
      <c r="AS73" s="40">
        <f t="shared" si="54"/>
        <v>3.5</v>
      </c>
      <c r="AT73" s="169">
        <f t="shared" si="82"/>
        <v>0</v>
      </c>
      <c r="AU73" s="176">
        <v>5</v>
      </c>
      <c r="AV73" s="180">
        <f t="shared" si="83"/>
        <v>0</v>
      </c>
      <c r="AW73" s="184"/>
      <c r="AX73" s="36" t="str">
        <f t="shared" si="84"/>
        <v>YA</v>
      </c>
      <c r="AY73" s="189">
        <f t="shared" si="85"/>
        <v>0.76</v>
      </c>
      <c r="AZ73" s="10"/>
      <c r="BA73" s="193">
        <v>0.25</v>
      </c>
      <c r="BB73" s="86">
        <f t="shared" si="86"/>
        <v>8</v>
      </c>
      <c r="BC73" s="205">
        <v>8</v>
      </c>
      <c r="BD73" s="37"/>
      <c r="BE73" s="86">
        <f t="shared" si="60"/>
        <v>0</v>
      </c>
      <c r="BF73" s="38"/>
      <c r="BG73" s="213"/>
      <c r="BH73" s="163">
        <v>1</v>
      </c>
      <c r="BI73" s="162">
        <v>5</v>
      </c>
      <c r="BJ73" s="86">
        <f t="shared" si="8"/>
        <v>6</v>
      </c>
      <c r="BK73" s="170">
        <v>6</v>
      </c>
      <c r="BL73" s="198"/>
      <c r="BM73" s="91"/>
      <c r="BN73" s="91"/>
      <c r="BO73" s="91"/>
      <c r="BP73" s="91"/>
      <c r="BQ73" s="91"/>
      <c r="BR73" s="91"/>
      <c r="BS73" s="91"/>
      <c r="BT73" s="91"/>
      <c r="BU73" s="91"/>
      <c r="BV73" s="39"/>
    </row>
    <row r="74" spans="2:74" x14ac:dyDescent="0.25">
      <c r="B74" s="139">
        <v>61</v>
      </c>
      <c r="C74" s="140" t="s">
        <v>89</v>
      </c>
      <c r="D74" s="141" t="s">
        <v>172</v>
      </c>
      <c r="E74" s="164" t="s">
        <v>91</v>
      </c>
      <c r="F74" s="134"/>
      <c r="G74" s="150" t="s">
        <v>242</v>
      </c>
      <c r="H74" s="151" t="s">
        <v>94</v>
      </c>
      <c r="I74" s="152" t="str">
        <f t="shared" si="43"/>
        <v>R</v>
      </c>
      <c r="J74" s="154">
        <v>-1</v>
      </c>
      <c r="K74" s="155"/>
      <c r="L74" s="155">
        <v>3</v>
      </c>
      <c r="M74" s="88"/>
      <c r="N74" s="40">
        <f t="shared" si="44"/>
        <v>4.5729166666666661</v>
      </c>
      <c r="O74" s="58">
        <f t="shared" si="9"/>
        <v>-0.33333333333333393</v>
      </c>
      <c r="P74" s="82">
        <f t="shared" si="6"/>
        <v>620</v>
      </c>
      <c r="Q74" s="129">
        <v>0.75</v>
      </c>
      <c r="R74" s="96"/>
      <c r="S74" s="103">
        <f t="shared" si="45"/>
        <v>0.99930555555555556</v>
      </c>
      <c r="T74" s="49">
        <f t="shared" si="7"/>
        <v>2.15625</v>
      </c>
      <c r="U74" s="36">
        <f t="shared" si="74"/>
        <v>-1</v>
      </c>
      <c r="V74" s="36">
        <f t="shared" si="75"/>
        <v>2</v>
      </c>
      <c r="W74" s="36">
        <f t="shared" si="76"/>
        <v>3</v>
      </c>
      <c r="X74" s="36">
        <f t="shared" si="77"/>
        <v>3</v>
      </c>
      <c r="Y74" s="36">
        <f t="shared" si="78"/>
        <v>1</v>
      </c>
      <c r="Z74" s="36">
        <f t="shared" si="79"/>
        <v>3</v>
      </c>
      <c r="AA74" s="36">
        <f t="shared" si="80"/>
        <v>1</v>
      </c>
      <c r="AB74" s="48">
        <f t="shared" si="81"/>
        <v>5.25</v>
      </c>
      <c r="AK74" s="156">
        <v>5</v>
      </c>
      <c r="AL74" s="157">
        <v>5</v>
      </c>
      <c r="AM74" s="157">
        <v>5</v>
      </c>
      <c r="AN74" s="157">
        <v>6</v>
      </c>
      <c r="AO74" s="157">
        <v>5</v>
      </c>
      <c r="AP74" s="157">
        <v>5</v>
      </c>
      <c r="AQ74" s="157">
        <v>3</v>
      </c>
      <c r="AR74" s="158">
        <v>6</v>
      </c>
      <c r="AS74" s="40">
        <f t="shared" si="54"/>
        <v>2.75</v>
      </c>
      <c r="AT74" s="169">
        <f t="shared" si="82"/>
        <v>0</v>
      </c>
      <c r="AU74" s="176">
        <v>3</v>
      </c>
      <c r="AV74" s="180">
        <f t="shared" si="83"/>
        <v>0</v>
      </c>
      <c r="AW74" s="184"/>
      <c r="AX74" s="36" t="str">
        <f t="shared" si="84"/>
        <v>YA</v>
      </c>
      <c r="AY74" s="189">
        <f t="shared" si="85"/>
        <v>0.26</v>
      </c>
      <c r="AZ74" s="10"/>
      <c r="BA74" s="193">
        <v>0.75</v>
      </c>
      <c r="BB74" s="86">
        <f t="shared" si="86"/>
        <v>6</v>
      </c>
      <c r="BC74" s="205">
        <v>6</v>
      </c>
      <c r="BD74" s="37"/>
      <c r="BE74" s="86">
        <f t="shared" si="60"/>
        <v>0</v>
      </c>
      <c r="BF74" s="38"/>
      <c r="BG74" s="211"/>
      <c r="BH74" s="163"/>
      <c r="BI74" s="162"/>
      <c r="BJ74" s="86">
        <f t="shared" si="8"/>
        <v>5</v>
      </c>
      <c r="BK74" s="170">
        <v>5</v>
      </c>
      <c r="BL74" s="198"/>
      <c r="BM74" s="91"/>
      <c r="BN74" s="91"/>
      <c r="BO74" s="91"/>
      <c r="BP74" s="91"/>
      <c r="BQ74" s="91"/>
      <c r="BR74" s="91"/>
      <c r="BS74" s="91"/>
      <c r="BT74" s="91"/>
      <c r="BU74" s="91"/>
      <c r="BV74" s="39"/>
    </row>
    <row r="75" spans="2:74" ht="30" x14ac:dyDescent="0.25">
      <c r="B75" s="139">
        <v>62</v>
      </c>
      <c r="C75" s="146" t="s">
        <v>299</v>
      </c>
      <c r="D75" s="141" t="s">
        <v>173</v>
      </c>
      <c r="E75" s="164" t="s">
        <v>300</v>
      </c>
      <c r="F75" s="134"/>
      <c r="G75" s="150" t="s">
        <v>319</v>
      </c>
      <c r="H75" s="151" t="s">
        <v>95</v>
      </c>
      <c r="I75" s="152" t="str">
        <f t="shared" si="43"/>
        <v>R</v>
      </c>
      <c r="J75" s="154">
        <v>-1</v>
      </c>
      <c r="K75" s="155"/>
      <c r="L75" s="155">
        <v>3</v>
      </c>
      <c r="M75" s="88"/>
      <c r="N75" s="40">
        <f t="shared" si="44"/>
        <v>7.4479166666666661</v>
      </c>
      <c r="O75" s="58">
        <f t="shared" si="9"/>
        <v>-0.83333333333333393</v>
      </c>
      <c r="P75" s="84">
        <f t="shared" si="6"/>
        <v>650</v>
      </c>
      <c r="Q75" s="129">
        <v>0.77083333333333337</v>
      </c>
      <c r="R75" s="96"/>
      <c r="S75" s="103">
        <f t="shared" si="45"/>
        <v>0.99930555555555556</v>
      </c>
      <c r="T75" s="49">
        <f t="shared" si="7"/>
        <v>5.03125</v>
      </c>
      <c r="U75" s="36">
        <f t="shared" si="74"/>
        <v>3</v>
      </c>
      <c r="V75" s="36">
        <f t="shared" si="75"/>
        <v>5</v>
      </c>
      <c r="W75" s="36">
        <f t="shared" si="76"/>
        <v>7</v>
      </c>
      <c r="X75" s="36">
        <f t="shared" si="77"/>
        <v>6</v>
      </c>
      <c r="Y75" s="36">
        <f t="shared" si="78"/>
        <v>5</v>
      </c>
      <c r="Z75" s="36">
        <f t="shared" si="79"/>
        <v>7</v>
      </c>
      <c r="AA75" s="36">
        <f t="shared" si="80"/>
        <v>1</v>
      </c>
      <c r="AB75" s="48">
        <f t="shared" si="81"/>
        <v>6.25</v>
      </c>
      <c r="AK75" s="156">
        <v>9</v>
      </c>
      <c r="AL75" s="157">
        <v>8</v>
      </c>
      <c r="AM75" s="157">
        <v>9</v>
      </c>
      <c r="AN75" s="157">
        <v>3</v>
      </c>
      <c r="AO75" s="157">
        <v>9</v>
      </c>
      <c r="AP75" s="157">
        <v>9</v>
      </c>
      <c r="AQ75" s="157">
        <v>3</v>
      </c>
      <c r="AR75" s="158">
        <v>7</v>
      </c>
      <c r="AS75" s="40">
        <f t="shared" si="54"/>
        <v>3.25</v>
      </c>
      <c r="AT75" s="169">
        <f t="shared" si="82"/>
        <v>0</v>
      </c>
      <c r="AU75" s="176">
        <v>6</v>
      </c>
      <c r="AV75" s="180">
        <f t="shared" si="83"/>
        <v>0</v>
      </c>
      <c r="AW75" s="184"/>
      <c r="AX75" s="36" t="str">
        <f t="shared" si="84"/>
        <v>YA</v>
      </c>
      <c r="AY75" s="189">
        <f t="shared" si="85"/>
        <v>0.26</v>
      </c>
      <c r="AZ75" s="10"/>
      <c r="BA75" s="193">
        <v>0.75</v>
      </c>
      <c r="BB75" s="86">
        <f t="shared" si="86"/>
        <v>7</v>
      </c>
      <c r="BC75" s="205">
        <v>7</v>
      </c>
      <c r="BD75" s="37"/>
      <c r="BE75" s="86">
        <f t="shared" si="60"/>
        <v>0</v>
      </c>
      <c r="BF75" s="38"/>
      <c r="BG75" s="211"/>
      <c r="BH75" s="163"/>
      <c r="BI75" s="162"/>
      <c r="BJ75" s="86">
        <f t="shared" si="8"/>
        <v>6</v>
      </c>
      <c r="BK75" s="170">
        <v>6</v>
      </c>
      <c r="BL75" s="198"/>
      <c r="BM75" s="91"/>
      <c r="BN75" s="91"/>
      <c r="BO75" s="91"/>
      <c r="BP75" s="91"/>
      <c r="BQ75" s="91"/>
      <c r="BR75" s="91"/>
      <c r="BS75" s="91"/>
      <c r="BT75" s="91"/>
      <c r="BU75" s="91"/>
      <c r="BV75" s="39"/>
    </row>
    <row r="76" spans="2:74" ht="30" x14ac:dyDescent="0.25">
      <c r="B76" s="139">
        <v>63</v>
      </c>
      <c r="C76" s="146" t="s">
        <v>301</v>
      </c>
      <c r="D76" s="141" t="s">
        <v>174</v>
      </c>
      <c r="E76" s="164" t="s">
        <v>28</v>
      </c>
      <c r="F76" s="134"/>
      <c r="G76" s="150" t="s">
        <v>320</v>
      </c>
      <c r="H76" s="151" t="s">
        <v>93</v>
      </c>
      <c r="I76" s="152" t="str">
        <f t="shared" si="43"/>
        <v>R</v>
      </c>
      <c r="J76" s="154">
        <v>-1</v>
      </c>
      <c r="K76" s="155"/>
      <c r="L76" s="155">
        <v>3</v>
      </c>
      <c r="M76" s="88"/>
      <c r="N76" s="40">
        <f t="shared" si="44"/>
        <v>4.1979166666666661</v>
      </c>
      <c r="O76" s="58">
        <f t="shared" si="9"/>
        <v>-0.83333333333333393</v>
      </c>
      <c r="P76" s="82">
        <f t="shared" si="6"/>
        <v>650</v>
      </c>
      <c r="Q76" s="129">
        <v>0.77083333333333337</v>
      </c>
      <c r="R76" s="96"/>
      <c r="S76" s="103">
        <f t="shared" si="45"/>
        <v>0.99930555555555556</v>
      </c>
      <c r="T76" s="49">
        <f t="shared" si="7"/>
        <v>2.53125</v>
      </c>
      <c r="U76" s="36">
        <f t="shared" si="74"/>
        <v>2</v>
      </c>
      <c r="V76" s="36">
        <f t="shared" si="75"/>
        <v>5</v>
      </c>
      <c r="W76" s="36">
        <f t="shared" si="76"/>
        <v>6</v>
      </c>
      <c r="X76" s="36">
        <f t="shared" si="77"/>
        <v>3</v>
      </c>
      <c r="Y76" s="36">
        <f t="shared" si="78"/>
        <v>1</v>
      </c>
      <c r="Z76" s="36">
        <f t="shared" si="79"/>
        <v>2</v>
      </c>
      <c r="AA76" s="36">
        <f t="shared" si="80"/>
        <v>0</v>
      </c>
      <c r="AB76" s="48">
        <f t="shared" si="81"/>
        <v>1.25</v>
      </c>
      <c r="AK76" s="156">
        <v>8</v>
      </c>
      <c r="AL76" s="157">
        <v>8</v>
      </c>
      <c r="AM76" s="157">
        <v>8</v>
      </c>
      <c r="AN76" s="157">
        <v>6</v>
      </c>
      <c r="AO76" s="157">
        <v>5</v>
      </c>
      <c r="AP76" s="157">
        <v>4</v>
      </c>
      <c r="AQ76" s="157">
        <v>2</v>
      </c>
      <c r="AR76" s="158">
        <v>2</v>
      </c>
      <c r="AS76" s="40">
        <f t="shared" si="54"/>
        <v>2.5</v>
      </c>
      <c r="AT76" s="169">
        <f t="shared" si="82"/>
        <v>0</v>
      </c>
      <c r="AU76" s="176">
        <v>3</v>
      </c>
      <c r="AV76" s="180">
        <f t="shared" si="83"/>
        <v>0</v>
      </c>
      <c r="AW76" s="184"/>
      <c r="AX76" s="36" t="str">
        <f t="shared" si="84"/>
        <v>YA</v>
      </c>
      <c r="AY76" s="189">
        <f t="shared" si="85"/>
        <v>0.76</v>
      </c>
      <c r="AZ76" s="10"/>
      <c r="BA76" s="193">
        <v>0.25</v>
      </c>
      <c r="BB76" s="86">
        <f t="shared" si="86"/>
        <v>5</v>
      </c>
      <c r="BC76" s="205">
        <v>5</v>
      </c>
      <c r="BD76" s="37"/>
      <c r="BE76" s="86">
        <f t="shared" si="60"/>
        <v>0</v>
      </c>
      <c r="BF76" s="38"/>
      <c r="BG76" s="211"/>
      <c r="BH76" s="163"/>
      <c r="BI76" s="162"/>
      <c r="BJ76" s="86">
        <f t="shared" si="8"/>
        <v>5</v>
      </c>
      <c r="BK76" s="170">
        <v>5</v>
      </c>
      <c r="BL76" s="198"/>
      <c r="BM76" s="91"/>
      <c r="BN76" s="91"/>
      <c r="BO76" s="91"/>
      <c r="BP76" s="91"/>
      <c r="BQ76" s="91"/>
      <c r="BR76" s="91"/>
      <c r="BS76" s="91"/>
      <c r="BT76" s="91"/>
      <c r="BU76" s="91"/>
      <c r="BV76" s="39"/>
    </row>
    <row r="77" spans="2:74" ht="30" x14ac:dyDescent="0.25">
      <c r="B77" s="139">
        <v>64</v>
      </c>
      <c r="C77" s="140" t="s">
        <v>88</v>
      </c>
      <c r="D77" s="141" t="s">
        <v>175</v>
      </c>
      <c r="E77" s="164" t="s">
        <v>302</v>
      </c>
      <c r="F77" s="134"/>
      <c r="G77" s="150" t="s">
        <v>195</v>
      </c>
      <c r="H77" s="151" t="s">
        <v>94</v>
      </c>
      <c r="I77" s="152" t="str">
        <f t="shared" si="43"/>
        <v>R</v>
      </c>
      <c r="J77" s="154">
        <v>3</v>
      </c>
      <c r="K77" s="155"/>
      <c r="L77" s="155">
        <v>0</v>
      </c>
      <c r="M77" s="88"/>
      <c r="N77" s="40">
        <f t="shared" si="44"/>
        <v>5.4479166666666679</v>
      </c>
      <c r="O77" s="58">
        <f t="shared" si="9"/>
        <v>-1.3333333333333321</v>
      </c>
      <c r="P77" s="82">
        <f t="shared" si="6"/>
        <v>679.99999999999989</v>
      </c>
      <c r="Q77" s="126">
        <v>0.79166666666666663</v>
      </c>
      <c r="R77" s="92"/>
      <c r="S77" s="103">
        <f t="shared" si="45"/>
        <v>0</v>
      </c>
      <c r="T77" s="49">
        <f t="shared" si="7"/>
        <v>3.53125</v>
      </c>
      <c r="U77" s="36">
        <f t="shared" si="74"/>
        <v>2</v>
      </c>
      <c r="V77" s="36">
        <f t="shared" si="75"/>
        <v>5</v>
      </c>
      <c r="W77" s="36">
        <f t="shared" si="76"/>
        <v>7</v>
      </c>
      <c r="X77" s="36">
        <f t="shared" si="77"/>
        <v>6</v>
      </c>
      <c r="Y77" s="36">
        <f t="shared" si="78"/>
        <v>5</v>
      </c>
      <c r="Z77" s="36">
        <f t="shared" si="79"/>
        <v>2</v>
      </c>
      <c r="AA77" s="36">
        <f t="shared" si="80"/>
        <v>0</v>
      </c>
      <c r="AB77" s="48">
        <f t="shared" si="81"/>
        <v>1.25</v>
      </c>
      <c r="AK77" s="156">
        <v>8</v>
      </c>
      <c r="AL77" s="157">
        <v>8</v>
      </c>
      <c r="AM77" s="157">
        <v>9</v>
      </c>
      <c r="AN77" s="157">
        <v>3</v>
      </c>
      <c r="AO77" s="157">
        <v>9</v>
      </c>
      <c r="AP77" s="157">
        <v>4</v>
      </c>
      <c r="AQ77" s="157">
        <v>2</v>
      </c>
      <c r="AR77" s="158">
        <v>2</v>
      </c>
      <c r="AS77" s="40">
        <f t="shared" si="54"/>
        <v>3.25</v>
      </c>
      <c r="AT77" s="169">
        <f t="shared" si="82"/>
        <v>0</v>
      </c>
      <c r="AU77" s="176">
        <v>5</v>
      </c>
      <c r="AV77" s="180">
        <f t="shared" si="83"/>
        <v>0</v>
      </c>
      <c r="AW77" s="184"/>
      <c r="AX77" s="36" t="str">
        <f t="shared" si="84"/>
        <v>YA</v>
      </c>
      <c r="AY77" s="189">
        <f t="shared" si="85"/>
        <v>0.76</v>
      </c>
      <c r="AZ77" s="10"/>
      <c r="BA77" s="193">
        <v>0.25</v>
      </c>
      <c r="BB77" s="86">
        <f t="shared" si="86"/>
        <v>8</v>
      </c>
      <c r="BC77" s="205">
        <v>8</v>
      </c>
      <c r="BD77" s="37"/>
      <c r="BE77" s="86">
        <f t="shared" si="60"/>
        <v>0</v>
      </c>
      <c r="BF77" s="38"/>
      <c r="BG77" s="211"/>
      <c r="BH77" s="163"/>
      <c r="BI77" s="162"/>
      <c r="BJ77" s="86">
        <f t="shared" si="8"/>
        <v>5</v>
      </c>
      <c r="BK77" s="170">
        <v>5</v>
      </c>
      <c r="BL77" s="198"/>
      <c r="BM77" s="91"/>
      <c r="BN77" s="91"/>
      <c r="BO77" s="91"/>
      <c r="BP77" s="91"/>
      <c r="BQ77" s="91"/>
      <c r="BR77" s="91"/>
      <c r="BS77" s="91"/>
      <c r="BT77" s="91"/>
      <c r="BU77" s="91"/>
      <c r="BV77" s="39"/>
    </row>
    <row r="78" spans="2:74" x14ac:dyDescent="0.25">
      <c r="B78" s="139">
        <v>65</v>
      </c>
      <c r="C78" s="142" t="s">
        <v>303</v>
      </c>
      <c r="D78" s="141" t="s">
        <v>176</v>
      </c>
      <c r="E78" s="164" t="s">
        <v>26</v>
      </c>
      <c r="F78" s="132"/>
      <c r="G78" s="150" t="s">
        <v>195</v>
      </c>
      <c r="H78" s="151" t="s">
        <v>95</v>
      </c>
      <c r="I78" s="152" t="str">
        <f t="shared" si="43"/>
        <v>R</v>
      </c>
      <c r="J78" s="154">
        <v>1</v>
      </c>
      <c r="K78" s="155"/>
      <c r="L78" s="155">
        <v>2</v>
      </c>
      <c r="M78" s="88"/>
      <c r="N78" s="40">
        <f t="shared" ref="N78:N92" si="87">IF(I78="I",0,IF(AX78="YA",O78+T78+AS78,0))</f>
        <v>3.8229166666666661</v>
      </c>
      <c r="O78" s="58">
        <f t="shared" si="9"/>
        <v>-1.8333333333333339</v>
      </c>
      <c r="P78" s="58">
        <f t="shared" ref="P78:P92" si="88">IF(Q78="-","-",IF((Q78-$P$11)*1440&gt;1,(Q78-$P$11)*1440,-1*(Q78-$P$11)*1440))</f>
        <v>710</v>
      </c>
      <c r="Q78" s="126">
        <v>0.8125</v>
      </c>
      <c r="R78" s="92"/>
      <c r="S78" s="103">
        <f t="shared" ref="S78:S84" si="89">IF(L78=0,0,IF(L78=1,R78+$M$13,IF(L78=2,R78+$M$14,IF(L78=3,R78+$M$15,IF(L78=4,R78+$M$16,0)))))</f>
        <v>0.5</v>
      </c>
      <c r="T78" s="49">
        <f t="shared" si="7"/>
        <v>2.15625</v>
      </c>
      <c r="U78" s="36">
        <f t="shared" si="74"/>
        <v>0</v>
      </c>
      <c r="V78" s="36">
        <f t="shared" si="75"/>
        <v>5</v>
      </c>
      <c r="W78" s="36">
        <f t="shared" si="76"/>
        <v>6</v>
      </c>
      <c r="X78" s="36">
        <f t="shared" si="77"/>
        <v>5</v>
      </c>
      <c r="Y78" s="36">
        <f t="shared" si="78"/>
        <v>0</v>
      </c>
      <c r="Z78" s="36">
        <f t="shared" si="79"/>
        <v>0</v>
      </c>
      <c r="AA78" s="36">
        <f t="shared" si="80"/>
        <v>-1</v>
      </c>
      <c r="AB78" s="48">
        <f t="shared" si="81"/>
        <v>2.25</v>
      </c>
      <c r="AK78" s="156">
        <v>6</v>
      </c>
      <c r="AL78" s="157">
        <v>8</v>
      </c>
      <c r="AM78" s="157">
        <v>8</v>
      </c>
      <c r="AN78" s="157">
        <v>4</v>
      </c>
      <c r="AO78" s="157">
        <v>4</v>
      </c>
      <c r="AP78" s="157">
        <v>2</v>
      </c>
      <c r="AQ78" s="157">
        <v>1</v>
      </c>
      <c r="AR78" s="158">
        <v>3</v>
      </c>
      <c r="AS78" s="40">
        <f t="shared" ref="AS78:AS92" si="90">(AT78+BB78+BE78+BJ78)/4</f>
        <v>3.5</v>
      </c>
      <c r="AT78" s="169">
        <f t="shared" si="82"/>
        <v>0</v>
      </c>
      <c r="AU78" s="176">
        <v>6</v>
      </c>
      <c r="AV78" s="180">
        <f t="shared" si="83"/>
        <v>0</v>
      </c>
      <c r="AW78" s="184"/>
      <c r="AX78" s="36" t="str">
        <f t="shared" si="84"/>
        <v>YA</v>
      </c>
      <c r="AY78" s="189">
        <f t="shared" si="85"/>
        <v>0.51</v>
      </c>
      <c r="AZ78" s="10"/>
      <c r="BA78" s="193">
        <v>0.5</v>
      </c>
      <c r="BB78" s="86">
        <f t="shared" si="86"/>
        <v>8</v>
      </c>
      <c r="BC78" s="205">
        <v>8</v>
      </c>
      <c r="BD78" s="37"/>
      <c r="BE78" s="86">
        <f t="shared" ref="BE78:BE92" si="91">BF78*BH78*BI78</f>
        <v>0</v>
      </c>
      <c r="BF78" s="42"/>
      <c r="BG78" s="213"/>
      <c r="BH78" s="163">
        <v>1</v>
      </c>
      <c r="BI78" s="162">
        <v>6</v>
      </c>
      <c r="BJ78" s="86">
        <f t="shared" si="8"/>
        <v>6</v>
      </c>
      <c r="BK78" s="170">
        <v>6</v>
      </c>
      <c r="BL78" s="198"/>
      <c r="BM78" s="91"/>
      <c r="BN78" s="91"/>
      <c r="BO78" s="91"/>
      <c r="BP78" s="91"/>
      <c r="BQ78" s="91"/>
      <c r="BR78" s="91"/>
      <c r="BS78" s="91"/>
      <c r="BT78" s="91"/>
      <c r="BU78" s="91"/>
      <c r="BV78" s="39"/>
    </row>
    <row r="79" spans="2:74" x14ac:dyDescent="0.25">
      <c r="B79" s="139">
        <v>66</v>
      </c>
      <c r="C79" s="140" t="s">
        <v>88</v>
      </c>
      <c r="D79" s="141" t="s">
        <v>177</v>
      </c>
      <c r="E79" s="164" t="s">
        <v>30</v>
      </c>
      <c r="F79" s="134"/>
      <c r="G79" s="150" t="s">
        <v>195</v>
      </c>
      <c r="H79" s="151" t="s">
        <v>95</v>
      </c>
      <c r="I79" s="152" t="str">
        <f t="shared" si="43"/>
        <v>R</v>
      </c>
      <c r="J79" s="154">
        <v>2</v>
      </c>
      <c r="K79" s="155"/>
      <c r="L79" s="155">
        <v>0</v>
      </c>
      <c r="M79" s="88"/>
      <c r="N79" s="40">
        <f t="shared" si="87"/>
        <v>2.8229166666666661</v>
      </c>
      <c r="O79" s="58">
        <f t="shared" si="9"/>
        <v>-1.8333333333333339</v>
      </c>
      <c r="P79" s="82">
        <f t="shared" si="88"/>
        <v>710</v>
      </c>
      <c r="Q79" s="127">
        <v>0.8125</v>
      </c>
      <c r="R79" s="93"/>
      <c r="S79" s="103">
        <f t="shared" si="89"/>
        <v>0</v>
      </c>
      <c r="T79" s="49">
        <f t="shared" ref="T79:T92" si="92">SUM(U79:AB79)/8</f>
        <v>1.90625</v>
      </c>
      <c r="U79" s="36">
        <f t="shared" si="74"/>
        <v>0</v>
      </c>
      <c r="V79" s="36">
        <f t="shared" si="75"/>
        <v>5</v>
      </c>
      <c r="W79" s="36">
        <f t="shared" si="76"/>
        <v>6</v>
      </c>
      <c r="X79" s="36">
        <f t="shared" si="77"/>
        <v>3</v>
      </c>
      <c r="Y79" s="36">
        <f t="shared" si="78"/>
        <v>0</v>
      </c>
      <c r="Z79" s="36">
        <f t="shared" si="79"/>
        <v>0</v>
      </c>
      <c r="AA79" s="36">
        <f t="shared" si="80"/>
        <v>-1</v>
      </c>
      <c r="AB79" s="48">
        <f t="shared" si="81"/>
        <v>2.25</v>
      </c>
      <c r="AK79" s="156">
        <v>6</v>
      </c>
      <c r="AL79" s="157">
        <v>8</v>
      </c>
      <c r="AM79" s="157">
        <v>8</v>
      </c>
      <c r="AN79" s="157">
        <v>6</v>
      </c>
      <c r="AO79" s="157">
        <v>4</v>
      </c>
      <c r="AP79" s="157">
        <v>2</v>
      </c>
      <c r="AQ79" s="157">
        <v>1</v>
      </c>
      <c r="AR79" s="158">
        <v>3</v>
      </c>
      <c r="AS79" s="40">
        <f t="shared" si="90"/>
        <v>2.75</v>
      </c>
      <c r="AT79" s="169">
        <f t="shared" si="82"/>
        <v>0</v>
      </c>
      <c r="AU79" s="176">
        <v>8</v>
      </c>
      <c r="AV79" s="180">
        <f t="shared" si="83"/>
        <v>0</v>
      </c>
      <c r="AW79" s="184"/>
      <c r="AX79" s="36" t="str">
        <f t="shared" si="84"/>
        <v>YA</v>
      </c>
      <c r="AY79" s="189">
        <f t="shared" si="85"/>
        <v>0.76</v>
      </c>
      <c r="AZ79" s="10"/>
      <c r="BA79" s="193">
        <v>0.25</v>
      </c>
      <c r="BB79" s="86">
        <f t="shared" si="86"/>
        <v>6</v>
      </c>
      <c r="BC79" s="205">
        <v>6</v>
      </c>
      <c r="BD79" s="37"/>
      <c r="BE79" s="86">
        <f t="shared" si="91"/>
        <v>0</v>
      </c>
      <c r="BF79" s="38"/>
      <c r="BG79" s="211"/>
      <c r="BH79" s="163"/>
      <c r="BI79" s="162"/>
      <c r="BJ79" s="86">
        <f t="shared" ref="BJ79:BJ92" si="93">SUM(BK79:BV79)</f>
        <v>5</v>
      </c>
      <c r="BK79" s="170">
        <v>5</v>
      </c>
      <c r="BL79" s="198"/>
      <c r="BM79" s="91"/>
      <c r="BN79" s="91"/>
      <c r="BO79" s="91"/>
      <c r="BP79" s="91"/>
      <c r="BQ79" s="91"/>
      <c r="BR79" s="91"/>
      <c r="BS79" s="91"/>
      <c r="BT79" s="91"/>
      <c r="BU79" s="91"/>
      <c r="BV79" s="39"/>
    </row>
    <row r="80" spans="2:74" ht="30" x14ac:dyDescent="0.25">
      <c r="B80" s="139">
        <v>67</v>
      </c>
      <c r="C80" s="140" t="s">
        <v>88</v>
      </c>
      <c r="D80" s="141" t="s">
        <v>178</v>
      </c>
      <c r="E80" s="164" t="s">
        <v>304</v>
      </c>
      <c r="F80" s="134"/>
      <c r="G80" s="150" t="s">
        <v>195</v>
      </c>
      <c r="H80" s="151" t="s">
        <v>94</v>
      </c>
      <c r="I80" s="152" t="str">
        <f t="shared" si="43"/>
        <v>R</v>
      </c>
      <c r="J80" s="154">
        <v>2</v>
      </c>
      <c r="K80" s="155"/>
      <c r="L80" s="155">
        <v>0</v>
      </c>
      <c r="M80" s="88"/>
      <c r="N80" s="40">
        <f t="shared" si="87"/>
        <v>4.1979166666666661</v>
      </c>
      <c r="O80" s="58">
        <f t="shared" ref="O80:O92" si="94">IF(P80="-",5,IF(10-(P80/60)&gt;10,10+(P80/60*10),10-(P80/60)))</f>
        <v>-1.8333333333333339</v>
      </c>
      <c r="P80" s="58">
        <f t="shared" si="88"/>
        <v>710</v>
      </c>
      <c r="Q80" s="127">
        <v>0.8125</v>
      </c>
      <c r="R80" s="93"/>
      <c r="S80" s="103">
        <f t="shared" si="89"/>
        <v>0</v>
      </c>
      <c r="T80" s="49">
        <f t="shared" si="92"/>
        <v>2.78125</v>
      </c>
      <c r="U80" s="36">
        <f t="shared" si="74"/>
        <v>2</v>
      </c>
      <c r="V80" s="36">
        <f t="shared" si="75"/>
        <v>5</v>
      </c>
      <c r="W80" s="36">
        <f t="shared" si="76"/>
        <v>4</v>
      </c>
      <c r="X80" s="36">
        <f t="shared" si="77"/>
        <v>6</v>
      </c>
      <c r="Y80" s="36">
        <f t="shared" si="78"/>
        <v>2</v>
      </c>
      <c r="Z80" s="36">
        <f t="shared" si="79"/>
        <v>2</v>
      </c>
      <c r="AA80" s="36">
        <f t="shared" si="80"/>
        <v>0</v>
      </c>
      <c r="AB80" s="48">
        <f t="shared" si="81"/>
        <v>1.25</v>
      </c>
      <c r="AK80" s="156">
        <v>8</v>
      </c>
      <c r="AL80" s="157">
        <v>8</v>
      </c>
      <c r="AM80" s="157">
        <v>6</v>
      </c>
      <c r="AN80" s="157">
        <v>3</v>
      </c>
      <c r="AO80" s="157">
        <v>6</v>
      </c>
      <c r="AP80" s="157">
        <v>4</v>
      </c>
      <c r="AQ80" s="157">
        <v>2</v>
      </c>
      <c r="AR80" s="158">
        <v>2</v>
      </c>
      <c r="AS80" s="40">
        <f t="shared" si="90"/>
        <v>3.25</v>
      </c>
      <c r="AT80" s="169">
        <f t="shared" si="82"/>
        <v>0</v>
      </c>
      <c r="AU80" s="176">
        <v>5</v>
      </c>
      <c r="AV80" s="180">
        <f t="shared" si="83"/>
        <v>0</v>
      </c>
      <c r="AW80" s="184"/>
      <c r="AX80" s="36" t="str">
        <f t="shared" si="84"/>
        <v>YA</v>
      </c>
      <c r="AY80" s="189">
        <f t="shared" si="85"/>
        <v>0.51</v>
      </c>
      <c r="AZ80" s="10"/>
      <c r="BA80" s="193">
        <v>0.5</v>
      </c>
      <c r="BB80" s="86">
        <f t="shared" si="86"/>
        <v>8</v>
      </c>
      <c r="BC80" s="205">
        <v>8</v>
      </c>
      <c r="BD80" s="37"/>
      <c r="BE80" s="86">
        <f t="shared" si="91"/>
        <v>0</v>
      </c>
      <c r="BF80" s="38"/>
      <c r="BG80" s="211"/>
      <c r="BH80" s="163"/>
      <c r="BI80" s="162"/>
      <c r="BJ80" s="86">
        <f t="shared" si="93"/>
        <v>5</v>
      </c>
      <c r="BK80" s="170">
        <v>5</v>
      </c>
      <c r="BL80" s="198"/>
      <c r="BM80" s="91"/>
      <c r="BN80" s="91"/>
      <c r="BO80" s="91"/>
      <c r="BP80" s="91"/>
      <c r="BQ80" s="91"/>
      <c r="BR80" s="91"/>
      <c r="BS80" s="91"/>
      <c r="BT80" s="91"/>
      <c r="BU80" s="91"/>
      <c r="BV80" s="39"/>
    </row>
    <row r="81" spans="2:74" ht="30" x14ac:dyDescent="0.25">
      <c r="B81" s="139">
        <v>68</v>
      </c>
      <c r="C81" s="140" t="s">
        <v>88</v>
      </c>
      <c r="D81" s="141" t="s">
        <v>179</v>
      </c>
      <c r="E81" s="164" t="s">
        <v>305</v>
      </c>
      <c r="F81" s="134"/>
      <c r="G81" s="150" t="s">
        <v>195</v>
      </c>
      <c r="H81" s="151" t="s">
        <v>94</v>
      </c>
      <c r="I81" s="152" t="str">
        <f t="shared" si="43"/>
        <v>R</v>
      </c>
      <c r="J81" s="154">
        <v>3</v>
      </c>
      <c r="K81" s="155"/>
      <c r="L81" s="155">
        <v>0</v>
      </c>
      <c r="M81" s="88"/>
      <c r="N81" s="40">
        <f t="shared" si="87"/>
        <v>5.9479166666666696</v>
      </c>
      <c r="O81" s="58">
        <f t="shared" si="94"/>
        <v>-2.8333333333333304</v>
      </c>
      <c r="P81" s="58">
        <f t="shared" si="88"/>
        <v>769.99999999999977</v>
      </c>
      <c r="Q81" s="128">
        <v>0.85416666666666663</v>
      </c>
      <c r="R81" s="94"/>
      <c r="S81" s="105">
        <f t="shared" si="89"/>
        <v>0</v>
      </c>
      <c r="T81" s="49">
        <f t="shared" si="92"/>
        <v>4.78125</v>
      </c>
      <c r="U81" s="36">
        <f t="shared" si="15"/>
        <v>3</v>
      </c>
      <c r="V81" s="36">
        <f t="shared" si="16"/>
        <v>5</v>
      </c>
      <c r="W81" s="36">
        <f t="shared" si="17"/>
        <v>7</v>
      </c>
      <c r="X81" s="36">
        <f t="shared" si="18"/>
        <v>4</v>
      </c>
      <c r="Y81" s="36">
        <f t="shared" si="19"/>
        <v>5</v>
      </c>
      <c r="Z81" s="36">
        <f t="shared" si="20"/>
        <v>7</v>
      </c>
      <c r="AA81" s="36">
        <f t="shared" si="21"/>
        <v>1</v>
      </c>
      <c r="AB81" s="48">
        <f t="shared" si="22"/>
        <v>6.25</v>
      </c>
      <c r="AK81" s="156">
        <v>9</v>
      </c>
      <c r="AL81" s="157">
        <v>8</v>
      </c>
      <c r="AM81" s="157">
        <v>9</v>
      </c>
      <c r="AN81" s="157">
        <v>5</v>
      </c>
      <c r="AO81" s="157">
        <v>9</v>
      </c>
      <c r="AP81" s="157">
        <v>9</v>
      </c>
      <c r="AQ81" s="157">
        <v>3</v>
      </c>
      <c r="AR81" s="158">
        <v>7</v>
      </c>
      <c r="AS81" s="40">
        <f t="shared" si="90"/>
        <v>4</v>
      </c>
      <c r="AT81" s="169">
        <f t="shared" si="10"/>
        <v>0</v>
      </c>
      <c r="AU81" s="176">
        <v>6</v>
      </c>
      <c r="AV81" s="180">
        <f t="shared" si="11"/>
        <v>0</v>
      </c>
      <c r="AW81" s="184"/>
      <c r="AX81" s="36" t="str">
        <f t="shared" si="12"/>
        <v>YA</v>
      </c>
      <c r="AY81" s="189">
        <f t="shared" si="13"/>
        <v>0.76</v>
      </c>
      <c r="AZ81" s="10"/>
      <c r="BA81" s="193">
        <v>0.25</v>
      </c>
      <c r="BB81" s="86">
        <f t="shared" si="14"/>
        <v>8</v>
      </c>
      <c r="BC81" s="205">
        <v>8</v>
      </c>
      <c r="BD81" s="37"/>
      <c r="BE81" s="86">
        <f t="shared" si="91"/>
        <v>0</v>
      </c>
      <c r="BF81" s="38"/>
      <c r="BG81" s="211"/>
      <c r="BH81" s="163"/>
      <c r="BI81" s="162"/>
      <c r="BJ81" s="86">
        <f t="shared" si="93"/>
        <v>8</v>
      </c>
      <c r="BK81" s="170">
        <v>8</v>
      </c>
      <c r="BL81" s="198"/>
      <c r="BM81" s="91"/>
      <c r="BN81" s="91"/>
      <c r="BO81" s="91"/>
      <c r="BP81" s="91"/>
      <c r="BQ81" s="91"/>
      <c r="BR81" s="91"/>
      <c r="BS81" s="91"/>
      <c r="BT81" s="91"/>
      <c r="BU81" s="91"/>
      <c r="BV81" s="39"/>
    </row>
    <row r="82" spans="2:74" ht="30" x14ac:dyDescent="0.25">
      <c r="B82" s="139">
        <v>69</v>
      </c>
      <c r="C82" s="140" t="s">
        <v>88</v>
      </c>
      <c r="D82" s="141" t="s">
        <v>180</v>
      </c>
      <c r="E82" s="164" t="s">
        <v>306</v>
      </c>
      <c r="F82" s="134"/>
      <c r="G82" s="150" t="s">
        <v>320</v>
      </c>
      <c r="H82" s="151" t="s">
        <v>93</v>
      </c>
      <c r="I82" s="152" t="str">
        <f t="shared" si="43"/>
        <v>R</v>
      </c>
      <c r="J82" s="154">
        <v>-1</v>
      </c>
      <c r="K82" s="155"/>
      <c r="L82" s="155">
        <v>3</v>
      </c>
      <c r="M82" s="88"/>
      <c r="N82" s="40">
        <f t="shared" si="87"/>
        <v>3.1562500000000036</v>
      </c>
      <c r="O82" s="58">
        <f t="shared" si="94"/>
        <v>-2.9999999999999964</v>
      </c>
      <c r="P82" s="82">
        <f t="shared" si="88"/>
        <v>779.99999999999977</v>
      </c>
      <c r="Q82" s="129">
        <v>0.86111111111111105</v>
      </c>
      <c r="R82" s="96"/>
      <c r="S82" s="103">
        <f t="shared" si="89"/>
        <v>0.99930555555555556</v>
      </c>
      <c r="T82" s="49">
        <f t="shared" si="92"/>
        <v>2.15625</v>
      </c>
      <c r="U82" s="36">
        <f t="shared" si="15"/>
        <v>-1</v>
      </c>
      <c r="V82" s="36">
        <f t="shared" si="16"/>
        <v>2</v>
      </c>
      <c r="W82" s="36">
        <f t="shared" si="17"/>
        <v>3</v>
      </c>
      <c r="X82" s="36">
        <f t="shared" si="18"/>
        <v>3</v>
      </c>
      <c r="Y82" s="36">
        <f t="shared" si="19"/>
        <v>1</v>
      </c>
      <c r="Z82" s="36">
        <f t="shared" si="20"/>
        <v>3</v>
      </c>
      <c r="AA82" s="36">
        <f t="shared" si="21"/>
        <v>1</v>
      </c>
      <c r="AB82" s="48">
        <f t="shared" si="22"/>
        <v>5.25</v>
      </c>
      <c r="AK82" s="156">
        <v>5</v>
      </c>
      <c r="AL82" s="157">
        <v>5</v>
      </c>
      <c r="AM82" s="157">
        <v>5</v>
      </c>
      <c r="AN82" s="157">
        <v>6</v>
      </c>
      <c r="AO82" s="157">
        <v>5</v>
      </c>
      <c r="AP82" s="157">
        <v>5</v>
      </c>
      <c r="AQ82" s="157">
        <v>3</v>
      </c>
      <c r="AR82" s="158">
        <v>6</v>
      </c>
      <c r="AS82" s="40">
        <f t="shared" si="90"/>
        <v>4</v>
      </c>
      <c r="AT82" s="169">
        <f t="shared" si="10"/>
        <v>0</v>
      </c>
      <c r="AU82" s="176">
        <v>5</v>
      </c>
      <c r="AV82" s="180">
        <f t="shared" si="11"/>
        <v>0</v>
      </c>
      <c r="AW82" s="184"/>
      <c r="AX82" s="36" t="str">
        <f t="shared" si="12"/>
        <v>YA</v>
      </c>
      <c r="AY82" s="189">
        <f t="shared" si="13"/>
        <v>0.26</v>
      </c>
      <c r="AZ82" s="10"/>
      <c r="BA82" s="193">
        <v>0.75</v>
      </c>
      <c r="BB82" s="86">
        <f t="shared" si="14"/>
        <v>10</v>
      </c>
      <c r="BC82" s="205">
        <v>10</v>
      </c>
      <c r="BD82" s="37"/>
      <c r="BE82" s="86">
        <f t="shared" si="91"/>
        <v>0</v>
      </c>
      <c r="BF82" s="38"/>
      <c r="BG82" s="211"/>
      <c r="BH82" s="163"/>
      <c r="BI82" s="162"/>
      <c r="BJ82" s="86">
        <f t="shared" si="93"/>
        <v>6</v>
      </c>
      <c r="BK82" s="170">
        <v>6</v>
      </c>
      <c r="BL82" s="198"/>
      <c r="BM82" s="91"/>
      <c r="BN82" s="91"/>
      <c r="BO82" s="91"/>
      <c r="BP82" s="91"/>
      <c r="BQ82" s="91"/>
      <c r="BR82" s="91"/>
      <c r="BS82" s="91"/>
      <c r="BT82" s="91"/>
      <c r="BU82" s="91"/>
      <c r="BV82" s="39"/>
    </row>
    <row r="83" spans="2:74" x14ac:dyDescent="0.25">
      <c r="B83" s="139">
        <v>70</v>
      </c>
      <c r="C83" s="217" t="s">
        <v>329</v>
      </c>
      <c r="D83" s="141" t="s">
        <v>181</v>
      </c>
      <c r="E83" s="164" t="s">
        <v>307</v>
      </c>
      <c r="F83" s="134"/>
      <c r="G83" s="150" t="s">
        <v>242</v>
      </c>
      <c r="H83" s="151" t="s">
        <v>95</v>
      </c>
      <c r="I83" s="152" t="str">
        <f t="shared" si="43"/>
        <v>R</v>
      </c>
      <c r="J83" s="154">
        <v>2</v>
      </c>
      <c r="K83" s="155"/>
      <c r="L83" s="155">
        <v>0</v>
      </c>
      <c r="M83" s="88"/>
      <c r="N83" s="40">
        <f t="shared" si="87"/>
        <v>0.15625</v>
      </c>
      <c r="O83" s="58">
        <f t="shared" si="94"/>
        <v>-5</v>
      </c>
      <c r="P83" s="84">
        <f t="shared" si="88"/>
        <v>900</v>
      </c>
      <c r="Q83" s="131">
        <v>0.94444444444444442</v>
      </c>
      <c r="R83" s="100"/>
      <c r="S83" s="103">
        <f t="shared" si="89"/>
        <v>0</v>
      </c>
      <c r="T83" s="49">
        <f t="shared" si="92"/>
        <v>2.15625</v>
      </c>
      <c r="U83" s="36">
        <f t="shared" ref="U83:U91" si="95">AK83-$AC$13</f>
        <v>-1</v>
      </c>
      <c r="V83" s="36">
        <f t="shared" ref="V83:V91" si="96">AL83-$AD$13</f>
        <v>2</v>
      </c>
      <c r="W83" s="36">
        <f t="shared" ref="W83:W91" si="97">AM83-$AE$13</f>
        <v>3</v>
      </c>
      <c r="X83" s="36">
        <f t="shared" ref="X83:X91" si="98">$AF$13-AN83</f>
        <v>3</v>
      </c>
      <c r="Y83" s="36">
        <f t="shared" ref="Y83:Y91" si="99">AO83-$AG$13</f>
        <v>1</v>
      </c>
      <c r="Z83" s="36">
        <f t="shared" ref="Z83:Z91" si="100">AP83-$AH$13</f>
        <v>3</v>
      </c>
      <c r="AA83" s="36">
        <f t="shared" ref="AA83:AA91" si="101">AQ83-$AH$13</f>
        <v>1</v>
      </c>
      <c r="AB83" s="48">
        <f t="shared" ref="AB83:AB91" si="102">AR83-$AJ$13</f>
        <v>5.25</v>
      </c>
      <c r="AK83" s="156">
        <v>5</v>
      </c>
      <c r="AL83" s="157">
        <v>5</v>
      </c>
      <c r="AM83" s="157">
        <v>5</v>
      </c>
      <c r="AN83" s="157">
        <v>6</v>
      </c>
      <c r="AO83" s="157">
        <v>5</v>
      </c>
      <c r="AP83" s="157">
        <v>5</v>
      </c>
      <c r="AQ83" s="157">
        <v>3</v>
      </c>
      <c r="AR83" s="158">
        <v>6</v>
      </c>
      <c r="AS83" s="40">
        <f t="shared" si="90"/>
        <v>3</v>
      </c>
      <c r="AT83" s="169">
        <f t="shared" ref="AT83:AT91" si="103">AU83*AV83</f>
        <v>0</v>
      </c>
      <c r="AU83" s="176">
        <v>3</v>
      </c>
      <c r="AV83" s="180">
        <f t="shared" ref="AV83:AV91" si="104">IF(AW83=1,1,IF(AW83=2,0.9,IF(AW83=3,0.8,IF(AW83=4,0.7,IF(AW83=5,0.6,IF(AW83=6,0.5,IF(AW83=7,0.4,IF(AW83=8,0.3,IF(AW83=9,0.2,IF(AW83=10,0.1,IF(AW83=0,0,0)))))))))))</f>
        <v>0</v>
      </c>
      <c r="AW83" s="184"/>
      <c r="AX83" s="36" t="str">
        <f t="shared" ref="AX83:AX91" si="105">IF($AZ$13&gt;=BA83,"YA","TIDAK")</f>
        <v>YA</v>
      </c>
      <c r="AY83" s="189">
        <f t="shared" ref="AY83:AY91" si="106">IF($AZ$13-BA83&gt;0,$AZ$13-BA83,"0")</f>
        <v>0.76</v>
      </c>
      <c r="AZ83" s="10"/>
      <c r="BA83" s="193">
        <v>0.25</v>
      </c>
      <c r="BB83" s="86">
        <f t="shared" ref="BB83:BB91" si="107">BC83+BD83</f>
        <v>6</v>
      </c>
      <c r="BC83" s="205">
        <v>6</v>
      </c>
      <c r="BD83" s="37"/>
      <c r="BE83" s="86">
        <f t="shared" si="91"/>
        <v>0</v>
      </c>
      <c r="BF83" s="38"/>
      <c r="BG83" s="211"/>
      <c r="BH83" s="163"/>
      <c r="BI83" s="162"/>
      <c r="BJ83" s="86">
        <f t="shared" si="93"/>
        <v>6</v>
      </c>
      <c r="BK83" s="170">
        <v>6</v>
      </c>
      <c r="BL83" s="198"/>
      <c r="BM83" s="91"/>
      <c r="BN83" s="91"/>
      <c r="BO83" s="91"/>
      <c r="BP83" s="91"/>
      <c r="BQ83" s="91"/>
      <c r="BR83" s="91"/>
      <c r="BS83" s="91"/>
      <c r="BT83" s="91"/>
      <c r="BU83" s="91"/>
      <c r="BV83" s="39"/>
    </row>
    <row r="84" spans="2:74" ht="30" x14ac:dyDescent="0.25">
      <c r="B84" s="139">
        <v>71</v>
      </c>
      <c r="C84" s="140" t="s">
        <v>88</v>
      </c>
      <c r="D84" s="141" t="s">
        <v>182</v>
      </c>
      <c r="E84" s="164" t="s">
        <v>308</v>
      </c>
      <c r="F84" s="134"/>
      <c r="G84" s="150" t="s">
        <v>195</v>
      </c>
      <c r="H84" s="151" t="s">
        <v>94</v>
      </c>
      <c r="I84" s="152" t="str">
        <f t="shared" si="43"/>
        <v>R</v>
      </c>
      <c r="J84" s="154">
        <v>3</v>
      </c>
      <c r="K84" s="155"/>
      <c r="L84" s="155">
        <v>0</v>
      </c>
      <c r="M84" s="88"/>
      <c r="N84" s="40">
        <f t="shared" si="87"/>
        <v>3.7812500000000036</v>
      </c>
      <c r="O84" s="58">
        <f t="shared" si="94"/>
        <v>-5.2499999999999964</v>
      </c>
      <c r="P84" s="82">
        <f t="shared" si="88"/>
        <v>914.99999999999977</v>
      </c>
      <c r="Q84" s="129">
        <v>0.95486111111111105</v>
      </c>
      <c r="R84" s="96"/>
      <c r="S84" s="103">
        <f t="shared" si="89"/>
        <v>0</v>
      </c>
      <c r="T84" s="49">
        <f t="shared" si="92"/>
        <v>4.53125</v>
      </c>
      <c r="U84" s="36">
        <f t="shared" si="95"/>
        <v>3</v>
      </c>
      <c r="V84" s="36">
        <f t="shared" si="96"/>
        <v>5</v>
      </c>
      <c r="W84" s="36">
        <f t="shared" si="97"/>
        <v>7</v>
      </c>
      <c r="X84" s="36">
        <f t="shared" si="98"/>
        <v>2</v>
      </c>
      <c r="Y84" s="36">
        <f t="shared" si="99"/>
        <v>5</v>
      </c>
      <c r="Z84" s="36">
        <f t="shared" si="100"/>
        <v>7</v>
      </c>
      <c r="AA84" s="36">
        <f t="shared" si="101"/>
        <v>3</v>
      </c>
      <c r="AB84" s="48">
        <f t="shared" si="102"/>
        <v>4.25</v>
      </c>
      <c r="AK84" s="156">
        <v>9</v>
      </c>
      <c r="AL84" s="157">
        <v>8</v>
      </c>
      <c r="AM84" s="157">
        <v>9</v>
      </c>
      <c r="AN84" s="157">
        <v>7</v>
      </c>
      <c r="AO84" s="157">
        <v>9</v>
      </c>
      <c r="AP84" s="157">
        <v>9</v>
      </c>
      <c r="AQ84" s="157">
        <v>5</v>
      </c>
      <c r="AR84" s="158">
        <v>5</v>
      </c>
      <c r="AS84" s="40">
        <f t="shared" si="90"/>
        <v>4.5</v>
      </c>
      <c r="AT84" s="169">
        <f t="shared" si="103"/>
        <v>0</v>
      </c>
      <c r="AU84" s="176">
        <v>5</v>
      </c>
      <c r="AV84" s="180">
        <f t="shared" si="104"/>
        <v>0</v>
      </c>
      <c r="AW84" s="184"/>
      <c r="AX84" s="36" t="str">
        <f t="shared" si="105"/>
        <v>YA</v>
      </c>
      <c r="AY84" s="189">
        <f t="shared" si="106"/>
        <v>0.76</v>
      </c>
      <c r="AZ84" s="10"/>
      <c r="BA84" s="193">
        <v>0.25</v>
      </c>
      <c r="BB84" s="86">
        <f t="shared" si="107"/>
        <v>10</v>
      </c>
      <c r="BC84" s="205">
        <v>10</v>
      </c>
      <c r="BD84" s="37"/>
      <c r="BE84" s="86">
        <f t="shared" si="91"/>
        <v>0</v>
      </c>
      <c r="BF84" s="38"/>
      <c r="BG84" s="211"/>
      <c r="BH84" s="163">
        <v>1</v>
      </c>
      <c r="BI84" s="162"/>
      <c r="BJ84" s="86">
        <f t="shared" si="93"/>
        <v>8</v>
      </c>
      <c r="BK84" s="170">
        <v>8</v>
      </c>
      <c r="BL84" s="198"/>
      <c r="BM84" s="91"/>
      <c r="BN84" s="91"/>
      <c r="BO84" s="91"/>
      <c r="BP84" s="91"/>
      <c r="BQ84" s="91"/>
      <c r="BR84" s="91"/>
      <c r="BS84" s="91"/>
      <c r="BT84" s="91"/>
      <c r="BU84" s="91"/>
      <c r="BV84" s="39"/>
    </row>
    <row r="85" spans="2:74" x14ac:dyDescent="0.25">
      <c r="B85" s="139">
        <v>72</v>
      </c>
      <c r="C85" s="142" t="s">
        <v>309</v>
      </c>
      <c r="D85" s="141" t="s">
        <v>183</v>
      </c>
      <c r="E85" s="164" t="s">
        <v>310</v>
      </c>
      <c r="F85" s="134"/>
      <c r="G85" s="150" t="s">
        <v>195</v>
      </c>
      <c r="H85" s="151" t="s">
        <v>94</v>
      </c>
      <c r="I85" s="152" t="str">
        <f t="shared" si="43"/>
        <v>R</v>
      </c>
      <c r="J85" s="154">
        <v>1</v>
      </c>
      <c r="K85" s="155"/>
      <c r="L85" s="155">
        <v>0</v>
      </c>
      <c r="M85" s="88"/>
      <c r="N85" s="40">
        <f t="shared" si="87"/>
        <v>14.28125</v>
      </c>
      <c r="O85" s="58">
        <f t="shared" si="94"/>
        <v>5</v>
      </c>
      <c r="P85" s="82" t="str">
        <f t="shared" si="88"/>
        <v>-</v>
      </c>
      <c r="Q85" s="129" t="s">
        <v>241</v>
      </c>
      <c r="R85" s="96"/>
      <c r="S85" s="103" t="s">
        <v>241</v>
      </c>
      <c r="T85" s="49">
        <f t="shared" si="92"/>
        <v>4.78125</v>
      </c>
      <c r="U85" s="36">
        <f t="shared" si="95"/>
        <v>3</v>
      </c>
      <c r="V85" s="36">
        <f t="shared" si="96"/>
        <v>5</v>
      </c>
      <c r="W85" s="36">
        <f t="shared" si="97"/>
        <v>7</v>
      </c>
      <c r="X85" s="36">
        <f t="shared" si="98"/>
        <v>4</v>
      </c>
      <c r="Y85" s="36">
        <f t="shared" si="99"/>
        <v>5</v>
      </c>
      <c r="Z85" s="36">
        <f t="shared" si="100"/>
        <v>7</v>
      </c>
      <c r="AA85" s="36">
        <f t="shared" si="101"/>
        <v>1</v>
      </c>
      <c r="AB85" s="48">
        <f t="shared" si="102"/>
        <v>6.25</v>
      </c>
      <c r="AK85" s="156">
        <v>9</v>
      </c>
      <c r="AL85" s="157">
        <v>8</v>
      </c>
      <c r="AM85" s="157">
        <v>9</v>
      </c>
      <c r="AN85" s="157">
        <v>5</v>
      </c>
      <c r="AO85" s="157">
        <v>9</v>
      </c>
      <c r="AP85" s="157">
        <v>9</v>
      </c>
      <c r="AQ85" s="157">
        <v>3</v>
      </c>
      <c r="AR85" s="158">
        <v>7</v>
      </c>
      <c r="AS85" s="40">
        <f t="shared" si="90"/>
        <v>4.5</v>
      </c>
      <c r="AT85" s="169">
        <f t="shared" si="103"/>
        <v>0</v>
      </c>
      <c r="AU85" s="176">
        <v>8</v>
      </c>
      <c r="AV85" s="180">
        <f t="shared" si="104"/>
        <v>0</v>
      </c>
      <c r="AW85" s="184"/>
      <c r="AX85" s="36" t="str">
        <f t="shared" si="105"/>
        <v>YA</v>
      </c>
      <c r="AY85" s="189">
        <f t="shared" si="106"/>
        <v>0.76</v>
      </c>
      <c r="AZ85" s="10"/>
      <c r="BA85" s="193">
        <v>0.25</v>
      </c>
      <c r="BB85" s="86">
        <f t="shared" si="107"/>
        <v>10</v>
      </c>
      <c r="BC85" s="205">
        <v>10</v>
      </c>
      <c r="BD85" s="37"/>
      <c r="BE85" s="86">
        <f t="shared" si="91"/>
        <v>0</v>
      </c>
      <c r="BF85" s="38"/>
      <c r="BG85" s="211"/>
      <c r="BH85" s="163">
        <v>1</v>
      </c>
      <c r="BI85" s="162">
        <v>10</v>
      </c>
      <c r="BJ85" s="86">
        <f t="shared" si="93"/>
        <v>8</v>
      </c>
      <c r="BK85" s="170">
        <v>8</v>
      </c>
      <c r="BL85" s="198"/>
      <c r="BM85" s="91"/>
      <c r="BN85" s="91"/>
      <c r="BO85" s="91"/>
      <c r="BP85" s="91"/>
      <c r="BQ85" s="91"/>
      <c r="BR85" s="91"/>
      <c r="BS85" s="91"/>
      <c r="BT85" s="91"/>
      <c r="BU85" s="91"/>
      <c r="BV85" s="39"/>
    </row>
    <row r="86" spans="2:74" x14ac:dyDescent="0.25">
      <c r="B86" s="139">
        <v>73</v>
      </c>
      <c r="C86" s="142" t="s">
        <v>311</v>
      </c>
      <c r="D86" s="141" t="s">
        <v>184</v>
      </c>
      <c r="E86" s="164" t="s">
        <v>312</v>
      </c>
      <c r="F86" s="132"/>
      <c r="G86" s="150" t="s">
        <v>195</v>
      </c>
      <c r="H86" s="151" t="s">
        <v>94</v>
      </c>
      <c r="I86" s="152" t="str">
        <f t="shared" si="43"/>
        <v>R</v>
      </c>
      <c r="J86" s="154">
        <v>1</v>
      </c>
      <c r="K86" s="155"/>
      <c r="L86" s="155">
        <v>0</v>
      </c>
      <c r="M86" s="88"/>
      <c r="N86" s="40">
        <f t="shared" si="87"/>
        <v>12.28125</v>
      </c>
      <c r="O86" s="58">
        <f t="shared" si="94"/>
        <v>5</v>
      </c>
      <c r="P86" s="58" t="str">
        <f t="shared" si="88"/>
        <v>-</v>
      </c>
      <c r="Q86" s="126" t="s">
        <v>241</v>
      </c>
      <c r="R86" s="92"/>
      <c r="S86" s="103" t="s">
        <v>241</v>
      </c>
      <c r="T86" s="49">
        <f t="shared" si="92"/>
        <v>4.53125</v>
      </c>
      <c r="U86" s="36">
        <f>AK86-$AC$13</f>
        <v>3</v>
      </c>
      <c r="V86" s="36">
        <f>AL86-$AD$13</f>
        <v>5</v>
      </c>
      <c r="W86" s="36">
        <f>AM86-$AE$13</f>
        <v>7</v>
      </c>
      <c r="X86" s="36">
        <f>$AF$13-AN86</f>
        <v>2</v>
      </c>
      <c r="Y86" s="36">
        <f>AO86-$AG$13</f>
        <v>5</v>
      </c>
      <c r="Z86" s="36">
        <f>AP86-$AH$13</f>
        <v>7</v>
      </c>
      <c r="AA86" s="36">
        <f>AQ86-$AH$13</f>
        <v>3</v>
      </c>
      <c r="AB86" s="48">
        <f>AR86-$AJ$13</f>
        <v>4.25</v>
      </c>
      <c r="AC86" s="24"/>
      <c r="AD86" s="24"/>
      <c r="AE86" s="24"/>
      <c r="AF86" s="24"/>
      <c r="AG86" s="24"/>
      <c r="AH86" s="24"/>
      <c r="AI86" s="24"/>
      <c r="AJ86" s="24"/>
      <c r="AK86" s="156">
        <v>9</v>
      </c>
      <c r="AL86" s="157">
        <v>8</v>
      </c>
      <c r="AM86" s="157">
        <v>9</v>
      </c>
      <c r="AN86" s="157">
        <v>7</v>
      </c>
      <c r="AO86" s="157">
        <v>9</v>
      </c>
      <c r="AP86" s="157">
        <v>9</v>
      </c>
      <c r="AQ86" s="157">
        <v>5</v>
      </c>
      <c r="AR86" s="158">
        <v>5</v>
      </c>
      <c r="AS86" s="40">
        <f t="shared" si="90"/>
        <v>2.75</v>
      </c>
      <c r="AT86" s="169">
        <f>AU86*AV86</f>
        <v>0</v>
      </c>
      <c r="AU86" s="176">
        <v>3</v>
      </c>
      <c r="AV86" s="180">
        <f>IF(AW86=1,1,IF(AW86=2,0.9,IF(AW86=3,0.8,IF(AW86=4,0.7,IF(AW86=5,0.6,IF(AW86=6,0.5,IF(AW86=7,0.4,IF(AW86=8,0.3,IF(AW86=9,0.2,IF(AW86=10,0.1,IF(AW86=0,0,0)))))))))))</f>
        <v>0</v>
      </c>
      <c r="AW86" s="184"/>
      <c r="AX86" s="36" t="str">
        <f>IF($AZ$13&gt;=BA86,"YA","TIDAK")</f>
        <v>YA</v>
      </c>
      <c r="AY86" s="189">
        <f>IF($AZ$13-BA86&gt;0,$AZ$13-BA86,"0")</f>
        <v>0.26</v>
      </c>
      <c r="AZ86" s="10"/>
      <c r="BA86" s="193">
        <v>0.75</v>
      </c>
      <c r="BB86" s="86">
        <f>BC86+BD86</f>
        <v>5</v>
      </c>
      <c r="BC86" s="205">
        <v>5</v>
      </c>
      <c r="BD86" s="37"/>
      <c r="BE86" s="86">
        <f t="shared" si="91"/>
        <v>0</v>
      </c>
      <c r="BF86" s="47"/>
      <c r="BG86" s="214"/>
      <c r="BH86" s="163">
        <v>1</v>
      </c>
      <c r="BI86" s="162">
        <v>6</v>
      </c>
      <c r="BJ86" s="86">
        <f t="shared" si="93"/>
        <v>6</v>
      </c>
      <c r="BK86" s="170">
        <v>6</v>
      </c>
      <c r="BL86" s="198"/>
      <c r="BM86" s="91"/>
      <c r="BN86" s="91"/>
      <c r="BO86" s="91"/>
      <c r="BP86" s="91"/>
      <c r="BQ86" s="91"/>
      <c r="BR86" s="91"/>
      <c r="BS86" s="91"/>
      <c r="BT86" s="91"/>
      <c r="BU86" s="91"/>
      <c r="BV86" s="39"/>
    </row>
    <row r="87" spans="2:74" ht="30" x14ac:dyDescent="0.25">
      <c r="B87" s="139">
        <v>74</v>
      </c>
      <c r="C87" s="142" t="s">
        <v>313</v>
      </c>
      <c r="D87" s="141" t="s">
        <v>185</v>
      </c>
      <c r="E87" s="164" t="s">
        <v>314</v>
      </c>
      <c r="F87" s="134"/>
      <c r="G87" s="150" t="s">
        <v>195</v>
      </c>
      <c r="H87" s="151" t="s">
        <v>95</v>
      </c>
      <c r="I87" s="152" t="str">
        <f t="shared" si="43"/>
        <v>R</v>
      </c>
      <c r="J87" s="154">
        <v>2</v>
      </c>
      <c r="K87" s="155"/>
      <c r="L87" s="155">
        <v>0</v>
      </c>
      <c r="M87" s="88"/>
      <c r="N87" s="40">
        <f t="shared" si="87"/>
        <v>9.90625</v>
      </c>
      <c r="O87" s="58">
        <f t="shared" si="94"/>
        <v>5</v>
      </c>
      <c r="P87" s="82" t="str">
        <f t="shared" si="88"/>
        <v>-</v>
      </c>
      <c r="Q87" s="129" t="s">
        <v>241</v>
      </c>
      <c r="R87" s="96"/>
      <c r="S87" s="103" t="s">
        <v>241</v>
      </c>
      <c r="T87" s="49">
        <f t="shared" si="92"/>
        <v>2.15625</v>
      </c>
      <c r="U87" s="36">
        <f t="shared" si="95"/>
        <v>0</v>
      </c>
      <c r="V87" s="36">
        <f t="shared" si="96"/>
        <v>5</v>
      </c>
      <c r="W87" s="36">
        <f t="shared" si="97"/>
        <v>6</v>
      </c>
      <c r="X87" s="36">
        <f t="shared" si="98"/>
        <v>5</v>
      </c>
      <c r="Y87" s="36">
        <f t="shared" si="99"/>
        <v>0</v>
      </c>
      <c r="Z87" s="36">
        <f t="shared" si="100"/>
        <v>0</v>
      </c>
      <c r="AA87" s="36">
        <f t="shared" si="101"/>
        <v>-1</v>
      </c>
      <c r="AB87" s="48">
        <f t="shared" si="102"/>
        <v>2.25</v>
      </c>
      <c r="AK87" s="156">
        <v>6</v>
      </c>
      <c r="AL87" s="157">
        <v>8</v>
      </c>
      <c r="AM87" s="157">
        <v>8</v>
      </c>
      <c r="AN87" s="157">
        <v>4</v>
      </c>
      <c r="AO87" s="157">
        <v>4</v>
      </c>
      <c r="AP87" s="157">
        <v>2</v>
      </c>
      <c r="AQ87" s="157">
        <v>1</v>
      </c>
      <c r="AR87" s="158">
        <v>3</v>
      </c>
      <c r="AS87" s="40">
        <f t="shared" si="90"/>
        <v>2.75</v>
      </c>
      <c r="AT87" s="169">
        <f t="shared" si="103"/>
        <v>0</v>
      </c>
      <c r="AU87" s="176">
        <v>3</v>
      </c>
      <c r="AV87" s="180">
        <f t="shared" si="104"/>
        <v>0</v>
      </c>
      <c r="AW87" s="184"/>
      <c r="AX87" s="36" t="str">
        <f t="shared" si="105"/>
        <v>YA</v>
      </c>
      <c r="AY87" s="189">
        <f t="shared" si="106"/>
        <v>0.26</v>
      </c>
      <c r="AZ87" s="10"/>
      <c r="BA87" s="193">
        <v>0.75</v>
      </c>
      <c r="BB87" s="86">
        <f t="shared" si="107"/>
        <v>9</v>
      </c>
      <c r="BC87" s="205">
        <v>9</v>
      </c>
      <c r="BD87" s="37"/>
      <c r="BE87" s="86">
        <f t="shared" si="91"/>
        <v>0</v>
      </c>
      <c r="BF87" s="38"/>
      <c r="BG87" s="211"/>
      <c r="BH87" s="163">
        <v>1</v>
      </c>
      <c r="BI87" s="162">
        <v>8</v>
      </c>
      <c r="BJ87" s="86">
        <f t="shared" si="93"/>
        <v>2</v>
      </c>
      <c r="BK87" s="170">
        <v>2</v>
      </c>
      <c r="BL87" s="198"/>
      <c r="BM87" s="91"/>
      <c r="BN87" s="91"/>
      <c r="BO87" s="91"/>
      <c r="BP87" s="91"/>
      <c r="BQ87" s="91"/>
      <c r="BR87" s="91"/>
      <c r="BS87" s="91"/>
      <c r="BT87" s="91"/>
      <c r="BU87" s="91"/>
      <c r="BV87" s="39"/>
    </row>
    <row r="88" spans="2:74" x14ac:dyDescent="0.25">
      <c r="B88" s="139">
        <v>75</v>
      </c>
      <c r="C88" s="142" t="s">
        <v>315</v>
      </c>
      <c r="D88" s="141" t="s">
        <v>186</v>
      </c>
      <c r="E88" s="164" t="s">
        <v>191</v>
      </c>
      <c r="F88" s="132"/>
      <c r="G88" s="150" t="s">
        <v>195</v>
      </c>
      <c r="H88" s="151" t="s">
        <v>94</v>
      </c>
      <c r="I88" s="152" t="str">
        <f t="shared" si="43"/>
        <v>R</v>
      </c>
      <c r="J88" s="154">
        <v>-1</v>
      </c>
      <c r="K88" s="155"/>
      <c r="L88" s="155">
        <v>0</v>
      </c>
      <c r="M88" s="88"/>
      <c r="N88" s="40">
        <f t="shared" si="87"/>
        <v>11.03125</v>
      </c>
      <c r="O88" s="58">
        <f t="shared" si="94"/>
        <v>5</v>
      </c>
      <c r="P88" s="58" t="str">
        <f t="shared" si="88"/>
        <v>-</v>
      </c>
      <c r="Q88" s="126" t="s">
        <v>241</v>
      </c>
      <c r="R88" s="92"/>
      <c r="S88" s="103" t="s">
        <v>241</v>
      </c>
      <c r="T88" s="49">
        <f t="shared" si="92"/>
        <v>2.78125</v>
      </c>
      <c r="U88" s="36">
        <f>AK88-$AC$13</f>
        <v>-1</v>
      </c>
      <c r="V88" s="36">
        <f>AL88-$AD$13</f>
        <v>5</v>
      </c>
      <c r="W88" s="36">
        <f>AM88-$AE$13</f>
        <v>0</v>
      </c>
      <c r="X88" s="36">
        <f>$AF$13-AN88</f>
        <v>3</v>
      </c>
      <c r="Y88" s="36">
        <f>AO88-$AG$13</f>
        <v>4</v>
      </c>
      <c r="Z88" s="36">
        <f>AP88-$AH$13</f>
        <v>0</v>
      </c>
      <c r="AA88" s="36">
        <f>AQ88-$AH$13</f>
        <v>4</v>
      </c>
      <c r="AB88" s="48">
        <f>AR88-$AJ$13</f>
        <v>7.25</v>
      </c>
      <c r="AC88" s="24"/>
      <c r="AD88" s="24"/>
      <c r="AE88" s="24"/>
      <c r="AF88" s="24"/>
      <c r="AG88" s="24"/>
      <c r="AH88" s="24"/>
      <c r="AI88" s="24"/>
      <c r="AJ88" s="24"/>
      <c r="AK88" s="156">
        <v>5</v>
      </c>
      <c r="AL88" s="157">
        <v>8</v>
      </c>
      <c r="AM88" s="157">
        <v>2</v>
      </c>
      <c r="AN88" s="157">
        <v>6</v>
      </c>
      <c r="AO88" s="157">
        <v>8</v>
      </c>
      <c r="AP88" s="157">
        <v>2</v>
      </c>
      <c r="AQ88" s="157">
        <v>6</v>
      </c>
      <c r="AR88" s="158">
        <v>8</v>
      </c>
      <c r="AS88" s="40">
        <f t="shared" si="90"/>
        <v>3.25</v>
      </c>
      <c r="AT88" s="169">
        <f>AU88*AV88</f>
        <v>0</v>
      </c>
      <c r="AU88" s="176">
        <v>6</v>
      </c>
      <c r="AV88" s="180">
        <f>IF(AW88=1,1,IF(AW88=2,0.9,IF(AW88=3,0.8,IF(AW88=4,0.7,IF(AW88=5,0.6,IF(AW88=6,0.5,IF(AW88=7,0.4,IF(AW88=8,0.3,IF(AW88=9,0.2,IF(AW88=10,0.1,IF(AW88=0,0,0)))))))))))</f>
        <v>0</v>
      </c>
      <c r="AW88" s="184"/>
      <c r="AX88" s="36" t="str">
        <f>IF($AZ$13&gt;=BA88,"YA","TIDAK")</f>
        <v>YA</v>
      </c>
      <c r="AY88" s="189">
        <f>IF($AZ$13-BA88&gt;0,$AZ$13-BA88,"0")</f>
        <v>0.76</v>
      </c>
      <c r="AZ88" s="10"/>
      <c r="BA88" s="193">
        <v>0.25</v>
      </c>
      <c r="BB88" s="86">
        <f>BC88+BD88</f>
        <v>8</v>
      </c>
      <c r="BC88" s="205">
        <v>8</v>
      </c>
      <c r="BD88" s="37"/>
      <c r="BE88" s="86">
        <f t="shared" si="91"/>
        <v>0</v>
      </c>
      <c r="BF88" s="47"/>
      <c r="BG88" s="214"/>
      <c r="BH88" s="163"/>
      <c r="BI88" s="162"/>
      <c r="BJ88" s="86">
        <f t="shared" si="93"/>
        <v>5</v>
      </c>
      <c r="BK88" s="170">
        <v>5</v>
      </c>
      <c r="BL88" s="198"/>
      <c r="BM88" s="91"/>
      <c r="BN88" s="91"/>
      <c r="BO88" s="91"/>
      <c r="BP88" s="91"/>
      <c r="BQ88" s="91"/>
      <c r="BR88" s="91"/>
      <c r="BS88" s="91"/>
      <c r="BT88" s="91"/>
      <c r="BU88" s="91"/>
      <c r="BV88" s="39"/>
    </row>
    <row r="89" spans="2:74" x14ac:dyDescent="0.25">
      <c r="B89" s="139">
        <v>76</v>
      </c>
      <c r="C89" s="140" t="s">
        <v>92</v>
      </c>
      <c r="D89" s="141" t="s">
        <v>187</v>
      </c>
      <c r="E89" s="164" t="s">
        <v>24</v>
      </c>
      <c r="F89" s="134"/>
      <c r="G89" s="150" t="s">
        <v>195</v>
      </c>
      <c r="H89" s="151" t="s">
        <v>95</v>
      </c>
      <c r="I89" s="152" t="str">
        <f t="shared" si="43"/>
        <v>R</v>
      </c>
      <c r="J89" s="154">
        <v>-1</v>
      </c>
      <c r="K89" s="155"/>
      <c r="L89" s="155">
        <v>3</v>
      </c>
      <c r="M89" s="88"/>
      <c r="N89" s="40">
        <f t="shared" si="87"/>
        <v>10.78125</v>
      </c>
      <c r="O89" s="58">
        <f t="shared" si="94"/>
        <v>5</v>
      </c>
      <c r="P89" s="82" t="str">
        <f t="shared" si="88"/>
        <v>-</v>
      </c>
      <c r="Q89" s="129" t="s">
        <v>241</v>
      </c>
      <c r="R89" s="96"/>
      <c r="S89" s="103" t="s">
        <v>241</v>
      </c>
      <c r="T89" s="49">
        <f t="shared" si="92"/>
        <v>2.28125</v>
      </c>
      <c r="U89" s="36">
        <f t="shared" si="95"/>
        <v>0</v>
      </c>
      <c r="V89" s="36">
        <f t="shared" si="96"/>
        <v>5</v>
      </c>
      <c r="W89" s="36">
        <f t="shared" si="97"/>
        <v>6</v>
      </c>
      <c r="X89" s="36">
        <f t="shared" si="98"/>
        <v>6</v>
      </c>
      <c r="Y89" s="36">
        <f t="shared" si="99"/>
        <v>0</v>
      </c>
      <c r="Z89" s="36">
        <f t="shared" si="100"/>
        <v>0</v>
      </c>
      <c r="AA89" s="36">
        <f t="shared" si="101"/>
        <v>-1</v>
      </c>
      <c r="AB89" s="48">
        <f t="shared" si="102"/>
        <v>2.25</v>
      </c>
      <c r="AK89" s="156">
        <v>6</v>
      </c>
      <c r="AL89" s="157">
        <v>8</v>
      </c>
      <c r="AM89" s="157">
        <v>8</v>
      </c>
      <c r="AN89" s="157">
        <v>3</v>
      </c>
      <c r="AO89" s="157">
        <v>4</v>
      </c>
      <c r="AP89" s="157">
        <v>2</v>
      </c>
      <c r="AQ89" s="157">
        <v>1</v>
      </c>
      <c r="AR89" s="158">
        <v>3</v>
      </c>
      <c r="AS89" s="40">
        <f t="shared" si="90"/>
        <v>3.5</v>
      </c>
      <c r="AT89" s="169">
        <f t="shared" si="103"/>
        <v>0</v>
      </c>
      <c r="AU89" s="176">
        <v>6</v>
      </c>
      <c r="AV89" s="180">
        <f t="shared" si="104"/>
        <v>0</v>
      </c>
      <c r="AW89" s="184"/>
      <c r="AX89" s="36" t="str">
        <f t="shared" si="105"/>
        <v>YA</v>
      </c>
      <c r="AY89" s="189">
        <f t="shared" si="106"/>
        <v>0.26</v>
      </c>
      <c r="AZ89" s="10"/>
      <c r="BA89" s="193">
        <v>0.75</v>
      </c>
      <c r="BB89" s="86">
        <f t="shared" si="107"/>
        <v>8</v>
      </c>
      <c r="BC89" s="205">
        <v>8</v>
      </c>
      <c r="BD89" s="37"/>
      <c r="BE89" s="86">
        <f t="shared" si="91"/>
        <v>0</v>
      </c>
      <c r="BF89" s="38"/>
      <c r="BG89" s="211"/>
      <c r="BH89" s="163"/>
      <c r="BI89" s="162"/>
      <c r="BJ89" s="86">
        <f t="shared" si="93"/>
        <v>6</v>
      </c>
      <c r="BK89" s="170">
        <v>6</v>
      </c>
      <c r="BL89" s="198"/>
      <c r="BM89" s="91"/>
      <c r="BN89" s="91"/>
      <c r="BO89" s="91"/>
      <c r="BP89" s="91"/>
      <c r="BQ89" s="91"/>
      <c r="BR89" s="91"/>
      <c r="BS89" s="91"/>
      <c r="BT89" s="91"/>
      <c r="BU89" s="91"/>
      <c r="BV89" s="39"/>
    </row>
    <row r="90" spans="2:74" x14ac:dyDescent="0.25">
      <c r="B90" s="139">
        <v>77</v>
      </c>
      <c r="C90" s="140" t="s">
        <v>92</v>
      </c>
      <c r="D90" s="141" t="s">
        <v>188</v>
      </c>
      <c r="E90" s="164" t="s">
        <v>29</v>
      </c>
      <c r="F90" s="134"/>
      <c r="G90" s="150" t="s">
        <v>195</v>
      </c>
      <c r="H90" s="151" t="s">
        <v>95</v>
      </c>
      <c r="I90" s="152" t="str">
        <f t="shared" si="43"/>
        <v>R</v>
      </c>
      <c r="J90" s="154">
        <v>-1</v>
      </c>
      <c r="K90" s="155"/>
      <c r="L90" s="155">
        <v>0</v>
      </c>
      <c r="M90" s="88"/>
      <c r="N90" s="40">
        <f t="shared" si="87"/>
        <v>10.78125</v>
      </c>
      <c r="O90" s="58">
        <f t="shared" si="94"/>
        <v>5</v>
      </c>
      <c r="P90" s="58" t="str">
        <f t="shared" si="88"/>
        <v>-</v>
      </c>
      <c r="Q90" s="128" t="s">
        <v>241</v>
      </c>
      <c r="R90" s="94"/>
      <c r="S90" s="103" t="s">
        <v>241</v>
      </c>
      <c r="T90" s="49">
        <f t="shared" si="92"/>
        <v>2.28125</v>
      </c>
      <c r="U90" s="36">
        <f>AK90-$AC$13</f>
        <v>0</v>
      </c>
      <c r="V90" s="36">
        <f>AL90-$AD$13</f>
        <v>5</v>
      </c>
      <c r="W90" s="36">
        <f>AM90-$AE$13</f>
        <v>6</v>
      </c>
      <c r="X90" s="36">
        <f>$AF$13-AN90</f>
        <v>6</v>
      </c>
      <c r="Y90" s="36">
        <f>AO90-$AG$13</f>
        <v>0</v>
      </c>
      <c r="Z90" s="36">
        <f>AP90-$AH$13</f>
        <v>0</v>
      </c>
      <c r="AA90" s="36">
        <f>AQ90-$AH$13</f>
        <v>-1</v>
      </c>
      <c r="AB90" s="48">
        <f>AR90-$AJ$13</f>
        <v>2.25</v>
      </c>
      <c r="AK90" s="156">
        <v>6</v>
      </c>
      <c r="AL90" s="157">
        <v>8</v>
      </c>
      <c r="AM90" s="157">
        <v>8</v>
      </c>
      <c r="AN90" s="157">
        <v>3</v>
      </c>
      <c r="AO90" s="157">
        <v>4</v>
      </c>
      <c r="AP90" s="157">
        <v>2</v>
      </c>
      <c r="AQ90" s="157">
        <v>1</v>
      </c>
      <c r="AR90" s="158">
        <v>3</v>
      </c>
      <c r="AS90" s="40">
        <f t="shared" si="90"/>
        <v>3.5</v>
      </c>
      <c r="AT90" s="169">
        <f>AU90*AV90</f>
        <v>0</v>
      </c>
      <c r="AU90" s="176">
        <v>8</v>
      </c>
      <c r="AV90" s="180">
        <f>IF(AW90=1,1,IF(AW90=2,0.9,IF(AW90=3,0.8,IF(AW90=4,0.7,IF(AW90=5,0.6,IF(AW90=6,0.5,IF(AW90=7,0.4,IF(AW90=8,0.3,IF(AW90=9,0.2,IF(AW90=10,0.1,IF(AW90=0,0,0)))))))))))</f>
        <v>0</v>
      </c>
      <c r="AW90" s="184"/>
      <c r="AX90" s="36" t="str">
        <f>IF($AZ$13&gt;=BA90,"YA","TIDAK")</f>
        <v>YA</v>
      </c>
      <c r="AY90" s="189">
        <f>IF($AZ$13-BA90&gt;0,$AZ$13-BA90,"0")</f>
        <v>0.76</v>
      </c>
      <c r="AZ90" s="10"/>
      <c r="BA90" s="193">
        <v>0.25</v>
      </c>
      <c r="BB90" s="86">
        <f>BC90+BD90</f>
        <v>6</v>
      </c>
      <c r="BC90" s="205">
        <v>6</v>
      </c>
      <c r="BD90" s="37"/>
      <c r="BE90" s="86">
        <f t="shared" si="91"/>
        <v>0</v>
      </c>
      <c r="BF90" s="38"/>
      <c r="BG90" s="211"/>
      <c r="BH90" s="163"/>
      <c r="BI90" s="162"/>
      <c r="BJ90" s="86">
        <f t="shared" si="93"/>
        <v>8</v>
      </c>
      <c r="BK90" s="170">
        <v>8</v>
      </c>
      <c r="BL90" s="198"/>
      <c r="BM90" s="91"/>
      <c r="BN90" s="91"/>
      <c r="BO90" s="91"/>
      <c r="BP90" s="91"/>
      <c r="BQ90" s="91"/>
      <c r="BR90" s="91"/>
      <c r="BS90" s="91"/>
      <c r="BT90" s="91"/>
      <c r="BU90" s="91"/>
      <c r="BV90" s="39"/>
    </row>
    <row r="91" spans="2:74" x14ac:dyDescent="0.25">
      <c r="B91" s="139">
        <v>78</v>
      </c>
      <c r="C91" s="140" t="s">
        <v>92</v>
      </c>
      <c r="D91" s="141" t="s">
        <v>189</v>
      </c>
      <c r="E91" s="164" t="s">
        <v>316</v>
      </c>
      <c r="F91" s="134"/>
      <c r="G91" s="150" t="s">
        <v>195</v>
      </c>
      <c r="H91" s="151" t="s">
        <v>95</v>
      </c>
      <c r="I91" s="152" t="str">
        <f t="shared" si="43"/>
        <v>R</v>
      </c>
      <c r="J91" s="154">
        <v>3</v>
      </c>
      <c r="K91" s="155"/>
      <c r="L91" s="155">
        <v>0</v>
      </c>
      <c r="M91" s="88"/>
      <c r="N91" s="40">
        <f t="shared" si="87"/>
        <v>12.28125</v>
      </c>
      <c r="O91" s="58">
        <f t="shared" si="94"/>
        <v>5</v>
      </c>
      <c r="P91" s="58" t="str">
        <f t="shared" si="88"/>
        <v>-</v>
      </c>
      <c r="Q91" s="128" t="s">
        <v>241</v>
      </c>
      <c r="R91" s="94"/>
      <c r="S91" s="103" t="s">
        <v>241</v>
      </c>
      <c r="T91" s="49">
        <f t="shared" si="92"/>
        <v>4.53125</v>
      </c>
      <c r="U91" s="36">
        <f t="shared" si="95"/>
        <v>3</v>
      </c>
      <c r="V91" s="36">
        <f t="shared" si="96"/>
        <v>5</v>
      </c>
      <c r="W91" s="36">
        <f t="shared" si="97"/>
        <v>7</v>
      </c>
      <c r="X91" s="36">
        <f t="shared" si="98"/>
        <v>2</v>
      </c>
      <c r="Y91" s="36">
        <f t="shared" si="99"/>
        <v>5</v>
      </c>
      <c r="Z91" s="36">
        <f t="shared" si="100"/>
        <v>7</v>
      </c>
      <c r="AA91" s="36">
        <f t="shared" si="101"/>
        <v>3</v>
      </c>
      <c r="AB91" s="48">
        <f t="shared" si="102"/>
        <v>4.25</v>
      </c>
      <c r="AK91" s="156">
        <v>9</v>
      </c>
      <c r="AL91" s="157">
        <v>8</v>
      </c>
      <c r="AM91" s="157">
        <v>9</v>
      </c>
      <c r="AN91" s="157">
        <v>7</v>
      </c>
      <c r="AO91" s="157">
        <v>9</v>
      </c>
      <c r="AP91" s="157">
        <v>9</v>
      </c>
      <c r="AQ91" s="157">
        <v>5</v>
      </c>
      <c r="AR91" s="158">
        <v>5</v>
      </c>
      <c r="AS91" s="40">
        <f t="shared" si="90"/>
        <v>2.75</v>
      </c>
      <c r="AT91" s="169">
        <f t="shared" si="103"/>
        <v>0</v>
      </c>
      <c r="AU91" s="176">
        <v>6</v>
      </c>
      <c r="AV91" s="180">
        <f t="shared" si="104"/>
        <v>0</v>
      </c>
      <c r="AW91" s="184"/>
      <c r="AX91" s="36" t="str">
        <f t="shared" si="105"/>
        <v>YA</v>
      </c>
      <c r="AY91" s="189">
        <f t="shared" si="106"/>
        <v>0.76</v>
      </c>
      <c r="AZ91" s="10"/>
      <c r="BA91" s="193">
        <v>0.25</v>
      </c>
      <c r="BB91" s="86">
        <f t="shared" si="107"/>
        <v>6</v>
      </c>
      <c r="BC91" s="205">
        <v>6</v>
      </c>
      <c r="BD91" s="37"/>
      <c r="BE91" s="86">
        <f t="shared" si="91"/>
        <v>0</v>
      </c>
      <c r="BF91" s="38"/>
      <c r="BG91" s="211"/>
      <c r="BH91" s="163"/>
      <c r="BI91" s="162"/>
      <c r="BJ91" s="86">
        <f t="shared" si="93"/>
        <v>5</v>
      </c>
      <c r="BK91" s="170">
        <v>5</v>
      </c>
      <c r="BL91" s="198"/>
      <c r="BM91" s="91"/>
      <c r="BN91" s="91"/>
      <c r="BO91" s="91"/>
      <c r="BP91" s="91"/>
      <c r="BQ91" s="91"/>
      <c r="BR91" s="91"/>
      <c r="BS91" s="91"/>
      <c r="BT91" s="91"/>
      <c r="BU91" s="91"/>
      <c r="BV91" s="39"/>
    </row>
    <row r="92" spans="2:74" ht="15.75" thickBot="1" x14ac:dyDescent="0.3">
      <c r="B92" s="147">
        <v>79</v>
      </c>
      <c r="C92" s="148" t="s">
        <v>92</v>
      </c>
      <c r="D92" s="149" t="s">
        <v>190</v>
      </c>
      <c r="E92" s="164" t="s">
        <v>317</v>
      </c>
      <c r="F92" s="134"/>
      <c r="G92" s="150" t="s">
        <v>324</v>
      </c>
      <c r="H92" s="151" t="s">
        <v>94</v>
      </c>
      <c r="I92" s="152" t="str">
        <f t="shared" si="43"/>
        <v>R</v>
      </c>
      <c r="J92" s="154">
        <v>3</v>
      </c>
      <c r="K92" s="155"/>
      <c r="L92" s="155">
        <v>0</v>
      </c>
      <c r="N92" s="40">
        <f t="shared" si="87"/>
        <v>11.15625</v>
      </c>
      <c r="O92" s="58">
        <f t="shared" si="94"/>
        <v>5</v>
      </c>
      <c r="P92" s="58" t="str">
        <f t="shared" si="88"/>
        <v>-</v>
      </c>
      <c r="Q92" s="128" t="s">
        <v>241</v>
      </c>
      <c r="R92" s="94"/>
      <c r="S92" s="103" t="s">
        <v>241</v>
      </c>
      <c r="T92" s="49">
        <f t="shared" si="92"/>
        <v>2.15625</v>
      </c>
      <c r="U92" s="36">
        <f>AK92-$AC$13</f>
        <v>-1</v>
      </c>
      <c r="V92" s="36">
        <f>AL92-$AD$13</f>
        <v>2</v>
      </c>
      <c r="W92" s="36">
        <f>AM92-$AE$13</f>
        <v>3</v>
      </c>
      <c r="X92" s="36">
        <f>$AF$13-AN92</f>
        <v>3</v>
      </c>
      <c r="Y92" s="36">
        <f>AO92-$AG$13</f>
        <v>1</v>
      </c>
      <c r="Z92" s="36">
        <f>AP92-$AH$13</f>
        <v>3</v>
      </c>
      <c r="AA92" s="36">
        <f>AQ92-$AH$13</f>
        <v>1</v>
      </c>
      <c r="AB92" s="48">
        <f>AR92-$AJ$13</f>
        <v>5.25</v>
      </c>
      <c r="AK92" s="159">
        <v>5</v>
      </c>
      <c r="AL92" s="160">
        <v>5</v>
      </c>
      <c r="AM92" s="160">
        <v>5</v>
      </c>
      <c r="AN92" s="160">
        <v>6</v>
      </c>
      <c r="AO92" s="160">
        <v>5</v>
      </c>
      <c r="AP92" s="160">
        <v>5</v>
      </c>
      <c r="AQ92" s="160">
        <v>3</v>
      </c>
      <c r="AR92" s="161">
        <v>6</v>
      </c>
      <c r="AS92" s="196">
        <f t="shared" si="90"/>
        <v>4</v>
      </c>
      <c r="AT92" s="197">
        <f>AU92*AV92</f>
        <v>0</v>
      </c>
      <c r="AU92" s="177">
        <v>5</v>
      </c>
      <c r="AV92" s="183">
        <f>IF(AW92=1,1,IF(AW92=2,0.9,IF(AW92=3,0.8,IF(AW92=4,0.7,IF(AW92=5,0.6,IF(AW92=6,0.5,IF(AW92=7,0.4,IF(AW92=8,0.3,IF(AW92=9,0.2,IF(AW92=10,0.1,IF(AW92=0,0,0)))))))))))</f>
        <v>0</v>
      </c>
      <c r="AW92" s="185"/>
      <c r="AX92" s="186" t="str">
        <f>IF($AZ$13&gt;=BA92,"YA","TIDAK")</f>
        <v>YA</v>
      </c>
      <c r="AY92" s="190">
        <f>IF($AZ$13-BA92&gt;0,$AZ$13-BA92,"0")</f>
        <v>0.26</v>
      </c>
      <c r="AZ92" s="10"/>
      <c r="BA92" s="168">
        <v>0.75</v>
      </c>
      <c r="BB92" s="207">
        <f>BC92+BD92</f>
        <v>13</v>
      </c>
      <c r="BC92" s="177">
        <v>5</v>
      </c>
      <c r="BD92" s="206">
        <v>8</v>
      </c>
      <c r="BE92" s="207">
        <f t="shared" si="91"/>
        <v>0</v>
      </c>
      <c r="BF92" s="208"/>
      <c r="BG92" s="216"/>
      <c r="BH92" s="209"/>
      <c r="BI92" s="210"/>
      <c r="BJ92" s="207">
        <f t="shared" si="93"/>
        <v>3</v>
      </c>
      <c r="BK92" s="171">
        <v>3</v>
      </c>
      <c r="BL92" s="200"/>
      <c r="BM92" s="201"/>
      <c r="BN92" s="201"/>
      <c r="BO92" s="201"/>
      <c r="BP92" s="201"/>
      <c r="BQ92" s="201"/>
      <c r="BR92" s="201"/>
      <c r="BS92" s="201"/>
      <c r="BT92" s="201"/>
      <c r="BU92" s="201"/>
      <c r="BV92" s="202"/>
    </row>
    <row r="93" spans="2:74" x14ac:dyDescent="0.25">
      <c r="N93" s="75"/>
      <c r="O93" s="76"/>
      <c r="P93" s="77"/>
      <c r="Q93" s="74"/>
      <c r="AZ93" s="10"/>
    </row>
    <row r="94" spans="2:74" x14ac:dyDescent="0.25">
      <c r="N94" s="73"/>
      <c r="O94" s="73"/>
      <c r="P94" s="73"/>
      <c r="Q94" s="74"/>
      <c r="AZ94" s="10"/>
    </row>
    <row r="95" spans="2:74" x14ac:dyDescent="0.25">
      <c r="N95" s="75"/>
      <c r="O95" s="76"/>
      <c r="P95" s="77"/>
      <c r="Q95" s="74"/>
      <c r="AZ95" s="10"/>
    </row>
    <row r="96" spans="2:74" x14ac:dyDescent="0.25">
      <c r="N96" s="75"/>
      <c r="O96" s="76"/>
      <c r="P96" s="77"/>
      <c r="Q96" s="74"/>
    </row>
    <row r="97" spans="14:17" x14ac:dyDescent="0.25">
      <c r="N97" s="75"/>
      <c r="O97" s="76"/>
      <c r="P97" s="77"/>
      <c r="Q97" s="74"/>
    </row>
    <row r="98" spans="14:17" x14ac:dyDescent="0.25">
      <c r="N98" s="75"/>
      <c r="O98" s="76"/>
      <c r="P98" s="77"/>
      <c r="Q98" s="74"/>
    </row>
    <row r="99" spans="14:17" x14ac:dyDescent="0.25">
      <c r="N99" s="75"/>
      <c r="O99" s="76"/>
      <c r="P99" s="77"/>
      <c r="Q99" s="74"/>
    </row>
    <row r="100" spans="14:17" x14ac:dyDescent="0.25">
      <c r="N100" s="75"/>
      <c r="O100" s="76"/>
      <c r="P100" s="77"/>
      <c r="Q100" s="74"/>
    </row>
    <row r="101" spans="14:17" x14ac:dyDescent="0.25">
      <c r="N101" s="75"/>
      <c r="O101" s="76"/>
      <c r="P101" s="77"/>
      <c r="Q101" s="74"/>
    </row>
    <row r="102" spans="14:17" x14ac:dyDescent="0.25">
      <c r="N102" s="73"/>
      <c r="O102" s="73"/>
      <c r="P102" s="73"/>
      <c r="Q102" s="74"/>
    </row>
    <row r="103" spans="14:17" x14ac:dyDescent="0.25">
      <c r="N103" s="75"/>
      <c r="O103" s="76"/>
      <c r="P103" s="77"/>
      <c r="Q103" s="74"/>
    </row>
    <row r="104" spans="14:17" x14ac:dyDescent="0.25">
      <c r="N104" s="75"/>
      <c r="O104" s="76"/>
      <c r="P104" s="77"/>
      <c r="Q104" s="74"/>
    </row>
    <row r="105" spans="14:17" x14ac:dyDescent="0.25">
      <c r="N105" s="75"/>
      <c r="O105" s="76"/>
      <c r="P105" s="77"/>
      <c r="Q105" s="74"/>
    </row>
    <row r="106" spans="14:17" x14ac:dyDescent="0.25">
      <c r="N106" s="75"/>
      <c r="O106" s="76"/>
      <c r="P106" s="77"/>
      <c r="Q106" s="74"/>
    </row>
    <row r="107" spans="14:17" x14ac:dyDescent="0.25">
      <c r="N107" s="75"/>
      <c r="O107" s="76"/>
      <c r="P107" s="77"/>
      <c r="Q107" s="74"/>
    </row>
    <row r="108" spans="14:17" x14ac:dyDescent="0.25">
      <c r="N108" s="75"/>
      <c r="O108" s="76"/>
      <c r="P108" s="77"/>
      <c r="Q108" s="74"/>
    </row>
    <row r="109" spans="14:17" x14ac:dyDescent="0.25">
      <c r="N109" s="75"/>
      <c r="O109" s="76"/>
      <c r="P109" s="77"/>
      <c r="Q109" s="74"/>
    </row>
    <row r="110" spans="14:17" x14ac:dyDescent="0.25">
      <c r="N110" s="75"/>
      <c r="O110" s="76"/>
      <c r="P110" s="77"/>
      <c r="Q110" s="74"/>
    </row>
    <row r="111" spans="14:17" x14ac:dyDescent="0.25">
      <c r="N111" s="75"/>
      <c r="O111" s="76"/>
      <c r="P111" s="77"/>
      <c r="Q111" s="74"/>
    </row>
    <row r="112" spans="14:17" x14ac:dyDescent="0.25">
      <c r="N112" s="75"/>
      <c r="O112" s="76"/>
      <c r="P112" s="77"/>
      <c r="Q112" s="74"/>
    </row>
    <row r="113" spans="14:17" x14ac:dyDescent="0.25">
      <c r="N113" s="75"/>
      <c r="O113" s="76"/>
      <c r="P113" s="77"/>
      <c r="Q113" s="74"/>
    </row>
    <row r="114" spans="14:17" x14ac:dyDescent="0.25">
      <c r="N114" s="75"/>
      <c r="O114" s="76"/>
      <c r="P114" s="77"/>
      <c r="Q114" s="74"/>
    </row>
    <row r="115" spans="14:17" x14ac:dyDescent="0.25">
      <c r="N115" s="75"/>
      <c r="O115" s="76"/>
      <c r="P115" s="77"/>
      <c r="Q115" s="74"/>
    </row>
    <row r="116" spans="14:17" x14ac:dyDescent="0.25">
      <c r="N116" s="75"/>
      <c r="O116" s="76"/>
      <c r="P116" s="77"/>
      <c r="Q116" s="74"/>
    </row>
    <row r="117" spans="14:17" x14ac:dyDescent="0.25">
      <c r="N117" s="75"/>
      <c r="O117" s="76"/>
      <c r="P117" s="77"/>
      <c r="Q117" s="74"/>
    </row>
    <row r="118" spans="14:17" x14ac:dyDescent="0.25">
      <c r="N118" s="75"/>
      <c r="O118" s="76"/>
      <c r="P118" s="77"/>
      <c r="Q118" s="74"/>
    </row>
    <row r="119" spans="14:17" x14ac:dyDescent="0.25">
      <c r="N119" s="75"/>
      <c r="O119" s="76"/>
      <c r="P119" s="77"/>
      <c r="Q119" s="74"/>
    </row>
    <row r="120" spans="14:17" x14ac:dyDescent="0.25">
      <c r="N120" s="75"/>
      <c r="O120" s="76"/>
      <c r="P120" s="77"/>
      <c r="Q120" s="74"/>
    </row>
    <row r="121" spans="14:17" x14ac:dyDescent="0.25">
      <c r="N121" s="75"/>
      <c r="O121" s="76"/>
      <c r="P121" s="77"/>
      <c r="Q121" s="74"/>
    </row>
    <row r="122" spans="14:17" x14ac:dyDescent="0.25">
      <c r="N122" s="75"/>
      <c r="O122" s="76"/>
      <c r="P122" s="77"/>
      <c r="Q122" s="74"/>
    </row>
    <row r="123" spans="14:17" x14ac:dyDescent="0.25">
      <c r="N123" s="75"/>
      <c r="O123" s="76"/>
      <c r="P123" s="77"/>
      <c r="Q123" s="74"/>
    </row>
    <row r="124" spans="14:17" x14ac:dyDescent="0.25">
      <c r="N124" s="75"/>
      <c r="O124" s="76"/>
      <c r="P124" s="77"/>
      <c r="Q124" s="74"/>
    </row>
    <row r="125" spans="14:17" x14ac:dyDescent="0.25">
      <c r="N125" s="75"/>
      <c r="O125" s="76"/>
      <c r="P125" s="77"/>
      <c r="Q125" s="74"/>
    </row>
    <row r="126" spans="14:17" x14ac:dyDescent="0.25">
      <c r="N126" s="75"/>
      <c r="O126" s="76"/>
      <c r="P126" s="77"/>
      <c r="Q126" s="74"/>
    </row>
    <row r="127" spans="14:17" x14ac:dyDescent="0.25">
      <c r="N127" s="75"/>
      <c r="O127" s="76"/>
      <c r="P127" s="77"/>
      <c r="Q127" s="74"/>
    </row>
    <row r="128" spans="14:17" x14ac:dyDescent="0.25">
      <c r="N128" s="75"/>
      <c r="O128" s="76"/>
      <c r="P128" s="77"/>
      <c r="Q128" s="74"/>
    </row>
    <row r="129" spans="5:48" x14ac:dyDescent="0.25">
      <c r="N129" s="75"/>
      <c r="O129" s="76"/>
      <c r="P129" s="77"/>
      <c r="Q129" s="74"/>
    </row>
    <row r="130" spans="5:48" x14ac:dyDescent="0.25">
      <c r="N130" s="75"/>
      <c r="O130" s="76"/>
      <c r="P130" s="77"/>
      <c r="Q130" s="74"/>
    </row>
    <row r="131" spans="5:48" x14ac:dyDescent="0.25">
      <c r="N131" s="77"/>
      <c r="O131" s="77"/>
      <c r="P131" s="77"/>
      <c r="Q131" s="74"/>
    </row>
    <row r="132" spans="5:48" x14ac:dyDescent="0.25">
      <c r="E132" s="166"/>
      <c r="F132" s="1"/>
      <c r="G132" s="1"/>
      <c r="H132" s="1"/>
      <c r="I132" s="1"/>
      <c r="J132" s="1"/>
      <c r="K132" s="1"/>
      <c r="L132" s="1"/>
      <c r="N132" s="75"/>
      <c r="O132" s="76"/>
      <c r="P132" s="77"/>
      <c r="Q132" s="24"/>
      <c r="AQ132" s="10"/>
      <c r="AS132" s="10"/>
      <c r="AT132" s="10"/>
      <c r="AU132" s="23"/>
      <c r="AV132" s="1"/>
    </row>
    <row r="133" spans="5:48" x14ac:dyDescent="0.25">
      <c r="N133" s="75"/>
      <c r="O133" s="76"/>
      <c r="P133" s="77"/>
      <c r="Q133" s="74"/>
    </row>
    <row r="134" spans="5:48" x14ac:dyDescent="0.25">
      <c r="N134" s="75"/>
      <c r="O134" s="76"/>
      <c r="P134" s="77"/>
      <c r="Q134" s="74"/>
    </row>
    <row r="135" spans="5:48" x14ac:dyDescent="0.25">
      <c r="N135" s="75"/>
      <c r="O135" s="76"/>
      <c r="P135" s="77"/>
      <c r="Q135" s="74"/>
    </row>
    <row r="136" spans="5:48" x14ac:dyDescent="0.25">
      <c r="N136" s="75"/>
      <c r="O136" s="76"/>
      <c r="P136" s="77"/>
      <c r="Q136" s="74"/>
    </row>
    <row r="137" spans="5:48" x14ac:dyDescent="0.25">
      <c r="N137" s="75"/>
      <c r="O137" s="76"/>
      <c r="P137" s="77"/>
      <c r="Q137" s="74"/>
    </row>
    <row r="138" spans="5:48" x14ac:dyDescent="0.25">
      <c r="N138" s="75"/>
      <c r="O138" s="76"/>
      <c r="P138" s="77"/>
      <c r="Q138" s="74"/>
    </row>
    <row r="139" spans="5:48" x14ac:dyDescent="0.25">
      <c r="N139" s="75"/>
      <c r="O139" s="76"/>
      <c r="P139" s="77"/>
      <c r="Q139" s="74"/>
    </row>
    <row r="140" spans="5:48" x14ac:dyDescent="0.25">
      <c r="N140" s="75"/>
      <c r="O140" s="76"/>
      <c r="P140" s="77"/>
      <c r="Q140" s="74"/>
    </row>
    <row r="141" spans="5:48" x14ac:dyDescent="0.25">
      <c r="N141" s="75"/>
      <c r="O141" s="76"/>
      <c r="P141" s="77"/>
      <c r="Q141" s="74"/>
    </row>
    <row r="142" spans="5:48" x14ac:dyDescent="0.25">
      <c r="N142" s="75"/>
      <c r="O142" s="76"/>
      <c r="P142" s="77"/>
      <c r="Q142" s="74"/>
    </row>
    <row r="143" spans="5:48" x14ac:dyDescent="0.25">
      <c r="N143" s="75"/>
      <c r="O143" s="76"/>
      <c r="P143" s="77"/>
      <c r="Q143" s="74"/>
    </row>
    <row r="144" spans="5:48" x14ac:dyDescent="0.25">
      <c r="N144" s="75"/>
      <c r="O144" s="76"/>
      <c r="P144" s="77"/>
      <c r="Q144" s="74"/>
    </row>
    <row r="145" spans="14:17" x14ac:dyDescent="0.25">
      <c r="N145" s="75"/>
      <c r="O145" s="76"/>
      <c r="P145" s="77"/>
      <c r="Q145" s="74"/>
    </row>
    <row r="146" spans="14:17" x14ac:dyDescent="0.25">
      <c r="N146" s="75"/>
      <c r="O146" s="76"/>
      <c r="P146" s="77"/>
      <c r="Q146" s="74"/>
    </row>
    <row r="147" spans="14:17" x14ac:dyDescent="0.25">
      <c r="N147" s="75"/>
      <c r="O147" s="76"/>
      <c r="P147" s="77"/>
      <c r="Q147" s="74"/>
    </row>
    <row r="148" spans="14:17" x14ac:dyDescent="0.25">
      <c r="N148" s="78"/>
      <c r="O148" s="76"/>
      <c r="P148" s="24"/>
      <c r="Q148" s="74"/>
    </row>
    <row r="149" spans="14:17" x14ac:dyDescent="0.25">
      <c r="N149" s="78"/>
      <c r="O149" s="76"/>
      <c r="P149" s="24"/>
      <c r="Q149" s="74"/>
    </row>
    <row r="150" spans="14:17" x14ac:dyDescent="0.25">
      <c r="N150" s="78"/>
      <c r="O150" s="76"/>
      <c r="P150" s="24"/>
      <c r="Q150" s="74"/>
    </row>
    <row r="151" spans="14:17" x14ac:dyDescent="0.25">
      <c r="N151" s="78"/>
      <c r="O151" s="76"/>
      <c r="P151" s="24"/>
      <c r="Q151" s="74"/>
    </row>
    <row r="152" spans="14:17" x14ac:dyDescent="0.25">
      <c r="N152" s="78"/>
      <c r="O152" s="76"/>
      <c r="P152" s="24"/>
      <c r="Q152" s="74"/>
    </row>
    <row r="153" spans="14:17" x14ac:dyDescent="0.25">
      <c r="N153" s="78"/>
      <c r="O153" s="76"/>
      <c r="P153" s="24"/>
      <c r="Q153" s="74"/>
    </row>
    <row r="154" spans="14:17" x14ac:dyDescent="0.25">
      <c r="N154" s="78"/>
      <c r="O154" s="76"/>
      <c r="P154" s="24"/>
      <c r="Q154" s="74"/>
    </row>
    <row r="155" spans="14:17" x14ac:dyDescent="0.25">
      <c r="N155" s="78"/>
      <c r="O155" s="76"/>
      <c r="P155" s="24"/>
      <c r="Q155" s="74"/>
    </row>
    <row r="156" spans="14:17" x14ac:dyDescent="0.25">
      <c r="N156" s="78"/>
      <c r="O156" s="76"/>
      <c r="P156" s="24"/>
      <c r="Q156" s="74"/>
    </row>
    <row r="157" spans="14:17" x14ac:dyDescent="0.25">
      <c r="N157" s="78"/>
      <c r="O157" s="76"/>
      <c r="P157" s="24"/>
      <c r="Q157" s="74"/>
    </row>
    <row r="158" spans="14:17" x14ac:dyDescent="0.25">
      <c r="N158" s="78"/>
      <c r="O158" s="76"/>
      <c r="P158" s="24"/>
      <c r="Q158" s="74"/>
    </row>
    <row r="159" spans="14:17" x14ac:dyDescent="0.25">
      <c r="N159" s="78"/>
      <c r="O159" s="76"/>
      <c r="P159" s="24"/>
      <c r="Q159" s="74"/>
    </row>
    <row r="160" spans="14:17" x14ac:dyDescent="0.25">
      <c r="N160" s="78"/>
      <c r="O160" s="76"/>
      <c r="P160" s="24"/>
      <c r="Q160" s="74"/>
    </row>
  </sheetData>
  <mergeCells count="43">
    <mergeCell ref="B9:B12"/>
    <mergeCell ref="C9:C12"/>
    <mergeCell ref="D9:D12"/>
    <mergeCell ref="E9:E12"/>
    <mergeCell ref="F11:F12"/>
    <mergeCell ref="BF11:BF12"/>
    <mergeCell ref="BE11:BE12"/>
    <mergeCell ref="BK11:BK12"/>
    <mergeCell ref="BJ11:BJ12"/>
    <mergeCell ref="BI11:BI12"/>
    <mergeCell ref="BG11:BG12"/>
    <mergeCell ref="BJ10:BV10"/>
    <mergeCell ref="BE10:BI10"/>
    <mergeCell ref="AS9:BV9"/>
    <mergeCell ref="BB10:BD10"/>
    <mergeCell ref="BC11:BC12"/>
    <mergeCell ref="BB11:BB12"/>
    <mergeCell ref="AT10:BA10"/>
    <mergeCell ref="AT11:AT12"/>
    <mergeCell ref="AU11:AU12"/>
    <mergeCell ref="BH11:BH12"/>
    <mergeCell ref="BD11:BD12"/>
    <mergeCell ref="BV11:BV12"/>
    <mergeCell ref="BS11:BU11"/>
    <mergeCell ref="BQ11:BR11"/>
    <mergeCell ref="BO11:BP11"/>
    <mergeCell ref="BM11:BN11"/>
    <mergeCell ref="AV11:BA11"/>
    <mergeCell ref="F9:M10"/>
    <mergeCell ref="Q11:Q12"/>
    <mergeCell ref="O11:O12"/>
    <mergeCell ref="O9:S10"/>
    <mergeCell ref="AS10:AS12"/>
    <mergeCell ref="AK10:AR10"/>
    <mergeCell ref="L11:M12"/>
    <mergeCell ref="N9:N12"/>
    <mergeCell ref="G11:G12"/>
    <mergeCell ref="U10:AB10"/>
    <mergeCell ref="R11:S11"/>
    <mergeCell ref="T9:AR9"/>
    <mergeCell ref="T10:T12"/>
    <mergeCell ref="AC10:AJ10"/>
    <mergeCell ref="J11:K11"/>
  </mergeCells>
  <phoneticPr fontId="17" type="noConversion"/>
  <conditionalFormatting sqref="O1:O1048576">
    <cfRule type="top10" dxfId="1" priority="2" rank="10"/>
  </conditionalFormatting>
  <conditionalFormatting sqref="N1:N9 N13:N1048576">
    <cfRule type="top10" dxfId="0" priority="1" rank="10"/>
  </conditionalFormatting>
  <pageMargins left="0.7" right="0.7" top="0.75" bottom="0.75" header="0.3" footer="0.3"/>
  <pageSetup paperSize="8" scale="89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CCF</vt:lpstr>
      <vt:lpstr>CCE</vt:lpstr>
      <vt:lpstr>Data Agen</vt:lpstr>
      <vt:lpstr>Pilih_Tergabung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2021-03-31T04:06:58Z</dcterms:created>
  <dcterms:modified xsi:type="dcterms:W3CDTF">2021-10-20T20:10:45Z</dcterms:modified>
</cp:coreProperties>
</file>