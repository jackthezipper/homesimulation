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30189C7D-1FD1-4041-8D76-A30902C693DE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Prasyarat 3-Agen di depan ruang" sheetId="1" r:id="rId1"/>
    <sheet name="Aktivitas Pendukung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5" i="1" l="1"/>
  <c r="J179" i="1"/>
  <c r="K179" i="1"/>
  <c r="J205" i="1"/>
  <c r="K217" i="1"/>
  <c r="K215" i="1"/>
  <c r="K213" i="1"/>
  <c r="K211" i="1"/>
  <c r="K188" i="1"/>
  <c r="K184" i="1"/>
  <c r="K166" i="1"/>
  <c r="K161" i="1"/>
  <c r="K157" i="1"/>
  <c r="K151" i="1"/>
  <c r="K147" i="1"/>
  <c r="K145" i="1"/>
  <c r="K119" i="1"/>
  <c r="K117" i="1"/>
  <c r="K114" i="1"/>
  <c r="K104" i="1"/>
  <c r="K99" i="1"/>
  <c r="K93" i="1"/>
  <c r="K84" i="1"/>
  <c r="K75" i="1"/>
  <c r="K73" i="1"/>
  <c r="K64" i="1"/>
  <c r="K61" i="1"/>
  <c r="K51" i="1"/>
  <c r="K47" i="1"/>
  <c r="K23" i="1"/>
  <c r="K29" i="1"/>
  <c r="K32" i="1"/>
  <c r="K35" i="1"/>
  <c r="K38" i="1"/>
  <c r="J217" i="1"/>
  <c r="K216" i="1"/>
  <c r="J216" i="1"/>
  <c r="J215" i="1"/>
  <c r="J213" i="1"/>
  <c r="J211" i="1"/>
  <c r="J157" i="1"/>
  <c r="J27" i="1"/>
  <c r="J239" i="1"/>
  <c r="K233" i="1"/>
  <c r="K231" i="1"/>
  <c r="J230" i="1"/>
  <c r="J228" i="1"/>
  <c r="J227" i="1"/>
  <c r="K221" i="1"/>
  <c r="J221" i="1"/>
  <c r="K210" i="1"/>
  <c r="J210" i="1"/>
  <c r="K212" i="1"/>
  <c r="J212" i="1"/>
  <c r="J214" i="1"/>
  <c r="K209" i="1"/>
  <c r="K197" i="1"/>
  <c r="J188" i="1"/>
  <c r="J180" i="1"/>
  <c r="J178" i="1"/>
  <c r="K177" i="1"/>
  <c r="K176" i="1"/>
  <c r="K174" i="1"/>
  <c r="K173" i="1"/>
  <c r="J163" i="1"/>
  <c r="J146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25" i="1"/>
  <c r="J79" i="1"/>
  <c r="J76" i="1"/>
  <c r="J56" i="1"/>
  <c r="J53" i="1"/>
  <c r="K41" i="1"/>
  <c r="K20" i="1"/>
  <c r="J19" i="1"/>
  <c r="J218" i="1"/>
  <c r="K204" i="1"/>
  <c r="J189" i="1"/>
  <c r="K238" i="1"/>
  <c r="K229" i="1"/>
  <c r="J229" i="1"/>
  <c r="K223" i="1"/>
  <c r="J97" i="1"/>
  <c r="K97" i="1"/>
  <c r="J171" i="1"/>
  <c r="K171" i="1"/>
  <c r="K190" i="1"/>
  <c r="J190" i="1"/>
  <c r="K220" i="1"/>
  <c r="J220" i="1"/>
  <c r="J121" i="1"/>
  <c r="J148" i="1"/>
  <c r="J49" i="1"/>
  <c r="K239" i="1"/>
  <c r="K235" i="1"/>
  <c r="J235" i="1"/>
  <c r="J233" i="1"/>
  <c r="K230" i="1"/>
  <c r="K227" i="1"/>
  <c r="K225" i="1"/>
  <c r="J225" i="1"/>
  <c r="K218" i="1"/>
  <c r="K214" i="1"/>
  <c r="J209" i="1"/>
  <c r="J207" i="1"/>
  <c r="K207" i="1"/>
  <c r="K206" i="1"/>
  <c r="K201" i="1"/>
  <c r="K198" i="1"/>
  <c r="K194" i="1"/>
  <c r="K191" i="1"/>
  <c r="K187" i="1"/>
  <c r="J186" i="1"/>
  <c r="K183" i="1"/>
  <c r="K180" i="1"/>
  <c r="K175" i="1"/>
  <c r="K169" i="1"/>
  <c r="K167" i="1"/>
  <c r="K165" i="1"/>
  <c r="K160" i="1"/>
  <c r="K156" i="1"/>
  <c r="K152" i="1"/>
  <c r="K150" i="1"/>
  <c r="K146" i="1"/>
  <c r="K144" i="1"/>
  <c r="K131" i="1"/>
  <c r="K127" i="1"/>
  <c r="K123" i="1"/>
  <c r="K118" i="1"/>
  <c r="K115" i="1"/>
  <c r="K112" i="1"/>
  <c r="K109" i="1"/>
  <c r="J105" i="1"/>
  <c r="K105" i="1"/>
  <c r="K98" i="1"/>
  <c r="K95" i="1"/>
  <c r="K92" i="1"/>
  <c r="K90" i="1"/>
  <c r="K88" i="1"/>
  <c r="K86" i="1"/>
  <c r="K83" i="1"/>
  <c r="K81" i="1"/>
  <c r="K79" i="1"/>
  <c r="K76" i="1"/>
  <c r="K72" i="1"/>
  <c r="K70" i="1"/>
  <c r="K68" i="1"/>
  <c r="K66" i="1"/>
  <c r="K63" i="1"/>
  <c r="K60" i="1"/>
  <c r="K58" i="1"/>
  <c r="K56" i="1"/>
  <c r="K53" i="1"/>
  <c r="K46" i="1"/>
  <c r="K43" i="1"/>
  <c r="K40" i="1"/>
  <c r="K37" i="1"/>
  <c r="K34" i="1"/>
  <c r="K31" i="1"/>
  <c r="K28" i="1"/>
  <c r="K27" i="1"/>
  <c r="K17" i="1"/>
  <c r="K13" i="1"/>
  <c r="K10" i="1"/>
  <c r="K7" i="1"/>
  <c r="K3" i="1"/>
  <c r="J58" i="1"/>
  <c r="J3" i="1"/>
  <c r="J4" i="1"/>
  <c r="K4" i="1"/>
  <c r="J5" i="1"/>
  <c r="K5" i="1"/>
  <c r="J6" i="1"/>
  <c r="K6" i="1"/>
  <c r="J7" i="1"/>
  <c r="J8" i="1"/>
  <c r="K8" i="1"/>
  <c r="J9" i="1"/>
  <c r="K9" i="1"/>
  <c r="J10" i="1"/>
  <c r="J11" i="1"/>
  <c r="K11" i="1"/>
  <c r="J12" i="1"/>
  <c r="K12" i="1"/>
  <c r="J13" i="1"/>
  <c r="J14" i="1"/>
  <c r="K14" i="1"/>
  <c r="J15" i="1"/>
  <c r="K15" i="1"/>
  <c r="J16" i="1"/>
  <c r="K16" i="1"/>
  <c r="J17" i="1"/>
  <c r="J18" i="1"/>
  <c r="K18" i="1"/>
  <c r="K19" i="1"/>
  <c r="J20" i="1"/>
  <c r="J21" i="1"/>
  <c r="K21" i="1"/>
  <c r="J22" i="1"/>
  <c r="K22" i="1"/>
  <c r="J23" i="1"/>
  <c r="J24" i="1"/>
  <c r="K24" i="1"/>
  <c r="J25" i="1"/>
  <c r="K25" i="1"/>
  <c r="J26" i="1"/>
  <c r="K26" i="1"/>
  <c r="J28" i="1"/>
  <c r="J29" i="1"/>
  <c r="J30" i="1"/>
  <c r="K30" i="1"/>
  <c r="J31" i="1"/>
  <c r="J32" i="1"/>
  <c r="J33" i="1"/>
  <c r="K33" i="1"/>
  <c r="J34" i="1"/>
  <c r="J35" i="1"/>
  <c r="J36" i="1"/>
  <c r="K36" i="1"/>
  <c r="J37" i="1"/>
  <c r="J38" i="1"/>
  <c r="J39" i="1"/>
  <c r="K39" i="1"/>
  <c r="J40" i="1"/>
  <c r="J41" i="1"/>
  <c r="J42" i="1"/>
  <c r="K42" i="1"/>
  <c r="J43" i="1"/>
  <c r="J44" i="1"/>
  <c r="K44" i="1"/>
  <c r="J45" i="1"/>
  <c r="K45" i="1"/>
  <c r="J46" i="1"/>
  <c r="J47" i="1"/>
  <c r="J48" i="1"/>
  <c r="K48" i="1"/>
  <c r="K49" i="1"/>
  <c r="J50" i="1"/>
  <c r="K50" i="1"/>
  <c r="J51" i="1"/>
  <c r="J52" i="1"/>
  <c r="K52" i="1"/>
  <c r="J54" i="1"/>
  <c r="K54" i="1"/>
  <c r="J55" i="1"/>
  <c r="K55" i="1"/>
  <c r="J57" i="1"/>
  <c r="K57" i="1"/>
  <c r="J59" i="1"/>
  <c r="K59" i="1"/>
  <c r="J60" i="1"/>
  <c r="J61" i="1"/>
  <c r="J62" i="1"/>
  <c r="K62" i="1"/>
  <c r="J63" i="1"/>
  <c r="J64" i="1"/>
  <c r="J65" i="1"/>
  <c r="K65" i="1"/>
  <c r="J66" i="1"/>
  <c r="J67" i="1"/>
  <c r="K67" i="1"/>
  <c r="J68" i="1"/>
  <c r="J69" i="1"/>
  <c r="K69" i="1"/>
  <c r="J70" i="1"/>
  <c r="J71" i="1"/>
  <c r="K71" i="1"/>
  <c r="J72" i="1"/>
  <c r="J73" i="1"/>
  <c r="J74" i="1"/>
  <c r="K74" i="1"/>
  <c r="J75" i="1"/>
  <c r="J77" i="1"/>
  <c r="K77" i="1"/>
  <c r="J78" i="1"/>
  <c r="K78" i="1"/>
  <c r="J80" i="1"/>
  <c r="K80" i="1"/>
  <c r="J81" i="1"/>
  <c r="J82" i="1"/>
  <c r="K82" i="1"/>
  <c r="J83" i="1"/>
  <c r="J84" i="1"/>
  <c r="J85" i="1"/>
  <c r="K85" i="1"/>
  <c r="J86" i="1"/>
  <c r="J87" i="1"/>
  <c r="K87" i="1"/>
  <c r="J88" i="1"/>
  <c r="J89" i="1"/>
  <c r="K89" i="1"/>
  <c r="J90" i="1"/>
  <c r="J91" i="1"/>
  <c r="K91" i="1"/>
  <c r="J92" i="1"/>
  <c r="J93" i="1"/>
  <c r="J94" i="1"/>
  <c r="K94" i="1"/>
  <c r="J95" i="1"/>
  <c r="J96" i="1"/>
  <c r="K96" i="1"/>
  <c r="J98" i="1"/>
  <c r="J99" i="1"/>
  <c r="J100" i="1"/>
  <c r="K100" i="1"/>
  <c r="J101" i="1"/>
  <c r="K101" i="1"/>
  <c r="J102" i="1"/>
  <c r="K102" i="1"/>
  <c r="J103" i="1"/>
  <c r="K103" i="1"/>
  <c r="J104" i="1"/>
  <c r="J106" i="1"/>
  <c r="K106" i="1"/>
  <c r="J107" i="1"/>
  <c r="K107" i="1"/>
  <c r="J108" i="1"/>
  <c r="K108" i="1"/>
  <c r="J109" i="1"/>
  <c r="J110" i="1"/>
  <c r="K110" i="1"/>
  <c r="J111" i="1"/>
  <c r="K111" i="1"/>
  <c r="J112" i="1"/>
  <c r="J113" i="1"/>
  <c r="K113" i="1"/>
  <c r="J114" i="1"/>
  <c r="J115" i="1"/>
  <c r="J116" i="1"/>
  <c r="K116" i="1"/>
  <c r="J117" i="1"/>
  <c r="J118" i="1"/>
  <c r="J119" i="1"/>
  <c r="J120" i="1"/>
  <c r="K120" i="1"/>
  <c r="K121" i="1"/>
  <c r="J122" i="1"/>
  <c r="K122" i="1"/>
  <c r="J123" i="1"/>
  <c r="J124" i="1"/>
  <c r="K124" i="1"/>
  <c r="J125" i="1"/>
  <c r="J126" i="1"/>
  <c r="K126" i="1"/>
  <c r="J127" i="1"/>
  <c r="J128" i="1"/>
  <c r="K128" i="1"/>
  <c r="J129" i="1"/>
  <c r="K129" i="1"/>
  <c r="J130" i="1"/>
  <c r="K130" i="1"/>
  <c r="J131" i="1"/>
  <c r="J132" i="1"/>
  <c r="K132" i="1"/>
  <c r="J133" i="1"/>
  <c r="K133" i="1"/>
  <c r="J145" i="1"/>
  <c r="J147" i="1"/>
  <c r="K148" i="1"/>
  <c r="J149" i="1"/>
  <c r="K149" i="1"/>
  <c r="J150" i="1"/>
  <c r="J151" i="1"/>
  <c r="J152" i="1"/>
  <c r="J153" i="1"/>
  <c r="K153" i="1"/>
  <c r="J154" i="1"/>
  <c r="K154" i="1"/>
  <c r="J155" i="1"/>
  <c r="K155" i="1"/>
  <c r="J156" i="1"/>
  <c r="J158" i="1"/>
  <c r="K158" i="1"/>
  <c r="J159" i="1"/>
  <c r="K159" i="1"/>
  <c r="J160" i="1"/>
  <c r="J161" i="1"/>
  <c r="J162" i="1"/>
  <c r="K162" i="1"/>
  <c r="J164" i="1"/>
  <c r="K164" i="1"/>
  <c r="K163" i="1"/>
  <c r="J165" i="1"/>
  <c r="J166" i="1"/>
  <c r="J167" i="1"/>
  <c r="J168" i="1"/>
  <c r="K168" i="1"/>
  <c r="J169" i="1"/>
  <c r="J170" i="1"/>
  <c r="K170" i="1"/>
  <c r="J173" i="1"/>
  <c r="J174" i="1"/>
  <c r="J172" i="1"/>
  <c r="K172" i="1"/>
  <c r="J175" i="1"/>
  <c r="J176" i="1"/>
  <c r="J177" i="1"/>
  <c r="K178" i="1"/>
  <c r="J181" i="1"/>
  <c r="K181" i="1"/>
  <c r="J182" i="1"/>
  <c r="K182" i="1"/>
  <c r="J183" i="1"/>
  <c r="J184" i="1"/>
  <c r="J185" i="1"/>
  <c r="K185" i="1"/>
  <c r="K186" i="1"/>
  <c r="J187" i="1"/>
  <c r="K189" i="1"/>
  <c r="J191" i="1"/>
  <c r="J192" i="1"/>
  <c r="K192" i="1"/>
  <c r="J193" i="1"/>
  <c r="K193" i="1"/>
  <c r="J194" i="1"/>
  <c r="J195" i="1"/>
  <c r="K195" i="1"/>
  <c r="J196" i="1"/>
  <c r="K196" i="1"/>
  <c r="J197" i="1"/>
  <c r="J198" i="1"/>
  <c r="J199" i="1"/>
  <c r="K199" i="1"/>
  <c r="J200" i="1"/>
  <c r="K200" i="1"/>
  <c r="J201" i="1"/>
  <c r="J202" i="1"/>
  <c r="K202" i="1"/>
  <c r="J203" i="1"/>
  <c r="K203" i="1"/>
  <c r="J204" i="1"/>
  <c r="J206" i="1"/>
  <c r="J208" i="1"/>
  <c r="K208" i="1"/>
  <c r="J219" i="1"/>
  <c r="K219" i="1"/>
  <c r="J222" i="1"/>
  <c r="K222" i="1"/>
  <c r="J223" i="1"/>
  <c r="J224" i="1"/>
  <c r="K224" i="1"/>
  <c r="J226" i="1"/>
  <c r="K226" i="1"/>
  <c r="K228" i="1"/>
  <c r="J231" i="1"/>
  <c r="J232" i="1"/>
  <c r="K232" i="1"/>
  <c r="J234" i="1"/>
  <c r="K234" i="1"/>
  <c r="J236" i="1"/>
  <c r="K236" i="1"/>
  <c r="J237" i="1"/>
  <c r="K237" i="1"/>
  <c r="J238" i="1"/>
  <c r="J240" i="1"/>
  <c r="K240" i="1"/>
  <c r="J241" i="1"/>
  <c r="K241" i="1"/>
</calcChain>
</file>

<file path=xl/sharedStrings.xml><?xml version="1.0" encoding="utf-8"?>
<sst xmlns="http://schemas.openxmlformats.org/spreadsheetml/2006/main" count="1216" uniqueCount="334">
  <si>
    <t>Kondisi Terkini</t>
  </si>
  <si>
    <t>Batas</t>
  </si>
  <si>
    <t>APST</t>
  </si>
  <si>
    <t>Objek</t>
  </si>
  <si>
    <t>Kode</t>
  </si>
  <si>
    <t>Pintu</t>
  </si>
  <si>
    <t>Terbuka</t>
  </si>
  <si>
    <t>Kursi</t>
  </si>
  <si>
    <t>Kosong</t>
  </si>
  <si>
    <t>Terisi</t>
  </si>
  <si>
    <t>Aktivitas Utama</t>
  </si>
  <si>
    <t>Nama Ruang</t>
  </si>
  <si>
    <t>Prasyarat</t>
  </si>
  <si>
    <t>Keterangan</t>
  </si>
  <si>
    <t>Cek cahaya</t>
  </si>
  <si>
    <t>Ada</t>
  </si>
  <si>
    <t>Tidak Ada</t>
  </si>
  <si>
    <t>RDP01</t>
  </si>
  <si>
    <t>RHD01</t>
  </si>
  <si>
    <t>Mati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</si>
  <si>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</si>
  <si>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</si>
  <si>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</si>
  <si>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</si>
  <si>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</si>
  <si>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</si>
  <si>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Makan</t>
  </si>
  <si>
    <t>Minum</t>
  </si>
  <si>
    <t>Cek device</t>
  </si>
  <si>
    <t>Tidur</t>
  </si>
  <si>
    <t>RTU01</t>
  </si>
  <si>
    <t>Tempat tidur</t>
  </si>
  <si>
    <t>BAK</t>
  </si>
  <si>
    <t>RKM01</t>
  </si>
  <si>
    <t>Terkunci</t>
  </si>
  <si>
    <t>BAB</t>
  </si>
  <si>
    <t>Mandi</t>
  </si>
  <si>
    <t>RGD01</t>
  </si>
  <si>
    <t>Menyapu Ruang Keluarga</t>
  </si>
  <si>
    <t>Menyapu Ruang Tamu</t>
  </si>
  <si>
    <t>RTM01</t>
  </si>
  <si>
    <t>Menyapu Teras</t>
  </si>
  <si>
    <t>RTS01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</si>
  <si>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</si>
  <si>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</si>
  <si>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</si>
  <si>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</si>
  <si>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</si>
  <si>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</si>
  <si>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Mengepel Ruang Tidur Utama 1</t>
  </si>
  <si>
    <t>Mengepel Ruang Tidur Utama 2</t>
  </si>
  <si>
    <t>Hidup</t>
  </si>
  <si>
    <t>Tidak ada</t>
  </si>
  <si>
    <t>Gas</t>
  </si>
  <si>
    <t>Belanja</t>
  </si>
  <si>
    <t>Mesin cuci</t>
  </si>
  <si>
    <t>Menyetrika pakaian</t>
  </si>
  <si>
    <t>Setrika</t>
  </si>
  <si>
    <t>Membaca</t>
  </si>
  <si>
    <t>Bersantai</t>
  </si>
  <si>
    <t>Cek agen</t>
  </si>
  <si>
    <t>Makanan</t>
  </si>
  <si>
    <t>Air minum</t>
  </si>
  <si>
    <t>Jumlah &amp; status</t>
  </si>
  <si>
    <t>Air</t>
  </si>
  <si>
    <t>Kompor</t>
  </si>
  <si>
    <t>TV</t>
  </si>
  <si>
    <t>Kipas Angin</t>
  </si>
  <si>
    <t>Asumsi alat kebersihan selalu tersedia</t>
  </si>
  <si>
    <t>batal = cek aktivitas urut 2</t>
  </si>
  <si>
    <t>Jumlah &amp; Status Agen</t>
  </si>
  <si>
    <r>
      <t xml:space="preserve">Cek cahaya </t>
    </r>
    <r>
      <rPr>
        <i/>
        <sz val="11"/>
        <color rgb="FFFF0000"/>
        <rFont val="Calibri"/>
        <family val="2"/>
        <scheme val="minor"/>
      </rPr>
      <t>(i)</t>
    </r>
  </si>
  <si>
    <r>
      <t xml:space="preserve">Cek device </t>
    </r>
    <r>
      <rPr>
        <i/>
        <sz val="11"/>
        <color rgb="FFFF0000"/>
        <rFont val="Calibri"/>
        <family val="2"/>
        <scheme val="minor"/>
      </rPr>
      <t>(ii)</t>
    </r>
  </si>
  <si>
    <t>Rumus</t>
  </si>
  <si>
    <t>Asumsi kondisi peralatan listrik baik, dan tidak ada mati listrik, sehingga tidak ada batal karena listrik</t>
  </si>
  <si>
    <t xml:space="preserve">Cek agen </t>
  </si>
  <si>
    <t>IF Kondisi terkini&lt;Batas (0.5),"RTU01","Batal"</t>
  </si>
  <si>
    <t>IF Kondisi terkini (Tempat tidur)=Batas (Kosong),"Tempat tidur","Batal"</t>
  </si>
  <si>
    <t>IF Kondisi terkini (Pintu)=Batas (Terbuka),"Bak mandi","Batal"</t>
  </si>
  <si>
    <t>IF Kondisi terkini (Pintu)=Batas (Terbuka),"RTU01","Batal"</t>
  </si>
  <si>
    <t>IF Kondisi terkini&lt;=Batas (0),"Pintu","Batal"</t>
  </si>
  <si>
    <t>IF Kondisi terkini&lt;Batas (0.2),"RTU01","Batal"</t>
  </si>
  <si>
    <t>IF Kondisi terkini (Pintu)=Batas (Terbuka),"RTU02","Batal"</t>
  </si>
  <si>
    <t>***Mematikan lampu hanya jika di ruang tidak ada agen lain</t>
  </si>
  <si>
    <t>IF Kondisi terkini&lt;Batas (0.5),"Tempat sampah","Batal"</t>
  </si>
  <si>
    <t>IF Kondisi terkini (Pintu)=Batas (Terbuka),"RHD01","Batal"</t>
  </si>
  <si>
    <t>IF Kondisi terkini&lt;=Batas (1),"Kran air","Batal"</t>
  </si>
  <si>
    <t>IF Kondisi terkini=Batas (Ada),"Kompor","Batal"</t>
  </si>
  <si>
    <t>IF Kondisi terkini&lt;=Batas (2),"Bak cuci piring","Batal"</t>
  </si>
  <si>
    <t>B3</t>
  </si>
  <si>
    <t>IF Kondisi terkini (Pintu)=Batas (Terbuka),"Pintu","Batal"</t>
  </si>
  <si>
    <t>IF Kondisi terkini&lt;=Batas (1),"Tempat tidur","Batal"</t>
  </si>
  <si>
    <t>IF Kondisi terkini (Sofa)=Batas (Kosong),"Sofa","RTM01"</t>
  </si>
  <si>
    <t>IF Kondisi terkini&lt;=Batas (0.6),"Sofa","RTM01"</t>
  </si>
  <si>
    <t>IF Kondisi terkini&lt;=Batas (0.4),"Sofa","Batal"</t>
  </si>
  <si>
    <t>IF Kondisi terkini (Sofa)=Batas (Kosong),"Sofa","Batal"</t>
  </si>
  <si>
    <t>IF Kondisi terkini (Sofa)=Batas (Kosong),"Sofa","RTU01"</t>
  </si>
  <si>
    <t>IF Kondisi terkini&lt;=Batas (1),"Sofa","RTU01"</t>
  </si>
  <si>
    <t>IF Kondisi terkini&lt;=Batas (0.4),"Tempat tidur","Batal"</t>
  </si>
  <si>
    <t>Pergi memasukan laundry</t>
  </si>
  <si>
    <t>Pergi mengambil laundry</t>
  </si>
  <si>
    <t>Berangkat kerja</t>
  </si>
  <si>
    <t>Agen berada di RTS01, cek lampu teras</t>
  </si>
  <si>
    <t>D2</t>
  </si>
  <si>
    <t>Asumsi alat kebersihan selalu tersedia atau dalam agen mengambil alat kebersihan di ruang lain, dan selama aktivitas bersih-bersih, peralatan selalu ada pada agen</t>
  </si>
  <si>
    <t>Bahan makanan</t>
  </si>
  <si>
    <t>RMT01</t>
  </si>
  <si>
    <t>Menghidupkan lampu garasi di sore hari</t>
  </si>
  <si>
    <t>Mematikan lampu garasi di pagi hari</t>
  </si>
  <si>
    <t>A4</t>
  </si>
  <si>
    <t>A8</t>
  </si>
  <si>
    <t>A10</t>
  </si>
  <si>
    <t>A12</t>
  </si>
  <si>
    <t>A15</t>
  </si>
  <si>
    <t>A16</t>
  </si>
  <si>
    <t>A18</t>
  </si>
  <si>
    <t>A19</t>
  </si>
  <si>
    <t>A20</t>
  </si>
  <si>
    <t>A21</t>
  </si>
  <si>
    <t>A25</t>
  </si>
  <si>
    <t>A26</t>
  </si>
  <si>
    <t>A36</t>
  </si>
  <si>
    <t>A43</t>
  </si>
  <si>
    <t>A44</t>
  </si>
  <si>
    <t>A65</t>
  </si>
  <si>
    <t>A70</t>
  </si>
  <si>
    <t>A72</t>
  </si>
  <si>
    <t>A74</t>
  </si>
  <si>
    <t>B2</t>
  </si>
  <si>
    <t>B4</t>
  </si>
  <si>
    <t>B5</t>
  </si>
  <si>
    <t>B6</t>
  </si>
  <si>
    <t>B7</t>
  </si>
  <si>
    <t>Mencuci baju konvensional</t>
  </si>
  <si>
    <t>Mencuci dengan mesin cuci</t>
  </si>
  <si>
    <t>Menjemur pakaian</t>
  </si>
  <si>
    <t>No</t>
  </si>
  <si>
    <t>L1</t>
  </si>
  <si>
    <t>A3</t>
  </si>
  <si>
    <t>L2</t>
  </si>
  <si>
    <t>Menghidupkan lampu</t>
  </si>
  <si>
    <t>RDP02</t>
  </si>
  <si>
    <t>IF Kondisi terkini (Kursi random)=Batas (Kosong),"Kursi (random)","RTM01"</t>
  </si>
  <si>
    <t>RBK01</t>
  </si>
  <si>
    <t>IF Kondisi terkini&lt;=Batas (2),"RBK01","Batal"</t>
  </si>
  <si>
    <t>RKM02</t>
  </si>
  <si>
    <t>IF Kondisi terkini (Pintu)=Batas (Terbuka),"Bak mandi","RKM03"</t>
  </si>
  <si>
    <t>RKM03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</si>
  <si>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</si>
  <si>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</si>
  <si>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</si>
  <si>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</si>
  <si>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</si>
  <si>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</si>
  <si>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</si>
  <si>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dengan rice cooker</t>
  </si>
  <si>
    <t>Membangunkan anak di pagi hari</t>
  </si>
  <si>
    <t>Membuat susu anak</t>
  </si>
  <si>
    <t>Membuang Sampah</t>
  </si>
  <si>
    <t>Membakar Sampah</t>
  </si>
  <si>
    <t>Membuat minuman herbal</t>
  </si>
  <si>
    <t>Menjahit</t>
  </si>
  <si>
    <t>Pergi jalan ke luar rumah di akhir pekan</t>
  </si>
  <si>
    <t>Mematikan rice cooker</t>
  </si>
  <si>
    <t>A5</t>
  </si>
  <si>
    <t>A6</t>
  </si>
  <si>
    <t>A7</t>
  </si>
  <si>
    <t>A9</t>
  </si>
  <si>
    <t>A11</t>
  </si>
  <si>
    <t>A13</t>
  </si>
  <si>
    <t>A14</t>
  </si>
  <si>
    <t>RKJ01</t>
  </si>
  <si>
    <t>A17</t>
  </si>
  <si>
    <t>Memasak makan pagi/ siang/ malam dengan kompor gas</t>
  </si>
  <si>
    <t>A24/A49/A63</t>
  </si>
  <si>
    <t>A27</t>
  </si>
  <si>
    <t>A28</t>
  </si>
  <si>
    <t>Memasak air untuk mandi pagi/ sore</t>
  </si>
  <si>
    <t>A29/A58</t>
  </si>
  <si>
    <t>Memandikan anak pagi/ sore</t>
  </si>
  <si>
    <t>A30/A59</t>
  </si>
  <si>
    <t>Menyuapi anak makan pagi/siang/malam</t>
  </si>
  <si>
    <t>Menyiram tanaman pagi/sore</t>
  </si>
  <si>
    <t>A34/A55</t>
  </si>
  <si>
    <t>A37/A38/A39/A40</t>
  </si>
  <si>
    <t>A41</t>
  </si>
  <si>
    <t>A42</t>
  </si>
  <si>
    <t>Menonton TV siang/malam</t>
  </si>
  <si>
    <t>A46/A66</t>
  </si>
  <si>
    <t>A57</t>
  </si>
  <si>
    <t>Mencuci piring dan alat masak pagi/siang/malam</t>
  </si>
  <si>
    <t>A76</t>
  </si>
  <si>
    <t>A77</t>
  </si>
  <si>
    <t>A61</t>
  </si>
  <si>
    <t>A33</t>
  </si>
  <si>
    <t>A79</t>
  </si>
  <si>
    <t>IF Kondisi terkini&lt;=Batas (1),"RKG01","Batal"</t>
  </si>
  <si>
    <t>Menerima tamu</t>
  </si>
  <si>
    <t>IF Kondisi terkini=Batas (Kosong),"Sofa","Batal"</t>
  </si>
  <si>
    <t>IF Kondisi terkini&lt;=Batas (1),"RTM01","Batal"</t>
  </si>
  <si>
    <t>A78</t>
  </si>
  <si>
    <t>Mengoperasikan gadget</t>
  </si>
  <si>
    <t>A71</t>
  </si>
  <si>
    <t>Menyiapkan kasur &amp; karpet tidur</t>
  </si>
  <si>
    <t>Menggunakan printer</t>
  </si>
  <si>
    <t>Rice cooker</t>
  </si>
  <si>
    <t>IF Kondisi terkini&gt;Batas,"Printer","Batal")</t>
  </si>
  <si>
    <t>Printer</t>
  </si>
  <si>
    <t>A69</t>
  </si>
  <si>
    <t>Bekerja menggunakan komputer</t>
  </si>
  <si>
    <t>Komputer</t>
  </si>
  <si>
    <t>Bekerja di luar rumah</t>
  </si>
  <si>
    <t>RGS01</t>
  </si>
  <si>
    <t>IF Kondisi terkini (Pintu)&gt;Batas (Terbuka),"RGS01","Batal"</t>
  </si>
  <si>
    <t>Agen sampai di RDP01</t>
  </si>
  <si>
    <t>IF Kondisi terkini (Sofa random)&lt;Batas (Kosong),"Sofa (random)","Batal"</t>
  </si>
  <si>
    <t>agen sampai Di RTM01</t>
  </si>
  <si>
    <t>IF Kondisi terkini&lt;Batas (1),"RKG01","Batal"</t>
  </si>
  <si>
    <t>IF Kondisi terkini&lt;Batas (1),"RDP02","Batal"</t>
  </si>
  <si>
    <t>IF Kondisi terkini (makanan)=Batas (Ada),"RKG01","RDP02"</t>
  </si>
  <si>
    <t>IF Kondisi terkini (makanan)=Batas (Ada),"RKG01","Batal"</t>
  </si>
  <si>
    <t>IF Kondisi terkini&lt;Batas (1),RDP02","Batal"</t>
  </si>
  <si>
    <t>Kembali ke RKG01 untuk cek device (ii), tetapi sampai di ruang cek mulai dari (i), batal = cek aktivitas urut 2</t>
  </si>
  <si>
    <t>IF Kondisi terkini&lt;Batas (1),"RTM01","Batal"</t>
  </si>
  <si>
    <t>IF Kondisi terkini=Batas (Ada),"RKG01","RDP02"</t>
  </si>
  <si>
    <t>IF Kondisi terkini&lt;Batas (0.8),"RTS01","Batal"</t>
  </si>
  <si>
    <t>IF Kondisi terkini&lt;Batas (0.8),"RTM01","Batal"</t>
  </si>
  <si>
    <t>IF Kondisi terkini&lt;Batas (0.8),"RKG01","Batal"</t>
  </si>
  <si>
    <t>IF Kondisi terkini&lt;Batas (0.8),"RDP01","Batal"</t>
  </si>
  <si>
    <t>IF Kondisi terkini&lt;Batas (1),"RTS01","Batal"</t>
  </si>
  <si>
    <t>IF Kondisi terkini&lt;Batas (1),"RDP01","Batal"</t>
  </si>
  <si>
    <t>IF Kondisi terkini&lt;Batas (0.5),"RTU02","Batal"</t>
  </si>
  <si>
    <t>IF Kondisi terkini&lt;Batas (1),"RBK01","Batal"</t>
  </si>
  <si>
    <t>IF Kondisi terkini&lt;Batas (1),"RKJ01","Batal"</t>
  </si>
  <si>
    <t>IF Kondisi terkini&lt;Batas (0.8),"RKJ01","Batal"</t>
  </si>
  <si>
    <t>IF Kondisi terkini&lt;Batas (0.8),"RDP02","Batal"</t>
  </si>
  <si>
    <t>IF Kondisi terkini&lt;Batas (2),"RDP02","Batal"</t>
  </si>
  <si>
    <t>Off</t>
  </si>
  <si>
    <t>E1</t>
  </si>
  <si>
    <t>E2</t>
  </si>
  <si>
    <t>IF Kondisi terkini&lt;=Batas (2),"RDP01","Batal"</t>
  </si>
  <si>
    <t>IF Kondisi terkini&gt;=Batas(5),"RDP01","Batal"</t>
  </si>
  <si>
    <t>IF Kondisi terkini&lt;Batas (25),"RTU01","E1"</t>
  </si>
  <si>
    <t>D1</t>
  </si>
  <si>
    <t>Menghidupkan objek dinamis</t>
  </si>
  <si>
    <t>Mematikan objek dinamis</t>
  </si>
  <si>
    <t>IF Kondisi terkini=Batas (Off),"D1","Batal"</t>
  </si>
  <si>
    <t>IF Kondisi terkini&lt;Batas (24),"E2","0"</t>
  </si>
  <si>
    <t>IF Kondisi terkini (Tempat tidur)=Batas (Terisi),"Tempat tidur","Batal"</t>
  </si>
  <si>
    <t>IF Kondisi terkini&lt;=Batas (2),"RDP02","Batal"</t>
  </si>
  <si>
    <t>IF Kondisi terkini&lt;=Batas (200),"Dispenser","Batal"</t>
  </si>
  <si>
    <t>Cek Iklim ruang</t>
  </si>
  <si>
    <t>A75</t>
  </si>
  <si>
    <t>Berdandan setelah mandi</t>
  </si>
  <si>
    <t>A22/ A47/ A60</t>
  </si>
  <si>
    <t>A32/A50/ A64</t>
  </si>
  <si>
    <t>A31 / A32</t>
  </si>
  <si>
    <t>Membersihkan WC/ KM Tengah/ KM Dalam/ KM Lt. 2</t>
  </si>
  <si>
    <t>A35/ A52/ A67</t>
  </si>
  <si>
    <t>Mengangkat jemuran</t>
  </si>
  <si>
    <t>A56</t>
  </si>
  <si>
    <t>A23/ A48/ A62</t>
  </si>
  <si>
    <t>Pergi membeli makan pagi/ siang/ malam ke luar rumah</t>
  </si>
  <si>
    <t>IF Kondisi terkini&gt;=Batas (90),"Bak mandi","D1"</t>
  </si>
  <si>
    <t>IF Kondisi terkini&gt;=Batas (15),"Kloset","D1"</t>
  </si>
  <si>
    <t>IF Kondisi terkini (kran air)=Batas (Mati),"D1","Batal"</t>
  </si>
  <si>
    <t>IF Kondisi terkini (Air)=Batas (160),"D1","Batal"</t>
  </si>
  <si>
    <t>IF Kondisi terkini (Mesin cuci)=Batas (Mati),"E1","Batal"</t>
  </si>
  <si>
    <t>IF Kondisi terkini (Air)=Batas (250),"D1","Batal"</t>
  </si>
  <si>
    <t>Bermain dengan anak pagi/ siang/ malam</t>
  </si>
  <si>
    <t>IF Kondisi terkini (2)&lt;=Batas,"RGS01",0)</t>
  </si>
  <si>
    <t>IF Kondisi terkini (Air)=Batas (15),"D1","Batal"</t>
  </si>
  <si>
    <t>Cek air di ruang. Jika air tidak cukup, maka membuka kran dan menunggu di ruang atau jika waktu tunggu &gt;= 15 menit, melakukan aktivitas 2</t>
  </si>
  <si>
    <t>Cek air di tandon. Jika air tidak cukup, maka batal.</t>
  </si>
  <si>
    <t>Cek air di ruang. Jika air tidak cukup, maka batal.</t>
  </si>
  <si>
    <t>Menghidupkan peralatan listrik, selain lampu</t>
  </si>
  <si>
    <t>Mematikan peralatan listrik, selain lampu</t>
  </si>
  <si>
    <t>IF Kondisi terkini&gt;=Batas (150),"RDP02","L1"</t>
  </si>
  <si>
    <t>IF Kondisi terkini (Komputer)=Batas (Hidup),"Komputer","E1"</t>
  </si>
  <si>
    <t>IF Kondisi terkini (Setrika)=Batas (Mati),"Setrika","E1"</t>
  </si>
  <si>
    <t>IF Kondisi terkini (TV)=Batas (Mati),"Sofa/ Kursi","E1"</t>
  </si>
  <si>
    <t>IF Kondisi terkini (Rice cooker)=Batas (Mati),"RDP02","E1"</t>
  </si>
  <si>
    <t>IF Kondisi terkini (Printer)=Batas (Hidup),"Printer","E1"</t>
  </si>
  <si>
    <t>IF Kondisi terkini&lt;=Batas (24),"Tempat tidur","E1"</t>
  </si>
  <si>
    <t>L2 ; D2</t>
  </si>
  <si>
    <t>L2 ; E2</t>
  </si>
  <si>
    <t>jika ada makanan, semua kursi terisi, pindah ke ruang RTM01</t>
  </si>
  <si>
    <t>IF Kondisi terkini&gt;=Batas (150),"RKG01","L1"</t>
  </si>
  <si>
    <t>IF Kondisi terkini&gt;=Batas (150),"RTM01","L1"</t>
  </si>
  <si>
    <t>IF Kondisi terkini&gt;=Batas (150),"Pintu","L1"</t>
  </si>
  <si>
    <t>IF Kondisi terkini&gt;Batas (60),"L2","Batal"</t>
  </si>
  <si>
    <t>IF Kondisi terkini&gt;=Batas (150),"RTU01","L1"</t>
  </si>
  <si>
    <t>IF Kondisi terkini&gt;=Batas (150),"RTU02","L1"</t>
  </si>
  <si>
    <t>IF Kondisi terkini&gt;=Batas (150),"RKJ01","L1"</t>
  </si>
  <si>
    <t>IF Kondisi terkini&gt;=Batas (150),"RDP01","L1"</t>
  </si>
  <si>
    <t>IF Kondisi terkini&gt;=Batas (150),"L2","L1"</t>
  </si>
  <si>
    <t>IF Kondisi terkini&gt;=Batas (100),"RDP01","L1"</t>
  </si>
  <si>
    <t>IF Kondisi terkini&gt;=Batas (150),"RGS01","L1"</t>
  </si>
  <si>
    <t>IF Kondisi terkini&lt;Batas (60),"L1","Batal"</t>
  </si>
  <si>
    <t>IF Kondisi terkini&lt;=Batas (25),"Sofa","E1"</t>
  </si>
  <si>
    <t>IF Kondisi terkini&gt;Batas,"Kursi","Batal"</t>
  </si>
  <si>
    <t>IF Kondisi terkini=Batas (Ada),"RDP02","Batal"</t>
  </si>
  <si>
    <t>IF Kondisi terkini&lt;Batas (1),"Sofa","Batal"</t>
  </si>
  <si>
    <t>IF Kondisi terkini=Batas (100),"RTS01","Batal"</t>
  </si>
  <si>
    <t>IF Kondisi terkini&lt;=Batas (1),"Sofa/ Kursi","Batal"</t>
  </si>
  <si>
    <t>IF Kondisi terkini&lt;=Batas (25),"Sofa/ Kursi","E1"</t>
  </si>
  <si>
    <t>IF Kondisi terkini (Kursi)=Batas (Kosong),"Kursi","Batal"</t>
  </si>
  <si>
    <t>IF Kondisi terkini (Sofa)=Batas (Kosong),"Sofa","Kursi"</t>
  </si>
  <si>
    <t>IF Kondisi terkini=Batas (Kosong),"Sofa","RTU01"</t>
  </si>
  <si>
    <t>IF Kondisi terkini&lt;=Batas (25),"Tempat tidur","E1"</t>
  </si>
  <si>
    <t>IF Kondisi terkini&lt;=Batas (1),"RGD01","Batal"</t>
  </si>
  <si>
    <t>IF Kondisi terkini&lt;=Batas (150),"RKJ01","L1"</t>
  </si>
  <si>
    <t>IF Kondisi terkini&lt;=Batas (150),"RDP02","L1"</t>
  </si>
  <si>
    <t>IF Kondisi terkini (2)&lt;=Batas,"Rice cooker","Batal")</t>
  </si>
  <si>
    <t>IF Kondisi terkini (Makanan)=Batas (Hidup),"Rice cooker","E2"</t>
  </si>
  <si>
    <t>IF Kondisi terkini&lt;=Batas (1),"Sofa","RKG01"</t>
  </si>
  <si>
    <t>Menutup pintu</t>
  </si>
  <si>
    <t>R1</t>
  </si>
  <si>
    <t>R2</t>
  </si>
  <si>
    <t>Membuka pintu</t>
  </si>
  <si>
    <r>
      <t xml:space="preserve">Mematikan lampu </t>
    </r>
    <r>
      <rPr>
        <sz val="11"/>
        <color rgb="FFFF0000"/>
        <rFont val="Calibri"/>
        <family val="2"/>
        <scheme val="minor"/>
      </rPr>
      <t>(hanya jika di ruang tidak ada agen lain)</t>
    </r>
  </si>
  <si>
    <t>IF Kondisi terkini&lt;=Batas (50),"Tempat tidur","L2"</t>
  </si>
  <si>
    <t>L2 ; D2 ; R2</t>
  </si>
  <si>
    <t>L2 ; R2</t>
  </si>
  <si>
    <t>L2 ; E2 ; R2</t>
  </si>
  <si>
    <t>L2 ; E2 ;R2</t>
  </si>
  <si>
    <t>IF Kondisi terkini (Pintu)=Batas (Terbuka),"RDP01","R1"</t>
  </si>
  <si>
    <t>IF Kondisi terkini (Pintu)=Batas (Terbuka),"RTS01","R1"</t>
  </si>
  <si>
    <t>IF Kondisi terkini (Pintu)=Batas (Terbuka),"RBK01","R1"</t>
  </si>
  <si>
    <t>IF Kondisi terkini&gt;=Batas (150),"RDP01","R1"</t>
  </si>
  <si>
    <t>IF Kondisi terkini (Pintu)=Batas (Terbuka),"RTU01","R1"</t>
  </si>
  <si>
    <t>IF Kondisi terkini (Pintu)=Batas (Terbuka),"RHD01","R1"</t>
  </si>
  <si>
    <t>IF Kondisi terkini (Pintu)=Batas (Terbuka),"RGS01","R1"</t>
  </si>
  <si>
    <t>IF Kondisi terkini (Pintu)=Batas (Terbuka),"RGD01","R1"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</si>
</sst>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1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6" xfId="0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2" borderId="18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7" xfId="0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wrapText="1"/>
    </xf>
    <xf numFmtId="0" fontId="0" fillId="5" borderId="8" xfId="0" applyFill="1" applyBorder="1" applyAlignment="1">
      <alignment horizontal="left" wrapText="1"/>
    </xf>
    <xf numFmtId="0" fontId="0" fillId="5" borderId="24" xfId="0" applyFill="1" applyBorder="1" applyAlignment="1">
      <alignment horizontal="left" wrapText="1"/>
    </xf>
    <xf numFmtId="0" fontId="0" fillId="5" borderId="25" xfId="0" applyFill="1" applyBorder="1" applyAlignment="1">
      <alignment horizontal="left" wrapText="1"/>
    </xf>
    <xf numFmtId="0" fontId="0" fillId="5" borderId="5" xfId="0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3" xfId="1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9" xfId="0" applyBorder="1" applyAlignment="1">
      <alignment horizontal="left" wrapText="1"/>
    </xf>
    <xf numFmtId="0" fontId="0" fillId="2" borderId="15" xfId="0" applyFill="1" applyBorder="1" applyAlignment="1">
      <alignment horizontal="left"/>
    </xf>
    <xf numFmtId="0" fontId="0" fillId="5" borderId="19" xfId="0" applyFill="1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 wrapText="1"/>
    </xf>
    <xf numFmtId="0" fontId="0" fillId="0" borderId="16" xfId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" fillId="0" borderId="18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4" xfId="1" applyFont="1" applyBorder="1" applyAlignment="1">
      <alignment horizontal="center" vertical="center" wrapText="1"/>
    </xf>
    <xf numFmtId="0" fontId="0" fillId="0" borderId="15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7" fillId="0" borderId="13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3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Font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2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7" fillId="0" borderId="12" xfId="1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4" borderId="10" xfId="0" applyFill="1" applyBorder="1" applyAlignment="1">
      <alignment horizontal="left"/>
    </xf>
    <xf numFmtId="0" fontId="0" fillId="0" borderId="12" xfId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0" fontId="5" fillId="0" borderId="1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wrapText="1"/>
    </xf>
    <xf numFmtId="0" fontId="0" fillId="0" borderId="15" xfId="0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1"/>
  <sheetViews>
    <sheetView tabSelected="1" zoomScale="85" zoomScaleNormal="85" workbookViewId="0">
      <selection activeCell="M3" sqref="M3"/>
    </sheetView>
  </sheetViews>
  <sheetFormatPr defaultRowHeight="15" x14ac:dyDescent="0.25"/>
  <cols>
    <col min="1" max="2" width="2.28515625" customWidth="1"/>
    <col min="3" max="3" width="5.5703125" style="19" bestFit="1" customWidth="1"/>
    <col min="4" max="4" width="17.85546875" style="2" customWidth="1"/>
    <col min="5" max="5" width="6.85546875" style="12" bestFit="1" customWidth="1"/>
    <col min="6" max="6" width="15.7109375" style="2" customWidth="1"/>
    <col min="7" max="7" width="10.7109375" style="13" customWidth="1"/>
    <col min="8" max="8" width="10.7109375" style="1" customWidth="1"/>
    <col min="9" max="9" width="10.7109375" customWidth="1"/>
    <col min="10" max="12" width="10.7109375" style="1" customWidth="1"/>
    <col min="13" max="13" width="40.7109375" style="1" customWidth="1"/>
    <col min="14" max="14" width="40.7109375" style="2" customWidth="1"/>
    <col min="15" max="15" width="30.7109375" style="11" customWidth="1"/>
    <col min="16" max="16" width="30.7109375" customWidth="1"/>
    <col min="17" max="18" width="9.140625" customWidth="1"/>
    <col min="19" max="19" width="6.28515625" customWidth="1"/>
    <col min="20" max="20" width="10.140625" customWidth="1"/>
    <col min="21" max="22" width="8.5703125" customWidth="1"/>
    <col min="23" max="23" width="7.5703125" customWidth="1"/>
    <col min="24" max="24" width="5.5703125" customWidth="1"/>
    <col min="25" max="25" width="9.140625" customWidth="1"/>
    <col min="26" max="26" width="6.140625" customWidth="1"/>
    <col min="27" max="27" width="5.5703125" customWidth="1"/>
    <col min="28" max="28" width="9.140625" customWidth="1"/>
    <col min="29" max="29" width="9.7109375" customWidth="1"/>
    <col min="30" max="31" width="7.28515625" customWidth="1"/>
    <col min="32" max="32" width="6.7109375" customWidth="1"/>
  </cols>
  <sheetData>
    <row r="1" spans="3:15" ht="15.75" thickBot="1" x14ac:dyDescent="0.3"/>
    <row r="2" spans="3:15" s="53" customFormat="1" ht="45.75" thickBot="1" x14ac:dyDescent="0.3">
      <c r="C2" s="15" t="s">
        <v>4</v>
      </c>
      <c r="D2" s="23" t="s">
        <v>10</v>
      </c>
      <c r="E2" s="15" t="s">
        <v>11</v>
      </c>
      <c r="F2" s="15" t="s">
        <v>12</v>
      </c>
      <c r="G2" s="23" t="s">
        <v>3</v>
      </c>
      <c r="H2" s="15" t="s">
        <v>1</v>
      </c>
      <c r="I2" s="47" t="s">
        <v>0</v>
      </c>
      <c r="J2" s="104" t="s">
        <v>22</v>
      </c>
      <c r="K2" s="110" t="s">
        <v>23</v>
      </c>
      <c r="L2" s="103" t="s">
        <v>2</v>
      </c>
      <c r="M2" s="39" t="s">
        <v>73</v>
      </c>
      <c r="N2" s="39" t="s">
        <v>13</v>
      </c>
    </row>
    <row r="3" spans="3:15" ht="39" thickBot="1" x14ac:dyDescent="0.3">
      <c r="C3" s="77" t="s">
        <v>128</v>
      </c>
      <c r="D3" s="76" t="s">
        <v>26</v>
      </c>
      <c r="E3" s="94" t="s">
        <v>24</v>
      </c>
      <c r="F3" s="20" t="s">
        <v>71</v>
      </c>
      <c r="G3" s="24" t="s">
        <v>21</v>
      </c>
      <c r="H3" s="29">
        <v>150</v>
      </c>
      <c r="I3" s="48">
        <v>100</v>
      </c>
      <c r="J3" s="105">
        <f>IF(I3&gt;=H3,"RKG01",0)</f>
        <v>0</v>
      </c>
      <c r="K3" s="111" t="str">
        <f>IF(I3&lt;H3,"L1",0)</f>
        <v>L1</v>
      </c>
      <c r="L3" s="5"/>
      <c r="M3" s="40" t="s">
        <v>287</v>
      </c>
      <c r="N3" s="125" t="s">
        <v>74</v>
      </c>
      <c r="O3"/>
    </row>
    <row r="4" spans="3:15" ht="45.75" thickBot="1" x14ac:dyDescent="0.3">
      <c r="C4" s="78"/>
      <c r="D4" s="76"/>
      <c r="E4" s="94"/>
      <c r="F4" s="17" t="s">
        <v>60</v>
      </c>
      <c r="G4" s="25" t="s">
        <v>70</v>
      </c>
      <c r="H4" s="30">
        <v>1</v>
      </c>
      <c r="I4" s="49">
        <v>1</v>
      </c>
      <c r="J4" s="106">
        <f>IF(I4&lt;H4,"RKG01",0)</f>
        <v>0</v>
      </c>
      <c r="K4" s="112" t="str">
        <f>IF(I4&gt;=H4,"Batal",0)</f>
        <v>Batal</v>
      </c>
      <c r="L4" s="6"/>
      <c r="M4" s="41" t="s">
        <v>217</v>
      </c>
      <c r="N4" s="126" t="s">
        <v>69</v>
      </c>
      <c r="O4"/>
    </row>
    <row r="5" spans="3:15" ht="30.75" thickBot="1" x14ac:dyDescent="0.3">
      <c r="C5" s="78"/>
      <c r="D5" s="76"/>
      <c r="E5" s="94"/>
      <c r="F5" s="17" t="s">
        <v>20</v>
      </c>
      <c r="G5" s="25" t="s">
        <v>61</v>
      </c>
      <c r="H5" s="6" t="s">
        <v>15</v>
      </c>
      <c r="I5" s="49" t="s">
        <v>16</v>
      </c>
      <c r="J5" s="106">
        <f>IF(I5=H5,"RKG01",0)</f>
        <v>0</v>
      </c>
      <c r="K5" s="112" t="str">
        <f>IF(I5=H5,0,"RDP02")</f>
        <v>RDP02</v>
      </c>
      <c r="L5" s="6"/>
      <c r="M5" s="42" t="s">
        <v>219</v>
      </c>
      <c r="N5" s="127"/>
      <c r="O5"/>
    </row>
    <row r="6" spans="3:15" ht="26.25" thickBot="1" x14ac:dyDescent="0.3">
      <c r="C6" s="78"/>
      <c r="D6" s="76"/>
      <c r="E6" s="94"/>
      <c r="F6" s="17" t="s">
        <v>72</v>
      </c>
      <c r="G6" s="25" t="s">
        <v>7</v>
      </c>
      <c r="H6" s="31" t="s">
        <v>8</v>
      </c>
      <c r="I6" s="49" t="s">
        <v>9</v>
      </c>
      <c r="J6" s="106">
        <f t="shared" ref="J6" si="0">IF(I6=H6,"Kursi",0)</f>
        <v>0</v>
      </c>
      <c r="K6" s="112" t="str">
        <f>IF(I6=H6,0,"RTM01")</f>
        <v>RTM01</v>
      </c>
      <c r="L6" s="6"/>
      <c r="M6" s="41" t="s">
        <v>142</v>
      </c>
      <c r="N6" s="128" t="s">
        <v>286</v>
      </c>
      <c r="O6"/>
    </row>
    <row r="7" spans="3:15" ht="15.75" thickBot="1" x14ac:dyDescent="0.3">
      <c r="C7" s="78"/>
      <c r="D7" s="76"/>
      <c r="E7" s="72" t="s">
        <v>141</v>
      </c>
      <c r="F7" s="17" t="s">
        <v>14</v>
      </c>
      <c r="G7" s="25" t="s">
        <v>21</v>
      </c>
      <c r="H7" s="30">
        <v>150</v>
      </c>
      <c r="I7" s="49">
        <v>100</v>
      </c>
      <c r="J7" s="106">
        <f>IF(I7&gt;=H7,"RDP02",0)</f>
        <v>0</v>
      </c>
      <c r="K7" s="112" t="str">
        <f>IF(I7&lt;H7,"L1",0)</f>
        <v>L1</v>
      </c>
      <c r="L7" s="6"/>
      <c r="M7" s="41" t="s">
        <v>277</v>
      </c>
      <c r="N7" s="128"/>
      <c r="O7"/>
    </row>
    <row r="8" spans="3:15" ht="45.75" thickBot="1" x14ac:dyDescent="0.3">
      <c r="C8" s="78"/>
      <c r="D8" s="76"/>
      <c r="E8" s="72"/>
      <c r="F8" s="17" t="s">
        <v>60</v>
      </c>
      <c r="G8" s="25" t="s">
        <v>70</v>
      </c>
      <c r="H8" s="30">
        <v>1</v>
      </c>
      <c r="I8" s="49">
        <v>0.8</v>
      </c>
      <c r="J8" s="106" t="str">
        <f>IF(I8&lt;H8,"RDP02",0)</f>
        <v>RDP02</v>
      </c>
      <c r="K8" s="112">
        <f>IF(I8&gt;=H8,"Batal",0)</f>
        <v>0</v>
      </c>
      <c r="L8" s="6"/>
      <c r="M8" s="41" t="s">
        <v>218</v>
      </c>
      <c r="N8" s="126" t="s">
        <v>69</v>
      </c>
      <c r="O8"/>
    </row>
    <row r="9" spans="3:15" ht="39" thickBot="1" x14ac:dyDescent="0.3">
      <c r="C9" s="78"/>
      <c r="D9" s="76"/>
      <c r="E9" s="72"/>
      <c r="F9" s="17" t="s">
        <v>20</v>
      </c>
      <c r="G9" s="25" t="s">
        <v>61</v>
      </c>
      <c r="H9" s="6" t="s">
        <v>15</v>
      </c>
      <c r="I9" s="49" t="s">
        <v>16</v>
      </c>
      <c r="J9" s="106">
        <f>IF(I9=H9,"RKG01",0)</f>
        <v>0</v>
      </c>
      <c r="K9" s="112" t="str">
        <f>IF(I9=H9,0,"Batal")</f>
        <v>Batal</v>
      </c>
      <c r="L9" s="6"/>
      <c r="M9" s="42" t="s">
        <v>220</v>
      </c>
      <c r="N9" s="128" t="s">
        <v>222</v>
      </c>
      <c r="O9"/>
    </row>
    <row r="10" spans="3:15" ht="15.75" thickBot="1" x14ac:dyDescent="0.3">
      <c r="C10" s="78"/>
      <c r="D10" s="76"/>
      <c r="E10" s="72" t="s">
        <v>40</v>
      </c>
      <c r="F10" s="17" t="s">
        <v>14</v>
      </c>
      <c r="G10" s="25" t="s">
        <v>21</v>
      </c>
      <c r="H10" s="30">
        <v>150</v>
      </c>
      <c r="I10" s="49">
        <v>100</v>
      </c>
      <c r="J10" s="106">
        <f>IF(I10&gt;=H10,"RTM01",0)</f>
        <v>0</v>
      </c>
      <c r="K10" s="112" t="str">
        <f>IF(I10&lt;H10,"L1",0)</f>
        <v>L1</v>
      </c>
      <c r="L10" s="6"/>
      <c r="M10" s="41" t="s">
        <v>288</v>
      </c>
      <c r="N10" s="128"/>
      <c r="O10"/>
    </row>
    <row r="11" spans="3:15" ht="45.75" thickBot="1" x14ac:dyDescent="0.3">
      <c r="C11" s="78"/>
      <c r="D11" s="76"/>
      <c r="E11" s="72"/>
      <c r="F11" s="17" t="s">
        <v>75</v>
      </c>
      <c r="G11" s="25" t="s">
        <v>70</v>
      </c>
      <c r="H11" s="30">
        <v>1</v>
      </c>
      <c r="I11" s="49">
        <v>1</v>
      </c>
      <c r="J11" s="106">
        <f>IF(I11&lt;H11,"RTM01",0)</f>
        <v>0</v>
      </c>
      <c r="K11" s="112" t="str">
        <f>IF(I11&gt;=H11,"Batal",0)</f>
        <v>Batal</v>
      </c>
      <c r="L11" s="6"/>
      <c r="M11" s="41" t="s">
        <v>223</v>
      </c>
      <c r="N11" s="128" t="s">
        <v>69</v>
      </c>
      <c r="O11"/>
    </row>
    <row r="12" spans="3:15" ht="26.25" thickBot="1" x14ac:dyDescent="0.3">
      <c r="C12" s="79"/>
      <c r="D12" s="76"/>
      <c r="E12" s="72"/>
      <c r="F12" s="21" t="s">
        <v>28</v>
      </c>
      <c r="G12" s="26" t="s">
        <v>25</v>
      </c>
      <c r="H12" s="33" t="s">
        <v>8</v>
      </c>
      <c r="I12" s="50" t="s">
        <v>9</v>
      </c>
      <c r="J12" s="107">
        <f>IF(I12=H12,"Sofa",0)</f>
        <v>0</v>
      </c>
      <c r="K12" s="113" t="str">
        <f>IF(I12=H12,0,"Batal")</f>
        <v>Batal</v>
      </c>
      <c r="L12" s="22"/>
      <c r="M12" s="43" t="s">
        <v>215</v>
      </c>
      <c r="N12" s="129" t="s">
        <v>69</v>
      </c>
      <c r="O12"/>
    </row>
    <row r="13" spans="3:15" ht="15.75" thickBot="1" x14ac:dyDescent="0.3">
      <c r="C13" s="73" t="s">
        <v>89</v>
      </c>
      <c r="D13" s="102" t="s">
        <v>27</v>
      </c>
      <c r="E13" s="94" t="s">
        <v>24</v>
      </c>
      <c r="F13" s="20" t="s">
        <v>14</v>
      </c>
      <c r="G13" s="24" t="s">
        <v>21</v>
      </c>
      <c r="H13" s="29">
        <v>150</v>
      </c>
      <c r="I13" s="48">
        <v>100</v>
      </c>
      <c r="J13" s="105">
        <f>IF(I13&gt;=H13,"RKG01",0)</f>
        <v>0</v>
      </c>
      <c r="K13" s="111" t="str">
        <f>IF(I13&lt;H13,"L1",0)</f>
        <v>L1</v>
      </c>
      <c r="L13" s="5"/>
      <c r="M13" s="40" t="s">
        <v>287</v>
      </c>
      <c r="N13" s="130"/>
      <c r="O13"/>
    </row>
    <row r="14" spans="3:15" ht="45.75" thickBot="1" x14ac:dyDescent="0.3">
      <c r="C14" s="74"/>
      <c r="D14" s="102"/>
      <c r="E14" s="94"/>
      <c r="F14" s="17" t="s">
        <v>60</v>
      </c>
      <c r="G14" s="25" t="s">
        <v>70</v>
      </c>
      <c r="H14" s="30">
        <v>1.5</v>
      </c>
      <c r="I14" s="49">
        <v>1</v>
      </c>
      <c r="J14" s="106" t="str">
        <f>IF(I14&lt;H14,"RKG01",0)</f>
        <v>RKG01</v>
      </c>
      <c r="K14" s="112">
        <f>IF(I14&gt;=H14,"Batal",0)</f>
        <v>0</v>
      </c>
      <c r="L14" s="6"/>
      <c r="M14" s="41" t="s">
        <v>217</v>
      </c>
      <c r="N14" s="131"/>
      <c r="O14"/>
    </row>
    <row r="15" spans="3:15" ht="30.75" thickBot="1" x14ac:dyDescent="0.3">
      <c r="C15" s="74"/>
      <c r="D15" s="102"/>
      <c r="E15" s="94"/>
      <c r="F15" s="17" t="s">
        <v>20</v>
      </c>
      <c r="G15" s="25" t="s">
        <v>62</v>
      </c>
      <c r="H15" s="6" t="s">
        <v>15</v>
      </c>
      <c r="I15" s="49" t="s">
        <v>52</v>
      </c>
      <c r="J15" s="106">
        <f>IF(I15=H15,"RKG01",0)</f>
        <v>0</v>
      </c>
      <c r="K15" s="112" t="str">
        <f>IF(I15=H15,0,"RDP02")</f>
        <v>RDP02</v>
      </c>
      <c r="L15" s="6"/>
      <c r="M15" s="42" t="s">
        <v>224</v>
      </c>
      <c r="N15" s="127" t="s">
        <v>274</v>
      </c>
      <c r="O15"/>
    </row>
    <row r="16" spans="3:15" ht="26.25" thickBot="1" x14ac:dyDescent="0.3">
      <c r="C16" s="74"/>
      <c r="D16" s="102"/>
      <c r="E16" s="94"/>
      <c r="F16" s="17" t="s">
        <v>28</v>
      </c>
      <c r="G16" s="25" t="s">
        <v>7</v>
      </c>
      <c r="H16" s="31" t="s">
        <v>8</v>
      </c>
      <c r="I16" s="49" t="s">
        <v>9</v>
      </c>
      <c r="J16" s="106">
        <f t="shared" ref="J16" si="1">IF(I16=H16,"Kursi",0)</f>
        <v>0</v>
      </c>
      <c r="K16" s="112" t="str">
        <f>IF(I16=H16,0,"RTM01")</f>
        <v>RTM01</v>
      </c>
      <c r="L16" s="6"/>
      <c r="M16" s="41" t="s">
        <v>142</v>
      </c>
      <c r="N16" s="126"/>
      <c r="O16"/>
    </row>
    <row r="17" spans="3:15" ht="15.75" thickBot="1" x14ac:dyDescent="0.3">
      <c r="C17" s="74"/>
      <c r="D17" s="102"/>
      <c r="E17" s="72" t="s">
        <v>141</v>
      </c>
      <c r="F17" s="17" t="s">
        <v>14</v>
      </c>
      <c r="G17" s="25" t="s">
        <v>21</v>
      </c>
      <c r="H17" s="30">
        <v>150</v>
      </c>
      <c r="I17" s="49">
        <v>100</v>
      </c>
      <c r="J17" s="106">
        <f>IF(I17&gt;=H17,"RDP02",0)</f>
        <v>0</v>
      </c>
      <c r="K17" s="112" t="str">
        <f>IF(I17&lt;H17,"L1",0)</f>
        <v>L1</v>
      </c>
      <c r="L17" s="6"/>
      <c r="M17" s="41" t="s">
        <v>277</v>
      </c>
      <c r="N17" s="126" t="s">
        <v>214</v>
      </c>
      <c r="O17"/>
    </row>
    <row r="18" spans="3:15" ht="30.75" thickBot="1" x14ac:dyDescent="0.3">
      <c r="C18" s="74"/>
      <c r="D18" s="102"/>
      <c r="E18" s="72"/>
      <c r="F18" s="17" t="s">
        <v>60</v>
      </c>
      <c r="G18" s="25" t="s">
        <v>63</v>
      </c>
      <c r="H18" s="30">
        <v>1.5</v>
      </c>
      <c r="I18" s="49">
        <v>1.7</v>
      </c>
      <c r="J18" s="106">
        <f>IF(I18&lt;H18,"RDP02",0)</f>
        <v>0</v>
      </c>
      <c r="K18" s="112" t="str">
        <f>IF(I18&gt;=H18,"Batal",0)</f>
        <v>Batal</v>
      </c>
      <c r="L18" s="6"/>
      <c r="M18" s="41" t="s">
        <v>221</v>
      </c>
      <c r="N18" s="131"/>
      <c r="O18"/>
    </row>
    <row r="19" spans="3:15" ht="30.75" thickBot="1" x14ac:dyDescent="0.3">
      <c r="C19" s="74"/>
      <c r="D19" s="102"/>
      <c r="E19" s="72"/>
      <c r="F19" s="17" t="s">
        <v>20</v>
      </c>
      <c r="G19" s="25" t="s">
        <v>62</v>
      </c>
      <c r="H19" s="6" t="s">
        <v>15</v>
      </c>
      <c r="I19" s="49" t="s">
        <v>16</v>
      </c>
      <c r="J19" s="106">
        <f>IF(I19=H19,"RDP02",0)</f>
        <v>0</v>
      </c>
      <c r="K19" s="112" t="str">
        <f>IF(I19=H19,0,"Batal")</f>
        <v>Batal</v>
      </c>
      <c r="L19" s="38"/>
      <c r="M19" s="41" t="s">
        <v>301</v>
      </c>
      <c r="N19" s="126" t="s">
        <v>274</v>
      </c>
      <c r="O19"/>
    </row>
    <row r="20" spans="3:15" ht="15.75" thickBot="1" x14ac:dyDescent="0.3">
      <c r="C20" s="74"/>
      <c r="D20" s="102"/>
      <c r="E20" s="72" t="s">
        <v>40</v>
      </c>
      <c r="F20" s="17" t="s">
        <v>14</v>
      </c>
      <c r="G20" s="25" t="s">
        <v>21</v>
      </c>
      <c r="H20" s="30">
        <v>150</v>
      </c>
      <c r="I20" s="49">
        <v>100</v>
      </c>
      <c r="J20" s="106">
        <f>IF(I20&gt;=H20,"RTM01",0)</f>
        <v>0</v>
      </c>
      <c r="K20" s="112" t="str">
        <f>IF(I20&lt;H20,"L1",0)</f>
        <v>L1</v>
      </c>
      <c r="L20" s="6"/>
      <c r="M20" s="41" t="s">
        <v>288</v>
      </c>
      <c r="N20" s="131" t="s">
        <v>216</v>
      </c>
      <c r="O20"/>
    </row>
    <row r="21" spans="3:15" ht="45.75" thickBot="1" x14ac:dyDescent="0.3">
      <c r="C21" s="74"/>
      <c r="D21" s="102"/>
      <c r="E21" s="72"/>
      <c r="F21" s="17" t="s">
        <v>75</v>
      </c>
      <c r="G21" s="25" t="s">
        <v>70</v>
      </c>
      <c r="H21" s="30">
        <v>1</v>
      </c>
      <c r="I21" s="49">
        <v>1</v>
      </c>
      <c r="J21" s="106">
        <f>IF(I21&lt;H21,"Sofa",0)</f>
        <v>0</v>
      </c>
      <c r="K21" s="112" t="str">
        <f>IF(I21&gt;=H21,"Batal",0)</f>
        <v>Batal</v>
      </c>
      <c r="L21" s="6"/>
      <c r="M21" s="41" t="s">
        <v>302</v>
      </c>
      <c r="N21" s="131"/>
      <c r="O21"/>
    </row>
    <row r="22" spans="3:15" ht="26.25" thickBot="1" x14ac:dyDescent="0.3">
      <c r="C22" s="75"/>
      <c r="D22" s="102"/>
      <c r="E22" s="72"/>
      <c r="F22" s="21" t="s">
        <v>28</v>
      </c>
      <c r="G22" s="26" t="s">
        <v>25</v>
      </c>
      <c r="H22" s="33" t="s">
        <v>8</v>
      </c>
      <c r="I22" s="50" t="s">
        <v>9</v>
      </c>
      <c r="J22" s="107">
        <f>IF(I22=H22,"Sofa",0)</f>
        <v>0</v>
      </c>
      <c r="K22" s="113" t="str">
        <f>IF(I22=H22,0,"Batal")</f>
        <v>Batal</v>
      </c>
      <c r="L22" s="22"/>
      <c r="M22" s="43" t="s">
        <v>215</v>
      </c>
      <c r="N22" s="132"/>
      <c r="O22"/>
    </row>
    <row r="23" spans="3:15" ht="26.25" thickBot="1" x14ac:dyDescent="0.3">
      <c r="C23" s="73" t="s">
        <v>129</v>
      </c>
      <c r="D23" s="102" t="s">
        <v>29</v>
      </c>
      <c r="E23" s="94" t="s">
        <v>30</v>
      </c>
      <c r="F23" s="20" t="s">
        <v>28</v>
      </c>
      <c r="G23" s="24" t="s">
        <v>5</v>
      </c>
      <c r="H23" s="34" t="s">
        <v>6</v>
      </c>
      <c r="I23" s="48" t="s">
        <v>34</v>
      </c>
      <c r="J23" s="105">
        <f>IF(I23=H23,"RTU01",0)</f>
        <v>0</v>
      </c>
      <c r="K23" s="111" t="str">
        <f>IF(I23=H23,0,"Batal")</f>
        <v>Batal</v>
      </c>
      <c r="L23" s="5"/>
      <c r="M23" s="40" t="s">
        <v>79</v>
      </c>
      <c r="N23" s="133"/>
      <c r="O23"/>
    </row>
    <row r="24" spans="3:15" ht="30.75" thickBot="1" x14ac:dyDescent="0.3">
      <c r="C24" s="74"/>
      <c r="D24" s="102"/>
      <c r="E24" s="94"/>
      <c r="F24" s="17" t="s">
        <v>60</v>
      </c>
      <c r="G24" s="25" t="s">
        <v>63</v>
      </c>
      <c r="H24" s="30">
        <v>0.5</v>
      </c>
      <c r="I24" s="49">
        <v>0.2</v>
      </c>
      <c r="J24" s="106" t="str">
        <f>IF(I24&lt;H24,"RTU01",0)</f>
        <v>RTU01</v>
      </c>
      <c r="K24" s="112">
        <f>IF(I24&gt;=H24,"Batal",0)</f>
        <v>0</v>
      </c>
      <c r="L24" s="6" t="s">
        <v>318</v>
      </c>
      <c r="M24" s="41" t="s">
        <v>76</v>
      </c>
      <c r="N24" s="131"/>
      <c r="O24"/>
    </row>
    <row r="25" spans="3:15" ht="30.75" thickBot="1" x14ac:dyDescent="0.3">
      <c r="C25" s="74"/>
      <c r="D25" s="102"/>
      <c r="E25" s="94"/>
      <c r="F25" s="17" t="s">
        <v>251</v>
      </c>
      <c r="G25" s="25" t="s">
        <v>67</v>
      </c>
      <c r="H25" s="35">
        <v>25</v>
      </c>
      <c r="I25" s="49">
        <v>28</v>
      </c>
      <c r="J25" s="106">
        <f>IF(I25&lt;H25,"RTU01",0)</f>
        <v>0</v>
      </c>
      <c r="K25" s="112" t="str">
        <f>IF(I25&gt;H25,"E1",0)</f>
        <v>E1</v>
      </c>
      <c r="L25" s="6"/>
      <c r="M25" s="41" t="s">
        <v>242</v>
      </c>
      <c r="N25" s="131"/>
      <c r="O25"/>
    </row>
    <row r="26" spans="3:15" ht="30.75" thickBot="1" x14ac:dyDescent="0.3">
      <c r="C26" s="74"/>
      <c r="D26" s="102"/>
      <c r="E26" s="94"/>
      <c r="F26" s="17" t="s">
        <v>28</v>
      </c>
      <c r="G26" s="25" t="s">
        <v>31</v>
      </c>
      <c r="H26" s="31" t="s">
        <v>8</v>
      </c>
      <c r="I26" s="49" t="s">
        <v>8</v>
      </c>
      <c r="J26" s="106" t="str">
        <f>IF(I26=H26,"Tempat tidur",0)</f>
        <v>Tempat tidur</v>
      </c>
      <c r="K26" s="112">
        <f>IF(I26=H26,0,"Batal")</f>
        <v>0</v>
      </c>
      <c r="L26" s="6"/>
      <c r="M26" s="41" t="s">
        <v>77</v>
      </c>
      <c r="N26" s="131"/>
      <c r="O26"/>
    </row>
    <row r="27" spans="3:15" ht="15.75" thickBot="1" x14ac:dyDescent="0.3">
      <c r="C27" s="75"/>
      <c r="D27" s="102"/>
      <c r="E27" s="94"/>
      <c r="F27" s="16" t="s">
        <v>14</v>
      </c>
      <c r="G27" s="28" t="s">
        <v>21</v>
      </c>
      <c r="H27" s="37">
        <v>50</v>
      </c>
      <c r="I27" s="52">
        <v>150</v>
      </c>
      <c r="J27" s="108">
        <f>IF(I27&lt;=H27,"Tempat tidur",0)</f>
        <v>0</v>
      </c>
      <c r="K27" s="114" t="str">
        <f>IF(I27&gt;H27,"L2",0)</f>
        <v>L2</v>
      </c>
      <c r="L27" s="3" t="s">
        <v>137</v>
      </c>
      <c r="M27" s="46" t="s">
        <v>321</v>
      </c>
      <c r="N27" s="134"/>
      <c r="O27"/>
    </row>
    <row r="28" spans="3:15" ht="15.75" thickBot="1" x14ac:dyDescent="0.3">
      <c r="C28" s="73" t="s">
        <v>130</v>
      </c>
      <c r="D28" s="70" t="s">
        <v>32</v>
      </c>
      <c r="E28" s="94" t="s">
        <v>145</v>
      </c>
      <c r="F28" s="20" t="s">
        <v>14</v>
      </c>
      <c r="G28" s="24" t="s">
        <v>21</v>
      </c>
      <c r="H28" s="29">
        <v>150</v>
      </c>
      <c r="I28" s="48">
        <v>100</v>
      </c>
      <c r="J28" s="105">
        <f>IF(I28&gt;=H28,"Pintu",0)</f>
        <v>0</v>
      </c>
      <c r="K28" s="111" t="str">
        <f>IF(I28&lt;H28,"L1",0)</f>
        <v>L1</v>
      </c>
      <c r="L28" s="5"/>
      <c r="M28" s="40" t="s">
        <v>289</v>
      </c>
      <c r="N28" s="130"/>
      <c r="O28"/>
    </row>
    <row r="29" spans="3:15" ht="26.25" thickBot="1" x14ac:dyDescent="0.3">
      <c r="C29" s="74"/>
      <c r="D29" s="70"/>
      <c r="E29" s="94"/>
      <c r="F29" s="17" t="s">
        <v>28</v>
      </c>
      <c r="G29" s="25" t="s">
        <v>5</v>
      </c>
      <c r="H29" s="31" t="s">
        <v>6</v>
      </c>
      <c r="I29" s="49" t="s">
        <v>34</v>
      </c>
      <c r="J29" s="106">
        <f>IF(I29=H29,"Bak mandi",0)</f>
        <v>0</v>
      </c>
      <c r="K29" s="112" t="str">
        <f>IF(I29=H29,0,"RKM03")</f>
        <v>RKM03</v>
      </c>
      <c r="L29" s="6" t="s">
        <v>318</v>
      </c>
      <c r="M29" s="41" t="s">
        <v>146</v>
      </c>
      <c r="N29" s="131"/>
      <c r="O29"/>
    </row>
    <row r="30" spans="3:15" ht="39" thickBot="1" x14ac:dyDescent="0.3">
      <c r="C30" s="74"/>
      <c r="D30" s="70"/>
      <c r="E30" s="94"/>
      <c r="F30" s="17" t="s">
        <v>20</v>
      </c>
      <c r="G30" s="25" t="s">
        <v>64</v>
      </c>
      <c r="H30" s="6">
        <v>15</v>
      </c>
      <c r="I30" s="49">
        <v>5</v>
      </c>
      <c r="J30" s="106">
        <f>IF(I30&gt;=H30,"Kloset",0)</f>
        <v>0</v>
      </c>
      <c r="K30" s="112" t="str">
        <f>IF(I30&gt;=H30,0,"D1")</f>
        <v>D1</v>
      </c>
      <c r="L30" s="6" t="s">
        <v>322</v>
      </c>
      <c r="M30" s="41" t="s">
        <v>264</v>
      </c>
      <c r="N30" s="126" t="s">
        <v>272</v>
      </c>
      <c r="O30"/>
    </row>
    <row r="31" spans="3:15" ht="15.75" thickBot="1" x14ac:dyDescent="0.3">
      <c r="C31" s="74"/>
      <c r="D31" s="70"/>
      <c r="E31" s="72" t="s">
        <v>147</v>
      </c>
      <c r="F31" s="17" t="s">
        <v>14</v>
      </c>
      <c r="G31" s="25" t="s">
        <v>21</v>
      </c>
      <c r="H31" s="30">
        <v>150</v>
      </c>
      <c r="I31" s="49">
        <v>100</v>
      </c>
      <c r="J31" s="106">
        <f>IF(I31&gt;=H31,"Pintu",0)</f>
        <v>0</v>
      </c>
      <c r="K31" s="112" t="str">
        <f>IF(I31&lt;H31,"L1",0)</f>
        <v>L1</v>
      </c>
      <c r="L31" s="6"/>
      <c r="M31" s="41" t="s">
        <v>289</v>
      </c>
      <c r="N31" s="126"/>
      <c r="O31"/>
    </row>
    <row r="32" spans="3:15" ht="26.25" thickBot="1" x14ac:dyDescent="0.3">
      <c r="C32" s="74"/>
      <c r="D32" s="70"/>
      <c r="E32" s="72"/>
      <c r="F32" s="17" t="s">
        <v>28</v>
      </c>
      <c r="G32" s="25" t="s">
        <v>5</v>
      </c>
      <c r="H32" s="31" t="s">
        <v>6</v>
      </c>
      <c r="I32" s="49" t="s">
        <v>34</v>
      </c>
      <c r="J32" s="106">
        <f>IF(I32=H32,"Bak mandi",0)</f>
        <v>0</v>
      </c>
      <c r="K32" s="112" t="str">
        <f>IF(I32=H32,0,"Batal")</f>
        <v>Batal</v>
      </c>
      <c r="L32" s="6" t="s">
        <v>318</v>
      </c>
      <c r="M32" s="41" t="s">
        <v>78</v>
      </c>
      <c r="N32" s="126"/>
      <c r="O32"/>
    </row>
    <row r="33" spans="3:15" ht="39" thickBot="1" x14ac:dyDescent="0.3">
      <c r="C33" s="75"/>
      <c r="D33" s="70"/>
      <c r="E33" s="72"/>
      <c r="F33" s="21" t="s">
        <v>20</v>
      </c>
      <c r="G33" s="26" t="s">
        <v>64</v>
      </c>
      <c r="H33" s="4">
        <v>15</v>
      </c>
      <c r="I33" s="50">
        <v>5</v>
      </c>
      <c r="J33" s="107">
        <f>IF(I33&gt;=H33,"Kloset",0)</f>
        <v>0</v>
      </c>
      <c r="K33" s="113" t="str">
        <f>IF(I33&gt;=H33,0,"D1")</f>
        <v>D1</v>
      </c>
      <c r="L33" s="4" t="s">
        <v>322</v>
      </c>
      <c r="M33" s="43" t="s">
        <v>264</v>
      </c>
      <c r="N33" s="126" t="s">
        <v>272</v>
      </c>
      <c r="O33"/>
    </row>
    <row r="34" spans="3:15" ht="15.75" thickBot="1" x14ac:dyDescent="0.3">
      <c r="C34" s="73" t="s">
        <v>131</v>
      </c>
      <c r="D34" s="70" t="s">
        <v>35</v>
      </c>
      <c r="E34" s="94" t="s">
        <v>145</v>
      </c>
      <c r="F34" s="20" t="s">
        <v>14</v>
      </c>
      <c r="G34" s="24" t="s">
        <v>21</v>
      </c>
      <c r="H34" s="29">
        <v>150</v>
      </c>
      <c r="I34" s="48">
        <v>100</v>
      </c>
      <c r="J34" s="105">
        <f>IF(I34&gt;=H34,"Pintu",0)</f>
        <v>0</v>
      </c>
      <c r="K34" s="111" t="str">
        <f>IF(I34&lt;H34,"L1",0)</f>
        <v>L1</v>
      </c>
      <c r="L34" s="5"/>
      <c r="M34" s="40" t="s">
        <v>289</v>
      </c>
      <c r="N34" s="130"/>
      <c r="O34"/>
    </row>
    <row r="35" spans="3:15" ht="26.25" thickBot="1" x14ac:dyDescent="0.3">
      <c r="C35" s="74"/>
      <c r="D35" s="71"/>
      <c r="E35" s="94"/>
      <c r="F35" s="17" t="s">
        <v>28</v>
      </c>
      <c r="G35" s="25" t="s">
        <v>5</v>
      </c>
      <c r="H35" s="31" t="s">
        <v>6</v>
      </c>
      <c r="I35" s="49" t="s">
        <v>34</v>
      </c>
      <c r="J35" s="106">
        <f>IF(I35=H35,"Bak mandi",0)</f>
        <v>0</v>
      </c>
      <c r="K35" s="112" t="str">
        <f>IF(I35=H35,0,"RKM03")</f>
        <v>RKM03</v>
      </c>
      <c r="L35" s="6" t="s">
        <v>318</v>
      </c>
      <c r="M35" s="41" t="s">
        <v>146</v>
      </c>
      <c r="N35" s="131"/>
      <c r="O35"/>
    </row>
    <row r="36" spans="3:15" ht="38.25" x14ac:dyDescent="0.25">
      <c r="C36" s="74"/>
      <c r="D36" s="71"/>
      <c r="E36" s="94"/>
      <c r="F36" s="17" t="s">
        <v>20</v>
      </c>
      <c r="G36" s="25" t="s">
        <v>64</v>
      </c>
      <c r="H36" s="6">
        <v>15</v>
      </c>
      <c r="I36" s="49">
        <v>5</v>
      </c>
      <c r="J36" s="106">
        <f>IF(I36&gt;=H36,"Kloset",0)</f>
        <v>0</v>
      </c>
      <c r="K36" s="112" t="str">
        <f>IF(I36&gt;=H36,0,"D1")</f>
        <v>D1</v>
      </c>
      <c r="L36" s="6" t="s">
        <v>322</v>
      </c>
      <c r="M36" s="41" t="s">
        <v>264</v>
      </c>
      <c r="N36" s="126" t="s">
        <v>272</v>
      </c>
      <c r="O36"/>
    </row>
    <row r="37" spans="3:15" x14ac:dyDescent="0.25">
      <c r="C37" s="74"/>
      <c r="D37" s="71"/>
      <c r="E37" s="72" t="s">
        <v>147</v>
      </c>
      <c r="F37" s="17" t="s">
        <v>14</v>
      </c>
      <c r="G37" s="25" t="s">
        <v>21</v>
      </c>
      <c r="H37" s="30">
        <v>150</v>
      </c>
      <c r="I37" s="49">
        <v>100</v>
      </c>
      <c r="J37" s="108">
        <f>IF(I37&gt;=H37,"Pintu",0)</f>
        <v>0</v>
      </c>
      <c r="K37" s="114" t="str">
        <f>IF(I37&lt;H37,"L1",0)</f>
        <v>L1</v>
      </c>
      <c r="L37" s="6"/>
      <c r="M37" s="41" t="s">
        <v>289</v>
      </c>
      <c r="N37" s="126"/>
      <c r="O37"/>
    </row>
    <row r="38" spans="3:15" ht="25.5" x14ac:dyDescent="0.25">
      <c r="C38" s="74"/>
      <c r="D38" s="71"/>
      <c r="E38" s="95"/>
      <c r="F38" s="17" t="s">
        <v>28</v>
      </c>
      <c r="G38" s="25" t="s">
        <v>5</v>
      </c>
      <c r="H38" s="31" t="s">
        <v>6</v>
      </c>
      <c r="I38" s="49" t="s">
        <v>34</v>
      </c>
      <c r="J38" s="106">
        <f>IF(I38=H38,"Bak mandi",0)</f>
        <v>0</v>
      </c>
      <c r="K38" s="112" t="str">
        <f>IF(I38=H38,0,"Batal")</f>
        <v>Batal</v>
      </c>
      <c r="L38" s="6" t="s">
        <v>318</v>
      </c>
      <c r="M38" s="41" t="s">
        <v>78</v>
      </c>
      <c r="N38" s="126"/>
      <c r="O38"/>
    </row>
    <row r="39" spans="3:15" ht="39" thickBot="1" x14ac:dyDescent="0.3">
      <c r="C39" s="75"/>
      <c r="D39" s="97"/>
      <c r="E39" s="96"/>
      <c r="F39" s="21" t="s">
        <v>20</v>
      </c>
      <c r="G39" s="26" t="s">
        <v>64</v>
      </c>
      <c r="H39" s="4">
        <v>15</v>
      </c>
      <c r="I39" s="50">
        <v>5</v>
      </c>
      <c r="J39" s="107">
        <f>IF(I39&gt;=H39,"Kloset",0)</f>
        <v>0</v>
      </c>
      <c r="K39" s="113" t="str">
        <f>IF(I39&gt;=H39,0,"D1")</f>
        <v>D1</v>
      </c>
      <c r="L39" s="4" t="s">
        <v>322</v>
      </c>
      <c r="M39" s="43" t="s">
        <v>264</v>
      </c>
      <c r="N39" s="135" t="s">
        <v>272</v>
      </c>
      <c r="O39"/>
    </row>
    <row r="40" spans="3:15" x14ac:dyDescent="0.25">
      <c r="C40" s="73" t="s">
        <v>132</v>
      </c>
      <c r="D40" s="70" t="s">
        <v>36</v>
      </c>
      <c r="E40" s="94" t="s">
        <v>145</v>
      </c>
      <c r="F40" s="20" t="s">
        <v>14</v>
      </c>
      <c r="G40" s="24" t="s">
        <v>21</v>
      </c>
      <c r="H40" s="29">
        <v>150</v>
      </c>
      <c r="I40" s="48">
        <v>100</v>
      </c>
      <c r="J40" s="105">
        <f>IF(I40&gt;=H40,"Pintu",0)</f>
        <v>0</v>
      </c>
      <c r="K40" s="111" t="str">
        <f>IF(I40&lt;H40,"L1",0)</f>
        <v>L1</v>
      </c>
      <c r="L40" s="5"/>
      <c r="M40" s="40" t="s">
        <v>289</v>
      </c>
      <c r="N40" s="130"/>
      <c r="O40"/>
    </row>
    <row r="41" spans="3:15" ht="25.5" x14ac:dyDescent="0.25">
      <c r="C41" s="74"/>
      <c r="D41" s="71"/>
      <c r="E41" s="95"/>
      <c r="F41" s="17" t="s">
        <v>28</v>
      </c>
      <c r="G41" s="25" t="s">
        <v>5</v>
      </c>
      <c r="H41" s="31" t="s">
        <v>6</v>
      </c>
      <c r="I41" s="49" t="s">
        <v>34</v>
      </c>
      <c r="J41" s="106">
        <f>IF(I41=H41,"Bak mandi",0)</f>
        <v>0</v>
      </c>
      <c r="K41" s="112" t="str">
        <f>IF(I41=H41,0,"RMK03")</f>
        <v>RMK03</v>
      </c>
      <c r="L41" s="6" t="s">
        <v>318</v>
      </c>
      <c r="M41" s="41" t="s">
        <v>146</v>
      </c>
      <c r="N41" s="131"/>
      <c r="O41"/>
    </row>
    <row r="42" spans="3:15" ht="38.25" x14ac:dyDescent="0.25">
      <c r="C42" s="74"/>
      <c r="D42" s="71"/>
      <c r="E42" s="91"/>
      <c r="F42" s="17" t="s">
        <v>20</v>
      </c>
      <c r="G42" s="25" t="s">
        <v>64</v>
      </c>
      <c r="H42" s="6">
        <v>90</v>
      </c>
      <c r="I42" s="49">
        <v>10</v>
      </c>
      <c r="J42" s="106">
        <f>IF(I42&gt;=H42,"Bak mandi",0)</f>
        <v>0</v>
      </c>
      <c r="K42" s="112" t="str">
        <f>IF(I42&gt;=H42,0,"D1")</f>
        <v>D1</v>
      </c>
      <c r="L42" s="6" t="s">
        <v>322</v>
      </c>
      <c r="M42" s="41" t="s">
        <v>263</v>
      </c>
      <c r="N42" s="126" t="s">
        <v>272</v>
      </c>
      <c r="O42"/>
    </row>
    <row r="43" spans="3:15" x14ac:dyDescent="0.25">
      <c r="C43" s="74"/>
      <c r="D43" s="71"/>
      <c r="E43" s="72" t="s">
        <v>147</v>
      </c>
      <c r="F43" s="17" t="s">
        <v>14</v>
      </c>
      <c r="G43" s="25" t="s">
        <v>21</v>
      </c>
      <c r="H43" s="30">
        <v>150</v>
      </c>
      <c r="I43" s="49">
        <v>100</v>
      </c>
      <c r="J43" s="106">
        <f>IF(I43&gt;=H43,"Pintu",0)</f>
        <v>0</v>
      </c>
      <c r="K43" s="112" t="str">
        <f>IF(I43&lt;H43,"L1",0)</f>
        <v>L1</v>
      </c>
      <c r="L43" s="6"/>
      <c r="M43" s="41" t="s">
        <v>289</v>
      </c>
      <c r="N43" s="126"/>
      <c r="O43"/>
    </row>
    <row r="44" spans="3:15" ht="25.5" x14ac:dyDescent="0.25">
      <c r="C44" s="74"/>
      <c r="D44" s="71"/>
      <c r="E44" s="95"/>
      <c r="F44" s="17" t="s">
        <v>28</v>
      </c>
      <c r="G44" s="25" t="s">
        <v>5</v>
      </c>
      <c r="H44" s="31" t="s">
        <v>6</v>
      </c>
      <c r="I44" s="49" t="s">
        <v>34</v>
      </c>
      <c r="J44" s="106">
        <f>IF(I44=H44,"Bak mandi",0)</f>
        <v>0</v>
      </c>
      <c r="K44" s="112" t="str">
        <f>IF(I44=H44,0,"Batal")</f>
        <v>Batal</v>
      </c>
      <c r="L44" s="6" t="s">
        <v>318</v>
      </c>
      <c r="M44" s="41" t="s">
        <v>78</v>
      </c>
      <c r="N44" s="126"/>
      <c r="O44"/>
    </row>
    <row r="45" spans="3:15" ht="39" thickBot="1" x14ac:dyDescent="0.3">
      <c r="C45" s="75"/>
      <c r="D45" s="97"/>
      <c r="E45" s="96"/>
      <c r="F45" s="55" t="s">
        <v>20</v>
      </c>
      <c r="G45" s="25" t="s">
        <v>64</v>
      </c>
      <c r="H45" s="6">
        <v>90</v>
      </c>
      <c r="I45" s="49">
        <v>10</v>
      </c>
      <c r="J45" s="106">
        <f>IF(I45&gt;=H45,"Bak mandi",0)</f>
        <v>0</v>
      </c>
      <c r="K45" s="112" t="str">
        <f>IF(I45&gt;=H45,0,"D1")</f>
        <v>D1</v>
      </c>
      <c r="L45" s="4" t="s">
        <v>322</v>
      </c>
      <c r="M45" s="41" t="s">
        <v>263</v>
      </c>
      <c r="N45" s="135" t="s">
        <v>272</v>
      </c>
      <c r="O45"/>
    </row>
    <row r="46" spans="3:15" ht="15" customHeight="1" x14ac:dyDescent="0.25">
      <c r="C46" s="92" t="s">
        <v>252</v>
      </c>
      <c r="D46" s="70" t="s">
        <v>253</v>
      </c>
      <c r="E46" s="94" t="s">
        <v>30</v>
      </c>
      <c r="F46" s="20" t="s">
        <v>14</v>
      </c>
      <c r="G46" s="24" t="s">
        <v>21</v>
      </c>
      <c r="H46" s="29">
        <v>150</v>
      </c>
      <c r="I46" s="48">
        <v>100</v>
      </c>
      <c r="J46" s="105">
        <f>IF(I46&gt;=H46,"Pintu",0)</f>
        <v>0</v>
      </c>
      <c r="K46" s="111" t="str">
        <f>IF(I46&lt;H46,"L1",0)</f>
        <v>L1</v>
      </c>
      <c r="L46" s="5"/>
      <c r="M46" s="40" t="s">
        <v>289</v>
      </c>
      <c r="N46" s="130"/>
      <c r="O46"/>
    </row>
    <row r="47" spans="3:15" ht="25.5" x14ac:dyDescent="0.25">
      <c r="C47" s="81"/>
      <c r="D47" s="71"/>
      <c r="E47" s="95"/>
      <c r="F47" s="16" t="s">
        <v>28</v>
      </c>
      <c r="G47" s="28" t="s">
        <v>5</v>
      </c>
      <c r="H47" s="56" t="s">
        <v>6</v>
      </c>
      <c r="I47" s="52" t="s">
        <v>34</v>
      </c>
      <c r="J47" s="108">
        <f>IF(I47=H47,"RTU01",0)</f>
        <v>0</v>
      </c>
      <c r="K47" s="114" t="str">
        <f>IF(I47=H47,0,"Batal")</f>
        <v>Batal</v>
      </c>
      <c r="L47" s="3"/>
      <c r="M47" s="46" t="s">
        <v>79</v>
      </c>
      <c r="N47" s="136"/>
      <c r="O47"/>
    </row>
    <row r="48" spans="3:15" ht="30.75" thickBot="1" x14ac:dyDescent="0.3">
      <c r="C48" s="82"/>
      <c r="D48" s="97"/>
      <c r="E48" s="96"/>
      <c r="F48" s="17" t="s">
        <v>60</v>
      </c>
      <c r="G48" s="25" t="s">
        <v>63</v>
      </c>
      <c r="H48" s="30">
        <v>0.5</v>
      </c>
      <c r="I48" s="49">
        <v>0.2</v>
      </c>
      <c r="J48" s="106" t="str">
        <f>IF(I48&lt;H48,"RTU01",0)</f>
        <v>RTU01</v>
      </c>
      <c r="K48" s="112">
        <f>IF(I48&gt;=H48,"Batal",0)</f>
        <v>0</v>
      </c>
      <c r="L48" s="6" t="s">
        <v>323</v>
      </c>
      <c r="M48" s="41" t="s">
        <v>81</v>
      </c>
      <c r="N48" s="131"/>
      <c r="O48"/>
    </row>
    <row r="49" spans="3:15" ht="30.75" thickBot="1" x14ac:dyDescent="0.3">
      <c r="C49" s="54" t="s">
        <v>138</v>
      </c>
      <c r="D49" s="58" t="s">
        <v>108</v>
      </c>
      <c r="E49" s="57" t="s">
        <v>106</v>
      </c>
      <c r="F49" s="20" t="s">
        <v>14</v>
      </c>
      <c r="G49" s="24" t="s">
        <v>21</v>
      </c>
      <c r="H49" s="29">
        <v>60</v>
      </c>
      <c r="I49" s="48">
        <v>100</v>
      </c>
      <c r="J49" s="105" t="str">
        <f>IF(I49&gt;H49,"L2",0)</f>
        <v>L2</v>
      </c>
      <c r="K49" s="111">
        <f>IF(I49&lt;=H49,"Batal",0)</f>
        <v>0</v>
      </c>
      <c r="L49" s="7"/>
      <c r="M49" s="40" t="s">
        <v>290</v>
      </c>
      <c r="N49" s="130"/>
      <c r="O49"/>
    </row>
    <row r="50" spans="3:15" x14ac:dyDescent="0.25">
      <c r="C50" s="83" t="s">
        <v>109</v>
      </c>
      <c r="D50" s="70" t="s">
        <v>54</v>
      </c>
      <c r="E50" s="94" t="s">
        <v>42</v>
      </c>
      <c r="F50" s="20" t="s">
        <v>14</v>
      </c>
      <c r="G50" s="24" t="s">
        <v>21</v>
      </c>
      <c r="H50" s="29">
        <v>100</v>
      </c>
      <c r="I50" s="48">
        <v>60</v>
      </c>
      <c r="J50" s="105">
        <f>IF(I50&gt;=H50,"RTS01",0)</f>
        <v>0</v>
      </c>
      <c r="K50" s="111" t="str">
        <f>IF(I50&lt;H50,"Batal",0)</f>
        <v>Batal</v>
      </c>
      <c r="L50" s="5"/>
      <c r="M50" s="44" t="s">
        <v>303</v>
      </c>
      <c r="N50" s="130"/>
      <c r="O50"/>
    </row>
    <row r="51" spans="3:15" ht="26.25" thickBot="1" x14ac:dyDescent="0.3">
      <c r="C51" s="84"/>
      <c r="D51" s="97"/>
      <c r="E51" s="96"/>
      <c r="F51" s="17" t="s">
        <v>28</v>
      </c>
      <c r="G51" s="25" t="s">
        <v>5</v>
      </c>
      <c r="H51" s="31" t="s">
        <v>6</v>
      </c>
      <c r="I51" s="49" t="s">
        <v>34</v>
      </c>
      <c r="J51" s="106">
        <f>IF(I51=H51,"RTS01",0)</f>
        <v>0</v>
      </c>
      <c r="K51" s="112" t="str">
        <f>IF(I51=H51,0,"R1")</f>
        <v>R1</v>
      </c>
      <c r="L51" s="6" t="s">
        <v>318</v>
      </c>
      <c r="M51" s="41" t="s">
        <v>327</v>
      </c>
      <c r="N51" s="131"/>
      <c r="O51"/>
    </row>
    <row r="52" spans="3:15" ht="25.5" x14ac:dyDescent="0.25">
      <c r="C52" s="67" t="s">
        <v>164</v>
      </c>
      <c r="D52" s="70" t="s">
        <v>46</v>
      </c>
      <c r="E52" s="94" t="s">
        <v>30</v>
      </c>
      <c r="F52" s="20" t="s">
        <v>28</v>
      </c>
      <c r="G52" s="24" t="s">
        <v>5</v>
      </c>
      <c r="H52" s="34" t="s">
        <v>6</v>
      </c>
      <c r="I52" s="48" t="s">
        <v>34</v>
      </c>
      <c r="J52" s="105">
        <f>IF(I52=H52,"RTU01",0)</f>
        <v>0</v>
      </c>
      <c r="K52" s="111" t="str">
        <f>IF(I52=H52,0,"Batal")</f>
        <v>Batal</v>
      </c>
      <c r="L52" s="5"/>
      <c r="M52" s="40" t="s">
        <v>79</v>
      </c>
      <c r="N52" s="130"/>
      <c r="O52"/>
    </row>
    <row r="53" spans="3:15" x14ac:dyDescent="0.25">
      <c r="C53" s="68"/>
      <c r="D53" s="71"/>
      <c r="E53" s="95"/>
      <c r="F53" s="17" t="s">
        <v>14</v>
      </c>
      <c r="G53" s="25" t="s">
        <v>21</v>
      </c>
      <c r="H53" s="30">
        <v>150</v>
      </c>
      <c r="I53" s="49">
        <v>100</v>
      </c>
      <c r="J53" s="106">
        <f>IF(I53&gt;=H53,"RTU01",0)</f>
        <v>0</v>
      </c>
      <c r="K53" s="112" t="str">
        <f>IF(I53&lt;H53,"L1",0)</f>
        <v>L1</v>
      </c>
      <c r="L53" s="6"/>
      <c r="M53" s="41" t="s">
        <v>291</v>
      </c>
      <c r="N53" s="131"/>
      <c r="O53"/>
    </row>
    <row r="54" spans="3:15" ht="30.75" thickBot="1" x14ac:dyDescent="0.3">
      <c r="C54" s="69"/>
      <c r="D54" s="97"/>
      <c r="E54" s="96"/>
      <c r="F54" s="21" t="s">
        <v>60</v>
      </c>
      <c r="G54" s="26" t="s">
        <v>63</v>
      </c>
      <c r="H54" s="32">
        <v>0.5</v>
      </c>
      <c r="I54" s="50">
        <v>0.2</v>
      </c>
      <c r="J54" s="107" t="str">
        <f>IF(I54&lt;H54,"RTU01",0)</f>
        <v>RTU01</v>
      </c>
      <c r="K54" s="113">
        <f>IF(I54&gt;=H54,"Batal",0)</f>
        <v>0</v>
      </c>
      <c r="L54" s="4"/>
      <c r="M54" s="43" t="s">
        <v>76</v>
      </c>
      <c r="N54" s="132" t="s">
        <v>68</v>
      </c>
      <c r="O54"/>
    </row>
    <row r="55" spans="3:15" ht="25.5" x14ac:dyDescent="0.25">
      <c r="C55" s="67" t="s">
        <v>165</v>
      </c>
      <c r="D55" s="70" t="s">
        <v>47</v>
      </c>
      <c r="E55" s="94" t="s">
        <v>48</v>
      </c>
      <c r="F55" s="20" t="s">
        <v>28</v>
      </c>
      <c r="G55" s="24" t="s">
        <v>5</v>
      </c>
      <c r="H55" s="34" t="s">
        <v>6</v>
      </c>
      <c r="I55" s="48" t="s">
        <v>34</v>
      </c>
      <c r="J55" s="105">
        <f>IF(I55=H55,"RTU02",0)</f>
        <v>0</v>
      </c>
      <c r="K55" s="111" t="str">
        <f>IF(I55=H55,0,"Batal")</f>
        <v>Batal</v>
      </c>
      <c r="L55" s="5"/>
      <c r="M55" s="40" t="s">
        <v>82</v>
      </c>
      <c r="N55" s="130"/>
      <c r="O55"/>
    </row>
    <row r="56" spans="3:15" x14ac:dyDescent="0.25">
      <c r="C56" s="68"/>
      <c r="D56" s="71"/>
      <c r="E56" s="95"/>
      <c r="F56" s="17" t="s">
        <v>14</v>
      </c>
      <c r="G56" s="25" t="s">
        <v>21</v>
      </c>
      <c r="H56" s="30">
        <v>150</v>
      </c>
      <c r="I56" s="49">
        <v>100</v>
      </c>
      <c r="J56" s="106">
        <f>IF(I56&gt;=H56,"RTU02",0)</f>
        <v>0</v>
      </c>
      <c r="K56" s="112" t="str">
        <f>IF(I56&lt;H56,"L1",0)</f>
        <v>L1</v>
      </c>
      <c r="L56" s="6"/>
      <c r="M56" s="41" t="s">
        <v>292</v>
      </c>
      <c r="N56" s="131"/>
      <c r="O56"/>
    </row>
    <row r="57" spans="3:15" ht="30.75" thickBot="1" x14ac:dyDescent="0.3">
      <c r="C57" s="69"/>
      <c r="D57" s="97"/>
      <c r="E57" s="96"/>
      <c r="F57" s="21" t="s">
        <v>60</v>
      </c>
      <c r="G57" s="26" t="s">
        <v>63</v>
      </c>
      <c r="H57" s="32">
        <v>0.5</v>
      </c>
      <c r="I57" s="50">
        <v>1</v>
      </c>
      <c r="J57" s="107">
        <f>IF(I57&lt;H57,"RTU02",0)</f>
        <v>0</v>
      </c>
      <c r="K57" s="113" t="str">
        <f>IF(I57&gt;=H57,"Batal",0)</f>
        <v>Batal</v>
      </c>
      <c r="L57" s="4"/>
      <c r="M57" s="43" t="s">
        <v>231</v>
      </c>
      <c r="N57" s="132" t="s">
        <v>68</v>
      </c>
      <c r="O57"/>
    </row>
    <row r="58" spans="3:15" x14ac:dyDescent="0.25">
      <c r="C58" s="67" t="s">
        <v>166</v>
      </c>
      <c r="D58" s="70" t="s">
        <v>148</v>
      </c>
      <c r="E58" s="94" t="s">
        <v>171</v>
      </c>
      <c r="F58" s="20" t="s">
        <v>14</v>
      </c>
      <c r="G58" s="24" t="s">
        <v>21</v>
      </c>
      <c r="H58" s="29">
        <v>150</v>
      </c>
      <c r="I58" s="48">
        <v>100</v>
      </c>
      <c r="J58" s="105">
        <f>IF(I58&gt;=H58,"RKJ01",0)</f>
        <v>0</v>
      </c>
      <c r="K58" s="111" t="str">
        <f>IF(I58&lt;H58,"L1",0)</f>
        <v>L1</v>
      </c>
      <c r="L58" s="5"/>
      <c r="M58" s="40" t="s">
        <v>293</v>
      </c>
      <c r="N58" s="130"/>
      <c r="O58"/>
    </row>
    <row r="59" spans="3:15" ht="30.75" thickBot="1" x14ac:dyDescent="0.3">
      <c r="C59" s="68"/>
      <c r="D59" s="97"/>
      <c r="E59" s="96"/>
      <c r="F59" s="21" t="s">
        <v>60</v>
      </c>
      <c r="G59" s="26" t="s">
        <v>63</v>
      </c>
      <c r="H59" s="32">
        <v>1</v>
      </c>
      <c r="I59" s="50">
        <v>1</v>
      </c>
      <c r="J59" s="107">
        <f>IF(I59&lt;H59,"RKJ1",0)</f>
        <v>0</v>
      </c>
      <c r="K59" s="113" t="str">
        <f>IF(I59&gt;=H59,"Batal",0)</f>
        <v>Batal</v>
      </c>
      <c r="L59" s="4"/>
      <c r="M59" s="43" t="s">
        <v>233</v>
      </c>
      <c r="N59" s="132" t="s">
        <v>68</v>
      </c>
      <c r="O59"/>
    </row>
    <row r="60" spans="3:15" x14ac:dyDescent="0.25">
      <c r="C60" s="67" t="s">
        <v>110</v>
      </c>
      <c r="D60" s="70" t="s">
        <v>149</v>
      </c>
      <c r="E60" s="94" t="s">
        <v>143</v>
      </c>
      <c r="F60" s="20" t="s">
        <v>14</v>
      </c>
      <c r="G60" s="24" t="s">
        <v>21</v>
      </c>
      <c r="H60" s="29">
        <v>150</v>
      </c>
      <c r="I60" s="48">
        <v>100</v>
      </c>
      <c r="J60" s="105">
        <f>IF(I60&gt;=H60,"Pintu",0)</f>
        <v>0</v>
      </c>
      <c r="K60" s="111" t="str">
        <f>IF(I60&lt;H60,"L1",0)</f>
        <v>L1</v>
      </c>
      <c r="L60" s="5"/>
      <c r="M60" s="40" t="s">
        <v>289</v>
      </c>
      <c r="N60" s="137" t="s">
        <v>104</v>
      </c>
      <c r="O60"/>
    </row>
    <row r="61" spans="3:15" ht="25.5" x14ac:dyDescent="0.25">
      <c r="C61" s="68"/>
      <c r="D61" s="71"/>
      <c r="E61" s="95"/>
      <c r="F61" s="17" t="s">
        <v>28</v>
      </c>
      <c r="G61" s="25" t="s">
        <v>5</v>
      </c>
      <c r="H61" s="31" t="s">
        <v>6</v>
      </c>
      <c r="I61" s="49" t="s">
        <v>6</v>
      </c>
      <c r="J61" s="106" t="str">
        <f>IF(I61=H61,"RBK01",0)</f>
        <v>RBK01</v>
      </c>
      <c r="K61" s="112">
        <f>IF(I61=H61,0,"R1")</f>
        <v>0</v>
      </c>
      <c r="L61" s="6"/>
      <c r="M61" s="41" t="s">
        <v>328</v>
      </c>
      <c r="N61" s="138"/>
      <c r="O61"/>
    </row>
    <row r="62" spans="3:15" ht="30.75" thickBot="1" x14ac:dyDescent="0.3">
      <c r="C62" s="69"/>
      <c r="D62" s="97"/>
      <c r="E62" s="96"/>
      <c r="F62" s="21" t="s">
        <v>60</v>
      </c>
      <c r="G62" s="26" t="s">
        <v>63</v>
      </c>
      <c r="H62" s="32">
        <v>1</v>
      </c>
      <c r="I62" s="50">
        <v>0.5</v>
      </c>
      <c r="J62" s="107" t="str">
        <f>IF(I62&lt;H62,"RBK01",0)</f>
        <v>RBK01</v>
      </c>
      <c r="K62" s="113">
        <f>IF(I62&gt;=H62,"Batal",0)</f>
        <v>0</v>
      </c>
      <c r="L62" s="4"/>
      <c r="M62" s="43" t="s">
        <v>232</v>
      </c>
      <c r="N62" s="139"/>
      <c r="O62"/>
    </row>
    <row r="63" spans="3:15" x14ac:dyDescent="0.25">
      <c r="C63" s="67" t="s">
        <v>167</v>
      </c>
      <c r="D63" s="70" t="s">
        <v>150</v>
      </c>
      <c r="E63" s="94" t="s">
        <v>17</v>
      </c>
      <c r="F63" s="20" t="s">
        <v>14</v>
      </c>
      <c r="G63" s="24" t="s">
        <v>21</v>
      </c>
      <c r="H63" s="29">
        <v>150</v>
      </c>
      <c r="I63" s="48">
        <v>150</v>
      </c>
      <c r="J63" s="105" t="str">
        <f>IF(I63&gt;=H63,"RDP01",0)</f>
        <v>RDP01</v>
      </c>
      <c r="K63" s="111">
        <f>IF(I63&lt;H63,"L1",0)</f>
        <v>0</v>
      </c>
      <c r="L63" s="5"/>
      <c r="M63" s="40" t="s">
        <v>294</v>
      </c>
      <c r="N63" s="130"/>
      <c r="O63"/>
    </row>
    <row r="64" spans="3:15" ht="25.5" x14ac:dyDescent="0.25">
      <c r="C64" s="68"/>
      <c r="D64" s="71"/>
      <c r="E64" s="95"/>
      <c r="F64" s="17" t="s">
        <v>28</v>
      </c>
      <c r="G64" s="25" t="s">
        <v>5</v>
      </c>
      <c r="H64" s="31" t="s">
        <v>6</v>
      </c>
      <c r="I64" s="49" t="s">
        <v>6</v>
      </c>
      <c r="J64" s="106" t="str">
        <f>IF(I64=H64,"RDP01",0)</f>
        <v>RDP01</v>
      </c>
      <c r="K64" s="112">
        <f>IF(I64=H64,0,"R1")</f>
        <v>0</v>
      </c>
      <c r="L64" s="6"/>
      <c r="M64" s="41" t="s">
        <v>326</v>
      </c>
      <c r="N64" s="131"/>
      <c r="O64"/>
    </row>
    <row r="65" spans="3:15" ht="30.75" thickBot="1" x14ac:dyDescent="0.3">
      <c r="C65" s="69"/>
      <c r="D65" s="97"/>
      <c r="E65" s="96"/>
      <c r="F65" s="21" t="s">
        <v>60</v>
      </c>
      <c r="G65" s="26" t="s">
        <v>63</v>
      </c>
      <c r="H65" s="32">
        <v>1</v>
      </c>
      <c r="I65" s="50">
        <v>1</v>
      </c>
      <c r="J65" s="107">
        <f>IF(I65&lt;H65,"RDP01",0)</f>
        <v>0</v>
      </c>
      <c r="K65" s="113" t="str">
        <f>IF(I65&gt;=H65,"Batal",0)</f>
        <v>Batal</v>
      </c>
      <c r="L65" s="4"/>
      <c r="M65" s="43" t="s">
        <v>230</v>
      </c>
      <c r="N65" s="132" t="s">
        <v>68</v>
      </c>
      <c r="O65"/>
    </row>
    <row r="66" spans="3:15" x14ac:dyDescent="0.25">
      <c r="C66" s="67" t="s">
        <v>111</v>
      </c>
      <c r="D66" s="70" t="s">
        <v>151</v>
      </c>
      <c r="E66" s="94" t="s">
        <v>141</v>
      </c>
      <c r="F66" s="20" t="s">
        <v>14</v>
      </c>
      <c r="G66" s="24" t="s">
        <v>21</v>
      </c>
      <c r="H66" s="29">
        <v>150</v>
      </c>
      <c r="I66" s="48">
        <v>150</v>
      </c>
      <c r="J66" s="105" t="str">
        <f>IF(I66&gt;=H66,"RDP02",0)</f>
        <v>RDP02</v>
      </c>
      <c r="K66" s="111">
        <f>IF(I66&lt;H66,"L1",0)</f>
        <v>0</v>
      </c>
      <c r="L66" s="5"/>
      <c r="M66" s="40" t="s">
        <v>277</v>
      </c>
      <c r="N66" s="130"/>
      <c r="O66"/>
    </row>
    <row r="67" spans="3:15" ht="30.75" thickBot="1" x14ac:dyDescent="0.3">
      <c r="C67" s="69"/>
      <c r="D67" s="97"/>
      <c r="E67" s="96"/>
      <c r="F67" s="21" t="s">
        <v>60</v>
      </c>
      <c r="G67" s="26" t="s">
        <v>63</v>
      </c>
      <c r="H67" s="32">
        <v>1</v>
      </c>
      <c r="I67" s="50">
        <v>0.8</v>
      </c>
      <c r="J67" s="107" t="str">
        <f>IF(I67&lt;H67,"RDP02",0)</f>
        <v>RDP02</v>
      </c>
      <c r="K67" s="113">
        <f>IF(I67&gt;=H67,"Batal",0)</f>
        <v>0</v>
      </c>
      <c r="L67" s="4"/>
      <c r="M67" s="43" t="s">
        <v>218</v>
      </c>
      <c r="N67" s="132" t="s">
        <v>68</v>
      </c>
      <c r="O67"/>
    </row>
    <row r="68" spans="3:15" x14ac:dyDescent="0.25">
      <c r="C68" s="67" t="s">
        <v>168</v>
      </c>
      <c r="D68" s="70" t="s">
        <v>38</v>
      </c>
      <c r="E68" s="94" t="s">
        <v>24</v>
      </c>
      <c r="F68" s="20" t="s">
        <v>14</v>
      </c>
      <c r="G68" s="24" t="s">
        <v>21</v>
      </c>
      <c r="H68" s="29">
        <v>150</v>
      </c>
      <c r="I68" s="48">
        <v>100</v>
      </c>
      <c r="J68" s="105">
        <f>IF(I68&gt;=H68,"RKG01",0)</f>
        <v>0</v>
      </c>
      <c r="K68" s="111" t="str">
        <f>IF(I68&lt;H68,"L1",0)</f>
        <v>L1</v>
      </c>
      <c r="L68" s="5"/>
      <c r="M68" s="40" t="s">
        <v>287</v>
      </c>
      <c r="N68" s="130"/>
      <c r="O68"/>
    </row>
    <row r="69" spans="3:15" ht="30.75" thickBot="1" x14ac:dyDescent="0.3">
      <c r="C69" s="69"/>
      <c r="D69" s="97"/>
      <c r="E69" s="96"/>
      <c r="F69" s="21" t="s">
        <v>60</v>
      </c>
      <c r="G69" s="26" t="s">
        <v>63</v>
      </c>
      <c r="H69" s="32">
        <v>1</v>
      </c>
      <c r="I69" s="50">
        <v>0.8</v>
      </c>
      <c r="J69" s="107" t="str">
        <f>IF(I69&lt;H69,"RKG01",0)</f>
        <v>RKG01</v>
      </c>
      <c r="K69" s="113">
        <f>IF(I69&gt;=H69,"Batal",0)</f>
        <v>0</v>
      </c>
      <c r="L69" s="4"/>
      <c r="M69" s="43" t="s">
        <v>217</v>
      </c>
      <c r="N69" s="132" t="s">
        <v>68</v>
      </c>
      <c r="O69"/>
    </row>
    <row r="70" spans="3:15" x14ac:dyDescent="0.25">
      <c r="C70" s="67" t="s">
        <v>112</v>
      </c>
      <c r="D70" s="70" t="s">
        <v>39</v>
      </c>
      <c r="E70" s="94" t="s">
        <v>40</v>
      </c>
      <c r="F70" s="20" t="s">
        <v>14</v>
      </c>
      <c r="G70" s="24" t="s">
        <v>21</v>
      </c>
      <c r="H70" s="29">
        <v>150</v>
      </c>
      <c r="I70" s="48">
        <v>100</v>
      </c>
      <c r="J70" s="105">
        <f>IF(I70&gt;=H70,"RTM01",0)</f>
        <v>0</v>
      </c>
      <c r="K70" s="111" t="str">
        <f>IF(I70&lt;H70,"L1",0)</f>
        <v>L1</v>
      </c>
      <c r="L70" s="5"/>
      <c r="M70" s="40" t="s">
        <v>288</v>
      </c>
      <c r="N70" s="130"/>
      <c r="O70"/>
    </row>
    <row r="71" spans="3:15" ht="30.75" thickBot="1" x14ac:dyDescent="0.3">
      <c r="C71" s="69"/>
      <c r="D71" s="97"/>
      <c r="E71" s="96"/>
      <c r="F71" s="21" t="s">
        <v>60</v>
      </c>
      <c r="G71" s="26" t="s">
        <v>63</v>
      </c>
      <c r="H71" s="32">
        <v>1</v>
      </c>
      <c r="I71" s="50">
        <v>1</v>
      </c>
      <c r="J71" s="107">
        <f>IF(I71&lt;H71,"RTM01",0)</f>
        <v>0</v>
      </c>
      <c r="K71" s="113" t="str">
        <f>IF(I71&gt;=H71,"Batal",0)</f>
        <v>Batal</v>
      </c>
      <c r="L71" s="4"/>
      <c r="M71" s="43" t="s">
        <v>223</v>
      </c>
      <c r="N71" s="132" t="s">
        <v>68</v>
      </c>
      <c r="O71"/>
    </row>
    <row r="72" spans="3:15" x14ac:dyDescent="0.25">
      <c r="C72" s="67" t="s">
        <v>169</v>
      </c>
      <c r="D72" s="70" t="s">
        <v>41</v>
      </c>
      <c r="E72" s="94" t="s">
        <v>42</v>
      </c>
      <c r="F72" s="20" t="s">
        <v>14</v>
      </c>
      <c r="G72" s="24" t="s">
        <v>21</v>
      </c>
      <c r="H72" s="29">
        <v>150</v>
      </c>
      <c r="I72" s="48">
        <v>100</v>
      </c>
      <c r="J72" s="105">
        <f>IF(I72&gt;=H72,"Pintu",0)</f>
        <v>0</v>
      </c>
      <c r="K72" s="111" t="str">
        <f>IF(I72&lt;H72,"L1",0)</f>
        <v>L1</v>
      </c>
      <c r="L72" s="5"/>
      <c r="M72" s="40" t="s">
        <v>289</v>
      </c>
      <c r="N72" s="130"/>
      <c r="O72"/>
    </row>
    <row r="73" spans="3:15" ht="25.5" x14ac:dyDescent="0.25">
      <c r="C73" s="68"/>
      <c r="D73" s="71"/>
      <c r="E73" s="95"/>
      <c r="F73" s="17" t="s">
        <v>28</v>
      </c>
      <c r="G73" s="25" t="s">
        <v>5</v>
      </c>
      <c r="H73" s="31" t="s">
        <v>6</v>
      </c>
      <c r="I73" s="49" t="s">
        <v>34</v>
      </c>
      <c r="J73" s="106">
        <f>IF(I73=H73,"RTS01",0)</f>
        <v>0</v>
      </c>
      <c r="K73" s="112" t="str">
        <f>IF(I73=H73,0,"R1")</f>
        <v>R1</v>
      </c>
      <c r="L73" s="6"/>
      <c r="M73" s="41" t="s">
        <v>327</v>
      </c>
      <c r="N73" s="131"/>
      <c r="O73"/>
    </row>
    <row r="74" spans="3:15" ht="30.75" thickBot="1" x14ac:dyDescent="0.3">
      <c r="C74" s="69"/>
      <c r="D74" s="97"/>
      <c r="E74" s="96"/>
      <c r="F74" s="21" t="s">
        <v>60</v>
      </c>
      <c r="G74" s="26" t="s">
        <v>63</v>
      </c>
      <c r="H74" s="32">
        <v>1</v>
      </c>
      <c r="I74" s="50">
        <v>0.8</v>
      </c>
      <c r="J74" s="107" t="str">
        <f>IF(I74&lt;H74,"RTS01",0)</f>
        <v>RTS01</v>
      </c>
      <c r="K74" s="113">
        <f>IF(I74&gt;=H74,"Batal",0)</f>
        <v>0</v>
      </c>
      <c r="L74" s="4"/>
      <c r="M74" s="43" t="s">
        <v>229</v>
      </c>
      <c r="N74" s="132" t="s">
        <v>68</v>
      </c>
      <c r="O74"/>
    </row>
    <row r="75" spans="3:15" ht="25.5" x14ac:dyDescent="0.25">
      <c r="C75" s="67" t="s">
        <v>170</v>
      </c>
      <c r="D75" s="70" t="s">
        <v>49</v>
      </c>
      <c r="E75" s="94" t="s">
        <v>30</v>
      </c>
      <c r="F75" s="20" t="s">
        <v>28</v>
      </c>
      <c r="G75" s="24" t="s">
        <v>5</v>
      </c>
      <c r="H75" s="34" t="s">
        <v>6</v>
      </c>
      <c r="I75" s="48" t="s">
        <v>34</v>
      </c>
      <c r="J75" s="105">
        <f>IF(I75=H75,"RTS01",0)</f>
        <v>0</v>
      </c>
      <c r="K75" s="111" t="str">
        <f>IF(I75=H75,0,"Batal")</f>
        <v>Batal</v>
      </c>
      <c r="L75" s="5"/>
      <c r="M75" s="40" t="s">
        <v>79</v>
      </c>
      <c r="N75" s="130"/>
      <c r="O75"/>
    </row>
    <row r="76" spans="3:15" x14ac:dyDescent="0.25">
      <c r="C76" s="68"/>
      <c r="D76" s="71"/>
      <c r="E76" s="95"/>
      <c r="F76" s="17" t="s">
        <v>14</v>
      </c>
      <c r="G76" s="25" t="s">
        <v>21</v>
      </c>
      <c r="H76" s="30">
        <v>150</v>
      </c>
      <c r="I76" s="49">
        <v>100</v>
      </c>
      <c r="J76" s="106">
        <f>IF(I76&gt;=H76,"RTU01",0)</f>
        <v>0</v>
      </c>
      <c r="K76" s="112" t="str">
        <f>IF(I76&lt;H76,"L1",0)</f>
        <v>L1</v>
      </c>
      <c r="L76" s="6"/>
      <c r="M76" s="41" t="s">
        <v>291</v>
      </c>
      <c r="N76" s="131"/>
      <c r="O76"/>
    </row>
    <row r="77" spans="3:15" ht="30.75" thickBot="1" x14ac:dyDescent="0.3">
      <c r="C77" s="69"/>
      <c r="D77" s="97"/>
      <c r="E77" s="96"/>
      <c r="F77" s="21" t="s">
        <v>60</v>
      </c>
      <c r="G77" s="26" t="s">
        <v>63</v>
      </c>
      <c r="H77" s="32">
        <v>0.5</v>
      </c>
      <c r="I77" s="50">
        <v>1</v>
      </c>
      <c r="J77" s="107">
        <f>IF(I77&lt;H77,"RTU01",0)</f>
        <v>0</v>
      </c>
      <c r="K77" s="113" t="str">
        <f>IF(I77&gt;=H77,"Batal",0)</f>
        <v>Batal</v>
      </c>
      <c r="L77" s="4" t="s">
        <v>323</v>
      </c>
      <c r="M77" s="43" t="s">
        <v>76</v>
      </c>
      <c r="N77" s="132"/>
      <c r="O77"/>
    </row>
    <row r="78" spans="3:15" ht="25.5" x14ac:dyDescent="0.25">
      <c r="C78" s="67" t="s">
        <v>113</v>
      </c>
      <c r="D78" s="70" t="s">
        <v>50</v>
      </c>
      <c r="E78" s="94" t="s">
        <v>48</v>
      </c>
      <c r="F78" s="20" t="s">
        <v>28</v>
      </c>
      <c r="G78" s="24" t="s">
        <v>5</v>
      </c>
      <c r="H78" s="34" t="s">
        <v>6</v>
      </c>
      <c r="I78" s="48" t="s">
        <v>6</v>
      </c>
      <c r="J78" s="105" t="str">
        <f>IF(I78=H78,"RTU02",0)</f>
        <v>RTU02</v>
      </c>
      <c r="K78" s="111">
        <f>IF(I78=H78,0,"Batal")</f>
        <v>0</v>
      </c>
      <c r="L78" s="5"/>
      <c r="M78" s="40" t="s">
        <v>82</v>
      </c>
      <c r="N78" s="130"/>
      <c r="O78"/>
    </row>
    <row r="79" spans="3:15" x14ac:dyDescent="0.25">
      <c r="C79" s="68"/>
      <c r="D79" s="71"/>
      <c r="E79" s="95"/>
      <c r="F79" s="17" t="s">
        <v>14</v>
      </c>
      <c r="G79" s="25" t="s">
        <v>21</v>
      </c>
      <c r="H79" s="30">
        <v>150</v>
      </c>
      <c r="I79" s="49">
        <v>100</v>
      </c>
      <c r="J79" s="106">
        <f>IF(I79&gt;=H79,"RTU02",0)</f>
        <v>0</v>
      </c>
      <c r="K79" s="112" t="str">
        <f>IF(I79&lt;H79,"L1",0)</f>
        <v>L1</v>
      </c>
      <c r="L79" s="6"/>
      <c r="M79" s="41" t="s">
        <v>292</v>
      </c>
      <c r="N79" s="131"/>
      <c r="O79"/>
    </row>
    <row r="80" spans="3:15" ht="30.75" thickBot="1" x14ac:dyDescent="0.3">
      <c r="C80" s="69"/>
      <c r="D80" s="97"/>
      <c r="E80" s="96"/>
      <c r="F80" s="21" t="s">
        <v>60</v>
      </c>
      <c r="G80" s="26" t="s">
        <v>63</v>
      </c>
      <c r="H80" s="32">
        <v>0.5</v>
      </c>
      <c r="I80" s="50">
        <v>0.2</v>
      </c>
      <c r="J80" s="107" t="str">
        <f>IF(I80&lt;H80,"RTU02",0)</f>
        <v>RTU02</v>
      </c>
      <c r="K80" s="113">
        <f>IF(I80&gt;=H80,"Batal",0)</f>
        <v>0</v>
      </c>
      <c r="L80" s="4" t="s">
        <v>323</v>
      </c>
      <c r="M80" s="43" t="s">
        <v>231</v>
      </c>
      <c r="N80" s="132"/>
      <c r="O80"/>
    </row>
    <row r="81" spans="3:15" x14ac:dyDescent="0.25">
      <c r="C81" s="67" t="s">
        <v>114</v>
      </c>
      <c r="D81" s="70" t="s">
        <v>152</v>
      </c>
      <c r="E81" s="94" t="s">
        <v>171</v>
      </c>
      <c r="F81" s="20" t="s">
        <v>14</v>
      </c>
      <c r="G81" s="24" t="s">
        <v>21</v>
      </c>
      <c r="H81" s="29">
        <v>150</v>
      </c>
      <c r="I81" s="48">
        <v>100</v>
      </c>
      <c r="J81" s="105">
        <f>IF(I81&gt;=H81,"RKJ01",0)</f>
        <v>0</v>
      </c>
      <c r="K81" s="111" t="str">
        <f>IF(I81&lt;H81,"L1",0)</f>
        <v>L1</v>
      </c>
      <c r="L81" s="5"/>
      <c r="M81" s="41" t="s">
        <v>293</v>
      </c>
      <c r="N81" s="130"/>
      <c r="O81"/>
    </row>
    <row r="82" spans="3:15" ht="30.75" thickBot="1" x14ac:dyDescent="0.3">
      <c r="C82" s="69"/>
      <c r="D82" s="97"/>
      <c r="E82" s="96"/>
      <c r="F82" s="21" t="s">
        <v>60</v>
      </c>
      <c r="G82" s="26" t="s">
        <v>63</v>
      </c>
      <c r="H82" s="32">
        <v>0.8</v>
      </c>
      <c r="I82" s="50">
        <v>1</v>
      </c>
      <c r="J82" s="107">
        <f>IF(I82&lt;H82,"RKJ01",0)</f>
        <v>0</v>
      </c>
      <c r="K82" s="113" t="str">
        <f>IF(I82&gt;=H82,"Batal",0)</f>
        <v>Batal</v>
      </c>
      <c r="L82" s="4" t="s">
        <v>139</v>
      </c>
      <c r="M82" s="43" t="s">
        <v>234</v>
      </c>
      <c r="N82" s="132"/>
      <c r="O82"/>
    </row>
    <row r="83" spans="3:15" x14ac:dyDescent="0.25">
      <c r="C83" s="67" t="s">
        <v>172</v>
      </c>
      <c r="D83" s="70" t="s">
        <v>153</v>
      </c>
      <c r="E83" s="94" t="s">
        <v>17</v>
      </c>
      <c r="F83" s="20" t="s">
        <v>14</v>
      </c>
      <c r="G83" s="24" t="s">
        <v>21</v>
      </c>
      <c r="H83" s="29">
        <v>150</v>
      </c>
      <c r="I83" s="48">
        <v>150</v>
      </c>
      <c r="J83" s="105" t="str">
        <f>IF(I83&gt;=H83,"RDP01",0)</f>
        <v>RDP01</v>
      </c>
      <c r="K83" s="111">
        <f>IF(I83&lt;H83,"L1",0)</f>
        <v>0</v>
      </c>
      <c r="L83" s="5"/>
      <c r="M83" s="40" t="s">
        <v>294</v>
      </c>
      <c r="N83" s="130"/>
      <c r="O83"/>
    </row>
    <row r="84" spans="3:15" x14ac:dyDescent="0.25">
      <c r="C84" s="68"/>
      <c r="D84" s="71"/>
      <c r="E84" s="95"/>
      <c r="F84" s="17" t="s">
        <v>28</v>
      </c>
      <c r="G84" s="25" t="s">
        <v>5</v>
      </c>
      <c r="H84" s="31" t="s">
        <v>6</v>
      </c>
      <c r="I84" s="49" t="s">
        <v>34</v>
      </c>
      <c r="J84" s="106">
        <f>IF(I84=H84,"RDP01",0)</f>
        <v>0</v>
      </c>
      <c r="K84" s="112" t="str">
        <f>IF(I84=H84,0,"R1")</f>
        <v>R1</v>
      </c>
      <c r="L84" s="6"/>
      <c r="M84" s="41" t="s">
        <v>329</v>
      </c>
      <c r="N84" s="131"/>
      <c r="O84"/>
    </row>
    <row r="85" spans="3:15" ht="30.75" thickBot="1" x14ac:dyDescent="0.3">
      <c r="C85" s="69"/>
      <c r="D85" s="97"/>
      <c r="E85" s="96"/>
      <c r="F85" s="21" t="s">
        <v>60</v>
      </c>
      <c r="G85" s="26" t="s">
        <v>63</v>
      </c>
      <c r="H85" s="32">
        <v>0.8</v>
      </c>
      <c r="I85" s="50">
        <v>1</v>
      </c>
      <c r="J85" s="107">
        <f>IF(I85&lt;H85,"RDP01",0)</f>
        <v>0</v>
      </c>
      <c r="K85" s="113" t="str">
        <f>IF(I85&gt;=H85,"Batal",0)</f>
        <v>Batal</v>
      </c>
      <c r="L85" s="4" t="s">
        <v>139</v>
      </c>
      <c r="M85" s="43" t="s">
        <v>228</v>
      </c>
      <c r="N85" s="132" t="s">
        <v>68</v>
      </c>
      <c r="O85"/>
    </row>
    <row r="86" spans="3:15" x14ac:dyDescent="0.25">
      <c r="C86" s="67" t="s">
        <v>115</v>
      </c>
      <c r="D86" s="70" t="s">
        <v>154</v>
      </c>
      <c r="E86" s="94" t="s">
        <v>141</v>
      </c>
      <c r="F86" s="20" t="s">
        <v>14</v>
      </c>
      <c r="G86" s="24" t="s">
        <v>21</v>
      </c>
      <c r="H86" s="29">
        <v>150</v>
      </c>
      <c r="I86" s="48">
        <v>100</v>
      </c>
      <c r="J86" s="105">
        <f>IF(I86&gt;=H86,"RDP02",0)</f>
        <v>0</v>
      </c>
      <c r="K86" s="111" t="str">
        <f>IF(I86&lt;H86,"L1",0)</f>
        <v>L1</v>
      </c>
      <c r="L86" s="5"/>
      <c r="M86" s="40" t="s">
        <v>277</v>
      </c>
      <c r="N86" s="130"/>
      <c r="O86"/>
    </row>
    <row r="87" spans="3:15" ht="30.75" thickBot="1" x14ac:dyDescent="0.3">
      <c r="C87" s="69"/>
      <c r="D87" s="97"/>
      <c r="E87" s="96"/>
      <c r="F87" s="21" t="s">
        <v>60</v>
      </c>
      <c r="G87" s="26" t="s">
        <v>63</v>
      </c>
      <c r="H87" s="32">
        <v>0.8</v>
      </c>
      <c r="I87" s="50">
        <v>1</v>
      </c>
      <c r="J87" s="107">
        <f>IF(I87&lt;H87,"RDP02",0)</f>
        <v>0</v>
      </c>
      <c r="K87" s="113" t="str">
        <f>IF(I87&gt;=H87,"Batal",0)</f>
        <v>Batal</v>
      </c>
      <c r="L87" s="4" t="s">
        <v>139</v>
      </c>
      <c r="M87" s="43" t="s">
        <v>235</v>
      </c>
      <c r="N87" s="132" t="s">
        <v>68</v>
      </c>
      <c r="O87"/>
    </row>
    <row r="88" spans="3:15" x14ac:dyDescent="0.25">
      <c r="C88" s="67" t="s">
        <v>116</v>
      </c>
      <c r="D88" s="70" t="s">
        <v>43</v>
      </c>
      <c r="E88" s="94" t="s">
        <v>24</v>
      </c>
      <c r="F88" s="20" t="s">
        <v>14</v>
      </c>
      <c r="G88" s="24" t="s">
        <v>21</v>
      </c>
      <c r="H88" s="29">
        <v>150</v>
      </c>
      <c r="I88" s="48">
        <v>100</v>
      </c>
      <c r="J88" s="105">
        <f>IF(I88&gt;=H88,"RKG01",0)</f>
        <v>0</v>
      </c>
      <c r="K88" s="111" t="str">
        <f>IF(I88&lt;H88,"L1",0)</f>
        <v>L1</v>
      </c>
      <c r="L88" s="5"/>
      <c r="M88" s="40" t="s">
        <v>287</v>
      </c>
      <c r="N88" s="130"/>
      <c r="O88"/>
    </row>
    <row r="89" spans="3:15" ht="30.75" thickBot="1" x14ac:dyDescent="0.3">
      <c r="C89" s="69"/>
      <c r="D89" s="97"/>
      <c r="E89" s="96"/>
      <c r="F89" s="21" t="s">
        <v>60</v>
      </c>
      <c r="G89" s="26" t="s">
        <v>63</v>
      </c>
      <c r="H89" s="32">
        <v>0.8</v>
      </c>
      <c r="I89" s="50">
        <v>0.5</v>
      </c>
      <c r="J89" s="107" t="str">
        <f>IF(I89&lt;H89,"RKG01",0)</f>
        <v>RKG01</v>
      </c>
      <c r="K89" s="113">
        <f>IF(I89&gt;=H89,"Batal",0)</f>
        <v>0</v>
      </c>
      <c r="L89" s="4" t="s">
        <v>139</v>
      </c>
      <c r="M89" s="43" t="s">
        <v>227</v>
      </c>
      <c r="N89" s="132"/>
      <c r="O89"/>
    </row>
    <row r="90" spans="3:15" x14ac:dyDescent="0.25">
      <c r="C90" s="67" t="s">
        <v>117</v>
      </c>
      <c r="D90" s="70" t="s">
        <v>44</v>
      </c>
      <c r="E90" s="94" t="s">
        <v>40</v>
      </c>
      <c r="F90" s="20" t="s">
        <v>14</v>
      </c>
      <c r="G90" s="24" t="s">
        <v>21</v>
      </c>
      <c r="H90" s="29">
        <v>150</v>
      </c>
      <c r="I90" s="48">
        <v>100</v>
      </c>
      <c r="J90" s="105">
        <f>IF(I90&gt;=H90,"RTM01",0)</f>
        <v>0</v>
      </c>
      <c r="K90" s="111" t="str">
        <f>IF(I90&lt;H90,"L1",0)</f>
        <v>L1</v>
      </c>
      <c r="L90" s="5"/>
      <c r="M90" s="40" t="s">
        <v>288</v>
      </c>
      <c r="N90" s="130"/>
      <c r="O90"/>
    </row>
    <row r="91" spans="3:15" ht="30.75" thickBot="1" x14ac:dyDescent="0.3">
      <c r="C91" s="69"/>
      <c r="D91" s="97"/>
      <c r="E91" s="96"/>
      <c r="F91" s="21" t="s">
        <v>60</v>
      </c>
      <c r="G91" s="26" t="s">
        <v>63</v>
      </c>
      <c r="H91" s="32">
        <v>0.8</v>
      </c>
      <c r="I91" s="50">
        <v>1</v>
      </c>
      <c r="J91" s="107">
        <f>IF(I91&lt;H91,"RTM01",0)</f>
        <v>0</v>
      </c>
      <c r="K91" s="113" t="str">
        <f>IF(I91&gt;=H91,"Batal",0)</f>
        <v>Batal</v>
      </c>
      <c r="L91" s="4" t="s">
        <v>139</v>
      </c>
      <c r="M91" s="43" t="s">
        <v>226</v>
      </c>
      <c r="N91" s="132"/>
      <c r="O91"/>
    </row>
    <row r="92" spans="3:15" x14ac:dyDescent="0.25">
      <c r="C92" s="67" t="s">
        <v>118</v>
      </c>
      <c r="D92" s="70" t="s">
        <v>45</v>
      </c>
      <c r="E92" s="94" t="s">
        <v>42</v>
      </c>
      <c r="F92" s="20" t="s">
        <v>14</v>
      </c>
      <c r="G92" s="24" t="s">
        <v>21</v>
      </c>
      <c r="H92" s="29">
        <v>150</v>
      </c>
      <c r="I92" s="48">
        <v>100</v>
      </c>
      <c r="J92" s="105">
        <f>IF(I92&gt;=H92,"Pintu",0)</f>
        <v>0</v>
      </c>
      <c r="K92" s="111" t="str">
        <f>IF(I92&lt;H92,"L1",0)</f>
        <v>L1</v>
      </c>
      <c r="L92" s="5"/>
      <c r="M92" s="40" t="s">
        <v>289</v>
      </c>
      <c r="N92" s="130"/>
      <c r="O92"/>
    </row>
    <row r="93" spans="3:15" ht="25.5" x14ac:dyDescent="0.25">
      <c r="C93" s="68"/>
      <c r="D93" s="71"/>
      <c r="E93" s="95"/>
      <c r="F93" s="17" t="s">
        <v>28</v>
      </c>
      <c r="G93" s="25" t="s">
        <v>5</v>
      </c>
      <c r="H93" s="31" t="s">
        <v>6</v>
      </c>
      <c r="I93" s="49" t="s">
        <v>34</v>
      </c>
      <c r="J93" s="106">
        <f>IF(I93=H93,"RTS01",0)</f>
        <v>0</v>
      </c>
      <c r="K93" s="112" t="str">
        <f>IF(I93=H93,0,"R1")</f>
        <v>R1</v>
      </c>
      <c r="L93" s="6"/>
      <c r="M93" s="41" t="s">
        <v>327</v>
      </c>
      <c r="N93" s="131"/>
      <c r="O93"/>
    </row>
    <row r="94" spans="3:15" ht="30.75" thickBot="1" x14ac:dyDescent="0.3">
      <c r="C94" s="69"/>
      <c r="D94" s="97"/>
      <c r="E94" s="96"/>
      <c r="F94" s="21" t="s">
        <v>60</v>
      </c>
      <c r="G94" s="26" t="s">
        <v>63</v>
      </c>
      <c r="H94" s="32">
        <v>0.8</v>
      </c>
      <c r="I94" s="50">
        <v>1</v>
      </c>
      <c r="J94" s="107">
        <f>IF(I94&lt;H94,"RTS01",0)</f>
        <v>0</v>
      </c>
      <c r="K94" s="113" t="str">
        <f>IF(I94&gt;=H94,"Batal",0)</f>
        <v>Batal</v>
      </c>
      <c r="L94" s="4" t="s">
        <v>323</v>
      </c>
      <c r="M94" s="43" t="s">
        <v>225</v>
      </c>
      <c r="N94" s="140" t="s">
        <v>83</v>
      </c>
      <c r="O94"/>
    </row>
    <row r="95" spans="3:15" x14ac:dyDescent="0.25">
      <c r="C95" s="67" t="s">
        <v>254</v>
      </c>
      <c r="D95" s="70" t="s">
        <v>155</v>
      </c>
      <c r="E95" s="94" t="s">
        <v>141</v>
      </c>
      <c r="F95" s="20" t="s">
        <v>14</v>
      </c>
      <c r="G95" s="24" t="s">
        <v>21</v>
      </c>
      <c r="H95" s="29">
        <v>150</v>
      </c>
      <c r="I95" s="48">
        <v>100</v>
      </c>
      <c r="J95" s="105">
        <f>IF(I95&gt;=H95,"RDP02",0)</f>
        <v>0</v>
      </c>
      <c r="K95" s="111" t="str">
        <f>IF(I95&lt;H95,"L1",0)</f>
        <v>L1</v>
      </c>
      <c r="L95" s="5"/>
      <c r="M95" s="40" t="s">
        <v>277</v>
      </c>
      <c r="N95" s="130"/>
      <c r="O95"/>
    </row>
    <row r="96" spans="3:15" ht="30" x14ac:dyDescent="0.25">
      <c r="C96" s="68"/>
      <c r="D96" s="71"/>
      <c r="E96" s="95"/>
      <c r="F96" s="17" t="s">
        <v>60</v>
      </c>
      <c r="G96" s="25" t="s">
        <v>63</v>
      </c>
      <c r="H96" s="30">
        <v>2</v>
      </c>
      <c r="I96" s="49">
        <v>1</v>
      </c>
      <c r="J96" s="106" t="str">
        <f>IF(I96&lt;H96,"RDP02",0)</f>
        <v>RDP02</v>
      </c>
      <c r="K96" s="112">
        <f>IF(I96&gt;=H96,"Batal",0)</f>
        <v>0</v>
      </c>
      <c r="L96" s="6"/>
      <c r="M96" s="41" t="s">
        <v>236</v>
      </c>
      <c r="N96" s="131" t="s">
        <v>68</v>
      </c>
      <c r="O96"/>
    </row>
    <row r="97" spans="3:15" ht="30.75" thickBot="1" x14ac:dyDescent="0.3">
      <c r="C97" s="69"/>
      <c r="D97" s="97"/>
      <c r="E97" s="96"/>
      <c r="F97" s="22" t="s">
        <v>28</v>
      </c>
      <c r="G97" s="25" t="s">
        <v>205</v>
      </c>
      <c r="H97" s="31" t="s">
        <v>51</v>
      </c>
      <c r="I97" s="49" t="s">
        <v>19</v>
      </c>
      <c r="J97" s="106">
        <f>IF(I97=H97,"RDP02",0)</f>
        <v>0</v>
      </c>
      <c r="K97" s="112" t="str">
        <f>IF(I97=H97,0,"E1")</f>
        <v>E1</v>
      </c>
      <c r="L97" s="6"/>
      <c r="M97" s="41" t="s">
        <v>281</v>
      </c>
      <c r="N97" s="132"/>
      <c r="O97"/>
    </row>
    <row r="98" spans="3:15" x14ac:dyDescent="0.25">
      <c r="C98" s="67" t="s">
        <v>174</v>
      </c>
      <c r="D98" s="70" t="s">
        <v>173</v>
      </c>
      <c r="E98" s="94" t="s">
        <v>17</v>
      </c>
      <c r="F98" s="20" t="s">
        <v>14</v>
      </c>
      <c r="G98" s="24" t="s">
        <v>21</v>
      </c>
      <c r="H98" s="29">
        <v>150</v>
      </c>
      <c r="I98" s="48">
        <v>100</v>
      </c>
      <c r="J98" s="105">
        <f>IF(I98&gt;=H98,"RDP01",0)</f>
        <v>0</v>
      </c>
      <c r="K98" s="111" t="str">
        <f>IF(I98&lt;H98,"L1",0)</f>
        <v>L1</v>
      </c>
      <c r="L98" s="5"/>
      <c r="M98" s="40" t="s">
        <v>294</v>
      </c>
      <c r="N98" s="130"/>
      <c r="O98"/>
    </row>
    <row r="99" spans="3:15" ht="25.5" x14ac:dyDescent="0.25">
      <c r="C99" s="68"/>
      <c r="D99" s="71"/>
      <c r="E99" s="95"/>
      <c r="F99" s="17" t="s">
        <v>28</v>
      </c>
      <c r="G99" s="25" t="s">
        <v>5</v>
      </c>
      <c r="H99" s="31" t="s">
        <v>6</v>
      </c>
      <c r="I99" s="49" t="s">
        <v>6</v>
      </c>
      <c r="J99" s="106" t="str">
        <f>IF(I99=H99,"RDP01",0)</f>
        <v>RDP01</v>
      </c>
      <c r="K99" s="112">
        <f>IF(I99=H99,0,"R1")</f>
        <v>0</v>
      </c>
      <c r="L99" s="6"/>
      <c r="M99" s="41" t="s">
        <v>326</v>
      </c>
      <c r="N99" s="131"/>
      <c r="O99"/>
    </row>
    <row r="100" spans="3:15" ht="30" x14ac:dyDescent="0.25">
      <c r="C100" s="68"/>
      <c r="D100" s="71"/>
      <c r="E100" s="95"/>
      <c r="F100" s="17" t="s">
        <v>60</v>
      </c>
      <c r="G100" s="25" t="s">
        <v>63</v>
      </c>
      <c r="H100" s="30">
        <v>2</v>
      </c>
      <c r="I100" s="49">
        <v>1</v>
      </c>
      <c r="J100" s="106" t="str">
        <f>IF(I100&lt;=H100,"RDP01",0)</f>
        <v>RDP01</v>
      </c>
      <c r="K100" s="112">
        <f>IF(I100&gt;H100,"Batal",0)</f>
        <v>0</v>
      </c>
      <c r="L100" s="6"/>
      <c r="M100" s="41" t="s">
        <v>240</v>
      </c>
      <c r="N100" s="131"/>
      <c r="O100"/>
    </row>
    <row r="101" spans="3:15" ht="31.5" customHeight="1" x14ac:dyDescent="0.25">
      <c r="C101" s="68"/>
      <c r="D101" s="71"/>
      <c r="E101" s="95"/>
      <c r="F101" s="65" t="s">
        <v>20</v>
      </c>
      <c r="G101" s="25" t="s">
        <v>105</v>
      </c>
      <c r="H101" s="31">
        <v>5</v>
      </c>
      <c r="I101" s="49">
        <v>5</v>
      </c>
      <c r="J101" s="106" t="str">
        <f>IF(I101&gt;=H101,"RDP01",0)</f>
        <v>RDP01</v>
      </c>
      <c r="K101" s="112">
        <f>IF(I101&gt;=H101,0,"Batal")</f>
        <v>0</v>
      </c>
      <c r="L101" s="6"/>
      <c r="M101" s="41" t="s">
        <v>241</v>
      </c>
      <c r="N101" s="131"/>
      <c r="O101"/>
    </row>
    <row r="102" spans="3:15" ht="31.5" customHeight="1" x14ac:dyDescent="0.25">
      <c r="C102" s="68"/>
      <c r="D102" s="71"/>
      <c r="E102" s="95"/>
      <c r="F102" s="66"/>
      <c r="G102" s="25" t="s">
        <v>53</v>
      </c>
      <c r="H102" s="6" t="s">
        <v>15</v>
      </c>
      <c r="I102" s="49" t="s">
        <v>15</v>
      </c>
      <c r="J102" s="106" t="str">
        <f>IF(I102=H102,"Kompor",0)</f>
        <v>Kompor</v>
      </c>
      <c r="K102" s="112">
        <f>IF(I102=H102,0,"Batal")</f>
        <v>0</v>
      </c>
      <c r="L102" s="6"/>
      <c r="M102" s="41" t="s">
        <v>87</v>
      </c>
      <c r="N102" s="131"/>
      <c r="O102"/>
    </row>
    <row r="103" spans="3:15" ht="30" customHeight="1" thickBot="1" x14ac:dyDescent="0.3">
      <c r="C103" s="68"/>
      <c r="D103" s="97"/>
      <c r="E103" s="96"/>
      <c r="F103" s="22" t="s">
        <v>28</v>
      </c>
      <c r="G103" s="26" t="s">
        <v>65</v>
      </c>
      <c r="H103" s="33" t="s">
        <v>237</v>
      </c>
      <c r="I103" s="50" t="s">
        <v>237</v>
      </c>
      <c r="J103" s="107" t="str">
        <f>IF(I103=H103,"D1",0)</f>
        <v>D1</v>
      </c>
      <c r="K103" s="113">
        <f>IF(I103=H103,0,"Batal")</f>
        <v>0</v>
      </c>
      <c r="L103" s="4" t="s">
        <v>103</v>
      </c>
      <c r="M103" s="43" t="s">
        <v>246</v>
      </c>
      <c r="N103" s="132"/>
      <c r="O103"/>
    </row>
    <row r="104" spans="3:15" ht="25.5" x14ac:dyDescent="0.25">
      <c r="C104" s="67" t="s">
        <v>119</v>
      </c>
      <c r="D104" s="70" t="s">
        <v>156</v>
      </c>
      <c r="E104" s="94" t="s">
        <v>30</v>
      </c>
      <c r="F104" s="20" t="s">
        <v>28</v>
      </c>
      <c r="G104" s="24" t="s">
        <v>5</v>
      </c>
      <c r="H104" s="34" t="s">
        <v>6</v>
      </c>
      <c r="I104" s="48" t="s">
        <v>6</v>
      </c>
      <c r="J104" s="105" t="str">
        <f>IF(I104=H104,"RTU01",0)</f>
        <v>RTU01</v>
      </c>
      <c r="K104" s="111">
        <f>IF(I104=H104,0,"R1")</f>
        <v>0</v>
      </c>
      <c r="L104" s="5"/>
      <c r="M104" s="40" t="s">
        <v>330</v>
      </c>
      <c r="N104" s="133"/>
      <c r="O104"/>
    </row>
    <row r="105" spans="3:15" x14ac:dyDescent="0.25">
      <c r="C105" s="68"/>
      <c r="D105" s="71"/>
      <c r="E105" s="95"/>
      <c r="F105" s="17" t="s">
        <v>14</v>
      </c>
      <c r="G105" s="25" t="s">
        <v>21</v>
      </c>
      <c r="H105" s="30">
        <v>150</v>
      </c>
      <c r="I105" s="49">
        <v>80</v>
      </c>
      <c r="J105" s="106">
        <f>IF(I105&gt;=H105,"L2",0)</f>
        <v>0</v>
      </c>
      <c r="K105" s="112" t="str">
        <f>IF(I105&gt;=H105,0,"L1")</f>
        <v>L1</v>
      </c>
      <c r="L105" s="6"/>
      <c r="M105" s="41" t="s">
        <v>295</v>
      </c>
      <c r="N105" s="131"/>
      <c r="O105"/>
    </row>
    <row r="106" spans="3:15" ht="30" x14ac:dyDescent="0.25">
      <c r="C106" s="68"/>
      <c r="D106" s="71"/>
      <c r="E106" s="95"/>
      <c r="F106" s="17" t="s">
        <v>60</v>
      </c>
      <c r="G106" s="25" t="s">
        <v>63</v>
      </c>
      <c r="H106" s="30">
        <v>0.5</v>
      </c>
      <c r="I106" s="49">
        <v>0.2</v>
      </c>
      <c r="J106" s="106" t="str">
        <f>IF(I106&lt;H106,"RTU01",0)</f>
        <v>RTU01</v>
      </c>
      <c r="K106" s="112">
        <f>IF(I106&gt;=H106,"Batal",0)</f>
        <v>0</v>
      </c>
      <c r="L106" s="6"/>
      <c r="M106" s="41" t="s">
        <v>76</v>
      </c>
      <c r="N106" s="131"/>
      <c r="O106"/>
    </row>
    <row r="107" spans="3:15" ht="30" customHeight="1" x14ac:dyDescent="0.25">
      <c r="C107" s="68"/>
      <c r="D107" s="71"/>
      <c r="E107" s="95"/>
      <c r="F107" s="17" t="s">
        <v>251</v>
      </c>
      <c r="G107" s="25" t="s">
        <v>67</v>
      </c>
      <c r="H107" s="35">
        <v>24</v>
      </c>
      <c r="I107" s="49">
        <v>24</v>
      </c>
      <c r="J107" s="106" t="str">
        <f>IF(I107&lt;=H107,"E2",0)</f>
        <v>E2</v>
      </c>
      <c r="K107" s="112">
        <f>IF(I107&lt;=H107,0,0)</f>
        <v>0</v>
      </c>
      <c r="L107" s="6"/>
      <c r="M107" s="41" t="s">
        <v>247</v>
      </c>
      <c r="N107" s="131"/>
      <c r="O107"/>
    </row>
    <row r="108" spans="3:15" ht="30.75" thickBot="1" x14ac:dyDescent="0.3">
      <c r="C108" s="69"/>
      <c r="D108" s="97"/>
      <c r="E108" s="96"/>
      <c r="F108" s="21" t="s">
        <v>28</v>
      </c>
      <c r="G108" s="26" t="s">
        <v>31</v>
      </c>
      <c r="H108" s="33" t="s">
        <v>9</v>
      </c>
      <c r="I108" s="50" t="s">
        <v>9</v>
      </c>
      <c r="J108" s="107" t="str">
        <f>IF(I108=H108,"Tempat tidur",0)</f>
        <v>Tempat tidur</v>
      </c>
      <c r="K108" s="113">
        <f>IF(I108=H108,0,"Batal")</f>
        <v>0</v>
      </c>
      <c r="L108" s="4" t="s">
        <v>323</v>
      </c>
      <c r="M108" s="43" t="s">
        <v>248</v>
      </c>
      <c r="N108" s="132"/>
      <c r="O108"/>
    </row>
    <row r="109" spans="3:15" x14ac:dyDescent="0.25">
      <c r="C109" s="67" t="s">
        <v>120</v>
      </c>
      <c r="D109" s="70" t="s">
        <v>157</v>
      </c>
      <c r="E109" s="94" t="s">
        <v>141</v>
      </c>
      <c r="F109" s="20" t="s">
        <v>14</v>
      </c>
      <c r="G109" s="24" t="s">
        <v>21</v>
      </c>
      <c r="H109" s="29">
        <v>150</v>
      </c>
      <c r="I109" s="48">
        <v>100</v>
      </c>
      <c r="J109" s="105">
        <f>IF(I109&gt;=H109,"RDP02",0)</f>
        <v>0</v>
      </c>
      <c r="K109" s="111" t="str">
        <f>IF(I109&lt;H109,"L1",0)</f>
        <v>L1</v>
      </c>
      <c r="L109" s="5"/>
      <c r="M109" s="40" t="s">
        <v>277</v>
      </c>
      <c r="N109" s="130"/>
      <c r="O109"/>
    </row>
    <row r="110" spans="3:15" ht="30" x14ac:dyDescent="0.25">
      <c r="C110" s="81"/>
      <c r="D110" s="71"/>
      <c r="E110" s="95"/>
      <c r="F110" s="17" t="s">
        <v>60</v>
      </c>
      <c r="G110" s="25" t="s">
        <v>63</v>
      </c>
      <c r="H110" s="30">
        <v>2</v>
      </c>
      <c r="I110" s="49">
        <v>1</v>
      </c>
      <c r="J110" s="106" t="str">
        <f>IF(I110&lt;=H110,"RDP02",0)</f>
        <v>RDP02</v>
      </c>
      <c r="K110" s="112">
        <f>IF(I110&gt;H110,"Batal",0)</f>
        <v>0</v>
      </c>
      <c r="L110" s="6"/>
      <c r="M110" s="41" t="s">
        <v>249</v>
      </c>
      <c r="N110" s="131"/>
      <c r="O110"/>
    </row>
    <row r="111" spans="3:15" ht="30.75" thickBot="1" x14ac:dyDescent="0.3">
      <c r="C111" s="69"/>
      <c r="D111" s="97"/>
      <c r="E111" s="96"/>
      <c r="F111" s="59" t="s">
        <v>20</v>
      </c>
      <c r="G111" s="60" t="s">
        <v>62</v>
      </c>
      <c r="H111" s="61">
        <v>200</v>
      </c>
      <c r="I111" s="62">
        <v>1000</v>
      </c>
      <c r="J111" s="106" t="str">
        <f>IF(I111&gt;=H111,"Dispenser",0)</f>
        <v>Dispenser</v>
      </c>
      <c r="K111" s="112">
        <f>IF(I111&lt;H111,"Batal",0)</f>
        <v>0</v>
      </c>
      <c r="L111" s="63" t="s">
        <v>139</v>
      </c>
      <c r="M111" s="41" t="s">
        <v>250</v>
      </c>
      <c r="N111" s="141" t="s">
        <v>274</v>
      </c>
      <c r="O111"/>
    </row>
    <row r="112" spans="3:15" x14ac:dyDescent="0.25">
      <c r="C112" s="67" t="s">
        <v>175</v>
      </c>
      <c r="D112" s="70" t="s">
        <v>158</v>
      </c>
      <c r="E112" s="94" t="s">
        <v>17</v>
      </c>
      <c r="F112" s="20" t="s">
        <v>14</v>
      </c>
      <c r="G112" s="24" t="s">
        <v>21</v>
      </c>
      <c r="H112" s="29">
        <v>100</v>
      </c>
      <c r="I112" s="48">
        <v>80</v>
      </c>
      <c r="J112" s="105">
        <f>IF(I112&gt;=H112,"RDP01",0)</f>
        <v>0</v>
      </c>
      <c r="K112" s="111" t="str">
        <f>IF(I112&lt;H112,"L1",0)</f>
        <v>L1</v>
      </c>
      <c r="L112" s="5"/>
      <c r="M112" s="40" t="s">
        <v>296</v>
      </c>
      <c r="N112" s="130"/>
      <c r="O112"/>
    </row>
    <row r="113" spans="3:15" ht="30" x14ac:dyDescent="0.25">
      <c r="C113" s="68"/>
      <c r="D113" s="71"/>
      <c r="E113" s="95"/>
      <c r="F113" s="17" t="s">
        <v>60</v>
      </c>
      <c r="G113" s="25" t="s">
        <v>63</v>
      </c>
      <c r="H113" s="30">
        <v>0.5</v>
      </c>
      <c r="I113" s="49">
        <v>0.3</v>
      </c>
      <c r="J113" s="106" t="str">
        <f>IF(I113&lt;H113,"Tempat sampah",0)</f>
        <v>Tempat sampah</v>
      </c>
      <c r="K113" s="112">
        <f>IF(I113&gt;=H113,"Batal",0)</f>
        <v>0</v>
      </c>
      <c r="L113" s="6"/>
      <c r="M113" s="41" t="s">
        <v>84</v>
      </c>
      <c r="N113" s="131"/>
      <c r="O113"/>
    </row>
    <row r="114" spans="3:15" ht="26.25" thickBot="1" x14ac:dyDescent="0.3">
      <c r="C114" s="69"/>
      <c r="D114" s="97"/>
      <c r="E114" s="96"/>
      <c r="F114" s="21" t="s">
        <v>28</v>
      </c>
      <c r="G114" s="26" t="s">
        <v>5</v>
      </c>
      <c r="H114" s="33" t="s">
        <v>6</v>
      </c>
      <c r="I114" s="50" t="s">
        <v>6</v>
      </c>
      <c r="J114" s="107" t="str">
        <f>IF(I114=H114,"RHD01",0)</f>
        <v>RHD01</v>
      </c>
      <c r="K114" s="113">
        <f>IF(I114=H114,0,"R1")</f>
        <v>0</v>
      </c>
      <c r="L114" s="4" t="s">
        <v>318</v>
      </c>
      <c r="M114" s="43" t="s">
        <v>331</v>
      </c>
      <c r="N114" s="132"/>
      <c r="O114"/>
    </row>
    <row r="115" spans="3:15" x14ac:dyDescent="0.25">
      <c r="C115" s="67" t="s">
        <v>176</v>
      </c>
      <c r="D115" s="70" t="s">
        <v>159</v>
      </c>
      <c r="E115" s="94" t="s">
        <v>18</v>
      </c>
      <c r="F115" s="20" t="s">
        <v>14</v>
      </c>
      <c r="G115" s="24" t="s">
        <v>21</v>
      </c>
      <c r="H115" s="29">
        <v>100</v>
      </c>
      <c r="I115" s="48">
        <v>80</v>
      </c>
      <c r="J115" s="105">
        <f>IF(I115&gt;=H115,"RDP01",0)</f>
        <v>0</v>
      </c>
      <c r="K115" s="111" t="str">
        <f>IF(I115&lt;H115,"L1",0)</f>
        <v>L1</v>
      </c>
      <c r="L115" s="5"/>
      <c r="M115" s="40" t="s">
        <v>296</v>
      </c>
      <c r="N115" s="130"/>
      <c r="O115"/>
    </row>
    <row r="116" spans="3:15" ht="30" x14ac:dyDescent="0.25">
      <c r="C116" s="68"/>
      <c r="D116" s="71"/>
      <c r="E116" s="95"/>
      <c r="F116" s="17" t="s">
        <v>60</v>
      </c>
      <c r="G116" s="25" t="s">
        <v>63</v>
      </c>
      <c r="H116" s="30">
        <v>0.5</v>
      </c>
      <c r="I116" s="49">
        <v>0.2</v>
      </c>
      <c r="J116" s="106" t="str">
        <f>IF(I116&lt;H116,"Tempat sampah",0)</f>
        <v>Tempat sampah</v>
      </c>
      <c r="K116" s="112">
        <f>IF(I116&gt;=H116,"Batal",0)</f>
        <v>0</v>
      </c>
      <c r="L116" s="6"/>
      <c r="M116" s="41" t="s">
        <v>84</v>
      </c>
      <c r="N116" s="131"/>
      <c r="O116"/>
    </row>
    <row r="117" spans="3:15" ht="26.25" thickBot="1" x14ac:dyDescent="0.3">
      <c r="C117" s="69"/>
      <c r="D117" s="97"/>
      <c r="E117" s="96"/>
      <c r="F117" s="21" t="s">
        <v>28</v>
      </c>
      <c r="G117" s="26" t="s">
        <v>5</v>
      </c>
      <c r="H117" s="33" t="s">
        <v>6</v>
      </c>
      <c r="I117" s="50" t="s">
        <v>6</v>
      </c>
      <c r="J117" s="107" t="str">
        <f>IF(I117=H117,"RHD01",0)</f>
        <v>RHD01</v>
      </c>
      <c r="K117" s="113">
        <f>IF(I117=H117,0,"R1")</f>
        <v>0</v>
      </c>
      <c r="L117" s="4" t="s">
        <v>318</v>
      </c>
      <c r="M117" s="43" t="s">
        <v>331</v>
      </c>
      <c r="N117" s="132"/>
      <c r="O117"/>
    </row>
    <row r="118" spans="3:15" x14ac:dyDescent="0.25">
      <c r="C118" s="67" t="s">
        <v>178</v>
      </c>
      <c r="D118" s="70" t="s">
        <v>177</v>
      </c>
      <c r="E118" s="94" t="s">
        <v>17</v>
      </c>
      <c r="F118" s="20" t="s">
        <v>14</v>
      </c>
      <c r="G118" s="24" t="s">
        <v>21</v>
      </c>
      <c r="H118" s="29">
        <v>150</v>
      </c>
      <c r="I118" s="48">
        <v>100</v>
      </c>
      <c r="J118" s="105">
        <f>IF(I118&gt;=H118,"RDP01",0)</f>
        <v>0</v>
      </c>
      <c r="K118" s="111" t="str">
        <f>IF(I118&lt;H118,"L1",0)</f>
        <v>L1</v>
      </c>
      <c r="L118" s="5"/>
      <c r="M118" s="40" t="s">
        <v>294</v>
      </c>
      <c r="N118" s="130"/>
      <c r="O118"/>
    </row>
    <row r="119" spans="3:15" ht="25.5" x14ac:dyDescent="0.25">
      <c r="C119" s="68"/>
      <c r="D119" s="71"/>
      <c r="E119" s="95"/>
      <c r="F119" s="17" t="s">
        <v>28</v>
      </c>
      <c r="G119" s="25" t="s">
        <v>5</v>
      </c>
      <c r="H119" s="31" t="s">
        <v>6</v>
      </c>
      <c r="I119" s="49" t="s">
        <v>6</v>
      </c>
      <c r="J119" s="106" t="str">
        <f>IF(I119=H119,"RDP01",0)</f>
        <v>RDP01</v>
      </c>
      <c r="K119" s="112">
        <f>IF(I119=H119,0,"R1")</f>
        <v>0</v>
      </c>
      <c r="L119" s="6"/>
      <c r="M119" s="41" t="s">
        <v>326</v>
      </c>
      <c r="N119" s="131"/>
      <c r="O119"/>
    </row>
    <row r="120" spans="3:15" ht="30" x14ac:dyDescent="0.25">
      <c r="C120" s="68"/>
      <c r="D120" s="71"/>
      <c r="E120" s="95"/>
      <c r="F120" s="17" t="s">
        <v>60</v>
      </c>
      <c r="G120" s="25" t="s">
        <v>63</v>
      </c>
      <c r="H120" s="30">
        <v>2</v>
      </c>
      <c r="I120" s="49">
        <v>2</v>
      </c>
      <c r="J120" s="106" t="str">
        <f>IF(I120&lt;=H120,"RDP01",0)</f>
        <v>RDP01</v>
      </c>
      <c r="K120" s="112">
        <f>IF(I120&gt;H120,"Batal",0)</f>
        <v>0</v>
      </c>
      <c r="L120" s="6"/>
      <c r="M120" s="41" t="s">
        <v>240</v>
      </c>
      <c r="N120" s="131"/>
      <c r="O120"/>
    </row>
    <row r="121" spans="3:15" ht="30" x14ac:dyDescent="0.25">
      <c r="C121" s="68"/>
      <c r="D121" s="71"/>
      <c r="E121" s="95"/>
      <c r="F121" s="64" t="s">
        <v>20</v>
      </c>
      <c r="G121" s="25" t="s">
        <v>53</v>
      </c>
      <c r="H121" s="6" t="s">
        <v>15</v>
      </c>
      <c r="I121" s="49" t="s">
        <v>15</v>
      </c>
      <c r="J121" s="106" t="str">
        <f>IF(I121=H121,"Kompor",0)</f>
        <v>Kompor</v>
      </c>
      <c r="K121" s="112">
        <f>IF(I121=H121,0,"Batal")</f>
        <v>0</v>
      </c>
      <c r="L121" s="6"/>
      <c r="M121" s="41" t="s">
        <v>87</v>
      </c>
      <c r="N121" s="131"/>
      <c r="O121"/>
    </row>
    <row r="122" spans="3:15" ht="15.75" thickBot="1" x14ac:dyDescent="0.3">
      <c r="C122" s="69"/>
      <c r="D122" s="97"/>
      <c r="E122" s="96"/>
      <c r="F122" s="22" t="s">
        <v>28</v>
      </c>
      <c r="G122" s="26" t="s">
        <v>65</v>
      </c>
      <c r="H122" s="33" t="s">
        <v>237</v>
      </c>
      <c r="I122" s="50" t="s">
        <v>237</v>
      </c>
      <c r="J122" s="107" t="str">
        <f>IF(I122=H122,"D1",0)</f>
        <v>D1</v>
      </c>
      <c r="K122" s="113">
        <f>IF(I122=H122,0,"Batal")</f>
        <v>0</v>
      </c>
      <c r="L122" s="4" t="s">
        <v>103</v>
      </c>
      <c r="M122" s="43" t="s">
        <v>246</v>
      </c>
      <c r="N122" s="132"/>
      <c r="O122"/>
    </row>
    <row r="123" spans="3:15" ht="15.75" thickBot="1" x14ac:dyDescent="0.3">
      <c r="C123" s="67" t="s">
        <v>180</v>
      </c>
      <c r="D123" s="70" t="s">
        <v>179</v>
      </c>
      <c r="E123" s="94" t="s">
        <v>145</v>
      </c>
      <c r="F123" s="20" t="s">
        <v>14</v>
      </c>
      <c r="G123" s="24" t="s">
        <v>21</v>
      </c>
      <c r="H123" s="29">
        <v>150</v>
      </c>
      <c r="I123" s="48">
        <v>100</v>
      </c>
      <c r="J123" s="105">
        <f>IF(I123&gt;=H123,"Pintu",0)</f>
        <v>0</v>
      </c>
      <c r="K123" s="111" t="str">
        <f>IF(I123&lt;H123,"L1",0)</f>
        <v>L1</v>
      </c>
      <c r="L123" s="5"/>
      <c r="M123" s="40" t="s">
        <v>289</v>
      </c>
      <c r="N123" s="130"/>
      <c r="O123"/>
    </row>
    <row r="124" spans="3:15" ht="30.75" thickBot="1" x14ac:dyDescent="0.3">
      <c r="C124" s="68"/>
      <c r="D124" s="70"/>
      <c r="E124" s="95"/>
      <c r="F124" s="17" t="s">
        <v>60</v>
      </c>
      <c r="G124" s="25" t="s">
        <v>63</v>
      </c>
      <c r="H124" s="30">
        <v>0</v>
      </c>
      <c r="I124" s="49">
        <v>0.2</v>
      </c>
      <c r="J124" s="106">
        <f>IF(I124&lt;=H124,"Pintu",0)</f>
        <v>0</v>
      </c>
      <c r="K124" s="112" t="str">
        <f>IF(I124&gt;H124,"Batal",0)</f>
        <v>Batal</v>
      </c>
      <c r="L124" s="6"/>
      <c r="M124" s="41" t="s">
        <v>80</v>
      </c>
      <c r="N124" s="131"/>
      <c r="O124"/>
    </row>
    <row r="125" spans="3:15" ht="26.25" thickBot="1" x14ac:dyDescent="0.3">
      <c r="C125" s="68"/>
      <c r="D125" s="70"/>
      <c r="E125" s="95"/>
      <c r="F125" s="17" t="s">
        <v>28</v>
      </c>
      <c r="G125" s="25" t="s">
        <v>5</v>
      </c>
      <c r="H125" s="31" t="s">
        <v>6</v>
      </c>
      <c r="I125" s="49" t="s">
        <v>34</v>
      </c>
      <c r="J125" s="106">
        <f>IF(I125=H125,"Bak mandi",0)</f>
        <v>0</v>
      </c>
      <c r="K125" s="112" t="str">
        <f>IF(I125=H125,0,"RMK03")</f>
        <v>RMK03</v>
      </c>
      <c r="L125" s="6" t="s">
        <v>318</v>
      </c>
      <c r="M125" s="41" t="s">
        <v>146</v>
      </c>
      <c r="N125" s="131"/>
      <c r="O125"/>
    </row>
    <row r="126" spans="3:15" ht="39" thickBot="1" x14ac:dyDescent="0.3">
      <c r="C126" s="68"/>
      <c r="D126" s="70"/>
      <c r="E126" s="91"/>
      <c r="F126" s="55" t="s">
        <v>20</v>
      </c>
      <c r="G126" s="25" t="s">
        <v>64</v>
      </c>
      <c r="H126" s="6">
        <v>90</v>
      </c>
      <c r="I126" s="49">
        <v>10</v>
      </c>
      <c r="J126" s="106">
        <f>IF(I126&gt;=H126,"Bak mandi",0)</f>
        <v>0</v>
      </c>
      <c r="K126" s="112" t="str">
        <f>IF(I126&gt;=H126,0,"D1")</f>
        <v>D1</v>
      </c>
      <c r="L126" s="6" t="s">
        <v>322</v>
      </c>
      <c r="M126" s="41" t="s">
        <v>263</v>
      </c>
      <c r="N126" s="126" t="s">
        <v>272</v>
      </c>
      <c r="O126"/>
    </row>
    <row r="127" spans="3:15" ht="15.75" thickBot="1" x14ac:dyDescent="0.3">
      <c r="C127" s="68"/>
      <c r="D127" s="70"/>
      <c r="E127" s="72" t="s">
        <v>147</v>
      </c>
      <c r="F127" s="17" t="s">
        <v>14</v>
      </c>
      <c r="G127" s="25" t="s">
        <v>21</v>
      </c>
      <c r="H127" s="30">
        <v>150</v>
      </c>
      <c r="I127" s="49">
        <v>100</v>
      </c>
      <c r="J127" s="106">
        <f>IF(I127&gt;=H127,"Pintu",0)</f>
        <v>0</v>
      </c>
      <c r="K127" s="112" t="str">
        <f>IF(I127&lt;H127,"L1",0)</f>
        <v>L1</v>
      </c>
      <c r="L127" s="6"/>
      <c r="M127" s="41" t="s">
        <v>289</v>
      </c>
      <c r="N127" s="126"/>
      <c r="O127"/>
    </row>
    <row r="128" spans="3:15" ht="30.75" thickBot="1" x14ac:dyDescent="0.3">
      <c r="C128" s="68"/>
      <c r="D128" s="70"/>
      <c r="E128" s="72"/>
      <c r="F128" s="17" t="s">
        <v>60</v>
      </c>
      <c r="G128" s="25" t="s">
        <v>63</v>
      </c>
      <c r="H128" s="30">
        <v>0</v>
      </c>
      <c r="I128" s="49">
        <v>0.2</v>
      </c>
      <c r="J128" s="106">
        <f>IF(I128&lt;=H128,"Pintu",0)</f>
        <v>0</v>
      </c>
      <c r="K128" s="112" t="str">
        <f>IF(I128&gt;H128,"Batal",0)</f>
        <v>Batal</v>
      </c>
      <c r="L128" s="6"/>
      <c r="M128" s="41" t="s">
        <v>80</v>
      </c>
      <c r="N128" s="126"/>
      <c r="O128"/>
    </row>
    <row r="129" spans="3:15" ht="26.25" thickBot="1" x14ac:dyDescent="0.3">
      <c r="C129" s="68"/>
      <c r="D129" s="70"/>
      <c r="E129" s="72"/>
      <c r="F129" s="17" t="s">
        <v>28</v>
      </c>
      <c r="G129" s="25" t="s">
        <v>5</v>
      </c>
      <c r="H129" s="31" t="s">
        <v>6</v>
      </c>
      <c r="I129" s="49" t="s">
        <v>34</v>
      </c>
      <c r="J129" s="106">
        <f>IF(I129=H129,"Bak mandi",0)</f>
        <v>0</v>
      </c>
      <c r="K129" s="112" t="str">
        <f>IF(I129=H129,0,"Batal")</f>
        <v>Batal</v>
      </c>
      <c r="L129" s="6" t="s">
        <v>318</v>
      </c>
      <c r="M129" s="41" t="s">
        <v>78</v>
      </c>
      <c r="N129" s="126"/>
      <c r="O129"/>
    </row>
    <row r="130" spans="3:15" ht="39" thickBot="1" x14ac:dyDescent="0.3">
      <c r="C130" s="69"/>
      <c r="D130" s="70"/>
      <c r="E130" s="72"/>
      <c r="F130" s="55" t="s">
        <v>20</v>
      </c>
      <c r="G130" s="25" t="s">
        <v>64</v>
      </c>
      <c r="H130" s="6">
        <v>90</v>
      </c>
      <c r="I130" s="49">
        <v>10</v>
      </c>
      <c r="J130" s="106">
        <f>IF(I130&gt;=H130,"Bak mandi",0)</f>
        <v>0</v>
      </c>
      <c r="K130" s="112" t="str">
        <f>IF(I130&gt;=H130,0,"D1")</f>
        <v>D1</v>
      </c>
      <c r="L130" s="6" t="s">
        <v>322</v>
      </c>
      <c r="M130" s="41" t="s">
        <v>263</v>
      </c>
      <c r="N130" s="135" t="s">
        <v>272</v>
      </c>
      <c r="O130"/>
    </row>
    <row r="131" spans="3:15" x14ac:dyDescent="0.25">
      <c r="C131" s="67" t="s">
        <v>256</v>
      </c>
      <c r="D131" s="70" t="s">
        <v>160</v>
      </c>
      <c r="E131" s="94" t="s">
        <v>17</v>
      </c>
      <c r="F131" s="20" t="s">
        <v>14</v>
      </c>
      <c r="G131" s="24" t="s">
        <v>21</v>
      </c>
      <c r="H131" s="29">
        <v>150</v>
      </c>
      <c r="I131" s="48">
        <v>100</v>
      </c>
      <c r="J131" s="105">
        <f>IF(I131&gt;=H131,"RDP02",0)</f>
        <v>0</v>
      </c>
      <c r="K131" s="111" t="str">
        <f>IF(I131&lt;H131,"L1",0)</f>
        <v>L1</v>
      </c>
      <c r="L131" s="5"/>
      <c r="M131" s="40" t="s">
        <v>277</v>
      </c>
      <c r="N131" s="130"/>
      <c r="O131"/>
    </row>
    <row r="132" spans="3:15" ht="30" x14ac:dyDescent="0.25">
      <c r="C132" s="81"/>
      <c r="D132" s="71"/>
      <c r="E132" s="95"/>
      <c r="F132" s="55" t="s">
        <v>60</v>
      </c>
      <c r="G132" s="25" t="s">
        <v>63</v>
      </c>
      <c r="H132" s="30">
        <v>2</v>
      </c>
      <c r="I132" s="49">
        <v>1</v>
      </c>
      <c r="J132" s="106" t="str">
        <f>IF(I132&lt;=H132,"RDP02",0)</f>
        <v>RDP02</v>
      </c>
      <c r="K132" s="112">
        <f>IF(I132&gt;H132,"Batal",0)</f>
        <v>0</v>
      </c>
      <c r="L132" s="6"/>
      <c r="M132" s="41" t="s">
        <v>249</v>
      </c>
      <c r="N132" s="142"/>
      <c r="O132"/>
    </row>
    <row r="133" spans="3:15" ht="30.75" thickBot="1" x14ac:dyDescent="0.3">
      <c r="C133" s="69"/>
      <c r="D133" s="97"/>
      <c r="E133" s="96"/>
      <c r="F133" s="59" t="s">
        <v>20</v>
      </c>
      <c r="G133" s="60" t="s">
        <v>62</v>
      </c>
      <c r="H133" s="61">
        <v>200</v>
      </c>
      <c r="I133" s="62">
        <v>1000</v>
      </c>
      <c r="J133" s="106" t="str">
        <f>IF(I133&gt;=H133,"Dispenser",0)</f>
        <v>Dispenser</v>
      </c>
      <c r="K133" s="112">
        <f>IF(I133&lt;H133,"Batal",0)</f>
        <v>0</v>
      </c>
      <c r="L133" s="63"/>
      <c r="M133" s="41" t="s">
        <v>250</v>
      </c>
      <c r="N133" s="132" t="s">
        <v>274</v>
      </c>
      <c r="O133"/>
    </row>
    <row r="134" spans="3:15" ht="39" thickBot="1" x14ac:dyDescent="0.3">
      <c r="C134" s="67" t="s">
        <v>255</v>
      </c>
      <c r="D134" s="88" t="s">
        <v>181</v>
      </c>
      <c r="E134" s="94" t="s">
        <v>24</v>
      </c>
      <c r="F134" s="20" t="s">
        <v>71</v>
      </c>
      <c r="G134" s="24" t="s">
        <v>21</v>
      </c>
      <c r="H134" s="29">
        <v>150</v>
      </c>
      <c r="I134" s="48">
        <v>100</v>
      </c>
      <c r="J134" s="105">
        <f>IF(I134&gt;=H134,"RKG01",0)</f>
        <v>0</v>
      </c>
      <c r="K134" s="111" t="str">
        <f>IF(I134&lt;H134,"L1",0)</f>
        <v>L1</v>
      </c>
      <c r="L134" s="5"/>
      <c r="M134" s="40" t="s">
        <v>287</v>
      </c>
      <c r="N134" s="125" t="s">
        <v>74</v>
      </c>
      <c r="O134"/>
    </row>
    <row r="135" spans="3:15" ht="45.75" thickBot="1" x14ac:dyDescent="0.3">
      <c r="C135" s="68"/>
      <c r="D135" s="89"/>
      <c r="E135" s="94"/>
      <c r="F135" s="55" t="s">
        <v>60</v>
      </c>
      <c r="G135" s="25" t="s">
        <v>70</v>
      </c>
      <c r="H135" s="30">
        <v>1</v>
      </c>
      <c r="I135" s="49">
        <v>1</v>
      </c>
      <c r="J135" s="106">
        <f>IF(I135&lt;H135,"RKG01",0)</f>
        <v>0</v>
      </c>
      <c r="K135" s="112" t="str">
        <f>IF(I135&gt;=H135,"Batal",0)</f>
        <v>Batal</v>
      </c>
      <c r="L135" s="6"/>
      <c r="M135" s="41" t="s">
        <v>217</v>
      </c>
      <c r="N135" s="126" t="s">
        <v>69</v>
      </c>
      <c r="O135"/>
    </row>
    <row r="136" spans="3:15" ht="30.75" thickBot="1" x14ac:dyDescent="0.3">
      <c r="C136" s="68"/>
      <c r="D136" s="89"/>
      <c r="E136" s="94"/>
      <c r="F136" s="55" t="s">
        <v>20</v>
      </c>
      <c r="G136" s="25" t="s">
        <v>61</v>
      </c>
      <c r="H136" s="6" t="s">
        <v>15</v>
      </c>
      <c r="I136" s="49" t="s">
        <v>16</v>
      </c>
      <c r="J136" s="106">
        <f>IF(I136=H136,"RKG01",0)</f>
        <v>0</v>
      </c>
      <c r="K136" s="112" t="str">
        <f>IF(I136=H136,0,"RDP02")</f>
        <v>RDP02</v>
      </c>
      <c r="L136" s="6"/>
      <c r="M136" s="42" t="s">
        <v>219</v>
      </c>
      <c r="N136" s="127"/>
      <c r="O136"/>
    </row>
    <row r="137" spans="3:15" ht="25.5" x14ac:dyDescent="0.25">
      <c r="C137" s="68"/>
      <c r="D137" s="89"/>
      <c r="E137" s="94"/>
      <c r="F137" s="55" t="s">
        <v>72</v>
      </c>
      <c r="G137" s="25" t="s">
        <v>7</v>
      </c>
      <c r="H137" s="31" t="s">
        <v>8</v>
      </c>
      <c r="I137" s="49" t="s">
        <v>9</v>
      </c>
      <c r="J137" s="106">
        <f t="shared" ref="J137" si="2">IF(I137=H137,"Kursi",0)</f>
        <v>0</v>
      </c>
      <c r="K137" s="112" t="str">
        <f>IF(I137=H137,0,"RTM01")</f>
        <v>RTM01</v>
      </c>
      <c r="L137" s="6" t="s">
        <v>139</v>
      </c>
      <c r="M137" s="41" t="s">
        <v>142</v>
      </c>
      <c r="N137" s="128" t="s">
        <v>286</v>
      </c>
      <c r="O137"/>
    </row>
    <row r="138" spans="3:15" x14ac:dyDescent="0.25">
      <c r="C138" s="68"/>
      <c r="D138" s="89"/>
      <c r="E138" s="72" t="s">
        <v>141</v>
      </c>
      <c r="F138" s="55" t="s">
        <v>14</v>
      </c>
      <c r="G138" s="25" t="s">
        <v>21</v>
      </c>
      <c r="H138" s="30">
        <v>150</v>
      </c>
      <c r="I138" s="49">
        <v>100</v>
      </c>
      <c r="J138" s="106">
        <f>IF(I138&gt;=H138,"RDP02",0)</f>
        <v>0</v>
      </c>
      <c r="K138" s="112" t="str">
        <f>IF(I138&lt;H138,"L1",0)</f>
        <v>L1</v>
      </c>
      <c r="L138" s="6"/>
      <c r="M138" s="41" t="s">
        <v>277</v>
      </c>
      <c r="N138" s="128"/>
      <c r="O138"/>
    </row>
    <row r="139" spans="3:15" ht="45" x14ac:dyDescent="0.25">
      <c r="C139" s="68"/>
      <c r="D139" s="89"/>
      <c r="E139" s="72"/>
      <c r="F139" s="55" t="s">
        <v>60</v>
      </c>
      <c r="G139" s="25" t="s">
        <v>70</v>
      </c>
      <c r="H139" s="30">
        <v>1</v>
      </c>
      <c r="I139" s="49">
        <v>0.8</v>
      </c>
      <c r="J139" s="106" t="str">
        <f>IF(I139&lt;H139,"RDP02",0)</f>
        <v>RDP02</v>
      </c>
      <c r="K139" s="112">
        <f>IF(I139&gt;=H139,"Batal",0)</f>
        <v>0</v>
      </c>
      <c r="L139" s="6"/>
      <c r="M139" s="41" t="s">
        <v>218</v>
      </c>
      <c r="N139" s="126" t="s">
        <v>69</v>
      </c>
      <c r="O139"/>
    </row>
    <row r="140" spans="3:15" ht="38.25" x14ac:dyDescent="0.25">
      <c r="C140" s="68"/>
      <c r="D140" s="89"/>
      <c r="E140" s="72"/>
      <c r="F140" s="55" t="s">
        <v>20</v>
      </c>
      <c r="G140" s="25" t="s">
        <v>61</v>
      </c>
      <c r="H140" s="6" t="s">
        <v>15</v>
      </c>
      <c r="I140" s="49" t="s">
        <v>16</v>
      </c>
      <c r="J140" s="106">
        <f>IF(I140=H140,"RKG01",0)</f>
        <v>0</v>
      </c>
      <c r="K140" s="112" t="str">
        <f>IF(I140=H140,0,"Batal")</f>
        <v>Batal</v>
      </c>
      <c r="L140" s="6"/>
      <c r="M140" s="42" t="s">
        <v>220</v>
      </c>
      <c r="N140" s="128" t="s">
        <v>222</v>
      </c>
      <c r="O140"/>
    </row>
    <row r="141" spans="3:15" x14ac:dyDescent="0.25">
      <c r="C141" s="68"/>
      <c r="D141" s="89"/>
      <c r="E141" s="72" t="s">
        <v>40</v>
      </c>
      <c r="F141" s="55" t="s">
        <v>14</v>
      </c>
      <c r="G141" s="25" t="s">
        <v>21</v>
      </c>
      <c r="H141" s="30">
        <v>150</v>
      </c>
      <c r="I141" s="49">
        <v>100</v>
      </c>
      <c r="J141" s="106">
        <f>IF(I141&gt;=H141,"RTM01",0)</f>
        <v>0</v>
      </c>
      <c r="K141" s="112" t="str">
        <f>IF(I141&lt;H141,"L1",0)</f>
        <v>L1</v>
      </c>
      <c r="L141" s="6"/>
      <c r="M141" s="41" t="s">
        <v>288</v>
      </c>
      <c r="N141" s="128"/>
      <c r="O141"/>
    </row>
    <row r="142" spans="3:15" ht="45" x14ac:dyDescent="0.25">
      <c r="C142" s="80"/>
      <c r="D142" s="89"/>
      <c r="E142" s="72"/>
      <c r="F142" s="55" t="s">
        <v>75</v>
      </c>
      <c r="G142" s="25" t="s">
        <v>70</v>
      </c>
      <c r="H142" s="30">
        <v>1</v>
      </c>
      <c r="I142" s="49">
        <v>1</v>
      </c>
      <c r="J142" s="106">
        <f>IF(I142&lt;H142,"RTM01",0)</f>
        <v>0</v>
      </c>
      <c r="K142" s="112" t="str">
        <f>IF(I142&gt;=H142,"Batal",0)</f>
        <v>Batal</v>
      </c>
      <c r="L142" s="6"/>
      <c r="M142" s="41" t="s">
        <v>223</v>
      </c>
      <c r="N142" s="128" t="s">
        <v>69</v>
      </c>
      <c r="O142"/>
    </row>
    <row r="143" spans="3:15" ht="26.25" thickBot="1" x14ac:dyDescent="0.3">
      <c r="C143" s="80"/>
      <c r="D143" s="89"/>
      <c r="E143" s="72"/>
      <c r="F143" s="18" t="s">
        <v>28</v>
      </c>
      <c r="G143" s="27" t="s">
        <v>25</v>
      </c>
      <c r="H143" s="118" t="s">
        <v>8</v>
      </c>
      <c r="I143" s="51" t="s">
        <v>9</v>
      </c>
      <c r="J143" s="116">
        <f>IF(I143=H143,"Sofa",0)</f>
        <v>0</v>
      </c>
      <c r="K143" s="117" t="str">
        <f>IF(I143=H143,0,"Batal")</f>
        <v>Batal</v>
      </c>
      <c r="L143" s="64" t="s">
        <v>139</v>
      </c>
      <c r="M143" s="45" t="s">
        <v>215</v>
      </c>
      <c r="N143" s="129" t="s">
        <v>69</v>
      </c>
      <c r="O143"/>
    </row>
    <row r="144" spans="3:15" ht="26.25" thickBot="1" x14ac:dyDescent="0.3">
      <c r="C144" s="92" t="s">
        <v>194</v>
      </c>
      <c r="D144" s="93" t="s">
        <v>211</v>
      </c>
      <c r="E144" s="94" t="s">
        <v>212</v>
      </c>
      <c r="F144" s="20" t="s">
        <v>14</v>
      </c>
      <c r="G144" s="24" t="s">
        <v>21</v>
      </c>
      <c r="H144" s="29">
        <v>120</v>
      </c>
      <c r="I144" s="48">
        <v>100</v>
      </c>
      <c r="J144" s="105">
        <f>IF(I144&gt;=H144,"RG01",0)</f>
        <v>0</v>
      </c>
      <c r="K144" s="111" t="str">
        <f>IF(I144&lt;H144,"L1",0)</f>
        <v>L1</v>
      </c>
      <c r="L144" s="5"/>
      <c r="M144" s="44" t="s">
        <v>213</v>
      </c>
      <c r="N144" s="143"/>
      <c r="O144"/>
    </row>
    <row r="145" spans="3:15" ht="26.25" thickBot="1" x14ac:dyDescent="0.3">
      <c r="C145" s="82"/>
      <c r="D145" s="121"/>
      <c r="E145" s="122"/>
      <c r="F145" s="21" t="s">
        <v>28</v>
      </c>
      <c r="G145" s="26" t="s">
        <v>5</v>
      </c>
      <c r="H145" s="33" t="s">
        <v>6</v>
      </c>
      <c r="I145" s="50" t="s">
        <v>6</v>
      </c>
      <c r="J145" s="107" t="str">
        <f>IF(I145=H145,"RGS01",0)</f>
        <v>RGS01</v>
      </c>
      <c r="K145" s="113">
        <f>IF(I145=H145,0,"R1")</f>
        <v>0</v>
      </c>
      <c r="L145" s="4" t="s">
        <v>318</v>
      </c>
      <c r="M145" s="43" t="s">
        <v>332</v>
      </c>
      <c r="N145" s="144"/>
      <c r="O145"/>
    </row>
    <row r="146" spans="3:15" ht="25.5" x14ac:dyDescent="0.25">
      <c r="C146" s="119" t="s">
        <v>183</v>
      </c>
      <c r="D146" s="71" t="s">
        <v>182</v>
      </c>
      <c r="E146" s="95" t="s">
        <v>18</v>
      </c>
      <c r="F146" s="16" t="s">
        <v>14</v>
      </c>
      <c r="G146" s="28" t="s">
        <v>21</v>
      </c>
      <c r="H146" s="37">
        <v>80</v>
      </c>
      <c r="I146" s="52">
        <v>100</v>
      </c>
      <c r="J146" s="108" t="str">
        <f>IF(I146&gt;=H146,"RHD01",0)</f>
        <v>RHD01</v>
      </c>
      <c r="K146" s="114">
        <f>IF(I146&lt;H146,"L1",0)</f>
        <v>0</v>
      </c>
      <c r="L146" s="3"/>
      <c r="M146" s="120" t="s">
        <v>85</v>
      </c>
      <c r="N146" s="134"/>
      <c r="O146"/>
    </row>
    <row r="147" spans="3:15" ht="25.5" x14ac:dyDescent="0.25">
      <c r="C147" s="68"/>
      <c r="D147" s="71"/>
      <c r="E147" s="95"/>
      <c r="F147" s="17" t="s">
        <v>28</v>
      </c>
      <c r="G147" s="25" t="s">
        <v>5</v>
      </c>
      <c r="H147" s="31" t="s">
        <v>6</v>
      </c>
      <c r="I147" s="49" t="s">
        <v>6</v>
      </c>
      <c r="J147" s="106" t="str">
        <f>IF(I147=H147,"RHD01",0)</f>
        <v>RHD01</v>
      </c>
      <c r="K147" s="112">
        <f>IF(I147=H147,0,"R1")</f>
        <v>0</v>
      </c>
      <c r="L147" s="6"/>
      <c r="M147" s="41" t="s">
        <v>331</v>
      </c>
      <c r="N147" s="131"/>
      <c r="O147"/>
    </row>
    <row r="148" spans="3:15" ht="30" x14ac:dyDescent="0.25">
      <c r="C148" s="68"/>
      <c r="D148" s="71"/>
      <c r="E148" s="95"/>
      <c r="F148" s="17" t="s">
        <v>60</v>
      </c>
      <c r="G148" s="25" t="s">
        <v>63</v>
      </c>
      <c r="H148" s="30">
        <v>1</v>
      </c>
      <c r="I148" s="49">
        <v>0.8</v>
      </c>
      <c r="J148" s="106" t="str">
        <f>IF(I148&lt;=H148,"Kran air",0)</f>
        <v>Kran air</v>
      </c>
      <c r="K148" s="112">
        <f>IF(I148&gt;H148,"Batal",0)</f>
        <v>0</v>
      </c>
      <c r="L148" s="6"/>
      <c r="M148" s="41" t="s">
        <v>86</v>
      </c>
      <c r="N148" s="131"/>
      <c r="O148"/>
    </row>
    <row r="149" spans="3:15" ht="30.75" thickBot="1" x14ac:dyDescent="0.3">
      <c r="C149" s="68"/>
      <c r="D149" s="97"/>
      <c r="E149" s="96"/>
      <c r="F149" s="17" t="s">
        <v>20</v>
      </c>
      <c r="G149" s="25" t="s">
        <v>64</v>
      </c>
      <c r="H149" s="6">
        <v>30</v>
      </c>
      <c r="I149" s="49">
        <v>10</v>
      </c>
      <c r="J149" s="106">
        <f>IF(I149&gt;=H149,"D1",0)</f>
        <v>0</v>
      </c>
      <c r="K149" s="112" t="str">
        <f>IF(I149&gt;=H149,0,"Batal")</f>
        <v>Batal</v>
      </c>
      <c r="L149" s="6" t="s">
        <v>103</v>
      </c>
      <c r="M149" s="41" t="s">
        <v>265</v>
      </c>
      <c r="N149" s="131" t="s">
        <v>273</v>
      </c>
      <c r="O149"/>
    </row>
    <row r="150" spans="3:15" x14ac:dyDescent="0.25">
      <c r="C150" s="67" t="s">
        <v>121</v>
      </c>
      <c r="D150" s="70" t="s">
        <v>162</v>
      </c>
      <c r="E150" s="94" t="s">
        <v>18</v>
      </c>
      <c r="F150" s="20" t="s">
        <v>14</v>
      </c>
      <c r="G150" s="24" t="s">
        <v>21</v>
      </c>
      <c r="H150" s="29">
        <v>150</v>
      </c>
      <c r="I150" s="48">
        <v>150</v>
      </c>
      <c r="J150" s="105" t="str">
        <f>IF(I150&gt;=H150,"RGS01",0)</f>
        <v>RGS01</v>
      </c>
      <c r="K150" s="111">
        <f>IF(I150&lt;H150,"L1",0)</f>
        <v>0</v>
      </c>
      <c r="L150" s="5"/>
      <c r="M150" s="40" t="s">
        <v>297</v>
      </c>
      <c r="N150" s="130" t="s">
        <v>102</v>
      </c>
      <c r="O150"/>
    </row>
    <row r="151" spans="3:15" ht="26.25" thickBot="1" x14ac:dyDescent="0.3">
      <c r="C151" s="68"/>
      <c r="D151" s="97"/>
      <c r="E151" s="96"/>
      <c r="F151" s="55" t="s">
        <v>28</v>
      </c>
      <c r="G151" s="25" t="s">
        <v>5</v>
      </c>
      <c r="H151" s="31" t="s">
        <v>6</v>
      </c>
      <c r="I151" s="49" t="s">
        <v>6</v>
      </c>
      <c r="J151" s="106" t="str">
        <f>IF(I151=H151,"RGS01",0)</f>
        <v>RGS01</v>
      </c>
      <c r="K151" s="112">
        <f>IF(I151=H151,0,"R1")</f>
        <v>0</v>
      </c>
      <c r="L151" s="6" t="s">
        <v>318</v>
      </c>
      <c r="M151" s="41" t="s">
        <v>332</v>
      </c>
      <c r="N151" s="131"/>
      <c r="O151"/>
    </row>
    <row r="152" spans="3:15" ht="15.75" thickBot="1" x14ac:dyDescent="0.3">
      <c r="C152" s="67" t="s">
        <v>184</v>
      </c>
      <c r="D152" s="70" t="s">
        <v>257</v>
      </c>
      <c r="E152" s="94" t="s">
        <v>33</v>
      </c>
      <c r="F152" s="20" t="s">
        <v>14</v>
      </c>
      <c r="G152" s="24" t="s">
        <v>21</v>
      </c>
      <c r="H152" s="29">
        <v>150</v>
      </c>
      <c r="I152" s="48">
        <v>100</v>
      </c>
      <c r="J152" s="105">
        <f>IF(I152&gt;=H152,"Pintu",0)</f>
        <v>0</v>
      </c>
      <c r="K152" s="111" t="str">
        <f>IF(I152&lt;H152,"L1",0)</f>
        <v>L1</v>
      </c>
      <c r="L152" s="5"/>
      <c r="M152" s="40" t="s">
        <v>289</v>
      </c>
      <c r="N152" s="130"/>
      <c r="O152"/>
    </row>
    <row r="153" spans="3:15" ht="30.75" thickBot="1" x14ac:dyDescent="0.3">
      <c r="C153" s="68"/>
      <c r="D153" s="70"/>
      <c r="E153" s="94"/>
      <c r="F153" s="17" t="s">
        <v>60</v>
      </c>
      <c r="G153" s="25" t="s">
        <v>63</v>
      </c>
      <c r="H153" s="30">
        <v>0</v>
      </c>
      <c r="I153" s="49">
        <v>0</v>
      </c>
      <c r="J153" s="106" t="str">
        <f>IF(I153&lt;=H153,"Pintu",0)</f>
        <v>Pintu</v>
      </c>
      <c r="K153" s="112">
        <f>IF(I153&gt;H153,"Batal",0)</f>
        <v>0</v>
      </c>
      <c r="L153" s="6"/>
      <c r="M153" s="41" t="s">
        <v>80</v>
      </c>
      <c r="N153" s="131"/>
      <c r="O153"/>
    </row>
    <row r="154" spans="3:15" ht="26.25" thickBot="1" x14ac:dyDescent="0.3">
      <c r="C154" s="68"/>
      <c r="D154" s="70"/>
      <c r="E154" s="94"/>
      <c r="F154" s="17" t="s">
        <v>28</v>
      </c>
      <c r="G154" s="25" t="s">
        <v>5</v>
      </c>
      <c r="H154" s="31" t="s">
        <v>6</v>
      </c>
      <c r="I154" s="49" t="s">
        <v>6</v>
      </c>
      <c r="J154" s="106" t="str">
        <f>IF(I154=H154,"Bak mandi",0)</f>
        <v>Bak mandi</v>
      </c>
      <c r="K154" s="112">
        <f>IF(I154=H154,0,"Batal")</f>
        <v>0</v>
      </c>
      <c r="L154" s="6" t="s">
        <v>318</v>
      </c>
      <c r="M154" s="41" t="s">
        <v>78</v>
      </c>
      <c r="N154" s="131"/>
      <c r="O154"/>
    </row>
    <row r="155" spans="3:15" ht="39" thickBot="1" x14ac:dyDescent="0.3">
      <c r="C155" s="69"/>
      <c r="D155" s="70"/>
      <c r="E155" s="94"/>
      <c r="F155" s="21" t="s">
        <v>20</v>
      </c>
      <c r="G155" s="26" t="s">
        <v>64</v>
      </c>
      <c r="H155" s="4">
        <v>120</v>
      </c>
      <c r="I155" s="50">
        <v>100</v>
      </c>
      <c r="J155" s="107">
        <f>IF(I155&gt;=H155,"Bak mandi",0)</f>
        <v>0</v>
      </c>
      <c r="K155" s="113" t="str">
        <f>IF(I155&gt;=H155,0,"D1")</f>
        <v>D1</v>
      </c>
      <c r="L155" s="4" t="s">
        <v>322</v>
      </c>
      <c r="M155" s="43" t="s">
        <v>263</v>
      </c>
      <c r="N155" s="135" t="s">
        <v>272</v>
      </c>
      <c r="O155"/>
    </row>
    <row r="156" spans="3:15" x14ac:dyDescent="0.25">
      <c r="C156" s="67" t="s">
        <v>185</v>
      </c>
      <c r="D156" s="70" t="s">
        <v>133</v>
      </c>
      <c r="E156" s="94" t="s">
        <v>143</v>
      </c>
      <c r="F156" s="20" t="s">
        <v>14</v>
      </c>
      <c r="G156" s="24" t="s">
        <v>21</v>
      </c>
      <c r="H156" s="29">
        <v>150</v>
      </c>
      <c r="I156" s="48">
        <v>150</v>
      </c>
      <c r="J156" s="105" t="str">
        <f>IF(I156&gt;=H156,"Pintu",0)</f>
        <v>Pintu</v>
      </c>
      <c r="K156" s="111">
        <f>IF(I156&lt;H156,"L1",0)</f>
        <v>0</v>
      </c>
      <c r="L156" s="5"/>
      <c r="M156" s="40" t="s">
        <v>289</v>
      </c>
      <c r="N156" s="130"/>
      <c r="O156"/>
    </row>
    <row r="157" spans="3:15" ht="25.5" x14ac:dyDescent="0.25">
      <c r="C157" s="119"/>
      <c r="D157" s="71"/>
      <c r="E157" s="95"/>
      <c r="F157" s="55" t="s">
        <v>28</v>
      </c>
      <c r="G157" s="25" t="s">
        <v>5</v>
      </c>
      <c r="H157" s="31" t="s">
        <v>6</v>
      </c>
      <c r="I157" s="49" t="s">
        <v>6</v>
      </c>
      <c r="J157" s="106" t="str">
        <f>IF(I157=H157,"RBK01",0)</f>
        <v>RBK01</v>
      </c>
      <c r="K157" s="112">
        <f>IF(I157=H157,0,"R1")</f>
        <v>0</v>
      </c>
      <c r="L157" s="6"/>
      <c r="M157" s="41" t="s">
        <v>328</v>
      </c>
      <c r="N157" s="131"/>
      <c r="O157"/>
    </row>
    <row r="158" spans="3:15" ht="30" x14ac:dyDescent="0.25">
      <c r="C158" s="68"/>
      <c r="D158" s="71"/>
      <c r="E158" s="95"/>
      <c r="F158" s="17" t="s">
        <v>60</v>
      </c>
      <c r="G158" s="25" t="s">
        <v>63</v>
      </c>
      <c r="H158" s="30">
        <v>2</v>
      </c>
      <c r="I158" s="49">
        <v>1</v>
      </c>
      <c r="J158" s="106" t="str">
        <f>IF(I158&lt;=H158,"RBK01",0)</f>
        <v>RBK01</v>
      </c>
      <c r="K158" s="112">
        <f>IF(I158&gt;H158,"Batal",0)</f>
        <v>0</v>
      </c>
      <c r="L158" s="6"/>
      <c r="M158" s="41" t="s">
        <v>144</v>
      </c>
      <c r="N158" s="131"/>
      <c r="O158"/>
    </row>
    <row r="159" spans="3:15" ht="30.75" thickBot="1" x14ac:dyDescent="0.3">
      <c r="C159" s="69"/>
      <c r="D159" s="97"/>
      <c r="E159" s="96"/>
      <c r="F159" s="21" t="s">
        <v>20</v>
      </c>
      <c r="G159" s="26" t="s">
        <v>64</v>
      </c>
      <c r="H159" s="4">
        <v>250</v>
      </c>
      <c r="I159" s="50">
        <v>300</v>
      </c>
      <c r="J159" s="107" t="str">
        <f>IF(I159&gt;=H159,"D1",0)</f>
        <v>D1</v>
      </c>
      <c r="K159" s="113">
        <f>IF(I159&gt;=H159,0,"Batal")</f>
        <v>0</v>
      </c>
      <c r="L159" s="4" t="s">
        <v>284</v>
      </c>
      <c r="M159" s="43" t="s">
        <v>268</v>
      </c>
      <c r="N159" s="132" t="s">
        <v>273</v>
      </c>
      <c r="O159"/>
    </row>
    <row r="160" spans="3:15" x14ac:dyDescent="0.25">
      <c r="C160" s="67" t="s">
        <v>186</v>
      </c>
      <c r="D160" s="70" t="s">
        <v>134</v>
      </c>
      <c r="E160" s="94" t="s">
        <v>143</v>
      </c>
      <c r="F160" s="20" t="s">
        <v>14</v>
      </c>
      <c r="G160" s="24" t="s">
        <v>21</v>
      </c>
      <c r="H160" s="29">
        <v>150</v>
      </c>
      <c r="I160" s="48">
        <v>100</v>
      </c>
      <c r="J160" s="105">
        <f>IF(I160&gt;=H160,"Pintu",0)</f>
        <v>0</v>
      </c>
      <c r="K160" s="111" t="str">
        <f>IF(I160&lt;H160,"L1",0)</f>
        <v>L1</v>
      </c>
      <c r="L160" s="5"/>
      <c r="M160" s="40" t="s">
        <v>289</v>
      </c>
      <c r="N160" s="130"/>
      <c r="O160"/>
    </row>
    <row r="161" spans="3:15" ht="25.5" x14ac:dyDescent="0.25">
      <c r="C161" s="68"/>
      <c r="D161" s="71"/>
      <c r="E161" s="95"/>
      <c r="F161" s="17" t="s">
        <v>28</v>
      </c>
      <c r="G161" s="25" t="s">
        <v>5</v>
      </c>
      <c r="H161" s="31" t="s">
        <v>6</v>
      </c>
      <c r="I161" s="49" t="s">
        <v>6</v>
      </c>
      <c r="J161" s="106" t="str">
        <f>IF(I161=H161,"RBK01",0)</f>
        <v>RBK01</v>
      </c>
      <c r="K161" s="112">
        <f>IF(I161=H161,0,"R1")</f>
        <v>0</v>
      </c>
      <c r="L161" s="6"/>
      <c r="M161" s="41" t="s">
        <v>328</v>
      </c>
      <c r="N161" s="131"/>
      <c r="O161"/>
    </row>
    <row r="162" spans="3:15" ht="30" x14ac:dyDescent="0.25">
      <c r="C162" s="68"/>
      <c r="D162" s="71"/>
      <c r="E162" s="95"/>
      <c r="F162" s="17" t="s">
        <v>60</v>
      </c>
      <c r="G162" s="25" t="s">
        <v>63</v>
      </c>
      <c r="H162" s="30">
        <v>2</v>
      </c>
      <c r="I162" s="49">
        <v>0.4</v>
      </c>
      <c r="J162" s="106" t="str">
        <f>IF(I162&lt;=H162,"RBK01",0)</f>
        <v>RBK01</v>
      </c>
      <c r="K162" s="112">
        <f>IF(I162&gt;H162,"Batal",0)</f>
        <v>0</v>
      </c>
      <c r="L162" s="6"/>
      <c r="M162" s="41" t="s">
        <v>144</v>
      </c>
      <c r="N162" s="131"/>
      <c r="O162"/>
    </row>
    <row r="163" spans="3:15" ht="30" x14ac:dyDescent="0.25">
      <c r="C163" s="68"/>
      <c r="D163" s="71"/>
      <c r="E163" s="95"/>
      <c r="F163" s="16" t="s">
        <v>20</v>
      </c>
      <c r="G163" s="28" t="s">
        <v>64</v>
      </c>
      <c r="H163" s="3">
        <v>160</v>
      </c>
      <c r="I163" s="52">
        <v>100</v>
      </c>
      <c r="J163" s="106">
        <f>IF(I163&gt;=H163,"D1",0)</f>
        <v>0</v>
      </c>
      <c r="K163" s="112" t="str">
        <f>IF(I163&gt;=H163,0,"Batal")</f>
        <v>Batal</v>
      </c>
      <c r="L163" s="6"/>
      <c r="M163" s="41" t="s">
        <v>266</v>
      </c>
      <c r="N163" s="134" t="s">
        <v>273</v>
      </c>
      <c r="O163"/>
    </row>
    <row r="164" spans="3:15" ht="26.25" thickBot="1" x14ac:dyDescent="0.3">
      <c r="C164" s="69"/>
      <c r="D164" s="97"/>
      <c r="E164" s="96"/>
      <c r="F164" s="55" t="s">
        <v>28</v>
      </c>
      <c r="G164" s="25" t="s">
        <v>55</v>
      </c>
      <c r="H164" s="31" t="s">
        <v>19</v>
      </c>
      <c r="I164" s="49" t="s">
        <v>19</v>
      </c>
      <c r="J164" s="108" t="str">
        <f>IF(I164=H164,"E1",0)</f>
        <v>E1</v>
      </c>
      <c r="K164" s="114">
        <f>IF(I164=H164,0,"Batal")</f>
        <v>0</v>
      </c>
      <c r="L164" s="3" t="s">
        <v>323</v>
      </c>
      <c r="M164" s="46" t="s">
        <v>267</v>
      </c>
      <c r="N164" s="131"/>
      <c r="O164"/>
    </row>
    <row r="165" spans="3:15" x14ac:dyDescent="0.25">
      <c r="C165" s="67" t="s">
        <v>122</v>
      </c>
      <c r="D165" s="70" t="s">
        <v>135</v>
      </c>
      <c r="E165" s="94" t="s">
        <v>143</v>
      </c>
      <c r="F165" s="20" t="s">
        <v>14</v>
      </c>
      <c r="G165" s="24" t="s">
        <v>21</v>
      </c>
      <c r="H165" s="29">
        <v>150</v>
      </c>
      <c r="I165" s="48">
        <v>100</v>
      </c>
      <c r="J165" s="105">
        <f>IF(I165&gt;=H165,"Pintu",0)</f>
        <v>0</v>
      </c>
      <c r="K165" s="111" t="str">
        <f>IF(I165&lt;H165,"L1",0)</f>
        <v>L1</v>
      </c>
      <c r="L165" s="5"/>
      <c r="M165" s="40" t="s">
        <v>289</v>
      </c>
      <c r="N165" s="130"/>
      <c r="O165"/>
    </row>
    <row r="166" spans="3:15" ht="26.25" thickBot="1" x14ac:dyDescent="0.3">
      <c r="C166" s="69"/>
      <c r="D166" s="97"/>
      <c r="E166" s="96"/>
      <c r="F166" s="21" t="s">
        <v>28</v>
      </c>
      <c r="G166" s="26" t="s">
        <v>5</v>
      </c>
      <c r="H166" s="33" t="s">
        <v>6</v>
      </c>
      <c r="I166" s="50" t="s">
        <v>6</v>
      </c>
      <c r="J166" s="107" t="str">
        <f>IF(I166=H166,"RBK01",0)</f>
        <v>RBK01</v>
      </c>
      <c r="K166" s="113">
        <f>IF(I166=H166,0,"R1")</f>
        <v>0</v>
      </c>
      <c r="L166" s="3" t="s">
        <v>323</v>
      </c>
      <c r="M166" s="43" t="s">
        <v>328</v>
      </c>
      <c r="N166" s="132"/>
      <c r="O166"/>
    </row>
    <row r="167" spans="3:15" ht="15.75" thickBot="1" x14ac:dyDescent="0.3">
      <c r="C167" s="67" t="s">
        <v>123</v>
      </c>
      <c r="D167" s="70" t="s">
        <v>161</v>
      </c>
      <c r="E167" s="94" t="s">
        <v>24</v>
      </c>
      <c r="F167" s="20" t="s">
        <v>14</v>
      </c>
      <c r="G167" s="24" t="s">
        <v>21</v>
      </c>
      <c r="H167" s="29">
        <v>150</v>
      </c>
      <c r="I167" s="48">
        <v>100</v>
      </c>
      <c r="J167" s="105">
        <f>IF(I167&gt;=H167,"RKG01",0)</f>
        <v>0</v>
      </c>
      <c r="K167" s="111" t="str">
        <f>IF(I167&lt;H167,"L1",0)</f>
        <v>L1</v>
      </c>
      <c r="L167" s="7"/>
      <c r="M167" s="40" t="s">
        <v>287</v>
      </c>
      <c r="N167" s="130"/>
      <c r="O167"/>
    </row>
    <row r="168" spans="3:15" ht="30.75" thickBot="1" x14ac:dyDescent="0.3">
      <c r="C168" s="68"/>
      <c r="D168" s="97"/>
      <c r="E168" s="94"/>
      <c r="F168" s="17" t="s">
        <v>60</v>
      </c>
      <c r="G168" s="25" t="s">
        <v>63</v>
      </c>
      <c r="H168" s="30">
        <v>2</v>
      </c>
      <c r="I168" s="49">
        <v>1</v>
      </c>
      <c r="J168" s="106" t="str">
        <f>IF(I168&lt;=H168,"RKG01",0)</f>
        <v>RKG01</v>
      </c>
      <c r="K168" s="112">
        <f>IF(I168&gt;H168,"Batal",0)</f>
        <v>0</v>
      </c>
      <c r="L168" s="6" t="s">
        <v>139</v>
      </c>
      <c r="M168" s="41" t="s">
        <v>196</v>
      </c>
      <c r="N168" s="131"/>
      <c r="O168"/>
    </row>
    <row r="169" spans="3:15" x14ac:dyDescent="0.25">
      <c r="C169" s="67" t="s">
        <v>188</v>
      </c>
      <c r="D169" s="70" t="s">
        <v>187</v>
      </c>
      <c r="E169" s="94" t="s">
        <v>24</v>
      </c>
      <c r="F169" s="20" t="s">
        <v>14</v>
      </c>
      <c r="G169" s="24" t="s">
        <v>21</v>
      </c>
      <c r="H169" s="29">
        <v>150</v>
      </c>
      <c r="I169" s="48">
        <v>100</v>
      </c>
      <c r="J169" s="105">
        <f>IF(I169&gt;=H169,"RKG01",0)</f>
        <v>0</v>
      </c>
      <c r="K169" s="111" t="str">
        <f>IF(I169&lt;H169,"L1",0)</f>
        <v>L1</v>
      </c>
      <c r="L169" s="7"/>
      <c r="M169" s="40" t="s">
        <v>287</v>
      </c>
      <c r="N169" s="130"/>
      <c r="O169"/>
    </row>
    <row r="170" spans="3:15" ht="30" x14ac:dyDescent="0.25">
      <c r="C170" s="68"/>
      <c r="D170" s="71"/>
      <c r="E170" s="95"/>
      <c r="F170" s="17" t="s">
        <v>60</v>
      </c>
      <c r="G170" s="25" t="s">
        <v>63</v>
      </c>
      <c r="H170" s="30">
        <v>1</v>
      </c>
      <c r="I170" s="49">
        <v>1</v>
      </c>
      <c r="J170" s="106" t="str">
        <f>IF(I170&lt;=H170,"Sofa/ Kursi",0)</f>
        <v>Sofa/ Kursi</v>
      </c>
      <c r="K170" s="112">
        <f>IF(I170&gt;H170,"Batal",0)</f>
        <v>0</v>
      </c>
      <c r="L170" s="6"/>
      <c r="M170" s="41" t="s">
        <v>304</v>
      </c>
      <c r="N170" s="131"/>
      <c r="O170"/>
    </row>
    <row r="171" spans="3:15" ht="25.5" x14ac:dyDescent="0.25">
      <c r="C171" s="68"/>
      <c r="D171" s="71"/>
      <c r="E171" s="95"/>
      <c r="F171" s="65" t="s">
        <v>28</v>
      </c>
      <c r="G171" s="25" t="s">
        <v>66</v>
      </c>
      <c r="H171" s="31" t="s">
        <v>51</v>
      </c>
      <c r="I171" s="49" t="s">
        <v>19</v>
      </c>
      <c r="J171" s="106">
        <f>IF(I171=H171,"Sofa/ Kursi",0)</f>
        <v>0</v>
      </c>
      <c r="K171" s="112" t="str">
        <f>IF(I171=H171,0,"E1")</f>
        <v>E1</v>
      </c>
      <c r="L171" s="6"/>
      <c r="M171" s="41" t="s">
        <v>280</v>
      </c>
      <c r="N171" s="131"/>
      <c r="O171"/>
    </row>
    <row r="172" spans="3:15" ht="30" x14ac:dyDescent="0.25">
      <c r="C172" s="68"/>
      <c r="D172" s="71"/>
      <c r="E172" s="95"/>
      <c r="F172" s="66"/>
      <c r="G172" s="25" t="s">
        <v>67</v>
      </c>
      <c r="H172" s="35">
        <v>25</v>
      </c>
      <c r="I172" s="49">
        <v>26</v>
      </c>
      <c r="J172" s="106">
        <f>IF(I172&lt;=H172,"Sofa/ Kursi",0)</f>
        <v>0</v>
      </c>
      <c r="K172" s="112" t="str">
        <f>IF(I172&gt;H172,"E1",0)</f>
        <v>E1</v>
      </c>
      <c r="L172" s="8"/>
      <c r="M172" s="41" t="s">
        <v>305</v>
      </c>
      <c r="N172" s="131"/>
      <c r="O172"/>
    </row>
    <row r="173" spans="3:15" ht="30.75" customHeight="1" x14ac:dyDescent="0.25">
      <c r="C173" s="68"/>
      <c r="D173" s="71"/>
      <c r="E173" s="95"/>
      <c r="F173" s="100" t="s">
        <v>28</v>
      </c>
      <c r="G173" s="25" t="s">
        <v>25</v>
      </c>
      <c r="H173" s="31" t="s">
        <v>8</v>
      </c>
      <c r="I173" s="49" t="s">
        <v>8</v>
      </c>
      <c r="J173" s="106" t="str">
        <f>IF(I173=H173,"Sofa",0)</f>
        <v>Sofa</v>
      </c>
      <c r="K173" s="112">
        <f>IF(I173=H173,0,"Kursi")</f>
        <v>0</v>
      </c>
      <c r="L173" s="8"/>
      <c r="M173" s="41" t="s">
        <v>307</v>
      </c>
      <c r="N173" s="131"/>
      <c r="O173"/>
    </row>
    <row r="174" spans="3:15" ht="26.25" thickBot="1" x14ac:dyDescent="0.3">
      <c r="C174" s="68"/>
      <c r="D174" s="97"/>
      <c r="E174" s="96"/>
      <c r="F174" s="66"/>
      <c r="G174" s="25" t="s">
        <v>7</v>
      </c>
      <c r="H174" s="31" t="s">
        <v>8</v>
      </c>
      <c r="I174" s="49" t="s">
        <v>8</v>
      </c>
      <c r="J174" s="106" t="str">
        <f>IF(I174=H174,"Kursi",0)</f>
        <v>Kursi</v>
      </c>
      <c r="K174" s="112">
        <f>IF(I174=H174,0,"Batal")</f>
        <v>0</v>
      </c>
      <c r="L174" s="8" t="s">
        <v>285</v>
      </c>
      <c r="M174" s="41" t="s">
        <v>306</v>
      </c>
      <c r="N174" s="131"/>
      <c r="O174"/>
    </row>
    <row r="175" spans="3:15" x14ac:dyDescent="0.25">
      <c r="C175" s="67" t="s">
        <v>258</v>
      </c>
      <c r="D175" s="70" t="s">
        <v>269</v>
      </c>
      <c r="E175" s="94" t="s">
        <v>24</v>
      </c>
      <c r="F175" s="20" t="s">
        <v>14</v>
      </c>
      <c r="G175" s="24" t="s">
        <v>21</v>
      </c>
      <c r="H175" s="29">
        <v>150</v>
      </c>
      <c r="I175" s="48">
        <v>100</v>
      </c>
      <c r="J175" s="105">
        <f>IF(I175&gt;=H175,"RKG01",0)</f>
        <v>0</v>
      </c>
      <c r="K175" s="111" t="str">
        <f>IF(I175&lt;H175,"L1",0)</f>
        <v>L1</v>
      </c>
      <c r="L175" s="7"/>
      <c r="M175" s="40" t="s">
        <v>287</v>
      </c>
      <c r="N175" s="130"/>
      <c r="O175"/>
    </row>
    <row r="176" spans="3:15" ht="30" x14ac:dyDescent="0.25">
      <c r="C176" s="68"/>
      <c r="D176" s="71"/>
      <c r="E176" s="95"/>
      <c r="F176" s="17" t="s">
        <v>60</v>
      </c>
      <c r="G176" s="25" t="s">
        <v>63</v>
      </c>
      <c r="H176" s="30">
        <v>2</v>
      </c>
      <c r="I176" s="49">
        <v>1</v>
      </c>
      <c r="J176" s="106" t="str">
        <f>IF(I176&lt;=H176,"Sofa",0)</f>
        <v>Sofa</v>
      </c>
      <c r="K176" s="112">
        <f>IF(I176&gt;H176,"RTU01",0)</f>
        <v>0</v>
      </c>
      <c r="L176" s="6"/>
      <c r="M176" s="41" t="s">
        <v>97</v>
      </c>
      <c r="N176" s="131"/>
      <c r="O176"/>
    </row>
    <row r="177" spans="3:15" ht="30" customHeight="1" x14ac:dyDescent="0.25">
      <c r="C177" s="68"/>
      <c r="D177" s="71"/>
      <c r="E177" s="95"/>
      <c r="F177" s="17" t="s">
        <v>28</v>
      </c>
      <c r="G177" s="25" t="s">
        <v>25</v>
      </c>
      <c r="H177" s="31" t="s">
        <v>8</v>
      </c>
      <c r="I177" s="49" t="s">
        <v>8</v>
      </c>
      <c r="J177" s="106" t="str">
        <f>IF(I177=H177,"Sofa",0)</f>
        <v>Sofa</v>
      </c>
      <c r="K177" s="112">
        <f>IF(I177=H177,0,"RTU01")</f>
        <v>0</v>
      </c>
      <c r="L177" s="8"/>
      <c r="M177" s="41" t="s">
        <v>308</v>
      </c>
      <c r="N177" s="131"/>
      <c r="O177"/>
    </row>
    <row r="178" spans="3:15" ht="30" x14ac:dyDescent="0.25">
      <c r="C178" s="68"/>
      <c r="D178" s="71"/>
      <c r="E178" s="91"/>
      <c r="F178" s="17" t="s">
        <v>251</v>
      </c>
      <c r="G178" s="25" t="s">
        <v>67</v>
      </c>
      <c r="H178" s="35">
        <v>25</v>
      </c>
      <c r="I178" s="49">
        <v>26</v>
      </c>
      <c r="J178" s="106">
        <f>IF(I178&lt;=H178,"Sofa",0)</f>
        <v>0</v>
      </c>
      <c r="K178" s="112" t="str">
        <f>IF(I178&gt;H178,"E1",0)</f>
        <v>E1</v>
      </c>
      <c r="L178" s="8" t="s">
        <v>285</v>
      </c>
      <c r="M178" s="41" t="s">
        <v>299</v>
      </c>
      <c r="N178" s="131"/>
      <c r="O178"/>
    </row>
    <row r="179" spans="3:15" ht="25.5" x14ac:dyDescent="0.25">
      <c r="C179" s="68"/>
      <c r="D179" s="71"/>
      <c r="E179" s="72" t="s">
        <v>30</v>
      </c>
      <c r="F179" s="17" t="s">
        <v>28</v>
      </c>
      <c r="G179" s="25" t="s">
        <v>5</v>
      </c>
      <c r="H179" s="31" t="s">
        <v>6</v>
      </c>
      <c r="I179" s="49" t="s">
        <v>34</v>
      </c>
      <c r="J179" s="106">
        <f>IF(I179=H179,"RTU01",0)</f>
        <v>0</v>
      </c>
      <c r="K179" s="112" t="str">
        <f>IF(I179=H179,0,"Batal")</f>
        <v>Batal</v>
      </c>
      <c r="L179" s="6" t="s">
        <v>318</v>
      </c>
      <c r="M179" s="41" t="s">
        <v>79</v>
      </c>
      <c r="N179" s="131"/>
      <c r="O179"/>
    </row>
    <row r="180" spans="3:15" x14ac:dyDescent="0.25">
      <c r="C180" s="68"/>
      <c r="D180" s="71"/>
      <c r="E180" s="95"/>
      <c r="F180" s="17" t="s">
        <v>14</v>
      </c>
      <c r="G180" s="25" t="s">
        <v>21</v>
      </c>
      <c r="H180" s="30">
        <v>150</v>
      </c>
      <c r="I180" s="49">
        <v>150</v>
      </c>
      <c r="J180" s="106" t="str">
        <f>IF(I180&gt;=H180,"RTU01",0)</f>
        <v>RTU01</v>
      </c>
      <c r="K180" s="112">
        <f>IF(I180&lt;H180,"L1",0)</f>
        <v>0</v>
      </c>
      <c r="L180" s="8"/>
      <c r="M180" s="41" t="s">
        <v>291</v>
      </c>
      <c r="N180" s="131"/>
      <c r="O180"/>
    </row>
    <row r="181" spans="3:15" ht="30" x14ac:dyDescent="0.25">
      <c r="C181" s="68"/>
      <c r="D181" s="71"/>
      <c r="E181" s="95"/>
      <c r="F181" s="17" t="s">
        <v>60</v>
      </c>
      <c r="G181" s="25" t="s">
        <v>63</v>
      </c>
      <c r="H181" s="30">
        <v>1</v>
      </c>
      <c r="I181" s="49">
        <v>0.5</v>
      </c>
      <c r="J181" s="106" t="str">
        <f>IF(I181&lt;=H181,"Tempat tidur",0)</f>
        <v>Tempat tidur</v>
      </c>
      <c r="K181" s="112">
        <f>IF(I181&gt;H181,"Batal",0)</f>
        <v>0</v>
      </c>
      <c r="L181" s="6"/>
      <c r="M181" s="41" t="s">
        <v>91</v>
      </c>
      <c r="N181" s="131"/>
      <c r="O181"/>
    </row>
    <row r="182" spans="3:15" ht="30.75" thickBot="1" x14ac:dyDescent="0.3">
      <c r="C182" s="68"/>
      <c r="D182" s="97"/>
      <c r="E182" s="96"/>
      <c r="F182" s="17" t="s">
        <v>251</v>
      </c>
      <c r="G182" s="25" t="s">
        <v>67</v>
      </c>
      <c r="H182" s="35">
        <v>25</v>
      </c>
      <c r="I182" s="49">
        <v>27</v>
      </c>
      <c r="J182" s="106">
        <f>IF(I182&lt;=H182,"Tempat tidur",0)</f>
        <v>0</v>
      </c>
      <c r="K182" s="112" t="str">
        <f>IF(I182&gt;H182,"E1",0)</f>
        <v>E1</v>
      </c>
      <c r="L182" s="8" t="s">
        <v>324</v>
      </c>
      <c r="M182" s="41" t="s">
        <v>309</v>
      </c>
      <c r="N182" s="131"/>
      <c r="O182"/>
    </row>
    <row r="183" spans="3:15" x14ac:dyDescent="0.25">
      <c r="C183" s="67" t="s">
        <v>260</v>
      </c>
      <c r="D183" s="70" t="s">
        <v>259</v>
      </c>
      <c r="E183" s="94" t="s">
        <v>143</v>
      </c>
      <c r="F183" s="20" t="s">
        <v>14</v>
      </c>
      <c r="G183" s="24" t="s">
        <v>21</v>
      </c>
      <c r="H183" s="29">
        <v>150</v>
      </c>
      <c r="I183" s="48">
        <v>100</v>
      </c>
      <c r="J183" s="105">
        <f>IF(I183&gt;=H183,"Pintu",0)</f>
        <v>0</v>
      </c>
      <c r="K183" s="111" t="str">
        <f>IF(I183&lt;H183,"L1",0)</f>
        <v>L1</v>
      </c>
      <c r="L183" s="5"/>
      <c r="M183" s="40" t="s">
        <v>289</v>
      </c>
      <c r="N183" s="130"/>
      <c r="O183"/>
    </row>
    <row r="184" spans="3:15" ht="26.25" thickBot="1" x14ac:dyDescent="0.3">
      <c r="C184" s="69"/>
      <c r="D184" s="97"/>
      <c r="E184" s="96"/>
      <c r="F184" s="21" t="s">
        <v>28</v>
      </c>
      <c r="G184" s="26" t="s">
        <v>5</v>
      </c>
      <c r="H184" s="33" t="s">
        <v>6</v>
      </c>
      <c r="I184" s="50" t="s">
        <v>6</v>
      </c>
      <c r="J184" s="107" t="str">
        <f>IF(I184=H184,"RBK01",0)</f>
        <v>RBK01</v>
      </c>
      <c r="K184" s="113">
        <f>IF(I184=H184,0,"R1")</f>
        <v>0</v>
      </c>
      <c r="L184" s="4" t="s">
        <v>323</v>
      </c>
      <c r="M184" s="43" t="s">
        <v>328</v>
      </c>
      <c r="N184" s="132"/>
      <c r="O184"/>
    </row>
    <row r="185" spans="3:15" ht="30" x14ac:dyDescent="0.25">
      <c r="C185" s="81" t="s">
        <v>189</v>
      </c>
      <c r="D185" s="70" t="s">
        <v>107</v>
      </c>
      <c r="E185" s="99" t="s">
        <v>106</v>
      </c>
      <c r="F185" s="17" t="s">
        <v>60</v>
      </c>
      <c r="G185" s="25" t="s">
        <v>63</v>
      </c>
      <c r="H185" s="30">
        <v>2</v>
      </c>
      <c r="I185" s="49">
        <v>1</v>
      </c>
      <c r="J185" s="106" t="str">
        <f>IF(I185&lt;=H185,"RGS01",0)</f>
        <v>RGS01</v>
      </c>
      <c r="K185" s="112">
        <f>IF(I185&gt;H185,"Batal",0)</f>
        <v>0</v>
      </c>
      <c r="L185" s="8"/>
      <c r="M185" s="41" t="s">
        <v>270</v>
      </c>
      <c r="N185" s="134"/>
      <c r="O185"/>
    </row>
    <row r="186" spans="3:15" ht="15.75" thickBot="1" x14ac:dyDescent="0.3">
      <c r="C186" s="81"/>
      <c r="D186" s="97"/>
      <c r="E186" s="101"/>
      <c r="F186" s="16" t="s">
        <v>14</v>
      </c>
      <c r="G186" s="28" t="s">
        <v>21</v>
      </c>
      <c r="H186" s="37">
        <v>80</v>
      </c>
      <c r="I186" s="52">
        <v>60</v>
      </c>
      <c r="J186" s="108" t="str">
        <f>IF(I186&lt;H186,"L1",0)</f>
        <v>L1</v>
      </c>
      <c r="K186" s="114">
        <f>IF(I186&gt;H186,"Batal",0)</f>
        <v>0</v>
      </c>
      <c r="L186" s="9"/>
      <c r="M186" s="46" t="s">
        <v>298</v>
      </c>
      <c r="N186" s="131"/>
      <c r="O186"/>
    </row>
    <row r="187" spans="3:15" x14ac:dyDescent="0.25">
      <c r="C187" s="67" t="s">
        <v>124</v>
      </c>
      <c r="D187" s="70" t="s">
        <v>56</v>
      </c>
      <c r="E187" s="94" t="s">
        <v>37</v>
      </c>
      <c r="F187" s="20" t="s">
        <v>14</v>
      </c>
      <c r="G187" s="24" t="s">
        <v>21</v>
      </c>
      <c r="H187" s="29">
        <v>150</v>
      </c>
      <c r="I187" s="48">
        <v>100</v>
      </c>
      <c r="J187" s="105">
        <f>IF(I187&gt;=H187,"Pintu",0)</f>
        <v>0</v>
      </c>
      <c r="K187" s="111" t="str">
        <f>IF(I187&lt;H187,"L1",0)</f>
        <v>L1</v>
      </c>
      <c r="L187" s="5"/>
      <c r="M187" s="40" t="s">
        <v>289</v>
      </c>
      <c r="N187" s="130"/>
      <c r="O187"/>
    </row>
    <row r="188" spans="3:15" ht="25.5" x14ac:dyDescent="0.25">
      <c r="C188" s="68"/>
      <c r="D188" s="71"/>
      <c r="E188" s="95"/>
      <c r="F188" s="17" t="s">
        <v>28</v>
      </c>
      <c r="G188" s="25" t="s">
        <v>5</v>
      </c>
      <c r="H188" s="31" t="s">
        <v>6</v>
      </c>
      <c r="I188" s="49" t="s">
        <v>6</v>
      </c>
      <c r="J188" s="106" t="str">
        <f>IF(I188=H188,"RGD01",0)</f>
        <v>RGD01</v>
      </c>
      <c r="K188" s="112">
        <f>IF(I188=H188,0,"R1")</f>
        <v>0</v>
      </c>
      <c r="L188" s="6"/>
      <c r="M188" s="41" t="s">
        <v>333</v>
      </c>
      <c r="N188" s="131"/>
      <c r="O188"/>
    </row>
    <row r="189" spans="3:15" ht="30" x14ac:dyDescent="0.25">
      <c r="C189" s="68"/>
      <c r="D189" s="71"/>
      <c r="E189" s="95"/>
      <c r="F189" s="17" t="s">
        <v>60</v>
      </c>
      <c r="G189" s="25" t="s">
        <v>63</v>
      </c>
      <c r="H189" s="30">
        <v>1</v>
      </c>
      <c r="I189" s="49">
        <v>1</v>
      </c>
      <c r="J189" s="106" t="str">
        <f>IF(I189&lt;=H189,"RGD01",0)</f>
        <v>RGD01</v>
      </c>
      <c r="K189" s="112">
        <f>IF(I189&gt;H189,"Batal",0)</f>
        <v>0</v>
      </c>
      <c r="L189" s="6"/>
      <c r="M189" s="41" t="s">
        <v>310</v>
      </c>
      <c r="N189" s="131"/>
      <c r="O189"/>
    </row>
    <row r="190" spans="3:15" ht="26.25" thickBot="1" x14ac:dyDescent="0.3">
      <c r="C190" s="68"/>
      <c r="D190" s="97"/>
      <c r="E190" s="96"/>
      <c r="F190" s="55" t="s">
        <v>28</v>
      </c>
      <c r="G190" s="25" t="s">
        <v>57</v>
      </c>
      <c r="H190" s="31" t="s">
        <v>51</v>
      </c>
      <c r="I190" s="49" t="s">
        <v>19</v>
      </c>
      <c r="J190" s="106">
        <f>IF(I190=H190,"Setrika",0)</f>
        <v>0</v>
      </c>
      <c r="K190" s="112" t="str">
        <f>IF(I190=H190,0,"E1")</f>
        <v>E1</v>
      </c>
      <c r="L190" s="6" t="s">
        <v>325</v>
      </c>
      <c r="M190" s="41" t="s">
        <v>279</v>
      </c>
      <c r="N190" s="131"/>
      <c r="O190"/>
    </row>
    <row r="191" spans="3:15" x14ac:dyDescent="0.25">
      <c r="C191" s="67" t="s">
        <v>127</v>
      </c>
      <c r="D191" s="70" t="s">
        <v>190</v>
      </c>
      <c r="E191" s="94" t="s">
        <v>17</v>
      </c>
      <c r="F191" s="20" t="s">
        <v>14</v>
      </c>
      <c r="G191" s="24" t="s">
        <v>21</v>
      </c>
      <c r="H191" s="29">
        <v>150</v>
      </c>
      <c r="I191" s="48">
        <v>100</v>
      </c>
      <c r="J191" s="105">
        <f>IF(I191&gt;=H191,"RDP01",0)</f>
        <v>0</v>
      </c>
      <c r="K191" s="111" t="str">
        <f>IF(I191&lt;H191,"L1",0)</f>
        <v>L1</v>
      </c>
      <c r="L191" s="5"/>
      <c r="M191" s="40" t="s">
        <v>294</v>
      </c>
      <c r="N191" s="130"/>
      <c r="O191"/>
    </row>
    <row r="192" spans="3:15" ht="30" x14ac:dyDescent="0.25">
      <c r="C192" s="68"/>
      <c r="D192" s="71"/>
      <c r="E192" s="95"/>
      <c r="F192" s="17" t="s">
        <v>60</v>
      </c>
      <c r="G192" s="25" t="s">
        <v>63</v>
      </c>
      <c r="H192" s="30">
        <v>2</v>
      </c>
      <c r="I192" s="49">
        <v>2</v>
      </c>
      <c r="J192" s="106" t="str">
        <f>IF(I192&lt;=H192,"Bak cuci piring",0)</f>
        <v>Bak cuci piring</v>
      </c>
      <c r="K192" s="112">
        <f>IF(I192&gt;H192,"Batal",0)</f>
        <v>0</v>
      </c>
      <c r="L192" s="6"/>
      <c r="M192" s="41" t="s">
        <v>88</v>
      </c>
      <c r="N192" s="131"/>
      <c r="O192"/>
    </row>
    <row r="193" spans="3:15" ht="30.75" thickBot="1" x14ac:dyDescent="0.3">
      <c r="C193" s="68"/>
      <c r="D193" s="97"/>
      <c r="E193" s="96"/>
      <c r="F193" s="17" t="s">
        <v>20</v>
      </c>
      <c r="G193" s="26" t="s">
        <v>64</v>
      </c>
      <c r="H193" s="4">
        <v>15</v>
      </c>
      <c r="I193" s="50">
        <v>100</v>
      </c>
      <c r="J193" s="107" t="str">
        <f>IF(I193&gt;=H193,"D1",0)</f>
        <v>D1</v>
      </c>
      <c r="K193" s="113">
        <f>IF(I193&gt;=H193,0,"Batal")</f>
        <v>0</v>
      </c>
      <c r="L193" s="4" t="s">
        <v>284</v>
      </c>
      <c r="M193" s="43" t="s">
        <v>271</v>
      </c>
      <c r="N193" s="131" t="s">
        <v>273</v>
      </c>
      <c r="O193"/>
    </row>
    <row r="194" spans="3:15" x14ac:dyDescent="0.25">
      <c r="C194" s="67" t="s">
        <v>191</v>
      </c>
      <c r="D194" s="70" t="s">
        <v>58</v>
      </c>
      <c r="E194" s="94" t="s">
        <v>24</v>
      </c>
      <c r="F194" s="20" t="s">
        <v>14</v>
      </c>
      <c r="G194" s="24" t="s">
        <v>21</v>
      </c>
      <c r="H194" s="29">
        <v>150</v>
      </c>
      <c r="I194" s="48">
        <v>100</v>
      </c>
      <c r="J194" s="105">
        <f>IF(I194&gt;=H194,"RKG01",0)</f>
        <v>0</v>
      </c>
      <c r="K194" s="111" t="str">
        <f>IF(I194&lt;H194,"L1",0)</f>
        <v>L1</v>
      </c>
      <c r="L194" s="7"/>
      <c r="M194" s="40" t="s">
        <v>287</v>
      </c>
      <c r="N194" s="130"/>
      <c r="O194"/>
    </row>
    <row r="195" spans="3:15" ht="30" x14ac:dyDescent="0.25">
      <c r="C195" s="68"/>
      <c r="D195" s="71"/>
      <c r="E195" s="95"/>
      <c r="F195" s="17" t="s">
        <v>60</v>
      </c>
      <c r="G195" s="25" t="s">
        <v>63</v>
      </c>
      <c r="H195" s="30">
        <v>0.6</v>
      </c>
      <c r="I195" s="49">
        <v>1.2</v>
      </c>
      <c r="J195" s="106">
        <f>IF(I195&lt;H195,"Sofa",0)</f>
        <v>0</v>
      </c>
      <c r="K195" s="112" t="str">
        <f>IF(I195&gt;=H195,"RTM01",0)</f>
        <v>RTM01</v>
      </c>
      <c r="L195" s="6"/>
      <c r="M195" s="41" t="s">
        <v>93</v>
      </c>
      <c r="N195" s="131"/>
      <c r="O195"/>
    </row>
    <row r="196" spans="3:15" ht="25.5" x14ac:dyDescent="0.25">
      <c r="C196" s="68"/>
      <c r="D196" s="71"/>
      <c r="E196" s="95"/>
      <c r="F196" s="17" t="s">
        <v>28</v>
      </c>
      <c r="G196" s="25" t="s">
        <v>25</v>
      </c>
      <c r="H196" s="31" t="s">
        <v>8</v>
      </c>
      <c r="I196" s="49" t="s">
        <v>9</v>
      </c>
      <c r="J196" s="106">
        <f>IF(I196=H196,"Sofa",0)</f>
        <v>0</v>
      </c>
      <c r="K196" s="112" t="str">
        <f>IF(I196=H196,0,"RTM01")</f>
        <v>RTM01</v>
      </c>
      <c r="L196" s="8"/>
      <c r="M196" s="41" t="s">
        <v>92</v>
      </c>
      <c r="N196" s="131"/>
      <c r="O196"/>
    </row>
    <row r="197" spans="3:15" ht="30" x14ac:dyDescent="0.25">
      <c r="C197" s="68"/>
      <c r="D197" s="71"/>
      <c r="E197" s="91"/>
      <c r="F197" s="17" t="s">
        <v>251</v>
      </c>
      <c r="G197" s="25" t="s">
        <v>67</v>
      </c>
      <c r="H197" s="35">
        <v>25</v>
      </c>
      <c r="I197" s="49">
        <v>25</v>
      </c>
      <c r="J197" s="106" t="str">
        <f>IF(I197&lt;=H197,"Sofa",0)</f>
        <v>Sofa</v>
      </c>
      <c r="K197" s="112">
        <f>IF(I197&gt;H197,"E1",0)</f>
        <v>0</v>
      </c>
      <c r="L197" s="8" t="s">
        <v>285</v>
      </c>
      <c r="M197" s="41" t="s">
        <v>299</v>
      </c>
      <c r="N197" s="131"/>
      <c r="O197"/>
    </row>
    <row r="198" spans="3:15" x14ac:dyDescent="0.25">
      <c r="C198" s="68"/>
      <c r="D198" s="71"/>
      <c r="E198" s="72" t="s">
        <v>40</v>
      </c>
      <c r="F198" s="17" t="s">
        <v>14</v>
      </c>
      <c r="G198" s="25" t="s">
        <v>21</v>
      </c>
      <c r="H198" s="30">
        <v>150</v>
      </c>
      <c r="I198" s="49">
        <v>150</v>
      </c>
      <c r="J198" s="106" t="str">
        <f>IF(I198&gt;=H198,"RTM01",0)</f>
        <v>RTM01</v>
      </c>
      <c r="K198" s="112">
        <f>IF(I198&lt;H198,"L1",0)</f>
        <v>0</v>
      </c>
      <c r="L198" s="8"/>
      <c r="M198" s="41" t="s">
        <v>288</v>
      </c>
      <c r="N198" s="131"/>
      <c r="O198"/>
    </row>
    <row r="199" spans="3:15" ht="30" x14ac:dyDescent="0.25">
      <c r="C199" s="68"/>
      <c r="D199" s="71"/>
      <c r="E199" s="95"/>
      <c r="F199" s="17" t="s">
        <v>60</v>
      </c>
      <c r="G199" s="25" t="s">
        <v>63</v>
      </c>
      <c r="H199" s="30">
        <v>0.4</v>
      </c>
      <c r="I199" s="49">
        <v>0.2</v>
      </c>
      <c r="J199" s="106" t="str">
        <f>IF(I199&lt;H199,"Sofa",0)</f>
        <v>Sofa</v>
      </c>
      <c r="K199" s="112">
        <f>IF(I199&gt;=H199,"Batal",0)</f>
        <v>0</v>
      </c>
      <c r="L199" s="6"/>
      <c r="M199" s="41" t="s">
        <v>94</v>
      </c>
      <c r="N199" s="131"/>
      <c r="O199"/>
    </row>
    <row r="200" spans="3:15" ht="26.25" thickBot="1" x14ac:dyDescent="0.3">
      <c r="C200" s="68"/>
      <c r="D200" s="71"/>
      <c r="E200" s="95"/>
      <c r="F200" s="17" t="s">
        <v>28</v>
      </c>
      <c r="G200" s="25" t="s">
        <v>25</v>
      </c>
      <c r="H200" s="31" t="s">
        <v>8</v>
      </c>
      <c r="I200" s="49" t="s">
        <v>8</v>
      </c>
      <c r="J200" s="106" t="str">
        <f>IF(I200=H200,"Sofa",0)</f>
        <v>Sofa</v>
      </c>
      <c r="K200" s="112">
        <f>IF(I200=H200,0,"Batal")</f>
        <v>0</v>
      </c>
      <c r="L200" s="6" t="s">
        <v>139</v>
      </c>
      <c r="M200" s="41" t="s">
        <v>95</v>
      </c>
      <c r="N200" s="131"/>
      <c r="O200"/>
    </row>
    <row r="201" spans="3:15" x14ac:dyDescent="0.25">
      <c r="C201" s="67" t="s">
        <v>192</v>
      </c>
      <c r="D201" s="70" t="s">
        <v>59</v>
      </c>
      <c r="E201" s="94" t="s">
        <v>24</v>
      </c>
      <c r="F201" s="20" t="s">
        <v>14</v>
      </c>
      <c r="G201" s="24" t="s">
        <v>21</v>
      </c>
      <c r="H201" s="29">
        <v>150</v>
      </c>
      <c r="I201" s="48">
        <v>100</v>
      </c>
      <c r="J201" s="105">
        <f>IF(I201&gt;=H201,"RKG01",0)</f>
        <v>0</v>
      </c>
      <c r="K201" s="111" t="str">
        <f>IF(I201&lt;H201,"L1",0)</f>
        <v>L1</v>
      </c>
      <c r="L201" s="7"/>
      <c r="M201" s="40" t="s">
        <v>287</v>
      </c>
      <c r="N201" s="130"/>
      <c r="O201"/>
    </row>
    <row r="202" spans="3:15" ht="30" x14ac:dyDescent="0.25">
      <c r="C202" s="68"/>
      <c r="D202" s="71"/>
      <c r="E202" s="95"/>
      <c r="F202" s="17" t="s">
        <v>60</v>
      </c>
      <c r="G202" s="25" t="s">
        <v>63</v>
      </c>
      <c r="H202" s="30">
        <v>1</v>
      </c>
      <c r="I202" s="49">
        <v>1.2</v>
      </c>
      <c r="J202" s="106">
        <f>IF(I202&lt;H202,"Sofa",0)</f>
        <v>0</v>
      </c>
      <c r="K202" s="112" t="str">
        <f>IF(I202&gt;=H202,"RTU01",0)</f>
        <v>RTU01</v>
      </c>
      <c r="L202" s="6"/>
      <c r="M202" s="41" t="s">
        <v>97</v>
      </c>
      <c r="N202" s="131"/>
      <c r="O202"/>
    </row>
    <row r="203" spans="3:15" ht="25.5" x14ac:dyDescent="0.25">
      <c r="C203" s="68"/>
      <c r="D203" s="71"/>
      <c r="E203" s="95"/>
      <c r="F203" s="17" t="s">
        <v>28</v>
      </c>
      <c r="G203" s="25" t="s">
        <v>25</v>
      </c>
      <c r="H203" s="31" t="s">
        <v>8</v>
      </c>
      <c r="I203" s="49" t="s">
        <v>9</v>
      </c>
      <c r="J203" s="106">
        <f>IF(I203=H203,"Sofa",0)</f>
        <v>0</v>
      </c>
      <c r="K203" s="112" t="str">
        <f>IF(I203=H203,0,"RTU01")</f>
        <v>RTU01</v>
      </c>
      <c r="L203" s="8"/>
      <c r="M203" s="41" t="s">
        <v>96</v>
      </c>
      <c r="N203" s="131"/>
      <c r="O203"/>
    </row>
    <row r="204" spans="3:15" ht="30" x14ac:dyDescent="0.25">
      <c r="C204" s="68"/>
      <c r="D204" s="71"/>
      <c r="E204" s="91"/>
      <c r="F204" s="17" t="s">
        <v>251</v>
      </c>
      <c r="G204" s="25" t="s">
        <v>67</v>
      </c>
      <c r="H204" s="35">
        <v>25</v>
      </c>
      <c r="I204" s="49">
        <v>26</v>
      </c>
      <c r="J204" s="106">
        <f>IF(I204&lt;=H204,"Sofa",0)</f>
        <v>0</v>
      </c>
      <c r="K204" s="112" t="str">
        <f>IF(I204&gt;H204,"E1",0)</f>
        <v>E1</v>
      </c>
      <c r="L204" s="8" t="s">
        <v>285</v>
      </c>
      <c r="M204" s="41" t="s">
        <v>299</v>
      </c>
      <c r="N204" s="131"/>
      <c r="O204"/>
    </row>
    <row r="205" spans="3:15" ht="25.5" x14ac:dyDescent="0.25">
      <c r="C205" s="68"/>
      <c r="D205" s="71"/>
      <c r="E205" s="72" t="s">
        <v>30</v>
      </c>
      <c r="F205" s="17" t="s">
        <v>28</v>
      </c>
      <c r="G205" s="25" t="s">
        <v>5</v>
      </c>
      <c r="H205" s="31" t="s">
        <v>6</v>
      </c>
      <c r="I205" s="49" t="s">
        <v>34</v>
      </c>
      <c r="J205" s="106">
        <f>IF(I205=H205,"RTU01",0)</f>
        <v>0</v>
      </c>
      <c r="K205" s="112" t="str">
        <f>IF(I205=H205,0,"Batal")</f>
        <v>Batal</v>
      </c>
      <c r="L205" s="6"/>
      <c r="M205" s="41" t="s">
        <v>79</v>
      </c>
      <c r="N205" s="131"/>
      <c r="O205"/>
    </row>
    <row r="206" spans="3:15" x14ac:dyDescent="0.25">
      <c r="C206" s="68"/>
      <c r="D206" s="71"/>
      <c r="E206" s="95"/>
      <c r="F206" s="17" t="s">
        <v>14</v>
      </c>
      <c r="G206" s="25" t="s">
        <v>21</v>
      </c>
      <c r="H206" s="30">
        <v>150</v>
      </c>
      <c r="I206" s="49">
        <v>100</v>
      </c>
      <c r="J206" s="106">
        <f>IF(I206&gt;=H206,"RTU01",0)</f>
        <v>0</v>
      </c>
      <c r="K206" s="112" t="str">
        <f>IF(I206&lt;H206,"L1",0)</f>
        <v>L1</v>
      </c>
      <c r="L206" s="8" t="s">
        <v>318</v>
      </c>
      <c r="M206" s="41" t="s">
        <v>291</v>
      </c>
      <c r="N206" s="131"/>
      <c r="O206"/>
    </row>
    <row r="207" spans="3:15" ht="30" x14ac:dyDescent="0.25">
      <c r="C207" s="68"/>
      <c r="D207" s="71"/>
      <c r="E207" s="95"/>
      <c r="F207" s="17" t="s">
        <v>60</v>
      </c>
      <c r="G207" s="25" t="s">
        <v>63</v>
      </c>
      <c r="H207" s="30">
        <v>0.4</v>
      </c>
      <c r="I207" s="49">
        <v>1</v>
      </c>
      <c r="J207" s="106">
        <f>IF(I207&lt;H207,"Tempat tidur",0)</f>
        <v>0</v>
      </c>
      <c r="K207" s="112" t="str">
        <f>IF(I207&gt;=H207,"Batal",0)</f>
        <v>Batal</v>
      </c>
      <c r="L207" s="8"/>
      <c r="M207" s="41" t="s">
        <v>98</v>
      </c>
      <c r="N207" s="131"/>
      <c r="O207"/>
    </row>
    <row r="208" spans="3:15" ht="30" x14ac:dyDescent="0.25">
      <c r="C208" s="68"/>
      <c r="D208" s="71"/>
      <c r="E208" s="95"/>
      <c r="F208" s="17" t="s">
        <v>28</v>
      </c>
      <c r="G208" s="25" t="s">
        <v>31</v>
      </c>
      <c r="H208" s="31" t="s">
        <v>8</v>
      </c>
      <c r="I208" s="49" t="s">
        <v>9</v>
      </c>
      <c r="J208" s="106">
        <f>IF(I208=H208,"Tempat tidur",0)</f>
        <v>0</v>
      </c>
      <c r="K208" s="112" t="str">
        <f>IF(I208=H208,0,"Batal")</f>
        <v>Batal</v>
      </c>
      <c r="L208" s="8"/>
      <c r="M208" s="41" t="s">
        <v>77</v>
      </c>
      <c r="N208" s="131"/>
      <c r="O208"/>
    </row>
    <row r="209" spans="3:15" ht="30.75" thickBot="1" x14ac:dyDescent="0.3">
      <c r="C209" s="68"/>
      <c r="D209" s="97"/>
      <c r="E209" s="95"/>
      <c r="F209" s="18" t="s">
        <v>251</v>
      </c>
      <c r="G209" s="27" t="s">
        <v>67</v>
      </c>
      <c r="H209" s="123">
        <v>24</v>
      </c>
      <c r="I209" s="51">
        <v>25</v>
      </c>
      <c r="J209" s="116">
        <f>IF(I209&lt;=H209,"Tempat tidur",0)</f>
        <v>0</v>
      </c>
      <c r="K209" s="117" t="str">
        <f>IF(I209&gt;H209,"E1",0)</f>
        <v>E1</v>
      </c>
      <c r="L209" s="14" t="s">
        <v>324</v>
      </c>
      <c r="M209" s="45" t="s">
        <v>283</v>
      </c>
      <c r="N209" s="131"/>
      <c r="O209"/>
    </row>
    <row r="210" spans="3:15" ht="30.75" customHeight="1" x14ac:dyDescent="0.25">
      <c r="C210" s="92" t="s">
        <v>194</v>
      </c>
      <c r="D210" s="99" t="s">
        <v>99</v>
      </c>
      <c r="E210" s="94" t="s">
        <v>212</v>
      </c>
      <c r="F210" s="20" t="s">
        <v>14</v>
      </c>
      <c r="G210" s="24" t="s">
        <v>21</v>
      </c>
      <c r="H210" s="29">
        <v>150</v>
      </c>
      <c r="I210" s="48">
        <v>100</v>
      </c>
      <c r="J210" s="105">
        <f>IF(I210&gt;=H210,"RGS01",0)</f>
        <v>0</v>
      </c>
      <c r="K210" s="111" t="str">
        <f>IF(I210&lt;H210,"L1",0)</f>
        <v>L1</v>
      </c>
      <c r="L210" s="7" t="s">
        <v>318</v>
      </c>
      <c r="M210" s="40" t="s">
        <v>297</v>
      </c>
      <c r="N210" s="130"/>
      <c r="O210"/>
    </row>
    <row r="211" spans="3:15" ht="26.25" thickBot="1" x14ac:dyDescent="0.3">
      <c r="C211" s="82"/>
      <c r="D211" s="101"/>
      <c r="E211" s="96"/>
      <c r="F211" s="59" t="s">
        <v>28</v>
      </c>
      <c r="G211" s="60" t="s">
        <v>5</v>
      </c>
      <c r="H211" s="146" t="s">
        <v>6</v>
      </c>
      <c r="I211" s="62" t="s">
        <v>6</v>
      </c>
      <c r="J211" s="109" t="str">
        <f>IF(I211=H211,"RGS01",0)</f>
        <v>RGS01</v>
      </c>
      <c r="K211" s="115">
        <f>IF(I211=H211,0,"R1")</f>
        <v>0</v>
      </c>
      <c r="L211" s="63" t="s">
        <v>323</v>
      </c>
      <c r="M211" s="98" t="s">
        <v>332</v>
      </c>
      <c r="N211" s="134"/>
      <c r="O211"/>
    </row>
    <row r="212" spans="3:15" ht="30.75" customHeight="1" x14ac:dyDescent="0.25">
      <c r="C212" s="92" t="s">
        <v>193</v>
      </c>
      <c r="D212" s="99" t="s">
        <v>100</v>
      </c>
      <c r="E212" s="94" t="s">
        <v>212</v>
      </c>
      <c r="F212" s="20" t="s">
        <v>14</v>
      </c>
      <c r="G212" s="24" t="s">
        <v>21</v>
      </c>
      <c r="H212" s="29">
        <v>150</v>
      </c>
      <c r="I212" s="48">
        <v>100</v>
      </c>
      <c r="J212" s="105">
        <f>IF(I212&gt;=H212,"RGS01",0)</f>
        <v>0</v>
      </c>
      <c r="K212" s="111" t="str">
        <f>IF(I212&lt;H212,"L1",0)</f>
        <v>L1</v>
      </c>
      <c r="L212" s="7"/>
      <c r="M212" s="40" t="s">
        <v>297</v>
      </c>
      <c r="N212" s="130"/>
      <c r="O212"/>
    </row>
    <row r="213" spans="3:15" ht="26.25" thickBot="1" x14ac:dyDescent="0.3">
      <c r="C213" s="82"/>
      <c r="D213" s="101"/>
      <c r="E213" s="96"/>
      <c r="F213" s="59" t="s">
        <v>28</v>
      </c>
      <c r="G213" s="60" t="s">
        <v>5</v>
      </c>
      <c r="H213" s="146" t="s">
        <v>6</v>
      </c>
      <c r="I213" s="62" t="s">
        <v>6</v>
      </c>
      <c r="J213" s="109" t="str">
        <f>IF(I213=H213,"RGS01",0)</f>
        <v>RGS01</v>
      </c>
      <c r="K213" s="115">
        <f>IF(I213=H213,0,"R1")</f>
        <v>0</v>
      </c>
      <c r="L213" s="63" t="s">
        <v>323</v>
      </c>
      <c r="M213" s="98" t="s">
        <v>332</v>
      </c>
      <c r="N213" s="134"/>
      <c r="O213"/>
    </row>
    <row r="214" spans="3:15" x14ac:dyDescent="0.25">
      <c r="C214" s="92" t="s">
        <v>121</v>
      </c>
      <c r="D214" s="99" t="s">
        <v>101</v>
      </c>
      <c r="E214" s="94" t="s">
        <v>212</v>
      </c>
      <c r="F214" s="20" t="s">
        <v>14</v>
      </c>
      <c r="G214" s="24" t="s">
        <v>21</v>
      </c>
      <c r="H214" s="29">
        <v>150</v>
      </c>
      <c r="I214" s="48">
        <v>100</v>
      </c>
      <c r="J214" s="105">
        <f>IF(I214&gt;=H214,"RGS01",0)</f>
        <v>0</v>
      </c>
      <c r="K214" s="111" t="str">
        <f>IF(I214&lt;H214,"L1",0)</f>
        <v>L1</v>
      </c>
      <c r="L214" s="7"/>
      <c r="M214" s="40" t="s">
        <v>297</v>
      </c>
      <c r="N214" s="130"/>
      <c r="O214"/>
    </row>
    <row r="215" spans="3:15" ht="26.25" thickBot="1" x14ac:dyDescent="0.3">
      <c r="C215" s="82"/>
      <c r="D215" s="101"/>
      <c r="E215" s="96"/>
      <c r="F215" s="59" t="s">
        <v>28</v>
      </c>
      <c r="G215" s="60" t="s">
        <v>5</v>
      </c>
      <c r="H215" s="146" t="s">
        <v>6</v>
      </c>
      <c r="I215" s="62" t="s">
        <v>6</v>
      </c>
      <c r="J215" s="109" t="str">
        <f>IF(I215=H215,"RGS01",0)</f>
        <v>RGS01</v>
      </c>
      <c r="K215" s="115">
        <f>IF(I215=H215,0,"R1")</f>
        <v>0</v>
      </c>
      <c r="L215" s="63" t="s">
        <v>323</v>
      </c>
      <c r="M215" s="98" t="s">
        <v>332</v>
      </c>
      <c r="N215" s="142"/>
      <c r="O215"/>
    </row>
    <row r="216" spans="3:15" ht="60.75" customHeight="1" x14ac:dyDescent="0.25">
      <c r="C216" s="92" t="s">
        <v>261</v>
      </c>
      <c r="D216" s="99" t="s">
        <v>262</v>
      </c>
      <c r="E216" s="94" t="s">
        <v>212</v>
      </c>
      <c r="F216" s="20" t="s">
        <v>14</v>
      </c>
      <c r="G216" s="24" t="s">
        <v>21</v>
      </c>
      <c r="H216" s="29">
        <v>150</v>
      </c>
      <c r="I216" s="48">
        <v>100</v>
      </c>
      <c r="J216" s="105">
        <f>IF(I216&gt;=H216,"RGS01",0)</f>
        <v>0</v>
      </c>
      <c r="K216" s="111" t="str">
        <f>IF(I216&lt;H216,"L1",0)</f>
        <v>L1</v>
      </c>
      <c r="L216" s="7"/>
      <c r="M216" s="40" t="s">
        <v>297</v>
      </c>
      <c r="N216" s="130"/>
      <c r="O216"/>
    </row>
    <row r="217" spans="3:15" ht="26.25" thickBot="1" x14ac:dyDescent="0.3">
      <c r="C217" s="82"/>
      <c r="D217" s="101"/>
      <c r="E217" s="96"/>
      <c r="F217" s="59" t="s">
        <v>28</v>
      </c>
      <c r="G217" s="60" t="s">
        <v>5</v>
      </c>
      <c r="H217" s="146" t="s">
        <v>6</v>
      </c>
      <c r="I217" s="62" t="s">
        <v>6</v>
      </c>
      <c r="J217" s="109" t="str">
        <f>IF(I217=H217,"RGS01",0)</f>
        <v>RGS01</v>
      </c>
      <c r="K217" s="115">
        <f>IF(I217=H217,0,"R1")</f>
        <v>0</v>
      </c>
      <c r="L217" s="63" t="s">
        <v>323</v>
      </c>
      <c r="M217" s="98" t="s">
        <v>332</v>
      </c>
      <c r="N217" s="142"/>
      <c r="O217"/>
    </row>
    <row r="218" spans="3:15" ht="15.75" thickBot="1" x14ac:dyDescent="0.3">
      <c r="C218" s="85" t="s">
        <v>208</v>
      </c>
      <c r="D218" s="88" t="s">
        <v>209</v>
      </c>
      <c r="E218" s="85" t="s">
        <v>171</v>
      </c>
      <c r="F218" s="20" t="s">
        <v>14</v>
      </c>
      <c r="G218" s="24" t="s">
        <v>21</v>
      </c>
      <c r="H218" s="29">
        <v>150</v>
      </c>
      <c r="I218" s="48">
        <v>100</v>
      </c>
      <c r="J218" s="105">
        <f>IF(I218&gt;=H218,"RKJ01",0)</f>
        <v>0</v>
      </c>
      <c r="K218" s="111" t="str">
        <f>IF(I218&lt;H218,"L1",0)</f>
        <v>L1</v>
      </c>
      <c r="L218" s="7"/>
      <c r="M218" s="40" t="s">
        <v>311</v>
      </c>
      <c r="N218" s="145"/>
      <c r="O218"/>
    </row>
    <row r="219" spans="3:15" ht="30.75" thickBot="1" x14ac:dyDescent="0.3">
      <c r="C219" s="86"/>
      <c r="D219" s="88"/>
      <c r="E219" s="85"/>
      <c r="F219" s="55" t="s">
        <v>60</v>
      </c>
      <c r="G219" s="25" t="s">
        <v>63</v>
      </c>
      <c r="H219" s="30">
        <v>2</v>
      </c>
      <c r="I219" s="49">
        <v>1</v>
      </c>
      <c r="J219" s="106" t="str">
        <f>IF(I219&lt;=H219,"Kursi",0)</f>
        <v>Kursi</v>
      </c>
      <c r="K219" s="112">
        <f>IF(I219&gt;H219,"Batal",0)</f>
        <v>0</v>
      </c>
      <c r="L219" s="8"/>
      <c r="M219" s="41" t="s">
        <v>300</v>
      </c>
      <c r="N219" s="142"/>
      <c r="O219"/>
    </row>
    <row r="220" spans="3:15" ht="26.25" thickBot="1" x14ac:dyDescent="0.3">
      <c r="C220" s="87"/>
      <c r="D220" s="88"/>
      <c r="E220" s="124"/>
      <c r="F220" s="21" t="s">
        <v>28</v>
      </c>
      <c r="G220" s="26" t="s">
        <v>210</v>
      </c>
      <c r="H220" s="33" t="s">
        <v>51</v>
      </c>
      <c r="I220" s="50" t="s">
        <v>19</v>
      </c>
      <c r="J220" s="107">
        <f>IF(I220=H220,"Komputer",0)</f>
        <v>0</v>
      </c>
      <c r="K220" s="113" t="str">
        <f>IF(I220=H220,0,"E1")</f>
        <v>E1</v>
      </c>
      <c r="L220" s="10" t="s">
        <v>285</v>
      </c>
      <c r="M220" s="43" t="s">
        <v>278</v>
      </c>
      <c r="N220" s="141"/>
      <c r="O220"/>
    </row>
    <row r="221" spans="3:15" x14ac:dyDescent="0.25">
      <c r="C221" s="85" t="s">
        <v>125</v>
      </c>
      <c r="D221" s="88" t="s">
        <v>204</v>
      </c>
      <c r="E221" s="85" t="s">
        <v>171</v>
      </c>
      <c r="F221" s="20" t="s">
        <v>14</v>
      </c>
      <c r="G221" s="25" t="s">
        <v>21</v>
      </c>
      <c r="H221" s="30">
        <v>150</v>
      </c>
      <c r="I221" s="49">
        <v>100</v>
      </c>
      <c r="J221" s="105">
        <f>IF(I221&gt;=H221,"RKJ01",0)</f>
        <v>0</v>
      </c>
      <c r="K221" s="111" t="str">
        <f>IF(I221&lt;H221,"L1",0)</f>
        <v>L1</v>
      </c>
      <c r="L221" s="7"/>
      <c r="M221" s="40" t="s">
        <v>311</v>
      </c>
      <c r="N221" s="130"/>
      <c r="O221"/>
    </row>
    <row r="222" spans="3:15" ht="30" x14ac:dyDescent="0.25">
      <c r="C222" s="86"/>
      <c r="D222" s="89"/>
      <c r="E222" s="86"/>
      <c r="F222" s="17" t="s">
        <v>60</v>
      </c>
      <c r="G222" s="25" t="s">
        <v>63</v>
      </c>
      <c r="H222" s="30">
        <v>2</v>
      </c>
      <c r="I222" s="49">
        <v>1</v>
      </c>
      <c r="J222" s="106" t="str">
        <f>IF(I222&lt;=H222,"Printer",0)</f>
        <v>Printer</v>
      </c>
      <c r="K222" s="112">
        <f>IF(I222&gt;H222,"Batal",0)</f>
        <v>0</v>
      </c>
      <c r="L222" s="8"/>
      <c r="M222" s="41" t="s">
        <v>206</v>
      </c>
      <c r="N222" s="131"/>
      <c r="O222"/>
    </row>
    <row r="223" spans="3:15" ht="26.25" thickBot="1" x14ac:dyDescent="0.3">
      <c r="C223" s="87"/>
      <c r="D223" s="90"/>
      <c r="E223" s="87"/>
      <c r="F223" s="21" t="s">
        <v>28</v>
      </c>
      <c r="G223" s="26" t="s">
        <v>207</v>
      </c>
      <c r="H223" s="33" t="s">
        <v>51</v>
      </c>
      <c r="I223" s="50" t="s">
        <v>19</v>
      </c>
      <c r="J223" s="107">
        <f>IF(I223=H223,"Printer",0)</f>
        <v>0</v>
      </c>
      <c r="K223" s="113" t="str">
        <f>IF(I223=H223,0,"E1")</f>
        <v>E1</v>
      </c>
      <c r="L223" s="10" t="s">
        <v>285</v>
      </c>
      <c r="M223" s="43" t="s">
        <v>282</v>
      </c>
      <c r="N223" s="132"/>
      <c r="O223"/>
    </row>
    <row r="224" spans="3:15" ht="25.5" x14ac:dyDescent="0.25">
      <c r="C224" s="85" t="s">
        <v>202</v>
      </c>
      <c r="D224" s="88" t="s">
        <v>203</v>
      </c>
      <c r="E224" s="85" t="s">
        <v>30</v>
      </c>
      <c r="F224" s="20" t="s">
        <v>28</v>
      </c>
      <c r="G224" s="24" t="s">
        <v>5</v>
      </c>
      <c r="H224" s="34" t="s">
        <v>6</v>
      </c>
      <c r="I224" s="48" t="s">
        <v>34</v>
      </c>
      <c r="J224" s="105">
        <f>IF(I224=H224,"Pintu",0)</f>
        <v>0</v>
      </c>
      <c r="K224" s="111" t="str">
        <f>IF(I224=H224,0,"Batal")</f>
        <v>Batal</v>
      </c>
      <c r="L224" s="5" t="s">
        <v>318</v>
      </c>
      <c r="M224" s="40" t="s">
        <v>90</v>
      </c>
      <c r="N224" s="145"/>
      <c r="O224"/>
    </row>
    <row r="225" spans="3:15" x14ac:dyDescent="0.25">
      <c r="C225" s="86"/>
      <c r="D225" s="89"/>
      <c r="E225" s="86"/>
      <c r="F225" s="55" t="s">
        <v>14</v>
      </c>
      <c r="G225" s="25" t="s">
        <v>21</v>
      </c>
      <c r="H225" s="30">
        <v>150</v>
      </c>
      <c r="I225" s="49">
        <v>100</v>
      </c>
      <c r="J225" s="106">
        <f>IF(I225&gt;=H225,"RTU01",0)</f>
        <v>0</v>
      </c>
      <c r="K225" s="112" t="str">
        <f>IF(I225&lt;H225,"L1",0)</f>
        <v>L1</v>
      </c>
      <c r="L225" s="8"/>
      <c r="M225" s="41" t="s">
        <v>291</v>
      </c>
      <c r="N225" s="142"/>
      <c r="O225"/>
    </row>
    <row r="226" spans="3:15" ht="30.75" thickBot="1" x14ac:dyDescent="0.3">
      <c r="C226" s="87"/>
      <c r="D226" s="90"/>
      <c r="E226" s="87"/>
      <c r="F226" s="21" t="s">
        <v>60</v>
      </c>
      <c r="G226" s="26" t="s">
        <v>63</v>
      </c>
      <c r="H226" s="32">
        <v>0.4</v>
      </c>
      <c r="I226" s="50">
        <v>1</v>
      </c>
      <c r="J226" s="107">
        <f>IF(I226&lt;H226,"Tempat tidur",0)</f>
        <v>0</v>
      </c>
      <c r="K226" s="113" t="str">
        <f>IF(I226&gt;=H226,"Batal",0)</f>
        <v>Batal</v>
      </c>
      <c r="L226" s="10" t="s">
        <v>318</v>
      </c>
      <c r="M226" s="43" t="s">
        <v>98</v>
      </c>
      <c r="N226" s="141"/>
      <c r="O226"/>
    </row>
    <row r="227" spans="3:15" x14ac:dyDescent="0.25">
      <c r="C227" s="85" t="s">
        <v>126</v>
      </c>
      <c r="D227" s="71" t="s">
        <v>163</v>
      </c>
      <c r="E227" s="100" t="s">
        <v>141</v>
      </c>
      <c r="F227" s="16" t="s">
        <v>14</v>
      </c>
      <c r="G227" s="28" t="s">
        <v>21</v>
      </c>
      <c r="H227" s="37">
        <v>150</v>
      </c>
      <c r="I227" s="52">
        <v>100</v>
      </c>
      <c r="J227" s="108">
        <f>IF(I227&gt;=H227,"RDP02",0)</f>
        <v>0</v>
      </c>
      <c r="K227" s="114" t="str">
        <f>IF(I227&lt;H227,"L1",0)</f>
        <v>L1</v>
      </c>
      <c r="L227" s="9"/>
      <c r="M227" s="46" t="s">
        <v>312</v>
      </c>
      <c r="N227" s="134"/>
      <c r="O227"/>
    </row>
    <row r="228" spans="3:15" ht="30" x14ac:dyDescent="0.25">
      <c r="C228" s="86"/>
      <c r="D228" s="71"/>
      <c r="E228" s="100"/>
      <c r="F228" s="17" t="s">
        <v>60</v>
      </c>
      <c r="G228" s="25" t="s">
        <v>63</v>
      </c>
      <c r="H228" s="30">
        <v>2</v>
      </c>
      <c r="I228" s="49">
        <v>2</v>
      </c>
      <c r="J228" s="106" t="str">
        <f>IF(I228&lt;=H228,"Rice cooker",0)</f>
        <v>Rice cooker</v>
      </c>
      <c r="K228" s="112">
        <f>IF(I228&gt;H228,"Batal",0)</f>
        <v>0</v>
      </c>
      <c r="L228" s="8"/>
      <c r="M228" s="41" t="s">
        <v>313</v>
      </c>
      <c r="N228" s="131"/>
      <c r="O228"/>
    </row>
    <row r="229" spans="3:15" ht="30.75" thickBot="1" x14ac:dyDescent="0.3">
      <c r="C229" s="87"/>
      <c r="D229" s="97"/>
      <c r="E229" s="101"/>
      <c r="F229" s="21" t="s">
        <v>28</v>
      </c>
      <c r="G229" s="26" t="s">
        <v>205</v>
      </c>
      <c r="H229" s="33" t="s">
        <v>19</v>
      </c>
      <c r="I229" s="50" t="s">
        <v>51</v>
      </c>
      <c r="J229" s="107">
        <f>IF(I229=H229,"RDP02",0)</f>
        <v>0</v>
      </c>
      <c r="K229" s="113" t="str">
        <f>IF(I229=H229,0,"E2")</f>
        <v>E2</v>
      </c>
      <c r="L229" s="10" t="s">
        <v>139</v>
      </c>
      <c r="M229" s="43" t="s">
        <v>314</v>
      </c>
      <c r="N229" s="132"/>
      <c r="O229"/>
    </row>
    <row r="230" spans="3:15" x14ac:dyDescent="0.25">
      <c r="C230" s="85" t="s">
        <v>200</v>
      </c>
      <c r="D230" s="70" t="s">
        <v>201</v>
      </c>
      <c r="E230" s="94" t="s">
        <v>24</v>
      </c>
      <c r="F230" s="20" t="s">
        <v>14</v>
      </c>
      <c r="G230" s="24" t="s">
        <v>21</v>
      </c>
      <c r="H230" s="29">
        <v>150</v>
      </c>
      <c r="I230" s="48">
        <v>100</v>
      </c>
      <c r="J230" s="105">
        <f>IF(I230&gt;=H230,"RKG01",0)</f>
        <v>0</v>
      </c>
      <c r="K230" s="111" t="str">
        <f>IF(I230&lt;H230,"L1",0)</f>
        <v>L1</v>
      </c>
      <c r="L230" s="7"/>
      <c r="M230" s="40" t="s">
        <v>287</v>
      </c>
      <c r="N230" s="134"/>
      <c r="O230"/>
    </row>
    <row r="231" spans="3:15" ht="30" x14ac:dyDescent="0.25">
      <c r="C231" s="86"/>
      <c r="D231" s="71"/>
      <c r="E231" s="95"/>
      <c r="F231" s="55" t="s">
        <v>60</v>
      </c>
      <c r="G231" s="25" t="s">
        <v>63</v>
      </c>
      <c r="H231" s="30">
        <v>1</v>
      </c>
      <c r="I231" s="49">
        <v>0.6</v>
      </c>
      <c r="J231" s="106" t="str">
        <f>IF(I231&lt;H231,"Sofa",0)</f>
        <v>Sofa</v>
      </c>
      <c r="K231" s="112">
        <f>IF(I231&gt;=H231,"RKG01",0)</f>
        <v>0</v>
      </c>
      <c r="L231" s="6"/>
      <c r="M231" s="41" t="s">
        <v>315</v>
      </c>
      <c r="N231" s="131"/>
      <c r="O231"/>
    </row>
    <row r="232" spans="3:15" ht="25.5" x14ac:dyDescent="0.25">
      <c r="C232" s="86"/>
      <c r="D232" s="71"/>
      <c r="E232" s="95"/>
      <c r="F232" s="55" t="s">
        <v>28</v>
      </c>
      <c r="G232" s="25" t="s">
        <v>25</v>
      </c>
      <c r="H232" s="31" t="s">
        <v>8</v>
      </c>
      <c r="I232" s="49" t="s">
        <v>8</v>
      </c>
      <c r="J232" s="106" t="str">
        <f>IF(I232=H232,"Sofa",0)</f>
        <v>Sofa</v>
      </c>
      <c r="K232" s="112">
        <f>IF(I232=H232,0,"RTU01")</f>
        <v>0</v>
      </c>
      <c r="L232" s="8"/>
      <c r="M232" s="41" t="s">
        <v>96</v>
      </c>
      <c r="N232" s="131"/>
      <c r="O232"/>
    </row>
    <row r="233" spans="3:15" ht="30" x14ac:dyDescent="0.25">
      <c r="C233" s="86"/>
      <c r="D233" s="71"/>
      <c r="E233" s="91"/>
      <c r="F233" s="55" t="s">
        <v>251</v>
      </c>
      <c r="G233" s="25" t="s">
        <v>67</v>
      </c>
      <c r="H233" s="35">
        <v>25</v>
      </c>
      <c r="I233" s="49">
        <v>25</v>
      </c>
      <c r="J233" s="106" t="str">
        <f>IF(I233&lt;=H233,"Sofa",0)</f>
        <v>Sofa</v>
      </c>
      <c r="K233" s="112">
        <f>IF(I233&gt;H233,"E1",0)</f>
        <v>0</v>
      </c>
      <c r="L233" s="8" t="s">
        <v>285</v>
      </c>
      <c r="M233" s="41" t="s">
        <v>299</v>
      </c>
      <c r="N233" s="131"/>
      <c r="O233"/>
    </row>
    <row r="234" spans="3:15" ht="25.5" x14ac:dyDescent="0.25">
      <c r="C234" s="86"/>
      <c r="D234" s="71"/>
      <c r="E234" s="72" t="s">
        <v>30</v>
      </c>
      <c r="F234" s="55" t="s">
        <v>28</v>
      </c>
      <c r="G234" s="25" t="s">
        <v>5</v>
      </c>
      <c r="H234" s="31" t="s">
        <v>6</v>
      </c>
      <c r="I234" s="49" t="s">
        <v>6</v>
      </c>
      <c r="J234" s="106" t="str">
        <f>IF(I234=H234,"Pintu",0)</f>
        <v>Pintu</v>
      </c>
      <c r="K234" s="112">
        <f>IF(I234=H234,0,"Batal")</f>
        <v>0</v>
      </c>
      <c r="L234" s="6"/>
      <c r="M234" s="41" t="s">
        <v>90</v>
      </c>
      <c r="N234" s="131"/>
      <c r="O234"/>
    </row>
    <row r="235" spans="3:15" x14ac:dyDescent="0.25">
      <c r="C235" s="86"/>
      <c r="D235" s="71"/>
      <c r="E235" s="95"/>
      <c r="F235" s="55" t="s">
        <v>14</v>
      </c>
      <c r="G235" s="25" t="s">
        <v>21</v>
      </c>
      <c r="H235" s="30">
        <v>150</v>
      </c>
      <c r="I235" s="49">
        <v>100</v>
      </c>
      <c r="J235" s="106">
        <f>IF(I235&gt;=H235,"RTU01",0)</f>
        <v>0</v>
      </c>
      <c r="K235" s="112" t="str">
        <f>IF(I235&lt;H235,"L1",0)</f>
        <v>L1</v>
      </c>
      <c r="L235" s="8"/>
      <c r="M235" s="41" t="s">
        <v>291</v>
      </c>
      <c r="N235" s="131"/>
      <c r="O235"/>
    </row>
    <row r="236" spans="3:15" ht="30" x14ac:dyDescent="0.25">
      <c r="C236" s="86"/>
      <c r="D236" s="71"/>
      <c r="E236" s="95"/>
      <c r="F236" s="55" t="s">
        <v>60</v>
      </c>
      <c r="G236" s="25" t="s">
        <v>63</v>
      </c>
      <c r="H236" s="30">
        <v>1</v>
      </c>
      <c r="I236" s="49">
        <v>0.2</v>
      </c>
      <c r="J236" s="106" t="str">
        <f>IF(I236&lt;H236,"Tempat tidur",0)</f>
        <v>Tempat tidur</v>
      </c>
      <c r="K236" s="112">
        <f>IF(I236&gt;=H236,"Batal",0)</f>
        <v>0</v>
      </c>
      <c r="L236" s="8"/>
      <c r="M236" s="41" t="s">
        <v>98</v>
      </c>
      <c r="N236" s="131"/>
      <c r="O236"/>
    </row>
    <row r="237" spans="3:15" ht="30" x14ac:dyDescent="0.25">
      <c r="C237" s="86"/>
      <c r="D237" s="71"/>
      <c r="E237" s="95"/>
      <c r="F237" s="55" t="s">
        <v>28</v>
      </c>
      <c r="G237" s="25" t="s">
        <v>31</v>
      </c>
      <c r="H237" s="31" t="s">
        <v>8</v>
      </c>
      <c r="I237" s="49" t="s">
        <v>8</v>
      </c>
      <c r="J237" s="106" t="str">
        <f>IF(I237=H237,"Tempat tidur",0)</f>
        <v>Tempat tidur</v>
      </c>
      <c r="K237" s="112">
        <f>IF(I237=H237,0,"Batal")</f>
        <v>0</v>
      </c>
      <c r="L237" s="8"/>
      <c r="M237" s="41" t="s">
        <v>77</v>
      </c>
      <c r="N237" s="131"/>
      <c r="O237"/>
    </row>
    <row r="238" spans="3:15" ht="30.75" thickBot="1" x14ac:dyDescent="0.3">
      <c r="C238" s="86"/>
      <c r="D238" s="97"/>
      <c r="E238" s="96"/>
      <c r="F238" s="21" t="s">
        <v>251</v>
      </c>
      <c r="G238" s="26" t="s">
        <v>67</v>
      </c>
      <c r="H238" s="36">
        <v>24</v>
      </c>
      <c r="I238" s="50">
        <v>25</v>
      </c>
      <c r="J238" s="107">
        <f>IF(I238&lt;=H238,"Tempat tidur",0)</f>
        <v>0</v>
      </c>
      <c r="K238" s="113" t="str">
        <f>IF(I238&gt;H238,"E1",0)</f>
        <v>E1</v>
      </c>
      <c r="L238" s="10" t="s">
        <v>285</v>
      </c>
      <c r="M238" s="43" t="s">
        <v>283</v>
      </c>
      <c r="N238" s="131"/>
      <c r="O238"/>
    </row>
    <row r="239" spans="3:15" x14ac:dyDescent="0.25">
      <c r="C239" s="67" t="s">
        <v>195</v>
      </c>
      <c r="D239" s="70" t="s">
        <v>197</v>
      </c>
      <c r="E239" s="95" t="s">
        <v>40</v>
      </c>
      <c r="F239" s="16" t="s">
        <v>14</v>
      </c>
      <c r="G239" s="28" t="s">
        <v>21</v>
      </c>
      <c r="H239" s="37">
        <v>150</v>
      </c>
      <c r="I239" s="52">
        <v>100</v>
      </c>
      <c r="J239" s="108">
        <f>IF(I239&gt;=H239,"RTM01",0)</f>
        <v>0</v>
      </c>
      <c r="K239" s="114" t="str">
        <f>IF(I239&lt;H239,"L1",0)</f>
        <v>L1</v>
      </c>
      <c r="L239" s="9"/>
      <c r="M239" s="46" t="s">
        <v>288</v>
      </c>
      <c r="N239" s="130"/>
      <c r="O239"/>
    </row>
    <row r="240" spans="3:15" ht="30" x14ac:dyDescent="0.25">
      <c r="C240" s="68"/>
      <c r="D240" s="71"/>
      <c r="E240" s="95"/>
      <c r="F240" s="17" t="s">
        <v>60</v>
      </c>
      <c r="G240" s="25" t="s">
        <v>63</v>
      </c>
      <c r="H240" s="30">
        <v>3</v>
      </c>
      <c r="I240" s="49">
        <v>1</v>
      </c>
      <c r="J240" s="106" t="str">
        <f>IF(I240&lt;=H240,"RTM01",0)</f>
        <v>RTM01</v>
      </c>
      <c r="K240" s="112">
        <f>IF(I240&gt;H240,"Batal",0)</f>
        <v>0</v>
      </c>
      <c r="L240" s="6"/>
      <c r="M240" s="41" t="s">
        <v>199</v>
      </c>
      <c r="N240" s="131"/>
      <c r="O240"/>
    </row>
    <row r="241" spans="3:15" ht="15.75" thickBot="1" x14ac:dyDescent="0.3">
      <c r="C241" s="69"/>
      <c r="D241" s="97"/>
      <c r="E241" s="96"/>
      <c r="F241" s="21" t="s">
        <v>28</v>
      </c>
      <c r="G241" s="26" t="s">
        <v>25</v>
      </c>
      <c r="H241" s="33" t="s">
        <v>8</v>
      </c>
      <c r="I241" s="50" t="s">
        <v>8</v>
      </c>
      <c r="J241" s="107" t="str">
        <f>IF(I241=H241,"Sofa",0)</f>
        <v>Sofa</v>
      </c>
      <c r="K241" s="113">
        <f>IF(I241=H241,0,"Batal")</f>
        <v>0</v>
      </c>
      <c r="L241" s="10" t="s">
        <v>139</v>
      </c>
      <c r="M241" s="43" t="s">
        <v>198</v>
      </c>
      <c r="N241" s="132"/>
      <c r="O241"/>
    </row>
  </sheetData>
  <mergeCells count="201">
    <mergeCell ref="D210:D211"/>
    <mergeCell ref="C210:C211"/>
    <mergeCell ref="E216:E217"/>
    <mergeCell ref="D216:D217"/>
    <mergeCell ref="C216:C217"/>
    <mergeCell ref="D123:D130"/>
    <mergeCell ref="E127:E130"/>
    <mergeCell ref="E167:E168"/>
    <mergeCell ref="E144:E145"/>
    <mergeCell ref="D144:D145"/>
    <mergeCell ref="E3:E6"/>
    <mergeCell ref="D3:D12"/>
    <mergeCell ref="E10:E12"/>
    <mergeCell ref="D28:D33"/>
    <mergeCell ref="E31:E33"/>
    <mergeCell ref="E23:E27"/>
    <mergeCell ref="D23:D27"/>
    <mergeCell ref="E28:E30"/>
    <mergeCell ref="E7:E9"/>
    <mergeCell ref="E20:E22"/>
    <mergeCell ref="E13:E16"/>
    <mergeCell ref="D13:D22"/>
    <mergeCell ref="E17:E19"/>
    <mergeCell ref="E34:E36"/>
    <mergeCell ref="E141:E143"/>
    <mergeCell ref="E95:E97"/>
    <mergeCell ref="E86:E87"/>
    <mergeCell ref="E104:E108"/>
    <mergeCell ref="D104:D108"/>
    <mergeCell ref="C104:C108"/>
    <mergeCell ref="C115:C117"/>
    <mergeCell ref="D115:D117"/>
    <mergeCell ref="E115:E117"/>
    <mergeCell ref="D109:D111"/>
    <mergeCell ref="E109:E111"/>
    <mergeCell ref="C218:C220"/>
    <mergeCell ref="C144:C145"/>
    <mergeCell ref="C167:C168"/>
    <mergeCell ref="C214:C215"/>
    <mergeCell ref="C212:C213"/>
    <mergeCell ref="C239:C241"/>
    <mergeCell ref="D239:D241"/>
    <mergeCell ref="E239:E241"/>
    <mergeCell ref="D230:D238"/>
    <mergeCell ref="E230:E233"/>
    <mergeCell ref="E234:E238"/>
    <mergeCell ref="C230:C238"/>
    <mergeCell ref="C224:C226"/>
    <mergeCell ref="D224:D226"/>
    <mergeCell ref="E224:E226"/>
    <mergeCell ref="E221:E223"/>
    <mergeCell ref="D221:D223"/>
    <mergeCell ref="C221:C223"/>
    <mergeCell ref="C131:C133"/>
    <mergeCell ref="D131:D133"/>
    <mergeCell ref="E131:E133"/>
    <mergeCell ref="D191:D193"/>
    <mergeCell ref="E191:E193"/>
    <mergeCell ref="C201:C209"/>
    <mergeCell ref="C191:C193"/>
    <mergeCell ref="C160:C164"/>
    <mergeCell ref="C34:C39"/>
    <mergeCell ref="C40:C45"/>
    <mergeCell ref="C123:C130"/>
    <mergeCell ref="C75:C77"/>
    <mergeCell ref="C78:C80"/>
    <mergeCell ref="C86:C87"/>
    <mergeCell ref="C68:C69"/>
    <mergeCell ref="C70:C71"/>
    <mergeCell ref="C83:C85"/>
    <mergeCell ref="C58:C59"/>
    <mergeCell ref="C81:C82"/>
    <mergeCell ref="C134:C143"/>
    <mergeCell ref="C150:C151"/>
    <mergeCell ref="C187:C190"/>
    <mergeCell ref="C175:C182"/>
    <mergeCell ref="C169:C174"/>
    <mergeCell ref="C185:C186"/>
    <mergeCell ref="C146:C149"/>
    <mergeCell ref="C165:C166"/>
    <mergeCell ref="C156:C159"/>
    <mergeCell ref="C183:C184"/>
    <mergeCell ref="C152:C155"/>
    <mergeCell ref="E175:E178"/>
    <mergeCell ref="D165:D166"/>
    <mergeCell ref="E165:E166"/>
    <mergeCell ref="D183:D184"/>
    <mergeCell ref="E183:E184"/>
    <mergeCell ref="D156:D159"/>
    <mergeCell ref="E156:E159"/>
    <mergeCell ref="E198:E200"/>
    <mergeCell ref="E194:E197"/>
    <mergeCell ref="D194:D200"/>
    <mergeCell ref="E169:E174"/>
    <mergeCell ref="D169:D174"/>
    <mergeCell ref="F173:F174"/>
    <mergeCell ref="E218:E220"/>
    <mergeCell ref="D218:D220"/>
    <mergeCell ref="D152:D155"/>
    <mergeCell ref="E152:E155"/>
    <mergeCell ref="F171:F172"/>
    <mergeCell ref="D214:D215"/>
    <mergeCell ref="D212:D213"/>
    <mergeCell ref="E214:E215"/>
    <mergeCell ref="E212:E213"/>
    <mergeCell ref="E210:E211"/>
    <mergeCell ref="D201:D209"/>
    <mergeCell ref="E205:E209"/>
    <mergeCell ref="E201:E204"/>
    <mergeCell ref="C194:C200"/>
    <mergeCell ref="C46:C48"/>
    <mergeCell ref="C60:C62"/>
    <mergeCell ref="D92:D94"/>
    <mergeCell ref="E92:E94"/>
    <mergeCell ref="C88:C89"/>
    <mergeCell ref="C90:C91"/>
    <mergeCell ref="C92:C94"/>
    <mergeCell ref="E55:E57"/>
    <mergeCell ref="D90:D91"/>
    <mergeCell ref="E90:E91"/>
    <mergeCell ref="C98:C103"/>
    <mergeCell ref="E43:E45"/>
    <mergeCell ref="E134:E137"/>
    <mergeCell ref="E138:E140"/>
    <mergeCell ref="D58:D59"/>
    <mergeCell ref="D63:D65"/>
    <mergeCell ref="E63:E65"/>
    <mergeCell ref="C63:C65"/>
    <mergeCell ref="C66:C67"/>
    <mergeCell ref="E52:E54"/>
    <mergeCell ref="D88:D89"/>
    <mergeCell ref="E88:E89"/>
    <mergeCell ref="D78:D80"/>
    <mergeCell ref="E78:E80"/>
    <mergeCell ref="D75:D77"/>
    <mergeCell ref="E75:E77"/>
    <mergeCell ref="D52:D54"/>
    <mergeCell ref="C55:C57"/>
    <mergeCell ref="D112:D114"/>
    <mergeCell ref="E112:E114"/>
    <mergeCell ref="C28:C33"/>
    <mergeCell ref="C13:C22"/>
    <mergeCell ref="C23:C27"/>
    <mergeCell ref="C3:C12"/>
    <mergeCell ref="D83:D85"/>
    <mergeCell ref="E160:E164"/>
    <mergeCell ref="D50:D51"/>
    <mergeCell ref="E50:E51"/>
    <mergeCell ref="D175:D182"/>
    <mergeCell ref="E179:E182"/>
    <mergeCell ref="E68:E69"/>
    <mergeCell ref="E58:E59"/>
    <mergeCell ref="E98:E103"/>
    <mergeCell ref="D118:D122"/>
    <mergeCell ref="C109:C111"/>
    <mergeCell ref="D98:D103"/>
    <mergeCell ref="C95:C97"/>
    <mergeCell ref="C118:C122"/>
    <mergeCell ref="C112:C114"/>
    <mergeCell ref="C50:C51"/>
    <mergeCell ref="C52:C54"/>
    <mergeCell ref="C72:C74"/>
    <mergeCell ref="E37:E39"/>
    <mergeCell ref="D34:D39"/>
    <mergeCell ref="D66:D67"/>
    <mergeCell ref="E66:E67"/>
    <mergeCell ref="E146:E149"/>
    <mergeCell ref="D146:D149"/>
    <mergeCell ref="E40:E42"/>
    <mergeCell ref="E123:E126"/>
    <mergeCell ref="D40:D45"/>
    <mergeCell ref="D86:D87"/>
    <mergeCell ref="E118:E122"/>
    <mergeCell ref="D81:D82"/>
    <mergeCell ref="E81:E82"/>
    <mergeCell ref="D46:D48"/>
    <mergeCell ref="E46:E48"/>
    <mergeCell ref="D134:D143"/>
    <mergeCell ref="D70:D71"/>
    <mergeCell ref="E70:E71"/>
    <mergeCell ref="D72:D74"/>
    <mergeCell ref="E72:E74"/>
    <mergeCell ref="D95:D97"/>
    <mergeCell ref="D55:D57"/>
    <mergeCell ref="E83:E85"/>
    <mergeCell ref="D68:D69"/>
    <mergeCell ref="F101:F102"/>
    <mergeCell ref="D227:D229"/>
    <mergeCell ref="E227:E229"/>
    <mergeCell ref="C227:C229"/>
    <mergeCell ref="N60:N62"/>
    <mergeCell ref="D185:D186"/>
    <mergeCell ref="E185:E186"/>
    <mergeCell ref="D150:D151"/>
    <mergeCell ref="E150:E151"/>
    <mergeCell ref="D167:D168"/>
    <mergeCell ref="D187:D190"/>
    <mergeCell ref="E187:E190"/>
    <mergeCell ref="D160:D164"/>
    <mergeCell ref="D60:D62"/>
    <mergeCell ref="E60:E6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dimension ref="B2:D10"/>
  <sheetViews>
    <sheetView workbookViewId="0">
      <selection activeCell="D14" sqref="D14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136</v>
      </c>
      <c r="C2" t="s">
        <v>4</v>
      </c>
      <c r="D2" t="s">
        <v>13</v>
      </c>
    </row>
    <row r="3" spans="2:4" x14ac:dyDescent="0.25">
      <c r="C3" t="s">
        <v>238</v>
      </c>
      <c r="D3" t="s">
        <v>275</v>
      </c>
    </row>
    <row r="4" spans="2:4" x14ac:dyDescent="0.25">
      <c r="C4" t="s">
        <v>239</v>
      </c>
      <c r="D4" t="s">
        <v>276</v>
      </c>
    </row>
    <row r="5" spans="2:4" x14ac:dyDescent="0.25">
      <c r="C5" t="s">
        <v>137</v>
      </c>
      <c r="D5" t="s">
        <v>140</v>
      </c>
    </row>
    <row r="6" spans="2:4" x14ac:dyDescent="0.25">
      <c r="C6" t="s">
        <v>139</v>
      </c>
      <c r="D6" t="s">
        <v>320</v>
      </c>
    </row>
    <row r="7" spans="2:4" x14ac:dyDescent="0.25">
      <c r="C7" t="s">
        <v>243</v>
      </c>
      <c r="D7" t="s">
        <v>244</v>
      </c>
    </row>
    <row r="8" spans="2:4" x14ac:dyDescent="0.25">
      <c r="C8" t="s">
        <v>103</v>
      </c>
      <c r="D8" t="s">
        <v>245</v>
      </c>
    </row>
    <row r="9" spans="2:4" x14ac:dyDescent="0.25">
      <c r="C9" t="s">
        <v>317</v>
      </c>
      <c r="D9" t="s">
        <v>319</v>
      </c>
    </row>
    <row r="10" spans="2:4" x14ac:dyDescent="0.25">
      <c r="C10" t="s">
        <v>318</v>
      </c>
      <c r="D10" t="s">
        <v>316</v>
      </c>
    </row>
  </sheetData>
  <phoneticPr fontId="10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2021-10-16T05:48:11Z</dcterms:modified>
</cp:coreProperties>
</file>