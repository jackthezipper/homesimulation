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tiadji/Desktop/Temporer/"/>
    </mc:Choice>
  </mc:AlternateContent>
  <xr:revisionPtr revIDLastSave="0" documentId="8_{778A31AB-30CB-074E-AB85-6745AB0A3868}" xr6:coauthVersionLast="47" xr6:coauthVersionMax="47" xr10:uidLastSave="{00000000-0000-0000-0000-000000000000}"/>
  <bookViews>
    <workbookView xWindow="28800" yWindow="0" windowWidth="38400" windowHeight="21600" activeTab="2" xr2:uid="{00000000-000D-0000-FFFF-FFFF00000000}"/>
  </bookViews>
  <sheets>
    <sheet name="Tingkat IC" sheetId="7" r:id="rId1"/>
    <sheet name="KODE &amp; DATA IC" sheetId="8" r:id="rId2"/>
    <sheet name="(Hr) Kal.B+Cons" sheetId="5" r:id="rId3"/>
    <sheet name="Sheet1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9" l="1" a="1"/>
  <c r="D4" i="9" s="1"/>
  <c r="E51" i="5"/>
  <c r="C46" i="5"/>
  <c r="C29" i="7"/>
  <c r="D46" i="5" l="1"/>
  <c r="E46" i="5"/>
  <c r="E44" i="5" l="1"/>
  <c r="E12" i="5" s="1"/>
  <c r="E18" i="5"/>
  <c r="C14" i="5"/>
  <c r="F14" i="5" s="1"/>
  <c r="D14" i="5"/>
  <c r="D17" i="5" s="1"/>
  <c r="D19" i="5" s="1"/>
  <c r="E14" i="5"/>
  <c r="G14" i="5"/>
  <c r="M14" i="5"/>
  <c r="O14" i="5"/>
  <c r="P14" i="5"/>
  <c r="Q14" i="5"/>
  <c r="X14" i="5"/>
  <c r="Y14" i="5"/>
  <c r="AA14" i="5"/>
  <c r="AB14" i="5"/>
  <c r="D15" i="5"/>
  <c r="D33" i="5"/>
  <c r="E62" i="5"/>
  <c r="D57" i="5"/>
  <c r="W14" i="5" l="1"/>
  <c r="K14" i="5"/>
  <c r="L14" i="5"/>
  <c r="U14" i="5"/>
  <c r="T14" i="5"/>
  <c r="I14" i="5"/>
  <c r="S14" i="5"/>
  <c r="H14" i="5"/>
  <c r="D20" i="5"/>
  <c r="E13" i="5"/>
  <c r="Z14" i="5"/>
  <c r="V14" i="5"/>
  <c r="R14" i="5"/>
  <c r="N14" i="5"/>
  <c r="J14" i="5"/>
  <c r="D68" i="5" l="1"/>
  <c r="D79" i="5"/>
  <c r="E29" i="7"/>
  <c r="H29" i="7"/>
  <c r="G29" i="7"/>
  <c r="F29" i="7"/>
  <c r="D29" i="7"/>
  <c r="H5" i="7"/>
  <c r="G5" i="7"/>
  <c r="F5" i="7"/>
  <c r="E5" i="7"/>
  <c r="D5" i="7"/>
  <c r="C5" i="7"/>
  <c r="D52" i="5"/>
  <c r="AC14" i="5" l="1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47" i="5"/>
  <c r="F18" i="5" l="1"/>
  <c r="E53" i="5"/>
  <c r="E52" i="5"/>
  <c r="E33" i="5"/>
  <c r="D24" i="5"/>
  <c r="D98" i="5" l="1"/>
  <c r="D75" i="5"/>
  <c r="C97" i="5"/>
  <c r="E97" i="5" s="1"/>
  <c r="D73" i="5"/>
  <c r="E73" i="5"/>
  <c r="D97" i="5" l="1"/>
  <c r="D100" i="5"/>
  <c r="L2" i="5"/>
  <c r="H29" i="8"/>
  <c r="E25" i="8"/>
  <c r="E7" i="8"/>
  <c r="E78" i="5" l="1"/>
  <c r="D90" i="5" l="1"/>
  <c r="D91" i="5"/>
  <c r="D44" i="5"/>
  <c r="D12" i="5" s="1"/>
  <c r="F44" i="5" l="1"/>
  <c r="F12" i="5" s="1"/>
  <c r="E92" i="5"/>
  <c r="D93" i="5"/>
  <c r="E102" i="5"/>
  <c r="E91" i="5" l="1"/>
  <c r="E104" i="5"/>
  <c r="D53" i="5" l="1"/>
  <c r="E25" i="5" l="1"/>
  <c r="E34" i="5" l="1"/>
  <c r="E69" i="5" l="1"/>
  <c r="E72" i="5" s="1"/>
  <c r="D62" i="5"/>
  <c r="D60" i="5"/>
  <c r="D67" i="5"/>
  <c r="D27" i="5"/>
  <c r="D28" i="5" s="1"/>
  <c r="D8" i="5"/>
  <c r="D7" i="5"/>
  <c r="D63" i="5" l="1"/>
  <c r="D66" i="5" s="1"/>
  <c r="E63" i="5"/>
  <c r="E66" i="5" s="1"/>
  <c r="E75" i="5"/>
  <c r="D29" i="5"/>
  <c r="E7" i="5" s="1"/>
  <c r="D80" i="5"/>
  <c r="D81" i="5" s="1"/>
  <c r="E79" i="5"/>
  <c r="D36" i="5"/>
  <c r="D37" i="5" s="1"/>
  <c r="E67" i="5"/>
  <c r="F69" i="5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AR69" i="5" s="1"/>
  <c r="AS69" i="5" s="1"/>
  <c r="AT69" i="5" s="1"/>
  <c r="AU69" i="5" s="1"/>
  <c r="AV69" i="5" s="1"/>
  <c r="AW69" i="5" s="1"/>
  <c r="AX69" i="5" s="1"/>
  <c r="AY69" i="5" s="1"/>
  <c r="AZ69" i="5" s="1"/>
  <c r="BA69" i="5" s="1"/>
  <c r="BB69" i="5" s="1"/>
  <c r="BC69" i="5" s="1"/>
  <c r="BD69" i="5" s="1"/>
  <c r="BE69" i="5" s="1"/>
  <c r="BF69" i="5" s="1"/>
  <c r="BG69" i="5" s="1"/>
  <c r="BH69" i="5" s="1"/>
  <c r="BI69" i="5" s="1"/>
  <c r="BJ69" i="5" s="1"/>
  <c r="BK69" i="5" s="1"/>
  <c r="BL69" i="5" s="1"/>
  <c r="BM69" i="5" s="1"/>
  <c r="BN69" i="5" s="1"/>
  <c r="BO69" i="5" s="1"/>
  <c r="BP69" i="5" s="1"/>
  <c r="BQ69" i="5" s="1"/>
  <c r="BR69" i="5" s="1"/>
  <c r="BS69" i="5" s="1"/>
  <c r="BT69" i="5" s="1"/>
  <c r="BU69" i="5" s="1"/>
  <c r="BV69" i="5" s="1"/>
  <c r="BW69" i="5" s="1"/>
  <c r="BX69" i="5" s="1"/>
  <c r="BY69" i="5" s="1"/>
  <c r="BZ69" i="5" s="1"/>
  <c r="CA69" i="5" s="1"/>
  <c r="CB69" i="5" s="1"/>
  <c r="CC69" i="5" s="1"/>
  <c r="CD69" i="5" s="1"/>
  <c r="CE69" i="5" s="1"/>
  <c r="CF69" i="5" s="1"/>
  <c r="CG69" i="5" s="1"/>
  <c r="CH69" i="5" s="1"/>
  <c r="CI69" i="5" s="1"/>
  <c r="CJ69" i="5" s="1"/>
  <c r="CK69" i="5" s="1"/>
  <c r="CL69" i="5" s="1"/>
  <c r="CM69" i="5" s="1"/>
  <c r="CN69" i="5" s="1"/>
  <c r="CO69" i="5" s="1"/>
  <c r="CP69" i="5" s="1"/>
  <c r="CQ69" i="5" s="1"/>
  <c r="CR69" i="5" s="1"/>
  <c r="CS69" i="5" s="1"/>
  <c r="CT69" i="5" s="1"/>
  <c r="CU69" i="5" s="1"/>
  <c r="CV69" i="5" s="1"/>
  <c r="CW69" i="5" s="1"/>
  <c r="CX69" i="5" s="1"/>
  <c r="CY69" i="5" s="1"/>
  <c r="CZ69" i="5" s="1"/>
  <c r="DA69" i="5" s="1"/>
  <c r="DB69" i="5" s="1"/>
  <c r="DC69" i="5" s="1"/>
  <c r="DD69" i="5" s="1"/>
  <c r="DE69" i="5" s="1"/>
  <c r="DF69" i="5" s="1"/>
  <c r="DG69" i="5" s="1"/>
  <c r="DH69" i="5" s="1"/>
  <c r="DI69" i="5" s="1"/>
  <c r="DJ69" i="5" s="1"/>
  <c r="DK69" i="5" s="1"/>
  <c r="DL69" i="5" s="1"/>
  <c r="DM69" i="5" s="1"/>
  <c r="DN69" i="5" s="1"/>
  <c r="DO69" i="5" s="1"/>
  <c r="DP69" i="5" s="1"/>
  <c r="DQ69" i="5" s="1"/>
  <c r="DR69" i="5" s="1"/>
  <c r="DS69" i="5" s="1"/>
  <c r="DT69" i="5" s="1"/>
  <c r="D9" i="5"/>
  <c r="E6" i="5" s="1"/>
  <c r="E24" i="5"/>
  <c r="E57" i="5"/>
  <c r="E56" i="5" s="1"/>
  <c r="E60" i="5" s="1"/>
  <c r="E68" i="5" l="1"/>
  <c r="E23" i="5"/>
  <c r="E27" i="5" s="1"/>
  <c r="D38" i="5"/>
  <c r="D40" i="5" s="1"/>
  <c r="E32" i="5" s="1"/>
  <c r="E36" i="5" s="1"/>
  <c r="E37" i="5" s="1"/>
  <c r="E38" i="5" s="1"/>
  <c r="E8" i="5"/>
  <c r="E9" i="5" s="1"/>
  <c r="D103" i="5"/>
  <c r="E96" i="5" s="1"/>
  <c r="D102" i="5"/>
  <c r="D82" i="5"/>
  <c r="D84" i="5" s="1"/>
  <c r="E40" i="5" l="1"/>
  <c r="F6" i="5"/>
  <c r="E28" i="5"/>
  <c r="E29" i="5" s="1"/>
  <c r="D85" i="5"/>
  <c r="D89" i="5" s="1"/>
  <c r="E41" i="5" l="1"/>
  <c r="F32" i="5"/>
  <c r="F97" i="5"/>
  <c r="F73" i="5"/>
  <c r="F92" i="5"/>
  <c r="F72" i="5" s="1"/>
  <c r="F75" i="5" s="1"/>
  <c r="E80" i="5"/>
  <c r="E98" i="5"/>
  <c r="E100" i="5" s="1"/>
  <c r="E103" i="5" s="1"/>
  <c r="F96" i="5" s="1"/>
  <c r="F102" i="5"/>
  <c r="F104" i="5" s="1"/>
  <c r="F33" i="5"/>
  <c r="F25" i="5"/>
  <c r="F7" i="5"/>
  <c r="F23" i="5"/>
  <c r="E82" i="5"/>
  <c r="F51" i="5" l="1"/>
  <c r="F78" i="5" s="1"/>
  <c r="F79" i="5" s="1"/>
  <c r="F46" i="5"/>
  <c r="E81" i="5"/>
  <c r="E83" i="5" s="1"/>
  <c r="E84" i="5" s="1"/>
  <c r="E15" i="5"/>
  <c r="E17" i="5" s="1"/>
  <c r="E19" i="5" s="1"/>
  <c r="E47" i="5"/>
  <c r="F91" i="5"/>
  <c r="F34" i="5"/>
  <c r="F24" i="5"/>
  <c r="F57" i="5"/>
  <c r="F56" i="5" s="1"/>
  <c r="F60" i="5" s="1"/>
  <c r="F62" i="5" s="1"/>
  <c r="G44" i="5" l="1"/>
  <c r="G12" i="5" s="1"/>
  <c r="E20" i="5"/>
  <c r="F8" i="5" s="1"/>
  <c r="F9" i="5" s="1"/>
  <c r="G6" i="5" s="1"/>
  <c r="F13" i="5"/>
  <c r="F53" i="5"/>
  <c r="F52" i="5"/>
  <c r="G18" i="5"/>
  <c r="F63" i="5"/>
  <c r="F66" i="5" s="1"/>
  <c r="E85" i="5"/>
  <c r="E89" i="5" s="1"/>
  <c r="E90" i="5" s="1"/>
  <c r="F36" i="5"/>
  <c r="E93" i="5" l="1"/>
  <c r="F37" i="5"/>
  <c r="F38" i="5" s="1"/>
  <c r="F40" i="5" s="1"/>
  <c r="F41" i="5" l="1"/>
  <c r="F67" i="5"/>
  <c r="F68" i="5" s="1"/>
  <c r="F27" i="5"/>
  <c r="G51" i="5" l="1"/>
  <c r="G46" i="5"/>
  <c r="F15" i="5"/>
  <c r="F17" i="5" s="1"/>
  <c r="F19" i="5" s="1"/>
  <c r="F28" i="5"/>
  <c r="F29" i="5" s="1"/>
  <c r="F47" i="5"/>
  <c r="G33" i="5"/>
  <c r="F98" i="5"/>
  <c r="F100" i="5" s="1"/>
  <c r="F103" i="5" s="1"/>
  <c r="G96" i="5" s="1"/>
  <c r="G25" i="5"/>
  <c r="F80" i="5"/>
  <c r="F81" i="5" s="1"/>
  <c r="G97" i="5"/>
  <c r="G92" i="5"/>
  <c r="G72" i="5" s="1"/>
  <c r="G75" i="5" s="1"/>
  <c r="G73" i="5"/>
  <c r="G102" i="5"/>
  <c r="G104" i="5" s="1"/>
  <c r="G32" i="5"/>
  <c r="G24" i="5"/>
  <c r="G34" i="5"/>
  <c r="G57" i="5"/>
  <c r="G56" i="5" s="1"/>
  <c r="G60" i="5" s="1"/>
  <c r="G62" i="5" s="1"/>
  <c r="G52" i="5" l="1"/>
  <c r="H18" i="5"/>
  <c r="F20" i="5"/>
  <c r="G8" i="5" s="1"/>
  <c r="G13" i="5"/>
  <c r="G23" i="5"/>
  <c r="G27" i="5" s="1"/>
  <c r="G7" i="5"/>
  <c r="G63" i="5"/>
  <c r="G66" i="5" s="1"/>
  <c r="G78" i="5"/>
  <c r="G79" i="5" s="1"/>
  <c r="G91" i="5"/>
  <c r="G53" i="5"/>
  <c r="G67" i="5" s="1"/>
  <c r="H44" i="5"/>
  <c r="H12" i="5" s="1"/>
  <c r="F82" i="5"/>
  <c r="F83" i="5" s="1"/>
  <c r="G36" i="5"/>
  <c r="G37" i="5" s="1"/>
  <c r="G28" i="5" l="1"/>
  <c r="G29" i="5" s="1"/>
  <c r="H23" i="5" s="1"/>
  <c r="G9" i="5"/>
  <c r="H6" i="5" s="1"/>
  <c r="G68" i="5"/>
  <c r="F84" i="5"/>
  <c r="G38" i="5"/>
  <c r="G40" i="5" s="1"/>
  <c r="F85" i="5" l="1"/>
  <c r="G41" i="5"/>
  <c r="H32" i="5"/>
  <c r="H51" i="5" l="1"/>
  <c r="H46" i="5"/>
  <c r="G15" i="5"/>
  <c r="G17" i="5" s="1"/>
  <c r="G19" i="5" s="1"/>
  <c r="G47" i="5"/>
  <c r="H33" i="5"/>
  <c r="H97" i="5"/>
  <c r="G98" i="5"/>
  <c r="G100" i="5" s="1"/>
  <c r="G103" i="5" s="1"/>
  <c r="F89" i="5"/>
  <c r="F90" i="5" s="1"/>
  <c r="F93" i="5" s="1"/>
  <c r="H92" i="5"/>
  <c r="H72" i="5" s="1"/>
  <c r="H75" i="5" s="1"/>
  <c r="G80" i="5"/>
  <c r="G81" i="5" s="1"/>
  <c r="H102" i="5"/>
  <c r="H104" i="5" s="1"/>
  <c r="H25" i="5"/>
  <c r="H7" i="5"/>
  <c r="H24" i="5"/>
  <c r="H34" i="5"/>
  <c r="H57" i="5"/>
  <c r="H56" i="5" s="1"/>
  <c r="H60" i="5" s="1"/>
  <c r="H62" i="5" s="1"/>
  <c r="H52" i="5" l="1"/>
  <c r="I18" i="5"/>
  <c r="G20" i="5"/>
  <c r="H8" i="5" s="1"/>
  <c r="H9" i="5" s="1"/>
  <c r="H13" i="5"/>
  <c r="H63" i="5"/>
  <c r="H66" i="5" s="1"/>
  <c r="H73" i="5"/>
  <c r="I44" i="5"/>
  <c r="I12" i="5" s="1"/>
  <c r="H91" i="5"/>
  <c r="G82" i="5"/>
  <c r="G83" i="5" s="1"/>
  <c r="G84" i="5" s="1"/>
  <c r="G85" i="5" s="1"/>
  <c r="G89" i="5" s="1"/>
  <c r="G90" i="5" s="1"/>
  <c r="H96" i="5"/>
  <c r="H53" i="5"/>
  <c r="H78" i="5"/>
  <c r="H79" i="5" s="1"/>
  <c r="H36" i="5"/>
  <c r="H37" i="5" s="1"/>
  <c r="H38" i="5" s="1"/>
  <c r="H40" i="5" s="1"/>
  <c r="H41" i="5" l="1"/>
  <c r="I51" i="5" s="1"/>
  <c r="H67" i="5"/>
  <c r="H68" i="5" s="1"/>
  <c r="H27" i="5"/>
  <c r="H28" i="5" s="1"/>
  <c r="H29" i="5" s="1"/>
  <c r="I23" i="5" s="1"/>
  <c r="I6" i="5"/>
  <c r="I46" i="5" l="1"/>
  <c r="H15" i="5"/>
  <c r="H17" i="5" s="1"/>
  <c r="H19" i="5" s="1"/>
  <c r="H47" i="5"/>
  <c r="I33" i="5"/>
  <c r="I97" i="5"/>
  <c r="H98" i="5"/>
  <c r="H100" i="5" s="1"/>
  <c r="H103" i="5" s="1"/>
  <c r="I32" i="5"/>
  <c r="I92" i="5"/>
  <c r="I72" i="5" s="1"/>
  <c r="I75" i="5" s="1"/>
  <c r="I24" i="5"/>
  <c r="I102" i="5"/>
  <c r="I104" i="5" s="1"/>
  <c r="I57" i="5"/>
  <c r="I56" i="5" s="1"/>
  <c r="I60" i="5" s="1"/>
  <c r="I62" i="5" s="1"/>
  <c r="I34" i="5"/>
  <c r="H80" i="5"/>
  <c r="H81" i="5" s="1"/>
  <c r="H82" i="5" s="1"/>
  <c r="I25" i="5"/>
  <c r="G93" i="5"/>
  <c r="I7" i="5"/>
  <c r="I52" i="5" l="1"/>
  <c r="J18" i="5"/>
  <c r="H20" i="5"/>
  <c r="I8" i="5" s="1"/>
  <c r="I9" i="5" s="1"/>
  <c r="I13" i="5"/>
  <c r="I63" i="5"/>
  <c r="I66" i="5" s="1"/>
  <c r="I73" i="5"/>
  <c r="J44" i="5"/>
  <c r="J12" i="5" s="1"/>
  <c r="I96" i="5"/>
  <c r="I91" i="5"/>
  <c r="I78" i="5"/>
  <c r="I79" i="5" s="1"/>
  <c r="I53" i="5"/>
  <c r="I67" i="5" s="1"/>
  <c r="H83" i="5"/>
  <c r="H84" i="5" s="1"/>
  <c r="H85" i="5" s="1"/>
  <c r="H89" i="5" s="1"/>
  <c r="H90" i="5" s="1"/>
  <c r="I36" i="5"/>
  <c r="I37" i="5" s="1"/>
  <c r="I38" i="5" s="1"/>
  <c r="I40" i="5" s="1"/>
  <c r="I27" i="5"/>
  <c r="I28" i="5" l="1"/>
  <c r="I29" i="5" s="1"/>
  <c r="J23" i="5" s="1"/>
  <c r="I68" i="5"/>
  <c r="J6" i="5"/>
  <c r="I41" i="5"/>
  <c r="J32" i="5"/>
  <c r="J46" i="5" l="1"/>
  <c r="I15" i="5"/>
  <c r="I17" i="5" s="1"/>
  <c r="I19" i="5" s="1"/>
  <c r="I47" i="5"/>
  <c r="J33" i="5"/>
  <c r="J57" i="5"/>
  <c r="J56" i="5" s="1"/>
  <c r="J60" i="5" s="1"/>
  <c r="J62" i="5" s="1"/>
  <c r="J25" i="5"/>
  <c r="I80" i="5"/>
  <c r="I81" i="5" s="1"/>
  <c r="I82" i="5" s="1"/>
  <c r="J34" i="5"/>
  <c r="J24" i="5"/>
  <c r="J97" i="5"/>
  <c r="I98" i="5"/>
  <c r="I100" i="5" s="1"/>
  <c r="I103" i="5" s="1"/>
  <c r="J96" i="5" s="1"/>
  <c r="J7" i="5"/>
  <c r="H93" i="5"/>
  <c r="I83" i="5" l="1"/>
  <c r="I84" i="5" s="1"/>
  <c r="I85" i="5" s="1"/>
  <c r="I89" i="5" s="1"/>
  <c r="I90" i="5" s="1"/>
  <c r="I20" i="5"/>
  <c r="J8" i="5" s="1"/>
  <c r="J9" i="5" s="1"/>
  <c r="K6" i="5" s="1"/>
  <c r="J13" i="5"/>
  <c r="J63" i="5"/>
  <c r="J66" i="5" s="1"/>
  <c r="J36" i="5"/>
  <c r="J37" i="5" s="1"/>
  <c r="J38" i="5" s="1"/>
  <c r="J40" i="5" s="1"/>
  <c r="K32" i="5" s="1"/>
  <c r="J27" i="5"/>
  <c r="J28" i="5" l="1"/>
  <c r="J29" i="5" s="1"/>
  <c r="K23" i="5" s="1"/>
  <c r="J41" i="5"/>
  <c r="J15" i="5" l="1"/>
  <c r="J17" i="5" s="1"/>
  <c r="J19" i="5" s="1"/>
  <c r="J20" i="5" s="1"/>
  <c r="J47" i="5"/>
  <c r="J98" i="5"/>
  <c r="J100" i="5" s="1"/>
  <c r="J102" i="5" s="1"/>
  <c r="J104" i="5" s="1"/>
  <c r="K24" i="5"/>
  <c r="K33" i="5"/>
  <c r="K34" i="5"/>
  <c r="K97" i="5"/>
  <c r="K57" i="5"/>
  <c r="K56" i="5" s="1"/>
  <c r="K60" i="5" s="1"/>
  <c r="K62" i="5" s="1"/>
  <c r="K25" i="5"/>
  <c r="K7" i="5"/>
  <c r="I93" i="5"/>
  <c r="K63" i="5" l="1"/>
  <c r="K66" i="5" s="1"/>
  <c r="K8" i="5"/>
  <c r="K9" i="5" s="1"/>
  <c r="L6" i="5" s="1"/>
  <c r="J103" i="5"/>
  <c r="K96" i="5" s="1"/>
  <c r="K36" i="5"/>
  <c r="K37" i="5" s="1"/>
  <c r="K38" i="5" s="1"/>
  <c r="K40" i="5" s="1"/>
  <c r="K41" i="5" s="1"/>
  <c r="K15" i="5" l="1"/>
  <c r="K47" i="5"/>
  <c r="L97" i="5"/>
  <c r="L24" i="5"/>
  <c r="L25" i="5"/>
  <c r="L32" i="5"/>
  <c r="L34" i="5"/>
  <c r="L33" i="5"/>
  <c r="L57" i="5"/>
  <c r="L56" i="5" s="1"/>
  <c r="L60" i="5" s="1"/>
  <c r="L62" i="5" s="1"/>
  <c r="K98" i="5"/>
  <c r="K100" i="5" s="1"/>
  <c r="K102" i="5" s="1"/>
  <c r="K104" i="5" s="1"/>
  <c r="L63" i="5" l="1"/>
  <c r="L66" i="5" s="1"/>
  <c r="L36" i="5"/>
  <c r="K103" i="5"/>
  <c r="L96" i="5" s="1"/>
  <c r="K27" i="5"/>
  <c r="K28" i="5" s="1"/>
  <c r="K29" i="5" l="1"/>
  <c r="L7" i="5" s="1"/>
  <c r="L23" i="5" l="1"/>
  <c r="L37" i="5"/>
  <c r="L38" i="5" s="1"/>
  <c r="L40" i="5" s="1"/>
  <c r="L41" i="5" l="1"/>
  <c r="M32" i="5"/>
  <c r="L15" i="5" l="1"/>
  <c r="L47" i="5"/>
  <c r="M33" i="5"/>
  <c r="M25" i="5"/>
  <c r="M24" i="5"/>
  <c r="M97" i="5"/>
  <c r="M57" i="5"/>
  <c r="M56" i="5" s="1"/>
  <c r="M60" i="5" s="1"/>
  <c r="M62" i="5" s="1"/>
  <c r="L98" i="5"/>
  <c r="L100" i="5" s="1"/>
  <c r="L102" i="5" s="1"/>
  <c r="L103" i="5" s="1"/>
  <c r="M34" i="5"/>
  <c r="M63" i="5" l="1"/>
  <c r="M66" i="5" s="1"/>
  <c r="M36" i="5"/>
  <c r="M96" i="5"/>
  <c r="L104" i="5"/>
  <c r="L27" i="5" l="1"/>
  <c r="D49" i="5" l="1"/>
  <c r="E45" i="5" l="1"/>
  <c r="E49" i="5" s="1"/>
  <c r="F45" i="5" s="1"/>
  <c r="F49" i="5" s="1"/>
  <c r="G45" i="5" s="1"/>
  <c r="G49" i="5" s="1"/>
  <c r="H45" i="5" s="1"/>
  <c r="H49" i="5" s="1"/>
  <c r="I45" i="5" s="1"/>
  <c r="I49" i="5" s="1"/>
  <c r="J45" i="5" s="1"/>
  <c r="J49" i="5" s="1"/>
  <c r="J51" i="5" s="1"/>
  <c r="J53" i="5" l="1"/>
  <c r="J67" i="5" s="1"/>
  <c r="J68" i="5" s="1"/>
  <c r="J52" i="5"/>
  <c r="J78" i="5"/>
  <c r="J79" i="5" s="1"/>
  <c r="J80" i="5" s="1"/>
  <c r="J81" i="5" s="1"/>
  <c r="J82" i="5" s="1"/>
  <c r="J83" i="5" s="1"/>
  <c r="J84" i="5" s="1"/>
  <c r="J85" i="5" s="1"/>
  <c r="J89" i="5" s="1"/>
  <c r="J90" i="5" s="1"/>
  <c r="J92" i="5" s="1"/>
  <c r="J72" i="5" s="1"/>
  <c r="K18" i="5"/>
  <c r="K44" i="5"/>
  <c r="K12" i="5" s="1"/>
  <c r="K13" i="5" s="1"/>
  <c r="K17" i="5" s="1"/>
  <c r="K46" i="5"/>
  <c r="K19" i="5" l="1"/>
  <c r="K20" i="5" s="1"/>
  <c r="L28" i="5" s="1"/>
  <c r="L29" i="5" s="1"/>
  <c r="M23" i="5" s="1"/>
  <c r="M27" i="5" s="1"/>
  <c r="K45" i="5"/>
  <c r="K49" i="5" s="1"/>
  <c r="K51" i="5" s="1"/>
  <c r="J73" i="5"/>
  <c r="J75" i="5"/>
  <c r="J93" i="5"/>
  <c r="J91" i="5"/>
  <c r="L8" i="5" l="1"/>
  <c r="L9" i="5" s="1"/>
  <c r="M6" i="5" s="1"/>
  <c r="K53" i="5"/>
  <c r="K67" i="5" s="1"/>
  <c r="K68" i="5" s="1"/>
  <c r="L46" i="5"/>
  <c r="M7" i="5"/>
  <c r="M37" i="5"/>
  <c r="M38" i="5" s="1"/>
  <c r="M40" i="5" s="1"/>
  <c r="L44" i="5" l="1"/>
  <c r="L18" i="5"/>
  <c r="K52" i="5"/>
  <c r="K78" i="5"/>
  <c r="N32" i="5"/>
  <c r="M41" i="5"/>
  <c r="N51" i="5" s="1"/>
  <c r="L12" i="5" l="1"/>
  <c r="L13" i="5" s="1"/>
  <c r="L17" i="5" s="1"/>
  <c r="L19" i="5" s="1"/>
  <c r="L20" i="5" s="1"/>
  <c r="L45" i="5"/>
  <c r="L49" i="5" s="1"/>
  <c r="L51" i="5" s="1"/>
  <c r="M51" i="5" s="1"/>
  <c r="K79" i="5"/>
  <c r="K80" i="5" s="1"/>
  <c r="K81" i="5" s="1"/>
  <c r="N46" i="5"/>
  <c r="M47" i="5"/>
  <c r="N102" i="5"/>
  <c r="N104" i="5" s="1"/>
  <c r="N34" i="5"/>
  <c r="M15" i="5"/>
  <c r="N33" i="5"/>
  <c r="N57" i="5"/>
  <c r="N56" i="5" s="1"/>
  <c r="N60" i="5" s="1"/>
  <c r="N62" i="5" s="1"/>
  <c r="N63" i="5" s="1"/>
  <c r="N66" i="5" s="1"/>
  <c r="N25" i="5"/>
  <c r="M98" i="5"/>
  <c r="M100" i="5" s="1"/>
  <c r="M102" i="5" s="1"/>
  <c r="M104" i="5" s="1"/>
  <c r="N97" i="5"/>
  <c r="N92" i="5"/>
  <c r="N91" i="5" s="1"/>
  <c r="N24" i="5"/>
  <c r="M103" i="5" l="1"/>
  <c r="N96" i="5" s="1"/>
  <c r="K82" i="5"/>
  <c r="K83" i="5" s="1"/>
  <c r="K84" i="5" s="1"/>
  <c r="K85" i="5" s="1"/>
  <c r="K89" i="5" s="1"/>
  <c r="K90" i="5" s="1"/>
  <c r="N36" i="5"/>
  <c r="L52" i="5"/>
  <c r="M44" i="5"/>
  <c r="M18" i="5"/>
  <c r="L53" i="5"/>
  <c r="L67" i="5" s="1"/>
  <c r="L68" i="5" s="1"/>
  <c r="M46" i="5"/>
  <c r="L78" i="5"/>
  <c r="L79" i="5" s="1"/>
  <c r="M28" i="5"/>
  <c r="M29" i="5" s="1"/>
  <c r="M8" i="5"/>
  <c r="M9" i="5" s="1"/>
  <c r="N6" i="5" s="1"/>
  <c r="N52" i="5"/>
  <c r="N53" i="5"/>
  <c r="N67" i="5" s="1"/>
  <c r="N78" i="5"/>
  <c r="O18" i="5"/>
  <c r="N37" i="5" l="1"/>
  <c r="N38" i="5" s="1"/>
  <c r="N40" i="5" s="1"/>
  <c r="O32" i="5" s="1"/>
  <c r="M12" i="5"/>
  <c r="M13" i="5" s="1"/>
  <c r="M17" i="5" s="1"/>
  <c r="M19" i="5" s="1"/>
  <c r="M20" i="5" s="1"/>
  <c r="M45" i="5"/>
  <c r="M49" i="5" s="1"/>
  <c r="K92" i="5"/>
  <c r="K93" i="5"/>
  <c r="L80" i="5"/>
  <c r="L81" i="5" s="1"/>
  <c r="L82" i="5" s="1"/>
  <c r="N23" i="5"/>
  <c r="N27" i="5" s="1"/>
  <c r="N7" i="5"/>
  <c r="N41" i="5" l="1"/>
  <c r="O51" i="5" s="1"/>
  <c r="K72" i="5"/>
  <c r="K91" i="5"/>
  <c r="L83" i="5"/>
  <c r="L84" i="5" s="1"/>
  <c r="L85" i="5" s="1"/>
  <c r="L89" i="5" s="1"/>
  <c r="L90" i="5" s="1"/>
  <c r="L93" i="5" s="1"/>
  <c r="N15" i="5"/>
  <c r="O25" i="5"/>
  <c r="O34" i="5"/>
  <c r="O92" i="5"/>
  <c r="O91" i="5" s="1"/>
  <c r="O57" i="5"/>
  <c r="O56" i="5" s="1"/>
  <c r="O60" i="5" s="1"/>
  <c r="O62" i="5" s="1"/>
  <c r="O63" i="5" s="1"/>
  <c r="O66" i="5" s="1"/>
  <c r="O46" i="5"/>
  <c r="N47" i="5"/>
  <c r="N98" i="5"/>
  <c r="N100" i="5" s="1"/>
  <c r="N103" i="5" s="1"/>
  <c r="O96" i="5" s="1"/>
  <c r="N8" i="5"/>
  <c r="N9" i="5" s="1"/>
  <c r="O6" i="5" s="1"/>
  <c r="N28" i="5"/>
  <c r="N29" i="5" s="1"/>
  <c r="O24" i="5" l="1"/>
  <c r="O102" i="5"/>
  <c r="O104" i="5" s="1"/>
  <c r="O33" i="5"/>
  <c r="O97" i="5"/>
  <c r="L92" i="5"/>
  <c r="L91" i="5" s="1"/>
  <c r="M78" i="5"/>
  <c r="M53" i="5"/>
  <c r="M67" i="5" s="1"/>
  <c r="M68" i="5" s="1"/>
  <c r="N68" i="5" s="1"/>
  <c r="M52" i="5"/>
  <c r="N18" i="5"/>
  <c r="N44" i="5"/>
  <c r="P18" i="5"/>
  <c r="O53" i="5"/>
  <c r="O67" i="5" s="1"/>
  <c r="O52" i="5"/>
  <c r="O78" i="5"/>
  <c r="K75" i="5"/>
  <c r="K73" i="5"/>
  <c r="O23" i="5"/>
  <c r="O27" i="5" s="1"/>
  <c r="O7" i="5"/>
  <c r="O36" i="5"/>
  <c r="O37" i="5" s="1"/>
  <c r="O38" i="5" s="1"/>
  <c r="O40" i="5" s="1"/>
  <c r="O68" i="5" l="1"/>
  <c r="L72" i="5"/>
  <c r="L73" i="5" s="1"/>
  <c r="M79" i="5"/>
  <c r="M80" i="5" s="1"/>
  <c r="N79" i="5" s="1"/>
  <c r="N12" i="5"/>
  <c r="N13" i="5" s="1"/>
  <c r="N17" i="5" s="1"/>
  <c r="N19" i="5" s="1"/>
  <c r="N20" i="5" s="1"/>
  <c r="O44" i="5"/>
  <c r="N45" i="5"/>
  <c r="N49" i="5" s="1"/>
  <c r="P32" i="5"/>
  <c r="O41" i="5"/>
  <c r="L75" i="5" l="1"/>
  <c r="O45" i="5"/>
  <c r="N80" i="5"/>
  <c r="O79" i="5" s="1"/>
  <c r="O12" i="5"/>
  <c r="O13" i="5" s="1"/>
  <c r="P44" i="5"/>
  <c r="P12" i="5" s="1"/>
  <c r="O8" i="5"/>
  <c r="O9" i="5" s="1"/>
  <c r="P6" i="5" s="1"/>
  <c r="O28" i="5"/>
  <c r="O29" i="5" s="1"/>
  <c r="M81" i="5"/>
  <c r="P46" i="5"/>
  <c r="O98" i="5"/>
  <c r="O100" i="5" s="1"/>
  <c r="O103" i="5" s="1"/>
  <c r="P96" i="5" s="1"/>
  <c r="P92" i="5"/>
  <c r="P91" i="5" s="1"/>
  <c r="P57" i="5"/>
  <c r="P56" i="5" s="1"/>
  <c r="P60" i="5" s="1"/>
  <c r="P62" i="5" s="1"/>
  <c r="P63" i="5" s="1"/>
  <c r="P66" i="5" s="1"/>
  <c r="O15" i="5"/>
  <c r="P33" i="5"/>
  <c r="P25" i="5"/>
  <c r="P102" i="5"/>
  <c r="P104" i="5" s="1"/>
  <c r="O47" i="5"/>
  <c r="P97" i="5"/>
  <c r="P24" i="5"/>
  <c r="P34" i="5"/>
  <c r="O49" i="5" l="1"/>
  <c r="P45" i="5" s="1"/>
  <c r="N81" i="5"/>
  <c r="P36" i="5"/>
  <c r="P37" i="5" s="1"/>
  <c r="P38" i="5" s="1"/>
  <c r="P40" i="5" s="1"/>
  <c r="Q32" i="5" s="1"/>
  <c r="O80" i="5"/>
  <c r="P23" i="5"/>
  <c r="P27" i="5" s="1"/>
  <c r="P7" i="5"/>
  <c r="O17" i="5"/>
  <c r="O19" i="5" s="1"/>
  <c r="P13" i="5" s="1"/>
  <c r="M82" i="5"/>
  <c r="M83" i="5" s="1"/>
  <c r="M84" i="5" s="1"/>
  <c r="M85" i="5" s="1"/>
  <c r="M89" i="5" s="1"/>
  <c r="M90" i="5" s="1"/>
  <c r="N82" i="5" l="1"/>
  <c r="O81" i="5"/>
  <c r="P41" i="5"/>
  <c r="O20" i="5"/>
  <c r="P8" i="5" s="1"/>
  <c r="P9" i="5" s="1"/>
  <c r="Q6" i="5" s="1"/>
  <c r="M92" i="5"/>
  <c r="M93" i="5"/>
  <c r="P47" i="5" l="1"/>
  <c r="P49" i="5" s="1"/>
  <c r="P51" i="5" s="1"/>
  <c r="Q51" i="5" s="1"/>
  <c r="Q102" i="5"/>
  <c r="Q104" i="5" s="1"/>
  <c r="Q57" i="5"/>
  <c r="Q56" i="5" s="1"/>
  <c r="Q60" i="5" s="1"/>
  <c r="Q62" i="5" s="1"/>
  <c r="Q63" i="5" s="1"/>
  <c r="Q66" i="5" s="1"/>
  <c r="Q34" i="5"/>
  <c r="Q92" i="5"/>
  <c r="Q91" i="5" s="1"/>
  <c r="Q33" i="5"/>
  <c r="Q97" i="5"/>
  <c r="P15" i="5"/>
  <c r="P17" i="5" s="1"/>
  <c r="P19" i="5" s="1"/>
  <c r="P20" i="5" s="1"/>
  <c r="Q8" i="5" s="1"/>
  <c r="P98" i="5"/>
  <c r="P100" i="5" s="1"/>
  <c r="P103" i="5" s="1"/>
  <c r="Q96" i="5" s="1"/>
  <c r="Q24" i="5"/>
  <c r="Q25" i="5"/>
  <c r="O82" i="5"/>
  <c r="P28" i="5"/>
  <c r="P29" i="5" s="1"/>
  <c r="Q23" i="5" s="1"/>
  <c r="M91" i="5"/>
  <c r="M72" i="5"/>
  <c r="N83" i="5"/>
  <c r="N84" i="5" s="1"/>
  <c r="Q46" i="5" l="1"/>
  <c r="P52" i="5"/>
  <c r="Q7" i="5"/>
  <c r="Q9" i="5" s="1"/>
  <c r="R6" i="5" s="1"/>
  <c r="Q27" i="5"/>
  <c r="Q28" i="5" s="1"/>
  <c r="Q29" i="5" s="1"/>
  <c r="R23" i="5" s="1"/>
  <c r="Q36" i="5"/>
  <c r="Q37" i="5" s="1"/>
  <c r="Q38" i="5" s="1"/>
  <c r="N85" i="5"/>
  <c r="N89" i="5" s="1"/>
  <c r="N90" i="5" s="1"/>
  <c r="N93" i="5" s="1"/>
  <c r="O83" i="5"/>
  <c r="O84" i="5" s="1"/>
  <c r="O85" i="5" s="1"/>
  <c r="O89" i="5" s="1"/>
  <c r="O90" i="5" s="1"/>
  <c r="O93" i="5" s="1"/>
  <c r="M73" i="5"/>
  <c r="N72" i="5" s="1"/>
  <c r="M75" i="5"/>
  <c r="Q18" i="5"/>
  <c r="P78" i="5"/>
  <c r="P79" i="5" s="1"/>
  <c r="P80" i="5" s="1"/>
  <c r="P81" i="5" s="1"/>
  <c r="P53" i="5"/>
  <c r="P67" i="5" s="1"/>
  <c r="P68" i="5" s="1"/>
  <c r="Q44" i="5"/>
  <c r="Q12" i="5" s="1"/>
  <c r="Q13" i="5" s="1"/>
  <c r="Q40" i="5" l="1" a="1"/>
  <c r="Q40" i="5" s="1"/>
  <c r="R32" i="5" s="1"/>
  <c r="N75" i="5"/>
  <c r="N73" i="5"/>
  <c r="O72" i="5" s="1"/>
  <c r="P82" i="5"/>
  <c r="P83" i="5" s="1"/>
  <c r="P84" i="5" s="1"/>
  <c r="P85" i="5" s="1"/>
  <c r="P89" i="5" s="1"/>
  <c r="P90" i="5" s="1"/>
  <c r="P93" i="5" s="1"/>
  <c r="Q45" i="5"/>
  <c r="Q41" i="5" l="1"/>
  <c r="O75" i="5"/>
  <c r="O73" i="5"/>
  <c r="P72" i="5" s="1"/>
  <c r="Q98" i="5" l="1"/>
  <c r="Q100" i="5" s="1"/>
  <c r="Q103" i="5" s="1"/>
  <c r="R96" i="5" s="1"/>
  <c r="Q47" i="5"/>
  <c r="Q49" i="5" s="1"/>
  <c r="R25" i="5"/>
  <c r="R57" i="5"/>
  <c r="R56" i="5" s="1"/>
  <c r="R60" i="5" s="1"/>
  <c r="R62" i="5" s="1"/>
  <c r="R63" i="5" s="1"/>
  <c r="R66" i="5" s="1"/>
  <c r="R33" i="5"/>
  <c r="R51" i="5"/>
  <c r="R34" i="5"/>
  <c r="R7" i="5"/>
  <c r="R92" i="5"/>
  <c r="R91" i="5" s="1"/>
  <c r="R97" i="5"/>
  <c r="Q15" i="5"/>
  <c r="Q17" i="5" s="1"/>
  <c r="Q19" i="5" s="1"/>
  <c r="Q20" i="5" s="1"/>
  <c r="R8" i="5" s="1"/>
  <c r="R102" i="5"/>
  <c r="R104" i="5" s="1"/>
  <c r="R24" i="5"/>
  <c r="P75" i="5"/>
  <c r="P73" i="5"/>
  <c r="Q72" i="5" s="1"/>
  <c r="Q53" i="5"/>
  <c r="Q67" i="5" s="1"/>
  <c r="Q68" i="5" s="1"/>
  <c r="R36" i="5" l="1"/>
  <c r="R37" i="5" s="1"/>
  <c r="R38" i="5" s="1"/>
  <c r="R40" i="5" a="1"/>
  <c r="R40" i="5" s="1"/>
  <c r="S32" i="5" s="1"/>
  <c r="R27" i="5"/>
  <c r="R28" i="5" s="1"/>
  <c r="R29" i="5" s="1"/>
  <c r="S23" i="5" s="1"/>
  <c r="R9" i="5"/>
  <c r="S6" i="5" s="1"/>
  <c r="Q73" i="5"/>
  <c r="R72" i="5" s="1"/>
  <c r="Q75" i="5"/>
  <c r="R18" i="5"/>
  <c r="Q78" i="5"/>
  <c r="Q79" i="5" s="1"/>
  <c r="Q80" i="5" s="1"/>
  <c r="Q81" i="5" s="1"/>
  <c r="Q82" i="5" s="1"/>
  <c r="Q52" i="5"/>
  <c r="R44" i="5"/>
  <c r="R12" i="5" s="1"/>
  <c r="R13" i="5" s="1"/>
  <c r="R46" i="5"/>
  <c r="R41" i="5" l="1"/>
  <c r="S92" i="5" s="1"/>
  <c r="S91" i="5" s="1"/>
  <c r="R75" i="5"/>
  <c r="R73" i="5"/>
  <c r="R45" i="5"/>
  <c r="Q83" i="5"/>
  <c r="Q84" i="5" s="1"/>
  <c r="Q85" i="5" s="1"/>
  <c r="Q89" i="5" s="1"/>
  <c r="Q90" i="5" s="1"/>
  <c r="Q93" i="5" s="1"/>
  <c r="S97" i="5" l="1"/>
  <c r="R47" i="5"/>
  <c r="S72" i="5"/>
  <c r="S75" i="5" s="1"/>
  <c r="S25" i="5"/>
  <c r="R98" i="5"/>
  <c r="R100" i="5" s="1"/>
  <c r="R103" i="5" s="1"/>
  <c r="S96" i="5" s="1"/>
  <c r="S24" i="5"/>
  <c r="S27" i="5" s="1"/>
  <c r="S33" i="5"/>
  <c r="S36" i="5" s="1"/>
  <c r="S37" i="5" s="1"/>
  <c r="S38" i="5" s="1"/>
  <c r="R15" i="5"/>
  <c r="R17" i="5" s="1"/>
  <c r="R19" i="5" s="1"/>
  <c r="R20" i="5" s="1"/>
  <c r="S8" i="5" s="1"/>
  <c r="S9" i="5" s="1"/>
  <c r="T6" i="5" s="1"/>
  <c r="S34" i="5"/>
  <c r="S57" i="5"/>
  <c r="S56" i="5" s="1"/>
  <c r="S60" i="5" s="1"/>
  <c r="S62" i="5" s="1"/>
  <c r="S63" i="5" s="1"/>
  <c r="S66" i="5" s="1"/>
  <c r="S7" i="5"/>
  <c r="R49" i="5"/>
  <c r="S73" i="5"/>
  <c r="S46" i="5"/>
  <c r="S28" i="5" l="1"/>
  <c r="S29" i="5" s="1"/>
  <c r="T23" i="5" s="1"/>
  <c r="S40" i="5" a="1"/>
  <c r="S40" i="5" s="1"/>
  <c r="T32" i="5" s="1"/>
  <c r="R52" i="5"/>
  <c r="S18" i="5"/>
  <c r="R78" i="5"/>
  <c r="R79" i="5" s="1"/>
  <c r="R80" i="5" s="1"/>
  <c r="R81" i="5" s="1"/>
  <c r="S44" i="5"/>
  <c r="S12" i="5" s="1"/>
  <c r="S13" i="5" s="1"/>
  <c r="R53" i="5"/>
  <c r="R67" i="5" s="1"/>
  <c r="R68" i="5" s="1"/>
  <c r="S41" i="5" l="1"/>
  <c r="S15" i="5" s="1"/>
  <c r="S17" i="5" s="1"/>
  <c r="S19" i="5" s="1"/>
  <c r="S20" i="5" s="1"/>
  <c r="R82" i="5"/>
  <c r="R83" i="5" s="1"/>
  <c r="R84" i="5" s="1"/>
  <c r="R85" i="5" s="1"/>
  <c r="R89" i="5" s="1"/>
  <c r="R90" i="5" s="1"/>
  <c r="R93" i="5" s="1"/>
  <c r="S45" i="5"/>
  <c r="T33" i="5" l="1"/>
  <c r="T57" i="5"/>
  <c r="T56" i="5" s="1"/>
  <c r="T60" i="5" s="1"/>
  <c r="T62" i="5" s="1"/>
  <c r="T63" i="5" s="1"/>
  <c r="T66" i="5" s="1"/>
  <c r="T24" i="5"/>
  <c r="T51" i="5"/>
  <c r="T78" i="5" s="1"/>
  <c r="T46" i="5"/>
  <c r="T7" i="5"/>
  <c r="S47" i="5"/>
  <c r="S49" i="5" s="1"/>
  <c r="S51" i="5" s="1"/>
  <c r="S53" i="5" s="1"/>
  <c r="S67" i="5" s="1"/>
  <c r="S68" i="5" s="1"/>
  <c r="T34" i="5"/>
  <c r="T25" i="5"/>
  <c r="T97" i="5"/>
  <c r="S98" i="5"/>
  <c r="S100" i="5" s="1"/>
  <c r="T92" i="5"/>
  <c r="T72" i="5" s="1"/>
  <c r="T73" i="5" s="1"/>
  <c r="T8" i="5"/>
  <c r="T27" i="5" l="1"/>
  <c r="T28" i="5" s="1"/>
  <c r="T29" i="5" s="1"/>
  <c r="U23" i="5" s="1"/>
  <c r="T36" i="5"/>
  <c r="T37" i="5" s="1"/>
  <c r="T38" i="5" s="1"/>
  <c r="T40" i="5" s="1" a="1"/>
  <c r="T40" i="5" s="1"/>
  <c r="T41" i="5" s="1"/>
  <c r="U57" i="5" s="1"/>
  <c r="U56" i="5" s="1"/>
  <c r="U60" i="5" s="1"/>
  <c r="U62" i="5" s="1"/>
  <c r="U63" i="5" s="1"/>
  <c r="U66" i="5" s="1"/>
  <c r="T91" i="5"/>
  <c r="T9" i="5"/>
  <c r="U6" i="5" s="1"/>
  <c r="T52" i="5"/>
  <c r="T75" i="5"/>
  <c r="U18" i="5"/>
  <c r="T53" i="5"/>
  <c r="T67" i="5" s="1"/>
  <c r="T68" i="5" s="1"/>
  <c r="T18" i="5"/>
  <c r="S52" i="5"/>
  <c r="S103" i="5"/>
  <c r="T96" i="5" s="1"/>
  <c r="S102" i="5"/>
  <c r="S104" i="5" s="1"/>
  <c r="T44" i="5"/>
  <c r="T12" i="5" s="1"/>
  <c r="T13" i="5" s="1"/>
  <c r="S78" i="5"/>
  <c r="S79" i="5" s="1"/>
  <c r="S80" i="5" s="1"/>
  <c r="S81" i="5" s="1"/>
  <c r="S82" i="5" s="1"/>
  <c r="U32" i="5" l="1"/>
  <c r="T15" i="5"/>
  <c r="T17" i="5" s="1"/>
  <c r="T19" i="5" s="1"/>
  <c r="T20" i="5" s="1"/>
  <c r="T47" i="5"/>
  <c r="T98" i="5"/>
  <c r="T100" i="5" s="1"/>
  <c r="T102" i="5" s="1"/>
  <c r="T104" i="5" s="1"/>
  <c r="U33" i="5"/>
  <c r="U36" i="5" s="1"/>
  <c r="U37" i="5" s="1"/>
  <c r="U38" i="5" s="1"/>
  <c r="U51" i="5"/>
  <c r="V18" i="5" s="1"/>
  <c r="U24" i="5"/>
  <c r="U97" i="5"/>
  <c r="U92" i="5"/>
  <c r="U91" i="5" s="1"/>
  <c r="U46" i="5"/>
  <c r="U25" i="5"/>
  <c r="U34" i="5"/>
  <c r="U7" i="5"/>
  <c r="T79" i="5"/>
  <c r="T80" i="5" s="1"/>
  <c r="T81" i="5" s="1"/>
  <c r="T82" i="5" s="1"/>
  <c r="S83" i="5"/>
  <c r="S84" i="5" s="1"/>
  <c r="S85" i="5" s="1"/>
  <c r="S89" i="5" s="1"/>
  <c r="S90" i="5" s="1"/>
  <c r="S93" i="5" s="1"/>
  <c r="T45" i="5"/>
  <c r="T49" i="5" s="1"/>
  <c r="U44" i="5"/>
  <c r="U12" i="5" s="1"/>
  <c r="U13" i="5" s="1"/>
  <c r="U27" i="5" l="1"/>
  <c r="U52" i="5"/>
  <c r="U53" i="5"/>
  <c r="U67" i="5" s="1"/>
  <c r="U68" i="5" s="1"/>
  <c r="U78" i="5"/>
  <c r="U79" i="5" s="1"/>
  <c r="U72" i="5"/>
  <c r="T103" i="5"/>
  <c r="U96" i="5" s="1"/>
  <c r="U28" i="5"/>
  <c r="U29" i="5" s="1"/>
  <c r="V23" i="5" s="1"/>
  <c r="U8" i="5"/>
  <c r="U9" i="5" s="1"/>
  <c r="V6" i="5" s="1"/>
  <c r="U40" i="5" a="1"/>
  <c r="U40" i="5" s="1"/>
  <c r="U41" i="5" s="1"/>
  <c r="U45" i="5"/>
  <c r="V44" i="5"/>
  <c r="V12" i="5" s="1"/>
  <c r="V13" i="5" s="1"/>
  <c r="T83" i="5"/>
  <c r="T84" i="5" s="1"/>
  <c r="T85" i="5" s="1"/>
  <c r="T89" i="5" s="1"/>
  <c r="T90" i="5" s="1"/>
  <c r="T93" i="5" s="1"/>
  <c r="U75" i="5" l="1"/>
  <c r="U73" i="5"/>
  <c r="V46" i="5"/>
  <c r="V32" i="5"/>
  <c r="V34" i="5"/>
  <c r="V25" i="5"/>
  <c r="U98" i="5"/>
  <c r="U100" i="5" s="1"/>
  <c r="U102" i="5" s="1"/>
  <c r="U104" i="5" s="1"/>
  <c r="V7" i="5"/>
  <c r="V24" i="5"/>
  <c r="V33" i="5"/>
  <c r="V92" i="5"/>
  <c r="V72" i="5" s="1"/>
  <c r="V73" i="5" s="1"/>
  <c r="U80" i="5"/>
  <c r="U81" i="5" s="1"/>
  <c r="U82" i="5" s="1"/>
  <c r="U47" i="5"/>
  <c r="U49" i="5" s="1"/>
  <c r="V97" i="5"/>
  <c r="U15" i="5"/>
  <c r="U17" i="5" s="1"/>
  <c r="U19" i="5" s="1"/>
  <c r="U20" i="5" s="1"/>
  <c r="V8" i="5" s="1"/>
  <c r="V57" i="5"/>
  <c r="V56" i="5" s="1"/>
  <c r="V60" i="5" s="1"/>
  <c r="V62" i="5" s="1"/>
  <c r="V63" i="5" s="1"/>
  <c r="V66" i="5" s="1"/>
  <c r="V45" i="5" l="1"/>
  <c r="V27" i="5"/>
  <c r="V28" i="5" s="1"/>
  <c r="V29" i="5" s="1"/>
  <c r="W23" i="5" s="1"/>
  <c r="V36" i="5"/>
  <c r="V37" i="5" s="1"/>
  <c r="V38" i="5" s="1"/>
  <c r="V40" i="5" s="1" a="1"/>
  <c r="V40" i="5" s="1"/>
  <c r="U83" i="5"/>
  <c r="U84" i="5" s="1"/>
  <c r="U85" i="5" s="1"/>
  <c r="U89" i="5" s="1"/>
  <c r="U90" i="5" s="1"/>
  <c r="U93" i="5" s="1"/>
  <c r="V9" i="5"/>
  <c r="W6" i="5" s="1"/>
  <c r="V91" i="5"/>
  <c r="U103" i="5"/>
  <c r="V96" i="5" s="1"/>
  <c r="V75" i="5"/>
  <c r="V41" i="5" l="1"/>
  <c r="W32" i="5"/>
  <c r="W57" i="5" l="1"/>
  <c r="W56" i="5" s="1"/>
  <c r="W60" i="5" s="1"/>
  <c r="W62" i="5" s="1"/>
  <c r="W63" i="5" s="1"/>
  <c r="W66" i="5" s="1"/>
  <c r="W7" i="5"/>
  <c r="W33" i="5"/>
  <c r="W92" i="5"/>
  <c r="W72" i="5" s="1"/>
  <c r="W73" i="5" s="1"/>
  <c r="V15" i="5"/>
  <c r="V17" i="5" s="1"/>
  <c r="V19" i="5" s="1"/>
  <c r="V20" i="5" s="1"/>
  <c r="W8" i="5" s="1"/>
  <c r="W9" i="5" s="1"/>
  <c r="X6" i="5" s="1"/>
  <c r="W97" i="5"/>
  <c r="W34" i="5"/>
  <c r="W24" i="5"/>
  <c r="V98" i="5"/>
  <c r="V100" i="5" s="1"/>
  <c r="V102" i="5" s="1"/>
  <c r="V104" i="5" s="1"/>
  <c r="W25" i="5"/>
  <c r="V47" i="5"/>
  <c r="V49" i="5" s="1"/>
  <c r="V51" i="5" s="1"/>
  <c r="V53" i="5" s="1"/>
  <c r="V67" i="5" s="1"/>
  <c r="V68" i="5" s="1"/>
  <c r="W36" i="5" l="1"/>
  <c r="W37" i="5" s="1"/>
  <c r="W38" i="5" s="1"/>
  <c r="W40" i="5" s="1" a="1"/>
  <c r="W40" i="5" s="1"/>
  <c r="W91" i="5"/>
  <c r="W75" i="5"/>
  <c r="W27" i="5"/>
  <c r="W28" i="5" s="1"/>
  <c r="W29" i="5" s="1"/>
  <c r="X23" i="5" s="1"/>
  <c r="W18" i="5"/>
  <c r="V103" i="5"/>
  <c r="W96" i="5" s="1"/>
  <c r="W51" i="5"/>
  <c r="V78" i="5"/>
  <c r="W46" i="5"/>
  <c r="V52" i="5"/>
  <c r="W44" i="5"/>
  <c r="W12" i="5" s="1"/>
  <c r="W13" i="5" s="1"/>
  <c r="X32" i="5" l="1"/>
  <c r="W41" i="5"/>
  <c r="V79" i="5"/>
  <c r="V80" i="5"/>
  <c r="W45" i="5"/>
  <c r="V81" i="5" l="1"/>
  <c r="X92" i="5"/>
  <c r="X72" i="5" s="1"/>
  <c r="X73" i="5" s="1"/>
  <c r="W15" i="5"/>
  <c r="W17" i="5" s="1"/>
  <c r="W19" i="5" s="1"/>
  <c r="W20" i="5" s="1"/>
  <c r="X8" i="5" s="1"/>
  <c r="X24" i="5"/>
  <c r="W47" i="5"/>
  <c r="W49" i="5" s="1"/>
  <c r="X51" i="5"/>
  <c r="W98" i="5"/>
  <c r="W100" i="5" s="1"/>
  <c r="W102" i="5" s="1"/>
  <c r="W104" i="5" s="1"/>
  <c r="X34" i="5"/>
  <c r="X33" i="5"/>
  <c r="X57" i="5"/>
  <c r="X56" i="5" s="1"/>
  <c r="X60" i="5" s="1"/>
  <c r="X62" i="5" s="1"/>
  <c r="X63" i="5" s="1"/>
  <c r="X66" i="5" s="1"/>
  <c r="X25" i="5"/>
  <c r="X97" i="5"/>
  <c r="X7" i="5"/>
  <c r="X75" i="5"/>
  <c r="V82" i="5"/>
  <c r="V83" i="5" s="1"/>
  <c r="V84" i="5" s="1"/>
  <c r="V85" i="5" s="1"/>
  <c r="V89" i="5" s="1"/>
  <c r="V90" i="5" s="1"/>
  <c r="V93" i="5" s="1"/>
  <c r="W78" i="5"/>
  <c r="W79" i="5" s="1"/>
  <c r="W80" i="5" s="1"/>
  <c r="W81" i="5" s="1"/>
  <c r="W53" i="5"/>
  <c r="W67" i="5" s="1"/>
  <c r="W68" i="5" s="1"/>
  <c r="X102" i="5"/>
  <c r="X104" i="5" s="1"/>
  <c r="X91" i="5" l="1"/>
  <c r="X9" i="5"/>
  <c r="Y6" i="5" s="1"/>
  <c r="W103" i="5"/>
  <c r="X96" i="5" s="1"/>
  <c r="X36" i="5"/>
  <c r="X37" i="5" s="1"/>
  <c r="X38" i="5" s="1"/>
  <c r="X40" i="5" s="1" a="1"/>
  <c r="X40" i="5" s="1"/>
  <c r="X41" i="5" s="1"/>
  <c r="X27" i="5"/>
  <c r="X28" i="5" s="1"/>
  <c r="X29" i="5" s="1"/>
  <c r="Y23" i="5" s="1"/>
  <c r="W82" i="5"/>
  <c r="W83" i="5" s="1"/>
  <c r="W84" i="5" s="1"/>
  <c r="W85" i="5" s="1"/>
  <c r="W89" i="5" s="1"/>
  <c r="W90" i="5" s="1"/>
  <c r="W93" i="5" s="1"/>
  <c r="W52" i="5"/>
  <c r="X18" i="5"/>
  <c r="X44" i="5"/>
  <c r="X12" i="5" s="1"/>
  <c r="X13" i="5" s="1"/>
  <c r="X46" i="5"/>
  <c r="X45" i="5" l="1"/>
  <c r="Y18" i="5" l="1"/>
  <c r="X53" i="5"/>
  <c r="X67" i="5" s="1"/>
  <c r="X68" i="5" s="1"/>
  <c r="Y44" i="5"/>
  <c r="Y12" i="5" s="1"/>
  <c r="Y13" i="5" s="1"/>
  <c r="X78" i="5" l="1"/>
  <c r="X79" i="5" s="1"/>
  <c r="X52" i="5"/>
  <c r="Y7" i="5" l="1"/>
  <c r="Y57" i="5"/>
  <c r="Y56" i="5" s="1"/>
  <c r="Y60" i="5" s="1"/>
  <c r="Y62" i="5" s="1"/>
  <c r="Y63" i="5" s="1"/>
  <c r="Y66" i="5" s="1"/>
  <c r="X47" i="5"/>
  <c r="X49" i="5" s="1"/>
  <c r="X15" i="5"/>
  <c r="X17" i="5" s="1"/>
  <c r="X19" i="5" s="1"/>
  <c r="Y92" i="5"/>
  <c r="Y72" i="5" s="1"/>
  <c r="X98" i="5"/>
  <c r="X100" i="5" s="1"/>
  <c r="X103" i="5" s="1"/>
  <c r="Y96" i="5" s="1"/>
  <c r="X80" i="5"/>
  <c r="X81" i="5" s="1"/>
  <c r="Y46" i="5"/>
  <c r="Y102" i="5"/>
  <c r="Y104" i="5" s="1"/>
  <c r="Y33" i="5"/>
  <c r="Y34" i="5"/>
  <c r="Y24" i="5"/>
  <c r="Y25" i="5"/>
  <c r="Y32" i="5"/>
  <c r="Y97" i="5"/>
  <c r="Y36" i="5" l="1"/>
  <c r="Y37" i="5" s="1"/>
  <c r="Y38" i="5" s="1"/>
  <c r="Y40" i="5" s="1" a="1"/>
  <c r="Y40" i="5" s="1"/>
  <c r="Y41" i="5" s="1"/>
  <c r="Y27" i="5"/>
  <c r="Y45" i="5"/>
  <c r="Y91" i="5"/>
  <c r="X82" i="5"/>
  <c r="X83" i="5" s="1"/>
  <c r="X84" i="5" s="1"/>
  <c r="X85" i="5" s="1"/>
  <c r="X89" i="5" s="1"/>
  <c r="X90" i="5" s="1"/>
  <c r="X93" i="5" s="1"/>
  <c r="Y75" i="5"/>
  <c r="Y73" i="5"/>
  <c r="X20" i="5"/>
  <c r="Z32" i="5" l="1"/>
  <c r="Y28" i="5"/>
  <c r="Y29" i="5" s="1"/>
  <c r="Z23" i="5" s="1"/>
  <c r="Y8" i="5"/>
  <c r="Y9" i="5" s="1"/>
  <c r="Z6" i="5" s="1"/>
  <c r="Z97" i="5"/>
  <c r="Y98" i="5"/>
  <c r="Y100" i="5" s="1"/>
  <c r="Y103" i="5" s="1"/>
  <c r="Z96" i="5" s="1"/>
  <c r="Z92" i="5"/>
  <c r="Y47" i="5"/>
  <c r="Y49" i="5" s="1"/>
  <c r="Y51" i="5" s="1"/>
  <c r="Z46" i="5"/>
  <c r="Z57" i="5"/>
  <c r="Z56" i="5" s="1"/>
  <c r="Z60" i="5" s="1"/>
  <c r="Z62" i="5" s="1"/>
  <c r="Z63" i="5" s="1"/>
  <c r="Z66" i="5" s="1"/>
  <c r="Y15" i="5"/>
  <c r="Y17" i="5" s="1"/>
  <c r="Y19" i="5" s="1"/>
  <c r="Y20" i="5" s="1"/>
  <c r="Z24" i="5"/>
  <c r="Z34" i="5"/>
  <c r="Z51" i="5"/>
  <c r="Z102" i="5"/>
  <c r="Z104" i="5" s="1"/>
  <c r="Z25" i="5"/>
  <c r="Z33" i="5"/>
  <c r="Z7" i="5" l="1"/>
  <c r="Z36" i="5"/>
  <c r="Z37" i="5" s="1"/>
  <c r="Z38" i="5" s="1"/>
  <c r="Z78" i="5"/>
  <c r="Z52" i="5"/>
  <c r="Z53" i="5"/>
  <c r="Z67" i="5" s="1"/>
  <c r="AA18" i="5"/>
  <c r="Z91" i="5"/>
  <c r="Z72" i="5"/>
  <c r="Z27" i="5"/>
  <c r="Z28" i="5" s="1"/>
  <c r="Z29" i="5" s="1"/>
  <c r="AA23" i="5" s="1"/>
  <c r="Z44" i="5"/>
  <c r="AA44" i="5" s="1"/>
  <c r="Z18" i="5"/>
  <c r="Y78" i="5"/>
  <c r="Y52" i="5"/>
  <c r="Y53" i="5"/>
  <c r="Y67" i="5" s="1"/>
  <c r="Y68" i="5" s="1"/>
  <c r="Z8" i="5"/>
  <c r="Z40" i="5" l="1" a="1"/>
  <c r="Z40" i="5" s="1"/>
  <c r="Z41" i="5" s="1"/>
  <c r="Z9" i="5"/>
  <c r="AA6" i="5" s="1"/>
  <c r="Z68" i="5"/>
  <c r="Z75" i="5"/>
  <c r="Z73" i="5"/>
  <c r="AA12" i="5"/>
  <c r="AA13" i="5" s="1"/>
  <c r="Y79" i="5"/>
  <c r="Y80" i="5" s="1"/>
  <c r="Z79" i="5" s="1"/>
  <c r="Z45" i="5"/>
  <c r="Z12" i="5"/>
  <c r="Z13" i="5" s="1"/>
  <c r="AA32" i="5" l="1"/>
  <c r="AA57" i="5"/>
  <c r="AA56" i="5" s="1"/>
  <c r="AA60" i="5" s="1"/>
  <c r="AA62" i="5" s="1"/>
  <c r="AA63" i="5" s="1"/>
  <c r="AA66" i="5" s="1"/>
  <c r="AA97" i="5"/>
  <c r="Z98" i="5"/>
  <c r="Z100" i="5" s="1"/>
  <c r="Z103" i="5" s="1"/>
  <c r="AA96" i="5" s="1"/>
  <c r="AA34" i="5"/>
  <c r="Y81" i="5"/>
  <c r="AA24" i="5" l="1"/>
  <c r="AA92" i="5"/>
  <c r="AA91" i="5" s="1"/>
  <c r="AA25" i="5"/>
  <c r="AA46" i="5"/>
  <c r="Z80" i="5"/>
  <c r="Z81" i="5" s="1"/>
  <c r="AA51" i="5"/>
  <c r="AB18" i="5" s="1"/>
  <c r="AA33" i="5"/>
  <c r="AA36" i="5" s="1"/>
  <c r="AA37" i="5" s="1"/>
  <c r="AA38" i="5" s="1"/>
  <c r="AA40" i="5" s="1" a="1"/>
  <c r="AA40" i="5" s="1"/>
  <c r="AA41" i="5" s="1"/>
  <c r="AA7" i="5"/>
  <c r="Z47" i="5"/>
  <c r="Z49" i="5" s="1"/>
  <c r="Z15" i="5"/>
  <c r="Z17" i="5" s="1"/>
  <c r="Z19" i="5" s="1"/>
  <c r="Z20" i="5" s="1"/>
  <c r="AA8" i="5" s="1"/>
  <c r="AA102" i="5"/>
  <c r="AA104" i="5" s="1"/>
  <c r="AA72" i="5"/>
  <c r="Y82" i="5"/>
  <c r="Y83" i="5" s="1"/>
  <c r="Y84" i="5" s="1"/>
  <c r="Y85" i="5" s="1"/>
  <c r="Y89" i="5" s="1"/>
  <c r="Y90" i="5" s="1"/>
  <c r="Y93" i="5" s="1"/>
  <c r="AA27" i="5" l="1"/>
  <c r="AA45" i="5"/>
  <c r="AA78" i="5"/>
  <c r="AA79" i="5" s="1"/>
  <c r="AA53" i="5"/>
  <c r="AA67" i="5" s="1"/>
  <c r="AA68" i="5" s="1"/>
  <c r="AA52" i="5"/>
  <c r="AB44" i="5"/>
  <c r="AB12" i="5" s="1"/>
  <c r="AB13" i="5" s="1"/>
  <c r="AA28" i="5"/>
  <c r="AA29" i="5" s="1"/>
  <c r="AB23" i="5" s="1"/>
  <c r="AA9" i="5"/>
  <c r="AB6" i="5" s="1"/>
  <c r="AA73" i="5"/>
  <c r="AA75" i="5"/>
  <c r="Z82" i="5"/>
  <c r="AB32" i="5" l="1"/>
  <c r="AB97" i="5"/>
  <c r="Z83" i="5"/>
  <c r="Z84" i="5" s="1"/>
  <c r="Z85" i="5" s="1"/>
  <c r="Z89" i="5" s="1"/>
  <c r="Z90" i="5" s="1"/>
  <c r="Z93" i="5" s="1"/>
  <c r="AB46" i="5" l="1"/>
  <c r="AB57" i="5"/>
  <c r="AB56" i="5" s="1"/>
  <c r="AB60" i="5" s="1"/>
  <c r="AB62" i="5" s="1"/>
  <c r="AB63" i="5" s="1"/>
  <c r="AB66" i="5" s="1"/>
  <c r="AB25" i="5"/>
  <c r="AB51" i="5"/>
  <c r="AC44" i="5" s="1"/>
  <c r="AC12" i="5" s="1"/>
  <c r="AB34" i="5"/>
  <c r="AA98" i="5"/>
  <c r="AA100" i="5" s="1"/>
  <c r="AA103" i="5" s="1"/>
  <c r="AB96" i="5" s="1"/>
  <c r="AB7" i="5"/>
  <c r="AB102" i="5"/>
  <c r="AB104" i="5" s="1"/>
  <c r="AB92" i="5"/>
  <c r="AB91" i="5" s="1"/>
  <c r="AA80" i="5"/>
  <c r="AA81" i="5" s="1"/>
  <c r="AA82" i="5" s="1"/>
  <c r="AA15" i="5"/>
  <c r="AA17" i="5" s="1"/>
  <c r="AA19" i="5" s="1"/>
  <c r="AA20" i="5" s="1"/>
  <c r="AB8" i="5" s="1"/>
  <c r="AB24" i="5"/>
  <c r="AB27" i="5" s="1"/>
  <c r="AA47" i="5"/>
  <c r="AA49" i="5" s="1"/>
  <c r="AB45" i="5" s="1"/>
  <c r="AB33" i="5"/>
  <c r="AB36" i="5" s="1"/>
  <c r="AB37" i="5" s="1"/>
  <c r="AB38" i="5" s="1"/>
  <c r="AB40" i="5" s="1" a="1"/>
  <c r="AB40" i="5" s="1"/>
  <c r="AB41" i="5" s="1"/>
  <c r="AB53" i="5"/>
  <c r="AB67" i="5" s="1"/>
  <c r="AB68" i="5" s="1"/>
  <c r="AB78" i="5" l="1"/>
  <c r="AC18" i="5"/>
  <c r="AB52" i="5"/>
  <c r="AB9" i="5"/>
  <c r="AC6" i="5" s="1"/>
  <c r="AA83" i="5"/>
  <c r="AA84" i="5" s="1"/>
  <c r="AA85" i="5" s="1"/>
  <c r="AA89" i="5" s="1"/>
  <c r="AA90" i="5" s="1"/>
  <c r="AA93" i="5" s="1"/>
  <c r="AB79" i="5"/>
  <c r="AB72" i="5"/>
  <c r="AB28" i="5"/>
  <c r="AB29" i="5" s="1"/>
  <c r="AB80" i="5" l="1"/>
  <c r="AB81" i="5" s="1"/>
  <c r="AB73" i="5"/>
  <c r="AB75" i="5"/>
  <c r="AB82" i="5"/>
  <c r="AB83" i="5"/>
  <c r="AB84" i="5" s="1"/>
  <c r="AB85" i="5" s="1"/>
  <c r="AB89" i="5" s="1"/>
  <c r="AB90" i="5" s="1"/>
  <c r="AB93" i="5" s="1"/>
  <c r="AB15" i="5"/>
  <c r="AB17" i="5" s="1"/>
  <c r="AB19" i="5" s="1"/>
  <c r="AB47" i="5"/>
  <c r="AB49" i="5" s="1"/>
  <c r="AC57" i="5"/>
  <c r="AC56" i="5" s="1"/>
  <c r="AC60" i="5" s="1"/>
  <c r="AC62" i="5" s="1"/>
  <c r="AC63" i="5" s="1"/>
  <c r="AC66" i="5" s="1"/>
  <c r="AC46" i="5"/>
  <c r="AC25" i="5"/>
  <c r="AC34" i="5"/>
  <c r="AC97" i="5"/>
  <c r="AC51" i="5"/>
  <c r="AC24" i="5"/>
  <c r="AC102" i="5"/>
  <c r="AC104" i="5" s="1"/>
  <c r="AB98" i="5"/>
  <c r="AB100" i="5" s="1"/>
  <c r="AB103" i="5" s="1"/>
  <c r="AC96" i="5" s="1"/>
  <c r="AC33" i="5"/>
  <c r="AC92" i="5"/>
  <c r="AC32" i="5"/>
  <c r="AC23" i="5"/>
  <c r="AC7" i="5"/>
  <c r="AC72" i="5" l="1"/>
  <c r="AC45" i="5"/>
  <c r="AC36" i="5"/>
  <c r="AC37" i="5" s="1"/>
  <c r="AC38" i="5" s="1"/>
  <c r="AC40" i="5" s="1" a="1"/>
  <c r="AC40" i="5" s="1"/>
  <c r="AC41" i="5" s="1"/>
  <c r="AC27" i="5"/>
  <c r="AC91" i="5"/>
  <c r="AB20" i="5"/>
  <c r="AC8" i="5" s="1"/>
  <c r="AC9" i="5" s="1"/>
  <c r="AD6" i="5" s="1"/>
  <c r="AC13" i="5"/>
  <c r="AC53" i="5"/>
  <c r="AC67" i="5" s="1"/>
  <c r="AC68" i="5" s="1"/>
  <c r="AD18" i="5"/>
  <c r="AC52" i="5"/>
  <c r="AD44" i="5"/>
  <c r="AD12" i="5" s="1"/>
  <c r="AC78" i="5"/>
  <c r="AC79" i="5" s="1"/>
  <c r="AC73" i="5"/>
  <c r="AC75" i="5"/>
  <c r="AC28" i="5" l="1"/>
  <c r="AC29" i="5" s="1"/>
  <c r="AD23" i="5" s="1"/>
  <c r="AD34" i="5" l="1"/>
  <c r="AD92" i="5"/>
  <c r="AD51" i="5"/>
  <c r="AC47" i="5"/>
  <c r="AC49" i="5" s="1"/>
  <c r="AD57" i="5"/>
  <c r="AD56" i="5" s="1"/>
  <c r="AD60" i="5" s="1"/>
  <c r="AD62" i="5" s="1"/>
  <c r="AD63" i="5" s="1"/>
  <c r="AD66" i="5" s="1"/>
  <c r="AD33" i="5"/>
  <c r="AC15" i="5"/>
  <c r="AC17" i="5" s="1"/>
  <c r="AC19" i="5" s="1"/>
  <c r="AD97" i="5"/>
  <c r="AC80" i="5"/>
  <c r="AC81" i="5" s="1"/>
  <c r="AC82" i="5" s="1"/>
  <c r="AC83" i="5" s="1"/>
  <c r="AC84" i="5" s="1"/>
  <c r="AC85" i="5" s="1"/>
  <c r="AC89" i="5" s="1"/>
  <c r="AC90" i="5" s="1"/>
  <c r="AC93" i="5" s="1"/>
  <c r="AC98" i="5"/>
  <c r="AC100" i="5" s="1"/>
  <c r="AC103" i="5" s="1"/>
  <c r="AD96" i="5" s="1"/>
  <c r="AD102" i="5"/>
  <c r="AD104" i="5" s="1"/>
  <c r="AD25" i="5"/>
  <c r="AD24" i="5"/>
  <c r="AD7" i="5"/>
  <c r="AD46" i="5"/>
  <c r="AD32" i="5"/>
  <c r="AD27" i="5" l="1"/>
  <c r="AD36" i="5"/>
  <c r="AD37" i="5" s="1"/>
  <c r="AD38" i="5" s="1"/>
  <c r="AD40" i="5" s="1" a="1"/>
  <c r="AD40" i="5" s="1"/>
  <c r="AD41" i="5" s="1"/>
  <c r="AD52" i="5"/>
  <c r="AE44" i="5"/>
  <c r="AE12" i="5" s="1"/>
  <c r="AE18" i="5"/>
  <c r="AD53" i="5"/>
  <c r="AD67" i="5" s="1"/>
  <c r="AD68" i="5" s="1"/>
  <c r="AD78" i="5"/>
  <c r="AD79" i="5" s="1"/>
  <c r="AD91" i="5"/>
  <c r="AD72" i="5"/>
  <c r="AC20" i="5"/>
  <c r="AD13" i="5"/>
  <c r="AD45" i="5"/>
  <c r="AD73" i="5" l="1"/>
  <c r="AD75" i="5"/>
  <c r="AE33" i="5"/>
  <c r="AD47" i="5"/>
  <c r="AD49" i="5" s="1"/>
  <c r="AE51" i="5"/>
  <c r="AE92" i="5"/>
  <c r="AE91" i="5" s="1"/>
  <c r="AE102" i="5"/>
  <c r="AE104" i="5" s="1"/>
  <c r="AE46" i="5"/>
  <c r="AE24" i="5"/>
  <c r="AE97" i="5"/>
  <c r="AE34" i="5"/>
  <c r="AE57" i="5"/>
  <c r="AE56" i="5" s="1"/>
  <c r="AE60" i="5" s="1"/>
  <c r="AE62" i="5" s="1"/>
  <c r="AE63" i="5" s="1"/>
  <c r="AE66" i="5" s="1"/>
  <c r="AD80" i="5"/>
  <c r="AD81" i="5" s="1"/>
  <c r="AD82" i="5" s="1"/>
  <c r="AD83" i="5" s="1"/>
  <c r="AD84" i="5" s="1"/>
  <c r="AD85" i="5" s="1"/>
  <c r="AD89" i="5" s="1"/>
  <c r="AD90" i="5" s="1"/>
  <c r="AD93" i="5" s="1"/>
  <c r="AD98" i="5"/>
  <c r="AD100" i="5" s="1"/>
  <c r="AD103" i="5" s="1"/>
  <c r="AE96" i="5" s="1"/>
  <c r="AD15" i="5"/>
  <c r="AD17" i="5" s="1"/>
  <c r="AD19" i="5" s="1"/>
  <c r="AE25" i="5"/>
  <c r="AD8" i="5"/>
  <c r="AD9" i="5" s="1"/>
  <c r="AE6" i="5" s="1"/>
  <c r="AD28" i="5"/>
  <c r="AD29" i="5" s="1"/>
  <c r="AE23" i="5" s="1"/>
  <c r="AE32" i="5"/>
  <c r="AE27" i="5" l="1"/>
  <c r="AE52" i="5"/>
  <c r="AE53" i="5"/>
  <c r="AE67" i="5" s="1"/>
  <c r="AE68" i="5" s="1"/>
  <c r="AF18" i="5"/>
  <c r="AF44" i="5"/>
  <c r="AF12" i="5" s="1"/>
  <c r="AE78" i="5"/>
  <c r="AE79" i="5" s="1"/>
  <c r="AE36" i="5"/>
  <c r="AE37" i="5" s="1"/>
  <c r="AE38" i="5" s="1"/>
  <c r="AE40" i="5" s="1" a="1"/>
  <c r="AE40" i="5" s="1"/>
  <c r="AE41" i="5" s="1"/>
  <c r="AE72" i="5"/>
  <c r="AE45" i="5"/>
  <c r="AD20" i="5"/>
  <c r="AE8" i="5" s="1"/>
  <c r="AE13" i="5"/>
  <c r="AE7" i="5"/>
  <c r="AE9" i="5" l="1"/>
  <c r="AF6" i="5" s="1"/>
  <c r="AE73" i="5"/>
  <c r="AE75" i="5"/>
  <c r="AE28" i="5"/>
  <c r="AE29" i="5" s="1"/>
  <c r="AF23" i="5" s="1"/>
  <c r="AF32" i="5" l="1"/>
  <c r="AF92" i="5"/>
  <c r="AF24" i="5"/>
  <c r="AF7" i="5"/>
  <c r="AF97" i="5"/>
  <c r="AE80" i="5"/>
  <c r="AE81" i="5" s="1"/>
  <c r="AE82" i="5" s="1"/>
  <c r="AE83" i="5" s="1"/>
  <c r="AE84" i="5" s="1"/>
  <c r="AE85" i="5" s="1"/>
  <c r="AE89" i="5" s="1"/>
  <c r="AE90" i="5" s="1"/>
  <c r="AE93" i="5" s="1"/>
  <c r="AF25" i="5"/>
  <c r="AE15" i="5"/>
  <c r="AE17" i="5" s="1"/>
  <c r="AE19" i="5" s="1"/>
  <c r="AF34" i="5"/>
  <c r="AF57" i="5"/>
  <c r="AF56" i="5" s="1"/>
  <c r="AF60" i="5" s="1"/>
  <c r="AF62" i="5" s="1"/>
  <c r="AF63" i="5" s="1"/>
  <c r="AF66" i="5" s="1"/>
  <c r="AE98" i="5"/>
  <c r="AE100" i="5" s="1"/>
  <c r="AE103" i="5" s="1"/>
  <c r="AF96" i="5" s="1"/>
  <c r="AF51" i="5"/>
  <c r="AF102" i="5"/>
  <c r="AF104" i="5" s="1"/>
  <c r="AE47" i="5"/>
  <c r="AE49" i="5" s="1"/>
  <c r="AF46" i="5"/>
  <c r="AF33" i="5"/>
  <c r="AF27" i="5" l="1"/>
  <c r="AF36" i="5"/>
  <c r="AF37" i="5" s="1"/>
  <c r="AF38" i="5" s="1"/>
  <c r="AF45" i="5"/>
  <c r="AF52" i="5"/>
  <c r="AF78" i="5"/>
  <c r="AF79" i="5" s="1"/>
  <c r="AF53" i="5"/>
  <c r="AF67" i="5" s="1"/>
  <c r="AF68" i="5" s="1"/>
  <c r="AG18" i="5"/>
  <c r="AG44" i="5"/>
  <c r="AG12" i="5" s="1"/>
  <c r="AE20" i="5"/>
  <c r="AF13" i="5"/>
  <c r="AF72" i="5"/>
  <c r="AF91" i="5"/>
  <c r="AF40" i="5" l="1" a="1"/>
  <c r="AF40" i="5" s="1"/>
  <c r="AF8" i="5"/>
  <c r="AF9" i="5" s="1"/>
  <c r="AG6" i="5" s="1"/>
  <c r="AF28" i="5"/>
  <c r="AF29" i="5" s="1"/>
  <c r="AG23" i="5" s="1"/>
  <c r="AF73" i="5"/>
  <c r="AF75" i="5"/>
  <c r="AG32" i="5" l="1"/>
  <c r="AF41" i="5"/>
  <c r="AG34" i="5" s="1"/>
  <c r="AG51" i="5" l="1"/>
  <c r="AH18" i="5" s="1"/>
  <c r="AG25" i="5"/>
  <c r="AG7" i="5"/>
  <c r="AG46" i="5"/>
  <c r="AF47" i="5"/>
  <c r="AF49" i="5" s="1"/>
  <c r="AG92" i="5"/>
  <c r="AG91" i="5" s="1"/>
  <c r="AG57" i="5"/>
  <c r="AG56" i="5" s="1"/>
  <c r="AG60" i="5" s="1"/>
  <c r="AG62" i="5" s="1"/>
  <c r="AG63" i="5" s="1"/>
  <c r="AG66" i="5" s="1"/>
  <c r="AG97" i="5"/>
  <c r="AG24" i="5"/>
  <c r="AF80" i="5"/>
  <c r="AF81" i="5" s="1"/>
  <c r="AF82" i="5" s="1"/>
  <c r="AF83" i="5" s="1"/>
  <c r="AF84" i="5" s="1"/>
  <c r="AF85" i="5" s="1"/>
  <c r="AF89" i="5" s="1"/>
  <c r="AF90" i="5" s="1"/>
  <c r="AF93" i="5" s="1"/>
  <c r="AG33" i="5"/>
  <c r="AG36" i="5" s="1"/>
  <c r="AG37" i="5" s="1"/>
  <c r="AG38" i="5" s="1"/>
  <c r="AG40" i="5" s="1" a="1"/>
  <c r="AG40" i="5" s="1"/>
  <c r="AF15" i="5"/>
  <c r="AF17" i="5" s="1"/>
  <c r="AF19" i="5" s="1"/>
  <c r="AF98" i="5"/>
  <c r="AF100" i="5" s="1"/>
  <c r="AF103" i="5" s="1"/>
  <c r="AG96" i="5" s="1"/>
  <c r="AG27" i="5" l="1"/>
  <c r="AH44" i="5"/>
  <c r="AH12" i="5" s="1"/>
  <c r="AG52" i="5"/>
  <c r="AG72" i="5"/>
  <c r="AG45" i="5"/>
  <c r="AH32" i="5"/>
  <c r="AG41" i="5"/>
  <c r="AG78" i="5"/>
  <c r="AG79" i="5" s="1"/>
  <c r="AG53" i="5"/>
  <c r="AG67" i="5" s="1"/>
  <c r="AG68" i="5" s="1"/>
  <c r="AF20" i="5"/>
  <c r="AG8" i="5" s="1"/>
  <c r="AG9" i="5" s="1"/>
  <c r="AH6" i="5" s="1"/>
  <c r="AG13" i="5"/>
  <c r="AG75" i="5" l="1"/>
  <c r="AG73" i="5"/>
  <c r="AG28" i="5"/>
  <c r="AG29" i="5" s="1"/>
  <c r="AH23" i="5" s="1"/>
  <c r="AH34" i="5"/>
  <c r="AH24" i="5"/>
  <c r="AG47" i="5"/>
  <c r="AG49" i="5" s="1"/>
  <c r="AH33" i="5"/>
  <c r="AH7" i="5"/>
  <c r="AG15" i="5"/>
  <c r="AG17" i="5" s="1"/>
  <c r="AG19" i="5" s="1"/>
  <c r="AG80" i="5"/>
  <c r="AG81" i="5" s="1"/>
  <c r="AG82" i="5" s="1"/>
  <c r="AG83" i="5" s="1"/>
  <c r="AG84" i="5" s="1"/>
  <c r="AG85" i="5" s="1"/>
  <c r="AG89" i="5" s="1"/>
  <c r="AG90" i="5" s="1"/>
  <c r="AG93" i="5" s="1"/>
  <c r="AH57" i="5"/>
  <c r="AH56" i="5" s="1"/>
  <c r="AH60" i="5" s="1"/>
  <c r="AH62" i="5" s="1"/>
  <c r="AH63" i="5" s="1"/>
  <c r="AH66" i="5" s="1"/>
  <c r="AH25" i="5"/>
  <c r="AH46" i="5"/>
  <c r="AH97" i="5"/>
  <c r="AG98" i="5"/>
  <c r="AG100" i="5" s="1"/>
  <c r="AH36" i="5" l="1"/>
  <c r="AH37" i="5" s="1"/>
  <c r="AH38" i="5" s="1"/>
  <c r="AH40" i="5" s="1" a="1"/>
  <c r="AH40" i="5" s="1"/>
  <c r="AH41" i="5" s="1"/>
  <c r="AH15" i="5" s="1"/>
  <c r="AH27" i="5"/>
  <c r="AH45" i="5"/>
  <c r="AH13" i="5"/>
  <c r="AG20" i="5"/>
  <c r="AG102" i="5"/>
  <c r="AG104" i="5" s="1"/>
  <c r="AG103" i="5"/>
  <c r="AH96" i="5" s="1"/>
  <c r="AH47" i="5" l="1"/>
  <c r="AH49" i="5" s="1"/>
  <c r="AH51" i="5" s="1"/>
  <c r="AH78" i="5" s="1"/>
  <c r="AH79" i="5" s="1"/>
  <c r="AI34" i="5"/>
  <c r="AI24" i="5"/>
  <c r="AI25" i="5"/>
  <c r="AI33" i="5"/>
  <c r="AI32" i="5"/>
  <c r="AI36" i="5" s="1"/>
  <c r="AI37" i="5" s="1"/>
  <c r="AI38" i="5" s="1"/>
  <c r="AI40" i="5" s="1" a="1"/>
  <c r="AI40" i="5" s="1"/>
  <c r="AJ32" i="5" s="1"/>
  <c r="AH98" i="5"/>
  <c r="AH100" i="5" s="1"/>
  <c r="AH102" i="5" s="1"/>
  <c r="AH104" i="5" s="1"/>
  <c r="AI97" i="5"/>
  <c r="AI57" i="5"/>
  <c r="AI56" i="5" s="1"/>
  <c r="AI60" i="5" s="1"/>
  <c r="AI62" i="5" s="1"/>
  <c r="AI63" i="5" s="1"/>
  <c r="AI66" i="5" s="1"/>
  <c r="AH17" i="5"/>
  <c r="AH19" i="5" s="1"/>
  <c r="AH20" i="5" s="1"/>
  <c r="AI8" i="5" s="1"/>
  <c r="AH28" i="5"/>
  <c r="AH29" i="5" s="1"/>
  <c r="AI23" i="5" s="1"/>
  <c r="AH8" i="5"/>
  <c r="AH9" i="5" s="1"/>
  <c r="AI6" i="5" s="1"/>
  <c r="AI7" i="5"/>
  <c r="AI27" i="5" l="1"/>
  <c r="AI41" i="5"/>
  <c r="AJ33" i="5" s="1"/>
  <c r="AI46" i="5"/>
  <c r="AH80" i="5"/>
  <c r="AH81" i="5" s="1"/>
  <c r="AH82" i="5" s="1"/>
  <c r="AH83" i="5" s="1"/>
  <c r="AH84" i="5" s="1"/>
  <c r="AH85" i="5" s="1"/>
  <c r="AH89" i="5" s="1"/>
  <c r="AH90" i="5" s="1"/>
  <c r="AH92" i="5" s="1"/>
  <c r="AI51" i="5"/>
  <c r="AI18" i="5"/>
  <c r="AH53" i="5"/>
  <c r="AH67" i="5" s="1"/>
  <c r="AH68" i="5" s="1"/>
  <c r="AH52" i="5"/>
  <c r="AI44" i="5"/>
  <c r="AI12" i="5" s="1"/>
  <c r="AI13" i="5" s="1"/>
  <c r="AI28" i="5"/>
  <c r="AI29" i="5" s="1"/>
  <c r="AJ23" i="5" s="1"/>
  <c r="AI9" i="5"/>
  <c r="AJ6" i="5" s="1"/>
  <c r="AH103" i="5"/>
  <c r="AI96" i="5" s="1"/>
  <c r="AJ57" i="5"/>
  <c r="AJ56" i="5" s="1"/>
  <c r="AJ60" i="5" s="1"/>
  <c r="AJ62" i="5" s="1"/>
  <c r="AJ63" i="5" s="1"/>
  <c r="AJ66" i="5" s="1"/>
  <c r="AJ97" i="5"/>
  <c r="AI47" i="5"/>
  <c r="AJ34" i="5"/>
  <c r="AJ25" i="5"/>
  <c r="AJ24" i="5"/>
  <c r="AI98" i="5"/>
  <c r="AI15" i="5"/>
  <c r="AJ51" i="5"/>
  <c r="AI45" i="5" l="1"/>
  <c r="AH93" i="5"/>
  <c r="AJ44" i="5"/>
  <c r="AJ12" i="5" s="1"/>
  <c r="AJ18" i="5"/>
  <c r="AI52" i="5"/>
  <c r="AI53" i="5"/>
  <c r="AI67" i="5" s="1"/>
  <c r="AI68" i="5" s="1"/>
  <c r="AI78" i="5"/>
  <c r="AI79" i="5" s="1"/>
  <c r="AJ46" i="5"/>
  <c r="AJ7" i="5"/>
  <c r="AI100" i="5"/>
  <c r="AJ36" i="5"/>
  <c r="AJ37" i="5" s="1"/>
  <c r="AJ38" i="5" s="1"/>
  <c r="AJ40" i="5" s="1"/>
  <c r="AI17" i="5"/>
  <c r="AI19" i="5" s="1"/>
  <c r="AI20" i="5" s="1"/>
  <c r="AH91" i="5"/>
  <c r="AH72" i="5"/>
  <c r="AJ78" i="5"/>
  <c r="AJ52" i="5"/>
  <c r="AJ53" i="5"/>
  <c r="AJ67" i="5" s="1"/>
  <c r="AK44" i="5"/>
  <c r="AK12" i="5" s="1"/>
  <c r="AK18" i="5"/>
  <c r="AI49" i="5"/>
  <c r="AJ27" i="5"/>
  <c r="AK32" i="5" l="1"/>
  <c r="AJ41" i="5"/>
  <c r="AJ68" i="5"/>
  <c r="AI102" i="5"/>
  <c r="AI104" i="5" s="1"/>
  <c r="AI103" i="5"/>
  <c r="AJ96" i="5" s="1"/>
  <c r="AJ45" i="5"/>
  <c r="AI80" i="5"/>
  <c r="AI81" i="5" s="1"/>
  <c r="AJ13" i="5"/>
  <c r="AH75" i="5"/>
  <c r="AH73" i="5"/>
  <c r="AJ8" i="5"/>
  <c r="AJ9" i="5" s="1"/>
  <c r="AK6" i="5" s="1"/>
  <c r="AJ28" i="5"/>
  <c r="AJ29" i="5" s="1"/>
  <c r="AK23" i="5" s="1"/>
  <c r="AI82" i="5" l="1"/>
  <c r="AI83" i="5"/>
  <c r="AI92" i="5"/>
  <c r="AK97" i="5"/>
  <c r="AJ98" i="5"/>
  <c r="AJ100" i="5" s="1"/>
  <c r="AJ102" i="5" s="1"/>
  <c r="AJ104" i="5" s="1"/>
  <c r="AK7" i="5"/>
  <c r="AK57" i="5"/>
  <c r="AK56" i="5" s="1"/>
  <c r="AK60" i="5" s="1"/>
  <c r="AJ47" i="5"/>
  <c r="AJ49" i="5" s="1"/>
  <c r="AK34" i="5"/>
  <c r="AK33" i="5"/>
  <c r="AK25" i="5"/>
  <c r="AK46" i="5"/>
  <c r="AJ15" i="5"/>
  <c r="AJ17" i="5" s="1"/>
  <c r="AJ19" i="5" s="1"/>
  <c r="AJ20" i="5" s="1"/>
  <c r="AK102" i="5"/>
  <c r="AK104" i="5" s="1"/>
  <c r="AK24" i="5"/>
  <c r="AK27" i="5" s="1"/>
  <c r="AJ79" i="5"/>
  <c r="AJ80" i="5" s="1"/>
  <c r="AK45" i="5" l="1"/>
  <c r="AI84" i="5"/>
  <c r="AI85" i="5" s="1"/>
  <c r="AI89" i="5" s="1"/>
  <c r="AI90" i="5" s="1"/>
  <c r="AI93" i="5" s="1"/>
  <c r="AK36" i="5"/>
  <c r="AK37" i="5" s="1"/>
  <c r="AK38" i="5" s="1"/>
  <c r="AK40" i="5" s="1"/>
  <c r="AL32" i="5" s="1"/>
  <c r="AJ103" i="5"/>
  <c r="AK96" i="5" s="1"/>
  <c r="AK28" i="5"/>
  <c r="AK29" i="5" s="1"/>
  <c r="AL23" i="5" s="1"/>
  <c r="AK8" i="5"/>
  <c r="AK9" i="5" s="1"/>
  <c r="AL6" i="5" s="1"/>
  <c r="AK41" i="5"/>
  <c r="AI91" i="5"/>
  <c r="AJ81" i="5"/>
  <c r="AJ82" i="5" s="1"/>
  <c r="AK62" i="5"/>
  <c r="AK63" i="5" s="1"/>
  <c r="AK66" i="5" s="1"/>
  <c r="AI72" i="5"/>
  <c r="AK13" i="5"/>
  <c r="AJ83" i="5" l="1"/>
  <c r="AJ84" i="5" s="1"/>
  <c r="AJ85" i="5" s="1"/>
  <c r="AJ89" i="5" s="1"/>
  <c r="AJ90" i="5" s="1"/>
  <c r="AL25" i="5"/>
  <c r="AL92" i="5"/>
  <c r="AL91" i="5" s="1"/>
  <c r="AL24" i="5"/>
  <c r="AL27" i="5" s="1"/>
  <c r="AL7" i="5"/>
  <c r="AL57" i="5"/>
  <c r="AL56" i="5" s="1"/>
  <c r="AL60" i="5" s="1"/>
  <c r="AL62" i="5" s="1"/>
  <c r="AL63" i="5" s="1"/>
  <c r="AL66" i="5" s="1"/>
  <c r="AK15" i="5"/>
  <c r="AK17" i="5" s="1"/>
  <c r="AK19" i="5" s="1"/>
  <c r="AK20" i="5" s="1"/>
  <c r="AL8" i="5" s="1"/>
  <c r="AL46" i="5"/>
  <c r="AK98" i="5"/>
  <c r="AK100" i="5" s="1"/>
  <c r="AK103" i="5" s="1"/>
  <c r="AL96" i="5" s="1"/>
  <c r="AL33" i="5"/>
  <c r="AL34" i="5"/>
  <c r="AL36" i="5" s="1"/>
  <c r="AL37" i="5" s="1"/>
  <c r="AL38" i="5" s="1"/>
  <c r="AL40" i="5" s="1"/>
  <c r="AM32" i="5" s="1"/>
  <c r="AL102" i="5"/>
  <c r="AL104" i="5" s="1"/>
  <c r="AL51" i="5"/>
  <c r="AK47" i="5"/>
  <c r="AK49" i="5" s="1"/>
  <c r="AK51" i="5" s="1"/>
  <c r="AL97" i="5"/>
  <c r="AJ93" i="5"/>
  <c r="AJ92" i="5"/>
  <c r="AJ91" i="5" s="1"/>
  <c r="AI75" i="5"/>
  <c r="AI73" i="5"/>
  <c r="AL41" i="5" l="1"/>
  <c r="AJ72" i="5"/>
  <c r="AJ75" i="5" s="1"/>
  <c r="AJ73" i="5"/>
  <c r="AL9" i="5"/>
  <c r="AM6" i="5" s="1"/>
  <c r="AL28" i="5"/>
  <c r="AL29" i="5" s="1"/>
  <c r="AM23" i="5" s="1"/>
  <c r="AM27" i="5" s="1"/>
  <c r="AM51" i="5"/>
  <c r="AM33" i="5"/>
  <c r="AM36" i="5" s="1"/>
  <c r="AM34" i="5"/>
  <c r="AL15" i="5"/>
  <c r="AM46" i="5"/>
  <c r="AM92" i="5"/>
  <c r="AM91" i="5" s="1"/>
  <c r="AL98" i="5"/>
  <c r="AL100" i="5" s="1"/>
  <c r="AL103" i="5" s="1"/>
  <c r="AM96" i="5" s="1"/>
  <c r="AM57" i="5"/>
  <c r="AM56" i="5" s="1"/>
  <c r="AM60" i="5" s="1"/>
  <c r="AM62" i="5" s="1"/>
  <c r="AM63" i="5" s="1"/>
  <c r="AM66" i="5" s="1"/>
  <c r="AM97" i="5"/>
  <c r="AL47" i="5"/>
  <c r="AM25" i="5"/>
  <c r="AM24" i="5"/>
  <c r="AM102" i="5"/>
  <c r="AM104" i="5" s="1"/>
  <c r="AL18" i="5"/>
  <c r="AL44" i="5"/>
  <c r="AM44" i="5" s="1"/>
  <c r="AM12" i="5" s="1"/>
  <c r="AK53" i="5"/>
  <c r="AK67" i="5" s="1"/>
  <c r="AK68" i="5" s="1"/>
  <c r="AL68" i="5" s="1"/>
  <c r="AK52" i="5"/>
  <c r="AK78" i="5"/>
  <c r="AL78" i="5"/>
  <c r="AL52" i="5"/>
  <c r="AM18" i="5"/>
  <c r="AL53" i="5"/>
  <c r="AL67" i="5" s="1"/>
  <c r="AM7" i="5" l="1"/>
  <c r="AM37" i="5"/>
  <c r="AM38" i="5" s="1"/>
  <c r="AM40" i="5" s="1"/>
  <c r="AN32" i="5" s="1"/>
  <c r="AM41" i="5"/>
  <c r="AK79" i="5"/>
  <c r="AL12" i="5"/>
  <c r="AL13" i="5" s="1"/>
  <c r="AL17" i="5" s="1"/>
  <c r="AL19" i="5" s="1"/>
  <c r="AL20" i="5" s="1"/>
  <c r="AL45" i="5"/>
  <c r="AL49" i="5" s="1"/>
  <c r="AM45" i="5" s="1"/>
  <c r="AM53" i="5"/>
  <c r="AM67" i="5" s="1"/>
  <c r="AM68" i="5" s="1"/>
  <c r="AN44" i="5"/>
  <c r="AN12" i="5" s="1"/>
  <c r="AM78" i="5"/>
  <c r="AN18" i="5"/>
  <c r="AM52" i="5"/>
  <c r="AM8" i="5" l="1"/>
  <c r="AM9" i="5" s="1"/>
  <c r="AN6" i="5" s="1"/>
  <c r="AM28" i="5"/>
  <c r="AM29" i="5" s="1"/>
  <c r="AN23" i="5" s="1"/>
  <c r="AM13" i="5"/>
  <c r="AK80" i="5"/>
  <c r="AL79" i="5" s="1"/>
  <c r="AK81" i="5"/>
  <c r="AN57" i="5"/>
  <c r="AN56" i="5" s="1"/>
  <c r="AN60" i="5" s="1"/>
  <c r="AN62" i="5" s="1"/>
  <c r="AN63" i="5" s="1"/>
  <c r="AN66" i="5" s="1"/>
  <c r="AN24" i="5"/>
  <c r="AN25" i="5"/>
  <c r="AN102" i="5"/>
  <c r="AN104" i="5" s="1"/>
  <c r="AN92" i="5"/>
  <c r="AN91" i="5" s="1"/>
  <c r="AM98" i="5"/>
  <c r="AM100" i="5" s="1"/>
  <c r="AM103" i="5" s="1"/>
  <c r="AN96" i="5" s="1"/>
  <c r="AM47" i="5"/>
  <c r="AM49" i="5" s="1"/>
  <c r="AN45" i="5" s="1"/>
  <c r="AN33" i="5"/>
  <c r="AN36" i="5" s="1"/>
  <c r="AN37" i="5" s="1"/>
  <c r="AN38" i="5" s="1"/>
  <c r="AN40" i="5" s="1"/>
  <c r="AN41" i="5" s="1"/>
  <c r="AO33" i="5" s="1"/>
  <c r="AN97" i="5"/>
  <c r="AM15" i="5"/>
  <c r="AM17" i="5" s="1"/>
  <c r="AM19" i="5" s="1"/>
  <c r="AN7" i="5"/>
  <c r="AN46" i="5"/>
  <c r="AN34" i="5"/>
  <c r="AO32" i="5" l="1"/>
  <c r="AO25" i="5"/>
  <c r="AO34" i="5"/>
  <c r="AO92" i="5"/>
  <c r="AO91" i="5" s="1"/>
  <c r="AO102" i="5"/>
  <c r="AO104" i="5" s="1"/>
  <c r="AN15" i="5"/>
  <c r="AN17" i="5" s="1"/>
  <c r="AN19" i="5" s="1"/>
  <c r="AN20" i="5" s="1"/>
  <c r="AO8" i="5" s="1"/>
  <c r="AO24" i="5"/>
  <c r="AL81" i="5"/>
  <c r="AL80" i="5"/>
  <c r="AM79" i="5" s="1"/>
  <c r="AM80" i="5" s="1"/>
  <c r="AN47" i="5"/>
  <c r="AN49" i="5" s="1"/>
  <c r="AN51" i="5" s="1"/>
  <c r="AO51" i="5" s="1"/>
  <c r="AP18" i="5" s="1"/>
  <c r="AO57" i="5"/>
  <c r="AO56" i="5" s="1"/>
  <c r="AO60" i="5" s="1"/>
  <c r="AO62" i="5" s="1"/>
  <c r="AO63" i="5" s="1"/>
  <c r="AO66" i="5" s="1"/>
  <c r="AN27" i="5"/>
  <c r="AO97" i="5"/>
  <c r="AN98" i="5"/>
  <c r="AN100" i="5" s="1"/>
  <c r="AN103" i="5" s="1"/>
  <c r="AO96" i="5" s="1"/>
  <c r="AK82" i="5"/>
  <c r="AK83" i="5" s="1"/>
  <c r="AK84" i="5" s="1"/>
  <c r="AK85" i="5" s="1"/>
  <c r="AK89" i="5" s="1"/>
  <c r="AK90" i="5" s="1"/>
  <c r="AM20" i="5"/>
  <c r="AN13" i="5"/>
  <c r="AO36" i="5"/>
  <c r="AN52" i="5"/>
  <c r="AO52" i="5" l="1"/>
  <c r="AO53" i="5"/>
  <c r="AO67" i="5" s="1"/>
  <c r="AN53" i="5"/>
  <c r="AN67" i="5" s="1"/>
  <c r="AN68" i="5" s="1"/>
  <c r="AO68" i="5" s="1"/>
  <c r="AO78" i="5"/>
  <c r="AO46" i="5"/>
  <c r="AN78" i="5"/>
  <c r="AN79" i="5" s="1"/>
  <c r="AO44" i="5"/>
  <c r="AP44" i="5" s="1"/>
  <c r="AP12" i="5" s="1"/>
  <c r="AO18" i="5"/>
  <c r="AK93" i="5"/>
  <c r="AK92" i="5"/>
  <c r="AL82" i="5"/>
  <c r="AN8" i="5"/>
  <c r="AN9" i="5" s="1"/>
  <c r="AO6" i="5" s="1"/>
  <c r="AN28" i="5"/>
  <c r="AN29" i="5" s="1"/>
  <c r="AM81" i="5"/>
  <c r="AN80" i="5" l="1"/>
  <c r="AO12" i="5"/>
  <c r="AO13" i="5" s="1"/>
  <c r="AO45" i="5"/>
  <c r="AN81" i="5"/>
  <c r="AM82" i="5"/>
  <c r="AO23" i="5"/>
  <c r="AO27" i="5" s="1"/>
  <c r="AO28" i="5" s="1"/>
  <c r="AO29" i="5" s="1"/>
  <c r="AP23" i="5" s="1"/>
  <c r="AO7" i="5"/>
  <c r="AO9" i="5" s="1"/>
  <c r="AP6" i="5" s="1"/>
  <c r="AO37" i="5"/>
  <c r="AO38" i="5" s="1"/>
  <c r="AO40" i="5" s="1"/>
  <c r="AL83" i="5"/>
  <c r="AL84" i="5" s="1"/>
  <c r="AL85" i="5" s="1"/>
  <c r="AL89" i="5" s="1"/>
  <c r="AL90" i="5" s="1"/>
  <c r="AL93" i="5" s="1"/>
  <c r="AK91" i="5"/>
  <c r="AK72" i="5"/>
  <c r="AO79" i="5"/>
  <c r="AN82" i="5" l="1"/>
  <c r="AM83" i="5"/>
  <c r="AM84" i="5" s="1"/>
  <c r="AP32" i="5"/>
  <c r="AO41" i="5"/>
  <c r="AK75" i="5"/>
  <c r="AK73" i="5"/>
  <c r="AL72" i="5" s="1"/>
  <c r="AL75" i="5" l="1"/>
  <c r="AL73" i="5"/>
  <c r="AM72" i="5" s="1"/>
  <c r="AP25" i="5"/>
  <c r="AO47" i="5"/>
  <c r="AO49" i="5" s="1"/>
  <c r="AP102" i="5"/>
  <c r="AP104" i="5" s="1"/>
  <c r="AP51" i="5"/>
  <c r="AP57" i="5"/>
  <c r="AP56" i="5" s="1"/>
  <c r="AP60" i="5" s="1"/>
  <c r="AP62" i="5" s="1"/>
  <c r="AP63" i="5" s="1"/>
  <c r="AP66" i="5" s="1"/>
  <c r="AP24" i="5"/>
  <c r="AP97" i="5"/>
  <c r="AO15" i="5"/>
  <c r="AO17" i="5" s="1"/>
  <c r="AO19" i="5" s="1"/>
  <c r="AO98" i="5"/>
  <c r="AO100" i="5" s="1"/>
  <c r="AO103" i="5" s="1"/>
  <c r="AP96" i="5" s="1"/>
  <c r="AP92" i="5"/>
  <c r="AP91" i="5" s="1"/>
  <c r="AP34" i="5"/>
  <c r="AP7" i="5"/>
  <c r="AP46" i="5"/>
  <c r="AP33" i="5"/>
  <c r="AO80" i="5"/>
  <c r="AO81" i="5" s="1"/>
  <c r="AO82" i="5" s="1"/>
  <c r="AM85" i="5"/>
  <c r="AM89" i="5" s="1"/>
  <c r="AM90" i="5" s="1"/>
  <c r="AM93" i="5" s="1"/>
  <c r="AN83" i="5"/>
  <c r="AN84" i="5" s="1"/>
  <c r="AN85" i="5" s="1"/>
  <c r="AN89" i="5" s="1"/>
  <c r="AN90" i="5" s="1"/>
  <c r="AN93" i="5" s="1"/>
  <c r="AP36" i="5" l="1"/>
  <c r="AP37" i="5" s="1"/>
  <c r="AP38" i="5" s="1"/>
  <c r="AP40" i="5" s="1"/>
  <c r="AQ32" i="5" s="1"/>
  <c r="AP27" i="5"/>
  <c r="AO83" i="5"/>
  <c r="AO84" i="5" s="1"/>
  <c r="AO85" i="5" s="1"/>
  <c r="AO89" i="5" s="1"/>
  <c r="AO90" i="5" s="1"/>
  <c r="AO93" i="5" s="1"/>
  <c r="AP41" i="5"/>
  <c r="AP45" i="5"/>
  <c r="AO20" i="5"/>
  <c r="AP13" i="5"/>
  <c r="AM73" i="5"/>
  <c r="AN72" i="5" s="1"/>
  <c r="AM75" i="5"/>
  <c r="AP53" i="5"/>
  <c r="AP67" i="5" s="1"/>
  <c r="AP68" i="5" s="1"/>
  <c r="AP78" i="5"/>
  <c r="AP79" i="5" s="1"/>
  <c r="AQ18" i="5"/>
  <c r="AQ44" i="5"/>
  <c r="AQ12" i="5" s="1"/>
  <c r="AP52" i="5"/>
  <c r="AN73" i="5" l="1"/>
  <c r="AO72" i="5" s="1"/>
  <c r="AN75" i="5"/>
  <c r="AQ46" i="5"/>
  <c r="AQ92" i="5"/>
  <c r="AQ91" i="5" s="1"/>
  <c r="AP15" i="5"/>
  <c r="AP17" i="5" s="1"/>
  <c r="AP19" i="5" s="1"/>
  <c r="AQ25" i="5"/>
  <c r="AP98" i="5"/>
  <c r="AP100" i="5" s="1"/>
  <c r="AP103" i="5" s="1"/>
  <c r="AQ96" i="5" s="1"/>
  <c r="AQ102" i="5"/>
  <c r="AQ104" i="5" s="1"/>
  <c r="AQ57" i="5"/>
  <c r="AQ56" i="5" s="1"/>
  <c r="AQ60" i="5" s="1"/>
  <c r="AQ62" i="5" s="1"/>
  <c r="AQ63" i="5" s="1"/>
  <c r="AQ66" i="5" s="1"/>
  <c r="AP80" i="5"/>
  <c r="AP81" i="5" s="1"/>
  <c r="AQ97" i="5"/>
  <c r="AQ24" i="5"/>
  <c r="AP47" i="5"/>
  <c r="AP49" i="5" s="1"/>
  <c r="AQ45" i="5" s="1"/>
  <c r="AQ33" i="5"/>
  <c r="AQ34" i="5"/>
  <c r="AP28" i="5"/>
  <c r="AP29" i="5" s="1"/>
  <c r="AP8" i="5"/>
  <c r="AP9" i="5" s="1"/>
  <c r="AQ6" i="5" s="1"/>
  <c r="AP20" i="5" l="1"/>
  <c r="AQ8" i="5" s="1"/>
  <c r="AQ13" i="5"/>
  <c r="AQ36" i="5"/>
  <c r="AQ37" i="5" s="1"/>
  <c r="AQ38" i="5" s="1"/>
  <c r="AQ40" i="5" s="1"/>
  <c r="AP82" i="5"/>
  <c r="AP83" i="5" s="1"/>
  <c r="AP84" i="5" s="1"/>
  <c r="AP85" i="5" s="1"/>
  <c r="AP89" i="5" s="1"/>
  <c r="AP90" i="5" s="1"/>
  <c r="AP93" i="5" s="1"/>
  <c r="AQ23" i="5"/>
  <c r="AQ27" i="5" s="1"/>
  <c r="AQ28" i="5" s="1"/>
  <c r="AQ29" i="5" s="1"/>
  <c r="AR23" i="5" s="1"/>
  <c r="AQ7" i="5"/>
  <c r="AQ9" i="5" s="1"/>
  <c r="AR6" i="5" s="1"/>
  <c r="AO75" i="5"/>
  <c r="AO73" i="5"/>
  <c r="AP72" i="5" s="1"/>
  <c r="AQ41" i="5" l="1"/>
  <c r="AR32" i="5"/>
  <c r="AP75" i="5"/>
  <c r="AP73" i="5"/>
  <c r="AQ72" i="5" s="1"/>
  <c r="AQ75" i="5" l="1"/>
  <c r="AQ73" i="5"/>
  <c r="AQ98" i="5"/>
  <c r="AQ100" i="5" s="1"/>
  <c r="AQ103" i="5" s="1"/>
  <c r="AR96" i="5" s="1"/>
  <c r="AR24" i="5"/>
  <c r="AR25" i="5"/>
  <c r="AR34" i="5"/>
  <c r="AR92" i="5"/>
  <c r="AR91" i="5" s="1"/>
  <c r="AR102" i="5"/>
  <c r="AR104" i="5" s="1"/>
  <c r="AR33" i="5"/>
  <c r="AR57" i="5"/>
  <c r="AR56" i="5" s="1"/>
  <c r="AR60" i="5" s="1"/>
  <c r="AR62" i="5" s="1"/>
  <c r="AR63" i="5" s="1"/>
  <c r="AR66" i="5" s="1"/>
  <c r="AR46" i="5"/>
  <c r="AR51" i="5"/>
  <c r="AQ15" i="5"/>
  <c r="AQ17" i="5" s="1"/>
  <c r="AQ19" i="5" s="1"/>
  <c r="AQ20" i="5" s="1"/>
  <c r="AR8" i="5" s="1"/>
  <c r="AQ47" i="5"/>
  <c r="AQ49" i="5" s="1"/>
  <c r="AQ51" i="5" s="1"/>
  <c r="AR7" i="5"/>
  <c r="AR97" i="5"/>
  <c r="AR9" i="5" l="1"/>
  <c r="AS6" i="5" s="1"/>
  <c r="AR72" i="5"/>
  <c r="AS18" i="5"/>
  <c r="AR53" i="5"/>
  <c r="AR67" i="5" s="1"/>
  <c r="AR52" i="5"/>
  <c r="AR78" i="5"/>
  <c r="AR36" i="5"/>
  <c r="AR37" i="5" s="1"/>
  <c r="AR38" i="5" s="1"/>
  <c r="AR40" i="5" s="1"/>
  <c r="AR44" i="5"/>
  <c r="AQ52" i="5"/>
  <c r="AQ53" i="5"/>
  <c r="AQ67" i="5" s="1"/>
  <c r="AQ68" i="5" s="1"/>
  <c r="AQ78" i="5"/>
  <c r="AQ79" i="5" s="1"/>
  <c r="AR18" i="5"/>
  <c r="AR27" i="5"/>
  <c r="AR28" i="5" s="1"/>
  <c r="AR29" i="5" s="1"/>
  <c r="AS23" i="5" s="1"/>
  <c r="AR68" i="5" l="1"/>
  <c r="AS44" i="5"/>
  <c r="AR45" i="5"/>
  <c r="AR12" i="5"/>
  <c r="AR13" i="5" s="1"/>
  <c r="AR75" i="5"/>
  <c r="AR73" i="5"/>
  <c r="AS32" i="5"/>
  <c r="AR41" i="5"/>
  <c r="AQ80" i="5"/>
  <c r="AR79" i="5" s="1"/>
  <c r="AQ81" i="5"/>
  <c r="AS24" i="5" l="1"/>
  <c r="AS7" i="5"/>
  <c r="AS97" i="5"/>
  <c r="AS102" i="5"/>
  <c r="AS104" i="5" s="1"/>
  <c r="AS92" i="5"/>
  <c r="AS91" i="5" s="1"/>
  <c r="AR98" i="5"/>
  <c r="AR100" i="5" s="1"/>
  <c r="AR103" i="5" s="1"/>
  <c r="AS96" i="5" s="1"/>
  <c r="AR47" i="5"/>
  <c r="AR49" i="5" s="1"/>
  <c r="AS45" i="5" s="1"/>
  <c r="AS25" i="5"/>
  <c r="AR15" i="5"/>
  <c r="AS46" i="5"/>
  <c r="AS57" i="5"/>
  <c r="AS56" i="5" s="1"/>
  <c r="AS60" i="5" s="1"/>
  <c r="AS62" i="5" s="1"/>
  <c r="AS63" i="5" s="1"/>
  <c r="AS66" i="5" s="1"/>
  <c r="AS34" i="5"/>
  <c r="AS33" i="5"/>
  <c r="AS36" i="5" s="1"/>
  <c r="AS37" i="5" s="1"/>
  <c r="AS38" i="5" s="1"/>
  <c r="AS40" i="5" s="1"/>
  <c r="AT32" i="5" s="1"/>
  <c r="AS51" i="5"/>
  <c r="AR17" i="5"/>
  <c r="AR19" i="5" s="1"/>
  <c r="AR20" i="5" s="1"/>
  <c r="AS12" i="5"/>
  <c r="AR80" i="5"/>
  <c r="AR81" i="5" s="1"/>
  <c r="AQ82" i="5"/>
  <c r="AQ83" i="5" s="1"/>
  <c r="AQ84" i="5" s="1"/>
  <c r="AQ85" i="5" s="1"/>
  <c r="AQ89" i="5" s="1"/>
  <c r="AQ90" i="5" s="1"/>
  <c r="AQ93" i="5" s="1"/>
  <c r="AS13" i="5" l="1"/>
  <c r="AS72" i="5"/>
  <c r="AS75" i="5" s="1"/>
  <c r="AS41" i="5"/>
  <c r="AS53" i="5"/>
  <c r="AS67" i="5" s="1"/>
  <c r="AS68" i="5" s="1"/>
  <c r="AT18" i="5"/>
  <c r="AS52" i="5"/>
  <c r="AT44" i="5"/>
  <c r="AT12" i="5" s="1"/>
  <c r="AS78" i="5"/>
  <c r="AS79" i="5" s="1"/>
  <c r="AS8" i="5"/>
  <c r="AS9" i="5" s="1"/>
  <c r="AT6" i="5" s="1"/>
  <c r="AS27" i="5"/>
  <c r="AS28" i="5" s="1"/>
  <c r="AS29" i="5" s="1"/>
  <c r="AT23" i="5" s="1"/>
  <c r="AR82" i="5"/>
  <c r="AS80" i="5" l="1"/>
  <c r="AS73" i="5"/>
  <c r="AT46" i="5"/>
  <c r="AS98" i="5"/>
  <c r="AS100" i="5" s="1"/>
  <c r="AS103" i="5" s="1"/>
  <c r="AT96" i="5" s="1"/>
  <c r="AT34" i="5"/>
  <c r="AT7" i="5"/>
  <c r="AS47" i="5"/>
  <c r="AS49" i="5" s="1"/>
  <c r="AT24" i="5"/>
  <c r="AT57" i="5"/>
  <c r="AT56" i="5" s="1"/>
  <c r="AT60" i="5" s="1"/>
  <c r="AT62" i="5" s="1"/>
  <c r="AT63" i="5" s="1"/>
  <c r="AT66" i="5" s="1"/>
  <c r="AT33" i="5"/>
  <c r="AS15" i="5"/>
  <c r="AS17" i="5" s="1"/>
  <c r="AS19" i="5" s="1"/>
  <c r="AS20" i="5" s="1"/>
  <c r="AT97" i="5"/>
  <c r="AT92" i="5"/>
  <c r="AT91" i="5" s="1"/>
  <c r="AT25" i="5"/>
  <c r="AS81" i="5"/>
  <c r="AR83" i="5"/>
  <c r="AR84" i="5" s="1"/>
  <c r="AR85" i="5" s="1"/>
  <c r="AR89" i="5" s="1"/>
  <c r="AR90" i="5" s="1"/>
  <c r="AR93" i="5" s="1"/>
  <c r="AT27" i="5" l="1"/>
  <c r="AS82" i="5"/>
  <c r="AS83" i="5" s="1"/>
  <c r="AS84" i="5" s="1"/>
  <c r="AS85" i="5" s="1"/>
  <c r="AS89" i="5" s="1"/>
  <c r="AS90" i="5" s="1"/>
  <c r="AS93" i="5" s="1"/>
  <c r="AT45" i="5"/>
  <c r="AT8" i="5"/>
  <c r="AT9" i="5" s="1"/>
  <c r="AU6" i="5" s="1"/>
  <c r="AT28" i="5"/>
  <c r="AT29" i="5" s="1"/>
  <c r="AU23" i="5" s="1"/>
  <c r="AT36" i="5"/>
  <c r="AT37" i="5" s="1"/>
  <c r="AT38" i="5" s="1"/>
  <c r="AT40" i="5" s="1"/>
  <c r="AT13" i="5"/>
  <c r="AT72" i="5"/>
  <c r="AU32" i="5" l="1"/>
  <c r="AT41" i="5"/>
  <c r="AT75" i="5"/>
  <c r="AT73" i="5"/>
  <c r="AT47" i="5" l="1"/>
  <c r="AT49" i="5" s="1"/>
  <c r="AT51" i="5" s="1"/>
  <c r="AT15" i="5"/>
  <c r="AT17" i="5" s="1"/>
  <c r="AT19" i="5" s="1"/>
  <c r="AT20" i="5" s="1"/>
  <c r="AU7" i="5"/>
  <c r="AU33" i="5"/>
  <c r="AU57" i="5"/>
  <c r="AU56" i="5" s="1"/>
  <c r="AU60" i="5" s="1"/>
  <c r="AU62" i="5" s="1"/>
  <c r="AU63" i="5" s="1"/>
  <c r="AU66" i="5" s="1"/>
  <c r="AT98" i="5"/>
  <c r="AT100" i="5" s="1"/>
  <c r="AU34" i="5"/>
  <c r="AU92" i="5"/>
  <c r="AU25" i="5"/>
  <c r="AU97" i="5"/>
  <c r="AU24" i="5"/>
  <c r="AU8" i="5"/>
  <c r="AU9" i="5" s="1"/>
  <c r="AV6" i="5" s="1"/>
  <c r="AU46" i="5"/>
  <c r="AU27" i="5" l="1"/>
  <c r="AU28" i="5" s="1"/>
  <c r="AU29" i="5" s="1"/>
  <c r="AV23" i="5" s="1"/>
  <c r="AU36" i="5"/>
  <c r="AU37" i="5" s="1"/>
  <c r="AU38" i="5" s="1"/>
  <c r="AU40" i="5" s="1"/>
  <c r="AV32" i="5" s="1"/>
  <c r="AU41" i="5"/>
  <c r="AU91" i="5"/>
  <c r="AU72" i="5"/>
  <c r="AT103" i="5"/>
  <c r="AU96" i="5" s="1"/>
  <c r="AT102" i="5"/>
  <c r="AT104" i="5" s="1"/>
  <c r="AU51" i="5"/>
  <c r="AT53" i="5"/>
  <c r="AT67" i="5" s="1"/>
  <c r="AT68" i="5" s="1"/>
  <c r="AT52" i="5"/>
  <c r="AU44" i="5"/>
  <c r="AU18" i="5"/>
  <c r="AT78" i="5"/>
  <c r="AV18" i="5" l="1"/>
  <c r="AU52" i="5"/>
  <c r="AU53" i="5"/>
  <c r="AU67" i="5" s="1"/>
  <c r="AU68" i="5" s="1"/>
  <c r="AU78" i="5"/>
  <c r="AV44" i="5"/>
  <c r="AU12" i="5"/>
  <c r="AU13" i="5" s="1"/>
  <c r="AU45" i="5"/>
  <c r="AU49" i="5" s="1"/>
  <c r="AT79" i="5"/>
  <c r="AU47" i="5"/>
  <c r="AV57" i="5"/>
  <c r="AV56" i="5" s="1"/>
  <c r="AV60" i="5" s="1"/>
  <c r="AV62" i="5" s="1"/>
  <c r="AV63" i="5" s="1"/>
  <c r="AV66" i="5" s="1"/>
  <c r="AV97" i="5"/>
  <c r="AV46" i="5"/>
  <c r="AV25" i="5"/>
  <c r="AV24" i="5"/>
  <c r="AV34" i="5"/>
  <c r="AU15" i="5"/>
  <c r="AV51" i="5"/>
  <c r="AV7" i="5"/>
  <c r="AU98" i="5"/>
  <c r="AU100" i="5" s="1"/>
  <c r="AU102" i="5" s="1"/>
  <c r="AU104" i="5" s="1"/>
  <c r="AV33" i="5"/>
  <c r="AV92" i="5"/>
  <c r="AV91" i="5" s="1"/>
  <c r="AU75" i="5"/>
  <c r="AU73" i="5"/>
  <c r="AU17" i="5" l="1"/>
  <c r="AU19" i="5" s="1"/>
  <c r="AU20" i="5" s="1"/>
  <c r="AV8" i="5" s="1"/>
  <c r="AT80" i="5"/>
  <c r="AT81" i="5" s="1"/>
  <c r="AU79" i="5"/>
  <c r="AU80" i="5" s="1"/>
  <c r="AV72" i="5"/>
  <c r="AV73" i="5"/>
  <c r="AV75" i="5"/>
  <c r="AV27" i="5"/>
  <c r="AV28" i="5" s="1"/>
  <c r="AV29" i="5" s="1"/>
  <c r="AW23" i="5" s="1"/>
  <c r="AW44" i="5"/>
  <c r="AW18" i="5"/>
  <c r="AV78" i="5"/>
  <c r="AV53" i="5"/>
  <c r="AV67" i="5" s="1"/>
  <c r="AV68" i="5" s="1"/>
  <c r="AV52" i="5"/>
  <c r="AV9" i="5"/>
  <c r="AW6" i="5" s="1"/>
  <c r="AU103" i="5"/>
  <c r="AV96" i="5" s="1"/>
  <c r="AV12" i="5"/>
  <c r="AV13" i="5" s="1"/>
  <c r="AV45" i="5"/>
  <c r="AV36" i="5"/>
  <c r="AV37" i="5" s="1"/>
  <c r="AV38" i="5" s="1"/>
  <c r="AV40" i="5" s="1"/>
  <c r="AU81" i="5" l="1"/>
  <c r="AT82" i="5"/>
  <c r="AU82" i="5" s="1"/>
  <c r="AV79" i="5"/>
  <c r="AW12" i="5"/>
  <c r="AW32" i="5"/>
  <c r="AV41" i="5"/>
  <c r="AT83" i="5" l="1"/>
  <c r="AT84" i="5" s="1"/>
  <c r="AT85" i="5" s="1"/>
  <c r="AT89" i="5" s="1"/>
  <c r="AT90" i="5" s="1"/>
  <c r="AT93" i="5" s="1"/>
  <c r="AW102" i="5"/>
  <c r="AW104" i="5" s="1"/>
  <c r="AW34" i="5"/>
  <c r="AW24" i="5"/>
  <c r="AW27" i="5" s="1"/>
  <c r="AV47" i="5"/>
  <c r="AV49" i="5" s="1"/>
  <c r="AW45" i="5" s="1"/>
  <c r="AW7" i="5"/>
  <c r="AV98" i="5"/>
  <c r="AV100" i="5" s="1"/>
  <c r="AW57" i="5"/>
  <c r="AW56" i="5" s="1"/>
  <c r="AW60" i="5" s="1"/>
  <c r="AW62" i="5" s="1"/>
  <c r="AW63" i="5" s="1"/>
  <c r="AW66" i="5" s="1"/>
  <c r="AW92" i="5"/>
  <c r="AW25" i="5"/>
  <c r="AW33" i="5"/>
  <c r="AW46" i="5"/>
  <c r="AW97" i="5"/>
  <c r="AV15" i="5"/>
  <c r="AV17" i="5" s="1"/>
  <c r="AV19" i="5" s="1"/>
  <c r="AV20" i="5" s="1"/>
  <c r="AW36" i="5"/>
  <c r="AW37" i="5" s="1"/>
  <c r="AW38" i="5" s="1"/>
  <c r="AW40" i="5" s="1"/>
  <c r="AX32" i="5" s="1"/>
  <c r="AV80" i="5"/>
  <c r="AV81" i="5" s="1"/>
  <c r="AV82" i="5" s="1"/>
  <c r="AU83" i="5" l="1"/>
  <c r="AU84" i="5" s="1"/>
  <c r="AU85" i="5" s="1"/>
  <c r="AU89" i="5" s="1"/>
  <c r="AU90" i="5" s="1"/>
  <c r="AU93" i="5" s="1"/>
  <c r="AW13" i="5"/>
  <c r="AW91" i="5"/>
  <c r="AW72" i="5"/>
  <c r="AV102" i="5"/>
  <c r="AV104" i="5" s="1"/>
  <c r="AV103" i="5"/>
  <c r="AW96" i="5" s="1"/>
  <c r="AW41" i="5"/>
  <c r="AW8" i="5"/>
  <c r="AW9" i="5" s="1"/>
  <c r="AX6" i="5" s="1"/>
  <c r="AW28" i="5"/>
  <c r="AW29" i="5" s="1"/>
  <c r="AX23" i="5" s="1"/>
  <c r="AV83" i="5" l="1"/>
  <c r="AV84" i="5" s="1"/>
  <c r="AV85" i="5" s="1"/>
  <c r="AV89" i="5" s="1"/>
  <c r="AV90" i="5" s="1"/>
  <c r="AV93" i="5" s="1"/>
  <c r="AW73" i="5"/>
  <c r="AW75" i="5"/>
  <c r="AX25" i="5"/>
  <c r="AX34" i="5"/>
  <c r="AW47" i="5"/>
  <c r="AW49" i="5" s="1"/>
  <c r="AW51" i="5" s="1"/>
  <c r="AX24" i="5"/>
  <c r="AX27" i="5" s="1"/>
  <c r="AX46" i="5"/>
  <c r="AX97" i="5"/>
  <c r="AX102" i="5"/>
  <c r="AX104" i="5" s="1"/>
  <c r="AX92" i="5"/>
  <c r="AX91" i="5" s="1"/>
  <c r="AW15" i="5"/>
  <c r="AW17" i="5" s="1"/>
  <c r="AW19" i="5" s="1"/>
  <c r="AW20" i="5" s="1"/>
  <c r="AX8" i="5" s="1"/>
  <c r="AX51" i="5"/>
  <c r="AX33" i="5"/>
  <c r="AX36" i="5" s="1"/>
  <c r="AX37" i="5" s="1"/>
  <c r="AX38" i="5" s="1"/>
  <c r="AX40" i="5" s="1"/>
  <c r="AY32" i="5" s="1"/>
  <c r="AW98" i="5"/>
  <c r="AW100" i="5" s="1"/>
  <c r="AW103" i="5" s="1"/>
  <c r="AX96" i="5" s="1"/>
  <c r="AX7" i="5"/>
  <c r="AX9" i="5" s="1"/>
  <c r="AY6" i="5" s="1"/>
  <c r="AX57" i="5"/>
  <c r="AX56" i="5" s="1"/>
  <c r="AX60" i="5" s="1"/>
  <c r="AX62" i="5" s="1"/>
  <c r="AX63" i="5" s="1"/>
  <c r="AX66" i="5" s="1"/>
  <c r="AW52" i="5" l="1"/>
  <c r="AW78" i="5"/>
  <c r="AW53" i="5"/>
  <c r="AW67" i="5" s="1"/>
  <c r="AW68" i="5" s="1"/>
  <c r="AX44" i="5"/>
  <c r="AX18" i="5"/>
  <c r="AX52" i="5"/>
  <c r="AX78" i="5"/>
  <c r="AX53" i="5"/>
  <c r="AX67" i="5" s="1"/>
  <c r="AX68" i="5" s="1"/>
  <c r="AY18" i="5"/>
  <c r="AX28" i="5"/>
  <c r="AX29" i="5" s="1"/>
  <c r="AY23" i="5" s="1"/>
  <c r="AX72" i="5"/>
  <c r="AX41" i="5"/>
  <c r="AY44" i="5" l="1"/>
  <c r="AY12" i="5" s="1"/>
  <c r="AX12" i="5"/>
  <c r="AX13" i="5" s="1"/>
  <c r="AX45" i="5"/>
  <c r="AX73" i="5"/>
  <c r="AX75" i="5"/>
  <c r="AY72" i="5"/>
  <c r="AY75" i="5" s="1"/>
  <c r="AW79" i="5"/>
  <c r="AW80" i="5" s="1"/>
  <c r="AW81" i="5" s="1"/>
  <c r="AW82" i="5" s="1"/>
  <c r="AW83" i="5" s="1"/>
  <c r="AW84" i="5" s="1"/>
  <c r="AW85" i="5" s="1"/>
  <c r="AW89" i="5" s="1"/>
  <c r="AW90" i="5" s="1"/>
  <c r="AW93" i="5" s="1"/>
  <c r="AY46" i="5"/>
  <c r="AY7" i="5"/>
  <c r="AY92" i="5"/>
  <c r="AY91" i="5" s="1"/>
  <c r="AY34" i="5"/>
  <c r="AX47" i="5"/>
  <c r="AX15" i="5"/>
  <c r="AY57" i="5"/>
  <c r="AY56" i="5" s="1"/>
  <c r="AY60" i="5" s="1"/>
  <c r="AY51" i="5"/>
  <c r="AY25" i="5"/>
  <c r="AY73" i="5"/>
  <c r="AY97" i="5"/>
  <c r="AX98" i="5"/>
  <c r="AX100" i="5" s="1"/>
  <c r="AX103" i="5" s="1"/>
  <c r="AY96" i="5" s="1"/>
  <c r="AY62" i="5"/>
  <c r="AY63" i="5" s="1"/>
  <c r="AY66" i="5" s="1"/>
  <c r="AY24" i="5"/>
  <c r="AY33" i="5"/>
  <c r="AY102" i="5"/>
  <c r="AY104" i="5" s="1"/>
  <c r="AY27" i="5" l="1"/>
  <c r="AX79" i="5"/>
  <c r="AX80" i="5" s="1"/>
  <c r="AX81" i="5" s="1"/>
  <c r="AX82" i="5" s="1"/>
  <c r="AX83" i="5" s="1"/>
  <c r="AX84" i="5" s="1"/>
  <c r="AX85" i="5" s="1"/>
  <c r="AX89" i="5" s="1"/>
  <c r="AX90" i="5" s="1"/>
  <c r="AX93" i="5" s="1"/>
  <c r="AX17" i="5"/>
  <c r="AX19" i="5" s="1"/>
  <c r="AX20" i="5" s="1"/>
  <c r="AY13" i="5"/>
  <c r="AY78" i="5"/>
  <c r="AY79" i="5" s="1"/>
  <c r="AZ44" i="5"/>
  <c r="AZ12" i="5" s="1"/>
  <c r="AY52" i="5"/>
  <c r="AY53" i="5"/>
  <c r="AY67" i="5" s="1"/>
  <c r="AY68" i="5" s="1"/>
  <c r="AZ18" i="5"/>
  <c r="AX49" i="5"/>
  <c r="AY45" i="5" s="1"/>
  <c r="AY36" i="5"/>
  <c r="AY37" i="5" s="1"/>
  <c r="AY38" i="5" s="1"/>
  <c r="AY40" i="5" s="1"/>
  <c r="AZ32" i="5" l="1"/>
  <c r="AY41" i="5"/>
  <c r="AY28" i="5"/>
  <c r="AY29" i="5" s="1"/>
  <c r="AZ23" i="5" s="1"/>
  <c r="AY8" i="5"/>
  <c r="AY9" i="5" s="1"/>
  <c r="AZ6" i="5" s="1"/>
  <c r="AY47" i="5" l="1"/>
  <c r="AY49" i="5" s="1"/>
  <c r="AY98" i="5"/>
  <c r="AY100" i="5" s="1"/>
  <c r="AY103" i="5" s="1"/>
  <c r="AZ96" i="5" s="1"/>
  <c r="AZ73" i="5"/>
  <c r="AZ34" i="5"/>
  <c r="AZ33" i="5"/>
  <c r="AZ36" i="5" s="1"/>
  <c r="AZ37" i="5" s="1"/>
  <c r="AZ38" i="5" s="1"/>
  <c r="AZ40" i="5" s="1"/>
  <c r="AZ24" i="5"/>
  <c r="AZ27" i="5" s="1"/>
  <c r="AY80" i="5"/>
  <c r="AY81" i="5" s="1"/>
  <c r="AY15" i="5"/>
  <c r="AY17" i="5" s="1"/>
  <c r="AY19" i="5" s="1"/>
  <c r="AZ92" i="5"/>
  <c r="AZ25" i="5"/>
  <c r="AZ97" i="5"/>
  <c r="AZ7" i="5"/>
  <c r="AZ62" i="5"/>
  <c r="AZ63" i="5" s="1"/>
  <c r="AZ66" i="5" s="1"/>
  <c r="AZ57" i="5"/>
  <c r="AZ56" i="5" s="1"/>
  <c r="AZ60" i="5" s="1"/>
  <c r="AZ46" i="5"/>
  <c r="AZ45" i="5" s="1"/>
  <c r="AZ102" i="5"/>
  <c r="AZ104" i="5" s="1"/>
  <c r="AZ51" i="5"/>
  <c r="BA32" i="5" l="1"/>
  <c r="AZ41" i="5"/>
  <c r="AY82" i="5"/>
  <c r="AY83" i="5" s="1"/>
  <c r="AY84" i="5" s="1"/>
  <c r="AY85" i="5" s="1"/>
  <c r="AY89" i="5" s="1"/>
  <c r="AY90" i="5" s="1"/>
  <c r="AY93" i="5" s="1"/>
  <c r="AZ91" i="5"/>
  <c r="AZ72" i="5"/>
  <c r="AZ53" i="5"/>
  <c r="AZ67" i="5" s="1"/>
  <c r="AZ68" i="5" s="1"/>
  <c r="BA18" i="5"/>
  <c r="BA44" i="5"/>
  <c r="BA12" i="5" s="1"/>
  <c r="AZ78" i="5"/>
  <c r="AZ79" i="5" s="1"/>
  <c r="AZ52" i="5"/>
  <c r="AZ13" i="5"/>
  <c r="AY20" i="5"/>
  <c r="AZ75" i="5" l="1"/>
  <c r="BA24" i="5"/>
  <c r="BA92" i="5"/>
  <c r="BA91" i="5" s="1"/>
  <c r="BA62" i="5"/>
  <c r="BA63" i="5" s="1"/>
  <c r="BA66" i="5" s="1"/>
  <c r="BA33" i="5"/>
  <c r="BA36" i="5" s="1"/>
  <c r="BA37" i="5" s="1"/>
  <c r="BA38" i="5" s="1"/>
  <c r="BA40" i="5" s="1"/>
  <c r="BB32" i="5" s="1"/>
  <c r="AZ47" i="5"/>
  <c r="AZ49" i="5" s="1"/>
  <c r="BA45" i="5" s="1"/>
  <c r="BA51" i="5"/>
  <c r="AZ15" i="5"/>
  <c r="AZ17" i="5" s="1"/>
  <c r="AZ19" i="5" s="1"/>
  <c r="AZ20" i="5" s="1"/>
  <c r="BA97" i="5"/>
  <c r="BA73" i="5"/>
  <c r="BA25" i="5"/>
  <c r="BA34" i="5"/>
  <c r="BA102" i="5"/>
  <c r="BA104" i="5" s="1"/>
  <c r="BA57" i="5"/>
  <c r="BA56" i="5" s="1"/>
  <c r="BA60" i="5" s="1"/>
  <c r="AZ80" i="5"/>
  <c r="AZ81" i="5" s="1"/>
  <c r="AZ82" i="5" s="1"/>
  <c r="AZ83" i="5" s="1"/>
  <c r="AZ84" i="5" s="1"/>
  <c r="AZ85" i="5" s="1"/>
  <c r="AZ89" i="5" s="1"/>
  <c r="AZ90" i="5" s="1"/>
  <c r="AZ93" i="5" s="1"/>
  <c r="AZ98" i="5"/>
  <c r="AZ100" i="5" s="1"/>
  <c r="AZ103" i="5" s="1"/>
  <c r="BA96" i="5" s="1"/>
  <c r="BA46" i="5"/>
  <c r="AZ8" i="5"/>
  <c r="AZ9" i="5" s="1"/>
  <c r="BA6" i="5" s="1"/>
  <c r="AZ28" i="5"/>
  <c r="AZ29" i="5" s="1"/>
  <c r="BA23" i="5" s="1"/>
  <c r="BA27" i="5" l="1"/>
  <c r="BA41" i="5"/>
  <c r="BA8" i="5"/>
  <c r="BA28" i="5"/>
  <c r="BA29" i="5" s="1"/>
  <c r="BB23" i="5" s="1"/>
  <c r="BA13" i="5"/>
  <c r="BA7" i="5"/>
  <c r="BA9" i="5" s="1"/>
  <c r="BB6" i="5" s="1"/>
  <c r="BA72" i="5"/>
  <c r="BA78" i="5"/>
  <c r="BA79" i="5" s="1"/>
  <c r="BB44" i="5"/>
  <c r="BB12" i="5" s="1"/>
  <c r="BA52" i="5"/>
  <c r="BB18" i="5"/>
  <c r="BA53" i="5"/>
  <c r="BA67" i="5" s="1"/>
  <c r="BA68" i="5" s="1"/>
  <c r="BB92" i="5" l="1"/>
  <c r="BB91" i="5" s="1"/>
  <c r="BB46" i="5"/>
  <c r="BA98" i="5"/>
  <c r="BA100" i="5" s="1"/>
  <c r="BA103" i="5" s="1"/>
  <c r="BB96" i="5" s="1"/>
  <c r="BB97" i="5"/>
  <c r="BB51" i="5"/>
  <c r="BA80" i="5"/>
  <c r="BA81" i="5" s="1"/>
  <c r="BA82" i="5" s="1"/>
  <c r="BA83" i="5" s="1"/>
  <c r="BA84" i="5" s="1"/>
  <c r="BA85" i="5" s="1"/>
  <c r="BA89" i="5" s="1"/>
  <c r="BA90" i="5" s="1"/>
  <c r="BA93" i="5" s="1"/>
  <c r="BB25" i="5"/>
  <c r="BB27" i="5" s="1"/>
  <c r="BB102" i="5"/>
  <c r="BB104" i="5" s="1"/>
  <c r="BB62" i="5"/>
  <c r="BB63" i="5" s="1"/>
  <c r="BB66" i="5" s="1"/>
  <c r="BB33" i="5"/>
  <c r="BA47" i="5"/>
  <c r="BA49" i="5" s="1"/>
  <c r="BB45" i="5" s="1"/>
  <c r="BB73" i="5"/>
  <c r="BB24" i="5"/>
  <c r="BB7" i="5"/>
  <c r="BB34" i="5"/>
  <c r="BA15" i="5"/>
  <c r="BA17" i="5" s="1"/>
  <c r="BA19" i="5" s="1"/>
  <c r="BA20" i="5" s="1"/>
  <c r="BB8" i="5" s="1"/>
  <c r="BB57" i="5"/>
  <c r="BB56" i="5" s="1"/>
  <c r="BB60" i="5" s="1"/>
  <c r="BA75" i="5"/>
  <c r="BB72" i="5"/>
  <c r="BB75" i="5" s="1"/>
  <c r="BB28" i="5" l="1"/>
  <c r="BB29" i="5" s="1"/>
  <c r="BC23" i="5" s="1"/>
  <c r="BB13" i="5"/>
  <c r="BB52" i="5"/>
  <c r="BB53" i="5"/>
  <c r="BB67" i="5" s="1"/>
  <c r="BB68" i="5" s="1"/>
  <c r="BB78" i="5"/>
  <c r="BB79" i="5" s="1"/>
  <c r="BC44" i="5"/>
  <c r="BC18" i="5"/>
  <c r="BB36" i="5"/>
  <c r="BB37" i="5" s="1"/>
  <c r="BB38" i="5" s="1"/>
  <c r="BB40" i="5" s="1"/>
  <c r="BB9" i="5"/>
  <c r="BC6" i="5" s="1"/>
  <c r="BC32" i="5" l="1"/>
  <c r="BB41" i="5"/>
  <c r="BC12" i="5"/>
  <c r="BC51" i="5" l="1"/>
  <c r="BB98" i="5"/>
  <c r="BB100" i="5" s="1"/>
  <c r="BB103" i="5" s="1"/>
  <c r="BC96" i="5" s="1"/>
  <c r="BB80" i="5"/>
  <c r="BB81" i="5" s="1"/>
  <c r="BB82" i="5" s="1"/>
  <c r="BB83" i="5" s="1"/>
  <c r="BB84" i="5" s="1"/>
  <c r="BB85" i="5" s="1"/>
  <c r="BB89" i="5" s="1"/>
  <c r="BB90" i="5" s="1"/>
  <c r="BB93" i="5" s="1"/>
  <c r="BC7" i="5"/>
  <c r="BC24" i="5"/>
  <c r="BC25" i="5"/>
  <c r="BC102" i="5"/>
  <c r="BC104" i="5" s="1"/>
  <c r="BC73" i="5"/>
  <c r="BC46" i="5"/>
  <c r="BC33" i="5"/>
  <c r="BC97" i="5"/>
  <c r="BC34" i="5"/>
  <c r="BB15" i="5"/>
  <c r="BB17" i="5" s="1"/>
  <c r="BB19" i="5" s="1"/>
  <c r="BB20" i="5" s="1"/>
  <c r="BB47" i="5"/>
  <c r="BB49" i="5" s="1"/>
  <c r="BC45" i="5" s="1"/>
  <c r="BC92" i="5"/>
  <c r="BC57" i="5"/>
  <c r="BC56" i="5" s="1"/>
  <c r="BC60" i="5" s="1"/>
  <c r="BC62" i="5"/>
  <c r="BC63" i="5" s="1"/>
  <c r="BC66" i="5" s="1"/>
  <c r="BC36" i="5" l="1"/>
  <c r="BC37" i="5" s="1"/>
  <c r="BC38" i="5" s="1"/>
  <c r="BC40" i="5" s="1"/>
  <c r="BD32" i="5" s="1"/>
  <c r="BC72" i="5"/>
  <c r="BC91" i="5"/>
  <c r="BC27" i="5"/>
  <c r="BC8" i="5"/>
  <c r="BC9" i="5" s="1"/>
  <c r="BD6" i="5" s="1"/>
  <c r="BC28" i="5"/>
  <c r="BC29" i="5" s="1"/>
  <c r="BD23" i="5" s="1"/>
  <c r="BC52" i="5"/>
  <c r="BD18" i="5"/>
  <c r="BC53" i="5"/>
  <c r="BC67" i="5" s="1"/>
  <c r="BC68" i="5" s="1"/>
  <c r="BD44" i="5"/>
  <c r="BC78" i="5"/>
  <c r="BC79" i="5" s="1"/>
  <c r="BC13" i="5"/>
  <c r="BC41" i="5" l="1"/>
  <c r="BD12" i="5"/>
  <c r="BC75" i="5"/>
  <c r="BD24" i="5"/>
  <c r="BC80" i="5"/>
  <c r="BC81" i="5" s="1"/>
  <c r="BC82" i="5" s="1"/>
  <c r="BC83" i="5" s="1"/>
  <c r="BC84" i="5" s="1"/>
  <c r="BC85" i="5" s="1"/>
  <c r="BC89" i="5" s="1"/>
  <c r="BC90" i="5" s="1"/>
  <c r="BC93" i="5" s="1"/>
  <c r="BD97" i="5"/>
  <c r="BD51" i="5"/>
  <c r="BD92" i="5"/>
  <c r="BD91" i="5" s="1"/>
  <c r="BD102" i="5"/>
  <c r="BD104" i="5" s="1"/>
  <c r="BD7" i="5"/>
  <c r="BC47" i="5"/>
  <c r="BC49" i="5" s="1"/>
  <c r="BC98" i="5"/>
  <c r="BC100" i="5" s="1"/>
  <c r="BC103" i="5" s="1"/>
  <c r="BD96" i="5" s="1"/>
  <c r="BD46" i="5"/>
  <c r="BC15" i="5"/>
  <c r="BC17" i="5" s="1"/>
  <c r="BC19" i="5" s="1"/>
  <c r="BC20" i="5" s="1"/>
  <c r="BD45" i="5" l="1"/>
  <c r="BD33" i="5"/>
  <c r="BD72" i="5"/>
  <c r="BD75" i="5" s="1"/>
  <c r="BD25" i="5"/>
  <c r="BD34" i="5"/>
  <c r="BD57" i="5"/>
  <c r="BD56" i="5" s="1"/>
  <c r="BD60" i="5" s="1"/>
  <c r="BD62" i="5" s="1"/>
  <c r="BD63" i="5" s="1"/>
  <c r="BD66" i="5" s="1"/>
  <c r="BD53" i="5"/>
  <c r="BD67" i="5" s="1"/>
  <c r="BE44" i="5"/>
  <c r="BD52" i="5"/>
  <c r="BD78" i="5"/>
  <c r="BD79" i="5" s="1"/>
  <c r="BE18" i="5"/>
  <c r="BD27" i="5"/>
  <c r="BD8" i="5"/>
  <c r="BD9" i="5" s="1"/>
  <c r="BE6" i="5" s="1"/>
  <c r="BD28" i="5"/>
  <c r="BD29" i="5" s="1"/>
  <c r="BE23" i="5" s="1"/>
  <c r="BD13" i="5"/>
  <c r="BD73" i="5" l="1"/>
  <c r="BD68" i="5"/>
  <c r="BD36" i="5"/>
  <c r="BD37" i="5" s="1"/>
  <c r="BD38" i="5" s="1"/>
  <c r="BD40" i="5" s="1"/>
  <c r="BE12" i="5"/>
  <c r="BE32" i="5" l="1"/>
  <c r="BD41" i="5"/>
  <c r="BD15" i="5" l="1"/>
  <c r="BD17" i="5" s="1"/>
  <c r="BD19" i="5" s="1"/>
  <c r="BE34" i="5"/>
  <c r="BE24" i="5"/>
  <c r="BE51" i="5"/>
  <c r="BE25" i="5"/>
  <c r="BD98" i="5"/>
  <c r="BD100" i="5" s="1"/>
  <c r="BD103" i="5" s="1"/>
  <c r="BE96" i="5" s="1"/>
  <c r="BE57" i="5"/>
  <c r="BE56" i="5" s="1"/>
  <c r="BE60" i="5" s="1"/>
  <c r="BE62" i="5" s="1"/>
  <c r="BE63" i="5" s="1"/>
  <c r="BE66" i="5" s="1"/>
  <c r="BD47" i="5"/>
  <c r="BD49" i="5" s="1"/>
  <c r="BE45" i="5" s="1"/>
  <c r="BE33" i="5"/>
  <c r="BE97" i="5"/>
  <c r="BD80" i="5"/>
  <c r="BD81" i="5" s="1"/>
  <c r="BD82" i="5" s="1"/>
  <c r="BD83" i="5" s="1"/>
  <c r="BD84" i="5" s="1"/>
  <c r="BD85" i="5" s="1"/>
  <c r="BD89" i="5" s="1"/>
  <c r="BD90" i="5" s="1"/>
  <c r="BD93" i="5" s="1"/>
  <c r="BE92" i="5"/>
  <c r="BE46" i="5"/>
  <c r="BE7" i="5"/>
  <c r="BE72" i="5" l="1"/>
  <c r="BE91" i="5"/>
  <c r="BE53" i="5"/>
  <c r="BE67" i="5" s="1"/>
  <c r="BE68" i="5" s="1"/>
  <c r="BE52" i="5"/>
  <c r="BF18" i="5"/>
  <c r="BF44" i="5"/>
  <c r="BF12" i="5" s="1"/>
  <c r="BE78" i="5"/>
  <c r="BE79" i="5" s="1"/>
  <c r="BE27" i="5"/>
  <c r="BE36" i="5"/>
  <c r="BE37" i="5" s="1"/>
  <c r="BE38" i="5" s="1"/>
  <c r="BE40" i="5" s="1"/>
  <c r="BD20" i="5"/>
  <c r="BE13" i="5"/>
  <c r="BE8" i="5" l="1"/>
  <c r="BE9" i="5" s="1"/>
  <c r="BF6" i="5" s="1"/>
  <c r="BE28" i="5"/>
  <c r="BE29" i="5" s="1"/>
  <c r="BF23" i="5" s="1"/>
  <c r="BF32" i="5"/>
  <c r="BE41" i="5"/>
  <c r="BE75" i="5"/>
  <c r="BE73" i="5"/>
  <c r="BE80" i="5" l="1"/>
  <c r="BE81" i="5" s="1"/>
  <c r="BE82" i="5" s="1"/>
  <c r="BE83" i="5" s="1"/>
  <c r="BE84" i="5" s="1"/>
  <c r="BE85" i="5" s="1"/>
  <c r="BE89" i="5" s="1"/>
  <c r="BE90" i="5" s="1"/>
  <c r="BE93" i="5" s="1"/>
  <c r="BF25" i="5"/>
  <c r="BF33" i="5"/>
  <c r="BF7" i="5"/>
  <c r="BF34" i="5"/>
  <c r="BF46" i="5"/>
  <c r="BF24" i="5"/>
  <c r="BF57" i="5"/>
  <c r="BF56" i="5" s="1"/>
  <c r="BF60" i="5" s="1"/>
  <c r="BF62" i="5" s="1"/>
  <c r="BF63" i="5" s="1"/>
  <c r="BF66" i="5" s="1"/>
  <c r="BE15" i="5"/>
  <c r="BE17" i="5" s="1"/>
  <c r="BE19" i="5" s="1"/>
  <c r="BE98" i="5"/>
  <c r="BE100" i="5" s="1"/>
  <c r="BF97" i="5"/>
  <c r="BE47" i="5"/>
  <c r="BE49" i="5" s="1"/>
  <c r="BF27" i="5" l="1"/>
  <c r="BF45" i="5"/>
  <c r="BF36" i="5"/>
  <c r="BF37" i="5" s="1"/>
  <c r="BF38" i="5" s="1"/>
  <c r="BF40" i="5" s="1"/>
  <c r="BE102" i="5"/>
  <c r="BE104" i="5" s="1"/>
  <c r="BE20" i="5"/>
  <c r="BF13" i="5"/>
  <c r="BE103" i="5" l="1"/>
  <c r="BF96" i="5" s="1"/>
  <c r="BG32" i="5"/>
  <c r="BF41" i="5"/>
  <c r="BF28" i="5"/>
  <c r="BF29" i="5" s="1"/>
  <c r="BG23" i="5" s="1"/>
  <c r="BF8" i="5"/>
  <c r="BF9" i="5" s="1"/>
  <c r="BG6" i="5" s="1"/>
  <c r="BG25" i="5" l="1"/>
  <c r="BG97" i="5"/>
  <c r="BG24" i="5"/>
  <c r="BG27" i="5" s="1"/>
  <c r="BG7" i="5"/>
  <c r="BG57" i="5"/>
  <c r="BG56" i="5" s="1"/>
  <c r="BG60" i="5" s="1"/>
  <c r="BG62" i="5" s="1"/>
  <c r="BG63" i="5" s="1"/>
  <c r="BG66" i="5" s="1"/>
  <c r="BF47" i="5"/>
  <c r="BF49" i="5" s="1"/>
  <c r="BF51" i="5" s="1"/>
  <c r="BG33" i="5"/>
  <c r="BF98" i="5"/>
  <c r="BF100" i="5" s="1"/>
  <c r="BG34" i="5"/>
  <c r="BF15" i="5"/>
  <c r="BF17" i="5" s="1"/>
  <c r="BF19" i="5" s="1"/>
  <c r="BF20" i="5" s="1"/>
  <c r="BG8" i="5" s="1"/>
  <c r="BG9" i="5" l="1"/>
  <c r="BH6" i="5" s="1"/>
  <c r="BG28" i="5"/>
  <c r="BG29" i="5" s="1"/>
  <c r="BH23" i="5" s="1"/>
  <c r="BG46" i="5"/>
  <c r="BF53" i="5"/>
  <c r="BF67" i="5" s="1"/>
  <c r="BF68" i="5" s="1"/>
  <c r="BF52" i="5"/>
  <c r="BG18" i="5"/>
  <c r="BF78" i="5"/>
  <c r="BG44" i="5"/>
  <c r="BG51" i="5"/>
  <c r="BF102" i="5"/>
  <c r="BF104" i="5" s="1"/>
  <c r="BG36" i="5"/>
  <c r="BG37" i="5" s="1"/>
  <c r="BG38" i="5" s="1"/>
  <c r="BG40" i="5" s="1"/>
  <c r="BH18" i="5" l="1"/>
  <c r="BG78" i="5"/>
  <c r="BH44" i="5"/>
  <c r="BH12" i="5" s="1"/>
  <c r="BG52" i="5"/>
  <c r="BG53" i="5"/>
  <c r="BG67" i="5" s="1"/>
  <c r="BG68" i="5" s="1"/>
  <c r="BG45" i="5"/>
  <c r="BG12" i="5"/>
  <c r="BG13" i="5" s="1"/>
  <c r="BF79" i="5"/>
  <c r="BF82" i="5"/>
  <c r="BF80" i="5"/>
  <c r="BH32" i="5"/>
  <c r="BG41" i="5"/>
  <c r="BF103" i="5"/>
  <c r="BG96" i="5" s="1"/>
  <c r="BH97" i="5" l="1"/>
  <c r="BH7" i="5"/>
  <c r="BG15" i="5"/>
  <c r="BG17" i="5" s="1"/>
  <c r="BG19" i="5" s="1"/>
  <c r="BH57" i="5"/>
  <c r="BH56" i="5" s="1"/>
  <c r="BH60" i="5" s="1"/>
  <c r="BH62" i="5" s="1"/>
  <c r="BH63" i="5" s="1"/>
  <c r="BH66" i="5" s="1"/>
  <c r="BH25" i="5"/>
  <c r="BH34" i="5"/>
  <c r="BH46" i="5"/>
  <c r="BG98" i="5"/>
  <c r="BG100" i="5" s="1"/>
  <c r="BH51" i="5"/>
  <c r="BH24" i="5"/>
  <c r="BG47" i="5"/>
  <c r="BG49" i="5" s="1"/>
  <c r="BH33" i="5"/>
  <c r="BG79" i="5"/>
  <c r="BG80" i="5" s="1"/>
  <c r="BG81" i="5" s="1"/>
  <c r="BG82" i="5" s="1"/>
  <c r="BF81" i="5"/>
  <c r="BF83" i="5" s="1"/>
  <c r="BF84" i="5" s="1"/>
  <c r="BF85" i="5" s="1"/>
  <c r="BF89" i="5" s="1"/>
  <c r="BF90" i="5" s="1"/>
  <c r="BH45" i="5" l="1"/>
  <c r="BG20" i="5"/>
  <c r="BH13" i="5"/>
  <c r="BH27" i="5"/>
  <c r="BH36" i="5"/>
  <c r="BH37" i="5" s="1"/>
  <c r="BH38" i="5" s="1"/>
  <c r="BH40" i="5" s="1"/>
  <c r="BF92" i="5"/>
  <c r="BF93" i="5"/>
  <c r="BI44" i="5"/>
  <c r="BI12" i="5" s="1"/>
  <c r="BI18" i="5"/>
  <c r="BH52" i="5"/>
  <c r="BH53" i="5"/>
  <c r="BH67" i="5" s="1"/>
  <c r="BH68" i="5" s="1"/>
  <c r="BH78" i="5"/>
  <c r="BH79" i="5" s="1"/>
  <c r="BG102" i="5"/>
  <c r="BG104" i="5" s="1"/>
  <c r="BG103" i="5"/>
  <c r="BH96" i="5" s="1"/>
  <c r="BI32" i="5" l="1"/>
  <c r="BH41" i="5"/>
  <c r="BH28" i="5"/>
  <c r="BH29" i="5" s="1"/>
  <c r="BI23" i="5" s="1"/>
  <c r="BH8" i="5"/>
  <c r="BH9" i="5" s="1"/>
  <c r="BI6" i="5" s="1"/>
  <c r="BG83" i="5"/>
  <c r="BF72" i="5"/>
  <c r="BF91" i="5"/>
  <c r="BG84" i="5"/>
  <c r="BG85" i="5" s="1"/>
  <c r="BG89" i="5" s="1"/>
  <c r="BG90" i="5" s="1"/>
  <c r="BH98" i="5" l="1"/>
  <c r="BH100" i="5" s="1"/>
  <c r="BI57" i="5"/>
  <c r="BI56" i="5" s="1"/>
  <c r="BI60" i="5" s="1"/>
  <c r="BI62" i="5" s="1"/>
  <c r="BI63" i="5" s="1"/>
  <c r="BI66" i="5" s="1"/>
  <c r="BI34" i="5"/>
  <c r="BI24" i="5"/>
  <c r="BH47" i="5"/>
  <c r="BH49" i="5" s="1"/>
  <c r="BI25" i="5"/>
  <c r="BI46" i="5"/>
  <c r="BI7" i="5"/>
  <c r="BI97" i="5"/>
  <c r="BI102" i="5"/>
  <c r="BI104" i="5" s="1"/>
  <c r="BI33" i="5"/>
  <c r="BH15" i="5"/>
  <c r="BH17" i="5" s="1"/>
  <c r="BH19" i="5" s="1"/>
  <c r="BF73" i="5"/>
  <c r="BF75" i="5"/>
  <c r="BG93" i="5"/>
  <c r="BG92" i="5"/>
  <c r="BH80" i="5"/>
  <c r="BH81" i="5" s="1"/>
  <c r="BH82" i="5" s="1"/>
  <c r="BG72" i="5" l="1"/>
  <c r="BG73" i="5"/>
  <c r="BG75" i="5"/>
  <c r="BI45" i="5"/>
  <c r="BH83" i="5"/>
  <c r="BH84" i="5" s="1"/>
  <c r="BH85" i="5" s="1"/>
  <c r="BH89" i="5" s="1"/>
  <c r="BH90" i="5" s="1"/>
  <c r="BG91" i="5"/>
  <c r="BI36" i="5"/>
  <c r="BI37" i="5" s="1"/>
  <c r="BI38" i="5" s="1"/>
  <c r="BI40" i="5" s="1"/>
  <c r="BH20" i="5"/>
  <c r="BI13" i="5"/>
  <c r="BI27" i="5"/>
  <c r="BH102" i="5"/>
  <c r="BH104" i="5" s="1"/>
  <c r="BH103" i="5"/>
  <c r="BI96" i="5" s="1"/>
  <c r="BJ32" i="5" l="1"/>
  <c r="BI41" i="5"/>
  <c r="BI28" i="5"/>
  <c r="BI29" i="5" s="1"/>
  <c r="BJ23" i="5" s="1"/>
  <c r="BI8" i="5"/>
  <c r="BI9" i="5" s="1"/>
  <c r="BJ6" i="5" s="1"/>
  <c r="BH93" i="5"/>
  <c r="BH92" i="5"/>
  <c r="BJ25" i="5" l="1"/>
  <c r="BJ33" i="5"/>
  <c r="BJ51" i="5"/>
  <c r="BJ102" i="5"/>
  <c r="BJ104" i="5" s="1"/>
  <c r="BJ57" i="5"/>
  <c r="BJ56" i="5" s="1"/>
  <c r="BJ60" i="5" s="1"/>
  <c r="BJ62" i="5" s="1"/>
  <c r="BJ63" i="5" s="1"/>
  <c r="BJ66" i="5" s="1"/>
  <c r="BI98" i="5"/>
  <c r="BI100" i="5" s="1"/>
  <c r="BI103" i="5" s="1"/>
  <c r="BJ96" i="5" s="1"/>
  <c r="BI15" i="5"/>
  <c r="BI17" i="5" s="1"/>
  <c r="BI19" i="5" s="1"/>
  <c r="BI20" i="5" s="1"/>
  <c r="BJ8" i="5" s="1"/>
  <c r="BJ97" i="5"/>
  <c r="BJ46" i="5"/>
  <c r="BJ92" i="5"/>
  <c r="BJ24" i="5"/>
  <c r="BJ27" i="5" s="1"/>
  <c r="BJ34" i="5"/>
  <c r="BI47" i="5"/>
  <c r="BI49" i="5" s="1"/>
  <c r="BI51" i="5" s="1"/>
  <c r="BJ7" i="5"/>
  <c r="BH91" i="5"/>
  <c r="BH72" i="5"/>
  <c r="BI52" i="5" l="1"/>
  <c r="BI78" i="5"/>
  <c r="BI53" i="5"/>
  <c r="BI67" i="5" s="1"/>
  <c r="BI68" i="5" s="1"/>
  <c r="BJ18" i="5"/>
  <c r="BJ44" i="5"/>
  <c r="BJ9" i="5"/>
  <c r="BK6" i="5" s="1"/>
  <c r="BH73" i="5"/>
  <c r="BH75" i="5"/>
  <c r="BJ28" i="5"/>
  <c r="BJ29" i="5" s="1"/>
  <c r="BK23" i="5" s="1"/>
  <c r="BJ78" i="5"/>
  <c r="BJ53" i="5"/>
  <c r="BJ67" i="5" s="1"/>
  <c r="BJ68" i="5" s="1"/>
  <c r="BJ52" i="5"/>
  <c r="BK18" i="5"/>
  <c r="BJ91" i="5"/>
  <c r="BJ36" i="5"/>
  <c r="BJ37" i="5" s="1"/>
  <c r="BJ38" i="5" s="1"/>
  <c r="BJ40" i="5" s="1"/>
  <c r="BJ12" i="5" l="1"/>
  <c r="BJ13" i="5" s="1"/>
  <c r="BJ45" i="5"/>
  <c r="BK44" i="5"/>
  <c r="BK12" i="5" s="1"/>
  <c r="BI79" i="5"/>
  <c r="BI80" i="5"/>
  <c r="BI81" i="5" s="1"/>
  <c r="BI82" i="5" s="1"/>
  <c r="BI83" i="5" s="1"/>
  <c r="BI84" i="5" s="1"/>
  <c r="BI85" i="5" s="1"/>
  <c r="BI89" i="5" s="1"/>
  <c r="BI90" i="5" s="1"/>
  <c r="BK32" i="5"/>
  <c r="BJ41" i="5"/>
  <c r="BJ79" i="5" l="1"/>
  <c r="BI93" i="5"/>
  <c r="BI92" i="5"/>
  <c r="BK46" i="5"/>
  <c r="BK24" i="5"/>
  <c r="BK27" i="5" s="1"/>
  <c r="BK51" i="5"/>
  <c r="BJ15" i="5"/>
  <c r="BJ17" i="5" s="1"/>
  <c r="BJ19" i="5" s="1"/>
  <c r="BJ20" i="5" s="1"/>
  <c r="BK8" i="5" s="1"/>
  <c r="BJ98" i="5"/>
  <c r="BJ100" i="5" s="1"/>
  <c r="BJ103" i="5" s="1"/>
  <c r="BK96" i="5" s="1"/>
  <c r="BK25" i="5"/>
  <c r="BK92" i="5"/>
  <c r="BK91" i="5" s="1"/>
  <c r="BK34" i="5"/>
  <c r="BK102" i="5"/>
  <c r="BK104" i="5" s="1"/>
  <c r="BK57" i="5"/>
  <c r="BK56" i="5" s="1"/>
  <c r="BK60" i="5" s="1"/>
  <c r="BK62" i="5" s="1"/>
  <c r="BK63" i="5" s="1"/>
  <c r="BK66" i="5" s="1"/>
  <c r="BK7" i="5"/>
  <c r="BK97" i="5"/>
  <c r="BK33" i="5"/>
  <c r="BJ47" i="5"/>
  <c r="BJ49" i="5" s="1"/>
  <c r="BJ80" i="5"/>
  <c r="BJ81" i="5" s="1"/>
  <c r="BJ82" i="5" s="1"/>
  <c r="BK36" i="5" l="1"/>
  <c r="BK37" i="5" s="1"/>
  <c r="BK38" i="5" s="1"/>
  <c r="BK40" i="5" s="1"/>
  <c r="BL32" i="5" s="1"/>
  <c r="BL18" i="5"/>
  <c r="BL44" i="5"/>
  <c r="BK78" i="5"/>
  <c r="BK79" i="5" s="1"/>
  <c r="BK52" i="5"/>
  <c r="BK53" i="5"/>
  <c r="BK67" i="5" s="1"/>
  <c r="BK68" i="5"/>
  <c r="BK13" i="5"/>
  <c r="BK9" i="5"/>
  <c r="BL6" i="5" s="1"/>
  <c r="BI72" i="5"/>
  <c r="BI91" i="5"/>
  <c r="BJ83" i="5"/>
  <c r="BJ84" i="5" s="1"/>
  <c r="BJ85" i="5" s="1"/>
  <c r="BJ89" i="5" s="1"/>
  <c r="BJ90" i="5" s="1"/>
  <c r="BJ93" i="5" s="1"/>
  <c r="BK28" i="5"/>
  <c r="BK29" i="5" s="1"/>
  <c r="BL23" i="5" s="1"/>
  <c r="BK45" i="5"/>
  <c r="BK80" i="5" l="1"/>
  <c r="BK81" i="5" s="1"/>
  <c r="BK82" i="5" s="1"/>
  <c r="BK83" i="5" s="1"/>
  <c r="BK84" i="5" s="1"/>
  <c r="BK85" i="5" s="1"/>
  <c r="BK89" i="5" s="1"/>
  <c r="BK90" i="5" s="1"/>
  <c r="BK93" i="5" s="1"/>
  <c r="BK41" i="5"/>
  <c r="BI75" i="5"/>
  <c r="BI73" i="5"/>
  <c r="BJ72" i="5" s="1"/>
  <c r="BL12" i="5"/>
  <c r="BK15" i="5"/>
  <c r="BK17" i="5" s="1"/>
  <c r="BK19" i="5" s="1"/>
  <c r="BK20" i="5" s="1"/>
  <c r="BL8" i="5" s="1"/>
  <c r="BL97" i="5"/>
  <c r="BL57" i="5"/>
  <c r="BL56" i="5" s="1"/>
  <c r="BL60" i="5" s="1"/>
  <c r="BL62" i="5" s="1"/>
  <c r="BL63" i="5" s="1"/>
  <c r="BL66" i="5" s="1"/>
  <c r="BL33" i="5"/>
  <c r="BL25" i="5"/>
  <c r="BK47" i="5"/>
  <c r="BK49" i="5" s="1"/>
  <c r="BL24" i="5"/>
  <c r="BL92" i="5"/>
  <c r="BL91" i="5" s="1"/>
  <c r="BL34" i="5"/>
  <c r="BL36" i="5" s="1"/>
  <c r="BL37" i="5" s="1"/>
  <c r="BL38" i="5" s="1"/>
  <c r="BL40" i="5" s="1"/>
  <c r="BM32" i="5" s="1"/>
  <c r="BL46" i="5"/>
  <c r="BL45" i="5" s="1"/>
  <c r="BL7" i="5"/>
  <c r="BK98" i="5"/>
  <c r="BK100" i="5" s="1"/>
  <c r="BK103" i="5" s="1"/>
  <c r="BL96" i="5" s="1"/>
  <c r="BL102" i="5"/>
  <c r="BL104" i="5" s="1"/>
  <c r="BL27" i="5" l="1"/>
  <c r="BL28" i="5" s="1"/>
  <c r="BL29" i="5" s="1"/>
  <c r="BM23" i="5" s="1"/>
  <c r="BL13" i="5"/>
  <c r="BL41" i="5"/>
  <c r="BJ75" i="5"/>
  <c r="BJ73" i="5"/>
  <c r="BK72" i="5" s="1"/>
  <c r="BL9" i="5"/>
  <c r="BM6" i="5" s="1"/>
  <c r="BK75" i="5" l="1"/>
  <c r="BK73" i="5"/>
  <c r="BL72" i="5" s="1"/>
  <c r="BM25" i="5"/>
  <c r="BM97" i="5"/>
  <c r="BM57" i="5"/>
  <c r="BM56" i="5" s="1"/>
  <c r="BM60" i="5" s="1"/>
  <c r="BM62" i="5" s="1"/>
  <c r="BM63" i="5" s="1"/>
  <c r="BM66" i="5" s="1"/>
  <c r="BM34" i="5"/>
  <c r="BM24" i="5"/>
  <c r="BM27" i="5" s="1"/>
  <c r="BL98" i="5"/>
  <c r="BL100" i="5" s="1"/>
  <c r="BL103" i="5" s="1"/>
  <c r="BM96" i="5" s="1"/>
  <c r="BL15" i="5"/>
  <c r="BL17" i="5" s="1"/>
  <c r="BL19" i="5" s="1"/>
  <c r="BL20" i="5" s="1"/>
  <c r="BL47" i="5"/>
  <c r="BL49" i="5" s="1"/>
  <c r="BL51" i="5" s="1"/>
  <c r="BM102" i="5"/>
  <c r="BM104" i="5" s="1"/>
  <c r="BM92" i="5"/>
  <c r="BM91" i="5" s="1"/>
  <c r="BM33" i="5"/>
  <c r="BM7" i="5"/>
  <c r="BM46" i="5"/>
  <c r="BM36" i="5" l="1"/>
  <c r="BM37" i="5" s="1"/>
  <c r="BM38" i="5" s="1"/>
  <c r="BM40" i="5" s="1"/>
  <c r="BL53" i="5"/>
  <c r="BL67" i="5" s="1"/>
  <c r="BL68" i="5" s="1"/>
  <c r="BM18" i="5"/>
  <c r="BL52" i="5"/>
  <c r="BL78" i="5"/>
  <c r="BM44" i="5"/>
  <c r="BL75" i="5"/>
  <c r="BL73" i="5"/>
  <c r="BM72" i="5" s="1"/>
  <c r="BM8" i="5"/>
  <c r="BM9" i="5" s="1"/>
  <c r="BN6" i="5" s="1"/>
  <c r="BM28" i="5"/>
  <c r="BM29" i="5" s="1"/>
  <c r="BN23" i="5" s="1"/>
  <c r="BN32" i="5" l="1"/>
  <c r="BM41" i="5"/>
  <c r="BM45" i="5"/>
  <c r="BM12" i="5"/>
  <c r="BM13" i="5" s="1"/>
  <c r="BM75" i="5"/>
  <c r="BM73" i="5"/>
  <c r="BL79" i="5"/>
  <c r="BL80" i="5" s="1"/>
  <c r="BL81" i="5" l="1"/>
  <c r="BN57" i="5"/>
  <c r="BN56" i="5" s="1"/>
  <c r="BN60" i="5" s="1"/>
  <c r="BN62" i="5" s="1"/>
  <c r="BN63" i="5" s="1"/>
  <c r="BN66" i="5" s="1"/>
  <c r="BM98" i="5"/>
  <c r="BM100" i="5" s="1"/>
  <c r="BM103" i="5" s="1"/>
  <c r="BN96" i="5" s="1"/>
  <c r="BN97" i="5"/>
  <c r="BN34" i="5"/>
  <c r="BM47" i="5"/>
  <c r="BM49" i="5" s="1"/>
  <c r="BN102" i="5"/>
  <c r="BN104" i="5" s="1"/>
  <c r="BN7" i="5"/>
  <c r="BN25" i="5"/>
  <c r="BN92" i="5"/>
  <c r="BN33" i="5"/>
  <c r="BN24" i="5"/>
  <c r="BN27" i="5" s="1"/>
  <c r="BM15" i="5"/>
  <c r="BM17" i="5" s="1"/>
  <c r="BM19" i="5" s="1"/>
  <c r="BM20" i="5" s="1"/>
  <c r="BN8" i="5" s="1"/>
  <c r="BN9" i="5" s="1"/>
  <c r="BO6" i="5" s="1"/>
  <c r="BM51" i="5" l="1"/>
  <c r="BL82" i="5"/>
  <c r="BL83" i="5" s="1"/>
  <c r="BL84" i="5" s="1"/>
  <c r="BL85" i="5" s="1"/>
  <c r="BL89" i="5" s="1"/>
  <c r="BL90" i="5" s="1"/>
  <c r="BL93" i="5" s="1"/>
  <c r="BN36" i="5"/>
  <c r="BN37" i="5" s="1"/>
  <c r="BN38" i="5" s="1"/>
  <c r="BN40" i="5" s="1"/>
  <c r="BN28" i="5"/>
  <c r="BN29" i="5" s="1"/>
  <c r="BO23" i="5" s="1"/>
  <c r="BN91" i="5"/>
  <c r="BN72" i="5"/>
  <c r="BN18" i="5" l="1"/>
  <c r="BM78" i="5"/>
  <c r="BM79" i="5" s="1"/>
  <c r="BM52" i="5"/>
  <c r="BM53" i="5"/>
  <c r="BM67" i="5" s="1"/>
  <c r="BM68" i="5" s="1"/>
  <c r="BN44" i="5"/>
  <c r="BN46" i="5"/>
  <c r="BO32" i="5"/>
  <c r="BN41" i="5"/>
  <c r="BN75" i="5"/>
  <c r="BN73" i="5"/>
  <c r="BN12" i="5" l="1"/>
  <c r="BN13" i="5" s="1"/>
  <c r="BN45" i="5"/>
  <c r="BM80" i="5"/>
  <c r="BM81" i="5"/>
  <c r="BM82" i="5" s="1"/>
  <c r="BM83" i="5" s="1"/>
  <c r="BM84" i="5" s="1"/>
  <c r="BM85" i="5" s="1"/>
  <c r="BM89" i="5" s="1"/>
  <c r="BM90" i="5" s="1"/>
  <c r="BM93" i="5" s="1"/>
  <c r="BO25" i="5"/>
  <c r="BO102" i="5"/>
  <c r="BO104" i="5" s="1"/>
  <c r="BN98" i="5"/>
  <c r="BN100" i="5" s="1"/>
  <c r="BN103" i="5" s="1"/>
  <c r="BO96" i="5" s="1"/>
  <c r="BN15" i="5"/>
  <c r="BN17" i="5" s="1"/>
  <c r="BN19" i="5" s="1"/>
  <c r="BN20" i="5" s="1"/>
  <c r="BO92" i="5"/>
  <c r="BO34" i="5"/>
  <c r="BO97" i="5"/>
  <c r="BO7" i="5"/>
  <c r="BO57" i="5"/>
  <c r="BO56" i="5" s="1"/>
  <c r="BO60" i="5" s="1"/>
  <c r="BO62" i="5" s="1"/>
  <c r="BO63" i="5" s="1"/>
  <c r="BO66" i="5" s="1"/>
  <c r="BN47" i="5"/>
  <c r="BN49" i="5" s="1"/>
  <c r="BN51" i="5" s="1"/>
  <c r="BO46" i="5" s="1"/>
  <c r="BO24" i="5"/>
  <c r="BO33" i="5"/>
  <c r="BO36" i="5" l="1"/>
  <c r="BO37" i="5" s="1"/>
  <c r="BO38" i="5" s="1"/>
  <c r="BO40" i="5" s="1"/>
  <c r="BP32" i="5" s="1"/>
  <c r="BN52" i="5"/>
  <c r="BO44" i="5"/>
  <c r="BO12" i="5" s="1"/>
  <c r="BO13" i="5" s="1"/>
  <c r="BO18" i="5"/>
  <c r="BN53" i="5"/>
  <c r="BN67" i="5" s="1"/>
  <c r="BN68" i="5" s="1"/>
  <c r="BN78" i="5"/>
  <c r="BO27" i="5"/>
  <c r="BO28" i="5" s="1"/>
  <c r="BO29" i="5" s="1"/>
  <c r="BP23" i="5" s="1"/>
  <c r="BO91" i="5"/>
  <c r="BO8" i="5"/>
  <c r="BO9" i="5" s="1"/>
  <c r="BP6" i="5" s="1"/>
  <c r="BO72" i="5"/>
  <c r="BO41" i="5" l="1"/>
  <c r="BN79" i="5"/>
  <c r="BN80" i="5"/>
  <c r="BN81" i="5" s="1"/>
  <c r="BN82" i="5" s="1"/>
  <c r="BN83" i="5" s="1"/>
  <c r="BN84" i="5" s="1"/>
  <c r="BN85" i="5" s="1"/>
  <c r="BN89" i="5" s="1"/>
  <c r="BN90" i="5" s="1"/>
  <c r="BN93" i="5" s="1"/>
  <c r="BO45" i="5"/>
  <c r="BO15" i="5"/>
  <c r="BO17" i="5" s="1"/>
  <c r="BO19" i="5" s="1"/>
  <c r="BO20" i="5" s="1"/>
  <c r="BP8" i="5" s="1"/>
  <c r="BP46" i="5"/>
  <c r="BP33" i="5"/>
  <c r="BP36" i="5" s="1"/>
  <c r="BP37" i="5" s="1"/>
  <c r="BP38" i="5" s="1"/>
  <c r="BP40" i="5" s="1"/>
  <c r="BQ32" i="5" s="1"/>
  <c r="BP57" i="5"/>
  <c r="BP56" i="5" s="1"/>
  <c r="BP60" i="5" s="1"/>
  <c r="BP62" i="5" s="1"/>
  <c r="BP63" i="5" s="1"/>
  <c r="BP66" i="5" s="1"/>
  <c r="BO47" i="5"/>
  <c r="BP102" i="5"/>
  <c r="BP104" i="5" s="1"/>
  <c r="BP24" i="5"/>
  <c r="BP25" i="5"/>
  <c r="BO98" i="5"/>
  <c r="BO100" i="5" s="1"/>
  <c r="BO103" i="5" s="1"/>
  <c r="BP96" i="5" s="1"/>
  <c r="BP34" i="5"/>
  <c r="BP51" i="5"/>
  <c r="BP97" i="5"/>
  <c r="BP92" i="5"/>
  <c r="BP91" i="5" s="1"/>
  <c r="BP7" i="5"/>
  <c r="BO75" i="5"/>
  <c r="BO73" i="5"/>
  <c r="BO49" i="5" l="1"/>
  <c r="BO51" i="5" s="1"/>
  <c r="BP44" i="5" s="1"/>
  <c r="BQ44" i="5" s="1"/>
  <c r="BP72" i="5"/>
  <c r="BP27" i="5"/>
  <c r="BP28" i="5" s="1"/>
  <c r="BP29" i="5" s="1"/>
  <c r="BQ23" i="5" s="1"/>
  <c r="BP9" i="5"/>
  <c r="BQ6" i="5" s="1"/>
  <c r="BP75" i="5"/>
  <c r="BP73" i="5"/>
  <c r="BP41" i="5"/>
  <c r="BO78" i="5"/>
  <c r="BO79" i="5" s="1"/>
  <c r="BO53" i="5"/>
  <c r="BO67" i="5" s="1"/>
  <c r="BO68" i="5" s="1"/>
  <c r="BP68" i="5" s="1"/>
  <c r="BP18" i="5"/>
  <c r="BP78" i="5"/>
  <c r="BP53" i="5"/>
  <c r="BP67" i="5" s="1"/>
  <c r="BQ18" i="5"/>
  <c r="BP52" i="5"/>
  <c r="BO52" i="5" l="1"/>
  <c r="BQ12" i="5"/>
  <c r="BP12" i="5"/>
  <c r="BP13" i="5" s="1"/>
  <c r="BP45" i="5"/>
  <c r="BO80" i="5"/>
  <c r="BP79" i="5" s="1"/>
  <c r="BP80" i="5" s="1"/>
  <c r="BP98" i="5"/>
  <c r="BP100" i="5" s="1"/>
  <c r="BP103" i="5" s="1"/>
  <c r="BQ96" i="5" s="1"/>
  <c r="BQ46" i="5"/>
  <c r="BQ24" i="5"/>
  <c r="BQ33" i="5"/>
  <c r="BQ25" i="5"/>
  <c r="BQ92" i="5"/>
  <c r="BQ34" i="5"/>
  <c r="BQ7" i="5"/>
  <c r="BQ57" i="5"/>
  <c r="BQ56" i="5" s="1"/>
  <c r="BQ60" i="5" s="1"/>
  <c r="BQ62" i="5" s="1"/>
  <c r="BQ63" i="5" s="1"/>
  <c r="BQ66" i="5" s="1"/>
  <c r="BP15" i="5"/>
  <c r="BP47" i="5"/>
  <c r="BQ51" i="5"/>
  <c r="BQ102" i="5"/>
  <c r="BQ104" i="5" s="1"/>
  <c r="BQ97" i="5"/>
  <c r="BR44" i="5" l="1"/>
  <c r="BQ53" i="5"/>
  <c r="BQ67" i="5" s="1"/>
  <c r="BQ68" i="5" s="1"/>
  <c r="BR18" i="5"/>
  <c r="BQ52" i="5"/>
  <c r="BQ78" i="5"/>
  <c r="BQ79" i="5" s="1"/>
  <c r="BQ36" i="5"/>
  <c r="BQ37" i="5" s="1"/>
  <c r="BQ38" i="5" s="1"/>
  <c r="BQ40" i="5" s="1"/>
  <c r="BO81" i="5"/>
  <c r="BO82" i="5" s="1"/>
  <c r="BO83" i="5" s="1"/>
  <c r="BO84" i="5" s="1"/>
  <c r="BO85" i="5" s="1"/>
  <c r="BO89" i="5" s="1"/>
  <c r="BO90" i="5" s="1"/>
  <c r="BO93" i="5" s="1"/>
  <c r="BP49" i="5"/>
  <c r="BQ45" i="5" s="1"/>
  <c r="BQ27" i="5"/>
  <c r="BQ91" i="5"/>
  <c r="BP17" i="5"/>
  <c r="BP19" i="5" s="1"/>
  <c r="BP20" i="5" s="1"/>
  <c r="BQ72" i="5"/>
  <c r="BQ8" i="5" l="1"/>
  <c r="BQ9" i="5" s="1"/>
  <c r="BR6" i="5" s="1"/>
  <c r="BQ28" i="5"/>
  <c r="BQ29" i="5" s="1"/>
  <c r="BR23" i="5" s="1"/>
  <c r="BR32" i="5"/>
  <c r="BQ41" i="5"/>
  <c r="BR12" i="5"/>
  <c r="BQ75" i="5"/>
  <c r="BQ73" i="5"/>
  <c r="BQ13" i="5"/>
  <c r="BP81" i="5"/>
  <c r="BP82" i="5" l="1"/>
  <c r="BP83" i="5" s="1"/>
  <c r="BP84" i="5" s="1"/>
  <c r="BP85" i="5" s="1"/>
  <c r="BP89" i="5" s="1"/>
  <c r="BP90" i="5" s="1"/>
  <c r="BP93" i="5" s="1"/>
  <c r="BQ47" i="5"/>
  <c r="BQ49" i="5" s="1"/>
  <c r="BR34" i="5"/>
  <c r="BQ98" i="5"/>
  <c r="BQ100" i="5" s="1"/>
  <c r="BQ103" i="5" s="1"/>
  <c r="BR96" i="5" s="1"/>
  <c r="BR92" i="5"/>
  <c r="BR97" i="5"/>
  <c r="BR46" i="5"/>
  <c r="BR7" i="5"/>
  <c r="BR25" i="5"/>
  <c r="BR33" i="5"/>
  <c r="BQ80" i="5"/>
  <c r="BQ81" i="5" s="1"/>
  <c r="BQ82" i="5" s="1"/>
  <c r="BQ15" i="5"/>
  <c r="BQ17" i="5" s="1"/>
  <c r="BQ19" i="5" s="1"/>
  <c r="BR57" i="5"/>
  <c r="BR56" i="5" s="1"/>
  <c r="BR60" i="5" s="1"/>
  <c r="BR62" i="5" s="1"/>
  <c r="BR63" i="5" s="1"/>
  <c r="BR66" i="5" s="1"/>
  <c r="BR24" i="5"/>
  <c r="BR27" i="5" s="1"/>
  <c r="BR45" i="5" l="1"/>
  <c r="BR91" i="5"/>
  <c r="BR72" i="5"/>
  <c r="BQ83" i="5"/>
  <c r="BQ84" i="5" s="1"/>
  <c r="BQ85" i="5" s="1"/>
  <c r="BQ89" i="5" s="1"/>
  <c r="BQ90" i="5" s="1"/>
  <c r="BQ93" i="5" s="1"/>
  <c r="BR36" i="5"/>
  <c r="BR37" i="5" s="1"/>
  <c r="BR38" i="5" s="1"/>
  <c r="BR40" i="5" s="1"/>
  <c r="BR13" i="5"/>
  <c r="BQ20" i="5"/>
  <c r="BR8" i="5" s="1"/>
  <c r="BR9" i="5" s="1"/>
  <c r="BS6" i="5" s="1"/>
  <c r="BS32" i="5" l="1"/>
  <c r="BR41" i="5"/>
  <c r="BR73" i="5"/>
  <c r="BR75" i="5"/>
  <c r="BR28" i="5"/>
  <c r="BR29" i="5" s="1"/>
  <c r="BS23" i="5" s="1"/>
  <c r="BS34" i="5" l="1"/>
  <c r="BR98" i="5"/>
  <c r="BR100" i="5" s="1"/>
  <c r="BR47" i="5"/>
  <c r="BR49" i="5" s="1"/>
  <c r="BR51" i="5" s="1"/>
  <c r="BS46" i="5" s="1"/>
  <c r="BS33" i="5"/>
  <c r="BS36" i="5" s="1"/>
  <c r="BS37" i="5" s="1"/>
  <c r="BS38" i="5" s="1"/>
  <c r="BS40" i="5" s="1"/>
  <c r="BT32" i="5" s="1"/>
  <c r="BS57" i="5"/>
  <c r="BS56" i="5" s="1"/>
  <c r="BS60" i="5" s="1"/>
  <c r="BS62" i="5" s="1"/>
  <c r="BS63" i="5" s="1"/>
  <c r="BS66" i="5" s="1"/>
  <c r="BR15" i="5"/>
  <c r="BR17" i="5" s="1"/>
  <c r="BR19" i="5" s="1"/>
  <c r="BR20" i="5" s="1"/>
  <c r="BS8" i="5" s="1"/>
  <c r="BS97" i="5"/>
  <c r="BS25" i="5"/>
  <c r="BS24" i="5"/>
  <c r="BS92" i="5"/>
  <c r="BS7" i="5"/>
  <c r="BS27" i="5" l="1"/>
  <c r="BS28" i="5" s="1"/>
  <c r="BS29" i="5" s="1"/>
  <c r="BT23" i="5" s="1"/>
  <c r="BS41" i="5"/>
  <c r="BR102" i="5"/>
  <c r="BR104" i="5" s="1"/>
  <c r="BR103" i="5"/>
  <c r="BS96" i="5" s="1"/>
  <c r="BS9" i="5"/>
  <c r="BT6" i="5" s="1"/>
  <c r="BR78" i="5"/>
  <c r="BS18" i="5"/>
  <c r="BS44" i="5"/>
  <c r="BR52" i="5"/>
  <c r="BR53" i="5"/>
  <c r="BR67" i="5" s="1"/>
  <c r="BR68" i="5" s="1"/>
  <c r="BS91" i="5"/>
  <c r="BS72" i="5"/>
  <c r="BS75" i="5" l="1"/>
  <c r="BS73" i="5"/>
  <c r="BS12" i="5"/>
  <c r="BS13" i="5" s="1"/>
  <c r="BS45" i="5"/>
  <c r="BT7" i="5"/>
  <c r="BT24" i="5"/>
  <c r="BT97" i="5"/>
  <c r="BS98" i="5"/>
  <c r="BS100" i="5" s="1"/>
  <c r="BS102" i="5" s="1"/>
  <c r="BS104" i="5" s="1"/>
  <c r="BT57" i="5"/>
  <c r="BT56" i="5" s="1"/>
  <c r="BT60" i="5" s="1"/>
  <c r="BT62" i="5" s="1"/>
  <c r="BT63" i="5" s="1"/>
  <c r="BT66" i="5" s="1"/>
  <c r="BT92" i="5"/>
  <c r="BT91" i="5" s="1"/>
  <c r="BS15" i="5"/>
  <c r="BS17" i="5" s="1"/>
  <c r="BS19" i="5" s="1"/>
  <c r="BS20" i="5" s="1"/>
  <c r="BT34" i="5"/>
  <c r="BS47" i="5"/>
  <c r="BS49" i="5" s="1"/>
  <c r="BS51" i="5" s="1"/>
  <c r="BT44" i="5" s="1"/>
  <c r="BT25" i="5"/>
  <c r="BT33" i="5"/>
  <c r="BR79" i="5"/>
  <c r="BT72" i="5" l="1"/>
  <c r="BS52" i="5"/>
  <c r="BT27" i="5"/>
  <c r="BS53" i="5"/>
  <c r="BS67" i="5" s="1"/>
  <c r="BS68" i="5" s="1"/>
  <c r="BS78" i="5"/>
  <c r="BS79" i="5" s="1"/>
  <c r="BT18" i="5"/>
  <c r="BT46" i="5"/>
  <c r="BT45" i="5" s="1"/>
  <c r="BR80" i="5"/>
  <c r="BR81" i="5" s="1"/>
  <c r="BT75" i="5"/>
  <c r="BT8" i="5"/>
  <c r="BT9" i="5" s="1"/>
  <c r="BU6" i="5" s="1"/>
  <c r="BT28" i="5"/>
  <c r="BT29" i="5" s="1"/>
  <c r="BU23" i="5" s="1"/>
  <c r="BT73" i="5"/>
  <c r="BT36" i="5"/>
  <c r="BT37" i="5" s="1"/>
  <c r="BT38" i="5" s="1"/>
  <c r="BT40" i="5" s="1"/>
  <c r="BS103" i="5"/>
  <c r="BT96" i="5" s="1"/>
  <c r="BT12" i="5"/>
  <c r="BT13" i="5" s="1"/>
  <c r="BR82" i="5" l="1"/>
  <c r="BR83" i="5" s="1"/>
  <c r="BR84" i="5" s="1"/>
  <c r="BR85" i="5" s="1"/>
  <c r="BR89" i="5" s="1"/>
  <c r="BR90" i="5" s="1"/>
  <c r="BR93" i="5" s="1"/>
  <c r="BU32" i="5"/>
  <c r="BT41" i="5"/>
  <c r="BS80" i="5"/>
  <c r="BS81" i="5" l="1"/>
  <c r="BU97" i="5"/>
  <c r="BU33" i="5"/>
  <c r="BU92" i="5"/>
  <c r="BU57" i="5"/>
  <c r="BU56" i="5" s="1"/>
  <c r="BU60" i="5" s="1"/>
  <c r="BU62" i="5" s="1"/>
  <c r="BU63" i="5" s="1"/>
  <c r="BU66" i="5" s="1"/>
  <c r="BU102" i="5"/>
  <c r="BU104" i="5" s="1"/>
  <c r="BT47" i="5"/>
  <c r="BT49" i="5" s="1"/>
  <c r="BT51" i="5" s="1"/>
  <c r="BU24" i="5"/>
  <c r="BT15" i="5"/>
  <c r="BT17" i="5" s="1"/>
  <c r="BT19" i="5" s="1"/>
  <c r="BT20" i="5" s="1"/>
  <c r="BU8" i="5" s="1"/>
  <c r="BU7" i="5"/>
  <c r="BU25" i="5"/>
  <c r="BU34" i="5"/>
  <c r="BU36" i="5" s="1"/>
  <c r="BU37" i="5" s="1"/>
  <c r="BU38" i="5" s="1"/>
  <c r="BU40" i="5" s="1"/>
  <c r="BT98" i="5"/>
  <c r="BT100" i="5" s="1"/>
  <c r="BS82" i="5"/>
  <c r="BS83" i="5" s="1"/>
  <c r="BS84" i="5" s="1"/>
  <c r="BS85" i="5" s="1"/>
  <c r="BS89" i="5" s="1"/>
  <c r="BS90" i="5" s="1"/>
  <c r="BS93" i="5" s="1"/>
  <c r="BU18" i="5" l="1"/>
  <c r="BU44" i="5"/>
  <c r="BU12" i="5" s="1"/>
  <c r="BT52" i="5"/>
  <c r="BT78" i="5"/>
  <c r="BT53" i="5"/>
  <c r="BT67" i="5" s="1"/>
  <c r="BT68" i="5" s="1"/>
  <c r="BU46" i="5"/>
  <c r="BU45" i="5" s="1"/>
  <c r="BU27" i="5"/>
  <c r="BU28" i="5" s="1"/>
  <c r="BU29" i="5" s="1"/>
  <c r="BV23" i="5" s="1"/>
  <c r="BU41" i="5"/>
  <c r="BV32" i="5"/>
  <c r="BT102" i="5"/>
  <c r="BT104" i="5" s="1"/>
  <c r="BT103" i="5"/>
  <c r="BU96" i="5" s="1"/>
  <c r="BU91" i="5"/>
  <c r="BU72" i="5"/>
  <c r="BU13" i="5"/>
  <c r="BU9" i="5"/>
  <c r="BV6" i="5" s="1"/>
  <c r="BT79" i="5" l="1"/>
  <c r="BT80" i="5"/>
  <c r="BT81" i="5" s="1"/>
  <c r="BT82" i="5" s="1"/>
  <c r="BT83" i="5" s="1"/>
  <c r="BT84" i="5" s="1"/>
  <c r="BT85" i="5" s="1"/>
  <c r="BT89" i="5" s="1"/>
  <c r="BT90" i="5" s="1"/>
  <c r="BT93" i="5" s="1"/>
  <c r="BU75" i="5"/>
  <c r="BU73" i="5"/>
  <c r="BU47" i="5"/>
  <c r="BU49" i="5" s="1"/>
  <c r="BU51" i="5" s="1"/>
  <c r="BV57" i="5"/>
  <c r="BV56" i="5" s="1"/>
  <c r="BV60" i="5" s="1"/>
  <c r="BV62" i="5" s="1"/>
  <c r="BV63" i="5" s="1"/>
  <c r="BV66" i="5" s="1"/>
  <c r="BU15" i="5"/>
  <c r="BU17" i="5" s="1"/>
  <c r="BU19" i="5" s="1"/>
  <c r="BU20" i="5" s="1"/>
  <c r="BV8" i="5" s="1"/>
  <c r="BV9" i="5" s="1"/>
  <c r="BW6" i="5" s="1"/>
  <c r="BV102" i="5"/>
  <c r="BV104" i="5" s="1"/>
  <c r="BV25" i="5"/>
  <c r="BV51" i="5"/>
  <c r="BV92" i="5"/>
  <c r="BV91" i="5" s="1"/>
  <c r="BV34" i="5"/>
  <c r="BV24" i="5"/>
  <c r="BV27" i="5" s="1"/>
  <c r="BV33" i="5"/>
  <c r="BU98" i="5"/>
  <c r="BU100" i="5" s="1"/>
  <c r="BU103" i="5" s="1"/>
  <c r="BV96" i="5" s="1"/>
  <c r="BV7" i="5"/>
  <c r="BV46" i="5"/>
  <c r="BV97" i="5"/>
  <c r="BV28" i="5" l="1"/>
  <c r="BV29" i="5" s="1"/>
  <c r="BW23" i="5" s="1"/>
  <c r="BV36" i="5"/>
  <c r="BV37" i="5" s="1"/>
  <c r="BV38" i="5" s="1"/>
  <c r="BV40" i="5" s="1"/>
  <c r="BW32" i="5" s="1"/>
  <c r="BV72" i="5"/>
  <c r="BV75" i="5" s="1"/>
  <c r="BV18" i="5"/>
  <c r="BV44" i="5"/>
  <c r="BU52" i="5"/>
  <c r="BU78" i="5"/>
  <c r="BU53" i="5"/>
  <c r="BU67" i="5" s="1"/>
  <c r="BU68" i="5" s="1"/>
  <c r="BW18" i="5"/>
  <c r="BV52" i="5"/>
  <c r="BW44" i="5"/>
  <c r="BW12" i="5" s="1"/>
  <c r="BV53" i="5"/>
  <c r="BV67" i="5" s="1"/>
  <c r="BV78" i="5"/>
  <c r="BV73" i="5" l="1"/>
  <c r="BV41" i="5"/>
  <c r="BW102" i="5" s="1"/>
  <c r="BW104" i="5" s="1"/>
  <c r="BW24" i="5"/>
  <c r="BW25" i="5"/>
  <c r="BV98" i="5"/>
  <c r="BV100" i="5" s="1"/>
  <c r="BV103" i="5" s="1"/>
  <c r="BW96" i="5" s="1"/>
  <c r="BW73" i="5"/>
  <c r="BW57" i="5"/>
  <c r="BW56" i="5" s="1"/>
  <c r="BW60" i="5" s="1"/>
  <c r="BW34" i="5"/>
  <c r="BW33" i="5"/>
  <c r="BW46" i="5"/>
  <c r="BW62" i="5"/>
  <c r="BW63" i="5" s="1"/>
  <c r="BW66" i="5" s="1"/>
  <c r="BW92" i="5"/>
  <c r="BW91" i="5" s="1"/>
  <c r="BW7" i="5"/>
  <c r="BV47" i="5"/>
  <c r="BV15" i="5"/>
  <c r="BV68" i="5"/>
  <c r="BU79" i="5"/>
  <c r="BU80" i="5" s="1"/>
  <c r="BV79" i="5" s="1"/>
  <c r="BV45" i="5"/>
  <c r="BV12" i="5"/>
  <c r="BV13" i="5" s="1"/>
  <c r="BW36" i="5" l="1"/>
  <c r="BW37" i="5" s="1"/>
  <c r="BW38" i="5" s="1"/>
  <c r="BW40" i="5" s="1"/>
  <c r="BX32" i="5" s="1"/>
  <c r="BW97" i="5"/>
  <c r="BW51" i="5"/>
  <c r="BX18" i="5" s="1"/>
  <c r="BV80" i="5"/>
  <c r="BV49" i="5"/>
  <c r="BW45" i="5" s="1"/>
  <c r="BV17" i="5"/>
  <c r="BV19" i="5" s="1"/>
  <c r="BW27" i="5"/>
  <c r="BU81" i="5"/>
  <c r="BU82" i="5" s="1"/>
  <c r="BU83" i="5" s="1"/>
  <c r="BU84" i="5" s="1"/>
  <c r="BU85" i="5" s="1"/>
  <c r="BU89" i="5" s="1"/>
  <c r="BU90" i="5" s="1"/>
  <c r="BU93" i="5" s="1"/>
  <c r="BW41" i="5"/>
  <c r="BW78" i="5"/>
  <c r="BW79" i="5" s="1"/>
  <c r="BW53" i="5"/>
  <c r="BW67" i="5" s="1"/>
  <c r="BW68" i="5" s="1"/>
  <c r="BW52" i="5"/>
  <c r="BX44" i="5"/>
  <c r="BX12" i="5" s="1"/>
  <c r="BW72" i="5"/>
  <c r="BW15" i="5" l="1"/>
  <c r="BX92" i="5"/>
  <c r="BX91" i="5" s="1"/>
  <c r="BX33" i="5"/>
  <c r="BX25" i="5"/>
  <c r="BX62" i="5"/>
  <c r="BX63" i="5" s="1"/>
  <c r="BX66" i="5" s="1"/>
  <c r="BX46" i="5"/>
  <c r="BW47" i="5"/>
  <c r="BW49" i="5" s="1"/>
  <c r="BW80" i="5"/>
  <c r="BX51" i="5"/>
  <c r="BX57" i="5"/>
  <c r="BX56" i="5" s="1"/>
  <c r="BX60" i="5" s="1"/>
  <c r="BX102" i="5"/>
  <c r="BX104" i="5" s="1"/>
  <c r="BX24" i="5"/>
  <c r="BX97" i="5"/>
  <c r="BX34" i="5"/>
  <c r="BW98" i="5"/>
  <c r="BW100" i="5" s="1"/>
  <c r="BW103" i="5" s="1"/>
  <c r="BX96" i="5" s="1"/>
  <c r="BX73" i="5"/>
  <c r="BW75" i="5"/>
  <c r="BX72" i="5"/>
  <c r="BV20" i="5"/>
  <c r="BW8" i="5" s="1"/>
  <c r="BW9" i="5" s="1"/>
  <c r="BX6" i="5" s="1"/>
  <c r="BW13" i="5"/>
  <c r="BV81" i="5"/>
  <c r="BV82" i="5" s="1"/>
  <c r="BV83" i="5" s="1"/>
  <c r="BV84" i="5" s="1"/>
  <c r="BV85" i="5" s="1"/>
  <c r="BV89" i="5" s="1"/>
  <c r="BV90" i="5" s="1"/>
  <c r="BV93" i="5" s="1"/>
  <c r="BW28" i="5" l="1"/>
  <c r="BW29" i="5" s="1"/>
  <c r="BX23" i="5" s="1"/>
  <c r="BX36" i="5"/>
  <c r="BX37" i="5"/>
  <c r="BX38" i="5" s="1"/>
  <c r="BX40" i="5" s="1"/>
  <c r="BX75" i="5"/>
  <c r="BX27" i="5"/>
  <c r="BY44" i="5"/>
  <c r="BX52" i="5"/>
  <c r="BX53" i="5"/>
  <c r="BX67" i="5" s="1"/>
  <c r="BX68" i="5" s="1"/>
  <c r="BY18" i="5"/>
  <c r="BX78" i="5"/>
  <c r="BX79" i="5" s="1"/>
  <c r="BW81" i="5"/>
  <c r="BW82" i="5" s="1"/>
  <c r="BW83" i="5" s="1"/>
  <c r="BW84" i="5" s="1"/>
  <c r="BW85" i="5" s="1"/>
  <c r="BW89" i="5" s="1"/>
  <c r="BW90" i="5" s="1"/>
  <c r="BW93" i="5" s="1"/>
  <c r="BX7" i="5"/>
  <c r="BX45" i="5"/>
  <c r="BW17" i="5"/>
  <c r="BW19" i="5" s="1"/>
  <c r="BW20" i="5" l="1"/>
  <c r="BX8" i="5" s="1"/>
  <c r="BX9" i="5" s="1"/>
  <c r="BY6" i="5" s="1"/>
  <c r="BX13" i="5"/>
  <c r="BY12" i="5"/>
  <c r="BY32" i="5"/>
  <c r="BX41" i="5"/>
  <c r="BX28" i="5" l="1"/>
  <c r="BX29" i="5" s="1"/>
  <c r="BY23" i="5" s="1"/>
  <c r="BX98" i="5"/>
  <c r="BX100" i="5" s="1"/>
  <c r="BX103" i="5" s="1"/>
  <c r="BY96" i="5" s="1"/>
  <c r="BY46" i="5"/>
  <c r="BX15" i="5"/>
  <c r="BX17" i="5" s="1"/>
  <c r="BX19" i="5" s="1"/>
  <c r="BX20" i="5" s="1"/>
  <c r="BY8" i="5" s="1"/>
  <c r="BY34" i="5"/>
  <c r="BY25" i="5"/>
  <c r="BY24" i="5"/>
  <c r="BY33" i="5"/>
  <c r="BY57" i="5"/>
  <c r="BY56" i="5" s="1"/>
  <c r="BY60" i="5" s="1"/>
  <c r="BY97" i="5"/>
  <c r="BX80" i="5"/>
  <c r="BX81" i="5" s="1"/>
  <c r="BX82" i="5" s="1"/>
  <c r="BX83" i="5" s="1"/>
  <c r="BX84" i="5" s="1"/>
  <c r="BX85" i="5" s="1"/>
  <c r="BX89" i="5" s="1"/>
  <c r="BX90" i="5" s="1"/>
  <c r="BX93" i="5" s="1"/>
  <c r="BY51" i="5"/>
  <c r="BY102" i="5"/>
  <c r="BY104" i="5" s="1"/>
  <c r="BY7" i="5"/>
  <c r="BY73" i="5"/>
  <c r="BY62" i="5"/>
  <c r="BY63" i="5" s="1"/>
  <c r="BY66" i="5" s="1"/>
  <c r="BX47" i="5"/>
  <c r="BX49" i="5" s="1"/>
  <c r="BY92" i="5"/>
  <c r="BY13" i="5" l="1"/>
  <c r="BY45" i="5"/>
  <c r="BY27" i="5"/>
  <c r="BY28" i="5" s="1"/>
  <c r="BY29" i="5" s="1"/>
  <c r="BZ23" i="5" s="1"/>
  <c r="BY53" i="5"/>
  <c r="BY67" i="5" s="1"/>
  <c r="BY68" i="5" s="1"/>
  <c r="BY52" i="5"/>
  <c r="BZ44" i="5"/>
  <c r="BY78" i="5"/>
  <c r="BY79" i="5" s="1"/>
  <c r="BZ18" i="5"/>
  <c r="BY36" i="5"/>
  <c r="BY37" i="5" s="1"/>
  <c r="BY38" i="5" s="1"/>
  <c r="BY40" i="5" s="1"/>
  <c r="BY9" i="5"/>
  <c r="BZ6" i="5" s="1"/>
  <c r="BY91" i="5"/>
  <c r="BY72" i="5"/>
  <c r="BZ32" i="5" l="1"/>
  <c r="BY41" i="5"/>
  <c r="BZ12" i="5"/>
  <c r="BY75" i="5"/>
  <c r="BZ34" i="5" l="1"/>
  <c r="BZ46" i="5"/>
  <c r="BZ57" i="5"/>
  <c r="BZ56" i="5" s="1"/>
  <c r="BZ60" i="5" s="1"/>
  <c r="BZ7" i="5"/>
  <c r="BZ33" i="5"/>
  <c r="BZ36" i="5" s="1"/>
  <c r="BZ37" i="5" s="1"/>
  <c r="BZ38" i="5" s="1"/>
  <c r="BZ40" i="5" s="1"/>
  <c r="BZ62" i="5"/>
  <c r="BZ63" i="5" s="1"/>
  <c r="BZ66" i="5" s="1"/>
  <c r="BY98" i="5"/>
  <c r="BY100" i="5" s="1"/>
  <c r="BY103" i="5" s="1"/>
  <c r="BZ96" i="5" s="1"/>
  <c r="BZ24" i="5"/>
  <c r="BZ73" i="5"/>
  <c r="BZ51" i="5"/>
  <c r="BY15" i="5"/>
  <c r="BY17" i="5" s="1"/>
  <c r="BY19" i="5" s="1"/>
  <c r="BY20" i="5" s="1"/>
  <c r="BZ8" i="5" s="1"/>
  <c r="BZ102" i="5"/>
  <c r="BZ104" i="5" s="1"/>
  <c r="BZ25" i="5"/>
  <c r="BZ97" i="5"/>
  <c r="BY47" i="5"/>
  <c r="BY49" i="5" s="1"/>
  <c r="BZ45" i="5" s="1"/>
  <c r="BZ92" i="5"/>
  <c r="BY80" i="5"/>
  <c r="BY81" i="5" s="1"/>
  <c r="BY82" i="5" s="1"/>
  <c r="BY83" i="5" s="1"/>
  <c r="BY84" i="5" s="1"/>
  <c r="BY85" i="5" s="1"/>
  <c r="BY89" i="5" s="1"/>
  <c r="BY90" i="5" s="1"/>
  <c r="BY93" i="5" s="1"/>
  <c r="CA32" i="5" l="1"/>
  <c r="BZ41" i="5"/>
  <c r="BZ52" i="5"/>
  <c r="CA44" i="5"/>
  <c r="CA18" i="5"/>
  <c r="BZ53" i="5"/>
  <c r="BZ67" i="5" s="1"/>
  <c r="BZ68" i="5" s="1"/>
  <c r="BZ78" i="5"/>
  <c r="BZ79" i="5" s="1"/>
  <c r="BZ9" i="5"/>
  <c r="CA6" i="5" s="1"/>
  <c r="BZ91" i="5"/>
  <c r="BZ72" i="5"/>
  <c r="BZ27" i="5"/>
  <c r="BZ28" i="5" s="1"/>
  <c r="BZ29" i="5" s="1"/>
  <c r="CA23" i="5" s="1"/>
  <c r="BZ13" i="5"/>
  <c r="CA12" i="5" l="1"/>
  <c r="BZ75" i="5"/>
  <c r="BZ80" i="5"/>
  <c r="BZ81" i="5" s="1"/>
  <c r="BZ82" i="5" s="1"/>
  <c r="BZ83" i="5" s="1"/>
  <c r="BZ84" i="5" s="1"/>
  <c r="BZ85" i="5" s="1"/>
  <c r="BZ89" i="5" s="1"/>
  <c r="BZ90" i="5" s="1"/>
  <c r="BZ93" i="5" s="1"/>
  <c r="CA33" i="5"/>
  <c r="CA36" i="5" s="1"/>
  <c r="CA37" i="5" s="1"/>
  <c r="CA38" i="5" s="1"/>
  <c r="CA40" i="5" s="1"/>
  <c r="CB32" i="5" s="1"/>
  <c r="CA73" i="5"/>
  <c r="CA25" i="5"/>
  <c r="BZ15" i="5"/>
  <c r="BZ17" i="5" s="1"/>
  <c r="BZ19" i="5" s="1"/>
  <c r="BZ20" i="5" s="1"/>
  <c r="CA92" i="5"/>
  <c r="CA91" i="5" s="1"/>
  <c r="BZ98" i="5"/>
  <c r="BZ100" i="5" s="1"/>
  <c r="BZ103" i="5" s="1"/>
  <c r="CA96" i="5" s="1"/>
  <c r="CA34" i="5"/>
  <c r="CA97" i="5"/>
  <c r="BZ47" i="5"/>
  <c r="BZ49" i="5" s="1"/>
  <c r="CA62" i="5"/>
  <c r="CA63" i="5" s="1"/>
  <c r="CA66" i="5" s="1"/>
  <c r="CA57" i="5"/>
  <c r="CA56" i="5" s="1"/>
  <c r="CA60" i="5" s="1"/>
  <c r="CA46" i="5"/>
  <c r="CA7" i="5"/>
  <c r="CA24" i="5"/>
  <c r="CA102" i="5"/>
  <c r="CA104" i="5" s="1"/>
  <c r="CA51" i="5"/>
  <c r="CA72" i="5" l="1"/>
  <c r="CA45" i="5"/>
  <c r="CA27" i="5"/>
  <c r="CB44" i="5"/>
  <c r="CA53" i="5"/>
  <c r="CA67" i="5" s="1"/>
  <c r="CA68" i="5" s="1"/>
  <c r="CA52" i="5"/>
  <c r="CA78" i="5"/>
  <c r="CA79" i="5" s="1"/>
  <c r="CB18" i="5"/>
  <c r="CA41" i="5"/>
  <c r="CA8" i="5"/>
  <c r="CA9" i="5" s="1"/>
  <c r="CB6" i="5" s="1"/>
  <c r="CA28" i="5"/>
  <c r="CA29" i="5" s="1"/>
  <c r="CB23" i="5" s="1"/>
  <c r="CA13" i="5"/>
  <c r="CA75" i="5"/>
  <c r="CA47" i="5" l="1"/>
  <c r="CA49" i="5" s="1"/>
  <c r="CB62" i="5"/>
  <c r="CB63" i="5" s="1"/>
  <c r="CB66" i="5" s="1"/>
  <c r="CA80" i="5"/>
  <c r="CA81" i="5" s="1"/>
  <c r="CA82" i="5" s="1"/>
  <c r="CA83" i="5" s="1"/>
  <c r="CA84" i="5" s="1"/>
  <c r="CA85" i="5" s="1"/>
  <c r="CA89" i="5" s="1"/>
  <c r="CA90" i="5" s="1"/>
  <c r="CA93" i="5" s="1"/>
  <c r="CB25" i="5"/>
  <c r="CB57" i="5"/>
  <c r="CB56" i="5" s="1"/>
  <c r="CB60" i="5" s="1"/>
  <c r="CB24" i="5"/>
  <c r="CB27" i="5" s="1"/>
  <c r="CB33" i="5"/>
  <c r="CB36" i="5" s="1"/>
  <c r="CB37" i="5" s="1"/>
  <c r="CB38" i="5" s="1"/>
  <c r="CB40" i="5" s="1"/>
  <c r="CC32" i="5" s="1"/>
  <c r="CA98" i="5"/>
  <c r="CA100" i="5" s="1"/>
  <c r="CA103" i="5" s="1"/>
  <c r="CB96" i="5" s="1"/>
  <c r="CB46" i="5"/>
  <c r="CB73" i="5"/>
  <c r="CB34" i="5"/>
  <c r="CB51" i="5"/>
  <c r="CB97" i="5"/>
  <c r="CB92" i="5"/>
  <c r="CA15" i="5"/>
  <c r="CA17" i="5" s="1"/>
  <c r="CA19" i="5" s="1"/>
  <c r="CA20" i="5" s="1"/>
  <c r="CB102" i="5"/>
  <c r="CB104" i="5" s="1"/>
  <c r="CB7" i="5"/>
  <c r="CB12" i="5"/>
  <c r="CB45" i="5"/>
  <c r="CB8" i="5" l="1"/>
  <c r="CB28" i="5"/>
  <c r="CB29" i="5" s="1"/>
  <c r="CC23" i="5" s="1"/>
  <c r="CC18" i="5"/>
  <c r="CB53" i="5"/>
  <c r="CB67" i="5" s="1"/>
  <c r="CB68" i="5" s="1"/>
  <c r="CC44" i="5"/>
  <c r="CC12" i="5" s="1"/>
  <c r="CB52" i="5"/>
  <c r="CB78" i="5"/>
  <c r="CB79" i="5" s="1"/>
  <c r="CB13" i="5"/>
  <c r="CB91" i="5"/>
  <c r="CB72" i="5"/>
  <c r="CB41" i="5"/>
  <c r="CB9" i="5"/>
  <c r="CC6" i="5" s="1"/>
  <c r="CB47" i="5" l="1"/>
  <c r="CB49" i="5" s="1"/>
  <c r="CC51" i="5"/>
  <c r="CC34" i="5"/>
  <c r="CC24" i="5"/>
  <c r="CC33" i="5"/>
  <c r="CC36" i="5" s="1"/>
  <c r="CC37" i="5" s="1"/>
  <c r="CC38" i="5" s="1"/>
  <c r="CC40" i="5" s="1"/>
  <c r="CD32" i="5" s="1"/>
  <c r="CB80" i="5"/>
  <c r="CB81" i="5" s="1"/>
  <c r="CB82" i="5" s="1"/>
  <c r="CB83" i="5" s="1"/>
  <c r="CB84" i="5" s="1"/>
  <c r="CB85" i="5" s="1"/>
  <c r="CB89" i="5" s="1"/>
  <c r="CB90" i="5" s="1"/>
  <c r="CB93" i="5" s="1"/>
  <c r="CC25" i="5"/>
  <c r="CC57" i="5"/>
  <c r="CC56" i="5" s="1"/>
  <c r="CC60" i="5" s="1"/>
  <c r="CC62" i="5" s="1"/>
  <c r="CC63" i="5" s="1"/>
  <c r="CC66" i="5" s="1"/>
  <c r="CB98" i="5"/>
  <c r="CB100" i="5" s="1"/>
  <c r="CB103" i="5" s="1"/>
  <c r="CC96" i="5" s="1"/>
  <c r="CC46" i="5"/>
  <c r="CC45" i="5" s="1"/>
  <c r="CC7" i="5"/>
  <c r="CC92" i="5"/>
  <c r="CC91" i="5" s="1"/>
  <c r="CC97" i="5"/>
  <c r="CB15" i="5"/>
  <c r="CB17" i="5" s="1"/>
  <c r="CB19" i="5" s="1"/>
  <c r="CB20" i="5" s="1"/>
  <c r="CB75" i="5"/>
  <c r="CC27" i="5" l="1"/>
  <c r="CC72" i="5"/>
  <c r="CC73" i="5" s="1"/>
  <c r="CC41" i="5"/>
  <c r="CD18" i="5"/>
  <c r="CD44" i="5"/>
  <c r="CC52" i="5"/>
  <c r="CC78" i="5"/>
  <c r="CC79" i="5" s="1"/>
  <c r="CC53" i="5"/>
  <c r="CC67" i="5" s="1"/>
  <c r="CC68" i="5" s="1"/>
  <c r="CC8" i="5"/>
  <c r="CC9" i="5" s="1"/>
  <c r="CD6" i="5" s="1"/>
  <c r="CC28" i="5"/>
  <c r="CC29" i="5" s="1"/>
  <c r="CD23" i="5" s="1"/>
  <c r="CC75" i="5"/>
  <c r="CC13" i="5"/>
  <c r="CD12" i="5" l="1"/>
  <c r="CD24" i="5"/>
  <c r="CD97" i="5"/>
  <c r="CC47" i="5"/>
  <c r="CC49" i="5" s="1"/>
  <c r="CD7" i="5"/>
  <c r="CD46" i="5"/>
  <c r="CD57" i="5"/>
  <c r="CD56" i="5" s="1"/>
  <c r="CD60" i="5" s="1"/>
  <c r="CD62" i="5" s="1"/>
  <c r="CD63" i="5" s="1"/>
  <c r="CD66" i="5" s="1"/>
  <c r="CD34" i="5"/>
  <c r="CC15" i="5"/>
  <c r="CC17" i="5" s="1"/>
  <c r="CC19" i="5" s="1"/>
  <c r="CC20" i="5" s="1"/>
  <c r="CC98" i="5"/>
  <c r="CC100" i="5" s="1"/>
  <c r="CD33" i="5"/>
  <c r="CD25" i="5"/>
  <c r="CD27" i="5" s="1"/>
  <c r="CC80" i="5"/>
  <c r="CC81" i="5" s="1"/>
  <c r="CC82" i="5" s="1"/>
  <c r="CC83" i="5" s="1"/>
  <c r="CC84" i="5" s="1"/>
  <c r="CC85" i="5" s="1"/>
  <c r="CC89" i="5" s="1"/>
  <c r="CC90" i="5" s="1"/>
  <c r="CC93" i="5" s="1"/>
  <c r="CD45" i="5" l="1"/>
  <c r="CD36" i="5"/>
  <c r="CD37" i="5" s="1"/>
  <c r="CD38" i="5" s="1"/>
  <c r="CD40" i="5" s="1"/>
  <c r="CE32" i="5" s="1"/>
  <c r="CD41" i="5"/>
  <c r="CD8" i="5"/>
  <c r="CD9" i="5" s="1"/>
  <c r="CE6" i="5" s="1"/>
  <c r="CD28" i="5"/>
  <c r="CD29" i="5" s="1"/>
  <c r="CE23" i="5" s="1"/>
  <c r="CC103" i="5"/>
  <c r="CD96" i="5" s="1"/>
  <c r="CC102" i="5"/>
  <c r="CC104" i="5" s="1"/>
  <c r="CD13" i="5"/>
  <c r="CE33" i="5" l="1"/>
  <c r="CE34" i="5"/>
  <c r="CD98" i="5"/>
  <c r="CD100" i="5" s="1"/>
  <c r="CD102" i="5" s="1"/>
  <c r="CD104" i="5" s="1"/>
  <c r="CE25" i="5"/>
  <c r="CE57" i="5"/>
  <c r="CE56" i="5" s="1"/>
  <c r="CE60" i="5" s="1"/>
  <c r="CE62" i="5" s="1"/>
  <c r="CE63" i="5" s="1"/>
  <c r="CE66" i="5" s="1"/>
  <c r="CE7" i="5"/>
  <c r="CE24" i="5"/>
  <c r="CE97" i="5"/>
  <c r="CD47" i="5"/>
  <c r="CD49" i="5" s="1"/>
  <c r="CD51" i="5" s="1"/>
  <c r="CE46" i="5" s="1"/>
  <c r="CD15" i="5"/>
  <c r="CD17" i="5" s="1"/>
  <c r="CD19" i="5" s="1"/>
  <c r="CD20" i="5" s="1"/>
  <c r="CE8" i="5"/>
  <c r="CE27" i="5" l="1"/>
  <c r="CE28" i="5" s="1"/>
  <c r="CE29" i="5" s="1"/>
  <c r="CF23" i="5" s="1"/>
  <c r="CE9" i="5"/>
  <c r="CF6" i="5" s="1"/>
  <c r="CE44" i="5"/>
  <c r="CD52" i="5"/>
  <c r="CE18" i="5"/>
  <c r="CD78" i="5"/>
  <c r="CD53" i="5"/>
  <c r="CD67" i="5" s="1"/>
  <c r="CD68" i="5" s="1"/>
  <c r="CE36" i="5"/>
  <c r="CE37" i="5" s="1"/>
  <c r="CE38" i="5" s="1"/>
  <c r="CE40" i="5" s="1"/>
  <c r="CD103" i="5"/>
  <c r="CE96" i="5" s="1"/>
  <c r="CF32" i="5" l="1"/>
  <c r="CE41" i="5"/>
  <c r="CE45" i="5"/>
  <c r="CE12" i="5"/>
  <c r="CE13" i="5" s="1"/>
  <c r="CD79" i="5"/>
  <c r="CD80" i="5"/>
  <c r="CD81" i="5" l="1"/>
  <c r="CD82" i="5"/>
  <c r="CD83" i="5" s="1"/>
  <c r="CD84" i="5" s="1"/>
  <c r="CD85" i="5" s="1"/>
  <c r="CD89" i="5" s="1"/>
  <c r="CD90" i="5" s="1"/>
  <c r="CF57" i="5"/>
  <c r="CF56" i="5" s="1"/>
  <c r="CF60" i="5" s="1"/>
  <c r="CF62" i="5" s="1"/>
  <c r="CF63" i="5" s="1"/>
  <c r="CF66" i="5" s="1"/>
  <c r="CE47" i="5"/>
  <c r="CE49" i="5" s="1"/>
  <c r="CF7" i="5"/>
  <c r="CF24" i="5"/>
  <c r="CF25" i="5"/>
  <c r="CF27" i="5" s="1"/>
  <c r="CF34" i="5"/>
  <c r="CF33" i="5"/>
  <c r="CF97" i="5"/>
  <c r="CE98" i="5"/>
  <c r="CE100" i="5" s="1"/>
  <c r="CE15" i="5"/>
  <c r="CE17" i="5" s="1"/>
  <c r="CE19" i="5" s="1"/>
  <c r="CE20" i="5" s="1"/>
  <c r="CF8" i="5" s="1"/>
  <c r="CF9" i="5" s="1"/>
  <c r="CG6" i="5" s="1"/>
  <c r="CF36" i="5" l="1"/>
  <c r="CF37" i="5" s="1"/>
  <c r="CF38" i="5" s="1"/>
  <c r="CF40" i="5" s="1"/>
  <c r="CG32" i="5" s="1"/>
  <c r="CD93" i="5"/>
  <c r="CD92" i="5"/>
  <c r="CD72" i="5" s="1"/>
  <c r="CE51" i="5"/>
  <c r="CF28" i="5"/>
  <c r="CF29" i="5" s="1"/>
  <c r="CG23" i="5" s="1"/>
  <c r="CE102" i="5"/>
  <c r="CE104" i="5" s="1"/>
  <c r="CE103" i="5"/>
  <c r="CF96" i="5" s="1"/>
  <c r="CF41" i="5"/>
  <c r="CE83" i="5" l="1"/>
  <c r="CD91" i="5"/>
  <c r="CE78" i="5"/>
  <c r="CE79" i="5" s="1"/>
  <c r="CE80" i="5" s="1"/>
  <c r="CE81" i="5" s="1"/>
  <c r="CE82" i="5" s="1"/>
  <c r="CE84" i="5" s="1"/>
  <c r="CE85" i="5" s="1"/>
  <c r="CE89" i="5" s="1"/>
  <c r="CE90" i="5" s="1"/>
  <c r="CE93" i="5" s="1"/>
  <c r="CF44" i="5"/>
  <c r="CE52" i="5"/>
  <c r="CE53" i="5"/>
  <c r="CE67" i="5" s="1"/>
  <c r="CE68" i="5" s="1"/>
  <c r="CF18" i="5"/>
  <c r="CF46" i="5"/>
  <c r="CD75" i="5"/>
  <c r="CD73" i="5"/>
  <c r="CG34" i="5"/>
  <c r="CG33" i="5"/>
  <c r="CG36" i="5" s="1"/>
  <c r="CG37" i="5" s="1"/>
  <c r="CG38" i="5" s="1"/>
  <c r="CG40" i="5" s="1"/>
  <c r="CH32" i="5" s="1"/>
  <c r="CG97" i="5"/>
  <c r="CG102" i="5"/>
  <c r="CG104" i="5" s="1"/>
  <c r="CF98" i="5"/>
  <c r="CF100" i="5" s="1"/>
  <c r="CF102" i="5" s="1"/>
  <c r="CF104" i="5" s="1"/>
  <c r="CG25" i="5"/>
  <c r="CG24" i="5"/>
  <c r="CG57" i="5"/>
  <c r="CG56" i="5" s="1"/>
  <c r="CG60" i="5" s="1"/>
  <c r="CG62" i="5" s="1"/>
  <c r="CG63" i="5" s="1"/>
  <c r="CG66" i="5" s="1"/>
  <c r="CF47" i="5"/>
  <c r="CG7" i="5"/>
  <c r="CF15" i="5"/>
  <c r="CE72" i="5" l="1"/>
  <c r="CE73" i="5" s="1"/>
  <c r="CE92" i="5"/>
  <c r="CF12" i="5"/>
  <c r="CF13" i="5" s="1"/>
  <c r="CF17" i="5" s="1"/>
  <c r="CF19" i="5" s="1"/>
  <c r="CF20" i="5" s="1"/>
  <c r="CG8" i="5" s="1"/>
  <c r="CG9" i="5" s="1"/>
  <c r="CH6" i="5" s="1"/>
  <c r="CF45" i="5"/>
  <c r="CF49" i="5" s="1"/>
  <c r="CF51" i="5" s="1"/>
  <c r="CG41" i="5"/>
  <c r="CH46" i="5" s="1"/>
  <c r="CG98" i="5"/>
  <c r="CH57" i="5"/>
  <c r="CH56" i="5" s="1"/>
  <c r="CH60" i="5" s="1"/>
  <c r="CH62" i="5" s="1"/>
  <c r="CH63" i="5" s="1"/>
  <c r="CH66" i="5" s="1"/>
  <c r="CG27" i="5"/>
  <c r="CF103" i="5"/>
  <c r="CG96" i="5" s="1"/>
  <c r="CE91" i="5"/>
  <c r="CE75" i="5" l="1"/>
  <c r="CH92" i="5"/>
  <c r="CG44" i="5"/>
  <c r="CG12" i="5" s="1"/>
  <c r="CG13" i="5" s="1"/>
  <c r="CF53" i="5"/>
  <c r="CF67" i="5" s="1"/>
  <c r="CF68" i="5" s="1"/>
  <c r="CF52" i="5"/>
  <c r="CF78" i="5"/>
  <c r="CF79" i="5" s="1"/>
  <c r="CF80" i="5" s="1"/>
  <c r="CF81" i="5" s="1"/>
  <c r="CG18" i="5"/>
  <c r="CG46" i="5"/>
  <c r="CG45" i="5" s="1"/>
  <c r="CG28" i="5"/>
  <c r="CG29" i="5" s="1"/>
  <c r="CH23" i="5" s="1"/>
  <c r="CG15" i="5"/>
  <c r="CH34" i="5"/>
  <c r="CH33" i="5"/>
  <c r="CH97" i="5"/>
  <c r="CH51" i="5"/>
  <c r="CH78" i="5" s="1"/>
  <c r="CH102" i="5"/>
  <c r="CH104" i="5" s="1"/>
  <c r="CH25" i="5"/>
  <c r="CH24" i="5"/>
  <c r="CG47" i="5"/>
  <c r="CH91" i="5"/>
  <c r="CG100" i="5"/>
  <c r="CG103" i="5" s="1"/>
  <c r="CH96" i="5" s="1"/>
  <c r="CH7" i="5"/>
  <c r="CH52" i="5" l="1"/>
  <c r="CG49" i="5"/>
  <c r="CG51" i="5" s="1"/>
  <c r="CH18" i="5" s="1"/>
  <c r="CH53" i="5"/>
  <c r="CH67" i="5" s="1"/>
  <c r="CG17" i="5"/>
  <c r="CG19" i="5" s="1"/>
  <c r="CG20" i="5" s="1"/>
  <c r="CH8" i="5" s="1"/>
  <c r="CH27" i="5"/>
  <c r="CH28" i="5" s="1"/>
  <c r="CH29" i="5" s="1"/>
  <c r="CI23" i="5" s="1"/>
  <c r="CH9" i="5"/>
  <c r="CI6" i="5" s="1"/>
  <c r="CG78" i="5"/>
  <c r="CG79" i="5" s="1"/>
  <c r="CG53" i="5"/>
  <c r="CG67" i="5" s="1"/>
  <c r="CG68" i="5" s="1"/>
  <c r="CH68" i="5" s="1"/>
  <c r="CI18" i="5"/>
  <c r="CH36" i="5"/>
  <c r="CH37" i="5" s="1"/>
  <c r="CH38" i="5" s="1"/>
  <c r="CH40" i="5" s="1"/>
  <c r="CI32" i="5" s="1"/>
  <c r="CF82" i="5"/>
  <c r="CF83" i="5"/>
  <c r="CF84" i="5" s="1"/>
  <c r="CF85" i="5" s="1"/>
  <c r="CF89" i="5" s="1"/>
  <c r="CF90" i="5" s="1"/>
  <c r="CH41" i="5"/>
  <c r="CG52" i="5" l="1"/>
  <c r="CG80" i="5"/>
  <c r="CH79" i="5" s="1"/>
  <c r="CH44" i="5"/>
  <c r="CF92" i="5"/>
  <c r="CF93" i="5"/>
  <c r="CH12" i="5"/>
  <c r="CH13" i="5" s="1"/>
  <c r="CH17" i="5" s="1"/>
  <c r="CH19" i="5" s="1"/>
  <c r="CH20" i="5" s="1"/>
  <c r="CI8" i="5" s="1"/>
  <c r="CI9" i="5" s="1"/>
  <c r="CJ6" i="5" s="1"/>
  <c r="CG81" i="5"/>
  <c r="CG82" i="5" s="1"/>
  <c r="CH47" i="5"/>
  <c r="CI46" i="5"/>
  <c r="CI57" i="5"/>
  <c r="CI56" i="5" s="1"/>
  <c r="CI60" i="5" s="1"/>
  <c r="CI62" i="5" s="1"/>
  <c r="CI63" i="5" s="1"/>
  <c r="CI66" i="5" s="1"/>
  <c r="CI7" i="5"/>
  <c r="CI97" i="5"/>
  <c r="CI25" i="5"/>
  <c r="CI33" i="5"/>
  <c r="CI34" i="5"/>
  <c r="CI102" i="5"/>
  <c r="CI104" i="5" s="1"/>
  <c r="CH15" i="5"/>
  <c r="CI24" i="5"/>
  <c r="CI51" i="5"/>
  <c r="CH98" i="5"/>
  <c r="CH100" i="5" s="1"/>
  <c r="CH103" i="5" s="1"/>
  <c r="CI96" i="5" s="1"/>
  <c r="CI92" i="5"/>
  <c r="CI91" i="5" s="1"/>
  <c r="CH80" i="5"/>
  <c r="CG83" i="5" l="1"/>
  <c r="CG84" i="5" s="1"/>
  <c r="CG85" i="5" s="1"/>
  <c r="CG89" i="5" s="1"/>
  <c r="CG90" i="5" s="1"/>
  <c r="CG93" i="5" s="1"/>
  <c r="CH45" i="5"/>
  <c r="CH49" i="5" s="1"/>
  <c r="CI45" i="5" s="1"/>
  <c r="CI44" i="5"/>
  <c r="CI12" i="5" s="1"/>
  <c r="CI36" i="5"/>
  <c r="CI37" i="5" s="1"/>
  <c r="CI38" i="5" s="1"/>
  <c r="CI40" i="5" s="1"/>
  <c r="CJ32" i="5" s="1"/>
  <c r="CI13" i="5"/>
  <c r="CF91" i="5"/>
  <c r="CF72" i="5"/>
  <c r="CI28" i="5"/>
  <c r="CI29" i="5" s="1"/>
  <c r="CJ23" i="5" s="1"/>
  <c r="CI52" i="5"/>
  <c r="CJ44" i="5"/>
  <c r="CJ18" i="5"/>
  <c r="CI78" i="5"/>
  <c r="CI79" i="5" s="1"/>
  <c r="CI53" i="5"/>
  <c r="CI67" i="5" s="1"/>
  <c r="CI68" i="5" s="1"/>
  <c r="CI27" i="5"/>
  <c r="CH81" i="5"/>
  <c r="CH82" i="5" s="1"/>
  <c r="CG92" i="5" l="1"/>
  <c r="CI41" i="5"/>
  <c r="CJ7" i="5" s="1"/>
  <c r="CF75" i="5"/>
  <c r="CF73" i="5"/>
  <c r="CG72" i="5" s="1"/>
  <c r="CG91" i="5"/>
  <c r="CH83" i="5"/>
  <c r="CH84" i="5" s="1"/>
  <c r="CH85" i="5" s="1"/>
  <c r="CH89" i="5" s="1"/>
  <c r="CH90" i="5" s="1"/>
  <c r="CH93" i="5" s="1"/>
  <c r="CJ97" i="5"/>
  <c r="CI98" i="5"/>
  <c r="CI100" i="5" s="1"/>
  <c r="CI103" i="5" s="1"/>
  <c r="CJ96" i="5" s="1"/>
  <c r="CJ33" i="5"/>
  <c r="CJ102" i="5"/>
  <c r="CJ104" i="5" s="1"/>
  <c r="CI15" i="5"/>
  <c r="CI17" i="5" s="1"/>
  <c r="CI19" i="5" s="1"/>
  <c r="CI20" i="5" s="1"/>
  <c r="CJ8" i="5" s="1"/>
  <c r="CJ9" i="5" s="1"/>
  <c r="CK6" i="5" s="1"/>
  <c r="CJ57" i="5"/>
  <c r="CJ56" i="5" s="1"/>
  <c r="CJ60" i="5" s="1"/>
  <c r="CJ62" i="5" s="1"/>
  <c r="CJ63" i="5" s="1"/>
  <c r="CJ66" i="5" s="1"/>
  <c r="CJ25" i="5"/>
  <c r="CI80" i="5"/>
  <c r="CI81" i="5" s="1"/>
  <c r="CI47" i="5"/>
  <c r="CI49" i="5" s="1"/>
  <c r="CJ34" i="5"/>
  <c r="CJ92" i="5"/>
  <c r="CJ91" i="5" s="1"/>
  <c r="CJ12" i="5"/>
  <c r="CJ36" i="5"/>
  <c r="CJ37" i="5" s="1"/>
  <c r="CJ38" i="5" s="1"/>
  <c r="CJ40" i="5" s="1"/>
  <c r="CK32" i="5" s="1"/>
  <c r="CJ46" i="5" l="1"/>
  <c r="CJ45" i="5" s="1"/>
  <c r="CJ24" i="5"/>
  <c r="CJ27" i="5" s="1"/>
  <c r="CJ13" i="5"/>
  <c r="CJ41" i="5"/>
  <c r="CK34" i="5" s="1"/>
  <c r="CJ28" i="5"/>
  <c r="CJ29" i="5" s="1"/>
  <c r="CK23" i="5" s="1"/>
  <c r="CK97" i="5"/>
  <c r="CG73" i="5"/>
  <c r="CH72" i="5" s="1"/>
  <c r="CG75" i="5"/>
  <c r="CI82" i="5"/>
  <c r="CI83" i="5" s="1"/>
  <c r="CI84" i="5" s="1"/>
  <c r="CI85" i="5" s="1"/>
  <c r="CI89" i="5" s="1"/>
  <c r="CI90" i="5" s="1"/>
  <c r="CI93" i="5" s="1"/>
  <c r="CK25" i="5" l="1"/>
  <c r="CK57" i="5"/>
  <c r="CK56" i="5" s="1"/>
  <c r="CK60" i="5" s="1"/>
  <c r="CK62" i="5" s="1"/>
  <c r="CK63" i="5" s="1"/>
  <c r="CK66" i="5" s="1"/>
  <c r="CK7" i="5"/>
  <c r="CJ15" i="5"/>
  <c r="CJ17" i="5" s="1"/>
  <c r="CJ19" i="5" s="1"/>
  <c r="CJ20" i="5" s="1"/>
  <c r="CK8" i="5" s="1"/>
  <c r="CK24" i="5"/>
  <c r="CK27" i="5" s="1"/>
  <c r="CK28" i="5" s="1"/>
  <c r="CK29" i="5" s="1"/>
  <c r="CL23" i="5" s="1"/>
  <c r="CJ98" i="5"/>
  <c r="CJ100" i="5" s="1"/>
  <c r="CJ103" i="5" s="1"/>
  <c r="CK96" i="5" s="1"/>
  <c r="CK92" i="5"/>
  <c r="CK91" i="5" s="1"/>
  <c r="CJ47" i="5"/>
  <c r="CJ49" i="5" s="1"/>
  <c r="CJ51" i="5" s="1"/>
  <c r="CJ53" i="5" s="1"/>
  <c r="CJ67" i="5" s="1"/>
  <c r="CJ68" i="5" s="1"/>
  <c r="CK102" i="5"/>
  <c r="CK104" i="5" s="1"/>
  <c r="CK33" i="5"/>
  <c r="CK36" i="5"/>
  <c r="CK37" i="5" s="1"/>
  <c r="CK38" i="5" s="1"/>
  <c r="CK40" i="5" s="1"/>
  <c r="CL32" i="5" s="1"/>
  <c r="CJ78" i="5"/>
  <c r="CH75" i="5"/>
  <c r="CH73" i="5"/>
  <c r="CI72" i="5" s="1"/>
  <c r="CJ52" i="5" l="1"/>
  <c r="CK46" i="5"/>
  <c r="CK18" i="5"/>
  <c r="CK41" i="5"/>
  <c r="CL102" i="5" s="1"/>
  <c r="CL104" i="5" s="1"/>
  <c r="CK9" i="5"/>
  <c r="CL6" i="5" s="1"/>
  <c r="CK44" i="5"/>
  <c r="CK45" i="5" s="1"/>
  <c r="CJ79" i="5"/>
  <c r="CJ80" i="5"/>
  <c r="CI75" i="5"/>
  <c r="CI73" i="5"/>
  <c r="CJ72" i="5" s="1"/>
  <c r="CL33" i="5"/>
  <c r="CK47" i="5"/>
  <c r="CL7" i="5"/>
  <c r="CL57" i="5"/>
  <c r="CL56" i="5" s="1"/>
  <c r="CL60" i="5" s="1"/>
  <c r="CL62" i="5" s="1"/>
  <c r="CL63" i="5" s="1"/>
  <c r="CL66" i="5" s="1"/>
  <c r="CK98" i="5"/>
  <c r="CK100" i="5" s="1"/>
  <c r="CK103" i="5" s="1"/>
  <c r="CL96" i="5" s="1"/>
  <c r="CL92" i="5"/>
  <c r="CL91" i="5" s="1"/>
  <c r="CK49" i="5" l="1"/>
  <c r="CK51" i="5" s="1"/>
  <c r="CL24" i="5"/>
  <c r="CL27" i="5" s="1"/>
  <c r="CL97" i="5"/>
  <c r="CL34" i="5"/>
  <c r="CL36" i="5" s="1"/>
  <c r="CL37" i="5" s="1"/>
  <c r="CL38" i="5" s="1"/>
  <c r="CL40" i="5" s="1"/>
  <c r="CK12" i="5"/>
  <c r="CK13" i="5" s="1"/>
  <c r="CK17" i="5" s="1"/>
  <c r="CK19" i="5" s="1"/>
  <c r="CK20" i="5" s="1"/>
  <c r="CK15" i="5"/>
  <c r="CL25" i="5"/>
  <c r="CL18" i="5"/>
  <c r="CJ75" i="5"/>
  <c r="CJ73" i="5"/>
  <c r="CK72" i="5" s="1"/>
  <c r="CJ81" i="5"/>
  <c r="CM32" i="5" l="1"/>
  <c r="CL41" i="5"/>
  <c r="CM7" i="5" s="1"/>
  <c r="CK52" i="5"/>
  <c r="CK53" i="5"/>
  <c r="CK67" i="5" s="1"/>
  <c r="CK68" i="5" s="1"/>
  <c r="CK78" i="5"/>
  <c r="CK79" i="5" s="1"/>
  <c r="CK80" i="5" s="1"/>
  <c r="CL44" i="5"/>
  <c r="CL46" i="5"/>
  <c r="CJ82" i="5"/>
  <c r="CJ83" i="5" s="1"/>
  <c r="CJ84" i="5" s="1"/>
  <c r="CJ85" i="5" s="1"/>
  <c r="CJ89" i="5" s="1"/>
  <c r="CJ90" i="5" s="1"/>
  <c r="CJ93" i="5" s="1"/>
  <c r="CK81" i="5"/>
  <c r="CK82" i="5" s="1"/>
  <c r="CL8" i="5"/>
  <c r="CL9" i="5" s="1"/>
  <c r="CM6" i="5" s="1"/>
  <c r="CL28" i="5"/>
  <c r="CL29" i="5" s="1"/>
  <c r="CM23" i="5" s="1"/>
  <c r="CM25" i="5"/>
  <c r="CM57" i="5"/>
  <c r="CM56" i="5" s="1"/>
  <c r="CM60" i="5" s="1"/>
  <c r="CM62" i="5" s="1"/>
  <c r="CM63" i="5" s="1"/>
  <c r="CM66" i="5" s="1"/>
  <c r="CM102" i="5"/>
  <c r="CM104" i="5" s="1"/>
  <c r="CM34" i="5"/>
  <c r="CL98" i="5"/>
  <c r="CL100" i="5" s="1"/>
  <c r="CL103" i="5" s="1"/>
  <c r="CM96" i="5" s="1"/>
  <c r="CL47" i="5"/>
  <c r="CM33" i="5"/>
  <c r="CM92" i="5"/>
  <c r="CM91" i="5" s="1"/>
  <c r="CM97" i="5"/>
  <c r="CM24" i="5"/>
  <c r="CL15" i="5"/>
  <c r="CK75" i="5"/>
  <c r="CK73" i="5"/>
  <c r="CL72" i="5" s="1"/>
  <c r="CL45" i="5" l="1"/>
  <c r="CL49" i="5" s="1"/>
  <c r="CL51" i="5" s="1"/>
  <c r="CL12" i="5"/>
  <c r="CL13" i="5" s="1"/>
  <c r="CM27" i="5"/>
  <c r="CM36" i="5"/>
  <c r="CM37" i="5" s="1"/>
  <c r="CM38" i="5" s="1"/>
  <c r="CM40" i="5" s="1"/>
  <c r="CN32" i="5" s="1"/>
  <c r="CK83" i="5"/>
  <c r="CK84" i="5" s="1"/>
  <c r="CK85" i="5" s="1"/>
  <c r="CK89" i="5" s="1"/>
  <c r="CK90" i="5" s="1"/>
  <c r="CK93" i="5" s="1"/>
  <c r="CL75" i="5"/>
  <c r="CL73" i="5"/>
  <c r="CM72" i="5" s="1"/>
  <c r="CL17" i="5"/>
  <c r="CL19" i="5" s="1"/>
  <c r="CM46" i="5" l="1"/>
  <c r="CL52" i="5"/>
  <c r="CM44" i="5"/>
  <c r="CM12" i="5" s="1"/>
  <c r="CM18" i="5"/>
  <c r="CL53" i="5"/>
  <c r="CL67" i="5" s="1"/>
  <c r="CL68" i="5" s="1"/>
  <c r="CL78" i="5"/>
  <c r="CL80" i="5" s="1"/>
  <c r="CL81" i="5" s="1"/>
  <c r="CL82" i="5" s="1"/>
  <c r="CL83" i="5" s="1"/>
  <c r="CL84" i="5" s="1"/>
  <c r="CL85" i="5" s="1"/>
  <c r="CL89" i="5" s="1"/>
  <c r="CL90" i="5" s="1"/>
  <c r="CL93" i="5" s="1"/>
  <c r="CM41" i="5"/>
  <c r="CM15" i="5" s="1"/>
  <c r="CL79" i="5"/>
  <c r="CM75" i="5"/>
  <c r="CM73" i="5"/>
  <c r="CL20" i="5"/>
  <c r="CM13" i="5"/>
  <c r="CN97" i="5"/>
  <c r="CN92" i="5"/>
  <c r="CN91" i="5" s="1"/>
  <c r="CM98" i="5" l="1"/>
  <c r="CM100" i="5" s="1"/>
  <c r="CM103" i="5" s="1"/>
  <c r="CN96" i="5" s="1"/>
  <c r="CN102" i="5"/>
  <c r="CN104" i="5" s="1"/>
  <c r="CM47" i="5"/>
  <c r="CN57" i="5"/>
  <c r="CN56" i="5" s="1"/>
  <c r="CN60" i="5" s="1"/>
  <c r="CN62" i="5" s="1"/>
  <c r="CN63" i="5" s="1"/>
  <c r="CN66" i="5" s="1"/>
  <c r="CN24" i="5"/>
  <c r="CN34" i="5"/>
  <c r="CN51" i="5"/>
  <c r="CO18" i="5" s="1"/>
  <c r="CN33" i="5"/>
  <c r="CN36" i="5" s="1"/>
  <c r="CN46" i="5"/>
  <c r="CM45" i="5"/>
  <c r="CN25" i="5"/>
  <c r="CN72" i="5"/>
  <c r="CM49" i="5"/>
  <c r="CM51" i="5" s="1"/>
  <c r="CN44" i="5" s="1"/>
  <c r="CN75" i="5"/>
  <c r="CN73" i="5"/>
  <c r="CM17" i="5"/>
  <c r="CM19" i="5" s="1"/>
  <c r="CM20" i="5" s="1"/>
  <c r="CM8" i="5"/>
  <c r="CM9" i="5" s="1"/>
  <c r="CN6" i="5" s="1"/>
  <c r="CM28" i="5"/>
  <c r="CM29" i="5" s="1"/>
  <c r="CN52" i="5"/>
  <c r="CM53" i="5" l="1"/>
  <c r="CM67" i="5" s="1"/>
  <c r="CM68" i="5" s="1"/>
  <c r="CN53" i="5"/>
  <c r="CN67" i="5" s="1"/>
  <c r="CN18" i="5"/>
  <c r="CN78" i="5"/>
  <c r="CM78" i="5"/>
  <c r="CM79" i="5" s="1"/>
  <c r="CM52" i="5"/>
  <c r="CO44" i="5"/>
  <c r="CO12" i="5" s="1"/>
  <c r="CN45" i="5"/>
  <c r="CN12" i="5"/>
  <c r="CN13" i="5" s="1"/>
  <c r="CN23" i="5"/>
  <c r="CN27" i="5" s="1"/>
  <c r="CN28" i="5" s="1"/>
  <c r="CN29" i="5" s="1"/>
  <c r="CO23" i="5" s="1"/>
  <c r="CN7" i="5"/>
  <c r="CN8" i="5"/>
  <c r="CN37" i="5"/>
  <c r="CN38" i="5" s="1"/>
  <c r="CN40" i="5" s="1"/>
  <c r="CN68" i="5"/>
  <c r="CN9" i="5" l="1"/>
  <c r="CO6" i="5" s="1"/>
  <c r="CM80" i="5"/>
  <c r="CN79" i="5" s="1"/>
  <c r="CM81" i="5"/>
  <c r="CM82" i="5" s="1"/>
  <c r="CM83" i="5" s="1"/>
  <c r="CM84" i="5" s="1"/>
  <c r="CM85" i="5" s="1"/>
  <c r="CM89" i="5" s="1"/>
  <c r="CM90" i="5" s="1"/>
  <c r="CM93" i="5" s="1"/>
  <c r="CO32" i="5"/>
  <c r="CN41" i="5"/>
  <c r="CO102" i="5" l="1"/>
  <c r="CO104" i="5" s="1"/>
  <c r="CO51" i="5"/>
  <c r="CN15" i="5"/>
  <c r="CN17" i="5" s="1"/>
  <c r="CN19" i="5" s="1"/>
  <c r="CO46" i="5"/>
  <c r="CN47" i="5"/>
  <c r="CN49" i="5" s="1"/>
  <c r="CO45" i="5" s="1"/>
  <c r="CO33" i="5"/>
  <c r="CO36" i="5" s="1"/>
  <c r="CO37" i="5" s="1"/>
  <c r="CO38" i="5" s="1"/>
  <c r="CO40" i="5" s="1"/>
  <c r="CO7" i="5"/>
  <c r="CO57" i="5"/>
  <c r="CO56" i="5" s="1"/>
  <c r="CO60" i="5" s="1"/>
  <c r="CO62" i="5" s="1"/>
  <c r="CO63" i="5" s="1"/>
  <c r="CO66" i="5" s="1"/>
  <c r="CN98" i="5"/>
  <c r="CN100" i="5" s="1"/>
  <c r="CN103" i="5" s="1"/>
  <c r="CO96" i="5" s="1"/>
  <c r="CO34" i="5"/>
  <c r="CO25" i="5"/>
  <c r="CO24" i="5"/>
  <c r="CO27" i="5" s="1"/>
  <c r="CO92" i="5"/>
  <c r="CO97" i="5"/>
  <c r="CN80" i="5"/>
  <c r="CN81" i="5" s="1"/>
  <c r="CN82" i="5" s="1"/>
  <c r="CN83" i="5" s="1"/>
  <c r="CN84" i="5" s="1"/>
  <c r="CN85" i="5" s="1"/>
  <c r="CN89" i="5" s="1"/>
  <c r="CN90" i="5" s="1"/>
  <c r="CN93" i="5" s="1"/>
  <c r="CP32" i="5" l="1"/>
  <c r="CO41" i="5"/>
  <c r="CN20" i="5"/>
  <c r="CO13" i="5"/>
  <c r="CO91" i="5"/>
  <c r="CO72" i="5"/>
  <c r="CO78" i="5"/>
  <c r="CO79" i="5" s="1"/>
  <c r="CP44" i="5"/>
  <c r="CO53" i="5"/>
  <c r="CO67" i="5" s="1"/>
  <c r="CO68" i="5" s="1"/>
  <c r="CO52" i="5"/>
  <c r="CP18" i="5"/>
  <c r="CP12" i="5" l="1"/>
  <c r="CO28" i="5"/>
  <c r="CO29" i="5" s="1"/>
  <c r="CP23" i="5" s="1"/>
  <c r="CO8" i="5"/>
  <c r="CO9" i="5" s="1"/>
  <c r="CP6" i="5" s="1"/>
  <c r="CO75" i="5"/>
  <c r="CO73" i="5"/>
  <c r="CP34" i="5"/>
  <c r="CP97" i="5"/>
  <c r="CO98" i="5"/>
  <c r="CO100" i="5" s="1"/>
  <c r="CO103" i="5" s="1"/>
  <c r="CP96" i="5" s="1"/>
  <c r="CO80" i="5"/>
  <c r="CO81" i="5" s="1"/>
  <c r="CO82" i="5" s="1"/>
  <c r="CO83" i="5" s="1"/>
  <c r="CO84" i="5" s="1"/>
  <c r="CO85" i="5" s="1"/>
  <c r="CO89" i="5" s="1"/>
  <c r="CO90" i="5" s="1"/>
  <c r="CO93" i="5" s="1"/>
  <c r="CP46" i="5"/>
  <c r="CP33" i="5"/>
  <c r="CO47" i="5"/>
  <c r="CO49" i="5" s="1"/>
  <c r="CP45" i="5" s="1"/>
  <c r="CP24" i="5"/>
  <c r="CO15" i="5"/>
  <c r="CO17" i="5" s="1"/>
  <c r="CO19" i="5" s="1"/>
  <c r="CO20" i="5" s="1"/>
  <c r="CP92" i="5"/>
  <c r="CP91" i="5" s="1"/>
  <c r="CP57" i="5"/>
  <c r="CP56" i="5" s="1"/>
  <c r="CP60" i="5" s="1"/>
  <c r="CP62" i="5" s="1"/>
  <c r="CP63" i="5" s="1"/>
  <c r="CP66" i="5" s="1"/>
  <c r="CP25" i="5"/>
  <c r="CP7" i="5"/>
  <c r="CP36" i="5" l="1"/>
  <c r="CP37" i="5" s="1"/>
  <c r="CP38" i="5" s="1"/>
  <c r="CP40" i="5" s="1"/>
  <c r="CP72" i="5"/>
  <c r="CP75" i="5"/>
  <c r="CP73" i="5"/>
  <c r="CQ32" i="5"/>
  <c r="CP41" i="5"/>
  <c r="CP27" i="5"/>
  <c r="CP28" i="5" s="1"/>
  <c r="CP29" i="5" s="1"/>
  <c r="CQ23" i="5" s="1"/>
  <c r="CP8" i="5"/>
  <c r="CP9" i="5" s="1"/>
  <c r="CQ6" i="5" s="1"/>
  <c r="CP13" i="5"/>
  <c r="CQ33" i="5" l="1"/>
  <c r="CP15" i="5"/>
  <c r="CP17" i="5" s="1"/>
  <c r="CP19" i="5" s="1"/>
  <c r="CP20" i="5" s="1"/>
  <c r="CQ8" i="5" s="1"/>
  <c r="CQ7" i="5"/>
  <c r="CP98" i="5"/>
  <c r="CP100" i="5" s="1"/>
  <c r="CQ57" i="5"/>
  <c r="CQ56" i="5" s="1"/>
  <c r="CQ60" i="5" s="1"/>
  <c r="CQ62" i="5" s="1"/>
  <c r="CQ63" i="5" s="1"/>
  <c r="CQ66" i="5" s="1"/>
  <c r="CQ34" i="5"/>
  <c r="CQ97" i="5"/>
  <c r="CQ25" i="5"/>
  <c r="CQ92" i="5"/>
  <c r="CQ91" i="5" s="1"/>
  <c r="CP47" i="5"/>
  <c r="CP49" i="5" s="1"/>
  <c r="CP51" i="5" s="1"/>
  <c r="CQ46" i="5" s="1"/>
  <c r="CQ24" i="5"/>
  <c r="CQ27" i="5" l="1"/>
  <c r="CQ28" i="5" s="1"/>
  <c r="CQ29" i="5" s="1"/>
  <c r="CR23" i="5" s="1"/>
  <c r="CQ9" i="5"/>
  <c r="CR6" i="5" s="1"/>
  <c r="CQ36" i="5"/>
  <c r="CQ37" i="5" s="1"/>
  <c r="CQ38" i="5" s="1"/>
  <c r="CQ40" i="5" s="1"/>
  <c r="CR32" i="5"/>
  <c r="CQ41" i="5"/>
  <c r="CQ72" i="5"/>
  <c r="CP103" i="5"/>
  <c r="CQ96" i="5" s="1"/>
  <c r="CP102" i="5"/>
  <c r="CP104" i="5" s="1"/>
  <c r="CQ44" i="5"/>
  <c r="CQ18" i="5"/>
  <c r="CP78" i="5"/>
  <c r="CP53" i="5"/>
  <c r="CP67" i="5" s="1"/>
  <c r="CP68" i="5" s="1"/>
  <c r="CP52" i="5"/>
  <c r="CQ45" i="5" l="1"/>
  <c r="CQ12" i="5"/>
  <c r="CQ13" i="5" s="1"/>
  <c r="CQ75" i="5"/>
  <c r="CQ73" i="5"/>
  <c r="CP79" i="5"/>
  <c r="CP80" i="5"/>
  <c r="CQ98" i="5"/>
  <c r="CQ100" i="5" s="1"/>
  <c r="CQ102" i="5" s="1"/>
  <c r="CQ104" i="5" s="1"/>
  <c r="CR33" i="5"/>
  <c r="CR34" i="5"/>
  <c r="CR25" i="5"/>
  <c r="CR46" i="5"/>
  <c r="CR7" i="5"/>
  <c r="CR92" i="5"/>
  <c r="CR91" i="5" s="1"/>
  <c r="CR97" i="5"/>
  <c r="CQ15" i="5"/>
  <c r="CQ17" i="5" s="1"/>
  <c r="CQ19" i="5" s="1"/>
  <c r="CQ20" i="5" s="1"/>
  <c r="CR57" i="5"/>
  <c r="CR56" i="5" s="1"/>
  <c r="CR60" i="5" s="1"/>
  <c r="CR62" i="5" s="1"/>
  <c r="CR63" i="5" s="1"/>
  <c r="CR66" i="5" s="1"/>
  <c r="CR24" i="5"/>
  <c r="CQ47" i="5"/>
  <c r="CQ49" i="5" s="1"/>
  <c r="CQ51" i="5" s="1"/>
  <c r="CQ53" i="5" s="1"/>
  <c r="CQ67" i="5" s="1"/>
  <c r="CQ68" i="5" s="1"/>
  <c r="CR36" i="5" l="1"/>
  <c r="CR37" i="5" s="1"/>
  <c r="CR38" i="5" s="1"/>
  <c r="CR40" i="5" s="1"/>
  <c r="CQ52" i="5"/>
  <c r="CR18" i="5"/>
  <c r="CQ78" i="5"/>
  <c r="CQ79" i="5" s="1"/>
  <c r="CQ80" i="5" s="1"/>
  <c r="CR44" i="5"/>
  <c r="CR12" i="5" s="1"/>
  <c r="CR13" i="5" s="1"/>
  <c r="CS32" i="5"/>
  <c r="CR41" i="5"/>
  <c r="CS24" i="5" s="1"/>
  <c r="CR72" i="5"/>
  <c r="CR73" i="5" s="1"/>
  <c r="CR8" i="5"/>
  <c r="CR9" i="5" s="1"/>
  <c r="CS6" i="5" s="1"/>
  <c r="CP81" i="5"/>
  <c r="CR27" i="5"/>
  <c r="CR28" i="5" s="1"/>
  <c r="CR29" i="5" s="1"/>
  <c r="CQ103" i="5"/>
  <c r="CR96" i="5" s="1"/>
  <c r="CS97" i="5" l="1"/>
  <c r="CR47" i="5"/>
  <c r="CS102" i="5"/>
  <c r="CS104" i="5" s="1"/>
  <c r="CR15" i="5"/>
  <c r="CR17" i="5" s="1"/>
  <c r="CR19" i="5" s="1"/>
  <c r="CR20" i="5" s="1"/>
  <c r="CS8" i="5" s="1"/>
  <c r="CS92" i="5"/>
  <c r="CS72" i="5" s="1"/>
  <c r="CS34" i="5"/>
  <c r="CS33" i="5"/>
  <c r="CS36" i="5" s="1"/>
  <c r="CS37" i="5" s="1"/>
  <c r="CS38" i="5" s="1"/>
  <c r="CS40" i="5" s="1"/>
  <c r="CT32" i="5" s="1"/>
  <c r="CR45" i="5"/>
  <c r="CS25" i="5"/>
  <c r="CR75" i="5"/>
  <c r="CP82" i="5"/>
  <c r="CP83" i="5" s="1"/>
  <c r="CP84" i="5" s="1"/>
  <c r="CP85" i="5" s="1"/>
  <c r="CP89" i="5" s="1"/>
  <c r="CP90" i="5" s="1"/>
  <c r="CP93" i="5" s="1"/>
  <c r="CR98" i="5"/>
  <c r="CS57" i="5"/>
  <c r="CS56" i="5" s="1"/>
  <c r="CS60" i="5" s="1"/>
  <c r="CS62" i="5" s="1"/>
  <c r="CS63" i="5" s="1"/>
  <c r="CS66" i="5" s="1"/>
  <c r="CS23" i="5"/>
  <c r="CS27" i="5" s="1"/>
  <c r="CS7" i="5"/>
  <c r="CQ81" i="5"/>
  <c r="CR100" i="5"/>
  <c r="CR49" i="5"/>
  <c r="CS91" i="5" l="1"/>
  <c r="CS41" i="5"/>
  <c r="CT25" i="5" s="1"/>
  <c r="CQ82" i="5"/>
  <c r="CQ83" i="5" s="1"/>
  <c r="CQ84" i="5" s="1"/>
  <c r="CQ85" i="5" s="1"/>
  <c r="CQ89" i="5" s="1"/>
  <c r="CQ90" i="5" s="1"/>
  <c r="CQ93" i="5" s="1"/>
  <c r="CS9" i="5"/>
  <c r="CT6" i="5" s="1"/>
  <c r="CS28" i="5"/>
  <c r="CS29" i="5" s="1"/>
  <c r="CT23" i="5" s="1"/>
  <c r="CR51" i="5"/>
  <c r="CT34" i="5"/>
  <c r="CS98" i="5"/>
  <c r="CT46" i="5"/>
  <c r="CT102" i="5"/>
  <c r="CT104" i="5" s="1"/>
  <c r="CT97" i="5"/>
  <c r="CT33" i="5"/>
  <c r="CT57" i="5"/>
  <c r="CT56" i="5" s="1"/>
  <c r="CT60" i="5" s="1"/>
  <c r="CT62" i="5" s="1"/>
  <c r="CT63" i="5" s="1"/>
  <c r="CT66" i="5" s="1"/>
  <c r="CT24" i="5"/>
  <c r="CT92" i="5"/>
  <c r="CT91" i="5" s="1"/>
  <c r="CS47" i="5"/>
  <c r="CT51" i="5"/>
  <c r="CR102" i="5"/>
  <c r="CR104" i="5" s="1"/>
  <c r="CR103" i="5"/>
  <c r="CS96" i="5" s="1"/>
  <c r="CS75" i="5"/>
  <c r="CS73" i="5"/>
  <c r="CT72" i="5" s="1"/>
  <c r="CT7" i="5" l="1"/>
  <c r="CS15" i="5"/>
  <c r="CT27" i="5"/>
  <c r="CR52" i="5"/>
  <c r="CR78" i="5"/>
  <c r="CS46" i="5"/>
  <c r="CS18" i="5"/>
  <c r="CS44" i="5"/>
  <c r="CR53" i="5"/>
  <c r="CR67" i="5" s="1"/>
  <c r="CR68" i="5" s="1"/>
  <c r="CT75" i="5"/>
  <c r="CS100" i="5"/>
  <c r="CS103" i="5" s="1"/>
  <c r="CT96" i="5" s="1"/>
  <c r="CT73" i="5"/>
  <c r="CT36" i="5"/>
  <c r="CT37" i="5" s="1"/>
  <c r="CT38" i="5" s="1"/>
  <c r="CT40" i="5" s="1"/>
  <c r="CT52" i="5"/>
  <c r="CT78" i="5"/>
  <c r="CT53" i="5"/>
  <c r="CT67" i="5" s="1"/>
  <c r="CU18" i="5"/>
  <c r="CR79" i="5" l="1"/>
  <c r="CR80" i="5"/>
  <c r="CS12" i="5"/>
  <c r="CS13" i="5" s="1"/>
  <c r="CS17" i="5" s="1"/>
  <c r="CS19" i="5" s="1"/>
  <c r="CS20" i="5" s="1"/>
  <c r="CT8" i="5" s="1"/>
  <c r="CT9" i="5" s="1"/>
  <c r="CU6" i="5" s="1"/>
  <c r="CS45" i="5"/>
  <c r="CS49" i="5" s="1"/>
  <c r="CS51" i="5" s="1"/>
  <c r="CU32" i="5"/>
  <c r="CT41" i="5"/>
  <c r="CT28" i="5" l="1"/>
  <c r="CT29" i="5" s="1"/>
  <c r="CU23" i="5" s="1"/>
  <c r="CS53" i="5"/>
  <c r="CS67" i="5" s="1"/>
  <c r="CS68" i="5" s="1"/>
  <c r="CT68" i="5" s="1"/>
  <c r="CS78" i="5"/>
  <c r="CT18" i="5"/>
  <c r="CT44" i="5"/>
  <c r="CS52" i="5"/>
  <c r="CR81" i="5"/>
  <c r="CR82" i="5" s="1"/>
  <c r="CR83" i="5" s="1"/>
  <c r="CR84" i="5" s="1"/>
  <c r="CR85" i="5" s="1"/>
  <c r="CR89" i="5" s="1"/>
  <c r="CR90" i="5" s="1"/>
  <c r="CR93" i="5" s="1"/>
  <c r="CU62" i="5"/>
  <c r="CU63" i="5" s="1"/>
  <c r="CU66" i="5" s="1"/>
  <c r="CU24" i="5"/>
  <c r="CU73" i="5"/>
  <c r="CU34" i="5"/>
  <c r="CT15" i="5"/>
  <c r="CU97" i="5"/>
  <c r="CU7" i="5"/>
  <c r="CU51" i="5"/>
  <c r="CT98" i="5"/>
  <c r="CT100" i="5" s="1"/>
  <c r="CT103" i="5" s="1"/>
  <c r="CU96" i="5" s="1"/>
  <c r="CU25" i="5"/>
  <c r="CU33" i="5"/>
  <c r="CT47" i="5"/>
  <c r="CU57" i="5"/>
  <c r="CU56" i="5" s="1"/>
  <c r="CU60" i="5" s="1"/>
  <c r="CU46" i="5"/>
  <c r="CU102" i="5"/>
  <c r="CU104" i="5" s="1"/>
  <c r="CU92" i="5"/>
  <c r="CU36" i="5"/>
  <c r="CU37" i="5" s="1"/>
  <c r="CU38" i="5" s="1"/>
  <c r="CU40" i="5" s="1"/>
  <c r="CV32" i="5" s="1"/>
  <c r="CU44" i="5" l="1"/>
  <c r="CU12" i="5" s="1"/>
  <c r="CT45" i="5"/>
  <c r="CT12" i="5"/>
  <c r="CT13" i="5" s="1"/>
  <c r="CT17" i="5"/>
  <c r="CT19" i="5" s="1"/>
  <c r="CT20" i="5" s="1"/>
  <c r="CU8" i="5" s="1"/>
  <c r="CU9" i="5" s="1"/>
  <c r="CV6" i="5" s="1"/>
  <c r="CT49" i="5"/>
  <c r="CU45" i="5" s="1"/>
  <c r="CS79" i="5"/>
  <c r="CT79" i="5" s="1"/>
  <c r="CT80" i="5" s="1"/>
  <c r="CS80" i="5"/>
  <c r="CS81" i="5" s="1"/>
  <c r="CS82" i="5" s="1"/>
  <c r="CS83" i="5" s="1"/>
  <c r="CS84" i="5" s="1"/>
  <c r="CS85" i="5" s="1"/>
  <c r="CS89" i="5" s="1"/>
  <c r="CS90" i="5" s="1"/>
  <c r="CS93" i="5" s="1"/>
  <c r="CU91" i="5"/>
  <c r="CU72" i="5"/>
  <c r="CU41" i="5"/>
  <c r="CU27" i="5"/>
  <c r="CU52" i="5"/>
  <c r="CU53" i="5"/>
  <c r="CU67" i="5" s="1"/>
  <c r="CU68" i="5" s="1"/>
  <c r="CU78" i="5"/>
  <c r="CV44" i="5"/>
  <c r="CV12" i="5" s="1"/>
  <c r="CV18" i="5"/>
  <c r="CU79" i="5" l="1"/>
  <c r="CT81" i="5"/>
  <c r="CT82" i="5" s="1"/>
  <c r="CT83" i="5" s="1"/>
  <c r="CT84" i="5" s="1"/>
  <c r="CT85" i="5" s="1"/>
  <c r="CT89" i="5" s="1"/>
  <c r="CT90" i="5" s="1"/>
  <c r="CT93" i="5" s="1"/>
  <c r="CU28" i="5"/>
  <c r="CU29" i="5" s="1"/>
  <c r="CV23" i="5" s="1"/>
  <c r="CU13" i="5"/>
  <c r="CU47" i="5"/>
  <c r="CU49" i="5" s="1"/>
  <c r="CU15" i="5"/>
  <c r="CU17" i="5" s="1"/>
  <c r="CU19" i="5" s="1"/>
  <c r="CU20" i="5" s="1"/>
  <c r="CV8" i="5" s="1"/>
  <c r="CV33" i="5"/>
  <c r="CV51" i="5"/>
  <c r="CV92" i="5"/>
  <c r="CV91" i="5" s="1"/>
  <c r="CV97" i="5"/>
  <c r="CV46" i="5"/>
  <c r="CV25" i="5"/>
  <c r="CU80" i="5"/>
  <c r="CU81" i="5" s="1"/>
  <c r="CU82" i="5" s="1"/>
  <c r="CU83" i="5" s="1"/>
  <c r="CU84" i="5" s="1"/>
  <c r="CU85" i="5" s="1"/>
  <c r="CU89" i="5" s="1"/>
  <c r="CU90" i="5" s="1"/>
  <c r="CU93" i="5" s="1"/>
  <c r="CU98" i="5"/>
  <c r="CU100" i="5" s="1"/>
  <c r="CU103" i="5" s="1"/>
  <c r="CV96" i="5" s="1"/>
  <c r="CV57" i="5"/>
  <c r="CV56" i="5" s="1"/>
  <c r="CV60" i="5" s="1"/>
  <c r="CV34" i="5"/>
  <c r="CV102" i="5"/>
  <c r="CV104" i="5" s="1"/>
  <c r="CV24" i="5"/>
  <c r="CV73" i="5"/>
  <c r="CV62" i="5"/>
  <c r="CV63" i="5" s="1"/>
  <c r="CV66" i="5" s="1"/>
  <c r="CV7" i="5"/>
  <c r="CU75" i="5"/>
  <c r="CV13" i="5" l="1"/>
  <c r="CV45" i="5"/>
  <c r="CV27" i="5"/>
  <c r="CV28" i="5" s="1"/>
  <c r="CV29" i="5" s="1"/>
  <c r="CW23" i="5" s="1"/>
  <c r="CW18" i="5"/>
  <c r="CV53" i="5"/>
  <c r="CV67" i="5" s="1"/>
  <c r="CV68" i="5" s="1"/>
  <c r="CV52" i="5"/>
  <c r="CV78" i="5"/>
  <c r="CV79" i="5" s="1"/>
  <c r="CW44" i="5"/>
  <c r="CV36" i="5"/>
  <c r="CV37" i="5" s="1"/>
  <c r="CV38" i="5" s="1"/>
  <c r="CV40" i="5" s="1"/>
  <c r="CV72" i="5"/>
  <c r="CV9" i="5"/>
  <c r="CW6" i="5" s="1"/>
  <c r="CV75" i="5" l="1"/>
  <c r="CW32" i="5"/>
  <c r="CV41" i="5"/>
  <c r="CW12" i="5"/>
  <c r="CV80" i="5" l="1"/>
  <c r="CV81" i="5" s="1"/>
  <c r="CV82" i="5" s="1"/>
  <c r="CV83" i="5" s="1"/>
  <c r="CV84" i="5" s="1"/>
  <c r="CV85" i="5" s="1"/>
  <c r="CV89" i="5" s="1"/>
  <c r="CV90" i="5" s="1"/>
  <c r="CV93" i="5" s="1"/>
  <c r="CW102" i="5"/>
  <c r="CW104" i="5" s="1"/>
  <c r="CW34" i="5"/>
  <c r="CW46" i="5"/>
  <c r="CW7" i="5"/>
  <c r="CV98" i="5"/>
  <c r="CV100" i="5" s="1"/>
  <c r="CV103" i="5" s="1"/>
  <c r="CW96" i="5" s="1"/>
  <c r="CW92" i="5"/>
  <c r="CW97" i="5"/>
  <c r="CW25" i="5"/>
  <c r="CW57" i="5"/>
  <c r="CW56" i="5" s="1"/>
  <c r="CW60" i="5" s="1"/>
  <c r="CW24" i="5"/>
  <c r="CW27" i="5" s="1"/>
  <c r="CW73" i="5"/>
  <c r="CW51" i="5"/>
  <c r="CW62" i="5"/>
  <c r="CW63" i="5" s="1"/>
  <c r="CW66" i="5" s="1"/>
  <c r="CV15" i="5"/>
  <c r="CV17" i="5" s="1"/>
  <c r="CV19" i="5" s="1"/>
  <c r="CV20" i="5" s="1"/>
  <c r="CW33" i="5"/>
  <c r="CV47" i="5"/>
  <c r="CV49" i="5" s="1"/>
  <c r="CW36" i="5" l="1"/>
  <c r="CW37" i="5" s="1"/>
  <c r="CW38" i="5" s="1"/>
  <c r="CW40" i="5" s="1"/>
  <c r="CW13" i="5"/>
  <c r="CX32" i="5"/>
  <c r="CW41" i="5"/>
  <c r="CX44" i="5"/>
  <c r="CW53" i="5"/>
  <c r="CW67" i="5" s="1"/>
  <c r="CW68" i="5" s="1"/>
  <c r="CW78" i="5"/>
  <c r="CW79" i="5" s="1"/>
  <c r="CW52" i="5"/>
  <c r="CX18" i="5"/>
  <c r="CW45" i="5"/>
  <c r="CW8" i="5"/>
  <c r="CW9" i="5" s="1"/>
  <c r="CX6" i="5" s="1"/>
  <c r="CW28" i="5"/>
  <c r="CW29" i="5" s="1"/>
  <c r="CX23" i="5" s="1"/>
  <c r="CW91" i="5"/>
  <c r="CW72" i="5"/>
  <c r="CW75" i="5" l="1"/>
  <c r="CX62" i="5"/>
  <c r="CX63" i="5" s="1"/>
  <c r="CX66" i="5" s="1"/>
  <c r="CX34" i="5"/>
  <c r="CX57" i="5"/>
  <c r="CX56" i="5" s="1"/>
  <c r="CX60" i="5" s="1"/>
  <c r="CX51" i="5"/>
  <c r="CX33" i="5"/>
  <c r="CX36" i="5" s="1"/>
  <c r="CX37" i="5" s="1"/>
  <c r="CX38" i="5" s="1"/>
  <c r="CX40" i="5" s="1"/>
  <c r="CX97" i="5"/>
  <c r="CX24" i="5"/>
  <c r="CX102" i="5"/>
  <c r="CX104" i="5" s="1"/>
  <c r="CW80" i="5"/>
  <c r="CW81" i="5" s="1"/>
  <c r="CW82" i="5" s="1"/>
  <c r="CW83" i="5" s="1"/>
  <c r="CW84" i="5" s="1"/>
  <c r="CW85" i="5" s="1"/>
  <c r="CW89" i="5" s="1"/>
  <c r="CW90" i="5" s="1"/>
  <c r="CW93" i="5" s="1"/>
  <c r="CX25" i="5"/>
  <c r="CX73" i="5"/>
  <c r="CX7" i="5"/>
  <c r="CX92" i="5"/>
  <c r="CX91" i="5" s="1"/>
  <c r="CW98" i="5"/>
  <c r="CW100" i="5" s="1"/>
  <c r="CW103" i="5" s="1"/>
  <c r="CX96" i="5" s="1"/>
  <c r="CX46" i="5"/>
  <c r="CX45" i="5" s="1"/>
  <c r="CW47" i="5"/>
  <c r="CW49" i="5" s="1"/>
  <c r="CW15" i="5"/>
  <c r="CW17" i="5" s="1"/>
  <c r="CW19" i="5" s="1"/>
  <c r="CW20" i="5" s="1"/>
  <c r="CX8" i="5" s="1"/>
  <c r="CX12" i="5"/>
  <c r="CX13" i="5" l="1"/>
  <c r="CX27" i="5"/>
  <c r="CY32" i="5"/>
  <c r="CX41" i="5"/>
  <c r="CX28" i="5"/>
  <c r="CX29" i="5" s="1"/>
  <c r="CY23" i="5" s="1"/>
  <c r="CX9" i="5"/>
  <c r="CY6" i="5" s="1"/>
  <c r="CX53" i="5"/>
  <c r="CX67" i="5" s="1"/>
  <c r="CX68" i="5" s="1"/>
  <c r="CY18" i="5"/>
  <c r="CY44" i="5"/>
  <c r="CX52" i="5"/>
  <c r="CX78" i="5"/>
  <c r="CX79" i="5" s="1"/>
  <c r="CX72" i="5"/>
  <c r="CX75" i="5" l="1"/>
  <c r="CY12" i="5"/>
  <c r="CX98" i="5"/>
  <c r="CX100" i="5" s="1"/>
  <c r="CX103" i="5" s="1"/>
  <c r="CY96" i="5" s="1"/>
  <c r="CY51" i="5"/>
  <c r="CY46" i="5"/>
  <c r="CX47" i="5"/>
  <c r="CX49" i="5" s="1"/>
  <c r="CY45" i="5" s="1"/>
  <c r="CY73" i="5"/>
  <c r="CY24" i="5"/>
  <c r="CY25" i="5"/>
  <c r="CY7" i="5"/>
  <c r="CY92" i="5"/>
  <c r="CY91" i="5" s="1"/>
  <c r="CX80" i="5"/>
  <c r="CX81" i="5" s="1"/>
  <c r="CX82" i="5" s="1"/>
  <c r="CX83" i="5" s="1"/>
  <c r="CX84" i="5" s="1"/>
  <c r="CX85" i="5" s="1"/>
  <c r="CX89" i="5" s="1"/>
  <c r="CX90" i="5" s="1"/>
  <c r="CX93" i="5" s="1"/>
  <c r="CY102" i="5"/>
  <c r="CY104" i="5" s="1"/>
  <c r="CY97" i="5"/>
  <c r="CY57" i="5"/>
  <c r="CY56" i="5" s="1"/>
  <c r="CY60" i="5" s="1"/>
  <c r="CY33" i="5"/>
  <c r="CX15" i="5"/>
  <c r="CX17" i="5" s="1"/>
  <c r="CX19" i="5" s="1"/>
  <c r="CX20" i="5" s="1"/>
  <c r="CY62" i="5"/>
  <c r="CY63" i="5" s="1"/>
  <c r="CY66" i="5" s="1"/>
  <c r="CY34" i="5"/>
  <c r="CY8" i="5"/>
  <c r="CY9" i="5" s="1"/>
  <c r="CZ6" i="5" s="1"/>
  <c r="CY36" i="5" l="1"/>
  <c r="CY37" i="5" s="1"/>
  <c r="CY38" i="5" s="1"/>
  <c r="CY40" i="5" s="1"/>
  <c r="CY27" i="5"/>
  <c r="CZ32" i="5"/>
  <c r="CY41" i="5"/>
  <c r="CY78" i="5"/>
  <c r="CY79" i="5" s="1"/>
  <c r="CY53" i="5"/>
  <c r="CY67" i="5" s="1"/>
  <c r="CY68" i="5" s="1"/>
  <c r="CZ44" i="5"/>
  <c r="CY52" i="5"/>
  <c r="CZ18" i="5"/>
  <c r="CY72" i="5"/>
  <c r="CY28" i="5"/>
  <c r="CY29" i="5" s="1"/>
  <c r="CZ23" i="5" s="1"/>
  <c r="CY13" i="5"/>
  <c r="CZ12" i="5" l="1"/>
  <c r="CZ51" i="5"/>
  <c r="CZ102" i="5"/>
  <c r="CZ104" i="5" s="1"/>
  <c r="CZ24" i="5"/>
  <c r="CZ25" i="5"/>
  <c r="CZ27" i="5" s="1"/>
  <c r="CZ73" i="5"/>
  <c r="CY80" i="5"/>
  <c r="CY81" i="5" s="1"/>
  <c r="CY82" i="5" s="1"/>
  <c r="CY83" i="5" s="1"/>
  <c r="CY84" i="5" s="1"/>
  <c r="CY85" i="5" s="1"/>
  <c r="CY89" i="5" s="1"/>
  <c r="CY90" i="5" s="1"/>
  <c r="CY93" i="5" s="1"/>
  <c r="CZ7" i="5"/>
  <c r="CZ34" i="5"/>
  <c r="CY47" i="5"/>
  <c r="CY49" i="5" s="1"/>
  <c r="CZ45" i="5" s="1"/>
  <c r="CY98" i="5"/>
  <c r="CY100" i="5" s="1"/>
  <c r="CY103" i="5" s="1"/>
  <c r="CZ96" i="5" s="1"/>
  <c r="CZ62" i="5"/>
  <c r="CZ63" i="5" s="1"/>
  <c r="CZ66" i="5" s="1"/>
  <c r="CZ97" i="5"/>
  <c r="CZ92" i="5"/>
  <c r="CZ91" i="5" s="1"/>
  <c r="CZ57" i="5"/>
  <c r="CZ56" i="5" s="1"/>
  <c r="CZ60" i="5" s="1"/>
  <c r="CY15" i="5"/>
  <c r="CY17" i="5" s="1"/>
  <c r="CY19" i="5" s="1"/>
  <c r="CY20" i="5" s="1"/>
  <c r="CZ46" i="5"/>
  <c r="CZ33" i="5"/>
  <c r="CY75" i="5"/>
  <c r="CZ36" i="5"/>
  <c r="CZ37" i="5" s="1"/>
  <c r="CZ38" i="5" s="1"/>
  <c r="CZ40" i="5" s="1"/>
  <c r="DA32" i="5" s="1"/>
  <c r="CZ78" i="5" l="1"/>
  <c r="CZ79" i="5" s="1"/>
  <c r="DA44" i="5"/>
  <c r="CZ52" i="5"/>
  <c r="DA18" i="5"/>
  <c r="CZ53" i="5"/>
  <c r="CZ67" i="5" s="1"/>
  <c r="CZ68" i="5" s="1"/>
  <c r="CZ41" i="5"/>
  <c r="CZ72" i="5"/>
  <c r="CZ8" i="5"/>
  <c r="CZ9" i="5" s="1"/>
  <c r="DA6" i="5" s="1"/>
  <c r="CZ28" i="5"/>
  <c r="CZ29" i="5" s="1"/>
  <c r="DA23" i="5" s="1"/>
  <c r="CZ13" i="5"/>
  <c r="CZ75" i="5" l="1"/>
  <c r="DA7" i="5"/>
  <c r="DA46" i="5"/>
  <c r="DA24" i="5"/>
  <c r="DA33" i="5"/>
  <c r="DA34" i="5"/>
  <c r="DA57" i="5"/>
  <c r="DA56" i="5" s="1"/>
  <c r="DA60" i="5" s="1"/>
  <c r="DA62" i="5" s="1"/>
  <c r="DA63" i="5" s="1"/>
  <c r="DA66" i="5" s="1"/>
  <c r="DA25" i="5"/>
  <c r="DA27" i="5" s="1"/>
  <c r="DA92" i="5"/>
  <c r="DA91" i="5" s="1"/>
  <c r="DA97" i="5"/>
  <c r="CZ47" i="5"/>
  <c r="CZ49" i="5" s="1"/>
  <c r="DA45" i="5" s="1"/>
  <c r="CZ80" i="5"/>
  <c r="CZ81" i="5" s="1"/>
  <c r="CZ82" i="5" s="1"/>
  <c r="CZ83" i="5" s="1"/>
  <c r="CZ84" i="5" s="1"/>
  <c r="CZ85" i="5" s="1"/>
  <c r="CZ89" i="5" s="1"/>
  <c r="CZ90" i="5" s="1"/>
  <c r="CZ93" i="5" s="1"/>
  <c r="DA51" i="5"/>
  <c r="CZ98" i="5"/>
  <c r="CZ100" i="5" s="1"/>
  <c r="CZ103" i="5" s="1"/>
  <c r="DA96" i="5" s="1"/>
  <c r="CZ15" i="5"/>
  <c r="CZ17" i="5" s="1"/>
  <c r="CZ19" i="5" s="1"/>
  <c r="CZ20" i="5" s="1"/>
  <c r="DA8" i="5" s="1"/>
  <c r="DA9" i="5" s="1"/>
  <c r="DB6" i="5" s="1"/>
  <c r="DA12" i="5"/>
  <c r="DA36" i="5" l="1"/>
  <c r="DA37" i="5" s="1"/>
  <c r="DA38" i="5" s="1"/>
  <c r="DA40" i="5" s="1"/>
  <c r="DA72" i="5"/>
  <c r="DA13" i="5"/>
  <c r="DA78" i="5"/>
  <c r="DA79" i="5" s="1"/>
  <c r="DB44" i="5"/>
  <c r="DB12" i="5" s="1"/>
  <c r="DB18" i="5"/>
  <c r="DA52" i="5"/>
  <c r="DA53" i="5"/>
  <c r="DA67" i="5" s="1"/>
  <c r="DA68" i="5" s="1"/>
  <c r="DA28" i="5"/>
  <c r="DA29" i="5" s="1"/>
  <c r="DB23" i="5" s="1"/>
  <c r="DA75" i="5" l="1"/>
  <c r="DA73" i="5"/>
  <c r="DB32" i="5"/>
  <c r="DA41" i="5"/>
  <c r="DB33" i="5" l="1"/>
  <c r="DB7" i="5"/>
  <c r="DB97" i="5"/>
  <c r="DA80" i="5"/>
  <c r="DA81" i="5" s="1"/>
  <c r="DA82" i="5" s="1"/>
  <c r="DA83" i="5" s="1"/>
  <c r="DA84" i="5" s="1"/>
  <c r="DA85" i="5" s="1"/>
  <c r="DA89" i="5" s="1"/>
  <c r="DA90" i="5" s="1"/>
  <c r="DA93" i="5" s="1"/>
  <c r="DB24" i="5"/>
  <c r="DB25" i="5"/>
  <c r="DA98" i="5"/>
  <c r="DA100" i="5" s="1"/>
  <c r="DB34" i="5"/>
  <c r="DA47" i="5"/>
  <c r="DA49" i="5" s="1"/>
  <c r="DA15" i="5"/>
  <c r="DA17" i="5" s="1"/>
  <c r="DA19" i="5" s="1"/>
  <c r="DB57" i="5"/>
  <c r="DB56" i="5" s="1"/>
  <c r="DB60" i="5" s="1"/>
  <c r="DB62" i="5" s="1"/>
  <c r="DB63" i="5" s="1"/>
  <c r="DB66" i="5" s="1"/>
  <c r="DB46" i="5"/>
  <c r="DA103" i="5" l="1"/>
  <c r="DB96" i="5" s="1"/>
  <c r="DA102" i="5"/>
  <c r="DA104" i="5" s="1"/>
  <c r="DB45" i="5"/>
  <c r="DB36" i="5"/>
  <c r="DB37" i="5" s="1"/>
  <c r="DB38" i="5" s="1"/>
  <c r="DB40" i="5" s="1"/>
  <c r="DB27" i="5"/>
  <c r="DA20" i="5"/>
  <c r="DB8" i="5" s="1"/>
  <c r="DB9" i="5" s="1"/>
  <c r="DC6" i="5" s="1"/>
  <c r="DB13" i="5"/>
  <c r="DB28" i="5" l="1"/>
  <c r="DB29" i="5" s="1"/>
  <c r="DC23" i="5" s="1"/>
  <c r="DC32" i="5"/>
  <c r="DB41" i="5"/>
  <c r="DB47" i="5" l="1"/>
  <c r="DB49" i="5" s="1"/>
  <c r="DB51" i="5" s="1"/>
  <c r="DC7" i="5"/>
  <c r="DC57" i="5"/>
  <c r="DC56" i="5" s="1"/>
  <c r="DC60" i="5" s="1"/>
  <c r="DC62" i="5" s="1"/>
  <c r="DC63" i="5" s="1"/>
  <c r="DC66" i="5" s="1"/>
  <c r="DC97" i="5"/>
  <c r="DC46" i="5"/>
  <c r="DC33" i="5"/>
  <c r="DB98" i="5"/>
  <c r="DB100" i="5" s="1"/>
  <c r="DC34" i="5"/>
  <c r="DB15" i="5"/>
  <c r="DB17" i="5" s="1"/>
  <c r="DB19" i="5" s="1"/>
  <c r="DB20" i="5" s="1"/>
  <c r="DC24" i="5"/>
  <c r="DC25" i="5"/>
  <c r="DC27" i="5" s="1"/>
  <c r="DC36" i="5" l="1"/>
  <c r="DC37" i="5" s="1"/>
  <c r="DC38" i="5" s="1"/>
  <c r="DC40" i="5" s="1"/>
  <c r="DD32" i="5" s="1"/>
  <c r="DB102" i="5"/>
  <c r="DB104" i="5" s="1"/>
  <c r="DB103" i="5"/>
  <c r="DC96" i="5" s="1"/>
  <c r="DC8" i="5"/>
  <c r="DC9" i="5" s="1"/>
  <c r="DD6" i="5" s="1"/>
  <c r="DC28" i="5"/>
  <c r="DC29" i="5" s="1"/>
  <c r="DD23" i="5" s="1"/>
  <c r="DB78" i="5"/>
  <c r="DC44" i="5"/>
  <c r="DB52" i="5"/>
  <c r="DC18" i="5"/>
  <c r="DB53" i="5"/>
  <c r="DB67" i="5" s="1"/>
  <c r="DB68" i="5" s="1"/>
  <c r="DC41" i="5" l="1"/>
  <c r="DD7" i="5" s="1"/>
  <c r="DC45" i="5"/>
  <c r="DC12" i="5"/>
  <c r="DC13" i="5" s="1"/>
  <c r="DB79" i="5"/>
  <c r="DB80" i="5"/>
  <c r="DD25" i="5"/>
  <c r="DC98" i="5"/>
  <c r="DC100" i="5" s="1"/>
  <c r="DC102" i="5" s="1"/>
  <c r="DC104" i="5" s="1"/>
  <c r="DD57" i="5"/>
  <c r="DD56" i="5" s="1"/>
  <c r="DD60" i="5" s="1"/>
  <c r="DD62" i="5" s="1"/>
  <c r="DD63" i="5" s="1"/>
  <c r="DD66" i="5" s="1"/>
  <c r="DC15" i="5"/>
  <c r="DC17" i="5" s="1"/>
  <c r="DC19" i="5" s="1"/>
  <c r="DC20" i="5" s="1"/>
  <c r="DD24" i="5"/>
  <c r="DD33" i="5"/>
  <c r="DD34" i="5"/>
  <c r="DC47" i="5"/>
  <c r="DC49" i="5" s="1"/>
  <c r="DC51" i="5" s="1"/>
  <c r="DD44" i="5" s="1"/>
  <c r="DD97" i="5"/>
  <c r="DD46" i="5" l="1"/>
  <c r="DC103" i="5"/>
  <c r="DD96" i="5" s="1"/>
  <c r="DD27" i="5"/>
  <c r="DD36" i="5"/>
  <c r="DD37" i="5" s="1"/>
  <c r="DD38" i="5" s="1"/>
  <c r="DD40" i="5" s="1"/>
  <c r="DE32" i="5" s="1"/>
  <c r="DC52" i="5"/>
  <c r="DC78" i="5"/>
  <c r="DC79" i="5" s="1"/>
  <c r="DC80" i="5" s="1"/>
  <c r="DD18" i="5"/>
  <c r="DC53" i="5"/>
  <c r="DC67" i="5" s="1"/>
  <c r="DC68" i="5" s="1"/>
  <c r="DD12" i="5"/>
  <c r="DD13" i="5" s="1"/>
  <c r="DD45" i="5"/>
  <c r="DB81" i="5"/>
  <c r="DD8" i="5"/>
  <c r="DD9" i="5" s="1"/>
  <c r="DE6" i="5" s="1"/>
  <c r="DD28" i="5"/>
  <c r="DD29" i="5" s="1"/>
  <c r="DE23" i="5" s="1"/>
  <c r="DD41" i="5" l="1"/>
  <c r="DB82" i="5"/>
  <c r="DB83" i="5" s="1"/>
  <c r="DB84" i="5" s="1"/>
  <c r="DB85" i="5" s="1"/>
  <c r="DB89" i="5" s="1"/>
  <c r="DB90" i="5" s="1"/>
  <c r="DE97" i="5"/>
  <c r="DE25" i="5"/>
  <c r="DE7" i="5"/>
  <c r="DE57" i="5"/>
  <c r="DE56" i="5" s="1"/>
  <c r="DE60" i="5" s="1"/>
  <c r="DE62" i="5" s="1"/>
  <c r="DE63" i="5" s="1"/>
  <c r="DE66" i="5" s="1"/>
  <c r="DE33" i="5"/>
  <c r="DE24" i="5"/>
  <c r="DE102" i="5"/>
  <c r="DE104" i="5" s="1"/>
  <c r="DE34" i="5"/>
  <c r="DD98" i="5"/>
  <c r="DD100" i="5" s="1"/>
  <c r="DD15" i="5"/>
  <c r="DD17" i="5" s="1"/>
  <c r="DD19" i="5" s="1"/>
  <c r="DD20" i="5" s="1"/>
  <c r="DD47" i="5"/>
  <c r="DD49" i="5" s="1"/>
  <c r="DD51" i="5" s="1"/>
  <c r="DC81" i="5"/>
  <c r="DC82" i="5" s="1"/>
  <c r="DE36" i="5" l="1"/>
  <c r="DE37" i="5" s="1"/>
  <c r="DE38" i="5" s="1"/>
  <c r="DE40" i="5" s="1"/>
  <c r="DF32" i="5" s="1"/>
  <c r="DB93" i="5"/>
  <c r="DB92" i="5"/>
  <c r="DE27" i="5"/>
  <c r="DE28" i="5" s="1"/>
  <c r="DE29" i="5" s="1"/>
  <c r="DF23" i="5" s="1"/>
  <c r="DD53" i="5"/>
  <c r="DD67" i="5" s="1"/>
  <c r="DD68" i="5" s="1"/>
  <c r="DE18" i="5"/>
  <c r="DD78" i="5"/>
  <c r="DD52" i="5"/>
  <c r="DE44" i="5"/>
  <c r="DE12" i="5" s="1"/>
  <c r="DE13" i="5" s="1"/>
  <c r="DE46" i="5"/>
  <c r="DE45" i="5" s="1"/>
  <c r="DE8" i="5"/>
  <c r="DE9" i="5" s="1"/>
  <c r="DF6" i="5" s="1"/>
  <c r="DC83" i="5"/>
  <c r="DB91" i="5"/>
  <c r="DB72" i="5"/>
  <c r="DC84" i="5"/>
  <c r="DC85" i="5" s="1"/>
  <c r="DC89" i="5" s="1"/>
  <c r="DC90" i="5" s="1"/>
  <c r="DD102" i="5"/>
  <c r="DD104" i="5" s="1"/>
  <c r="DE41" i="5"/>
  <c r="DD79" i="5" l="1"/>
  <c r="DD80" i="5"/>
  <c r="DD81" i="5" s="1"/>
  <c r="DD82" i="5" s="1"/>
  <c r="DC92" i="5"/>
  <c r="DC93" i="5"/>
  <c r="DB73" i="5"/>
  <c r="DC72" i="5" s="1"/>
  <c r="DB75" i="5"/>
  <c r="DF46" i="5"/>
  <c r="DF57" i="5"/>
  <c r="DF56" i="5" s="1"/>
  <c r="DF60" i="5" s="1"/>
  <c r="DF62" i="5" s="1"/>
  <c r="DF63" i="5" s="1"/>
  <c r="DF66" i="5" s="1"/>
  <c r="DF92" i="5"/>
  <c r="DF91" i="5" s="1"/>
  <c r="DE15" i="5"/>
  <c r="DE17" i="5" s="1"/>
  <c r="DE19" i="5" s="1"/>
  <c r="DE20" i="5" s="1"/>
  <c r="DF8" i="5" s="1"/>
  <c r="DF51" i="5"/>
  <c r="DF97" i="5"/>
  <c r="DF102" i="5"/>
  <c r="DF104" i="5" s="1"/>
  <c r="DF24" i="5"/>
  <c r="DF33" i="5"/>
  <c r="DF36" i="5" s="1"/>
  <c r="DF37" i="5" s="1"/>
  <c r="DF38" i="5" s="1"/>
  <c r="DF40" i="5" s="1"/>
  <c r="DG32" i="5" s="1"/>
  <c r="DF25" i="5"/>
  <c r="DE98" i="5"/>
  <c r="DE47" i="5"/>
  <c r="DE49" i="5" s="1"/>
  <c r="DE51" i="5" s="1"/>
  <c r="DF34" i="5"/>
  <c r="DF7" i="5"/>
  <c r="DD103" i="5"/>
  <c r="DE96" i="5" s="1"/>
  <c r="DF9" i="5"/>
  <c r="DG6" i="5" s="1"/>
  <c r="DF27" i="5" l="1"/>
  <c r="DF28" i="5" s="1"/>
  <c r="DF29" i="5" s="1"/>
  <c r="DG23" i="5" s="1"/>
  <c r="DE100" i="5"/>
  <c r="DE103" i="5" s="1"/>
  <c r="DF96" i="5" s="1"/>
  <c r="DC73" i="5"/>
  <c r="DC75" i="5"/>
  <c r="DF41" i="5"/>
  <c r="DF52" i="5"/>
  <c r="DF78" i="5"/>
  <c r="DF53" i="5"/>
  <c r="DF67" i="5" s="1"/>
  <c r="DG18" i="5"/>
  <c r="DE53" i="5"/>
  <c r="DE67" i="5" s="1"/>
  <c r="DE68" i="5" s="1"/>
  <c r="DF18" i="5"/>
  <c r="DE78" i="5"/>
  <c r="DF44" i="5"/>
  <c r="DE52" i="5"/>
  <c r="DC91" i="5"/>
  <c r="DD83" i="5"/>
  <c r="DD84" i="5" s="1"/>
  <c r="DD85" i="5" s="1"/>
  <c r="DD89" i="5" s="1"/>
  <c r="DD90" i="5" s="1"/>
  <c r="DF68" i="5" l="1"/>
  <c r="DF12" i="5"/>
  <c r="DF13" i="5" s="1"/>
  <c r="DF45" i="5"/>
  <c r="DE79" i="5"/>
  <c r="DE80" i="5" s="1"/>
  <c r="DE81" i="5" s="1"/>
  <c r="DE82" i="5"/>
  <c r="DG44" i="5"/>
  <c r="DG24" i="5"/>
  <c r="DG97" i="5"/>
  <c r="DF47" i="5"/>
  <c r="DG57" i="5"/>
  <c r="DG56" i="5" s="1"/>
  <c r="DG60" i="5" s="1"/>
  <c r="DG62" i="5" s="1"/>
  <c r="DG63" i="5" s="1"/>
  <c r="DG66" i="5" s="1"/>
  <c r="DG33" i="5"/>
  <c r="DG25" i="5"/>
  <c r="DG102" i="5"/>
  <c r="DG104" i="5" s="1"/>
  <c r="DG92" i="5"/>
  <c r="DG91" i="5" s="1"/>
  <c r="DF98" i="5"/>
  <c r="DF100" i="5" s="1"/>
  <c r="DF103" i="5" s="1"/>
  <c r="DG96" i="5" s="1"/>
  <c r="DG7" i="5"/>
  <c r="DF15" i="5"/>
  <c r="DG46" i="5"/>
  <c r="DG34" i="5"/>
  <c r="DG51" i="5"/>
  <c r="DD92" i="5"/>
  <c r="DD93" i="5"/>
  <c r="DG36" i="5" l="1"/>
  <c r="DG37" i="5" s="1"/>
  <c r="DG38" i="5" s="1"/>
  <c r="DG40" i="5" s="1"/>
  <c r="DG27" i="5"/>
  <c r="DD91" i="5"/>
  <c r="DD72" i="5"/>
  <c r="DG53" i="5"/>
  <c r="DG67" i="5" s="1"/>
  <c r="DG78" i="5"/>
  <c r="DG79" i="5" s="1"/>
  <c r="DG52" i="5"/>
  <c r="DH18" i="5"/>
  <c r="DH44" i="5"/>
  <c r="DG41" i="5"/>
  <c r="DH32" i="5"/>
  <c r="DF79" i="5"/>
  <c r="DF80" i="5" s="1"/>
  <c r="DF81" i="5" s="1"/>
  <c r="DF82" i="5" s="1"/>
  <c r="DE83" i="5"/>
  <c r="DE84" i="5" s="1"/>
  <c r="DE85" i="5" s="1"/>
  <c r="DE89" i="5" s="1"/>
  <c r="DE90" i="5" s="1"/>
  <c r="DG68" i="5"/>
  <c r="DF49" i="5"/>
  <c r="DG45" i="5" s="1"/>
  <c r="DG12" i="5"/>
  <c r="DF17" i="5"/>
  <c r="DF19" i="5" s="1"/>
  <c r="DF20" i="5" s="1"/>
  <c r="DH34" i="5" l="1"/>
  <c r="DG98" i="5"/>
  <c r="DG100" i="5" s="1"/>
  <c r="DG103" i="5" s="1"/>
  <c r="DH96" i="5" s="1"/>
  <c r="DH57" i="5"/>
  <c r="DH56" i="5" s="1"/>
  <c r="DH60" i="5" s="1"/>
  <c r="DH62" i="5" s="1"/>
  <c r="DH63" i="5" s="1"/>
  <c r="DH66" i="5" s="1"/>
  <c r="DH25" i="5"/>
  <c r="DG47" i="5"/>
  <c r="DG49" i="5" s="1"/>
  <c r="DH24" i="5"/>
  <c r="DH46" i="5"/>
  <c r="DH45" i="5" s="1"/>
  <c r="DH92" i="5"/>
  <c r="DH91" i="5" s="1"/>
  <c r="DG15" i="5"/>
  <c r="DH97" i="5"/>
  <c r="DH102" i="5"/>
  <c r="DH104" i="5" s="1"/>
  <c r="DH33" i="5"/>
  <c r="DH36" i="5" s="1"/>
  <c r="DH12" i="5"/>
  <c r="DG80" i="5"/>
  <c r="DG81" i="5" s="1"/>
  <c r="DG28" i="5"/>
  <c r="DG29" i="5" s="1"/>
  <c r="DH23" i="5" s="1"/>
  <c r="DG8" i="5"/>
  <c r="DG9" i="5" s="1"/>
  <c r="DH6" i="5" s="1"/>
  <c r="DE92" i="5"/>
  <c r="DE93" i="5"/>
  <c r="DD75" i="5"/>
  <c r="DD73" i="5"/>
  <c r="DE72" i="5"/>
  <c r="DG13" i="5"/>
  <c r="DG17" i="5" s="1"/>
  <c r="DG19" i="5" s="1"/>
  <c r="DG20" i="5" s="1"/>
  <c r="DH7" i="5" l="1"/>
  <c r="DH13" i="5"/>
  <c r="DH37" i="5"/>
  <c r="DH38" i="5" s="1"/>
  <c r="DH40" i="5" s="1"/>
  <c r="DI32" i="5"/>
  <c r="DH41" i="5"/>
  <c r="DE75" i="5"/>
  <c r="DE73" i="5"/>
  <c r="DF72" i="5" s="1"/>
  <c r="DH9" i="5"/>
  <c r="DI6" i="5" s="1"/>
  <c r="DF83" i="5"/>
  <c r="DF84" i="5" s="1"/>
  <c r="DF85" i="5" s="1"/>
  <c r="DF89" i="5" s="1"/>
  <c r="DF90" i="5" s="1"/>
  <c r="DF93" i="5" s="1"/>
  <c r="DE91" i="5"/>
  <c r="DH27" i="5"/>
  <c r="DH28" i="5" s="1"/>
  <c r="DH29" i="5" s="1"/>
  <c r="DI23" i="5" s="1"/>
  <c r="DH8" i="5"/>
  <c r="DG82" i="5"/>
  <c r="DG83" i="5" l="1"/>
  <c r="DG84" i="5" s="1"/>
  <c r="DG85" i="5" s="1"/>
  <c r="DG89" i="5" s="1"/>
  <c r="DG90" i="5" s="1"/>
  <c r="DG93" i="5" s="1"/>
  <c r="DF73" i="5"/>
  <c r="DG72" i="5" s="1"/>
  <c r="DF75" i="5"/>
  <c r="DI34" i="5"/>
  <c r="DI33" i="5"/>
  <c r="DI36" i="5" s="1"/>
  <c r="DI37" i="5" s="1"/>
  <c r="DI38" i="5" s="1"/>
  <c r="DI40" i="5" s="1"/>
  <c r="DJ32" i="5" s="1"/>
  <c r="DH47" i="5"/>
  <c r="DH49" i="5" s="1"/>
  <c r="DH51" i="5" s="1"/>
  <c r="DI24" i="5"/>
  <c r="DI27" i="5" s="1"/>
  <c r="DI92" i="5"/>
  <c r="DI91" i="5" s="1"/>
  <c r="DI7" i="5"/>
  <c r="DH15" i="5"/>
  <c r="DH17" i="5" s="1"/>
  <c r="DH19" i="5" s="1"/>
  <c r="DH20" i="5" s="1"/>
  <c r="DI8" i="5" s="1"/>
  <c r="DI25" i="5"/>
  <c r="DI97" i="5"/>
  <c r="DH98" i="5"/>
  <c r="DH100" i="5" s="1"/>
  <c r="DH103" i="5" s="1"/>
  <c r="DI96" i="5" s="1"/>
  <c r="DI102" i="5"/>
  <c r="DI104" i="5" s="1"/>
  <c r="DI57" i="5"/>
  <c r="DI56" i="5" s="1"/>
  <c r="DI60" i="5" s="1"/>
  <c r="DI62" i="5" s="1"/>
  <c r="DI63" i="5" s="1"/>
  <c r="DI66" i="5" s="1"/>
  <c r="DI9" i="5" l="1"/>
  <c r="DJ6" i="5" s="1"/>
  <c r="DI41" i="5"/>
  <c r="DI18" i="5"/>
  <c r="DH78" i="5"/>
  <c r="DH53" i="5"/>
  <c r="DH67" i="5" s="1"/>
  <c r="DH68" i="5" s="1"/>
  <c r="DH52" i="5"/>
  <c r="DI44" i="5"/>
  <c r="DI28" i="5"/>
  <c r="DI29" i="5" s="1"/>
  <c r="DJ23" i="5" s="1"/>
  <c r="DG75" i="5"/>
  <c r="DG73" i="5"/>
  <c r="DH72" i="5" s="1"/>
  <c r="DI46" i="5"/>
  <c r="DH75" i="5" l="1"/>
  <c r="DH73" i="5"/>
  <c r="DI72" i="5" s="1"/>
  <c r="DI45" i="5"/>
  <c r="DI12" i="5"/>
  <c r="DI13" i="5" s="1"/>
  <c r="DH79" i="5"/>
  <c r="DH80" i="5"/>
  <c r="DJ44" i="5"/>
  <c r="DJ33" i="5"/>
  <c r="DJ97" i="5"/>
  <c r="DJ92" i="5"/>
  <c r="DJ91" i="5" s="1"/>
  <c r="DJ102" i="5"/>
  <c r="DJ104" i="5" s="1"/>
  <c r="DI15" i="5"/>
  <c r="DJ57" i="5"/>
  <c r="DJ56" i="5" s="1"/>
  <c r="DJ60" i="5" s="1"/>
  <c r="DJ62" i="5" s="1"/>
  <c r="DJ63" i="5" s="1"/>
  <c r="DJ66" i="5" s="1"/>
  <c r="DJ7" i="5"/>
  <c r="DJ24" i="5"/>
  <c r="DJ27" i="5" s="1"/>
  <c r="DI98" i="5"/>
  <c r="DI100" i="5" s="1"/>
  <c r="DI103" i="5" s="1"/>
  <c r="DJ96" i="5" s="1"/>
  <c r="DJ34" i="5"/>
  <c r="DJ25" i="5"/>
  <c r="DI47" i="5"/>
  <c r="DI49" i="5" s="1"/>
  <c r="DI51" i="5" s="1"/>
  <c r="DI78" i="5" s="1"/>
  <c r="DJ46" i="5" l="1"/>
  <c r="DH81" i="5"/>
  <c r="DH82" i="5" s="1"/>
  <c r="DI52" i="5"/>
  <c r="DJ18" i="5"/>
  <c r="DI53" i="5"/>
  <c r="DI67" i="5" s="1"/>
  <c r="DI68" i="5" s="1"/>
  <c r="DJ12" i="5"/>
  <c r="DJ45" i="5"/>
  <c r="DJ36" i="5"/>
  <c r="DJ37" i="5" s="1"/>
  <c r="DJ38" i="5" s="1"/>
  <c r="DJ40" i="5" s="1"/>
  <c r="DI17" i="5"/>
  <c r="DI19" i="5" s="1"/>
  <c r="DI20" i="5" s="1"/>
  <c r="DI75" i="5"/>
  <c r="DI73" i="5"/>
  <c r="DJ72" i="5" s="1"/>
  <c r="DH83" i="5"/>
  <c r="DH84" i="5" s="1"/>
  <c r="DH85" i="5" s="1"/>
  <c r="DH89" i="5" s="1"/>
  <c r="DH90" i="5" s="1"/>
  <c r="DH93" i="5" s="1"/>
  <c r="DI79" i="5"/>
  <c r="DI80" i="5" s="1"/>
  <c r="DI81" i="5" s="1"/>
  <c r="DI82" i="5" s="1"/>
  <c r="DI83" i="5" l="1"/>
  <c r="DI84" i="5" s="1"/>
  <c r="DI85" i="5" s="1"/>
  <c r="DI89" i="5" s="1"/>
  <c r="DI90" i="5" s="1"/>
  <c r="DI93" i="5" s="1"/>
  <c r="DK32" i="5"/>
  <c r="DJ41" i="5"/>
  <c r="DJ75" i="5"/>
  <c r="DJ73" i="5"/>
  <c r="DJ28" i="5"/>
  <c r="DJ29" i="5" s="1"/>
  <c r="DK23" i="5" s="1"/>
  <c r="DJ8" i="5"/>
  <c r="DJ9" i="5" s="1"/>
  <c r="DK6" i="5" s="1"/>
  <c r="DJ13" i="5"/>
  <c r="DK24" i="5" l="1"/>
  <c r="DK25" i="5"/>
  <c r="DJ47" i="5"/>
  <c r="DJ49" i="5" s="1"/>
  <c r="DK92" i="5"/>
  <c r="DK33" i="5"/>
  <c r="DJ15" i="5"/>
  <c r="DJ17" i="5" s="1"/>
  <c r="DJ19" i="5" s="1"/>
  <c r="DK7" i="5"/>
  <c r="DK34" i="5"/>
  <c r="DJ98" i="5"/>
  <c r="DJ100" i="5" s="1"/>
  <c r="DJ103" i="5" s="1"/>
  <c r="DK96" i="5" s="1"/>
  <c r="DK102" i="5"/>
  <c r="DK104" i="5" s="1"/>
  <c r="DK57" i="5"/>
  <c r="DK56" i="5" s="1"/>
  <c r="DK60" i="5" s="1"/>
  <c r="DK62" i="5" s="1"/>
  <c r="DK63" i="5" s="1"/>
  <c r="DK66" i="5" s="1"/>
  <c r="DK97" i="5"/>
  <c r="DK36" i="5" l="1"/>
  <c r="DK37" i="5" s="1"/>
  <c r="DK38" i="5" s="1"/>
  <c r="DK40" i="5" s="1"/>
  <c r="DL32" i="5" s="1"/>
  <c r="DJ51" i="5"/>
  <c r="DK27" i="5"/>
  <c r="DJ20" i="5"/>
  <c r="DK91" i="5"/>
  <c r="DK72" i="5"/>
  <c r="DK41" i="5" l="1"/>
  <c r="DJ78" i="5"/>
  <c r="DJ79" i="5" s="1"/>
  <c r="DJ80" i="5" s="1"/>
  <c r="DJ81" i="5" s="1"/>
  <c r="DJ82" i="5" s="1"/>
  <c r="DJ83" i="5" s="1"/>
  <c r="DJ84" i="5" s="1"/>
  <c r="DJ85" i="5" s="1"/>
  <c r="DJ89" i="5" s="1"/>
  <c r="DJ90" i="5" s="1"/>
  <c r="DJ93" i="5" s="1"/>
  <c r="DJ53" i="5"/>
  <c r="DJ67" i="5" s="1"/>
  <c r="DJ68" i="5" s="1"/>
  <c r="DK44" i="5"/>
  <c r="DK18" i="5"/>
  <c r="DJ52" i="5"/>
  <c r="DK46" i="5"/>
  <c r="DK75" i="5"/>
  <c r="DK73" i="5"/>
  <c r="DK8" i="5"/>
  <c r="DK9" i="5" s="1"/>
  <c r="DL6" i="5" s="1"/>
  <c r="DK28" i="5"/>
  <c r="DK29" i="5" s="1"/>
  <c r="DL23" i="5" s="1"/>
  <c r="DL33" i="5"/>
  <c r="DK98" i="5"/>
  <c r="DK100" i="5" s="1"/>
  <c r="DK103" i="5" s="1"/>
  <c r="DL96" i="5" s="1"/>
  <c r="DL46" i="5"/>
  <c r="DL34" i="5"/>
  <c r="DL97" i="5"/>
  <c r="DL51" i="5"/>
  <c r="DL102" i="5"/>
  <c r="DL104" i="5" s="1"/>
  <c r="DL25" i="5"/>
  <c r="DL92" i="5"/>
  <c r="DL91" i="5" s="1"/>
  <c r="DK15" i="5"/>
  <c r="DK47" i="5"/>
  <c r="DL57" i="5"/>
  <c r="DL56" i="5" s="1"/>
  <c r="DL60" i="5" s="1"/>
  <c r="DL62" i="5" s="1"/>
  <c r="DL63" i="5" s="1"/>
  <c r="DL66" i="5" s="1"/>
  <c r="DL24" i="5"/>
  <c r="DL36" i="5" l="1"/>
  <c r="DL37" i="5" s="1"/>
  <c r="DL38" i="5" s="1"/>
  <c r="DL40" i="5" s="1"/>
  <c r="DL7" i="5"/>
  <c r="DK12" i="5"/>
  <c r="DK13" i="5" s="1"/>
  <c r="DK17" i="5" s="1"/>
  <c r="DK19" i="5" s="1"/>
  <c r="DK20" i="5" s="1"/>
  <c r="DL8" i="5" s="1"/>
  <c r="DL9" i="5" s="1"/>
  <c r="DM6" i="5" s="1"/>
  <c r="DK45" i="5"/>
  <c r="DK49" i="5" s="1"/>
  <c r="DK51" i="5" s="1"/>
  <c r="DM32" i="5"/>
  <c r="DL41" i="5"/>
  <c r="DL72" i="5"/>
  <c r="DM18" i="5"/>
  <c r="DL53" i="5"/>
  <c r="DL67" i="5" s="1"/>
  <c r="DL52" i="5"/>
  <c r="DL78" i="5"/>
  <c r="DL27" i="5"/>
  <c r="DL18" i="5" l="1"/>
  <c r="DL44" i="5"/>
  <c r="DL12" i="5" s="1"/>
  <c r="DL13" i="5" s="1"/>
  <c r="DK52" i="5"/>
  <c r="DK78" i="5"/>
  <c r="DK79" i="5" s="1"/>
  <c r="DK53" i="5"/>
  <c r="DK67" i="5" s="1"/>
  <c r="DK68" i="5" s="1"/>
  <c r="DL28" i="5"/>
  <c r="DL29" i="5" s="1"/>
  <c r="DM23" i="5" s="1"/>
  <c r="DL68" i="5"/>
  <c r="DL45" i="5"/>
  <c r="DL73" i="5"/>
  <c r="DL75" i="5"/>
  <c r="DM44" i="5"/>
  <c r="DM92" i="5"/>
  <c r="DM91" i="5" s="1"/>
  <c r="DL98" i="5"/>
  <c r="DL100" i="5" s="1"/>
  <c r="DL103" i="5" s="1"/>
  <c r="DM96" i="5" s="1"/>
  <c r="DM24" i="5"/>
  <c r="DM57" i="5"/>
  <c r="DM56" i="5" s="1"/>
  <c r="DM60" i="5" s="1"/>
  <c r="DM62" i="5" s="1"/>
  <c r="DM63" i="5" s="1"/>
  <c r="DM66" i="5" s="1"/>
  <c r="DM97" i="5"/>
  <c r="DL47" i="5"/>
  <c r="DM46" i="5"/>
  <c r="DL15" i="5"/>
  <c r="DM102" i="5"/>
  <c r="DM104" i="5" s="1"/>
  <c r="DM51" i="5"/>
  <c r="DM25" i="5"/>
  <c r="DM34" i="5"/>
  <c r="DM33" i="5"/>
  <c r="DM36" i="5" l="1"/>
  <c r="DL49" i="5"/>
  <c r="DM37" i="5"/>
  <c r="DM38" i="5" s="1"/>
  <c r="DM40" i="5" s="1"/>
  <c r="DN32" i="5" s="1"/>
  <c r="DK80" i="5"/>
  <c r="DL79" i="5" s="1"/>
  <c r="DL17" i="5"/>
  <c r="DL19" i="5" s="1"/>
  <c r="DL20" i="5" s="1"/>
  <c r="DM8" i="5" s="1"/>
  <c r="DM7" i="5"/>
  <c r="DM72" i="5"/>
  <c r="DM75" i="5" s="1"/>
  <c r="DM27" i="5"/>
  <c r="DM28" i="5" s="1"/>
  <c r="DM29" i="5" s="1"/>
  <c r="DN23" i="5" s="1"/>
  <c r="DM12" i="5"/>
  <c r="DM45" i="5"/>
  <c r="DN44" i="5"/>
  <c r="DN12" i="5" s="1"/>
  <c r="DM53" i="5"/>
  <c r="DM67" i="5" s="1"/>
  <c r="DM68" i="5" s="1"/>
  <c r="DM52" i="5"/>
  <c r="DN18" i="5"/>
  <c r="DM78" i="5"/>
  <c r="DM79" i="5" s="1"/>
  <c r="DL80" i="5"/>
  <c r="DM41" i="5"/>
  <c r="DK81" i="5"/>
  <c r="DK82" i="5" s="1"/>
  <c r="DK83" i="5" s="1"/>
  <c r="DK84" i="5" s="1"/>
  <c r="DK85" i="5" s="1"/>
  <c r="DK89" i="5" s="1"/>
  <c r="DK90" i="5" s="1"/>
  <c r="DK93" i="5" s="1"/>
  <c r="DM9" i="5" l="1"/>
  <c r="DN6" i="5" s="1"/>
  <c r="DM73" i="5"/>
  <c r="DM13" i="5"/>
  <c r="DN92" i="5"/>
  <c r="DN91" i="5" s="1"/>
  <c r="DN57" i="5"/>
  <c r="DN56" i="5" s="1"/>
  <c r="DN60" i="5" s="1"/>
  <c r="DN62" i="5" s="1"/>
  <c r="DN63" i="5" s="1"/>
  <c r="DN66" i="5" s="1"/>
  <c r="DM80" i="5"/>
  <c r="DN97" i="5"/>
  <c r="DM15" i="5"/>
  <c r="DM47" i="5"/>
  <c r="DM49" i="5" s="1"/>
  <c r="DN33" i="5"/>
  <c r="DN34" i="5"/>
  <c r="DM98" i="5"/>
  <c r="DM100" i="5" s="1"/>
  <c r="DM103" i="5" s="1"/>
  <c r="DN96" i="5" s="1"/>
  <c r="DN24" i="5"/>
  <c r="DN46" i="5"/>
  <c r="DN25" i="5"/>
  <c r="DL81" i="5"/>
  <c r="DL82" i="5" s="1"/>
  <c r="DL83" i="5" s="1"/>
  <c r="DL84" i="5" s="1"/>
  <c r="DL85" i="5" s="1"/>
  <c r="DL89" i="5" s="1"/>
  <c r="DL90" i="5" s="1"/>
  <c r="DL93" i="5" s="1"/>
  <c r="DN7" i="5"/>
  <c r="DM17" i="5" l="1"/>
  <c r="DM19" i="5" s="1"/>
  <c r="DN45" i="5"/>
  <c r="DN72" i="5"/>
  <c r="DN75" i="5" s="1"/>
  <c r="DN36" i="5"/>
  <c r="DN37" i="5" s="1"/>
  <c r="DN38" i="5" s="1"/>
  <c r="DN40" i="5" s="1"/>
  <c r="DM81" i="5"/>
  <c r="DM82" i="5" s="1"/>
  <c r="DM83" i="5" s="1"/>
  <c r="DM84" i="5" s="1"/>
  <c r="DM85" i="5" s="1"/>
  <c r="DM89" i="5" s="1"/>
  <c r="DM90" i="5" s="1"/>
  <c r="DM93" i="5" s="1"/>
  <c r="DN73" i="5"/>
  <c r="DN27" i="5"/>
  <c r="DN13" i="5"/>
  <c r="DM20" i="5"/>
  <c r="DN8" i="5" l="1"/>
  <c r="DN9" i="5" s="1"/>
  <c r="DO6" i="5" s="1"/>
  <c r="DN28" i="5"/>
  <c r="DN29" i="5" s="1"/>
  <c r="DO23" i="5" s="1"/>
  <c r="DO32" i="5"/>
  <c r="DN41" i="5"/>
  <c r="DO57" i="5" l="1"/>
  <c r="DO56" i="5" s="1"/>
  <c r="DO60" i="5" s="1"/>
  <c r="DO62" i="5" s="1"/>
  <c r="DO63" i="5" s="1"/>
  <c r="DO66" i="5" s="1"/>
  <c r="DN47" i="5"/>
  <c r="DN49" i="5" s="1"/>
  <c r="DN51" i="5" s="1"/>
  <c r="DO34" i="5"/>
  <c r="DN15" i="5"/>
  <c r="DN17" i="5" s="1"/>
  <c r="DN19" i="5" s="1"/>
  <c r="DN20" i="5" s="1"/>
  <c r="DO8" i="5" s="1"/>
  <c r="DO25" i="5"/>
  <c r="DO92" i="5"/>
  <c r="DN98" i="5"/>
  <c r="DN100" i="5" s="1"/>
  <c r="DO97" i="5"/>
  <c r="DO24" i="5"/>
  <c r="DO33" i="5"/>
  <c r="DO7" i="5"/>
  <c r="DO9" i="5" l="1"/>
  <c r="DP6" i="5" s="1"/>
  <c r="DO36" i="5"/>
  <c r="DO37" i="5" s="1"/>
  <c r="DO38" i="5" s="1"/>
  <c r="DO40" i="5" s="1"/>
  <c r="DP32" i="5" s="1"/>
  <c r="DO27" i="5"/>
  <c r="DO28" i="5" s="1"/>
  <c r="DO29" i="5" s="1"/>
  <c r="DP23" i="5" s="1"/>
  <c r="DO41" i="5"/>
  <c r="DN78" i="5"/>
  <c r="DO44" i="5"/>
  <c r="DN53" i="5"/>
  <c r="DN67" i="5" s="1"/>
  <c r="DN68" i="5" s="1"/>
  <c r="DN52" i="5"/>
  <c r="DO18" i="5"/>
  <c r="DO46" i="5"/>
  <c r="DN102" i="5"/>
  <c r="DN104" i="5" s="1"/>
  <c r="DN103" i="5"/>
  <c r="DO96" i="5" s="1"/>
  <c r="DO91" i="5"/>
  <c r="DO72" i="5"/>
  <c r="DO12" i="5" l="1"/>
  <c r="DO13" i="5" s="1"/>
  <c r="DO45" i="5"/>
  <c r="DN79" i="5"/>
  <c r="DN80" i="5"/>
  <c r="DO75" i="5"/>
  <c r="DO73" i="5"/>
  <c r="DP72" i="5" s="1"/>
  <c r="DO15" i="5"/>
  <c r="DO98" i="5"/>
  <c r="DO100" i="5" s="1"/>
  <c r="DO102" i="5" s="1"/>
  <c r="DO104" i="5" s="1"/>
  <c r="DP57" i="5"/>
  <c r="DP56" i="5" s="1"/>
  <c r="DP60" i="5" s="1"/>
  <c r="DP62" i="5" s="1"/>
  <c r="DP63" i="5" s="1"/>
  <c r="DP66" i="5" s="1"/>
  <c r="DP33" i="5"/>
  <c r="DO47" i="5"/>
  <c r="DP34" i="5"/>
  <c r="DP25" i="5"/>
  <c r="DP97" i="5"/>
  <c r="DP7" i="5"/>
  <c r="DP24" i="5"/>
  <c r="DP92" i="5"/>
  <c r="DP91" i="5" s="1"/>
  <c r="DO49" i="5" l="1"/>
  <c r="DO51" i="5" s="1"/>
  <c r="DP75" i="5"/>
  <c r="DP73" i="5"/>
  <c r="DO103" i="5"/>
  <c r="DP96" i="5" s="1"/>
  <c r="DN81" i="5"/>
  <c r="DP27" i="5"/>
  <c r="DP28" i="5" s="1"/>
  <c r="DP29" i="5" s="1"/>
  <c r="DQ23" i="5" s="1"/>
  <c r="DP36" i="5"/>
  <c r="DP37" i="5" s="1"/>
  <c r="DP38" i="5" s="1"/>
  <c r="DP40" i="5" s="1"/>
  <c r="DO17" i="5"/>
  <c r="DO19" i="5" s="1"/>
  <c r="DO20" i="5" s="1"/>
  <c r="DP8" i="5" s="1"/>
  <c r="DP9" i="5" s="1"/>
  <c r="DQ6" i="5" s="1"/>
  <c r="DN82" i="5" l="1"/>
  <c r="DN83" i="5" s="1"/>
  <c r="DN84" i="5" s="1"/>
  <c r="DN85" i="5" s="1"/>
  <c r="DN89" i="5" s="1"/>
  <c r="DN90" i="5" s="1"/>
  <c r="DN93" i="5" s="1"/>
  <c r="DO52" i="5"/>
  <c r="DP18" i="5"/>
  <c r="DP44" i="5"/>
  <c r="DP46" i="5"/>
  <c r="DO78" i="5"/>
  <c r="DO53" i="5"/>
  <c r="DO67" i="5" s="1"/>
  <c r="DO68" i="5" s="1"/>
  <c r="DQ32" i="5"/>
  <c r="DP41" i="5"/>
  <c r="DP12" i="5" l="1"/>
  <c r="DP13" i="5" s="1"/>
  <c r="DP45" i="5"/>
  <c r="DO79" i="5"/>
  <c r="DO80" i="5"/>
  <c r="DO81" i="5" s="1"/>
  <c r="DO82" i="5" s="1"/>
  <c r="DO83" i="5" s="1"/>
  <c r="DO84" i="5" s="1"/>
  <c r="DO85" i="5" s="1"/>
  <c r="DO89" i="5" s="1"/>
  <c r="DO90" i="5" s="1"/>
  <c r="DO93" i="5" s="1"/>
  <c r="DP98" i="5"/>
  <c r="DP100" i="5" s="1"/>
  <c r="DQ34" i="5"/>
  <c r="DQ92" i="5"/>
  <c r="DQ7" i="5"/>
  <c r="DQ24" i="5"/>
  <c r="DQ57" i="5"/>
  <c r="DQ56" i="5" s="1"/>
  <c r="DQ60" i="5" s="1"/>
  <c r="DQ62" i="5" s="1"/>
  <c r="DQ63" i="5" s="1"/>
  <c r="DQ66" i="5" s="1"/>
  <c r="DQ25" i="5"/>
  <c r="DP15" i="5"/>
  <c r="DP17" i="5" s="1"/>
  <c r="DP19" i="5" s="1"/>
  <c r="DQ102" i="5"/>
  <c r="DQ104" i="5" s="1"/>
  <c r="DQ97" i="5"/>
  <c r="DP47" i="5"/>
  <c r="DP49" i="5" s="1"/>
  <c r="DP51" i="5" s="1"/>
  <c r="DQ33" i="5"/>
  <c r="DQ18" i="5" l="1"/>
  <c r="DP52" i="5"/>
  <c r="DP78" i="5"/>
  <c r="DQ44" i="5"/>
  <c r="DQ12" i="5" s="1"/>
  <c r="DP53" i="5"/>
  <c r="DP67" i="5" s="1"/>
  <c r="DP68" i="5" s="1"/>
  <c r="DQ46" i="5"/>
  <c r="DQ45" i="5" s="1"/>
  <c r="DQ36" i="5"/>
  <c r="DQ37" i="5" s="1"/>
  <c r="DQ38" i="5" s="1"/>
  <c r="DQ40" i="5" s="1"/>
  <c r="DQ41" i="5" s="1"/>
  <c r="DQ27" i="5"/>
  <c r="DQ72" i="5"/>
  <c r="DQ91" i="5"/>
  <c r="DP20" i="5"/>
  <c r="DQ8" i="5" s="1"/>
  <c r="DQ9" i="5" s="1"/>
  <c r="DR6" i="5" s="1"/>
  <c r="DQ13" i="5"/>
  <c r="DP102" i="5"/>
  <c r="DP104" i="5" s="1"/>
  <c r="DP103" i="5"/>
  <c r="DQ96" i="5" s="1"/>
  <c r="DR32" i="5" l="1"/>
  <c r="DP79" i="5"/>
  <c r="DP80" i="5"/>
  <c r="DQ75" i="5"/>
  <c r="DQ73" i="5"/>
  <c r="DR72" i="5" s="1"/>
  <c r="DQ28" i="5"/>
  <c r="DQ29" i="5" s="1"/>
  <c r="DR23" i="5" s="1"/>
  <c r="DR46" i="5"/>
  <c r="DR33" i="5"/>
  <c r="DR36" i="5" s="1"/>
  <c r="DR37" i="5" s="1"/>
  <c r="DR38" i="5" s="1"/>
  <c r="DR40" i="5" s="1"/>
  <c r="DR25" i="5"/>
  <c r="DR92" i="5"/>
  <c r="DR91" i="5" s="1"/>
  <c r="DQ98" i="5"/>
  <c r="DQ100" i="5" s="1"/>
  <c r="DQ103" i="5" s="1"/>
  <c r="DR96" i="5" s="1"/>
  <c r="DR24" i="5"/>
  <c r="DR102" i="5"/>
  <c r="DR104" i="5" s="1"/>
  <c r="DQ15" i="5"/>
  <c r="DQ17" i="5" s="1"/>
  <c r="DQ19" i="5" s="1"/>
  <c r="DQ20" i="5" s="1"/>
  <c r="DR8" i="5" s="1"/>
  <c r="DQ47" i="5"/>
  <c r="DQ49" i="5" s="1"/>
  <c r="DQ51" i="5" s="1"/>
  <c r="DR57" i="5"/>
  <c r="DR56" i="5" s="1"/>
  <c r="DR60" i="5" s="1"/>
  <c r="DR62" i="5" s="1"/>
  <c r="DR63" i="5" s="1"/>
  <c r="DR66" i="5" s="1"/>
  <c r="DR97" i="5"/>
  <c r="DR34" i="5"/>
  <c r="DR51" i="5"/>
  <c r="DR27" i="5" l="1"/>
  <c r="DP81" i="5"/>
  <c r="DP82" i="5" s="1"/>
  <c r="DP83" i="5" s="1"/>
  <c r="DP84" i="5" s="1"/>
  <c r="DP85" i="5" s="1"/>
  <c r="DP89" i="5" s="1"/>
  <c r="DP90" i="5" s="1"/>
  <c r="DP93" i="5" s="1"/>
  <c r="DR73" i="5"/>
  <c r="DR75" i="5"/>
  <c r="DS32" i="5"/>
  <c r="DR41" i="5"/>
  <c r="DR68" i="5"/>
  <c r="DR7" i="5"/>
  <c r="DR9" i="5" s="1"/>
  <c r="DS6" i="5" s="1"/>
  <c r="DR44" i="5"/>
  <c r="DQ53" i="5"/>
  <c r="DQ67" i="5" s="1"/>
  <c r="DQ68" i="5" s="1"/>
  <c r="DQ52" i="5"/>
  <c r="DR18" i="5"/>
  <c r="DQ78" i="5"/>
  <c r="DR28" i="5"/>
  <c r="DR29" i="5" s="1"/>
  <c r="DS23" i="5" s="1"/>
  <c r="DR52" i="5"/>
  <c r="DS18" i="5"/>
  <c r="DS44" i="5"/>
  <c r="DS12" i="5" s="1"/>
  <c r="DR78" i="5"/>
  <c r="DR53" i="5"/>
  <c r="DR67" i="5" s="1"/>
  <c r="DR45" i="5" l="1"/>
  <c r="DR12" i="5"/>
  <c r="DR13" i="5" s="1"/>
  <c r="DS46" i="5"/>
  <c r="DS25" i="5"/>
  <c r="DR15" i="5"/>
  <c r="DR17" i="5" s="1"/>
  <c r="DR19" i="5" s="1"/>
  <c r="DR20" i="5" s="1"/>
  <c r="DS8" i="5" s="1"/>
  <c r="DS51" i="5"/>
  <c r="DS57" i="5"/>
  <c r="DS56" i="5" s="1"/>
  <c r="DS60" i="5" s="1"/>
  <c r="DS92" i="5"/>
  <c r="DS34" i="5"/>
  <c r="DS33" i="5"/>
  <c r="DS36" i="5" s="1"/>
  <c r="DS37" i="5" s="1"/>
  <c r="DS38" i="5" s="1"/>
  <c r="DS40" i="5" s="1"/>
  <c r="DS73" i="5"/>
  <c r="DS7" i="5"/>
  <c r="DR47" i="5"/>
  <c r="DR49" i="5" s="1"/>
  <c r="DS45" i="5" s="1"/>
  <c r="DS97" i="5"/>
  <c r="DS102" i="5"/>
  <c r="DS104" i="5" s="1"/>
  <c r="DS24" i="5"/>
  <c r="DR98" i="5"/>
  <c r="DR100" i="5" s="1"/>
  <c r="DR103" i="5" s="1"/>
  <c r="DS96" i="5" s="1"/>
  <c r="DS62" i="5"/>
  <c r="DS63" i="5" s="1"/>
  <c r="DS66" i="5" s="1"/>
  <c r="DQ79" i="5"/>
  <c r="DS27" i="5" l="1"/>
  <c r="DS28" i="5" s="1"/>
  <c r="DS29" i="5" s="1"/>
  <c r="DT23" i="5" s="1"/>
  <c r="DS9" i="5"/>
  <c r="DT6" i="5" s="1"/>
  <c r="DS41" i="5"/>
  <c r="DT32" i="5"/>
  <c r="DS78" i="5"/>
  <c r="DS52" i="5"/>
  <c r="DT18" i="5"/>
  <c r="DS53" i="5"/>
  <c r="DS67" i="5" s="1"/>
  <c r="DS68" i="5" s="1"/>
  <c r="DT44" i="5"/>
  <c r="DT12" i="5" s="1"/>
  <c r="DS91" i="5"/>
  <c r="DS72" i="5"/>
  <c r="DQ80" i="5"/>
  <c r="DR79" i="5" s="1"/>
  <c r="DS13" i="5"/>
  <c r="DR80" i="5" l="1"/>
  <c r="DT33" i="5"/>
  <c r="DT57" i="5"/>
  <c r="DT56" i="5" s="1"/>
  <c r="DT60" i="5" s="1"/>
  <c r="DS98" i="5"/>
  <c r="DS100" i="5" s="1"/>
  <c r="DS103" i="5" s="1"/>
  <c r="DT96" i="5" s="1"/>
  <c r="DT25" i="5"/>
  <c r="DT34" i="5"/>
  <c r="DT36" i="5" s="1"/>
  <c r="DT37" i="5" s="1"/>
  <c r="DT38" i="5" s="1"/>
  <c r="DT40" i="5" s="1"/>
  <c r="DT41" i="5" s="1"/>
  <c r="DT24" i="5"/>
  <c r="DT7" i="5"/>
  <c r="DT102" i="5"/>
  <c r="DT104" i="5" s="1"/>
  <c r="DT97" i="5"/>
  <c r="DT51" i="5"/>
  <c r="DS47" i="5"/>
  <c r="DS49" i="5" s="1"/>
  <c r="DT73" i="5"/>
  <c r="DT62" i="5"/>
  <c r="DT63" i="5" s="1"/>
  <c r="DT66" i="5" s="1"/>
  <c r="DS15" i="5"/>
  <c r="DS17" i="5" s="1"/>
  <c r="DS19" i="5" s="1"/>
  <c r="DS20" i="5" s="1"/>
  <c r="DT8" i="5" s="1"/>
  <c r="DT92" i="5"/>
  <c r="DT91" i="5" s="1"/>
  <c r="DT46" i="5"/>
  <c r="DQ81" i="5"/>
  <c r="DQ82" i="5" s="1"/>
  <c r="DQ83" i="5" s="1"/>
  <c r="DQ84" i="5" s="1"/>
  <c r="DQ85" i="5" s="1"/>
  <c r="DQ89" i="5" s="1"/>
  <c r="DQ90" i="5" s="1"/>
  <c r="DQ93" i="5" s="1"/>
  <c r="DS79" i="5"/>
  <c r="DS80" i="5" s="1"/>
  <c r="DS75" i="5"/>
  <c r="DT72" i="5"/>
  <c r="DT75" i="5" s="1"/>
  <c r="DT47" i="5" l="1"/>
  <c r="DT98" i="5"/>
  <c r="DT100" i="5" s="1"/>
  <c r="DT103" i="5" s="1"/>
  <c r="DT15" i="5"/>
  <c r="DT80" i="5"/>
  <c r="DT13" i="5"/>
  <c r="DT17" i="5" s="1"/>
  <c r="DT19" i="5" s="1"/>
  <c r="DT20" i="5" s="1"/>
  <c r="DT27" i="5"/>
  <c r="DT28" i="5" s="1"/>
  <c r="DT29" i="5" s="1"/>
  <c r="DT52" i="5"/>
  <c r="DT53" i="5"/>
  <c r="DT67" i="5" s="1"/>
  <c r="DT68" i="5" s="1"/>
  <c r="DT78" i="5"/>
  <c r="DT79" i="5" s="1"/>
  <c r="DT45" i="5"/>
  <c r="DT49" i="5" s="1"/>
  <c r="DR81" i="5"/>
  <c r="DT9" i="5"/>
  <c r="DR82" i="5" l="1"/>
  <c r="DR83" i="5" s="1"/>
  <c r="DR84" i="5" s="1"/>
  <c r="DR85" i="5" s="1"/>
  <c r="DR89" i="5" s="1"/>
  <c r="DR90" i="5" s="1"/>
  <c r="DR93" i="5" s="1"/>
  <c r="DS81" i="5"/>
  <c r="DS82" i="5" s="1"/>
  <c r="DS83" i="5" l="1"/>
  <c r="DS84" i="5" s="1"/>
  <c r="DS85" i="5" s="1"/>
  <c r="DS89" i="5" s="1"/>
  <c r="DS90" i="5" s="1"/>
  <c r="DS93" i="5" s="1"/>
  <c r="DT81" i="5"/>
  <c r="DT82" i="5" s="1"/>
  <c r="DT83" i="5" s="1"/>
  <c r="DT84" i="5" s="1"/>
  <c r="DT85" i="5" s="1"/>
  <c r="DT89" i="5" s="1"/>
  <c r="DT90" i="5" s="1"/>
  <c r="DT9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<sst xmlns="http://schemas.openxmlformats.org/spreadsheetml/2006/main" count="732" uniqueCount="241">
  <si>
    <t>Kebiasaan</t>
  </si>
  <si>
    <t>Keterangan</t>
  </si>
  <si>
    <t>Konstanta survei</t>
  </si>
  <si>
    <t>Copy data 1 jam sebelumnya</t>
  </si>
  <si>
    <t>Konstanta umum</t>
  </si>
  <si>
    <t>Variabel</t>
  </si>
  <si>
    <t>Kal. F</t>
  </si>
  <si>
    <t>ABILITY (Koef. Data Fisik = 8.875)</t>
  </si>
  <si>
    <t>IC</t>
  </si>
  <si>
    <t>Tingkat Ability Terkini (Data Fisik maks=8.875)</t>
  </si>
  <si>
    <t>Efek Kelelahan</t>
  </si>
  <si>
    <t>Efek Energi</t>
  </si>
  <si>
    <t>Total Ability 1 jam berikutnya</t>
  </si>
  <si>
    <t>Laju Energi (waktu)</t>
  </si>
  <si>
    <t>Efek Aktivitas</t>
  </si>
  <si>
    <t>Pengaruh Emosi</t>
  </si>
  <si>
    <t>Kalkulasi krn Efek Akt. dan Emosi</t>
  </si>
  <si>
    <t>Kalkulasi krn Efek Makan</t>
  </si>
  <si>
    <t>Total Energi 1 jam berikutnya</t>
  </si>
  <si>
    <t>Konversi Kalori ke Poin</t>
  </si>
  <si>
    <t>KELELAHAN</t>
  </si>
  <si>
    <t>Laju Kelelahan</t>
  </si>
  <si>
    <t>Kalkulasi efek khusus (energi kolom sebelumnya)</t>
  </si>
  <si>
    <t>Total Kelelahan 1 jam berikutnya</t>
  </si>
  <si>
    <t>Tingkat Kantuk Terkini</t>
  </si>
  <si>
    <t>Laju Kantuk</t>
  </si>
  <si>
    <t>Kalkulasi efek khusus (kelelahan kolom sebelumnya)</t>
  </si>
  <si>
    <t>Total Kantuk 1 jam berikutnya</t>
  </si>
  <si>
    <t>Kebiasaan Tidur / Bangun</t>
  </si>
  <si>
    <t>KT / KB</t>
  </si>
  <si>
    <t>KB</t>
  </si>
  <si>
    <t>KT</t>
  </si>
  <si>
    <t>Tidur / Bangun</t>
  </si>
  <si>
    <t>T</t>
  </si>
  <si>
    <t>Laju Lapar</t>
  </si>
  <si>
    <t>Total Lapar 1 jam berikutnya (kalori 1 jam berikutnya)</t>
  </si>
  <si>
    <t>K</t>
  </si>
  <si>
    <t>Tingkat Haus Terkini</t>
  </si>
  <si>
    <t>Laju Haus</t>
  </si>
  <si>
    <t>Total Haus 1 jam berikutnya</t>
  </si>
  <si>
    <t>Efek Minum</t>
  </si>
  <si>
    <t>Efek Minum 20% sampai di kemih (mL)</t>
  </si>
  <si>
    <t>Efek Makan 5% sampai di kemih (mL)</t>
  </si>
  <si>
    <t>Laju Kemih (mL/jam) survei</t>
  </si>
  <si>
    <t>Ada di Kemih</t>
  </si>
  <si>
    <t>Volume Urine sekali BAK (mL) survei</t>
  </si>
  <si>
    <t>Sisa di Kemih (mL)</t>
  </si>
  <si>
    <t>Konversi mL ke Poin</t>
  </si>
  <si>
    <t>DEFEKASI (threshold = 39.085 gr/cm2 = 28.747 mmhg)</t>
  </si>
  <si>
    <t>Efek Makan (survei = 10 mnt)</t>
  </si>
  <si>
    <t>Ada di Lambung</t>
  </si>
  <si>
    <t>Laju Lambung ke Usus Halus</t>
  </si>
  <si>
    <t>Ada di Usus Halus</t>
  </si>
  <si>
    <t>Laju dari Usus Halus ke Kolon</t>
  </si>
  <si>
    <t>Ada di Kolon</t>
  </si>
  <si>
    <t xml:space="preserve">Ada di ujung Kolon </t>
  </si>
  <si>
    <t>Laju dari Kolon ke Rektum (*luas penampang kolon)</t>
  </si>
  <si>
    <t>Ada di Akhir Kolon ke Rektum</t>
  </si>
  <si>
    <t>Tingkat Defekasi Terkini mmhg</t>
  </si>
  <si>
    <t>Konversi mmhg ke poin</t>
  </si>
  <si>
    <t>KOTOR</t>
  </si>
  <si>
    <t>Tingkat Kotor Terkini</t>
  </si>
  <si>
    <t>Laju Kotor</t>
  </si>
  <si>
    <t>Efek Mandi</t>
  </si>
  <si>
    <t>Total kotor 1 jam berikutnya</t>
  </si>
  <si>
    <t>constrain</t>
  </si>
  <si>
    <t>H1</t>
  </si>
  <si>
    <t>H2</t>
  </si>
  <si>
    <t>H3</t>
  </si>
  <si>
    <t>H4</t>
  </si>
  <si>
    <t>H5</t>
  </si>
  <si>
    <t>ENERGI</t>
  </si>
  <si>
    <t>Kebisaan</t>
  </si>
  <si>
    <t>BAB/TB</t>
  </si>
  <si>
    <t>TB</t>
  </si>
  <si>
    <t>Tingkat Kalori Saat Ini</t>
  </si>
  <si>
    <t>Efek Defekasi</t>
  </si>
  <si>
    <t>Tingkat Tekanan Terkini (di Klep Rektum gr/cm2 to mmhg  (20-55 mmhg))</t>
  </si>
  <si>
    <t>Energy Storage (5% efek makan)</t>
  </si>
  <si>
    <t>Keb. Kalori Harian*)</t>
  </si>
  <si>
    <t>Tingkat Poin (kalori)</t>
  </si>
  <si>
    <t>DEFEKASI</t>
  </si>
  <si>
    <t>Frekuensi Defekasi</t>
  </si>
  <si>
    <t>Ambang Batas Tekanan Rektum</t>
  </si>
  <si>
    <t>Tingkat (mmhg)</t>
  </si>
  <si>
    <t>mmhg</t>
  </si>
  <si>
    <t>Gram/ cm2</t>
  </si>
  <si>
    <t>&lt; 72 jam sekali</t>
  </si>
  <si>
    <t>48 jam sekali</t>
  </si>
  <si>
    <t>36 jam sekali</t>
  </si>
  <si>
    <t>24 jam sekali</t>
  </si>
  <si>
    <t>&lt; 24 jam sekali</t>
  </si>
  <si>
    <t>Keterangan Skala Parameter</t>
  </si>
  <si>
    <t>HAUS</t>
  </si>
  <si>
    <t>LELAH</t>
  </si>
  <si>
    <t>KANTUK</t>
  </si>
  <si>
    <t>Tingkat</t>
  </si>
  <si>
    <t>Sangat Bersih</t>
  </si>
  <si>
    <t>Sangat Tidak Haus</t>
  </si>
  <si>
    <t>Sangat Tidak Lelah</t>
  </si>
  <si>
    <t>Sangat Tidak Kantuk</t>
  </si>
  <si>
    <t>Bersih</t>
  </si>
  <si>
    <t>Tidak Haus</t>
  </si>
  <si>
    <t>Tidak Lelah</t>
  </si>
  <si>
    <t>Tidak Kantuk</t>
  </si>
  <si>
    <t>Cukup Bersih</t>
  </si>
  <si>
    <t>Cukup Tidak Haus</t>
  </si>
  <si>
    <t>Cukup Tidak Lelah</t>
  </si>
  <si>
    <t>Cukup Tidak Kantuk</t>
  </si>
  <si>
    <t>Cukup Kotor</t>
  </si>
  <si>
    <t>Cukup Haus</t>
  </si>
  <si>
    <t>Cukup Lelah</t>
  </si>
  <si>
    <t>Cukup Kantuk</t>
  </si>
  <si>
    <t>Kotor</t>
  </si>
  <si>
    <t>Haus</t>
  </si>
  <si>
    <t>Lelah</t>
  </si>
  <si>
    <t>Kantuk</t>
  </si>
  <si>
    <t>Sangat Kotor</t>
  </si>
  <si>
    <t>Sangat Haus</t>
  </si>
  <si>
    <t>Sangat Lelah</t>
  </si>
  <si>
    <t>Sangat Kantuk</t>
  </si>
  <si>
    <t>LAPAR</t>
  </si>
  <si>
    <t>URINASI</t>
  </si>
  <si>
    <t xml:space="preserve">Frekuensi </t>
  </si>
  <si>
    <t xml:space="preserve">Ambang Batas </t>
  </si>
  <si>
    <t xml:space="preserve">Sisa 1 kali Urinasi </t>
  </si>
  <si>
    <t xml:space="preserve">Volume 1 kali </t>
  </si>
  <si>
    <t>Tingkat (mL)</t>
  </si>
  <si>
    <t>Urinasi Harian</t>
  </si>
  <si>
    <t>Kemih (mL)</t>
  </si>
  <si>
    <t>di Kemih (mL)</t>
  </si>
  <si>
    <t>Urinasi (mL)</t>
  </si>
  <si>
    <t>&lt; 4 kali</t>
  </si>
  <si>
    <t>4-5 kali</t>
  </si>
  <si>
    <t>5-6 kali</t>
  </si>
  <si>
    <t>6-7 kali</t>
  </si>
  <si>
    <t>&gt;7 kali</t>
  </si>
  <si>
    <t>1 JAM BERIKUTNYA</t>
  </si>
  <si>
    <t>ABILITY</t>
  </si>
  <si>
    <t>TABEL</t>
  </si>
  <si>
    <t>KODE SEL/DATA</t>
  </si>
  <si>
    <t>NILAI</t>
  </si>
  <si>
    <t>Formula</t>
  </si>
  <si>
    <t>Tingkat Ability Terkini</t>
  </si>
  <si>
    <t>Data Fisik</t>
  </si>
  <si>
    <t>DF_AB</t>
  </si>
  <si>
    <t>Copy "Total Ability 1 jam berikutnya"</t>
  </si>
  <si>
    <t>Formula di sel KAL. B</t>
  </si>
  <si>
    <t>Formula di sel KAL. B (belum ada kal.)</t>
  </si>
  <si>
    <t>Tingkat Energi Terkini</t>
  </si>
  <si>
    <t>Tingkat IC</t>
  </si>
  <si>
    <t>F5</t>
  </si>
  <si>
    <t>Copy "Total Energi 1 jam berikutnya"</t>
  </si>
  <si>
    <t>Data Biologis</t>
  </si>
  <si>
    <t>J8</t>
  </si>
  <si>
    <t>1 jam sebelumnya Tidur = Laju*0.25, Bangun = Laju</t>
  </si>
  <si>
    <t>Daftar Efek (Jalan/JAM)</t>
  </si>
  <si>
    <t>H65</t>
  </si>
  <si>
    <t>Daftar Efek (Jalan/Tunda/JAM)</t>
  </si>
  <si>
    <t>KAL. E (belum ada perubahan)</t>
  </si>
  <si>
    <t>KAL. E</t>
  </si>
  <si>
    <t>Tingkat Kelelahan Terkini</t>
  </si>
  <si>
    <t>F22</t>
  </si>
  <si>
    <t>Copy "Total Kelelahan 1 jam berikutnya"</t>
  </si>
  <si>
    <t>Laju Kelelahan (waktu)</t>
  </si>
  <si>
    <t>P8</t>
  </si>
  <si>
    <t>1 jam sebelumnya Tidur = -Laju*0.5, Bangun = Laju</t>
  </si>
  <si>
    <t>K65</t>
  </si>
  <si>
    <t>H22</t>
  </si>
  <si>
    <t>Copy "Total Kantuk 1 jam berikutnya"</t>
  </si>
  <si>
    <t>R8</t>
  </si>
  <si>
    <t>1 jam sebelumnya Tidur = -Laju, Bangun = Laju*0.25</t>
  </si>
  <si>
    <t>L65</t>
  </si>
  <si>
    <t>KODE KEBIASAAN DI JAM TERTENTU</t>
  </si>
  <si>
    <t>KT/KB</t>
  </si>
  <si>
    <t>KODE TIDUR/BANGUN</t>
  </si>
  <si>
    <t xml:space="preserve">Tingkat Lapar Terkini </t>
  </si>
  <si>
    <t>D29</t>
  </si>
  <si>
    <t>Total Lapar 1 jam sebelumnya+Efek makan</t>
  </si>
  <si>
    <t>L8</t>
  </si>
  <si>
    <t>1 jam sebelumnya Tidur = Laju*0.125, Bangun = Laju*0.5</t>
  </si>
  <si>
    <t>I65</t>
  </si>
  <si>
    <t>Efek Makan (kalori) (ENERGI &amp; DEFEKASI)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</si>
  <si>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mL) (ke kal. URINASI)</t>
    </r>
  </si>
  <si>
    <t>50 = konstanta survei</t>
  </si>
  <si>
    <t xml:space="preserve">HAUS </t>
  </si>
  <si>
    <t>D20</t>
  </si>
  <si>
    <t>Total Haus 1 jam sebelumnya+Efek minum</t>
  </si>
  <si>
    <t>N8</t>
  </si>
  <si>
    <t>J65</t>
  </si>
  <si>
    <r>
      <t xml:space="preserve">Konversi poin ke mL (10 = </t>
    </r>
    <r>
      <rPr>
        <b/>
        <i/>
        <sz val="11"/>
        <color rgb="FFFF0000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mL) (ke kal. URINASI)</t>
    </r>
  </si>
  <si>
    <t>150 = konstanta survei</t>
  </si>
  <si>
    <t>Efek Minum di jam sama x 20%</t>
  </si>
  <si>
    <t>Efek Makan di jam sama x 5%</t>
  </si>
  <si>
    <t>Total Body Water</t>
  </si>
  <si>
    <t>DF_WT</t>
  </si>
  <si>
    <t>D8</t>
  </si>
  <si>
    <t>60/JAM</t>
  </si>
  <si>
    <t>E65</t>
  </si>
  <si>
    <t>F36</t>
  </si>
  <si>
    <t>E36</t>
  </si>
  <si>
    <t>2 JAM BERIKUTNYA</t>
  </si>
  <si>
    <t>Efek Makan di jam sama</t>
  </si>
  <si>
    <r>
      <t xml:space="preserve">1 kali porsi makan dibagi 6 jam = </t>
    </r>
    <r>
      <rPr>
        <b/>
        <i/>
        <sz val="11"/>
        <color rgb="FFFF0000"/>
        <rFont val="Calibri"/>
        <family val="2"/>
        <scheme val="minor"/>
      </rPr>
      <t>465.83</t>
    </r>
    <r>
      <rPr>
        <sz val="11"/>
        <color theme="1"/>
        <rFont val="Calibri"/>
        <family val="2"/>
        <scheme val="minor"/>
      </rPr>
      <t>/6</t>
    </r>
  </si>
  <si>
    <t>465.83 = konstanta survei</t>
  </si>
  <si>
    <t>Formula = KOLOM 1 JAM BERIKUTNYA</t>
  </si>
  <si>
    <r>
      <t xml:space="preserve">Laju dari Kolon ke Rektum (*luas penampang kolon = </t>
    </r>
    <r>
      <rPr>
        <b/>
        <i/>
        <sz val="11"/>
        <color rgb="FFFF0000"/>
        <rFont val="Calibri"/>
        <family val="2"/>
        <scheme val="minor"/>
      </rPr>
      <t>0.15</t>
    </r>
    <r>
      <rPr>
        <sz val="11"/>
        <color theme="1"/>
        <rFont val="Calibri"/>
        <family val="2"/>
        <scheme val="minor"/>
      </rPr>
      <t>)</t>
    </r>
  </si>
  <si>
    <t>0.15 = konstanta umum</t>
  </si>
  <si>
    <t>F65</t>
  </si>
  <si>
    <t>Ada di Akhir Kolon Menuju Rektum</t>
  </si>
  <si>
    <t>Tekanan ke Klep Rektum gr/cm2 ke mmhg</t>
  </si>
  <si>
    <t>H13</t>
  </si>
  <si>
    <t>B/T</t>
  </si>
  <si>
    <t>KODE BAB/TIDAK</t>
  </si>
  <si>
    <t>B20</t>
  </si>
  <si>
    <t>Copy "Total Kotor 1 jam berikutnya"</t>
  </si>
  <si>
    <t>H8</t>
  </si>
  <si>
    <t>1 jam sebelumnya Tidur = Laju*0.5, Bangun = Laju*0.75</t>
  </si>
  <si>
    <t>Kebiasaan Mandi</t>
  </si>
  <si>
    <t>G65</t>
  </si>
  <si>
    <t>Total Kotor</t>
  </si>
  <si>
    <t>Konversi Poin ke mL (1 kcal = 0.12959782 ml) (URINASI)</t>
  </si>
  <si>
    <t>TINGKAT IC</t>
  </si>
  <si>
    <t>Dihitung berdasarkan Total Daily Caloric Expenditure = RMR+TEE+TEF</t>
  </si>
  <si>
    <t>batas bawah</t>
  </si>
  <si>
    <t>batas atas</t>
  </si>
  <si>
    <t>Konversi poin ke mL (10 = 200 mL) (URINASI)</t>
  </si>
  <si>
    <t xml:space="preserve">Kalkulasi efek khusus </t>
  </si>
  <si>
    <t xml:space="preserve">KANTUK </t>
  </si>
  <si>
    <t>Status Tidur / Bangun</t>
  </si>
  <si>
    <t>Tingkat Kantuk (Constraint)</t>
  </si>
  <si>
    <t>Tingkat Kotor (Constraint)</t>
  </si>
  <si>
    <t>Status Mandi/ Tidak Mandi</t>
  </si>
  <si>
    <t>Tingkat Energi</t>
  </si>
  <si>
    <t>Total kalori 1 jam berikutnya</t>
  </si>
  <si>
    <t>KELAPARAN</t>
  </si>
  <si>
    <r>
      <rPr>
        <b/>
        <sz val="11"/>
        <color theme="1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 xml:space="preserve"> Efek Makan (ENERGI &amp; DEFEKASI)</t>
    </r>
  </si>
  <si>
    <t xml:space="preserve">Total Body Water </t>
  </si>
  <si>
    <t>KBS</t>
  </si>
  <si>
    <t>J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</si>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</sst>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2" borderId="1" applyNumberFormat="0" applyAlignment="0" applyProtection="0"/>
  </cellStyleXfs>
  <cellXfs count="201">
    <xf numFmtId="0" fontId="0" fillId="0" borderId="0" xfId="0"/>
    <xf numFmtId="0" fontId="0" fillId="0" borderId="0" xfId="0" applyFill="1"/>
    <xf numFmtId="0" fontId="0" fillId="7" borderId="0" xfId="0" applyFill="1"/>
    <xf numFmtId="0" fontId="0" fillId="0" borderId="0" xfId="0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Fill="1" applyBorder="1"/>
    <xf numFmtId="0" fontId="2" fillId="0" borderId="31" xfId="0" applyFont="1" applyFill="1" applyBorder="1" applyAlignment="1">
      <alignment horizontal="left"/>
    </xf>
    <xf numFmtId="20" fontId="0" fillId="0" borderId="31" xfId="0" applyNumberFormat="1" applyFill="1" applyBorder="1"/>
    <xf numFmtId="0" fontId="0" fillId="0" borderId="31" xfId="0" applyFill="1" applyBorder="1"/>
    <xf numFmtId="164" fontId="0" fillId="6" borderId="0" xfId="0" applyNumberFormat="1" applyFill="1" applyBorder="1"/>
    <xf numFmtId="164" fontId="0" fillId="0" borderId="0" xfId="0" applyNumberFormat="1" applyFill="1" applyBorder="1"/>
    <xf numFmtId="0" fontId="0" fillId="7" borderId="0" xfId="0" applyFill="1" applyAlignment="1">
      <alignment horizontal="left"/>
    </xf>
    <xf numFmtId="0" fontId="0" fillId="0" borderId="31" xfId="0" applyFill="1" applyBorder="1" applyAlignment="1">
      <alignment horizontal="left"/>
    </xf>
    <xf numFmtId="164" fontId="0" fillId="0" borderId="31" xfId="0" applyNumberFormat="1" applyFill="1" applyBorder="1"/>
    <xf numFmtId="20" fontId="0" fillId="0" borderId="0" xfId="0" applyNumberFormat="1" applyFill="1" applyBorder="1"/>
    <xf numFmtId="20" fontId="0" fillId="0" borderId="0" xfId="0" applyNumberFormat="1" applyFill="1"/>
    <xf numFmtId="164" fontId="0" fillId="0" borderId="0" xfId="0" applyNumberFormat="1" applyFill="1"/>
    <xf numFmtId="164" fontId="0" fillId="7" borderId="0" xfId="0" applyNumberFormat="1" applyFill="1" applyBorder="1"/>
    <xf numFmtId="164" fontId="0" fillId="7" borderId="0" xfId="0" applyNumberFormat="1" applyFill="1"/>
    <xf numFmtId="0" fontId="0" fillId="5" borderId="0" xfId="0" applyFill="1" applyAlignment="1">
      <alignment horizontal="left"/>
    </xf>
    <xf numFmtId="0" fontId="0" fillId="5" borderId="0" xfId="0" applyFill="1" applyBorder="1"/>
    <xf numFmtId="2" fontId="0" fillId="0" borderId="0" xfId="0" applyNumberFormat="1" applyFill="1" applyBorder="1"/>
    <xf numFmtId="2" fontId="0" fillId="0" borderId="0" xfId="0" applyNumberFormat="1" applyFill="1"/>
    <xf numFmtId="0" fontId="0" fillId="0" borderId="18" xfId="0" applyFill="1" applyBorder="1" applyAlignment="1">
      <alignment horizontal="left"/>
    </xf>
    <xf numFmtId="164" fontId="0" fillId="0" borderId="18" xfId="0" applyNumberFormat="1" applyFill="1" applyBorder="1"/>
    <xf numFmtId="0" fontId="0" fillId="0" borderId="18" xfId="0" applyFill="1" applyBorder="1"/>
    <xf numFmtId="0" fontId="0" fillId="0" borderId="26" xfId="0" applyFill="1" applyBorder="1" applyAlignment="1">
      <alignment horizontal="left"/>
    </xf>
    <xf numFmtId="164" fontId="0" fillId="0" borderId="26" xfId="0" applyNumberFormat="1" applyFill="1" applyBorder="1"/>
    <xf numFmtId="0" fontId="0" fillId="0" borderId="26" xfId="0" applyFill="1" applyBorder="1"/>
    <xf numFmtId="0" fontId="0" fillId="0" borderId="31" xfId="0" applyNumberFormat="1" applyFill="1" applyBorder="1" applyAlignment="1">
      <alignment horizontal="left"/>
    </xf>
    <xf numFmtId="164" fontId="0" fillId="0" borderId="31" xfId="1" applyNumberFormat="1" applyFont="1" applyFill="1" applyBorder="1"/>
    <xf numFmtId="0" fontId="0" fillId="0" borderId="31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165" fontId="0" fillId="0" borderId="22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2" fontId="0" fillId="7" borderId="0" xfId="0" applyNumberFormat="1" applyFill="1"/>
    <xf numFmtId="164" fontId="0" fillId="6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8" borderId="0" xfId="0" applyFill="1" applyAlignment="1">
      <alignment horizontal="center"/>
    </xf>
    <xf numFmtId="2" fontId="0" fillId="0" borderId="18" xfId="0" applyNumberFormat="1" applyFill="1" applyBorder="1"/>
    <xf numFmtId="164" fontId="0" fillId="8" borderId="0" xfId="0" applyNumberFormat="1" applyFill="1" applyBorder="1"/>
    <xf numFmtId="0" fontId="0" fillId="0" borderId="35" xfId="0" applyFill="1" applyBorder="1"/>
    <xf numFmtId="20" fontId="0" fillId="0" borderId="36" xfId="0" applyNumberFormat="1" applyFill="1" applyBorder="1"/>
    <xf numFmtId="164" fontId="0" fillId="0" borderId="35" xfId="0" applyNumberFormat="1" applyFill="1" applyBorder="1"/>
    <xf numFmtId="164" fontId="0" fillId="0" borderId="36" xfId="0" applyNumberFormat="1" applyFill="1" applyBorder="1"/>
    <xf numFmtId="20" fontId="0" fillId="0" borderId="35" xfId="0" applyNumberFormat="1" applyFill="1" applyBorder="1"/>
    <xf numFmtId="164" fontId="0" fillId="7" borderId="35" xfId="0" applyNumberFormat="1" applyFill="1" applyBorder="1"/>
    <xf numFmtId="0" fontId="0" fillId="5" borderId="35" xfId="0" applyFill="1" applyBorder="1"/>
    <xf numFmtId="2" fontId="0" fillId="0" borderId="35" xfId="0" applyNumberFormat="1" applyFill="1" applyBorder="1"/>
    <xf numFmtId="164" fontId="0" fillId="0" borderId="19" xfId="0" applyNumberFormat="1" applyFill="1" applyBorder="1"/>
    <xf numFmtId="164" fontId="0" fillId="0" borderId="27" xfId="0" applyNumberFormat="1" applyFill="1" applyBorder="1"/>
    <xf numFmtId="164" fontId="0" fillId="0" borderId="36" xfId="1" applyNumberFormat="1" applyFont="1" applyFill="1" applyBorder="1"/>
    <xf numFmtId="164" fontId="0" fillId="8" borderId="35" xfId="0" applyNumberFormat="1" applyFill="1" applyBorder="1"/>
    <xf numFmtId="2" fontId="0" fillId="0" borderId="19" xfId="0" applyNumberFormat="1" applyFill="1" applyBorder="1"/>
    <xf numFmtId="165" fontId="0" fillId="0" borderId="21" xfId="0" applyNumberFormat="1" applyFill="1" applyBorder="1"/>
    <xf numFmtId="0" fontId="0" fillId="0" borderId="36" xfId="0" applyFill="1" applyBorder="1"/>
    <xf numFmtId="0" fontId="0" fillId="0" borderId="35" xfId="0" applyFill="1" applyBorder="1" applyAlignment="1">
      <alignment horizontal="center"/>
    </xf>
    <xf numFmtId="0" fontId="2" fillId="0" borderId="0" xfId="0" applyFont="1" applyFill="1"/>
    <xf numFmtId="2" fontId="0" fillId="9" borderId="0" xfId="0" applyNumberFormat="1" applyFill="1"/>
    <xf numFmtId="0" fontId="0" fillId="4" borderId="0" xfId="0" applyFill="1"/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0" xfId="0" applyFont="1" applyFill="1"/>
    <xf numFmtId="164" fontId="8" fillId="0" borderId="30" xfId="0" applyNumberFormat="1" applyFont="1" applyFill="1" applyBorder="1" applyAlignment="1">
      <alignment horizontal="right"/>
    </xf>
    <xf numFmtId="0" fontId="8" fillId="0" borderId="1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31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8" fillId="0" borderId="30" xfId="0" applyNumberFormat="1" applyFont="1" applyFill="1" applyBorder="1" applyAlignment="1">
      <alignment horizontal="right"/>
    </xf>
    <xf numFmtId="0" fontId="8" fillId="0" borderId="22" xfId="0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0" fillId="0" borderId="34" xfId="0" applyBorder="1"/>
    <xf numFmtId="0" fontId="5" fillId="7" borderId="34" xfId="0" applyFont="1" applyFill="1" applyBorder="1"/>
    <xf numFmtId="0" fontId="0" fillId="4" borderId="34" xfId="0" applyFill="1" applyBorder="1"/>
    <xf numFmtId="0" fontId="9" fillId="0" borderId="0" xfId="0" applyFont="1"/>
    <xf numFmtId="0" fontId="0" fillId="3" borderId="34" xfId="0" applyFill="1" applyBorder="1"/>
    <xf numFmtId="0" fontId="2" fillId="0" borderId="34" xfId="0" applyFont="1" applyBorder="1"/>
    <xf numFmtId="2" fontId="0" fillId="4" borderId="34" xfId="0" applyNumberFormat="1" applyFill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41" xfId="0" applyFont="1" applyBorder="1"/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" fillId="0" borderId="7" xfId="0" applyFont="1" applyBorder="1"/>
    <xf numFmtId="0" fontId="0" fillId="0" borderId="11" xfId="0" applyBorder="1"/>
    <xf numFmtId="0" fontId="2" fillId="0" borderId="20" xfId="0" applyFont="1" applyBorder="1"/>
    <xf numFmtId="0" fontId="2" fillId="0" borderId="23" xfId="0" applyFont="1" applyBorder="1" applyAlignment="1">
      <alignment horizontal="center"/>
    </xf>
    <xf numFmtId="164" fontId="0" fillId="7" borderId="23" xfId="0" applyNumberFormat="1" applyFill="1" applyBorder="1"/>
    <xf numFmtId="164" fontId="0" fillId="6" borderId="10" xfId="0" applyNumberFormat="1" applyFill="1" applyBorder="1"/>
    <xf numFmtId="0" fontId="0" fillId="7" borderId="23" xfId="0" applyFill="1" applyBorder="1"/>
    <xf numFmtId="0" fontId="0" fillId="0" borderId="9" xfId="0" applyBorder="1"/>
    <xf numFmtId="0" fontId="0" fillId="7" borderId="25" xfId="0" applyFill="1" applyBorder="1"/>
    <xf numFmtId="0" fontId="0" fillId="0" borderId="14" xfId="0" applyBorder="1"/>
    <xf numFmtId="0" fontId="0" fillId="6" borderId="28" xfId="0" applyFill="1" applyBorder="1"/>
    <xf numFmtId="0" fontId="2" fillId="0" borderId="34" xfId="0" applyFont="1" applyBorder="1" applyAlignment="1">
      <alignment horizontal="center"/>
    </xf>
    <xf numFmtId="0" fontId="0" fillId="6" borderId="10" xfId="0" applyFill="1" applyBorder="1"/>
    <xf numFmtId="0" fontId="2" fillId="5" borderId="20" xfId="0" applyFont="1" applyFill="1" applyBorder="1"/>
    <xf numFmtId="0" fontId="2" fillId="5" borderId="34" xfId="0" applyFont="1" applyFill="1" applyBorder="1" applyAlignment="1">
      <alignment horizontal="center"/>
    </xf>
    <xf numFmtId="164" fontId="0" fillId="5" borderId="23" xfId="0" applyNumberFormat="1" applyFill="1" applyBorder="1"/>
    <xf numFmtId="164" fontId="0" fillId="0" borderId="23" xfId="0" applyNumberFormat="1" applyBorder="1"/>
    <xf numFmtId="0" fontId="0" fillId="0" borderId="23" xfId="0" applyBorder="1"/>
    <xf numFmtId="0" fontId="0" fillId="6" borderId="23" xfId="0" applyFill="1" applyBorder="1"/>
    <xf numFmtId="0" fontId="0" fillId="0" borderId="28" xfId="0" applyBorder="1"/>
    <xf numFmtId="164" fontId="0" fillId="6" borderId="23" xfId="0" applyNumberFormat="1" applyFill="1" applyBorder="1"/>
    <xf numFmtId="164" fontId="0" fillId="0" borderId="10" xfId="0" applyNumberFormat="1" applyBorder="1"/>
    <xf numFmtId="164" fontId="0" fillId="0" borderId="28" xfId="0" applyNumberFormat="1" applyBorder="1"/>
    <xf numFmtId="164" fontId="0" fillId="0" borderId="5" xfId="0" applyNumberFormat="1" applyBorder="1"/>
    <xf numFmtId="0" fontId="5" fillId="0" borderId="0" xfId="0" applyFont="1" applyAlignment="1">
      <alignment horizontal="center" vertical="center"/>
    </xf>
    <xf numFmtId="164" fontId="0" fillId="3" borderId="23" xfId="0" applyNumberFormat="1" applyFill="1" applyBorder="1"/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164" fontId="0" fillId="6" borderId="28" xfId="0" applyNumberFormat="1" applyFill="1" applyBorder="1"/>
    <xf numFmtId="2" fontId="0" fillId="0" borderId="34" xfId="0" applyNumberFormat="1" applyBorder="1"/>
    <xf numFmtId="2" fontId="0" fillId="0" borderId="30" xfId="0" applyNumberFormat="1" applyFill="1" applyBorder="1" applyAlignment="1">
      <alignment horizontal="right"/>
    </xf>
    <xf numFmtId="0" fontId="0" fillId="9" borderId="0" xfId="0" applyFill="1" applyAlignment="1">
      <alignment horizontal="left"/>
    </xf>
    <xf numFmtId="164" fontId="0" fillId="0" borderId="0" xfId="0" applyNumberForma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0" fontId="2" fillId="9" borderId="0" xfId="0" applyFont="1" applyFill="1" applyAlignment="1">
      <alignment horizontal="left"/>
    </xf>
    <xf numFmtId="0" fontId="0" fillId="9" borderId="0" xfId="0" applyFill="1"/>
    <xf numFmtId="0" fontId="2" fillId="9" borderId="30" xfId="0" applyFont="1" applyFill="1" applyBorder="1" applyAlignment="1">
      <alignment horizontal="right"/>
    </xf>
    <xf numFmtId="0" fontId="0" fillId="9" borderId="30" xfId="0" applyFill="1" applyBorder="1" applyAlignment="1">
      <alignment horizontal="right"/>
    </xf>
    <xf numFmtId="0" fontId="2" fillId="9" borderId="32" xfId="0" applyFont="1" applyFill="1" applyBorder="1" applyAlignment="1">
      <alignment horizontal="right"/>
    </xf>
    <xf numFmtId="164" fontId="0" fillId="9" borderId="30" xfId="0" applyNumberFormat="1" applyFill="1" applyBorder="1" applyAlignment="1">
      <alignment horizontal="right"/>
    </xf>
    <xf numFmtId="164" fontId="0" fillId="9" borderId="32" xfId="0" applyNumberFormat="1" applyFill="1" applyBorder="1"/>
    <xf numFmtId="0" fontId="0" fillId="9" borderId="0" xfId="0" applyNumberFormat="1" applyFill="1" applyBorder="1"/>
    <xf numFmtId="0" fontId="0" fillId="9" borderId="0" xfId="0" applyFill="1" applyBorder="1"/>
    <xf numFmtId="2" fontId="0" fillId="9" borderId="30" xfId="0" applyNumberFormat="1" applyFill="1" applyBorder="1"/>
    <xf numFmtId="164" fontId="0" fillId="9" borderId="33" xfId="0" applyNumberFormat="1" applyFill="1" applyBorder="1"/>
    <xf numFmtId="164" fontId="0" fillId="9" borderId="4" xfId="0" applyNumberFormat="1" applyFill="1" applyBorder="1"/>
    <xf numFmtId="164" fontId="0" fillId="9" borderId="32" xfId="1" applyNumberFormat="1" applyFont="1" applyFill="1" applyBorder="1"/>
    <xf numFmtId="164" fontId="0" fillId="9" borderId="30" xfId="0" applyNumberFormat="1" applyFill="1" applyBorder="1"/>
    <xf numFmtId="2" fontId="0" fillId="9" borderId="33" xfId="0" applyNumberFormat="1" applyFill="1" applyBorder="1" applyAlignment="1">
      <alignment horizontal="right"/>
    </xf>
    <xf numFmtId="164" fontId="0" fillId="9" borderId="0" xfId="0" applyNumberFormat="1" applyFill="1"/>
    <xf numFmtId="0" fontId="0" fillId="9" borderId="30" xfId="0" applyFill="1" applyBorder="1"/>
    <xf numFmtId="165" fontId="0" fillId="9" borderId="34" xfId="0" applyNumberFormat="1" applyFill="1" applyBorder="1"/>
    <xf numFmtId="0" fontId="0" fillId="9" borderId="32" xfId="0" applyFill="1" applyBorder="1"/>
    <xf numFmtId="2" fontId="0" fillId="9" borderId="30" xfId="0" applyNumberFormat="1" applyFill="1" applyBorder="1" applyAlignment="1">
      <alignment horizontal="right"/>
    </xf>
    <xf numFmtId="0" fontId="0" fillId="0" borderId="34" xfId="0" applyFill="1" applyBorder="1"/>
    <xf numFmtId="2" fontId="0" fillId="0" borderId="34" xfId="0" applyNumberFormat="1" applyFill="1" applyBorder="1"/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3" borderId="38" xfId="0" applyNumberFormat="1" applyFill="1" applyBorder="1" applyAlignment="1">
      <alignment horizontal="center"/>
    </xf>
    <xf numFmtId="164" fontId="0" fillId="3" borderId="39" xfId="0" applyNumberFormat="1" applyFill="1" applyBorder="1" applyAlignment="1">
      <alignment horizontal="center"/>
    </xf>
    <xf numFmtId="164" fontId="0" fillId="0" borderId="37" xfId="0" applyNumberFormat="1" applyFill="1" applyBorder="1" applyAlignment="1">
      <alignment horizontal="center"/>
    </xf>
    <xf numFmtId="164" fontId="0" fillId="0" borderId="38" xfId="0" applyNumberFormat="1" applyFill="1" applyBorder="1" applyAlignment="1">
      <alignment horizontal="center"/>
    </xf>
    <xf numFmtId="164" fontId="0" fillId="0" borderId="39" xfId="0" applyNumberFormat="1" applyFill="1" applyBorder="1" applyAlignment="1">
      <alignment horizontal="center"/>
    </xf>
    <xf numFmtId="0" fontId="0" fillId="0" borderId="0" xfId="0" applyAlignment="1">
      <alignment wrapText="1"/>
    </xf>
    <xf numFmtId="164" fontId="0" fillId="4" borderId="0" xfId="0" applyNumberFormat="1" applyFill="1" applyBorder="1"/>
  </cellXfs>
  <cellStyles count="4">
    <cellStyle name="Comma" xfId="1" builtinId="3"/>
    <cellStyle name="Normal" xfId="0" builtinId="0"/>
    <cellStyle name="Normal 2" xfId="2" xr:uid="{00000000-0005-0000-0000-000003000000}"/>
    <cellStyle name="Outpu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8"/>
  <sheetViews>
    <sheetView workbookViewId="0">
      <selection activeCell="F31" sqref="F31"/>
    </sheetView>
  </sheetViews>
  <sheetFormatPr baseColWidth="10" defaultColWidth="8.83203125" defaultRowHeight="15" x14ac:dyDescent="0.2"/>
  <cols>
    <col min="2" max="2" width="18.6640625" customWidth="1"/>
    <col min="3" max="3" width="12.83203125" customWidth="1"/>
    <col min="4" max="4" width="7.5" customWidth="1"/>
    <col min="5" max="5" width="16.83203125" customWidth="1"/>
    <col min="6" max="6" width="7.5" customWidth="1"/>
    <col min="7" max="7" width="17.5" bestFit="1" customWidth="1"/>
    <col min="8" max="8" width="7.5" bestFit="1" customWidth="1"/>
    <col min="9" max="9" width="18.83203125" bestFit="1" customWidth="1"/>
    <col min="10" max="11" width="6" bestFit="1" customWidth="1"/>
  </cols>
  <sheetData>
    <row r="1" spans="2:10" x14ac:dyDescent="0.2">
      <c r="B1" s="73" t="s">
        <v>222</v>
      </c>
      <c r="C1" s="73"/>
      <c r="D1" s="2" t="s">
        <v>2</v>
      </c>
      <c r="E1" s="2"/>
      <c r="F1" s="47" t="s">
        <v>4</v>
      </c>
      <c r="G1" s="47"/>
    </row>
    <row r="2" spans="2:10" x14ac:dyDescent="0.2">
      <c r="B2" s="13" t="s">
        <v>71</v>
      </c>
    </row>
    <row r="3" spans="2:10" x14ac:dyDescent="0.2">
      <c r="B3" s="86" t="s">
        <v>79</v>
      </c>
      <c r="C3" s="161" t="s">
        <v>80</v>
      </c>
      <c r="D3" s="162"/>
      <c r="E3" s="162"/>
      <c r="F3" s="162"/>
      <c r="G3" s="162"/>
      <c r="H3" s="163"/>
    </row>
    <row r="4" spans="2:10" x14ac:dyDescent="0.2">
      <c r="B4" s="87">
        <v>2547.6</v>
      </c>
      <c r="C4" s="86">
        <v>0</v>
      </c>
      <c r="D4" s="86">
        <v>2</v>
      </c>
      <c r="E4" s="86">
        <v>4</v>
      </c>
      <c r="F4" s="88">
        <v>6</v>
      </c>
      <c r="G4" s="86">
        <v>8</v>
      </c>
      <c r="H4" s="86">
        <v>10</v>
      </c>
    </row>
    <row r="5" spans="2:10" x14ac:dyDescent="0.2">
      <c r="B5" s="86"/>
      <c r="C5" s="131">
        <f>$B$4/6*1</f>
        <v>424.59999999999997</v>
      </c>
      <c r="D5" s="131">
        <f>$B$4/6*2</f>
        <v>849.19999999999993</v>
      </c>
      <c r="E5" s="131">
        <f>$B$4/6*3</f>
        <v>1273.8</v>
      </c>
      <c r="F5" s="92">
        <f>$B$4/6*4</f>
        <v>1698.3999999999999</v>
      </c>
      <c r="G5" s="131">
        <f>$B$4/6*5</f>
        <v>2123</v>
      </c>
      <c r="H5" s="131">
        <f>$B$4/6*6</f>
        <v>2547.6</v>
      </c>
    </row>
    <row r="6" spans="2:10" x14ac:dyDescent="0.2">
      <c r="B6" s="89" t="s">
        <v>223</v>
      </c>
    </row>
    <row r="7" spans="2:10" x14ac:dyDescent="0.2">
      <c r="B7" s="13" t="s">
        <v>81</v>
      </c>
    </row>
    <row r="8" spans="2:10" x14ac:dyDescent="0.2">
      <c r="B8" s="164" t="s">
        <v>82</v>
      </c>
      <c r="C8" s="158" t="s">
        <v>83</v>
      </c>
      <c r="D8" s="160"/>
      <c r="E8" s="161" t="s">
        <v>84</v>
      </c>
      <c r="F8" s="162"/>
      <c r="G8" s="162"/>
      <c r="H8" s="162"/>
      <c r="I8" s="162"/>
      <c r="J8" s="163"/>
    </row>
    <row r="9" spans="2:10" x14ac:dyDescent="0.2">
      <c r="B9" s="165"/>
      <c r="C9" s="86" t="s">
        <v>85</v>
      </c>
      <c r="D9" s="86" t="s">
        <v>86</v>
      </c>
      <c r="E9" s="86">
        <v>0</v>
      </c>
      <c r="F9" s="86">
        <v>2</v>
      </c>
      <c r="G9" s="86">
        <v>4</v>
      </c>
      <c r="H9" s="86">
        <v>6</v>
      </c>
      <c r="I9" s="86">
        <v>8</v>
      </c>
      <c r="J9" s="86">
        <v>10</v>
      </c>
    </row>
    <row r="10" spans="2:10" x14ac:dyDescent="0.2">
      <c r="B10" s="86" t="s">
        <v>87</v>
      </c>
      <c r="C10" s="90">
        <v>55</v>
      </c>
      <c r="D10" s="90">
        <v>74.77</v>
      </c>
      <c r="E10" s="86">
        <v>9.16</v>
      </c>
      <c r="F10" s="86">
        <v>18.36</v>
      </c>
      <c r="G10" s="86">
        <v>27.52</v>
      </c>
      <c r="H10" s="86">
        <v>36.68</v>
      </c>
      <c r="I10" s="86">
        <v>45.84</v>
      </c>
      <c r="J10" s="86">
        <v>55</v>
      </c>
    </row>
    <row r="11" spans="2:10" x14ac:dyDescent="0.2">
      <c r="B11" s="86" t="s">
        <v>88</v>
      </c>
      <c r="C11" s="90">
        <v>46.25</v>
      </c>
      <c r="D11" s="90">
        <v>62.87</v>
      </c>
      <c r="E11" s="86">
        <v>7.71</v>
      </c>
      <c r="F11" s="86">
        <v>15.41</v>
      </c>
      <c r="G11" s="86">
        <v>23.12</v>
      </c>
      <c r="H11" s="86">
        <v>30.83</v>
      </c>
      <c r="I11" s="86">
        <v>38.54</v>
      </c>
      <c r="J11" s="86">
        <v>46.25</v>
      </c>
    </row>
    <row r="12" spans="2:10" x14ac:dyDescent="0.2">
      <c r="B12" s="86" t="s">
        <v>89</v>
      </c>
      <c r="C12" s="90">
        <v>37.5</v>
      </c>
      <c r="D12" s="90">
        <v>50.98</v>
      </c>
      <c r="E12" s="86">
        <v>6.25</v>
      </c>
      <c r="F12" s="86">
        <v>12.5</v>
      </c>
      <c r="G12" s="86">
        <v>18.75</v>
      </c>
      <c r="H12" s="86">
        <v>25</v>
      </c>
      <c r="I12" s="86">
        <v>31.25</v>
      </c>
      <c r="J12" s="86">
        <v>37.5</v>
      </c>
    </row>
    <row r="13" spans="2:10" x14ac:dyDescent="0.2">
      <c r="B13" s="88" t="s">
        <v>90</v>
      </c>
      <c r="C13" s="90">
        <v>28.75</v>
      </c>
      <c r="D13" s="88">
        <v>39.08</v>
      </c>
      <c r="E13" s="86">
        <v>4.79</v>
      </c>
      <c r="F13" s="88">
        <v>9.58</v>
      </c>
      <c r="G13" s="86">
        <v>14.37</v>
      </c>
      <c r="H13" s="86">
        <v>19.16</v>
      </c>
      <c r="I13" s="86">
        <v>23.95</v>
      </c>
      <c r="J13" s="86">
        <v>28.75</v>
      </c>
    </row>
    <row r="14" spans="2:10" x14ac:dyDescent="0.2">
      <c r="B14" s="86" t="s">
        <v>91</v>
      </c>
      <c r="C14" s="90">
        <v>20</v>
      </c>
      <c r="D14" s="90">
        <v>27.19</v>
      </c>
      <c r="E14" s="86">
        <v>3.33</v>
      </c>
      <c r="F14" s="86">
        <v>6.67</v>
      </c>
      <c r="G14" s="86">
        <v>10</v>
      </c>
      <c r="H14" s="86">
        <v>13.33</v>
      </c>
      <c r="I14" s="86">
        <v>16.66</v>
      </c>
      <c r="J14" s="86">
        <v>20</v>
      </c>
    </row>
    <row r="16" spans="2:10" x14ac:dyDescent="0.2">
      <c r="B16" s="158" t="s">
        <v>92</v>
      </c>
      <c r="C16" s="159"/>
      <c r="D16" s="159"/>
      <c r="E16" s="159"/>
      <c r="F16" s="159"/>
      <c r="G16" s="159"/>
      <c r="H16" s="159"/>
      <c r="I16" s="160"/>
    </row>
    <row r="17" spans="2:11" x14ac:dyDescent="0.2">
      <c r="B17" s="166" t="s">
        <v>60</v>
      </c>
      <c r="C17" s="166"/>
      <c r="D17" s="166" t="s">
        <v>93</v>
      </c>
      <c r="E17" s="166"/>
      <c r="F17" s="166" t="s">
        <v>94</v>
      </c>
      <c r="G17" s="166"/>
      <c r="H17" s="166" t="s">
        <v>95</v>
      </c>
      <c r="I17" s="166"/>
    </row>
    <row r="18" spans="2:11" x14ac:dyDescent="0.2">
      <c r="B18" s="91" t="s">
        <v>96</v>
      </c>
      <c r="C18" s="91" t="s">
        <v>1</v>
      </c>
      <c r="D18" s="91" t="s">
        <v>96</v>
      </c>
      <c r="E18" s="91" t="s">
        <v>1</v>
      </c>
      <c r="F18" s="91" t="s">
        <v>96</v>
      </c>
      <c r="G18" s="91" t="s">
        <v>1</v>
      </c>
      <c r="H18" s="91" t="s">
        <v>96</v>
      </c>
      <c r="I18" s="91" t="s">
        <v>1</v>
      </c>
    </row>
    <row r="19" spans="2:11" x14ac:dyDescent="0.2">
      <c r="B19" s="86">
        <v>0</v>
      </c>
      <c r="C19" s="86" t="s">
        <v>97</v>
      </c>
      <c r="D19" s="86">
        <v>0</v>
      </c>
      <c r="E19" s="86" t="s">
        <v>98</v>
      </c>
      <c r="F19" s="86">
        <v>0</v>
      </c>
      <c r="G19" s="86" t="s">
        <v>99</v>
      </c>
      <c r="H19" s="86">
        <v>0</v>
      </c>
      <c r="I19" s="86" t="s">
        <v>100</v>
      </c>
    </row>
    <row r="20" spans="2:11" x14ac:dyDescent="0.2">
      <c r="B20" s="86">
        <v>2</v>
      </c>
      <c r="C20" s="86" t="s">
        <v>101</v>
      </c>
      <c r="D20" s="86">
        <v>2</v>
      </c>
      <c r="E20" s="86" t="s">
        <v>102</v>
      </c>
      <c r="F20" s="86">
        <v>2</v>
      </c>
      <c r="G20" s="86" t="s">
        <v>103</v>
      </c>
      <c r="H20" s="86">
        <v>2</v>
      </c>
      <c r="I20" s="86" t="s">
        <v>104</v>
      </c>
    </row>
    <row r="21" spans="2:11" x14ac:dyDescent="0.2">
      <c r="B21" s="88">
        <v>4</v>
      </c>
      <c r="C21" s="86" t="s">
        <v>105</v>
      </c>
      <c r="D21" s="86">
        <v>4</v>
      </c>
      <c r="E21" s="86" t="s">
        <v>106</v>
      </c>
      <c r="F21" s="86">
        <v>4</v>
      </c>
      <c r="G21" s="86" t="s">
        <v>107</v>
      </c>
      <c r="H21" s="88">
        <v>4</v>
      </c>
      <c r="I21" s="86" t="s">
        <v>108</v>
      </c>
    </row>
    <row r="22" spans="2:11" x14ac:dyDescent="0.2">
      <c r="B22" s="86">
        <v>6</v>
      </c>
      <c r="C22" s="86" t="s">
        <v>109</v>
      </c>
      <c r="D22" s="88">
        <v>6</v>
      </c>
      <c r="E22" s="86" t="s">
        <v>110</v>
      </c>
      <c r="F22" s="88">
        <v>6</v>
      </c>
      <c r="G22" s="86" t="s">
        <v>111</v>
      </c>
      <c r="H22" s="86">
        <v>6</v>
      </c>
      <c r="I22" s="86" t="s">
        <v>112</v>
      </c>
    </row>
    <row r="23" spans="2:11" x14ac:dyDescent="0.2">
      <c r="B23" s="86">
        <v>8</v>
      </c>
      <c r="C23" s="86" t="s">
        <v>113</v>
      </c>
      <c r="D23" s="86">
        <v>8</v>
      </c>
      <c r="E23" s="86" t="s">
        <v>114</v>
      </c>
      <c r="F23" s="86">
        <v>8</v>
      </c>
      <c r="G23" s="86" t="s">
        <v>115</v>
      </c>
      <c r="H23" s="86">
        <v>8</v>
      </c>
      <c r="I23" s="86" t="s">
        <v>116</v>
      </c>
    </row>
    <row r="24" spans="2:11" x14ac:dyDescent="0.2">
      <c r="B24" s="86">
        <v>10</v>
      </c>
      <c r="C24" s="86" t="s">
        <v>117</v>
      </c>
      <c r="D24" s="86">
        <v>10</v>
      </c>
      <c r="E24" s="86" t="s">
        <v>118</v>
      </c>
      <c r="F24" s="86">
        <v>10</v>
      </c>
      <c r="G24" s="86" t="s">
        <v>119</v>
      </c>
      <c r="H24" s="86">
        <v>10</v>
      </c>
      <c r="I24" s="86" t="s">
        <v>120</v>
      </c>
    </row>
    <row r="26" spans="2:11" x14ac:dyDescent="0.2">
      <c r="B26" s="13" t="s">
        <v>121</v>
      </c>
    </row>
    <row r="27" spans="2:11" x14ac:dyDescent="0.2">
      <c r="B27" s="86" t="s">
        <v>79</v>
      </c>
      <c r="C27" s="158" t="s">
        <v>80</v>
      </c>
      <c r="D27" s="159"/>
      <c r="E27" s="159"/>
      <c r="F27" s="159"/>
      <c r="G27" s="159"/>
      <c r="H27" s="160"/>
    </row>
    <row r="28" spans="2:11" x14ac:dyDescent="0.2">
      <c r="B28" s="87">
        <v>2547.6</v>
      </c>
      <c r="C28" s="86">
        <v>10</v>
      </c>
      <c r="D28" s="86">
        <v>8</v>
      </c>
      <c r="E28" s="86">
        <v>6</v>
      </c>
      <c r="F28" s="88">
        <v>4</v>
      </c>
      <c r="G28" s="156">
        <v>2</v>
      </c>
      <c r="H28" s="86">
        <v>0</v>
      </c>
    </row>
    <row r="29" spans="2:11" x14ac:dyDescent="0.2">
      <c r="B29" s="86"/>
      <c r="C29" s="131">
        <f>$B$28/6*1</f>
        <v>424.59999999999997</v>
      </c>
      <c r="D29" s="131">
        <f>$B$28/6*2</f>
        <v>849.19999999999993</v>
      </c>
      <c r="E29" s="86">
        <f>$B$28/6*3</f>
        <v>1273.8</v>
      </c>
      <c r="F29" s="92">
        <f>$B$28/6*4</f>
        <v>1698.3999999999999</v>
      </c>
      <c r="G29" s="157">
        <f>$B$28/6*5</f>
        <v>2123</v>
      </c>
      <c r="H29" s="131">
        <f>$B$28/6*6</f>
        <v>2547.6</v>
      </c>
    </row>
    <row r="30" spans="2:11" x14ac:dyDescent="0.2">
      <c r="B30" s="89"/>
      <c r="D30" t="s">
        <v>224</v>
      </c>
      <c r="F30" t="s">
        <v>225</v>
      </c>
    </row>
    <row r="31" spans="2:11" x14ac:dyDescent="0.2">
      <c r="B31" s="93" t="s">
        <v>122</v>
      </c>
    </row>
    <row r="32" spans="2:11" x14ac:dyDescent="0.2">
      <c r="B32" s="91" t="s">
        <v>123</v>
      </c>
      <c r="C32" s="86" t="s">
        <v>124</v>
      </c>
      <c r="D32" s="86" t="s">
        <v>125</v>
      </c>
      <c r="E32" s="90" t="s">
        <v>126</v>
      </c>
      <c r="F32" s="158" t="s">
        <v>127</v>
      </c>
      <c r="G32" s="159"/>
      <c r="H32" s="159"/>
      <c r="I32" s="159"/>
      <c r="J32" s="159"/>
      <c r="K32" s="160"/>
    </row>
    <row r="33" spans="2:11" x14ac:dyDescent="0.2">
      <c r="B33" s="86" t="s">
        <v>128</v>
      </c>
      <c r="C33" s="86" t="s">
        <v>129</v>
      </c>
      <c r="D33" s="86" t="s">
        <v>130</v>
      </c>
      <c r="E33" s="90" t="s">
        <v>131</v>
      </c>
      <c r="F33" s="86">
        <v>0</v>
      </c>
      <c r="G33" s="86">
        <v>2</v>
      </c>
      <c r="H33" s="86">
        <v>4</v>
      </c>
      <c r="I33" s="86">
        <v>6</v>
      </c>
      <c r="J33" s="86">
        <v>8</v>
      </c>
      <c r="K33" s="86">
        <v>10</v>
      </c>
    </row>
    <row r="34" spans="2:11" x14ac:dyDescent="0.2">
      <c r="B34" s="86" t="s">
        <v>132</v>
      </c>
      <c r="C34" s="90">
        <v>400</v>
      </c>
      <c r="D34" s="90">
        <v>10</v>
      </c>
      <c r="E34" s="86">
        <v>390</v>
      </c>
      <c r="F34" s="86">
        <v>10</v>
      </c>
      <c r="G34" s="86">
        <v>78</v>
      </c>
      <c r="H34" s="86">
        <v>156</v>
      </c>
      <c r="I34" s="86">
        <v>234</v>
      </c>
      <c r="J34" s="86">
        <v>312</v>
      </c>
      <c r="K34" s="86">
        <v>400</v>
      </c>
    </row>
    <row r="35" spans="2:11" x14ac:dyDescent="0.2">
      <c r="B35" s="86" t="s">
        <v>133</v>
      </c>
      <c r="C35" s="88">
        <v>337.5</v>
      </c>
      <c r="D35" s="88">
        <v>32.5</v>
      </c>
      <c r="E35" s="86">
        <v>305</v>
      </c>
      <c r="F35" s="86">
        <v>32.5</v>
      </c>
      <c r="G35" s="86">
        <v>93.5</v>
      </c>
      <c r="H35" s="88">
        <v>154.5</v>
      </c>
      <c r="I35" s="86">
        <v>215.5</v>
      </c>
      <c r="J35" s="86">
        <v>276.5</v>
      </c>
      <c r="K35" s="86">
        <v>337.5</v>
      </c>
    </row>
    <row r="36" spans="2:11" x14ac:dyDescent="0.2">
      <c r="B36" s="86" t="s">
        <v>134</v>
      </c>
      <c r="C36" s="90">
        <v>275</v>
      </c>
      <c r="D36" s="90">
        <v>55</v>
      </c>
      <c r="E36" s="86">
        <v>220</v>
      </c>
      <c r="F36" s="86">
        <v>55</v>
      </c>
      <c r="G36" s="86">
        <v>99</v>
      </c>
      <c r="H36" s="86">
        <v>143</v>
      </c>
      <c r="I36" s="86">
        <v>187</v>
      </c>
      <c r="J36" s="86">
        <v>231</v>
      </c>
      <c r="K36" s="86">
        <v>275</v>
      </c>
    </row>
    <row r="37" spans="2:11" x14ac:dyDescent="0.2">
      <c r="B37" s="86" t="s">
        <v>135</v>
      </c>
      <c r="C37" s="90">
        <v>212.5</v>
      </c>
      <c r="D37" s="90">
        <v>77.5</v>
      </c>
      <c r="E37" s="86">
        <v>135</v>
      </c>
      <c r="F37" s="86">
        <v>77.5</v>
      </c>
      <c r="G37" s="86">
        <v>104.5</v>
      </c>
      <c r="H37" s="86">
        <v>131.5</v>
      </c>
      <c r="I37" s="86">
        <v>158.5</v>
      </c>
      <c r="J37" s="86">
        <v>185.5</v>
      </c>
      <c r="K37" s="86">
        <v>212.5</v>
      </c>
    </row>
    <row r="38" spans="2:11" x14ac:dyDescent="0.2">
      <c r="B38" s="86" t="s">
        <v>136</v>
      </c>
      <c r="C38" s="90">
        <v>150</v>
      </c>
      <c r="D38" s="90">
        <v>100</v>
      </c>
      <c r="E38" s="86">
        <v>50</v>
      </c>
      <c r="F38" s="86">
        <v>100</v>
      </c>
      <c r="G38" s="86">
        <v>110</v>
      </c>
      <c r="H38" s="86">
        <v>120</v>
      </c>
      <c r="I38" s="86">
        <v>130</v>
      </c>
      <c r="J38" s="86">
        <v>140</v>
      </c>
      <c r="K38" s="86">
        <v>150</v>
      </c>
    </row>
  </sheetData>
  <mergeCells count="11">
    <mergeCell ref="C27:H27"/>
    <mergeCell ref="F32:K32"/>
    <mergeCell ref="C3:H3"/>
    <mergeCell ref="B8:B9"/>
    <mergeCell ref="C8:D8"/>
    <mergeCell ref="E8:J8"/>
    <mergeCell ref="B16:I16"/>
    <mergeCell ref="B17:C17"/>
    <mergeCell ref="D17:E17"/>
    <mergeCell ref="F17:G17"/>
    <mergeCell ref="H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zoomScale="85" zoomScaleNormal="85" workbookViewId="0">
      <selection activeCell="C27" sqref="C27:E27"/>
    </sheetView>
  </sheetViews>
  <sheetFormatPr baseColWidth="10" defaultColWidth="8.83203125" defaultRowHeight="15" x14ac:dyDescent="0.2"/>
  <cols>
    <col min="2" max="2" width="56.5" bestFit="1" customWidth="1"/>
    <col min="3" max="3" width="22" style="13" bestFit="1" customWidth="1"/>
    <col min="4" max="4" width="15" style="94" bestFit="1" customWidth="1"/>
    <col min="5" max="5" width="9.5" bestFit="1" customWidth="1"/>
    <col min="6" max="6" width="22" bestFit="1" customWidth="1"/>
    <col min="7" max="7" width="15" bestFit="1" customWidth="1"/>
    <col min="8" max="8" width="9.5" bestFit="1" customWidth="1"/>
    <col min="9" max="9" width="27.83203125" style="95" bestFit="1" customWidth="1"/>
  </cols>
  <sheetData>
    <row r="1" spans="2:10" ht="16" thickBot="1" x14ac:dyDescent="0.25"/>
    <row r="2" spans="2:10" s="13" customFormat="1" ht="16" thickBot="1" x14ac:dyDescent="0.25">
      <c r="C2" s="179" t="s">
        <v>8</v>
      </c>
      <c r="D2" s="180"/>
      <c r="E2" s="180"/>
      <c r="F2" s="179" t="s">
        <v>137</v>
      </c>
      <c r="G2" s="180"/>
      <c r="H2" s="181"/>
      <c r="I2" s="4" t="s">
        <v>1</v>
      </c>
      <c r="J2" s="96"/>
    </row>
    <row r="3" spans="2:10" s="13" customFormat="1" x14ac:dyDescent="0.2">
      <c r="B3" s="97" t="s">
        <v>138</v>
      </c>
      <c r="C3" s="98" t="s">
        <v>139</v>
      </c>
      <c r="D3" s="99" t="s">
        <v>140</v>
      </c>
      <c r="E3" s="100" t="s">
        <v>141</v>
      </c>
      <c r="F3" s="182" t="s">
        <v>142</v>
      </c>
      <c r="G3" s="183"/>
      <c r="H3" s="101" t="s">
        <v>141</v>
      </c>
      <c r="I3" s="6" t="s">
        <v>2</v>
      </c>
      <c r="J3" s="96"/>
    </row>
    <row r="4" spans="2:10" x14ac:dyDescent="0.2">
      <c r="B4" s="102" t="s">
        <v>143</v>
      </c>
      <c r="C4" s="103" t="s">
        <v>144</v>
      </c>
      <c r="D4" s="104" t="s">
        <v>145</v>
      </c>
      <c r="E4" s="105">
        <v>8.875</v>
      </c>
      <c r="F4" s="167" t="s">
        <v>146</v>
      </c>
      <c r="G4" s="160"/>
      <c r="H4" s="106">
        <v>8.875</v>
      </c>
      <c r="I4" s="10" t="s">
        <v>4</v>
      </c>
      <c r="J4" s="96"/>
    </row>
    <row r="5" spans="2:10" x14ac:dyDescent="0.2">
      <c r="B5" s="102" t="s">
        <v>10</v>
      </c>
      <c r="C5" s="188" t="s">
        <v>147</v>
      </c>
      <c r="D5" s="189"/>
      <c r="E5" s="107">
        <v>0</v>
      </c>
      <c r="F5" s="167" t="s">
        <v>147</v>
      </c>
      <c r="G5" s="159"/>
      <c r="H5" s="168"/>
      <c r="I5" s="8" t="s">
        <v>3</v>
      </c>
      <c r="J5" s="9"/>
    </row>
    <row r="6" spans="2:10" x14ac:dyDescent="0.2">
      <c r="B6" s="108" t="s">
        <v>11</v>
      </c>
      <c r="C6" s="191" t="s">
        <v>147</v>
      </c>
      <c r="D6" s="192"/>
      <c r="E6" s="109">
        <v>0</v>
      </c>
      <c r="F6" s="167" t="s">
        <v>147</v>
      </c>
      <c r="G6" s="159"/>
      <c r="H6" s="168"/>
      <c r="I6" s="12" t="s">
        <v>5</v>
      </c>
      <c r="J6" s="13"/>
    </row>
    <row r="7" spans="2:10" ht="16" thickBot="1" x14ac:dyDescent="0.25">
      <c r="B7" s="110" t="s">
        <v>12</v>
      </c>
      <c r="C7" s="169" t="s">
        <v>148</v>
      </c>
      <c r="D7" s="170"/>
      <c r="E7" s="111">
        <f>E4</f>
        <v>8.875</v>
      </c>
      <c r="F7" s="169" t="s">
        <v>147</v>
      </c>
      <c r="G7" s="171"/>
      <c r="H7" s="172"/>
    </row>
    <row r="8" spans="2:10" ht="16" thickBot="1" x14ac:dyDescent="0.25">
      <c r="C8" s="179" t="s">
        <v>8</v>
      </c>
      <c r="D8" s="180"/>
      <c r="E8" s="180"/>
      <c r="F8" s="179" t="s">
        <v>137</v>
      </c>
      <c r="G8" s="180"/>
      <c r="H8" s="181"/>
      <c r="I8"/>
    </row>
    <row r="9" spans="2:10" x14ac:dyDescent="0.2">
      <c r="B9" s="97" t="s">
        <v>71</v>
      </c>
      <c r="C9" s="98" t="s">
        <v>139</v>
      </c>
      <c r="D9" s="99" t="s">
        <v>140</v>
      </c>
      <c r="E9" s="100" t="s">
        <v>141</v>
      </c>
      <c r="F9" s="182" t="s">
        <v>142</v>
      </c>
      <c r="G9" s="183"/>
      <c r="H9" s="101" t="s">
        <v>141</v>
      </c>
    </row>
    <row r="10" spans="2:10" x14ac:dyDescent="0.2">
      <c r="B10" s="102" t="s">
        <v>149</v>
      </c>
      <c r="C10" s="103" t="s">
        <v>150</v>
      </c>
      <c r="D10" s="112" t="s">
        <v>151</v>
      </c>
      <c r="E10" s="105">
        <v>931.66</v>
      </c>
      <c r="F10" s="167" t="s">
        <v>152</v>
      </c>
      <c r="G10" s="160"/>
      <c r="H10" s="113">
        <v>873.93499999999995</v>
      </c>
    </row>
    <row r="11" spans="2:10" x14ac:dyDescent="0.2">
      <c r="B11" s="102" t="s">
        <v>13</v>
      </c>
      <c r="C11" s="103" t="s">
        <v>153</v>
      </c>
      <c r="D11" s="112" t="s">
        <v>154</v>
      </c>
      <c r="E11" s="105">
        <v>58.229166666666664</v>
      </c>
      <c r="F11" s="188" t="s">
        <v>155</v>
      </c>
      <c r="G11" s="189"/>
      <c r="H11" s="190"/>
    </row>
    <row r="12" spans="2:10" x14ac:dyDescent="0.2">
      <c r="B12" s="102" t="s">
        <v>14</v>
      </c>
      <c r="C12" s="114" t="s">
        <v>156</v>
      </c>
      <c r="D12" s="115" t="s">
        <v>157</v>
      </c>
      <c r="E12" s="116">
        <v>0.5</v>
      </c>
      <c r="F12" s="176" t="s">
        <v>158</v>
      </c>
      <c r="G12" s="177"/>
      <c r="H12" s="178"/>
    </row>
    <row r="13" spans="2:10" x14ac:dyDescent="0.2">
      <c r="B13" s="102" t="s">
        <v>15</v>
      </c>
      <c r="C13" s="167" t="s">
        <v>159</v>
      </c>
      <c r="D13" s="160"/>
      <c r="E13" s="117">
        <v>1</v>
      </c>
      <c r="F13" s="167" t="s">
        <v>160</v>
      </c>
      <c r="G13" s="159"/>
      <c r="H13" s="168"/>
    </row>
    <row r="14" spans="2:10" x14ac:dyDescent="0.2">
      <c r="B14" s="102" t="s">
        <v>16</v>
      </c>
      <c r="C14" s="167" t="s">
        <v>147</v>
      </c>
      <c r="D14" s="159"/>
      <c r="E14" s="118">
        <v>873.93499999999995</v>
      </c>
      <c r="F14" s="167" t="s">
        <v>147</v>
      </c>
      <c r="G14" s="159"/>
      <c r="H14" s="168"/>
    </row>
    <row r="15" spans="2:10" x14ac:dyDescent="0.2">
      <c r="B15" s="102" t="s">
        <v>17</v>
      </c>
      <c r="C15" s="167" t="s">
        <v>147</v>
      </c>
      <c r="D15" s="159"/>
      <c r="E15" s="118">
        <v>0</v>
      </c>
      <c r="F15" s="167" t="s">
        <v>147</v>
      </c>
      <c r="G15" s="159"/>
      <c r="H15" s="168"/>
    </row>
    <row r="16" spans="2:10" x14ac:dyDescent="0.2">
      <c r="B16" s="102" t="s">
        <v>18</v>
      </c>
      <c r="C16" s="167" t="s">
        <v>147</v>
      </c>
      <c r="D16" s="159"/>
      <c r="E16" s="119">
        <v>873.93499999999995</v>
      </c>
      <c r="F16" s="167" t="s">
        <v>147</v>
      </c>
      <c r="G16" s="159"/>
      <c r="H16" s="168"/>
    </row>
    <row r="17" spans="2:9" ht="16" thickBot="1" x14ac:dyDescent="0.25">
      <c r="B17" s="110" t="s">
        <v>19</v>
      </c>
      <c r="C17" s="169" t="s">
        <v>147</v>
      </c>
      <c r="D17" s="171"/>
      <c r="E17" s="120">
        <v>6.2539999999999996</v>
      </c>
      <c r="F17" s="169" t="s">
        <v>147</v>
      </c>
      <c r="G17" s="171"/>
      <c r="H17" s="172"/>
    </row>
    <row r="18" spans="2:9" ht="16" thickBot="1" x14ac:dyDescent="0.25">
      <c r="C18" s="179" t="s">
        <v>8</v>
      </c>
      <c r="D18" s="180"/>
      <c r="E18" s="180"/>
      <c r="F18" s="179" t="s">
        <v>137</v>
      </c>
      <c r="G18" s="180"/>
      <c r="H18" s="181"/>
      <c r="I18"/>
    </row>
    <row r="19" spans="2:9" x14ac:dyDescent="0.2">
      <c r="B19" s="97" t="s">
        <v>20</v>
      </c>
      <c r="C19" s="98" t="s">
        <v>139</v>
      </c>
      <c r="D19" s="99" t="s">
        <v>140</v>
      </c>
      <c r="E19" s="100" t="s">
        <v>141</v>
      </c>
      <c r="F19" s="182" t="s">
        <v>142</v>
      </c>
      <c r="G19" s="183"/>
      <c r="H19" s="101" t="s">
        <v>141</v>
      </c>
    </row>
    <row r="20" spans="2:9" x14ac:dyDescent="0.2">
      <c r="B20" s="102" t="s">
        <v>161</v>
      </c>
      <c r="C20" s="103" t="s">
        <v>150</v>
      </c>
      <c r="D20" s="112" t="s">
        <v>162</v>
      </c>
      <c r="E20" s="105">
        <v>6</v>
      </c>
      <c r="F20" s="167" t="s">
        <v>163</v>
      </c>
      <c r="G20" s="160"/>
      <c r="H20" s="106">
        <v>7.4669999999999996</v>
      </c>
    </row>
    <row r="21" spans="2:9" x14ac:dyDescent="0.2">
      <c r="B21" s="102" t="s">
        <v>164</v>
      </c>
      <c r="C21" s="103" t="s">
        <v>153</v>
      </c>
      <c r="D21" s="112" t="s">
        <v>165</v>
      </c>
      <c r="E21" s="105">
        <v>0.83330000000000004</v>
      </c>
      <c r="F21" s="188" t="s">
        <v>166</v>
      </c>
      <c r="G21" s="189"/>
      <c r="H21" s="190"/>
    </row>
    <row r="22" spans="2:9" x14ac:dyDescent="0.2">
      <c r="B22" s="102" t="s">
        <v>14</v>
      </c>
      <c r="C22" s="114" t="s">
        <v>156</v>
      </c>
      <c r="D22" s="115" t="s">
        <v>167</v>
      </c>
      <c r="E22" s="116">
        <v>-0.2</v>
      </c>
      <c r="F22" s="176" t="s">
        <v>158</v>
      </c>
      <c r="G22" s="177"/>
      <c r="H22" s="178"/>
    </row>
    <row r="23" spans="2:9" x14ac:dyDescent="0.2">
      <c r="B23" s="102" t="s">
        <v>15</v>
      </c>
      <c r="C23" s="167" t="s">
        <v>159</v>
      </c>
      <c r="D23" s="160"/>
      <c r="E23" s="117">
        <v>1</v>
      </c>
      <c r="F23" s="167" t="s">
        <v>160</v>
      </c>
      <c r="G23" s="159"/>
      <c r="H23" s="168"/>
    </row>
    <row r="24" spans="2:9" x14ac:dyDescent="0.2">
      <c r="B24" s="102" t="s">
        <v>16</v>
      </c>
      <c r="C24" s="167" t="s">
        <v>147</v>
      </c>
      <c r="D24" s="159"/>
      <c r="E24" s="118">
        <v>6.63</v>
      </c>
      <c r="F24" s="167" t="s">
        <v>147</v>
      </c>
      <c r="G24" s="159"/>
      <c r="H24" s="168"/>
    </row>
    <row r="25" spans="2:9" x14ac:dyDescent="0.2">
      <c r="B25" s="102" t="s">
        <v>22</v>
      </c>
      <c r="C25" s="167" t="s">
        <v>148</v>
      </c>
      <c r="D25" s="159"/>
      <c r="E25" s="118">
        <f>E24</f>
        <v>6.63</v>
      </c>
      <c r="F25" s="167" t="s">
        <v>147</v>
      </c>
      <c r="G25" s="159"/>
      <c r="H25" s="168"/>
    </row>
    <row r="26" spans="2:9" ht="16" thickBot="1" x14ac:dyDescent="0.25">
      <c r="B26" s="110" t="s">
        <v>23</v>
      </c>
      <c r="C26" s="169" t="s">
        <v>147</v>
      </c>
      <c r="D26" s="171"/>
      <c r="E26" s="111">
        <v>7.4669999999999996</v>
      </c>
      <c r="F26" s="169" t="s">
        <v>147</v>
      </c>
      <c r="G26" s="171"/>
      <c r="H26" s="172"/>
    </row>
    <row r="27" spans="2:9" ht="16" thickBot="1" x14ac:dyDescent="0.25">
      <c r="C27" s="179" t="s">
        <v>8</v>
      </c>
      <c r="D27" s="180"/>
      <c r="E27" s="180"/>
      <c r="F27" s="179" t="s">
        <v>137</v>
      </c>
      <c r="G27" s="180"/>
      <c r="H27" s="181"/>
      <c r="I27"/>
    </row>
    <row r="28" spans="2:9" x14ac:dyDescent="0.2">
      <c r="B28" s="97" t="s">
        <v>95</v>
      </c>
      <c r="C28" s="98" t="s">
        <v>139</v>
      </c>
      <c r="D28" s="99" t="s">
        <v>140</v>
      </c>
      <c r="E28" s="100" t="s">
        <v>141</v>
      </c>
      <c r="F28" s="182" t="s">
        <v>142</v>
      </c>
      <c r="G28" s="183"/>
      <c r="H28" s="101" t="s">
        <v>141</v>
      </c>
    </row>
    <row r="29" spans="2:9" x14ac:dyDescent="0.2">
      <c r="B29" s="102" t="s">
        <v>24</v>
      </c>
      <c r="C29" s="103" t="s">
        <v>150</v>
      </c>
      <c r="D29" s="112" t="s">
        <v>168</v>
      </c>
      <c r="E29" s="105">
        <v>6</v>
      </c>
      <c r="F29" s="167" t="s">
        <v>169</v>
      </c>
      <c r="G29" s="160"/>
      <c r="H29" s="106">
        <f>E35</f>
        <v>6.633</v>
      </c>
    </row>
    <row r="30" spans="2:9" x14ac:dyDescent="0.2">
      <c r="B30" s="102" t="s">
        <v>25</v>
      </c>
      <c r="C30" s="103" t="s">
        <v>153</v>
      </c>
      <c r="D30" s="112" t="s">
        <v>170</v>
      </c>
      <c r="E30" s="105">
        <v>0.41666666666666669</v>
      </c>
      <c r="F30" s="188" t="s">
        <v>171</v>
      </c>
      <c r="G30" s="189"/>
      <c r="H30" s="190"/>
    </row>
    <row r="31" spans="2:9" x14ac:dyDescent="0.2">
      <c r="B31" s="102" t="s">
        <v>14</v>
      </c>
      <c r="C31" s="114" t="s">
        <v>156</v>
      </c>
      <c r="D31" s="115" t="s">
        <v>172</v>
      </c>
      <c r="E31" s="116">
        <v>-0.2</v>
      </c>
      <c r="F31" s="176" t="s">
        <v>158</v>
      </c>
      <c r="G31" s="177"/>
      <c r="H31" s="178"/>
    </row>
    <row r="32" spans="2:9" x14ac:dyDescent="0.2">
      <c r="B32" s="102" t="s">
        <v>15</v>
      </c>
      <c r="C32" s="167" t="s">
        <v>159</v>
      </c>
      <c r="D32" s="160"/>
      <c r="E32" s="117">
        <v>1</v>
      </c>
      <c r="F32" s="167" t="s">
        <v>160</v>
      </c>
      <c r="G32" s="159"/>
      <c r="H32" s="168"/>
    </row>
    <row r="33" spans="2:9" x14ac:dyDescent="0.2">
      <c r="B33" s="102" t="s">
        <v>16</v>
      </c>
      <c r="C33" s="167" t="s">
        <v>148</v>
      </c>
      <c r="D33" s="159"/>
      <c r="E33" s="117">
        <v>6.22</v>
      </c>
      <c r="F33" s="167" t="s">
        <v>147</v>
      </c>
      <c r="G33" s="159"/>
      <c r="H33" s="168"/>
    </row>
    <row r="34" spans="2:9" x14ac:dyDescent="0.2">
      <c r="B34" s="102" t="s">
        <v>26</v>
      </c>
      <c r="C34" s="167" t="s">
        <v>148</v>
      </c>
      <c r="D34" s="159"/>
      <c r="E34" s="117">
        <v>6.22</v>
      </c>
      <c r="F34" s="167" t="s">
        <v>147</v>
      </c>
      <c r="G34" s="159"/>
      <c r="H34" s="168"/>
    </row>
    <row r="35" spans="2:9" x14ac:dyDescent="0.2">
      <c r="B35" s="102" t="s">
        <v>27</v>
      </c>
      <c r="C35" s="167" t="s">
        <v>147</v>
      </c>
      <c r="D35" s="159"/>
      <c r="E35" s="121">
        <v>6.633</v>
      </c>
      <c r="F35" s="167" t="s">
        <v>147</v>
      </c>
      <c r="G35" s="159"/>
      <c r="H35" s="168"/>
    </row>
    <row r="36" spans="2:9" x14ac:dyDescent="0.2">
      <c r="B36" s="102" t="s">
        <v>28</v>
      </c>
      <c r="C36" s="167" t="s">
        <v>173</v>
      </c>
      <c r="D36" s="160"/>
      <c r="E36" s="117" t="s">
        <v>174</v>
      </c>
      <c r="F36" s="167" t="s">
        <v>173</v>
      </c>
      <c r="G36" s="160"/>
      <c r="H36" s="122">
        <v>0</v>
      </c>
    </row>
    <row r="37" spans="2:9" ht="16" thickBot="1" x14ac:dyDescent="0.25">
      <c r="B37" s="110" t="s">
        <v>32</v>
      </c>
      <c r="C37" s="169" t="s">
        <v>175</v>
      </c>
      <c r="D37" s="170"/>
      <c r="E37" s="123" t="s">
        <v>33</v>
      </c>
      <c r="F37" s="169" t="s">
        <v>175</v>
      </c>
      <c r="G37" s="170"/>
      <c r="H37" s="124" t="s">
        <v>33</v>
      </c>
    </row>
    <row r="38" spans="2:9" ht="16" thickBot="1" x14ac:dyDescent="0.25">
      <c r="C38" s="179" t="s">
        <v>8</v>
      </c>
      <c r="D38" s="180"/>
      <c r="E38" s="180"/>
      <c r="F38" s="179" t="s">
        <v>137</v>
      </c>
      <c r="G38" s="180"/>
      <c r="H38" s="181"/>
      <c r="I38"/>
    </row>
    <row r="39" spans="2:9" x14ac:dyDescent="0.2">
      <c r="B39" s="97" t="s">
        <v>121</v>
      </c>
      <c r="C39" s="98" t="s">
        <v>139</v>
      </c>
      <c r="D39" s="99" t="s">
        <v>140</v>
      </c>
      <c r="E39" s="100" t="s">
        <v>141</v>
      </c>
      <c r="F39" s="182" t="s">
        <v>142</v>
      </c>
      <c r="G39" s="183"/>
      <c r="H39" s="101" t="s">
        <v>141</v>
      </c>
    </row>
    <row r="40" spans="2:9" x14ac:dyDescent="0.2">
      <c r="B40" s="102" t="s">
        <v>176</v>
      </c>
      <c r="C40" s="103" t="s">
        <v>150</v>
      </c>
      <c r="D40" s="112" t="s">
        <v>177</v>
      </c>
      <c r="E40" s="117">
        <v>1164.58</v>
      </c>
      <c r="F40" s="167" t="s">
        <v>178</v>
      </c>
      <c r="G40" s="159"/>
      <c r="H40" s="168"/>
    </row>
    <row r="41" spans="2:9" x14ac:dyDescent="0.2">
      <c r="B41" s="102" t="s">
        <v>34</v>
      </c>
      <c r="C41" s="103" t="s">
        <v>153</v>
      </c>
      <c r="D41" s="112" t="s">
        <v>179</v>
      </c>
      <c r="E41" s="105">
        <v>58.229166666666664</v>
      </c>
      <c r="F41" s="188" t="s">
        <v>180</v>
      </c>
      <c r="G41" s="189"/>
      <c r="H41" s="190"/>
    </row>
    <row r="42" spans="2:9" x14ac:dyDescent="0.2">
      <c r="B42" s="102" t="s">
        <v>14</v>
      </c>
      <c r="C42" s="114" t="s">
        <v>156</v>
      </c>
      <c r="D42" s="115" t="s">
        <v>181</v>
      </c>
      <c r="E42" s="116">
        <v>0.8</v>
      </c>
      <c r="F42" s="176" t="s">
        <v>158</v>
      </c>
      <c r="G42" s="177"/>
      <c r="H42" s="178"/>
    </row>
    <row r="43" spans="2:9" x14ac:dyDescent="0.2">
      <c r="B43" s="102" t="s">
        <v>15</v>
      </c>
      <c r="C43" s="167" t="s">
        <v>159</v>
      </c>
      <c r="D43" s="160"/>
      <c r="E43" s="117">
        <v>1</v>
      </c>
      <c r="F43" s="167" t="s">
        <v>160</v>
      </c>
      <c r="G43" s="159"/>
      <c r="H43" s="168"/>
    </row>
    <row r="44" spans="2:9" x14ac:dyDescent="0.2">
      <c r="B44" s="102" t="s">
        <v>35</v>
      </c>
      <c r="C44" s="167" t="s">
        <v>147</v>
      </c>
      <c r="D44" s="159"/>
      <c r="E44" s="117">
        <v>1105.5509999999999</v>
      </c>
      <c r="F44" s="167" t="s">
        <v>147</v>
      </c>
      <c r="G44" s="159"/>
      <c r="H44" s="168"/>
    </row>
    <row r="45" spans="2:9" x14ac:dyDescent="0.2">
      <c r="B45" s="102" t="s">
        <v>0</v>
      </c>
      <c r="C45" s="167" t="s">
        <v>173</v>
      </c>
      <c r="D45" s="160"/>
      <c r="E45" s="117">
        <v>0</v>
      </c>
      <c r="F45" s="167" t="s">
        <v>173</v>
      </c>
      <c r="G45" s="160"/>
      <c r="H45" s="122">
        <v>0</v>
      </c>
    </row>
    <row r="46" spans="2:9" x14ac:dyDescent="0.2">
      <c r="B46" s="102" t="s">
        <v>182</v>
      </c>
      <c r="C46" s="167" t="s">
        <v>147</v>
      </c>
      <c r="D46" s="159"/>
      <c r="E46" s="117">
        <v>0</v>
      </c>
      <c r="F46" s="167" t="s">
        <v>147</v>
      </c>
      <c r="G46" s="159"/>
      <c r="H46" s="168"/>
    </row>
    <row r="47" spans="2:9" x14ac:dyDescent="0.2">
      <c r="B47" s="102" t="s">
        <v>19</v>
      </c>
      <c r="C47" s="167" t="s">
        <v>147</v>
      </c>
      <c r="D47" s="159"/>
      <c r="E47" s="117">
        <v>0</v>
      </c>
      <c r="F47" s="167" t="s">
        <v>147</v>
      </c>
      <c r="G47" s="159"/>
      <c r="H47" s="168"/>
    </row>
    <row r="48" spans="2:9" ht="16" thickBot="1" x14ac:dyDescent="0.25">
      <c r="B48" s="110" t="s">
        <v>183</v>
      </c>
      <c r="C48" s="169" t="s">
        <v>147</v>
      </c>
      <c r="D48" s="171"/>
      <c r="E48" s="123">
        <v>0</v>
      </c>
      <c r="F48" s="169" t="s">
        <v>147</v>
      </c>
      <c r="G48" s="171"/>
      <c r="H48" s="172"/>
      <c r="I48" s="125" t="s">
        <v>184</v>
      </c>
    </row>
    <row r="49" spans="2:9" ht="16" thickBot="1" x14ac:dyDescent="0.25">
      <c r="C49" s="179" t="s">
        <v>8</v>
      </c>
      <c r="D49" s="180"/>
      <c r="E49" s="180"/>
      <c r="F49" s="179" t="s">
        <v>137</v>
      </c>
      <c r="G49" s="180"/>
      <c r="H49" s="181"/>
      <c r="I49"/>
    </row>
    <row r="50" spans="2:9" x14ac:dyDescent="0.2">
      <c r="B50" s="97" t="s">
        <v>185</v>
      </c>
      <c r="C50" s="98" t="s">
        <v>139</v>
      </c>
      <c r="D50" s="99" t="s">
        <v>140</v>
      </c>
      <c r="E50" s="100" t="s">
        <v>141</v>
      </c>
      <c r="F50" s="182" t="s">
        <v>142</v>
      </c>
      <c r="G50" s="183"/>
      <c r="H50" s="101" t="s">
        <v>141</v>
      </c>
    </row>
    <row r="51" spans="2:9" x14ac:dyDescent="0.2">
      <c r="B51" s="102" t="s">
        <v>37</v>
      </c>
      <c r="C51" s="103" t="s">
        <v>150</v>
      </c>
      <c r="D51" s="112" t="s">
        <v>186</v>
      </c>
      <c r="E51" s="105">
        <v>2</v>
      </c>
      <c r="F51" s="167" t="s">
        <v>187</v>
      </c>
      <c r="G51" s="159"/>
      <c r="H51" s="168"/>
    </row>
    <row r="52" spans="2:9" x14ac:dyDescent="0.2">
      <c r="B52" s="102" t="s">
        <v>38</v>
      </c>
      <c r="C52" s="103" t="s">
        <v>153</v>
      </c>
      <c r="D52" s="112" t="s">
        <v>188</v>
      </c>
      <c r="E52" s="105">
        <v>1.667</v>
      </c>
      <c r="F52" s="188" t="s">
        <v>155</v>
      </c>
      <c r="G52" s="189"/>
      <c r="H52" s="190"/>
    </row>
    <row r="53" spans="2:9" x14ac:dyDescent="0.2">
      <c r="B53" s="102" t="s">
        <v>14</v>
      </c>
      <c r="C53" s="114" t="s">
        <v>156</v>
      </c>
      <c r="D53" s="115" t="s">
        <v>189</v>
      </c>
      <c r="E53" s="116">
        <v>0.5</v>
      </c>
      <c r="F53" s="176" t="s">
        <v>158</v>
      </c>
      <c r="G53" s="177"/>
      <c r="H53" s="178"/>
    </row>
    <row r="54" spans="2:9" x14ac:dyDescent="0.2">
      <c r="B54" s="102" t="s">
        <v>15</v>
      </c>
      <c r="C54" s="167" t="s">
        <v>159</v>
      </c>
      <c r="D54" s="160"/>
      <c r="E54" s="117">
        <v>1</v>
      </c>
      <c r="F54" s="167" t="s">
        <v>160</v>
      </c>
      <c r="G54" s="159"/>
      <c r="H54" s="168"/>
    </row>
    <row r="55" spans="2:9" x14ac:dyDescent="0.2">
      <c r="B55" s="102" t="s">
        <v>39</v>
      </c>
      <c r="C55" s="167" t="s">
        <v>147</v>
      </c>
      <c r="D55" s="159"/>
      <c r="E55" s="117">
        <v>4.1669999999999998</v>
      </c>
      <c r="F55" s="167" t="s">
        <v>147</v>
      </c>
      <c r="G55" s="159"/>
      <c r="H55" s="168"/>
    </row>
    <row r="56" spans="2:9" x14ac:dyDescent="0.2">
      <c r="B56" s="102" t="s">
        <v>0</v>
      </c>
      <c r="C56" s="167" t="s">
        <v>173</v>
      </c>
      <c r="D56" s="160"/>
      <c r="E56" s="117">
        <v>0</v>
      </c>
      <c r="F56" s="167" t="s">
        <v>173</v>
      </c>
      <c r="G56" s="160"/>
      <c r="H56" s="122">
        <v>0</v>
      </c>
    </row>
    <row r="57" spans="2:9" x14ac:dyDescent="0.2">
      <c r="B57" s="102" t="s">
        <v>40</v>
      </c>
      <c r="C57" s="167" t="s">
        <v>147</v>
      </c>
      <c r="D57" s="159"/>
      <c r="E57" s="117">
        <v>0</v>
      </c>
      <c r="F57" s="167" t="s">
        <v>147</v>
      </c>
      <c r="G57" s="159"/>
      <c r="H57" s="168"/>
    </row>
    <row r="58" spans="2:9" ht="16" thickBot="1" x14ac:dyDescent="0.25">
      <c r="B58" s="110" t="s">
        <v>190</v>
      </c>
      <c r="C58" s="169" t="s">
        <v>147</v>
      </c>
      <c r="D58" s="171"/>
      <c r="E58" s="123">
        <v>0</v>
      </c>
      <c r="F58" s="169" t="s">
        <v>147</v>
      </c>
      <c r="G58" s="171"/>
      <c r="H58" s="172"/>
      <c r="I58" s="125" t="s">
        <v>191</v>
      </c>
    </row>
    <row r="59" spans="2:9" ht="16" thickBot="1" x14ac:dyDescent="0.25">
      <c r="C59" s="179" t="s">
        <v>8</v>
      </c>
      <c r="D59" s="180"/>
      <c r="E59" s="180"/>
      <c r="F59" s="179" t="s">
        <v>137</v>
      </c>
      <c r="G59" s="180"/>
      <c r="H59" s="181"/>
      <c r="I59"/>
    </row>
    <row r="60" spans="2:9" x14ac:dyDescent="0.2">
      <c r="B60" s="97" t="s">
        <v>122</v>
      </c>
      <c r="C60" s="98" t="s">
        <v>139</v>
      </c>
      <c r="D60" s="99" t="s">
        <v>140</v>
      </c>
      <c r="E60" s="100" t="s">
        <v>141</v>
      </c>
      <c r="F60" s="182" t="s">
        <v>142</v>
      </c>
      <c r="G60" s="183"/>
      <c r="H60" s="101" t="s">
        <v>141</v>
      </c>
    </row>
    <row r="61" spans="2:9" x14ac:dyDescent="0.2">
      <c r="B61" s="102" t="s">
        <v>41</v>
      </c>
      <c r="C61" s="167" t="s">
        <v>192</v>
      </c>
      <c r="D61" s="160"/>
      <c r="E61" s="117">
        <v>0</v>
      </c>
      <c r="F61" s="167" t="s">
        <v>192</v>
      </c>
      <c r="G61" s="159"/>
      <c r="H61" s="168"/>
    </row>
    <row r="62" spans="2:9" x14ac:dyDescent="0.2">
      <c r="B62" s="102" t="s">
        <v>42</v>
      </c>
      <c r="C62" s="167" t="s">
        <v>193</v>
      </c>
      <c r="D62" s="160"/>
      <c r="E62" s="117">
        <v>0</v>
      </c>
      <c r="F62" s="167" t="s">
        <v>193</v>
      </c>
      <c r="G62" s="159"/>
      <c r="H62" s="168"/>
    </row>
    <row r="63" spans="2:9" x14ac:dyDescent="0.2">
      <c r="B63" s="102" t="s">
        <v>194</v>
      </c>
      <c r="C63" s="103" t="s">
        <v>144</v>
      </c>
      <c r="D63" s="112" t="s">
        <v>195</v>
      </c>
      <c r="E63" s="105">
        <v>33000</v>
      </c>
      <c r="F63" s="167" t="s">
        <v>147</v>
      </c>
      <c r="G63" s="159"/>
      <c r="H63" s="168"/>
    </row>
    <row r="64" spans="2:9" x14ac:dyDescent="0.2">
      <c r="B64" s="102" t="s">
        <v>43</v>
      </c>
      <c r="C64" s="103" t="s">
        <v>153</v>
      </c>
      <c r="D64" s="112" t="s">
        <v>196</v>
      </c>
      <c r="E64" s="126">
        <v>60</v>
      </c>
      <c r="F64" s="173" t="s">
        <v>197</v>
      </c>
      <c r="G64" s="174"/>
      <c r="H64" s="175"/>
    </row>
    <row r="65" spans="2:10" x14ac:dyDescent="0.2">
      <c r="B65" s="102" t="s">
        <v>14</v>
      </c>
      <c r="C65" s="114" t="s">
        <v>156</v>
      </c>
      <c r="D65" s="115" t="s">
        <v>198</v>
      </c>
      <c r="E65" s="116">
        <v>0</v>
      </c>
      <c r="F65" s="176" t="s">
        <v>158</v>
      </c>
      <c r="G65" s="177"/>
      <c r="H65" s="178"/>
    </row>
    <row r="66" spans="2:10" x14ac:dyDescent="0.2">
      <c r="B66" s="102" t="s">
        <v>15</v>
      </c>
      <c r="C66" s="167" t="s">
        <v>159</v>
      </c>
      <c r="D66" s="160"/>
      <c r="E66" s="117">
        <v>1</v>
      </c>
      <c r="F66" s="167" t="s">
        <v>160</v>
      </c>
      <c r="G66" s="159"/>
      <c r="H66" s="168"/>
    </row>
    <row r="67" spans="2:10" x14ac:dyDescent="0.2">
      <c r="B67" s="102" t="s">
        <v>44</v>
      </c>
      <c r="C67" s="103" t="s">
        <v>150</v>
      </c>
      <c r="D67" s="112" t="s">
        <v>199</v>
      </c>
      <c r="E67" s="105">
        <v>55</v>
      </c>
      <c r="F67" s="167" t="s">
        <v>147</v>
      </c>
      <c r="G67" s="159"/>
      <c r="H67" s="168"/>
    </row>
    <row r="68" spans="2:10" x14ac:dyDescent="0.2">
      <c r="B68" s="102" t="s">
        <v>45</v>
      </c>
      <c r="C68" s="103" t="s">
        <v>150</v>
      </c>
      <c r="D68" s="112" t="s">
        <v>200</v>
      </c>
      <c r="E68" s="105">
        <v>220</v>
      </c>
      <c r="F68" s="167" t="s">
        <v>147</v>
      </c>
      <c r="G68" s="159"/>
      <c r="H68" s="168"/>
    </row>
    <row r="69" spans="2:10" x14ac:dyDescent="0.2">
      <c r="B69" s="102" t="s">
        <v>46</v>
      </c>
      <c r="C69" s="103" t="s">
        <v>150</v>
      </c>
      <c r="D69" s="112" t="s">
        <v>199</v>
      </c>
      <c r="E69" s="105">
        <v>55</v>
      </c>
      <c r="F69" s="167" t="s">
        <v>147</v>
      </c>
      <c r="G69" s="159"/>
      <c r="H69" s="168"/>
    </row>
    <row r="70" spans="2:10" ht="16" thickBot="1" x14ac:dyDescent="0.25">
      <c r="B70" s="110" t="s">
        <v>47</v>
      </c>
      <c r="C70" s="169" t="s">
        <v>147</v>
      </c>
      <c r="D70" s="171"/>
      <c r="E70" s="123">
        <v>2</v>
      </c>
      <c r="F70" s="169" t="s">
        <v>147</v>
      </c>
      <c r="G70" s="171"/>
      <c r="H70" s="172"/>
    </row>
    <row r="71" spans="2:10" ht="16" thickBot="1" x14ac:dyDescent="0.25">
      <c r="C71" s="179" t="s">
        <v>8</v>
      </c>
      <c r="D71" s="180"/>
      <c r="E71" s="180"/>
      <c r="F71" s="179" t="s">
        <v>137</v>
      </c>
      <c r="G71" s="180"/>
      <c r="H71" s="181"/>
      <c r="I71" s="184" t="s">
        <v>201</v>
      </c>
    </row>
    <row r="72" spans="2:10" x14ac:dyDescent="0.2">
      <c r="B72" s="97" t="s">
        <v>81</v>
      </c>
      <c r="C72" s="98" t="s">
        <v>139</v>
      </c>
      <c r="D72" s="99" t="s">
        <v>140</v>
      </c>
      <c r="E72" s="100" t="s">
        <v>141</v>
      </c>
      <c r="F72" s="182" t="s">
        <v>142</v>
      </c>
      <c r="G72" s="183"/>
      <c r="H72" s="101" t="s">
        <v>141</v>
      </c>
      <c r="I72" s="185"/>
    </row>
    <row r="73" spans="2:10" x14ac:dyDescent="0.2">
      <c r="B73" s="102" t="s">
        <v>49</v>
      </c>
      <c r="C73" s="167" t="s">
        <v>202</v>
      </c>
      <c r="D73" s="160"/>
      <c r="E73" s="117">
        <v>0</v>
      </c>
      <c r="F73" s="167" t="s">
        <v>203</v>
      </c>
      <c r="G73" s="159"/>
      <c r="H73" s="168"/>
      <c r="I73" s="127" t="s">
        <v>202</v>
      </c>
      <c r="J73" s="128" t="s">
        <v>204</v>
      </c>
    </row>
    <row r="74" spans="2:10" x14ac:dyDescent="0.2">
      <c r="B74" s="102" t="s">
        <v>50</v>
      </c>
      <c r="C74" s="167" t="s">
        <v>203</v>
      </c>
      <c r="D74" s="160"/>
      <c r="E74" s="105">
        <v>77.64</v>
      </c>
      <c r="F74" s="167" t="s">
        <v>147</v>
      </c>
      <c r="G74" s="159"/>
      <c r="H74" s="168"/>
      <c r="I74" s="186" t="s">
        <v>205</v>
      </c>
    </row>
    <row r="75" spans="2:10" x14ac:dyDescent="0.2">
      <c r="B75" s="102" t="s">
        <v>51</v>
      </c>
      <c r="C75" s="167" t="s">
        <v>148</v>
      </c>
      <c r="D75" s="159"/>
      <c r="E75" s="117">
        <v>0</v>
      </c>
      <c r="F75" s="167" t="s">
        <v>147</v>
      </c>
      <c r="G75" s="159"/>
      <c r="H75" s="168"/>
      <c r="I75" s="186"/>
    </row>
    <row r="76" spans="2:10" x14ac:dyDescent="0.2">
      <c r="B76" s="102" t="s">
        <v>52</v>
      </c>
      <c r="C76" s="167" t="s">
        <v>148</v>
      </c>
      <c r="D76" s="159"/>
      <c r="E76" s="117">
        <v>0</v>
      </c>
      <c r="F76" s="167" t="s">
        <v>147</v>
      </c>
      <c r="G76" s="159"/>
      <c r="H76" s="168"/>
      <c r="I76" s="186"/>
    </row>
    <row r="77" spans="2:10" x14ac:dyDescent="0.2">
      <c r="B77" s="102" t="s">
        <v>53</v>
      </c>
      <c r="C77" s="167" t="s">
        <v>148</v>
      </c>
      <c r="D77" s="159"/>
      <c r="E77" s="117">
        <v>0</v>
      </c>
      <c r="F77" s="167" t="s">
        <v>147</v>
      </c>
      <c r="G77" s="159"/>
      <c r="H77" s="168"/>
      <c r="I77" s="186"/>
    </row>
    <row r="78" spans="2:10" x14ac:dyDescent="0.2">
      <c r="B78" s="102" t="s">
        <v>54</v>
      </c>
      <c r="C78" s="167" t="s">
        <v>148</v>
      </c>
      <c r="D78" s="159"/>
      <c r="E78" s="117">
        <v>0</v>
      </c>
      <c r="F78" s="167" t="s">
        <v>147</v>
      </c>
      <c r="G78" s="159"/>
      <c r="H78" s="168"/>
      <c r="I78" s="186"/>
    </row>
    <row r="79" spans="2:10" x14ac:dyDescent="0.2">
      <c r="B79" s="102" t="s">
        <v>55</v>
      </c>
      <c r="C79" s="167" t="s">
        <v>148</v>
      </c>
      <c r="D79" s="159"/>
      <c r="E79" s="117">
        <v>0</v>
      </c>
      <c r="F79" s="167" t="s">
        <v>147</v>
      </c>
      <c r="G79" s="159"/>
      <c r="H79" s="168"/>
      <c r="I79" s="186"/>
    </row>
    <row r="80" spans="2:10" x14ac:dyDescent="0.2">
      <c r="B80" s="102" t="s">
        <v>206</v>
      </c>
      <c r="C80" s="167" t="s">
        <v>148</v>
      </c>
      <c r="D80" s="159"/>
      <c r="E80" s="117">
        <v>0</v>
      </c>
      <c r="F80" s="167" t="s">
        <v>147</v>
      </c>
      <c r="G80" s="159"/>
      <c r="H80" s="168"/>
      <c r="I80" s="186"/>
      <c r="J80" s="129" t="s">
        <v>207</v>
      </c>
    </row>
    <row r="81" spans="2:9" x14ac:dyDescent="0.2">
      <c r="B81" s="102" t="s">
        <v>0</v>
      </c>
      <c r="C81" s="167" t="s">
        <v>173</v>
      </c>
      <c r="D81" s="160"/>
      <c r="E81" s="117">
        <v>0</v>
      </c>
      <c r="F81" s="167" t="s">
        <v>173</v>
      </c>
      <c r="G81" s="159"/>
      <c r="H81" s="168"/>
      <c r="I81" s="186"/>
    </row>
    <row r="82" spans="2:9" x14ac:dyDescent="0.2">
      <c r="B82" s="102" t="s">
        <v>14</v>
      </c>
      <c r="C82" s="114" t="s">
        <v>156</v>
      </c>
      <c r="D82" s="115" t="s">
        <v>208</v>
      </c>
      <c r="E82" s="116">
        <v>1.1000000000000001</v>
      </c>
      <c r="F82" s="176" t="s">
        <v>158</v>
      </c>
      <c r="G82" s="177"/>
      <c r="H82" s="178"/>
      <c r="I82" s="186"/>
    </row>
    <row r="83" spans="2:9" x14ac:dyDescent="0.2">
      <c r="B83" s="102" t="s">
        <v>15</v>
      </c>
      <c r="C83" s="167" t="s">
        <v>159</v>
      </c>
      <c r="D83" s="160"/>
      <c r="E83" s="117">
        <v>1</v>
      </c>
      <c r="F83" s="167" t="s">
        <v>160</v>
      </c>
      <c r="G83" s="159"/>
      <c r="H83" s="168"/>
      <c r="I83" s="186"/>
    </row>
    <row r="84" spans="2:9" x14ac:dyDescent="0.2">
      <c r="B84" s="102" t="s">
        <v>209</v>
      </c>
      <c r="C84" s="167" t="s">
        <v>148</v>
      </c>
      <c r="D84" s="159"/>
      <c r="E84" s="117">
        <v>0</v>
      </c>
      <c r="F84" s="167" t="s">
        <v>147</v>
      </c>
      <c r="G84" s="159"/>
      <c r="H84" s="168"/>
      <c r="I84" s="186"/>
    </row>
    <row r="85" spans="2:9" x14ac:dyDescent="0.2">
      <c r="B85" s="102" t="s">
        <v>210</v>
      </c>
      <c r="C85" s="103" t="s">
        <v>150</v>
      </c>
      <c r="D85" s="112" t="s">
        <v>211</v>
      </c>
      <c r="E85" s="105">
        <v>19.16</v>
      </c>
      <c r="F85" s="167" t="s">
        <v>147</v>
      </c>
      <c r="G85" s="159"/>
      <c r="H85" s="168"/>
      <c r="I85" s="186"/>
    </row>
    <row r="86" spans="2:9" x14ac:dyDescent="0.2">
      <c r="B86" s="102" t="s">
        <v>58</v>
      </c>
      <c r="C86" s="167" t="s">
        <v>148</v>
      </c>
      <c r="D86" s="159"/>
      <c r="E86" s="117">
        <v>0</v>
      </c>
      <c r="F86" s="167" t="s">
        <v>147</v>
      </c>
      <c r="G86" s="159"/>
      <c r="H86" s="168"/>
      <c r="I86" s="186"/>
    </row>
    <row r="87" spans="2:9" x14ac:dyDescent="0.2">
      <c r="B87" s="102" t="s">
        <v>212</v>
      </c>
      <c r="C87" s="167" t="s">
        <v>213</v>
      </c>
      <c r="D87" s="160"/>
      <c r="E87" s="117" t="s">
        <v>33</v>
      </c>
      <c r="F87" s="167" t="s">
        <v>213</v>
      </c>
      <c r="G87" s="159"/>
      <c r="H87" s="168"/>
      <c r="I87" s="186"/>
    </row>
    <row r="88" spans="2:9" ht="16" thickBot="1" x14ac:dyDescent="0.25">
      <c r="B88" s="110" t="s">
        <v>59</v>
      </c>
      <c r="C88" s="169" t="s">
        <v>148</v>
      </c>
      <c r="D88" s="171"/>
      <c r="E88" s="123">
        <v>0</v>
      </c>
      <c r="F88" s="169" t="s">
        <v>147</v>
      </c>
      <c r="G88" s="171"/>
      <c r="H88" s="172"/>
      <c r="I88" s="187"/>
    </row>
    <row r="89" spans="2:9" ht="16" thickBot="1" x14ac:dyDescent="0.25">
      <c r="C89" s="179" t="s">
        <v>8</v>
      </c>
      <c r="D89" s="180"/>
      <c r="E89" s="180"/>
      <c r="F89" s="179" t="s">
        <v>137</v>
      </c>
      <c r="G89" s="180"/>
      <c r="H89" s="181"/>
      <c r="I89"/>
    </row>
    <row r="90" spans="2:9" x14ac:dyDescent="0.2">
      <c r="B90" s="97" t="s">
        <v>60</v>
      </c>
      <c r="C90" s="98" t="s">
        <v>139</v>
      </c>
      <c r="D90" s="99" t="s">
        <v>140</v>
      </c>
      <c r="E90" s="100" t="s">
        <v>141</v>
      </c>
      <c r="F90" s="182" t="s">
        <v>142</v>
      </c>
      <c r="G90" s="183"/>
      <c r="H90" s="101" t="s">
        <v>141</v>
      </c>
    </row>
    <row r="91" spans="2:9" x14ac:dyDescent="0.2">
      <c r="B91" s="102" t="s">
        <v>61</v>
      </c>
      <c r="C91" s="103" t="s">
        <v>150</v>
      </c>
      <c r="D91" s="112" t="s">
        <v>214</v>
      </c>
      <c r="E91" s="105">
        <v>2</v>
      </c>
      <c r="F91" s="167" t="s">
        <v>215</v>
      </c>
      <c r="G91" s="160"/>
      <c r="H91" s="106">
        <v>2.9329999999999998</v>
      </c>
    </row>
    <row r="92" spans="2:9" x14ac:dyDescent="0.2">
      <c r="B92" s="102" t="s">
        <v>62</v>
      </c>
      <c r="C92" s="103" t="s">
        <v>153</v>
      </c>
      <c r="D92" s="112" t="s">
        <v>216</v>
      </c>
      <c r="E92" s="126">
        <v>0.41699999999999998</v>
      </c>
      <c r="F92" s="173" t="s">
        <v>217</v>
      </c>
      <c r="G92" s="174"/>
      <c r="H92" s="175"/>
    </row>
    <row r="93" spans="2:9" x14ac:dyDescent="0.2">
      <c r="B93" s="102" t="s">
        <v>218</v>
      </c>
      <c r="C93" s="167" t="s">
        <v>173</v>
      </c>
      <c r="D93" s="160"/>
      <c r="E93" s="117">
        <v>0</v>
      </c>
      <c r="F93" s="167" t="s">
        <v>173</v>
      </c>
      <c r="G93" s="159"/>
      <c r="H93" s="168"/>
    </row>
    <row r="94" spans="2:9" x14ac:dyDescent="0.2">
      <c r="B94" s="102" t="s">
        <v>14</v>
      </c>
      <c r="C94" s="114" t="s">
        <v>156</v>
      </c>
      <c r="D94" s="115" t="s">
        <v>219</v>
      </c>
      <c r="E94" s="116">
        <v>0.1</v>
      </c>
      <c r="F94" s="176" t="s">
        <v>158</v>
      </c>
      <c r="G94" s="177"/>
      <c r="H94" s="178"/>
    </row>
    <row r="95" spans="2:9" x14ac:dyDescent="0.2">
      <c r="B95" s="102" t="s">
        <v>15</v>
      </c>
      <c r="C95" s="167" t="s">
        <v>159</v>
      </c>
      <c r="D95" s="160"/>
      <c r="E95" s="117">
        <v>1</v>
      </c>
      <c r="F95" s="167" t="s">
        <v>160</v>
      </c>
      <c r="G95" s="159"/>
      <c r="H95" s="168"/>
    </row>
    <row r="96" spans="2:9" x14ac:dyDescent="0.2">
      <c r="B96" s="102" t="s">
        <v>220</v>
      </c>
      <c r="C96" s="167" t="s">
        <v>147</v>
      </c>
      <c r="D96" s="159"/>
      <c r="E96" s="117">
        <v>2.5169999999999999</v>
      </c>
      <c r="F96" s="167" t="s">
        <v>147</v>
      </c>
      <c r="G96" s="159"/>
      <c r="H96" s="168"/>
    </row>
    <row r="97" spans="2:8" x14ac:dyDescent="0.2">
      <c r="B97" s="102" t="s">
        <v>63</v>
      </c>
      <c r="C97" s="167" t="s">
        <v>147</v>
      </c>
      <c r="D97" s="159"/>
      <c r="E97" s="117">
        <v>0</v>
      </c>
      <c r="F97" s="167" t="s">
        <v>147</v>
      </c>
      <c r="G97" s="159"/>
      <c r="H97" s="168"/>
    </row>
    <row r="98" spans="2:8" ht="16" thickBot="1" x14ac:dyDescent="0.25">
      <c r="B98" s="110" t="s">
        <v>64</v>
      </c>
      <c r="C98" s="169" t="s">
        <v>147</v>
      </c>
      <c r="D98" s="170"/>
      <c r="E98" s="130">
        <v>2.9329999999999998</v>
      </c>
      <c r="F98" s="169" t="s">
        <v>147</v>
      </c>
      <c r="G98" s="171"/>
      <c r="H98" s="172"/>
    </row>
  </sheetData>
  <mergeCells count="160">
    <mergeCell ref="C6:D6"/>
    <mergeCell ref="F6:H6"/>
    <mergeCell ref="C7:D7"/>
    <mergeCell ref="F7:H7"/>
    <mergeCell ref="C8:E8"/>
    <mergeCell ref="F8:H8"/>
    <mergeCell ref="C2:E2"/>
    <mergeCell ref="F2:H2"/>
    <mergeCell ref="F3:G3"/>
    <mergeCell ref="F4:G4"/>
    <mergeCell ref="C5:D5"/>
    <mergeCell ref="F5:H5"/>
    <mergeCell ref="C14:D14"/>
    <mergeCell ref="F14:H14"/>
    <mergeCell ref="C15:D15"/>
    <mergeCell ref="F15:H15"/>
    <mergeCell ref="C16:D16"/>
    <mergeCell ref="F16:H16"/>
    <mergeCell ref="F9:G9"/>
    <mergeCell ref="F10:G10"/>
    <mergeCell ref="F11:H11"/>
    <mergeCell ref="F12:H12"/>
    <mergeCell ref="C13:D13"/>
    <mergeCell ref="F13:H13"/>
    <mergeCell ref="F21:H21"/>
    <mergeCell ref="F22:H22"/>
    <mergeCell ref="C23:D23"/>
    <mergeCell ref="F23:H23"/>
    <mergeCell ref="C24:D24"/>
    <mergeCell ref="F24:H24"/>
    <mergeCell ref="C17:D17"/>
    <mergeCell ref="F17:H17"/>
    <mergeCell ref="C18:E18"/>
    <mergeCell ref="F18:H18"/>
    <mergeCell ref="F19:G19"/>
    <mergeCell ref="F20:G20"/>
    <mergeCell ref="F28:G28"/>
    <mergeCell ref="F29:G29"/>
    <mergeCell ref="F30:H30"/>
    <mergeCell ref="F31:H31"/>
    <mergeCell ref="C32:D32"/>
    <mergeCell ref="F32:H32"/>
    <mergeCell ref="C25:D25"/>
    <mergeCell ref="F25:H25"/>
    <mergeCell ref="C26:D26"/>
    <mergeCell ref="F26:H26"/>
    <mergeCell ref="C27:E27"/>
    <mergeCell ref="F27:H27"/>
    <mergeCell ref="C36:D36"/>
    <mergeCell ref="F36:G36"/>
    <mergeCell ref="C37:D37"/>
    <mergeCell ref="F37:G37"/>
    <mergeCell ref="C38:E38"/>
    <mergeCell ref="F38:H38"/>
    <mergeCell ref="C33:D33"/>
    <mergeCell ref="F33:H33"/>
    <mergeCell ref="C34:D34"/>
    <mergeCell ref="F34:H34"/>
    <mergeCell ref="C35:D35"/>
    <mergeCell ref="F35:H35"/>
    <mergeCell ref="C44:D44"/>
    <mergeCell ref="F44:H44"/>
    <mergeCell ref="C45:D45"/>
    <mergeCell ref="F45:G45"/>
    <mergeCell ref="C46:D46"/>
    <mergeCell ref="F46:H46"/>
    <mergeCell ref="F39:G39"/>
    <mergeCell ref="F40:H40"/>
    <mergeCell ref="F41:H41"/>
    <mergeCell ref="F42:H42"/>
    <mergeCell ref="C43:D43"/>
    <mergeCell ref="F43:H43"/>
    <mergeCell ref="F50:G50"/>
    <mergeCell ref="F51:H51"/>
    <mergeCell ref="F52:H52"/>
    <mergeCell ref="F53:H53"/>
    <mergeCell ref="C54:D54"/>
    <mergeCell ref="F54:H54"/>
    <mergeCell ref="C47:D47"/>
    <mergeCell ref="F47:H47"/>
    <mergeCell ref="C48:D48"/>
    <mergeCell ref="F48:H48"/>
    <mergeCell ref="C49:E49"/>
    <mergeCell ref="F49:H49"/>
    <mergeCell ref="C58:D58"/>
    <mergeCell ref="F58:H58"/>
    <mergeCell ref="C59:E59"/>
    <mergeCell ref="F59:H59"/>
    <mergeCell ref="F60:G60"/>
    <mergeCell ref="C61:D61"/>
    <mergeCell ref="F61:H61"/>
    <mergeCell ref="C55:D55"/>
    <mergeCell ref="F55:H55"/>
    <mergeCell ref="C56:D56"/>
    <mergeCell ref="F56:G56"/>
    <mergeCell ref="C57:D57"/>
    <mergeCell ref="F57:H57"/>
    <mergeCell ref="F67:H67"/>
    <mergeCell ref="F68:H68"/>
    <mergeCell ref="F69:H69"/>
    <mergeCell ref="C70:D70"/>
    <mergeCell ref="F70:H70"/>
    <mergeCell ref="C71:E71"/>
    <mergeCell ref="F71:H71"/>
    <mergeCell ref="C62:D62"/>
    <mergeCell ref="F62:H62"/>
    <mergeCell ref="F63:H63"/>
    <mergeCell ref="F64:H64"/>
    <mergeCell ref="F65:H65"/>
    <mergeCell ref="C66:D66"/>
    <mergeCell ref="F66:H66"/>
    <mergeCell ref="I71:I72"/>
    <mergeCell ref="F72:G72"/>
    <mergeCell ref="C73:D73"/>
    <mergeCell ref="F73:H73"/>
    <mergeCell ref="C74:D74"/>
    <mergeCell ref="F74:H74"/>
    <mergeCell ref="I74:I88"/>
    <mergeCell ref="C75:D75"/>
    <mergeCell ref="F75:H75"/>
    <mergeCell ref="C76:D76"/>
    <mergeCell ref="C80:D80"/>
    <mergeCell ref="F80:H80"/>
    <mergeCell ref="C81:D81"/>
    <mergeCell ref="F81:H81"/>
    <mergeCell ref="F82:H82"/>
    <mergeCell ref="C83:D83"/>
    <mergeCell ref="F83:H83"/>
    <mergeCell ref="F76:H76"/>
    <mergeCell ref="C77:D77"/>
    <mergeCell ref="F77:H77"/>
    <mergeCell ref="C78:D78"/>
    <mergeCell ref="F78:H78"/>
    <mergeCell ref="C79:D79"/>
    <mergeCell ref="F79:H79"/>
    <mergeCell ref="C88:D88"/>
    <mergeCell ref="F88:H88"/>
    <mergeCell ref="C89:E89"/>
    <mergeCell ref="F89:H89"/>
    <mergeCell ref="F90:G90"/>
    <mergeCell ref="F91:G91"/>
    <mergeCell ref="C84:D84"/>
    <mergeCell ref="F84:H84"/>
    <mergeCell ref="F85:H85"/>
    <mergeCell ref="C86:D86"/>
    <mergeCell ref="F86:H86"/>
    <mergeCell ref="C87:D87"/>
    <mergeCell ref="F87:H87"/>
    <mergeCell ref="C96:D96"/>
    <mergeCell ref="F96:H96"/>
    <mergeCell ref="C97:D97"/>
    <mergeCell ref="F97:H97"/>
    <mergeCell ref="C98:D98"/>
    <mergeCell ref="F98:H98"/>
    <mergeCell ref="F92:H92"/>
    <mergeCell ref="C93:D93"/>
    <mergeCell ref="F93:H93"/>
    <mergeCell ref="F94:H94"/>
    <mergeCell ref="C95:D95"/>
    <mergeCell ref="F95:H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T104"/>
  <sheetViews>
    <sheetView tabSelected="1" zoomScale="137" zoomScaleNormal="137" workbookViewId="0">
      <pane xSplit="2" ySplit="3" topLeftCell="R4" activePane="bottomRight" state="frozen"/>
      <selection pane="topRight" activeCell="C1" sqref="C1"/>
      <selection pane="bottomLeft" activeCell="A2" sqref="A2"/>
      <selection pane="bottomRight" activeCell="R45" sqref="R45"/>
    </sheetView>
  </sheetViews>
  <sheetFormatPr baseColWidth="10" defaultColWidth="9.1640625" defaultRowHeight="15" x14ac:dyDescent="0.2"/>
  <cols>
    <col min="1" max="1" width="2.1640625" style="1" bestFit="1" customWidth="1"/>
    <col min="2" max="2" width="30.5" style="3" bestFit="1" customWidth="1"/>
    <col min="3" max="3" width="7.5" style="75" bestFit="1" customWidth="1"/>
    <col min="4" max="4" width="8.5" style="139" bestFit="1" customWidth="1"/>
    <col min="5" max="5" width="8.5" style="14" bestFit="1" customWidth="1"/>
    <col min="6" max="27" width="8.5" style="1" bestFit="1" customWidth="1"/>
    <col min="28" max="28" width="8.5" style="55" bestFit="1" customWidth="1"/>
    <col min="29" max="29" width="8.5" style="14" bestFit="1" customWidth="1"/>
    <col min="30" max="51" width="8.5" style="1" bestFit="1" customWidth="1"/>
    <col min="52" max="52" width="8.5" style="55" bestFit="1" customWidth="1"/>
    <col min="53" max="53" width="8.5" style="14" bestFit="1" customWidth="1"/>
    <col min="54" max="75" width="8.5" style="1" bestFit="1" customWidth="1"/>
    <col min="76" max="76" width="8.5" style="55" bestFit="1" customWidth="1"/>
    <col min="77" max="77" width="8.5" style="14" bestFit="1" customWidth="1"/>
    <col min="78" max="99" width="8.5" style="1" bestFit="1" customWidth="1"/>
    <col min="100" max="100" width="8.5" style="55" bestFit="1" customWidth="1"/>
    <col min="101" max="124" width="8.5" style="1" bestFit="1" customWidth="1"/>
    <col min="125" max="16384" width="9.1640625" style="1"/>
  </cols>
  <sheetData>
    <row r="1" spans="2:124" x14ac:dyDescent="0.2">
      <c r="C1" s="74" t="s">
        <v>1</v>
      </c>
      <c r="D1" s="136"/>
      <c r="E1" s="6"/>
      <c r="F1" s="7" t="s">
        <v>2</v>
      </c>
      <c r="H1" s="8"/>
      <c r="I1" s="9" t="s">
        <v>3</v>
      </c>
      <c r="M1" s="50"/>
      <c r="N1" s="71" t="s">
        <v>65</v>
      </c>
    </row>
    <row r="2" spans="2:124" x14ac:dyDescent="0.2">
      <c r="C2" s="77"/>
      <c r="D2" s="137"/>
      <c r="E2" s="10"/>
      <c r="F2" s="11" t="s">
        <v>4</v>
      </c>
      <c r="H2" s="12"/>
      <c r="I2" s="13" t="s">
        <v>5</v>
      </c>
      <c r="L2" s="1">
        <f>2/60</f>
        <v>3.3333333333333333E-2</v>
      </c>
    </row>
    <row r="3" spans="2:124" ht="16" thickBot="1" x14ac:dyDescent="0.25">
      <c r="B3" s="5" t="s">
        <v>6</v>
      </c>
      <c r="D3" s="138"/>
    </row>
    <row r="4" spans="2:124" x14ac:dyDescent="0.2">
      <c r="E4" s="193" t="s">
        <v>66</v>
      </c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5"/>
      <c r="AC4" s="196" t="s">
        <v>67</v>
      </c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8"/>
      <c r="BA4" s="193" t="s">
        <v>68</v>
      </c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4"/>
      <c r="BN4" s="194"/>
      <c r="BO4" s="194"/>
      <c r="BP4" s="194"/>
      <c r="BQ4" s="194"/>
      <c r="BR4" s="194"/>
      <c r="BS4" s="194"/>
      <c r="BT4" s="194"/>
      <c r="BU4" s="194"/>
      <c r="BV4" s="194"/>
      <c r="BW4" s="194"/>
      <c r="BX4" s="195"/>
      <c r="BY4" s="196" t="s">
        <v>69</v>
      </c>
      <c r="BZ4" s="197"/>
      <c r="CA4" s="197"/>
      <c r="CB4" s="197"/>
      <c r="CC4" s="197"/>
      <c r="CD4" s="197"/>
      <c r="CE4" s="197"/>
      <c r="CF4" s="197"/>
      <c r="CG4" s="197"/>
      <c r="CH4" s="197"/>
      <c r="CI4" s="197"/>
      <c r="CJ4" s="197"/>
      <c r="CK4" s="197"/>
      <c r="CL4" s="197"/>
      <c r="CM4" s="197"/>
      <c r="CN4" s="197"/>
      <c r="CO4" s="197"/>
      <c r="CP4" s="197"/>
      <c r="CQ4" s="197"/>
      <c r="CR4" s="197"/>
      <c r="CS4" s="197"/>
      <c r="CT4" s="197"/>
      <c r="CU4" s="197"/>
      <c r="CV4" s="198"/>
      <c r="CW4" s="193" t="s">
        <v>70</v>
      </c>
      <c r="CX4" s="194"/>
      <c r="CY4" s="194"/>
      <c r="CZ4" s="194"/>
      <c r="DA4" s="194"/>
      <c r="DB4" s="194"/>
      <c r="DC4" s="194"/>
      <c r="DD4" s="194"/>
      <c r="DE4" s="194"/>
      <c r="DF4" s="194"/>
      <c r="DG4" s="194"/>
      <c r="DH4" s="194"/>
      <c r="DI4" s="194"/>
      <c r="DJ4" s="194"/>
      <c r="DK4" s="194"/>
      <c r="DL4" s="194"/>
      <c r="DM4" s="194"/>
      <c r="DN4" s="194"/>
      <c r="DO4" s="194"/>
      <c r="DP4" s="194"/>
      <c r="DQ4" s="194"/>
      <c r="DR4" s="194"/>
      <c r="DS4" s="194"/>
      <c r="DT4" s="195"/>
    </row>
    <row r="5" spans="2:124" s="17" customFormat="1" ht="16" thickBot="1" x14ac:dyDescent="0.25">
      <c r="B5" s="15" t="s">
        <v>7</v>
      </c>
      <c r="C5" s="76"/>
      <c r="D5" s="140" t="s">
        <v>8</v>
      </c>
      <c r="E5" s="16">
        <v>4.1666666666666664E-2</v>
      </c>
      <c r="F5" s="16">
        <v>8.3333333333333301E-2</v>
      </c>
      <c r="G5" s="16">
        <v>0.125</v>
      </c>
      <c r="H5" s="16">
        <v>0.16666666666666699</v>
      </c>
      <c r="I5" s="16">
        <v>0.20833333333333301</v>
      </c>
      <c r="J5" s="16">
        <v>0.25</v>
      </c>
      <c r="K5" s="16">
        <v>0.29166666666666702</v>
      </c>
      <c r="L5" s="16">
        <v>0.33333333333333298</v>
      </c>
      <c r="M5" s="16">
        <v>0.375</v>
      </c>
      <c r="N5" s="16">
        <v>0.41666666666666702</v>
      </c>
      <c r="O5" s="16">
        <v>0.45833333333333298</v>
      </c>
      <c r="P5" s="16">
        <v>0.5</v>
      </c>
      <c r="Q5" s="16">
        <v>0.54166666666666696</v>
      </c>
      <c r="R5" s="16">
        <v>0.58333333333333304</v>
      </c>
      <c r="S5" s="16">
        <v>0.625</v>
      </c>
      <c r="T5" s="16">
        <v>0.66666666666666696</v>
      </c>
      <c r="U5" s="16">
        <v>0.70833333333333304</v>
      </c>
      <c r="V5" s="16">
        <v>0.75</v>
      </c>
      <c r="W5" s="16">
        <v>0.79166666666666696</v>
      </c>
      <c r="X5" s="16">
        <v>0.83333333333333304</v>
      </c>
      <c r="Y5" s="16">
        <v>0.875</v>
      </c>
      <c r="Z5" s="16">
        <v>0.91666666666666696</v>
      </c>
      <c r="AA5" s="16">
        <v>0.95833333333333404</v>
      </c>
      <c r="AB5" s="56">
        <v>1</v>
      </c>
      <c r="AC5" s="16">
        <v>1.0416666666666701</v>
      </c>
      <c r="AD5" s="16">
        <v>1.0833333333333299</v>
      </c>
      <c r="AE5" s="16">
        <v>0.125</v>
      </c>
      <c r="AF5" s="16">
        <v>0.16666666666666699</v>
      </c>
      <c r="AG5" s="16">
        <v>0.20833333333333301</v>
      </c>
      <c r="AH5" s="16">
        <v>0.25</v>
      </c>
      <c r="AI5" s="16">
        <v>0.29166666666666702</v>
      </c>
      <c r="AJ5" s="16">
        <v>0.33333333333333298</v>
      </c>
      <c r="AK5" s="16">
        <v>0.375</v>
      </c>
      <c r="AL5" s="16">
        <v>0.41666666666666702</v>
      </c>
      <c r="AM5" s="16">
        <v>0.45833333333333298</v>
      </c>
      <c r="AN5" s="16">
        <v>0.5</v>
      </c>
      <c r="AO5" s="16">
        <v>0.54166666666666696</v>
      </c>
      <c r="AP5" s="16">
        <v>0.58333333333333304</v>
      </c>
      <c r="AQ5" s="16">
        <v>0.625</v>
      </c>
      <c r="AR5" s="16">
        <v>0.66666666666666696</v>
      </c>
      <c r="AS5" s="16">
        <v>0.70833333333333304</v>
      </c>
      <c r="AT5" s="16">
        <v>0.75</v>
      </c>
      <c r="AU5" s="16">
        <v>0.79166666666666696</v>
      </c>
      <c r="AV5" s="16">
        <v>0.83333333333333304</v>
      </c>
      <c r="AW5" s="16">
        <v>0.875</v>
      </c>
      <c r="AX5" s="16">
        <v>0.91666666666666696</v>
      </c>
      <c r="AY5" s="16">
        <v>0.95833333333333404</v>
      </c>
      <c r="AZ5" s="56">
        <v>1</v>
      </c>
      <c r="BA5" s="16">
        <v>1.0416666666666701</v>
      </c>
      <c r="BB5" s="16">
        <v>1.0833333333333299</v>
      </c>
      <c r="BC5" s="16">
        <v>0.125</v>
      </c>
      <c r="BD5" s="16">
        <v>0.16666666666666699</v>
      </c>
      <c r="BE5" s="16">
        <v>0.20833333333333301</v>
      </c>
      <c r="BF5" s="16">
        <v>0.25</v>
      </c>
      <c r="BG5" s="16">
        <v>0.29166666666666702</v>
      </c>
      <c r="BH5" s="16">
        <v>0.33333333333333298</v>
      </c>
      <c r="BI5" s="16">
        <v>0.375</v>
      </c>
      <c r="BJ5" s="16">
        <v>0.41666666666666702</v>
      </c>
      <c r="BK5" s="16">
        <v>0.45833333333333298</v>
      </c>
      <c r="BL5" s="16">
        <v>0.5</v>
      </c>
      <c r="BM5" s="16">
        <v>0.54166666666666696</v>
      </c>
      <c r="BN5" s="16">
        <v>0.58333333333333304</v>
      </c>
      <c r="BO5" s="16">
        <v>0.625</v>
      </c>
      <c r="BP5" s="16">
        <v>0.66666666666666696</v>
      </c>
      <c r="BQ5" s="16">
        <v>0.70833333333333304</v>
      </c>
      <c r="BR5" s="16">
        <v>0.75</v>
      </c>
      <c r="BS5" s="16">
        <v>0.79166666666666696</v>
      </c>
      <c r="BT5" s="16">
        <v>0.83333333333333304</v>
      </c>
      <c r="BU5" s="16">
        <v>0.875</v>
      </c>
      <c r="BV5" s="16">
        <v>0.91666666666666696</v>
      </c>
      <c r="BW5" s="16">
        <v>0.95833333333333404</v>
      </c>
      <c r="BX5" s="56">
        <v>1</v>
      </c>
      <c r="BY5" s="16">
        <v>1.0416666666666701</v>
      </c>
      <c r="BZ5" s="16">
        <v>1.0833333333333299</v>
      </c>
      <c r="CA5" s="16">
        <v>0.125</v>
      </c>
      <c r="CB5" s="16">
        <v>0.16666666666666699</v>
      </c>
      <c r="CC5" s="16">
        <v>0.20833333333333301</v>
      </c>
      <c r="CD5" s="16">
        <v>0.25</v>
      </c>
      <c r="CE5" s="16">
        <v>0.29166666666666702</v>
      </c>
      <c r="CF5" s="16">
        <v>0.33333333333333298</v>
      </c>
      <c r="CG5" s="16">
        <v>0.375</v>
      </c>
      <c r="CH5" s="16">
        <v>0.41666666666666702</v>
      </c>
      <c r="CI5" s="16">
        <v>0.45833333333333298</v>
      </c>
      <c r="CJ5" s="16">
        <v>0.5</v>
      </c>
      <c r="CK5" s="16">
        <v>0.54166666666666696</v>
      </c>
      <c r="CL5" s="16">
        <v>0.58333333333333304</v>
      </c>
      <c r="CM5" s="16">
        <v>0.625</v>
      </c>
      <c r="CN5" s="16">
        <v>0.66666666666666696</v>
      </c>
      <c r="CO5" s="16">
        <v>0.70833333333333304</v>
      </c>
      <c r="CP5" s="16">
        <v>0.75</v>
      </c>
      <c r="CQ5" s="16">
        <v>0.79166666666666696</v>
      </c>
      <c r="CR5" s="16">
        <v>0.83333333333333304</v>
      </c>
      <c r="CS5" s="16">
        <v>0.875</v>
      </c>
      <c r="CT5" s="16">
        <v>0.91666666666666696</v>
      </c>
      <c r="CU5" s="16">
        <v>0.95833333333333404</v>
      </c>
      <c r="CV5" s="56">
        <v>1</v>
      </c>
      <c r="CW5" s="16">
        <v>1.0416666666666701</v>
      </c>
      <c r="CX5" s="16">
        <v>1.0833333333333299</v>
      </c>
      <c r="CY5" s="16">
        <v>0.125</v>
      </c>
      <c r="CZ5" s="16">
        <v>0.16666666666666699</v>
      </c>
      <c r="DA5" s="16">
        <v>0.20833333333333301</v>
      </c>
      <c r="DB5" s="16">
        <v>0.25</v>
      </c>
      <c r="DC5" s="16">
        <v>0.29166666666666702</v>
      </c>
      <c r="DD5" s="16">
        <v>0.33333333333333298</v>
      </c>
      <c r="DE5" s="16">
        <v>0.375</v>
      </c>
      <c r="DF5" s="16">
        <v>0.41666666666666702</v>
      </c>
      <c r="DG5" s="16">
        <v>0.45833333333333298</v>
      </c>
      <c r="DH5" s="16">
        <v>0.5</v>
      </c>
      <c r="DI5" s="16">
        <v>0.54166666666666696</v>
      </c>
      <c r="DJ5" s="16">
        <v>0.58333333333333304</v>
      </c>
      <c r="DK5" s="16">
        <v>0.625</v>
      </c>
      <c r="DL5" s="16">
        <v>0.66666666666666696</v>
      </c>
      <c r="DM5" s="16">
        <v>0.70833333333333304</v>
      </c>
      <c r="DN5" s="16">
        <v>0.75</v>
      </c>
      <c r="DO5" s="16">
        <v>0.79166666666666696</v>
      </c>
      <c r="DP5" s="16">
        <v>0.83333333333333304</v>
      </c>
      <c r="DQ5" s="16">
        <v>0.875</v>
      </c>
      <c r="DR5" s="16">
        <v>0.91666666666666696</v>
      </c>
      <c r="DS5" s="16">
        <v>0.95833333333333404</v>
      </c>
      <c r="DT5" s="56">
        <v>1</v>
      </c>
    </row>
    <row r="6" spans="2:124" x14ac:dyDescent="0.2">
      <c r="B6" s="3" t="s">
        <v>9</v>
      </c>
      <c r="D6" s="141">
        <v>8.875</v>
      </c>
      <c r="E6" s="18">
        <f>D9</f>
        <v>8.875</v>
      </c>
      <c r="F6" s="19">
        <f t="shared" ref="F6:BQ6" si="0">E9</f>
        <v>8.875</v>
      </c>
      <c r="G6" s="19">
        <f t="shared" si="0"/>
        <v>8.875</v>
      </c>
      <c r="H6" s="19">
        <f t="shared" si="0"/>
        <v>8.875</v>
      </c>
      <c r="I6" s="19">
        <f t="shared" si="0"/>
        <v>8.875</v>
      </c>
      <c r="J6" s="19">
        <f t="shared" si="0"/>
        <v>8.6314243763707701</v>
      </c>
      <c r="K6" s="19">
        <f t="shared" si="0"/>
        <v>8.3453251130559067</v>
      </c>
      <c r="L6" s="19">
        <f t="shared" si="0"/>
        <v>8.0417020299977739</v>
      </c>
      <c r="M6" s="19">
        <f t="shared" si="0"/>
        <v>7.7080552172251906</v>
      </c>
      <c r="N6" s="19">
        <f t="shared" si="0"/>
        <v>7.3506346297237473</v>
      </c>
      <c r="O6" s="19">
        <f t="shared" si="0"/>
        <v>7.0630328441513273</v>
      </c>
      <c r="P6" s="19">
        <f t="shared" si="0"/>
        <v>6.9438643493696528</v>
      </c>
      <c r="Q6" s="19">
        <f t="shared" si="0"/>
        <v>6.7028641304827854</v>
      </c>
      <c r="R6" s="19">
        <f t="shared" si="0"/>
        <v>6.4851646949386952</v>
      </c>
      <c r="S6" s="19">
        <f t="shared" si="0"/>
        <v>6.2611884503960482</v>
      </c>
      <c r="T6" s="19">
        <f t="shared" si="0"/>
        <v>5.6936281355932907</v>
      </c>
      <c r="U6" s="19">
        <f t="shared" si="0"/>
        <v>4.2295443187909418</v>
      </c>
      <c r="V6" s="19">
        <f t="shared" si="0"/>
        <v>3.2137222529883882</v>
      </c>
      <c r="W6" s="19">
        <f t="shared" si="0"/>
        <v>1.9737693116859367</v>
      </c>
      <c r="X6" s="19">
        <f t="shared" si="0"/>
        <v>0.84588180813343417</v>
      </c>
      <c r="Y6" s="19">
        <f t="shared" si="0"/>
        <v>-0.10076746686685523</v>
      </c>
      <c r="Z6" s="19">
        <f t="shared" si="0"/>
        <v>-0.7778464900285752</v>
      </c>
      <c r="AA6" s="19">
        <f t="shared" si="0"/>
        <v>-2.1721806452428125</v>
      </c>
      <c r="AB6" s="57">
        <f t="shared" si="0"/>
        <v>-2.6749865104082935</v>
      </c>
      <c r="AC6" s="19">
        <f t="shared" ref="AC6" si="1">AB9</f>
        <v>-3.2314412152466598</v>
      </c>
      <c r="AD6" s="19">
        <f t="shared" ref="AD6" si="2">AC9</f>
        <v>-3.7610715002485833</v>
      </c>
      <c r="AE6" s="19">
        <f t="shared" ref="AE6" si="3">AD9</f>
        <v>-4.2922548673458687</v>
      </c>
      <c r="AF6" s="19">
        <f t="shared" ref="AF6" si="4">AE9</f>
        <v>-4.801908219705469</v>
      </c>
      <c r="AG6" s="19">
        <f t="shared" ref="AG6" si="5">AF9</f>
        <v>-5.3015731057439073</v>
      </c>
      <c r="AH6" s="19">
        <f t="shared" ref="AH6" si="6">AG9</f>
        <v>-5.7854787512529224</v>
      </c>
      <c r="AI6" s="19">
        <f t="shared" ref="AI6" si="7">AH9</f>
        <v>-6.2565105433366446</v>
      </c>
      <c r="AJ6" s="19">
        <f t="shared" ref="AJ6" si="8">AI9</f>
        <v>-6.7132257884430091</v>
      </c>
      <c r="AK6" s="19">
        <f t="shared" ref="AK6" si="9">AJ9</f>
        <v>-7.1563458333480474</v>
      </c>
      <c r="AL6" s="19">
        <f t="shared" ref="AL6" si="10">AK9</f>
        <v>-7.5855100046637443</v>
      </c>
      <c r="AM6" s="19">
        <f t="shared" ref="AM6" si="11">AL9</f>
        <v>-8.0008986390841077</v>
      </c>
      <c r="AN6" s="19">
        <f t="shared" ref="AN6" si="12">AM9</f>
        <v>-8.4024215682621328</v>
      </c>
      <c r="AO6" s="19">
        <f t="shared" ref="AO6" si="13">AN9</f>
        <v>-8.7901238763713234</v>
      </c>
      <c r="AP6" s="19">
        <f t="shared" ref="AP6" si="14">AO9</f>
        <v>-9.1639830213249276</v>
      </c>
      <c r="AQ6" s="19">
        <f t="shared" ref="AQ6" si="15">AP9</f>
        <v>-9.5240102741663204</v>
      </c>
      <c r="AR6" s="19">
        <f t="shared" ref="AR6" si="16">AQ9</f>
        <v>-9.8701999993738134</v>
      </c>
      <c r="AS6" s="19">
        <f t="shared" ref="AS6" si="17">AR9</f>
        <v>-10.202555014708251</v>
      </c>
      <c r="AT6" s="19">
        <f t="shared" ref="AT6" si="18">AS9</f>
        <v>-10.521073911289212</v>
      </c>
      <c r="AU6" s="19">
        <f t="shared" ref="AU6" si="19">AT9</f>
        <v>-10.825757393556909</v>
      </c>
      <c r="AV6" s="19">
        <f t="shared" ref="AV6" si="20">AU9</f>
        <v>-11.116605109291232</v>
      </c>
      <c r="AW6" s="19">
        <f t="shared" ref="AW6" si="21">AV9</f>
        <v>-11.393617234602237</v>
      </c>
      <c r="AX6" s="19">
        <f t="shared" ref="AX6" si="22">AW9</f>
        <v>-11.656793681434896</v>
      </c>
      <c r="AY6" s="19">
        <f t="shared" ref="AY6" si="23">AX9</f>
        <v>-11.906134493816726</v>
      </c>
      <c r="AZ6" s="57">
        <f t="shared" ref="AZ6" si="24">AY9</f>
        <v>-12.141639649733964</v>
      </c>
      <c r="BA6" s="19">
        <f t="shared" ref="BA6" si="25">AZ9</f>
        <v>-12.363309160193493</v>
      </c>
      <c r="BB6" s="19">
        <f t="shared" si="0"/>
        <v>-12.571143019691874</v>
      </c>
      <c r="BC6" s="19">
        <f t="shared" si="0"/>
        <v>-12.765141230980825</v>
      </c>
      <c r="BD6" s="19">
        <f t="shared" si="0"/>
        <v>-12.945303792684488</v>
      </c>
      <c r="BE6" s="19">
        <f t="shared" si="0"/>
        <v>-13.111630705490789</v>
      </c>
      <c r="BF6" s="19">
        <f t="shared" si="0"/>
        <v>-14.027805354797884</v>
      </c>
      <c r="BG6" s="19">
        <f t="shared" si="0"/>
        <v>-15.018419668490671</v>
      </c>
      <c r="BH6" s="19">
        <f t="shared" si="0"/>
        <v>-15.994132261230154</v>
      </c>
      <c r="BI6" s="19">
        <f t="shared" si="0"/>
        <v>-16.640454640933989</v>
      </c>
      <c r="BJ6" s="19">
        <f t="shared" si="0"/>
        <v>-16.569515673304291</v>
      </c>
      <c r="BK6" s="19">
        <f t="shared" si="0"/>
        <v>-16.857207379341361</v>
      </c>
      <c r="BL6" s="19">
        <f t="shared" si="0"/>
        <v>-16.965583748545047</v>
      </c>
      <c r="BM6" s="19">
        <f t="shared" si="0"/>
        <v>-17.163617786165425</v>
      </c>
      <c r="BN6" s="19">
        <f t="shared" si="0"/>
        <v>-17.316822989577457</v>
      </c>
      <c r="BO6" s="19">
        <f t="shared" si="0"/>
        <v>-17.492442610093661</v>
      </c>
      <c r="BP6" s="19">
        <f t="shared" si="0"/>
        <v>-17.65685502205778</v>
      </c>
      <c r="BQ6" s="19">
        <f t="shared" si="0"/>
        <v>-17.826871038297941</v>
      </c>
      <c r="BR6" s="19">
        <f t="shared" ref="BR6:BX6" si="26">BQ9</f>
        <v>-17.99408525240008</v>
      </c>
      <c r="BS6" s="19">
        <f t="shared" si="26"/>
        <v>-18.16270036757123</v>
      </c>
      <c r="BT6" s="19">
        <f t="shared" si="26"/>
        <v>-18.330615032207874</v>
      </c>
      <c r="BU6" s="19">
        <f t="shared" si="26"/>
        <v>-18.498879922111772</v>
      </c>
      <c r="BV6" s="19">
        <f t="shared" si="26"/>
        <v>-18.666969699382044</v>
      </c>
      <c r="BW6" s="19">
        <f t="shared" si="26"/>
        <v>-18.835147032969129</v>
      </c>
      <c r="BX6" s="57">
        <f t="shared" si="26"/>
        <v>-17.460880477350134</v>
      </c>
      <c r="BY6" s="19">
        <f t="shared" ref="BY6" si="27">BX9</f>
        <v>-16.059958199604075</v>
      </c>
      <c r="BZ6" s="19">
        <f t="shared" ref="BZ6" si="28">BY9</f>
        <v>-14.672363782921549</v>
      </c>
      <c r="CA6" s="19">
        <f t="shared" ref="CA6" si="29">BZ9</f>
        <v>-13.278105435707257</v>
      </c>
      <c r="CB6" s="19">
        <f t="shared" ref="CB6" si="30">CA9</f>
        <v>-11.887179053758848</v>
      </c>
      <c r="CC6" s="19">
        <f t="shared" ref="CC6" si="31">CB9</f>
        <v>-10.494586689177497</v>
      </c>
      <c r="CD6" s="19">
        <f t="shared" ref="CD6" si="32">CC9</f>
        <v>-10.627734609314404</v>
      </c>
      <c r="CE6" s="19">
        <f t="shared" ref="CE6" si="33">CD9</f>
        <v>-10.813382871468173</v>
      </c>
      <c r="CF6" s="19">
        <f t="shared" ref="CF6" si="34">CE9</f>
        <v>-10.972780962613511</v>
      </c>
      <c r="CG6" s="19">
        <f t="shared" ref="CG6" si="35">CF9</f>
        <v>-11.145304139263065</v>
      </c>
      <c r="CH6" s="19">
        <f t="shared" ref="CH6" si="36">CG9</f>
        <v>-11.311264773160511</v>
      </c>
      <c r="CI6" s="19">
        <f t="shared" ref="CI6" si="37">CH9</f>
        <v>-11.480506678434011</v>
      </c>
      <c r="CJ6" s="19">
        <f t="shared" ref="CJ6" si="38">CI9</f>
        <v>-11.648107948019485</v>
      </c>
      <c r="CK6" s="19">
        <f t="shared" ref="CK6" si="39">CJ9</f>
        <v>-11.816529535448971</v>
      </c>
      <c r="CL6" s="19">
        <f t="shared" ref="CL6" si="40">CK9</f>
        <v>-11.984540963956452</v>
      </c>
      <c r="CM6" s="19">
        <f t="shared" ref="CM6" si="41">CL9</f>
        <v>-12.152757471924934</v>
      </c>
      <c r="CN6" s="19">
        <f t="shared" ref="CN6" si="42">CM9</f>
        <v>-12.320871440162916</v>
      </c>
      <c r="CO6" s="19">
        <f t="shared" ref="CO6" si="43">CN9</f>
        <v>-12.489036678266149</v>
      </c>
      <c r="CP6" s="19">
        <f t="shared" ref="CP6" si="44">CO9</f>
        <v>-12.657176281436756</v>
      </c>
      <c r="CQ6" s="19">
        <f t="shared" ref="CQ6" si="45">CP9</f>
        <v>-12.825328702073676</v>
      </c>
      <c r="CR6" s="19">
        <f t="shared" ref="CR6" si="46">CQ9</f>
        <v>-12.99347471397744</v>
      </c>
      <c r="CS6" s="19">
        <f t="shared" ref="CS6" si="47">CR9</f>
        <v>-13.161623930247782</v>
      </c>
      <c r="CT6" s="19">
        <f t="shared" ref="CT6" si="48">CS9</f>
        <v>-13.329771544334834</v>
      </c>
      <c r="CU6" s="19">
        <f t="shared" ref="CU6" si="49">CT9</f>
        <v>-11.95551241859085</v>
      </c>
      <c r="CV6" s="57">
        <f t="shared" ref="CV6" si="50">CU9</f>
        <v>-10.554586425907287</v>
      </c>
      <c r="CW6" s="19">
        <f t="shared" ref="CW6" si="51">CV9</f>
        <v>-9.1669938666935131</v>
      </c>
      <c r="CX6" s="19">
        <f t="shared" ref="CX6" si="52">CW9</f>
        <v>-7.772734590744844</v>
      </c>
      <c r="CY6" s="19">
        <f t="shared" ref="CY6" si="53">CX9</f>
        <v>-6.381808673163623</v>
      </c>
      <c r="CZ6" s="19">
        <f t="shared" ref="CZ6" si="54">CY9</f>
        <v>-4.9892160763986775</v>
      </c>
      <c r="DA6" s="19">
        <f t="shared" ref="DA6" si="55">CZ9</f>
        <v>-3.5974568192255942</v>
      </c>
      <c r="DB6" s="19">
        <f t="shared" ref="DB6" si="56">DA9</f>
        <v>-3.7297716319542329</v>
      </c>
      <c r="DC6" s="19">
        <f t="shared" ref="DC6" si="57">DB9</f>
        <v>-3.9158364478121359</v>
      </c>
      <c r="DD6" s="19">
        <f t="shared" ref="DD6" si="58">DC9</f>
        <v>-4.0750262621054061</v>
      </c>
      <c r="DE6" s="19">
        <f t="shared" ref="DE6" si="59">DD9</f>
        <v>-4.2476535771809925</v>
      </c>
      <c r="DF6" s="19">
        <f t="shared" ref="DF6" si="60">DE9</f>
        <v>-4.4135621418654214</v>
      </c>
      <c r="DG6" s="19">
        <f t="shared" ref="DG6" si="61">DF9</f>
        <v>-4.5828300817454286</v>
      </c>
      <c r="DH6" s="19">
        <f t="shared" ref="DH6" si="62">DG9</f>
        <v>-4.7504183340276462</v>
      </c>
      <c r="DI6" s="19">
        <f t="shared" ref="DI6" si="63">DH9</f>
        <v>-4.9188464301087587</v>
      </c>
      <c r="DJ6" s="19">
        <f t="shared" ref="DJ6" si="64">DI9</f>
        <v>-5.0868546042904237</v>
      </c>
      <c r="DK6" s="19">
        <f t="shared" ref="DK6" si="65">DJ9</f>
        <v>-5.2550727394218129</v>
      </c>
      <c r="DL6" s="19">
        <f t="shared" ref="DL6" si="66">DK9</f>
        <v>-5.4231858940783404</v>
      </c>
      <c r="DM6" s="19">
        <f t="shared" ref="DM6" si="67">DL9</f>
        <v>-5.5913515389722983</v>
      </c>
      <c r="DN6" s="19">
        <f t="shared" ref="DN6" si="68">DM9</f>
        <v>-5.7594909387475406</v>
      </c>
      <c r="DO6" s="19">
        <f t="shared" ref="DO6" si="69">DN9</f>
        <v>-5.9276434610821411</v>
      </c>
      <c r="DP6" s="19">
        <f t="shared" ref="DP6" si="70">DO9</f>
        <v>-6.095789422137063</v>
      </c>
      <c r="DQ6" s="19">
        <f t="shared" ref="DQ6" si="71">DP9</f>
        <v>-6.2639386638318237</v>
      </c>
      <c r="DR6" s="19">
        <f t="shared" ref="DR6" si="72">DQ9</f>
        <v>-6.4320862652066646</v>
      </c>
      <c r="DS6" s="19">
        <f t="shared" ref="DS6" si="73">DR9</f>
        <v>-5.0578271426407317</v>
      </c>
      <c r="DT6" s="57">
        <f t="shared" ref="DT6" si="74">DS9</f>
        <v>-3.6569011483681422</v>
      </c>
    </row>
    <row r="7" spans="2:124" x14ac:dyDescent="0.2">
      <c r="B7" s="20" t="s">
        <v>10</v>
      </c>
      <c r="D7" s="139">
        <f t="shared" ref="D7" si="75">IF(C41="T",C29/12,C29/8)</f>
        <v>0</v>
      </c>
      <c r="E7" s="19">
        <f>IF(D41="T",D29/12,D29/6)</f>
        <v>0.59444444444444444</v>
      </c>
      <c r="F7" s="19">
        <f t="shared" ref="F7:BQ7" si="76">IF(E41="T",E29/12,E29/6)</f>
        <v>0.17730281361249164</v>
      </c>
      <c r="G7" s="19">
        <f t="shared" si="76"/>
        <v>0.35004047164042124</v>
      </c>
      <c r="H7" s="19">
        <f t="shared" si="76"/>
        <v>0.26541186876975387</v>
      </c>
      <c r="I7" s="19">
        <f t="shared" si="76"/>
        <v>0.61893279269677015</v>
      </c>
      <c r="J7" s="19">
        <f t="shared" si="76"/>
        <v>0.65037482107209243</v>
      </c>
      <c r="K7" s="19">
        <f t="shared" si="76"/>
        <v>0.65681702950505139</v>
      </c>
      <c r="L7" s="19">
        <f t="shared" si="76"/>
        <v>0.67575914790919223</v>
      </c>
      <c r="M7" s="19">
        <f t="shared" si="76"/>
        <v>0.68845131132774184</v>
      </c>
      <c r="N7" s="19">
        <f t="shared" si="76"/>
        <v>0.70426845223908741</v>
      </c>
      <c r="O7" s="19">
        <f t="shared" si="76"/>
        <v>0.52508799610267842</v>
      </c>
      <c r="P7" s="19">
        <f t="shared" si="76"/>
        <v>0.63617255486220847</v>
      </c>
      <c r="Q7" s="19">
        <f t="shared" si="76"/>
        <v>0.60212460617376862</v>
      </c>
      <c r="R7" s="19">
        <f t="shared" si="76"/>
        <v>0.64064291120931405</v>
      </c>
      <c r="S7" s="19">
        <f t="shared" si="76"/>
        <v>0.55690076661756527</v>
      </c>
      <c r="T7" s="19">
        <f t="shared" si="76"/>
        <v>1.4534242686171572</v>
      </c>
      <c r="U7" s="19">
        <f t="shared" si="76"/>
        <v>1.0051625176173613</v>
      </c>
      <c r="V7" s="19">
        <f t="shared" si="76"/>
        <v>1.2292933931172594</v>
      </c>
      <c r="W7" s="19">
        <f t="shared" si="76"/>
        <v>1.1172279553673103</v>
      </c>
      <c r="X7" s="19">
        <f t="shared" si="76"/>
        <v>1.1732606742422849</v>
      </c>
      <c r="Y7" s="19">
        <f t="shared" si="76"/>
        <v>0.67070241995042224</v>
      </c>
      <c r="Z7" s="19">
        <f t="shared" si="76"/>
        <v>1.3879575520029397</v>
      </c>
      <c r="AA7" s="19">
        <f t="shared" si="76"/>
        <v>0.51466499298834056</v>
      </c>
      <c r="AB7" s="57">
        <f t="shared" si="76"/>
        <v>0.56831383266122593</v>
      </c>
      <c r="AC7" s="19">
        <f t="shared" ref="AC7" si="77">IF(AB41="T",AB29/12,AB29/6)</f>
        <v>0.54148941282478324</v>
      </c>
      <c r="AD7" s="19">
        <f t="shared" ref="AD7" si="78">IF(AC41="T",AC29/12,AC29/6)</f>
        <v>0.55490162274300459</v>
      </c>
      <c r="AE7" s="19">
        <f t="shared" ref="AE7" si="79">IF(AD41="T",AD29/12,AD29/6)</f>
        <v>0.54523073582817905</v>
      </c>
      <c r="AF7" s="19">
        <f t="shared" ref="AF7" si="80">IF(AE41="T",AE29/12,AE29/6)</f>
        <v>0.54710139732987684</v>
      </c>
      <c r="AG7" s="19">
        <f t="shared" ref="AG7" si="81">IF(AF41="T",AF29/12,AF29/6)</f>
        <v>0.54320128462331307</v>
      </c>
      <c r="AH7" s="19">
        <f t="shared" ref="AH7" si="82">IF(AG41="T",AG29/12,AG29/6)</f>
        <v>0.54218655902087998</v>
      </c>
      <c r="AI7" s="19">
        <f t="shared" ref="AI7" si="83">IF(AH41="T",AH29/12,AH29/6)</f>
        <v>0.5397291398663816</v>
      </c>
      <c r="AJ7" s="19">
        <f t="shared" ref="AJ7" si="84">IF(AI41="T",AI29/12,AI29/6)</f>
        <v>0.53799306748791598</v>
      </c>
      <c r="AK7" s="19">
        <f t="shared" ref="AK7" si="85">IF(AJ41="T",AJ29/12,AJ29/6)</f>
        <v>0.53589632172143375</v>
      </c>
      <c r="AL7" s="19">
        <f t="shared" ref="AL7" si="86">IF(AK41="T",AK29/12,AK29/6)</f>
        <v>0.53397991264895994</v>
      </c>
      <c r="AM7" s="19">
        <f t="shared" ref="AM7" si="87">IF(AL41="T",AL29/12,AL29/6)</f>
        <v>0.53197333522948198</v>
      </c>
      <c r="AN7" s="19">
        <f t="shared" ref="AN7" si="88">IF(AM41="T",AM29/12,AM29/6)</f>
        <v>0.53001184198350604</v>
      </c>
      <c r="AO7" s="19">
        <f t="shared" ref="AO7" si="89">IF(AN41="T",AN29/12,AN29/6)</f>
        <v>0.52802780665077909</v>
      </c>
      <c r="AP7" s="19">
        <f t="shared" ref="AP7" si="90">IF(AO41="T",AO29/12,AO29/6)</f>
        <v>0.52605504236142764</v>
      </c>
      <c r="AQ7" s="19">
        <f t="shared" ref="AQ7" si="91">IF(AP41="T",AP29/12,AP29/6)</f>
        <v>0.52407664255038844</v>
      </c>
      <c r="AR7" s="19">
        <f t="shared" ref="AR7" si="92">IF(AQ41="T",AQ29/12,AQ29/6)</f>
        <v>0.52210106050019311</v>
      </c>
      <c r="AS7" s="19">
        <f t="shared" ref="AS7" si="93">IF(AR41="T",AR29/12,AR29/6)</f>
        <v>0.5201240695695758</v>
      </c>
      <c r="AT7" s="19">
        <f t="shared" ref="AT7" si="94">IF(AS41="T",AS29/12,AS29/6)</f>
        <v>0.51814778307916964</v>
      </c>
      <c r="AU7" s="19">
        <f t="shared" ref="AU7" si="95">IF(AT41="T",AT29/12,AT29/6)</f>
        <v>0.51617114436865774</v>
      </c>
      <c r="AV7" s="19">
        <f t="shared" ref="AV7" si="96">IF(AU41="T",AU29/12,AU29/6)</f>
        <v>0.51419468176819882</v>
      </c>
      <c r="AW7" s="19">
        <f t="shared" ref="AW7" si="97">IF(AV41="T",AV29/12,AV29/6)</f>
        <v>0.5122181311127133</v>
      </c>
      <c r="AX7" s="19">
        <f t="shared" ref="AX7" si="98">IF(AW41="T",AW29/12,AW29/6)</f>
        <v>0.5102416244847412</v>
      </c>
      <c r="AY7" s="19">
        <f t="shared" ref="AY7" si="99">IF(AX41="T",AX29/12,AX29/6)</f>
        <v>0.50826509584301227</v>
      </c>
      <c r="AZ7" s="57">
        <f t="shared" ref="AZ7" si="100">IF(AY41="T",AY29/12,AY29/6)</f>
        <v>0.50628857820816187</v>
      </c>
      <c r="BA7" s="19">
        <f t="shared" ref="BA7" si="101">IF(AZ41="T",AZ29/12,AZ29/6)</f>
        <v>0.5043120550698722</v>
      </c>
      <c r="BB7" s="19">
        <f t="shared" si="76"/>
        <v>0.50233553468330217</v>
      </c>
      <c r="BC7" s="19">
        <f t="shared" si="76"/>
        <v>0.50035901292087226</v>
      </c>
      <c r="BD7" s="19">
        <f t="shared" si="76"/>
        <v>0.49838249184637223</v>
      </c>
      <c r="BE7" s="19">
        <f t="shared" si="76"/>
        <v>0.99281194085581459</v>
      </c>
      <c r="BF7" s="19">
        <f t="shared" si="76"/>
        <v>1.0608750020302085</v>
      </c>
      <c r="BG7" s="19">
        <f t="shared" si="76"/>
        <v>1.0395966778656069</v>
      </c>
      <c r="BH7" s="19">
        <f t="shared" si="76"/>
        <v>1.0629890463705032</v>
      </c>
      <c r="BI7" s="19">
        <f t="shared" si="76"/>
        <v>0.3457276990369707</v>
      </c>
      <c r="BJ7" s="19">
        <f t="shared" si="76"/>
        <v>0.70435837270373691</v>
      </c>
      <c r="BK7" s="19">
        <f t="shared" si="76"/>
        <v>0.52504303587035372</v>
      </c>
      <c r="BL7" s="19">
        <f t="shared" si="76"/>
        <v>0.61470070428704537</v>
      </c>
      <c r="BM7" s="19">
        <f t="shared" si="76"/>
        <v>0.56987187007869955</v>
      </c>
      <c r="BN7" s="19">
        <f t="shared" si="76"/>
        <v>0.59228628718287246</v>
      </c>
      <c r="BO7" s="19">
        <f t="shared" si="76"/>
        <v>0.58107907863078601</v>
      </c>
      <c r="BP7" s="19">
        <f t="shared" si="76"/>
        <v>0.58668268290682923</v>
      </c>
      <c r="BQ7" s="19">
        <f t="shared" si="76"/>
        <v>0.58388088076880762</v>
      </c>
      <c r="BR7" s="19">
        <f t="shared" ref="BR7:DT7" si="102">IF(BQ41="T",BQ29/12,BQ29/6)</f>
        <v>0.58528178183781843</v>
      </c>
      <c r="BS7" s="19">
        <f t="shared" si="102"/>
        <v>0.58458133130331302</v>
      </c>
      <c r="BT7" s="19">
        <f t="shared" si="102"/>
        <v>0.58493155657056584</v>
      </c>
      <c r="BU7" s="19">
        <f t="shared" si="102"/>
        <v>0.58475644393693937</v>
      </c>
      <c r="BV7" s="19">
        <f t="shared" si="102"/>
        <v>0.58484400025375261</v>
      </c>
      <c r="BW7" s="19">
        <f t="shared" si="102"/>
        <v>0.29240011104767294</v>
      </c>
      <c r="BX7" s="57">
        <f t="shared" si="102"/>
        <v>0.26574438892060798</v>
      </c>
      <c r="BY7" s="19">
        <f t="shared" si="102"/>
        <v>0.27907224998414043</v>
      </c>
      <c r="BZ7" s="19">
        <f t="shared" si="102"/>
        <v>0.2724083194523742</v>
      </c>
      <c r="CA7" s="19">
        <f t="shared" si="102"/>
        <v>0.27574028471825734</v>
      </c>
      <c r="CB7" s="19">
        <f t="shared" si="102"/>
        <v>0.27407430208531575</v>
      </c>
      <c r="CC7" s="19">
        <f t="shared" si="102"/>
        <v>0.54981458680357309</v>
      </c>
      <c r="CD7" s="19">
        <f t="shared" si="102"/>
        <v>0.60231492882043569</v>
      </c>
      <c r="CE7" s="19">
        <f t="shared" si="102"/>
        <v>0.57606475781200428</v>
      </c>
      <c r="CF7" s="19">
        <f t="shared" si="102"/>
        <v>0.58918984331622004</v>
      </c>
      <c r="CG7" s="19">
        <f t="shared" si="102"/>
        <v>0.58262730056411216</v>
      </c>
      <c r="CH7" s="19">
        <f t="shared" si="102"/>
        <v>0.5859085719401661</v>
      </c>
      <c r="CI7" s="19">
        <f t="shared" si="102"/>
        <v>0.58426793625213924</v>
      </c>
      <c r="CJ7" s="19">
        <f t="shared" si="102"/>
        <v>0.58508825409615262</v>
      </c>
      <c r="CK7" s="19">
        <f t="shared" si="102"/>
        <v>0.58467809517414593</v>
      </c>
      <c r="CL7" s="19">
        <f t="shared" si="102"/>
        <v>0.58488317463514927</v>
      </c>
      <c r="CM7" s="19">
        <f t="shared" si="102"/>
        <v>0.5847806349046476</v>
      </c>
      <c r="CN7" s="19">
        <f t="shared" si="102"/>
        <v>0.58483190476989855</v>
      </c>
      <c r="CO7" s="19">
        <f t="shared" si="102"/>
        <v>0.58480626983727302</v>
      </c>
      <c r="CP7" s="19">
        <f t="shared" si="102"/>
        <v>0.58481908730358578</v>
      </c>
      <c r="CQ7" s="19">
        <f t="shared" si="102"/>
        <v>0.58481267857042929</v>
      </c>
      <c r="CR7" s="19">
        <f t="shared" si="102"/>
        <v>0.58481588293700759</v>
      </c>
      <c r="CS7" s="19">
        <f t="shared" si="102"/>
        <v>0.58481428075371844</v>
      </c>
      <c r="CT7" s="19">
        <f t="shared" si="102"/>
        <v>0.29240754092268151</v>
      </c>
      <c r="CU7" s="19">
        <f t="shared" si="102"/>
        <v>0.26574067398310369</v>
      </c>
      <c r="CV7" s="57">
        <f t="shared" si="102"/>
        <v>0.27907410745289257</v>
      </c>
      <c r="CW7" s="19">
        <f t="shared" si="102"/>
        <v>0.27240739071799813</v>
      </c>
      <c r="CX7" s="19">
        <f t="shared" si="102"/>
        <v>0.27574074908544538</v>
      </c>
      <c r="CY7" s="19">
        <f t="shared" si="102"/>
        <v>0.27407406990172178</v>
      </c>
      <c r="CZ7" s="19">
        <f t="shared" si="102"/>
        <v>0.27490740949358355</v>
      </c>
      <c r="DA7" s="19">
        <f t="shared" si="102"/>
        <v>0.54898147939530539</v>
      </c>
      <c r="DB7" s="19">
        <f t="shared" si="102"/>
        <v>0.60273148252456943</v>
      </c>
      <c r="DC7" s="19">
        <f t="shared" si="102"/>
        <v>0.57585648095993747</v>
      </c>
      <c r="DD7" s="19">
        <f t="shared" si="102"/>
        <v>0.58929398174225345</v>
      </c>
      <c r="DE7" s="19">
        <f t="shared" si="102"/>
        <v>0.58257523135109557</v>
      </c>
      <c r="DF7" s="19">
        <f t="shared" si="102"/>
        <v>0.58593460654667451</v>
      </c>
      <c r="DG7" s="19">
        <f t="shared" si="102"/>
        <v>0.58425491894888493</v>
      </c>
      <c r="DH7" s="19">
        <f t="shared" si="102"/>
        <v>0.58509476274777972</v>
      </c>
      <c r="DI7" s="19">
        <f t="shared" si="102"/>
        <v>0.58467484084833232</v>
      </c>
      <c r="DJ7" s="19">
        <f t="shared" si="102"/>
        <v>0.58488480179805602</v>
      </c>
      <c r="DK7" s="19">
        <f t="shared" si="102"/>
        <v>0.58477982132319428</v>
      </c>
      <c r="DL7" s="19">
        <f t="shared" si="102"/>
        <v>0.5848323115606251</v>
      </c>
      <c r="DM7" s="19">
        <f t="shared" si="102"/>
        <v>0.58480606644190958</v>
      </c>
      <c r="DN7" s="19">
        <f t="shared" si="102"/>
        <v>0.58481918900126739</v>
      </c>
      <c r="DO7" s="19">
        <f t="shared" si="102"/>
        <v>0.5848126277215886</v>
      </c>
      <c r="DP7" s="19">
        <f t="shared" si="102"/>
        <v>0.58481590836142794</v>
      </c>
      <c r="DQ7" s="19">
        <f t="shared" si="102"/>
        <v>0.58481426804150816</v>
      </c>
      <c r="DR7" s="19">
        <f t="shared" si="102"/>
        <v>0.29240754410073405</v>
      </c>
      <c r="DS7" s="19">
        <f t="shared" si="102"/>
        <v>0.26574067239407745</v>
      </c>
      <c r="DT7" s="57">
        <f t="shared" si="102"/>
        <v>0.27907410824740569</v>
      </c>
    </row>
    <row r="8" spans="2:124" x14ac:dyDescent="0.2">
      <c r="B8" s="20" t="s">
        <v>11</v>
      </c>
      <c r="D8" s="139">
        <f t="shared" ref="D8" si="103">IF(C41="T",C20/6,C20/18)</f>
        <v>0</v>
      </c>
      <c r="E8" s="19">
        <f>IF(D41="T",D20/6,D20/24)</f>
        <v>1.416344301105589</v>
      </c>
      <c r="F8" s="19">
        <f t="shared" ref="F8:BQ8" si="104">IF(E41="T",E20/6,E20/24)</f>
        <v>1.5596769306577762</v>
      </c>
      <c r="G8" s="19">
        <f t="shared" si="104"/>
        <v>1.5527160260845865</v>
      </c>
      <c r="H8" s="19">
        <f t="shared" si="104"/>
        <v>1.5457551215113965</v>
      </c>
      <c r="I8" s="19">
        <f t="shared" si="104"/>
        <v>0.37535716906753908</v>
      </c>
      <c r="J8" s="19">
        <f t="shared" si="104"/>
        <v>0.36427555775722897</v>
      </c>
      <c r="K8" s="19">
        <f t="shared" si="104"/>
        <v>0.35319394644691887</v>
      </c>
      <c r="L8" s="19">
        <f t="shared" si="104"/>
        <v>0.34211233513660882</v>
      </c>
      <c r="M8" s="19">
        <f t="shared" si="104"/>
        <v>0.33103072382629867</v>
      </c>
      <c r="N8" s="19">
        <f t="shared" si="104"/>
        <v>0.41666666666666669</v>
      </c>
      <c r="O8" s="19">
        <f t="shared" si="104"/>
        <v>0.40591950132100396</v>
      </c>
      <c r="P8" s="19">
        <f t="shared" si="104"/>
        <v>0.39517233597534135</v>
      </c>
      <c r="Q8" s="19">
        <f t="shared" si="104"/>
        <v>0.38442517062967863</v>
      </c>
      <c r="R8" s="19">
        <f t="shared" si="104"/>
        <v>0.41666666666666669</v>
      </c>
      <c r="S8" s="19">
        <f t="shared" si="104"/>
        <v>-1.0659548185192177E-2</v>
      </c>
      <c r="T8" s="19">
        <f t="shared" si="104"/>
        <v>-1.0659548185192177E-2</v>
      </c>
      <c r="U8" s="19">
        <f t="shared" si="104"/>
        <v>-1.0659548185192177E-2</v>
      </c>
      <c r="V8" s="19">
        <f t="shared" si="104"/>
        <v>-1.0659548185192177E-2</v>
      </c>
      <c r="W8" s="19">
        <f t="shared" si="104"/>
        <v>-1.0659548185192177E-2</v>
      </c>
      <c r="X8" s="19">
        <f t="shared" si="104"/>
        <v>0.22661139924199547</v>
      </c>
      <c r="Y8" s="19">
        <f t="shared" si="104"/>
        <v>-6.3766032112977204E-3</v>
      </c>
      <c r="Z8" s="19">
        <f t="shared" si="104"/>
        <v>-6.3766032112977204E-3</v>
      </c>
      <c r="AA8" s="19">
        <f t="shared" si="104"/>
        <v>1.185912782285968E-2</v>
      </c>
      <c r="AB8" s="57">
        <f t="shared" si="104"/>
        <v>1.185912782285968E-2</v>
      </c>
      <c r="AC8" s="19">
        <f t="shared" ref="AC8" si="105">IF(AB41="T",AB20/6,AB20/24)</f>
        <v>1.185912782285968E-2</v>
      </c>
      <c r="AD8" s="19">
        <f t="shared" ref="AD8" si="106">IF(AC41="T",AC20/6,AC20/24)</f>
        <v>2.3718255645719371E-2</v>
      </c>
      <c r="AE8" s="19">
        <f t="shared" ref="AE8" si="107">IF(AD41="T",AD20/6,AD20/24)</f>
        <v>3.5577383468579055E-2</v>
      </c>
      <c r="AF8" s="19">
        <f t="shared" ref="AF8" si="108">IF(AE41="T",AE20/6,AE20/24)</f>
        <v>4.7436511291438742E-2</v>
      </c>
      <c r="AG8" s="19">
        <f t="shared" ref="AG8" si="109">IF(AF41="T",AF20/6,AF20/24)</f>
        <v>5.9295639114298422E-2</v>
      </c>
      <c r="AH8" s="19">
        <f t="shared" ref="AH8" si="110">IF(AG41="T",AG20/6,AG20/24)</f>
        <v>7.1154766937158123E-2</v>
      </c>
      <c r="AI8" s="19">
        <f t="shared" ref="AI8" si="111">IF(AH41="T",AH20/6,AH20/24)</f>
        <v>8.3013894760017803E-2</v>
      </c>
      <c r="AJ8" s="19">
        <f t="shared" ref="AJ8" si="112">IF(AI41="T",AI20/6,AI20/24)</f>
        <v>9.4873022582877498E-2</v>
      </c>
      <c r="AK8" s="19">
        <f t="shared" ref="AK8" si="113">IF(AJ41="T",AJ20/6,AJ20/24)</f>
        <v>0.10673215040573718</v>
      </c>
      <c r="AL8" s="19">
        <f t="shared" ref="AL8" si="114">IF(AK41="T",AK20/6,AK20/24)</f>
        <v>0.11859127822859684</v>
      </c>
      <c r="AM8" s="19">
        <f t="shared" ref="AM8" si="115">IF(AL41="T",AL20/6,AL20/24)</f>
        <v>0.13045040605145652</v>
      </c>
      <c r="AN8" s="19">
        <f t="shared" ref="AN8" si="116">IF(AM41="T",AM20/6,AM20/24)</f>
        <v>0.14230953387431619</v>
      </c>
      <c r="AO8" s="19">
        <f t="shared" ref="AO8" si="117">IF(AN41="T",AN20/6,AN20/24)</f>
        <v>0.15416866169717586</v>
      </c>
      <c r="AP8" s="19">
        <f t="shared" ref="AP8" si="118">IF(AO41="T",AO20/6,AO20/24)</f>
        <v>0.16602778952003552</v>
      </c>
      <c r="AQ8" s="19">
        <f t="shared" ref="AQ8" si="119">IF(AP41="T",AP20/6,AP20/24)</f>
        <v>0.17788691734289519</v>
      </c>
      <c r="AR8" s="19">
        <f t="shared" ref="AR8" si="120">IF(AQ41="T",AQ20/6,AQ20/24)</f>
        <v>0.18974604516575488</v>
      </c>
      <c r="AS8" s="19">
        <f t="shared" ref="AS8" si="121">IF(AR41="T",AR20/6,AR20/24)</f>
        <v>0.20160517298861455</v>
      </c>
      <c r="AT8" s="19">
        <f t="shared" ref="AT8" si="122">IF(AS41="T",AS20/6,AS20/24)</f>
        <v>0.21346430081147419</v>
      </c>
      <c r="AU8" s="19">
        <f t="shared" ref="AU8" si="123">IF(AT41="T",AT20/6,AT20/24)</f>
        <v>0.22532342863433388</v>
      </c>
      <c r="AV8" s="19">
        <f t="shared" ref="AV8" si="124">IF(AU41="T",AU20/6,AU20/24)</f>
        <v>0.23718255645719352</v>
      </c>
      <c r="AW8" s="19">
        <f t="shared" ref="AW8" si="125">IF(AV41="T",AV20/6,AV20/24)</f>
        <v>0.24904168428005322</v>
      </c>
      <c r="AX8" s="19">
        <f t="shared" ref="AX8" si="126">IF(AW41="T",AW20/6,AW20/24)</f>
        <v>0.26090081210291288</v>
      </c>
      <c r="AY8" s="19">
        <f t="shared" ref="AY8" si="127">IF(AX41="T",AX20/6,AX20/24)</f>
        <v>0.27275993992577258</v>
      </c>
      <c r="AZ8" s="57">
        <f t="shared" ref="AZ8" si="128">IF(AY41="T",AY20/6,AY20/24)</f>
        <v>0.28461906774863222</v>
      </c>
      <c r="BA8" s="19">
        <f t="shared" ref="BA8" si="129">IF(AZ41="T",AZ20/6,AZ20/24)</f>
        <v>0.29647819557149191</v>
      </c>
      <c r="BB8" s="19">
        <f t="shared" si="104"/>
        <v>0.30833732339435155</v>
      </c>
      <c r="BC8" s="19">
        <f t="shared" si="104"/>
        <v>0.32019645121721124</v>
      </c>
      <c r="BD8" s="19">
        <f t="shared" si="104"/>
        <v>0.33205557904007094</v>
      </c>
      <c r="BE8" s="19">
        <f t="shared" si="104"/>
        <v>7.663729154872001E-2</v>
      </c>
      <c r="BF8" s="19">
        <f t="shared" si="104"/>
        <v>7.0260688337422286E-2</v>
      </c>
      <c r="BG8" s="19">
        <f t="shared" si="104"/>
        <v>6.3884085126124548E-2</v>
      </c>
      <c r="BH8" s="19">
        <f t="shared" si="104"/>
        <v>0.41666666666666669</v>
      </c>
      <c r="BI8" s="19">
        <f t="shared" si="104"/>
        <v>0.41666666666666669</v>
      </c>
      <c r="BJ8" s="19">
        <f t="shared" si="104"/>
        <v>0.41666666666666669</v>
      </c>
      <c r="BK8" s="19">
        <f t="shared" si="104"/>
        <v>0.41666666666666669</v>
      </c>
      <c r="BL8" s="19">
        <f t="shared" si="104"/>
        <v>0.41666666666666669</v>
      </c>
      <c r="BM8" s="19">
        <f t="shared" si="104"/>
        <v>0.41666666666666669</v>
      </c>
      <c r="BN8" s="19">
        <f t="shared" si="104"/>
        <v>0.41666666666666669</v>
      </c>
      <c r="BO8" s="19">
        <f t="shared" si="104"/>
        <v>0.41666666666666669</v>
      </c>
      <c r="BP8" s="19">
        <f t="shared" si="104"/>
        <v>0.41666666666666669</v>
      </c>
      <c r="BQ8" s="19">
        <f t="shared" si="104"/>
        <v>0.41666666666666669</v>
      </c>
      <c r="BR8" s="19">
        <f t="shared" ref="BR8:DT8" si="130">IF(BQ41="T",BQ20/6,BQ20/24)</f>
        <v>0.41666666666666669</v>
      </c>
      <c r="BS8" s="19">
        <f t="shared" si="130"/>
        <v>0.41666666666666669</v>
      </c>
      <c r="BT8" s="19">
        <f t="shared" si="130"/>
        <v>0.41666666666666669</v>
      </c>
      <c r="BU8" s="19">
        <f t="shared" si="130"/>
        <v>0.41666666666666669</v>
      </c>
      <c r="BV8" s="19">
        <f t="shared" si="130"/>
        <v>0.41666666666666669</v>
      </c>
      <c r="BW8" s="19">
        <f t="shared" si="130"/>
        <v>1.6666666666666667</v>
      </c>
      <c r="BX8" s="57">
        <f t="shared" si="130"/>
        <v>1.6666666666666667</v>
      </c>
      <c r="BY8" s="19">
        <f t="shared" si="130"/>
        <v>1.6666666666666667</v>
      </c>
      <c r="BZ8" s="19">
        <f t="shared" si="130"/>
        <v>1.6666666666666667</v>
      </c>
      <c r="CA8" s="19">
        <f t="shared" si="130"/>
        <v>1.6666666666666667</v>
      </c>
      <c r="CB8" s="19">
        <f t="shared" si="130"/>
        <v>1.6666666666666667</v>
      </c>
      <c r="CC8" s="19">
        <f t="shared" si="130"/>
        <v>0.41666666666666669</v>
      </c>
      <c r="CD8" s="19">
        <f t="shared" si="130"/>
        <v>0.41666666666666669</v>
      </c>
      <c r="CE8" s="19">
        <f t="shared" si="130"/>
        <v>0.41666666666666669</v>
      </c>
      <c r="CF8" s="19">
        <f t="shared" si="130"/>
        <v>0.41666666666666669</v>
      </c>
      <c r="CG8" s="19">
        <f t="shared" si="130"/>
        <v>0.41666666666666669</v>
      </c>
      <c r="CH8" s="19">
        <f t="shared" si="130"/>
        <v>0.41666666666666669</v>
      </c>
      <c r="CI8" s="19">
        <f t="shared" si="130"/>
        <v>0.41666666666666669</v>
      </c>
      <c r="CJ8" s="19">
        <f t="shared" si="130"/>
        <v>0.41666666666666669</v>
      </c>
      <c r="CK8" s="19">
        <f t="shared" si="130"/>
        <v>0.41666666666666669</v>
      </c>
      <c r="CL8" s="19">
        <f t="shared" si="130"/>
        <v>0.41666666666666669</v>
      </c>
      <c r="CM8" s="19">
        <f t="shared" si="130"/>
        <v>0.41666666666666669</v>
      </c>
      <c r="CN8" s="19">
        <f t="shared" si="130"/>
        <v>0.41666666666666669</v>
      </c>
      <c r="CO8" s="19">
        <f t="shared" si="130"/>
        <v>0.41666666666666669</v>
      </c>
      <c r="CP8" s="19">
        <f t="shared" si="130"/>
        <v>0.41666666666666669</v>
      </c>
      <c r="CQ8" s="19">
        <f t="shared" si="130"/>
        <v>0.41666666666666669</v>
      </c>
      <c r="CR8" s="19">
        <f t="shared" si="130"/>
        <v>0.41666666666666669</v>
      </c>
      <c r="CS8" s="19">
        <f t="shared" si="130"/>
        <v>0.41666666666666669</v>
      </c>
      <c r="CT8" s="19">
        <f t="shared" si="130"/>
        <v>1.6666666666666667</v>
      </c>
      <c r="CU8" s="19">
        <f t="shared" si="130"/>
        <v>1.6666666666666667</v>
      </c>
      <c r="CV8" s="57">
        <f t="shared" si="130"/>
        <v>1.6666666666666667</v>
      </c>
      <c r="CW8" s="19">
        <f t="shared" si="130"/>
        <v>1.6666666666666667</v>
      </c>
      <c r="CX8" s="19">
        <f t="shared" si="130"/>
        <v>1.6666666666666667</v>
      </c>
      <c r="CY8" s="19">
        <f t="shared" si="130"/>
        <v>1.6666666666666667</v>
      </c>
      <c r="CZ8" s="19">
        <f t="shared" si="130"/>
        <v>1.6666666666666667</v>
      </c>
      <c r="DA8" s="19">
        <f t="shared" si="130"/>
        <v>0.41666666666666669</v>
      </c>
      <c r="DB8" s="19">
        <f t="shared" si="130"/>
        <v>0.41666666666666669</v>
      </c>
      <c r="DC8" s="19">
        <f t="shared" si="130"/>
        <v>0.41666666666666669</v>
      </c>
      <c r="DD8" s="19">
        <f t="shared" si="130"/>
        <v>0.41666666666666669</v>
      </c>
      <c r="DE8" s="19">
        <f t="shared" si="130"/>
        <v>0.41666666666666669</v>
      </c>
      <c r="DF8" s="19">
        <f t="shared" si="130"/>
        <v>0.41666666666666669</v>
      </c>
      <c r="DG8" s="19">
        <f t="shared" si="130"/>
        <v>0.41666666666666669</v>
      </c>
      <c r="DH8" s="19">
        <f t="shared" si="130"/>
        <v>0.41666666666666669</v>
      </c>
      <c r="DI8" s="19">
        <f t="shared" si="130"/>
        <v>0.41666666666666669</v>
      </c>
      <c r="DJ8" s="19">
        <f t="shared" si="130"/>
        <v>0.41666666666666669</v>
      </c>
      <c r="DK8" s="19">
        <f t="shared" si="130"/>
        <v>0.41666666666666669</v>
      </c>
      <c r="DL8" s="19">
        <f t="shared" si="130"/>
        <v>0.41666666666666669</v>
      </c>
      <c r="DM8" s="19">
        <f t="shared" si="130"/>
        <v>0.41666666666666669</v>
      </c>
      <c r="DN8" s="19">
        <f t="shared" si="130"/>
        <v>0.41666666666666669</v>
      </c>
      <c r="DO8" s="19">
        <f t="shared" si="130"/>
        <v>0.41666666666666669</v>
      </c>
      <c r="DP8" s="19">
        <f t="shared" si="130"/>
        <v>0.41666666666666669</v>
      </c>
      <c r="DQ8" s="19">
        <f t="shared" si="130"/>
        <v>0.41666666666666669</v>
      </c>
      <c r="DR8" s="19">
        <f t="shared" si="130"/>
        <v>1.6666666666666667</v>
      </c>
      <c r="DS8" s="19">
        <f t="shared" si="130"/>
        <v>1.6666666666666667</v>
      </c>
      <c r="DT8" s="57">
        <f t="shared" si="130"/>
        <v>1.6666666666666667</v>
      </c>
    </row>
    <row r="9" spans="2:124" s="17" customFormat="1" ht="16" thickBot="1" x14ac:dyDescent="0.25">
      <c r="B9" s="21" t="s">
        <v>12</v>
      </c>
      <c r="C9" s="76"/>
      <c r="D9" s="142">
        <f>IF(D6-D7+D8&gt;8.875,8.875,D6-D7+D8)</f>
        <v>8.875</v>
      </c>
      <c r="E9" s="22">
        <f t="shared" ref="E9:BP9" si="131">IF(E6-E7+E8&gt;8.875,8.875,E6-E7+E8)</f>
        <v>8.875</v>
      </c>
      <c r="F9" s="22">
        <f t="shared" si="131"/>
        <v>8.875</v>
      </c>
      <c r="G9" s="22">
        <f t="shared" si="131"/>
        <v>8.875</v>
      </c>
      <c r="H9" s="22">
        <f t="shared" si="131"/>
        <v>8.875</v>
      </c>
      <c r="I9" s="22">
        <f t="shared" si="131"/>
        <v>8.6314243763707701</v>
      </c>
      <c r="J9" s="22">
        <f t="shared" si="131"/>
        <v>8.3453251130559067</v>
      </c>
      <c r="K9" s="22">
        <f t="shared" si="131"/>
        <v>8.0417020299977739</v>
      </c>
      <c r="L9" s="22">
        <f t="shared" si="131"/>
        <v>7.7080552172251906</v>
      </c>
      <c r="M9" s="22">
        <f t="shared" si="131"/>
        <v>7.3506346297237473</v>
      </c>
      <c r="N9" s="22">
        <f t="shared" si="131"/>
        <v>7.0630328441513273</v>
      </c>
      <c r="O9" s="22">
        <f t="shared" si="131"/>
        <v>6.9438643493696528</v>
      </c>
      <c r="P9" s="22">
        <f t="shared" si="131"/>
        <v>6.7028641304827854</v>
      </c>
      <c r="Q9" s="22">
        <f t="shared" si="131"/>
        <v>6.4851646949386952</v>
      </c>
      <c r="R9" s="22">
        <f t="shared" si="131"/>
        <v>6.2611884503960482</v>
      </c>
      <c r="S9" s="22">
        <f t="shared" si="131"/>
        <v>5.6936281355932907</v>
      </c>
      <c r="T9" s="22">
        <f t="shared" si="131"/>
        <v>4.2295443187909418</v>
      </c>
      <c r="U9" s="22">
        <f t="shared" si="131"/>
        <v>3.2137222529883882</v>
      </c>
      <c r="V9" s="22">
        <f t="shared" si="131"/>
        <v>1.9737693116859367</v>
      </c>
      <c r="W9" s="22">
        <f t="shared" si="131"/>
        <v>0.84588180813343417</v>
      </c>
      <c r="X9" s="22">
        <f t="shared" si="131"/>
        <v>-0.10076746686685523</v>
      </c>
      <c r="Y9" s="22">
        <f t="shared" si="131"/>
        <v>-0.7778464900285752</v>
      </c>
      <c r="Z9" s="22">
        <f t="shared" si="131"/>
        <v>-2.1721806452428125</v>
      </c>
      <c r="AA9" s="22">
        <f t="shared" si="131"/>
        <v>-2.6749865104082935</v>
      </c>
      <c r="AB9" s="58">
        <f t="shared" si="131"/>
        <v>-3.2314412152466598</v>
      </c>
      <c r="AC9" s="22">
        <f t="shared" si="131"/>
        <v>-3.7610715002485833</v>
      </c>
      <c r="AD9" s="22">
        <f t="shared" si="131"/>
        <v>-4.2922548673458687</v>
      </c>
      <c r="AE9" s="22">
        <f t="shared" si="131"/>
        <v>-4.801908219705469</v>
      </c>
      <c r="AF9" s="22">
        <f t="shared" si="131"/>
        <v>-5.3015731057439073</v>
      </c>
      <c r="AG9" s="22">
        <f t="shared" si="131"/>
        <v>-5.7854787512529224</v>
      </c>
      <c r="AH9" s="22">
        <f t="shared" si="131"/>
        <v>-6.2565105433366446</v>
      </c>
      <c r="AI9" s="22">
        <f t="shared" si="131"/>
        <v>-6.7132257884430091</v>
      </c>
      <c r="AJ9" s="22">
        <f t="shared" si="131"/>
        <v>-7.1563458333480474</v>
      </c>
      <c r="AK9" s="22">
        <f t="shared" si="131"/>
        <v>-7.5855100046637443</v>
      </c>
      <c r="AL9" s="22">
        <f t="shared" si="131"/>
        <v>-8.0008986390841077</v>
      </c>
      <c r="AM9" s="22">
        <f t="shared" si="131"/>
        <v>-8.4024215682621328</v>
      </c>
      <c r="AN9" s="22">
        <f t="shared" si="131"/>
        <v>-8.7901238763713234</v>
      </c>
      <c r="AO9" s="22">
        <f t="shared" si="131"/>
        <v>-9.1639830213249276</v>
      </c>
      <c r="AP9" s="22">
        <f t="shared" si="131"/>
        <v>-9.5240102741663204</v>
      </c>
      <c r="AQ9" s="22">
        <f t="shared" si="131"/>
        <v>-9.8701999993738134</v>
      </c>
      <c r="AR9" s="22">
        <f t="shared" si="131"/>
        <v>-10.202555014708251</v>
      </c>
      <c r="AS9" s="22">
        <f t="shared" si="131"/>
        <v>-10.521073911289212</v>
      </c>
      <c r="AT9" s="22">
        <f t="shared" si="131"/>
        <v>-10.825757393556909</v>
      </c>
      <c r="AU9" s="22">
        <f t="shared" si="131"/>
        <v>-11.116605109291232</v>
      </c>
      <c r="AV9" s="22">
        <f t="shared" si="131"/>
        <v>-11.393617234602237</v>
      </c>
      <c r="AW9" s="22">
        <f t="shared" si="131"/>
        <v>-11.656793681434896</v>
      </c>
      <c r="AX9" s="22">
        <f t="shared" si="131"/>
        <v>-11.906134493816726</v>
      </c>
      <c r="AY9" s="22">
        <f t="shared" si="131"/>
        <v>-12.141639649733964</v>
      </c>
      <c r="AZ9" s="58">
        <f t="shared" si="131"/>
        <v>-12.363309160193493</v>
      </c>
      <c r="BA9" s="22">
        <f t="shared" ref="BA9" si="132">IF(BA6-BA7+BA8&gt;8.875,8.875,BA6-BA7+BA8)</f>
        <v>-12.571143019691874</v>
      </c>
      <c r="BB9" s="22">
        <f t="shared" si="131"/>
        <v>-12.765141230980825</v>
      </c>
      <c r="BC9" s="22">
        <f t="shared" si="131"/>
        <v>-12.945303792684488</v>
      </c>
      <c r="BD9" s="22">
        <f t="shared" si="131"/>
        <v>-13.111630705490789</v>
      </c>
      <c r="BE9" s="22">
        <f t="shared" si="131"/>
        <v>-14.027805354797884</v>
      </c>
      <c r="BF9" s="22">
        <f t="shared" si="131"/>
        <v>-15.018419668490671</v>
      </c>
      <c r="BG9" s="22">
        <f t="shared" si="131"/>
        <v>-15.994132261230154</v>
      </c>
      <c r="BH9" s="22">
        <f t="shared" si="131"/>
        <v>-16.640454640933989</v>
      </c>
      <c r="BI9" s="22">
        <f t="shared" si="131"/>
        <v>-16.569515673304291</v>
      </c>
      <c r="BJ9" s="22">
        <f t="shared" si="131"/>
        <v>-16.857207379341361</v>
      </c>
      <c r="BK9" s="22">
        <f t="shared" si="131"/>
        <v>-16.965583748545047</v>
      </c>
      <c r="BL9" s="22">
        <f t="shared" si="131"/>
        <v>-17.163617786165425</v>
      </c>
      <c r="BM9" s="22">
        <f t="shared" si="131"/>
        <v>-17.316822989577457</v>
      </c>
      <c r="BN9" s="22">
        <f t="shared" si="131"/>
        <v>-17.492442610093661</v>
      </c>
      <c r="BO9" s="22">
        <f t="shared" si="131"/>
        <v>-17.65685502205778</v>
      </c>
      <c r="BP9" s="22">
        <f t="shared" si="131"/>
        <v>-17.826871038297941</v>
      </c>
      <c r="BQ9" s="22">
        <f t="shared" ref="BQ9:CN9" si="133">IF(BQ6-BQ7+BQ8&gt;8.875,8.875,BQ6-BQ7+BQ8)</f>
        <v>-17.99408525240008</v>
      </c>
      <c r="BR9" s="22">
        <f t="shared" si="133"/>
        <v>-18.16270036757123</v>
      </c>
      <c r="BS9" s="22">
        <f t="shared" si="133"/>
        <v>-18.330615032207874</v>
      </c>
      <c r="BT9" s="22">
        <f t="shared" si="133"/>
        <v>-18.498879922111772</v>
      </c>
      <c r="BU9" s="22">
        <f t="shared" si="133"/>
        <v>-18.666969699382044</v>
      </c>
      <c r="BV9" s="22">
        <f t="shared" si="133"/>
        <v>-18.835147032969129</v>
      </c>
      <c r="BW9" s="22">
        <f t="shared" si="133"/>
        <v>-17.460880477350134</v>
      </c>
      <c r="BX9" s="58">
        <f t="shared" si="133"/>
        <v>-16.059958199604075</v>
      </c>
      <c r="BY9" s="22">
        <f t="shared" si="133"/>
        <v>-14.672363782921549</v>
      </c>
      <c r="BZ9" s="22">
        <f t="shared" si="133"/>
        <v>-13.278105435707257</v>
      </c>
      <c r="CA9" s="22">
        <f t="shared" si="133"/>
        <v>-11.887179053758848</v>
      </c>
      <c r="CB9" s="22">
        <f t="shared" si="133"/>
        <v>-10.494586689177497</v>
      </c>
      <c r="CC9" s="22">
        <f t="shared" si="133"/>
        <v>-10.627734609314404</v>
      </c>
      <c r="CD9" s="22">
        <f t="shared" si="133"/>
        <v>-10.813382871468173</v>
      </c>
      <c r="CE9" s="22">
        <f t="shared" si="133"/>
        <v>-10.972780962613511</v>
      </c>
      <c r="CF9" s="22">
        <f t="shared" si="133"/>
        <v>-11.145304139263065</v>
      </c>
      <c r="CG9" s="22">
        <f t="shared" si="133"/>
        <v>-11.311264773160511</v>
      </c>
      <c r="CH9" s="22">
        <f t="shared" si="133"/>
        <v>-11.480506678434011</v>
      </c>
      <c r="CI9" s="22">
        <f t="shared" si="133"/>
        <v>-11.648107948019485</v>
      </c>
      <c r="CJ9" s="22">
        <f t="shared" si="133"/>
        <v>-11.816529535448971</v>
      </c>
      <c r="CK9" s="22">
        <f t="shared" si="133"/>
        <v>-11.984540963956452</v>
      </c>
      <c r="CL9" s="22">
        <f t="shared" si="133"/>
        <v>-12.152757471924934</v>
      </c>
      <c r="CM9" s="22">
        <f t="shared" si="133"/>
        <v>-12.320871440162916</v>
      </c>
      <c r="CN9" s="22">
        <f t="shared" si="133"/>
        <v>-12.489036678266149</v>
      </c>
      <c r="CO9" s="22">
        <f t="shared" ref="CO9:DT9" si="134">IF(CO6-CO7+CO8&gt;8.875,8.875,CO6-CO7+CO8)</f>
        <v>-12.657176281436756</v>
      </c>
      <c r="CP9" s="22">
        <f t="shared" si="134"/>
        <v>-12.825328702073676</v>
      </c>
      <c r="CQ9" s="22">
        <f t="shared" si="134"/>
        <v>-12.99347471397744</v>
      </c>
      <c r="CR9" s="22">
        <f t="shared" si="134"/>
        <v>-13.161623930247782</v>
      </c>
      <c r="CS9" s="22">
        <f t="shared" si="134"/>
        <v>-13.329771544334834</v>
      </c>
      <c r="CT9" s="22">
        <f t="shared" si="134"/>
        <v>-11.95551241859085</v>
      </c>
      <c r="CU9" s="22">
        <f t="shared" si="134"/>
        <v>-10.554586425907287</v>
      </c>
      <c r="CV9" s="58">
        <f t="shared" si="134"/>
        <v>-9.1669938666935131</v>
      </c>
      <c r="CW9" s="22">
        <f t="shared" si="134"/>
        <v>-7.772734590744844</v>
      </c>
      <c r="CX9" s="22">
        <f t="shared" si="134"/>
        <v>-6.381808673163623</v>
      </c>
      <c r="CY9" s="22">
        <f t="shared" si="134"/>
        <v>-4.9892160763986775</v>
      </c>
      <c r="CZ9" s="22">
        <f t="shared" si="134"/>
        <v>-3.5974568192255942</v>
      </c>
      <c r="DA9" s="22">
        <f t="shared" si="134"/>
        <v>-3.7297716319542329</v>
      </c>
      <c r="DB9" s="22">
        <f t="shared" si="134"/>
        <v>-3.9158364478121359</v>
      </c>
      <c r="DC9" s="22">
        <f t="shared" si="134"/>
        <v>-4.0750262621054061</v>
      </c>
      <c r="DD9" s="22">
        <f t="shared" si="134"/>
        <v>-4.2476535771809925</v>
      </c>
      <c r="DE9" s="22">
        <f t="shared" si="134"/>
        <v>-4.4135621418654214</v>
      </c>
      <c r="DF9" s="22">
        <f t="shared" si="134"/>
        <v>-4.5828300817454286</v>
      </c>
      <c r="DG9" s="22">
        <f t="shared" si="134"/>
        <v>-4.7504183340276462</v>
      </c>
      <c r="DH9" s="22">
        <f t="shared" si="134"/>
        <v>-4.9188464301087587</v>
      </c>
      <c r="DI9" s="22">
        <f t="shared" si="134"/>
        <v>-5.0868546042904237</v>
      </c>
      <c r="DJ9" s="22">
        <f t="shared" si="134"/>
        <v>-5.2550727394218129</v>
      </c>
      <c r="DK9" s="22">
        <f t="shared" si="134"/>
        <v>-5.4231858940783404</v>
      </c>
      <c r="DL9" s="22">
        <f t="shared" si="134"/>
        <v>-5.5913515389722983</v>
      </c>
      <c r="DM9" s="22">
        <f t="shared" si="134"/>
        <v>-5.7594909387475406</v>
      </c>
      <c r="DN9" s="22">
        <f t="shared" si="134"/>
        <v>-5.9276434610821411</v>
      </c>
      <c r="DO9" s="22">
        <f t="shared" si="134"/>
        <v>-6.095789422137063</v>
      </c>
      <c r="DP9" s="22">
        <f t="shared" si="134"/>
        <v>-6.2639386638318237</v>
      </c>
      <c r="DQ9" s="22">
        <f t="shared" si="134"/>
        <v>-6.4320862652066646</v>
      </c>
      <c r="DR9" s="22">
        <f t="shared" si="134"/>
        <v>-5.0578271426407317</v>
      </c>
      <c r="DS9" s="22">
        <f t="shared" si="134"/>
        <v>-3.6569011483681422</v>
      </c>
      <c r="DT9" s="58">
        <f t="shared" si="134"/>
        <v>-2.2693085899488814</v>
      </c>
    </row>
    <row r="10" spans="2:124" x14ac:dyDescent="0.2">
      <c r="E10" s="193" t="s">
        <v>66</v>
      </c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5"/>
      <c r="AC10" s="196" t="s">
        <v>67</v>
      </c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8"/>
      <c r="BA10" s="193" t="s">
        <v>68</v>
      </c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4"/>
      <c r="BU10" s="194"/>
      <c r="BV10" s="194"/>
      <c r="BW10" s="194"/>
      <c r="BX10" s="195"/>
      <c r="BY10" s="196" t="s">
        <v>69</v>
      </c>
      <c r="BZ10" s="197"/>
      <c r="CA10" s="197"/>
      <c r="CB10" s="197"/>
      <c r="CC10" s="197"/>
      <c r="CD10" s="197"/>
      <c r="CE10" s="197"/>
      <c r="CF10" s="197"/>
      <c r="CG10" s="197"/>
      <c r="CH10" s="197"/>
      <c r="CI10" s="197"/>
      <c r="CJ10" s="197"/>
      <c r="CK10" s="197"/>
      <c r="CL10" s="197"/>
      <c r="CM10" s="197"/>
      <c r="CN10" s="197"/>
      <c r="CO10" s="197"/>
      <c r="CP10" s="197"/>
      <c r="CQ10" s="197"/>
      <c r="CR10" s="197"/>
      <c r="CS10" s="197"/>
      <c r="CT10" s="197"/>
      <c r="CU10" s="197"/>
      <c r="CV10" s="198"/>
      <c r="CW10" s="193" t="s">
        <v>70</v>
      </c>
      <c r="CX10" s="194"/>
      <c r="CY10" s="194"/>
      <c r="CZ10" s="194"/>
      <c r="DA10" s="194"/>
      <c r="DB10" s="194"/>
      <c r="DC10" s="194"/>
      <c r="DD10" s="194"/>
      <c r="DE10" s="194"/>
      <c r="DF10" s="194"/>
      <c r="DG10" s="194"/>
      <c r="DH10" s="194"/>
      <c r="DI10" s="194"/>
      <c r="DJ10" s="194"/>
      <c r="DK10" s="194"/>
      <c r="DL10" s="194"/>
      <c r="DM10" s="194"/>
      <c r="DN10" s="194"/>
      <c r="DO10" s="194"/>
      <c r="DP10" s="194"/>
      <c r="DQ10" s="194"/>
      <c r="DR10" s="194"/>
      <c r="DS10" s="194"/>
      <c r="DT10" s="195"/>
    </row>
    <row r="11" spans="2:124" x14ac:dyDescent="0.2">
      <c r="B11" s="5" t="s">
        <v>71</v>
      </c>
      <c r="E11" s="23">
        <v>4.1666666666666664E-2</v>
      </c>
      <c r="F11" s="24">
        <v>8.3333333333333301E-2</v>
      </c>
      <c r="G11" s="24">
        <v>0.125</v>
      </c>
      <c r="H11" s="24">
        <v>0.16666666666666699</v>
      </c>
      <c r="I11" s="24">
        <v>0.20833333333333301</v>
      </c>
      <c r="J11" s="24">
        <v>0.25</v>
      </c>
      <c r="K11" s="24">
        <v>0.29166666666666702</v>
      </c>
      <c r="L11" s="24">
        <v>0.33333333333333298</v>
      </c>
      <c r="M11" s="24">
        <v>0.375</v>
      </c>
      <c r="N11" s="24">
        <v>0.41666666666666702</v>
      </c>
      <c r="O11" s="24">
        <v>0.45833333333333298</v>
      </c>
      <c r="P11" s="24">
        <v>0.5</v>
      </c>
      <c r="Q11" s="24">
        <v>0.54166666666666696</v>
      </c>
      <c r="R11" s="24">
        <v>0.58333333333333304</v>
      </c>
      <c r="S11" s="24">
        <v>0.625</v>
      </c>
      <c r="T11" s="24">
        <v>0.66666666666666696</v>
      </c>
      <c r="U11" s="24">
        <v>0.70833333333333304</v>
      </c>
      <c r="V11" s="24">
        <v>0.75</v>
      </c>
      <c r="W11" s="24">
        <v>0.79166666666666696</v>
      </c>
      <c r="X11" s="24">
        <v>0.83333333333333304</v>
      </c>
      <c r="Y11" s="24">
        <v>0.875</v>
      </c>
      <c r="Z11" s="24">
        <v>0.91666666666666696</v>
      </c>
      <c r="AA11" s="24">
        <v>0.95833333333333404</v>
      </c>
      <c r="AB11" s="59">
        <v>1</v>
      </c>
      <c r="AC11" s="23">
        <v>1.0416666666666701</v>
      </c>
      <c r="AD11" s="24">
        <v>1.0833333333333299</v>
      </c>
      <c r="AE11" s="24">
        <v>0.125</v>
      </c>
      <c r="AF11" s="24">
        <v>0.16666666666666699</v>
      </c>
      <c r="AG11" s="24">
        <v>0.20833333333333301</v>
      </c>
      <c r="AH11" s="24">
        <v>0.25</v>
      </c>
      <c r="AI11" s="24">
        <v>0.29166666666666702</v>
      </c>
      <c r="AJ11" s="24">
        <v>0.33333333333333298</v>
      </c>
      <c r="AK11" s="24">
        <v>0.375</v>
      </c>
      <c r="AL11" s="24">
        <v>0.41666666666666702</v>
      </c>
      <c r="AM11" s="24">
        <v>0.45833333333333298</v>
      </c>
      <c r="AN11" s="24">
        <v>0.5</v>
      </c>
      <c r="AO11" s="24">
        <v>0.54166666666666696</v>
      </c>
      <c r="AP11" s="24">
        <v>0.58333333333333304</v>
      </c>
      <c r="AQ11" s="24">
        <v>0.625</v>
      </c>
      <c r="AR11" s="24">
        <v>0.66666666666666696</v>
      </c>
      <c r="AS11" s="24">
        <v>0.70833333333333304</v>
      </c>
      <c r="AT11" s="24">
        <v>0.75</v>
      </c>
      <c r="AU11" s="24">
        <v>0.79166666666666696</v>
      </c>
      <c r="AV11" s="24">
        <v>0.83333333333333304</v>
      </c>
      <c r="AW11" s="24">
        <v>0.875</v>
      </c>
      <c r="AX11" s="24">
        <v>0.91666666666666696</v>
      </c>
      <c r="AY11" s="24">
        <v>0.95833333333333404</v>
      </c>
      <c r="AZ11" s="59">
        <v>1</v>
      </c>
      <c r="BA11" s="23">
        <v>1.0416666666666701</v>
      </c>
      <c r="BB11" s="24">
        <v>1.0833333333333299</v>
      </c>
      <c r="BC11" s="24">
        <v>0.125</v>
      </c>
      <c r="BD11" s="24">
        <v>0.16666666666666699</v>
      </c>
      <c r="BE11" s="24">
        <v>0.20833333333333301</v>
      </c>
      <c r="BF11" s="24">
        <v>0.25</v>
      </c>
      <c r="BG11" s="24">
        <v>0.29166666666666702</v>
      </c>
      <c r="BH11" s="24">
        <v>0.33333333333333298</v>
      </c>
      <c r="BI11" s="24">
        <v>0.375</v>
      </c>
      <c r="BJ11" s="24">
        <v>0.41666666666666702</v>
      </c>
      <c r="BK11" s="24">
        <v>0.45833333333333298</v>
      </c>
      <c r="BL11" s="24">
        <v>0.5</v>
      </c>
      <c r="BM11" s="24">
        <v>0.54166666666666696</v>
      </c>
      <c r="BN11" s="24">
        <v>0.58333333333333304</v>
      </c>
      <c r="BO11" s="24">
        <v>0.625</v>
      </c>
      <c r="BP11" s="24">
        <v>0.66666666666666696</v>
      </c>
      <c r="BQ11" s="24">
        <v>0.70833333333333304</v>
      </c>
      <c r="BR11" s="24">
        <v>0.75</v>
      </c>
      <c r="BS11" s="24">
        <v>0.79166666666666696</v>
      </c>
      <c r="BT11" s="24">
        <v>0.83333333333333304</v>
      </c>
      <c r="BU11" s="24">
        <v>0.875</v>
      </c>
      <c r="BV11" s="24">
        <v>0.91666666666666696</v>
      </c>
      <c r="BW11" s="24">
        <v>0.95833333333333404</v>
      </c>
      <c r="BX11" s="59">
        <v>1</v>
      </c>
      <c r="BY11" s="23">
        <v>1.0416666666666701</v>
      </c>
      <c r="BZ11" s="24">
        <v>1.0833333333333299</v>
      </c>
      <c r="CA11" s="24">
        <v>0.125</v>
      </c>
      <c r="CB11" s="24">
        <v>0.16666666666666699</v>
      </c>
      <c r="CC11" s="24">
        <v>0.20833333333333301</v>
      </c>
      <c r="CD11" s="24">
        <v>0.25</v>
      </c>
      <c r="CE11" s="24">
        <v>0.29166666666666702</v>
      </c>
      <c r="CF11" s="24">
        <v>0.33333333333333298</v>
      </c>
      <c r="CG11" s="24">
        <v>0.375</v>
      </c>
      <c r="CH11" s="24">
        <v>0.41666666666666702</v>
      </c>
      <c r="CI11" s="24">
        <v>0.45833333333333298</v>
      </c>
      <c r="CJ11" s="24">
        <v>0.5</v>
      </c>
      <c r="CK11" s="24">
        <v>0.54166666666666696</v>
      </c>
      <c r="CL11" s="24">
        <v>0.58333333333333304</v>
      </c>
      <c r="CM11" s="24">
        <v>0.625</v>
      </c>
      <c r="CN11" s="24">
        <v>0.66666666666666696</v>
      </c>
      <c r="CO11" s="24">
        <v>0.70833333333333304</v>
      </c>
      <c r="CP11" s="24">
        <v>0.75</v>
      </c>
      <c r="CQ11" s="24">
        <v>0.79166666666666696</v>
      </c>
      <c r="CR11" s="24">
        <v>0.83333333333333304</v>
      </c>
      <c r="CS11" s="24">
        <v>0.875</v>
      </c>
      <c r="CT11" s="24">
        <v>0.91666666666666696</v>
      </c>
      <c r="CU11" s="24">
        <v>0.95833333333333404</v>
      </c>
      <c r="CV11" s="59">
        <v>1</v>
      </c>
      <c r="CW11" s="23">
        <v>1.0416666666666701</v>
      </c>
      <c r="CX11" s="24">
        <v>1.0833333333333299</v>
      </c>
      <c r="CY11" s="24">
        <v>0.125</v>
      </c>
      <c r="CZ11" s="24">
        <v>0.16666666666666699</v>
      </c>
      <c r="DA11" s="24">
        <v>0.20833333333333301</v>
      </c>
      <c r="DB11" s="24">
        <v>0.25</v>
      </c>
      <c r="DC11" s="24">
        <v>0.29166666666666702</v>
      </c>
      <c r="DD11" s="24">
        <v>0.33333333333333298</v>
      </c>
      <c r="DE11" s="24">
        <v>0.375</v>
      </c>
      <c r="DF11" s="24">
        <v>0.41666666666666702</v>
      </c>
      <c r="DG11" s="24">
        <v>0.45833333333333298</v>
      </c>
      <c r="DH11" s="24">
        <v>0.5</v>
      </c>
      <c r="DI11" s="24">
        <v>0.54166666666666696</v>
      </c>
      <c r="DJ11" s="24">
        <v>0.58333333333333304</v>
      </c>
      <c r="DK11" s="24">
        <v>0.625</v>
      </c>
      <c r="DL11" s="24">
        <v>0.66666666666666696</v>
      </c>
      <c r="DM11" s="24">
        <v>0.70833333333333304</v>
      </c>
      <c r="DN11" s="24">
        <v>0.75</v>
      </c>
      <c r="DO11" s="24">
        <v>0.79166666666666696</v>
      </c>
      <c r="DP11" s="24">
        <v>0.83333333333333304</v>
      </c>
      <c r="DQ11" s="24">
        <v>0.875</v>
      </c>
      <c r="DR11" s="24">
        <v>0.91666666666666696</v>
      </c>
      <c r="DS11" s="24">
        <v>0.95833333333333404</v>
      </c>
      <c r="DT11" s="24">
        <v>1</v>
      </c>
    </row>
    <row r="12" spans="2:124" x14ac:dyDescent="0.2">
      <c r="B12" s="5" t="s">
        <v>78</v>
      </c>
      <c r="D12" s="143">
        <f>D44</f>
        <v>44.158000000000001</v>
      </c>
      <c r="E12" s="19">
        <f t="shared" ref="E12:BP12" si="135">E44</f>
        <v>44.158000000000001</v>
      </c>
      <c r="F12" s="19">
        <f t="shared" si="135"/>
        <v>44.158000000000001</v>
      </c>
      <c r="G12" s="19">
        <f t="shared" si="135"/>
        <v>44.158000000000001</v>
      </c>
      <c r="H12" s="19">
        <f t="shared" si="135"/>
        <v>44.158000000000001</v>
      </c>
      <c r="I12" s="19">
        <f t="shared" si="135"/>
        <v>44.158000000000001</v>
      </c>
      <c r="J12" s="19">
        <f t="shared" si="135"/>
        <v>44.158000000000001</v>
      </c>
      <c r="K12" s="19">
        <f t="shared" si="135"/>
        <v>44.158000000000001</v>
      </c>
      <c r="L12" s="19">
        <f t="shared" si="135"/>
        <v>44.158000000000001</v>
      </c>
      <c r="M12" s="19">
        <f t="shared" si="135"/>
        <v>46.284675000000085</v>
      </c>
      <c r="N12" s="19">
        <f t="shared" si="135"/>
        <v>46.284675000000085</v>
      </c>
      <c r="O12" s="19">
        <f t="shared" si="135"/>
        <v>46.284675000000085</v>
      </c>
      <c r="P12" s="19">
        <f t="shared" si="135"/>
        <v>46.284675000000085</v>
      </c>
      <c r="Q12" s="19">
        <f t="shared" si="135"/>
        <v>46.841814999999997</v>
      </c>
      <c r="R12" s="200">
        <f t="shared" si="135"/>
        <v>46.841814999999997</v>
      </c>
      <c r="S12" s="25">
        <f t="shared" si="135"/>
        <v>46.841814999999997</v>
      </c>
      <c r="T12" s="25">
        <f t="shared" si="135"/>
        <v>46.841814999999997</v>
      </c>
      <c r="U12" s="25">
        <f t="shared" si="135"/>
        <v>46.841814999999997</v>
      </c>
      <c r="V12" s="25">
        <f t="shared" si="135"/>
        <v>46.841814999999997</v>
      </c>
      <c r="W12" s="25">
        <f t="shared" si="135"/>
        <v>74.076205500000043</v>
      </c>
      <c r="X12" s="25">
        <f t="shared" si="135"/>
        <v>74.076205500000043</v>
      </c>
      <c r="Y12" s="25">
        <f t="shared" si="135"/>
        <v>74.076205500000043</v>
      </c>
      <c r="Z12" s="25">
        <f t="shared" si="135"/>
        <v>74.076205500000043</v>
      </c>
      <c r="AA12" s="25">
        <f t="shared" si="135"/>
        <v>74.076205500000043</v>
      </c>
      <c r="AB12" s="57">
        <f t="shared" si="135"/>
        <v>74.076205500000043</v>
      </c>
      <c r="AC12" s="19">
        <f t="shared" si="135"/>
        <v>74.076205500000043</v>
      </c>
      <c r="AD12" s="25">
        <f t="shared" si="135"/>
        <v>74.076205500000043</v>
      </c>
      <c r="AE12" s="25">
        <f t="shared" si="135"/>
        <v>74.076205500000043</v>
      </c>
      <c r="AF12" s="25">
        <f t="shared" si="135"/>
        <v>74.076205500000043</v>
      </c>
      <c r="AG12" s="25">
        <f t="shared" si="135"/>
        <v>74.076205500000043</v>
      </c>
      <c r="AH12" s="25">
        <f t="shared" si="135"/>
        <v>74.076205500000043</v>
      </c>
      <c r="AI12" s="25">
        <f t="shared" si="135"/>
        <v>74.076205500000043</v>
      </c>
      <c r="AJ12" s="25">
        <f t="shared" si="135"/>
        <v>74.076205500000043</v>
      </c>
      <c r="AK12" s="25">
        <f t="shared" si="135"/>
        <v>74.076205500000043</v>
      </c>
      <c r="AL12" s="25">
        <f t="shared" si="135"/>
        <v>74.076205500000043</v>
      </c>
      <c r="AM12" s="25">
        <f t="shared" si="135"/>
        <v>74.076205500000043</v>
      </c>
      <c r="AN12" s="25">
        <f t="shared" si="135"/>
        <v>74.076205500000043</v>
      </c>
      <c r="AO12" s="25">
        <f t="shared" si="135"/>
        <v>74.076205500000043</v>
      </c>
      <c r="AP12" s="25">
        <f t="shared" si="135"/>
        <v>74.076205500000043</v>
      </c>
      <c r="AQ12" s="25">
        <f t="shared" si="135"/>
        <v>74.076205500000043</v>
      </c>
      <c r="AR12" s="25">
        <f t="shared" si="135"/>
        <v>74.076205500000043</v>
      </c>
      <c r="AS12" s="25">
        <f t="shared" si="135"/>
        <v>74.076205500000043</v>
      </c>
      <c r="AT12" s="25">
        <f t="shared" si="135"/>
        <v>74.076205500000043</v>
      </c>
      <c r="AU12" s="25">
        <f t="shared" si="135"/>
        <v>74.076205500000043</v>
      </c>
      <c r="AV12" s="25">
        <f t="shared" si="135"/>
        <v>74.076205500000043</v>
      </c>
      <c r="AW12" s="25">
        <f t="shared" si="135"/>
        <v>74.076205500000043</v>
      </c>
      <c r="AX12" s="25">
        <f t="shared" si="135"/>
        <v>74.076205500000043</v>
      </c>
      <c r="AY12" s="25">
        <f t="shared" si="135"/>
        <v>74.076205500000043</v>
      </c>
      <c r="AZ12" s="57">
        <f t="shared" si="135"/>
        <v>74.076205500000043</v>
      </c>
      <c r="BA12" s="19">
        <f t="shared" si="135"/>
        <v>74.076205500000043</v>
      </c>
      <c r="BB12" s="25">
        <f t="shared" si="135"/>
        <v>74.076205500000043</v>
      </c>
      <c r="BC12" s="25">
        <f t="shared" si="135"/>
        <v>74.076205500000043</v>
      </c>
      <c r="BD12" s="25">
        <f t="shared" si="135"/>
        <v>74.076205500000043</v>
      </c>
      <c r="BE12" s="25">
        <f t="shared" si="135"/>
        <v>74.076205500000043</v>
      </c>
      <c r="BF12" s="25">
        <f t="shared" si="135"/>
        <v>74.076205500000043</v>
      </c>
      <c r="BG12" s="25">
        <f t="shared" si="135"/>
        <v>266.52908009999993</v>
      </c>
      <c r="BH12" s="25">
        <f t="shared" si="135"/>
        <v>266.52908009999993</v>
      </c>
      <c r="BI12" s="25">
        <f t="shared" si="135"/>
        <v>266.52908009999993</v>
      </c>
      <c r="BJ12" s="25">
        <f t="shared" si="135"/>
        <v>266.52908009999993</v>
      </c>
      <c r="BK12" s="25">
        <f t="shared" si="135"/>
        <v>266.52908009999993</v>
      </c>
      <c r="BL12" s="25">
        <f t="shared" si="135"/>
        <v>266.52908009999993</v>
      </c>
      <c r="BM12" s="25">
        <f t="shared" si="135"/>
        <v>266.52908009999993</v>
      </c>
      <c r="BN12" s="25">
        <f t="shared" si="135"/>
        <v>266.52908009999993</v>
      </c>
      <c r="BO12" s="25">
        <f t="shared" si="135"/>
        <v>266.52908009999993</v>
      </c>
      <c r="BP12" s="25">
        <f t="shared" si="135"/>
        <v>266.52908009999993</v>
      </c>
      <c r="BQ12" s="25">
        <f t="shared" ref="BQ12:DT12" si="136">BQ44</f>
        <v>266.52908009999993</v>
      </c>
      <c r="BR12" s="25">
        <f t="shared" si="136"/>
        <v>266.52908009999993</v>
      </c>
      <c r="BS12" s="25">
        <f t="shared" si="136"/>
        <v>266.52908009999993</v>
      </c>
      <c r="BT12" s="25">
        <f t="shared" si="136"/>
        <v>266.52908009999993</v>
      </c>
      <c r="BU12" s="25">
        <f t="shared" si="136"/>
        <v>266.52908009999993</v>
      </c>
      <c r="BV12" s="25">
        <f t="shared" si="136"/>
        <v>266.52908009999993</v>
      </c>
      <c r="BW12" s="25">
        <f t="shared" si="136"/>
        <v>266.52908009999993</v>
      </c>
      <c r="BX12" s="57">
        <f t="shared" si="136"/>
        <v>266.52908009999993</v>
      </c>
      <c r="BY12" s="19">
        <f t="shared" si="136"/>
        <v>266.52908009999993</v>
      </c>
      <c r="BZ12" s="25">
        <f t="shared" si="136"/>
        <v>266.52908009999993</v>
      </c>
      <c r="CA12" s="25">
        <f t="shared" si="136"/>
        <v>266.52908009999993</v>
      </c>
      <c r="CB12" s="25">
        <f t="shared" si="136"/>
        <v>266.52908009999993</v>
      </c>
      <c r="CC12" s="25">
        <f t="shared" si="136"/>
        <v>266.52908009999993</v>
      </c>
      <c r="CD12" s="25">
        <f t="shared" si="136"/>
        <v>266.52908009999993</v>
      </c>
      <c r="CE12" s="25">
        <f t="shared" si="136"/>
        <v>266.52908009999993</v>
      </c>
      <c r="CF12" s="25">
        <f t="shared" si="136"/>
        <v>266.52908009999993</v>
      </c>
      <c r="CG12" s="25">
        <f t="shared" si="136"/>
        <v>266.52908009999993</v>
      </c>
      <c r="CH12" s="25">
        <f t="shared" si="136"/>
        <v>266.52908009999993</v>
      </c>
      <c r="CI12" s="25">
        <f t="shared" si="136"/>
        <v>266.52908009999993</v>
      </c>
      <c r="CJ12" s="25">
        <f t="shared" si="136"/>
        <v>266.52908009999993</v>
      </c>
      <c r="CK12" s="25">
        <f t="shared" si="136"/>
        <v>266.52908009999993</v>
      </c>
      <c r="CL12" s="25">
        <f t="shared" si="136"/>
        <v>266.52908009999993</v>
      </c>
      <c r="CM12" s="25">
        <f t="shared" si="136"/>
        <v>266.52908009999993</v>
      </c>
      <c r="CN12" s="25">
        <f t="shared" si="136"/>
        <v>266.52908009999993</v>
      </c>
      <c r="CO12" s="25">
        <f t="shared" si="136"/>
        <v>266.52908009999993</v>
      </c>
      <c r="CP12" s="25">
        <f t="shared" si="136"/>
        <v>266.52908009999993</v>
      </c>
      <c r="CQ12" s="25">
        <f t="shared" si="136"/>
        <v>266.52908009999993</v>
      </c>
      <c r="CR12" s="25">
        <f t="shared" si="136"/>
        <v>266.52908009999993</v>
      </c>
      <c r="CS12" s="25">
        <f t="shared" si="136"/>
        <v>266.52908009999993</v>
      </c>
      <c r="CT12" s="25">
        <f t="shared" si="136"/>
        <v>266.52908009999993</v>
      </c>
      <c r="CU12" s="25">
        <f t="shared" si="136"/>
        <v>266.52908009999993</v>
      </c>
      <c r="CV12" s="57">
        <f t="shared" si="136"/>
        <v>266.52908009999993</v>
      </c>
      <c r="CW12" s="19">
        <f t="shared" si="136"/>
        <v>266.52908009999993</v>
      </c>
      <c r="CX12" s="25">
        <f t="shared" si="136"/>
        <v>266.52908009999993</v>
      </c>
      <c r="CY12" s="25">
        <f t="shared" si="136"/>
        <v>266.52908009999993</v>
      </c>
      <c r="CZ12" s="25">
        <f t="shared" si="136"/>
        <v>266.52908009999993</v>
      </c>
      <c r="DA12" s="25">
        <f t="shared" si="136"/>
        <v>266.52908009999993</v>
      </c>
      <c r="DB12" s="25">
        <f t="shared" si="136"/>
        <v>266.52908009999993</v>
      </c>
      <c r="DC12" s="25">
        <f t="shared" si="136"/>
        <v>266.52908009999993</v>
      </c>
      <c r="DD12" s="25">
        <f t="shared" si="136"/>
        <v>266.52908009999993</v>
      </c>
      <c r="DE12" s="25">
        <f t="shared" si="136"/>
        <v>266.52908009999993</v>
      </c>
      <c r="DF12" s="25">
        <f t="shared" si="136"/>
        <v>266.52908009999993</v>
      </c>
      <c r="DG12" s="25">
        <f t="shared" si="136"/>
        <v>266.52908009999993</v>
      </c>
      <c r="DH12" s="25">
        <f t="shared" si="136"/>
        <v>266.52908009999993</v>
      </c>
      <c r="DI12" s="25">
        <f t="shared" si="136"/>
        <v>266.52908009999993</v>
      </c>
      <c r="DJ12" s="25">
        <f t="shared" si="136"/>
        <v>266.52908009999993</v>
      </c>
      <c r="DK12" s="25">
        <f t="shared" si="136"/>
        <v>266.52908009999993</v>
      </c>
      <c r="DL12" s="25">
        <f t="shared" si="136"/>
        <v>266.52908009999993</v>
      </c>
      <c r="DM12" s="25">
        <f t="shared" si="136"/>
        <v>266.52908009999993</v>
      </c>
      <c r="DN12" s="25">
        <f t="shared" si="136"/>
        <v>266.52908009999993</v>
      </c>
      <c r="DO12" s="25">
        <f t="shared" si="136"/>
        <v>266.52908009999993</v>
      </c>
      <c r="DP12" s="25">
        <f t="shared" si="136"/>
        <v>266.52908009999993</v>
      </c>
      <c r="DQ12" s="25">
        <f t="shared" si="136"/>
        <v>266.52908009999993</v>
      </c>
      <c r="DR12" s="25">
        <f t="shared" si="136"/>
        <v>266.52908009999993</v>
      </c>
      <c r="DS12" s="25">
        <f t="shared" si="136"/>
        <v>266.52908009999993</v>
      </c>
      <c r="DT12" s="25">
        <f t="shared" si="136"/>
        <v>266.52908009999993</v>
      </c>
    </row>
    <row r="13" spans="2:124" x14ac:dyDescent="0.2">
      <c r="B13" s="3" t="s">
        <v>233</v>
      </c>
      <c r="D13" s="141">
        <v>1766.32</v>
      </c>
      <c r="E13" s="19">
        <f>E12+D19</f>
        <v>1651.4821666666667</v>
      </c>
      <c r="F13" s="25">
        <f t="shared" ref="F13:BQ13" si="137">F12+E19</f>
        <v>2523.5764166666668</v>
      </c>
      <c r="G13" s="25">
        <f t="shared" si="137"/>
        <v>2512.510666666667</v>
      </c>
      <c r="H13" s="25">
        <f t="shared" si="137"/>
        <v>2501.4449166666673</v>
      </c>
      <c r="I13" s="25">
        <f t="shared" si="137"/>
        <v>2430.9791666666674</v>
      </c>
      <c r="J13" s="25">
        <f t="shared" si="137"/>
        <v>2360.5134166666676</v>
      </c>
      <c r="K13" s="25">
        <f t="shared" si="137"/>
        <v>2290.0476666666677</v>
      </c>
      <c r="L13" s="25">
        <f t="shared" si="137"/>
        <v>2219.5819166666679</v>
      </c>
      <c r="M13" s="25">
        <f t="shared" si="137"/>
        <v>2151.242841666668</v>
      </c>
      <c r="N13" s="25">
        <f t="shared" si="137"/>
        <v>2695.7846749999999</v>
      </c>
      <c r="O13" s="25">
        <f t="shared" si="137"/>
        <v>2627.4456</v>
      </c>
      <c r="P13" s="25">
        <f t="shared" si="137"/>
        <v>2559.1065250000001</v>
      </c>
      <c r="Q13" s="25">
        <f t="shared" si="137"/>
        <v>2491.3245900000002</v>
      </c>
      <c r="R13" s="25">
        <f>R12</f>
        <v>46.841814999999997</v>
      </c>
      <c r="S13" s="25">
        <f t="shared" ref="S13:AB13" si="138">S12</f>
        <v>46.841814999999997</v>
      </c>
      <c r="T13" s="25">
        <f t="shared" si="138"/>
        <v>46.841814999999997</v>
      </c>
      <c r="U13" s="25">
        <f t="shared" si="138"/>
        <v>46.841814999999997</v>
      </c>
      <c r="V13" s="25">
        <f t="shared" si="138"/>
        <v>46.841814999999997</v>
      </c>
      <c r="W13" s="25">
        <f t="shared" si="138"/>
        <v>74.076205500000043</v>
      </c>
      <c r="X13" s="25">
        <f t="shared" si="138"/>
        <v>74.076205500000043</v>
      </c>
      <c r="Y13" s="25">
        <f t="shared" si="138"/>
        <v>74.076205500000043</v>
      </c>
      <c r="Z13" s="25">
        <f t="shared" si="138"/>
        <v>74.076205500000043</v>
      </c>
      <c r="AA13" s="25">
        <f t="shared" si="138"/>
        <v>74.076205500000043</v>
      </c>
      <c r="AB13" s="25">
        <f t="shared" si="138"/>
        <v>74.076205500000043</v>
      </c>
      <c r="AC13" s="19">
        <f t="shared" si="137"/>
        <v>92.928661000000076</v>
      </c>
      <c r="AD13" s="25">
        <f t="shared" si="137"/>
        <v>111.78111650000012</v>
      </c>
      <c r="AE13" s="25">
        <f t="shared" si="137"/>
        <v>130.63357200000016</v>
      </c>
      <c r="AF13" s="25">
        <f t="shared" si="137"/>
        <v>149.4860275000002</v>
      </c>
      <c r="AG13" s="25">
        <f t="shared" si="137"/>
        <v>168.33848300000025</v>
      </c>
      <c r="AH13" s="25">
        <f t="shared" si="137"/>
        <v>187.1909385000003</v>
      </c>
      <c r="AI13" s="25">
        <f t="shared" si="137"/>
        <v>206.04339400000035</v>
      </c>
      <c r="AJ13" s="25">
        <f t="shared" si="137"/>
        <v>224.89584950000039</v>
      </c>
      <c r="AK13" s="25">
        <f t="shared" si="137"/>
        <v>243.74830500000044</v>
      </c>
      <c r="AL13" s="25">
        <f t="shared" si="137"/>
        <v>262.60076050000043</v>
      </c>
      <c r="AM13" s="25">
        <f t="shared" si="137"/>
        <v>281.45321600000045</v>
      </c>
      <c r="AN13" s="25">
        <f t="shared" si="137"/>
        <v>300.30567150000047</v>
      </c>
      <c r="AO13" s="25">
        <f t="shared" si="137"/>
        <v>319.15812700000049</v>
      </c>
      <c r="AP13" s="25">
        <f t="shared" si="137"/>
        <v>338.01058250000051</v>
      </c>
      <c r="AQ13" s="25">
        <f t="shared" si="137"/>
        <v>356.86303800000053</v>
      </c>
      <c r="AR13" s="25">
        <f t="shared" si="137"/>
        <v>375.71549350000055</v>
      </c>
      <c r="AS13" s="25">
        <f t="shared" si="137"/>
        <v>394.56794900000057</v>
      </c>
      <c r="AT13" s="25">
        <f t="shared" si="137"/>
        <v>413.42040450000059</v>
      </c>
      <c r="AU13" s="25">
        <f t="shared" si="137"/>
        <v>432.27286000000061</v>
      </c>
      <c r="AV13" s="25">
        <f t="shared" si="137"/>
        <v>451.12531550000062</v>
      </c>
      <c r="AW13" s="25">
        <f t="shared" si="137"/>
        <v>469.97777100000064</v>
      </c>
      <c r="AX13" s="25">
        <f t="shared" si="137"/>
        <v>488.83022650000066</v>
      </c>
      <c r="AY13" s="25">
        <f t="shared" si="137"/>
        <v>507.68268200000068</v>
      </c>
      <c r="AZ13" s="57">
        <f t="shared" si="137"/>
        <v>526.5351375000007</v>
      </c>
      <c r="BA13" s="19">
        <f t="shared" si="137"/>
        <v>545.38759300000072</v>
      </c>
      <c r="BB13" s="25">
        <f t="shared" si="137"/>
        <v>564.24004850000074</v>
      </c>
      <c r="BC13" s="25">
        <f t="shared" si="137"/>
        <v>583.09250400000076</v>
      </c>
      <c r="BD13" s="25">
        <f t="shared" si="137"/>
        <v>601.94495950000078</v>
      </c>
      <c r="BE13" s="25">
        <f t="shared" si="137"/>
        <v>561.39741500000082</v>
      </c>
      <c r="BF13" s="25">
        <f t="shared" si="137"/>
        <v>520.84987050000086</v>
      </c>
      <c r="BG13" s="25">
        <f t="shared" si="137"/>
        <v>672.75520060000076</v>
      </c>
      <c r="BH13" s="25">
        <f t="shared" si="137"/>
        <v>2916.0290801000001</v>
      </c>
      <c r="BI13" s="25">
        <f t="shared" si="137"/>
        <v>2916.0290801000001</v>
      </c>
      <c r="BJ13" s="25">
        <f t="shared" si="137"/>
        <v>2916.0290801000001</v>
      </c>
      <c r="BK13" s="25">
        <f t="shared" si="137"/>
        <v>2916.0290801000001</v>
      </c>
      <c r="BL13" s="25">
        <f t="shared" si="137"/>
        <v>2916.0290801000001</v>
      </c>
      <c r="BM13" s="25">
        <f t="shared" si="137"/>
        <v>2916.0290801000001</v>
      </c>
      <c r="BN13" s="25">
        <f t="shared" si="137"/>
        <v>2916.0290801000001</v>
      </c>
      <c r="BO13" s="25">
        <f t="shared" si="137"/>
        <v>2916.0290801000001</v>
      </c>
      <c r="BP13" s="25">
        <f t="shared" si="137"/>
        <v>2916.0290801000001</v>
      </c>
      <c r="BQ13" s="25">
        <f t="shared" si="137"/>
        <v>2916.0290801000001</v>
      </c>
      <c r="BR13" s="25">
        <f t="shared" ref="BR13:DT13" si="139">BR12+BQ19</f>
        <v>2916.0290801000001</v>
      </c>
      <c r="BS13" s="25">
        <f t="shared" si="139"/>
        <v>2916.0290801000001</v>
      </c>
      <c r="BT13" s="25">
        <f t="shared" si="139"/>
        <v>2916.0290801000001</v>
      </c>
      <c r="BU13" s="25">
        <f t="shared" si="139"/>
        <v>2916.0290801000001</v>
      </c>
      <c r="BV13" s="25">
        <f t="shared" si="139"/>
        <v>2916.0290801000001</v>
      </c>
      <c r="BW13" s="25">
        <f t="shared" si="139"/>
        <v>2916.0290801000001</v>
      </c>
      <c r="BX13" s="57">
        <f t="shared" si="139"/>
        <v>2916.0290801000001</v>
      </c>
      <c r="BY13" s="19">
        <f t="shared" si="139"/>
        <v>2916.0290801000001</v>
      </c>
      <c r="BZ13" s="25">
        <f t="shared" si="139"/>
        <v>2916.0290801000001</v>
      </c>
      <c r="CA13" s="25">
        <f t="shared" si="139"/>
        <v>2916.0290801000001</v>
      </c>
      <c r="CB13" s="25">
        <f t="shared" si="139"/>
        <v>2916.0290801000001</v>
      </c>
      <c r="CC13" s="25">
        <f t="shared" si="139"/>
        <v>2916.0290801000001</v>
      </c>
      <c r="CD13" s="25">
        <f t="shared" si="139"/>
        <v>2916.0290801000001</v>
      </c>
      <c r="CE13" s="25">
        <f t="shared" si="139"/>
        <v>2916.0290801000001</v>
      </c>
      <c r="CF13" s="25">
        <f t="shared" si="139"/>
        <v>2916.0290801000001</v>
      </c>
      <c r="CG13" s="25">
        <f t="shared" si="139"/>
        <v>2916.0290801000001</v>
      </c>
      <c r="CH13" s="25">
        <f t="shared" si="139"/>
        <v>2916.0290801000001</v>
      </c>
      <c r="CI13" s="25">
        <f t="shared" si="139"/>
        <v>2916.0290801000001</v>
      </c>
      <c r="CJ13" s="25">
        <f t="shared" si="139"/>
        <v>2916.0290801000001</v>
      </c>
      <c r="CK13" s="25">
        <f t="shared" si="139"/>
        <v>2916.0290801000001</v>
      </c>
      <c r="CL13" s="25">
        <f t="shared" si="139"/>
        <v>2916.0290801000001</v>
      </c>
      <c r="CM13" s="25">
        <f t="shared" si="139"/>
        <v>2916.0290801000001</v>
      </c>
      <c r="CN13" s="25">
        <f t="shared" si="139"/>
        <v>2916.0290801000001</v>
      </c>
      <c r="CO13" s="25">
        <f t="shared" si="139"/>
        <v>2916.0290801000001</v>
      </c>
      <c r="CP13" s="25">
        <f t="shared" si="139"/>
        <v>2916.0290801000001</v>
      </c>
      <c r="CQ13" s="25">
        <f t="shared" si="139"/>
        <v>2916.0290801000001</v>
      </c>
      <c r="CR13" s="25">
        <f t="shared" si="139"/>
        <v>2916.0290801000001</v>
      </c>
      <c r="CS13" s="25">
        <f t="shared" si="139"/>
        <v>2916.0290801000001</v>
      </c>
      <c r="CT13" s="25">
        <f t="shared" si="139"/>
        <v>2916.0290801000001</v>
      </c>
      <c r="CU13" s="25">
        <f t="shared" si="139"/>
        <v>2916.0290801000001</v>
      </c>
      <c r="CV13" s="57">
        <f t="shared" si="139"/>
        <v>2916.0290801000001</v>
      </c>
      <c r="CW13" s="19">
        <f t="shared" si="139"/>
        <v>2916.0290801000001</v>
      </c>
      <c r="CX13" s="25">
        <f t="shared" si="139"/>
        <v>2916.0290801000001</v>
      </c>
      <c r="CY13" s="25">
        <f t="shared" si="139"/>
        <v>2916.0290801000001</v>
      </c>
      <c r="CZ13" s="25">
        <f t="shared" si="139"/>
        <v>2916.0290801000001</v>
      </c>
      <c r="DA13" s="25">
        <f t="shared" si="139"/>
        <v>2916.0290801000001</v>
      </c>
      <c r="DB13" s="25">
        <f t="shared" si="139"/>
        <v>2916.0290801000001</v>
      </c>
      <c r="DC13" s="25">
        <f t="shared" si="139"/>
        <v>2916.0290801000001</v>
      </c>
      <c r="DD13" s="25">
        <f t="shared" si="139"/>
        <v>2916.0290801000001</v>
      </c>
      <c r="DE13" s="25">
        <f t="shared" si="139"/>
        <v>2916.0290801000001</v>
      </c>
      <c r="DF13" s="25">
        <f t="shared" si="139"/>
        <v>2916.0290801000001</v>
      </c>
      <c r="DG13" s="25">
        <f t="shared" si="139"/>
        <v>2916.0290801000001</v>
      </c>
      <c r="DH13" s="25">
        <f t="shared" si="139"/>
        <v>2916.0290801000001</v>
      </c>
      <c r="DI13" s="25">
        <f t="shared" si="139"/>
        <v>2916.0290801000001</v>
      </c>
      <c r="DJ13" s="25">
        <f t="shared" si="139"/>
        <v>2916.0290801000001</v>
      </c>
      <c r="DK13" s="25">
        <f t="shared" si="139"/>
        <v>2916.0290801000001</v>
      </c>
      <c r="DL13" s="25">
        <f t="shared" si="139"/>
        <v>2916.0290801000001</v>
      </c>
      <c r="DM13" s="25">
        <f t="shared" si="139"/>
        <v>2916.0290801000001</v>
      </c>
      <c r="DN13" s="25">
        <f t="shared" si="139"/>
        <v>2916.0290801000001</v>
      </c>
      <c r="DO13" s="25">
        <f t="shared" si="139"/>
        <v>2916.0290801000001</v>
      </c>
      <c r="DP13" s="25">
        <f t="shared" si="139"/>
        <v>2916.0290801000001</v>
      </c>
      <c r="DQ13" s="25">
        <f t="shared" si="139"/>
        <v>2916.0290801000001</v>
      </c>
      <c r="DR13" s="25">
        <f t="shared" si="139"/>
        <v>2916.0290801000001</v>
      </c>
      <c r="DS13" s="25">
        <f t="shared" si="139"/>
        <v>2916.0290801000001</v>
      </c>
      <c r="DT13" s="25">
        <f t="shared" si="139"/>
        <v>2916.0290801000001</v>
      </c>
    </row>
    <row r="14" spans="2:124" s="2" customFormat="1" x14ac:dyDescent="0.2">
      <c r="B14" s="20" t="s">
        <v>13</v>
      </c>
      <c r="C14" s="78">
        <f>2649.5/24</f>
        <v>110.39583333333333</v>
      </c>
      <c r="D14" s="141">
        <f>$C$14</f>
        <v>110.39583333333333</v>
      </c>
      <c r="E14" s="27">
        <f>$C$14</f>
        <v>110.39583333333333</v>
      </c>
      <c r="F14" s="27">
        <f t="shared" ref="F14:BQ14" si="140">$C$14</f>
        <v>110.39583333333333</v>
      </c>
      <c r="G14" s="27">
        <f t="shared" si="140"/>
        <v>110.39583333333333</v>
      </c>
      <c r="H14" s="27">
        <f t="shared" si="140"/>
        <v>110.39583333333333</v>
      </c>
      <c r="I14" s="27">
        <f t="shared" si="140"/>
        <v>110.39583333333333</v>
      </c>
      <c r="J14" s="27">
        <f t="shared" si="140"/>
        <v>110.39583333333333</v>
      </c>
      <c r="K14" s="27">
        <f t="shared" si="140"/>
        <v>110.39583333333333</v>
      </c>
      <c r="L14" s="27">
        <f t="shared" si="140"/>
        <v>110.39583333333333</v>
      </c>
      <c r="M14" s="27">
        <f t="shared" si="140"/>
        <v>110.39583333333333</v>
      </c>
      <c r="N14" s="27">
        <f t="shared" si="140"/>
        <v>110.39583333333333</v>
      </c>
      <c r="O14" s="27">
        <f t="shared" si="140"/>
        <v>110.39583333333333</v>
      </c>
      <c r="P14" s="27">
        <f t="shared" si="140"/>
        <v>110.39583333333333</v>
      </c>
      <c r="Q14" s="27">
        <f t="shared" si="140"/>
        <v>110.39583333333333</v>
      </c>
      <c r="R14" s="27">
        <f t="shared" si="140"/>
        <v>110.39583333333333</v>
      </c>
      <c r="S14" s="27">
        <f t="shared" si="140"/>
        <v>110.39583333333333</v>
      </c>
      <c r="T14" s="27">
        <f t="shared" si="140"/>
        <v>110.39583333333333</v>
      </c>
      <c r="U14" s="27">
        <f t="shared" si="140"/>
        <v>110.39583333333333</v>
      </c>
      <c r="V14" s="27">
        <f t="shared" si="140"/>
        <v>110.39583333333333</v>
      </c>
      <c r="W14" s="27">
        <f t="shared" si="140"/>
        <v>110.39583333333333</v>
      </c>
      <c r="X14" s="27">
        <f t="shared" si="140"/>
        <v>110.39583333333333</v>
      </c>
      <c r="Y14" s="27">
        <f t="shared" si="140"/>
        <v>110.39583333333333</v>
      </c>
      <c r="Z14" s="27">
        <f t="shared" si="140"/>
        <v>110.39583333333333</v>
      </c>
      <c r="AA14" s="27">
        <f t="shared" si="140"/>
        <v>110.39583333333333</v>
      </c>
      <c r="AB14" s="60">
        <f t="shared" si="140"/>
        <v>110.39583333333333</v>
      </c>
      <c r="AC14" s="26">
        <f t="shared" si="140"/>
        <v>110.39583333333333</v>
      </c>
      <c r="AD14" s="27">
        <f t="shared" si="140"/>
        <v>110.39583333333333</v>
      </c>
      <c r="AE14" s="27">
        <f t="shared" si="140"/>
        <v>110.39583333333333</v>
      </c>
      <c r="AF14" s="27">
        <f t="shared" si="140"/>
        <v>110.39583333333333</v>
      </c>
      <c r="AG14" s="27">
        <f t="shared" si="140"/>
        <v>110.39583333333333</v>
      </c>
      <c r="AH14" s="27">
        <f t="shared" si="140"/>
        <v>110.39583333333333</v>
      </c>
      <c r="AI14" s="27">
        <f t="shared" si="140"/>
        <v>110.39583333333333</v>
      </c>
      <c r="AJ14" s="27">
        <f t="shared" si="140"/>
        <v>110.39583333333333</v>
      </c>
      <c r="AK14" s="27">
        <f t="shared" si="140"/>
        <v>110.39583333333333</v>
      </c>
      <c r="AL14" s="27">
        <f t="shared" si="140"/>
        <v>110.39583333333333</v>
      </c>
      <c r="AM14" s="27">
        <f t="shared" si="140"/>
        <v>110.39583333333333</v>
      </c>
      <c r="AN14" s="27">
        <f t="shared" si="140"/>
        <v>110.39583333333333</v>
      </c>
      <c r="AO14" s="27">
        <f t="shared" si="140"/>
        <v>110.39583333333333</v>
      </c>
      <c r="AP14" s="27">
        <f t="shared" si="140"/>
        <v>110.39583333333333</v>
      </c>
      <c r="AQ14" s="27">
        <f t="shared" si="140"/>
        <v>110.39583333333333</v>
      </c>
      <c r="AR14" s="27">
        <f t="shared" si="140"/>
        <v>110.39583333333333</v>
      </c>
      <c r="AS14" s="27">
        <f t="shared" si="140"/>
        <v>110.39583333333333</v>
      </c>
      <c r="AT14" s="27">
        <f t="shared" si="140"/>
        <v>110.39583333333333</v>
      </c>
      <c r="AU14" s="27">
        <f t="shared" si="140"/>
        <v>110.39583333333333</v>
      </c>
      <c r="AV14" s="27">
        <f t="shared" si="140"/>
        <v>110.39583333333333</v>
      </c>
      <c r="AW14" s="27">
        <f t="shared" si="140"/>
        <v>110.39583333333333</v>
      </c>
      <c r="AX14" s="27">
        <f t="shared" si="140"/>
        <v>110.39583333333333</v>
      </c>
      <c r="AY14" s="27">
        <f t="shared" si="140"/>
        <v>110.39583333333333</v>
      </c>
      <c r="AZ14" s="60">
        <f t="shared" si="140"/>
        <v>110.39583333333333</v>
      </c>
      <c r="BA14" s="26">
        <f t="shared" si="140"/>
        <v>110.39583333333333</v>
      </c>
      <c r="BB14" s="27">
        <f t="shared" si="140"/>
        <v>110.39583333333333</v>
      </c>
      <c r="BC14" s="27">
        <f t="shared" si="140"/>
        <v>110.39583333333333</v>
      </c>
      <c r="BD14" s="27">
        <f t="shared" si="140"/>
        <v>110.39583333333333</v>
      </c>
      <c r="BE14" s="27">
        <f t="shared" si="140"/>
        <v>110.39583333333333</v>
      </c>
      <c r="BF14" s="27">
        <f t="shared" si="140"/>
        <v>110.39583333333333</v>
      </c>
      <c r="BG14" s="27">
        <f t="shared" si="140"/>
        <v>110.39583333333333</v>
      </c>
      <c r="BH14" s="27">
        <f t="shared" si="140"/>
        <v>110.39583333333333</v>
      </c>
      <c r="BI14" s="27">
        <f t="shared" si="140"/>
        <v>110.39583333333333</v>
      </c>
      <c r="BJ14" s="27">
        <f t="shared" si="140"/>
        <v>110.39583333333333</v>
      </c>
      <c r="BK14" s="27">
        <f t="shared" si="140"/>
        <v>110.39583333333333</v>
      </c>
      <c r="BL14" s="27">
        <f t="shared" si="140"/>
        <v>110.39583333333333</v>
      </c>
      <c r="BM14" s="27">
        <f t="shared" si="140"/>
        <v>110.39583333333333</v>
      </c>
      <c r="BN14" s="27">
        <f t="shared" si="140"/>
        <v>110.39583333333333</v>
      </c>
      <c r="BO14" s="27">
        <f t="shared" si="140"/>
        <v>110.39583333333333</v>
      </c>
      <c r="BP14" s="27">
        <f t="shared" si="140"/>
        <v>110.39583333333333</v>
      </c>
      <c r="BQ14" s="27">
        <f t="shared" si="140"/>
        <v>110.39583333333333</v>
      </c>
      <c r="BR14" s="27">
        <f t="shared" ref="BR14:DT14" si="141">$C$14</f>
        <v>110.39583333333333</v>
      </c>
      <c r="BS14" s="27">
        <f t="shared" si="141"/>
        <v>110.39583333333333</v>
      </c>
      <c r="BT14" s="27">
        <f t="shared" si="141"/>
        <v>110.39583333333333</v>
      </c>
      <c r="BU14" s="27">
        <f t="shared" si="141"/>
        <v>110.39583333333333</v>
      </c>
      <c r="BV14" s="27">
        <f t="shared" si="141"/>
        <v>110.39583333333333</v>
      </c>
      <c r="BW14" s="27">
        <f t="shared" si="141"/>
        <v>110.39583333333333</v>
      </c>
      <c r="BX14" s="60">
        <f t="shared" si="141"/>
        <v>110.39583333333333</v>
      </c>
      <c r="BY14" s="26">
        <f t="shared" si="141"/>
        <v>110.39583333333333</v>
      </c>
      <c r="BZ14" s="27">
        <f t="shared" si="141"/>
        <v>110.39583333333333</v>
      </c>
      <c r="CA14" s="27">
        <f t="shared" si="141"/>
        <v>110.39583333333333</v>
      </c>
      <c r="CB14" s="27">
        <f t="shared" si="141"/>
        <v>110.39583333333333</v>
      </c>
      <c r="CC14" s="27">
        <f t="shared" si="141"/>
        <v>110.39583333333333</v>
      </c>
      <c r="CD14" s="27">
        <f t="shared" si="141"/>
        <v>110.39583333333333</v>
      </c>
      <c r="CE14" s="27">
        <f t="shared" si="141"/>
        <v>110.39583333333333</v>
      </c>
      <c r="CF14" s="27">
        <f t="shared" si="141"/>
        <v>110.39583333333333</v>
      </c>
      <c r="CG14" s="27">
        <f t="shared" si="141"/>
        <v>110.39583333333333</v>
      </c>
      <c r="CH14" s="27">
        <f t="shared" si="141"/>
        <v>110.39583333333333</v>
      </c>
      <c r="CI14" s="27">
        <f t="shared" si="141"/>
        <v>110.39583333333333</v>
      </c>
      <c r="CJ14" s="27">
        <f t="shared" si="141"/>
        <v>110.39583333333333</v>
      </c>
      <c r="CK14" s="27">
        <f t="shared" si="141"/>
        <v>110.39583333333333</v>
      </c>
      <c r="CL14" s="27">
        <f t="shared" si="141"/>
        <v>110.39583333333333</v>
      </c>
      <c r="CM14" s="27">
        <f t="shared" si="141"/>
        <v>110.39583333333333</v>
      </c>
      <c r="CN14" s="27">
        <f t="shared" si="141"/>
        <v>110.39583333333333</v>
      </c>
      <c r="CO14" s="27">
        <f t="shared" si="141"/>
        <v>110.39583333333333</v>
      </c>
      <c r="CP14" s="27">
        <f t="shared" si="141"/>
        <v>110.39583333333333</v>
      </c>
      <c r="CQ14" s="27">
        <f t="shared" si="141"/>
        <v>110.39583333333333</v>
      </c>
      <c r="CR14" s="27">
        <f t="shared" si="141"/>
        <v>110.39583333333333</v>
      </c>
      <c r="CS14" s="27">
        <f t="shared" si="141"/>
        <v>110.39583333333333</v>
      </c>
      <c r="CT14" s="27">
        <f t="shared" si="141"/>
        <v>110.39583333333333</v>
      </c>
      <c r="CU14" s="27">
        <f t="shared" si="141"/>
        <v>110.39583333333333</v>
      </c>
      <c r="CV14" s="60">
        <f t="shared" si="141"/>
        <v>110.39583333333333</v>
      </c>
      <c r="CW14" s="26">
        <f t="shared" si="141"/>
        <v>110.39583333333333</v>
      </c>
      <c r="CX14" s="27">
        <f t="shared" si="141"/>
        <v>110.39583333333333</v>
      </c>
      <c r="CY14" s="27">
        <f t="shared" si="141"/>
        <v>110.39583333333333</v>
      </c>
      <c r="CZ14" s="27">
        <f t="shared" si="141"/>
        <v>110.39583333333333</v>
      </c>
      <c r="DA14" s="27">
        <f t="shared" si="141"/>
        <v>110.39583333333333</v>
      </c>
      <c r="DB14" s="27">
        <f t="shared" si="141"/>
        <v>110.39583333333333</v>
      </c>
      <c r="DC14" s="27">
        <f t="shared" si="141"/>
        <v>110.39583333333333</v>
      </c>
      <c r="DD14" s="27">
        <f t="shared" si="141"/>
        <v>110.39583333333333</v>
      </c>
      <c r="DE14" s="27">
        <f t="shared" si="141"/>
        <v>110.39583333333333</v>
      </c>
      <c r="DF14" s="27">
        <f t="shared" si="141"/>
        <v>110.39583333333333</v>
      </c>
      <c r="DG14" s="27">
        <f t="shared" si="141"/>
        <v>110.39583333333333</v>
      </c>
      <c r="DH14" s="27">
        <f t="shared" si="141"/>
        <v>110.39583333333333</v>
      </c>
      <c r="DI14" s="27">
        <f t="shared" si="141"/>
        <v>110.39583333333333</v>
      </c>
      <c r="DJ14" s="27">
        <f t="shared" si="141"/>
        <v>110.39583333333333</v>
      </c>
      <c r="DK14" s="27">
        <f t="shared" si="141"/>
        <v>110.39583333333333</v>
      </c>
      <c r="DL14" s="27">
        <f t="shared" si="141"/>
        <v>110.39583333333333</v>
      </c>
      <c r="DM14" s="27">
        <f t="shared" si="141"/>
        <v>110.39583333333333</v>
      </c>
      <c r="DN14" s="27">
        <f t="shared" si="141"/>
        <v>110.39583333333333</v>
      </c>
      <c r="DO14" s="27">
        <f t="shared" si="141"/>
        <v>110.39583333333333</v>
      </c>
      <c r="DP14" s="27">
        <f t="shared" si="141"/>
        <v>110.39583333333333</v>
      </c>
      <c r="DQ14" s="27">
        <f t="shared" si="141"/>
        <v>110.39583333333333</v>
      </c>
      <c r="DR14" s="27">
        <f t="shared" si="141"/>
        <v>110.39583333333333</v>
      </c>
      <c r="DS14" s="27">
        <f t="shared" si="141"/>
        <v>110.39583333333333</v>
      </c>
      <c r="DT14" s="27">
        <f t="shared" si="141"/>
        <v>110.39583333333333</v>
      </c>
    </row>
    <row r="15" spans="2:124" s="12" customFormat="1" x14ac:dyDescent="0.2">
      <c r="B15" s="28" t="s">
        <v>14</v>
      </c>
      <c r="C15" s="75"/>
      <c r="D15" s="144">
        <f>IF(D41="T",-54*0.9,-54*2)</f>
        <v>-48.6</v>
      </c>
      <c r="E15" s="29">
        <f>IF(E41="T",-54*0.9,-54*2)</f>
        <v>-48.6</v>
      </c>
      <c r="F15" s="12">
        <f t="shared" ref="F15:BQ15" si="142">IF(F41="T",-54*0.9,-54*2)</f>
        <v>-48.6</v>
      </c>
      <c r="G15" s="12">
        <f t="shared" si="142"/>
        <v>-48.6</v>
      </c>
      <c r="H15" s="12">
        <f t="shared" si="142"/>
        <v>-108</v>
      </c>
      <c r="I15" s="12">
        <f t="shared" si="142"/>
        <v>-108</v>
      </c>
      <c r="J15" s="12">
        <f t="shared" si="142"/>
        <v>-108</v>
      </c>
      <c r="K15" s="12">
        <f t="shared" si="142"/>
        <v>-108</v>
      </c>
      <c r="L15" s="12">
        <f t="shared" si="142"/>
        <v>-108</v>
      </c>
      <c r="M15" s="12">
        <f t="shared" si="142"/>
        <v>-108</v>
      </c>
      <c r="N15" s="12">
        <f t="shared" si="142"/>
        <v>-108</v>
      </c>
      <c r="O15" s="12">
        <f t="shared" si="142"/>
        <v>-108</v>
      </c>
      <c r="P15" s="12">
        <f t="shared" si="142"/>
        <v>-108</v>
      </c>
      <c r="Q15" s="12">
        <f t="shared" si="142"/>
        <v>-108</v>
      </c>
      <c r="R15" s="12">
        <f t="shared" si="142"/>
        <v>-108</v>
      </c>
      <c r="S15" s="12">
        <f t="shared" si="142"/>
        <v>-108</v>
      </c>
      <c r="T15" s="12">
        <f t="shared" si="142"/>
        <v>-108</v>
      </c>
      <c r="U15" s="12">
        <f t="shared" si="142"/>
        <v>-108</v>
      </c>
      <c r="V15" s="12">
        <f t="shared" si="142"/>
        <v>-108</v>
      </c>
      <c r="W15" s="12">
        <f t="shared" si="142"/>
        <v>-108</v>
      </c>
      <c r="X15" s="12">
        <f t="shared" si="142"/>
        <v>-108</v>
      </c>
      <c r="Y15" s="12">
        <f t="shared" si="142"/>
        <v>-108</v>
      </c>
      <c r="Z15" s="12">
        <f t="shared" si="142"/>
        <v>-48.6</v>
      </c>
      <c r="AA15" s="12">
        <f t="shared" si="142"/>
        <v>-48.6</v>
      </c>
      <c r="AB15" s="61">
        <f t="shared" si="142"/>
        <v>-48.6</v>
      </c>
      <c r="AC15" s="12">
        <f t="shared" si="142"/>
        <v>-48.6</v>
      </c>
      <c r="AD15" s="12">
        <f t="shared" si="142"/>
        <v>-48.6</v>
      </c>
      <c r="AE15" s="12">
        <f t="shared" si="142"/>
        <v>-48.6</v>
      </c>
      <c r="AF15" s="12">
        <f t="shared" si="142"/>
        <v>-48.6</v>
      </c>
      <c r="AG15" s="12">
        <f t="shared" si="142"/>
        <v>-48.6</v>
      </c>
      <c r="AH15" s="12">
        <f t="shared" si="142"/>
        <v>-48.6</v>
      </c>
      <c r="AI15" s="12">
        <f t="shared" si="142"/>
        <v>-48.6</v>
      </c>
      <c r="AJ15" s="12">
        <f t="shared" si="142"/>
        <v>-48.6</v>
      </c>
      <c r="AK15" s="12">
        <f t="shared" si="142"/>
        <v>-48.6</v>
      </c>
      <c r="AL15" s="12">
        <f t="shared" si="142"/>
        <v>-48.6</v>
      </c>
      <c r="AM15" s="12">
        <f t="shared" si="142"/>
        <v>-48.6</v>
      </c>
      <c r="AN15" s="12">
        <f t="shared" si="142"/>
        <v>-48.6</v>
      </c>
      <c r="AO15" s="12">
        <f t="shared" si="142"/>
        <v>-48.6</v>
      </c>
      <c r="AP15" s="12">
        <f t="shared" si="142"/>
        <v>-48.6</v>
      </c>
      <c r="AQ15" s="12">
        <f t="shared" si="142"/>
        <v>-48.6</v>
      </c>
      <c r="AR15" s="12">
        <f t="shared" si="142"/>
        <v>-48.6</v>
      </c>
      <c r="AS15" s="12">
        <f t="shared" si="142"/>
        <v>-48.6</v>
      </c>
      <c r="AT15" s="12">
        <f t="shared" si="142"/>
        <v>-48.6</v>
      </c>
      <c r="AU15" s="12">
        <f t="shared" si="142"/>
        <v>-48.6</v>
      </c>
      <c r="AV15" s="12">
        <f t="shared" si="142"/>
        <v>-48.6</v>
      </c>
      <c r="AW15" s="12">
        <f t="shared" si="142"/>
        <v>-48.6</v>
      </c>
      <c r="AX15" s="12">
        <f t="shared" si="142"/>
        <v>-48.6</v>
      </c>
      <c r="AY15" s="12">
        <f t="shared" si="142"/>
        <v>-48.6</v>
      </c>
      <c r="AZ15" s="61">
        <f t="shared" si="142"/>
        <v>-48.6</v>
      </c>
      <c r="BA15" s="12">
        <f t="shared" si="142"/>
        <v>-48.6</v>
      </c>
      <c r="BB15" s="12">
        <f t="shared" si="142"/>
        <v>-48.6</v>
      </c>
      <c r="BC15" s="12">
        <f t="shared" si="142"/>
        <v>-48.6</v>
      </c>
      <c r="BD15" s="12">
        <f t="shared" si="142"/>
        <v>-108</v>
      </c>
      <c r="BE15" s="12">
        <f t="shared" si="142"/>
        <v>-108</v>
      </c>
      <c r="BF15" s="12">
        <f t="shared" si="142"/>
        <v>-108</v>
      </c>
      <c r="BG15" s="12">
        <f t="shared" si="142"/>
        <v>-108</v>
      </c>
      <c r="BH15" s="12">
        <f t="shared" si="142"/>
        <v>-108</v>
      </c>
      <c r="BI15" s="12">
        <f t="shared" si="142"/>
        <v>-108</v>
      </c>
      <c r="BJ15" s="12">
        <f t="shared" si="142"/>
        <v>-108</v>
      </c>
      <c r="BK15" s="12">
        <f t="shared" si="142"/>
        <v>-108</v>
      </c>
      <c r="BL15" s="12">
        <f t="shared" si="142"/>
        <v>-108</v>
      </c>
      <c r="BM15" s="12">
        <f t="shared" si="142"/>
        <v>-108</v>
      </c>
      <c r="BN15" s="12">
        <f t="shared" si="142"/>
        <v>-108</v>
      </c>
      <c r="BO15" s="12">
        <f t="shared" si="142"/>
        <v>-108</v>
      </c>
      <c r="BP15" s="12">
        <f t="shared" si="142"/>
        <v>-108</v>
      </c>
      <c r="BQ15" s="12">
        <f t="shared" si="142"/>
        <v>-108</v>
      </c>
      <c r="BR15" s="12">
        <f t="shared" ref="BR15:DT15" si="143">IF(BR41="T",-54*0.9,-54*2)</f>
        <v>-108</v>
      </c>
      <c r="BS15" s="12">
        <f t="shared" si="143"/>
        <v>-108</v>
      </c>
      <c r="BT15" s="12">
        <f t="shared" si="143"/>
        <v>-108</v>
      </c>
      <c r="BU15" s="12">
        <f t="shared" si="143"/>
        <v>-108</v>
      </c>
      <c r="BV15" s="12">
        <f t="shared" si="143"/>
        <v>-48.6</v>
      </c>
      <c r="BW15" s="12">
        <f t="shared" si="143"/>
        <v>-48.6</v>
      </c>
      <c r="BX15" s="61">
        <f t="shared" si="143"/>
        <v>-48.6</v>
      </c>
      <c r="BY15" s="12">
        <f t="shared" si="143"/>
        <v>-48.6</v>
      </c>
      <c r="BZ15" s="12">
        <f t="shared" si="143"/>
        <v>-48.6</v>
      </c>
      <c r="CA15" s="12">
        <f t="shared" si="143"/>
        <v>-48.6</v>
      </c>
      <c r="CB15" s="12">
        <f t="shared" si="143"/>
        <v>-108</v>
      </c>
      <c r="CC15" s="12">
        <f t="shared" si="143"/>
        <v>-108</v>
      </c>
      <c r="CD15" s="12">
        <f t="shared" si="143"/>
        <v>-108</v>
      </c>
      <c r="CE15" s="12">
        <f t="shared" si="143"/>
        <v>-108</v>
      </c>
      <c r="CF15" s="12">
        <f t="shared" si="143"/>
        <v>-108</v>
      </c>
      <c r="CG15" s="12">
        <f t="shared" si="143"/>
        <v>-108</v>
      </c>
      <c r="CH15" s="12">
        <f t="shared" si="143"/>
        <v>-108</v>
      </c>
      <c r="CI15" s="12">
        <f t="shared" si="143"/>
        <v>-108</v>
      </c>
      <c r="CJ15" s="12">
        <f t="shared" si="143"/>
        <v>-108</v>
      </c>
      <c r="CK15" s="12">
        <f t="shared" si="143"/>
        <v>-108</v>
      </c>
      <c r="CL15" s="12">
        <f t="shared" si="143"/>
        <v>-108</v>
      </c>
      <c r="CM15" s="12">
        <f t="shared" si="143"/>
        <v>-108</v>
      </c>
      <c r="CN15" s="12">
        <f t="shared" si="143"/>
        <v>-108</v>
      </c>
      <c r="CO15" s="12">
        <f t="shared" si="143"/>
        <v>-108</v>
      </c>
      <c r="CP15" s="12">
        <f t="shared" si="143"/>
        <v>-108</v>
      </c>
      <c r="CQ15" s="12">
        <f t="shared" si="143"/>
        <v>-108</v>
      </c>
      <c r="CR15" s="12">
        <f t="shared" si="143"/>
        <v>-108</v>
      </c>
      <c r="CS15" s="12">
        <f t="shared" si="143"/>
        <v>-48.6</v>
      </c>
      <c r="CT15" s="12">
        <f t="shared" si="143"/>
        <v>-48.6</v>
      </c>
      <c r="CU15" s="12">
        <f t="shared" si="143"/>
        <v>-48.6</v>
      </c>
      <c r="CV15" s="61">
        <f t="shared" si="143"/>
        <v>-48.6</v>
      </c>
      <c r="CW15" s="12">
        <f t="shared" si="143"/>
        <v>-48.6</v>
      </c>
      <c r="CX15" s="12">
        <f t="shared" si="143"/>
        <v>-48.6</v>
      </c>
      <c r="CY15" s="12">
        <f t="shared" si="143"/>
        <v>-48.6</v>
      </c>
      <c r="CZ15" s="12">
        <f t="shared" si="143"/>
        <v>-108</v>
      </c>
      <c r="DA15" s="12">
        <f t="shared" si="143"/>
        <v>-108</v>
      </c>
      <c r="DB15" s="12">
        <f t="shared" si="143"/>
        <v>-108</v>
      </c>
      <c r="DC15" s="12">
        <f t="shared" si="143"/>
        <v>-108</v>
      </c>
      <c r="DD15" s="12">
        <f t="shared" si="143"/>
        <v>-108</v>
      </c>
      <c r="DE15" s="12">
        <f t="shared" si="143"/>
        <v>-108</v>
      </c>
      <c r="DF15" s="12">
        <f t="shared" si="143"/>
        <v>-108</v>
      </c>
      <c r="DG15" s="12">
        <f t="shared" si="143"/>
        <v>-108</v>
      </c>
      <c r="DH15" s="12">
        <f t="shared" si="143"/>
        <v>-108</v>
      </c>
      <c r="DI15" s="12">
        <f t="shared" si="143"/>
        <v>-108</v>
      </c>
      <c r="DJ15" s="12">
        <f t="shared" si="143"/>
        <v>-108</v>
      </c>
      <c r="DK15" s="12">
        <f t="shared" si="143"/>
        <v>-108</v>
      </c>
      <c r="DL15" s="12">
        <f t="shared" si="143"/>
        <v>-108</v>
      </c>
      <c r="DM15" s="12">
        <f t="shared" si="143"/>
        <v>-108</v>
      </c>
      <c r="DN15" s="12">
        <f t="shared" si="143"/>
        <v>-108</v>
      </c>
      <c r="DO15" s="12">
        <f t="shared" si="143"/>
        <v>-108</v>
      </c>
      <c r="DP15" s="12">
        <f t="shared" si="143"/>
        <v>-108</v>
      </c>
      <c r="DQ15" s="12">
        <f t="shared" si="143"/>
        <v>-48.6</v>
      </c>
      <c r="DR15" s="12">
        <f t="shared" si="143"/>
        <v>-48.6</v>
      </c>
      <c r="DS15" s="12">
        <f t="shared" si="143"/>
        <v>-48.6</v>
      </c>
      <c r="DT15" s="12">
        <f t="shared" si="143"/>
        <v>-48.6</v>
      </c>
    </row>
    <row r="16" spans="2:124" x14ac:dyDescent="0.2">
      <c r="B16" s="3" t="s">
        <v>15</v>
      </c>
      <c r="D16" s="145">
        <v>1</v>
      </c>
      <c r="E16" s="30">
        <v>1.06</v>
      </c>
      <c r="F16" s="31">
        <v>1.06</v>
      </c>
      <c r="G16" s="31">
        <v>1.06</v>
      </c>
      <c r="H16" s="31">
        <v>1.06</v>
      </c>
      <c r="I16" s="31">
        <v>1.06</v>
      </c>
      <c r="J16" s="31">
        <v>1.06</v>
      </c>
      <c r="K16" s="31">
        <v>1.06</v>
      </c>
      <c r="L16" s="31">
        <v>1.06</v>
      </c>
      <c r="M16" s="31">
        <v>1.06</v>
      </c>
      <c r="N16" s="31">
        <v>1.06</v>
      </c>
      <c r="O16" s="31">
        <v>1.06</v>
      </c>
      <c r="P16" s="31">
        <v>1.06</v>
      </c>
      <c r="Q16" s="31">
        <v>1.06</v>
      </c>
      <c r="R16" s="31">
        <v>1.06</v>
      </c>
      <c r="S16" s="31">
        <v>1.06</v>
      </c>
      <c r="T16" s="31">
        <v>1.06</v>
      </c>
      <c r="U16" s="31">
        <v>1.06</v>
      </c>
      <c r="V16" s="31">
        <v>1.06</v>
      </c>
      <c r="W16" s="31">
        <v>1.06</v>
      </c>
      <c r="X16" s="31">
        <v>1.06</v>
      </c>
      <c r="Y16" s="31">
        <v>1.06</v>
      </c>
      <c r="Z16" s="31">
        <v>1.06</v>
      </c>
      <c r="AA16" s="31">
        <v>1.06</v>
      </c>
      <c r="AB16" s="62">
        <v>1.06</v>
      </c>
      <c r="AC16" s="30">
        <v>1.06</v>
      </c>
      <c r="AD16" s="31">
        <v>1.06</v>
      </c>
      <c r="AE16" s="31">
        <v>1.06</v>
      </c>
      <c r="AF16" s="31">
        <v>1.06</v>
      </c>
      <c r="AG16" s="31">
        <v>1.06</v>
      </c>
      <c r="AH16" s="31">
        <v>1.06</v>
      </c>
      <c r="AI16" s="31">
        <v>1.06</v>
      </c>
      <c r="AJ16" s="31">
        <v>1.06</v>
      </c>
      <c r="AK16" s="31">
        <v>1.06</v>
      </c>
      <c r="AL16" s="31">
        <v>1.06</v>
      </c>
      <c r="AM16" s="31">
        <v>1.06</v>
      </c>
      <c r="AN16" s="31">
        <v>1.06</v>
      </c>
      <c r="AO16" s="31">
        <v>1.06</v>
      </c>
      <c r="AP16" s="31">
        <v>1.06</v>
      </c>
      <c r="AQ16" s="31">
        <v>1.06</v>
      </c>
      <c r="AR16" s="31">
        <v>1.06</v>
      </c>
      <c r="AS16" s="31">
        <v>1.06</v>
      </c>
      <c r="AT16" s="31">
        <v>1.06</v>
      </c>
      <c r="AU16" s="31">
        <v>1.06</v>
      </c>
      <c r="AV16" s="31">
        <v>1.06</v>
      </c>
      <c r="AW16" s="31">
        <v>1.06</v>
      </c>
      <c r="AX16" s="31">
        <v>1.06</v>
      </c>
      <c r="AY16" s="31">
        <v>1.06</v>
      </c>
      <c r="AZ16" s="62">
        <v>1.06</v>
      </c>
      <c r="BA16" s="30">
        <v>1.06</v>
      </c>
      <c r="BB16" s="31">
        <v>1.06</v>
      </c>
      <c r="BC16" s="31">
        <v>1.06</v>
      </c>
      <c r="BD16" s="31">
        <v>1.06</v>
      </c>
      <c r="BE16" s="31">
        <v>1.06</v>
      </c>
      <c r="BF16" s="31">
        <v>1.06</v>
      </c>
      <c r="BG16" s="31">
        <v>1.06</v>
      </c>
      <c r="BH16" s="31">
        <v>1.06</v>
      </c>
      <c r="BI16" s="31">
        <v>1.06</v>
      </c>
      <c r="BJ16" s="31">
        <v>1.06</v>
      </c>
      <c r="BK16" s="31">
        <v>1.06</v>
      </c>
      <c r="BL16" s="31">
        <v>1.06</v>
      </c>
      <c r="BM16" s="31">
        <v>1.06</v>
      </c>
      <c r="BN16" s="31">
        <v>1.06</v>
      </c>
      <c r="BO16" s="31">
        <v>1.06</v>
      </c>
      <c r="BP16" s="31">
        <v>1.06</v>
      </c>
      <c r="BQ16" s="31">
        <v>1.06</v>
      </c>
      <c r="BR16" s="31">
        <v>1.06</v>
      </c>
      <c r="BS16" s="31">
        <v>1.06</v>
      </c>
      <c r="BT16" s="31">
        <v>1.06</v>
      </c>
      <c r="BU16" s="31">
        <v>1.06</v>
      </c>
      <c r="BV16" s="31">
        <v>1.06</v>
      </c>
      <c r="BW16" s="31">
        <v>1.06</v>
      </c>
      <c r="BX16" s="62">
        <v>1.06</v>
      </c>
      <c r="BY16" s="30">
        <v>1.06</v>
      </c>
      <c r="BZ16" s="31">
        <v>1.06</v>
      </c>
      <c r="CA16" s="31">
        <v>1.06</v>
      </c>
      <c r="CB16" s="31">
        <v>1.06</v>
      </c>
      <c r="CC16" s="31">
        <v>1.06</v>
      </c>
      <c r="CD16" s="31">
        <v>1.06</v>
      </c>
      <c r="CE16" s="31">
        <v>1.06</v>
      </c>
      <c r="CF16" s="31">
        <v>1.06</v>
      </c>
      <c r="CG16" s="31">
        <v>1.06</v>
      </c>
      <c r="CH16" s="31">
        <v>1.06</v>
      </c>
      <c r="CI16" s="31">
        <v>1.06</v>
      </c>
      <c r="CJ16" s="31">
        <v>1.06</v>
      </c>
      <c r="CK16" s="31">
        <v>1.06</v>
      </c>
      <c r="CL16" s="31">
        <v>1.06</v>
      </c>
      <c r="CM16" s="31">
        <v>1.06</v>
      </c>
      <c r="CN16" s="31">
        <v>1.06</v>
      </c>
      <c r="CO16" s="31">
        <v>1.06</v>
      </c>
      <c r="CP16" s="31">
        <v>1.06</v>
      </c>
      <c r="CQ16" s="31">
        <v>1.06</v>
      </c>
      <c r="CR16" s="31">
        <v>1.06</v>
      </c>
      <c r="CS16" s="31">
        <v>1.06</v>
      </c>
      <c r="CT16" s="31">
        <v>1.06</v>
      </c>
      <c r="CU16" s="31">
        <v>1.06</v>
      </c>
      <c r="CV16" s="62">
        <v>1.06</v>
      </c>
      <c r="CW16" s="30">
        <v>1.06</v>
      </c>
      <c r="CX16" s="31">
        <v>1.06</v>
      </c>
      <c r="CY16" s="31">
        <v>1.06</v>
      </c>
      <c r="CZ16" s="31">
        <v>1.06</v>
      </c>
      <c r="DA16" s="31">
        <v>1.06</v>
      </c>
      <c r="DB16" s="31">
        <v>1.06</v>
      </c>
      <c r="DC16" s="31">
        <v>1.06</v>
      </c>
      <c r="DD16" s="31">
        <v>1.06</v>
      </c>
      <c r="DE16" s="31">
        <v>1.06</v>
      </c>
      <c r="DF16" s="31">
        <v>1.06</v>
      </c>
      <c r="DG16" s="31">
        <v>1.06</v>
      </c>
      <c r="DH16" s="31">
        <v>1.06</v>
      </c>
      <c r="DI16" s="31">
        <v>1.06</v>
      </c>
      <c r="DJ16" s="31">
        <v>1.06</v>
      </c>
      <c r="DK16" s="31">
        <v>1.06</v>
      </c>
      <c r="DL16" s="31">
        <v>1.06</v>
      </c>
      <c r="DM16" s="31">
        <v>1.06</v>
      </c>
      <c r="DN16" s="31">
        <v>1.06</v>
      </c>
      <c r="DO16" s="31">
        <v>1.06</v>
      </c>
      <c r="DP16" s="31">
        <v>1.06</v>
      </c>
      <c r="DQ16" s="31">
        <v>1.06</v>
      </c>
      <c r="DR16" s="31">
        <v>1.06</v>
      </c>
      <c r="DS16" s="31">
        <v>1.06</v>
      </c>
      <c r="DT16" s="31">
        <v>1.06</v>
      </c>
    </row>
    <row r="17" spans="2:124" x14ac:dyDescent="0.2">
      <c r="B17" s="3" t="s">
        <v>16</v>
      </c>
      <c r="D17" s="145">
        <f>D13-(D14*D16)+D15</f>
        <v>1607.3241666666668</v>
      </c>
      <c r="E17" s="30">
        <f>E13-(E14*E16)+E15</f>
        <v>1485.8625833333335</v>
      </c>
      <c r="F17" s="31">
        <f t="shared" ref="F17:BQ17" si="144">F13-(F14*F16)+F15</f>
        <v>2357.9568333333336</v>
      </c>
      <c r="G17" s="31">
        <f t="shared" si="144"/>
        <v>2346.8910833333339</v>
      </c>
      <c r="H17" s="31">
        <f t="shared" si="144"/>
        <v>2276.425333333334</v>
      </c>
      <c r="I17" s="31">
        <f t="shared" si="144"/>
        <v>2205.9595833333342</v>
      </c>
      <c r="J17" s="31">
        <f t="shared" si="144"/>
        <v>2135.4938333333344</v>
      </c>
      <c r="K17" s="31">
        <f t="shared" si="144"/>
        <v>2065.0280833333345</v>
      </c>
      <c r="L17" s="31">
        <f t="shared" si="144"/>
        <v>1994.5623333333347</v>
      </c>
      <c r="M17" s="31">
        <f t="shared" si="144"/>
        <v>1926.2232583333348</v>
      </c>
      <c r="N17" s="31">
        <f t="shared" si="144"/>
        <v>2470.7650916666666</v>
      </c>
      <c r="O17" s="31">
        <f t="shared" si="144"/>
        <v>2402.4260166666668</v>
      </c>
      <c r="P17" s="31">
        <f t="shared" si="144"/>
        <v>2334.0869416666669</v>
      </c>
      <c r="Q17" s="31">
        <f t="shared" si="144"/>
        <v>2266.3050066666669</v>
      </c>
      <c r="R17" s="31">
        <f t="shared" si="144"/>
        <v>-178.17776833333335</v>
      </c>
      <c r="S17" s="31">
        <f t="shared" si="144"/>
        <v>-178.17776833333335</v>
      </c>
      <c r="T17" s="31">
        <f t="shared" si="144"/>
        <v>-178.17776833333335</v>
      </c>
      <c r="U17" s="31">
        <f t="shared" si="144"/>
        <v>-178.17776833333335</v>
      </c>
      <c r="V17" s="31">
        <f t="shared" si="144"/>
        <v>-178.17776833333335</v>
      </c>
      <c r="W17" s="31">
        <f t="shared" si="144"/>
        <v>-150.94337783333327</v>
      </c>
      <c r="X17" s="31">
        <f t="shared" si="144"/>
        <v>-150.94337783333327</v>
      </c>
      <c r="Y17" s="31">
        <f t="shared" si="144"/>
        <v>-150.94337783333327</v>
      </c>
      <c r="Z17" s="31">
        <f t="shared" si="144"/>
        <v>-91.543377833333295</v>
      </c>
      <c r="AA17" s="31">
        <f t="shared" si="144"/>
        <v>-91.543377833333295</v>
      </c>
      <c r="AB17" s="62">
        <f t="shared" si="144"/>
        <v>-91.543377833333295</v>
      </c>
      <c r="AC17" s="30">
        <f t="shared" si="144"/>
        <v>-72.690922333333248</v>
      </c>
      <c r="AD17" s="31">
        <f t="shared" si="144"/>
        <v>-53.838466833333207</v>
      </c>
      <c r="AE17" s="31">
        <f t="shared" si="144"/>
        <v>-34.986011333333174</v>
      </c>
      <c r="AF17" s="31">
        <f t="shared" si="144"/>
        <v>-16.133555833333126</v>
      </c>
      <c r="AG17" s="31">
        <f t="shared" si="144"/>
        <v>2.7188996666669212</v>
      </c>
      <c r="AH17" s="31">
        <f t="shared" si="144"/>
        <v>21.571355166666969</v>
      </c>
      <c r="AI17" s="31">
        <f t="shared" si="144"/>
        <v>40.423810666667016</v>
      </c>
      <c r="AJ17" s="31">
        <f t="shared" si="144"/>
        <v>59.276266166667064</v>
      </c>
      <c r="AK17" s="31">
        <f t="shared" si="144"/>
        <v>78.128721666667104</v>
      </c>
      <c r="AL17" s="31">
        <f t="shared" si="144"/>
        <v>96.981177166667095</v>
      </c>
      <c r="AM17" s="31">
        <f t="shared" si="144"/>
        <v>115.83363266666711</v>
      </c>
      <c r="AN17" s="31">
        <f t="shared" si="144"/>
        <v>134.68608816666713</v>
      </c>
      <c r="AO17" s="31">
        <f t="shared" si="144"/>
        <v>153.53854366666715</v>
      </c>
      <c r="AP17" s="31">
        <f t="shared" si="144"/>
        <v>172.39099916666717</v>
      </c>
      <c r="AQ17" s="31">
        <f t="shared" si="144"/>
        <v>191.24345466666719</v>
      </c>
      <c r="AR17" s="31">
        <f t="shared" si="144"/>
        <v>210.09591016666721</v>
      </c>
      <c r="AS17" s="31">
        <f t="shared" si="144"/>
        <v>228.94836566666723</v>
      </c>
      <c r="AT17" s="31">
        <f t="shared" si="144"/>
        <v>247.80082116666725</v>
      </c>
      <c r="AU17" s="31">
        <f t="shared" si="144"/>
        <v>266.65327666666724</v>
      </c>
      <c r="AV17" s="31">
        <f t="shared" si="144"/>
        <v>285.50573216666726</v>
      </c>
      <c r="AW17" s="31">
        <f t="shared" si="144"/>
        <v>304.35818766666728</v>
      </c>
      <c r="AX17" s="31">
        <f t="shared" si="144"/>
        <v>323.2106431666673</v>
      </c>
      <c r="AY17" s="31">
        <f t="shared" si="144"/>
        <v>342.06309866666732</v>
      </c>
      <c r="AZ17" s="62">
        <f t="shared" si="144"/>
        <v>360.91555416666733</v>
      </c>
      <c r="BA17" s="30">
        <f t="shared" si="144"/>
        <v>379.76800966666735</v>
      </c>
      <c r="BB17" s="31">
        <f t="shared" si="144"/>
        <v>398.62046516666737</v>
      </c>
      <c r="BC17" s="31">
        <f t="shared" si="144"/>
        <v>417.47292066666739</v>
      </c>
      <c r="BD17" s="31">
        <f t="shared" si="144"/>
        <v>376.92537616666743</v>
      </c>
      <c r="BE17" s="31">
        <f t="shared" si="144"/>
        <v>336.37783166666748</v>
      </c>
      <c r="BF17" s="31">
        <f t="shared" si="144"/>
        <v>295.83028716666752</v>
      </c>
      <c r="BG17" s="31">
        <f t="shared" si="144"/>
        <v>447.73561726666742</v>
      </c>
      <c r="BH17" s="31">
        <f t="shared" si="144"/>
        <v>2691.0094967666669</v>
      </c>
      <c r="BI17" s="31">
        <f t="shared" si="144"/>
        <v>2691.0094967666669</v>
      </c>
      <c r="BJ17" s="31">
        <f t="shared" si="144"/>
        <v>2691.0094967666669</v>
      </c>
      <c r="BK17" s="31">
        <f t="shared" si="144"/>
        <v>2691.0094967666669</v>
      </c>
      <c r="BL17" s="31">
        <f t="shared" si="144"/>
        <v>2691.0094967666669</v>
      </c>
      <c r="BM17" s="31">
        <f t="shared" si="144"/>
        <v>2691.0094967666669</v>
      </c>
      <c r="BN17" s="31">
        <f t="shared" si="144"/>
        <v>2691.0094967666669</v>
      </c>
      <c r="BO17" s="31">
        <f t="shared" si="144"/>
        <v>2691.0094967666669</v>
      </c>
      <c r="BP17" s="31">
        <f t="shared" si="144"/>
        <v>2691.0094967666669</v>
      </c>
      <c r="BQ17" s="31">
        <f t="shared" si="144"/>
        <v>2691.0094967666669</v>
      </c>
      <c r="BR17" s="31">
        <f t="shared" ref="BR17:DT17" si="145">BR13-(BR14*BR16)+BR15</f>
        <v>2691.0094967666669</v>
      </c>
      <c r="BS17" s="31">
        <f t="shared" si="145"/>
        <v>2691.0094967666669</v>
      </c>
      <c r="BT17" s="31">
        <f t="shared" si="145"/>
        <v>2691.0094967666669</v>
      </c>
      <c r="BU17" s="31">
        <f t="shared" si="145"/>
        <v>2691.0094967666669</v>
      </c>
      <c r="BV17" s="31">
        <f t="shared" si="145"/>
        <v>2750.409496766667</v>
      </c>
      <c r="BW17" s="31">
        <f t="shared" si="145"/>
        <v>2750.409496766667</v>
      </c>
      <c r="BX17" s="62">
        <f t="shared" si="145"/>
        <v>2750.409496766667</v>
      </c>
      <c r="BY17" s="30">
        <f t="shared" si="145"/>
        <v>2750.409496766667</v>
      </c>
      <c r="BZ17" s="31">
        <f t="shared" si="145"/>
        <v>2750.409496766667</v>
      </c>
      <c r="CA17" s="31">
        <f t="shared" si="145"/>
        <v>2750.409496766667</v>
      </c>
      <c r="CB17" s="31">
        <f t="shared" si="145"/>
        <v>2691.0094967666669</v>
      </c>
      <c r="CC17" s="31">
        <f t="shared" si="145"/>
        <v>2691.0094967666669</v>
      </c>
      <c r="CD17" s="31">
        <f t="shared" si="145"/>
        <v>2691.0094967666669</v>
      </c>
      <c r="CE17" s="31">
        <f t="shared" si="145"/>
        <v>2691.0094967666669</v>
      </c>
      <c r="CF17" s="31">
        <f t="shared" si="145"/>
        <v>2691.0094967666669</v>
      </c>
      <c r="CG17" s="31">
        <f t="shared" si="145"/>
        <v>2691.0094967666669</v>
      </c>
      <c r="CH17" s="31">
        <f t="shared" si="145"/>
        <v>2691.0094967666669</v>
      </c>
      <c r="CI17" s="31">
        <f t="shared" si="145"/>
        <v>2691.0094967666669</v>
      </c>
      <c r="CJ17" s="31">
        <f t="shared" si="145"/>
        <v>2691.0094967666669</v>
      </c>
      <c r="CK17" s="31">
        <f t="shared" si="145"/>
        <v>2691.0094967666669</v>
      </c>
      <c r="CL17" s="31">
        <f t="shared" si="145"/>
        <v>2691.0094967666669</v>
      </c>
      <c r="CM17" s="31">
        <f t="shared" si="145"/>
        <v>2691.0094967666669</v>
      </c>
      <c r="CN17" s="31">
        <f t="shared" si="145"/>
        <v>2691.0094967666669</v>
      </c>
      <c r="CO17" s="31">
        <f t="shared" si="145"/>
        <v>2691.0094967666669</v>
      </c>
      <c r="CP17" s="31">
        <f t="shared" si="145"/>
        <v>2691.0094967666669</v>
      </c>
      <c r="CQ17" s="31">
        <f t="shared" si="145"/>
        <v>2691.0094967666669</v>
      </c>
      <c r="CR17" s="31">
        <f t="shared" si="145"/>
        <v>2691.0094967666669</v>
      </c>
      <c r="CS17" s="31">
        <f t="shared" si="145"/>
        <v>2750.409496766667</v>
      </c>
      <c r="CT17" s="31">
        <f t="shared" si="145"/>
        <v>2750.409496766667</v>
      </c>
      <c r="CU17" s="31">
        <f t="shared" si="145"/>
        <v>2750.409496766667</v>
      </c>
      <c r="CV17" s="62">
        <f t="shared" si="145"/>
        <v>2750.409496766667</v>
      </c>
      <c r="CW17" s="30">
        <f t="shared" si="145"/>
        <v>2750.409496766667</v>
      </c>
      <c r="CX17" s="31">
        <f t="shared" si="145"/>
        <v>2750.409496766667</v>
      </c>
      <c r="CY17" s="31">
        <f t="shared" si="145"/>
        <v>2750.409496766667</v>
      </c>
      <c r="CZ17" s="31">
        <f t="shared" si="145"/>
        <v>2691.0094967666669</v>
      </c>
      <c r="DA17" s="31">
        <f t="shared" si="145"/>
        <v>2691.0094967666669</v>
      </c>
      <c r="DB17" s="31">
        <f t="shared" si="145"/>
        <v>2691.0094967666669</v>
      </c>
      <c r="DC17" s="31">
        <f t="shared" si="145"/>
        <v>2691.0094967666669</v>
      </c>
      <c r="DD17" s="31">
        <f t="shared" si="145"/>
        <v>2691.0094967666669</v>
      </c>
      <c r="DE17" s="31">
        <f t="shared" si="145"/>
        <v>2691.0094967666669</v>
      </c>
      <c r="DF17" s="31">
        <f t="shared" si="145"/>
        <v>2691.0094967666669</v>
      </c>
      <c r="DG17" s="31">
        <f t="shared" si="145"/>
        <v>2691.0094967666669</v>
      </c>
      <c r="DH17" s="31">
        <f t="shared" si="145"/>
        <v>2691.0094967666669</v>
      </c>
      <c r="DI17" s="31">
        <f t="shared" si="145"/>
        <v>2691.0094967666669</v>
      </c>
      <c r="DJ17" s="31">
        <f t="shared" si="145"/>
        <v>2691.0094967666669</v>
      </c>
      <c r="DK17" s="31">
        <f t="shared" si="145"/>
        <v>2691.0094967666669</v>
      </c>
      <c r="DL17" s="31">
        <f t="shared" si="145"/>
        <v>2691.0094967666669</v>
      </c>
      <c r="DM17" s="31">
        <f t="shared" si="145"/>
        <v>2691.0094967666669</v>
      </c>
      <c r="DN17" s="31">
        <f t="shared" si="145"/>
        <v>2691.0094967666669</v>
      </c>
      <c r="DO17" s="31">
        <f t="shared" si="145"/>
        <v>2691.0094967666669</v>
      </c>
      <c r="DP17" s="31">
        <f t="shared" si="145"/>
        <v>2691.0094967666669</v>
      </c>
      <c r="DQ17" s="31">
        <f t="shared" si="145"/>
        <v>2750.409496766667</v>
      </c>
      <c r="DR17" s="31">
        <f t="shared" si="145"/>
        <v>2750.409496766667</v>
      </c>
      <c r="DS17" s="31">
        <f t="shared" si="145"/>
        <v>2750.409496766667</v>
      </c>
      <c r="DT17" s="31">
        <f t="shared" si="145"/>
        <v>2750.409496766667</v>
      </c>
    </row>
    <row r="18" spans="2:124" x14ac:dyDescent="0.2">
      <c r="B18" s="3" t="s">
        <v>17</v>
      </c>
      <c r="D18" s="145">
        <v>0</v>
      </c>
      <c r="E18" s="30">
        <f>D51</f>
        <v>883.16</v>
      </c>
      <c r="F18" s="31">
        <f>E51</f>
        <v>0</v>
      </c>
      <c r="G18" s="31">
        <f t="shared" ref="G18:BQ18" si="146">F51</f>
        <v>0</v>
      </c>
      <c r="H18" s="31">
        <f t="shared" si="146"/>
        <v>0</v>
      </c>
      <c r="I18" s="31">
        <f t="shared" si="146"/>
        <v>0</v>
      </c>
      <c r="J18" s="31">
        <f t="shared" si="146"/>
        <v>0</v>
      </c>
      <c r="K18" s="31">
        <f t="shared" si="146"/>
        <v>0</v>
      </c>
      <c r="L18" s="31">
        <f t="shared" si="146"/>
        <v>0</v>
      </c>
      <c r="M18" s="31">
        <f t="shared" si="146"/>
        <v>925.69350000000168</v>
      </c>
      <c r="N18" s="31">
        <f t="shared" si="146"/>
        <v>0</v>
      </c>
      <c r="O18" s="31">
        <f t="shared" si="146"/>
        <v>0</v>
      </c>
      <c r="P18" s="31">
        <f t="shared" si="146"/>
        <v>0</v>
      </c>
      <c r="Q18" s="31">
        <f t="shared" si="146"/>
        <v>936.83629999999994</v>
      </c>
      <c r="R18" s="31">
        <f t="shared" si="146"/>
        <v>0</v>
      </c>
      <c r="S18" s="31">
        <f t="shared" si="146"/>
        <v>0</v>
      </c>
      <c r="T18" s="31">
        <f t="shared" si="146"/>
        <v>0</v>
      </c>
      <c r="U18" s="31">
        <f t="shared" si="146"/>
        <v>0</v>
      </c>
      <c r="V18" s="31">
        <f t="shared" si="146"/>
        <v>0</v>
      </c>
      <c r="W18" s="31">
        <f t="shared" si="146"/>
        <v>1481.5241100000007</v>
      </c>
      <c r="X18" s="31">
        <f t="shared" si="146"/>
        <v>0</v>
      </c>
      <c r="Y18" s="31">
        <f t="shared" si="146"/>
        <v>0</v>
      </c>
      <c r="Z18" s="31">
        <f t="shared" si="146"/>
        <v>0</v>
      </c>
      <c r="AA18" s="31">
        <f t="shared" si="146"/>
        <v>0</v>
      </c>
      <c r="AB18" s="62">
        <f t="shared" si="146"/>
        <v>0</v>
      </c>
      <c r="AC18" s="30">
        <f t="shared" si="146"/>
        <v>0</v>
      </c>
      <c r="AD18" s="31">
        <f t="shared" si="146"/>
        <v>0</v>
      </c>
      <c r="AE18" s="31">
        <f t="shared" si="146"/>
        <v>0</v>
      </c>
      <c r="AF18" s="31">
        <f t="shared" si="146"/>
        <v>0</v>
      </c>
      <c r="AG18" s="31">
        <f t="shared" si="146"/>
        <v>0</v>
      </c>
      <c r="AH18" s="31">
        <f t="shared" si="146"/>
        <v>0</v>
      </c>
      <c r="AI18" s="31">
        <f t="shared" si="146"/>
        <v>0</v>
      </c>
      <c r="AJ18" s="31">
        <f t="shared" si="146"/>
        <v>0</v>
      </c>
      <c r="AK18" s="31">
        <f t="shared" si="146"/>
        <v>0</v>
      </c>
      <c r="AL18" s="31">
        <f t="shared" si="146"/>
        <v>0</v>
      </c>
      <c r="AM18" s="31">
        <f t="shared" si="146"/>
        <v>0</v>
      </c>
      <c r="AN18" s="31">
        <f t="shared" si="146"/>
        <v>0</v>
      </c>
      <c r="AO18" s="31">
        <f t="shared" si="146"/>
        <v>0</v>
      </c>
      <c r="AP18" s="31">
        <f t="shared" si="146"/>
        <v>0</v>
      </c>
      <c r="AQ18" s="31">
        <f t="shared" si="146"/>
        <v>0</v>
      </c>
      <c r="AR18" s="31">
        <f t="shared" si="146"/>
        <v>0</v>
      </c>
      <c r="AS18" s="31">
        <f t="shared" si="146"/>
        <v>0</v>
      </c>
      <c r="AT18" s="31">
        <f t="shared" si="146"/>
        <v>0</v>
      </c>
      <c r="AU18" s="31">
        <f t="shared" si="146"/>
        <v>0</v>
      </c>
      <c r="AV18" s="31">
        <f t="shared" si="146"/>
        <v>0</v>
      </c>
      <c r="AW18" s="31">
        <f t="shared" si="146"/>
        <v>0</v>
      </c>
      <c r="AX18" s="31">
        <f t="shared" si="146"/>
        <v>0</v>
      </c>
      <c r="AY18" s="31">
        <f t="shared" si="146"/>
        <v>0</v>
      </c>
      <c r="AZ18" s="62">
        <f t="shared" si="146"/>
        <v>0</v>
      </c>
      <c r="BA18" s="30">
        <f t="shared" si="146"/>
        <v>0</v>
      </c>
      <c r="BB18" s="31">
        <f t="shared" si="146"/>
        <v>0</v>
      </c>
      <c r="BC18" s="31">
        <f t="shared" si="146"/>
        <v>0</v>
      </c>
      <c r="BD18" s="31">
        <f t="shared" si="146"/>
        <v>0</v>
      </c>
      <c r="BE18" s="31">
        <f t="shared" si="146"/>
        <v>0</v>
      </c>
      <c r="BF18" s="31">
        <f t="shared" si="146"/>
        <v>0</v>
      </c>
      <c r="BG18" s="31">
        <f t="shared" si="146"/>
        <v>5330.5816019999984</v>
      </c>
      <c r="BH18" s="31">
        <f t="shared" si="146"/>
        <v>0</v>
      </c>
      <c r="BI18" s="31">
        <f t="shared" si="146"/>
        <v>0</v>
      </c>
      <c r="BJ18" s="31">
        <f t="shared" si="146"/>
        <v>0</v>
      </c>
      <c r="BK18" s="31">
        <f t="shared" si="146"/>
        <v>0</v>
      </c>
      <c r="BL18" s="31">
        <f t="shared" si="146"/>
        <v>0</v>
      </c>
      <c r="BM18" s="31">
        <f t="shared" si="146"/>
        <v>0</v>
      </c>
      <c r="BN18" s="31">
        <f t="shared" si="146"/>
        <v>0</v>
      </c>
      <c r="BO18" s="31">
        <f t="shared" si="146"/>
        <v>0</v>
      </c>
      <c r="BP18" s="31">
        <f t="shared" si="146"/>
        <v>0</v>
      </c>
      <c r="BQ18" s="31">
        <f t="shared" si="146"/>
        <v>0</v>
      </c>
      <c r="BR18" s="31">
        <f t="shared" ref="BR18:DT18" si="147">BQ51</f>
        <v>0</v>
      </c>
      <c r="BS18" s="31">
        <f t="shared" si="147"/>
        <v>0</v>
      </c>
      <c r="BT18" s="31">
        <f t="shared" si="147"/>
        <v>0</v>
      </c>
      <c r="BU18" s="31">
        <f t="shared" si="147"/>
        <v>0</v>
      </c>
      <c r="BV18" s="31">
        <f t="shared" si="147"/>
        <v>0</v>
      </c>
      <c r="BW18" s="31">
        <f t="shared" si="147"/>
        <v>0</v>
      </c>
      <c r="BX18" s="62">
        <f t="shared" si="147"/>
        <v>0</v>
      </c>
      <c r="BY18" s="30">
        <f t="shared" si="147"/>
        <v>0</v>
      </c>
      <c r="BZ18" s="31">
        <f t="shared" si="147"/>
        <v>0</v>
      </c>
      <c r="CA18" s="31">
        <f t="shared" si="147"/>
        <v>0</v>
      </c>
      <c r="CB18" s="31">
        <f t="shared" si="147"/>
        <v>0</v>
      </c>
      <c r="CC18" s="31">
        <f t="shared" si="147"/>
        <v>0</v>
      </c>
      <c r="CD18" s="31">
        <f t="shared" si="147"/>
        <v>0</v>
      </c>
      <c r="CE18" s="31">
        <f t="shared" si="147"/>
        <v>0</v>
      </c>
      <c r="CF18" s="31">
        <f t="shared" si="147"/>
        <v>0</v>
      </c>
      <c r="CG18" s="31">
        <f t="shared" si="147"/>
        <v>0</v>
      </c>
      <c r="CH18" s="31">
        <f t="shared" si="147"/>
        <v>0</v>
      </c>
      <c r="CI18" s="31">
        <f t="shared" si="147"/>
        <v>0</v>
      </c>
      <c r="CJ18" s="31">
        <f t="shared" si="147"/>
        <v>0</v>
      </c>
      <c r="CK18" s="31">
        <f t="shared" si="147"/>
        <v>0</v>
      </c>
      <c r="CL18" s="31">
        <f t="shared" si="147"/>
        <v>0</v>
      </c>
      <c r="CM18" s="31">
        <f t="shared" si="147"/>
        <v>0</v>
      </c>
      <c r="CN18" s="31">
        <f t="shared" si="147"/>
        <v>0</v>
      </c>
      <c r="CO18" s="31">
        <f t="shared" si="147"/>
        <v>0</v>
      </c>
      <c r="CP18" s="31">
        <f t="shared" si="147"/>
        <v>0</v>
      </c>
      <c r="CQ18" s="31">
        <f t="shared" si="147"/>
        <v>0</v>
      </c>
      <c r="CR18" s="31">
        <f t="shared" si="147"/>
        <v>0</v>
      </c>
      <c r="CS18" s="31">
        <f t="shared" si="147"/>
        <v>0</v>
      </c>
      <c r="CT18" s="31">
        <f t="shared" si="147"/>
        <v>0</v>
      </c>
      <c r="CU18" s="31">
        <f t="shared" si="147"/>
        <v>0</v>
      </c>
      <c r="CV18" s="62">
        <f t="shared" si="147"/>
        <v>0</v>
      </c>
      <c r="CW18" s="30">
        <f t="shared" si="147"/>
        <v>0</v>
      </c>
      <c r="CX18" s="31">
        <f t="shared" si="147"/>
        <v>0</v>
      </c>
      <c r="CY18" s="31">
        <f t="shared" si="147"/>
        <v>0</v>
      </c>
      <c r="CZ18" s="31">
        <f t="shared" si="147"/>
        <v>0</v>
      </c>
      <c r="DA18" s="31">
        <f t="shared" si="147"/>
        <v>0</v>
      </c>
      <c r="DB18" s="31">
        <f t="shared" si="147"/>
        <v>0</v>
      </c>
      <c r="DC18" s="31">
        <f t="shared" si="147"/>
        <v>0</v>
      </c>
      <c r="DD18" s="31">
        <f t="shared" si="147"/>
        <v>0</v>
      </c>
      <c r="DE18" s="31">
        <f t="shared" si="147"/>
        <v>0</v>
      </c>
      <c r="DF18" s="31">
        <f t="shared" si="147"/>
        <v>0</v>
      </c>
      <c r="DG18" s="31">
        <f t="shared" si="147"/>
        <v>0</v>
      </c>
      <c r="DH18" s="31">
        <f t="shared" si="147"/>
        <v>0</v>
      </c>
      <c r="DI18" s="31">
        <f t="shared" si="147"/>
        <v>0</v>
      </c>
      <c r="DJ18" s="31">
        <f t="shared" si="147"/>
        <v>0</v>
      </c>
      <c r="DK18" s="31">
        <f t="shared" si="147"/>
        <v>0</v>
      </c>
      <c r="DL18" s="31">
        <f t="shared" si="147"/>
        <v>0</v>
      </c>
      <c r="DM18" s="31">
        <f t="shared" si="147"/>
        <v>0</v>
      </c>
      <c r="DN18" s="31">
        <f t="shared" si="147"/>
        <v>0</v>
      </c>
      <c r="DO18" s="31">
        <f t="shared" si="147"/>
        <v>0</v>
      </c>
      <c r="DP18" s="31">
        <f t="shared" si="147"/>
        <v>0</v>
      </c>
      <c r="DQ18" s="31">
        <f t="shared" si="147"/>
        <v>0</v>
      </c>
      <c r="DR18" s="31">
        <f t="shared" si="147"/>
        <v>0</v>
      </c>
      <c r="DS18" s="31">
        <f t="shared" si="147"/>
        <v>0</v>
      </c>
      <c r="DT18" s="31">
        <f t="shared" si="147"/>
        <v>0</v>
      </c>
    </row>
    <row r="19" spans="2:124" s="34" customFormat="1" x14ac:dyDescent="0.2">
      <c r="B19" s="32" t="s">
        <v>18</v>
      </c>
      <c r="C19" s="79"/>
      <c r="D19" s="146">
        <f>D17+D18</f>
        <v>1607.3241666666668</v>
      </c>
      <c r="E19" s="33">
        <f>IF(E17+E18+E14&gt;=2649.5,2649.5,E17+E18+E14)</f>
        <v>2479.4184166666669</v>
      </c>
      <c r="F19" s="33">
        <f>IF(F17+F18+F14&gt;=2649.5,2649.5,F17+F18+F14)</f>
        <v>2468.3526666666671</v>
      </c>
      <c r="G19" s="33">
        <f t="shared" ref="G19:BQ19" si="148">IF(G17+G18+G14&gt;=2649.5,2649.5,G17+G18+G14)</f>
        <v>2457.2869166666674</v>
      </c>
      <c r="H19" s="33">
        <f t="shared" si="148"/>
        <v>2386.8211666666675</v>
      </c>
      <c r="I19" s="33">
        <f t="shared" si="148"/>
        <v>2316.3554166666677</v>
      </c>
      <c r="J19" s="33">
        <f t="shared" si="148"/>
        <v>2245.8896666666678</v>
      </c>
      <c r="K19" s="33">
        <f t="shared" si="148"/>
        <v>2175.423916666668</v>
      </c>
      <c r="L19" s="33">
        <f t="shared" si="148"/>
        <v>2104.9581666666681</v>
      </c>
      <c r="M19" s="33">
        <f t="shared" si="148"/>
        <v>2649.5</v>
      </c>
      <c r="N19" s="33">
        <f t="shared" si="148"/>
        <v>2581.1609250000001</v>
      </c>
      <c r="O19" s="33">
        <f t="shared" si="148"/>
        <v>2512.8218500000003</v>
      </c>
      <c r="P19" s="33">
        <f t="shared" si="148"/>
        <v>2444.4827750000004</v>
      </c>
      <c r="Q19" s="33">
        <f t="shared" si="148"/>
        <v>2649.5</v>
      </c>
      <c r="R19" s="33">
        <f t="shared" si="148"/>
        <v>-67.781935000000018</v>
      </c>
      <c r="S19" s="33">
        <f t="shared" si="148"/>
        <v>-67.781935000000018</v>
      </c>
      <c r="T19" s="33">
        <f t="shared" si="148"/>
        <v>-67.781935000000018</v>
      </c>
      <c r="U19" s="33">
        <f t="shared" si="148"/>
        <v>-67.781935000000018</v>
      </c>
      <c r="V19" s="33">
        <f t="shared" si="148"/>
        <v>-67.781935000000018</v>
      </c>
      <c r="W19" s="33">
        <f t="shared" si="148"/>
        <v>1440.9765655000008</v>
      </c>
      <c r="X19" s="33">
        <f t="shared" si="148"/>
        <v>-40.547544499999944</v>
      </c>
      <c r="Y19" s="33">
        <f t="shared" si="148"/>
        <v>-40.547544499999944</v>
      </c>
      <c r="Z19" s="33">
        <f t="shared" si="148"/>
        <v>18.852455500000033</v>
      </c>
      <c r="AA19" s="33">
        <f t="shared" si="148"/>
        <v>18.852455500000033</v>
      </c>
      <c r="AB19" s="63">
        <f t="shared" si="148"/>
        <v>18.852455500000033</v>
      </c>
      <c r="AC19" s="33">
        <f t="shared" si="148"/>
        <v>37.704911000000081</v>
      </c>
      <c r="AD19" s="33">
        <f t="shared" si="148"/>
        <v>56.557366500000121</v>
      </c>
      <c r="AE19" s="33">
        <f t="shared" si="148"/>
        <v>75.409822000000162</v>
      </c>
      <c r="AF19" s="33">
        <f t="shared" si="148"/>
        <v>94.262277500000209</v>
      </c>
      <c r="AG19" s="33">
        <f t="shared" si="148"/>
        <v>113.11473300000026</v>
      </c>
      <c r="AH19" s="33">
        <f t="shared" si="148"/>
        <v>131.9671885000003</v>
      </c>
      <c r="AI19" s="33">
        <f t="shared" si="148"/>
        <v>150.81964400000035</v>
      </c>
      <c r="AJ19" s="33">
        <f t="shared" si="148"/>
        <v>169.6720995000004</v>
      </c>
      <c r="AK19" s="33">
        <f t="shared" si="148"/>
        <v>188.52455500000042</v>
      </c>
      <c r="AL19" s="33">
        <f t="shared" si="148"/>
        <v>207.37701050000044</v>
      </c>
      <c r="AM19" s="33">
        <f t="shared" si="148"/>
        <v>226.22946600000046</v>
      </c>
      <c r="AN19" s="33">
        <f t="shared" si="148"/>
        <v>245.08192150000048</v>
      </c>
      <c r="AO19" s="33">
        <f t="shared" si="148"/>
        <v>263.9343770000005</v>
      </c>
      <c r="AP19" s="33">
        <f t="shared" si="148"/>
        <v>282.78683250000051</v>
      </c>
      <c r="AQ19" s="33">
        <f t="shared" si="148"/>
        <v>301.63928800000053</v>
      </c>
      <c r="AR19" s="33">
        <f t="shared" si="148"/>
        <v>320.49174350000055</v>
      </c>
      <c r="AS19" s="33">
        <f t="shared" si="148"/>
        <v>339.34419900000057</v>
      </c>
      <c r="AT19" s="33">
        <f t="shared" si="148"/>
        <v>358.19665450000059</v>
      </c>
      <c r="AU19" s="33">
        <f t="shared" si="148"/>
        <v>377.04911000000055</v>
      </c>
      <c r="AV19" s="33">
        <f t="shared" si="148"/>
        <v>395.90156550000057</v>
      </c>
      <c r="AW19" s="33">
        <f t="shared" si="148"/>
        <v>414.75402100000059</v>
      </c>
      <c r="AX19" s="33">
        <f t="shared" si="148"/>
        <v>433.60647650000061</v>
      </c>
      <c r="AY19" s="33">
        <f t="shared" si="148"/>
        <v>452.45893200000063</v>
      </c>
      <c r="AZ19" s="63">
        <f t="shared" si="148"/>
        <v>471.31138750000065</v>
      </c>
      <c r="BA19" s="33">
        <f t="shared" si="148"/>
        <v>490.16384300000067</v>
      </c>
      <c r="BB19" s="33">
        <f t="shared" si="148"/>
        <v>509.01629850000069</v>
      </c>
      <c r="BC19" s="33">
        <f t="shared" si="148"/>
        <v>527.86875400000076</v>
      </c>
      <c r="BD19" s="33">
        <f t="shared" si="148"/>
        <v>487.32120950000075</v>
      </c>
      <c r="BE19" s="33">
        <f t="shared" si="148"/>
        <v>446.77366500000079</v>
      </c>
      <c r="BF19" s="33">
        <f t="shared" si="148"/>
        <v>406.22612050000083</v>
      </c>
      <c r="BG19" s="33">
        <f t="shared" si="148"/>
        <v>2649.5</v>
      </c>
      <c r="BH19" s="33">
        <f t="shared" si="148"/>
        <v>2649.5</v>
      </c>
      <c r="BI19" s="33">
        <f t="shared" si="148"/>
        <v>2649.5</v>
      </c>
      <c r="BJ19" s="33">
        <f t="shared" si="148"/>
        <v>2649.5</v>
      </c>
      <c r="BK19" s="33">
        <f t="shared" si="148"/>
        <v>2649.5</v>
      </c>
      <c r="BL19" s="33">
        <f t="shared" si="148"/>
        <v>2649.5</v>
      </c>
      <c r="BM19" s="33">
        <f t="shared" si="148"/>
        <v>2649.5</v>
      </c>
      <c r="BN19" s="33">
        <f t="shared" si="148"/>
        <v>2649.5</v>
      </c>
      <c r="BO19" s="33">
        <f t="shared" si="148"/>
        <v>2649.5</v>
      </c>
      <c r="BP19" s="33">
        <f t="shared" si="148"/>
        <v>2649.5</v>
      </c>
      <c r="BQ19" s="33">
        <f t="shared" si="148"/>
        <v>2649.5</v>
      </c>
      <c r="BR19" s="33">
        <f t="shared" ref="BR19:DT19" si="149">IF(BR17+BR18+BR14&gt;=2649.5,2649.5,BR17+BR18+BR14)</f>
        <v>2649.5</v>
      </c>
      <c r="BS19" s="33">
        <f t="shared" si="149"/>
        <v>2649.5</v>
      </c>
      <c r="BT19" s="33">
        <f t="shared" si="149"/>
        <v>2649.5</v>
      </c>
      <c r="BU19" s="33">
        <f t="shared" si="149"/>
        <v>2649.5</v>
      </c>
      <c r="BV19" s="33">
        <f t="shared" si="149"/>
        <v>2649.5</v>
      </c>
      <c r="BW19" s="33">
        <f t="shared" si="149"/>
        <v>2649.5</v>
      </c>
      <c r="BX19" s="63">
        <f t="shared" si="149"/>
        <v>2649.5</v>
      </c>
      <c r="BY19" s="33">
        <f t="shared" si="149"/>
        <v>2649.5</v>
      </c>
      <c r="BZ19" s="33">
        <f t="shared" si="149"/>
        <v>2649.5</v>
      </c>
      <c r="CA19" s="33">
        <f t="shared" si="149"/>
        <v>2649.5</v>
      </c>
      <c r="CB19" s="33">
        <f t="shared" si="149"/>
        <v>2649.5</v>
      </c>
      <c r="CC19" s="33">
        <f t="shared" si="149"/>
        <v>2649.5</v>
      </c>
      <c r="CD19" s="33">
        <f t="shared" si="149"/>
        <v>2649.5</v>
      </c>
      <c r="CE19" s="33">
        <f t="shared" si="149"/>
        <v>2649.5</v>
      </c>
      <c r="CF19" s="33">
        <f t="shared" si="149"/>
        <v>2649.5</v>
      </c>
      <c r="CG19" s="33">
        <f t="shared" si="149"/>
        <v>2649.5</v>
      </c>
      <c r="CH19" s="33">
        <f t="shared" si="149"/>
        <v>2649.5</v>
      </c>
      <c r="CI19" s="33">
        <f t="shared" si="149"/>
        <v>2649.5</v>
      </c>
      <c r="CJ19" s="33">
        <f t="shared" si="149"/>
        <v>2649.5</v>
      </c>
      <c r="CK19" s="33">
        <f t="shared" si="149"/>
        <v>2649.5</v>
      </c>
      <c r="CL19" s="33">
        <f t="shared" si="149"/>
        <v>2649.5</v>
      </c>
      <c r="CM19" s="33">
        <f t="shared" si="149"/>
        <v>2649.5</v>
      </c>
      <c r="CN19" s="33">
        <f t="shared" si="149"/>
        <v>2649.5</v>
      </c>
      <c r="CO19" s="33">
        <f t="shared" si="149"/>
        <v>2649.5</v>
      </c>
      <c r="CP19" s="33">
        <f t="shared" si="149"/>
        <v>2649.5</v>
      </c>
      <c r="CQ19" s="33">
        <f t="shared" si="149"/>
        <v>2649.5</v>
      </c>
      <c r="CR19" s="33">
        <f t="shared" si="149"/>
        <v>2649.5</v>
      </c>
      <c r="CS19" s="33">
        <f t="shared" si="149"/>
        <v>2649.5</v>
      </c>
      <c r="CT19" s="33">
        <f t="shared" si="149"/>
        <v>2649.5</v>
      </c>
      <c r="CU19" s="33">
        <f t="shared" si="149"/>
        <v>2649.5</v>
      </c>
      <c r="CV19" s="63">
        <f t="shared" si="149"/>
        <v>2649.5</v>
      </c>
      <c r="CW19" s="33">
        <f t="shared" si="149"/>
        <v>2649.5</v>
      </c>
      <c r="CX19" s="33">
        <f t="shared" si="149"/>
        <v>2649.5</v>
      </c>
      <c r="CY19" s="33">
        <f t="shared" si="149"/>
        <v>2649.5</v>
      </c>
      <c r="CZ19" s="33">
        <f t="shared" si="149"/>
        <v>2649.5</v>
      </c>
      <c r="DA19" s="33">
        <f t="shared" si="149"/>
        <v>2649.5</v>
      </c>
      <c r="DB19" s="33">
        <f t="shared" si="149"/>
        <v>2649.5</v>
      </c>
      <c r="DC19" s="33">
        <f t="shared" si="149"/>
        <v>2649.5</v>
      </c>
      <c r="DD19" s="33">
        <f t="shared" si="149"/>
        <v>2649.5</v>
      </c>
      <c r="DE19" s="33">
        <f t="shared" si="149"/>
        <v>2649.5</v>
      </c>
      <c r="DF19" s="33">
        <f t="shared" si="149"/>
        <v>2649.5</v>
      </c>
      <c r="DG19" s="33">
        <f t="shared" si="149"/>
        <v>2649.5</v>
      </c>
      <c r="DH19" s="33">
        <f t="shared" si="149"/>
        <v>2649.5</v>
      </c>
      <c r="DI19" s="33">
        <f t="shared" si="149"/>
        <v>2649.5</v>
      </c>
      <c r="DJ19" s="33">
        <f t="shared" si="149"/>
        <v>2649.5</v>
      </c>
      <c r="DK19" s="33">
        <f t="shared" si="149"/>
        <v>2649.5</v>
      </c>
      <c r="DL19" s="33">
        <f t="shared" si="149"/>
        <v>2649.5</v>
      </c>
      <c r="DM19" s="33">
        <f t="shared" si="149"/>
        <v>2649.5</v>
      </c>
      <c r="DN19" s="33">
        <f t="shared" si="149"/>
        <v>2649.5</v>
      </c>
      <c r="DO19" s="33">
        <f t="shared" si="149"/>
        <v>2649.5</v>
      </c>
      <c r="DP19" s="33">
        <f t="shared" si="149"/>
        <v>2649.5</v>
      </c>
      <c r="DQ19" s="33">
        <f t="shared" si="149"/>
        <v>2649.5</v>
      </c>
      <c r="DR19" s="33">
        <f t="shared" si="149"/>
        <v>2649.5</v>
      </c>
      <c r="DS19" s="33">
        <f t="shared" si="149"/>
        <v>2649.5</v>
      </c>
      <c r="DT19" s="33">
        <f t="shared" si="149"/>
        <v>2649.5</v>
      </c>
    </row>
    <row r="20" spans="2:124" s="37" customFormat="1" ht="16" thickBot="1" x14ac:dyDescent="0.25">
      <c r="B20" s="35" t="s">
        <v>19</v>
      </c>
      <c r="C20" s="80"/>
      <c r="D20" s="147">
        <f>(D19/1891.4)*10</f>
        <v>8.4980658066335337</v>
      </c>
      <c r="E20" s="36">
        <f>(E19/2649.5)*10</f>
        <v>9.3580615839466574</v>
      </c>
      <c r="F20" s="36">
        <f t="shared" ref="F20:BQ20" si="150">(F19/2649.5)*10</f>
        <v>9.3162961565075193</v>
      </c>
      <c r="G20" s="36">
        <f t="shared" si="150"/>
        <v>9.2745307290683794</v>
      </c>
      <c r="H20" s="36">
        <f t="shared" si="150"/>
        <v>9.0085720576209383</v>
      </c>
      <c r="I20" s="36">
        <f t="shared" si="150"/>
        <v>8.7426133861734954</v>
      </c>
      <c r="J20" s="36">
        <f t="shared" si="150"/>
        <v>8.4766547147260525</v>
      </c>
      <c r="K20" s="36">
        <f t="shared" si="150"/>
        <v>8.2106960432786114</v>
      </c>
      <c r="L20" s="36">
        <f t="shared" si="150"/>
        <v>7.9447373718311685</v>
      </c>
      <c r="M20" s="36">
        <f t="shared" si="150"/>
        <v>10</v>
      </c>
      <c r="N20" s="36">
        <f t="shared" si="150"/>
        <v>9.7420680317040951</v>
      </c>
      <c r="O20" s="36">
        <f t="shared" si="150"/>
        <v>9.4841360634081919</v>
      </c>
      <c r="P20" s="36">
        <f t="shared" si="150"/>
        <v>9.226204095112287</v>
      </c>
      <c r="Q20" s="36">
        <f t="shared" si="150"/>
        <v>10</v>
      </c>
      <c r="R20" s="36">
        <f t="shared" si="150"/>
        <v>-0.25582915644461224</v>
      </c>
      <c r="S20" s="36">
        <f t="shared" si="150"/>
        <v>-0.25582915644461224</v>
      </c>
      <c r="T20" s="36">
        <f t="shared" si="150"/>
        <v>-0.25582915644461224</v>
      </c>
      <c r="U20" s="36">
        <f t="shared" si="150"/>
        <v>-0.25582915644461224</v>
      </c>
      <c r="V20" s="36">
        <f t="shared" si="150"/>
        <v>-0.25582915644461224</v>
      </c>
      <c r="W20" s="36">
        <f t="shared" si="150"/>
        <v>5.4386735818078913</v>
      </c>
      <c r="X20" s="36">
        <f t="shared" si="150"/>
        <v>-0.15303847707114529</v>
      </c>
      <c r="Y20" s="36">
        <f t="shared" si="150"/>
        <v>-0.15303847707114529</v>
      </c>
      <c r="Z20" s="36">
        <f t="shared" si="150"/>
        <v>7.1154766937158082E-2</v>
      </c>
      <c r="AA20" s="36">
        <f t="shared" si="150"/>
        <v>7.1154766937158082E-2</v>
      </c>
      <c r="AB20" s="64">
        <f t="shared" si="150"/>
        <v>7.1154766937158082E-2</v>
      </c>
      <c r="AC20" s="36">
        <f t="shared" si="150"/>
        <v>0.14230953387431622</v>
      </c>
      <c r="AD20" s="36">
        <f t="shared" si="150"/>
        <v>0.21346430081147433</v>
      </c>
      <c r="AE20" s="36">
        <f t="shared" si="150"/>
        <v>0.28461906774863244</v>
      </c>
      <c r="AF20" s="36">
        <f t="shared" si="150"/>
        <v>0.35577383468579055</v>
      </c>
      <c r="AG20" s="36">
        <f t="shared" si="150"/>
        <v>0.42692860162294871</v>
      </c>
      <c r="AH20" s="36">
        <f t="shared" si="150"/>
        <v>0.49808336856010682</v>
      </c>
      <c r="AI20" s="36">
        <f t="shared" si="150"/>
        <v>0.56923813549726499</v>
      </c>
      <c r="AJ20" s="36">
        <f t="shared" si="150"/>
        <v>0.64039290243442304</v>
      </c>
      <c r="AK20" s="36">
        <f t="shared" si="150"/>
        <v>0.71154766937158109</v>
      </c>
      <c r="AL20" s="36">
        <f t="shared" si="150"/>
        <v>0.78270243630873915</v>
      </c>
      <c r="AM20" s="36">
        <f t="shared" si="150"/>
        <v>0.85385720324589709</v>
      </c>
      <c r="AN20" s="36">
        <f t="shared" si="150"/>
        <v>0.92501197018305514</v>
      </c>
      <c r="AO20" s="36">
        <f t="shared" si="150"/>
        <v>0.9961667371202132</v>
      </c>
      <c r="AP20" s="36">
        <f t="shared" si="150"/>
        <v>1.0673215040573711</v>
      </c>
      <c r="AQ20" s="36">
        <f t="shared" si="150"/>
        <v>1.1384762709945293</v>
      </c>
      <c r="AR20" s="36">
        <f t="shared" si="150"/>
        <v>1.2096310379316872</v>
      </c>
      <c r="AS20" s="36">
        <f t="shared" si="150"/>
        <v>1.2807858048688452</v>
      </c>
      <c r="AT20" s="36">
        <f t="shared" si="150"/>
        <v>1.3519405718060034</v>
      </c>
      <c r="AU20" s="36">
        <f t="shared" si="150"/>
        <v>1.4230953387431611</v>
      </c>
      <c r="AV20" s="36">
        <f t="shared" si="150"/>
        <v>1.4942501056803192</v>
      </c>
      <c r="AW20" s="36">
        <f t="shared" si="150"/>
        <v>1.5654048726174772</v>
      </c>
      <c r="AX20" s="36">
        <f t="shared" si="150"/>
        <v>1.6365596395546353</v>
      </c>
      <c r="AY20" s="36">
        <f t="shared" si="150"/>
        <v>1.7077144064917933</v>
      </c>
      <c r="AZ20" s="64">
        <f t="shared" si="150"/>
        <v>1.7788691734289515</v>
      </c>
      <c r="BA20" s="36">
        <f t="shared" si="150"/>
        <v>1.8500239403661092</v>
      </c>
      <c r="BB20" s="36">
        <f t="shared" si="150"/>
        <v>1.9211787073032673</v>
      </c>
      <c r="BC20" s="36">
        <f t="shared" si="150"/>
        <v>1.9923334742404255</v>
      </c>
      <c r="BD20" s="36">
        <f t="shared" si="150"/>
        <v>1.8392949971692802</v>
      </c>
      <c r="BE20" s="36">
        <f t="shared" si="150"/>
        <v>1.6862565200981348</v>
      </c>
      <c r="BF20" s="36">
        <f t="shared" si="150"/>
        <v>1.5332180430269893</v>
      </c>
      <c r="BG20" s="36">
        <f t="shared" si="150"/>
        <v>10</v>
      </c>
      <c r="BH20" s="36">
        <f t="shared" si="150"/>
        <v>10</v>
      </c>
      <c r="BI20" s="36">
        <f t="shared" si="150"/>
        <v>10</v>
      </c>
      <c r="BJ20" s="36">
        <f t="shared" si="150"/>
        <v>10</v>
      </c>
      <c r="BK20" s="36">
        <f t="shared" si="150"/>
        <v>10</v>
      </c>
      <c r="BL20" s="36">
        <f t="shared" si="150"/>
        <v>10</v>
      </c>
      <c r="BM20" s="36">
        <f t="shared" si="150"/>
        <v>10</v>
      </c>
      <c r="BN20" s="36">
        <f t="shared" si="150"/>
        <v>10</v>
      </c>
      <c r="BO20" s="36">
        <f t="shared" si="150"/>
        <v>10</v>
      </c>
      <c r="BP20" s="36">
        <f t="shared" si="150"/>
        <v>10</v>
      </c>
      <c r="BQ20" s="36">
        <f t="shared" si="150"/>
        <v>10</v>
      </c>
      <c r="BR20" s="36">
        <f t="shared" ref="BR20:DT20" si="151">(BR19/2649.5)*10</f>
        <v>10</v>
      </c>
      <c r="BS20" s="36">
        <f t="shared" si="151"/>
        <v>10</v>
      </c>
      <c r="BT20" s="36">
        <f t="shared" si="151"/>
        <v>10</v>
      </c>
      <c r="BU20" s="36">
        <f t="shared" si="151"/>
        <v>10</v>
      </c>
      <c r="BV20" s="36">
        <f t="shared" si="151"/>
        <v>10</v>
      </c>
      <c r="BW20" s="36">
        <f t="shared" si="151"/>
        <v>10</v>
      </c>
      <c r="BX20" s="64">
        <f t="shared" si="151"/>
        <v>10</v>
      </c>
      <c r="BY20" s="36">
        <f t="shared" si="151"/>
        <v>10</v>
      </c>
      <c r="BZ20" s="36">
        <f t="shared" si="151"/>
        <v>10</v>
      </c>
      <c r="CA20" s="36">
        <f t="shared" si="151"/>
        <v>10</v>
      </c>
      <c r="CB20" s="36">
        <f t="shared" si="151"/>
        <v>10</v>
      </c>
      <c r="CC20" s="36">
        <f t="shared" si="151"/>
        <v>10</v>
      </c>
      <c r="CD20" s="36">
        <f t="shared" si="151"/>
        <v>10</v>
      </c>
      <c r="CE20" s="36">
        <f t="shared" si="151"/>
        <v>10</v>
      </c>
      <c r="CF20" s="36">
        <f t="shared" si="151"/>
        <v>10</v>
      </c>
      <c r="CG20" s="36">
        <f t="shared" si="151"/>
        <v>10</v>
      </c>
      <c r="CH20" s="36">
        <f t="shared" si="151"/>
        <v>10</v>
      </c>
      <c r="CI20" s="36">
        <f t="shared" si="151"/>
        <v>10</v>
      </c>
      <c r="CJ20" s="36">
        <f t="shared" si="151"/>
        <v>10</v>
      </c>
      <c r="CK20" s="36">
        <f t="shared" si="151"/>
        <v>10</v>
      </c>
      <c r="CL20" s="36">
        <f t="shared" si="151"/>
        <v>10</v>
      </c>
      <c r="CM20" s="36">
        <f t="shared" si="151"/>
        <v>10</v>
      </c>
      <c r="CN20" s="36">
        <f t="shared" si="151"/>
        <v>10</v>
      </c>
      <c r="CO20" s="36">
        <f t="shared" si="151"/>
        <v>10</v>
      </c>
      <c r="CP20" s="36">
        <f t="shared" si="151"/>
        <v>10</v>
      </c>
      <c r="CQ20" s="36">
        <f t="shared" si="151"/>
        <v>10</v>
      </c>
      <c r="CR20" s="36">
        <f t="shared" si="151"/>
        <v>10</v>
      </c>
      <c r="CS20" s="36">
        <f t="shared" si="151"/>
        <v>10</v>
      </c>
      <c r="CT20" s="36">
        <f t="shared" si="151"/>
        <v>10</v>
      </c>
      <c r="CU20" s="36">
        <f t="shared" si="151"/>
        <v>10</v>
      </c>
      <c r="CV20" s="64">
        <f t="shared" si="151"/>
        <v>10</v>
      </c>
      <c r="CW20" s="36">
        <f t="shared" si="151"/>
        <v>10</v>
      </c>
      <c r="CX20" s="36">
        <f t="shared" si="151"/>
        <v>10</v>
      </c>
      <c r="CY20" s="36">
        <f t="shared" si="151"/>
        <v>10</v>
      </c>
      <c r="CZ20" s="36">
        <f t="shared" si="151"/>
        <v>10</v>
      </c>
      <c r="DA20" s="36">
        <f t="shared" si="151"/>
        <v>10</v>
      </c>
      <c r="DB20" s="36">
        <f t="shared" si="151"/>
        <v>10</v>
      </c>
      <c r="DC20" s="36">
        <f t="shared" si="151"/>
        <v>10</v>
      </c>
      <c r="DD20" s="36">
        <f t="shared" si="151"/>
        <v>10</v>
      </c>
      <c r="DE20" s="36">
        <f t="shared" si="151"/>
        <v>10</v>
      </c>
      <c r="DF20" s="36">
        <f t="shared" si="151"/>
        <v>10</v>
      </c>
      <c r="DG20" s="36">
        <f t="shared" si="151"/>
        <v>10</v>
      </c>
      <c r="DH20" s="36">
        <f t="shared" si="151"/>
        <v>10</v>
      </c>
      <c r="DI20" s="36">
        <f t="shared" si="151"/>
        <v>10</v>
      </c>
      <c r="DJ20" s="36">
        <f t="shared" si="151"/>
        <v>10</v>
      </c>
      <c r="DK20" s="36">
        <f t="shared" si="151"/>
        <v>10</v>
      </c>
      <c r="DL20" s="36">
        <f t="shared" si="151"/>
        <v>10</v>
      </c>
      <c r="DM20" s="36">
        <f t="shared" si="151"/>
        <v>10</v>
      </c>
      <c r="DN20" s="36">
        <f t="shared" si="151"/>
        <v>10</v>
      </c>
      <c r="DO20" s="36">
        <f t="shared" si="151"/>
        <v>10</v>
      </c>
      <c r="DP20" s="36">
        <f t="shared" si="151"/>
        <v>10</v>
      </c>
      <c r="DQ20" s="36">
        <f t="shared" si="151"/>
        <v>10</v>
      </c>
      <c r="DR20" s="36">
        <f t="shared" si="151"/>
        <v>10</v>
      </c>
      <c r="DS20" s="36">
        <f t="shared" si="151"/>
        <v>10</v>
      </c>
      <c r="DT20" s="36">
        <f t="shared" si="151"/>
        <v>10</v>
      </c>
    </row>
    <row r="21" spans="2:124" ht="16" thickBot="1" x14ac:dyDescent="0.25">
      <c r="E21" s="193" t="s">
        <v>66</v>
      </c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5"/>
      <c r="AC21" s="196" t="s">
        <v>67</v>
      </c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8"/>
      <c r="BA21" s="193" t="s">
        <v>68</v>
      </c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5"/>
      <c r="BY21" s="196" t="s">
        <v>69</v>
      </c>
      <c r="BZ21" s="197"/>
      <c r="CA21" s="197"/>
      <c r="CB21" s="197"/>
      <c r="CC21" s="197"/>
      <c r="CD21" s="197"/>
      <c r="CE21" s="197"/>
      <c r="CF21" s="197"/>
      <c r="CG21" s="197"/>
      <c r="CH21" s="197"/>
      <c r="CI21" s="197"/>
      <c r="CJ21" s="197"/>
      <c r="CK21" s="197"/>
      <c r="CL21" s="197"/>
      <c r="CM21" s="197"/>
      <c r="CN21" s="197"/>
      <c r="CO21" s="197"/>
      <c r="CP21" s="197"/>
      <c r="CQ21" s="197"/>
      <c r="CR21" s="197"/>
      <c r="CS21" s="197"/>
      <c r="CT21" s="197"/>
      <c r="CU21" s="197"/>
      <c r="CV21" s="198"/>
      <c r="CW21" s="193" t="s">
        <v>70</v>
      </c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5"/>
    </row>
    <row r="22" spans="2:124" hidden="1" x14ac:dyDescent="0.2">
      <c r="B22" s="5" t="s">
        <v>20</v>
      </c>
      <c r="E22" s="23">
        <v>4.1666666666666664E-2</v>
      </c>
      <c r="F22" s="24">
        <v>8.3333333333333301E-2</v>
      </c>
      <c r="G22" s="24">
        <v>0.125</v>
      </c>
      <c r="H22" s="24">
        <v>0.16666666666666699</v>
      </c>
      <c r="I22" s="24">
        <v>0.20833333333333301</v>
      </c>
      <c r="J22" s="24">
        <v>0.25</v>
      </c>
      <c r="K22" s="24">
        <v>0.29166666666666702</v>
      </c>
      <c r="L22" s="24">
        <v>0.33333333333333298</v>
      </c>
      <c r="M22" s="24">
        <v>0.375</v>
      </c>
      <c r="N22" s="24">
        <v>0.41666666666666702</v>
      </c>
      <c r="O22" s="24">
        <v>0.45833333333333298</v>
      </c>
      <c r="P22" s="24">
        <v>0.5</v>
      </c>
      <c r="Q22" s="24">
        <v>0.54166666666666696</v>
      </c>
      <c r="R22" s="24">
        <v>0.58333333333333304</v>
      </c>
      <c r="S22" s="24">
        <v>0.625</v>
      </c>
      <c r="T22" s="24">
        <v>0.66666666666666696</v>
      </c>
      <c r="U22" s="24">
        <v>0.70833333333333304</v>
      </c>
      <c r="V22" s="24">
        <v>0.75</v>
      </c>
      <c r="W22" s="24">
        <v>0.79166666666666696</v>
      </c>
      <c r="X22" s="24">
        <v>0.83333333333333304</v>
      </c>
      <c r="Y22" s="24">
        <v>0.875</v>
      </c>
      <c r="Z22" s="24">
        <v>0.91666666666666696</v>
      </c>
      <c r="AA22" s="24">
        <v>0.95833333333333404</v>
      </c>
      <c r="AB22" s="59">
        <v>1</v>
      </c>
      <c r="AC22" s="23">
        <v>1.0416666666666701</v>
      </c>
      <c r="AD22" s="24">
        <v>1.0833333333333299</v>
      </c>
      <c r="AE22" s="24">
        <v>1.125</v>
      </c>
      <c r="AF22" s="24">
        <v>1.1666666666666701</v>
      </c>
      <c r="AG22" s="24">
        <v>1.2083333333333299</v>
      </c>
      <c r="AH22" s="24">
        <v>1.25</v>
      </c>
      <c r="AI22" s="24">
        <v>1.2916666666666701</v>
      </c>
      <c r="AJ22" s="24">
        <v>1.3333333333333299</v>
      </c>
      <c r="AK22" s="24">
        <v>1.375</v>
      </c>
      <c r="AL22" s="24">
        <v>1.4166666666666701</v>
      </c>
      <c r="AM22" s="24">
        <v>1.4583333333333299</v>
      </c>
      <c r="AN22" s="24">
        <v>1.5</v>
      </c>
      <c r="AO22" s="24">
        <v>1.5416666666666701</v>
      </c>
      <c r="AP22" s="24">
        <v>1.5833333333333299</v>
      </c>
      <c r="AQ22" s="24">
        <v>1.625</v>
      </c>
      <c r="AR22" s="24">
        <v>1.6666666666666701</v>
      </c>
      <c r="AS22" s="24">
        <v>1.7083333333333299</v>
      </c>
      <c r="AT22" s="24">
        <v>1.75</v>
      </c>
      <c r="AU22" s="24">
        <v>1.7916666666666701</v>
      </c>
      <c r="AV22" s="24">
        <v>1.8333333333333299</v>
      </c>
      <c r="AW22" s="24">
        <v>1.875</v>
      </c>
      <c r="AX22" s="24">
        <v>1.9166666666666701</v>
      </c>
      <c r="AY22" s="24">
        <v>1.9583333333333299</v>
      </c>
      <c r="AZ22" s="59">
        <v>2</v>
      </c>
      <c r="BA22" s="23">
        <v>1.0416666666666701</v>
      </c>
      <c r="BB22" s="24">
        <v>1.0833333333333299</v>
      </c>
      <c r="BC22" s="24">
        <v>1.125</v>
      </c>
      <c r="BD22" s="24">
        <v>1.1666666666666701</v>
      </c>
      <c r="BE22" s="24">
        <v>1.2083333333333299</v>
      </c>
      <c r="BF22" s="24">
        <v>1.25</v>
      </c>
      <c r="BG22" s="24">
        <v>1.2916666666666701</v>
      </c>
      <c r="BH22" s="24">
        <v>1.3333333333333299</v>
      </c>
      <c r="BI22" s="24">
        <v>1.375</v>
      </c>
      <c r="BJ22" s="24">
        <v>1.4166666666666701</v>
      </c>
      <c r="BK22" s="24">
        <v>1.4583333333333299</v>
      </c>
      <c r="BL22" s="24">
        <v>1.5</v>
      </c>
      <c r="BM22" s="24">
        <v>1.5416666666666701</v>
      </c>
      <c r="BN22" s="24">
        <v>1.5833333333333299</v>
      </c>
      <c r="BO22" s="24">
        <v>1.625</v>
      </c>
      <c r="BP22" s="24">
        <v>1.6666666666666701</v>
      </c>
      <c r="BQ22" s="24">
        <v>1.7083333333333299</v>
      </c>
      <c r="BR22" s="24">
        <v>1.75</v>
      </c>
      <c r="BS22" s="24">
        <v>1.7916666666666701</v>
      </c>
      <c r="BT22" s="24">
        <v>1.8333333333333299</v>
      </c>
      <c r="BU22" s="24">
        <v>1.875</v>
      </c>
      <c r="BV22" s="24">
        <v>1.9166666666666701</v>
      </c>
      <c r="BW22" s="24">
        <v>1.9583333333333299</v>
      </c>
      <c r="BX22" s="59">
        <v>2</v>
      </c>
      <c r="BY22" s="23">
        <v>1.0416666666666701</v>
      </c>
      <c r="BZ22" s="24">
        <v>1.0833333333333299</v>
      </c>
      <c r="CA22" s="24">
        <v>1.125</v>
      </c>
      <c r="CB22" s="24">
        <v>1.1666666666666701</v>
      </c>
      <c r="CC22" s="24">
        <v>1.2083333333333299</v>
      </c>
      <c r="CD22" s="24">
        <v>1.25</v>
      </c>
      <c r="CE22" s="24">
        <v>1.2916666666666701</v>
      </c>
      <c r="CF22" s="24">
        <v>1.3333333333333299</v>
      </c>
      <c r="CG22" s="24">
        <v>1.375</v>
      </c>
      <c r="CH22" s="24">
        <v>1.4166666666666701</v>
      </c>
      <c r="CI22" s="24">
        <v>1.4583333333333299</v>
      </c>
      <c r="CJ22" s="24">
        <v>1.5</v>
      </c>
      <c r="CK22" s="24">
        <v>1.5416666666666701</v>
      </c>
      <c r="CL22" s="24">
        <v>1.5833333333333299</v>
      </c>
      <c r="CM22" s="24">
        <v>1.625</v>
      </c>
      <c r="CN22" s="24">
        <v>1.6666666666666701</v>
      </c>
      <c r="CO22" s="24">
        <v>1.7083333333333299</v>
      </c>
      <c r="CP22" s="24">
        <v>1.75</v>
      </c>
      <c r="CQ22" s="24">
        <v>1.7916666666666701</v>
      </c>
      <c r="CR22" s="24">
        <v>1.8333333333333299</v>
      </c>
      <c r="CS22" s="24">
        <v>1.875</v>
      </c>
      <c r="CT22" s="24">
        <v>1.9166666666666701</v>
      </c>
      <c r="CU22" s="24">
        <v>1.9583333333333299</v>
      </c>
      <c r="CV22" s="59">
        <v>2</v>
      </c>
      <c r="CW22" s="23">
        <v>1.0416666666666701</v>
      </c>
      <c r="CX22" s="24">
        <v>1.0833333333333299</v>
      </c>
      <c r="CY22" s="24">
        <v>1.125</v>
      </c>
      <c r="CZ22" s="24">
        <v>1.1666666666666701</v>
      </c>
      <c r="DA22" s="24">
        <v>1.2083333333333299</v>
      </c>
      <c r="DB22" s="24">
        <v>1.25</v>
      </c>
      <c r="DC22" s="24">
        <v>1.2916666666666701</v>
      </c>
      <c r="DD22" s="24">
        <v>1.3333333333333299</v>
      </c>
      <c r="DE22" s="24">
        <v>1.375</v>
      </c>
      <c r="DF22" s="24">
        <v>1.4166666666666701</v>
      </c>
      <c r="DG22" s="24">
        <v>1.4583333333333299</v>
      </c>
      <c r="DH22" s="24">
        <v>1.5</v>
      </c>
      <c r="DI22" s="24">
        <v>1.5416666666666701</v>
      </c>
      <c r="DJ22" s="24">
        <v>1.5833333333333299</v>
      </c>
      <c r="DK22" s="24">
        <v>1.625</v>
      </c>
      <c r="DL22" s="24">
        <v>1.6666666666666701</v>
      </c>
      <c r="DM22" s="24">
        <v>1.7083333333333299</v>
      </c>
      <c r="DN22" s="24">
        <v>1.75</v>
      </c>
      <c r="DO22" s="24">
        <v>1.7916666666666701</v>
      </c>
      <c r="DP22" s="24">
        <v>1.8333333333333299</v>
      </c>
      <c r="DQ22" s="24">
        <v>1.875</v>
      </c>
      <c r="DR22" s="24">
        <v>1.9166666666666701</v>
      </c>
      <c r="DS22" s="24">
        <v>1.9583333333333299</v>
      </c>
      <c r="DT22" s="24">
        <v>2</v>
      </c>
    </row>
    <row r="23" spans="2:124" hidden="1" x14ac:dyDescent="0.2">
      <c r="B23" s="3" t="s">
        <v>161</v>
      </c>
      <c r="D23" s="139">
        <v>6</v>
      </c>
      <c r="E23" s="19">
        <f>D29</f>
        <v>7.1333333333333337</v>
      </c>
      <c r="F23" s="25">
        <f t="shared" ref="F23:BQ23" si="152">E29</f>
        <v>2.1276337633498996</v>
      </c>
      <c r="G23" s="25">
        <f t="shared" si="152"/>
        <v>4.2004856596850546</v>
      </c>
      <c r="H23" s="25">
        <f t="shared" si="152"/>
        <v>3.1849424252370464</v>
      </c>
      <c r="I23" s="25">
        <f t="shared" si="152"/>
        <v>3.7135967561806207</v>
      </c>
      <c r="J23" s="25">
        <f t="shared" si="152"/>
        <v>3.9022489264325544</v>
      </c>
      <c r="K23" s="25">
        <f t="shared" si="152"/>
        <v>3.9409021770303085</v>
      </c>
      <c r="L23" s="25">
        <f t="shared" si="152"/>
        <v>4.0545548874551534</v>
      </c>
      <c r="M23" s="25">
        <f t="shared" si="152"/>
        <v>4.1307078679664508</v>
      </c>
      <c r="N23" s="25">
        <f t="shared" si="152"/>
        <v>4.2256107134345244</v>
      </c>
      <c r="O23" s="25">
        <f t="shared" si="152"/>
        <v>3.1505279766160705</v>
      </c>
      <c r="P23" s="25">
        <f t="shared" si="152"/>
        <v>3.8170353291732506</v>
      </c>
      <c r="Q23" s="25">
        <f t="shared" si="152"/>
        <v>3.6127476370426117</v>
      </c>
      <c r="R23" s="25">
        <f t="shared" si="152"/>
        <v>3.8438574672558841</v>
      </c>
      <c r="S23" s="25">
        <f t="shared" si="152"/>
        <v>3.3414045997053914</v>
      </c>
      <c r="T23" s="25">
        <f t="shared" si="152"/>
        <v>8.7205456117029438</v>
      </c>
      <c r="U23" s="25">
        <f t="shared" si="152"/>
        <v>6.0309751057041678</v>
      </c>
      <c r="V23" s="25">
        <f t="shared" si="152"/>
        <v>7.3757603587035563</v>
      </c>
      <c r="W23" s="25">
        <f t="shared" si="152"/>
        <v>6.7033677322038621</v>
      </c>
      <c r="X23" s="25">
        <f t="shared" si="152"/>
        <v>7.0395640454537087</v>
      </c>
      <c r="Y23" s="25">
        <f t="shared" si="152"/>
        <v>4.0242145197025332</v>
      </c>
      <c r="Z23" s="25">
        <f t="shared" si="152"/>
        <v>8.3277453120176386</v>
      </c>
      <c r="AA23" s="25">
        <f t="shared" si="152"/>
        <v>6.1759799158600872</v>
      </c>
      <c r="AB23" s="57">
        <f t="shared" si="152"/>
        <v>6.8197659919347116</v>
      </c>
      <c r="AC23" s="19">
        <f t="shared" si="152"/>
        <v>6.4978729538973985</v>
      </c>
      <c r="AD23" s="25">
        <f t="shared" si="152"/>
        <v>6.658819472916055</v>
      </c>
      <c r="AE23" s="25">
        <f t="shared" si="152"/>
        <v>6.5427688299381481</v>
      </c>
      <c r="AF23" s="25">
        <f t="shared" si="152"/>
        <v>6.565216767958522</v>
      </c>
      <c r="AG23" s="25">
        <f t="shared" si="152"/>
        <v>6.5184154154797564</v>
      </c>
      <c r="AH23" s="25">
        <f t="shared" si="152"/>
        <v>6.5062387082505602</v>
      </c>
      <c r="AI23" s="25">
        <f t="shared" si="152"/>
        <v>6.4767496783965788</v>
      </c>
      <c r="AJ23" s="25">
        <f t="shared" si="152"/>
        <v>6.4559168098549913</v>
      </c>
      <c r="AK23" s="25">
        <f t="shared" si="152"/>
        <v>6.4307558606572055</v>
      </c>
      <c r="AL23" s="25">
        <f t="shared" si="152"/>
        <v>6.4077589517875193</v>
      </c>
      <c r="AM23" s="25">
        <f t="shared" si="152"/>
        <v>6.3836800227537838</v>
      </c>
      <c r="AN23" s="25">
        <f t="shared" si="152"/>
        <v>6.3601421038020725</v>
      </c>
      <c r="AO23" s="25">
        <f t="shared" si="152"/>
        <v>6.336333679809349</v>
      </c>
      <c r="AP23" s="25">
        <f t="shared" si="152"/>
        <v>6.3126605083371317</v>
      </c>
      <c r="AQ23" s="25">
        <f t="shared" si="152"/>
        <v>6.2889197106046613</v>
      </c>
      <c r="AR23" s="25">
        <f t="shared" si="152"/>
        <v>6.2652127260023178</v>
      </c>
      <c r="AS23" s="25">
        <f t="shared" si="152"/>
        <v>6.24148883483491</v>
      </c>
      <c r="AT23" s="25">
        <f t="shared" si="152"/>
        <v>6.2177733969500357</v>
      </c>
      <c r="AU23" s="25">
        <f t="shared" si="152"/>
        <v>6.1940537324238933</v>
      </c>
      <c r="AV23" s="25">
        <f t="shared" si="152"/>
        <v>6.1703361812183859</v>
      </c>
      <c r="AW23" s="25">
        <f t="shared" si="152"/>
        <v>6.1466175733525601</v>
      </c>
      <c r="AX23" s="25">
        <f t="shared" si="152"/>
        <v>6.1228994938168944</v>
      </c>
      <c r="AY23" s="25">
        <f t="shared" si="152"/>
        <v>6.0991811501161477</v>
      </c>
      <c r="AZ23" s="57">
        <f t="shared" si="152"/>
        <v>6.0754629384979424</v>
      </c>
      <c r="BA23" s="19">
        <f t="shared" si="152"/>
        <v>6.051744660838466</v>
      </c>
      <c r="BB23" s="25">
        <f t="shared" si="152"/>
        <v>6.0280264161996255</v>
      </c>
      <c r="BC23" s="25">
        <f t="shared" si="152"/>
        <v>6.0043081550504667</v>
      </c>
      <c r="BD23" s="25">
        <f t="shared" si="152"/>
        <v>5.980589902156467</v>
      </c>
      <c r="BE23" s="25">
        <f t="shared" si="152"/>
        <v>5.9568716451348873</v>
      </c>
      <c r="BF23" s="25">
        <f t="shared" si="152"/>
        <v>6.3652500121812503</v>
      </c>
      <c r="BG23" s="25">
        <f t="shared" si="152"/>
        <v>6.2375800671936412</v>
      </c>
      <c r="BH23" s="25">
        <f t="shared" si="152"/>
        <v>6.3779342782230186</v>
      </c>
      <c r="BI23" s="25">
        <f t="shared" si="152"/>
        <v>2.0743661942218243</v>
      </c>
      <c r="BJ23" s="25">
        <f t="shared" si="152"/>
        <v>4.2261502362224217</v>
      </c>
      <c r="BK23" s="25">
        <f t="shared" si="152"/>
        <v>3.1502582152221223</v>
      </c>
      <c r="BL23" s="25">
        <f t="shared" si="152"/>
        <v>3.6882042257222722</v>
      </c>
      <c r="BM23" s="25">
        <f t="shared" si="152"/>
        <v>3.4192312204721973</v>
      </c>
      <c r="BN23" s="25">
        <f t="shared" si="152"/>
        <v>3.5537177230972348</v>
      </c>
      <c r="BO23" s="25">
        <f t="shared" si="152"/>
        <v>3.486474471784716</v>
      </c>
      <c r="BP23" s="25">
        <f t="shared" si="152"/>
        <v>3.5200960974409754</v>
      </c>
      <c r="BQ23" s="25">
        <f t="shared" si="152"/>
        <v>3.5032852846128457</v>
      </c>
      <c r="BR23" s="25">
        <f t="shared" ref="BR23:BX23" si="153">BQ29</f>
        <v>3.5116906910269106</v>
      </c>
      <c r="BS23" s="25">
        <f t="shared" si="153"/>
        <v>3.5074879878198781</v>
      </c>
      <c r="BT23" s="25">
        <f t="shared" si="153"/>
        <v>3.5095893394233948</v>
      </c>
      <c r="BU23" s="25">
        <f t="shared" si="153"/>
        <v>3.508538663621636</v>
      </c>
      <c r="BV23" s="25">
        <f t="shared" si="153"/>
        <v>3.5090640015225154</v>
      </c>
      <c r="BW23" s="25">
        <f t="shared" si="153"/>
        <v>3.5088013325720753</v>
      </c>
      <c r="BX23" s="57">
        <f t="shared" si="153"/>
        <v>3.1889326670472955</v>
      </c>
      <c r="BY23" s="19">
        <f t="shared" ref="BY23" si="154">BX29</f>
        <v>3.3488669998096854</v>
      </c>
      <c r="BZ23" s="25">
        <f t="shared" ref="BZ23" si="155">BY29</f>
        <v>3.2688998334284904</v>
      </c>
      <c r="CA23" s="25">
        <f t="shared" ref="CA23" si="156">BZ29</f>
        <v>3.3088834166190879</v>
      </c>
      <c r="CB23" s="25">
        <f t="shared" ref="CB23" si="157">CA29</f>
        <v>3.2888916250237892</v>
      </c>
      <c r="CC23" s="25">
        <f t="shared" ref="CC23" si="158">CB29</f>
        <v>3.2988875208214385</v>
      </c>
      <c r="CD23" s="25">
        <f t="shared" ref="CD23" si="159">CC29</f>
        <v>3.6138895729226141</v>
      </c>
      <c r="CE23" s="25">
        <f t="shared" ref="CE23" si="160">CD29</f>
        <v>3.4563885468720259</v>
      </c>
      <c r="CF23" s="25">
        <f t="shared" ref="CF23" si="161">CE29</f>
        <v>3.5351390598973205</v>
      </c>
      <c r="CG23" s="25">
        <f t="shared" ref="CG23" si="162">CF29</f>
        <v>3.4957638033846732</v>
      </c>
      <c r="CH23" s="25">
        <f t="shared" ref="CH23" si="163">CG29</f>
        <v>3.5154514316409968</v>
      </c>
      <c r="CI23" s="25">
        <f t="shared" ref="CI23" si="164">CH29</f>
        <v>3.5056076175128354</v>
      </c>
      <c r="CJ23" s="25">
        <f t="shared" ref="CJ23" si="165">CI29</f>
        <v>3.5105295245769157</v>
      </c>
      <c r="CK23" s="25">
        <f t="shared" ref="CK23" si="166">CJ29</f>
        <v>3.5080685710448756</v>
      </c>
      <c r="CL23" s="25">
        <f t="shared" ref="CL23" si="167">CK29</f>
        <v>3.5092990478108956</v>
      </c>
      <c r="CM23" s="25">
        <f t="shared" ref="CM23" si="168">CL29</f>
        <v>3.5086838094278856</v>
      </c>
      <c r="CN23" s="25">
        <f t="shared" ref="CN23" si="169">CM29</f>
        <v>3.5089914286193911</v>
      </c>
      <c r="CO23" s="25">
        <f t="shared" ref="CO23" si="170">CN29</f>
        <v>3.5088376190236379</v>
      </c>
      <c r="CP23" s="25">
        <f t="shared" ref="CP23" si="171">CO29</f>
        <v>3.5089145238215145</v>
      </c>
      <c r="CQ23" s="25">
        <f t="shared" ref="CQ23" si="172">CP29</f>
        <v>3.5088760714225757</v>
      </c>
      <c r="CR23" s="25">
        <f t="shared" ref="CR23" si="173">CQ29</f>
        <v>3.5088952976220456</v>
      </c>
      <c r="CS23" s="25">
        <f t="shared" ref="CS23" si="174">CR29</f>
        <v>3.5088856845223106</v>
      </c>
      <c r="CT23" s="25">
        <f t="shared" ref="CT23" si="175">CS29</f>
        <v>3.5088904910721781</v>
      </c>
      <c r="CU23" s="25">
        <f t="shared" ref="CU23" si="176">CT29</f>
        <v>3.1888880877972441</v>
      </c>
      <c r="CV23" s="57">
        <f t="shared" ref="CV23" si="177">CU29</f>
        <v>3.3488892894347111</v>
      </c>
      <c r="CW23" s="19">
        <f t="shared" ref="CW23" si="178">CV29</f>
        <v>3.2688886886159776</v>
      </c>
      <c r="CX23" s="25">
        <f t="shared" ref="CX23" si="179">CW29</f>
        <v>3.3088889890253443</v>
      </c>
      <c r="CY23" s="25">
        <f t="shared" ref="CY23" si="180">CX29</f>
        <v>3.2888888388206614</v>
      </c>
      <c r="CZ23" s="25">
        <f t="shared" ref="CZ23" si="181">CY29</f>
        <v>3.2988889139230024</v>
      </c>
      <c r="DA23" s="25">
        <f t="shared" ref="DA23" si="182">CZ29</f>
        <v>3.2938888763718324</v>
      </c>
      <c r="DB23" s="25">
        <f t="shared" ref="DB23" si="183">DA29</f>
        <v>3.6163888951474168</v>
      </c>
      <c r="DC23" s="25">
        <f t="shared" ref="DC23" si="184">DB29</f>
        <v>3.455138885759625</v>
      </c>
      <c r="DD23" s="25">
        <f t="shared" ref="DD23" si="185">DC29</f>
        <v>3.5357638904535205</v>
      </c>
      <c r="DE23" s="25">
        <f t="shared" ref="DE23" si="186">DD29</f>
        <v>3.4954513881065732</v>
      </c>
      <c r="DF23" s="25">
        <f t="shared" ref="DF23" si="187">DE29</f>
        <v>3.5156076392800473</v>
      </c>
      <c r="DG23" s="25">
        <f t="shared" ref="DG23" si="188">DF29</f>
        <v>3.5055295136933098</v>
      </c>
      <c r="DH23" s="25">
        <f t="shared" ref="DH23" si="189">DG29</f>
        <v>3.5105685764866785</v>
      </c>
      <c r="DI23" s="25">
        <f t="shared" ref="DI23" si="190">DH29</f>
        <v>3.5080490450899942</v>
      </c>
      <c r="DJ23" s="25">
        <f t="shared" ref="DJ23" si="191">DI29</f>
        <v>3.5093088107883363</v>
      </c>
      <c r="DK23" s="25">
        <f t="shared" ref="DK23" si="192">DJ29</f>
        <v>3.5086789279391657</v>
      </c>
      <c r="DL23" s="25">
        <f t="shared" ref="DL23" si="193">DK29</f>
        <v>3.5089938693637506</v>
      </c>
      <c r="DM23" s="25">
        <f t="shared" ref="DM23" si="194">DL29</f>
        <v>3.5088363986514577</v>
      </c>
      <c r="DN23" s="25">
        <f t="shared" ref="DN23" si="195">DM29</f>
        <v>3.5089151340076046</v>
      </c>
      <c r="DO23" s="25">
        <f t="shared" ref="DO23" si="196">DN29</f>
        <v>3.5088757663295316</v>
      </c>
      <c r="DP23" s="25">
        <f t="shared" ref="DP23" si="197">DO29</f>
        <v>3.5088954501685676</v>
      </c>
      <c r="DQ23" s="25">
        <f t="shared" ref="DQ23" si="198">DP29</f>
        <v>3.5088856082490492</v>
      </c>
      <c r="DR23" s="25">
        <f t="shared" ref="DR23" si="199">DQ29</f>
        <v>3.5088905292088088</v>
      </c>
      <c r="DS23" s="25">
        <f t="shared" ref="DS23" si="200">DR29</f>
        <v>3.1888880687289292</v>
      </c>
      <c r="DT23" s="25">
        <f t="shared" ref="DT23" si="201">DS29</f>
        <v>3.3488892989688686</v>
      </c>
    </row>
    <row r="24" spans="2:124" s="2" customFormat="1" hidden="1" x14ac:dyDescent="0.2">
      <c r="B24" s="20" t="s">
        <v>21</v>
      </c>
      <c r="C24" s="75"/>
      <c r="D24" s="141">
        <f>10/15</f>
        <v>0.66666666666666663</v>
      </c>
      <c r="E24" s="26">
        <f t="shared" ref="E24:AJ24" si="202">IF(D41="T",-$D$24*0.5,$D$24)</f>
        <v>-0.33333333333333331</v>
      </c>
      <c r="F24" s="27">
        <f t="shared" si="202"/>
        <v>-0.33333333333333331</v>
      </c>
      <c r="G24" s="27">
        <f t="shared" si="202"/>
        <v>-0.33333333333333331</v>
      </c>
      <c r="H24" s="27">
        <f t="shared" si="202"/>
        <v>-0.33333333333333331</v>
      </c>
      <c r="I24" s="27">
        <f t="shared" si="202"/>
        <v>0.66666666666666663</v>
      </c>
      <c r="J24" s="27">
        <f t="shared" si="202"/>
        <v>0.66666666666666663</v>
      </c>
      <c r="K24" s="27">
        <f t="shared" si="202"/>
        <v>0.66666666666666663</v>
      </c>
      <c r="L24" s="27">
        <f t="shared" si="202"/>
        <v>0.66666666666666663</v>
      </c>
      <c r="M24" s="27">
        <f t="shared" si="202"/>
        <v>0.66666666666666663</v>
      </c>
      <c r="N24" s="27">
        <f t="shared" si="202"/>
        <v>0.66666666666666663</v>
      </c>
      <c r="O24" s="27">
        <f t="shared" si="202"/>
        <v>0.66666666666666663</v>
      </c>
      <c r="P24" s="27">
        <f t="shared" si="202"/>
        <v>0.66666666666666663</v>
      </c>
      <c r="Q24" s="27">
        <f t="shared" si="202"/>
        <v>0.66666666666666663</v>
      </c>
      <c r="R24" s="27">
        <f t="shared" si="202"/>
        <v>0.66666666666666663</v>
      </c>
      <c r="S24" s="27">
        <f t="shared" si="202"/>
        <v>0.66666666666666663</v>
      </c>
      <c r="T24" s="27">
        <f t="shared" si="202"/>
        <v>0.66666666666666663</v>
      </c>
      <c r="U24" s="27">
        <f t="shared" si="202"/>
        <v>0.66666666666666663</v>
      </c>
      <c r="V24" s="27">
        <f t="shared" si="202"/>
        <v>0.66666666666666663</v>
      </c>
      <c r="W24" s="27">
        <f t="shared" si="202"/>
        <v>0.66666666666666663</v>
      </c>
      <c r="X24" s="27">
        <f t="shared" si="202"/>
        <v>0.66666666666666663</v>
      </c>
      <c r="Y24" s="27">
        <f t="shared" si="202"/>
        <v>0.66666666666666663</v>
      </c>
      <c r="Z24" s="27">
        <f t="shared" si="202"/>
        <v>0.66666666666666663</v>
      </c>
      <c r="AA24" s="27">
        <f t="shared" si="202"/>
        <v>-0.33333333333333331</v>
      </c>
      <c r="AB24" s="60">
        <f t="shared" si="202"/>
        <v>-0.33333333333333331</v>
      </c>
      <c r="AC24" s="26">
        <f t="shared" si="202"/>
        <v>-0.33333333333333331</v>
      </c>
      <c r="AD24" s="27">
        <f t="shared" si="202"/>
        <v>-0.33333333333333331</v>
      </c>
      <c r="AE24" s="27">
        <f t="shared" si="202"/>
        <v>-0.33333333333333331</v>
      </c>
      <c r="AF24" s="27">
        <f t="shared" si="202"/>
        <v>-0.33333333333333331</v>
      </c>
      <c r="AG24" s="27">
        <f t="shared" si="202"/>
        <v>-0.33333333333333331</v>
      </c>
      <c r="AH24" s="27">
        <f t="shared" si="202"/>
        <v>-0.33333333333333331</v>
      </c>
      <c r="AI24" s="27">
        <f t="shared" si="202"/>
        <v>-0.33333333333333331</v>
      </c>
      <c r="AJ24" s="27">
        <f t="shared" si="202"/>
        <v>-0.33333333333333331</v>
      </c>
      <c r="AK24" s="27">
        <f t="shared" ref="AK24:BP24" si="203">IF(AJ41="T",-$D$24*0.5,$D$24)</f>
        <v>-0.33333333333333331</v>
      </c>
      <c r="AL24" s="27">
        <f t="shared" si="203"/>
        <v>-0.33333333333333331</v>
      </c>
      <c r="AM24" s="27">
        <f t="shared" si="203"/>
        <v>-0.33333333333333331</v>
      </c>
      <c r="AN24" s="27">
        <f t="shared" si="203"/>
        <v>-0.33333333333333331</v>
      </c>
      <c r="AO24" s="27">
        <f t="shared" si="203"/>
        <v>-0.33333333333333331</v>
      </c>
      <c r="AP24" s="27">
        <f t="shared" si="203"/>
        <v>-0.33333333333333331</v>
      </c>
      <c r="AQ24" s="27">
        <f t="shared" si="203"/>
        <v>-0.33333333333333331</v>
      </c>
      <c r="AR24" s="27">
        <f t="shared" si="203"/>
        <v>-0.33333333333333331</v>
      </c>
      <c r="AS24" s="27">
        <f t="shared" si="203"/>
        <v>-0.33333333333333331</v>
      </c>
      <c r="AT24" s="27">
        <f t="shared" si="203"/>
        <v>-0.33333333333333331</v>
      </c>
      <c r="AU24" s="27">
        <f t="shared" si="203"/>
        <v>-0.33333333333333331</v>
      </c>
      <c r="AV24" s="27">
        <f t="shared" si="203"/>
        <v>-0.33333333333333331</v>
      </c>
      <c r="AW24" s="27">
        <f t="shared" si="203"/>
        <v>-0.33333333333333331</v>
      </c>
      <c r="AX24" s="27">
        <f t="shared" si="203"/>
        <v>-0.33333333333333331</v>
      </c>
      <c r="AY24" s="27">
        <f t="shared" si="203"/>
        <v>-0.33333333333333331</v>
      </c>
      <c r="AZ24" s="60">
        <f t="shared" si="203"/>
        <v>-0.33333333333333331</v>
      </c>
      <c r="BA24" s="26">
        <f t="shared" si="203"/>
        <v>-0.33333333333333331</v>
      </c>
      <c r="BB24" s="27">
        <f t="shared" si="203"/>
        <v>-0.33333333333333331</v>
      </c>
      <c r="BC24" s="27">
        <f t="shared" si="203"/>
        <v>-0.33333333333333331</v>
      </c>
      <c r="BD24" s="27">
        <f t="shared" si="203"/>
        <v>-0.33333333333333331</v>
      </c>
      <c r="BE24" s="27">
        <f t="shared" si="203"/>
        <v>0.66666666666666663</v>
      </c>
      <c r="BF24" s="27">
        <f t="shared" si="203"/>
        <v>0.66666666666666663</v>
      </c>
      <c r="BG24" s="27">
        <f t="shared" si="203"/>
        <v>0.66666666666666663</v>
      </c>
      <c r="BH24" s="27">
        <f t="shared" si="203"/>
        <v>0.66666666666666663</v>
      </c>
      <c r="BI24" s="27">
        <f t="shared" si="203"/>
        <v>0.66666666666666663</v>
      </c>
      <c r="BJ24" s="27">
        <f t="shared" si="203"/>
        <v>0.66666666666666663</v>
      </c>
      <c r="BK24" s="27">
        <f t="shared" si="203"/>
        <v>0.66666666666666663</v>
      </c>
      <c r="BL24" s="27">
        <f t="shared" si="203"/>
        <v>0.66666666666666663</v>
      </c>
      <c r="BM24" s="27">
        <f t="shared" si="203"/>
        <v>0.66666666666666663</v>
      </c>
      <c r="BN24" s="27">
        <f t="shared" si="203"/>
        <v>0.66666666666666663</v>
      </c>
      <c r="BO24" s="27">
        <f t="shared" si="203"/>
        <v>0.66666666666666663</v>
      </c>
      <c r="BP24" s="27">
        <f t="shared" si="203"/>
        <v>0.66666666666666663</v>
      </c>
      <c r="BQ24" s="27">
        <f t="shared" ref="BQ24:CV24" si="204">IF(BP41="T",-$D$24*0.5,$D$24)</f>
        <v>0.66666666666666663</v>
      </c>
      <c r="BR24" s="27">
        <f t="shared" si="204"/>
        <v>0.66666666666666663</v>
      </c>
      <c r="BS24" s="27">
        <f t="shared" si="204"/>
        <v>0.66666666666666663</v>
      </c>
      <c r="BT24" s="27">
        <f t="shared" si="204"/>
        <v>0.66666666666666663</v>
      </c>
      <c r="BU24" s="27">
        <f t="shared" si="204"/>
        <v>0.66666666666666663</v>
      </c>
      <c r="BV24" s="27">
        <f t="shared" si="204"/>
        <v>0.66666666666666663</v>
      </c>
      <c r="BW24" s="27">
        <f t="shared" si="204"/>
        <v>-0.33333333333333331</v>
      </c>
      <c r="BX24" s="60">
        <f t="shared" si="204"/>
        <v>-0.33333333333333331</v>
      </c>
      <c r="BY24" s="26">
        <f t="shared" si="204"/>
        <v>-0.33333333333333331</v>
      </c>
      <c r="BZ24" s="27">
        <f t="shared" si="204"/>
        <v>-0.33333333333333331</v>
      </c>
      <c r="CA24" s="27">
        <f t="shared" si="204"/>
        <v>-0.33333333333333331</v>
      </c>
      <c r="CB24" s="27">
        <f t="shared" si="204"/>
        <v>-0.33333333333333331</v>
      </c>
      <c r="CC24" s="27">
        <f t="shared" si="204"/>
        <v>0.66666666666666663</v>
      </c>
      <c r="CD24" s="27">
        <f t="shared" si="204"/>
        <v>0.66666666666666663</v>
      </c>
      <c r="CE24" s="27">
        <f t="shared" si="204"/>
        <v>0.66666666666666663</v>
      </c>
      <c r="CF24" s="27">
        <f t="shared" si="204"/>
        <v>0.66666666666666663</v>
      </c>
      <c r="CG24" s="27">
        <f t="shared" si="204"/>
        <v>0.66666666666666663</v>
      </c>
      <c r="CH24" s="27">
        <f t="shared" si="204"/>
        <v>0.66666666666666663</v>
      </c>
      <c r="CI24" s="27">
        <f t="shared" si="204"/>
        <v>0.66666666666666663</v>
      </c>
      <c r="CJ24" s="27">
        <f t="shared" si="204"/>
        <v>0.66666666666666663</v>
      </c>
      <c r="CK24" s="27">
        <f t="shared" si="204"/>
        <v>0.66666666666666663</v>
      </c>
      <c r="CL24" s="27">
        <f t="shared" si="204"/>
        <v>0.66666666666666663</v>
      </c>
      <c r="CM24" s="27">
        <f t="shared" si="204"/>
        <v>0.66666666666666663</v>
      </c>
      <c r="CN24" s="27">
        <f t="shared" si="204"/>
        <v>0.66666666666666663</v>
      </c>
      <c r="CO24" s="27">
        <f t="shared" si="204"/>
        <v>0.66666666666666663</v>
      </c>
      <c r="CP24" s="27">
        <f t="shared" si="204"/>
        <v>0.66666666666666663</v>
      </c>
      <c r="CQ24" s="27">
        <f t="shared" si="204"/>
        <v>0.66666666666666663</v>
      </c>
      <c r="CR24" s="27">
        <f t="shared" si="204"/>
        <v>0.66666666666666663</v>
      </c>
      <c r="CS24" s="27">
        <f t="shared" si="204"/>
        <v>0.66666666666666663</v>
      </c>
      <c r="CT24" s="27">
        <f t="shared" si="204"/>
        <v>-0.33333333333333331</v>
      </c>
      <c r="CU24" s="27">
        <f t="shared" si="204"/>
        <v>-0.33333333333333331</v>
      </c>
      <c r="CV24" s="60">
        <f t="shared" si="204"/>
        <v>-0.33333333333333331</v>
      </c>
      <c r="CW24" s="26">
        <f t="shared" ref="CW24:DT24" si="205">IF(CV41="T",-$D$24*0.5,$D$24)</f>
        <v>-0.33333333333333331</v>
      </c>
      <c r="CX24" s="27">
        <f t="shared" si="205"/>
        <v>-0.33333333333333331</v>
      </c>
      <c r="CY24" s="27">
        <f t="shared" si="205"/>
        <v>-0.33333333333333331</v>
      </c>
      <c r="CZ24" s="27">
        <f t="shared" si="205"/>
        <v>-0.33333333333333331</v>
      </c>
      <c r="DA24" s="27">
        <f t="shared" si="205"/>
        <v>0.66666666666666663</v>
      </c>
      <c r="DB24" s="27">
        <f t="shared" si="205"/>
        <v>0.66666666666666663</v>
      </c>
      <c r="DC24" s="27">
        <f t="shared" si="205"/>
        <v>0.66666666666666663</v>
      </c>
      <c r="DD24" s="27">
        <f t="shared" si="205"/>
        <v>0.66666666666666663</v>
      </c>
      <c r="DE24" s="27">
        <f t="shared" si="205"/>
        <v>0.66666666666666663</v>
      </c>
      <c r="DF24" s="27">
        <f t="shared" si="205"/>
        <v>0.66666666666666663</v>
      </c>
      <c r="DG24" s="27">
        <f t="shared" si="205"/>
        <v>0.66666666666666663</v>
      </c>
      <c r="DH24" s="27">
        <f t="shared" si="205"/>
        <v>0.66666666666666663</v>
      </c>
      <c r="DI24" s="27">
        <f t="shared" si="205"/>
        <v>0.66666666666666663</v>
      </c>
      <c r="DJ24" s="27">
        <f t="shared" si="205"/>
        <v>0.66666666666666663</v>
      </c>
      <c r="DK24" s="27">
        <f t="shared" si="205"/>
        <v>0.66666666666666663</v>
      </c>
      <c r="DL24" s="27">
        <f t="shared" si="205"/>
        <v>0.66666666666666663</v>
      </c>
      <c r="DM24" s="27">
        <f t="shared" si="205"/>
        <v>0.66666666666666663</v>
      </c>
      <c r="DN24" s="27">
        <f t="shared" si="205"/>
        <v>0.66666666666666663</v>
      </c>
      <c r="DO24" s="27">
        <f t="shared" si="205"/>
        <v>0.66666666666666663</v>
      </c>
      <c r="DP24" s="27">
        <f t="shared" si="205"/>
        <v>0.66666666666666663</v>
      </c>
      <c r="DQ24" s="27">
        <f t="shared" si="205"/>
        <v>0.66666666666666663</v>
      </c>
      <c r="DR24" s="27">
        <f t="shared" si="205"/>
        <v>-0.33333333333333331</v>
      </c>
      <c r="DS24" s="27">
        <f t="shared" si="205"/>
        <v>-0.33333333333333331</v>
      </c>
      <c r="DT24" s="27">
        <f t="shared" si="205"/>
        <v>-0.33333333333333331</v>
      </c>
    </row>
    <row r="25" spans="2:124" s="12" customFormat="1" hidden="1" x14ac:dyDescent="0.2">
      <c r="B25" s="28" t="s">
        <v>14</v>
      </c>
      <c r="C25" s="75"/>
      <c r="D25" s="139">
        <v>-0.2</v>
      </c>
      <c r="E25" s="29">
        <f>IF(D41="T",-0.2,0.1)</f>
        <v>-0.2</v>
      </c>
      <c r="F25" s="12">
        <f t="shared" ref="F25:BQ25" si="206">IF(E41="T",-0.2,0.1)</f>
        <v>-0.2</v>
      </c>
      <c r="G25" s="12">
        <f t="shared" si="206"/>
        <v>-0.2</v>
      </c>
      <c r="H25" s="12">
        <f t="shared" si="206"/>
        <v>-0.2</v>
      </c>
      <c r="I25" s="12">
        <f t="shared" si="206"/>
        <v>0.1</v>
      </c>
      <c r="J25" s="12">
        <f t="shared" si="206"/>
        <v>0.1</v>
      </c>
      <c r="K25" s="12">
        <f t="shared" si="206"/>
        <v>0.1</v>
      </c>
      <c r="L25" s="12">
        <f t="shared" si="206"/>
        <v>0.1</v>
      </c>
      <c r="M25" s="12">
        <f t="shared" si="206"/>
        <v>0.1</v>
      </c>
      <c r="N25" s="12">
        <f t="shared" si="206"/>
        <v>0.1</v>
      </c>
      <c r="O25" s="12">
        <f t="shared" si="206"/>
        <v>0.1</v>
      </c>
      <c r="P25" s="12">
        <f t="shared" si="206"/>
        <v>0.1</v>
      </c>
      <c r="Q25" s="12">
        <f t="shared" si="206"/>
        <v>0.1</v>
      </c>
      <c r="R25" s="12">
        <f t="shared" si="206"/>
        <v>0.1</v>
      </c>
      <c r="S25" s="12">
        <f t="shared" si="206"/>
        <v>0.1</v>
      </c>
      <c r="T25" s="12">
        <f t="shared" si="206"/>
        <v>0.1</v>
      </c>
      <c r="U25" s="12">
        <f t="shared" si="206"/>
        <v>0.1</v>
      </c>
      <c r="V25" s="12">
        <f t="shared" si="206"/>
        <v>0.1</v>
      </c>
      <c r="W25" s="12">
        <f t="shared" si="206"/>
        <v>0.1</v>
      </c>
      <c r="X25" s="12">
        <f t="shared" si="206"/>
        <v>0.1</v>
      </c>
      <c r="Y25" s="12">
        <f t="shared" si="206"/>
        <v>0.1</v>
      </c>
      <c r="Z25" s="12">
        <f t="shared" si="206"/>
        <v>0.1</v>
      </c>
      <c r="AA25" s="12">
        <f t="shared" si="206"/>
        <v>-0.2</v>
      </c>
      <c r="AB25" s="61">
        <f t="shared" si="206"/>
        <v>-0.2</v>
      </c>
      <c r="AC25" s="29">
        <f t="shared" si="206"/>
        <v>-0.2</v>
      </c>
      <c r="AD25" s="12">
        <f t="shared" si="206"/>
        <v>-0.2</v>
      </c>
      <c r="AE25" s="12">
        <f t="shared" si="206"/>
        <v>-0.2</v>
      </c>
      <c r="AF25" s="12">
        <f t="shared" si="206"/>
        <v>-0.2</v>
      </c>
      <c r="AG25" s="12">
        <f t="shared" si="206"/>
        <v>-0.2</v>
      </c>
      <c r="AH25" s="12">
        <f t="shared" si="206"/>
        <v>-0.2</v>
      </c>
      <c r="AI25" s="12">
        <f t="shared" si="206"/>
        <v>-0.2</v>
      </c>
      <c r="AJ25" s="12">
        <f t="shared" si="206"/>
        <v>-0.2</v>
      </c>
      <c r="AK25" s="12">
        <f t="shared" si="206"/>
        <v>-0.2</v>
      </c>
      <c r="AL25" s="12">
        <f t="shared" si="206"/>
        <v>-0.2</v>
      </c>
      <c r="AM25" s="12">
        <f t="shared" si="206"/>
        <v>-0.2</v>
      </c>
      <c r="AN25" s="12">
        <f t="shared" si="206"/>
        <v>-0.2</v>
      </c>
      <c r="AO25" s="12">
        <f t="shared" si="206"/>
        <v>-0.2</v>
      </c>
      <c r="AP25" s="12">
        <f t="shared" si="206"/>
        <v>-0.2</v>
      </c>
      <c r="AQ25" s="12">
        <f t="shared" si="206"/>
        <v>-0.2</v>
      </c>
      <c r="AR25" s="12">
        <f t="shared" si="206"/>
        <v>-0.2</v>
      </c>
      <c r="AS25" s="12">
        <f t="shared" si="206"/>
        <v>-0.2</v>
      </c>
      <c r="AT25" s="12">
        <f t="shared" si="206"/>
        <v>-0.2</v>
      </c>
      <c r="AU25" s="12">
        <f t="shared" si="206"/>
        <v>-0.2</v>
      </c>
      <c r="AV25" s="12">
        <f t="shared" si="206"/>
        <v>-0.2</v>
      </c>
      <c r="AW25" s="12">
        <f t="shared" si="206"/>
        <v>-0.2</v>
      </c>
      <c r="AX25" s="12">
        <f t="shared" si="206"/>
        <v>-0.2</v>
      </c>
      <c r="AY25" s="12">
        <f t="shared" si="206"/>
        <v>-0.2</v>
      </c>
      <c r="AZ25" s="61">
        <f t="shared" si="206"/>
        <v>-0.2</v>
      </c>
      <c r="BA25" s="29">
        <f t="shared" si="206"/>
        <v>-0.2</v>
      </c>
      <c r="BB25" s="12">
        <f t="shared" si="206"/>
        <v>-0.2</v>
      </c>
      <c r="BC25" s="12">
        <f t="shared" si="206"/>
        <v>-0.2</v>
      </c>
      <c r="BD25" s="12">
        <f t="shared" si="206"/>
        <v>-0.2</v>
      </c>
      <c r="BE25" s="12">
        <f t="shared" si="206"/>
        <v>0.1</v>
      </c>
      <c r="BF25" s="12">
        <f t="shared" si="206"/>
        <v>0.1</v>
      </c>
      <c r="BG25" s="12">
        <f t="shared" si="206"/>
        <v>0.1</v>
      </c>
      <c r="BH25" s="12">
        <f t="shared" si="206"/>
        <v>0.1</v>
      </c>
      <c r="BI25" s="12">
        <f t="shared" si="206"/>
        <v>0.1</v>
      </c>
      <c r="BJ25" s="12">
        <f t="shared" si="206"/>
        <v>0.1</v>
      </c>
      <c r="BK25" s="12">
        <f t="shared" si="206"/>
        <v>0.1</v>
      </c>
      <c r="BL25" s="12">
        <f t="shared" si="206"/>
        <v>0.1</v>
      </c>
      <c r="BM25" s="12">
        <f t="shared" si="206"/>
        <v>0.1</v>
      </c>
      <c r="BN25" s="12">
        <f t="shared" si="206"/>
        <v>0.1</v>
      </c>
      <c r="BO25" s="12">
        <f t="shared" si="206"/>
        <v>0.1</v>
      </c>
      <c r="BP25" s="12">
        <f t="shared" si="206"/>
        <v>0.1</v>
      </c>
      <c r="BQ25" s="12">
        <f t="shared" si="206"/>
        <v>0.1</v>
      </c>
      <c r="BR25" s="12">
        <f t="shared" ref="BR25:CV25" si="207">IF(BQ41="T",-0.2,0.1)</f>
        <v>0.1</v>
      </c>
      <c r="BS25" s="12">
        <f t="shared" si="207"/>
        <v>0.1</v>
      </c>
      <c r="BT25" s="12">
        <f t="shared" si="207"/>
        <v>0.1</v>
      </c>
      <c r="BU25" s="12">
        <f t="shared" si="207"/>
        <v>0.1</v>
      </c>
      <c r="BV25" s="12">
        <f t="shared" si="207"/>
        <v>0.1</v>
      </c>
      <c r="BW25" s="12">
        <f t="shared" si="207"/>
        <v>-0.2</v>
      </c>
      <c r="BX25" s="61">
        <f t="shared" si="207"/>
        <v>-0.2</v>
      </c>
      <c r="BY25" s="29">
        <f t="shared" si="207"/>
        <v>-0.2</v>
      </c>
      <c r="BZ25" s="12">
        <f t="shared" si="207"/>
        <v>-0.2</v>
      </c>
      <c r="CA25" s="12">
        <f t="shared" si="207"/>
        <v>-0.2</v>
      </c>
      <c r="CB25" s="12">
        <f t="shared" si="207"/>
        <v>-0.2</v>
      </c>
      <c r="CC25" s="12">
        <f t="shared" si="207"/>
        <v>0.1</v>
      </c>
      <c r="CD25" s="12">
        <f t="shared" si="207"/>
        <v>0.1</v>
      </c>
      <c r="CE25" s="12">
        <f t="shared" si="207"/>
        <v>0.1</v>
      </c>
      <c r="CF25" s="12">
        <f t="shared" si="207"/>
        <v>0.1</v>
      </c>
      <c r="CG25" s="12">
        <f t="shared" si="207"/>
        <v>0.1</v>
      </c>
      <c r="CH25" s="12">
        <f t="shared" si="207"/>
        <v>0.1</v>
      </c>
      <c r="CI25" s="12">
        <f t="shared" si="207"/>
        <v>0.1</v>
      </c>
      <c r="CJ25" s="12">
        <f t="shared" si="207"/>
        <v>0.1</v>
      </c>
      <c r="CK25" s="12">
        <f t="shared" si="207"/>
        <v>0.1</v>
      </c>
      <c r="CL25" s="12">
        <f t="shared" si="207"/>
        <v>0.1</v>
      </c>
      <c r="CM25" s="12">
        <f t="shared" si="207"/>
        <v>0.1</v>
      </c>
      <c r="CN25" s="12">
        <f t="shared" si="207"/>
        <v>0.1</v>
      </c>
      <c r="CO25" s="12">
        <f t="shared" si="207"/>
        <v>0.1</v>
      </c>
      <c r="CP25" s="12">
        <f t="shared" si="207"/>
        <v>0.1</v>
      </c>
      <c r="CQ25" s="12">
        <f t="shared" si="207"/>
        <v>0.1</v>
      </c>
      <c r="CR25" s="12">
        <f t="shared" si="207"/>
        <v>0.1</v>
      </c>
      <c r="CS25" s="12">
        <f t="shared" si="207"/>
        <v>0.1</v>
      </c>
      <c r="CT25" s="12">
        <f t="shared" si="207"/>
        <v>-0.2</v>
      </c>
      <c r="CU25" s="12">
        <f t="shared" si="207"/>
        <v>-0.2</v>
      </c>
      <c r="CV25" s="61">
        <f t="shared" si="207"/>
        <v>-0.2</v>
      </c>
      <c r="CW25" s="29">
        <f t="shared" ref="CW25:DT25" si="208">IF(CV41="T",-0.2,0.1)</f>
        <v>-0.2</v>
      </c>
      <c r="CX25" s="12">
        <f t="shared" si="208"/>
        <v>-0.2</v>
      </c>
      <c r="CY25" s="12">
        <f t="shared" si="208"/>
        <v>-0.2</v>
      </c>
      <c r="CZ25" s="12">
        <f t="shared" si="208"/>
        <v>-0.2</v>
      </c>
      <c r="DA25" s="12">
        <f t="shared" si="208"/>
        <v>0.1</v>
      </c>
      <c r="DB25" s="12">
        <f t="shared" si="208"/>
        <v>0.1</v>
      </c>
      <c r="DC25" s="12">
        <f t="shared" si="208"/>
        <v>0.1</v>
      </c>
      <c r="DD25" s="12">
        <f t="shared" si="208"/>
        <v>0.1</v>
      </c>
      <c r="DE25" s="12">
        <f t="shared" si="208"/>
        <v>0.1</v>
      </c>
      <c r="DF25" s="12">
        <f t="shared" si="208"/>
        <v>0.1</v>
      </c>
      <c r="DG25" s="12">
        <f t="shared" si="208"/>
        <v>0.1</v>
      </c>
      <c r="DH25" s="12">
        <f t="shared" si="208"/>
        <v>0.1</v>
      </c>
      <c r="DI25" s="12">
        <f t="shared" si="208"/>
        <v>0.1</v>
      </c>
      <c r="DJ25" s="12">
        <f t="shared" si="208"/>
        <v>0.1</v>
      </c>
      <c r="DK25" s="12">
        <f t="shared" si="208"/>
        <v>0.1</v>
      </c>
      <c r="DL25" s="12">
        <f t="shared" si="208"/>
        <v>0.1</v>
      </c>
      <c r="DM25" s="12">
        <f t="shared" si="208"/>
        <v>0.1</v>
      </c>
      <c r="DN25" s="12">
        <f t="shared" si="208"/>
        <v>0.1</v>
      </c>
      <c r="DO25" s="12">
        <f t="shared" si="208"/>
        <v>0.1</v>
      </c>
      <c r="DP25" s="12">
        <f t="shared" si="208"/>
        <v>0.1</v>
      </c>
      <c r="DQ25" s="12">
        <f t="shared" si="208"/>
        <v>0.1</v>
      </c>
      <c r="DR25" s="12">
        <f t="shared" si="208"/>
        <v>-0.2</v>
      </c>
      <c r="DS25" s="12">
        <f t="shared" si="208"/>
        <v>-0.2</v>
      </c>
      <c r="DT25" s="12">
        <f t="shared" si="208"/>
        <v>-0.2</v>
      </c>
    </row>
    <row r="26" spans="2:124" hidden="1" x14ac:dyDescent="0.2">
      <c r="B26" s="3" t="s">
        <v>15</v>
      </c>
      <c r="D26" s="145">
        <v>1</v>
      </c>
      <c r="E26" s="30">
        <v>1.06</v>
      </c>
      <c r="F26" s="31">
        <v>1.06</v>
      </c>
      <c r="G26" s="31">
        <v>1.06</v>
      </c>
      <c r="H26" s="31">
        <v>1.06</v>
      </c>
      <c r="I26" s="31">
        <v>1.06</v>
      </c>
      <c r="J26" s="31">
        <v>1.06</v>
      </c>
      <c r="K26" s="31">
        <v>1.06</v>
      </c>
      <c r="L26" s="31">
        <v>1.06</v>
      </c>
      <c r="M26" s="31">
        <v>1.06</v>
      </c>
      <c r="N26" s="31">
        <v>1.06</v>
      </c>
      <c r="O26" s="31">
        <v>1.06</v>
      </c>
      <c r="P26" s="31">
        <v>1.06</v>
      </c>
      <c r="Q26" s="31">
        <v>1.06</v>
      </c>
      <c r="R26" s="31">
        <v>1.06</v>
      </c>
      <c r="S26" s="31">
        <v>1.06</v>
      </c>
      <c r="T26" s="31">
        <v>1.06</v>
      </c>
      <c r="U26" s="31">
        <v>1.06</v>
      </c>
      <c r="V26" s="31">
        <v>1.06</v>
      </c>
      <c r="W26" s="31">
        <v>1.06</v>
      </c>
      <c r="X26" s="31">
        <v>1.06</v>
      </c>
      <c r="Y26" s="31">
        <v>1.06</v>
      </c>
      <c r="Z26" s="31">
        <v>1.06</v>
      </c>
      <c r="AA26" s="31">
        <v>1.06</v>
      </c>
      <c r="AB26" s="62">
        <v>1.06</v>
      </c>
      <c r="AC26" s="30">
        <v>1.06</v>
      </c>
      <c r="AD26" s="31">
        <v>1.06</v>
      </c>
      <c r="AE26" s="31">
        <v>1.06</v>
      </c>
      <c r="AF26" s="31">
        <v>1.06</v>
      </c>
      <c r="AG26" s="31">
        <v>1.06</v>
      </c>
      <c r="AH26" s="31">
        <v>1.06</v>
      </c>
      <c r="AI26" s="31">
        <v>1.06</v>
      </c>
      <c r="AJ26" s="31">
        <v>1.06</v>
      </c>
      <c r="AK26" s="31">
        <v>1.06</v>
      </c>
      <c r="AL26" s="31">
        <v>1.06</v>
      </c>
      <c r="AM26" s="31">
        <v>1.06</v>
      </c>
      <c r="AN26" s="31">
        <v>1.06</v>
      </c>
      <c r="AO26" s="31">
        <v>1.06</v>
      </c>
      <c r="AP26" s="31">
        <v>1.06</v>
      </c>
      <c r="AQ26" s="31">
        <v>1.06</v>
      </c>
      <c r="AR26" s="31">
        <v>1.06</v>
      </c>
      <c r="AS26" s="31">
        <v>1.06</v>
      </c>
      <c r="AT26" s="31">
        <v>1.06</v>
      </c>
      <c r="AU26" s="31">
        <v>1.06</v>
      </c>
      <c r="AV26" s="31">
        <v>1.06</v>
      </c>
      <c r="AW26" s="31">
        <v>1.06</v>
      </c>
      <c r="AX26" s="31">
        <v>1.06</v>
      </c>
      <c r="AY26" s="31">
        <v>1.06</v>
      </c>
      <c r="AZ26" s="62">
        <v>1.06</v>
      </c>
      <c r="BA26" s="30">
        <v>1.06</v>
      </c>
      <c r="BB26" s="31">
        <v>1.06</v>
      </c>
      <c r="BC26" s="31">
        <v>1.06</v>
      </c>
      <c r="BD26" s="31">
        <v>1.06</v>
      </c>
      <c r="BE26" s="31">
        <v>1.06</v>
      </c>
      <c r="BF26" s="31">
        <v>1.06</v>
      </c>
      <c r="BG26" s="31">
        <v>1.06</v>
      </c>
      <c r="BH26" s="31">
        <v>1.06</v>
      </c>
      <c r="BI26" s="31">
        <v>1.06</v>
      </c>
      <c r="BJ26" s="31">
        <v>1.06</v>
      </c>
      <c r="BK26" s="31">
        <v>1.06</v>
      </c>
      <c r="BL26" s="31">
        <v>1.06</v>
      </c>
      <c r="BM26" s="31">
        <v>1.06</v>
      </c>
      <c r="BN26" s="31">
        <v>1.06</v>
      </c>
      <c r="BO26" s="31">
        <v>1.06</v>
      </c>
      <c r="BP26" s="31">
        <v>1.06</v>
      </c>
      <c r="BQ26" s="31">
        <v>1.06</v>
      </c>
      <c r="BR26" s="31">
        <v>1.06</v>
      </c>
      <c r="BS26" s="31">
        <v>1.06</v>
      </c>
      <c r="BT26" s="31">
        <v>1.06</v>
      </c>
      <c r="BU26" s="31">
        <v>1.06</v>
      </c>
      <c r="BV26" s="31">
        <v>1.06</v>
      </c>
      <c r="BW26" s="31">
        <v>1.06</v>
      </c>
      <c r="BX26" s="62">
        <v>1.06</v>
      </c>
      <c r="BY26" s="30">
        <v>1.06</v>
      </c>
      <c r="BZ26" s="31">
        <v>1.06</v>
      </c>
      <c r="CA26" s="31">
        <v>1.06</v>
      </c>
      <c r="CB26" s="31">
        <v>1.06</v>
      </c>
      <c r="CC26" s="31">
        <v>1.06</v>
      </c>
      <c r="CD26" s="31">
        <v>1.06</v>
      </c>
      <c r="CE26" s="31">
        <v>1.06</v>
      </c>
      <c r="CF26" s="31">
        <v>1.06</v>
      </c>
      <c r="CG26" s="31">
        <v>1.06</v>
      </c>
      <c r="CH26" s="31">
        <v>1.06</v>
      </c>
      <c r="CI26" s="31">
        <v>1.06</v>
      </c>
      <c r="CJ26" s="31">
        <v>1.06</v>
      </c>
      <c r="CK26" s="31">
        <v>1.06</v>
      </c>
      <c r="CL26" s="31">
        <v>1.06</v>
      </c>
      <c r="CM26" s="31">
        <v>1.06</v>
      </c>
      <c r="CN26" s="31">
        <v>1.06</v>
      </c>
      <c r="CO26" s="31">
        <v>1.06</v>
      </c>
      <c r="CP26" s="31">
        <v>1.06</v>
      </c>
      <c r="CQ26" s="31">
        <v>1.06</v>
      </c>
      <c r="CR26" s="31">
        <v>1.06</v>
      </c>
      <c r="CS26" s="31">
        <v>1.06</v>
      </c>
      <c r="CT26" s="31">
        <v>1.06</v>
      </c>
      <c r="CU26" s="31">
        <v>1.06</v>
      </c>
      <c r="CV26" s="62">
        <v>1.06</v>
      </c>
      <c r="CW26" s="30">
        <v>1.06</v>
      </c>
      <c r="CX26" s="31">
        <v>1.06</v>
      </c>
      <c r="CY26" s="31">
        <v>1.06</v>
      </c>
      <c r="CZ26" s="31">
        <v>1.06</v>
      </c>
      <c r="DA26" s="31">
        <v>1.06</v>
      </c>
      <c r="DB26" s="31">
        <v>1.06</v>
      </c>
      <c r="DC26" s="31">
        <v>1.06</v>
      </c>
      <c r="DD26" s="31">
        <v>1.06</v>
      </c>
      <c r="DE26" s="31">
        <v>1.06</v>
      </c>
      <c r="DF26" s="31">
        <v>1.06</v>
      </c>
      <c r="DG26" s="31">
        <v>1.06</v>
      </c>
      <c r="DH26" s="31">
        <v>1.06</v>
      </c>
      <c r="DI26" s="31">
        <v>1.06</v>
      </c>
      <c r="DJ26" s="31">
        <v>1.06</v>
      </c>
      <c r="DK26" s="31">
        <v>1.06</v>
      </c>
      <c r="DL26" s="31">
        <v>1.06</v>
      </c>
      <c r="DM26" s="31">
        <v>1.06</v>
      </c>
      <c r="DN26" s="31">
        <v>1.06</v>
      </c>
      <c r="DO26" s="31">
        <v>1.06</v>
      </c>
      <c r="DP26" s="31">
        <v>1.06</v>
      </c>
      <c r="DQ26" s="31">
        <v>1.06</v>
      </c>
      <c r="DR26" s="31">
        <v>1.06</v>
      </c>
      <c r="DS26" s="31">
        <v>1.06</v>
      </c>
      <c r="DT26" s="31">
        <v>1.06</v>
      </c>
    </row>
    <row r="27" spans="2:124" hidden="1" x14ac:dyDescent="0.2">
      <c r="B27" s="3" t="s">
        <v>16</v>
      </c>
      <c r="D27" s="145">
        <f>D23+(D24*D26)+D25</f>
        <v>6.4666666666666668</v>
      </c>
      <c r="E27" s="30">
        <f t="shared" ref="E27:BP27" si="209">E23+(E24*E26)+E25</f>
        <v>6.58</v>
      </c>
      <c r="F27" s="31">
        <f t="shared" si="209"/>
        <v>1.5743004300165664</v>
      </c>
      <c r="G27" s="31">
        <f t="shared" si="209"/>
        <v>3.6471523263517209</v>
      </c>
      <c r="H27" s="31">
        <f t="shared" si="209"/>
        <v>2.6316090919037127</v>
      </c>
      <c r="I27" s="31">
        <f t="shared" si="209"/>
        <v>4.5202634228472869</v>
      </c>
      <c r="J27" s="31">
        <f t="shared" si="209"/>
        <v>4.7089155930992206</v>
      </c>
      <c r="K27" s="31">
        <f t="shared" si="209"/>
        <v>4.7475688436969747</v>
      </c>
      <c r="L27" s="31">
        <f t="shared" si="209"/>
        <v>4.86122155412182</v>
      </c>
      <c r="M27" s="31">
        <f t="shared" si="209"/>
        <v>4.9373745346331175</v>
      </c>
      <c r="N27" s="31">
        <f t="shared" si="209"/>
        <v>5.0322773801011911</v>
      </c>
      <c r="O27" s="31">
        <f t="shared" si="209"/>
        <v>3.9571946432827372</v>
      </c>
      <c r="P27" s="31">
        <f t="shared" si="209"/>
        <v>4.6237019958399168</v>
      </c>
      <c r="Q27" s="31">
        <f t="shared" si="209"/>
        <v>4.4194143037092779</v>
      </c>
      <c r="R27" s="31">
        <f t="shared" si="209"/>
        <v>4.6505241339225503</v>
      </c>
      <c r="S27" s="31">
        <f t="shared" si="209"/>
        <v>4.1480712663720576</v>
      </c>
      <c r="T27" s="31">
        <f t="shared" si="209"/>
        <v>9.5272122783696105</v>
      </c>
      <c r="U27" s="31">
        <f t="shared" si="209"/>
        <v>6.8376417723708345</v>
      </c>
      <c r="V27" s="31">
        <f t="shared" si="209"/>
        <v>8.182427025370222</v>
      </c>
      <c r="W27" s="31">
        <f t="shared" si="209"/>
        <v>7.5100343988705287</v>
      </c>
      <c r="X27" s="31">
        <f t="shared" si="209"/>
        <v>7.8462307121203754</v>
      </c>
      <c r="Y27" s="31">
        <f t="shared" si="209"/>
        <v>4.8308811863691998</v>
      </c>
      <c r="Z27" s="31">
        <f t="shared" si="209"/>
        <v>9.1344119786843052</v>
      </c>
      <c r="AA27" s="31">
        <f t="shared" si="209"/>
        <v>5.6226465825267535</v>
      </c>
      <c r="AB27" s="62">
        <f t="shared" si="209"/>
        <v>6.2664326586013779</v>
      </c>
      <c r="AC27" s="30">
        <f t="shared" si="209"/>
        <v>5.9445396205640648</v>
      </c>
      <c r="AD27" s="31">
        <f t="shared" si="209"/>
        <v>6.1054861395827213</v>
      </c>
      <c r="AE27" s="31">
        <f t="shared" si="209"/>
        <v>5.9894354966048144</v>
      </c>
      <c r="AF27" s="31">
        <f t="shared" si="209"/>
        <v>6.0118834346251884</v>
      </c>
      <c r="AG27" s="31">
        <f t="shared" si="209"/>
        <v>5.9650820821464228</v>
      </c>
      <c r="AH27" s="31">
        <f t="shared" si="209"/>
        <v>5.9529053749172265</v>
      </c>
      <c r="AI27" s="31">
        <f t="shared" si="209"/>
        <v>5.9234163450632451</v>
      </c>
      <c r="AJ27" s="31">
        <f t="shared" si="209"/>
        <v>5.9025834765216576</v>
      </c>
      <c r="AK27" s="31">
        <f t="shared" si="209"/>
        <v>5.8774225273238718</v>
      </c>
      <c r="AL27" s="31">
        <f t="shared" si="209"/>
        <v>5.8544256184541856</v>
      </c>
      <c r="AM27" s="31">
        <f t="shared" si="209"/>
        <v>5.8303466894204501</v>
      </c>
      <c r="AN27" s="31">
        <f t="shared" si="209"/>
        <v>5.8068087704687388</v>
      </c>
      <c r="AO27" s="31">
        <f t="shared" si="209"/>
        <v>5.7830003464760154</v>
      </c>
      <c r="AP27" s="31">
        <f t="shared" si="209"/>
        <v>5.759327175003798</v>
      </c>
      <c r="AQ27" s="31">
        <f t="shared" si="209"/>
        <v>5.7355863772713276</v>
      </c>
      <c r="AR27" s="31">
        <f t="shared" si="209"/>
        <v>5.7118793926689841</v>
      </c>
      <c r="AS27" s="31">
        <f t="shared" si="209"/>
        <v>5.6881555015015763</v>
      </c>
      <c r="AT27" s="31">
        <f t="shared" si="209"/>
        <v>5.664440063616702</v>
      </c>
      <c r="AU27" s="31">
        <f t="shared" si="209"/>
        <v>5.6407203990905597</v>
      </c>
      <c r="AV27" s="31">
        <f t="shared" si="209"/>
        <v>5.6170028478850522</v>
      </c>
      <c r="AW27" s="31">
        <f t="shared" si="209"/>
        <v>5.5932842400192264</v>
      </c>
      <c r="AX27" s="31">
        <f t="shared" si="209"/>
        <v>5.5695661604835607</v>
      </c>
      <c r="AY27" s="31">
        <f t="shared" si="209"/>
        <v>5.545847816782814</v>
      </c>
      <c r="AZ27" s="62">
        <f t="shared" si="209"/>
        <v>5.5221296051646087</v>
      </c>
      <c r="BA27" s="30">
        <f t="shared" si="209"/>
        <v>5.4984113275051323</v>
      </c>
      <c r="BB27" s="31">
        <f t="shared" si="209"/>
        <v>5.4746930828662919</v>
      </c>
      <c r="BC27" s="31">
        <f t="shared" si="209"/>
        <v>5.450974821717133</v>
      </c>
      <c r="BD27" s="31">
        <f t="shared" si="209"/>
        <v>5.4272565688231333</v>
      </c>
      <c r="BE27" s="31">
        <f t="shared" si="209"/>
        <v>6.763538311801554</v>
      </c>
      <c r="BF27" s="31">
        <f t="shared" si="209"/>
        <v>7.1719166788479169</v>
      </c>
      <c r="BG27" s="31">
        <f t="shared" si="209"/>
        <v>7.0442467338603079</v>
      </c>
      <c r="BH27" s="31">
        <f t="shared" si="209"/>
        <v>7.1846009448896853</v>
      </c>
      <c r="BI27" s="31">
        <f t="shared" si="209"/>
        <v>2.881032860888491</v>
      </c>
      <c r="BJ27" s="31">
        <f t="shared" si="209"/>
        <v>5.0328169028890883</v>
      </c>
      <c r="BK27" s="31">
        <f t="shared" si="209"/>
        <v>3.956924881888789</v>
      </c>
      <c r="BL27" s="31">
        <f t="shared" si="209"/>
        <v>4.4948708923889384</v>
      </c>
      <c r="BM27" s="31">
        <f t="shared" si="209"/>
        <v>4.2258978871388635</v>
      </c>
      <c r="BN27" s="31">
        <f t="shared" si="209"/>
        <v>4.360384389763901</v>
      </c>
      <c r="BO27" s="31">
        <f t="shared" si="209"/>
        <v>4.2931411384513822</v>
      </c>
      <c r="BP27" s="31">
        <f t="shared" si="209"/>
        <v>4.3267627641076416</v>
      </c>
      <c r="BQ27" s="31">
        <f t="shared" ref="BQ27:CN27" si="210">BQ23+(BQ24*BQ26)+BQ25</f>
        <v>4.3099519512795119</v>
      </c>
      <c r="BR27" s="31">
        <f t="shared" si="210"/>
        <v>4.3183573576935768</v>
      </c>
      <c r="BS27" s="31">
        <f t="shared" si="210"/>
        <v>4.3141546544865443</v>
      </c>
      <c r="BT27" s="31">
        <f t="shared" si="210"/>
        <v>4.316256006090061</v>
      </c>
      <c r="BU27" s="31">
        <f t="shared" si="210"/>
        <v>4.3152053302883022</v>
      </c>
      <c r="BV27" s="31">
        <f t="shared" si="210"/>
        <v>4.3157306681891816</v>
      </c>
      <c r="BW27" s="31">
        <f t="shared" si="210"/>
        <v>2.9554679992387416</v>
      </c>
      <c r="BX27" s="62">
        <f t="shared" si="210"/>
        <v>2.6355993337139618</v>
      </c>
      <c r="BY27" s="30">
        <f t="shared" si="210"/>
        <v>2.7955336664763517</v>
      </c>
      <c r="BZ27" s="31">
        <f t="shared" si="210"/>
        <v>2.7155665000951568</v>
      </c>
      <c r="CA27" s="31">
        <f t="shared" si="210"/>
        <v>2.7555500832857542</v>
      </c>
      <c r="CB27" s="31">
        <f t="shared" si="210"/>
        <v>2.7355582916904555</v>
      </c>
      <c r="CC27" s="31">
        <f t="shared" si="210"/>
        <v>4.1055541874881047</v>
      </c>
      <c r="CD27" s="31">
        <f t="shared" si="210"/>
        <v>4.4205562395892803</v>
      </c>
      <c r="CE27" s="31">
        <f t="shared" si="210"/>
        <v>4.2630552135386921</v>
      </c>
      <c r="CF27" s="31">
        <f t="shared" si="210"/>
        <v>4.3418057265639867</v>
      </c>
      <c r="CG27" s="31">
        <f t="shared" si="210"/>
        <v>4.3024304700513394</v>
      </c>
      <c r="CH27" s="31">
        <f t="shared" si="210"/>
        <v>4.322118098307663</v>
      </c>
      <c r="CI27" s="31">
        <f t="shared" si="210"/>
        <v>4.3122742841795016</v>
      </c>
      <c r="CJ27" s="31">
        <f t="shared" si="210"/>
        <v>4.3171961912435819</v>
      </c>
      <c r="CK27" s="31">
        <f t="shared" si="210"/>
        <v>4.3147352377115418</v>
      </c>
      <c r="CL27" s="31">
        <f t="shared" si="210"/>
        <v>4.3159657144775618</v>
      </c>
      <c r="CM27" s="31">
        <f t="shared" si="210"/>
        <v>4.3153504760945518</v>
      </c>
      <c r="CN27" s="31">
        <f t="shared" si="210"/>
        <v>4.3156580952860573</v>
      </c>
      <c r="CO27" s="31">
        <f t="shared" ref="CO27:DL27" si="211">CO23+(CO24*CO26)+CO25</f>
        <v>4.3155042856903041</v>
      </c>
      <c r="CP27" s="31">
        <f t="shared" si="211"/>
        <v>4.3155811904881807</v>
      </c>
      <c r="CQ27" s="31">
        <f t="shared" si="211"/>
        <v>4.3155427380892419</v>
      </c>
      <c r="CR27" s="31">
        <f t="shared" si="211"/>
        <v>4.3155619642887117</v>
      </c>
      <c r="CS27" s="31">
        <f t="shared" si="211"/>
        <v>4.3155523511889768</v>
      </c>
      <c r="CT27" s="31">
        <f t="shared" si="211"/>
        <v>2.9555571577388444</v>
      </c>
      <c r="CU27" s="31">
        <f t="shared" si="211"/>
        <v>2.6355547544639104</v>
      </c>
      <c r="CV27" s="62">
        <f t="shared" si="211"/>
        <v>2.7955559561013774</v>
      </c>
      <c r="CW27" s="30">
        <f t="shared" si="211"/>
        <v>2.7155553552826439</v>
      </c>
      <c r="CX27" s="31">
        <f t="shared" si="211"/>
        <v>2.7555556556920107</v>
      </c>
      <c r="CY27" s="31">
        <f t="shared" si="211"/>
        <v>2.7355555054873277</v>
      </c>
      <c r="CZ27" s="31">
        <f t="shared" si="211"/>
        <v>2.7455555805896688</v>
      </c>
      <c r="DA27" s="31">
        <f t="shared" si="211"/>
        <v>4.1005555430384986</v>
      </c>
      <c r="DB27" s="31">
        <f t="shared" si="211"/>
        <v>4.423055561814083</v>
      </c>
      <c r="DC27" s="31">
        <f t="shared" si="211"/>
        <v>4.2618055524262912</v>
      </c>
      <c r="DD27" s="31">
        <f t="shared" si="211"/>
        <v>4.3424305571201867</v>
      </c>
      <c r="DE27" s="31">
        <f t="shared" si="211"/>
        <v>4.3021180547732394</v>
      </c>
      <c r="DF27" s="31">
        <f t="shared" si="211"/>
        <v>4.3222743059467135</v>
      </c>
      <c r="DG27" s="31">
        <f t="shared" si="211"/>
        <v>4.312196180359976</v>
      </c>
      <c r="DH27" s="31">
        <f t="shared" si="211"/>
        <v>4.3172352431533447</v>
      </c>
      <c r="DI27" s="31">
        <f t="shared" si="211"/>
        <v>4.3147157117566604</v>
      </c>
      <c r="DJ27" s="31">
        <f t="shared" si="211"/>
        <v>4.3159754774550025</v>
      </c>
      <c r="DK27" s="31">
        <f t="shared" si="211"/>
        <v>4.3153455946058319</v>
      </c>
      <c r="DL27" s="31">
        <f t="shared" si="211"/>
        <v>4.3156605360304168</v>
      </c>
      <c r="DM27" s="31">
        <f t="shared" ref="DM27:DT27" si="212">DM23+(DM24*DM26)+DM25</f>
        <v>4.3155030653181239</v>
      </c>
      <c r="DN27" s="31">
        <f t="shared" si="212"/>
        <v>4.3155818006742708</v>
      </c>
      <c r="DO27" s="31">
        <f t="shared" si="212"/>
        <v>4.3155424329961978</v>
      </c>
      <c r="DP27" s="31">
        <f t="shared" si="212"/>
        <v>4.3155621168352338</v>
      </c>
      <c r="DQ27" s="31">
        <f t="shared" si="212"/>
        <v>4.3155522749157154</v>
      </c>
      <c r="DR27" s="31">
        <f t="shared" si="212"/>
        <v>2.9555571958754752</v>
      </c>
      <c r="DS27" s="31">
        <f t="shared" si="212"/>
        <v>2.6355547353955955</v>
      </c>
      <c r="DT27" s="31">
        <f t="shared" si="212"/>
        <v>2.7955559656355349</v>
      </c>
    </row>
    <row r="28" spans="2:124" hidden="1" x14ac:dyDescent="0.2">
      <c r="B28" s="3" t="s">
        <v>227</v>
      </c>
      <c r="D28" s="145">
        <f>D27</f>
        <v>6.4666666666666668</v>
      </c>
      <c r="E28" s="30">
        <f>10-(D20+E27)/2</f>
        <v>2.4609670966832331</v>
      </c>
      <c r="F28" s="30">
        <f>10-(E20+F27)/2</f>
        <v>4.5338189930183876</v>
      </c>
      <c r="G28" s="30">
        <f t="shared" ref="G28:BQ28" si="213">10-(F20+G27)/2</f>
        <v>3.5182757585703799</v>
      </c>
      <c r="H28" s="30">
        <f t="shared" si="213"/>
        <v>4.0469300895139542</v>
      </c>
      <c r="I28" s="30">
        <f t="shared" si="213"/>
        <v>3.2355822597658879</v>
      </c>
      <c r="J28" s="30">
        <f t="shared" si="213"/>
        <v>3.274235510363642</v>
      </c>
      <c r="K28" s="30">
        <f t="shared" si="213"/>
        <v>3.3878882207884864</v>
      </c>
      <c r="L28" s="30">
        <f t="shared" si="213"/>
        <v>3.4640412012997839</v>
      </c>
      <c r="M28" s="30">
        <f t="shared" si="213"/>
        <v>3.5589440467678575</v>
      </c>
      <c r="N28" s="30">
        <f t="shared" si="213"/>
        <v>2.483861309949404</v>
      </c>
      <c r="O28" s="30">
        <f t="shared" si="213"/>
        <v>3.1503686625065841</v>
      </c>
      <c r="P28" s="30">
        <f t="shared" si="213"/>
        <v>2.9460809703759452</v>
      </c>
      <c r="Q28" s="30">
        <f t="shared" si="213"/>
        <v>3.1771908005892175</v>
      </c>
      <c r="R28" s="30">
        <f t="shared" si="213"/>
        <v>2.6747379330387249</v>
      </c>
      <c r="S28" s="30">
        <f t="shared" si="213"/>
        <v>8.0538789450362778</v>
      </c>
      <c r="T28" s="30">
        <f t="shared" si="213"/>
        <v>5.3643084390375009</v>
      </c>
      <c r="U28" s="30">
        <f t="shared" si="213"/>
        <v>6.7090936920368893</v>
      </c>
      <c r="V28" s="30">
        <f t="shared" si="213"/>
        <v>6.0367010655371951</v>
      </c>
      <c r="W28" s="30">
        <f t="shared" si="213"/>
        <v>6.3728973787870418</v>
      </c>
      <c r="X28" s="30">
        <f t="shared" si="213"/>
        <v>3.3575478530358662</v>
      </c>
      <c r="Y28" s="30">
        <f t="shared" si="213"/>
        <v>7.6610786453509725</v>
      </c>
      <c r="Z28" s="30">
        <f t="shared" si="213"/>
        <v>5.5093132491934202</v>
      </c>
      <c r="AA28" s="30">
        <f t="shared" si="213"/>
        <v>7.1530993252680446</v>
      </c>
      <c r="AB28" s="62">
        <f t="shared" si="213"/>
        <v>6.8312062872307315</v>
      </c>
      <c r="AC28" s="30">
        <f t="shared" si="213"/>
        <v>6.9921528062493881</v>
      </c>
      <c r="AD28" s="31">
        <f t="shared" si="213"/>
        <v>6.8761021632714812</v>
      </c>
      <c r="AE28" s="31">
        <f t="shared" si="213"/>
        <v>6.8985501012918551</v>
      </c>
      <c r="AF28" s="31">
        <f t="shared" si="213"/>
        <v>6.8517487488130895</v>
      </c>
      <c r="AG28" s="31">
        <f t="shared" si="213"/>
        <v>6.8395720415838932</v>
      </c>
      <c r="AH28" s="31">
        <f t="shared" si="213"/>
        <v>6.8100830117299118</v>
      </c>
      <c r="AI28" s="31">
        <f t="shared" si="213"/>
        <v>6.7892501431883243</v>
      </c>
      <c r="AJ28" s="31">
        <f t="shared" si="213"/>
        <v>6.7640891939905385</v>
      </c>
      <c r="AK28" s="31">
        <f t="shared" si="213"/>
        <v>6.7410922851208523</v>
      </c>
      <c r="AL28" s="31">
        <f t="shared" si="213"/>
        <v>6.7170133560871168</v>
      </c>
      <c r="AM28" s="31">
        <f t="shared" si="213"/>
        <v>6.6934754371354055</v>
      </c>
      <c r="AN28" s="31">
        <f t="shared" si="213"/>
        <v>6.6696670131426821</v>
      </c>
      <c r="AO28" s="31">
        <f t="shared" si="213"/>
        <v>6.6459938416704647</v>
      </c>
      <c r="AP28" s="31">
        <f t="shared" si="213"/>
        <v>6.6222530439379943</v>
      </c>
      <c r="AQ28" s="31">
        <f t="shared" si="213"/>
        <v>6.5985460593356509</v>
      </c>
      <c r="AR28" s="31">
        <f t="shared" si="213"/>
        <v>6.5748221681682431</v>
      </c>
      <c r="AS28" s="31">
        <f t="shared" si="213"/>
        <v>6.5511067302833688</v>
      </c>
      <c r="AT28" s="31">
        <f t="shared" si="213"/>
        <v>6.5273870657572264</v>
      </c>
      <c r="AU28" s="31">
        <f t="shared" si="213"/>
        <v>6.5036695145517189</v>
      </c>
      <c r="AV28" s="31">
        <f t="shared" si="213"/>
        <v>6.4799509066858931</v>
      </c>
      <c r="AW28" s="31">
        <f t="shared" si="213"/>
        <v>6.4562328271502274</v>
      </c>
      <c r="AX28" s="31">
        <f t="shared" si="213"/>
        <v>6.4325144834494807</v>
      </c>
      <c r="AY28" s="31">
        <f t="shared" si="213"/>
        <v>6.4087962718312754</v>
      </c>
      <c r="AZ28" s="62">
        <f t="shared" si="213"/>
        <v>6.385077994171799</v>
      </c>
      <c r="BA28" s="30">
        <f t="shared" si="213"/>
        <v>6.3613597495329586</v>
      </c>
      <c r="BB28" s="31">
        <f t="shared" si="213"/>
        <v>6.3376414883837997</v>
      </c>
      <c r="BC28" s="31">
        <f t="shared" si="213"/>
        <v>6.3139232354898001</v>
      </c>
      <c r="BD28" s="31">
        <f t="shared" si="213"/>
        <v>6.2902049784682204</v>
      </c>
      <c r="BE28" s="31">
        <f t="shared" si="213"/>
        <v>5.6985833455145833</v>
      </c>
      <c r="BF28" s="31">
        <f t="shared" si="213"/>
        <v>5.5709134005269743</v>
      </c>
      <c r="BG28" s="31">
        <f t="shared" si="213"/>
        <v>5.7112676115563517</v>
      </c>
      <c r="BH28" s="31">
        <f t="shared" si="213"/>
        <v>1.4076995275551578</v>
      </c>
      <c r="BI28" s="31">
        <f t="shared" si="213"/>
        <v>3.5594835695557547</v>
      </c>
      <c r="BJ28" s="31">
        <f t="shared" si="213"/>
        <v>2.4835915485554558</v>
      </c>
      <c r="BK28" s="31">
        <f t="shared" si="213"/>
        <v>3.0215375590556057</v>
      </c>
      <c r="BL28" s="31">
        <f t="shared" si="213"/>
        <v>2.7525645538055308</v>
      </c>
      <c r="BM28" s="31">
        <f t="shared" si="213"/>
        <v>2.8870510564305683</v>
      </c>
      <c r="BN28" s="31">
        <f t="shared" si="213"/>
        <v>2.8198078051180495</v>
      </c>
      <c r="BO28" s="31">
        <f t="shared" si="213"/>
        <v>2.8534294307743089</v>
      </c>
      <c r="BP28" s="31">
        <f t="shared" si="213"/>
        <v>2.8366186179461792</v>
      </c>
      <c r="BQ28" s="31">
        <f t="shared" si="213"/>
        <v>2.845024024360244</v>
      </c>
      <c r="BR28" s="31">
        <f t="shared" ref="BR28:BX28" si="214">10-(BQ20+BR27)/2</f>
        <v>2.8408213211532116</v>
      </c>
      <c r="BS28" s="31">
        <f t="shared" si="214"/>
        <v>2.8429226727567283</v>
      </c>
      <c r="BT28" s="31">
        <f t="shared" si="214"/>
        <v>2.8418719969549695</v>
      </c>
      <c r="BU28" s="31">
        <f t="shared" si="214"/>
        <v>2.8423973348558489</v>
      </c>
      <c r="BV28" s="31">
        <f t="shared" si="214"/>
        <v>2.8421346659054088</v>
      </c>
      <c r="BW28" s="31">
        <f t="shared" si="214"/>
        <v>3.522266000380629</v>
      </c>
      <c r="BX28" s="62">
        <f t="shared" si="214"/>
        <v>3.6822003331430189</v>
      </c>
      <c r="BY28" s="30">
        <f t="shared" ref="BY28" si="215">10-(BX20+BY27)/2</f>
        <v>3.6022331667618239</v>
      </c>
      <c r="BZ28" s="31">
        <f t="shared" ref="BZ28" si="216">10-(BY20+BZ27)/2</f>
        <v>3.6422167499524214</v>
      </c>
      <c r="CA28" s="31">
        <f t="shared" ref="CA28" si="217">10-(BZ20+CA27)/2</f>
        <v>3.6222249583571227</v>
      </c>
      <c r="CB28" s="31">
        <f t="shared" ref="CB28" si="218">10-(CA20+CB27)/2</f>
        <v>3.632220854154772</v>
      </c>
      <c r="CC28" s="31">
        <f t="shared" ref="CC28" si="219">10-(CB20+CC27)/2</f>
        <v>2.9472229062559476</v>
      </c>
      <c r="CD28" s="31">
        <f t="shared" ref="CD28" si="220">10-(CC20+CD27)/2</f>
        <v>2.7897218802053594</v>
      </c>
      <c r="CE28" s="31">
        <f t="shared" ref="CE28" si="221">10-(CD20+CE27)/2</f>
        <v>2.8684723932306539</v>
      </c>
      <c r="CF28" s="31">
        <f t="shared" ref="CF28" si="222">10-(CE20+CF27)/2</f>
        <v>2.8290971367180067</v>
      </c>
      <c r="CG28" s="31">
        <f t="shared" ref="CG28" si="223">10-(CF20+CG27)/2</f>
        <v>2.8487847649743303</v>
      </c>
      <c r="CH28" s="31">
        <f t="shared" ref="CH28" si="224">10-(CG20+CH27)/2</f>
        <v>2.8389409508461689</v>
      </c>
      <c r="CI28" s="31">
        <f t="shared" ref="CI28" si="225">10-(CH20+CI27)/2</f>
        <v>2.8438628579102492</v>
      </c>
      <c r="CJ28" s="31">
        <f t="shared" ref="CJ28" si="226">10-(CI20+CJ27)/2</f>
        <v>2.8414019043782091</v>
      </c>
      <c r="CK28" s="31">
        <f t="shared" ref="CK28" si="227">10-(CJ20+CK27)/2</f>
        <v>2.8426323811442291</v>
      </c>
      <c r="CL28" s="31">
        <f t="shared" ref="CL28" si="228">10-(CK20+CL27)/2</f>
        <v>2.8420171427612191</v>
      </c>
      <c r="CM28" s="31">
        <f t="shared" ref="CM28" si="229">10-(CL20+CM27)/2</f>
        <v>2.8423247619527245</v>
      </c>
      <c r="CN28" s="31">
        <f t="shared" ref="CN28" si="230">10-(CM20+CN27)/2</f>
        <v>2.8421709523569714</v>
      </c>
      <c r="CO28" s="31">
        <f t="shared" ref="CO28" si="231">10-(CN20+CO27)/2</f>
        <v>2.842247857154848</v>
      </c>
      <c r="CP28" s="31">
        <f t="shared" ref="CP28" si="232">10-(CO20+CP27)/2</f>
        <v>2.8422094047559092</v>
      </c>
      <c r="CQ28" s="31">
        <f t="shared" ref="CQ28" si="233">10-(CP20+CQ27)/2</f>
        <v>2.842228630955379</v>
      </c>
      <c r="CR28" s="31">
        <f t="shared" ref="CR28" si="234">10-(CQ20+CR27)/2</f>
        <v>2.8422190178556441</v>
      </c>
      <c r="CS28" s="31">
        <f t="shared" ref="CS28" si="235">10-(CR20+CS27)/2</f>
        <v>2.8422238244055116</v>
      </c>
      <c r="CT28" s="31">
        <f t="shared" ref="CT28" si="236">10-(CS20+CT27)/2</f>
        <v>3.5222214211305776</v>
      </c>
      <c r="CU28" s="31">
        <f t="shared" ref="CU28" si="237">10-(CT20+CU27)/2</f>
        <v>3.6822226227680446</v>
      </c>
      <c r="CV28" s="62">
        <f t="shared" ref="CV28" si="238">10-(CU20+CV27)/2</f>
        <v>3.6022220219493111</v>
      </c>
      <c r="CW28" s="30">
        <f t="shared" ref="CW28" si="239">10-(CV20+CW27)/2</f>
        <v>3.6422223223586778</v>
      </c>
      <c r="CX28" s="31">
        <f t="shared" ref="CX28" si="240">10-(CW20+CX27)/2</f>
        <v>3.6222221721539949</v>
      </c>
      <c r="CY28" s="31">
        <f t="shared" ref="CY28" si="241">10-(CX20+CY27)/2</f>
        <v>3.6322222472563359</v>
      </c>
      <c r="CZ28" s="31">
        <f t="shared" ref="CZ28" si="242">10-(CY20+CZ27)/2</f>
        <v>3.6272222097051658</v>
      </c>
      <c r="DA28" s="31">
        <f t="shared" ref="DA28" si="243">10-(CZ20+DA27)/2</f>
        <v>2.9497222284807503</v>
      </c>
      <c r="DB28" s="31">
        <f t="shared" ref="DB28" si="244">10-(DA20+DB27)/2</f>
        <v>2.7884722190929585</v>
      </c>
      <c r="DC28" s="31">
        <f t="shared" ref="DC28" si="245">10-(DB20+DC27)/2</f>
        <v>2.8690972237868539</v>
      </c>
      <c r="DD28" s="31">
        <f t="shared" ref="DD28" si="246">10-(DC20+DD27)/2</f>
        <v>2.8287847214399067</v>
      </c>
      <c r="DE28" s="31">
        <f t="shared" ref="DE28" si="247">10-(DD20+DE27)/2</f>
        <v>2.8489409726133808</v>
      </c>
      <c r="DF28" s="31">
        <f t="shared" ref="DF28" si="248">10-(DE20+DF27)/2</f>
        <v>2.8388628470266433</v>
      </c>
      <c r="DG28" s="31">
        <f t="shared" ref="DG28" si="249">10-(DF20+DG27)/2</f>
        <v>2.843901909820012</v>
      </c>
      <c r="DH28" s="31">
        <f t="shared" ref="DH28" si="250">10-(DG20+DH27)/2</f>
        <v>2.8413823784233276</v>
      </c>
      <c r="DI28" s="31">
        <f t="shared" ref="DI28" si="251">10-(DH20+DI27)/2</f>
        <v>2.8426421441216698</v>
      </c>
      <c r="DJ28" s="31">
        <f t="shared" ref="DJ28" si="252">10-(DI20+DJ27)/2</f>
        <v>2.8420122612724992</v>
      </c>
      <c r="DK28" s="31">
        <f t="shared" ref="DK28" si="253">10-(DJ20+DK27)/2</f>
        <v>2.8423272026970841</v>
      </c>
      <c r="DL28" s="31">
        <f t="shared" ref="DL28" si="254">10-(DK20+DL27)/2</f>
        <v>2.8421697319847912</v>
      </c>
      <c r="DM28" s="31">
        <f t="shared" ref="DM28" si="255">10-(DL20+DM27)/2</f>
        <v>2.8422484673409381</v>
      </c>
      <c r="DN28" s="31">
        <f t="shared" ref="DN28" si="256">10-(DM20+DN27)/2</f>
        <v>2.8422090996628651</v>
      </c>
      <c r="DO28" s="31">
        <f t="shared" ref="DO28" si="257">10-(DN20+DO27)/2</f>
        <v>2.8422287835019011</v>
      </c>
      <c r="DP28" s="31">
        <f t="shared" ref="DP28" si="258">10-(DO20+DP27)/2</f>
        <v>2.8422189415823826</v>
      </c>
      <c r="DQ28" s="31">
        <f t="shared" ref="DQ28" si="259">10-(DP20+DQ27)/2</f>
        <v>2.8422238625421423</v>
      </c>
      <c r="DR28" s="31">
        <f t="shared" ref="DR28" si="260">10-(DQ20+DR27)/2</f>
        <v>3.5222214020622626</v>
      </c>
      <c r="DS28" s="31">
        <f t="shared" ref="DS28" si="261">10-(DR20+DS27)/2</f>
        <v>3.682222632302202</v>
      </c>
      <c r="DT28" s="31">
        <f t="shared" ref="DT28" si="262">10-(DS20+DT27)/2</f>
        <v>3.6022220171822328</v>
      </c>
    </row>
    <row r="29" spans="2:124" s="40" customFormat="1" ht="16" hidden="1" thickBot="1" x14ac:dyDescent="0.25">
      <c r="B29" s="38" t="s">
        <v>23</v>
      </c>
      <c r="C29" s="81"/>
      <c r="D29" s="148">
        <f>D28+D24</f>
        <v>7.1333333333333337</v>
      </c>
      <c r="E29" s="39">
        <f>E28+E24</f>
        <v>2.1276337633498996</v>
      </c>
      <c r="F29" s="39">
        <f t="shared" ref="F29:BQ29" si="263">F28+F24</f>
        <v>4.2004856596850546</v>
      </c>
      <c r="G29" s="39">
        <f t="shared" si="263"/>
        <v>3.1849424252370464</v>
      </c>
      <c r="H29" s="39">
        <f t="shared" si="263"/>
        <v>3.7135967561806207</v>
      </c>
      <c r="I29" s="39">
        <f t="shared" si="263"/>
        <v>3.9022489264325544</v>
      </c>
      <c r="J29" s="39">
        <f t="shared" si="263"/>
        <v>3.9409021770303085</v>
      </c>
      <c r="K29" s="39">
        <f t="shared" si="263"/>
        <v>4.0545548874551534</v>
      </c>
      <c r="L29" s="39">
        <f t="shared" si="263"/>
        <v>4.1307078679664508</v>
      </c>
      <c r="M29" s="39">
        <f t="shared" si="263"/>
        <v>4.2256107134345244</v>
      </c>
      <c r="N29" s="39">
        <f t="shared" si="263"/>
        <v>3.1505279766160705</v>
      </c>
      <c r="O29" s="39">
        <f t="shared" si="263"/>
        <v>3.8170353291732506</v>
      </c>
      <c r="P29" s="39">
        <f t="shared" si="263"/>
        <v>3.6127476370426117</v>
      </c>
      <c r="Q29" s="39">
        <f t="shared" si="263"/>
        <v>3.8438574672558841</v>
      </c>
      <c r="R29" s="39">
        <f t="shared" si="263"/>
        <v>3.3414045997053914</v>
      </c>
      <c r="S29" s="39">
        <f t="shared" si="263"/>
        <v>8.7205456117029438</v>
      </c>
      <c r="T29" s="39">
        <f t="shared" si="263"/>
        <v>6.0309751057041678</v>
      </c>
      <c r="U29" s="39">
        <f t="shared" si="263"/>
        <v>7.3757603587035563</v>
      </c>
      <c r="V29" s="39">
        <f t="shared" si="263"/>
        <v>6.7033677322038621</v>
      </c>
      <c r="W29" s="39">
        <f t="shared" si="263"/>
        <v>7.0395640454537087</v>
      </c>
      <c r="X29" s="39">
        <f t="shared" si="263"/>
        <v>4.0242145197025332</v>
      </c>
      <c r="Y29" s="39">
        <f t="shared" si="263"/>
        <v>8.3277453120176386</v>
      </c>
      <c r="Z29" s="39">
        <f t="shared" si="263"/>
        <v>6.1759799158600872</v>
      </c>
      <c r="AA29" s="39">
        <f t="shared" si="263"/>
        <v>6.8197659919347116</v>
      </c>
      <c r="AB29" s="65">
        <f t="shared" si="263"/>
        <v>6.4978729538973985</v>
      </c>
      <c r="AC29" s="39">
        <f t="shared" si="263"/>
        <v>6.658819472916055</v>
      </c>
      <c r="AD29" s="39">
        <f t="shared" si="263"/>
        <v>6.5427688299381481</v>
      </c>
      <c r="AE29" s="39">
        <f t="shared" si="263"/>
        <v>6.565216767958522</v>
      </c>
      <c r="AF29" s="39">
        <f t="shared" si="263"/>
        <v>6.5184154154797564</v>
      </c>
      <c r="AG29" s="39">
        <f t="shared" si="263"/>
        <v>6.5062387082505602</v>
      </c>
      <c r="AH29" s="39">
        <f t="shared" si="263"/>
        <v>6.4767496783965788</v>
      </c>
      <c r="AI29" s="39">
        <f t="shared" si="263"/>
        <v>6.4559168098549913</v>
      </c>
      <c r="AJ29" s="39">
        <f t="shared" si="263"/>
        <v>6.4307558606572055</v>
      </c>
      <c r="AK29" s="39">
        <f t="shared" si="263"/>
        <v>6.4077589517875193</v>
      </c>
      <c r="AL29" s="39">
        <f t="shared" si="263"/>
        <v>6.3836800227537838</v>
      </c>
      <c r="AM29" s="39">
        <f t="shared" si="263"/>
        <v>6.3601421038020725</v>
      </c>
      <c r="AN29" s="39">
        <f t="shared" si="263"/>
        <v>6.336333679809349</v>
      </c>
      <c r="AO29" s="39">
        <f t="shared" si="263"/>
        <v>6.3126605083371317</v>
      </c>
      <c r="AP29" s="39">
        <f t="shared" si="263"/>
        <v>6.2889197106046613</v>
      </c>
      <c r="AQ29" s="39">
        <f t="shared" si="263"/>
        <v>6.2652127260023178</v>
      </c>
      <c r="AR29" s="39">
        <f t="shared" si="263"/>
        <v>6.24148883483491</v>
      </c>
      <c r="AS29" s="39">
        <f t="shared" si="263"/>
        <v>6.2177733969500357</v>
      </c>
      <c r="AT29" s="39">
        <f t="shared" si="263"/>
        <v>6.1940537324238933</v>
      </c>
      <c r="AU29" s="39">
        <f t="shared" si="263"/>
        <v>6.1703361812183859</v>
      </c>
      <c r="AV29" s="39">
        <f t="shared" si="263"/>
        <v>6.1466175733525601</v>
      </c>
      <c r="AW29" s="39">
        <f t="shared" si="263"/>
        <v>6.1228994938168944</v>
      </c>
      <c r="AX29" s="39">
        <f t="shared" si="263"/>
        <v>6.0991811501161477</v>
      </c>
      <c r="AY29" s="39">
        <f t="shared" si="263"/>
        <v>6.0754629384979424</v>
      </c>
      <c r="AZ29" s="65">
        <f t="shared" si="263"/>
        <v>6.051744660838466</v>
      </c>
      <c r="BA29" s="39">
        <f t="shared" si="263"/>
        <v>6.0280264161996255</v>
      </c>
      <c r="BB29" s="39">
        <f t="shared" si="263"/>
        <v>6.0043081550504667</v>
      </c>
      <c r="BC29" s="39">
        <f t="shared" si="263"/>
        <v>5.980589902156467</v>
      </c>
      <c r="BD29" s="39">
        <f t="shared" si="263"/>
        <v>5.9568716451348873</v>
      </c>
      <c r="BE29" s="39">
        <f t="shared" si="263"/>
        <v>6.3652500121812503</v>
      </c>
      <c r="BF29" s="39">
        <f t="shared" si="263"/>
        <v>6.2375800671936412</v>
      </c>
      <c r="BG29" s="39">
        <f t="shared" si="263"/>
        <v>6.3779342782230186</v>
      </c>
      <c r="BH29" s="39">
        <f t="shared" si="263"/>
        <v>2.0743661942218243</v>
      </c>
      <c r="BI29" s="39">
        <f t="shared" si="263"/>
        <v>4.2261502362224217</v>
      </c>
      <c r="BJ29" s="39">
        <f t="shared" si="263"/>
        <v>3.1502582152221223</v>
      </c>
      <c r="BK29" s="39">
        <f t="shared" si="263"/>
        <v>3.6882042257222722</v>
      </c>
      <c r="BL29" s="39">
        <f t="shared" si="263"/>
        <v>3.4192312204721973</v>
      </c>
      <c r="BM29" s="39">
        <f t="shared" si="263"/>
        <v>3.5537177230972348</v>
      </c>
      <c r="BN29" s="39">
        <f t="shared" si="263"/>
        <v>3.486474471784716</v>
      </c>
      <c r="BO29" s="39">
        <f t="shared" si="263"/>
        <v>3.5200960974409754</v>
      </c>
      <c r="BP29" s="39">
        <f t="shared" si="263"/>
        <v>3.5032852846128457</v>
      </c>
      <c r="BQ29" s="39">
        <f t="shared" si="263"/>
        <v>3.5116906910269106</v>
      </c>
      <c r="BR29" s="39">
        <f t="shared" ref="BR29:CO29" si="264">BR28+BR24</f>
        <v>3.5074879878198781</v>
      </c>
      <c r="BS29" s="39">
        <f t="shared" si="264"/>
        <v>3.5095893394233948</v>
      </c>
      <c r="BT29" s="39">
        <f t="shared" si="264"/>
        <v>3.508538663621636</v>
      </c>
      <c r="BU29" s="39">
        <f t="shared" si="264"/>
        <v>3.5090640015225154</v>
      </c>
      <c r="BV29" s="39">
        <f t="shared" si="264"/>
        <v>3.5088013325720753</v>
      </c>
      <c r="BW29" s="39">
        <f t="shared" si="264"/>
        <v>3.1889326670472955</v>
      </c>
      <c r="BX29" s="65">
        <f t="shared" si="264"/>
        <v>3.3488669998096854</v>
      </c>
      <c r="BY29" s="39">
        <f t="shared" si="264"/>
        <v>3.2688998334284904</v>
      </c>
      <c r="BZ29" s="39">
        <f t="shared" si="264"/>
        <v>3.3088834166190879</v>
      </c>
      <c r="CA29" s="39">
        <f t="shared" si="264"/>
        <v>3.2888916250237892</v>
      </c>
      <c r="CB29" s="39">
        <f t="shared" si="264"/>
        <v>3.2988875208214385</v>
      </c>
      <c r="CC29" s="39">
        <f t="shared" si="264"/>
        <v>3.6138895729226141</v>
      </c>
      <c r="CD29" s="39">
        <f t="shared" si="264"/>
        <v>3.4563885468720259</v>
      </c>
      <c r="CE29" s="39">
        <f t="shared" si="264"/>
        <v>3.5351390598973205</v>
      </c>
      <c r="CF29" s="39">
        <f t="shared" si="264"/>
        <v>3.4957638033846732</v>
      </c>
      <c r="CG29" s="39">
        <f t="shared" si="264"/>
        <v>3.5154514316409968</v>
      </c>
      <c r="CH29" s="39">
        <f t="shared" si="264"/>
        <v>3.5056076175128354</v>
      </c>
      <c r="CI29" s="39">
        <f t="shared" si="264"/>
        <v>3.5105295245769157</v>
      </c>
      <c r="CJ29" s="39">
        <f t="shared" si="264"/>
        <v>3.5080685710448756</v>
      </c>
      <c r="CK29" s="39">
        <f t="shared" si="264"/>
        <v>3.5092990478108956</v>
      </c>
      <c r="CL29" s="39">
        <f t="shared" si="264"/>
        <v>3.5086838094278856</v>
      </c>
      <c r="CM29" s="39">
        <f t="shared" si="264"/>
        <v>3.5089914286193911</v>
      </c>
      <c r="CN29" s="39">
        <f t="shared" si="264"/>
        <v>3.5088376190236379</v>
      </c>
      <c r="CO29" s="39">
        <f t="shared" si="264"/>
        <v>3.5089145238215145</v>
      </c>
      <c r="CP29" s="39">
        <f t="shared" ref="CP29:DM29" si="265">CP28+CP24</f>
        <v>3.5088760714225757</v>
      </c>
      <c r="CQ29" s="39">
        <f t="shared" si="265"/>
        <v>3.5088952976220456</v>
      </c>
      <c r="CR29" s="39">
        <f t="shared" si="265"/>
        <v>3.5088856845223106</v>
      </c>
      <c r="CS29" s="39">
        <f t="shared" si="265"/>
        <v>3.5088904910721781</v>
      </c>
      <c r="CT29" s="39">
        <f t="shared" si="265"/>
        <v>3.1888880877972441</v>
      </c>
      <c r="CU29" s="39">
        <f t="shared" si="265"/>
        <v>3.3488892894347111</v>
      </c>
      <c r="CV29" s="65">
        <f t="shared" si="265"/>
        <v>3.2688886886159776</v>
      </c>
      <c r="CW29" s="39">
        <f t="shared" si="265"/>
        <v>3.3088889890253443</v>
      </c>
      <c r="CX29" s="39">
        <f t="shared" si="265"/>
        <v>3.2888888388206614</v>
      </c>
      <c r="CY29" s="39">
        <f t="shared" si="265"/>
        <v>3.2988889139230024</v>
      </c>
      <c r="CZ29" s="39">
        <f t="shared" si="265"/>
        <v>3.2938888763718324</v>
      </c>
      <c r="DA29" s="39">
        <f t="shared" si="265"/>
        <v>3.6163888951474168</v>
      </c>
      <c r="DB29" s="39">
        <f t="shared" si="265"/>
        <v>3.455138885759625</v>
      </c>
      <c r="DC29" s="39">
        <f t="shared" si="265"/>
        <v>3.5357638904535205</v>
      </c>
      <c r="DD29" s="39">
        <f t="shared" si="265"/>
        <v>3.4954513881065732</v>
      </c>
      <c r="DE29" s="39">
        <f t="shared" si="265"/>
        <v>3.5156076392800473</v>
      </c>
      <c r="DF29" s="39">
        <f t="shared" si="265"/>
        <v>3.5055295136933098</v>
      </c>
      <c r="DG29" s="39">
        <f t="shared" si="265"/>
        <v>3.5105685764866785</v>
      </c>
      <c r="DH29" s="39">
        <f t="shared" si="265"/>
        <v>3.5080490450899942</v>
      </c>
      <c r="DI29" s="39">
        <f t="shared" si="265"/>
        <v>3.5093088107883363</v>
      </c>
      <c r="DJ29" s="39">
        <f t="shared" si="265"/>
        <v>3.5086789279391657</v>
      </c>
      <c r="DK29" s="39">
        <f t="shared" si="265"/>
        <v>3.5089938693637506</v>
      </c>
      <c r="DL29" s="39">
        <f t="shared" si="265"/>
        <v>3.5088363986514577</v>
      </c>
      <c r="DM29" s="39">
        <f t="shared" si="265"/>
        <v>3.5089151340076046</v>
      </c>
      <c r="DN29" s="39">
        <f t="shared" ref="DN29:DT29" si="266">DN28+DN24</f>
        <v>3.5088757663295316</v>
      </c>
      <c r="DO29" s="39">
        <f t="shared" si="266"/>
        <v>3.5088954501685676</v>
      </c>
      <c r="DP29" s="39">
        <f t="shared" si="266"/>
        <v>3.5088856082490492</v>
      </c>
      <c r="DQ29" s="39">
        <f t="shared" si="266"/>
        <v>3.5088905292088088</v>
      </c>
      <c r="DR29" s="39">
        <f t="shared" si="266"/>
        <v>3.1888880687289292</v>
      </c>
      <c r="DS29" s="39">
        <f t="shared" si="266"/>
        <v>3.3488892989688686</v>
      </c>
      <c r="DT29" s="39">
        <f t="shared" si="266"/>
        <v>3.2688886838488993</v>
      </c>
    </row>
    <row r="30" spans="2:124" x14ac:dyDescent="0.2">
      <c r="E30" s="193" t="s">
        <v>66</v>
      </c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5"/>
      <c r="AC30" s="196" t="s">
        <v>67</v>
      </c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8"/>
      <c r="BA30" s="193" t="s">
        <v>68</v>
      </c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5"/>
      <c r="BY30" s="196" t="s">
        <v>69</v>
      </c>
      <c r="BZ30" s="197"/>
      <c r="CA30" s="197"/>
      <c r="CB30" s="197"/>
      <c r="CC30" s="197"/>
      <c r="CD30" s="197"/>
      <c r="CE30" s="197"/>
      <c r="CF30" s="197"/>
      <c r="CG30" s="197"/>
      <c r="CH30" s="197"/>
      <c r="CI30" s="197"/>
      <c r="CJ30" s="197"/>
      <c r="CK30" s="197"/>
      <c r="CL30" s="197"/>
      <c r="CM30" s="197"/>
      <c r="CN30" s="197"/>
      <c r="CO30" s="197"/>
      <c r="CP30" s="197"/>
      <c r="CQ30" s="197"/>
      <c r="CR30" s="197"/>
      <c r="CS30" s="197"/>
      <c r="CT30" s="197"/>
      <c r="CU30" s="197"/>
      <c r="CV30" s="198"/>
      <c r="CW30" s="193" t="s">
        <v>70</v>
      </c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5"/>
    </row>
    <row r="31" spans="2:124" x14ac:dyDescent="0.2">
      <c r="B31" s="5" t="s">
        <v>228</v>
      </c>
      <c r="E31" s="23">
        <v>4.1666666666666664E-2</v>
      </c>
      <c r="F31" s="24">
        <v>8.3333333333333301E-2</v>
      </c>
      <c r="G31" s="24">
        <v>0.125</v>
      </c>
      <c r="H31" s="24">
        <v>0.16666666666666699</v>
      </c>
      <c r="I31" s="24">
        <v>0.20833333333333401</v>
      </c>
      <c r="J31" s="24">
        <v>0.25</v>
      </c>
      <c r="K31" s="24">
        <v>0.29166666666666702</v>
      </c>
      <c r="L31" s="24">
        <v>0.33333333333333298</v>
      </c>
      <c r="M31" s="24">
        <v>0.375</v>
      </c>
      <c r="N31" s="24">
        <v>0.41666666666666702</v>
      </c>
      <c r="O31" s="24">
        <v>0.45833333333333298</v>
      </c>
      <c r="P31" s="24">
        <v>0.5</v>
      </c>
      <c r="Q31" s="24">
        <v>0.54166666666666696</v>
      </c>
      <c r="R31" s="24">
        <v>0.58333333333333304</v>
      </c>
      <c r="S31" s="24">
        <v>0.625</v>
      </c>
      <c r="T31" s="24">
        <v>0.66666666666666696</v>
      </c>
      <c r="U31" s="24">
        <v>0.70833333333333304</v>
      </c>
      <c r="V31" s="24">
        <v>0.75</v>
      </c>
      <c r="W31" s="24">
        <v>0.79166666666666696</v>
      </c>
      <c r="X31" s="24">
        <v>0.83333333333333304</v>
      </c>
      <c r="Y31" s="24">
        <v>0.875</v>
      </c>
      <c r="Z31" s="24">
        <v>0.91666666666666696</v>
      </c>
      <c r="AA31" s="24">
        <v>0.95833333333333404</v>
      </c>
      <c r="AB31" s="59">
        <v>1</v>
      </c>
      <c r="AC31" s="23">
        <v>1.0416666666666701</v>
      </c>
      <c r="AD31" s="24">
        <v>1.0833333333333299</v>
      </c>
      <c r="AE31" s="24">
        <v>0.125</v>
      </c>
      <c r="AF31" s="24">
        <v>0.16666666666666699</v>
      </c>
      <c r="AG31" s="24">
        <v>0.20833333333333301</v>
      </c>
      <c r="AH31" s="24">
        <v>0.25</v>
      </c>
      <c r="AI31" s="24">
        <v>0.29166666666666702</v>
      </c>
      <c r="AJ31" s="24">
        <v>0.33333333333333298</v>
      </c>
      <c r="AK31" s="24">
        <v>0.375</v>
      </c>
      <c r="AL31" s="24">
        <v>0.41666666666666702</v>
      </c>
      <c r="AM31" s="24">
        <v>0.45833333333333298</v>
      </c>
      <c r="AN31" s="24">
        <v>0.5</v>
      </c>
      <c r="AO31" s="24">
        <v>0.54166666666666696</v>
      </c>
      <c r="AP31" s="24">
        <v>0.58333333333333304</v>
      </c>
      <c r="AQ31" s="24">
        <v>0.625</v>
      </c>
      <c r="AR31" s="24">
        <v>0.66666666666666696</v>
      </c>
      <c r="AS31" s="24">
        <v>0.70833333333333304</v>
      </c>
      <c r="AT31" s="24">
        <v>0.75</v>
      </c>
      <c r="AU31" s="24">
        <v>0.79166666666666696</v>
      </c>
      <c r="AV31" s="24">
        <v>0.83333333333333304</v>
      </c>
      <c r="AW31" s="24">
        <v>0.875</v>
      </c>
      <c r="AX31" s="24">
        <v>0.91666666666666696</v>
      </c>
      <c r="AY31" s="24">
        <v>0.95833333333333404</v>
      </c>
      <c r="AZ31" s="59">
        <v>1</v>
      </c>
      <c r="BA31" s="23">
        <v>1.0416666666666701</v>
      </c>
      <c r="BB31" s="24">
        <v>1.0833333333333299</v>
      </c>
      <c r="BC31" s="24">
        <v>0.125</v>
      </c>
      <c r="BD31" s="24">
        <v>0.16666666666666699</v>
      </c>
      <c r="BE31" s="24">
        <v>0.20833333333333301</v>
      </c>
      <c r="BF31" s="24">
        <v>0.25</v>
      </c>
      <c r="BG31" s="24">
        <v>0.29166666666666702</v>
      </c>
      <c r="BH31" s="24">
        <v>0.33333333333333298</v>
      </c>
      <c r="BI31" s="24">
        <v>0.375</v>
      </c>
      <c r="BJ31" s="24">
        <v>0.41666666666666702</v>
      </c>
      <c r="BK31" s="24">
        <v>0.45833333333333298</v>
      </c>
      <c r="BL31" s="24">
        <v>0.5</v>
      </c>
      <c r="BM31" s="24">
        <v>0.54166666666666696</v>
      </c>
      <c r="BN31" s="24">
        <v>0.58333333333333304</v>
      </c>
      <c r="BO31" s="24">
        <v>0.625</v>
      </c>
      <c r="BP31" s="24">
        <v>0.66666666666666696</v>
      </c>
      <c r="BQ31" s="24">
        <v>0.70833333333333304</v>
      </c>
      <c r="BR31" s="24">
        <v>0.75</v>
      </c>
      <c r="BS31" s="24">
        <v>0.79166666666666696</v>
      </c>
      <c r="BT31" s="24">
        <v>0.83333333333333304</v>
      </c>
      <c r="BU31" s="24">
        <v>0.875</v>
      </c>
      <c r="BV31" s="24">
        <v>0.91666666666666696</v>
      </c>
      <c r="BW31" s="24">
        <v>0.95833333333333404</v>
      </c>
      <c r="BX31" s="59">
        <v>1</v>
      </c>
      <c r="BY31" s="23">
        <v>1.0416666666666701</v>
      </c>
      <c r="BZ31" s="24">
        <v>1.0833333333333299</v>
      </c>
      <c r="CA31" s="24">
        <v>0.125</v>
      </c>
      <c r="CB31" s="24">
        <v>0.16666666666666699</v>
      </c>
      <c r="CC31" s="24">
        <v>0.20833333333333301</v>
      </c>
      <c r="CD31" s="24">
        <v>0.25</v>
      </c>
      <c r="CE31" s="24">
        <v>0.29166666666666702</v>
      </c>
      <c r="CF31" s="24">
        <v>0.33333333333333298</v>
      </c>
      <c r="CG31" s="24">
        <v>0.375</v>
      </c>
      <c r="CH31" s="24">
        <v>0.41666666666666702</v>
      </c>
      <c r="CI31" s="24">
        <v>0.45833333333333298</v>
      </c>
      <c r="CJ31" s="24">
        <v>0.5</v>
      </c>
      <c r="CK31" s="24">
        <v>0.54166666666666696</v>
      </c>
      <c r="CL31" s="24">
        <v>0.58333333333333304</v>
      </c>
      <c r="CM31" s="24">
        <v>0.625</v>
      </c>
      <c r="CN31" s="24">
        <v>0.66666666666666696</v>
      </c>
      <c r="CO31" s="24">
        <v>0.70833333333333304</v>
      </c>
      <c r="CP31" s="24">
        <v>0.75</v>
      </c>
      <c r="CQ31" s="24">
        <v>0.79166666666666696</v>
      </c>
      <c r="CR31" s="24">
        <v>0.83333333333333304</v>
      </c>
      <c r="CS31" s="24">
        <v>0.875</v>
      </c>
      <c r="CT31" s="24">
        <v>0.91666666666666696</v>
      </c>
      <c r="CU31" s="24">
        <v>0.95833333333333404</v>
      </c>
      <c r="CV31" s="59">
        <v>1</v>
      </c>
      <c r="CW31" s="23">
        <v>1.0416666666666701</v>
      </c>
      <c r="CX31" s="24">
        <v>1.0833333333333299</v>
      </c>
      <c r="CY31" s="24">
        <v>0.125</v>
      </c>
      <c r="CZ31" s="24">
        <v>0.16666666666666699</v>
      </c>
      <c r="DA31" s="24">
        <v>0.20833333333333301</v>
      </c>
      <c r="DB31" s="24">
        <v>0.25</v>
      </c>
      <c r="DC31" s="24">
        <v>0.29166666666666702</v>
      </c>
      <c r="DD31" s="24">
        <v>0.33333333333333298</v>
      </c>
      <c r="DE31" s="24">
        <v>0.375</v>
      </c>
      <c r="DF31" s="24">
        <v>0.41666666666666702</v>
      </c>
      <c r="DG31" s="24">
        <v>0.45833333333333298</v>
      </c>
      <c r="DH31" s="24">
        <v>0.5</v>
      </c>
      <c r="DI31" s="24">
        <v>0.54166666666666696</v>
      </c>
      <c r="DJ31" s="24">
        <v>0.58333333333333304</v>
      </c>
      <c r="DK31" s="24">
        <v>0.625</v>
      </c>
      <c r="DL31" s="24">
        <v>0.66666666666666696</v>
      </c>
      <c r="DM31" s="24">
        <v>0.70833333333333304</v>
      </c>
      <c r="DN31" s="24">
        <v>0.75</v>
      </c>
      <c r="DO31" s="24">
        <v>0.79166666666666696</v>
      </c>
      <c r="DP31" s="24">
        <v>0.83333333333333304</v>
      </c>
      <c r="DQ31" s="24">
        <v>0.875</v>
      </c>
      <c r="DR31" s="24">
        <v>0.91666666666666696</v>
      </c>
      <c r="DS31" s="24">
        <v>0.95833333333333404</v>
      </c>
      <c r="DT31" s="24">
        <v>1</v>
      </c>
    </row>
    <row r="32" spans="2:124" x14ac:dyDescent="0.2">
      <c r="B32" s="3" t="s">
        <v>24</v>
      </c>
      <c r="D32" s="141">
        <v>6</v>
      </c>
      <c r="E32" s="18">
        <f>D40</f>
        <v>6.6333333333333337</v>
      </c>
      <c r="F32" s="25">
        <f>E40</f>
        <v>6.8718055555555555</v>
      </c>
      <c r="G32" s="25">
        <f t="shared" ref="G32:AZ32" si="267">F40</f>
        <v>6.9017069623618008</v>
      </c>
      <c r="H32" s="25">
        <f t="shared" si="267"/>
        <v>3.0179771981820105</v>
      </c>
      <c r="I32" s="25">
        <f t="shared" si="267"/>
        <v>-0.90806686743311227</v>
      </c>
      <c r="J32" s="25">
        <f t="shared" si="267"/>
        <v>-0.61039616925891971</v>
      </c>
      <c r="K32" s="25">
        <f t="shared" si="267"/>
        <v>-0.30486496399089663</v>
      </c>
      <c r="L32" s="25">
        <f t="shared" si="267"/>
        <v>2.2767933853662034E-3</v>
      </c>
      <c r="M32" s="25">
        <f t="shared" si="267"/>
        <v>0.31415408036266423</v>
      </c>
      <c r="N32" s="25">
        <f t="shared" si="267"/>
        <v>0.62920440819459977</v>
      </c>
      <c r="O32" s="25">
        <f t="shared" si="267"/>
        <v>0.94820902125437168</v>
      </c>
      <c r="P32" s="25">
        <f t="shared" si="267"/>
        <v>1.2224185202800413</v>
      </c>
      <c r="Q32" s="25">
        <f t="shared" si="267"/>
        <v>1.5243991589955934</v>
      </c>
      <c r="R32" s="25">
        <f t="shared" si="267"/>
        <v>1.8178678105390356</v>
      </c>
      <c r="S32" s="25">
        <f t="shared" si="267"/>
        <v>2.1209660383413644</v>
      </c>
      <c r="T32" s="25">
        <f t="shared" si="267"/>
        <v>2.403128729995756</v>
      </c>
      <c r="U32" s="25">
        <f t="shared" si="267"/>
        <v>2.9094222971500456</v>
      </c>
      <c r="V32" s="25">
        <f t="shared" si="267"/>
        <v>3.3036504265543862</v>
      </c>
      <c r="W32" s="25">
        <f t="shared" si="267"/>
        <v>3.7539112748337016</v>
      </c>
      <c r="X32" s="25">
        <f t="shared" si="267"/>
        <v>4.1761557636755287</v>
      </c>
      <c r="Y32" s="25">
        <f t="shared" si="267"/>
        <v>4.6124084322360996</v>
      </c>
      <c r="Z32" s="25">
        <f t="shared" si="267"/>
        <v>6.9230215372237049</v>
      </c>
      <c r="AA32" s="25">
        <f t="shared" si="267"/>
        <v>9.4129484252244389</v>
      </c>
      <c r="AB32" s="57">
        <f t="shared" si="267"/>
        <v>9.6115309217186109</v>
      </c>
      <c r="AC32" s="19">
        <f t="shared" si="267"/>
        <v>9.8369378380492254</v>
      </c>
      <c r="AD32" s="25">
        <f t="shared" si="267"/>
        <v>10.04893254446162</v>
      </c>
      <c r="AE32" s="25">
        <f t="shared" si="267"/>
        <v>10.267633355833123</v>
      </c>
      <c r="AF32" s="25">
        <f t="shared" si="267"/>
        <v>6.4814987237472153</v>
      </c>
      <c r="AG32" s="25">
        <f t="shared" si="267"/>
        <v>2.696299422412153</v>
      </c>
      <c r="AH32" s="25">
        <f t="shared" si="267"/>
        <v>2.9091500647238098</v>
      </c>
      <c r="AI32" s="25">
        <f t="shared" si="267"/>
        <v>3.1214933442342501</v>
      </c>
      <c r="AJ32" s="25">
        <f t="shared" si="267"/>
        <v>3.3326079141674412</v>
      </c>
      <c r="AK32" s="25">
        <f t="shared" si="267"/>
        <v>3.5428544479113993</v>
      </c>
      <c r="AL32" s="25">
        <f t="shared" si="267"/>
        <v>3.7520526087721162</v>
      </c>
      <c r="AM32" s="25">
        <f t="shared" si="267"/>
        <v>3.9602925650965966</v>
      </c>
      <c r="AN32" s="25">
        <f t="shared" si="267"/>
        <v>4.1675292327113382</v>
      </c>
      <c r="AO32" s="25">
        <f t="shared" si="267"/>
        <v>4.373785153703091</v>
      </c>
      <c r="AP32" s="25">
        <f t="shared" si="267"/>
        <v>4.579049057028481</v>
      </c>
      <c r="AQ32" s="25">
        <f t="shared" si="267"/>
        <v>4.7833265782091949</v>
      </c>
      <c r="AR32" s="25">
        <f t="shared" si="267"/>
        <v>4.9866148994843886</v>
      </c>
      <c r="AS32" s="25">
        <f t="shared" si="267"/>
        <v>5.1889154297344842</v>
      </c>
      <c r="AT32" s="25">
        <f t="shared" si="267"/>
        <v>5.3902274645192714</v>
      </c>
      <c r="AU32" s="25">
        <f t="shared" si="267"/>
        <v>5.5905513560588558</v>
      </c>
      <c r="AV32" s="25">
        <f t="shared" si="267"/>
        <v>5.7898869282431837</v>
      </c>
      <c r="AW32" s="25">
        <f t="shared" si="267"/>
        <v>5.9882342691272825</v>
      </c>
      <c r="AX32" s="25">
        <f t="shared" si="267"/>
        <v>6.185593334683638</v>
      </c>
      <c r="AY32" s="25">
        <f t="shared" si="267"/>
        <v>6.3819641469260082</v>
      </c>
      <c r="AZ32" s="57">
        <f t="shared" si="267"/>
        <v>6.5773466948475132</v>
      </c>
      <c r="BA32" s="19">
        <f t="shared" ref="BA32:BX32" si="268">AZ40</f>
        <v>6.7717409839515934</v>
      </c>
      <c r="BB32" s="25">
        <f t="shared" si="268"/>
        <v>6.965147011486529</v>
      </c>
      <c r="BC32" s="25">
        <f t="shared" si="268"/>
        <v>7.1575647788281795</v>
      </c>
      <c r="BD32" s="25">
        <f t="shared" si="268"/>
        <v>3.3489942852886152</v>
      </c>
      <c r="BE32" s="25">
        <f t="shared" si="268"/>
        <v>-0.46056446878819868</v>
      </c>
      <c r="BF32" s="25">
        <f t="shared" si="268"/>
        <v>-6.9423983574245007E-2</v>
      </c>
      <c r="BG32" s="25">
        <f t="shared" si="268"/>
        <v>0.3387322669333071</v>
      </c>
      <c r="BH32" s="25">
        <f t="shared" si="268"/>
        <v>0.74156893639970878</v>
      </c>
      <c r="BI32" s="25">
        <f t="shared" si="268"/>
        <v>1.1502536979923346</v>
      </c>
      <c r="BJ32" s="25">
        <f t="shared" si="268"/>
        <v>1.3796231227515772</v>
      </c>
      <c r="BK32" s="25">
        <f t="shared" si="268"/>
        <v>1.6986502159275114</v>
      </c>
      <c r="BL32" s="25">
        <f t="shared" si="268"/>
        <v>1.9728484748950998</v>
      </c>
      <c r="BM32" s="25">
        <f t="shared" si="268"/>
        <v>2.2694611509668614</v>
      </c>
      <c r="BN32" s="25">
        <f t="shared" si="268"/>
        <v>2.5548666184865367</v>
      </c>
      <c r="BO32" s="25">
        <f t="shared" si="268"/>
        <v>2.8458756902822553</v>
      </c>
      <c r="BP32" s="25">
        <f t="shared" si="268"/>
        <v>3.1340829599399522</v>
      </c>
      <c r="BQ32" s="25">
        <f t="shared" si="268"/>
        <v>3.42369113066666</v>
      </c>
      <c r="BR32" s="25">
        <f t="shared" si="268"/>
        <v>3.7125988508588623</v>
      </c>
      <c r="BS32" s="25">
        <f t="shared" si="268"/>
        <v>4.0018567963183171</v>
      </c>
      <c r="BT32" s="25">
        <f t="shared" si="268"/>
        <v>4.2909396291441446</v>
      </c>
      <c r="BU32" s="25">
        <f t="shared" si="268"/>
        <v>4.5801100182867858</v>
      </c>
      <c r="BV32" s="25">
        <f t="shared" si="268"/>
        <v>6.8692366292710201</v>
      </c>
      <c r="BW32" s="25">
        <f t="shared" si="268"/>
        <v>9.1583851293344587</v>
      </c>
      <c r="BX32" s="57">
        <f t="shared" si="268"/>
        <v>9.2458351848582971</v>
      </c>
      <c r="BY32" s="19">
        <f t="shared" ref="BY32:CV32" si="269">BX40</f>
        <v>9.3199573793186037</v>
      </c>
      <c r="BZ32" s="25">
        <f t="shared" si="269"/>
        <v>9.4007435043106753</v>
      </c>
      <c r="CA32" s="25">
        <f t="shared" si="269"/>
        <v>9.4781976640368644</v>
      </c>
      <c r="CB32" s="25">
        <f t="shared" si="269"/>
        <v>5.5573178063959947</v>
      </c>
      <c r="CC32" s="25">
        <f t="shared" si="269"/>
        <v>1.6356049574386518</v>
      </c>
      <c r="CD32" s="25">
        <f t="shared" si="269"/>
        <v>1.915996104139545</v>
      </c>
      <c r="CE32" s="25">
        <f t="shared" si="269"/>
        <v>2.209512336344654</v>
      </c>
      <c r="CF32" s="25">
        <f t="shared" si="269"/>
        <v>2.4964660257976554</v>
      </c>
      <c r="CG32" s="25">
        <f t="shared" si="269"/>
        <v>2.7867009866267107</v>
      </c>
      <c r="CH32" s="25">
        <f t="shared" si="269"/>
        <v>3.0752953117677393</v>
      </c>
      <c r="CI32" s="25">
        <f t="shared" si="269"/>
        <v>3.3647099547527812</v>
      </c>
      <c r="CJ32" s="25">
        <f t="shared" si="269"/>
        <v>3.6537144388158165</v>
      </c>
      <c r="CK32" s="25">
        <f t="shared" si="269"/>
        <v>3.9429240023398551</v>
      </c>
      <c r="CL32" s="25">
        <f t="shared" si="269"/>
        <v>4.2320310261333907</v>
      </c>
      <c r="CM32" s="25">
        <f t="shared" si="269"/>
        <v>4.5211893197921773</v>
      </c>
      <c r="CN32" s="25">
        <f t="shared" si="269"/>
        <v>4.8103219785183384</v>
      </c>
      <c r="CO32" s="25">
        <f t="shared" si="269"/>
        <v>5.0994674547108128</v>
      </c>
      <c r="CP32" s="25">
        <f t="shared" si="269"/>
        <v>5.3886065221701305</v>
      </c>
      <c r="CQ32" s="25">
        <f t="shared" si="269"/>
        <v>5.6777487939960265</v>
      </c>
      <c r="CR32" s="25">
        <f t="shared" si="269"/>
        <v>5.9668894636386334</v>
      </c>
      <c r="CS32" s="25">
        <f t="shared" si="269"/>
        <v>6.2560309343728848</v>
      </c>
      <c r="CT32" s="25">
        <f t="shared" si="269"/>
        <v>8.545172004561314</v>
      </c>
      <c r="CU32" s="25">
        <f t="shared" si="269"/>
        <v>8.6326257750226532</v>
      </c>
      <c r="CV32" s="57">
        <f t="shared" si="269"/>
        <v>8.7067461120142049</v>
      </c>
      <c r="CW32" s="19">
        <f t="shared" ref="CW32:DT32" si="270">CV40</f>
        <v>8.7875331657406512</v>
      </c>
      <c r="CX32" s="25">
        <f t="shared" si="270"/>
        <v>8.8649868610996521</v>
      </c>
      <c r="CY32" s="25">
        <f t="shared" si="270"/>
        <v>8.9441072356423774</v>
      </c>
      <c r="CZ32" s="25">
        <f t="shared" si="270"/>
        <v>5.0223942705932405</v>
      </c>
      <c r="DA32" s="25">
        <f t="shared" si="270"/>
        <v>1.1010979753400312</v>
      </c>
      <c r="DB32" s="25">
        <f t="shared" si="270"/>
        <v>1.3812808451888574</v>
      </c>
      <c r="DC32" s="25">
        <f t="shared" si="270"/>
        <v>1.6749012158199996</v>
      </c>
      <c r="DD32" s="25">
        <f t="shared" si="270"/>
        <v>1.961802836059984</v>
      </c>
      <c r="DE32" s="25">
        <f t="shared" si="270"/>
        <v>2.2520638314955472</v>
      </c>
      <c r="DF32" s="25">
        <f t="shared" si="270"/>
        <v>2.5406451393333214</v>
      </c>
      <c r="DG32" s="25">
        <f t="shared" si="270"/>
        <v>2.8300662909699903</v>
      </c>
      <c r="DH32" s="25">
        <f t="shared" si="270"/>
        <v>3.1190675207072118</v>
      </c>
      <c r="DI32" s="25">
        <f t="shared" si="270"/>
        <v>3.4082787113941571</v>
      </c>
      <c r="DJ32" s="25">
        <f t="shared" si="270"/>
        <v>3.6973849216062407</v>
      </c>
      <c r="DK32" s="25">
        <f t="shared" si="270"/>
        <v>3.9865436220557551</v>
      </c>
      <c r="DL32" s="25">
        <f t="shared" si="270"/>
        <v>4.275676077386553</v>
      </c>
      <c r="DM32" s="25">
        <f t="shared" si="270"/>
        <v>4.5648216552767087</v>
      </c>
      <c r="DN32" s="25">
        <f t="shared" si="270"/>
        <v>4.8539606718871857</v>
      </c>
      <c r="DO32" s="25">
        <f t="shared" si="270"/>
        <v>5.1431029691375016</v>
      </c>
      <c r="DP32" s="25">
        <f t="shared" si="270"/>
        <v>5.4322436260678986</v>
      </c>
      <c r="DQ32" s="25">
        <f t="shared" si="270"/>
        <v>5.721385103158255</v>
      </c>
      <c r="DR32" s="25">
        <f t="shared" si="270"/>
        <v>8.0105261701686317</v>
      </c>
      <c r="DS32" s="25">
        <f t="shared" si="270"/>
        <v>8.0979799422189984</v>
      </c>
      <c r="DT32" s="25">
        <f t="shared" si="270"/>
        <v>8.1721002784160355</v>
      </c>
    </row>
    <row r="33" spans="2:124" s="2" customFormat="1" x14ac:dyDescent="0.2">
      <c r="B33" s="20" t="s">
        <v>25</v>
      </c>
      <c r="C33" s="75"/>
      <c r="D33" s="141">
        <f>10/24</f>
        <v>0.41666666666666669</v>
      </c>
      <c r="E33" s="26">
        <f>IF(D41="T",-$D$33,$D$33*0.05)</f>
        <v>-0.41666666666666669</v>
      </c>
      <c r="F33" s="26">
        <f t="shared" ref="F33:BQ33" si="271">IF(E41="T",-$D$33,$D$33*0.05)</f>
        <v>-0.41666666666666669</v>
      </c>
      <c r="G33" s="26">
        <f t="shared" si="271"/>
        <v>-0.41666666666666669</v>
      </c>
      <c r="H33" s="26">
        <f t="shared" si="271"/>
        <v>-0.41666666666666669</v>
      </c>
      <c r="I33" s="26">
        <f t="shared" si="271"/>
        <v>2.0833333333333336E-2</v>
      </c>
      <c r="J33" s="26">
        <f t="shared" si="271"/>
        <v>2.0833333333333336E-2</v>
      </c>
      <c r="K33" s="26">
        <f t="shared" si="271"/>
        <v>2.0833333333333336E-2</v>
      </c>
      <c r="L33" s="26">
        <f t="shared" si="271"/>
        <v>2.0833333333333336E-2</v>
      </c>
      <c r="M33" s="26">
        <f t="shared" si="271"/>
        <v>2.0833333333333336E-2</v>
      </c>
      <c r="N33" s="26">
        <f t="shared" si="271"/>
        <v>2.0833333333333336E-2</v>
      </c>
      <c r="O33" s="26">
        <f t="shared" si="271"/>
        <v>2.0833333333333336E-2</v>
      </c>
      <c r="P33" s="26">
        <f t="shared" si="271"/>
        <v>2.0833333333333336E-2</v>
      </c>
      <c r="Q33" s="26">
        <f t="shared" si="271"/>
        <v>2.0833333333333336E-2</v>
      </c>
      <c r="R33" s="26">
        <f t="shared" si="271"/>
        <v>2.0833333333333336E-2</v>
      </c>
      <c r="S33" s="26">
        <f t="shared" si="271"/>
        <v>2.0833333333333336E-2</v>
      </c>
      <c r="T33" s="26">
        <f t="shared" si="271"/>
        <v>2.0833333333333336E-2</v>
      </c>
      <c r="U33" s="26">
        <f t="shared" si="271"/>
        <v>2.0833333333333336E-2</v>
      </c>
      <c r="V33" s="26">
        <f t="shared" si="271"/>
        <v>2.0833333333333336E-2</v>
      </c>
      <c r="W33" s="26">
        <f t="shared" si="271"/>
        <v>2.0833333333333336E-2</v>
      </c>
      <c r="X33" s="26">
        <f t="shared" si="271"/>
        <v>2.0833333333333336E-2</v>
      </c>
      <c r="Y33" s="26">
        <f t="shared" si="271"/>
        <v>2.0833333333333336E-2</v>
      </c>
      <c r="Z33" s="26">
        <f t="shared" si="271"/>
        <v>2.0833333333333336E-2</v>
      </c>
      <c r="AA33" s="26">
        <f t="shared" si="271"/>
        <v>-0.41666666666666669</v>
      </c>
      <c r="AB33" s="26">
        <f t="shared" si="271"/>
        <v>-0.41666666666666669</v>
      </c>
      <c r="AC33" s="26">
        <f t="shared" si="271"/>
        <v>-0.41666666666666669</v>
      </c>
      <c r="AD33" s="26">
        <f t="shared" si="271"/>
        <v>-0.41666666666666669</v>
      </c>
      <c r="AE33" s="26">
        <f t="shared" si="271"/>
        <v>-0.41666666666666669</v>
      </c>
      <c r="AF33" s="26">
        <f t="shared" si="271"/>
        <v>-0.41666666666666669</v>
      </c>
      <c r="AG33" s="26">
        <f t="shared" si="271"/>
        <v>-0.41666666666666669</v>
      </c>
      <c r="AH33" s="26">
        <f t="shared" si="271"/>
        <v>-0.41666666666666669</v>
      </c>
      <c r="AI33" s="26">
        <f t="shared" si="271"/>
        <v>-0.41666666666666669</v>
      </c>
      <c r="AJ33" s="26">
        <f t="shared" si="271"/>
        <v>-0.41666666666666669</v>
      </c>
      <c r="AK33" s="26">
        <f t="shared" si="271"/>
        <v>-0.41666666666666669</v>
      </c>
      <c r="AL33" s="26">
        <f t="shared" si="271"/>
        <v>-0.41666666666666669</v>
      </c>
      <c r="AM33" s="26">
        <f t="shared" si="271"/>
        <v>-0.41666666666666669</v>
      </c>
      <c r="AN33" s="26">
        <f t="shared" si="271"/>
        <v>-0.41666666666666669</v>
      </c>
      <c r="AO33" s="26">
        <f t="shared" si="271"/>
        <v>-0.41666666666666669</v>
      </c>
      <c r="AP33" s="26">
        <f t="shared" si="271"/>
        <v>-0.41666666666666669</v>
      </c>
      <c r="AQ33" s="26">
        <f t="shared" si="271"/>
        <v>-0.41666666666666669</v>
      </c>
      <c r="AR33" s="26">
        <f t="shared" si="271"/>
        <v>-0.41666666666666669</v>
      </c>
      <c r="AS33" s="26">
        <f t="shared" si="271"/>
        <v>-0.41666666666666669</v>
      </c>
      <c r="AT33" s="26">
        <f t="shared" si="271"/>
        <v>-0.41666666666666669</v>
      </c>
      <c r="AU33" s="26">
        <f t="shared" si="271"/>
        <v>-0.41666666666666669</v>
      </c>
      <c r="AV33" s="26">
        <f t="shared" si="271"/>
        <v>-0.41666666666666669</v>
      </c>
      <c r="AW33" s="26">
        <f t="shared" si="271"/>
        <v>-0.41666666666666669</v>
      </c>
      <c r="AX33" s="26">
        <f t="shared" si="271"/>
        <v>-0.41666666666666669</v>
      </c>
      <c r="AY33" s="26">
        <f t="shared" si="271"/>
        <v>-0.41666666666666669</v>
      </c>
      <c r="AZ33" s="26">
        <f t="shared" si="271"/>
        <v>-0.41666666666666669</v>
      </c>
      <c r="BA33" s="26">
        <f t="shared" si="271"/>
        <v>-0.41666666666666669</v>
      </c>
      <c r="BB33" s="26">
        <f t="shared" si="271"/>
        <v>-0.41666666666666669</v>
      </c>
      <c r="BC33" s="26">
        <f t="shared" si="271"/>
        <v>-0.41666666666666669</v>
      </c>
      <c r="BD33" s="26">
        <f t="shared" si="271"/>
        <v>-0.41666666666666669</v>
      </c>
      <c r="BE33" s="26">
        <f t="shared" si="271"/>
        <v>2.0833333333333336E-2</v>
      </c>
      <c r="BF33" s="26">
        <f t="shared" si="271"/>
        <v>2.0833333333333336E-2</v>
      </c>
      <c r="BG33" s="26">
        <f t="shared" si="271"/>
        <v>2.0833333333333336E-2</v>
      </c>
      <c r="BH33" s="26">
        <f t="shared" si="271"/>
        <v>2.0833333333333336E-2</v>
      </c>
      <c r="BI33" s="26">
        <f t="shared" si="271"/>
        <v>2.0833333333333336E-2</v>
      </c>
      <c r="BJ33" s="26">
        <f t="shared" si="271"/>
        <v>2.0833333333333336E-2</v>
      </c>
      <c r="BK33" s="26">
        <f t="shared" si="271"/>
        <v>2.0833333333333336E-2</v>
      </c>
      <c r="BL33" s="26">
        <f t="shared" si="271"/>
        <v>2.0833333333333336E-2</v>
      </c>
      <c r="BM33" s="26">
        <f t="shared" si="271"/>
        <v>2.0833333333333336E-2</v>
      </c>
      <c r="BN33" s="26">
        <f t="shared" si="271"/>
        <v>2.0833333333333336E-2</v>
      </c>
      <c r="BO33" s="26">
        <f t="shared" si="271"/>
        <v>2.0833333333333336E-2</v>
      </c>
      <c r="BP33" s="26">
        <f t="shared" si="271"/>
        <v>2.0833333333333336E-2</v>
      </c>
      <c r="BQ33" s="26">
        <f t="shared" si="271"/>
        <v>2.0833333333333336E-2</v>
      </c>
      <c r="BR33" s="26">
        <f t="shared" ref="BR33:DT33" si="272">IF(BQ41="T",-$D$33,$D$33*0.05)</f>
        <v>2.0833333333333336E-2</v>
      </c>
      <c r="BS33" s="26">
        <f t="shared" si="272"/>
        <v>2.0833333333333336E-2</v>
      </c>
      <c r="BT33" s="26">
        <f t="shared" si="272"/>
        <v>2.0833333333333336E-2</v>
      </c>
      <c r="BU33" s="26">
        <f t="shared" si="272"/>
        <v>2.0833333333333336E-2</v>
      </c>
      <c r="BV33" s="26">
        <f t="shared" si="272"/>
        <v>2.0833333333333336E-2</v>
      </c>
      <c r="BW33" s="26">
        <f t="shared" si="272"/>
        <v>-0.41666666666666669</v>
      </c>
      <c r="BX33" s="26">
        <f t="shared" si="272"/>
        <v>-0.41666666666666669</v>
      </c>
      <c r="BY33" s="26">
        <f t="shared" si="272"/>
        <v>-0.41666666666666669</v>
      </c>
      <c r="BZ33" s="26">
        <f t="shared" si="272"/>
        <v>-0.41666666666666669</v>
      </c>
      <c r="CA33" s="26">
        <f t="shared" si="272"/>
        <v>-0.41666666666666669</v>
      </c>
      <c r="CB33" s="26">
        <f t="shared" si="272"/>
        <v>-0.41666666666666669</v>
      </c>
      <c r="CC33" s="26">
        <f t="shared" si="272"/>
        <v>2.0833333333333336E-2</v>
      </c>
      <c r="CD33" s="26">
        <f t="shared" si="272"/>
        <v>2.0833333333333336E-2</v>
      </c>
      <c r="CE33" s="26">
        <f t="shared" si="272"/>
        <v>2.0833333333333336E-2</v>
      </c>
      <c r="CF33" s="26">
        <f t="shared" si="272"/>
        <v>2.0833333333333336E-2</v>
      </c>
      <c r="CG33" s="26">
        <f t="shared" si="272"/>
        <v>2.0833333333333336E-2</v>
      </c>
      <c r="CH33" s="26">
        <f t="shared" si="272"/>
        <v>2.0833333333333336E-2</v>
      </c>
      <c r="CI33" s="26">
        <f t="shared" si="272"/>
        <v>2.0833333333333336E-2</v>
      </c>
      <c r="CJ33" s="26">
        <f t="shared" si="272"/>
        <v>2.0833333333333336E-2</v>
      </c>
      <c r="CK33" s="26">
        <f t="shared" si="272"/>
        <v>2.0833333333333336E-2</v>
      </c>
      <c r="CL33" s="26">
        <f t="shared" si="272"/>
        <v>2.0833333333333336E-2</v>
      </c>
      <c r="CM33" s="26">
        <f t="shared" si="272"/>
        <v>2.0833333333333336E-2</v>
      </c>
      <c r="CN33" s="26">
        <f t="shared" si="272"/>
        <v>2.0833333333333336E-2</v>
      </c>
      <c r="CO33" s="26">
        <f t="shared" si="272"/>
        <v>2.0833333333333336E-2</v>
      </c>
      <c r="CP33" s="26">
        <f t="shared" si="272"/>
        <v>2.0833333333333336E-2</v>
      </c>
      <c r="CQ33" s="26">
        <f t="shared" si="272"/>
        <v>2.0833333333333336E-2</v>
      </c>
      <c r="CR33" s="26">
        <f t="shared" si="272"/>
        <v>2.0833333333333336E-2</v>
      </c>
      <c r="CS33" s="26">
        <f t="shared" si="272"/>
        <v>2.0833333333333336E-2</v>
      </c>
      <c r="CT33" s="26">
        <f t="shared" si="272"/>
        <v>-0.41666666666666669</v>
      </c>
      <c r="CU33" s="26">
        <f t="shared" si="272"/>
        <v>-0.41666666666666669</v>
      </c>
      <c r="CV33" s="26">
        <f t="shared" si="272"/>
        <v>-0.41666666666666669</v>
      </c>
      <c r="CW33" s="26">
        <f t="shared" si="272"/>
        <v>-0.41666666666666669</v>
      </c>
      <c r="CX33" s="26">
        <f t="shared" si="272"/>
        <v>-0.41666666666666669</v>
      </c>
      <c r="CY33" s="26">
        <f t="shared" si="272"/>
        <v>-0.41666666666666669</v>
      </c>
      <c r="CZ33" s="26">
        <f t="shared" si="272"/>
        <v>-0.41666666666666669</v>
      </c>
      <c r="DA33" s="26">
        <f t="shared" si="272"/>
        <v>2.0833333333333336E-2</v>
      </c>
      <c r="DB33" s="26">
        <f t="shared" si="272"/>
        <v>2.0833333333333336E-2</v>
      </c>
      <c r="DC33" s="26">
        <f t="shared" si="272"/>
        <v>2.0833333333333336E-2</v>
      </c>
      <c r="DD33" s="26">
        <f t="shared" si="272"/>
        <v>2.0833333333333336E-2</v>
      </c>
      <c r="DE33" s="26">
        <f t="shared" si="272"/>
        <v>2.0833333333333336E-2</v>
      </c>
      <c r="DF33" s="26">
        <f t="shared" si="272"/>
        <v>2.0833333333333336E-2</v>
      </c>
      <c r="DG33" s="26">
        <f t="shared" si="272"/>
        <v>2.0833333333333336E-2</v>
      </c>
      <c r="DH33" s="26">
        <f t="shared" si="272"/>
        <v>2.0833333333333336E-2</v>
      </c>
      <c r="DI33" s="26">
        <f t="shared" si="272"/>
        <v>2.0833333333333336E-2</v>
      </c>
      <c r="DJ33" s="26">
        <f t="shared" si="272"/>
        <v>2.0833333333333336E-2</v>
      </c>
      <c r="DK33" s="26">
        <f t="shared" si="272"/>
        <v>2.0833333333333336E-2</v>
      </c>
      <c r="DL33" s="26">
        <f t="shared" si="272"/>
        <v>2.0833333333333336E-2</v>
      </c>
      <c r="DM33" s="26">
        <f t="shared" si="272"/>
        <v>2.0833333333333336E-2</v>
      </c>
      <c r="DN33" s="26">
        <f t="shared" si="272"/>
        <v>2.0833333333333336E-2</v>
      </c>
      <c r="DO33" s="26">
        <f t="shared" si="272"/>
        <v>2.0833333333333336E-2</v>
      </c>
      <c r="DP33" s="26">
        <f t="shared" si="272"/>
        <v>2.0833333333333336E-2</v>
      </c>
      <c r="DQ33" s="26">
        <f t="shared" si="272"/>
        <v>2.0833333333333336E-2</v>
      </c>
      <c r="DR33" s="26">
        <f t="shared" si="272"/>
        <v>-0.41666666666666669</v>
      </c>
      <c r="DS33" s="26">
        <f t="shared" si="272"/>
        <v>-0.41666666666666669</v>
      </c>
      <c r="DT33" s="26">
        <f t="shared" si="272"/>
        <v>-0.41666666666666669</v>
      </c>
    </row>
    <row r="34" spans="2:124" s="12" customFormat="1" x14ac:dyDescent="0.2">
      <c r="B34" s="28" t="s">
        <v>14</v>
      </c>
      <c r="C34" s="75"/>
      <c r="D34" s="139">
        <v>-0.2</v>
      </c>
      <c r="E34" s="29">
        <f>IF(D41="T",-0.2,0.1)</f>
        <v>-0.2</v>
      </c>
      <c r="F34" s="12">
        <f t="shared" ref="F34:BQ34" si="273">IF(E41="T",-0.2,0.1)</f>
        <v>-0.2</v>
      </c>
      <c r="G34" s="12">
        <f t="shared" si="273"/>
        <v>-0.2</v>
      </c>
      <c r="H34" s="12">
        <f t="shared" si="273"/>
        <v>-0.2</v>
      </c>
      <c r="I34" s="12">
        <f t="shared" si="273"/>
        <v>0.1</v>
      </c>
      <c r="J34" s="12">
        <f t="shared" si="273"/>
        <v>0.1</v>
      </c>
      <c r="K34" s="12">
        <f t="shared" si="273"/>
        <v>0.1</v>
      </c>
      <c r="L34" s="12">
        <f t="shared" si="273"/>
        <v>0.1</v>
      </c>
      <c r="M34" s="12">
        <f t="shared" si="273"/>
        <v>0.1</v>
      </c>
      <c r="N34" s="12">
        <f t="shared" si="273"/>
        <v>0.1</v>
      </c>
      <c r="O34" s="12">
        <f t="shared" si="273"/>
        <v>0.1</v>
      </c>
      <c r="P34" s="12">
        <f t="shared" si="273"/>
        <v>0.1</v>
      </c>
      <c r="Q34" s="12">
        <f t="shared" si="273"/>
        <v>0.1</v>
      </c>
      <c r="R34" s="12">
        <f t="shared" si="273"/>
        <v>0.1</v>
      </c>
      <c r="S34" s="12">
        <f t="shared" si="273"/>
        <v>0.1</v>
      </c>
      <c r="T34" s="12">
        <f t="shared" si="273"/>
        <v>0.1</v>
      </c>
      <c r="U34" s="12">
        <f t="shared" si="273"/>
        <v>0.1</v>
      </c>
      <c r="V34" s="12">
        <f t="shared" si="273"/>
        <v>0.1</v>
      </c>
      <c r="W34" s="12">
        <f t="shared" si="273"/>
        <v>0.1</v>
      </c>
      <c r="X34" s="12">
        <f t="shared" si="273"/>
        <v>0.1</v>
      </c>
      <c r="Y34" s="12">
        <f t="shared" si="273"/>
        <v>0.1</v>
      </c>
      <c r="Z34" s="12">
        <f t="shared" si="273"/>
        <v>0.1</v>
      </c>
      <c r="AA34" s="12">
        <f t="shared" si="273"/>
        <v>-0.2</v>
      </c>
      <c r="AB34" s="61">
        <f t="shared" si="273"/>
        <v>-0.2</v>
      </c>
      <c r="AC34" s="29">
        <f t="shared" si="273"/>
        <v>-0.2</v>
      </c>
      <c r="AD34" s="12">
        <f t="shared" si="273"/>
        <v>-0.2</v>
      </c>
      <c r="AE34" s="12">
        <f t="shared" si="273"/>
        <v>-0.2</v>
      </c>
      <c r="AF34" s="12">
        <f t="shared" si="273"/>
        <v>-0.2</v>
      </c>
      <c r="AG34" s="12">
        <f t="shared" si="273"/>
        <v>-0.2</v>
      </c>
      <c r="AH34" s="12">
        <f t="shared" si="273"/>
        <v>-0.2</v>
      </c>
      <c r="AI34" s="12">
        <f t="shared" si="273"/>
        <v>-0.2</v>
      </c>
      <c r="AJ34" s="12">
        <f t="shared" si="273"/>
        <v>-0.2</v>
      </c>
      <c r="AK34" s="12">
        <f t="shared" si="273"/>
        <v>-0.2</v>
      </c>
      <c r="AL34" s="12">
        <f t="shared" si="273"/>
        <v>-0.2</v>
      </c>
      <c r="AM34" s="12">
        <f t="shared" si="273"/>
        <v>-0.2</v>
      </c>
      <c r="AN34" s="12">
        <f t="shared" si="273"/>
        <v>-0.2</v>
      </c>
      <c r="AO34" s="12">
        <f t="shared" si="273"/>
        <v>-0.2</v>
      </c>
      <c r="AP34" s="12">
        <f t="shared" si="273"/>
        <v>-0.2</v>
      </c>
      <c r="AQ34" s="12">
        <f t="shared" si="273"/>
        <v>-0.2</v>
      </c>
      <c r="AR34" s="12">
        <f t="shared" si="273"/>
        <v>-0.2</v>
      </c>
      <c r="AS34" s="12">
        <f t="shared" si="273"/>
        <v>-0.2</v>
      </c>
      <c r="AT34" s="12">
        <f t="shared" si="273"/>
        <v>-0.2</v>
      </c>
      <c r="AU34" s="12">
        <f t="shared" si="273"/>
        <v>-0.2</v>
      </c>
      <c r="AV34" s="12">
        <f t="shared" si="273"/>
        <v>-0.2</v>
      </c>
      <c r="AW34" s="12">
        <f t="shared" si="273"/>
        <v>-0.2</v>
      </c>
      <c r="AX34" s="12">
        <f t="shared" si="273"/>
        <v>-0.2</v>
      </c>
      <c r="AY34" s="12">
        <f t="shared" si="273"/>
        <v>-0.2</v>
      </c>
      <c r="AZ34" s="61">
        <f t="shared" si="273"/>
        <v>-0.2</v>
      </c>
      <c r="BA34" s="29">
        <f t="shared" si="273"/>
        <v>-0.2</v>
      </c>
      <c r="BB34" s="12">
        <f t="shared" si="273"/>
        <v>-0.2</v>
      </c>
      <c r="BC34" s="12">
        <f t="shared" si="273"/>
        <v>-0.2</v>
      </c>
      <c r="BD34" s="12">
        <f t="shared" si="273"/>
        <v>-0.2</v>
      </c>
      <c r="BE34" s="12">
        <f t="shared" si="273"/>
        <v>0.1</v>
      </c>
      <c r="BF34" s="12">
        <f t="shared" si="273"/>
        <v>0.1</v>
      </c>
      <c r="BG34" s="12">
        <f t="shared" si="273"/>
        <v>0.1</v>
      </c>
      <c r="BH34" s="12">
        <f t="shared" si="273"/>
        <v>0.1</v>
      </c>
      <c r="BI34" s="12">
        <f t="shared" si="273"/>
        <v>0.1</v>
      </c>
      <c r="BJ34" s="12">
        <f t="shared" si="273"/>
        <v>0.1</v>
      </c>
      <c r="BK34" s="12">
        <f t="shared" si="273"/>
        <v>0.1</v>
      </c>
      <c r="BL34" s="12">
        <f t="shared" si="273"/>
        <v>0.1</v>
      </c>
      <c r="BM34" s="12">
        <f t="shared" si="273"/>
        <v>0.1</v>
      </c>
      <c r="BN34" s="12">
        <f t="shared" si="273"/>
        <v>0.1</v>
      </c>
      <c r="BO34" s="12">
        <f t="shared" si="273"/>
        <v>0.1</v>
      </c>
      <c r="BP34" s="12">
        <f t="shared" si="273"/>
        <v>0.1</v>
      </c>
      <c r="BQ34" s="12">
        <f t="shared" si="273"/>
        <v>0.1</v>
      </c>
      <c r="BR34" s="12">
        <f t="shared" ref="BR34:CV34" si="274">IF(BQ41="T",-0.2,0.1)</f>
        <v>0.1</v>
      </c>
      <c r="BS34" s="12">
        <f t="shared" si="274"/>
        <v>0.1</v>
      </c>
      <c r="BT34" s="12">
        <f t="shared" si="274"/>
        <v>0.1</v>
      </c>
      <c r="BU34" s="12">
        <f t="shared" si="274"/>
        <v>0.1</v>
      </c>
      <c r="BV34" s="12">
        <f t="shared" si="274"/>
        <v>0.1</v>
      </c>
      <c r="BW34" s="12">
        <f t="shared" si="274"/>
        <v>-0.2</v>
      </c>
      <c r="BX34" s="61">
        <f t="shared" si="274"/>
        <v>-0.2</v>
      </c>
      <c r="BY34" s="29">
        <f t="shared" si="274"/>
        <v>-0.2</v>
      </c>
      <c r="BZ34" s="12">
        <f t="shared" si="274"/>
        <v>-0.2</v>
      </c>
      <c r="CA34" s="12">
        <f t="shared" si="274"/>
        <v>-0.2</v>
      </c>
      <c r="CB34" s="12">
        <f t="shared" si="274"/>
        <v>-0.2</v>
      </c>
      <c r="CC34" s="12">
        <f t="shared" si="274"/>
        <v>0.1</v>
      </c>
      <c r="CD34" s="12">
        <f t="shared" si="274"/>
        <v>0.1</v>
      </c>
      <c r="CE34" s="12">
        <f t="shared" si="274"/>
        <v>0.1</v>
      </c>
      <c r="CF34" s="12">
        <f t="shared" si="274"/>
        <v>0.1</v>
      </c>
      <c r="CG34" s="12">
        <f t="shared" si="274"/>
        <v>0.1</v>
      </c>
      <c r="CH34" s="12">
        <f t="shared" si="274"/>
        <v>0.1</v>
      </c>
      <c r="CI34" s="12">
        <f t="shared" si="274"/>
        <v>0.1</v>
      </c>
      <c r="CJ34" s="12">
        <f t="shared" si="274"/>
        <v>0.1</v>
      </c>
      <c r="CK34" s="12">
        <f t="shared" si="274"/>
        <v>0.1</v>
      </c>
      <c r="CL34" s="12">
        <f t="shared" si="274"/>
        <v>0.1</v>
      </c>
      <c r="CM34" s="12">
        <f t="shared" si="274"/>
        <v>0.1</v>
      </c>
      <c r="CN34" s="12">
        <f t="shared" si="274"/>
        <v>0.1</v>
      </c>
      <c r="CO34" s="12">
        <f t="shared" si="274"/>
        <v>0.1</v>
      </c>
      <c r="CP34" s="12">
        <f t="shared" si="274"/>
        <v>0.1</v>
      </c>
      <c r="CQ34" s="12">
        <f t="shared" si="274"/>
        <v>0.1</v>
      </c>
      <c r="CR34" s="12">
        <f t="shared" si="274"/>
        <v>0.1</v>
      </c>
      <c r="CS34" s="12">
        <f t="shared" si="274"/>
        <v>0.1</v>
      </c>
      <c r="CT34" s="12">
        <f t="shared" si="274"/>
        <v>-0.2</v>
      </c>
      <c r="CU34" s="12">
        <f t="shared" si="274"/>
        <v>-0.2</v>
      </c>
      <c r="CV34" s="61">
        <f t="shared" si="274"/>
        <v>-0.2</v>
      </c>
      <c r="CW34" s="29">
        <f t="shared" ref="CW34:DT34" si="275">IF(CV41="T",-0.2,0.1)</f>
        <v>-0.2</v>
      </c>
      <c r="CX34" s="12">
        <f t="shared" si="275"/>
        <v>-0.2</v>
      </c>
      <c r="CY34" s="12">
        <f t="shared" si="275"/>
        <v>-0.2</v>
      </c>
      <c r="CZ34" s="12">
        <f t="shared" si="275"/>
        <v>-0.2</v>
      </c>
      <c r="DA34" s="12">
        <f t="shared" si="275"/>
        <v>0.1</v>
      </c>
      <c r="DB34" s="12">
        <f t="shared" si="275"/>
        <v>0.1</v>
      </c>
      <c r="DC34" s="12">
        <f t="shared" si="275"/>
        <v>0.1</v>
      </c>
      <c r="DD34" s="12">
        <f t="shared" si="275"/>
        <v>0.1</v>
      </c>
      <c r="DE34" s="12">
        <f t="shared" si="275"/>
        <v>0.1</v>
      </c>
      <c r="DF34" s="12">
        <f t="shared" si="275"/>
        <v>0.1</v>
      </c>
      <c r="DG34" s="12">
        <f t="shared" si="275"/>
        <v>0.1</v>
      </c>
      <c r="DH34" s="12">
        <f t="shared" si="275"/>
        <v>0.1</v>
      </c>
      <c r="DI34" s="12">
        <f t="shared" si="275"/>
        <v>0.1</v>
      </c>
      <c r="DJ34" s="12">
        <f t="shared" si="275"/>
        <v>0.1</v>
      </c>
      <c r="DK34" s="12">
        <f t="shared" si="275"/>
        <v>0.1</v>
      </c>
      <c r="DL34" s="12">
        <f t="shared" si="275"/>
        <v>0.1</v>
      </c>
      <c r="DM34" s="12">
        <f t="shared" si="275"/>
        <v>0.1</v>
      </c>
      <c r="DN34" s="12">
        <f t="shared" si="275"/>
        <v>0.1</v>
      </c>
      <c r="DO34" s="12">
        <f t="shared" si="275"/>
        <v>0.1</v>
      </c>
      <c r="DP34" s="12">
        <f t="shared" si="275"/>
        <v>0.1</v>
      </c>
      <c r="DQ34" s="12">
        <f t="shared" si="275"/>
        <v>0.1</v>
      </c>
      <c r="DR34" s="12">
        <f t="shared" si="275"/>
        <v>-0.2</v>
      </c>
      <c r="DS34" s="12">
        <f t="shared" si="275"/>
        <v>-0.2</v>
      </c>
      <c r="DT34" s="12">
        <f t="shared" si="275"/>
        <v>-0.2</v>
      </c>
    </row>
    <row r="35" spans="2:124" x14ac:dyDescent="0.2">
      <c r="B35" s="3" t="s">
        <v>15</v>
      </c>
      <c r="D35" s="145">
        <v>1</v>
      </c>
      <c r="E35" s="30">
        <v>1.0609999999999999</v>
      </c>
      <c r="F35" s="31">
        <v>1.0609999999999999</v>
      </c>
      <c r="G35" s="31">
        <v>1.0609999999999999</v>
      </c>
      <c r="H35" s="31">
        <v>1.0609999999999999</v>
      </c>
      <c r="I35" s="31">
        <v>1.0609999999999999</v>
      </c>
      <c r="J35" s="31">
        <v>1.0609999999999999</v>
      </c>
      <c r="K35" s="31">
        <v>1.0609999999999999</v>
      </c>
      <c r="L35" s="31">
        <v>1.0609999999999999</v>
      </c>
      <c r="M35" s="31">
        <v>1.0609999999999999</v>
      </c>
      <c r="N35" s="31">
        <v>1.0609999999999999</v>
      </c>
      <c r="O35" s="31">
        <v>1.0609999999999999</v>
      </c>
      <c r="P35" s="31">
        <v>1.0609999999999999</v>
      </c>
      <c r="Q35" s="31">
        <v>1.0609999999999999</v>
      </c>
      <c r="R35" s="31">
        <v>1.0609999999999999</v>
      </c>
      <c r="S35" s="31">
        <v>1.0609999999999999</v>
      </c>
      <c r="T35" s="31">
        <v>1.0609999999999999</v>
      </c>
      <c r="U35" s="31">
        <v>1.0609999999999999</v>
      </c>
      <c r="V35" s="31">
        <v>1.0609999999999999</v>
      </c>
      <c r="W35" s="31">
        <v>1.0609999999999999</v>
      </c>
      <c r="X35" s="31">
        <v>1.0609999999999999</v>
      </c>
      <c r="Y35" s="31">
        <v>1.0609999999999999</v>
      </c>
      <c r="Z35" s="31">
        <v>1.0609999999999999</v>
      </c>
      <c r="AA35" s="31">
        <v>1.0609999999999999</v>
      </c>
      <c r="AB35" s="62">
        <v>1.0609999999999999</v>
      </c>
      <c r="AC35" s="30">
        <v>1.0609999999999999</v>
      </c>
      <c r="AD35" s="31">
        <v>1.0609999999999999</v>
      </c>
      <c r="AE35" s="31">
        <v>1.0609999999999999</v>
      </c>
      <c r="AF35" s="31">
        <v>1.0609999999999999</v>
      </c>
      <c r="AG35" s="31">
        <v>1.0609999999999999</v>
      </c>
      <c r="AH35" s="31">
        <v>1.0609999999999999</v>
      </c>
      <c r="AI35" s="31">
        <v>1.0609999999999999</v>
      </c>
      <c r="AJ35" s="31">
        <v>1.0609999999999999</v>
      </c>
      <c r="AK35" s="31">
        <v>1.0609999999999999</v>
      </c>
      <c r="AL35" s="31">
        <v>1.0609999999999999</v>
      </c>
      <c r="AM35" s="31">
        <v>1.0609999999999999</v>
      </c>
      <c r="AN35" s="31">
        <v>1.0609999999999999</v>
      </c>
      <c r="AO35" s="31">
        <v>1.0609999999999999</v>
      </c>
      <c r="AP35" s="31">
        <v>1.0609999999999999</v>
      </c>
      <c r="AQ35" s="31">
        <v>1.0609999999999999</v>
      </c>
      <c r="AR35" s="31">
        <v>1.0609999999999999</v>
      </c>
      <c r="AS35" s="31">
        <v>1.0609999999999999</v>
      </c>
      <c r="AT35" s="31">
        <v>1.0609999999999999</v>
      </c>
      <c r="AU35" s="31">
        <v>1.0609999999999999</v>
      </c>
      <c r="AV35" s="31">
        <v>1.0609999999999999</v>
      </c>
      <c r="AW35" s="31">
        <v>1.0609999999999999</v>
      </c>
      <c r="AX35" s="31">
        <v>1.0609999999999999</v>
      </c>
      <c r="AY35" s="31">
        <v>1.0609999999999999</v>
      </c>
      <c r="AZ35" s="62">
        <v>1.0609999999999999</v>
      </c>
      <c r="BA35" s="30">
        <v>1.0609999999999999</v>
      </c>
      <c r="BB35" s="31">
        <v>1.0609999999999999</v>
      </c>
      <c r="BC35" s="31">
        <v>1.0609999999999999</v>
      </c>
      <c r="BD35" s="31">
        <v>1.0609999999999999</v>
      </c>
      <c r="BE35" s="31">
        <v>1.0609999999999999</v>
      </c>
      <c r="BF35" s="31">
        <v>1.0609999999999999</v>
      </c>
      <c r="BG35" s="31">
        <v>1.0609999999999999</v>
      </c>
      <c r="BH35" s="31">
        <v>1.0609999999999999</v>
      </c>
      <c r="BI35" s="31">
        <v>1.0609999999999999</v>
      </c>
      <c r="BJ35" s="31">
        <v>1.0609999999999999</v>
      </c>
      <c r="BK35" s="31">
        <v>1.0609999999999999</v>
      </c>
      <c r="BL35" s="31">
        <v>1.0609999999999999</v>
      </c>
      <c r="BM35" s="31">
        <v>1.0609999999999999</v>
      </c>
      <c r="BN35" s="31">
        <v>1.0609999999999999</v>
      </c>
      <c r="BO35" s="31">
        <v>1.0609999999999999</v>
      </c>
      <c r="BP35" s="31">
        <v>1.0609999999999999</v>
      </c>
      <c r="BQ35" s="31">
        <v>1.0609999999999999</v>
      </c>
      <c r="BR35" s="31">
        <v>1.0609999999999999</v>
      </c>
      <c r="BS35" s="31">
        <v>1.0609999999999999</v>
      </c>
      <c r="BT35" s="31">
        <v>1.0609999999999999</v>
      </c>
      <c r="BU35" s="31">
        <v>1.0609999999999999</v>
      </c>
      <c r="BV35" s="31">
        <v>1.0609999999999999</v>
      </c>
      <c r="BW35" s="31">
        <v>1.0609999999999999</v>
      </c>
      <c r="BX35" s="62">
        <v>1.0609999999999999</v>
      </c>
      <c r="BY35" s="30">
        <v>1.0609999999999999</v>
      </c>
      <c r="BZ35" s="31">
        <v>1.0609999999999999</v>
      </c>
      <c r="CA35" s="31">
        <v>1.0609999999999999</v>
      </c>
      <c r="CB35" s="31">
        <v>1.0609999999999999</v>
      </c>
      <c r="CC35" s="31">
        <v>1.0609999999999999</v>
      </c>
      <c r="CD35" s="31">
        <v>1.0609999999999999</v>
      </c>
      <c r="CE35" s="31">
        <v>1.0609999999999999</v>
      </c>
      <c r="CF35" s="31">
        <v>1.0609999999999999</v>
      </c>
      <c r="CG35" s="31">
        <v>1.0609999999999999</v>
      </c>
      <c r="CH35" s="31">
        <v>1.0609999999999999</v>
      </c>
      <c r="CI35" s="31">
        <v>1.0609999999999999</v>
      </c>
      <c r="CJ35" s="31">
        <v>1.0609999999999999</v>
      </c>
      <c r="CK35" s="31">
        <v>1.0609999999999999</v>
      </c>
      <c r="CL35" s="31">
        <v>1.0609999999999999</v>
      </c>
      <c r="CM35" s="31">
        <v>1.0609999999999999</v>
      </c>
      <c r="CN35" s="31">
        <v>1.0609999999999999</v>
      </c>
      <c r="CO35" s="31">
        <v>1.0609999999999999</v>
      </c>
      <c r="CP35" s="31">
        <v>1.0609999999999999</v>
      </c>
      <c r="CQ35" s="31">
        <v>1.0609999999999999</v>
      </c>
      <c r="CR35" s="31">
        <v>1.0609999999999999</v>
      </c>
      <c r="CS35" s="31">
        <v>1.0609999999999999</v>
      </c>
      <c r="CT35" s="31">
        <v>1.0609999999999999</v>
      </c>
      <c r="CU35" s="31">
        <v>1.0609999999999999</v>
      </c>
      <c r="CV35" s="62">
        <v>1.0609999999999999</v>
      </c>
      <c r="CW35" s="30">
        <v>1.0609999999999999</v>
      </c>
      <c r="CX35" s="31">
        <v>1.0609999999999999</v>
      </c>
      <c r="CY35" s="31">
        <v>1.0609999999999999</v>
      </c>
      <c r="CZ35" s="31">
        <v>1.0609999999999999</v>
      </c>
      <c r="DA35" s="31">
        <v>1.0609999999999999</v>
      </c>
      <c r="DB35" s="31">
        <v>1.0609999999999999</v>
      </c>
      <c r="DC35" s="31">
        <v>1.0609999999999999</v>
      </c>
      <c r="DD35" s="31">
        <v>1.0609999999999999</v>
      </c>
      <c r="DE35" s="31">
        <v>1.0609999999999999</v>
      </c>
      <c r="DF35" s="31">
        <v>1.0609999999999999</v>
      </c>
      <c r="DG35" s="31">
        <v>1.0609999999999999</v>
      </c>
      <c r="DH35" s="31">
        <v>1.0609999999999999</v>
      </c>
      <c r="DI35" s="31">
        <v>1.0609999999999999</v>
      </c>
      <c r="DJ35" s="31">
        <v>1.0609999999999999</v>
      </c>
      <c r="DK35" s="31">
        <v>1.0609999999999999</v>
      </c>
      <c r="DL35" s="31">
        <v>1.0609999999999999</v>
      </c>
      <c r="DM35" s="31">
        <v>1.0609999999999999</v>
      </c>
      <c r="DN35" s="31">
        <v>1.0609999999999999</v>
      </c>
      <c r="DO35" s="31">
        <v>1.0609999999999999</v>
      </c>
      <c r="DP35" s="31">
        <v>1.0609999999999999</v>
      </c>
      <c r="DQ35" s="31">
        <v>1.0609999999999999</v>
      </c>
      <c r="DR35" s="31">
        <v>1.0609999999999999</v>
      </c>
      <c r="DS35" s="31">
        <v>1.0609999999999999</v>
      </c>
      <c r="DT35" s="31">
        <v>1.0609999999999999</v>
      </c>
    </row>
    <row r="36" spans="2:124" x14ac:dyDescent="0.2">
      <c r="B36" s="3" t="s">
        <v>16</v>
      </c>
      <c r="D36" s="145">
        <f>D32+(D33*D35)+D34</f>
        <v>6.2166666666666668</v>
      </c>
      <c r="E36" s="30">
        <f t="shared" ref="E36:AZ36" si="276">E32+(E33*E35)+E34</f>
        <v>5.99125</v>
      </c>
      <c r="F36" s="31">
        <f t="shared" si="276"/>
        <v>6.2297222222222217</v>
      </c>
      <c r="G36" s="31">
        <f t="shared" si="276"/>
        <v>6.259623629028467</v>
      </c>
      <c r="H36" s="31">
        <f t="shared" si="276"/>
        <v>2.3758938648486772</v>
      </c>
      <c r="I36" s="31">
        <f t="shared" si="276"/>
        <v>-0.78596270076644559</v>
      </c>
      <c r="J36" s="31">
        <f t="shared" si="276"/>
        <v>-0.48829200259225303</v>
      </c>
      <c r="K36" s="31">
        <f t="shared" si="276"/>
        <v>-0.18276079732422998</v>
      </c>
      <c r="L36" s="31">
        <f t="shared" si="276"/>
        <v>0.12438096005203288</v>
      </c>
      <c r="M36" s="31">
        <f t="shared" si="276"/>
        <v>0.43625824702933091</v>
      </c>
      <c r="N36" s="31">
        <f t="shared" si="276"/>
        <v>0.75130857486126645</v>
      </c>
      <c r="O36" s="31">
        <f t="shared" si="276"/>
        <v>1.0703131879210384</v>
      </c>
      <c r="P36" s="31">
        <f t="shared" si="276"/>
        <v>1.344522686946708</v>
      </c>
      <c r="Q36" s="31">
        <f t="shared" si="276"/>
        <v>1.6465033256622601</v>
      </c>
      <c r="R36" s="31">
        <f t="shared" si="276"/>
        <v>1.9399719772057022</v>
      </c>
      <c r="S36" s="31">
        <f t="shared" si="276"/>
        <v>2.2430702050080313</v>
      </c>
      <c r="T36" s="31">
        <f t="shared" si="276"/>
        <v>2.5252328966624229</v>
      </c>
      <c r="U36" s="31">
        <f t="shared" si="276"/>
        <v>3.0315264638167125</v>
      </c>
      <c r="V36" s="31">
        <f t="shared" si="276"/>
        <v>3.4257545932210531</v>
      </c>
      <c r="W36" s="31">
        <f t="shared" si="276"/>
        <v>3.8760154415003685</v>
      </c>
      <c r="X36" s="31">
        <f t="shared" si="276"/>
        <v>4.2982599303421951</v>
      </c>
      <c r="Y36" s="31">
        <f t="shared" si="276"/>
        <v>4.7345125989027661</v>
      </c>
      <c r="Z36" s="31">
        <f t="shared" si="276"/>
        <v>7.0451257038903714</v>
      </c>
      <c r="AA36" s="31">
        <f t="shared" si="276"/>
        <v>8.7708650918911069</v>
      </c>
      <c r="AB36" s="62">
        <f t="shared" si="276"/>
        <v>8.9694475883852789</v>
      </c>
      <c r="AC36" s="30">
        <f t="shared" si="276"/>
        <v>9.1948545047158934</v>
      </c>
      <c r="AD36" s="31">
        <f t="shared" si="276"/>
        <v>9.4068492111282875</v>
      </c>
      <c r="AE36" s="31">
        <f t="shared" si="276"/>
        <v>9.625550022499791</v>
      </c>
      <c r="AF36" s="31">
        <f t="shared" si="276"/>
        <v>5.8394153904138815</v>
      </c>
      <c r="AG36" s="31">
        <f t="shared" si="276"/>
        <v>2.0542160890788197</v>
      </c>
      <c r="AH36" s="31">
        <f t="shared" si="276"/>
        <v>2.2670667313904764</v>
      </c>
      <c r="AI36" s="31">
        <f t="shared" si="276"/>
        <v>2.4794100109009167</v>
      </c>
      <c r="AJ36" s="31">
        <f t="shared" si="276"/>
        <v>2.6905245808341078</v>
      </c>
      <c r="AK36" s="31">
        <f t="shared" si="276"/>
        <v>2.9007711145780659</v>
      </c>
      <c r="AL36" s="31">
        <f t="shared" si="276"/>
        <v>3.1099692754387829</v>
      </c>
      <c r="AM36" s="31">
        <f t="shared" si="276"/>
        <v>3.3182092317632632</v>
      </c>
      <c r="AN36" s="31">
        <f t="shared" si="276"/>
        <v>3.5254458993780049</v>
      </c>
      <c r="AO36" s="31">
        <f t="shared" si="276"/>
        <v>3.7317018203697576</v>
      </c>
      <c r="AP36" s="31">
        <f t="shared" si="276"/>
        <v>3.9369657236951472</v>
      </c>
      <c r="AQ36" s="31">
        <f t="shared" si="276"/>
        <v>4.1412432448758612</v>
      </c>
      <c r="AR36" s="31">
        <f t="shared" si="276"/>
        <v>4.3445315661510548</v>
      </c>
      <c r="AS36" s="31">
        <f t="shared" si="276"/>
        <v>4.5468320964011504</v>
      </c>
      <c r="AT36" s="31">
        <f t="shared" si="276"/>
        <v>4.7481441311859376</v>
      </c>
      <c r="AU36" s="31">
        <f t="shared" si="276"/>
        <v>4.948468022725522</v>
      </c>
      <c r="AV36" s="31">
        <f t="shared" si="276"/>
        <v>5.14780359490985</v>
      </c>
      <c r="AW36" s="31">
        <f t="shared" si="276"/>
        <v>5.3461509357939487</v>
      </c>
      <c r="AX36" s="31">
        <f t="shared" si="276"/>
        <v>5.5435100013503043</v>
      </c>
      <c r="AY36" s="31">
        <f t="shared" si="276"/>
        <v>5.7398808135926744</v>
      </c>
      <c r="AZ36" s="62">
        <f t="shared" si="276"/>
        <v>5.9352633615141794</v>
      </c>
      <c r="BA36" s="30">
        <f t="shared" ref="BA36:BX36" si="277">BA32+(BA33*BA35)+BA34</f>
        <v>6.1296576506182596</v>
      </c>
      <c r="BB36" s="31">
        <f t="shared" si="277"/>
        <v>6.3230636781531953</v>
      </c>
      <c r="BC36" s="31">
        <f t="shared" si="277"/>
        <v>6.5154814454948458</v>
      </c>
      <c r="BD36" s="31">
        <f t="shared" si="277"/>
        <v>2.7069109519552819</v>
      </c>
      <c r="BE36" s="31">
        <f t="shared" si="277"/>
        <v>-0.338460302121532</v>
      </c>
      <c r="BF36" s="31">
        <f t="shared" si="277"/>
        <v>5.2680183092421666E-2</v>
      </c>
      <c r="BG36" s="31">
        <f t="shared" si="277"/>
        <v>0.46083643359997373</v>
      </c>
      <c r="BH36" s="31">
        <f t="shared" si="277"/>
        <v>0.86367310306637546</v>
      </c>
      <c r="BI36" s="31">
        <f t="shared" si="277"/>
        <v>1.2723578646590012</v>
      </c>
      <c r="BJ36" s="31">
        <f t="shared" si="277"/>
        <v>1.5017272894182438</v>
      </c>
      <c r="BK36" s="31">
        <f t="shared" si="277"/>
        <v>1.8207543825941781</v>
      </c>
      <c r="BL36" s="31">
        <f t="shared" si="277"/>
        <v>2.0949526415617665</v>
      </c>
      <c r="BM36" s="31">
        <f t="shared" si="277"/>
        <v>2.3915653176335283</v>
      </c>
      <c r="BN36" s="31">
        <f t="shared" si="277"/>
        <v>2.6769707851532036</v>
      </c>
      <c r="BO36" s="31">
        <f t="shared" si="277"/>
        <v>2.9679798569489222</v>
      </c>
      <c r="BP36" s="31">
        <f t="shared" si="277"/>
        <v>3.2561871266066191</v>
      </c>
      <c r="BQ36" s="31">
        <f t="shared" si="277"/>
        <v>3.5457952973333269</v>
      </c>
      <c r="BR36" s="31">
        <f t="shared" si="277"/>
        <v>3.8347030175255292</v>
      </c>
      <c r="BS36" s="31">
        <f t="shared" si="277"/>
        <v>4.1239609629849836</v>
      </c>
      <c r="BT36" s="31">
        <f t="shared" si="277"/>
        <v>4.4130437958108111</v>
      </c>
      <c r="BU36" s="31">
        <f t="shared" si="277"/>
        <v>4.7022141849534522</v>
      </c>
      <c r="BV36" s="31">
        <f t="shared" si="277"/>
        <v>6.9913407959376865</v>
      </c>
      <c r="BW36" s="31">
        <f t="shared" si="277"/>
        <v>8.5163017960011267</v>
      </c>
      <c r="BX36" s="62">
        <f t="shared" si="277"/>
        <v>8.6037518515249651</v>
      </c>
      <c r="BY36" s="30">
        <f t="shared" ref="BY36:CV36" si="278">BY32+(BY33*BY35)+BY34</f>
        <v>8.6778740459852717</v>
      </c>
      <c r="BZ36" s="31">
        <f t="shared" si="278"/>
        <v>8.7586601709773433</v>
      </c>
      <c r="CA36" s="31">
        <f t="shared" si="278"/>
        <v>8.8361143307035324</v>
      </c>
      <c r="CB36" s="31">
        <f t="shared" si="278"/>
        <v>4.9152344730626609</v>
      </c>
      <c r="CC36" s="31">
        <f t="shared" si="278"/>
        <v>1.7577091241053184</v>
      </c>
      <c r="CD36" s="31">
        <f t="shared" si="278"/>
        <v>2.0381002708062117</v>
      </c>
      <c r="CE36" s="31">
        <f t="shared" si="278"/>
        <v>2.331616503011321</v>
      </c>
      <c r="CF36" s="31">
        <f t="shared" si="278"/>
        <v>2.6185701924643223</v>
      </c>
      <c r="CG36" s="31">
        <f t="shared" si="278"/>
        <v>2.9088051532933776</v>
      </c>
      <c r="CH36" s="31">
        <f t="shared" si="278"/>
        <v>3.1973994784344062</v>
      </c>
      <c r="CI36" s="31">
        <f t="shared" si="278"/>
        <v>3.4868141214194481</v>
      </c>
      <c r="CJ36" s="31">
        <f t="shared" si="278"/>
        <v>3.7758186054824834</v>
      </c>
      <c r="CK36" s="31">
        <f t="shared" si="278"/>
        <v>4.0650281690065215</v>
      </c>
      <c r="CL36" s="31">
        <f t="shared" si="278"/>
        <v>4.3541351928000571</v>
      </c>
      <c r="CM36" s="31">
        <f t="shared" si="278"/>
        <v>4.6432934864588438</v>
      </c>
      <c r="CN36" s="31">
        <f t="shared" si="278"/>
        <v>4.9324261451850049</v>
      </c>
      <c r="CO36" s="31">
        <f t="shared" si="278"/>
        <v>5.2215716213774792</v>
      </c>
      <c r="CP36" s="31">
        <f t="shared" si="278"/>
        <v>5.5107106888367969</v>
      </c>
      <c r="CQ36" s="31">
        <f t="shared" si="278"/>
        <v>5.799852960662693</v>
      </c>
      <c r="CR36" s="31">
        <f t="shared" si="278"/>
        <v>6.0889936303052998</v>
      </c>
      <c r="CS36" s="31">
        <f t="shared" si="278"/>
        <v>6.3781351010395513</v>
      </c>
      <c r="CT36" s="31">
        <f t="shared" si="278"/>
        <v>7.9030886712279811</v>
      </c>
      <c r="CU36" s="31">
        <f t="shared" si="278"/>
        <v>7.9905424416893203</v>
      </c>
      <c r="CV36" s="62">
        <f t="shared" si="278"/>
        <v>8.0646627786808729</v>
      </c>
      <c r="CW36" s="30">
        <f t="shared" ref="CW36:DT36" si="279">CW32+(CW33*CW35)+CW34</f>
        <v>8.1454498324073192</v>
      </c>
      <c r="CX36" s="31">
        <f t="shared" si="279"/>
        <v>8.2229035277663201</v>
      </c>
      <c r="CY36" s="31">
        <f t="shared" si="279"/>
        <v>8.3020239023090454</v>
      </c>
      <c r="CZ36" s="31">
        <f t="shared" si="279"/>
        <v>4.3803109372599067</v>
      </c>
      <c r="DA36" s="31">
        <f t="shared" si="279"/>
        <v>1.2232021420066979</v>
      </c>
      <c r="DB36" s="31">
        <f t="shared" si="279"/>
        <v>1.5033850118555241</v>
      </c>
      <c r="DC36" s="31">
        <f t="shared" si="279"/>
        <v>1.7970053824866663</v>
      </c>
      <c r="DD36" s="31">
        <f t="shared" si="279"/>
        <v>2.0839070027266504</v>
      </c>
      <c r="DE36" s="31">
        <f t="shared" si="279"/>
        <v>2.3741679981622141</v>
      </c>
      <c r="DF36" s="31">
        <f t="shared" si="279"/>
        <v>2.6627493059999883</v>
      </c>
      <c r="DG36" s="31">
        <f t="shared" si="279"/>
        <v>2.9521704576366572</v>
      </c>
      <c r="DH36" s="31">
        <f t="shared" si="279"/>
        <v>3.2411716873738787</v>
      </c>
      <c r="DI36" s="31">
        <f t="shared" si="279"/>
        <v>3.530382878060824</v>
      </c>
      <c r="DJ36" s="31">
        <f t="shared" si="279"/>
        <v>3.8194890882729076</v>
      </c>
      <c r="DK36" s="31">
        <f t="shared" si="279"/>
        <v>4.1086477887224211</v>
      </c>
      <c r="DL36" s="31">
        <f t="shared" si="279"/>
        <v>4.3977802440532194</v>
      </c>
      <c r="DM36" s="31">
        <f t="shared" si="279"/>
        <v>4.6869258219433751</v>
      </c>
      <c r="DN36" s="31">
        <f t="shared" si="279"/>
        <v>4.9760648385538522</v>
      </c>
      <c r="DO36" s="31">
        <f t="shared" si="279"/>
        <v>5.2652071358041681</v>
      </c>
      <c r="DP36" s="31">
        <f t="shared" si="279"/>
        <v>5.554347792734565</v>
      </c>
      <c r="DQ36" s="31">
        <f t="shared" si="279"/>
        <v>5.8434892698249215</v>
      </c>
      <c r="DR36" s="31">
        <f t="shared" si="279"/>
        <v>7.3684428368352979</v>
      </c>
      <c r="DS36" s="31">
        <f t="shared" si="279"/>
        <v>7.4558966088856646</v>
      </c>
      <c r="DT36" s="31">
        <f t="shared" si="279"/>
        <v>7.5300169450827017</v>
      </c>
    </row>
    <row r="37" spans="2:124" x14ac:dyDescent="0.2">
      <c r="B37" s="3" t="s">
        <v>227</v>
      </c>
      <c r="D37" s="145">
        <f>D36</f>
        <v>6.2166666666666668</v>
      </c>
      <c r="E37" s="30">
        <f>E36+(D29/24)</f>
        <v>6.2884722222222225</v>
      </c>
      <c r="F37" s="31">
        <f t="shared" ref="F37:BQ37" si="280">F36+(E29/24)</f>
        <v>6.3183736290284678</v>
      </c>
      <c r="G37" s="31">
        <f>G36+(F29/24)</f>
        <v>6.4346438648486775</v>
      </c>
      <c r="H37" s="31">
        <f t="shared" si="280"/>
        <v>2.5085997992335543</v>
      </c>
      <c r="I37" s="31">
        <f t="shared" si="280"/>
        <v>-0.63122950259225308</v>
      </c>
      <c r="J37" s="31">
        <f t="shared" si="280"/>
        <v>-0.32569829732422995</v>
      </c>
      <c r="K37" s="31">
        <f t="shared" si="280"/>
        <v>-1.8556539947967132E-2</v>
      </c>
      <c r="L37" s="31">
        <f t="shared" si="280"/>
        <v>0.29332074702933092</v>
      </c>
      <c r="M37" s="31">
        <f t="shared" si="280"/>
        <v>0.6083710748612664</v>
      </c>
      <c r="N37" s="31">
        <f t="shared" si="280"/>
        <v>0.92737568792103831</v>
      </c>
      <c r="O37" s="31">
        <f t="shared" si="280"/>
        <v>1.201585186946708</v>
      </c>
      <c r="P37" s="31">
        <f t="shared" si="280"/>
        <v>1.5035658256622602</v>
      </c>
      <c r="Q37" s="31">
        <f t="shared" si="280"/>
        <v>1.7970344772057023</v>
      </c>
      <c r="R37" s="31">
        <f t="shared" si="280"/>
        <v>2.100132705008031</v>
      </c>
      <c r="S37" s="31">
        <f t="shared" si="280"/>
        <v>2.3822953966624225</v>
      </c>
      <c r="T37" s="31">
        <f t="shared" si="280"/>
        <v>2.8885889638167122</v>
      </c>
      <c r="U37" s="31">
        <f t="shared" si="280"/>
        <v>3.2828170932210528</v>
      </c>
      <c r="V37" s="31">
        <f t="shared" si="280"/>
        <v>3.7330779415003681</v>
      </c>
      <c r="W37" s="31">
        <f t="shared" si="280"/>
        <v>4.1553224303421956</v>
      </c>
      <c r="X37" s="31">
        <f t="shared" si="280"/>
        <v>4.5915750989027666</v>
      </c>
      <c r="Y37" s="31">
        <f t="shared" si="280"/>
        <v>4.9021882038903719</v>
      </c>
      <c r="Z37" s="31">
        <f t="shared" si="280"/>
        <v>7.3921150918911067</v>
      </c>
      <c r="AA37" s="31">
        <f t="shared" si="280"/>
        <v>9.028197588385277</v>
      </c>
      <c r="AB37" s="62">
        <f t="shared" si="280"/>
        <v>9.2536045047158915</v>
      </c>
      <c r="AC37" s="30">
        <f t="shared" si="280"/>
        <v>9.4655992111282856</v>
      </c>
      <c r="AD37" s="31">
        <f t="shared" si="280"/>
        <v>9.6843000224997891</v>
      </c>
      <c r="AE37" s="31">
        <f t="shared" si="280"/>
        <v>9.8981653904138813</v>
      </c>
      <c r="AF37" s="31">
        <f t="shared" si="280"/>
        <v>6.11296608907882</v>
      </c>
      <c r="AG37" s="31">
        <f t="shared" si="280"/>
        <v>2.3258167313904763</v>
      </c>
      <c r="AH37" s="31">
        <f t="shared" si="280"/>
        <v>2.5381600109009166</v>
      </c>
      <c r="AI37" s="31">
        <f t="shared" si="280"/>
        <v>2.7492745808341077</v>
      </c>
      <c r="AJ37" s="31">
        <f t="shared" si="280"/>
        <v>2.9595211145780658</v>
      </c>
      <c r="AK37" s="31">
        <f t="shared" si="280"/>
        <v>3.1687192754387827</v>
      </c>
      <c r="AL37" s="31">
        <f t="shared" si="280"/>
        <v>3.3769592317632631</v>
      </c>
      <c r="AM37" s="31">
        <f t="shared" si="280"/>
        <v>3.5841958993780043</v>
      </c>
      <c r="AN37" s="31">
        <f t="shared" si="280"/>
        <v>3.7904518203697579</v>
      </c>
      <c r="AO37" s="31">
        <f t="shared" si="280"/>
        <v>3.995715723695147</v>
      </c>
      <c r="AP37" s="31">
        <f t="shared" si="280"/>
        <v>4.199993244875861</v>
      </c>
      <c r="AQ37" s="31">
        <f t="shared" si="280"/>
        <v>4.4032815661510556</v>
      </c>
      <c r="AR37" s="31">
        <f t="shared" si="280"/>
        <v>4.6055820964011511</v>
      </c>
      <c r="AS37" s="31">
        <f t="shared" si="280"/>
        <v>4.8068941311859383</v>
      </c>
      <c r="AT37" s="31">
        <f t="shared" si="280"/>
        <v>5.0072180227255227</v>
      </c>
      <c r="AU37" s="31">
        <f t="shared" si="280"/>
        <v>5.2065535949098507</v>
      </c>
      <c r="AV37" s="31">
        <f t="shared" si="280"/>
        <v>5.4049009357939495</v>
      </c>
      <c r="AW37" s="31">
        <f t="shared" si="280"/>
        <v>5.602260001350305</v>
      </c>
      <c r="AX37" s="31">
        <f t="shared" si="280"/>
        <v>5.7986308135926752</v>
      </c>
      <c r="AY37" s="31">
        <f t="shared" si="280"/>
        <v>5.9940133615141802</v>
      </c>
      <c r="AZ37" s="62">
        <f t="shared" si="280"/>
        <v>6.1884076506182604</v>
      </c>
      <c r="BA37" s="30">
        <f t="shared" si="280"/>
        <v>6.381813678153196</v>
      </c>
      <c r="BB37" s="31">
        <f t="shared" si="280"/>
        <v>6.5742314454948465</v>
      </c>
      <c r="BC37" s="31">
        <f t="shared" si="280"/>
        <v>6.7656609519552822</v>
      </c>
      <c r="BD37" s="31">
        <f t="shared" si="280"/>
        <v>2.9561021978784678</v>
      </c>
      <c r="BE37" s="31">
        <f t="shared" si="280"/>
        <v>-9.025731690757835E-2</v>
      </c>
      <c r="BF37" s="31">
        <f t="shared" si="280"/>
        <v>0.31789893359997379</v>
      </c>
      <c r="BG37" s="31">
        <f t="shared" si="280"/>
        <v>0.72073560306637541</v>
      </c>
      <c r="BH37" s="31">
        <f t="shared" si="280"/>
        <v>1.1294203646590013</v>
      </c>
      <c r="BI37" s="31">
        <f t="shared" si="280"/>
        <v>1.3587897894182439</v>
      </c>
      <c r="BJ37" s="31">
        <f t="shared" si="280"/>
        <v>1.6778168825941782</v>
      </c>
      <c r="BK37" s="31">
        <f t="shared" si="280"/>
        <v>1.9520151415617666</v>
      </c>
      <c r="BL37" s="31">
        <f t="shared" si="280"/>
        <v>2.2486278176335279</v>
      </c>
      <c r="BM37" s="31">
        <f t="shared" si="280"/>
        <v>2.5340332851532033</v>
      </c>
      <c r="BN37" s="31">
        <f t="shared" si="280"/>
        <v>2.8250423569489218</v>
      </c>
      <c r="BO37" s="31">
        <f t="shared" si="280"/>
        <v>3.1132496266066187</v>
      </c>
      <c r="BP37" s="31">
        <f t="shared" si="280"/>
        <v>3.4028577973333265</v>
      </c>
      <c r="BQ37" s="31">
        <f t="shared" si="280"/>
        <v>3.6917655175255288</v>
      </c>
      <c r="BR37" s="31">
        <f t="shared" ref="BR37:DT37" si="281">BR36+(BQ29/24)</f>
        <v>3.9810234629849837</v>
      </c>
      <c r="BS37" s="31">
        <f t="shared" si="281"/>
        <v>4.2701062958108116</v>
      </c>
      <c r="BT37" s="31">
        <f t="shared" si="281"/>
        <v>4.5592766849534527</v>
      </c>
      <c r="BU37" s="31">
        <f t="shared" si="281"/>
        <v>4.848403295937687</v>
      </c>
      <c r="BV37" s="31">
        <f t="shared" si="281"/>
        <v>7.1375517960011248</v>
      </c>
      <c r="BW37" s="31">
        <f t="shared" si="281"/>
        <v>8.6625018515249632</v>
      </c>
      <c r="BX37" s="62">
        <f t="shared" si="281"/>
        <v>8.7366240459852698</v>
      </c>
      <c r="BY37" s="30">
        <f t="shared" si="281"/>
        <v>8.8174101709773414</v>
      </c>
      <c r="BZ37" s="31">
        <f t="shared" si="281"/>
        <v>8.8948643307035304</v>
      </c>
      <c r="CA37" s="31">
        <f t="shared" si="281"/>
        <v>8.9739844730626608</v>
      </c>
      <c r="CB37" s="31">
        <f t="shared" si="281"/>
        <v>5.0522716241053187</v>
      </c>
      <c r="CC37" s="31">
        <f t="shared" si="281"/>
        <v>1.8951627708062118</v>
      </c>
      <c r="CD37" s="31">
        <f t="shared" si="281"/>
        <v>2.1886790030113206</v>
      </c>
      <c r="CE37" s="31">
        <f t="shared" si="281"/>
        <v>2.4756326924643219</v>
      </c>
      <c r="CF37" s="31">
        <f t="shared" si="281"/>
        <v>2.7658676532933772</v>
      </c>
      <c r="CG37" s="31">
        <f t="shared" si="281"/>
        <v>3.0544619784344058</v>
      </c>
      <c r="CH37" s="31">
        <f t="shared" si="281"/>
        <v>3.3438766214194477</v>
      </c>
      <c r="CI37" s="31">
        <f t="shared" si="281"/>
        <v>3.632881105482483</v>
      </c>
      <c r="CJ37" s="31">
        <f t="shared" si="281"/>
        <v>3.9220906690065216</v>
      </c>
      <c r="CK37" s="31">
        <f t="shared" si="281"/>
        <v>4.2111976928000576</v>
      </c>
      <c r="CL37" s="31">
        <f t="shared" si="281"/>
        <v>4.5003559864588443</v>
      </c>
      <c r="CM37" s="31">
        <f t="shared" si="281"/>
        <v>4.7894886451850054</v>
      </c>
      <c r="CN37" s="31">
        <f t="shared" si="281"/>
        <v>5.0786341213774797</v>
      </c>
      <c r="CO37" s="31">
        <f t="shared" si="281"/>
        <v>5.3677731888367974</v>
      </c>
      <c r="CP37" s="31">
        <f t="shared" si="281"/>
        <v>5.6569154606626935</v>
      </c>
      <c r="CQ37" s="31">
        <f t="shared" si="281"/>
        <v>5.9460561303053003</v>
      </c>
      <c r="CR37" s="31">
        <f t="shared" si="281"/>
        <v>6.2351976010395518</v>
      </c>
      <c r="CS37" s="31">
        <f t="shared" si="281"/>
        <v>6.5243386712279809</v>
      </c>
      <c r="CT37" s="31">
        <f t="shared" si="281"/>
        <v>8.049292441689321</v>
      </c>
      <c r="CU37" s="31">
        <f t="shared" si="281"/>
        <v>8.1234127786808727</v>
      </c>
      <c r="CV37" s="62">
        <f t="shared" si="281"/>
        <v>8.2041998324073191</v>
      </c>
      <c r="CW37" s="30">
        <f t="shared" si="281"/>
        <v>8.2816535277663181</v>
      </c>
      <c r="CX37" s="31">
        <f t="shared" si="281"/>
        <v>8.3607739023090435</v>
      </c>
      <c r="CY37" s="31">
        <f t="shared" si="281"/>
        <v>8.4390609372599066</v>
      </c>
      <c r="CZ37" s="31">
        <f t="shared" si="281"/>
        <v>4.5177646420066981</v>
      </c>
      <c r="DA37" s="31">
        <f t="shared" si="281"/>
        <v>1.3604475118555241</v>
      </c>
      <c r="DB37" s="31">
        <f t="shared" si="281"/>
        <v>1.6540678824866664</v>
      </c>
      <c r="DC37" s="31">
        <f t="shared" si="281"/>
        <v>1.9409695027266507</v>
      </c>
      <c r="DD37" s="31">
        <f t="shared" si="281"/>
        <v>2.2312304981622137</v>
      </c>
      <c r="DE37" s="31">
        <f t="shared" si="281"/>
        <v>2.5198118059999879</v>
      </c>
      <c r="DF37" s="31">
        <f t="shared" si="281"/>
        <v>2.8092329576366568</v>
      </c>
      <c r="DG37" s="31">
        <f t="shared" si="281"/>
        <v>3.0982341873738783</v>
      </c>
      <c r="DH37" s="31">
        <f t="shared" si="281"/>
        <v>3.3874453780608236</v>
      </c>
      <c r="DI37" s="31">
        <f t="shared" si="281"/>
        <v>3.6765515882729072</v>
      </c>
      <c r="DJ37" s="31">
        <f t="shared" si="281"/>
        <v>3.9657102887224216</v>
      </c>
      <c r="DK37" s="31">
        <f t="shared" si="281"/>
        <v>4.2548427440532199</v>
      </c>
      <c r="DL37" s="31">
        <f t="shared" si="281"/>
        <v>4.5439883219433757</v>
      </c>
      <c r="DM37" s="31">
        <f t="shared" si="281"/>
        <v>4.8331273385538527</v>
      </c>
      <c r="DN37" s="31">
        <f t="shared" si="281"/>
        <v>5.1222696358041686</v>
      </c>
      <c r="DO37" s="31">
        <f t="shared" si="281"/>
        <v>5.4114102927345655</v>
      </c>
      <c r="DP37" s="31">
        <f t="shared" si="281"/>
        <v>5.700551769824922</v>
      </c>
      <c r="DQ37" s="31">
        <f t="shared" si="281"/>
        <v>5.9896928368352986</v>
      </c>
      <c r="DR37" s="31">
        <f t="shared" si="281"/>
        <v>7.5146466088856645</v>
      </c>
      <c r="DS37" s="31">
        <f t="shared" si="281"/>
        <v>7.5887669450827033</v>
      </c>
      <c r="DT37" s="31">
        <f t="shared" si="281"/>
        <v>7.6695539992064043</v>
      </c>
    </row>
    <row r="38" spans="2:124" s="14" customFormat="1" x14ac:dyDescent="0.2">
      <c r="B38" s="41" t="s">
        <v>27</v>
      </c>
      <c r="C38" s="82"/>
      <c r="D38" s="149">
        <f>D36+D33</f>
        <v>6.6333333333333337</v>
      </c>
      <c r="E38" s="19">
        <f t="shared" ref="E38:BP38" si="282">E37+E33</f>
        <v>5.8718055555555555</v>
      </c>
      <c r="F38" s="19">
        <f t="shared" si="282"/>
        <v>5.9017069623618008</v>
      </c>
      <c r="G38" s="19">
        <f t="shared" si="282"/>
        <v>6.0179771981820105</v>
      </c>
      <c r="H38" s="19">
        <f t="shared" si="282"/>
        <v>2.0919331325668877</v>
      </c>
      <c r="I38" s="19">
        <f t="shared" si="282"/>
        <v>-0.61039616925891971</v>
      </c>
      <c r="J38" s="19">
        <f t="shared" si="282"/>
        <v>-0.30486496399089663</v>
      </c>
      <c r="K38" s="19">
        <f t="shared" si="282"/>
        <v>2.2767933853662034E-3</v>
      </c>
      <c r="L38" s="19">
        <f t="shared" si="282"/>
        <v>0.31415408036266423</v>
      </c>
      <c r="M38" s="19">
        <f t="shared" si="282"/>
        <v>0.62920440819459977</v>
      </c>
      <c r="N38" s="19">
        <f t="shared" si="282"/>
        <v>0.94820902125437168</v>
      </c>
      <c r="O38" s="19">
        <f t="shared" si="282"/>
        <v>1.2224185202800413</v>
      </c>
      <c r="P38" s="19">
        <f t="shared" si="282"/>
        <v>1.5243991589955934</v>
      </c>
      <c r="Q38" s="19">
        <f t="shared" si="282"/>
        <v>1.8178678105390356</v>
      </c>
      <c r="R38" s="19">
        <f t="shared" si="282"/>
        <v>2.1209660383413644</v>
      </c>
      <c r="S38" s="19">
        <f t="shared" si="282"/>
        <v>2.403128729995756</v>
      </c>
      <c r="T38" s="19">
        <f t="shared" si="282"/>
        <v>2.9094222971500456</v>
      </c>
      <c r="U38" s="19">
        <f t="shared" si="282"/>
        <v>3.3036504265543862</v>
      </c>
      <c r="V38" s="19">
        <f t="shared" si="282"/>
        <v>3.7539112748337016</v>
      </c>
      <c r="W38" s="19">
        <f t="shared" si="282"/>
        <v>4.1761557636755287</v>
      </c>
      <c r="X38" s="19">
        <f t="shared" si="282"/>
        <v>4.6124084322360996</v>
      </c>
      <c r="Y38" s="19">
        <f t="shared" si="282"/>
        <v>4.9230215372237049</v>
      </c>
      <c r="Z38" s="19">
        <f t="shared" si="282"/>
        <v>7.4129484252244398</v>
      </c>
      <c r="AA38" s="19">
        <f t="shared" si="282"/>
        <v>8.6115309217186109</v>
      </c>
      <c r="AB38" s="57">
        <f t="shared" si="282"/>
        <v>8.8369378380492254</v>
      </c>
      <c r="AC38" s="19">
        <f t="shared" si="282"/>
        <v>9.0489325444616195</v>
      </c>
      <c r="AD38" s="19">
        <f t="shared" si="282"/>
        <v>9.267633355833123</v>
      </c>
      <c r="AE38" s="19">
        <f t="shared" si="282"/>
        <v>9.4814987237472153</v>
      </c>
      <c r="AF38" s="19">
        <f t="shared" si="282"/>
        <v>5.696299422412153</v>
      </c>
      <c r="AG38" s="19">
        <f t="shared" si="282"/>
        <v>1.9091500647238095</v>
      </c>
      <c r="AH38" s="19">
        <f t="shared" si="282"/>
        <v>2.1214933442342501</v>
      </c>
      <c r="AI38" s="19">
        <f t="shared" si="282"/>
        <v>2.3326079141674412</v>
      </c>
      <c r="AJ38" s="19">
        <f t="shared" si="282"/>
        <v>2.5428544479113993</v>
      </c>
      <c r="AK38" s="19">
        <f t="shared" si="282"/>
        <v>2.7520526087721162</v>
      </c>
      <c r="AL38" s="19">
        <f t="shared" si="282"/>
        <v>2.9602925650965966</v>
      </c>
      <c r="AM38" s="19">
        <f t="shared" si="282"/>
        <v>3.1675292327113378</v>
      </c>
      <c r="AN38" s="19">
        <f t="shared" si="282"/>
        <v>3.3737851537030914</v>
      </c>
      <c r="AO38" s="19">
        <f t="shared" si="282"/>
        <v>3.5790490570284805</v>
      </c>
      <c r="AP38" s="19">
        <f t="shared" si="282"/>
        <v>3.7833265782091945</v>
      </c>
      <c r="AQ38" s="19">
        <f t="shared" si="282"/>
        <v>3.9866148994843891</v>
      </c>
      <c r="AR38" s="19">
        <f t="shared" si="282"/>
        <v>4.1889154297344842</v>
      </c>
      <c r="AS38" s="19">
        <f t="shared" si="282"/>
        <v>4.3902274645192714</v>
      </c>
      <c r="AT38" s="19">
        <f t="shared" si="282"/>
        <v>4.5905513560588558</v>
      </c>
      <c r="AU38" s="19">
        <f t="shared" si="282"/>
        <v>4.7898869282431837</v>
      </c>
      <c r="AV38" s="19">
        <f t="shared" si="282"/>
        <v>4.9882342691272825</v>
      </c>
      <c r="AW38" s="19">
        <f t="shared" si="282"/>
        <v>5.185593334683638</v>
      </c>
      <c r="AX38" s="19">
        <f t="shared" si="282"/>
        <v>5.3819641469260082</v>
      </c>
      <c r="AY38" s="19">
        <f t="shared" si="282"/>
        <v>5.5773466948475132</v>
      </c>
      <c r="AZ38" s="57">
        <f t="shared" si="282"/>
        <v>5.7717409839515934</v>
      </c>
      <c r="BA38" s="19">
        <f t="shared" si="282"/>
        <v>5.965147011486529</v>
      </c>
      <c r="BB38" s="19">
        <f t="shared" si="282"/>
        <v>6.1575647788281795</v>
      </c>
      <c r="BC38" s="19">
        <f t="shared" si="282"/>
        <v>6.3489942852886152</v>
      </c>
      <c r="BD38" s="19">
        <f t="shared" si="282"/>
        <v>2.5394355312118013</v>
      </c>
      <c r="BE38" s="19">
        <f t="shared" si="282"/>
        <v>-6.9423983574245007E-2</v>
      </c>
      <c r="BF38" s="19">
        <f t="shared" si="282"/>
        <v>0.3387322669333071</v>
      </c>
      <c r="BG38" s="19">
        <f t="shared" si="282"/>
        <v>0.74156893639970878</v>
      </c>
      <c r="BH38" s="19">
        <f t="shared" si="282"/>
        <v>1.1502536979923346</v>
      </c>
      <c r="BI38" s="19">
        <f t="shared" si="282"/>
        <v>1.3796231227515772</v>
      </c>
      <c r="BJ38" s="19">
        <f t="shared" si="282"/>
        <v>1.6986502159275114</v>
      </c>
      <c r="BK38" s="19">
        <f t="shared" si="282"/>
        <v>1.9728484748950998</v>
      </c>
      <c r="BL38" s="19">
        <f t="shared" si="282"/>
        <v>2.2694611509668614</v>
      </c>
      <c r="BM38" s="19">
        <f t="shared" si="282"/>
        <v>2.5548666184865367</v>
      </c>
      <c r="BN38" s="19">
        <f t="shared" si="282"/>
        <v>2.8458756902822553</v>
      </c>
      <c r="BO38" s="19">
        <f t="shared" si="282"/>
        <v>3.1340829599399522</v>
      </c>
      <c r="BP38" s="19">
        <f t="shared" si="282"/>
        <v>3.42369113066666</v>
      </c>
      <c r="BQ38" s="19">
        <f t="shared" ref="BQ38:DT38" si="283">BQ37+BQ33</f>
        <v>3.7125988508588623</v>
      </c>
      <c r="BR38" s="19">
        <f t="shared" si="283"/>
        <v>4.0018567963183171</v>
      </c>
      <c r="BS38" s="19">
        <f t="shared" si="283"/>
        <v>4.2909396291441446</v>
      </c>
      <c r="BT38" s="19">
        <f t="shared" si="283"/>
        <v>4.5801100182867858</v>
      </c>
      <c r="BU38" s="19">
        <f t="shared" si="283"/>
        <v>4.8692366292710201</v>
      </c>
      <c r="BV38" s="19">
        <f t="shared" si="283"/>
        <v>7.1583851293344578</v>
      </c>
      <c r="BW38" s="19">
        <f t="shared" si="283"/>
        <v>8.2458351848582971</v>
      </c>
      <c r="BX38" s="57">
        <f t="shared" si="283"/>
        <v>8.3199573793186037</v>
      </c>
      <c r="BY38" s="19">
        <f t="shared" si="283"/>
        <v>8.4007435043106753</v>
      </c>
      <c r="BZ38" s="19">
        <f t="shared" si="283"/>
        <v>8.4781976640368644</v>
      </c>
      <c r="CA38" s="19">
        <f t="shared" si="283"/>
        <v>8.5573178063959947</v>
      </c>
      <c r="CB38" s="19">
        <f t="shared" si="283"/>
        <v>4.6356049574386518</v>
      </c>
      <c r="CC38" s="19">
        <f t="shared" si="283"/>
        <v>1.915996104139545</v>
      </c>
      <c r="CD38" s="19">
        <f t="shared" si="283"/>
        <v>2.209512336344654</v>
      </c>
      <c r="CE38" s="19">
        <f t="shared" si="283"/>
        <v>2.4964660257976554</v>
      </c>
      <c r="CF38" s="19">
        <f t="shared" si="283"/>
        <v>2.7867009866267107</v>
      </c>
      <c r="CG38" s="19">
        <f t="shared" si="283"/>
        <v>3.0752953117677393</v>
      </c>
      <c r="CH38" s="19">
        <f t="shared" si="283"/>
        <v>3.3647099547527812</v>
      </c>
      <c r="CI38" s="19">
        <f t="shared" si="283"/>
        <v>3.6537144388158165</v>
      </c>
      <c r="CJ38" s="19">
        <f t="shared" si="283"/>
        <v>3.9429240023398551</v>
      </c>
      <c r="CK38" s="19">
        <f t="shared" si="283"/>
        <v>4.2320310261333907</v>
      </c>
      <c r="CL38" s="19">
        <f t="shared" si="283"/>
        <v>4.5211893197921773</v>
      </c>
      <c r="CM38" s="19">
        <f t="shared" si="283"/>
        <v>4.8103219785183384</v>
      </c>
      <c r="CN38" s="19">
        <f t="shared" si="283"/>
        <v>5.0994674547108128</v>
      </c>
      <c r="CO38" s="19">
        <f t="shared" si="283"/>
        <v>5.3886065221701305</v>
      </c>
      <c r="CP38" s="19">
        <f t="shared" si="283"/>
        <v>5.6777487939960265</v>
      </c>
      <c r="CQ38" s="19">
        <f t="shared" si="283"/>
        <v>5.9668894636386334</v>
      </c>
      <c r="CR38" s="19">
        <f t="shared" si="283"/>
        <v>6.2560309343728848</v>
      </c>
      <c r="CS38" s="19">
        <f t="shared" si="283"/>
        <v>6.545172004561314</v>
      </c>
      <c r="CT38" s="19">
        <f t="shared" si="283"/>
        <v>7.632625775022654</v>
      </c>
      <c r="CU38" s="19">
        <f t="shared" si="283"/>
        <v>7.7067461120142058</v>
      </c>
      <c r="CV38" s="57">
        <f t="shared" si="283"/>
        <v>7.7875331657406521</v>
      </c>
      <c r="CW38" s="19">
        <f t="shared" si="283"/>
        <v>7.8649868610996512</v>
      </c>
      <c r="CX38" s="19">
        <f t="shared" si="283"/>
        <v>7.9441072356423765</v>
      </c>
      <c r="CY38" s="19">
        <f t="shared" si="283"/>
        <v>8.0223942705932405</v>
      </c>
      <c r="CZ38" s="19">
        <f t="shared" si="283"/>
        <v>4.1010979753400312</v>
      </c>
      <c r="DA38" s="19">
        <f t="shared" si="283"/>
        <v>1.3812808451888574</v>
      </c>
      <c r="DB38" s="19">
        <f t="shared" si="283"/>
        <v>1.6749012158199996</v>
      </c>
      <c r="DC38" s="19">
        <f t="shared" si="283"/>
        <v>1.961802836059984</v>
      </c>
      <c r="DD38" s="19">
        <f t="shared" si="283"/>
        <v>2.2520638314955472</v>
      </c>
      <c r="DE38" s="19">
        <f t="shared" si="283"/>
        <v>2.5406451393333214</v>
      </c>
      <c r="DF38" s="19">
        <f t="shared" si="283"/>
        <v>2.8300662909699903</v>
      </c>
      <c r="DG38" s="19">
        <f t="shared" si="283"/>
        <v>3.1190675207072118</v>
      </c>
      <c r="DH38" s="19">
        <f t="shared" si="283"/>
        <v>3.4082787113941571</v>
      </c>
      <c r="DI38" s="19">
        <f t="shared" si="283"/>
        <v>3.6973849216062407</v>
      </c>
      <c r="DJ38" s="19">
        <f t="shared" si="283"/>
        <v>3.9865436220557551</v>
      </c>
      <c r="DK38" s="19">
        <f t="shared" si="283"/>
        <v>4.275676077386553</v>
      </c>
      <c r="DL38" s="19">
        <f t="shared" si="283"/>
        <v>4.5648216552767087</v>
      </c>
      <c r="DM38" s="19">
        <f t="shared" si="283"/>
        <v>4.8539606718871857</v>
      </c>
      <c r="DN38" s="19">
        <f t="shared" si="283"/>
        <v>5.1431029691375016</v>
      </c>
      <c r="DO38" s="19">
        <f t="shared" si="283"/>
        <v>5.4322436260678986</v>
      </c>
      <c r="DP38" s="19">
        <f t="shared" si="283"/>
        <v>5.721385103158255</v>
      </c>
      <c r="DQ38" s="19">
        <f t="shared" si="283"/>
        <v>6.0105261701686317</v>
      </c>
      <c r="DR38" s="19">
        <f t="shared" si="283"/>
        <v>7.0979799422189975</v>
      </c>
      <c r="DS38" s="19">
        <f t="shared" si="283"/>
        <v>7.1721002784160364</v>
      </c>
      <c r="DT38" s="19">
        <f t="shared" si="283"/>
        <v>7.2528873325397374</v>
      </c>
    </row>
    <row r="39" spans="2:124" x14ac:dyDescent="0.2">
      <c r="B39" s="3" t="s">
        <v>28</v>
      </c>
      <c r="D39" s="139" t="s">
        <v>29</v>
      </c>
      <c r="E39" s="19"/>
      <c r="F39" s="25"/>
      <c r="G39" s="25" t="s">
        <v>30</v>
      </c>
      <c r="H39" s="25" t="s">
        <v>30</v>
      </c>
      <c r="I39" s="25" t="s">
        <v>30</v>
      </c>
      <c r="J39" s="25" t="s">
        <v>30</v>
      </c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 t="s">
        <v>31</v>
      </c>
      <c r="Z39" s="25" t="s">
        <v>31</v>
      </c>
      <c r="AA39" s="25"/>
      <c r="AB39" s="57"/>
      <c r="AC39" s="19"/>
      <c r="AD39" s="25"/>
      <c r="AE39" s="51" t="s">
        <v>30</v>
      </c>
      <c r="AF39" s="51" t="s">
        <v>30</v>
      </c>
      <c r="AG39" s="51"/>
      <c r="AH39" s="51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51" t="s">
        <v>31</v>
      </c>
      <c r="AX39" s="51" t="s">
        <v>31</v>
      </c>
      <c r="AY39" s="51" t="s">
        <v>31</v>
      </c>
      <c r="AZ39" s="66" t="s">
        <v>31</v>
      </c>
      <c r="BA39" s="19"/>
      <c r="BB39" s="25"/>
      <c r="BC39" s="51" t="s">
        <v>30</v>
      </c>
      <c r="BD39" s="51" t="s">
        <v>30</v>
      </c>
      <c r="BE39" s="51" t="s">
        <v>30</v>
      </c>
      <c r="BF39" s="51" t="s">
        <v>30</v>
      </c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51" t="s">
        <v>31</v>
      </c>
      <c r="BV39" s="51" t="s">
        <v>31</v>
      </c>
      <c r="BW39" s="51" t="s">
        <v>31</v>
      </c>
      <c r="BX39" s="66" t="s">
        <v>31</v>
      </c>
      <c r="BY39" s="19"/>
      <c r="BZ39" s="25"/>
      <c r="CA39" s="51" t="s">
        <v>30</v>
      </c>
      <c r="CB39" s="51" t="s">
        <v>30</v>
      </c>
      <c r="CC39" s="51" t="s">
        <v>30</v>
      </c>
      <c r="CD39" s="51" t="s">
        <v>30</v>
      </c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51" t="s">
        <v>31</v>
      </c>
      <c r="CT39" s="51" t="s">
        <v>31</v>
      </c>
      <c r="CU39" s="51" t="s">
        <v>31</v>
      </c>
      <c r="CV39" s="66" t="s">
        <v>31</v>
      </c>
      <c r="CW39" s="19"/>
      <c r="CX39" s="25"/>
      <c r="CY39" s="51" t="s">
        <v>30</v>
      </c>
      <c r="CZ39" s="51" t="s">
        <v>30</v>
      </c>
      <c r="DA39" s="51" t="s">
        <v>30</v>
      </c>
      <c r="DB39" s="51" t="s">
        <v>30</v>
      </c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51" t="s">
        <v>31</v>
      </c>
      <c r="DR39" s="51" t="s">
        <v>31</v>
      </c>
      <c r="DS39" s="51" t="s">
        <v>31</v>
      </c>
      <c r="DT39" s="66" t="s">
        <v>31</v>
      </c>
    </row>
    <row r="40" spans="2:124" x14ac:dyDescent="0.2">
      <c r="B40" s="5" t="s">
        <v>230</v>
      </c>
      <c r="D40" s="141">
        <f>D38</f>
        <v>6.6333333333333337</v>
      </c>
      <c r="E40" s="19">
        <f t="shared" ref="E40" si="284">IF(D41="T",IF(E39="KB",IF(E38&gt;2,E38-3,E38-1),E38+1),IF(E39="KT",IF(E38&lt;8,E38+2,IF(E38&gt;10,10,E38)),IF(E38&gt;=10,10,E38)))</f>
        <v>6.8718055555555555</v>
      </c>
      <c r="F40" s="19">
        <f t="shared" ref="F40" si="285">IF(E41="T",IF(F39="KB",IF(F38&gt;2,F38-3,F38-1),F38+1),IF(F39="KT",IF(F38&lt;8,F38+2,IF(F38&gt;10,10,F38)),IF(F38&gt;=10,10,F38)))</f>
        <v>6.9017069623618008</v>
      </c>
      <c r="G40" s="19">
        <f t="shared" ref="G40:I40" si="286">IF(F41="T",IF(G39="KB",IF(G38&gt;2,G38-3,G38-1),G38+1),IF(G39="KT",IF(G38&lt;8,G38+2,IF(G38&gt;10,10,G38)),IF(G38&gt;=10,10,G38)))</f>
        <v>3.0179771981820105</v>
      </c>
      <c r="H40" s="19">
        <f t="shared" si="286"/>
        <v>-0.90806686743311227</v>
      </c>
      <c r="I40" s="19">
        <f t="shared" si="286"/>
        <v>-0.61039616925891971</v>
      </c>
      <c r="J40" s="19">
        <f t="shared" ref="J40" si="287">IF(I41="T",IF(J39="KB",IF(J38&gt;2,J38-3,J38-1),J38+1),IF(J39="KT",IF(J38&lt;8,J38+2,IF(J38&gt;10,10,J38)),IF(J38&gt;=10,10,J38)))</f>
        <v>-0.30486496399089663</v>
      </c>
      <c r="K40" s="25">
        <f t="shared" ref="K40:L40" si="288">IF(J41="T",IF(K39="KB",IF(K38&gt;2,K38-3,K38-1),K38+1),IF(K39="KT",IF(K38&lt;8,K38+2,IF(K38&gt;10,10,K38)),IF(K38&gt;=10,10,K38)))</f>
        <v>2.2767933853662034E-3</v>
      </c>
      <c r="L40" s="25">
        <f t="shared" si="288"/>
        <v>0.31415408036266423</v>
      </c>
      <c r="M40" s="25">
        <f t="shared" ref="M40" si="289">IF(L41="T",IF(M39="KB",IF(M38&gt;2,M38-3,M38-1),M38+1),IF(M39="KT",IF(M38&lt;8,M38+2,IF(M38&gt;10,10,M38)),IF(M38&gt;=10,10,M38)))</f>
        <v>0.62920440819459977</v>
      </c>
      <c r="N40" s="25">
        <f t="shared" ref="N40" si="290">IF(M41="T",IF(N39="KB",IF(N38&gt;2,N38-3,N38-1),N38+1),IF(N39="KT",IF(N38&lt;8,N38+2,IF(N38&gt;10,10,N38)),IF(N38&gt;=10,10,N38)))</f>
        <v>0.94820902125437168</v>
      </c>
      <c r="O40" s="25">
        <f t="shared" ref="O40" si="291">IF(N41="T",IF(O39="KB",IF(O38&gt;2,O38-3,O38-1),O38+1),IF(O39="KT",IF(O38&lt;8,O38+2,IF(O38&gt;10,10,O38)),IF(O38&gt;=10,10,O38)))</f>
        <v>1.2224185202800413</v>
      </c>
      <c r="P40" s="25">
        <f t="shared" ref="P40" si="292">IF(O41="T",IF(P39="KB",IF(P38&gt;2,P38-3,P38-1),P38+1),IF(P39="KT",IF(P38&lt;8,P38+2,IF(P38&gt;10,10,P38)),IF(P38&gt;=10,10,P38)))</f>
        <v>1.5243991589955934</v>
      </c>
      <c r="Q40" s="25" cm="1">
        <f t="array" ref="Q40">_xlfn.IFS(AND(P41="B",Q39="KT"),IF(Q38&lt;8,Q38+2,IF(Q38&gt;10,10,Q38)),AND(P41="B",Q39="KTS"),IF(Q38&lt;8,Q38+4,IF(Q38&gt;10,10,Q38)),AND(P41="T",Q39="KB"),IF(Q38&gt;2,Q38-3,Q38-1),AND(P41="T",Q39="KBS"),IF(Q38&gt;4,Q38-6,Q38-2),AND(P41="T",Q39=""),Q38+1,AND(P41="B",Q39=""),Q38)</f>
        <v>1.8178678105390356</v>
      </c>
      <c r="R40" s="25" cm="1">
        <f t="array" ref="R40">_xlfn.IFS(AND(Q41="B",R39="KT"),IF(R38&lt;8,R38+2,IF(R38&gt;10,10,R38)),AND(Q41="B",R39="KTS"),IF(R38&lt;8,R38+4,IF(R38&gt;10,10,R38)),AND(Q41="T",R39="KB"),IF(R38&gt;2,R38-3,R38-1),AND(Q41="T",R39="KBS"),IF(R38&gt;4,R38-6,R38-2),AND(Q41="T",R39=""),R38+1,AND(Q41="B",R39=""),R38)</f>
        <v>2.1209660383413644</v>
      </c>
      <c r="S40" s="25" cm="1">
        <f t="array" ref="S40">_xlfn.IFS(AND(R41="B",S39="KT"),IF(S38&lt;8,S38+2,IF(S38&gt;10,10,S38)),AND(R41="B",S39="KTS"),IF(S38&lt;8,S38+4,IF(S38&gt;10,10,S38)),AND(R41="T",S39="KB"),IF(S38&gt;2,S38-3,S38-1),AND(R41="T",S39="KBS"),IF(S38&gt;4,S38-6,S38-2),AND(R41="T",S39=""),S38+1,AND(R41="B",S39=""),S38)</f>
        <v>2.403128729995756</v>
      </c>
      <c r="T40" s="25" cm="1">
        <f t="array" ref="T40">_xlfn.IFS(AND(S41="B",T39="KT"),IF(T38&lt;8,T38+2,IF(T38&gt;10,10,T38)),AND(S41="B",T39="KTS"),IF(T38&lt;8,T38+4,IF(T38&gt;10,10,T38)),AND(S41="T",T39="KB"),IF(T38&gt;2,T38-3,T38-1),AND(S41="T",T39="KBS"),IF(T38&gt;4,T38-6,T38-2),AND(S41="T",T39=""),T38+1,AND(S41="B",T39=""),T38)</f>
        <v>2.9094222971500456</v>
      </c>
      <c r="U40" s="25" cm="1">
        <f t="array" ref="U40">_xlfn.IFS(AND(T41="B",U39="KT"),IF(U38&lt;8,U38+2,IF(U38&gt;10,10,U38)),AND(T41="B",U39="KTS"),IF(U38&lt;8,U38+4,IF(U38&gt;10,10,U38)),AND(T41="T",U39="KB"),IF(U38&gt;2,U38-3,U38-1),AND(T41="T",U39="KBS"),IF(U38&gt;4,U38-6,U38-2),AND(T41="T",U39=""),U38+1,AND(T41="B",U39=""),U38)</f>
        <v>3.3036504265543862</v>
      </c>
      <c r="V40" s="25" cm="1">
        <f t="array" ref="V40">_xlfn.IFS(AND(U41="B",V39="KT"),IF(V38&lt;8,V38+2,IF(V38&gt;10,10,V38)),AND(U41="B",V39="KTS"),IF(V38&lt;8,V38+4,IF(V38&gt;10,10,V38)),AND(U41="T",V39="KB"),IF(V38&gt;2,V38-3,V38-1),AND(U41="T",V39="KBS"),IF(V38&gt;4,V38-6,V38-2),AND(U41="T",V39=""),V38+1,AND(U41="B",V39=""),V38)</f>
        <v>3.7539112748337016</v>
      </c>
      <c r="W40" s="25" cm="1">
        <f t="array" ref="W40">_xlfn.IFS(AND(V41="B",W39="KT"),IF(W38&lt;8,W38+2,IF(W38&gt;10,10,W38)),AND(V41="B",W39="KTS"),IF(W38&lt;8,W38+4,IF(W38&gt;10,10,W38)),AND(V41="T",W39="KB"),IF(W38&gt;2,W38-3,W38-1),AND(V41="T",W39="KBS"),IF(W38&gt;4,W38-6,W38-2),AND(V41="T",W39=""),W38+1,AND(V41="B",W39=""),W38)</f>
        <v>4.1761557636755287</v>
      </c>
      <c r="X40" s="25" cm="1">
        <f t="array" ref="X40">_xlfn.IFS(AND(W41="B",X39="KT"),IF(X38&lt;8,X38+2,IF(X38&gt;10,10,X38)),AND(W41="B",X39="KTS"),IF(X38&lt;8,X38+4,IF(X38&gt;10,10,X38)),AND(W41="T",X39="KB"),IF(X38&gt;2,X38-3,X38-1),AND(W41="T",X39="KBS"),IF(X38&gt;4,X38-6,X38-2),AND(W41="T",X39=""),X38+1,AND(W41="B",X39=""),X38)</f>
        <v>4.6124084322360996</v>
      </c>
      <c r="Y40" s="25" cm="1">
        <f t="array" ref="Y40">_xlfn.IFS(AND(X41="B",Y39="KT"),IF(Y38&lt;8,Y38+2,IF(Y38&gt;10,10,Y38)),AND(X41="B",Y39="KTS"),IF(Y38&lt;8,Y38+4,IF(Y38&gt;10,10,Y38)),AND(X41="T",Y39="KB"),IF(Y38&gt;2,Y38-3,Y38-1),AND(X41="T",Y39="KBS"),IF(Y38&gt;4,Y38-6,Y38-2),AND(X41="T",Y39=""),Y38+1,AND(X41="B",Y39=""),Y38)</f>
        <v>6.9230215372237049</v>
      </c>
      <c r="Z40" s="25" cm="1">
        <f t="array" ref="Z40">_xlfn.IFS(AND(Y41="B",Z39="KT"),IF(Z38&lt;8,Z38+2,IF(Z38&gt;10,10,Z38)),AND(Y41="B",Z39="KTS"),IF(Z38&lt;8,Z38+4,IF(Z38&gt;10,10,Z38)),AND(Y41="T",Z39="KB"),IF(Z38&gt;2,Z38-3,Z38-1),AND(Y41="T",Z39="KBS"),IF(Z38&gt;4,Z38-6,Z38-2),AND(Y41="T",Z39=""),Z38+1,AND(Y41="B",Z39=""),Z38)</f>
        <v>9.4129484252244389</v>
      </c>
      <c r="AA40" s="25" cm="1">
        <f t="array" ref="AA40">_xlfn.IFS(AND(Z41="B",AA39="KT"),IF(AA38&lt;8,AA38+2,IF(AA38&gt;10,10,AA38)),AND(Z41="B",AA39="KTS"),IF(AA38&lt;8,AA38+4,IF(AA38&gt;10,10,AA38)),AND(Z41="T",AA39="KB"),IF(AA38&gt;2,AA38-3,AA38-1),AND(Z41="T",AA39="KBS"),IF(AA38&gt;4,AA38-6,AA38-2),AND(Z41="T",AA39=""),AA38+1,AND(Z41="B",AA39=""),AA38)</f>
        <v>9.6115309217186109</v>
      </c>
      <c r="AB40" s="25" cm="1">
        <f t="array" ref="AB40">_xlfn.IFS(AND(AA41="B",AB39="KT"),IF(AB38&lt;8,AB38+2,IF(AB38&gt;10,10,AB38)),AND(AA41="B",AB39="KTS"),IF(AB38&lt;8,AB38+4,IF(AB38&gt;10,10,AB38)),AND(AA41="T",AB39="KB"),IF(AB38&gt;2,AB38-3,AB38-1),AND(AA41="T",AB39="KBS"),IF(AB38&gt;4,AB38-6,AB38-2),AND(AA41="T",AB39=""),AB38+1,AND(AA41="B",AB39=""),AB38)</f>
        <v>9.8369378380492254</v>
      </c>
      <c r="AC40" s="25" cm="1">
        <f t="array" ref="AC40">_xlfn.IFS(AND(AB41="B",AC39="KT"),IF(AC38&lt;8,AC38+2,IF(AC38&gt;10,10,AC38)),AND(AB41="B",AC39="KTS"),IF(AC38&lt;8,AC38+4,IF(AC38&gt;10,10,AC38)),AND(AB41="T",AC39="KB"),IF(AC38&gt;2,AC38-3,AC38-1),AND(AB41="T",AC39="KBS"),IF(AC38&gt;4,AC38-6,AC38-2),AND(AB41="T",AC39=""),AC38+1,AND(AB41="B",AC39=""),AC38)</f>
        <v>10.04893254446162</v>
      </c>
      <c r="AD40" s="25" cm="1">
        <f t="array" ref="AD40">_xlfn.IFS(AND(AC41="B",AD39="KT"),IF(AD38&lt;8,AD38+2,IF(AD38&gt;10,10,AD38)),AND(AC41="B",AD39="KTS"),IF(AD38&lt;8,AD38+4,IF(AD38&gt;10,10,AD38)),AND(AC41="T",AD39="KB"),IF(AD38&gt;2,AD38-3,AD38-1),AND(AC41="T",AD39="KBS"),IF(AD38&gt;4,AD38-6,AD38-2),AND(AC41="T",AD39=""),AD38+1,AND(AC41="B",AD39=""),AD38)</f>
        <v>10.267633355833123</v>
      </c>
      <c r="AE40" s="25" cm="1">
        <f t="array" ref="AE40">_xlfn.IFS(AND(AD41="B",AE39="KT"),IF(AE38&lt;8,AE38+2,IF(AE38&gt;10,10,AE38)),AND(AD41="B",AE39="KTS"),IF(AE38&lt;8,AE38+4,IF(AE38&gt;10,10,AE38)),AND(AD41="T",AE39="KB"),IF(AE38&gt;2,AE38-3,AE38-1),AND(AD41="T",AE39="KBS"),IF(AE38&gt;4,AE38-6,AE38-2),AND(AD41="T",AE39=""),AE38+1,AND(AD41="B",AE39=""),AE38)</f>
        <v>6.4814987237472153</v>
      </c>
      <c r="AF40" s="25" cm="1">
        <f t="array" ref="AF40">_xlfn.IFS(AND(AE41="B",AF39="KT"),IF(AF38&lt;8,AF38+2,IF(AF38&gt;10,10,AF38)),AND(AE41="B",AF39="KTS"),IF(AF38&lt;8,AF38+4,IF(AF38&gt;10,10,AF38)),AND(AE41="T",AF39="KB"),IF(AF38&gt;2,AF38-3,AF38-1),AND(AE41="T",AF39="KBS"),IF(AF38&gt;4,AF38-6,AF38-2),AND(AE41="T",AF39=""),AF38+1,AND(AE41="B",AF39=""),AF38)</f>
        <v>2.696299422412153</v>
      </c>
      <c r="AG40" s="25" cm="1">
        <f t="array" ref="AG40">_xlfn.IFS(AND(AF41="B",AG39="KT"),IF(AG38&lt;8,AG38+2,IF(AG38&gt;10,10,AG38)),AND(AF41="B",AG39="KTS"),IF(AG38&lt;8,AG38+4,IF(AG38&gt;10,10,AG38)),AND(AF41="T",AG39="KB"),IF(AG38&gt;2,AG38-3,AG38-1),AND(AF41="T",AG39="KBS"),IF(AG38&gt;4,AG38-6,AG38-2),AND(AF41="T",AG39=""),AG38+1,AND(AF41="B",AG39=""),AG38)</f>
        <v>2.9091500647238098</v>
      </c>
      <c r="AH40" s="25" cm="1">
        <f t="array" ref="AH40">_xlfn.IFS(AND(AG41="B",AH39="KT"),IF(AH38&lt;8,AH38+2,IF(AH38&gt;10,10,AH38)),AND(AG41="B",AH39="KTS"),IF(AH38&lt;8,AH38+4,IF(AH38&gt;10,10,AH38)),AND(AG41="T",AH39="KB"),IF(AH38&gt;2,AH38-3,AH38-1),AND(AG41="T",AH39="KBS"),IF(AH38&gt;4,AH38-6,AH38-2),AND(AG41="T",AH39=""),AH38+1,AND(AG41="B",AH39=""),AH38)</f>
        <v>3.1214933442342501</v>
      </c>
      <c r="AI40" s="25" cm="1">
        <f t="array" ref="AI40">_xlfn.IFS(AND(AH41="B",AI39="KT"),IF(AI38&lt;8,AI38+2,IF(AI38&gt;10,10,AI38)),AND(AH41="B",AI39="KTS"),IF(AI38&lt;8,AI38+4,IF(AI38&gt;10,10,AI38)),AND(AH41="T",AI39="KB"),IF(AI38&gt;2,AI38-3,AI38-1),AND(AH41="T",AI39="KBS"),IF(AI38&gt;4,AI38-6,AI38-2),AND(AH41="T",AI39=""),AI38+1,AND(AH41="B",AI39=""),AI38)</f>
        <v>3.3326079141674412</v>
      </c>
      <c r="AJ40" s="25">
        <f t="shared" ref="AJ40" si="293">IF(AI41="T",IF(AJ39="KB",IF(AJ38&gt;2,AJ38-3,AJ38-1),AJ38+1),IF(AJ39="KT",IF(AJ38&lt;8,AJ38+2,IF(AJ38&gt;10,10,AJ38)),IF(AJ38&gt;=10,10,AJ38)))</f>
        <v>3.5428544479113993</v>
      </c>
      <c r="AK40" s="25">
        <f t="shared" ref="AK40" si="294">IF(AJ41="T",IF(AK39="KB",IF(AK38&gt;2,AK38-3,AK38-1),AK38+1),IF(AK39="KT",IF(AK38&lt;8,AK38+2,IF(AK38&gt;10,10,AK38)),IF(AK38&gt;=10,10,AK38)))</f>
        <v>3.7520526087721162</v>
      </c>
      <c r="AL40" s="25">
        <f t="shared" ref="AL40" si="295">IF(AK41="T",IF(AL39="KB",IF(AL38&gt;2,AL38-3,AL38-1),AL38+1),IF(AL39="KT",IF(AL38&lt;8,AL38+2,IF(AL38&gt;10,10,AL38)),IF(AL38&gt;=10,10,AL38)))</f>
        <v>3.9602925650965966</v>
      </c>
      <c r="AM40" s="25">
        <f t="shared" ref="AM40" si="296">IF(AL41="T",IF(AM39="KB",IF(AM38&gt;2,AM38-3,AM38-1),AM38+1),IF(AM39="KT",IF(AM38&lt;8,AM38+2,IF(AM38&gt;10,10,AM38)),IF(AM38&gt;=10,10,AM38)))</f>
        <v>4.1675292327113382</v>
      </c>
      <c r="AN40" s="25">
        <f t="shared" ref="AN40" si="297">IF(AM41="T",IF(AN39="KB",IF(AN38&gt;2,AN38-3,AN38-1),AN38+1),IF(AN39="KT",IF(AN38&lt;8,AN38+2,IF(AN38&gt;10,10,AN38)),IF(AN38&gt;=10,10,AN38)))</f>
        <v>4.373785153703091</v>
      </c>
      <c r="AO40" s="25">
        <f t="shared" ref="AO40" si="298">IF(AN41="T",IF(AO39="KB",IF(AO38&gt;2,AO38-3,AO38-1),AO38+1),IF(AO39="KT",IF(AO38&lt;8,AO38+2,IF(AO38&gt;10,10,AO38)),IF(AO38&gt;=10,10,AO38)))</f>
        <v>4.579049057028481</v>
      </c>
      <c r="AP40" s="25">
        <f t="shared" ref="AP40" si="299">IF(AO41="T",IF(AP39="KB",IF(AP38&gt;2,AP38-3,AP38-1),AP38+1),IF(AP39="KT",IF(AP38&lt;8,AP38+2,IF(AP38&gt;10,10,AP38)),IF(AP38&gt;=10,10,AP38)))</f>
        <v>4.7833265782091949</v>
      </c>
      <c r="AQ40" s="25">
        <f t="shared" ref="AQ40" si="300">IF(AP41="T",IF(AQ39="KB",IF(AQ38&gt;2,AQ38-3,AQ38-1),AQ38+1),IF(AQ39="KT",IF(AQ38&lt;8,AQ38+2,IF(AQ38&gt;10,10,AQ38)),IF(AQ38&gt;=10,10,AQ38)))</f>
        <v>4.9866148994843886</v>
      </c>
      <c r="AR40" s="25">
        <f t="shared" ref="AR40" si="301">IF(AQ41="T",IF(AR39="KB",IF(AR38&gt;2,AR38-3,AR38-1),AR38+1),IF(AR39="KT",IF(AR38&lt;8,AR38+2,IF(AR38&gt;10,10,AR38)),IF(AR38&gt;=10,10,AR38)))</f>
        <v>5.1889154297344842</v>
      </c>
      <c r="AS40" s="25">
        <f t="shared" ref="AS40" si="302">IF(AR41="T",IF(AS39="KB",IF(AS38&gt;2,AS38-3,AS38-1),AS38+1),IF(AS39="KT",IF(AS38&lt;8,AS38+2,IF(AS38&gt;10,10,AS38)),IF(AS38&gt;=10,10,AS38)))</f>
        <v>5.3902274645192714</v>
      </c>
      <c r="AT40" s="25">
        <f t="shared" ref="AT40" si="303">IF(AS41="T",IF(AT39="KB",IF(AT38&gt;2,AT38-3,AT38-1),AT38+1),IF(AT39="KT",IF(AT38&lt;8,AT38+2,IF(AT38&gt;10,10,AT38)),IF(AT38&gt;=10,10,AT38)))</f>
        <v>5.5905513560588558</v>
      </c>
      <c r="AU40" s="25">
        <f t="shared" ref="AU40" si="304">IF(AT41="T",IF(AU39="KB",IF(AU38&gt;2,AU38-3,AU38-1),AU38+1),IF(AU39="KT",IF(AU38&lt;8,AU38+2,IF(AU38&gt;10,10,AU38)),IF(AU38&gt;=10,10,AU38)))</f>
        <v>5.7898869282431837</v>
      </c>
      <c r="AV40" s="25">
        <f t="shared" ref="AV40" si="305">IF(AU41="T",IF(AV39="KB",IF(AV38&gt;2,AV38-3,AV38-1),AV38+1),IF(AV39="KT",IF(AV38&lt;8,AV38+2,IF(AV38&gt;10,10,AV38)),IF(AV38&gt;=10,10,AV38)))</f>
        <v>5.9882342691272825</v>
      </c>
      <c r="AW40" s="51">
        <f t="shared" ref="AW40" si="306">IF(AV41="T",IF(AW39="KB",IF(AW38&gt;2,AW38-3,AW38-1),AW38+1),IF(AW39="KT",IF(AW38&lt;8,AW38+2,IF(AW38&gt;10,10,AW38)),IF(AW38&gt;=10,10,AW38)))</f>
        <v>6.185593334683638</v>
      </c>
      <c r="AX40" s="51">
        <f t="shared" ref="AX40" si="307">IF(AW41="T",IF(AX39="KB",IF(AX38&gt;2,AX38-3,AX38-1),AX38+1),IF(AX39="KT",IF(AX38&lt;8,AX38+2,IF(AX38&gt;10,10,AX38)),IF(AX38&gt;=10,10,AX38)))</f>
        <v>6.3819641469260082</v>
      </c>
      <c r="AY40" s="51">
        <f t="shared" ref="AY40" si="308">IF(AX41="T",IF(AY39="KB",IF(AY38&gt;2,AY38-3,AY38-1),AY38+1),IF(AY39="KT",IF(AY38&lt;8,AY38+2,IF(AY38&gt;10,10,AY38)),IF(AY38&gt;=10,10,AY38)))</f>
        <v>6.5773466948475132</v>
      </c>
      <c r="AZ40" s="66">
        <f t="shared" ref="AZ40" si="309">IF(AY41="T",IF(AZ39="KB",IF(AZ38&gt;2,AZ38-3,AZ38-1),AZ38+1),IF(AZ39="KT",IF(AZ38&lt;8,AZ38+2,IF(AZ38&gt;10,10,AZ38)),IF(AZ38&gt;=10,10,AZ38)))</f>
        <v>6.7717409839515934</v>
      </c>
      <c r="BA40" s="19">
        <f t="shared" ref="BA40" si="310">IF(AZ41="T",IF(BA39="KB",IF(BA38&gt;2,BA38-3,BA38-1),BA38+1),IF(BA39="KT",IF(BA38&lt;8,BA38+2,IF(BA38&gt;10,10,BA38)),IF(BA38&gt;=10,10,BA38)))</f>
        <v>6.965147011486529</v>
      </c>
      <c r="BB40" s="19">
        <f t="shared" ref="BB40" si="311">IF(BA41="T",IF(BB39="KB",IF(BB38&gt;2,BB38-3,BB38-1),BB38+1),IF(BB39="KT",IF(BB38&lt;8,BB38+2,IF(BB38&gt;10,10,BB38)),IF(BB38&gt;=10,10,BB38)))</f>
        <v>7.1575647788281795</v>
      </c>
      <c r="BC40" s="54">
        <f t="shared" ref="BC40" si="312">IF(BB41="T",IF(BC39="KB",IF(BC38&gt;2,BC38-3,BC38-1),BC38+1),IF(BC39="KT",IF(BC38&lt;8,BC38+2,IF(BC38&gt;10,10,BC38)),IF(BC38&gt;=10,10,BC38)))</f>
        <v>3.3489942852886152</v>
      </c>
      <c r="BD40" s="54">
        <f t="shared" ref="BD40" si="313">IF(BC41="T",IF(BD39="KB",IF(BD38&gt;2,BD38-3,BD38-1),BD38+1),IF(BD39="KT",IF(BD38&lt;8,BD38+2,IF(BD38&gt;10,10,BD38)),IF(BD38&gt;=10,10,BD38)))</f>
        <v>-0.46056446878819868</v>
      </c>
      <c r="BE40" s="54">
        <f t="shared" ref="BE40" si="314">IF(BD41="T",IF(BE39="KB",IF(BE38&gt;2,BE38-3,BE38-1),BE38+1),IF(BE39="KT",IF(BE38&lt;8,BE38+2,IF(BE38&gt;10,10,BE38)),IF(BE38&gt;=10,10,BE38)))</f>
        <v>-6.9423983574245007E-2</v>
      </c>
      <c r="BF40" s="54">
        <f t="shared" ref="BF40" si="315">IF(BE41="T",IF(BF39="KB",IF(BF38&gt;2,BF38-3,BF38-1),BF38+1),IF(BF39="KT",IF(BF38&lt;8,BF38+2,IF(BF38&gt;10,10,BF38)),IF(BF38&gt;=10,10,BF38)))</f>
        <v>0.3387322669333071</v>
      </c>
      <c r="BG40" s="25">
        <f t="shared" ref="BG40" si="316">IF(BF41="T",IF(BG39="KB",IF(BG38&gt;2,BG38-3,BG38-1),BG38+1),IF(BG39="KT",IF(BG38&lt;8,BG38+2,IF(BG38&gt;10,10,BG38)),IF(BG38&gt;=10,10,BG38)))</f>
        <v>0.74156893639970878</v>
      </c>
      <c r="BH40" s="25">
        <f t="shared" ref="BH40" si="317">IF(BG41="T",IF(BH39="KB",IF(BH38&gt;2,BH38-3,BH38-1),BH38+1),IF(BH39="KT",IF(BH38&lt;8,BH38+2,IF(BH38&gt;10,10,BH38)),IF(BH38&gt;=10,10,BH38)))</f>
        <v>1.1502536979923346</v>
      </c>
      <c r="BI40" s="25">
        <f t="shared" ref="BI40" si="318">IF(BH41="T",IF(BI39="KB",IF(BI38&gt;2,BI38-3,BI38-1),BI38+1),IF(BI39="KT",IF(BI38&lt;8,BI38+2,IF(BI38&gt;10,10,BI38)),IF(BI38&gt;=10,10,BI38)))</f>
        <v>1.3796231227515772</v>
      </c>
      <c r="BJ40" s="25">
        <f t="shared" ref="BJ40" si="319">IF(BI41="T",IF(BJ39="KB",IF(BJ38&gt;2,BJ38-3,BJ38-1),BJ38+1),IF(BJ39="KT",IF(BJ38&lt;8,BJ38+2,IF(BJ38&gt;10,10,BJ38)),IF(BJ38&gt;=10,10,BJ38)))</f>
        <v>1.6986502159275114</v>
      </c>
      <c r="BK40" s="25">
        <f t="shared" ref="BK40" si="320">IF(BJ41="T",IF(BK39="KB",IF(BK38&gt;2,BK38-3,BK38-1),BK38+1),IF(BK39="KT",IF(BK38&lt;8,BK38+2,IF(BK38&gt;10,10,BK38)),IF(BK38&gt;=10,10,BK38)))</f>
        <v>1.9728484748950998</v>
      </c>
      <c r="BL40" s="25">
        <f t="shared" ref="BL40" si="321">IF(BK41="T",IF(BL39="KB",IF(BL38&gt;2,BL38-3,BL38-1),BL38+1),IF(BL39="KT",IF(BL38&lt;8,BL38+2,IF(BL38&gt;10,10,BL38)),IF(BL38&gt;=10,10,BL38)))</f>
        <v>2.2694611509668614</v>
      </c>
      <c r="BM40" s="25">
        <f t="shared" ref="BM40" si="322">IF(BL41="T",IF(BM39="KB",IF(BM38&gt;2,BM38-3,BM38-1),BM38+1),IF(BM39="KT",IF(BM38&lt;8,BM38+2,IF(BM38&gt;10,10,BM38)),IF(BM38&gt;=10,10,BM38)))</f>
        <v>2.5548666184865367</v>
      </c>
      <c r="BN40" s="25">
        <f t="shared" ref="BN40" si="323">IF(BM41="T",IF(BN39="KB",IF(BN38&gt;2,BN38-3,BN38-1),BN38+1),IF(BN39="KT",IF(BN38&lt;8,BN38+2,IF(BN38&gt;10,10,BN38)),IF(BN38&gt;=10,10,BN38)))</f>
        <v>2.8458756902822553</v>
      </c>
      <c r="BO40" s="25">
        <f t="shared" ref="BO40" si="324">IF(BN41="T",IF(BO39="KB",IF(BO38&gt;2,BO38-3,BO38-1),BO38+1),IF(BO39="KT",IF(BO38&lt;8,BO38+2,IF(BO38&gt;10,10,BO38)),IF(BO38&gt;=10,10,BO38)))</f>
        <v>3.1340829599399522</v>
      </c>
      <c r="BP40" s="25">
        <f t="shared" ref="BP40" si="325">IF(BO41="T",IF(BP39="KB",IF(BP38&gt;2,BP38-3,BP38-1),BP38+1),IF(BP39="KT",IF(BP38&lt;8,BP38+2,IF(BP38&gt;10,10,BP38)),IF(BP38&gt;=10,10,BP38)))</f>
        <v>3.42369113066666</v>
      </c>
      <c r="BQ40" s="25">
        <f t="shared" ref="BQ40" si="326">IF(BP41="T",IF(BQ39="KB",IF(BQ38&gt;2,BQ38-3,BQ38-1),BQ38+1),IF(BQ39="KT",IF(BQ38&lt;8,BQ38+2,IF(BQ38&gt;10,10,BQ38)),IF(BQ38&gt;=10,10,BQ38)))</f>
        <v>3.7125988508588623</v>
      </c>
      <c r="BR40" s="25">
        <f t="shared" ref="BR40" si="327">IF(BQ41="T",IF(BR39="KB",IF(BR38&gt;2,BR38-3,BR38-1),BR38+1),IF(BR39="KT",IF(BR38&lt;8,BR38+2,IF(BR38&gt;10,10,BR38)),IF(BR38&gt;=10,10,BR38)))</f>
        <v>4.0018567963183171</v>
      </c>
      <c r="BS40" s="25">
        <f t="shared" ref="BS40" si="328">IF(BR41="T",IF(BS39="KB",IF(BS38&gt;2,BS38-3,BS38-1),BS38+1),IF(BS39="KT",IF(BS38&lt;8,BS38+2,IF(BS38&gt;10,10,BS38)),IF(BS38&gt;=10,10,BS38)))</f>
        <v>4.2909396291441446</v>
      </c>
      <c r="BT40" s="25">
        <f t="shared" ref="BT40" si="329">IF(BS41="T",IF(BT39="KB",IF(BT38&gt;2,BT38-3,BT38-1),BT38+1),IF(BT39="KT",IF(BT38&lt;8,BT38+2,IF(BT38&gt;10,10,BT38)),IF(BT38&gt;=10,10,BT38)))</f>
        <v>4.5801100182867858</v>
      </c>
      <c r="BU40" s="51">
        <f t="shared" ref="BU40" si="330">IF(BT41="T",IF(BU39="KB",IF(BU38&gt;2,BU38-3,BU38-1),BU38+1),IF(BU39="KT",IF(BU38&lt;8,BU38+2,IF(BU38&gt;10,10,BU38)),IF(BU38&gt;=10,10,BU38)))</f>
        <v>6.8692366292710201</v>
      </c>
      <c r="BV40" s="51">
        <f t="shared" ref="BV40" si="331">IF(BU41="T",IF(BV39="KB",IF(BV38&gt;2,BV38-3,BV38-1),BV38+1),IF(BV39="KT",IF(BV38&lt;8,BV38+2,IF(BV38&gt;10,10,BV38)),IF(BV38&gt;=10,10,BV38)))</f>
        <v>9.1583851293344587</v>
      </c>
      <c r="BW40" s="51">
        <f t="shared" ref="BW40" si="332">IF(BV41="T",IF(BW39="KB",IF(BW38&gt;2,BW38-3,BW38-1),BW38+1),IF(BW39="KT",IF(BW38&lt;8,BW38+2,IF(BW38&gt;10,10,BW38)),IF(BW38&gt;=10,10,BW38)))</f>
        <v>9.2458351848582971</v>
      </c>
      <c r="BX40" s="66">
        <f t="shared" ref="BX40" si="333">IF(BW41="T",IF(BX39="KB",IF(BX38&gt;2,BX38-3,BX38-1),BX38+1),IF(BX39="KT",IF(BX38&lt;8,BX38+2,IF(BX38&gt;10,10,BX38)),IF(BX38&gt;=10,10,BX38)))</f>
        <v>9.3199573793186037</v>
      </c>
      <c r="BY40" s="19">
        <f t="shared" ref="BY40" si="334">IF(BX41="T",IF(BY39="KB",IF(BY38&gt;2,BY38-3,BY38-1),BY38+1),IF(BY39="KT",IF(BY38&lt;8,BY38+2,IF(BY38&gt;10,10,BY38)),IF(BY38&gt;=10,10,BY38)))</f>
        <v>9.4007435043106753</v>
      </c>
      <c r="BZ40" s="19">
        <f t="shared" ref="BZ40" si="335">IF(BY41="T",IF(BZ39="KB",IF(BZ38&gt;2,BZ38-3,BZ38-1),BZ38+1),IF(BZ39="KT",IF(BZ38&lt;8,BZ38+2,IF(BZ38&gt;10,10,BZ38)),IF(BZ38&gt;=10,10,BZ38)))</f>
        <v>9.4781976640368644</v>
      </c>
      <c r="CA40" s="54">
        <f t="shared" ref="CA40" si="336">IF(BZ41="T",IF(CA39="KB",IF(CA38&gt;2,CA38-3,CA38-1),CA38+1),IF(CA39="KT",IF(CA38&lt;8,CA38+2,IF(CA38&gt;10,10,CA38)),IF(CA38&gt;=10,10,CA38)))</f>
        <v>5.5573178063959947</v>
      </c>
      <c r="CB40" s="54">
        <f t="shared" ref="CB40" si="337">IF(CA41="T",IF(CB39="KB",IF(CB38&gt;2,CB38-3,CB38-1),CB38+1),IF(CB39="KT",IF(CB38&lt;8,CB38+2,IF(CB38&gt;10,10,CB38)),IF(CB38&gt;=10,10,CB38)))</f>
        <v>1.6356049574386518</v>
      </c>
      <c r="CC40" s="54">
        <f t="shared" ref="CC40" si="338">IF(CB41="T",IF(CC39="KB",IF(CC38&gt;2,CC38-3,CC38-1),CC38+1),IF(CC39="KT",IF(CC38&lt;8,CC38+2,IF(CC38&gt;10,10,CC38)),IF(CC38&gt;=10,10,CC38)))</f>
        <v>1.915996104139545</v>
      </c>
      <c r="CD40" s="54">
        <f t="shared" ref="CD40" si="339">IF(CC41="T",IF(CD39="KB",IF(CD38&gt;2,CD38-3,CD38-1),CD38+1),IF(CD39="KT",IF(CD38&lt;8,CD38+2,IF(CD38&gt;10,10,CD38)),IF(CD38&gt;=10,10,CD38)))</f>
        <v>2.209512336344654</v>
      </c>
      <c r="CE40" s="25">
        <f t="shared" ref="CE40" si="340">IF(CD41="T",IF(CE39="KB",IF(CE38&gt;2,CE38-3,CE38-1),CE38+1),IF(CE39="KT",IF(CE38&lt;8,CE38+2,IF(CE38&gt;10,10,CE38)),IF(CE38&gt;=10,10,CE38)))</f>
        <v>2.4964660257976554</v>
      </c>
      <c r="CF40" s="25">
        <f t="shared" ref="CF40" si="341">IF(CE41="T",IF(CF39="KB",IF(CF38&gt;2,CF38-3,CF38-1),CF38+1),IF(CF39="KT",IF(CF38&lt;8,CF38+2,IF(CF38&gt;10,10,CF38)),IF(CF38&gt;=10,10,CF38)))</f>
        <v>2.7867009866267107</v>
      </c>
      <c r="CG40" s="25">
        <f t="shared" ref="CG40" si="342">IF(CF41="T",IF(CG39="KB",IF(CG38&gt;2,CG38-3,CG38-1),CG38+1),IF(CG39="KT",IF(CG38&lt;8,CG38+2,IF(CG38&gt;10,10,CG38)),IF(CG38&gt;=10,10,CG38)))</f>
        <v>3.0752953117677393</v>
      </c>
      <c r="CH40" s="25">
        <f t="shared" ref="CH40" si="343">IF(CG41="T",IF(CH39="KB",IF(CH38&gt;2,CH38-3,CH38-1),CH38+1),IF(CH39="KT",IF(CH38&lt;8,CH38+2,IF(CH38&gt;10,10,CH38)),IF(CH38&gt;=10,10,CH38)))</f>
        <v>3.3647099547527812</v>
      </c>
      <c r="CI40" s="25">
        <f t="shared" ref="CI40" si="344">IF(CH41="T",IF(CI39="KB",IF(CI38&gt;2,CI38-3,CI38-1),CI38+1),IF(CI39="KT",IF(CI38&lt;8,CI38+2,IF(CI38&gt;10,10,CI38)),IF(CI38&gt;=10,10,CI38)))</f>
        <v>3.6537144388158165</v>
      </c>
      <c r="CJ40" s="25">
        <f t="shared" ref="CJ40" si="345">IF(CI41="T",IF(CJ39="KB",IF(CJ38&gt;2,CJ38-3,CJ38-1),CJ38+1),IF(CJ39="KT",IF(CJ38&lt;8,CJ38+2,IF(CJ38&gt;10,10,CJ38)),IF(CJ38&gt;=10,10,CJ38)))</f>
        <v>3.9429240023398551</v>
      </c>
      <c r="CK40" s="25">
        <f t="shared" ref="CK40" si="346">IF(CJ41="T",IF(CK39="KB",IF(CK38&gt;2,CK38-3,CK38-1),CK38+1),IF(CK39="KT",IF(CK38&lt;8,CK38+2,IF(CK38&gt;10,10,CK38)),IF(CK38&gt;=10,10,CK38)))</f>
        <v>4.2320310261333907</v>
      </c>
      <c r="CL40" s="25">
        <f t="shared" ref="CL40" si="347">IF(CK41="T",IF(CL39="KB",IF(CL38&gt;2,CL38-3,CL38-1),CL38+1),IF(CL39="KT",IF(CL38&lt;8,CL38+2,IF(CL38&gt;10,10,CL38)),IF(CL38&gt;=10,10,CL38)))</f>
        <v>4.5211893197921773</v>
      </c>
      <c r="CM40" s="25">
        <f t="shared" ref="CM40" si="348">IF(CL41="T",IF(CM39="KB",IF(CM38&gt;2,CM38-3,CM38-1),CM38+1),IF(CM39="KT",IF(CM38&lt;8,CM38+2,IF(CM38&gt;10,10,CM38)),IF(CM38&gt;=10,10,CM38)))</f>
        <v>4.8103219785183384</v>
      </c>
      <c r="CN40" s="25">
        <f t="shared" ref="CN40" si="349">IF(CM41="T",IF(CN39="KB",IF(CN38&gt;2,CN38-3,CN38-1),CN38+1),IF(CN39="KT",IF(CN38&lt;8,CN38+2,IF(CN38&gt;10,10,CN38)),IF(CN38&gt;=10,10,CN38)))</f>
        <v>5.0994674547108128</v>
      </c>
      <c r="CO40" s="25">
        <f t="shared" ref="CO40" si="350">IF(CN41="T",IF(CO39="KB",IF(CO38&gt;2,CO38-3,CO38-1),CO38+1),IF(CO39="KT",IF(CO38&lt;8,CO38+2,IF(CO38&gt;10,10,CO38)),IF(CO38&gt;=10,10,CO38)))</f>
        <v>5.3886065221701305</v>
      </c>
      <c r="CP40" s="25">
        <f t="shared" ref="CP40" si="351">IF(CO41="T",IF(CP39="KB",IF(CP38&gt;2,CP38-3,CP38-1),CP38+1),IF(CP39="KT",IF(CP38&lt;8,CP38+2,IF(CP38&gt;10,10,CP38)),IF(CP38&gt;=10,10,CP38)))</f>
        <v>5.6777487939960265</v>
      </c>
      <c r="CQ40" s="25">
        <f t="shared" ref="CQ40" si="352">IF(CP41="T",IF(CQ39="KB",IF(CQ38&gt;2,CQ38-3,CQ38-1),CQ38+1),IF(CQ39="KT",IF(CQ38&lt;8,CQ38+2,IF(CQ38&gt;10,10,CQ38)),IF(CQ38&gt;=10,10,CQ38)))</f>
        <v>5.9668894636386334</v>
      </c>
      <c r="CR40" s="25">
        <f t="shared" ref="CR40" si="353">IF(CQ41="T",IF(CR39="KB",IF(CR38&gt;2,CR38-3,CR38-1),CR38+1),IF(CR39="KT",IF(CR38&lt;8,CR38+2,IF(CR38&gt;10,10,CR38)),IF(CR38&gt;=10,10,CR38)))</f>
        <v>6.2560309343728848</v>
      </c>
      <c r="CS40" s="51">
        <f t="shared" ref="CS40" si="354">IF(CR41="T",IF(CS39="KB",IF(CS38&gt;2,CS38-3,CS38-1),CS38+1),IF(CS39="KT",IF(CS38&lt;8,CS38+2,IF(CS38&gt;10,10,CS38)),IF(CS38&gt;=10,10,CS38)))</f>
        <v>8.545172004561314</v>
      </c>
      <c r="CT40" s="51">
        <f t="shared" ref="CT40" si="355">IF(CS41="T",IF(CT39="KB",IF(CT38&gt;2,CT38-3,CT38-1),CT38+1),IF(CT39="KT",IF(CT38&lt;8,CT38+2,IF(CT38&gt;10,10,CT38)),IF(CT38&gt;=10,10,CT38)))</f>
        <v>8.6326257750226532</v>
      </c>
      <c r="CU40" s="51">
        <f t="shared" ref="CU40" si="356">IF(CT41="T",IF(CU39="KB",IF(CU38&gt;2,CU38-3,CU38-1),CU38+1),IF(CU39="KT",IF(CU38&lt;8,CU38+2,IF(CU38&gt;10,10,CU38)),IF(CU38&gt;=10,10,CU38)))</f>
        <v>8.7067461120142049</v>
      </c>
      <c r="CV40" s="66">
        <f t="shared" ref="CV40" si="357">IF(CU41="T",IF(CV39="KB",IF(CV38&gt;2,CV38-3,CV38-1),CV38+1),IF(CV39="KT",IF(CV38&lt;8,CV38+2,IF(CV38&gt;10,10,CV38)),IF(CV38&gt;=10,10,CV38)))</f>
        <v>8.7875331657406512</v>
      </c>
      <c r="CW40" s="19">
        <f t="shared" ref="CW40" si="358">IF(CV41="T",IF(CW39="KB",IF(CW38&gt;2,CW38-3,CW38-1),CW38+1),IF(CW39="KT",IF(CW38&lt;8,CW38+2,IF(CW38&gt;10,10,CW38)),IF(CW38&gt;=10,10,CW38)))</f>
        <v>8.8649868610996521</v>
      </c>
      <c r="CX40" s="19">
        <f t="shared" ref="CX40" si="359">IF(CW41="T",IF(CX39="KB",IF(CX38&gt;2,CX38-3,CX38-1),CX38+1),IF(CX39="KT",IF(CX38&lt;8,CX38+2,IF(CX38&gt;10,10,CX38)),IF(CX38&gt;=10,10,CX38)))</f>
        <v>8.9441072356423774</v>
      </c>
      <c r="CY40" s="54">
        <f t="shared" ref="CY40" si="360">IF(CX41="T",IF(CY39="KB",IF(CY38&gt;2,CY38-3,CY38-1),CY38+1),IF(CY39="KT",IF(CY38&lt;8,CY38+2,IF(CY38&gt;10,10,CY38)),IF(CY38&gt;=10,10,CY38)))</f>
        <v>5.0223942705932405</v>
      </c>
      <c r="CZ40" s="54">
        <f t="shared" ref="CZ40" si="361">IF(CY41="T",IF(CZ39="KB",IF(CZ38&gt;2,CZ38-3,CZ38-1),CZ38+1),IF(CZ39="KT",IF(CZ38&lt;8,CZ38+2,IF(CZ38&gt;10,10,CZ38)),IF(CZ38&gt;=10,10,CZ38)))</f>
        <v>1.1010979753400312</v>
      </c>
      <c r="DA40" s="54">
        <f t="shared" ref="DA40" si="362">IF(CZ41="T",IF(DA39="KB",IF(DA38&gt;2,DA38-3,DA38-1),DA38+1),IF(DA39="KT",IF(DA38&lt;8,DA38+2,IF(DA38&gt;10,10,DA38)),IF(DA38&gt;=10,10,DA38)))</f>
        <v>1.3812808451888574</v>
      </c>
      <c r="DB40" s="54">
        <f t="shared" ref="DB40" si="363">IF(DA41="T",IF(DB39="KB",IF(DB38&gt;2,DB38-3,DB38-1),DB38+1),IF(DB39="KT",IF(DB38&lt;8,DB38+2,IF(DB38&gt;10,10,DB38)),IF(DB38&gt;=10,10,DB38)))</f>
        <v>1.6749012158199996</v>
      </c>
      <c r="DC40" s="25">
        <f t="shared" ref="DC40" si="364">IF(DB41="T",IF(DC39="KB",IF(DC38&gt;2,DC38-3,DC38-1),DC38+1),IF(DC39="KT",IF(DC38&lt;8,DC38+2,IF(DC38&gt;10,10,DC38)),IF(DC38&gt;=10,10,DC38)))</f>
        <v>1.961802836059984</v>
      </c>
      <c r="DD40" s="25">
        <f t="shared" ref="DD40" si="365">IF(DC41="T",IF(DD39="KB",IF(DD38&gt;2,DD38-3,DD38-1),DD38+1),IF(DD39="KT",IF(DD38&lt;8,DD38+2,IF(DD38&gt;10,10,DD38)),IF(DD38&gt;=10,10,DD38)))</f>
        <v>2.2520638314955472</v>
      </c>
      <c r="DE40" s="25">
        <f t="shared" ref="DE40" si="366">IF(DD41="T",IF(DE39="KB",IF(DE38&gt;2,DE38-3,DE38-1),DE38+1),IF(DE39="KT",IF(DE38&lt;8,DE38+2,IF(DE38&gt;10,10,DE38)),IF(DE38&gt;=10,10,DE38)))</f>
        <v>2.5406451393333214</v>
      </c>
      <c r="DF40" s="25">
        <f t="shared" ref="DF40" si="367">IF(DE41="T",IF(DF39="KB",IF(DF38&gt;2,DF38-3,DF38-1),DF38+1),IF(DF39="KT",IF(DF38&lt;8,DF38+2,IF(DF38&gt;10,10,DF38)),IF(DF38&gt;=10,10,DF38)))</f>
        <v>2.8300662909699903</v>
      </c>
      <c r="DG40" s="25">
        <f t="shared" ref="DG40" si="368">IF(DF41="T",IF(DG39="KB",IF(DG38&gt;2,DG38-3,DG38-1),DG38+1),IF(DG39="KT",IF(DG38&lt;8,DG38+2,IF(DG38&gt;10,10,DG38)),IF(DG38&gt;=10,10,DG38)))</f>
        <v>3.1190675207072118</v>
      </c>
      <c r="DH40" s="25">
        <f t="shared" ref="DH40" si="369">IF(DG41="T",IF(DH39="KB",IF(DH38&gt;2,DH38-3,DH38-1),DH38+1),IF(DH39="KT",IF(DH38&lt;8,DH38+2,IF(DH38&gt;10,10,DH38)),IF(DH38&gt;=10,10,DH38)))</f>
        <v>3.4082787113941571</v>
      </c>
      <c r="DI40" s="25">
        <f t="shared" ref="DI40" si="370">IF(DH41="T",IF(DI39="KB",IF(DI38&gt;2,DI38-3,DI38-1),DI38+1),IF(DI39="KT",IF(DI38&lt;8,DI38+2,IF(DI38&gt;10,10,DI38)),IF(DI38&gt;=10,10,DI38)))</f>
        <v>3.6973849216062407</v>
      </c>
      <c r="DJ40" s="25">
        <f t="shared" ref="DJ40" si="371">IF(DI41="T",IF(DJ39="KB",IF(DJ38&gt;2,DJ38-3,DJ38-1),DJ38+1),IF(DJ39="KT",IF(DJ38&lt;8,DJ38+2,IF(DJ38&gt;10,10,DJ38)),IF(DJ38&gt;=10,10,DJ38)))</f>
        <v>3.9865436220557551</v>
      </c>
      <c r="DK40" s="25">
        <f t="shared" ref="DK40" si="372">IF(DJ41="T",IF(DK39="KB",IF(DK38&gt;2,DK38-3,DK38-1),DK38+1),IF(DK39="KT",IF(DK38&lt;8,DK38+2,IF(DK38&gt;10,10,DK38)),IF(DK38&gt;=10,10,DK38)))</f>
        <v>4.275676077386553</v>
      </c>
      <c r="DL40" s="25">
        <f t="shared" ref="DL40" si="373">IF(DK41="T",IF(DL39="KB",IF(DL38&gt;2,DL38-3,DL38-1),DL38+1),IF(DL39="KT",IF(DL38&lt;8,DL38+2,IF(DL38&gt;10,10,DL38)),IF(DL38&gt;=10,10,DL38)))</f>
        <v>4.5648216552767087</v>
      </c>
      <c r="DM40" s="25">
        <f t="shared" ref="DM40" si="374">IF(DL41="T",IF(DM39="KB",IF(DM38&gt;2,DM38-3,DM38-1),DM38+1),IF(DM39="KT",IF(DM38&lt;8,DM38+2,IF(DM38&gt;10,10,DM38)),IF(DM38&gt;=10,10,DM38)))</f>
        <v>4.8539606718871857</v>
      </c>
      <c r="DN40" s="25">
        <f t="shared" ref="DN40" si="375">IF(DM41="T",IF(DN39="KB",IF(DN38&gt;2,DN38-3,DN38-1),DN38+1),IF(DN39="KT",IF(DN38&lt;8,DN38+2,IF(DN38&gt;10,10,DN38)),IF(DN38&gt;=10,10,DN38)))</f>
        <v>5.1431029691375016</v>
      </c>
      <c r="DO40" s="25">
        <f t="shared" ref="DO40" si="376">IF(DN41="T",IF(DO39="KB",IF(DO38&gt;2,DO38-3,DO38-1),DO38+1),IF(DO39="KT",IF(DO38&lt;8,DO38+2,IF(DO38&gt;10,10,DO38)),IF(DO38&gt;=10,10,DO38)))</f>
        <v>5.4322436260678986</v>
      </c>
      <c r="DP40" s="25">
        <f t="shared" ref="DP40" si="377">IF(DO41="T",IF(DP39="KB",IF(DP38&gt;2,DP38-3,DP38-1),DP38+1),IF(DP39="KT",IF(DP38&lt;8,DP38+2,IF(DP38&gt;10,10,DP38)),IF(DP38&gt;=10,10,DP38)))</f>
        <v>5.721385103158255</v>
      </c>
      <c r="DQ40" s="51">
        <f t="shared" ref="DQ40" si="378">IF(DP41="T",IF(DQ39="KB",IF(DQ38&gt;2,DQ38-3,DQ38-1),DQ38+1),IF(DQ39="KT",IF(DQ38&lt;8,DQ38+2,IF(DQ38&gt;10,10,DQ38)),IF(DQ38&gt;=10,10,DQ38)))</f>
        <v>8.0105261701686317</v>
      </c>
      <c r="DR40" s="51">
        <f t="shared" ref="DR40" si="379">IF(DQ41="T",IF(DR39="KB",IF(DR38&gt;2,DR38-3,DR38-1),DR38+1),IF(DR39="KT",IF(DR38&lt;8,DR38+2,IF(DR38&gt;10,10,DR38)),IF(DR38&gt;=10,10,DR38)))</f>
        <v>8.0979799422189984</v>
      </c>
      <c r="DS40" s="51">
        <f t="shared" ref="DS40" si="380">IF(DR41="T",IF(DS39="KB",IF(DS38&gt;2,DS38-3,DS38-1),DS38+1),IF(DS39="KT",IF(DS38&lt;8,DS38+2,IF(DS38&gt;10,10,DS38)),IF(DS38&gt;=10,10,DS38)))</f>
        <v>8.1721002784160355</v>
      </c>
      <c r="DT40" s="66">
        <f t="shared" ref="DT40" si="381">IF(DS41="T",IF(DT39="KB",IF(DT38&gt;2,DT38-3,DT38-1),DT38+1),IF(DT39="KT",IF(DT38&lt;8,DT38+2,IF(DT38&gt;10,10,DT38)),IF(DT38&gt;=10,10,DT38)))</f>
        <v>8.2528873325397374</v>
      </c>
    </row>
    <row r="41" spans="2:124" s="34" customFormat="1" ht="16" thickBot="1" x14ac:dyDescent="0.25">
      <c r="B41" s="32" t="s">
        <v>229</v>
      </c>
      <c r="C41" s="79" t="s">
        <v>33</v>
      </c>
      <c r="D41" s="150" t="s">
        <v>33</v>
      </c>
      <c r="E41" s="53" t="str">
        <f t="shared" ref="E41:N41" si="382">IF(D41="T",IF(E40&lt;0,"B",IF(E39="KB",IF(E40&lt;=2,"B","T"),"T")),IF(E39="KT",IF(D41="B",IF(E40&gt;=8,"T","B")),IF(D41="B",IF(E40&gt;=10,IF(E39="KT","T","B"),"B"))))</f>
        <v>T</v>
      </c>
      <c r="F41" s="53" t="str">
        <f t="shared" si="382"/>
        <v>T</v>
      </c>
      <c r="G41" s="53" t="str">
        <f t="shared" si="382"/>
        <v>T</v>
      </c>
      <c r="H41" s="53" t="str">
        <f t="shared" si="382"/>
        <v>B</v>
      </c>
      <c r="I41" s="53" t="str">
        <f t="shared" si="382"/>
        <v>B</v>
      </c>
      <c r="J41" s="53" t="str">
        <f t="shared" si="382"/>
        <v>B</v>
      </c>
      <c r="K41" s="53" t="str">
        <f t="shared" si="382"/>
        <v>B</v>
      </c>
      <c r="L41" s="53" t="str">
        <f t="shared" si="382"/>
        <v>B</v>
      </c>
      <c r="M41" s="53" t="str">
        <f t="shared" si="382"/>
        <v>B</v>
      </c>
      <c r="N41" s="53" t="str">
        <f t="shared" si="382"/>
        <v>B</v>
      </c>
      <c r="O41" s="53" t="str">
        <f>IF(N41="T",IF(O40&lt;0,"B",IF(O39="KB",IF(O40&lt;=2,"B","T"),"T")),IF(O39="KT",IF(N41="B",IF(O40&gt;=8,"T","B")),IF(N41="B",IF(O40&gt;=10,IF(O39="KT","T","B"),"B"))))</f>
        <v>B</v>
      </c>
      <c r="P41" s="53" t="str">
        <f t="shared" ref="P41:CA41" si="383">IF(O41="T",IF(P40&lt;0,"B",IF(P39="KB",IF(P40&lt;=2,"B","T"),"T")),IF(P39="KT",IF(O41="B",IF(P40&gt;=8,"T","B")),IF(O41="B",IF(P40&gt;=10,IF(P39="KT","T","B"),"B"))))</f>
        <v>B</v>
      </c>
      <c r="Q41" s="53" t="str">
        <f t="shared" si="383"/>
        <v>B</v>
      </c>
      <c r="R41" s="53" t="str">
        <f t="shared" si="383"/>
        <v>B</v>
      </c>
      <c r="S41" s="53" t="str">
        <f t="shared" si="383"/>
        <v>B</v>
      </c>
      <c r="T41" s="53" t="str">
        <f t="shared" si="383"/>
        <v>B</v>
      </c>
      <c r="U41" s="53" t="str">
        <f t="shared" si="383"/>
        <v>B</v>
      </c>
      <c r="V41" s="53" t="str">
        <f t="shared" ref="V41" si="384">IF(U41="T",IF(V40&lt;0,"B",IF(V39="KB",IF(V40&lt;=2,"B","T"),"T")),IF(V39="KT",IF(U41="B",IF(V40&gt;=8,"T","B")),IF(U41="B",IF(V40&gt;=10,IF(V39="KT","T","B"),"B"))))</f>
        <v>B</v>
      </c>
      <c r="W41" s="53" t="str">
        <f t="shared" ref="W41" si="385">IF(V41="T",IF(W40&lt;0,"B",IF(W39="KB",IF(W40&lt;=2,"B","T"),"T")),IF(W39="KT",IF(V41="B",IF(W40&gt;=8,"T","B")),IF(V41="B",IF(W40&gt;=10,IF(W39="KT","T","B"),"B"))))</f>
        <v>B</v>
      </c>
      <c r="X41" s="53" t="str">
        <f t="shared" ref="X41" si="386">IF(W41="T",IF(X40&lt;0,"B",IF(X39="KB",IF(X40&lt;=2,"B","T"),"T")),IF(X39="KT",IF(W41="B",IF(X40&gt;=8,"T","B")),IF(W41="B",IF(X40&gt;=10,IF(X39="KT","T","B"),"B"))))</f>
        <v>B</v>
      </c>
      <c r="Y41" s="53" t="str">
        <f t="shared" ref="Y41" si="387">IF(X41="T",IF(Y40&lt;0,"B",IF(Y39="KB",IF(Y40&lt;=2,"B","T"),"T")),IF(Y39="KT",IF(X41="B",IF(Y40&gt;=8,"T","B")),IF(X41="B",IF(Y40&gt;=10,IF(Y39="KT","T","B"),"B"))))</f>
        <v>B</v>
      </c>
      <c r="Z41" s="53" t="str">
        <f t="shared" ref="Z41" si="388">IF(Y41="T",IF(Z40&lt;0,"B",IF(Z39="KB",IF(Z40&lt;=2,"B","T"),"T")),IF(Z39="KT",IF(Y41="B",IF(Z40&gt;=8,"T","B")),IF(Y41="B",IF(Z40&gt;=10,IF(Z39="KT","T","B"),"B"))))</f>
        <v>T</v>
      </c>
      <c r="AA41" s="53" t="str">
        <f t="shared" ref="AA41" si="389">IF(Z41="T",IF(AA40&lt;0,"B",IF(AA39="KB",IF(AA40&lt;=2,"B","T"),"T")),IF(AA39="KT",IF(Z41="B",IF(AA40&gt;=8,"T","B")),IF(Z41="B",IF(AA40&gt;=10,IF(AA39="KT","T","B"),"B"))))</f>
        <v>T</v>
      </c>
      <c r="AB41" s="53" t="str">
        <f t="shared" ref="AB41" si="390">IF(AA41="T",IF(AB40&lt;0,"B",IF(AB39="KB",IF(AB40&lt;=2,"B","T"),"T")),IF(AB39="KT",IF(AA41="B",IF(AB40&gt;=8,"T","B")),IF(AA41="B",IF(AB40&gt;=10,IF(AB39="KT","T","B"),"B"))))</f>
        <v>T</v>
      </c>
      <c r="AC41" s="53" t="str">
        <f t="shared" ref="AC41" si="391">IF(AB41="T",IF(AC40&lt;0,"B",IF(AC39="KB",IF(AC40&lt;=2,"B","T"),"T")),IF(AC39="KT",IF(AB41="B",IF(AC40&gt;=8,"T","B")),IF(AB41="B",IF(AC40&gt;=10,IF(AC39="KT","T","B"),"B"))))</f>
        <v>T</v>
      </c>
      <c r="AD41" s="53" t="str">
        <f t="shared" ref="AD41" si="392">IF(AC41="T",IF(AD40&lt;0,"B",IF(AD39="KB",IF(AD40&lt;=2,"B","T"),"T")),IF(AD39="KT",IF(AC41="B",IF(AD40&gt;=8,"T","B")),IF(AC41="B",IF(AD40&gt;=10,IF(AD39="KT","T","B"),"B"))))</f>
        <v>T</v>
      </c>
      <c r="AE41" s="53" t="str">
        <f t="shared" ref="AE41" si="393">IF(AD41="T",IF(AE40&lt;0,"B",IF(AE39="KB",IF(AE40&lt;=2,"B","T"),"T")),IF(AE39="KT",IF(AD41="B",IF(AE40&gt;=8,"T","B")),IF(AD41="B",IF(AE40&gt;=10,IF(AE39="KT","T","B"),"B"))))</f>
        <v>T</v>
      </c>
      <c r="AF41" s="53" t="str">
        <f t="shared" ref="AF41" si="394">IF(AE41="T",IF(AF40&lt;0,"B",IF(AF39="KB",IF(AF40&lt;=2,"B","T"),"T")),IF(AF39="KT",IF(AE41="B",IF(AF40&gt;=8,"T","B")),IF(AE41="B",IF(AF40&gt;=10,IF(AF39="KT","T","B"),"B"))))</f>
        <v>T</v>
      </c>
      <c r="AG41" s="53" t="str">
        <f t="shared" ref="AG41" si="395">IF(AF41="T",IF(AG40&lt;0,"B",IF(AG39="KB",IF(AG40&lt;=2,"B","T"),"T")),IF(AG39="KT",IF(AF41="B",IF(AG40&gt;=8,"T","B")),IF(AF41="B",IF(AG40&gt;=10,IF(AG39="KT","T","B"),"B"))))</f>
        <v>T</v>
      </c>
      <c r="AH41" s="53" t="str">
        <f t="shared" ref="AH41" si="396">IF(AG41="T",IF(AH40&lt;0,"B",IF(AH39="KB",IF(AH40&lt;=2,"B","T"),"T")),IF(AH39="KT",IF(AG41="B",IF(AH40&gt;=8,"T","B")),IF(AG41="B",IF(AH40&gt;=10,IF(AH39="KT","T","B"),"B"))))</f>
        <v>T</v>
      </c>
      <c r="AI41" s="53" t="str">
        <f t="shared" si="383"/>
        <v>T</v>
      </c>
      <c r="AJ41" s="53" t="str">
        <f t="shared" si="383"/>
        <v>T</v>
      </c>
      <c r="AK41" s="53" t="str">
        <f t="shared" si="383"/>
        <v>T</v>
      </c>
      <c r="AL41" s="53" t="str">
        <f t="shared" si="383"/>
        <v>T</v>
      </c>
      <c r="AM41" s="53" t="str">
        <f t="shared" si="383"/>
        <v>T</v>
      </c>
      <c r="AN41" s="53" t="str">
        <f t="shared" si="383"/>
        <v>T</v>
      </c>
      <c r="AO41" s="53" t="str">
        <f t="shared" si="383"/>
        <v>T</v>
      </c>
      <c r="AP41" s="53" t="str">
        <f t="shared" si="383"/>
        <v>T</v>
      </c>
      <c r="AQ41" s="53" t="str">
        <f t="shared" si="383"/>
        <v>T</v>
      </c>
      <c r="AR41" s="53" t="str">
        <f t="shared" si="383"/>
        <v>T</v>
      </c>
      <c r="AS41" s="53" t="str">
        <f t="shared" si="383"/>
        <v>T</v>
      </c>
      <c r="AT41" s="53" t="str">
        <f t="shared" si="383"/>
        <v>T</v>
      </c>
      <c r="AU41" s="53" t="str">
        <f t="shared" si="383"/>
        <v>T</v>
      </c>
      <c r="AV41" s="53" t="str">
        <f t="shared" si="383"/>
        <v>T</v>
      </c>
      <c r="AW41" s="53" t="str">
        <f t="shared" si="383"/>
        <v>T</v>
      </c>
      <c r="AX41" s="53" t="str">
        <f t="shared" si="383"/>
        <v>T</v>
      </c>
      <c r="AY41" s="53" t="str">
        <f t="shared" si="383"/>
        <v>T</v>
      </c>
      <c r="AZ41" s="67" t="str">
        <f t="shared" si="383"/>
        <v>T</v>
      </c>
      <c r="BA41" s="53" t="str">
        <f t="shared" si="383"/>
        <v>T</v>
      </c>
      <c r="BB41" s="53" t="str">
        <f t="shared" si="383"/>
        <v>T</v>
      </c>
      <c r="BC41" s="53" t="str">
        <f t="shared" si="383"/>
        <v>T</v>
      </c>
      <c r="BD41" s="53" t="str">
        <f t="shared" si="383"/>
        <v>B</v>
      </c>
      <c r="BE41" s="53" t="str">
        <f t="shared" si="383"/>
        <v>B</v>
      </c>
      <c r="BF41" s="53" t="str">
        <f t="shared" si="383"/>
        <v>B</v>
      </c>
      <c r="BG41" s="53" t="str">
        <f t="shared" si="383"/>
        <v>B</v>
      </c>
      <c r="BH41" s="53" t="str">
        <f t="shared" si="383"/>
        <v>B</v>
      </c>
      <c r="BI41" s="53" t="str">
        <f t="shared" si="383"/>
        <v>B</v>
      </c>
      <c r="BJ41" s="53" t="str">
        <f t="shared" si="383"/>
        <v>B</v>
      </c>
      <c r="BK41" s="53" t="str">
        <f t="shared" si="383"/>
        <v>B</v>
      </c>
      <c r="BL41" s="53" t="str">
        <f t="shared" si="383"/>
        <v>B</v>
      </c>
      <c r="BM41" s="53" t="str">
        <f t="shared" si="383"/>
        <v>B</v>
      </c>
      <c r="BN41" s="53" t="str">
        <f t="shared" si="383"/>
        <v>B</v>
      </c>
      <c r="BO41" s="53" t="str">
        <f t="shared" si="383"/>
        <v>B</v>
      </c>
      <c r="BP41" s="53" t="str">
        <f t="shared" si="383"/>
        <v>B</v>
      </c>
      <c r="BQ41" s="53" t="str">
        <f t="shared" si="383"/>
        <v>B</v>
      </c>
      <c r="BR41" s="53" t="str">
        <f t="shared" si="383"/>
        <v>B</v>
      </c>
      <c r="BS41" s="53" t="str">
        <f t="shared" si="383"/>
        <v>B</v>
      </c>
      <c r="BT41" s="53" t="str">
        <f t="shared" si="383"/>
        <v>B</v>
      </c>
      <c r="BU41" s="53" t="str">
        <f t="shared" si="383"/>
        <v>B</v>
      </c>
      <c r="BV41" s="53" t="str">
        <f t="shared" si="383"/>
        <v>T</v>
      </c>
      <c r="BW41" s="53" t="str">
        <f t="shared" si="383"/>
        <v>T</v>
      </c>
      <c r="BX41" s="67" t="str">
        <f t="shared" si="383"/>
        <v>T</v>
      </c>
      <c r="BY41" s="53" t="str">
        <f t="shared" si="383"/>
        <v>T</v>
      </c>
      <c r="BZ41" s="53" t="str">
        <f t="shared" si="383"/>
        <v>T</v>
      </c>
      <c r="CA41" s="53" t="str">
        <f t="shared" si="383"/>
        <v>T</v>
      </c>
      <c r="CB41" s="53" t="str">
        <f t="shared" ref="CB41:DT41" si="397">IF(CA41="T",IF(CB40&lt;0,"B",IF(CB39="KB",IF(CB40&lt;=2,"B","T"),"T")),IF(CB39="KT",IF(CA41="B",IF(CB40&gt;=8,"T","B")),IF(CA41="B",IF(CB40&gt;=10,IF(CB39="KT","T","B"),"B"))))</f>
        <v>B</v>
      </c>
      <c r="CC41" s="53" t="str">
        <f t="shared" si="397"/>
        <v>B</v>
      </c>
      <c r="CD41" s="53" t="str">
        <f t="shared" si="397"/>
        <v>B</v>
      </c>
      <c r="CE41" s="53" t="str">
        <f t="shared" si="397"/>
        <v>B</v>
      </c>
      <c r="CF41" s="53" t="str">
        <f t="shared" si="397"/>
        <v>B</v>
      </c>
      <c r="CG41" s="53" t="str">
        <f t="shared" si="397"/>
        <v>B</v>
      </c>
      <c r="CH41" s="53" t="str">
        <f t="shared" si="397"/>
        <v>B</v>
      </c>
      <c r="CI41" s="53" t="str">
        <f t="shared" si="397"/>
        <v>B</v>
      </c>
      <c r="CJ41" s="53" t="str">
        <f t="shared" si="397"/>
        <v>B</v>
      </c>
      <c r="CK41" s="53" t="str">
        <f t="shared" si="397"/>
        <v>B</v>
      </c>
      <c r="CL41" s="53" t="str">
        <f t="shared" si="397"/>
        <v>B</v>
      </c>
      <c r="CM41" s="53" t="str">
        <f t="shared" si="397"/>
        <v>B</v>
      </c>
      <c r="CN41" s="53" t="str">
        <f t="shared" si="397"/>
        <v>B</v>
      </c>
      <c r="CO41" s="53" t="str">
        <f t="shared" si="397"/>
        <v>B</v>
      </c>
      <c r="CP41" s="53" t="str">
        <f t="shared" si="397"/>
        <v>B</v>
      </c>
      <c r="CQ41" s="53" t="str">
        <f t="shared" si="397"/>
        <v>B</v>
      </c>
      <c r="CR41" s="53" t="str">
        <f t="shared" si="397"/>
        <v>B</v>
      </c>
      <c r="CS41" s="53" t="str">
        <f t="shared" si="397"/>
        <v>T</v>
      </c>
      <c r="CT41" s="53" t="str">
        <f t="shared" si="397"/>
        <v>T</v>
      </c>
      <c r="CU41" s="53" t="str">
        <f t="shared" si="397"/>
        <v>T</v>
      </c>
      <c r="CV41" s="67" t="str">
        <f t="shared" si="397"/>
        <v>T</v>
      </c>
      <c r="CW41" s="53" t="str">
        <f t="shared" si="397"/>
        <v>T</v>
      </c>
      <c r="CX41" s="53" t="str">
        <f t="shared" si="397"/>
        <v>T</v>
      </c>
      <c r="CY41" s="53" t="str">
        <f t="shared" si="397"/>
        <v>T</v>
      </c>
      <c r="CZ41" s="53" t="str">
        <f t="shared" si="397"/>
        <v>B</v>
      </c>
      <c r="DA41" s="53" t="str">
        <f t="shared" si="397"/>
        <v>B</v>
      </c>
      <c r="DB41" s="53" t="str">
        <f t="shared" si="397"/>
        <v>B</v>
      </c>
      <c r="DC41" s="53" t="str">
        <f t="shared" si="397"/>
        <v>B</v>
      </c>
      <c r="DD41" s="53" t="str">
        <f t="shared" si="397"/>
        <v>B</v>
      </c>
      <c r="DE41" s="53" t="str">
        <f t="shared" si="397"/>
        <v>B</v>
      </c>
      <c r="DF41" s="53" t="str">
        <f t="shared" si="397"/>
        <v>B</v>
      </c>
      <c r="DG41" s="53" t="str">
        <f t="shared" si="397"/>
        <v>B</v>
      </c>
      <c r="DH41" s="53" t="str">
        <f t="shared" si="397"/>
        <v>B</v>
      </c>
      <c r="DI41" s="53" t="str">
        <f t="shared" si="397"/>
        <v>B</v>
      </c>
      <c r="DJ41" s="53" t="str">
        <f t="shared" si="397"/>
        <v>B</v>
      </c>
      <c r="DK41" s="53" t="str">
        <f t="shared" si="397"/>
        <v>B</v>
      </c>
      <c r="DL41" s="53" t="str">
        <f t="shared" si="397"/>
        <v>B</v>
      </c>
      <c r="DM41" s="53" t="str">
        <f t="shared" si="397"/>
        <v>B</v>
      </c>
      <c r="DN41" s="53" t="str">
        <f t="shared" si="397"/>
        <v>B</v>
      </c>
      <c r="DO41" s="53" t="str">
        <f t="shared" si="397"/>
        <v>B</v>
      </c>
      <c r="DP41" s="53" t="str">
        <f t="shared" si="397"/>
        <v>B</v>
      </c>
      <c r="DQ41" s="53" t="str">
        <f t="shared" si="397"/>
        <v>T</v>
      </c>
      <c r="DR41" s="53" t="str">
        <f t="shared" si="397"/>
        <v>T</v>
      </c>
      <c r="DS41" s="53" t="str">
        <f t="shared" si="397"/>
        <v>T</v>
      </c>
      <c r="DT41" s="53" t="str">
        <f t="shared" si="397"/>
        <v>T</v>
      </c>
    </row>
    <row r="42" spans="2:124" x14ac:dyDescent="0.2">
      <c r="E42" s="193" t="s">
        <v>66</v>
      </c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5"/>
      <c r="AC42" s="196" t="s">
        <v>67</v>
      </c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8"/>
      <c r="BA42" s="193" t="s">
        <v>68</v>
      </c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  <c r="BW42" s="194"/>
      <c r="BX42" s="195"/>
      <c r="BY42" s="196" t="s">
        <v>69</v>
      </c>
      <c r="BZ42" s="197"/>
      <c r="CA42" s="197"/>
      <c r="CB42" s="197"/>
      <c r="CC42" s="197"/>
      <c r="CD42" s="197"/>
      <c r="CE42" s="197"/>
      <c r="CF42" s="197"/>
      <c r="CG42" s="197"/>
      <c r="CH42" s="197"/>
      <c r="CI42" s="197"/>
      <c r="CJ42" s="197"/>
      <c r="CK42" s="197"/>
      <c r="CL42" s="197"/>
      <c r="CM42" s="197"/>
      <c r="CN42" s="197"/>
      <c r="CO42" s="197"/>
      <c r="CP42" s="197"/>
      <c r="CQ42" s="197"/>
      <c r="CR42" s="197"/>
      <c r="CS42" s="197"/>
      <c r="CT42" s="197"/>
      <c r="CU42" s="197"/>
      <c r="CV42" s="198"/>
      <c r="CW42" s="193" t="s">
        <v>70</v>
      </c>
      <c r="CX42" s="194"/>
      <c r="CY42" s="194"/>
      <c r="CZ42" s="194"/>
      <c r="DA42" s="194"/>
      <c r="DB42" s="194"/>
      <c r="DC42" s="194"/>
      <c r="DD42" s="194"/>
      <c r="DE42" s="194"/>
      <c r="DF42" s="194"/>
      <c r="DG42" s="194"/>
      <c r="DH42" s="194"/>
      <c r="DI42" s="194"/>
      <c r="DJ42" s="194"/>
      <c r="DK42" s="194"/>
      <c r="DL42" s="194"/>
      <c r="DM42" s="194"/>
      <c r="DN42" s="194"/>
      <c r="DO42" s="194"/>
      <c r="DP42" s="194"/>
      <c r="DQ42" s="194"/>
      <c r="DR42" s="194"/>
      <c r="DS42" s="194"/>
      <c r="DT42" s="195"/>
    </row>
    <row r="43" spans="2:124" x14ac:dyDescent="0.2">
      <c r="B43" s="5" t="s">
        <v>235</v>
      </c>
      <c r="E43" s="23">
        <v>4.1666666666666664E-2</v>
      </c>
      <c r="F43" s="24">
        <v>8.3333333333333301E-2</v>
      </c>
      <c r="G43" s="24">
        <v>0.125</v>
      </c>
      <c r="H43" s="24">
        <v>0.16666666666666699</v>
      </c>
      <c r="I43" s="24">
        <v>0.20833333333333301</v>
      </c>
      <c r="J43" s="24">
        <v>0.25</v>
      </c>
      <c r="K43" s="24">
        <v>0.29166666666666702</v>
      </c>
      <c r="L43" s="24">
        <v>0.33333333333333298</v>
      </c>
      <c r="M43" s="24">
        <v>0.375</v>
      </c>
      <c r="N43" s="24">
        <v>0.41666666666666702</v>
      </c>
      <c r="O43" s="24">
        <v>0.45833333333333298</v>
      </c>
      <c r="P43" s="24">
        <v>0.5</v>
      </c>
      <c r="Q43" s="24">
        <v>0.54166666666666696</v>
      </c>
      <c r="R43" s="24">
        <v>0.58333333333333304</v>
      </c>
      <c r="S43" s="24">
        <v>0.625</v>
      </c>
      <c r="T43" s="24">
        <v>0.66666666666666696</v>
      </c>
      <c r="U43" s="24">
        <v>0.70833333333333304</v>
      </c>
      <c r="V43" s="24">
        <v>0.75</v>
      </c>
      <c r="W43" s="24">
        <v>0.79166666666666696</v>
      </c>
      <c r="X43" s="24">
        <v>0.83333333333333304</v>
      </c>
      <c r="Y43" s="24">
        <v>0.875</v>
      </c>
      <c r="Z43" s="24">
        <v>0.91666666666666696</v>
      </c>
      <c r="AA43" s="24">
        <v>0.95833333333333404</v>
      </c>
      <c r="AB43" s="59">
        <v>1</v>
      </c>
      <c r="AC43" s="23">
        <v>1.0416666666666701</v>
      </c>
      <c r="AD43" s="24">
        <v>1.0833333333333299</v>
      </c>
      <c r="AE43" s="24">
        <v>0.125</v>
      </c>
      <c r="AF43" s="24">
        <v>0.16666666666666699</v>
      </c>
      <c r="AG43" s="24">
        <v>0.20833333333333301</v>
      </c>
      <c r="AH43" s="24">
        <v>0.25</v>
      </c>
      <c r="AI43" s="24">
        <v>0.29166666666666702</v>
      </c>
      <c r="AJ43" s="24">
        <v>0.33333333333333298</v>
      </c>
      <c r="AK43" s="24">
        <v>0.375</v>
      </c>
      <c r="AL43" s="24">
        <v>0.41666666666666702</v>
      </c>
      <c r="AM43" s="24">
        <v>0.45833333333333298</v>
      </c>
      <c r="AN43" s="24">
        <v>0.5</v>
      </c>
      <c r="AO43" s="24">
        <v>0.54166666666666696</v>
      </c>
      <c r="AP43" s="24">
        <v>0.58333333333333304</v>
      </c>
      <c r="AQ43" s="24">
        <v>0.625</v>
      </c>
      <c r="AR43" s="24">
        <v>0.66666666666666696</v>
      </c>
      <c r="AS43" s="24">
        <v>0.70833333333333304</v>
      </c>
      <c r="AT43" s="24">
        <v>0.75</v>
      </c>
      <c r="AU43" s="24">
        <v>0.79166666666666696</v>
      </c>
      <c r="AV43" s="24">
        <v>0.83333333333333304</v>
      </c>
      <c r="AW43" s="24">
        <v>0.875</v>
      </c>
      <c r="AX43" s="24">
        <v>0.91666666666666696</v>
      </c>
      <c r="AY43" s="24">
        <v>0.95833333333333404</v>
      </c>
      <c r="AZ43" s="59">
        <v>1</v>
      </c>
      <c r="BA43" s="23">
        <v>1.0416666666666701</v>
      </c>
      <c r="BB43" s="24">
        <v>1.0833333333333299</v>
      </c>
      <c r="BC43" s="24">
        <v>0.125</v>
      </c>
      <c r="BD43" s="24">
        <v>0.16666666666666699</v>
      </c>
      <c r="BE43" s="24">
        <v>0.20833333333333301</v>
      </c>
      <c r="BF43" s="24">
        <v>0.25</v>
      </c>
      <c r="BG43" s="24">
        <v>0.29166666666666702</v>
      </c>
      <c r="BH43" s="24">
        <v>0.33333333333333298</v>
      </c>
      <c r="BI43" s="24">
        <v>0.375</v>
      </c>
      <c r="BJ43" s="24">
        <v>0.41666666666666702</v>
      </c>
      <c r="BK43" s="24">
        <v>0.45833333333333298</v>
      </c>
      <c r="BL43" s="24">
        <v>0.5</v>
      </c>
      <c r="BM43" s="24">
        <v>0.54166666666666696</v>
      </c>
      <c r="BN43" s="24">
        <v>0.58333333333333304</v>
      </c>
      <c r="BO43" s="24">
        <v>0.625</v>
      </c>
      <c r="BP43" s="24">
        <v>0.66666666666666696</v>
      </c>
      <c r="BQ43" s="24">
        <v>0.70833333333333304</v>
      </c>
      <c r="BR43" s="24">
        <v>0.75</v>
      </c>
      <c r="BS43" s="24">
        <v>0.79166666666666696</v>
      </c>
      <c r="BT43" s="24">
        <v>0.83333333333333304</v>
      </c>
      <c r="BU43" s="24">
        <v>0.875</v>
      </c>
      <c r="BV43" s="24">
        <v>0.91666666666666696</v>
      </c>
      <c r="BW43" s="24">
        <v>0.95833333333333404</v>
      </c>
      <c r="BX43" s="59">
        <v>1</v>
      </c>
      <c r="BY43" s="23">
        <v>1.0416666666666701</v>
      </c>
      <c r="BZ43" s="24">
        <v>1.0833333333333299</v>
      </c>
      <c r="CA43" s="24">
        <v>0.125</v>
      </c>
      <c r="CB43" s="24">
        <v>0.16666666666666699</v>
      </c>
      <c r="CC43" s="24">
        <v>0.20833333333333301</v>
      </c>
      <c r="CD43" s="24">
        <v>0.25</v>
      </c>
      <c r="CE43" s="24">
        <v>0.29166666666666702</v>
      </c>
      <c r="CF43" s="24">
        <v>0.33333333333333298</v>
      </c>
      <c r="CG43" s="24">
        <v>0.375</v>
      </c>
      <c r="CH43" s="24">
        <v>0.41666666666666702</v>
      </c>
      <c r="CI43" s="24">
        <v>0.45833333333333298</v>
      </c>
      <c r="CJ43" s="24">
        <v>0.5</v>
      </c>
      <c r="CK43" s="24">
        <v>0.54166666666666696</v>
      </c>
      <c r="CL43" s="24">
        <v>0.58333333333333304</v>
      </c>
      <c r="CM43" s="24">
        <v>0.625</v>
      </c>
      <c r="CN43" s="24">
        <v>0.66666666666666696</v>
      </c>
      <c r="CO43" s="24">
        <v>0.70833333333333304</v>
      </c>
      <c r="CP43" s="24">
        <v>0.75</v>
      </c>
      <c r="CQ43" s="24">
        <v>0.79166666666666696</v>
      </c>
      <c r="CR43" s="24">
        <v>0.83333333333333304</v>
      </c>
      <c r="CS43" s="24">
        <v>0.875</v>
      </c>
      <c r="CT43" s="24">
        <v>0.91666666666666696</v>
      </c>
      <c r="CU43" s="24">
        <v>0.95833333333333404</v>
      </c>
      <c r="CV43" s="59">
        <v>1</v>
      </c>
      <c r="CW43" s="23">
        <v>1.0416666666666701</v>
      </c>
      <c r="CX43" s="24">
        <v>1.0833333333333299</v>
      </c>
      <c r="CY43" s="24">
        <v>0.125</v>
      </c>
      <c r="CZ43" s="24">
        <v>0.16666666666666699</v>
      </c>
      <c r="DA43" s="24">
        <v>0.20833333333333301</v>
      </c>
      <c r="DB43" s="24">
        <v>0.25</v>
      </c>
      <c r="DC43" s="24">
        <v>0.29166666666666702</v>
      </c>
      <c r="DD43" s="24">
        <v>0.33333333333333298</v>
      </c>
      <c r="DE43" s="24">
        <v>0.375</v>
      </c>
      <c r="DF43" s="24">
        <v>0.41666666666666702</v>
      </c>
      <c r="DG43" s="24">
        <v>0.45833333333333298</v>
      </c>
      <c r="DH43" s="24">
        <v>0.5</v>
      </c>
      <c r="DI43" s="24">
        <v>0.54166666666666696</v>
      </c>
      <c r="DJ43" s="24">
        <v>0.58333333333333304</v>
      </c>
      <c r="DK43" s="24">
        <v>0.625</v>
      </c>
      <c r="DL43" s="24">
        <v>0.66666666666666696</v>
      </c>
      <c r="DM43" s="24">
        <v>0.70833333333333304</v>
      </c>
      <c r="DN43" s="24">
        <v>0.75</v>
      </c>
      <c r="DO43" s="24">
        <v>0.79166666666666696</v>
      </c>
      <c r="DP43" s="24">
        <v>0.83333333333333304</v>
      </c>
      <c r="DQ43" s="24">
        <v>0.875</v>
      </c>
      <c r="DR43" s="24">
        <v>0.91666666666666696</v>
      </c>
      <c r="DS43" s="24">
        <v>0.95833333333333404</v>
      </c>
      <c r="DT43" s="24">
        <v>1</v>
      </c>
    </row>
    <row r="44" spans="2:124" x14ac:dyDescent="0.2">
      <c r="B44" s="5" t="s">
        <v>78</v>
      </c>
      <c r="D44" s="143">
        <f>D51*5%</f>
        <v>44.158000000000001</v>
      </c>
      <c r="E44" s="19">
        <f>IF(D51=0,D44,IF(D51&gt;0,D51*5%,IF(D44&gt;0,D44,C44)))</f>
        <v>44.158000000000001</v>
      </c>
      <c r="F44" s="19">
        <f t="shared" ref="F44" si="398">IF(E51=0,E44,IF(E51&gt;0,E51*5%,IF(E44&gt;0,E44,D44)))</f>
        <v>44.158000000000001</v>
      </c>
      <c r="G44" s="19">
        <f t="shared" ref="G44" si="399">IF(F51=0,F44,IF(F51&gt;0,F51*5%,IF(F44&gt;0,F44,E44)))</f>
        <v>44.158000000000001</v>
      </c>
      <c r="H44" s="19">
        <f t="shared" ref="H44" si="400">IF(G51=0,G44,IF(G51&gt;0,G51*5%,IF(G44&gt;0,G44,F44)))</f>
        <v>44.158000000000001</v>
      </c>
      <c r="I44" s="19">
        <f t="shared" ref="I44" si="401">IF(H51=0,H44,IF(H51&gt;0,H51*5%,IF(H44&gt;0,H44,G44)))</f>
        <v>44.158000000000001</v>
      </c>
      <c r="J44" s="19">
        <f t="shared" ref="J44" si="402">IF(I51=0,I44,IF(I51&gt;0,I51*5%,IF(I44&gt;0,I44,H44)))</f>
        <v>44.158000000000001</v>
      </c>
      <c r="K44" s="19">
        <f t="shared" ref="K44" si="403">IF(J51=0,J44,IF(J51&gt;0,J51*5%,IF(J44&gt;0,J44,I44)))</f>
        <v>44.158000000000001</v>
      </c>
      <c r="L44" s="19">
        <f t="shared" ref="L44" si="404">IF(K51=0,K44,IF(K51&gt;0,K51*5%,IF(K44&gt;0,K44,J44)))</f>
        <v>44.158000000000001</v>
      </c>
      <c r="M44" s="19">
        <f t="shared" ref="M44" si="405">IF(L51=0,L44,IF(L51&gt;0,L51*5%,IF(L44&gt;0,L44,K44)))</f>
        <v>46.284675000000085</v>
      </c>
      <c r="N44" s="19">
        <f t="shared" ref="N44" si="406">IF(M51=0,M44,IF(M51&gt;0,M51*5%,IF(M44&gt;0,M44,L44)))</f>
        <v>46.284675000000085</v>
      </c>
      <c r="O44" s="19">
        <f t="shared" ref="O44" si="407">IF(N51=0,N44,IF(N51&gt;0,N51*5%,IF(N44&gt;0,N44,M44)))</f>
        <v>46.284675000000085</v>
      </c>
      <c r="P44" s="19">
        <f t="shared" ref="P44" si="408">IF(O51=0,O44,IF(O51&gt;0,O51*5%,IF(O44&gt;0,O44,N44)))</f>
        <v>46.284675000000085</v>
      </c>
      <c r="Q44" s="19">
        <f t="shared" ref="Q44" si="409">IF(P51=0,P44,IF(P51&gt;0,P51*5%,IF(P44&gt;0,P44,O44)))</f>
        <v>46.841814999999997</v>
      </c>
      <c r="R44" s="200">
        <f t="shared" ref="R44" si="410">IF(Q51=0,Q44,IF(Q51&gt;0,Q51*5%,IF(Q44&gt;0,Q44,P44)))</f>
        <v>46.841814999999997</v>
      </c>
      <c r="S44" s="25">
        <f t="shared" ref="S44" si="411">IF(R51=0,R44,IF(R51&gt;0,R51*5%,IF(R44&gt;0,R44,Q44)))</f>
        <v>46.841814999999997</v>
      </c>
      <c r="T44" s="25">
        <f t="shared" ref="T44" si="412">IF(S51=0,S44,IF(S51&gt;0,S51*5%,IF(S44&gt;0,S44,R44)))</f>
        <v>46.841814999999997</v>
      </c>
      <c r="U44" s="25">
        <f t="shared" ref="U44" si="413">IF(T51=0,T44,IF(T51&gt;0,T51*5%,IF(T44&gt;0,T44,S44)))</f>
        <v>46.841814999999997</v>
      </c>
      <c r="V44" s="25">
        <f t="shared" ref="V44" si="414">IF(U51=0,U44,IF(U51&gt;0,U51*5%,IF(U44&gt;0,U44,T44)))</f>
        <v>46.841814999999997</v>
      </c>
      <c r="W44" s="25">
        <f t="shared" ref="W44" si="415">IF(V51=0,V44,IF(V51&gt;0,V51*5%,IF(V44&gt;0,V44,U44)))</f>
        <v>74.076205500000043</v>
      </c>
      <c r="X44" s="25">
        <f t="shared" ref="X44" si="416">IF(W51=0,W44,IF(W51&gt;0,W51*5%,IF(W44&gt;0,W44,V44)))</f>
        <v>74.076205500000043</v>
      </c>
      <c r="Y44" s="25">
        <f t="shared" ref="Y44" si="417">IF(X51=0,X44,IF(X51&gt;0,X51*5%,IF(X44&gt;0,X44,W44)))</f>
        <v>74.076205500000043</v>
      </c>
      <c r="Z44" s="25">
        <f t="shared" ref="Z44" si="418">IF(Y51=0,Y44,IF(Y51&gt;0,Y51*5%,IF(Y44&gt;0,Y44,X44)))</f>
        <v>74.076205500000043</v>
      </c>
      <c r="AA44" s="25">
        <f t="shared" ref="AA44" si="419">IF(Z51=0,Z44,IF(Z51&gt;0,Z51*5%,IF(Z44&gt;0,Z44,Y44)))</f>
        <v>74.076205500000043</v>
      </c>
      <c r="AB44" s="57">
        <f t="shared" ref="AB44" si="420">IF(AA51=0,AA44,IF(AA51&gt;0,AA51*5%,IF(AA44&gt;0,AA44,Z44)))</f>
        <v>74.076205500000043</v>
      </c>
      <c r="AC44" s="19">
        <f t="shared" ref="AC44" si="421">IF(AB51=0,AB44,IF(AB51&gt;0,AB51*5%,IF(AB44&gt;0,AB44,AA44)))</f>
        <v>74.076205500000043</v>
      </c>
      <c r="AD44" s="25">
        <f t="shared" ref="AD44" si="422">IF(AC51=0,AC44,IF(AC51&gt;0,AC51*5%,IF(AC44&gt;0,AC44,AB44)))</f>
        <v>74.076205500000043</v>
      </c>
      <c r="AE44" s="25">
        <f t="shared" ref="AE44" si="423">IF(AD51=0,AD44,IF(AD51&gt;0,AD51*5%,IF(AD44&gt;0,AD44,AC44)))</f>
        <v>74.076205500000043</v>
      </c>
      <c r="AF44" s="25">
        <f t="shared" ref="AF44" si="424">IF(AE51=0,AE44,IF(AE51&gt;0,AE51*5%,IF(AE44&gt;0,AE44,AD44)))</f>
        <v>74.076205500000043</v>
      </c>
      <c r="AG44" s="25">
        <f t="shared" ref="AG44" si="425">IF(AF51=0,AF44,IF(AF51&gt;0,AF51*5%,IF(AF44&gt;0,AF44,AE44)))</f>
        <v>74.076205500000043</v>
      </c>
      <c r="AH44" s="25">
        <f t="shared" ref="AH44" si="426">IF(AG51=0,AG44,IF(AG51&gt;0,AG51*5%,IF(AG44&gt;0,AG44,AF44)))</f>
        <v>74.076205500000043</v>
      </c>
      <c r="AI44" s="25">
        <f t="shared" ref="AI44" si="427">IF(AH51=0,AH44,IF(AH51&gt;0,AH51*5%,IF(AH44&gt;0,AH44,AG44)))</f>
        <v>74.076205500000043</v>
      </c>
      <c r="AJ44" s="25">
        <f t="shared" ref="AJ44" si="428">IF(AI51=0,AI44,IF(AI51&gt;0,AI51*5%,IF(AI44&gt;0,AI44,AH44)))</f>
        <v>74.076205500000043</v>
      </c>
      <c r="AK44" s="25">
        <f t="shared" ref="AK44" si="429">IF(AJ51=0,AJ44,IF(AJ51&gt;0,AJ51*5%,IF(AJ44&gt;0,AJ44,AI44)))</f>
        <v>74.076205500000043</v>
      </c>
      <c r="AL44" s="25">
        <f t="shared" ref="AL44" si="430">IF(AK51=0,AK44,IF(AK51&gt;0,AK51*5%,IF(AK44&gt;0,AK44,AJ44)))</f>
        <v>74.076205500000043</v>
      </c>
      <c r="AM44" s="25">
        <f t="shared" ref="AM44" si="431">IF(AL51=0,AL44,IF(AL51&gt;0,AL51*5%,IF(AL44&gt;0,AL44,AK44)))</f>
        <v>74.076205500000043</v>
      </c>
      <c r="AN44" s="25">
        <f t="shared" ref="AN44" si="432">IF(AM51=0,AM44,IF(AM51&gt;0,AM51*5%,IF(AM44&gt;0,AM44,AL44)))</f>
        <v>74.076205500000043</v>
      </c>
      <c r="AO44" s="25">
        <f t="shared" ref="AO44" si="433">IF(AN51=0,AN44,IF(AN51&gt;0,AN51*5%,IF(AN44&gt;0,AN44,AM44)))</f>
        <v>74.076205500000043</v>
      </c>
      <c r="AP44" s="25">
        <f t="shared" ref="AP44" si="434">IF(AO51=0,AO44,IF(AO51&gt;0,AO51*5%,IF(AO44&gt;0,AO44,AN44)))</f>
        <v>74.076205500000043</v>
      </c>
      <c r="AQ44" s="25">
        <f t="shared" ref="AQ44" si="435">IF(AP51=0,AP44,IF(AP51&gt;0,AP51*5%,IF(AP44&gt;0,AP44,AO44)))</f>
        <v>74.076205500000043</v>
      </c>
      <c r="AR44" s="25">
        <f t="shared" ref="AR44" si="436">IF(AQ51=0,AQ44,IF(AQ51&gt;0,AQ51*5%,IF(AQ44&gt;0,AQ44,AP44)))</f>
        <v>74.076205500000043</v>
      </c>
      <c r="AS44" s="25">
        <f t="shared" ref="AS44" si="437">IF(AR51=0,AR44,IF(AR51&gt;0,AR51*5%,IF(AR44&gt;0,AR44,AQ44)))</f>
        <v>74.076205500000043</v>
      </c>
      <c r="AT44" s="25">
        <f t="shared" ref="AT44" si="438">IF(AS51=0,AS44,IF(AS51&gt;0,AS51*5%,IF(AS44&gt;0,AS44,AR44)))</f>
        <v>74.076205500000043</v>
      </c>
      <c r="AU44" s="25">
        <f t="shared" ref="AU44" si="439">IF(AT51=0,AT44,IF(AT51&gt;0,AT51*5%,IF(AT44&gt;0,AT44,AS44)))</f>
        <v>74.076205500000043</v>
      </c>
      <c r="AV44" s="25">
        <f t="shared" ref="AV44" si="440">IF(AU51=0,AU44,IF(AU51&gt;0,AU51*5%,IF(AU44&gt;0,AU44,AT44)))</f>
        <v>74.076205500000043</v>
      </c>
      <c r="AW44" s="25">
        <f t="shared" ref="AW44" si="441">IF(AV51=0,AV44,IF(AV51&gt;0,AV51*5%,IF(AV44&gt;0,AV44,AU44)))</f>
        <v>74.076205500000043</v>
      </c>
      <c r="AX44" s="25">
        <f t="shared" ref="AX44" si="442">IF(AW51=0,AW44,IF(AW51&gt;0,AW51*5%,IF(AW44&gt;0,AW44,AV44)))</f>
        <v>74.076205500000043</v>
      </c>
      <c r="AY44" s="25">
        <f t="shared" ref="AY44" si="443">IF(AX51=0,AX44,IF(AX51&gt;0,AX51*5%,IF(AX44&gt;0,AX44,AW44)))</f>
        <v>74.076205500000043</v>
      </c>
      <c r="AZ44" s="57">
        <f t="shared" ref="AZ44" si="444">IF(AY51=0,AY44,IF(AY51&gt;0,AY51*5%,IF(AY44&gt;0,AY44,AX44)))</f>
        <v>74.076205500000043</v>
      </c>
      <c r="BA44" s="19">
        <f t="shared" ref="BA44" si="445">IF(AZ51=0,AZ44,IF(AZ51&gt;0,AZ51*5%,IF(AZ44&gt;0,AZ44,AY44)))</f>
        <v>74.076205500000043</v>
      </c>
      <c r="BB44" s="25">
        <f t="shared" ref="BB44" si="446">IF(BA51=0,BA44,IF(BA51&gt;0,BA51*5%,IF(BA44&gt;0,BA44,AZ44)))</f>
        <v>74.076205500000043</v>
      </c>
      <c r="BC44" s="25">
        <f t="shared" ref="BC44" si="447">IF(BB51=0,BB44,IF(BB51&gt;0,BB51*5%,IF(BB44&gt;0,BB44,BA44)))</f>
        <v>74.076205500000043</v>
      </c>
      <c r="BD44" s="25">
        <f t="shared" ref="BD44" si="448">IF(BC51=0,BC44,IF(BC51&gt;0,BC51*5%,IF(BC44&gt;0,BC44,BB44)))</f>
        <v>74.076205500000043</v>
      </c>
      <c r="BE44" s="25">
        <f t="shared" ref="BE44" si="449">IF(BD51=0,BD44,IF(BD51&gt;0,BD51*5%,IF(BD44&gt;0,BD44,BC44)))</f>
        <v>74.076205500000043</v>
      </c>
      <c r="BF44" s="25">
        <f t="shared" ref="BF44" si="450">IF(BE51=0,BE44,IF(BE51&gt;0,BE51*5%,IF(BE44&gt;0,BE44,BD44)))</f>
        <v>74.076205500000043</v>
      </c>
      <c r="BG44" s="25">
        <f t="shared" ref="BG44" si="451">IF(BF51=0,BF44,IF(BF51&gt;0,BF51*5%,IF(BF44&gt;0,BF44,BE44)))</f>
        <v>266.52908009999993</v>
      </c>
      <c r="BH44" s="25">
        <f t="shared" ref="BH44" si="452">IF(BG51=0,BG44,IF(BG51&gt;0,BG51*5%,IF(BG44&gt;0,BG44,BF44)))</f>
        <v>266.52908009999993</v>
      </c>
      <c r="BI44" s="25">
        <f t="shared" ref="BI44" si="453">IF(BH51=0,BH44,IF(BH51&gt;0,BH51*5%,IF(BH44&gt;0,BH44,BG44)))</f>
        <v>266.52908009999993</v>
      </c>
      <c r="BJ44" s="25">
        <f t="shared" ref="BJ44" si="454">IF(BI51=0,BI44,IF(BI51&gt;0,BI51*5%,IF(BI44&gt;0,BI44,BH44)))</f>
        <v>266.52908009999993</v>
      </c>
      <c r="BK44" s="25">
        <f t="shared" ref="BK44" si="455">IF(BJ51=0,BJ44,IF(BJ51&gt;0,BJ51*5%,IF(BJ44&gt;0,BJ44,BI44)))</f>
        <v>266.52908009999993</v>
      </c>
      <c r="BL44" s="25">
        <f t="shared" ref="BL44" si="456">IF(BK51=0,BK44,IF(BK51&gt;0,BK51*5%,IF(BK44&gt;0,BK44,BJ44)))</f>
        <v>266.52908009999993</v>
      </c>
      <c r="BM44" s="25">
        <f t="shared" ref="BM44" si="457">IF(BL51=0,BL44,IF(BL51&gt;0,BL51*5%,IF(BL44&gt;0,BL44,BK44)))</f>
        <v>266.52908009999993</v>
      </c>
      <c r="BN44" s="25">
        <f t="shared" ref="BN44" si="458">IF(BM51=0,BM44,IF(BM51&gt;0,BM51*5%,IF(BM44&gt;0,BM44,BL44)))</f>
        <v>266.52908009999993</v>
      </c>
      <c r="BO44" s="25">
        <f t="shared" ref="BO44" si="459">IF(BN51=0,BN44,IF(BN51&gt;0,BN51*5%,IF(BN44&gt;0,BN44,BM44)))</f>
        <v>266.52908009999993</v>
      </c>
      <c r="BP44" s="25">
        <f t="shared" ref="BP44" si="460">IF(BO51=0,BO44,IF(BO51&gt;0,BO51*5%,IF(BO44&gt;0,BO44,BN44)))</f>
        <v>266.52908009999993</v>
      </c>
      <c r="BQ44" s="25">
        <f t="shared" ref="BQ44" si="461">IF(BP51=0,BP44,IF(BP51&gt;0,BP51*5%,IF(BP44&gt;0,BP44,BO44)))</f>
        <v>266.52908009999993</v>
      </c>
      <c r="BR44" s="25">
        <f t="shared" ref="BR44" si="462">IF(BQ51=0,BQ44,IF(BQ51&gt;0,BQ51*5%,IF(BQ44&gt;0,BQ44,BP44)))</f>
        <v>266.52908009999993</v>
      </c>
      <c r="BS44" s="25">
        <f t="shared" ref="BS44" si="463">IF(BR51=0,BR44,IF(BR51&gt;0,BR51*5%,IF(BR44&gt;0,BR44,BQ44)))</f>
        <v>266.52908009999993</v>
      </c>
      <c r="BT44" s="25">
        <f t="shared" ref="BT44" si="464">IF(BS51=0,BS44,IF(BS51&gt;0,BS51*5%,IF(BS44&gt;0,BS44,BR44)))</f>
        <v>266.52908009999993</v>
      </c>
      <c r="BU44" s="25">
        <f t="shared" ref="BU44" si="465">IF(BT51=0,BT44,IF(BT51&gt;0,BT51*5%,IF(BT44&gt;0,BT44,BS44)))</f>
        <v>266.52908009999993</v>
      </c>
      <c r="BV44" s="25">
        <f t="shared" ref="BV44" si="466">IF(BU51=0,BU44,IF(BU51&gt;0,BU51*5%,IF(BU44&gt;0,BU44,BT44)))</f>
        <v>266.52908009999993</v>
      </c>
      <c r="BW44" s="25">
        <f t="shared" ref="BW44" si="467">IF(BV51=0,BV44,IF(BV51&gt;0,BV51*5%,IF(BV44&gt;0,BV44,BU44)))</f>
        <v>266.52908009999993</v>
      </c>
      <c r="BX44" s="57">
        <f t="shared" ref="BX44" si="468">IF(BW51=0,BW44,IF(BW51&gt;0,BW51*5%,IF(BW44&gt;0,BW44,BV44)))</f>
        <v>266.52908009999993</v>
      </c>
      <c r="BY44" s="19">
        <f t="shared" ref="BY44" si="469">IF(BX51=0,BX44,IF(BX51&gt;0,BX51*5%,IF(BX44&gt;0,BX44,BW44)))</f>
        <v>266.52908009999993</v>
      </c>
      <c r="BZ44" s="25">
        <f t="shared" ref="BZ44" si="470">IF(BY51=0,BY44,IF(BY51&gt;0,BY51*5%,IF(BY44&gt;0,BY44,BX44)))</f>
        <v>266.52908009999993</v>
      </c>
      <c r="CA44" s="25">
        <f t="shared" ref="CA44" si="471">IF(BZ51=0,BZ44,IF(BZ51&gt;0,BZ51*5%,IF(BZ44&gt;0,BZ44,BY44)))</f>
        <v>266.52908009999993</v>
      </c>
      <c r="CB44" s="25">
        <f t="shared" ref="CB44" si="472">IF(CA51=0,CA44,IF(CA51&gt;0,CA51*5%,IF(CA44&gt;0,CA44,BZ44)))</f>
        <v>266.52908009999993</v>
      </c>
      <c r="CC44" s="25">
        <f t="shared" ref="CC44" si="473">IF(CB51=0,CB44,IF(CB51&gt;0,CB51*5%,IF(CB44&gt;0,CB44,CA44)))</f>
        <v>266.52908009999993</v>
      </c>
      <c r="CD44" s="25">
        <f t="shared" ref="CD44" si="474">IF(CC51=0,CC44,IF(CC51&gt;0,CC51*5%,IF(CC44&gt;0,CC44,CB44)))</f>
        <v>266.52908009999993</v>
      </c>
      <c r="CE44" s="25">
        <f t="shared" ref="CE44" si="475">IF(CD51=0,CD44,IF(CD51&gt;0,CD51*5%,IF(CD44&gt;0,CD44,CC44)))</f>
        <v>266.52908009999993</v>
      </c>
      <c r="CF44" s="25">
        <f t="shared" ref="CF44" si="476">IF(CE51=0,CE44,IF(CE51&gt;0,CE51*5%,IF(CE44&gt;0,CE44,CD44)))</f>
        <v>266.52908009999993</v>
      </c>
      <c r="CG44" s="25">
        <f t="shared" ref="CG44" si="477">IF(CF51=0,CF44,IF(CF51&gt;0,CF51*5%,IF(CF44&gt;0,CF44,CE44)))</f>
        <v>266.52908009999993</v>
      </c>
      <c r="CH44" s="25">
        <f t="shared" ref="CH44" si="478">IF(CG51=0,CG44,IF(CG51&gt;0,CG51*5%,IF(CG44&gt;0,CG44,CF44)))</f>
        <v>266.52908009999993</v>
      </c>
      <c r="CI44" s="25">
        <f t="shared" ref="CI44" si="479">IF(CH51=0,CH44,IF(CH51&gt;0,CH51*5%,IF(CH44&gt;0,CH44,CG44)))</f>
        <v>266.52908009999993</v>
      </c>
      <c r="CJ44" s="25">
        <f t="shared" ref="CJ44" si="480">IF(CI51=0,CI44,IF(CI51&gt;0,CI51*5%,IF(CI44&gt;0,CI44,CH44)))</f>
        <v>266.52908009999993</v>
      </c>
      <c r="CK44" s="25">
        <f t="shared" ref="CK44" si="481">IF(CJ51=0,CJ44,IF(CJ51&gt;0,CJ51*5%,IF(CJ44&gt;0,CJ44,CI44)))</f>
        <v>266.52908009999993</v>
      </c>
      <c r="CL44" s="25">
        <f t="shared" ref="CL44" si="482">IF(CK51=0,CK44,IF(CK51&gt;0,CK51*5%,IF(CK44&gt;0,CK44,CJ44)))</f>
        <v>266.52908009999993</v>
      </c>
      <c r="CM44" s="25">
        <f t="shared" ref="CM44" si="483">IF(CL51=0,CL44,IF(CL51&gt;0,CL51*5%,IF(CL44&gt;0,CL44,CK44)))</f>
        <v>266.52908009999993</v>
      </c>
      <c r="CN44" s="25">
        <f t="shared" ref="CN44" si="484">IF(CM51=0,CM44,IF(CM51&gt;0,CM51*5%,IF(CM44&gt;0,CM44,CL44)))</f>
        <v>266.52908009999993</v>
      </c>
      <c r="CO44" s="25">
        <f t="shared" ref="CO44" si="485">IF(CN51=0,CN44,IF(CN51&gt;0,CN51*5%,IF(CN44&gt;0,CN44,CM44)))</f>
        <v>266.52908009999993</v>
      </c>
      <c r="CP44" s="25">
        <f t="shared" ref="CP44" si="486">IF(CO51=0,CO44,IF(CO51&gt;0,CO51*5%,IF(CO44&gt;0,CO44,CN44)))</f>
        <v>266.52908009999993</v>
      </c>
      <c r="CQ44" s="25">
        <f t="shared" ref="CQ44" si="487">IF(CP51=0,CP44,IF(CP51&gt;0,CP51*5%,IF(CP44&gt;0,CP44,CO44)))</f>
        <v>266.52908009999993</v>
      </c>
      <c r="CR44" s="25">
        <f t="shared" ref="CR44" si="488">IF(CQ51=0,CQ44,IF(CQ51&gt;0,CQ51*5%,IF(CQ44&gt;0,CQ44,CP44)))</f>
        <v>266.52908009999993</v>
      </c>
      <c r="CS44" s="25">
        <f t="shared" ref="CS44" si="489">IF(CR51=0,CR44,IF(CR51&gt;0,CR51*5%,IF(CR44&gt;0,CR44,CQ44)))</f>
        <v>266.52908009999993</v>
      </c>
      <c r="CT44" s="25">
        <f t="shared" ref="CT44" si="490">IF(CS51=0,CS44,IF(CS51&gt;0,CS51*5%,IF(CS44&gt;0,CS44,CR44)))</f>
        <v>266.52908009999993</v>
      </c>
      <c r="CU44" s="25">
        <f t="shared" ref="CU44" si="491">IF(CT51=0,CT44,IF(CT51&gt;0,CT51*5%,IF(CT44&gt;0,CT44,CS44)))</f>
        <v>266.52908009999993</v>
      </c>
      <c r="CV44" s="57">
        <f t="shared" ref="CV44" si="492">IF(CU51=0,CU44,IF(CU51&gt;0,CU51*5%,IF(CU44&gt;0,CU44,CT44)))</f>
        <v>266.52908009999993</v>
      </c>
      <c r="CW44" s="19">
        <f t="shared" ref="CW44" si="493">IF(CV51=0,CV44,IF(CV51&gt;0,CV51*5%,IF(CV44&gt;0,CV44,CU44)))</f>
        <v>266.52908009999993</v>
      </c>
      <c r="CX44" s="25">
        <f t="shared" ref="CX44" si="494">IF(CW51=0,CW44,IF(CW51&gt;0,CW51*5%,IF(CW44&gt;0,CW44,CV44)))</f>
        <v>266.52908009999993</v>
      </c>
      <c r="CY44" s="25">
        <f t="shared" ref="CY44" si="495">IF(CX51=0,CX44,IF(CX51&gt;0,CX51*5%,IF(CX44&gt;0,CX44,CW44)))</f>
        <v>266.52908009999993</v>
      </c>
      <c r="CZ44" s="25">
        <f t="shared" ref="CZ44" si="496">IF(CY51=0,CY44,IF(CY51&gt;0,CY51*5%,IF(CY44&gt;0,CY44,CX44)))</f>
        <v>266.52908009999993</v>
      </c>
      <c r="DA44" s="25">
        <f t="shared" ref="DA44" si="497">IF(CZ51=0,CZ44,IF(CZ51&gt;0,CZ51*5%,IF(CZ44&gt;0,CZ44,CY44)))</f>
        <v>266.52908009999993</v>
      </c>
      <c r="DB44" s="25">
        <f t="shared" ref="DB44" si="498">IF(DA51=0,DA44,IF(DA51&gt;0,DA51*5%,IF(DA44&gt;0,DA44,CZ44)))</f>
        <v>266.52908009999993</v>
      </c>
      <c r="DC44" s="25">
        <f t="shared" ref="DC44" si="499">IF(DB51=0,DB44,IF(DB51&gt;0,DB51*5%,IF(DB44&gt;0,DB44,DA44)))</f>
        <v>266.52908009999993</v>
      </c>
      <c r="DD44" s="25">
        <f t="shared" ref="DD44" si="500">IF(DC51=0,DC44,IF(DC51&gt;0,DC51*5%,IF(DC44&gt;0,DC44,DB44)))</f>
        <v>266.52908009999993</v>
      </c>
      <c r="DE44" s="25">
        <f t="shared" ref="DE44" si="501">IF(DD51=0,DD44,IF(DD51&gt;0,DD51*5%,IF(DD44&gt;0,DD44,DC44)))</f>
        <v>266.52908009999993</v>
      </c>
      <c r="DF44" s="25">
        <f t="shared" ref="DF44" si="502">IF(DE51=0,DE44,IF(DE51&gt;0,DE51*5%,IF(DE44&gt;0,DE44,DD44)))</f>
        <v>266.52908009999993</v>
      </c>
      <c r="DG44" s="25">
        <f t="shared" ref="DG44" si="503">IF(DF51=0,DF44,IF(DF51&gt;0,DF51*5%,IF(DF44&gt;0,DF44,DE44)))</f>
        <v>266.52908009999993</v>
      </c>
      <c r="DH44" s="25">
        <f t="shared" ref="DH44" si="504">IF(DG51=0,DG44,IF(DG51&gt;0,DG51*5%,IF(DG44&gt;0,DG44,DF44)))</f>
        <v>266.52908009999993</v>
      </c>
      <c r="DI44" s="25">
        <f t="shared" ref="DI44" si="505">IF(DH51=0,DH44,IF(DH51&gt;0,DH51*5%,IF(DH44&gt;0,DH44,DG44)))</f>
        <v>266.52908009999993</v>
      </c>
      <c r="DJ44" s="25">
        <f t="shared" ref="DJ44" si="506">IF(DI51=0,DI44,IF(DI51&gt;0,DI51*5%,IF(DI44&gt;0,DI44,DH44)))</f>
        <v>266.52908009999993</v>
      </c>
      <c r="DK44" s="25">
        <f t="shared" ref="DK44" si="507">IF(DJ51=0,DJ44,IF(DJ51&gt;0,DJ51*5%,IF(DJ44&gt;0,DJ44,DI44)))</f>
        <v>266.52908009999993</v>
      </c>
      <c r="DL44" s="25">
        <f t="shared" ref="DL44" si="508">IF(DK51=0,DK44,IF(DK51&gt;0,DK51*5%,IF(DK44&gt;0,DK44,DJ44)))</f>
        <v>266.52908009999993</v>
      </c>
      <c r="DM44" s="25">
        <f t="shared" ref="DM44" si="509">IF(DL51=0,DL44,IF(DL51&gt;0,DL51*5%,IF(DL44&gt;0,DL44,DK44)))</f>
        <v>266.52908009999993</v>
      </c>
      <c r="DN44" s="25">
        <f t="shared" ref="DN44" si="510">IF(DM51=0,DM44,IF(DM51&gt;0,DM51*5%,IF(DM44&gt;0,DM44,DL44)))</f>
        <v>266.52908009999993</v>
      </c>
      <c r="DO44" s="25">
        <f t="shared" ref="DO44" si="511">IF(DN51=0,DN44,IF(DN51&gt;0,DN51*5%,IF(DN44&gt;0,DN44,DM44)))</f>
        <v>266.52908009999993</v>
      </c>
      <c r="DP44" s="25">
        <f t="shared" ref="DP44" si="512">IF(DO51=0,DO44,IF(DO51&gt;0,DO51*5%,IF(DO44&gt;0,DO44,DN44)))</f>
        <v>266.52908009999993</v>
      </c>
      <c r="DQ44" s="25">
        <f t="shared" ref="DQ44" si="513">IF(DP51=0,DP44,IF(DP51&gt;0,DP51*5%,IF(DP44&gt;0,DP44,DO44)))</f>
        <v>266.52908009999993</v>
      </c>
      <c r="DR44" s="25">
        <f t="shared" ref="DR44" si="514">IF(DQ51=0,DQ44,IF(DQ51&gt;0,DQ51*5%,IF(DQ44&gt;0,DQ44,DP44)))</f>
        <v>266.52908009999993</v>
      </c>
      <c r="DS44" s="25">
        <f t="shared" ref="DS44" si="515">IF(DR51=0,DR44,IF(DR51&gt;0,DR51*5%,IF(DR44&gt;0,DR44,DQ44)))</f>
        <v>266.52908009999993</v>
      </c>
      <c r="DT44" s="25">
        <f t="shared" ref="DT44" si="516">IF(DS51=0,DS44,IF(DS51&gt;0,DS51*5%,IF(DS44&gt;0,DS44,DR44)))</f>
        <v>266.52908009999993</v>
      </c>
    </row>
    <row r="45" spans="2:124" x14ac:dyDescent="0.2">
      <c r="B45" s="3" t="s">
        <v>75</v>
      </c>
      <c r="D45" s="139">
        <v>2207.92</v>
      </c>
      <c r="E45" s="19">
        <f>E44+D49+D51-E46</f>
        <v>2927.4129999999996</v>
      </c>
      <c r="F45" s="19">
        <f>F44+E49+E51-F46</f>
        <v>2763.7459999999992</v>
      </c>
      <c r="G45" s="19">
        <f t="shared" ref="G45:O45" si="517">G44+F49+F51-G46</f>
        <v>2600.0789999999988</v>
      </c>
      <c r="H45" s="19">
        <f t="shared" si="517"/>
        <v>2436.4119999999984</v>
      </c>
      <c r="I45" s="19">
        <f t="shared" si="517"/>
        <v>2186.8074999999981</v>
      </c>
      <c r="J45" s="19">
        <f t="shared" si="517"/>
        <v>1990.277999999998</v>
      </c>
      <c r="K45" s="19">
        <f t="shared" si="517"/>
        <v>1873.3609999999981</v>
      </c>
      <c r="L45" s="19">
        <f t="shared" si="517"/>
        <v>1756.4439999999981</v>
      </c>
      <c r="M45" s="19">
        <f t="shared" si="517"/>
        <v>2487.7346750000002</v>
      </c>
      <c r="N45" s="19">
        <f t="shared" si="517"/>
        <v>2213.7193499999998</v>
      </c>
      <c r="O45" s="19">
        <f t="shared" si="517"/>
        <v>1939.7040249999998</v>
      </c>
      <c r="P45" s="19">
        <f t="shared" ref="P45" si="518">P44+O49+O51-P46</f>
        <v>1745.3011999999999</v>
      </c>
      <c r="Q45" s="19">
        <f t="shared" ref="Q45" si="519">Q44+P49+P51-Q46</f>
        <v>2488.291815</v>
      </c>
      <c r="R45" s="19">
        <f t="shared" ref="R45" si="520">R44+Q49+Q51-R46</f>
        <v>2214.8336299999996</v>
      </c>
      <c r="S45" s="19">
        <f t="shared" ref="S45" si="521">S44+R49+R51-S46</f>
        <v>1941.3754449999994</v>
      </c>
      <c r="T45" s="19">
        <f t="shared" ref="T45" si="522">T44+S49+S51-T46</f>
        <v>1667.9172599999993</v>
      </c>
      <c r="U45" s="19">
        <f t="shared" ref="U45" si="523">U44+T49+T51-U46</f>
        <v>1394.4590749999991</v>
      </c>
      <c r="V45" s="19">
        <f t="shared" ref="V45" si="524">V44+U49+U51-V46</f>
        <v>1200.6133899999991</v>
      </c>
      <c r="W45" s="19">
        <f t="shared" ref="W45" si="525">W44+V49+V51-W46</f>
        <v>2515.5262054999998</v>
      </c>
      <c r="X45" s="19">
        <f t="shared" ref="X45" si="526">X44+W49+W51-X46</f>
        <v>2269.3024109999997</v>
      </c>
      <c r="Y45" s="19">
        <f t="shared" ref="Y45" si="527">Y44+X49+X51-Y46</f>
        <v>2023.0786164999995</v>
      </c>
      <c r="Z45" s="19">
        <f t="shared" ref="Z45" si="528">Z44+Y49+Y51-Z46</f>
        <v>1776.8548219999993</v>
      </c>
      <c r="AA45" s="19">
        <f t="shared" ref="AA45" si="529">AA44+Z49+Z51-AA46</f>
        <v>1616.5685274999994</v>
      </c>
      <c r="AB45" s="57">
        <f t="shared" ref="AB45" si="530">AB44+AA49+AA51-AB46</f>
        <v>1482.8197329999996</v>
      </c>
      <c r="AC45" s="19">
        <f t="shared" ref="AC45" si="531">AC44+AB49+AB51-AC46</f>
        <v>1349.0709384999998</v>
      </c>
      <c r="AD45" s="19">
        <f t="shared" ref="AD45" si="532">AD44+AC49+AC51-AD46</f>
        <v>1215.322144</v>
      </c>
      <c r="AE45" s="19">
        <f t="shared" ref="AE45" si="533">AE44+AD49+AD51-AE46</f>
        <v>1081.5733495000002</v>
      </c>
      <c r="AF45" s="19">
        <f t="shared" ref="AF45" si="534">AF44+AE49+AE51-AF46</f>
        <v>947.82455500000037</v>
      </c>
      <c r="AG45" s="19">
        <f t="shared" ref="AG45" si="535">AG44+AF49+AF51-AG46</f>
        <v>814.07576050000046</v>
      </c>
      <c r="AH45" s="19">
        <f t="shared" ref="AH45" si="536">AH44+AG49+AG51-AH46</f>
        <v>680.32696600000054</v>
      </c>
      <c r="AI45" s="19">
        <f t="shared" ref="AI45" si="537">AI44+AH49+AH51-AI46</f>
        <v>546.57817150000062</v>
      </c>
      <c r="AJ45" s="19">
        <f t="shared" ref="AJ45" si="538">AJ44+AI49+AI51-AJ46</f>
        <v>412.82937700000065</v>
      </c>
      <c r="AK45" s="19">
        <f t="shared" ref="AK45" si="539">AK44+AJ49+AJ51-AK46</f>
        <v>279.08058250000062</v>
      </c>
      <c r="AL45" s="19">
        <f t="shared" ref="AL45" si="540">AL44+AK49+AK51-AL46</f>
        <v>145.33178800000064</v>
      </c>
      <c r="AM45" s="19">
        <f t="shared" ref="AM45" si="541">AM44+AL49+AL51-AM46</f>
        <v>11.582993500000683</v>
      </c>
      <c r="AN45" s="19">
        <f t="shared" ref="AN45" si="542">AN44+AM49+AM51-AN46</f>
        <v>-122.16580099999926</v>
      </c>
      <c r="AO45" s="19">
        <f t="shared" ref="AO45" si="543">AO44+AN49+AN51-AO46</f>
        <v>-255.91459549999922</v>
      </c>
      <c r="AP45" s="19">
        <f t="shared" ref="AP45" si="544">AP44+AO49+AO51-AP46</f>
        <v>-389.6633899999992</v>
      </c>
      <c r="AQ45" s="19">
        <f t="shared" ref="AQ45" si="545">AQ44+AP49+AP51-AQ46</f>
        <v>-523.41218449999917</v>
      </c>
      <c r="AR45" s="19">
        <f t="shared" ref="AR45" si="546">AR44+AQ49+AQ51-AR46</f>
        <v>-657.16097899999909</v>
      </c>
      <c r="AS45" s="19">
        <f t="shared" ref="AS45" si="547">AS44+AR49+AR51-AS46</f>
        <v>-790.90977349999901</v>
      </c>
      <c r="AT45" s="19">
        <f t="shared" ref="AT45" si="548">AT44+AS49+AS51-AT46</f>
        <v>-924.65856799999892</v>
      </c>
      <c r="AU45" s="19">
        <f t="shared" ref="AU45" si="549">AU44+AT49+AT51-AU46</f>
        <v>-1058.4073624999987</v>
      </c>
      <c r="AV45" s="19">
        <f t="shared" ref="AV45" si="550">AV44+AU49+AU51-AV46</f>
        <v>-1192.1561569999985</v>
      </c>
      <c r="AW45" s="19">
        <f t="shared" ref="AW45" si="551">AW44+AV49+AV51-AW46</f>
        <v>-1325.9049514999983</v>
      </c>
      <c r="AX45" s="19">
        <f t="shared" ref="AX45" si="552">AX44+AW49+AW51-AX46</f>
        <v>-1459.6537459999981</v>
      </c>
      <c r="AY45" s="19">
        <f t="shared" ref="AY45" si="553">AY44+AX49+AX51-AY46</f>
        <v>-1593.4025404999979</v>
      </c>
      <c r="AZ45" s="57">
        <f t="shared" ref="AZ45" si="554">AZ44+AY49+AY51-AZ46</f>
        <v>-1727.1513349999977</v>
      </c>
      <c r="BA45" s="19">
        <f t="shared" ref="BA45" si="555">BA44+AZ49+AZ51-BA46</f>
        <v>-1860.9001294999975</v>
      </c>
      <c r="BB45" s="19">
        <f t="shared" ref="BB45" si="556">BB44+BA49+BA51-BB46</f>
        <v>-1994.6489239999974</v>
      </c>
      <c r="BC45" s="19">
        <f t="shared" ref="BC45" si="557">BC44+BB49+BB51-BC46</f>
        <v>-2128.3977184999976</v>
      </c>
      <c r="BD45" s="19">
        <f t="shared" ref="BD45" si="558">BD44+BC49+BC51-BD46</f>
        <v>-2262.1465129999979</v>
      </c>
      <c r="BE45" s="19">
        <f t="shared" ref="BE45" si="559">BE44+BD49+BD51-BE46</f>
        <v>-2481.8328074999981</v>
      </c>
      <c r="BF45" s="19">
        <f t="shared" ref="BF45" si="560">BF44+BE49+BE51-BF46</f>
        <v>-2648.4441019999981</v>
      </c>
      <c r="BG45" s="19">
        <f t="shared" ref="BG45" si="561">BG44+BF49+BF51-BG46</f>
        <v>2707.9790801000004</v>
      </c>
      <c r="BH45" s="19">
        <f t="shared" ref="BH45" si="562">BH44+BG49+BG51-BH46</f>
        <v>2654.2081602000003</v>
      </c>
      <c r="BI45" s="19">
        <f t="shared" ref="BI45" si="563">BI44+BH49+BH51-BI46</f>
        <v>2600.4372403000002</v>
      </c>
      <c r="BJ45" s="19">
        <f t="shared" ref="BJ45" si="564">BJ44+BI49+BI51-BJ46</f>
        <v>2546.6663204000001</v>
      </c>
      <c r="BK45" s="19">
        <f t="shared" ref="BK45" si="565">BK44+BJ49+BJ51-BK46</f>
        <v>2492.8954005000001</v>
      </c>
      <c r="BL45" s="19">
        <f t="shared" ref="BL45" si="566">BL44+BK49+BK51-BL46</f>
        <v>2518.7369806000002</v>
      </c>
      <c r="BM45" s="19">
        <f t="shared" ref="BM45" si="567">BM44+BL49+BL51-BM46</f>
        <v>2624.1910607000004</v>
      </c>
      <c r="BN45" s="19">
        <f t="shared" ref="BN45" si="568">BN44+BM49+BM51-BN46</f>
        <v>2729.6451408000007</v>
      </c>
      <c r="BO45" s="19">
        <f t="shared" ref="BO45" si="569">BO44+BN49+BN51-BO46</f>
        <v>2835.099220900001</v>
      </c>
      <c r="BP45" s="19">
        <f t="shared" ref="BP45" si="570">BP44+BO49+BO51-BP46</f>
        <v>2860.9408010000011</v>
      </c>
      <c r="BQ45" s="19">
        <f t="shared" ref="BQ45" si="571">BQ44+BP49+BP51-BQ46</f>
        <v>2807.169881100001</v>
      </c>
      <c r="BR45" s="19">
        <f t="shared" ref="BR45" si="572">BR44+BQ49+BQ51-BR46</f>
        <v>2833.0114612000011</v>
      </c>
      <c r="BS45" s="19">
        <f t="shared" ref="BS45" si="573">BS44+BR49+BR51-BS46</f>
        <v>2938.4655413000014</v>
      </c>
      <c r="BT45" s="19">
        <f t="shared" ref="BT45" si="574">BT44+BS49+BS51-BT46</f>
        <v>3043.9196214000017</v>
      </c>
      <c r="BU45" s="19">
        <f t="shared" ref="BU45" si="575">BU44+BT49+BT51-BU46</f>
        <v>3149.373701500002</v>
      </c>
      <c r="BV45" s="19">
        <f t="shared" ref="BV45" si="576">BV44+BU49+BU51-BV46</f>
        <v>3175.2152816000021</v>
      </c>
      <c r="BW45" s="19">
        <f t="shared" ref="BW45" si="577">BW44+BV49+BV51-BW46</f>
        <v>3207.381861700002</v>
      </c>
      <c r="BX45" s="57">
        <f t="shared" ref="BX45" si="578">BX44+BW49+BW51-BX46</f>
        <v>3266.0859418000018</v>
      </c>
      <c r="BY45" s="19">
        <f t="shared" ref="BY45" si="579">BY44+BX49+BX51-BY46</f>
        <v>3324.7900219000016</v>
      </c>
      <c r="BZ45" s="19">
        <f t="shared" ref="BZ45" si="580">BZ44+BY49+BY51-BZ46</f>
        <v>3383.4941020000015</v>
      </c>
      <c r="CA45" s="19">
        <f t="shared" ref="CA45" si="581">CA44+BZ49+BZ51-CA46</f>
        <v>3442.1981821000013</v>
      </c>
      <c r="CB45" s="19">
        <f t="shared" ref="CB45" si="582">CB44+CA49+CA51-CB46</f>
        <v>3500.9022622000011</v>
      </c>
      <c r="CC45" s="19">
        <f t="shared" ref="CC45" si="583">CC44+CB49+CB51-CC46</f>
        <v>3473.668842300001</v>
      </c>
      <c r="CD45" s="19">
        <f t="shared" ref="CD45" si="584">CD44+CC49+CC51-CD46</f>
        <v>3499.5104224000011</v>
      </c>
      <c r="CE45" s="19">
        <f t="shared" ref="CE45" si="585">CE44+CD49+CD51-CE46</f>
        <v>3604.9645025000013</v>
      </c>
      <c r="CF45" s="19">
        <f t="shared" ref="CF45" si="586">CF44+CE49+CE51-CF46</f>
        <v>3710.4185826000016</v>
      </c>
      <c r="CG45" s="19">
        <f t="shared" ref="CG45" si="587">CG44+CF49+CF51-CG46</f>
        <v>3815.8726627000019</v>
      </c>
      <c r="CH45" s="19">
        <f t="shared" ref="CH45" si="588">CH44+CG49+CG51-CH46</f>
        <v>3841.714242800002</v>
      </c>
      <c r="CI45" s="19">
        <f t="shared" ref="CI45" si="589">CI44+CH49+CH51-CI46</f>
        <v>3787.9433229000019</v>
      </c>
      <c r="CJ45" s="19">
        <f t="shared" ref="CJ45" si="590">CJ44+CI49+CI51-CJ46</f>
        <v>3813.784903000002</v>
      </c>
      <c r="CK45" s="19">
        <f t="shared" ref="CK45" si="591">CK44+CJ49+CJ51-CK46</f>
        <v>3919.2389831000023</v>
      </c>
      <c r="CL45" s="19">
        <f t="shared" ref="CL45" si="592">CL44+CK49+CK51-CL46</f>
        <v>4024.6930632000026</v>
      </c>
      <c r="CM45" s="19">
        <f t="shared" ref="CM45" si="593">CM44+CL49+CL51-CM46</f>
        <v>4130.1471433000024</v>
      </c>
      <c r="CN45" s="19">
        <f t="shared" ref="CN45" si="594">CN44+CM49+CM51-CN46</f>
        <v>4155.9887234000025</v>
      </c>
      <c r="CO45" s="19">
        <f t="shared" ref="CO45" si="595">CO44+CN49+CN51-CO46</f>
        <v>4102.2178035000024</v>
      </c>
      <c r="CP45" s="19">
        <f t="shared" ref="CP45" si="596">CP44+CO49+CO51-CP46</f>
        <v>4128.0593836000016</v>
      </c>
      <c r="CQ45" s="19">
        <f t="shared" ref="CQ45" si="597">CQ44+CP49+CP51-CQ46</f>
        <v>4233.513463700001</v>
      </c>
      <c r="CR45" s="19">
        <f t="shared" ref="CR45" si="598">CR44+CQ49+CQ51-CR46</f>
        <v>4338.9675438000004</v>
      </c>
      <c r="CS45" s="19">
        <f t="shared" ref="CS45" si="599">CS44+CR49+CR51-CS46</f>
        <v>4444.4216238999998</v>
      </c>
      <c r="CT45" s="19">
        <f t="shared" ref="CT45" si="600">CT44+CS49+CS51-CT46</f>
        <v>4556.200703999999</v>
      </c>
      <c r="CU45" s="19">
        <f t="shared" ref="CU45" si="601">CU44+CT49+CT51-CU46</f>
        <v>4614.9047840999983</v>
      </c>
      <c r="CV45" s="57">
        <f t="shared" ref="CV45" si="602">CV44+CU49+CU51-CV46</f>
        <v>4673.6088641999977</v>
      </c>
      <c r="CW45" s="19">
        <f t="shared" ref="CW45" si="603">CW44+CV49+CV51-CW46</f>
        <v>4732.3129442999971</v>
      </c>
      <c r="CX45" s="19">
        <f t="shared" ref="CX45" si="604">CX44+CW49+CW51-CX46</f>
        <v>4791.0170243999964</v>
      </c>
      <c r="CY45" s="19">
        <f t="shared" ref="CY45" si="605">CY44+CX49+CX51-CY46</f>
        <v>4849.7211044999958</v>
      </c>
      <c r="CZ45" s="19">
        <f t="shared" ref="CZ45" si="606">CZ44+CY49+CY51-CZ46</f>
        <v>4908.4251845999952</v>
      </c>
      <c r="DA45" s="19">
        <f t="shared" ref="DA45" si="607">DA44+CZ49+CZ51-DA46</f>
        <v>4881.1917646999955</v>
      </c>
      <c r="DB45" s="19">
        <f t="shared" ref="DB45" si="608">DB44+DA49+DA51-DB46</f>
        <v>4907.0333447999956</v>
      </c>
      <c r="DC45" s="19">
        <f t="shared" ref="DC45" si="609">DC44+DB49+DB51-DC46</f>
        <v>5012.4874248999949</v>
      </c>
      <c r="DD45" s="19">
        <f t="shared" ref="DD45" si="610">DD44+DC49+DC51-DD46</f>
        <v>5117.9415049999943</v>
      </c>
      <c r="DE45" s="19">
        <f t="shared" ref="DE45" si="611">DE44+DD49+DD51-DE46</f>
        <v>5223.3955850999937</v>
      </c>
      <c r="DF45" s="19">
        <f t="shared" ref="DF45" si="612">DF44+DE49+DE51-DF46</f>
        <v>5249.2371651999938</v>
      </c>
      <c r="DG45" s="19">
        <f t="shared" ref="DG45" si="613">DG44+DF49+DF51-DG46</f>
        <v>5195.4662452999946</v>
      </c>
      <c r="DH45" s="19">
        <f t="shared" ref="DH45" si="614">DH44+DG49+DG51-DH46</f>
        <v>5221.3078253999947</v>
      </c>
      <c r="DI45" s="19">
        <f t="shared" ref="DI45" si="615">DI44+DH49+DH51-DI46</f>
        <v>5326.7619054999941</v>
      </c>
      <c r="DJ45" s="19">
        <f t="shared" ref="DJ45" si="616">DJ44+DI49+DI51-DJ46</f>
        <v>5432.2159855999935</v>
      </c>
      <c r="DK45" s="19">
        <f t="shared" ref="DK45" si="617">DK44+DJ49+DJ51-DK46</f>
        <v>5537.6700656999928</v>
      </c>
      <c r="DL45" s="19">
        <f t="shared" ref="DL45" si="618">DL44+DK49+DK51-DL46</f>
        <v>5563.5116457999929</v>
      </c>
      <c r="DM45" s="19">
        <f t="shared" ref="DM45" si="619">DM44+DL49+DL51-DM46</f>
        <v>5509.7407258999938</v>
      </c>
      <c r="DN45" s="19">
        <f t="shared" ref="DN45" si="620">DN44+DM49+DM51-DN46</f>
        <v>5535.5823059999939</v>
      </c>
      <c r="DO45" s="19">
        <f t="shared" ref="DO45" si="621">DO44+DN49+DN51-DO46</f>
        <v>5641.0363860999933</v>
      </c>
      <c r="DP45" s="19">
        <f t="shared" ref="DP45" si="622">DP44+DO49+DO51-DP46</f>
        <v>5746.4904661999926</v>
      </c>
      <c r="DQ45" s="19">
        <f t="shared" ref="DQ45" si="623">DQ44+DP49+DP51-DQ46</f>
        <v>5851.944546299992</v>
      </c>
      <c r="DR45" s="19">
        <f t="shared" ref="DR45" si="624">DR44+DQ49+DQ51-DR46</f>
        <v>5963.7236263999912</v>
      </c>
      <c r="DS45" s="19">
        <f t="shared" ref="DS45" si="625">DS44+DR49+DR51-DS46</f>
        <v>6022.4277064999906</v>
      </c>
      <c r="DT45" s="19">
        <f t="shared" ref="DT45" si="626">DT44+DS49+DS51-DT46</f>
        <v>6081.1317865999899</v>
      </c>
    </row>
    <row r="46" spans="2:124" s="2" customFormat="1" x14ac:dyDescent="0.2">
      <c r="B46" s="20" t="s">
        <v>34</v>
      </c>
      <c r="C46" s="83">
        <f>2547.6/24</f>
        <v>106.14999999999999</v>
      </c>
      <c r="D46" s="151">
        <f>IF(C41="T",$C$46*0.75,IF(D50="K",IF(A51&gt;0,$C$46,IF(C51&gt;0,$C$46,IF(B51&gt;0,$C$46,$C$46*0.25))),$C$46))</f>
        <v>79.612499999999997</v>
      </c>
      <c r="E46" s="27">
        <f>IF(D41="T",$C$46*0.75,IF(E50="K",IF(B51&gt;0,$C$46,IF(D51&gt;0,$C$46,IF(C51&gt;0,$C$46,$C$46*0.25))),$C$46))</f>
        <v>79.612499999999997</v>
      </c>
      <c r="F46" s="27">
        <f t="shared" ref="F46:O46" si="627">IF(E41="T",$C$46*0.75,IF(F50="K",IF(C51&gt;0,$C$46,IF(E51&gt;0,$C$46,IF(D51&gt;0,$C$46,$C$46*0.25))),$C$46))</f>
        <v>79.612499999999997</v>
      </c>
      <c r="G46" s="27">
        <f t="shared" si="627"/>
        <v>79.612499999999997</v>
      </c>
      <c r="H46" s="27">
        <f t="shared" si="627"/>
        <v>79.612499999999997</v>
      </c>
      <c r="I46" s="27">
        <f t="shared" si="627"/>
        <v>106.14999999999999</v>
      </c>
      <c r="J46" s="27">
        <f t="shared" si="627"/>
        <v>26.537499999999998</v>
      </c>
      <c r="K46" s="27">
        <f t="shared" si="627"/>
        <v>26.537499999999998</v>
      </c>
      <c r="L46" s="27">
        <f t="shared" si="627"/>
        <v>26.537499999999998</v>
      </c>
      <c r="M46" s="27">
        <f t="shared" si="627"/>
        <v>106.14999999999999</v>
      </c>
      <c r="N46" s="27">
        <f t="shared" si="627"/>
        <v>106.14999999999999</v>
      </c>
      <c r="O46" s="27">
        <f t="shared" si="627"/>
        <v>106.14999999999999</v>
      </c>
      <c r="P46" s="27">
        <f t="shared" ref="P46" si="628">IF(O41="T",$C$46*0.75,IF(P50="K",IF(M51&gt;0,$C$46,IF(O51&gt;0,$C$46,IF(N51&gt;0,$C$46,$C$46*0.25))),$C$46))</f>
        <v>26.537499999999998</v>
      </c>
      <c r="Q46" s="27">
        <f t="shared" ref="Q46" si="629">IF(P41="T",$C$46*0.75,IF(Q50="K",IF(N51&gt;0,$C$46,IF(P51&gt;0,$C$46,IF(O51&gt;0,$C$46,$C$46*0.25))),$C$46))</f>
        <v>106.14999999999999</v>
      </c>
      <c r="R46" s="27">
        <f t="shared" ref="R46" si="630">IF(Q41="T",$C$46*0.75,IF(R50="K",IF(O51&gt;0,$C$46,IF(Q51&gt;0,$C$46,IF(P51&gt;0,$C$46,$C$46*0.25))),$C$46))</f>
        <v>106.14999999999999</v>
      </c>
      <c r="S46" s="27">
        <f t="shared" ref="S46" si="631">IF(R41="T",$C$46*0.75,IF(S50="K",IF(P51&gt;0,$C$46,IF(R51&gt;0,$C$46,IF(Q51&gt;0,$C$46,$C$46*0.25))),$C$46))</f>
        <v>106.14999999999999</v>
      </c>
      <c r="T46" s="27">
        <f t="shared" ref="T46" si="632">IF(S41="T",$C$46*0.75,IF(T50="K",IF(Q51&gt;0,$C$46,IF(S51&gt;0,$C$46,IF(R51&gt;0,$C$46,$C$46*0.25))),$C$46))</f>
        <v>106.14999999999999</v>
      </c>
      <c r="U46" s="27">
        <f t="shared" ref="U46" si="633">IF(T41="T",$C$46*0.75,IF(U50="K",IF(R51&gt;0,$C$46,IF(T51&gt;0,$C$46,IF(S51&gt;0,$C$46,$C$46*0.25))),$C$46))</f>
        <v>106.14999999999999</v>
      </c>
      <c r="V46" s="27">
        <f t="shared" ref="V46" si="634">IF(U41="T",$C$46*0.75,IF(V50="K",IF(S51&gt;0,$C$46,IF(U51&gt;0,$C$46,IF(T51&gt;0,$C$46,$C$46*0.25))),$C$46))</f>
        <v>26.537499999999998</v>
      </c>
      <c r="W46" s="27">
        <f t="shared" ref="W46" si="635">IF(V41="T",$C$46*0.75,IF(W50="K",IF(T51&gt;0,$C$46,IF(V51&gt;0,$C$46,IF(U51&gt;0,$C$46,$C$46*0.25))),$C$46))</f>
        <v>106.14999999999999</v>
      </c>
      <c r="X46" s="27">
        <f t="shared" ref="X46" si="636">IF(W41="T",$C$46*0.75,IF(X50="K",IF(U51&gt;0,$C$46,IF(W51&gt;0,$C$46,IF(V51&gt;0,$C$46,$C$46*0.25))),$C$46))</f>
        <v>106.14999999999999</v>
      </c>
      <c r="Y46" s="27">
        <f t="shared" ref="Y46" si="637">IF(X41="T",$C$46*0.75,IF(Y50="K",IF(V51&gt;0,$C$46,IF(X51&gt;0,$C$46,IF(W51&gt;0,$C$46,$C$46*0.25))),$C$46))</f>
        <v>106.14999999999999</v>
      </c>
      <c r="Z46" s="27">
        <f t="shared" ref="Z46" si="638">IF(Y41="T",$C$46*0.75,IF(Z50="K",IF(W51&gt;0,$C$46,IF(Y51&gt;0,$C$46,IF(X51&gt;0,$C$46,$C$46*0.25))),$C$46))</f>
        <v>106.14999999999999</v>
      </c>
      <c r="AA46" s="27">
        <f t="shared" ref="AA46" si="639">IF(Z41="T",$C$46*0.75,IF(AA50="K",IF(X51&gt;0,$C$46,IF(Z51&gt;0,$C$46,IF(Y51&gt;0,$C$46,$C$46*0.25))),$C$46))</f>
        <v>79.612499999999997</v>
      </c>
      <c r="AB46" s="60">
        <f t="shared" ref="AB46" si="640">IF(AA41="T",$C$46*0.75,IF(AB50="K",IF(Y51&gt;0,$C$46,IF(AA51&gt;0,$C$46,IF(Z51&gt;0,$C$46,$C$46*0.25))),$C$46))</f>
        <v>79.612499999999997</v>
      </c>
      <c r="AC46" s="26">
        <f t="shared" ref="AC46" si="641">IF(AB41="T",$C$46*0.75,IF(AC50="K",IF(Z51&gt;0,$C$46,IF(AB51&gt;0,$C$46,IF(AA51&gt;0,$C$46,$C$46*0.25))),$C$46))</f>
        <v>79.612499999999997</v>
      </c>
      <c r="AD46" s="27">
        <f t="shared" ref="AD46" si="642">IF(AC41="T",$C$46*0.75,IF(AD50="K",IF(AA51&gt;0,$C$46,IF(AC51&gt;0,$C$46,IF(AB51&gt;0,$C$46,$C$46*0.25))),$C$46))</f>
        <v>79.612499999999997</v>
      </c>
      <c r="AE46" s="27">
        <f t="shared" ref="AE46" si="643">IF(AD41="T",$C$46*0.75,IF(AE50="K",IF(AB51&gt;0,$C$46,IF(AD51&gt;0,$C$46,IF(AC51&gt;0,$C$46,$C$46*0.25))),$C$46))</f>
        <v>79.612499999999997</v>
      </c>
      <c r="AF46" s="27">
        <f t="shared" ref="AF46" si="644">IF(AE41="T",$C$46*0.75,IF(AF50="K",IF(AC51&gt;0,$C$46,IF(AE51&gt;0,$C$46,IF(AD51&gt;0,$C$46,$C$46*0.25))),$C$46))</f>
        <v>79.612499999999997</v>
      </c>
      <c r="AG46" s="27">
        <f t="shared" ref="AG46" si="645">IF(AF41="T",$C$46*0.75,IF(AG50="K",IF(AD51&gt;0,$C$46,IF(AF51&gt;0,$C$46,IF(AE51&gt;0,$C$46,$C$46*0.25))),$C$46))</f>
        <v>79.612499999999997</v>
      </c>
      <c r="AH46" s="27">
        <f t="shared" ref="AH46" si="646">IF(AG41="T",$C$46*0.75,IF(AH50="K",IF(AE51&gt;0,$C$46,IF(AG51&gt;0,$C$46,IF(AF51&gt;0,$C$46,$C$46*0.25))),$C$46))</f>
        <v>79.612499999999997</v>
      </c>
      <c r="AI46" s="27">
        <f t="shared" ref="AI46" si="647">IF(AH41="T",$C$46*0.75,IF(AI50="K",IF(AF51&gt;0,$C$46,IF(AH51&gt;0,$C$46,IF(AG51&gt;0,$C$46,$C$46*0.25))),$C$46))</f>
        <v>79.612499999999997</v>
      </c>
      <c r="AJ46" s="27">
        <f t="shared" ref="AJ46" si="648">IF(AI41="T",$C$46*0.75,IF(AJ50="K",IF(AG51&gt;0,$C$46,IF(AI51&gt;0,$C$46,IF(AH51&gt;0,$C$46,$C$46*0.25))),$C$46))</f>
        <v>79.612499999999997</v>
      </c>
      <c r="AK46" s="27">
        <f t="shared" ref="AK46" si="649">IF(AJ41="T",$C$46*0.75,IF(AK50="K",IF(AH51&gt;0,$C$46,IF(AJ51&gt;0,$C$46,IF(AI51&gt;0,$C$46,$C$46*0.25))),$C$46))</f>
        <v>79.612499999999997</v>
      </c>
      <c r="AL46" s="27">
        <f t="shared" ref="AL46" si="650">IF(AK41="T",$C$46*0.75,IF(AL50="K",IF(AI51&gt;0,$C$46,IF(AK51&gt;0,$C$46,IF(AJ51&gt;0,$C$46,$C$46*0.25))),$C$46))</f>
        <v>79.612499999999997</v>
      </c>
      <c r="AM46" s="27">
        <f t="shared" ref="AM46" si="651">IF(AL41="T",$C$46*0.75,IF(AM50="K",IF(AJ51&gt;0,$C$46,IF(AL51&gt;0,$C$46,IF(AK51&gt;0,$C$46,$C$46*0.25))),$C$46))</f>
        <v>79.612499999999997</v>
      </c>
      <c r="AN46" s="27">
        <f t="shared" ref="AN46" si="652">IF(AM41="T",$C$46*0.75,IF(AN50="K",IF(AK51&gt;0,$C$46,IF(AM51&gt;0,$C$46,IF(AL51&gt;0,$C$46,$C$46*0.25))),$C$46))</f>
        <v>79.612499999999997</v>
      </c>
      <c r="AO46" s="27">
        <f t="shared" ref="AO46" si="653">IF(AN41="T",$C$46*0.75,IF(AO50="K",IF(AL51&gt;0,$C$46,IF(AN51&gt;0,$C$46,IF(AM51&gt;0,$C$46,$C$46*0.25))),$C$46))</f>
        <v>79.612499999999997</v>
      </c>
      <c r="AP46" s="27">
        <f t="shared" ref="AP46" si="654">IF(AO41="T",$C$46*0.75,IF(AP50="K",IF(AM51&gt;0,$C$46,IF(AO51&gt;0,$C$46,IF(AN51&gt;0,$C$46,$C$46*0.25))),$C$46))</f>
        <v>79.612499999999997</v>
      </c>
      <c r="AQ46" s="27">
        <f t="shared" ref="AQ46" si="655">IF(AP41="T",$C$46*0.75,IF(AQ50="K",IF(AN51&gt;0,$C$46,IF(AP51&gt;0,$C$46,IF(AO51&gt;0,$C$46,$C$46*0.25))),$C$46))</f>
        <v>79.612499999999997</v>
      </c>
      <c r="AR46" s="27">
        <f t="shared" ref="AR46" si="656">IF(AQ41="T",$C$46*0.75,IF(AR50="K",IF(AO51&gt;0,$C$46,IF(AQ51&gt;0,$C$46,IF(AP51&gt;0,$C$46,$C$46*0.25))),$C$46))</f>
        <v>79.612499999999997</v>
      </c>
      <c r="AS46" s="27">
        <f t="shared" ref="AS46" si="657">IF(AR41="T",$C$46*0.75,IF(AS50="K",IF(AP51&gt;0,$C$46,IF(AR51&gt;0,$C$46,IF(AQ51&gt;0,$C$46,$C$46*0.25))),$C$46))</f>
        <v>79.612499999999997</v>
      </c>
      <c r="AT46" s="27">
        <f t="shared" ref="AT46" si="658">IF(AS41="T",$C$46*0.75,IF(AT50="K",IF(AQ51&gt;0,$C$46,IF(AS51&gt;0,$C$46,IF(AR51&gt;0,$C$46,$C$46*0.25))),$C$46))</f>
        <v>79.612499999999997</v>
      </c>
      <c r="AU46" s="27">
        <f t="shared" ref="AU46" si="659">IF(AT41="T",$C$46*0.75,IF(AU50="K",IF(AR51&gt;0,$C$46,IF(AT51&gt;0,$C$46,IF(AS51&gt;0,$C$46,$C$46*0.25))),$C$46))</f>
        <v>79.612499999999997</v>
      </c>
      <c r="AV46" s="27">
        <f t="shared" ref="AV46" si="660">IF(AU41="T",$C$46*0.75,IF(AV50="K",IF(AS51&gt;0,$C$46,IF(AU51&gt;0,$C$46,IF(AT51&gt;0,$C$46,$C$46*0.25))),$C$46))</f>
        <v>79.612499999999997</v>
      </c>
      <c r="AW46" s="27">
        <f t="shared" ref="AW46" si="661">IF(AV41="T",$C$46*0.75,IF(AW50="K",IF(AT51&gt;0,$C$46,IF(AV51&gt;0,$C$46,IF(AU51&gt;0,$C$46,$C$46*0.25))),$C$46))</f>
        <v>79.612499999999997</v>
      </c>
      <c r="AX46" s="27">
        <f t="shared" ref="AX46" si="662">IF(AW41="T",$C$46*0.75,IF(AX50="K",IF(AU51&gt;0,$C$46,IF(AW51&gt;0,$C$46,IF(AV51&gt;0,$C$46,$C$46*0.25))),$C$46))</f>
        <v>79.612499999999997</v>
      </c>
      <c r="AY46" s="27">
        <f t="shared" ref="AY46" si="663">IF(AX41="T",$C$46*0.75,IF(AY50="K",IF(AV51&gt;0,$C$46,IF(AX51&gt;0,$C$46,IF(AW51&gt;0,$C$46,$C$46*0.25))),$C$46))</f>
        <v>79.612499999999997</v>
      </c>
      <c r="AZ46" s="60">
        <f t="shared" ref="AZ46" si="664">IF(AY41="T",$C$46*0.75,IF(AZ50="K",IF(AW51&gt;0,$C$46,IF(AY51&gt;0,$C$46,IF(AX51&gt;0,$C$46,$C$46*0.25))),$C$46))</f>
        <v>79.612499999999997</v>
      </c>
      <c r="BA46" s="26">
        <f t="shared" ref="BA46" si="665">IF(AZ41="T",$C$46*0.75,IF(BA50="K",IF(AX51&gt;0,$C$46,IF(AZ51&gt;0,$C$46,IF(AY51&gt;0,$C$46,$C$46*0.25))),$C$46))</f>
        <v>79.612499999999997</v>
      </c>
      <c r="BB46" s="27">
        <f t="shared" ref="BB46" si="666">IF(BA41="T",$C$46*0.75,IF(BB50="K",IF(AY51&gt;0,$C$46,IF(BA51&gt;0,$C$46,IF(AZ51&gt;0,$C$46,$C$46*0.25))),$C$46))</f>
        <v>79.612499999999997</v>
      </c>
      <c r="BC46" s="27">
        <f t="shared" ref="BC46" si="667">IF(BB41="T",$C$46*0.75,IF(BC50="K",IF(AZ51&gt;0,$C$46,IF(BB51&gt;0,$C$46,IF(BA51&gt;0,$C$46,$C$46*0.25))),$C$46))</f>
        <v>79.612499999999997</v>
      </c>
      <c r="BD46" s="27">
        <f t="shared" ref="BD46" si="668">IF(BC41="T",$C$46*0.75,IF(BD50="K",IF(BA51&gt;0,$C$46,IF(BC51&gt;0,$C$46,IF(BB51&gt;0,$C$46,$C$46*0.25))),$C$46))</f>
        <v>79.612499999999997</v>
      </c>
      <c r="BE46" s="27">
        <f t="shared" ref="BE46" si="669">IF(BD41="T",$C$46*0.75,IF(BE50="K",IF(BB51&gt;0,$C$46,IF(BD51&gt;0,$C$46,IF(BC51&gt;0,$C$46,$C$46*0.25))),$C$46))</f>
        <v>106.14999999999999</v>
      </c>
      <c r="BF46" s="27">
        <f t="shared" ref="BF46" si="670">IF(BE41="T",$C$46*0.75,IF(BF50="K",IF(BC51&gt;0,$C$46,IF(BE51&gt;0,$C$46,IF(BD51&gt;0,$C$46,$C$46*0.25))),$C$46))</f>
        <v>26.537499999999998</v>
      </c>
      <c r="BG46" s="27">
        <f t="shared" ref="BG46" si="671">IF(BF41="T",$C$46*0.75,IF(BG50="K",IF(BD51&gt;0,$C$46,IF(BF51&gt;0,$C$46,IF(BE51&gt;0,$C$46,$C$46*0.25))),$C$46))</f>
        <v>106.14999999999999</v>
      </c>
      <c r="BH46" s="27">
        <f t="shared" ref="BH46" si="672">IF(BG41="T",$C$46*0.75,IF(BH50="K",IF(BE51&gt;0,$C$46,IF(BG51&gt;0,$C$46,IF(BF51&gt;0,$C$46,$C$46*0.25))),$C$46))</f>
        <v>106.14999999999999</v>
      </c>
      <c r="BI46" s="27">
        <f t="shared" ref="BI46" si="673">IF(BH41="T",$C$46*0.75,IF(BI50="K",IF(BF51&gt;0,$C$46,IF(BH51&gt;0,$C$46,IF(BG51&gt;0,$C$46,$C$46*0.25))),$C$46))</f>
        <v>106.14999999999999</v>
      </c>
      <c r="BJ46" s="27">
        <f t="shared" ref="BJ46" si="674">IF(BI41="T",$C$46*0.75,IF(BJ50="K",IF(BG51&gt;0,$C$46,IF(BI51&gt;0,$C$46,IF(BH51&gt;0,$C$46,$C$46*0.25))),$C$46))</f>
        <v>106.14999999999999</v>
      </c>
      <c r="BK46" s="27">
        <f t="shared" ref="BK46" si="675">IF(BJ41="T",$C$46*0.75,IF(BK50="K",IF(BH51&gt;0,$C$46,IF(BJ51&gt;0,$C$46,IF(BI51&gt;0,$C$46,$C$46*0.25))),$C$46))</f>
        <v>106.14999999999999</v>
      </c>
      <c r="BL46" s="27">
        <f t="shared" ref="BL46" si="676">IF(BK41="T",$C$46*0.75,IF(BL50="K",IF(BI51&gt;0,$C$46,IF(BK51&gt;0,$C$46,IF(BJ51&gt;0,$C$46,$C$46*0.25))),$C$46))</f>
        <v>26.537499999999998</v>
      </c>
      <c r="BM46" s="27">
        <f t="shared" ref="BM46" si="677">IF(BL41="T",$C$46*0.75,IF(BM50="K",IF(BJ51&gt;0,$C$46,IF(BL51&gt;0,$C$46,IF(BK51&gt;0,$C$46,$C$46*0.25))),$C$46))</f>
        <v>26.537499999999998</v>
      </c>
      <c r="BN46" s="27">
        <f t="shared" ref="BN46" si="678">IF(BM41="T",$C$46*0.75,IF(BN50="K",IF(BK51&gt;0,$C$46,IF(BM51&gt;0,$C$46,IF(BL51&gt;0,$C$46,$C$46*0.25))),$C$46))</f>
        <v>26.537499999999998</v>
      </c>
      <c r="BO46" s="27">
        <f t="shared" ref="BO46" si="679">IF(BN41="T",$C$46*0.75,IF(BO50="K",IF(BL51&gt;0,$C$46,IF(BN51&gt;0,$C$46,IF(BM51&gt;0,$C$46,$C$46*0.25))),$C$46))</f>
        <v>26.537499999999998</v>
      </c>
      <c r="BP46" s="27">
        <f t="shared" ref="BP46" si="680">IF(BO41="T",$C$46*0.75,IF(BP50="K",IF(BM51&gt;0,$C$46,IF(BO51&gt;0,$C$46,IF(BN51&gt;0,$C$46,$C$46*0.25))),$C$46))</f>
        <v>106.14999999999999</v>
      </c>
      <c r="BQ46" s="27">
        <f t="shared" ref="BQ46" si="681">IF(BP41="T",$C$46*0.75,IF(BQ50="K",IF(BN51&gt;0,$C$46,IF(BP51&gt;0,$C$46,IF(BO51&gt;0,$C$46,$C$46*0.25))),$C$46))</f>
        <v>106.14999999999999</v>
      </c>
      <c r="BR46" s="27">
        <f t="shared" ref="BR46" si="682">IF(BQ41="T",$C$46*0.75,IF(BR50="K",IF(BO51&gt;0,$C$46,IF(BQ51&gt;0,$C$46,IF(BP51&gt;0,$C$46,$C$46*0.25))),$C$46))</f>
        <v>26.537499999999998</v>
      </c>
      <c r="BS46" s="27">
        <f t="shared" ref="BS46" si="683">IF(BR41="T",$C$46*0.75,IF(BS50="K",IF(BP51&gt;0,$C$46,IF(BR51&gt;0,$C$46,IF(BQ51&gt;0,$C$46,$C$46*0.25))),$C$46))</f>
        <v>26.537499999999998</v>
      </c>
      <c r="BT46" s="27">
        <f t="shared" ref="BT46" si="684">IF(BS41="T",$C$46*0.75,IF(BT50="K",IF(BQ51&gt;0,$C$46,IF(BS51&gt;0,$C$46,IF(BR51&gt;0,$C$46,$C$46*0.25))),$C$46))</f>
        <v>26.537499999999998</v>
      </c>
      <c r="BU46" s="27">
        <f t="shared" ref="BU46" si="685">IF(BT41="T",$C$46*0.75,IF(BU50="K",IF(BR51&gt;0,$C$46,IF(BT51&gt;0,$C$46,IF(BS51&gt;0,$C$46,$C$46*0.25))),$C$46))</f>
        <v>26.537499999999998</v>
      </c>
      <c r="BV46" s="27">
        <f t="shared" ref="BV46" si="686">IF(BU41="T",$C$46*0.75,IF(BV50="K",IF(BS51&gt;0,$C$46,IF(BU51&gt;0,$C$46,IF(BT51&gt;0,$C$46,$C$46*0.25))),$C$46))</f>
        <v>106.14999999999999</v>
      </c>
      <c r="BW46" s="27">
        <f t="shared" ref="BW46" si="687">IF(BV41="T",$C$46*0.75,IF(BW50="K",IF(BT51&gt;0,$C$46,IF(BV51&gt;0,$C$46,IF(BU51&gt;0,$C$46,$C$46*0.25))),$C$46))</f>
        <v>79.612499999999997</v>
      </c>
      <c r="BX46" s="60">
        <f t="shared" ref="BX46" si="688">IF(BW41="T",$C$46*0.75,IF(BX50="K",IF(BU51&gt;0,$C$46,IF(BW51&gt;0,$C$46,IF(BV51&gt;0,$C$46,$C$46*0.25))),$C$46))</f>
        <v>79.612499999999997</v>
      </c>
      <c r="BY46" s="26">
        <f t="shared" ref="BY46" si="689">IF(BX41="T",$C$46*0.75,IF(BY50="K",IF(BV51&gt;0,$C$46,IF(BX51&gt;0,$C$46,IF(BW51&gt;0,$C$46,$C$46*0.25))),$C$46))</f>
        <v>79.612499999999997</v>
      </c>
      <c r="BZ46" s="27">
        <f t="shared" ref="BZ46" si="690">IF(BY41="T",$C$46*0.75,IF(BZ50="K",IF(BW51&gt;0,$C$46,IF(BY51&gt;0,$C$46,IF(BX51&gt;0,$C$46,$C$46*0.25))),$C$46))</f>
        <v>79.612499999999997</v>
      </c>
      <c r="CA46" s="27">
        <f t="shared" ref="CA46" si="691">IF(BZ41="T",$C$46*0.75,IF(CA50="K",IF(BX51&gt;0,$C$46,IF(BZ51&gt;0,$C$46,IF(BY51&gt;0,$C$46,$C$46*0.25))),$C$46))</f>
        <v>79.612499999999997</v>
      </c>
      <c r="CB46" s="27">
        <f t="shared" ref="CB46" si="692">IF(CA41="T",$C$46*0.75,IF(CB50="K",IF(BY51&gt;0,$C$46,IF(CA51&gt;0,$C$46,IF(BZ51&gt;0,$C$46,$C$46*0.25))),$C$46))</f>
        <v>79.612499999999997</v>
      </c>
      <c r="CC46" s="27">
        <f t="shared" ref="CC46" si="693">IF(CB41="T",$C$46*0.75,IF(CC50="K",IF(BZ51&gt;0,$C$46,IF(CB51&gt;0,$C$46,IF(CA51&gt;0,$C$46,$C$46*0.25))),$C$46))</f>
        <v>106.14999999999999</v>
      </c>
      <c r="CD46" s="27">
        <f t="shared" ref="CD46" si="694">IF(CC41="T",$C$46*0.75,IF(CD50="K",IF(CA51&gt;0,$C$46,IF(CC51&gt;0,$C$46,IF(CB51&gt;0,$C$46,$C$46*0.25))),$C$46))</f>
        <v>26.537499999999998</v>
      </c>
      <c r="CE46" s="27">
        <f t="shared" ref="CE46" si="695">IF(CD41="T",$C$46*0.75,IF(CE50="K",IF(CB51&gt;0,$C$46,IF(CD51&gt;0,$C$46,IF(CC51&gt;0,$C$46,$C$46*0.25))),$C$46))</f>
        <v>26.537499999999998</v>
      </c>
      <c r="CF46" s="27">
        <f t="shared" ref="CF46" si="696">IF(CE41="T",$C$46*0.75,IF(CF50="K",IF(CC51&gt;0,$C$46,IF(CE51&gt;0,$C$46,IF(CD51&gt;0,$C$46,$C$46*0.25))),$C$46))</f>
        <v>26.537499999999998</v>
      </c>
      <c r="CG46" s="27">
        <f t="shared" ref="CG46" si="697">IF(CF41="T",$C$46*0.75,IF(CG50="K",IF(CD51&gt;0,$C$46,IF(CF51&gt;0,$C$46,IF(CE51&gt;0,$C$46,$C$46*0.25))),$C$46))</f>
        <v>26.537499999999998</v>
      </c>
      <c r="CH46" s="27">
        <f t="shared" ref="CH46" si="698">IF(CG41="T",$C$46*0.75,IF(CH50="K",IF(CE51&gt;0,$C$46,IF(CG51&gt;0,$C$46,IF(CF51&gt;0,$C$46,$C$46*0.25))),$C$46))</f>
        <v>106.14999999999999</v>
      </c>
      <c r="CI46" s="27">
        <f t="shared" ref="CI46" si="699">IF(CH41="T",$C$46*0.75,IF(CI50="K",IF(CF51&gt;0,$C$46,IF(CH51&gt;0,$C$46,IF(CG51&gt;0,$C$46,$C$46*0.25))),$C$46))</f>
        <v>106.14999999999999</v>
      </c>
      <c r="CJ46" s="27">
        <f t="shared" ref="CJ46" si="700">IF(CI41="T",$C$46*0.75,IF(CJ50="K",IF(CG51&gt;0,$C$46,IF(CI51&gt;0,$C$46,IF(CH51&gt;0,$C$46,$C$46*0.25))),$C$46))</f>
        <v>26.537499999999998</v>
      </c>
      <c r="CK46" s="27">
        <f t="shared" ref="CK46" si="701">IF(CJ41="T",$C$46*0.75,IF(CK50="K",IF(CH51&gt;0,$C$46,IF(CJ51&gt;0,$C$46,IF(CI51&gt;0,$C$46,$C$46*0.25))),$C$46))</f>
        <v>26.537499999999998</v>
      </c>
      <c r="CL46" s="27">
        <f t="shared" ref="CL46" si="702">IF(CK41="T",$C$46*0.75,IF(CL50="K",IF(CI51&gt;0,$C$46,IF(CK51&gt;0,$C$46,IF(CJ51&gt;0,$C$46,$C$46*0.25))),$C$46))</f>
        <v>26.537499999999998</v>
      </c>
      <c r="CM46" s="27">
        <f t="shared" ref="CM46" si="703">IF(CL41="T",$C$46*0.75,IF(CM50="K",IF(CJ51&gt;0,$C$46,IF(CL51&gt;0,$C$46,IF(CK51&gt;0,$C$46,$C$46*0.25))),$C$46))</f>
        <v>26.537499999999998</v>
      </c>
      <c r="CN46" s="27">
        <f t="shared" ref="CN46" si="704">IF(CM41="T",$C$46*0.75,IF(CN50="K",IF(CK51&gt;0,$C$46,IF(CM51&gt;0,$C$46,IF(CL51&gt;0,$C$46,$C$46*0.25))),$C$46))</f>
        <v>106.14999999999999</v>
      </c>
      <c r="CO46" s="27">
        <f t="shared" ref="CO46" si="705">IF(CN41="T",$C$46*0.75,IF(CO50="K",IF(CL51&gt;0,$C$46,IF(CN51&gt;0,$C$46,IF(CM51&gt;0,$C$46,$C$46*0.25))),$C$46))</f>
        <v>106.14999999999999</v>
      </c>
      <c r="CP46" s="27">
        <f t="shared" ref="CP46" si="706">IF(CO41="T",$C$46*0.75,IF(CP50="K",IF(CM51&gt;0,$C$46,IF(CO51&gt;0,$C$46,IF(CN51&gt;0,$C$46,$C$46*0.25))),$C$46))</f>
        <v>26.537499999999998</v>
      </c>
      <c r="CQ46" s="27">
        <f t="shared" ref="CQ46" si="707">IF(CP41="T",$C$46*0.75,IF(CQ50="K",IF(CN51&gt;0,$C$46,IF(CP51&gt;0,$C$46,IF(CO51&gt;0,$C$46,$C$46*0.25))),$C$46))</f>
        <v>26.537499999999998</v>
      </c>
      <c r="CR46" s="27">
        <f t="shared" ref="CR46" si="708">IF(CQ41="T",$C$46*0.75,IF(CR50="K",IF(CO51&gt;0,$C$46,IF(CQ51&gt;0,$C$46,IF(CP51&gt;0,$C$46,$C$46*0.25))),$C$46))</f>
        <v>26.537499999999998</v>
      </c>
      <c r="CS46" s="27">
        <f t="shared" ref="CS46" si="709">IF(CR41="T",$C$46*0.75,IF(CS50="K",IF(CP51&gt;0,$C$46,IF(CR51&gt;0,$C$46,IF(CQ51&gt;0,$C$46,$C$46*0.25))),$C$46))</f>
        <v>26.537499999999998</v>
      </c>
      <c r="CT46" s="27">
        <f t="shared" ref="CT46" si="710">IF(CS41="T",$C$46*0.75,IF(CT50="K",IF(CQ51&gt;0,$C$46,IF(CS51&gt;0,$C$46,IF(CR51&gt;0,$C$46,$C$46*0.25))),$C$46))</f>
        <v>79.612499999999997</v>
      </c>
      <c r="CU46" s="27">
        <f t="shared" ref="CU46" si="711">IF(CT41="T",$C$46*0.75,IF(CU50="K",IF(CR51&gt;0,$C$46,IF(CT51&gt;0,$C$46,IF(CS51&gt;0,$C$46,$C$46*0.25))),$C$46))</f>
        <v>79.612499999999997</v>
      </c>
      <c r="CV46" s="60">
        <f t="shared" ref="CV46" si="712">IF(CU41="T",$C$46*0.75,IF(CV50="K",IF(CS51&gt;0,$C$46,IF(CU51&gt;0,$C$46,IF(CT51&gt;0,$C$46,$C$46*0.25))),$C$46))</f>
        <v>79.612499999999997</v>
      </c>
      <c r="CW46" s="26">
        <f t="shared" ref="CW46" si="713">IF(CV41="T",$C$46*0.75,IF(CW50="K",IF(CT51&gt;0,$C$46,IF(CV51&gt;0,$C$46,IF(CU51&gt;0,$C$46,$C$46*0.25))),$C$46))</f>
        <v>79.612499999999997</v>
      </c>
      <c r="CX46" s="27">
        <f t="shared" ref="CX46" si="714">IF(CW41="T",$C$46*0.75,IF(CX50="K",IF(CU51&gt;0,$C$46,IF(CW51&gt;0,$C$46,IF(CV51&gt;0,$C$46,$C$46*0.25))),$C$46))</f>
        <v>79.612499999999997</v>
      </c>
      <c r="CY46" s="27">
        <f t="shared" ref="CY46" si="715">IF(CX41="T",$C$46*0.75,IF(CY50="K",IF(CV51&gt;0,$C$46,IF(CX51&gt;0,$C$46,IF(CW51&gt;0,$C$46,$C$46*0.25))),$C$46))</f>
        <v>79.612499999999997</v>
      </c>
      <c r="CZ46" s="27">
        <f t="shared" ref="CZ46" si="716">IF(CY41="T",$C$46*0.75,IF(CZ50="K",IF(CW51&gt;0,$C$46,IF(CY51&gt;0,$C$46,IF(CX51&gt;0,$C$46,$C$46*0.25))),$C$46))</f>
        <v>79.612499999999997</v>
      </c>
      <c r="DA46" s="27">
        <f t="shared" ref="DA46" si="717">IF(CZ41="T",$C$46*0.75,IF(DA50="K",IF(CX51&gt;0,$C$46,IF(CZ51&gt;0,$C$46,IF(CY51&gt;0,$C$46,$C$46*0.25))),$C$46))</f>
        <v>106.14999999999999</v>
      </c>
      <c r="DB46" s="27">
        <f t="shared" ref="DB46" si="718">IF(DA41="T",$C$46*0.75,IF(DB50="K",IF(CY51&gt;0,$C$46,IF(DA51&gt;0,$C$46,IF(CZ51&gt;0,$C$46,$C$46*0.25))),$C$46))</f>
        <v>26.537499999999998</v>
      </c>
      <c r="DC46" s="27">
        <f t="shared" ref="DC46" si="719">IF(DB41="T",$C$46*0.75,IF(DC50="K",IF(CZ51&gt;0,$C$46,IF(DB51&gt;0,$C$46,IF(DA51&gt;0,$C$46,$C$46*0.25))),$C$46))</f>
        <v>26.537499999999998</v>
      </c>
      <c r="DD46" s="27">
        <f t="shared" ref="DD46" si="720">IF(DC41="T",$C$46*0.75,IF(DD50="K",IF(DA51&gt;0,$C$46,IF(DC51&gt;0,$C$46,IF(DB51&gt;0,$C$46,$C$46*0.25))),$C$46))</f>
        <v>26.537499999999998</v>
      </c>
      <c r="DE46" s="27">
        <f t="shared" ref="DE46" si="721">IF(DD41="T",$C$46*0.75,IF(DE50="K",IF(DB51&gt;0,$C$46,IF(DD51&gt;0,$C$46,IF(DC51&gt;0,$C$46,$C$46*0.25))),$C$46))</f>
        <v>26.537499999999998</v>
      </c>
      <c r="DF46" s="27">
        <f t="shared" ref="DF46" si="722">IF(DE41="T",$C$46*0.75,IF(DF50="K",IF(DC51&gt;0,$C$46,IF(DE51&gt;0,$C$46,IF(DD51&gt;0,$C$46,$C$46*0.25))),$C$46))</f>
        <v>106.14999999999999</v>
      </c>
      <c r="DG46" s="27">
        <f t="shared" ref="DG46" si="723">IF(DF41="T",$C$46*0.75,IF(DG50="K",IF(DD51&gt;0,$C$46,IF(DF51&gt;0,$C$46,IF(DE51&gt;0,$C$46,$C$46*0.25))),$C$46))</f>
        <v>106.14999999999999</v>
      </c>
      <c r="DH46" s="27">
        <f t="shared" ref="DH46" si="724">IF(DG41="T",$C$46*0.75,IF(DH50="K",IF(DE51&gt;0,$C$46,IF(DG51&gt;0,$C$46,IF(DF51&gt;0,$C$46,$C$46*0.25))),$C$46))</f>
        <v>26.537499999999998</v>
      </c>
      <c r="DI46" s="27">
        <f t="shared" ref="DI46" si="725">IF(DH41="T",$C$46*0.75,IF(DI50="K",IF(DF51&gt;0,$C$46,IF(DH51&gt;0,$C$46,IF(DG51&gt;0,$C$46,$C$46*0.25))),$C$46))</f>
        <v>26.537499999999998</v>
      </c>
      <c r="DJ46" s="27">
        <f t="shared" ref="DJ46" si="726">IF(DI41="T",$C$46*0.75,IF(DJ50="K",IF(DG51&gt;0,$C$46,IF(DI51&gt;0,$C$46,IF(DH51&gt;0,$C$46,$C$46*0.25))),$C$46))</f>
        <v>26.537499999999998</v>
      </c>
      <c r="DK46" s="27">
        <f t="shared" ref="DK46" si="727">IF(DJ41="T",$C$46*0.75,IF(DK50="K",IF(DH51&gt;0,$C$46,IF(DJ51&gt;0,$C$46,IF(DI51&gt;0,$C$46,$C$46*0.25))),$C$46))</f>
        <v>26.537499999999998</v>
      </c>
      <c r="DL46" s="27">
        <f t="shared" ref="DL46" si="728">IF(DK41="T",$C$46*0.75,IF(DL50="K",IF(DI51&gt;0,$C$46,IF(DK51&gt;0,$C$46,IF(DJ51&gt;0,$C$46,$C$46*0.25))),$C$46))</f>
        <v>106.14999999999999</v>
      </c>
      <c r="DM46" s="27">
        <f t="shared" ref="DM46" si="729">IF(DL41="T",$C$46*0.75,IF(DM50="K",IF(DJ51&gt;0,$C$46,IF(DL51&gt;0,$C$46,IF(DK51&gt;0,$C$46,$C$46*0.25))),$C$46))</f>
        <v>106.14999999999999</v>
      </c>
      <c r="DN46" s="27">
        <f t="shared" ref="DN46" si="730">IF(DM41="T",$C$46*0.75,IF(DN50="K",IF(DK51&gt;0,$C$46,IF(DM51&gt;0,$C$46,IF(DL51&gt;0,$C$46,$C$46*0.25))),$C$46))</f>
        <v>26.537499999999998</v>
      </c>
      <c r="DO46" s="27">
        <f t="shared" ref="DO46" si="731">IF(DN41="T",$C$46*0.75,IF(DO50="K",IF(DL51&gt;0,$C$46,IF(DN51&gt;0,$C$46,IF(DM51&gt;0,$C$46,$C$46*0.25))),$C$46))</f>
        <v>26.537499999999998</v>
      </c>
      <c r="DP46" s="27">
        <f t="shared" ref="DP46" si="732">IF(DO41="T",$C$46*0.75,IF(DP50="K",IF(DM51&gt;0,$C$46,IF(DO51&gt;0,$C$46,IF(DN51&gt;0,$C$46,$C$46*0.25))),$C$46))</f>
        <v>26.537499999999998</v>
      </c>
      <c r="DQ46" s="27">
        <f t="shared" ref="DQ46" si="733">IF(DP41="T",$C$46*0.75,IF(DQ50="K",IF(DN51&gt;0,$C$46,IF(DP51&gt;0,$C$46,IF(DO51&gt;0,$C$46,$C$46*0.25))),$C$46))</f>
        <v>26.537499999999998</v>
      </c>
      <c r="DR46" s="27">
        <f t="shared" ref="DR46" si="734">IF(DQ41="T",$C$46*0.75,IF(DR50="K",IF(DO51&gt;0,$C$46,IF(DQ51&gt;0,$C$46,IF(DP51&gt;0,$C$46,$C$46*0.25))),$C$46))</f>
        <v>79.612499999999997</v>
      </c>
      <c r="DS46" s="27">
        <f t="shared" ref="DS46" si="735">IF(DR41="T",$C$46*0.75,IF(DS50="K",IF(DP51&gt;0,$C$46,IF(DR51&gt;0,$C$46,IF(DQ51&gt;0,$C$46,$C$46*0.25))),$C$46))</f>
        <v>79.612499999999997</v>
      </c>
      <c r="DT46" s="27">
        <f t="shared" ref="DT46" si="736">IF(DS41="T",$C$46*0.75,IF(DT50="K",IF(DQ51&gt;0,$C$46,IF(DS51&gt;0,$C$46,IF(DR51&gt;0,$C$46,$C$46*0.25))),$C$46))</f>
        <v>79.612499999999997</v>
      </c>
    </row>
    <row r="47" spans="2:124" s="12" customFormat="1" x14ac:dyDescent="0.2">
      <c r="B47" s="28" t="s">
        <v>14</v>
      </c>
      <c r="C47" s="75"/>
      <c r="D47" s="144">
        <f>IF(D41="T",54*0.9,54*2)</f>
        <v>48.6</v>
      </c>
      <c r="E47" s="29">
        <f t="shared" ref="E47:BP47" si="737">IF(E41="T",54*0.9,54*2)</f>
        <v>48.6</v>
      </c>
      <c r="F47" s="12">
        <f t="shared" si="737"/>
        <v>48.6</v>
      </c>
      <c r="G47" s="12">
        <f t="shared" si="737"/>
        <v>48.6</v>
      </c>
      <c r="H47" s="12">
        <f t="shared" si="737"/>
        <v>108</v>
      </c>
      <c r="I47" s="12">
        <f t="shared" si="737"/>
        <v>108</v>
      </c>
      <c r="J47" s="12">
        <f t="shared" si="737"/>
        <v>108</v>
      </c>
      <c r="K47" s="12">
        <f t="shared" si="737"/>
        <v>108</v>
      </c>
      <c r="L47" s="12">
        <f t="shared" si="737"/>
        <v>108</v>
      </c>
      <c r="M47" s="12">
        <f t="shared" si="737"/>
        <v>108</v>
      </c>
      <c r="N47" s="12">
        <f t="shared" si="737"/>
        <v>108</v>
      </c>
      <c r="O47" s="12">
        <f t="shared" si="737"/>
        <v>108</v>
      </c>
      <c r="P47" s="12">
        <f t="shared" si="737"/>
        <v>108</v>
      </c>
      <c r="Q47" s="12">
        <f t="shared" si="737"/>
        <v>108</v>
      </c>
      <c r="R47" s="12">
        <f t="shared" si="737"/>
        <v>108</v>
      </c>
      <c r="S47" s="12">
        <f t="shared" si="737"/>
        <v>108</v>
      </c>
      <c r="T47" s="12">
        <f t="shared" si="737"/>
        <v>108</v>
      </c>
      <c r="U47" s="12">
        <f t="shared" si="737"/>
        <v>108</v>
      </c>
      <c r="V47" s="12">
        <f t="shared" si="737"/>
        <v>108</v>
      </c>
      <c r="W47" s="12">
        <f t="shared" si="737"/>
        <v>108</v>
      </c>
      <c r="X47" s="12">
        <f t="shared" si="737"/>
        <v>108</v>
      </c>
      <c r="Y47" s="12">
        <f t="shared" si="737"/>
        <v>108</v>
      </c>
      <c r="Z47" s="12">
        <f t="shared" si="737"/>
        <v>48.6</v>
      </c>
      <c r="AA47" s="12">
        <f t="shared" si="737"/>
        <v>48.6</v>
      </c>
      <c r="AB47" s="61">
        <f t="shared" si="737"/>
        <v>48.6</v>
      </c>
      <c r="AC47" s="29">
        <f t="shared" si="737"/>
        <v>48.6</v>
      </c>
      <c r="AD47" s="12">
        <f t="shared" si="737"/>
        <v>48.6</v>
      </c>
      <c r="AE47" s="12">
        <f t="shared" si="737"/>
        <v>48.6</v>
      </c>
      <c r="AF47" s="12">
        <f t="shared" si="737"/>
        <v>48.6</v>
      </c>
      <c r="AG47" s="12">
        <f t="shared" si="737"/>
        <v>48.6</v>
      </c>
      <c r="AH47" s="12">
        <f t="shared" si="737"/>
        <v>48.6</v>
      </c>
      <c r="AI47" s="12">
        <f t="shared" si="737"/>
        <v>48.6</v>
      </c>
      <c r="AJ47" s="12">
        <f t="shared" si="737"/>
        <v>48.6</v>
      </c>
      <c r="AK47" s="12">
        <f t="shared" si="737"/>
        <v>48.6</v>
      </c>
      <c r="AL47" s="12">
        <f t="shared" si="737"/>
        <v>48.6</v>
      </c>
      <c r="AM47" s="12">
        <f t="shared" si="737"/>
        <v>48.6</v>
      </c>
      <c r="AN47" s="12">
        <f t="shared" si="737"/>
        <v>48.6</v>
      </c>
      <c r="AO47" s="12">
        <f t="shared" si="737"/>
        <v>48.6</v>
      </c>
      <c r="AP47" s="12">
        <f t="shared" si="737"/>
        <v>48.6</v>
      </c>
      <c r="AQ47" s="12">
        <f t="shared" si="737"/>
        <v>48.6</v>
      </c>
      <c r="AR47" s="12">
        <f t="shared" si="737"/>
        <v>48.6</v>
      </c>
      <c r="AS47" s="12">
        <f t="shared" si="737"/>
        <v>48.6</v>
      </c>
      <c r="AT47" s="12">
        <f t="shared" si="737"/>
        <v>48.6</v>
      </c>
      <c r="AU47" s="12">
        <f t="shared" si="737"/>
        <v>48.6</v>
      </c>
      <c r="AV47" s="12">
        <f t="shared" si="737"/>
        <v>48.6</v>
      </c>
      <c r="AW47" s="12">
        <f t="shared" si="737"/>
        <v>48.6</v>
      </c>
      <c r="AX47" s="12">
        <f t="shared" si="737"/>
        <v>48.6</v>
      </c>
      <c r="AY47" s="12">
        <f t="shared" si="737"/>
        <v>48.6</v>
      </c>
      <c r="AZ47" s="61">
        <f t="shared" si="737"/>
        <v>48.6</v>
      </c>
      <c r="BA47" s="29">
        <f t="shared" si="737"/>
        <v>48.6</v>
      </c>
      <c r="BB47" s="12">
        <f t="shared" si="737"/>
        <v>48.6</v>
      </c>
      <c r="BC47" s="12">
        <f t="shared" si="737"/>
        <v>48.6</v>
      </c>
      <c r="BD47" s="12">
        <f t="shared" si="737"/>
        <v>108</v>
      </c>
      <c r="BE47" s="12">
        <f t="shared" si="737"/>
        <v>108</v>
      </c>
      <c r="BF47" s="12">
        <f t="shared" si="737"/>
        <v>108</v>
      </c>
      <c r="BG47" s="12">
        <f t="shared" si="737"/>
        <v>108</v>
      </c>
      <c r="BH47" s="12">
        <f t="shared" si="737"/>
        <v>108</v>
      </c>
      <c r="BI47" s="12">
        <f t="shared" si="737"/>
        <v>108</v>
      </c>
      <c r="BJ47" s="12">
        <f t="shared" si="737"/>
        <v>108</v>
      </c>
      <c r="BK47" s="12">
        <f t="shared" si="737"/>
        <v>108</v>
      </c>
      <c r="BL47" s="12">
        <f t="shared" si="737"/>
        <v>108</v>
      </c>
      <c r="BM47" s="12">
        <f t="shared" si="737"/>
        <v>108</v>
      </c>
      <c r="BN47" s="12">
        <f t="shared" si="737"/>
        <v>108</v>
      </c>
      <c r="BO47" s="12">
        <f t="shared" si="737"/>
        <v>108</v>
      </c>
      <c r="BP47" s="12">
        <f t="shared" si="737"/>
        <v>108</v>
      </c>
      <c r="BQ47" s="12">
        <f t="shared" ref="BQ47:DT47" si="738">IF(BQ41="T",54*0.9,54*2)</f>
        <v>108</v>
      </c>
      <c r="BR47" s="12">
        <f t="shared" si="738"/>
        <v>108</v>
      </c>
      <c r="BS47" s="12">
        <f t="shared" si="738"/>
        <v>108</v>
      </c>
      <c r="BT47" s="12">
        <f t="shared" si="738"/>
        <v>108</v>
      </c>
      <c r="BU47" s="12">
        <f t="shared" si="738"/>
        <v>108</v>
      </c>
      <c r="BV47" s="12">
        <f t="shared" si="738"/>
        <v>48.6</v>
      </c>
      <c r="BW47" s="12">
        <f t="shared" si="738"/>
        <v>48.6</v>
      </c>
      <c r="BX47" s="61">
        <f t="shared" si="738"/>
        <v>48.6</v>
      </c>
      <c r="BY47" s="29">
        <f t="shared" si="738"/>
        <v>48.6</v>
      </c>
      <c r="BZ47" s="12">
        <f t="shared" si="738"/>
        <v>48.6</v>
      </c>
      <c r="CA47" s="12">
        <f t="shared" si="738"/>
        <v>48.6</v>
      </c>
      <c r="CB47" s="12">
        <f t="shared" si="738"/>
        <v>108</v>
      </c>
      <c r="CC47" s="12">
        <f t="shared" si="738"/>
        <v>108</v>
      </c>
      <c r="CD47" s="12">
        <f t="shared" si="738"/>
        <v>108</v>
      </c>
      <c r="CE47" s="12">
        <f t="shared" si="738"/>
        <v>108</v>
      </c>
      <c r="CF47" s="12">
        <f t="shared" si="738"/>
        <v>108</v>
      </c>
      <c r="CG47" s="12">
        <f t="shared" si="738"/>
        <v>108</v>
      </c>
      <c r="CH47" s="12">
        <f t="shared" si="738"/>
        <v>108</v>
      </c>
      <c r="CI47" s="12">
        <f t="shared" si="738"/>
        <v>108</v>
      </c>
      <c r="CJ47" s="12">
        <f t="shared" si="738"/>
        <v>108</v>
      </c>
      <c r="CK47" s="12">
        <f t="shared" si="738"/>
        <v>108</v>
      </c>
      <c r="CL47" s="12">
        <f t="shared" si="738"/>
        <v>108</v>
      </c>
      <c r="CM47" s="12">
        <f t="shared" si="738"/>
        <v>108</v>
      </c>
      <c r="CN47" s="12">
        <f t="shared" si="738"/>
        <v>108</v>
      </c>
      <c r="CO47" s="12">
        <f t="shared" si="738"/>
        <v>108</v>
      </c>
      <c r="CP47" s="12">
        <f t="shared" si="738"/>
        <v>108</v>
      </c>
      <c r="CQ47" s="12">
        <f t="shared" si="738"/>
        <v>108</v>
      </c>
      <c r="CR47" s="12">
        <f t="shared" si="738"/>
        <v>108</v>
      </c>
      <c r="CS47" s="12">
        <f t="shared" si="738"/>
        <v>48.6</v>
      </c>
      <c r="CT47" s="12">
        <f t="shared" si="738"/>
        <v>48.6</v>
      </c>
      <c r="CU47" s="12">
        <f t="shared" si="738"/>
        <v>48.6</v>
      </c>
      <c r="CV47" s="61">
        <f t="shared" si="738"/>
        <v>48.6</v>
      </c>
      <c r="CW47" s="29">
        <f t="shared" si="738"/>
        <v>48.6</v>
      </c>
      <c r="CX47" s="12">
        <f t="shared" si="738"/>
        <v>48.6</v>
      </c>
      <c r="CY47" s="12">
        <f t="shared" si="738"/>
        <v>48.6</v>
      </c>
      <c r="CZ47" s="12">
        <f t="shared" si="738"/>
        <v>108</v>
      </c>
      <c r="DA47" s="12">
        <f t="shared" si="738"/>
        <v>108</v>
      </c>
      <c r="DB47" s="12">
        <f t="shared" si="738"/>
        <v>108</v>
      </c>
      <c r="DC47" s="12">
        <f t="shared" si="738"/>
        <v>108</v>
      </c>
      <c r="DD47" s="12">
        <f t="shared" si="738"/>
        <v>108</v>
      </c>
      <c r="DE47" s="12">
        <f t="shared" si="738"/>
        <v>108</v>
      </c>
      <c r="DF47" s="12">
        <f t="shared" si="738"/>
        <v>108</v>
      </c>
      <c r="DG47" s="12">
        <f t="shared" si="738"/>
        <v>108</v>
      </c>
      <c r="DH47" s="12">
        <f t="shared" si="738"/>
        <v>108</v>
      </c>
      <c r="DI47" s="12">
        <f t="shared" si="738"/>
        <v>108</v>
      </c>
      <c r="DJ47" s="12">
        <f t="shared" si="738"/>
        <v>108</v>
      </c>
      <c r="DK47" s="12">
        <f t="shared" si="738"/>
        <v>108</v>
      </c>
      <c r="DL47" s="12">
        <f t="shared" si="738"/>
        <v>108</v>
      </c>
      <c r="DM47" s="12">
        <f t="shared" si="738"/>
        <v>108</v>
      </c>
      <c r="DN47" s="12">
        <f t="shared" si="738"/>
        <v>108</v>
      </c>
      <c r="DO47" s="12">
        <f t="shared" si="738"/>
        <v>108</v>
      </c>
      <c r="DP47" s="12">
        <f t="shared" si="738"/>
        <v>108</v>
      </c>
      <c r="DQ47" s="12">
        <f t="shared" si="738"/>
        <v>48.6</v>
      </c>
      <c r="DR47" s="12">
        <f t="shared" si="738"/>
        <v>48.6</v>
      </c>
      <c r="DS47" s="12">
        <f t="shared" si="738"/>
        <v>48.6</v>
      </c>
      <c r="DT47" s="12">
        <f t="shared" si="738"/>
        <v>48.6</v>
      </c>
    </row>
    <row r="48" spans="2:124" x14ac:dyDescent="0.2">
      <c r="B48" s="3" t="s">
        <v>15</v>
      </c>
      <c r="D48" s="145">
        <v>1</v>
      </c>
      <c r="E48" s="30">
        <v>1</v>
      </c>
      <c r="F48" s="31">
        <v>1</v>
      </c>
      <c r="G48" s="31">
        <v>1</v>
      </c>
      <c r="H48" s="31">
        <v>1</v>
      </c>
      <c r="I48" s="31">
        <v>1</v>
      </c>
      <c r="J48" s="31">
        <v>1</v>
      </c>
      <c r="K48" s="31">
        <v>1</v>
      </c>
      <c r="L48" s="31">
        <v>1</v>
      </c>
      <c r="M48" s="31">
        <v>1</v>
      </c>
      <c r="N48" s="31">
        <v>1</v>
      </c>
      <c r="O48" s="31">
        <v>1</v>
      </c>
      <c r="P48" s="31">
        <v>1</v>
      </c>
      <c r="Q48" s="31">
        <v>1</v>
      </c>
      <c r="R48" s="31">
        <v>1</v>
      </c>
      <c r="S48" s="31">
        <v>1</v>
      </c>
      <c r="T48" s="31">
        <v>1</v>
      </c>
      <c r="U48" s="31">
        <v>1</v>
      </c>
      <c r="V48" s="31">
        <v>1</v>
      </c>
      <c r="W48" s="31">
        <v>1</v>
      </c>
      <c r="X48" s="31">
        <v>1</v>
      </c>
      <c r="Y48" s="31">
        <v>1</v>
      </c>
      <c r="Z48" s="31">
        <v>1</v>
      </c>
      <c r="AA48" s="31">
        <v>1</v>
      </c>
      <c r="AB48" s="62">
        <v>1</v>
      </c>
      <c r="AC48" s="30">
        <v>1</v>
      </c>
      <c r="AD48" s="31">
        <v>1</v>
      </c>
      <c r="AE48" s="31">
        <v>1</v>
      </c>
      <c r="AF48" s="31">
        <v>1</v>
      </c>
      <c r="AG48" s="31">
        <v>1</v>
      </c>
      <c r="AH48" s="31">
        <v>1</v>
      </c>
      <c r="AI48" s="31">
        <v>1</v>
      </c>
      <c r="AJ48" s="31">
        <v>1</v>
      </c>
      <c r="AK48" s="31">
        <v>1</v>
      </c>
      <c r="AL48" s="31">
        <v>1</v>
      </c>
      <c r="AM48" s="31">
        <v>1</v>
      </c>
      <c r="AN48" s="31">
        <v>1</v>
      </c>
      <c r="AO48" s="31">
        <v>1</v>
      </c>
      <c r="AP48" s="31">
        <v>1</v>
      </c>
      <c r="AQ48" s="31">
        <v>1</v>
      </c>
      <c r="AR48" s="31">
        <v>1</v>
      </c>
      <c r="AS48" s="31">
        <v>1</v>
      </c>
      <c r="AT48" s="31">
        <v>1</v>
      </c>
      <c r="AU48" s="31">
        <v>1</v>
      </c>
      <c r="AV48" s="31">
        <v>1</v>
      </c>
      <c r="AW48" s="31">
        <v>1</v>
      </c>
      <c r="AX48" s="31">
        <v>1</v>
      </c>
      <c r="AY48" s="31">
        <v>1</v>
      </c>
      <c r="AZ48" s="62">
        <v>1</v>
      </c>
      <c r="BA48" s="30">
        <v>1</v>
      </c>
      <c r="BB48" s="31">
        <v>1</v>
      </c>
      <c r="BC48" s="31">
        <v>1</v>
      </c>
      <c r="BD48" s="31">
        <v>1</v>
      </c>
      <c r="BE48" s="31">
        <v>1</v>
      </c>
      <c r="BF48" s="31">
        <v>1</v>
      </c>
      <c r="BG48" s="31">
        <v>1</v>
      </c>
      <c r="BH48" s="31">
        <v>1</v>
      </c>
      <c r="BI48" s="31">
        <v>1</v>
      </c>
      <c r="BJ48" s="31">
        <v>1</v>
      </c>
      <c r="BK48" s="31">
        <v>1</v>
      </c>
      <c r="BL48" s="31">
        <v>1</v>
      </c>
      <c r="BM48" s="31">
        <v>1</v>
      </c>
      <c r="BN48" s="31">
        <v>1</v>
      </c>
      <c r="BO48" s="31">
        <v>1</v>
      </c>
      <c r="BP48" s="31">
        <v>1</v>
      </c>
      <c r="BQ48" s="31">
        <v>1</v>
      </c>
      <c r="BR48" s="31">
        <v>1</v>
      </c>
      <c r="BS48" s="31">
        <v>1</v>
      </c>
      <c r="BT48" s="31">
        <v>1</v>
      </c>
      <c r="BU48" s="31">
        <v>1</v>
      </c>
      <c r="BV48" s="31">
        <v>1</v>
      </c>
      <c r="BW48" s="31">
        <v>1</v>
      </c>
      <c r="BX48" s="62">
        <v>1</v>
      </c>
      <c r="BY48" s="30">
        <v>1</v>
      </c>
      <c r="BZ48" s="31">
        <v>1</v>
      </c>
      <c r="CA48" s="31">
        <v>1</v>
      </c>
      <c r="CB48" s="31">
        <v>1</v>
      </c>
      <c r="CC48" s="31">
        <v>1</v>
      </c>
      <c r="CD48" s="31">
        <v>1</v>
      </c>
      <c r="CE48" s="31">
        <v>1</v>
      </c>
      <c r="CF48" s="31">
        <v>1</v>
      </c>
      <c r="CG48" s="31">
        <v>1</v>
      </c>
      <c r="CH48" s="31">
        <v>1</v>
      </c>
      <c r="CI48" s="31">
        <v>1</v>
      </c>
      <c r="CJ48" s="31">
        <v>1</v>
      </c>
      <c r="CK48" s="31">
        <v>1</v>
      </c>
      <c r="CL48" s="31">
        <v>1</v>
      </c>
      <c r="CM48" s="31">
        <v>1</v>
      </c>
      <c r="CN48" s="31">
        <v>1</v>
      </c>
      <c r="CO48" s="31">
        <v>1</v>
      </c>
      <c r="CP48" s="31">
        <v>1</v>
      </c>
      <c r="CQ48" s="31">
        <v>1</v>
      </c>
      <c r="CR48" s="31">
        <v>1</v>
      </c>
      <c r="CS48" s="31">
        <v>1</v>
      </c>
      <c r="CT48" s="31">
        <v>1</v>
      </c>
      <c r="CU48" s="31">
        <v>1</v>
      </c>
      <c r="CV48" s="62">
        <v>1</v>
      </c>
      <c r="CW48" s="30">
        <v>1</v>
      </c>
      <c r="CX48" s="31">
        <v>1</v>
      </c>
      <c r="CY48" s="31">
        <v>1</v>
      </c>
      <c r="CZ48" s="31">
        <v>1</v>
      </c>
      <c r="DA48" s="31">
        <v>1</v>
      </c>
      <c r="DB48" s="31">
        <v>1</v>
      </c>
      <c r="DC48" s="31">
        <v>1</v>
      </c>
      <c r="DD48" s="31">
        <v>1</v>
      </c>
      <c r="DE48" s="31">
        <v>1</v>
      </c>
      <c r="DF48" s="31">
        <v>1</v>
      </c>
      <c r="DG48" s="31">
        <v>1</v>
      </c>
      <c r="DH48" s="31">
        <v>1</v>
      </c>
      <c r="DI48" s="31">
        <v>1</v>
      </c>
      <c r="DJ48" s="31">
        <v>1</v>
      </c>
      <c r="DK48" s="31">
        <v>1</v>
      </c>
      <c r="DL48" s="31">
        <v>1</v>
      </c>
      <c r="DM48" s="31">
        <v>1</v>
      </c>
      <c r="DN48" s="31">
        <v>1</v>
      </c>
      <c r="DO48" s="31">
        <v>1</v>
      </c>
      <c r="DP48" s="31">
        <v>1</v>
      </c>
      <c r="DQ48" s="31">
        <v>1</v>
      </c>
      <c r="DR48" s="31">
        <v>1</v>
      </c>
      <c r="DS48" s="31">
        <v>1</v>
      </c>
      <c r="DT48" s="31">
        <v>1</v>
      </c>
    </row>
    <row r="49" spans="2:124" x14ac:dyDescent="0.2">
      <c r="B49" s="3" t="s">
        <v>234</v>
      </c>
      <c r="D49" s="149">
        <f t="shared" ref="D49:AI49" si="739">D45-(D46*D48)-D47</f>
        <v>2079.7075</v>
      </c>
      <c r="E49" s="19">
        <f t="shared" si="739"/>
        <v>2799.2004999999995</v>
      </c>
      <c r="F49" s="25">
        <f t="shared" si="739"/>
        <v>2635.5334999999991</v>
      </c>
      <c r="G49" s="25">
        <f t="shared" si="739"/>
        <v>2471.8664999999987</v>
      </c>
      <c r="H49" s="25">
        <f t="shared" si="739"/>
        <v>2248.7994999999983</v>
      </c>
      <c r="I49" s="25">
        <f t="shared" si="739"/>
        <v>1972.657499999998</v>
      </c>
      <c r="J49" s="25">
        <f t="shared" si="739"/>
        <v>1855.7404999999981</v>
      </c>
      <c r="K49" s="25">
        <f t="shared" si="739"/>
        <v>1738.8234999999981</v>
      </c>
      <c r="L49" s="25">
        <f t="shared" si="739"/>
        <v>1621.9064999999982</v>
      </c>
      <c r="M49" s="25">
        <f t="shared" si="739"/>
        <v>2273.5846750000001</v>
      </c>
      <c r="N49" s="25">
        <f t="shared" si="739"/>
        <v>1999.5693499999998</v>
      </c>
      <c r="O49" s="25">
        <f t="shared" si="739"/>
        <v>1725.5540249999997</v>
      </c>
      <c r="P49" s="25">
        <f t="shared" si="739"/>
        <v>1610.7637</v>
      </c>
      <c r="Q49" s="25">
        <f t="shared" si="739"/>
        <v>2274.141815</v>
      </c>
      <c r="R49" s="25">
        <f t="shared" si="739"/>
        <v>2000.6836299999995</v>
      </c>
      <c r="S49" s="25">
        <f t="shared" si="739"/>
        <v>1727.2254449999994</v>
      </c>
      <c r="T49" s="25">
        <f t="shared" si="739"/>
        <v>1453.7672599999992</v>
      </c>
      <c r="U49" s="25">
        <f t="shared" si="739"/>
        <v>1180.309074999999</v>
      </c>
      <c r="V49" s="25">
        <f t="shared" si="739"/>
        <v>1066.0758899999992</v>
      </c>
      <c r="W49" s="25">
        <f t="shared" si="739"/>
        <v>2301.3762054999997</v>
      </c>
      <c r="X49" s="25">
        <f t="shared" si="739"/>
        <v>2055.1524109999996</v>
      </c>
      <c r="Y49" s="25">
        <f t="shared" si="739"/>
        <v>1808.9286164999994</v>
      </c>
      <c r="Z49" s="25">
        <f t="shared" si="739"/>
        <v>1622.1048219999993</v>
      </c>
      <c r="AA49" s="25">
        <f t="shared" si="739"/>
        <v>1488.3560274999995</v>
      </c>
      <c r="AB49" s="57">
        <f t="shared" si="739"/>
        <v>1354.6072329999997</v>
      </c>
      <c r="AC49" s="19">
        <f t="shared" si="739"/>
        <v>1220.8584384999999</v>
      </c>
      <c r="AD49" s="25">
        <f t="shared" si="739"/>
        <v>1087.1096440000001</v>
      </c>
      <c r="AE49" s="25">
        <f t="shared" si="739"/>
        <v>953.3608495000002</v>
      </c>
      <c r="AF49" s="25">
        <f t="shared" si="739"/>
        <v>819.6120550000004</v>
      </c>
      <c r="AG49" s="25">
        <f t="shared" si="739"/>
        <v>685.86326050000048</v>
      </c>
      <c r="AH49" s="25">
        <f t="shared" si="739"/>
        <v>552.11446600000056</v>
      </c>
      <c r="AI49" s="25">
        <f t="shared" si="739"/>
        <v>418.36567150000059</v>
      </c>
      <c r="AJ49" s="25">
        <f t="shared" ref="AJ49:BO49" si="740">AJ45-(AJ46*AJ48)-AJ47</f>
        <v>284.61687700000061</v>
      </c>
      <c r="AK49" s="25">
        <f t="shared" si="740"/>
        <v>150.86808250000061</v>
      </c>
      <c r="AL49" s="25">
        <f t="shared" si="740"/>
        <v>17.119288000000644</v>
      </c>
      <c r="AM49" s="25">
        <f t="shared" si="740"/>
        <v>-116.62950649999931</v>
      </c>
      <c r="AN49" s="25">
        <f t="shared" si="740"/>
        <v>-250.37830099999925</v>
      </c>
      <c r="AO49" s="25">
        <f t="shared" si="740"/>
        <v>-384.12709549999926</v>
      </c>
      <c r="AP49" s="25">
        <f t="shared" si="740"/>
        <v>-517.87588999999923</v>
      </c>
      <c r="AQ49" s="25">
        <f t="shared" si="740"/>
        <v>-651.62468449999915</v>
      </c>
      <c r="AR49" s="25">
        <f t="shared" si="740"/>
        <v>-785.37347899999907</v>
      </c>
      <c r="AS49" s="25">
        <f t="shared" si="740"/>
        <v>-919.12227349999898</v>
      </c>
      <c r="AT49" s="25">
        <f t="shared" si="740"/>
        <v>-1052.8710679999988</v>
      </c>
      <c r="AU49" s="25">
        <f t="shared" si="740"/>
        <v>-1186.6198624999986</v>
      </c>
      <c r="AV49" s="25">
        <f t="shared" si="740"/>
        <v>-1320.3686569999984</v>
      </c>
      <c r="AW49" s="25">
        <f t="shared" si="740"/>
        <v>-1454.1174514999982</v>
      </c>
      <c r="AX49" s="25">
        <f t="shared" si="740"/>
        <v>-1587.866245999998</v>
      </c>
      <c r="AY49" s="25">
        <f t="shared" si="740"/>
        <v>-1721.6150404999978</v>
      </c>
      <c r="AZ49" s="57">
        <f t="shared" si="740"/>
        <v>-1855.3638349999976</v>
      </c>
      <c r="BA49" s="19">
        <f t="shared" si="740"/>
        <v>-1989.1126294999974</v>
      </c>
      <c r="BB49" s="25">
        <f t="shared" si="740"/>
        <v>-2122.8614239999974</v>
      </c>
      <c r="BC49" s="25">
        <f t="shared" si="740"/>
        <v>-2256.6102184999977</v>
      </c>
      <c r="BD49" s="25">
        <f t="shared" si="740"/>
        <v>-2449.759012999998</v>
      </c>
      <c r="BE49" s="25">
        <f t="shared" si="740"/>
        <v>-2695.9828074999982</v>
      </c>
      <c r="BF49" s="25">
        <f t="shared" si="740"/>
        <v>-2782.981601999998</v>
      </c>
      <c r="BG49" s="25">
        <f t="shared" si="740"/>
        <v>2493.8290801000003</v>
      </c>
      <c r="BH49" s="25">
        <f t="shared" si="740"/>
        <v>2440.0581602000002</v>
      </c>
      <c r="BI49" s="25">
        <f t="shared" si="740"/>
        <v>2386.2872403000001</v>
      </c>
      <c r="BJ49" s="25">
        <f t="shared" si="740"/>
        <v>2332.5163204</v>
      </c>
      <c r="BK49" s="25">
        <f t="shared" si="740"/>
        <v>2278.7454005</v>
      </c>
      <c r="BL49" s="25">
        <f t="shared" si="740"/>
        <v>2384.1994806000002</v>
      </c>
      <c r="BM49" s="25">
        <f t="shared" si="740"/>
        <v>2489.6535607000005</v>
      </c>
      <c r="BN49" s="25">
        <f t="shared" si="740"/>
        <v>2595.1076408000008</v>
      </c>
      <c r="BO49" s="25">
        <f t="shared" si="740"/>
        <v>2700.5617209000011</v>
      </c>
      <c r="BP49" s="25">
        <f t="shared" ref="BP49:CU49" si="741">BP45-(BP46*BP48)-BP47</f>
        <v>2646.790801000001</v>
      </c>
      <c r="BQ49" s="25">
        <f t="shared" si="741"/>
        <v>2593.0198811000009</v>
      </c>
      <c r="BR49" s="25">
        <f t="shared" si="741"/>
        <v>2698.4739612000012</v>
      </c>
      <c r="BS49" s="25">
        <f t="shared" si="741"/>
        <v>2803.9280413000015</v>
      </c>
      <c r="BT49" s="25">
        <f t="shared" si="741"/>
        <v>2909.3821214000018</v>
      </c>
      <c r="BU49" s="25">
        <f t="shared" si="741"/>
        <v>3014.8362015000021</v>
      </c>
      <c r="BV49" s="25">
        <f t="shared" si="741"/>
        <v>3020.4652816000021</v>
      </c>
      <c r="BW49" s="25">
        <f t="shared" si="741"/>
        <v>3079.1693617000019</v>
      </c>
      <c r="BX49" s="57">
        <f t="shared" si="741"/>
        <v>3137.8734418000017</v>
      </c>
      <c r="BY49" s="19">
        <f t="shared" si="741"/>
        <v>3196.5775219000016</v>
      </c>
      <c r="BZ49" s="25">
        <f t="shared" si="741"/>
        <v>3255.2816020000014</v>
      </c>
      <c r="CA49" s="25">
        <f t="shared" si="741"/>
        <v>3313.9856821000012</v>
      </c>
      <c r="CB49" s="25">
        <f t="shared" si="741"/>
        <v>3313.289762200001</v>
      </c>
      <c r="CC49" s="25">
        <f t="shared" si="741"/>
        <v>3259.5188423000009</v>
      </c>
      <c r="CD49" s="25">
        <f t="shared" si="741"/>
        <v>3364.9729224000012</v>
      </c>
      <c r="CE49" s="25">
        <f t="shared" si="741"/>
        <v>3470.4270025000014</v>
      </c>
      <c r="CF49" s="25">
        <f t="shared" si="741"/>
        <v>3575.8810826000017</v>
      </c>
      <c r="CG49" s="25">
        <f t="shared" si="741"/>
        <v>3681.335162700002</v>
      </c>
      <c r="CH49" s="25">
        <f t="shared" si="741"/>
        <v>3627.5642428000019</v>
      </c>
      <c r="CI49" s="25">
        <f t="shared" si="741"/>
        <v>3573.7933229000018</v>
      </c>
      <c r="CJ49" s="25">
        <f t="shared" si="741"/>
        <v>3679.2474030000021</v>
      </c>
      <c r="CK49" s="25">
        <f t="shared" si="741"/>
        <v>3784.7014831000024</v>
      </c>
      <c r="CL49" s="25">
        <f t="shared" si="741"/>
        <v>3890.1555632000027</v>
      </c>
      <c r="CM49" s="25">
        <f t="shared" si="741"/>
        <v>3995.6096433000021</v>
      </c>
      <c r="CN49" s="25">
        <f t="shared" si="741"/>
        <v>3941.8387234000024</v>
      </c>
      <c r="CO49" s="25">
        <f t="shared" si="741"/>
        <v>3888.0678035000024</v>
      </c>
      <c r="CP49" s="25">
        <f t="shared" si="741"/>
        <v>3993.5218836000013</v>
      </c>
      <c r="CQ49" s="25">
        <f t="shared" si="741"/>
        <v>4098.9759637000006</v>
      </c>
      <c r="CR49" s="25">
        <f t="shared" si="741"/>
        <v>4204.4300438</v>
      </c>
      <c r="CS49" s="25">
        <f t="shared" si="741"/>
        <v>4369.284123899999</v>
      </c>
      <c r="CT49" s="25">
        <f t="shared" si="741"/>
        <v>4427.9882039999984</v>
      </c>
      <c r="CU49" s="25">
        <f t="shared" si="741"/>
        <v>4486.6922840999978</v>
      </c>
      <c r="CV49" s="57">
        <f t="shared" ref="CV49:DT49" si="742">CV45-(CV46*CV48)-CV47</f>
        <v>4545.3963641999972</v>
      </c>
      <c r="CW49" s="19">
        <f t="shared" si="742"/>
        <v>4604.1004442999965</v>
      </c>
      <c r="CX49" s="25">
        <f t="shared" si="742"/>
        <v>4662.8045243999959</v>
      </c>
      <c r="CY49" s="25">
        <f t="shared" si="742"/>
        <v>4721.5086044999953</v>
      </c>
      <c r="CZ49" s="25">
        <f t="shared" si="742"/>
        <v>4720.812684599995</v>
      </c>
      <c r="DA49" s="25">
        <f t="shared" si="742"/>
        <v>4667.0417646999958</v>
      </c>
      <c r="DB49" s="25">
        <f t="shared" si="742"/>
        <v>4772.4958447999952</v>
      </c>
      <c r="DC49" s="25">
        <f t="shared" si="742"/>
        <v>4877.9499248999946</v>
      </c>
      <c r="DD49" s="25">
        <f t="shared" si="742"/>
        <v>4983.404004999994</v>
      </c>
      <c r="DE49" s="25">
        <f t="shared" si="742"/>
        <v>5088.8580850999933</v>
      </c>
      <c r="DF49" s="25">
        <f t="shared" si="742"/>
        <v>5035.0871651999942</v>
      </c>
      <c r="DG49" s="25">
        <f t="shared" si="742"/>
        <v>4981.316245299995</v>
      </c>
      <c r="DH49" s="25">
        <f t="shared" si="742"/>
        <v>5086.7703253999944</v>
      </c>
      <c r="DI49" s="25">
        <f t="shared" si="742"/>
        <v>5192.2244054999937</v>
      </c>
      <c r="DJ49" s="25">
        <f t="shared" si="742"/>
        <v>5297.6784855999931</v>
      </c>
      <c r="DK49" s="25">
        <f t="shared" si="742"/>
        <v>5403.1325656999925</v>
      </c>
      <c r="DL49" s="25">
        <f t="shared" si="742"/>
        <v>5349.3616457999933</v>
      </c>
      <c r="DM49" s="25">
        <f t="shared" si="742"/>
        <v>5295.5907258999941</v>
      </c>
      <c r="DN49" s="25">
        <f t="shared" si="742"/>
        <v>5401.0448059999935</v>
      </c>
      <c r="DO49" s="25">
        <f t="shared" si="742"/>
        <v>5506.4988860999929</v>
      </c>
      <c r="DP49" s="25">
        <f t="shared" si="742"/>
        <v>5611.9529661999923</v>
      </c>
      <c r="DQ49" s="25">
        <f t="shared" si="742"/>
        <v>5776.8070462999913</v>
      </c>
      <c r="DR49" s="25">
        <f t="shared" si="742"/>
        <v>5835.5111263999906</v>
      </c>
      <c r="DS49" s="25">
        <f t="shared" si="742"/>
        <v>5894.21520649999</v>
      </c>
      <c r="DT49" s="25">
        <f t="shared" si="742"/>
        <v>5952.9192865999894</v>
      </c>
    </row>
    <row r="50" spans="2:124" x14ac:dyDescent="0.2">
      <c r="B50" s="3" t="s">
        <v>0</v>
      </c>
      <c r="E50" s="19"/>
      <c r="F50" s="25"/>
      <c r="G50" s="25"/>
      <c r="H50" s="25"/>
      <c r="I50" s="25"/>
      <c r="J50" s="51" t="s">
        <v>36</v>
      </c>
      <c r="K50" s="51" t="s">
        <v>36</v>
      </c>
      <c r="L50" s="51" t="s">
        <v>36</v>
      </c>
      <c r="M50" s="51" t="s">
        <v>36</v>
      </c>
      <c r="N50" s="25"/>
      <c r="O50" s="25"/>
      <c r="P50" s="51" t="s">
        <v>36</v>
      </c>
      <c r="Q50" s="51" t="s">
        <v>36</v>
      </c>
      <c r="R50" s="51" t="s">
        <v>36</v>
      </c>
      <c r="S50" s="51" t="s">
        <v>36</v>
      </c>
      <c r="T50" s="25"/>
      <c r="U50" s="25"/>
      <c r="V50" s="51" t="s">
        <v>36</v>
      </c>
      <c r="W50" s="51" t="s">
        <v>36</v>
      </c>
      <c r="X50" s="51" t="s">
        <v>36</v>
      </c>
      <c r="Y50" s="51" t="s">
        <v>36</v>
      </c>
      <c r="Z50" s="25"/>
      <c r="AA50" s="25"/>
      <c r="AB50" s="57"/>
      <c r="AC50" s="19"/>
      <c r="AD50" s="25"/>
      <c r="AE50" s="25"/>
      <c r="AF50" s="25"/>
      <c r="AG50" s="25"/>
      <c r="AH50" s="51" t="s">
        <v>36</v>
      </c>
      <c r="AI50" s="51" t="s">
        <v>36</v>
      </c>
      <c r="AJ50" s="51" t="s">
        <v>36</v>
      </c>
      <c r="AK50" s="51" t="s">
        <v>36</v>
      </c>
      <c r="AL50" s="25"/>
      <c r="AM50" s="25"/>
      <c r="AN50" s="51" t="s">
        <v>36</v>
      </c>
      <c r="AO50" s="51" t="s">
        <v>36</v>
      </c>
      <c r="AP50" s="51" t="s">
        <v>36</v>
      </c>
      <c r="AQ50" s="51" t="s">
        <v>36</v>
      </c>
      <c r="AR50" s="25"/>
      <c r="AS50" s="25"/>
      <c r="AT50" s="51" t="s">
        <v>36</v>
      </c>
      <c r="AU50" s="51" t="s">
        <v>36</v>
      </c>
      <c r="AV50" s="51" t="s">
        <v>36</v>
      </c>
      <c r="AW50" s="51" t="s">
        <v>36</v>
      </c>
      <c r="AX50" s="25"/>
      <c r="AY50" s="25"/>
      <c r="AZ50" s="57"/>
      <c r="BA50" s="19"/>
      <c r="BB50" s="25"/>
      <c r="BC50" s="25"/>
      <c r="BD50" s="25"/>
      <c r="BE50" s="25"/>
      <c r="BF50" s="51" t="s">
        <v>36</v>
      </c>
      <c r="BG50" s="51" t="s">
        <v>36</v>
      </c>
      <c r="BH50" s="51" t="s">
        <v>36</v>
      </c>
      <c r="BI50" s="51" t="s">
        <v>36</v>
      </c>
      <c r="BJ50" s="25"/>
      <c r="BK50" s="25"/>
      <c r="BL50" s="51" t="s">
        <v>36</v>
      </c>
      <c r="BM50" s="51" t="s">
        <v>36</v>
      </c>
      <c r="BN50" s="51" t="s">
        <v>36</v>
      </c>
      <c r="BO50" s="51" t="s">
        <v>36</v>
      </c>
      <c r="BP50" s="25"/>
      <c r="BQ50" s="25"/>
      <c r="BR50" s="51" t="s">
        <v>36</v>
      </c>
      <c r="BS50" s="51" t="s">
        <v>36</v>
      </c>
      <c r="BT50" s="51" t="s">
        <v>36</v>
      </c>
      <c r="BU50" s="51" t="s">
        <v>36</v>
      </c>
      <c r="BV50" s="25"/>
      <c r="BW50" s="25"/>
      <c r="BX50" s="57"/>
      <c r="BY50" s="19"/>
      <c r="BZ50" s="25"/>
      <c r="CA50" s="25"/>
      <c r="CB50" s="25"/>
      <c r="CC50" s="25"/>
      <c r="CD50" s="51" t="s">
        <v>36</v>
      </c>
      <c r="CE50" s="51" t="s">
        <v>36</v>
      </c>
      <c r="CF50" s="51" t="s">
        <v>36</v>
      </c>
      <c r="CG50" s="51" t="s">
        <v>36</v>
      </c>
      <c r="CH50" s="25"/>
      <c r="CI50" s="25"/>
      <c r="CJ50" s="51" t="s">
        <v>36</v>
      </c>
      <c r="CK50" s="51" t="s">
        <v>36</v>
      </c>
      <c r="CL50" s="51" t="s">
        <v>36</v>
      </c>
      <c r="CM50" s="51" t="s">
        <v>36</v>
      </c>
      <c r="CN50" s="25"/>
      <c r="CO50" s="25"/>
      <c r="CP50" s="51" t="s">
        <v>36</v>
      </c>
      <c r="CQ50" s="51" t="s">
        <v>36</v>
      </c>
      <c r="CR50" s="51" t="s">
        <v>36</v>
      </c>
      <c r="CS50" s="51" t="s">
        <v>36</v>
      </c>
      <c r="CT50" s="25"/>
      <c r="CU50" s="25"/>
      <c r="CV50" s="57"/>
      <c r="CW50" s="19"/>
      <c r="CX50" s="25"/>
      <c r="CY50" s="25"/>
      <c r="CZ50" s="25"/>
      <c r="DA50" s="25"/>
      <c r="DB50" s="51" t="s">
        <v>36</v>
      </c>
      <c r="DC50" s="51" t="s">
        <v>36</v>
      </c>
      <c r="DD50" s="51" t="s">
        <v>36</v>
      </c>
      <c r="DE50" s="51" t="s">
        <v>36</v>
      </c>
      <c r="DF50" s="25"/>
      <c r="DG50" s="25"/>
      <c r="DH50" s="51" t="s">
        <v>36</v>
      </c>
      <c r="DI50" s="51" t="s">
        <v>36</v>
      </c>
      <c r="DJ50" s="51" t="s">
        <v>36</v>
      </c>
      <c r="DK50" s="51" t="s">
        <v>36</v>
      </c>
      <c r="DL50" s="25"/>
      <c r="DM50" s="25"/>
      <c r="DN50" s="51" t="s">
        <v>36</v>
      </c>
      <c r="DO50" s="51" t="s">
        <v>36</v>
      </c>
      <c r="DP50" s="51" t="s">
        <v>36</v>
      </c>
      <c r="DQ50" s="51" t="s">
        <v>36</v>
      </c>
      <c r="DR50" s="25"/>
      <c r="DS50" s="25"/>
      <c r="DT50" s="57"/>
    </row>
    <row r="51" spans="2:124" s="14" customFormat="1" x14ac:dyDescent="0.2">
      <c r="B51" s="41" t="s">
        <v>236</v>
      </c>
      <c r="C51" s="82"/>
      <c r="D51" s="152">
        <v>883.16</v>
      </c>
      <c r="E51" s="14">
        <f t="shared" ref="E51:I51" si="743">IF(D41="B",IF(E50="K",IF(D51=0,IF(C51=0,IF(E49&lt;=849.2,2547.6-E49,IF(E49&lt;=1698.4,2547.6-E49,0)),0),0),0),0)</f>
        <v>0</v>
      </c>
      <c r="F51" s="14">
        <f t="shared" si="743"/>
        <v>0</v>
      </c>
      <c r="G51" s="14">
        <f t="shared" si="743"/>
        <v>0</v>
      </c>
      <c r="H51" s="14">
        <f t="shared" si="743"/>
        <v>0</v>
      </c>
      <c r="I51" s="14">
        <f t="shared" si="743"/>
        <v>0</v>
      </c>
      <c r="J51" s="54">
        <f>IF(I41="B",IF(J50="K",IF(I51=0,IF(H51=0,IF(J49&lt;=849.2,2547.6-J49,IF(J49&lt;=1698.4,2547.6-J49,0)),0),0),0),0)</f>
        <v>0</v>
      </c>
      <c r="K51" s="54">
        <f t="shared" ref="K51:BV51" si="744">IF(J41="B",IF(K50="K",IF(J51=0,IF(I51=0,IF(K49&lt;=849.2,2547.6-K49,IF(K49&lt;=1698.4,2547.6-K49,0)),0),0),0),0)</f>
        <v>0</v>
      </c>
      <c r="L51" s="54">
        <f t="shared" si="744"/>
        <v>925.69350000000168</v>
      </c>
      <c r="M51" s="54">
        <f t="shared" si="744"/>
        <v>0</v>
      </c>
      <c r="N51" s="19">
        <f t="shared" si="744"/>
        <v>0</v>
      </c>
      <c r="O51" s="19">
        <f t="shared" si="744"/>
        <v>0</v>
      </c>
      <c r="P51" s="54">
        <f t="shared" si="744"/>
        <v>936.83629999999994</v>
      </c>
      <c r="Q51" s="54">
        <f t="shared" si="744"/>
        <v>0</v>
      </c>
      <c r="R51" s="54">
        <f t="shared" si="744"/>
        <v>0</v>
      </c>
      <c r="S51" s="54">
        <f t="shared" si="744"/>
        <v>0</v>
      </c>
      <c r="T51" s="19">
        <f t="shared" si="744"/>
        <v>0</v>
      </c>
      <c r="U51" s="19">
        <f t="shared" si="744"/>
        <v>0</v>
      </c>
      <c r="V51" s="54">
        <f t="shared" si="744"/>
        <v>1481.5241100000007</v>
      </c>
      <c r="W51" s="54">
        <f t="shared" si="744"/>
        <v>0</v>
      </c>
      <c r="X51" s="54">
        <f t="shared" si="744"/>
        <v>0</v>
      </c>
      <c r="Y51" s="54">
        <f t="shared" si="744"/>
        <v>0</v>
      </c>
      <c r="Z51" s="19">
        <f t="shared" si="744"/>
        <v>0</v>
      </c>
      <c r="AA51" s="19">
        <f t="shared" si="744"/>
        <v>0</v>
      </c>
      <c r="AB51" s="19">
        <f t="shared" si="744"/>
        <v>0</v>
      </c>
      <c r="AC51" s="14">
        <f t="shared" si="744"/>
        <v>0</v>
      </c>
      <c r="AD51" s="14">
        <f t="shared" si="744"/>
        <v>0</v>
      </c>
      <c r="AE51" s="14">
        <f t="shared" si="744"/>
        <v>0</v>
      </c>
      <c r="AF51" s="14">
        <f t="shared" si="744"/>
        <v>0</v>
      </c>
      <c r="AG51" s="14">
        <f t="shared" si="744"/>
        <v>0</v>
      </c>
      <c r="AH51" s="54">
        <f t="shared" si="744"/>
        <v>0</v>
      </c>
      <c r="AI51" s="54">
        <f t="shared" si="744"/>
        <v>0</v>
      </c>
      <c r="AJ51" s="54">
        <f t="shared" si="744"/>
        <v>0</v>
      </c>
      <c r="AK51" s="54">
        <f t="shared" si="744"/>
        <v>0</v>
      </c>
      <c r="AL51" s="19">
        <f t="shared" si="744"/>
        <v>0</v>
      </c>
      <c r="AM51" s="19">
        <f t="shared" si="744"/>
        <v>0</v>
      </c>
      <c r="AN51" s="54">
        <f t="shared" si="744"/>
        <v>0</v>
      </c>
      <c r="AO51" s="54">
        <f t="shared" si="744"/>
        <v>0</v>
      </c>
      <c r="AP51" s="54">
        <f t="shared" si="744"/>
        <v>0</v>
      </c>
      <c r="AQ51" s="54">
        <f t="shared" si="744"/>
        <v>0</v>
      </c>
      <c r="AR51" s="19">
        <f t="shared" si="744"/>
        <v>0</v>
      </c>
      <c r="AS51" s="19">
        <f t="shared" si="744"/>
        <v>0</v>
      </c>
      <c r="AT51" s="54">
        <f t="shared" si="744"/>
        <v>0</v>
      </c>
      <c r="AU51" s="54">
        <f t="shared" si="744"/>
        <v>0</v>
      </c>
      <c r="AV51" s="54">
        <f t="shared" si="744"/>
        <v>0</v>
      </c>
      <c r="AW51" s="54">
        <f t="shared" si="744"/>
        <v>0</v>
      </c>
      <c r="AX51" s="19">
        <f t="shared" si="744"/>
        <v>0</v>
      </c>
      <c r="AY51" s="19">
        <f t="shared" si="744"/>
        <v>0</v>
      </c>
      <c r="AZ51" s="19">
        <f t="shared" si="744"/>
        <v>0</v>
      </c>
      <c r="BA51" s="14">
        <f t="shared" si="744"/>
        <v>0</v>
      </c>
      <c r="BB51" s="14">
        <f t="shared" si="744"/>
        <v>0</v>
      </c>
      <c r="BC51" s="14">
        <f t="shared" si="744"/>
        <v>0</v>
      </c>
      <c r="BD51" s="14">
        <f t="shared" si="744"/>
        <v>0</v>
      </c>
      <c r="BE51" s="14">
        <f t="shared" si="744"/>
        <v>0</v>
      </c>
      <c r="BF51" s="54">
        <f t="shared" si="744"/>
        <v>5330.5816019999984</v>
      </c>
      <c r="BG51" s="54">
        <f t="shared" si="744"/>
        <v>0</v>
      </c>
      <c r="BH51" s="54">
        <f t="shared" si="744"/>
        <v>0</v>
      </c>
      <c r="BI51" s="54">
        <f t="shared" si="744"/>
        <v>0</v>
      </c>
      <c r="BJ51" s="19">
        <f t="shared" si="744"/>
        <v>0</v>
      </c>
      <c r="BK51" s="19">
        <f t="shared" si="744"/>
        <v>0</v>
      </c>
      <c r="BL51" s="54">
        <f t="shared" si="744"/>
        <v>0</v>
      </c>
      <c r="BM51" s="54">
        <f t="shared" si="744"/>
        <v>0</v>
      </c>
      <c r="BN51" s="54">
        <f t="shared" si="744"/>
        <v>0</v>
      </c>
      <c r="BO51" s="54">
        <f t="shared" si="744"/>
        <v>0</v>
      </c>
      <c r="BP51" s="19">
        <f t="shared" si="744"/>
        <v>0</v>
      </c>
      <c r="BQ51" s="19">
        <f t="shared" si="744"/>
        <v>0</v>
      </c>
      <c r="BR51" s="54">
        <f t="shared" si="744"/>
        <v>0</v>
      </c>
      <c r="BS51" s="54">
        <f t="shared" si="744"/>
        <v>0</v>
      </c>
      <c r="BT51" s="54">
        <f t="shared" si="744"/>
        <v>0</v>
      </c>
      <c r="BU51" s="54">
        <f t="shared" si="744"/>
        <v>0</v>
      </c>
      <c r="BV51" s="19">
        <f t="shared" si="744"/>
        <v>0</v>
      </c>
      <c r="BW51" s="19">
        <f t="shared" ref="BW51:DT51" si="745">IF(BV41="B",IF(BW50="K",IF(BV51=0,IF(BU51=0,IF(BW49&lt;=849.2,2547.6-BW49,IF(BW49&lt;=1698.4,2547.6-BW49,0)),0),0),0),0)</f>
        <v>0</v>
      </c>
      <c r="BX51" s="19">
        <f t="shared" si="745"/>
        <v>0</v>
      </c>
      <c r="BY51" s="14">
        <f t="shared" si="745"/>
        <v>0</v>
      </c>
      <c r="BZ51" s="14">
        <f t="shared" si="745"/>
        <v>0</v>
      </c>
      <c r="CA51" s="14">
        <f t="shared" si="745"/>
        <v>0</v>
      </c>
      <c r="CB51" s="14">
        <f t="shared" si="745"/>
        <v>0</v>
      </c>
      <c r="CC51" s="14">
        <f t="shared" si="745"/>
        <v>0</v>
      </c>
      <c r="CD51" s="54">
        <f t="shared" si="745"/>
        <v>0</v>
      </c>
      <c r="CE51" s="54">
        <f t="shared" si="745"/>
        <v>0</v>
      </c>
      <c r="CF51" s="54">
        <f t="shared" si="745"/>
        <v>0</v>
      </c>
      <c r="CG51" s="54">
        <f t="shared" si="745"/>
        <v>0</v>
      </c>
      <c r="CH51" s="19">
        <f t="shared" si="745"/>
        <v>0</v>
      </c>
      <c r="CI51" s="19">
        <f t="shared" si="745"/>
        <v>0</v>
      </c>
      <c r="CJ51" s="54">
        <f t="shared" si="745"/>
        <v>0</v>
      </c>
      <c r="CK51" s="54">
        <f t="shared" si="745"/>
        <v>0</v>
      </c>
      <c r="CL51" s="54">
        <f t="shared" si="745"/>
        <v>0</v>
      </c>
      <c r="CM51" s="54">
        <f t="shared" si="745"/>
        <v>0</v>
      </c>
      <c r="CN51" s="19">
        <f t="shared" si="745"/>
        <v>0</v>
      </c>
      <c r="CO51" s="19">
        <f t="shared" si="745"/>
        <v>0</v>
      </c>
      <c r="CP51" s="54">
        <f t="shared" si="745"/>
        <v>0</v>
      </c>
      <c r="CQ51" s="54">
        <f t="shared" si="745"/>
        <v>0</v>
      </c>
      <c r="CR51" s="54">
        <f t="shared" si="745"/>
        <v>0</v>
      </c>
      <c r="CS51" s="54">
        <f t="shared" si="745"/>
        <v>0</v>
      </c>
      <c r="CT51" s="19">
        <f t="shared" si="745"/>
        <v>0</v>
      </c>
      <c r="CU51" s="19">
        <f t="shared" si="745"/>
        <v>0</v>
      </c>
      <c r="CV51" s="19">
        <f t="shared" si="745"/>
        <v>0</v>
      </c>
      <c r="CW51" s="14">
        <f t="shared" si="745"/>
        <v>0</v>
      </c>
      <c r="CX51" s="14">
        <f t="shared" si="745"/>
        <v>0</v>
      </c>
      <c r="CY51" s="14">
        <f t="shared" si="745"/>
        <v>0</v>
      </c>
      <c r="CZ51" s="14">
        <f t="shared" si="745"/>
        <v>0</v>
      </c>
      <c r="DA51" s="14">
        <f t="shared" si="745"/>
        <v>0</v>
      </c>
      <c r="DB51" s="54">
        <f t="shared" si="745"/>
        <v>0</v>
      </c>
      <c r="DC51" s="54">
        <f t="shared" si="745"/>
        <v>0</v>
      </c>
      <c r="DD51" s="54">
        <f t="shared" si="745"/>
        <v>0</v>
      </c>
      <c r="DE51" s="54">
        <f t="shared" si="745"/>
        <v>0</v>
      </c>
      <c r="DF51" s="19">
        <f t="shared" si="745"/>
        <v>0</v>
      </c>
      <c r="DG51" s="19">
        <f t="shared" si="745"/>
        <v>0</v>
      </c>
      <c r="DH51" s="54">
        <f t="shared" si="745"/>
        <v>0</v>
      </c>
      <c r="DI51" s="54">
        <f t="shared" si="745"/>
        <v>0</v>
      </c>
      <c r="DJ51" s="54">
        <f t="shared" si="745"/>
        <v>0</v>
      </c>
      <c r="DK51" s="54">
        <f t="shared" si="745"/>
        <v>0</v>
      </c>
      <c r="DL51" s="19">
        <f t="shared" si="745"/>
        <v>0</v>
      </c>
      <c r="DM51" s="19">
        <f t="shared" si="745"/>
        <v>0</v>
      </c>
      <c r="DN51" s="54">
        <f t="shared" si="745"/>
        <v>0</v>
      </c>
      <c r="DO51" s="54">
        <f t="shared" si="745"/>
        <v>0</v>
      </c>
      <c r="DP51" s="54">
        <f t="shared" si="745"/>
        <v>0</v>
      </c>
      <c r="DQ51" s="54">
        <f t="shared" si="745"/>
        <v>0</v>
      </c>
      <c r="DR51" s="19">
        <f t="shared" si="745"/>
        <v>0</v>
      </c>
      <c r="DS51" s="19">
        <f t="shared" si="745"/>
        <v>0</v>
      </c>
      <c r="DT51" s="19">
        <f t="shared" si="745"/>
        <v>0</v>
      </c>
    </row>
    <row r="52" spans="2:124" s="44" customFormat="1" x14ac:dyDescent="0.2">
      <c r="B52" s="42" t="s">
        <v>19</v>
      </c>
      <c r="C52" s="84"/>
      <c r="D52" s="153">
        <f>D51/2649.5*10</f>
        <v>3.3333081713530852</v>
      </c>
      <c r="E52" s="43">
        <f t="shared" ref="E52:BP52" si="746">E51/2649.5*10</f>
        <v>0</v>
      </c>
      <c r="F52" s="43">
        <f t="shared" si="746"/>
        <v>0</v>
      </c>
      <c r="G52" s="43">
        <f t="shared" si="746"/>
        <v>0</v>
      </c>
      <c r="H52" s="43">
        <f t="shared" si="746"/>
        <v>0</v>
      </c>
      <c r="I52" s="43">
        <f t="shared" si="746"/>
        <v>0</v>
      </c>
      <c r="J52" s="43">
        <f t="shared" si="746"/>
        <v>0</v>
      </c>
      <c r="K52" s="43">
        <f t="shared" si="746"/>
        <v>0</v>
      </c>
      <c r="L52" s="43">
        <f t="shared" si="746"/>
        <v>3.4938422343838522</v>
      </c>
      <c r="M52" s="43">
        <f t="shared" si="746"/>
        <v>0</v>
      </c>
      <c r="N52" s="43">
        <f t="shared" si="746"/>
        <v>0</v>
      </c>
      <c r="O52" s="43">
        <f t="shared" si="746"/>
        <v>0</v>
      </c>
      <c r="P52" s="43">
        <f t="shared" si="746"/>
        <v>3.5358984714096997</v>
      </c>
      <c r="Q52" s="43">
        <f t="shared" si="746"/>
        <v>0</v>
      </c>
      <c r="R52" s="43">
        <f t="shared" si="746"/>
        <v>0</v>
      </c>
      <c r="S52" s="43">
        <f t="shared" si="746"/>
        <v>0</v>
      </c>
      <c r="T52" s="43">
        <f t="shared" si="746"/>
        <v>0</v>
      </c>
      <c r="U52" s="43">
        <f t="shared" si="746"/>
        <v>0</v>
      </c>
      <c r="V52" s="43">
        <f t="shared" si="746"/>
        <v>5.591712058879037</v>
      </c>
      <c r="W52" s="43">
        <f t="shared" si="746"/>
        <v>0</v>
      </c>
      <c r="X52" s="43">
        <f t="shared" si="746"/>
        <v>0</v>
      </c>
      <c r="Y52" s="43">
        <f t="shared" si="746"/>
        <v>0</v>
      </c>
      <c r="Z52" s="43">
        <f t="shared" si="746"/>
        <v>0</v>
      </c>
      <c r="AA52" s="43">
        <f t="shared" si="746"/>
        <v>0</v>
      </c>
      <c r="AB52" s="68">
        <f t="shared" si="746"/>
        <v>0</v>
      </c>
      <c r="AC52" s="43">
        <f t="shared" si="746"/>
        <v>0</v>
      </c>
      <c r="AD52" s="43">
        <f t="shared" si="746"/>
        <v>0</v>
      </c>
      <c r="AE52" s="43">
        <f t="shared" si="746"/>
        <v>0</v>
      </c>
      <c r="AF52" s="43">
        <f t="shared" si="746"/>
        <v>0</v>
      </c>
      <c r="AG52" s="43">
        <f t="shared" si="746"/>
        <v>0</v>
      </c>
      <c r="AH52" s="43">
        <f t="shared" si="746"/>
        <v>0</v>
      </c>
      <c r="AI52" s="43">
        <f t="shared" si="746"/>
        <v>0</v>
      </c>
      <c r="AJ52" s="43">
        <f t="shared" si="746"/>
        <v>0</v>
      </c>
      <c r="AK52" s="43">
        <f t="shared" si="746"/>
        <v>0</v>
      </c>
      <c r="AL52" s="43">
        <f t="shared" si="746"/>
        <v>0</v>
      </c>
      <c r="AM52" s="43">
        <f t="shared" si="746"/>
        <v>0</v>
      </c>
      <c r="AN52" s="43">
        <f t="shared" si="746"/>
        <v>0</v>
      </c>
      <c r="AO52" s="43">
        <f t="shared" si="746"/>
        <v>0</v>
      </c>
      <c r="AP52" s="43">
        <f t="shared" si="746"/>
        <v>0</v>
      </c>
      <c r="AQ52" s="43">
        <f t="shared" si="746"/>
        <v>0</v>
      </c>
      <c r="AR52" s="43">
        <f t="shared" si="746"/>
        <v>0</v>
      </c>
      <c r="AS52" s="43">
        <f t="shared" si="746"/>
        <v>0</v>
      </c>
      <c r="AT52" s="43">
        <f t="shared" si="746"/>
        <v>0</v>
      </c>
      <c r="AU52" s="43">
        <f t="shared" si="746"/>
        <v>0</v>
      </c>
      <c r="AV52" s="43">
        <f t="shared" si="746"/>
        <v>0</v>
      </c>
      <c r="AW52" s="43">
        <f t="shared" si="746"/>
        <v>0</v>
      </c>
      <c r="AX52" s="43">
        <f t="shared" si="746"/>
        <v>0</v>
      </c>
      <c r="AY52" s="43">
        <f t="shared" si="746"/>
        <v>0</v>
      </c>
      <c r="AZ52" s="68">
        <f t="shared" si="746"/>
        <v>0</v>
      </c>
      <c r="BA52" s="43">
        <f t="shared" si="746"/>
        <v>0</v>
      </c>
      <c r="BB52" s="43">
        <f t="shared" si="746"/>
        <v>0</v>
      </c>
      <c r="BC52" s="43">
        <f t="shared" si="746"/>
        <v>0</v>
      </c>
      <c r="BD52" s="43">
        <f t="shared" si="746"/>
        <v>0</v>
      </c>
      <c r="BE52" s="43">
        <f t="shared" si="746"/>
        <v>0</v>
      </c>
      <c r="BF52" s="43">
        <f t="shared" si="746"/>
        <v>20.119198346857893</v>
      </c>
      <c r="BG52" s="43">
        <f t="shared" si="746"/>
        <v>0</v>
      </c>
      <c r="BH52" s="43">
        <f t="shared" si="746"/>
        <v>0</v>
      </c>
      <c r="BI52" s="43">
        <f t="shared" si="746"/>
        <v>0</v>
      </c>
      <c r="BJ52" s="43">
        <f t="shared" si="746"/>
        <v>0</v>
      </c>
      <c r="BK52" s="43">
        <f t="shared" si="746"/>
        <v>0</v>
      </c>
      <c r="BL52" s="43">
        <f t="shared" si="746"/>
        <v>0</v>
      </c>
      <c r="BM52" s="43">
        <f t="shared" si="746"/>
        <v>0</v>
      </c>
      <c r="BN52" s="43">
        <f t="shared" si="746"/>
        <v>0</v>
      </c>
      <c r="BO52" s="43">
        <f t="shared" si="746"/>
        <v>0</v>
      </c>
      <c r="BP52" s="43">
        <f t="shared" si="746"/>
        <v>0</v>
      </c>
      <c r="BQ52" s="43">
        <f t="shared" ref="BQ52:DT52" si="747">BQ51/2649.5*10</f>
        <v>0</v>
      </c>
      <c r="BR52" s="43">
        <f t="shared" si="747"/>
        <v>0</v>
      </c>
      <c r="BS52" s="43">
        <f t="shared" si="747"/>
        <v>0</v>
      </c>
      <c r="BT52" s="43">
        <f t="shared" si="747"/>
        <v>0</v>
      </c>
      <c r="BU52" s="43">
        <f t="shared" si="747"/>
        <v>0</v>
      </c>
      <c r="BV52" s="43">
        <f t="shared" si="747"/>
        <v>0</v>
      </c>
      <c r="BW52" s="43">
        <f t="shared" si="747"/>
        <v>0</v>
      </c>
      <c r="BX52" s="68">
        <f t="shared" si="747"/>
        <v>0</v>
      </c>
      <c r="BY52" s="43">
        <f t="shared" si="747"/>
        <v>0</v>
      </c>
      <c r="BZ52" s="43">
        <f t="shared" si="747"/>
        <v>0</v>
      </c>
      <c r="CA52" s="43">
        <f t="shared" si="747"/>
        <v>0</v>
      </c>
      <c r="CB52" s="43">
        <f t="shared" si="747"/>
        <v>0</v>
      </c>
      <c r="CC52" s="43">
        <f t="shared" si="747"/>
        <v>0</v>
      </c>
      <c r="CD52" s="43">
        <f t="shared" si="747"/>
        <v>0</v>
      </c>
      <c r="CE52" s="43">
        <f t="shared" si="747"/>
        <v>0</v>
      </c>
      <c r="CF52" s="43">
        <f t="shared" si="747"/>
        <v>0</v>
      </c>
      <c r="CG52" s="43">
        <f t="shared" si="747"/>
        <v>0</v>
      </c>
      <c r="CH52" s="43">
        <f t="shared" si="747"/>
        <v>0</v>
      </c>
      <c r="CI52" s="43">
        <f t="shared" si="747"/>
        <v>0</v>
      </c>
      <c r="CJ52" s="43">
        <f t="shared" si="747"/>
        <v>0</v>
      </c>
      <c r="CK52" s="43">
        <f t="shared" si="747"/>
        <v>0</v>
      </c>
      <c r="CL52" s="43">
        <f t="shared" si="747"/>
        <v>0</v>
      </c>
      <c r="CM52" s="43">
        <f t="shared" si="747"/>
        <v>0</v>
      </c>
      <c r="CN52" s="43">
        <f t="shared" si="747"/>
        <v>0</v>
      </c>
      <c r="CO52" s="43">
        <f t="shared" si="747"/>
        <v>0</v>
      </c>
      <c r="CP52" s="43">
        <f t="shared" si="747"/>
        <v>0</v>
      </c>
      <c r="CQ52" s="43">
        <f t="shared" si="747"/>
        <v>0</v>
      </c>
      <c r="CR52" s="43">
        <f t="shared" si="747"/>
        <v>0</v>
      </c>
      <c r="CS52" s="43">
        <f t="shared" si="747"/>
        <v>0</v>
      </c>
      <c r="CT52" s="43">
        <f t="shared" si="747"/>
        <v>0</v>
      </c>
      <c r="CU52" s="43">
        <f t="shared" si="747"/>
        <v>0</v>
      </c>
      <c r="CV52" s="68">
        <f t="shared" si="747"/>
        <v>0</v>
      </c>
      <c r="CW52" s="43">
        <f t="shared" si="747"/>
        <v>0</v>
      </c>
      <c r="CX52" s="43">
        <f t="shared" si="747"/>
        <v>0</v>
      </c>
      <c r="CY52" s="43">
        <f t="shared" si="747"/>
        <v>0</v>
      </c>
      <c r="CZ52" s="43">
        <f t="shared" si="747"/>
        <v>0</v>
      </c>
      <c r="DA52" s="43">
        <f t="shared" si="747"/>
        <v>0</v>
      </c>
      <c r="DB52" s="43">
        <f t="shared" si="747"/>
        <v>0</v>
      </c>
      <c r="DC52" s="43">
        <f t="shared" si="747"/>
        <v>0</v>
      </c>
      <c r="DD52" s="43">
        <f t="shared" si="747"/>
        <v>0</v>
      </c>
      <c r="DE52" s="43">
        <f t="shared" si="747"/>
        <v>0</v>
      </c>
      <c r="DF52" s="43">
        <f t="shared" si="747"/>
        <v>0</v>
      </c>
      <c r="DG52" s="43">
        <f t="shared" si="747"/>
        <v>0</v>
      </c>
      <c r="DH52" s="43">
        <f t="shared" si="747"/>
        <v>0</v>
      </c>
      <c r="DI52" s="43">
        <f t="shared" si="747"/>
        <v>0</v>
      </c>
      <c r="DJ52" s="43">
        <f t="shared" si="747"/>
        <v>0</v>
      </c>
      <c r="DK52" s="43">
        <f t="shared" si="747"/>
        <v>0</v>
      </c>
      <c r="DL52" s="43">
        <f t="shared" si="747"/>
        <v>0</v>
      </c>
      <c r="DM52" s="43">
        <f t="shared" si="747"/>
        <v>0</v>
      </c>
      <c r="DN52" s="43">
        <f t="shared" si="747"/>
        <v>0</v>
      </c>
      <c r="DO52" s="43">
        <f t="shared" si="747"/>
        <v>0</v>
      </c>
      <c r="DP52" s="43">
        <f t="shared" si="747"/>
        <v>0</v>
      </c>
      <c r="DQ52" s="43">
        <f t="shared" si="747"/>
        <v>0</v>
      </c>
      <c r="DR52" s="43">
        <f t="shared" si="747"/>
        <v>0</v>
      </c>
      <c r="DS52" s="43">
        <f t="shared" si="747"/>
        <v>0</v>
      </c>
      <c r="DT52" s="43">
        <f t="shared" si="747"/>
        <v>0</v>
      </c>
    </row>
    <row r="53" spans="2:124" s="17" customFormat="1" ht="16" thickBot="1" x14ac:dyDescent="0.25">
      <c r="B53" s="21" t="s">
        <v>221</v>
      </c>
      <c r="C53" s="76"/>
      <c r="D53" s="154">
        <f>D51*0.12959782</f>
        <v>114.45561071119999</v>
      </c>
      <c r="E53" s="22">
        <f>E51*0.12959782</f>
        <v>0</v>
      </c>
      <c r="F53" s="22">
        <f>F51*0.12959782</f>
        <v>0</v>
      </c>
      <c r="G53" s="22">
        <f t="shared" ref="G53:BP53" si="748">G51*0.12959782</f>
        <v>0</v>
      </c>
      <c r="H53" s="22">
        <f t="shared" si="748"/>
        <v>0</v>
      </c>
      <c r="I53" s="22">
        <f t="shared" si="748"/>
        <v>0</v>
      </c>
      <c r="J53" s="22">
        <f t="shared" si="748"/>
        <v>0</v>
      </c>
      <c r="K53" s="22">
        <f t="shared" si="748"/>
        <v>0</v>
      </c>
      <c r="L53" s="22">
        <f t="shared" si="748"/>
        <v>119.96785958817021</v>
      </c>
      <c r="M53" s="22">
        <f t="shared" si="748"/>
        <v>0</v>
      </c>
      <c r="N53" s="22">
        <f t="shared" si="748"/>
        <v>0</v>
      </c>
      <c r="O53" s="22">
        <f t="shared" si="748"/>
        <v>0</v>
      </c>
      <c r="P53" s="22">
        <f t="shared" si="748"/>
        <v>121.41194217686599</v>
      </c>
      <c r="Q53" s="22">
        <f t="shared" si="748"/>
        <v>0</v>
      </c>
      <c r="R53" s="22">
        <f t="shared" si="748"/>
        <v>0</v>
      </c>
      <c r="S53" s="22">
        <f t="shared" si="748"/>
        <v>0</v>
      </c>
      <c r="T53" s="22">
        <f t="shared" si="748"/>
        <v>0</v>
      </c>
      <c r="U53" s="22">
        <f t="shared" si="748"/>
        <v>0</v>
      </c>
      <c r="V53" s="22">
        <f t="shared" si="748"/>
        <v>192.00229493344031</v>
      </c>
      <c r="W53" s="22">
        <f t="shared" si="748"/>
        <v>0</v>
      </c>
      <c r="X53" s="22">
        <f t="shared" si="748"/>
        <v>0</v>
      </c>
      <c r="Y53" s="22">
        <f t="shared" si="748"/>
        <v>0</v>
      </c>
      <c r="Z53" s="22">
        <f t="shared" si="748"/>
        <v>0</v>
      </c>
      <c r="AA53" s="22">
        <f t="shared" si="748"/>
        <v>0</v>
      </c>
      <c r="AB53" s="58">
        <f t="shared" si="748"/>
        <v>0</v>
      </c>
      <c r="AC53" s="22">
        <f t="shared" si="748"/>
        <v>0</v>
      </c>
      <c r="AD53" s="22">
        <f t="shared" si="748"/>
        <v>0</v>
      </c>
      <c r="AE53" s="22">
        <f t="shared" si="748"/>
        <v>0</v>
      </c>
      <c r="AF53" s="22">
        <f t="shared" si="748"/>
        <v>0</v>
      </c>
      <c r="AG53" s="22">
        <f t="shared" si="748"/>
        <v>0</v>
      </c>
      <c r="AH53" s="22">
        <f t="shared" si="748"/>
        <v>0</v>
      </c>
      <c r="AI53" s="22">
        <f t="shared" si="748"/>
        <v>0</v>
      </c>
      <c r="AJ53" s="22">
        <f t="shared" si="748"/>
        <v>0</v>
      </c>
      <c r="AK53" s="22">
        <f t="shared" si="748"/>
        <v>0</v>
      </c>
      <c r="AL53" s="22">
        <f t="shared" si="748"/>
        <v>0</v>
      </c>
      <c r="AM53" s="22">
        <f t="shared" si="748"/>
        <v>0</v>
      </c>
      <c r="AN53" s="22">
        <f t="shared" si="748"/>
        <v>0</v>
      </c>
      <c r="AO53" s="22">
        <f t="shared" si="748"/>
        <v>0</v>
      </c>
      <c r="AP53" s="22">
        <f t="shared" si="748"/>
        <v>0</v>
      </c>
      <c r="AQ53" s="22">
        <f t="shared" si="748"/>
        <v>0</v>
      </c>
      <c r="AR53" s="22">
        <f t="shared" si="748"/>
        <v>0</v>
      </c>
      <c r="AS53" s="22">
        <f t="shared" si="748"/>
        <v>0</v>
      </c>
      <c r="AT53" s="22">
        <f t="shared" si="748"/>
        <v>0</v>
      </c>
      <c r="AU53" s="22">
        <f t="shared" si="748"/>
        <v>0</v>
      </c>
      <c r="AV53" s="22">
        <f t="shared" si="748"/>
        <v>0</v>
      </c>
      <c r="AW53" s="22">
        <f t="shared" si="748"/>
        <v>0</v>
      </c>
      <c r="AX53" s="22">
        <f t="shared" si="748"/>
        <v>0</v>
      </c>
      <c r="AY53" s="22">
        <f t="shared" si="748"/>
        <v>0</v>
      </c>
      <c r="AZ53" s="58">
        <f t="shared" si="748"/>
        <v>0</v>
      </c>
      <c r="BA53" s="22">
        <f t="shared" si="748"/>
        <v>0</v>
      </c>
      <c r="BB53" s="22">
        <f t="shared" si="748"/>
        <v>0</v>
      </c>
      <c r="BC53" s="22">
        <f t="shared" si="748"/>
        <v>0</v>
      </c>
      <c r="BD53" s="22">
        <f t="shared" si="748"/>
        <v>0</v>
      </c>
      <c r="BE53" s="22">
        <f t="shared" si="748"/>
        <v>0</v>
      </c>
      <c r="BF53" s="22">
        <f t="shared" si="748"/>
        <v>690.8317549513074</v>
      </c>
      <c r="BG53" s="22">
        <f t="shared" si="748"/>
        <v>0</v>
      </c>
      <c r="BH53" s="22">
        <f t="shared" si="748"/>
        <v>0</v>
      </c>
      <c r="BI53" s="22">
        <f t="shared" si="748"/>
        <v>0</v>
      </c>
      <c r="BJ53" s="22">
        <f t="shared" si="748"/>
        <v>0</v>
      </c>
      <c r="BK53" s="22">
        <f t="shared" si="748"/>
        <v>0</v>
      </c>
      <c r="BL53" s="22">
        <f t="shared" si="748"/>
        <v>0</v>
      </c>
      <c r="BM53" s="22">
        <f t="shared" si="748"/>
        <v>0</v>
      </c>
      <c r="BN53" s="22">
        <f t="shared" si="748"/>
        <v>0</v>
      </c>
      <c r="BO53" s="22">
        <f t="shared" si="748"/>
        <v>0</v>
      </c>
      <c r="BP53" s="22">
        <f t="shared" si="748"/>
        <v>0</v>
      </c>
      <c r="BQ53" s="22">
        <f t="shared" ref="BQ53:DT53" si="749">BQ51*0.12959782</f>
        <v>0</v>
      </c>
      <c r="BR53" s="22">
        <f t="shared" si="749"/>
        <v>0</v>
      </c>
      <c r="BS53" s="22">
        <f t="shared" si="749"/>
        <v>0</v>
      </c>
      <c r="BT53" s="22">
        <f t="shared" si="749"/>
        <v>0</v>
      </c>
      <c r="BU53" s="22">
        <f t="shared" si="749"/>
        <v>0</v>
      </c>
      <c r="BV53" s="22">
        <f t="shared" si="749"/>
        <v>0</v>
      </c>
      <c r="BW53" s="22">
        <f t="shared" si="749"/>
        <v>0</v>
      </c>
      <c r="BX53" s="58">
        <f t="shared" si="749"/>
        <v>0</v>
      </c>
      <c r="BY53" s="22">
        <f t="shared" si="749"/>
        <v>0</v>
      </c>
      <c r="BZ53" s="22">
        <f t="shared" si="749"/>
        <v>0</v>
      </c>
      <c r="CA53" s="22">
        <f t="shared" si="749"/>
        <v>0</v>
      </c>
      <c r="CB53" s="22">
        <f t="shared" si="749"/>
        <v>0</v>
      </c>
      <c r="CC53" s="22">
        <f t="shared" si="749"/>
        <v>0</v>
      </c>
      <c r="CD53" s="22">
        <f t="shared" si="749"/>
        <v>0</v>
      </c>
      <c r="CE53" s="22">
        <f t="shared" si="749"/>
        <v>0</v>
      </c>
      <c r="CF53" s="22">
        <f t="shared" si="749"/>
        <v>0</v>
      </c>
      <c r="CG53" s="22">
        <f t="shared" si="749"/>
        <v>0</v>
      </c>
      <c r="CH53" s="22">
        <f t="shared" si="749"/>
        <v>0</v>
      </c>
      <c r="CI53" s="22">
        <f t="shared" si="749"/>
        <v>0</v>
      </c>
      <c r="CJ53" s="22">
        <f t="shared" si="749"/>
        <v>0</v>
      </c>
      <c r="CK53" s="22">
        <f t="shared" si="749"/>
        <v>0</v>
      </c>
      <c r="CL53" s="22">
        <f t="shared" si="749"/>
        <v>0</v>
      </c>
      <c r="CM53" s="22">
        <f t="shared" si="749"/>
        <v>0</v>
      </c>
      <c r="CN53" s="22">
        <f t="shared" si="749"/>
        <v>0</v>
      </c>
      <c r="CO53" s="22">
        <f t="shared" si="749"/>
        <v>0</v>
      </c>
      <c r="CP53" s="22">
        <f t="shared" si="749"/>
        <v>0</v>
      </c>
      <c r="CQ53" s="22">
        <f t="shared" si="749"/>
        <v>0</v>
      </c>
      <c r="CR53" s="22">
        <f t="shared" si="749"/>
        <v>0</v>
      </c>
      <c r="CS53" s="22">
        <f t="shared" si="749"/>
        <v>0</v>
      </c>
      <c r="CT53" s="22">
        <f t="shared" si="749"/>
        <v>0</v>
      </c>
      <c r="CU53" s="22">
        <f t="shared" si="749"/>
        <v>0</v>
      </c>
      <c r="CV53" s="58">
        <f t="shared" si="749"/>
        <v>0</v>
      </c>
      <c r="CW53" s="22">
        <f t="shared" si="749"/>
        <v>0</v>
      </c>
      <c r="CX53" s="22">
        <f t="shared" si="749"/>
        <v>0</v>
      </c>
      <c r="CY53" s="22">
        <f t="shared" si="749"/>
        <v>0</v>
      </c>
      <c r="CZ53" s="22">
        <f t="shared" si="749"/>
        <v>0</v>
      </c>
      <c r="DA53" s="22">
        <f t="shared" si="749"/>
        <v>0</v>
      </c>
      <c r="DB53" s="22">
        <f t="shared" si="749"/>
        <v>0</v>
      </c>
      <c r="DC53" s="22">
        <f t="shared" si="749"/>
        <v>0</v>
      </c>
      <c r="DD53" s="22">
        <f t="shared" si="749"/>
        <v>0</v>
      </c>
      <c r="DE53" s="22">
        <f t="shared" si="749"/>
        <v>0</v>
      </c>
      <c r="DF53" s="22">
        <f t="shared" si="749"/>
        <v>0</v>
      </c>
      <c r="DG53" s="22">
        <f t="shared" si="749"/>
        <v>0</v>
      </c>
      <c r="DH53" s="22">
        <f t="shared" si="749"/>
        <v>0</v>
      </c>
      <c r="DI53" s="22">
        <f t="shared" si="749"/>
        <v>0</v>
      </c>
      <c r="DJ53" s="22">
        <f t="shared" si="749"/>
        <v>0</v>
      </c>
      <c r="DK53" s="22">
        <f t="shared" si="749"/>
        <v>0</v>
      </c>
      <c r="DL53" s="22">
        <f t="shared" si="749"/>
        <v>0</v>
      </c>
      <c r="DM53" s="22">
        <f t="shared" si="749"/>
        <v>0</v>
      </c>
      <c r="DN53" s="22">
        <f t="shared" si="749"/>
        <v>0</v>
      </c>
      <c r="DO53" s="22">
        <f t="shared" si="749"/>
        <v>0</v>
      </c>
      <c r="DP53" s="22">
        <f t="shared" si="749"/>
        <v>0</v>
      </c>
      <c r="DQ53" s="22">
        <f t="shared" si="749"/>
        <v>0</v>
      </c>
      <c r="DR53" s="22">
        <f t="shared" si="749"/>
        <v>0</v>
      </c>
      <c r="DS53" s="22">
        <f t="shared" si="749"/>
        <v>0</v>
      </c>
      <c r="DT53" s="22">
        <f t="shared" si="749"/>
        <v>0</v>
      </c>
    </row>
    <row r="54" spans="2:124" x14ac:dyDescent="0.2">
      <c r="E54" s="193" t="s">
        <v>66</v>
      </c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5"/>
      <c r="AC54" s="196" t="s">
        <v>67</v>
      </c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8"/>
      <c r="BA54" s="193" t="s">
        <v>68</v>
      </c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5"/>
      <c r="BY54" s="196" t="s">
        <v>69</v>
      </c>
      <c r="BZ54" s="197"/>
      <c r="CA54" s="197"/>
      <c r="CB54" s="197"/>
      <c r="CC54" s="197"/>
      <c r="CD54" s="197"/>
      <c r="CE54" s="197"/>
      <c r="CF54" s="197"/>
      <c r="CG54" s="197"/>
      <c r="CH54" s="197"/>
      <c r="CI54" s="197"/>
      <c r="CJ54" s="197"/>
      <c r="CK54" s="197"/>
      <c r="CL54" s="197"/>
      <c r="CM54" s="197"/>
      <c r="CN54" s="197"/>
      <c r="CO54" s="197"/>
      <c r="CP54" s="197"/>
      <c r="CQ54" s="197"/>
      <c r="CR54" s="197"/>
      <c r="CS54" s="197"/>
      <c r="CT54" s="197"/>
      <c r="CU54" s="197"/>
      <c r="CV54" s="198"/>
      <c r="CW54" s="193" t="s">
        <v>70</v>
      </c>
      <c r="CX54" s="194"/>
      <c r="CY54" s="194"/>
      <c r="CZ54" s="194"/>
      <c r="DA54" s="194"/>
      <c r="DB54" s="194"/>
      <c r="DC54" s="194"/>
      <c r="DD54" s="194"/>
      <c r="DE54" s="194"/>
      <c r="DF54" s="194"/>
      <c r="DG54" s="194"/>
      <c r="DH54" s="194"/>
      <c r="DI54" s="194"/>
      <c r="DJ54" s="194"/>
      <c r="DK54" s="194"/>
      <c r="DL54" s="194"/>
      <c r="DM54" s="194"/>
      <c r="DN54" s="194"/>
      <c r="DO54" s="194"/>
      <c r="DP54" s="194"/>
      <c r="DQ54" s="194"/>
      <c r="DR54" s="194"/>
      <c r="DS54" s="194"/>
      <c r="DT54" s="195"/>
    </row>
    <row r="55" spans="2:124" x14ac:dyDescent="0.2">
      <c r="B55" s="5" t="s">
        <v>93</v>
      </c>
      <c r="E55" s="23">
        <v>4.1666666666666664E-2</v>
      </c>
      <c r="F55" s="24">
        <v>8.3333333333333301E-2</v>
      </c>
      <c r="G55" s="24">
        <v>0.125</v>
      </c>
      <c r="H55" s="24">
        <v>0.16666666666666699</v>
      </c>
      <c r="I55" s="24">
        <v>0.20833333333333301</v>
      </c>
      <c r="J55" s="24">
        <v>0.25</v>
      </c>
      <c r="K55" s="24">
        <v>0.29166666666666702</v>
      </c>
      <c r="L55" s="24">
        <v>0.33333333333333298</v>
      </c>
      <c r="M55" s="24">
        <v>0.375</v>
      </c>
      <c r="N55" s="24">
        <v>0.41666666666666702</v>
      </c>
      <c r="O55" s="24">
        <v>0.45833333333333298</v>
      </c>
      <c r="P55" s="24">
        <v>0.5</v>
      </c>
      <c r="Q55" s="24">
        <v>0.54166666666666696</v>
      </c>
      <c r="R55" s="24">
        <v>0.58333333333333304</v>
      </c>
      <c r="S55" s="24">
        <v>0.625</v>
      </c>
      <c r="T55" s="24">
        <v>0.66666666666666696</v>
      </c>
      <c r="U55" s="24">
        <v>0.70833333333333304</v>
      </c>
      <c r="V55" s="24">
        <v>0.75</v>
      </c>
      <c r="W55" s="24">
        <v>0.79166666666666696</v>
      </c>
      <c r="X55" s="24">
        <v>0.83333333333333304</v>
      </c>
      <c r="Y55" s="24">
        <v>0.875</v>
      </c>
      <c r="Z55" s="24">
        <v>0.91666666666666696</v>
      </c>
      <c r="AA55" s="24">
        <v>0.95833333333333404</v>
      </c>
      <c r="AB55" s="59">
        <v>1</v>
      </c>
      <c r="AC55" s="23">
        <v>1.0416666666666701</v>
      </c>
      <c r="AD55" s="24">
        <v>1.0833333333333299</v>
      </c>
      <c r="AE55" s="24">
        <v>0.125</v>
      </c>
      <c r="AF55" s="24">
        <v>0.16666666666666699</v>
      </c>
      <c r="AG55" s="24">
        <v>0.20833333333333301</v>
      </c>
      <c r="AH55" s="24">
        <v>0.25</v>
      </c>
      <c r="AI55" s="24">
        <v>0.29166666666666702</v>
      </c>
      <c r="AJ55" s="24">
        <v>0.33333333333333298</v>
      </c>
      <c r="AK55" s="24">
        <v>0.375</v>
      </c>
      <c r="AL55" s="24">
        <v>0.41666666666666702</v>
      </c>
      <c r="AM55" s="24">
        <v>0.45833333333333298</v>
      </c>
      <c r="AN55" s="24">
        <v>0.5</v>
      </c>
      <c r="AO55" s="24">
        <v>0.54166666666666696</v>
      </c>
      <c r="AP55" s="24">
        <v>0.58333333333333304</v>
      </c>
      <c r="AQ55" s="24">
        <v>0.625</v>
      </c>
      <c r="AR55" s="24">
        <v>0.66666666666666696</v>
      </c>
      <c r="AS55" s="24">
        <v>0.70833333333333304</v>
      </c>
      <c r="AT55" s="24">
        <v>0.75</v>
      </c>
      <c r="AU55" s="24">
        <v>0.79166666666666696</v>
      </c>
      <c r="AV55" s="24">
        <v>0.83333333333333304</v>
      </c>
      <c r="AW55" s="24">
        <v>0.875</v>
      </c>
      <c r="AX55" s="24">
        <v>0.91666666666666696</v>
      </c>
      <c r="AY55" s="24">
        <v>0.95833333333333404</v>
      </c>
      <c r="AZ55" s="59">
        <v>1</v>
      </c>
      <c r="BA55" s="23">
        <v>1.0416666666666701</v>
      </c>
      <c r="BB55" s="24">
        <v>1.0833333333333299</v>
      </c>
      <c r="BC55" s="24">
        <v>0.125</v>
      </c>
      <c r="BD55" s="24">
        <v>0.16666666666666699</v>
      </c>
      <c r="BE55" s="24">
        <v>0.20833333333333301</v>
      </c>
      <c r="BF55" s="24">
        <v>0.25</v>
      </c>
      <c r="BG55" s="24">
        <v>0.29166666666666702</v>
      </c>
      <c r="BH55" s="24">
        <v>0.33333333333333298</v>
      </c>
      <c r="BI55" s="24">
        <v>0.375</v>
      </c>
      <c r="BJ55" s="24">
        <v>0.41666666666666702</v>
      </c>
      <c r="BK55" s="24">
        <v>0.45833333333333298</v>
      </c>
      <c r="BL55" s="24">
        <v>0.5</v>
      </c>
      <c r="BM55" s="24">
        <v>0.54166666666666696</v>
      </c>
      <c r="BN55" s="24">
        <v>0.58333333333333304</v>
      </c>
      <c r="BO55" s="24">
        <v>0.625</v>
      </c>
      <c r="BP55" s="24">
        <v>0.66666666666666696</v>
      </c>
      <c r="BQ55" s="24">
        <v>0.70833333333333304</v>
      </c>
      <c r="BR55" s="24">
        <v>0.75</v>
      </c>
      <c r="BS55" s="24">
        <v>0.79166666666666696</v>
      </c>
      <c r="BT55" s="24">
        <v>0.83333333333333304</v>
      </c>
      <c r="BU55" s="24">
        <v>0.875</v>
      </c>
      <c r="BV55" s="24">
        <v>0.91666666666666696</v>
      </c>
      <c r="BW55" s="24">
        <v>0.95833333333333404</v>
      </c>
      <c r="BX55" s="59">
        <v>1</v>
      </c>
      <c r="BY55" s="23">
        <v>1.0416666666666701</v>
      </c>
      <c r="BZ55" s="24">
        <v>1.0833333333333299</v>
      </c>
      <c r="CA55" s="24">
        <v>0.125</v>
      </c>
      <c r="CB55" s="24">
        <v>0.16666666666666699</v>
      </c>
      <c r="CC55" s="24">
        <v>0.20833333333333301</v>
      </c>
      <c r="CD55" s="24">
        <v>0.25</v>
      </c>
      <c r="CE55" s="24">
        <v>0.29166666666666702</v>
      </c>
      <c r="CF55" s="24">
        <v>0.33333333333333298</v>
      </c>
      <c r="CG55" s="24">
        <v>0.375</v>
      </c>
      <c r="CH55" s="24">
        <v>0.41666666666666702</v>
      </c>
      <c r="CI55" s="24">
        <v>0.45833333333333298</v>
      </c>
      <c r="CJ55" s="24">
        <v>0.5</v>
      </c>
      <c r="CK55" s="24">
        <v>0.54166666666666696</v>
      </c>
      <c r="CL55" s="24">
        <v>0.58333333333333304</v>
      </c>
      <c r="CM55" s="24">
        <v>0.625</v>
      </c>
      <c r="CN55" s="24">
        <v>0.66666666666666696</v>
      </c>
      <c r="CO55" s="24">
        <v>0.70833333333333304</v>
      </c>
      <c r="CP55" s="24">
        <v>0.75</v>
      </c>
      <c r="CQ55" s="24">
        <v>0.79166666666666696</v>
      </c>
      <c r="CR55" s="24">
        <v>0.83333333333333304</v>
      </c>
      <c r="CS55" s="24">
        <v>0.875</v>
      </c>
      <c r="CT55" s="24">
        <v>0.91666666666666696</v>
      </c>
      <c r="CU55" s="24">
        <v>0.95833333333333404</v>
      </c>
      <c r="CV55" s="59">
        <v>1</v>
      </c>
      <c r="CW55" s="23">
        <v>1.0416666666666701</v>
      </c>
      <c r="CX55" s="24">
        <v>1.0833333333333299</v>
      </c>
      <c r="CY55" s="24">
        <v>0.125</v>
      </c>
      <c r="CZ55" s="24">
        <v>0.16666666666666699</v>
      </c>
      <c r="DA55" s="24">
        <v>0.20833333333333301</v>
      </c>
      <c r="DB55" s="24">
        <v>0.25</v>
      </c>
      <c r="DC55" s="24">
        <v>0.29166666666666702</v>
      </c>
      <c r="DD55" s="24">
        <v>0.33333333333333298</v>
      </c>
      <c r="DE55" s="24">
        <v>0.375</v>
      </c>
      <c r="DF55" s="24">
        <v>0.41666666666666702</v>
      </c>
      <c r="DG55" s="24">
        <v>0.45833333333333298</v>
      </c>
      <c r="DH55" s="24">
        <v>0.5</v>
      </c>
      <c r="DI55" s="24">
        <v>0.54166666666666696</v>
      </c>
      <c r="DJ55" s="24">
        <v>0.58333333333333304</v>
      </c>
      <c r="DK55" s="24">
        <v>0.625</v>
      </c>
      <c r="DL55" s="24">
        <v>0.66666666666666696</v>
      </c>
      <c r="DM55" s="24">
        <v>0.70833333333333304</v>
      </c>
      <c r="DN55" s="24">
        <v>0.75</v>
      </c>
      <c r="DO55" s="24">
        <v>0.79166666666666696</v>
      </c>
      <c r="DP55" s="24">
        <v>0.83333333333333304</v>
      </c>
      <c r="DQ55" s="24">
        <v>0.875</v>
      </c>
      <c r="DR55" s="24">
        <v>0.91666666666666696</v>
      </c>
      <c r="DS55" s="24">
        <v>0.95833333333333404</v>
      </c>
      <c r="DT55" s="59">
        <v>1</v>
      </c>
    </row>
    <row r="56" spans="2:124" x14ac:dyDescent="0.2">
      <c r="B56" s="3" t="s">
        <v>37</v>
      </c>
      <c r="D56" s="149">
        <v>2</v>
      </c>
      <c r="E56" s="25">
        <f>D60-D62+E57</f>
        <v>4.5833333333333339</v>
      </c>
      <c r="F56" s="25">
        <f>E60-E62+F57</f>
        <v>5.9416666666666673</v>
      </c>
      <c r="G56" s="25">
        <f t="shared" ref="G56:BR56" si="750">F60-F62+G57</f>
        <v>7.3000000000000007</v>
      </c>
      <c r="H56" s="25">
        <f t="shared" si="750"/>
        <v>8.6583333333333332</v>
      </c>
      <c r="I56" s="25">
        <f t="shared" si="750"/>
        <v>11.266666666666666</v>
      </c>
      <c r="J56" s="25">
        <f t="shared" si="750"/>
        <v>5.2</v>
      </c>
      <c r="K56" s="25">
        <f t="shared" si="750"/>
        <v>9.1333333333333329</v>
      </c>
      <c r="L56" s="25">
        <f t="shared" si="750"/>
        <v>3.0666666666666673</v>
      </c>
      <c r="M56" s="25">
        <f t="shared" si="750"/>
        <v>7.0000000000000009</v>
      </c>
      <c r="N56" s="25">
        <f t="shared" si="750"/>
        <v>1.7333333333333349</v>
      </c>
      <c r="O56" s="25">
        <f t="shared" si="750"/>
        <v>6.4666666666666686</v>
      </c>
      <c r="P56" s="25">
        <f t="shared" si="750"/>
        <v>11.200000000000003</v>
      </c>
      <c r="Q56" s="25">
        <f t="shared" si="750"/>
        <v>5.933333333333338</v>
      </c>
      <c r="R56" s="25">
        <f t="shared" si="750"/>
        <v>10.666666666666671</v>
      </c>
      <c r="S56" s="25">
        <f t="shared" si="750"/>
        <v>5.4000000000000066</v>
      </c>
      <c r="T56" s="25">
        <f t="shared" si="750"/>
        <v>10.13333333333334</v>
      </c>
      <c r="U56" s="25">
        <f t="shared" si="750"/>
        <v>4.8666666666666751</v>
      </c>
      <c r="V56" s="25">
        <f t="shared" si="750"/>
        <v>9.6000000000000085</v>
      </c>
      <c r="W56" s="25">
        <f t="shared" si="750"/>
        <v>4.3333333333333437</v>
      </c>
      <c r="X56" s="25">
        <f t="shared" si="750"/>
        <v>8.2666666666666764</v>
      </c>
      <c r="Y56" s="25">
        <f t="shared" si="750"/>
        <v>2.2000000000000108</v>
      </c>
      <c r="Z56" s="25">
        <f t="shared" si="750"/>
        <v>6.1333333333333444</v>
      </c>
      <c r="AA56" s="25">
        <f t="shared" si="750"/>
        <v>8.8166666666666771</v>
      </c>
      <c r="AB56" s="57">
        <f t="shared" si="750"/>
        <v>10.17500000000001</v>
      </c>
      <c r="AC56" s="19">
        <f t="shared" si="750"/>
        <v>11.533333333333342</v>
      </c>
      <c r="AD56" s="25">
        <f t="shared" si="750"/>
        <v>12.891666666666675</v>
      </c>
      <c r="AE56" s="25">
        <f t="shared" si="750"/>
        <v>14.250000000000007</v>
      </c>
      <c r="AF56" s="25">
        <f t="shared" si="750"/>
        <v>15.60833333333334</v>
      </c>
      <c r="AG56" s="25">
        <f t="shared" si="750"/>
        <v>16.966666666666676</v>
      </c>
      <c r="AH56" s="25">
        <f t="shared" si="750"/>
        <v>18.32500000000001</v>
      </c>
      <c r="AI56" s="25">
        <f t="shared" si="750"/>
        <v>19.683333333333344</v>
      </c>
      <c r="AJ56" s="25">
        <f t="shared" si="750"/>
        <v>21.041666666666679</v>
      </c>
      <c r="AK56" s="25">
        <f t="shared" si="750"/>
        <v>22.400000000000013</v>
      </c>
      <c r="AL56" s="25">
        <f t="shared" si="750"/>
        <v>24.558333333333348</v>
      </c>
      <c r="AM56" s="25">
        <f t="shared" si="750"/>
        <v>26.716666666666683</v>
      </c>
      <c r="AN56" s="25">
        <f t="shared" si="750"/>
        <v>28.875000000000018</v>
      </c>
      <c r="AO56" s="25">
        <f t="shared" si="750"/>
        <v>31.033333333333353</v>
      </c>
      <c r="AP56" s="25">
        <f t="shared" si="750"/>
        <v>33.191666666666684</v>
      </c>
      <c r="AQ56" s="25">
        <f t="shared" si="750"/>
        <v>35.350000000000016</v>
      </c>
      <c r="AR56" s="25">
        <f t="shared" si="750"/>
        <v>37.508333333333347</v>
      </c>
      <c r="AS56" s="25">
        <f t="shared" si="750"/>
        <v>39.666666666666679</v>
      </c>
      <c r="AT56" s="25">
        <f t="shared" si="750"/>
        <v>41.82500000000001</v>
      </c>
      <c r="AU56" s="25">
        <f t="shared" si="750"/>
        <v>43.983333333333341</v>
      </c>
      <c r="AV56" s="25">
        <f t="shared" si="750"/>
        <v>45.341666666666676</v>
      </c>
      <c r="AW56" s="25">
        <f t="shared" si="750"/>
        <v>46.70000000000001</v>
      </c>
      <c r="AX56" s="25">
        <f t="shared" si="750"/>
        <v>48.058333333333344</v>
      </c>
      <c r="AY56" s="25">
        <f t="shared" si="750"/>
        <v>49.416666666666679</v>
      </c>
      <c r="AZ56" s="57">
        <f t="shared" si="750"/>
        <v>50.775000000000013</v>
      </c>
      <c r="BA56" s="19">
        <f t="shared" si="750"/>
        <v>52.133333333333347</v>
      </c>
      <c r="BB56" s="25">
        <f t="shared" si="750"/>
        <v>53.491666666666681</v>
      </c>
      <c r="BC56" s="25">
        <f t="shared" si="750"/>
        <v>54.850000000000016</v>
      </c>
      <c r="BD56" s="25">
        <f t="shared" si="750"/>
        <v>56.20833333333335</v>
      </c>
      <c r="BE56" s="25">
        <f t="shared" si="750"/>
        <v>58.816666666666684</v>
      </c>
      <c r="BF56" s="25">
        <f t="shared" si="750"/>
        <v>52.750000000000014</v>
      </c>
      <c r="BG56" s="25">
        <f t="shared" si="750"/>
        <v>46.683333333333344</v>
      </c>
      <c r="BH56" s="25">
        <f t="shared" si="750"/>
        <v>40.616666666666674</v>
      </c>
      <c r="BI56" s="25">
        <f t="shared" si="750"/>
        <v>34.550000000000004</v>
      </c>
      <c r="BJ56" s="25">
        <f t="shared" si="750"/>
        <v>29.283333333333335</v>
      </c>
      <c r="BK56" s="25">
        <f t="shared" si="750"/>
        <v>24.016666666666669</v>
      </c>
      <c r="BL56" s="25">
        <f t="shared" si="750"/>
        <v>18.750000000000004</v>
      </c>
      <c r="BM56" s="25">
        <f t="shared" si="750"/>
        <v>13.483333333333336</v>
      </c>
      <c r="BN56" s="25">
        <f t="shared" si="750"/>
        <v>8.2166666666666703</v>
      </c>
      <c r="BO56" s="25">
        <f t="shared" si="750"/>
        <v>2.9500000000000055</v>
      </c>
      <c r="BP56" s="25">
        <f t="shared" si="750"/>
        <v>7.6833333333333389</v>
      </c>
      <c r="BQ56" s="25">
        <f t="shared" si="750"/>
        <v>2.4166666666666741</v>
      </c>
      <c r="BR56" s="25">
        <f t="shared" si="750"/>
        <v>7.1500000000000075</v>
      </c>
      <c r="BS56" s="25">
        <f t="shared" ref="BS56:BX56" si="751">BR60-BR62+BS57</f>
        <v>1.8833333333333424</v>
      </c>
      <c r="BT56" s="25">
        <f t="shared" si="751"/>
        <v>5.8166666666666762</v>
      </c>
      <c r="BU56" s="25">
        <f t="shared" si="751"/>
        <v>9.7500000000000089</v>
      </c>
      <c r="BV56" s="25">
        <f t="shared" si="751"/>
        <v>3.6833333333333433</v>
      </c>
      <c r="BW56" s="25">
        <f t="shared" si="751"/>
        <v>6.3666666666666769</v>
      </c>
      <c r="BX56" s="57">
        <f t="shared" si="751"/>
        <v>7.7250000000000103</v>
      </c>
      <c r="BY56" s="19">
        <f t="shared" ref="BY56" si="752">BX60-BX62+BY57</f>
        <v>9.0833333333333428</v>
      </c>
      <c r="BZ56" s="25">
        <f t="shared" ref="BZ56" si="753">BY60-BY62+BZ57</f>
        <v>10.441666666666675</v>
      </c>
      <c r="CA56" s="25">
        <f t="shared" ref="CA56" si="754">BZ60-BZ62+CA57</f>
        <v>11.800000000000008</v>
      </c>
      <c r="CB56" s="25">
        <f t="shared" ref="CB56" si="755">CA60-CA62+CB57</f>
        <v>13.15833333333334</v>
      </c>
      <c r="CC56" s="25">
        <f t="shared" ref="CC56" si="756">CB60-CB62+CC57</f>
        <v>15.766666666666673</v>
      </c>
      <c r="CD56" s="25">
        <f t="shared" ref="CD56" si="757">CC60-CC62+CD57</f>
        <v>9.7000000000000046</v>
      </c>
      <c r="CE56" s="25">
        <f t="shared" ref="CE56" si="758">CD60-CD62+CE57</f>
        <v>3.6333333333333391</v>
      </c>
      <c r="CF56" s="25">
        <f t="shared" ref="CF56" si="759">CE60-CE62+CF57</f>
        <v>7.5666666666666726</v>
      </c>
      <c r="CG56" s="25">
        <f t="shared" ref="CG56" si="760">CF60-CF62+CG57</f>
        <v>11.500000000000005</v>
      </c>
      <c r="CH56" s="25">
        <f t="shared" ref="CH56" si="761">CG60-CG62+CH57</f>
        <v>6.2333333333333405</v>
      </c>
      <c r="CI56" s="25">
        <f t="shared" ref="CI56" si="762">CH60-CH62+CI57</f>
        <v>10.966666666666674</v>
      </c>
      <c r="CJ56" s="25">
        <f t="shared" ref="CJ56" si="763">CI60-CI62+CJ57</f>
        <v>5.7000000000000091</v>
      </c>
      <c r="CK56" s="25">
        <f t="shared" ref="CK56" si="764">CJ60-CJ62+CK57</f>
        <v>10.433333333333342</v>
      </c>
      <c r="CL56" s="25">
        <f t="shared" ref="CL56" si="765">CK60-CK62+CL57</f>
        <v>5.1666666666666776</v>
      </c>
      <c r="CM56" s="25">
        <f t="shared" ref="CM56" si="766">CL60-CL62+CM57</f>
        <v>9.900000000000011</v>
      </c>
      <c r="CN56" s="25">
        <f t="shared" ref="CN56" si="767">CM60-CM62+CN57</f>
        <v>4.6333333333333462</v>
      </c>
      <c r="CO56" s="25">
        <f t="shared" ref="CO56" si="768">CN60-CN62+CO57</f>
        <v>9.3666666666666796</v>
      </c>
      <c r="CP56" s="25">
        <f t="shared" ref="CP56" si="769">CO60-CO62+CP57</f>
        <v>4.1000000000000147</v>
      </c>
      <c r="CQ56" s="25">
        <f t="shared" ref="CQ56" si="770">CP60-CP62+CQ57</f>
        <v>8.8333333333333481</v>
      </c>
      <c r="CR56" s="25">
        <f t="shared" ref="CR56" si="771">CQ60-CQ62+CR57</f>
        <v>2.7666666666666826</v>
      </c>
      <c r="CS56" s="25">
        <f t="shared" ref="CS56" si="772">CR60-CR62+CS57</f>
        <v>6.7000000000000162</v>
      </c>
      <c r="CT56" s="25">
        <f t="shared" ref="CT56" si="773">CS60-CS62+CT57</f>
        <v>9.3833333333333488</v>
      </c>
      <c r="CU56" s="25">
        <f t="shared" ref="CU56" si="774">CT60-CT62+CU57</f>
        <v>10.741666666666681</v>
      </c>
      <c r="CV56" s="57">
        <f t="shared" ref="CV56" si="775">CU60-CU62+CV57</f>
        <v>12.100000000000014</v>
      </c>
      <c r="CW56" s="19">
        <f t="shared" ref="CW56" si="776">CV60-CV62+CW57</f>
        <v>13.458333333333346</v>
      </c>
      <c r="CX56" s="25">
        <f t="shared" ref="CX56" si="777">CW60-CW62+CX57</f>
        <v>14.816666666666679</v>
      </c>
      <c r="CY56" s="25">
        <f t="shared" ref="CY56" si="778">CX60-CX62+CY57</f>
        <v>16.175000000000011</v>
      </c>
      <c r="CZ56" s="25">
        <f t="shared" ref="CZ56" si="779">CY60-CY62+CZ57</f>
        <v>17.533333333333346</v>
      </c>
      <c r="DA56" s="25">
        <f t="shared" ref="DA56" si="780">CZ60-CZ62+DA57</f>
        <v>20.14166666666668</v>
      </c>
      <c r="DB56" s="25">
        <f t="shared" ref="DB56" si="781">DA60-DA62+DB57</f>
        <v>14.075000000000012</v>
      </c>
      <c r="DC56" s="25">
        <f t="shared" ref="DC56" si="782">DB60-DB62+DC57</f>
        <v>8.0083333333333453</v>
      </c>
      <c r="DD56" s="25">
        <f t="shared" ref="DD56" si="783">DC60-DC62+DD57</f>
        <v>1.9416666666666795</v>
      </c>
      <c r="DE56" s="25">
        <f t="shared" ref="DE56" si="784">DD60-DD62+DE57</f>
        <v>5.8750000000000133</v>
      </c>
      <c r="DF56" s="25">
        <f t="shared" ref="DF56" si="785">DE60-DE62+DF57</f>
        <v>10.608333333333347</v>
      </c>
      <c r="DG56" s="25">
        <f t="shared" ref="DG56" si="786">DF60-DF62+DG57</f>
        <v>5.3416666666666819</v>
      </c>
      <c r="DH56" s="25">
        <f t="shared" ref="DH56" si="787">DG60-DG62+DH57</f>
        <v>10.075000000000015</v>
      </c>
      <c r="DI56" s="25">
        <f t="shared" ref="DI56" si="788">DH60-DH62+DI57</f>
        <v>4.8083333333333504</v>
      </c>
      <c r="DJ56" s="25">
        <f t="shared" ref="DJ56" si="789">DI60-DI62+DJ57</f>
        <v>9.5416666666666838</v>
      </c>
      <c r="DK56" s="25">
        <f t="shared" ref="DK56" si="790">DJ60-DJ62+DK57</f>
        <v>4.275000000000019</v>
      </c>
      <c r="DL56" s="25">
        <f t="shared" ref="DL56" si="791">DK60-DK62+DL57</f>
        <v>9.0083333333333524</v>
      </c>
      <c r="DM56" s="25">
        <f t="shared" ref="DM56" si="792">DL60-DL62+DM57</f>
        <v>3.7416666666666876</v>
      </c>
      <c r="DN56" s="25">
        <f t="shared" ref="DN56" si="793">DM60-DM62+DN57</f>
        <v>8.475000000000021</v>
      </c>
      <c r="DO56" s="25">
        <f t="shared" ref="DO56" si="794">DN60-DN62+DO57</f>
        <v>3.2083333333333561</v>
      </c>
      <c r="DP56" s="25">
        <f t="shared" ref="DP56" si="795">DO60-DO62+DP57</f>
        <v>7.1416666666666897</v>
      </c>
      <c r="DQ56" s="25">
        <f t="shared" ref="DQ56" si="796">DP60-DP62+DQ57</f>
        <v>11.075000000000022</v>
      </c>
      <c r="DR56" s="25">
        <f t="shared" ref="DR56" si="797">DQ60-DQ62+DR57</f>
        <v>3.7583333333333564</v>
      </c>
      <c r="DS56" s="25">
        <f t="shared" ref="DS56" si="798">DR60-DR62+DS57</f>
        <v>5.1166666666666902</v>
      </c>
      <c r="DT56" s="57">
        <f t="shared" ref="DT56" si="799">DS60-DS62+DT57</f>
        <v>6.4750000000000236</v>
      </c>
    </row>
    <row r="57" spans="2:124" s="2" customFormat="1" x14ac:dyDescent="0.2">
      <c r="B57" s="20" t="s">
        <v>38</v>
      </c>
      <c r="C57" s="75"/>
      <c r="D57" s="149">
        <f>10/6</f>
        <v>1.6666666666666667</v>
      </c>
      <c r="E57" s="26">
        <f t="shared" ref="E57:AJ57" si="800">IF(D41="T",$D$57*0.25,$D$57)</f>
        <v>0.41666666666666669</v>
      </c>
      <c r="F57" s="27">
        <f t="shared" si="800"/>
        <v>0.41666666666666669</v>
      </c>
      <c r="G57" s="27">
        <f t="shared" si="800"/>
        <v>0.41666666666666669</v>
      </c>
      <c r="H57" s="27">
        <f t="shared" si="800"/>
        <v>0.41666666666666669</v>
      </c>
      <c r="I57" s="27">
        <f t="shared" si="800"/>
        <v>1.6666666666666667</v>
      </c>
      <c r="J57" s="27">
        <f t="shared" si="800"/>
        <v>1.6666666666666667</v>
      </c>
      <c r="K57" s="27">
        <f t="shared" si="800"/>
        <v>1.6666666666666667</v>
      </c>
      <c r="L57" s="27">
        <f t="shared" si="800"/>
        <v>1.6666666666666667</v>
      </c>
      <c r="M57" s="27">
        <f t="shared" si="800"/>
        <v>1.6666666666666667</v>
      </c>
      <c r="N57" s="27">
        <f t="shared" si="800"/>
        <v>1.6666666666666667</v>
      </c>
      <c r="O57" s="27">
        <f t="shared" si="800"/>
        <v>1.6666666666666667</v>
      </c>
      <c r="P57" s="27">
        <f t="shared" si="800"/>
        <v>1.6666666666666667</v>
      </c>
      <c r="Q57" s="27">
        <f t="shared" si="800"/>
        <v>1.6666666666666667</v>
      </c>
      <c r="R57" s="27">
        <f t="shared" si="800"/>
        <v>1.6666666666666667</v>
      </c>
      <c r="S57" s="27">
        <f t="shared" si="800"/>
        <v>1.6666666666666667</v>
      </c>
      <c r="T57" s="27">
        <f t="shared" si="800"/>
        <v>1.6666666666666667</v>
      </c>
      <c r="U57" s="27">
        <f t="shared" si="800"/>
        <v>1.6666666666666667</v>
      </c>
      <c r="V57" s="27">
        <f t="shared" si="800"/>
        <v>1.6666666666666667</v>
      </c>
      <c r="W57" s="27">
        <f t="shared" si="800"/>
        <v>1.6666666666666667</v>
      </c>
      <c r="X57" s="27">
        <f t="shared" si="800"/>
        <v>1.6666666666666667</v>
      </c>
      <c r="Y57" s="27">
        <f t="shared" si="800"/>
        <v>1.6666666666666667</v>
      </c>
      <c r="Z57" s="27">
        <f t="shared" si="800"/>
        <v>1.6666666666666667</v>
      </c>
      <c r="AA57" s="27">
        <f t="shared" si="800"/>
        <v>0.41666666666666669</v>
      </c>
      <c r="AB57" s="60">
        <f t="shared" si="800"/>
        <v>0.41666666666666669</v>
      </c>
      <c r="AC57" s="26">
        <f t="shared" si="800"/>
        <v>0.41666666666666669</v>
      </c>
      <c r="AD57" s="27">
        <f t="shared" si="800"/>
        <v>0.41666666666666669</v>
      </c>
      <c r="AE57" s="27">
        <f t="shared" si="800"/>
        <v>0.41666666666666669</v>
      </c>
      <c r="AF57" s="27">
        <f t="shared" si="800"/>
        <v>0.41666666666666669</v>
      </c>
      <c r="AG57" s="27">
        <f t="shared" si="800"/>
        <v>0.41666666666666669</v>
      </c>
      <c r="AH57" s="27">
        <f t="shared" si="800"/>
        <v>0.41666666666666669</v>
      </c>
      <c r="AI57" s="27">
        <f t="shared" si="800"/>
        <v>0.41666666666666669</v>
      </c>
      <c r="AJ57" s="27">
        <f t="shared" si="800"/>
        <v>0.41666666666666669</v>
      </c>
      <c r="AK57" s="27">
        <f t="shared" ref="AK57:BP57" si="801">IF(AJ41="T",$D$57*0.25,$D$57)</f>
        <v>0.41666666666666669</v>
      </c>
      <c r="AL57" s="27">
        <f t="shared" si="801"/>
        <v>0.41666666666666669</v>
      </c>
      <c r="AM57" s="27">
        <f t="shared" si="801"/>
        <v>0.41666666666666669</v>
      </c>
      <c r="AN57" s="27">
        <f t="shared" si="801"/>
        <v>0.41666666666666669</v>
      </c>
      <c r="AO57" s="27">
        <f t="shared" si="801"/>
        <v>0.41666666666666669</v>
      </c>
      <c r="AP57" s="27">
        <f t="shared" si="801"/>
        <v>0.41666666666666669</v>
      </c>
      <c r="AQ57" s="27">
        <f t="shared" si="801"/>
        <v>0.41666666666666669</v>
      </c>
      <c r="AR57" s="27">
        <f t="shared" si="801"/>
        <v>0.41666666666666669</v>
      </c>
      <c r="AS57" s="27">
        <f t="shared" si="801"/>
        <v>0.41666666666666669</v>
      </c>
      <c r="AT57" s="27">
        <f t="shared" si="801"/>
        <v>0.41666666666666669</v>
      </c>
      <c r="AU57" s="27">
        <f t="shared" si="801"/>
        <v>0.41666666666666669</v>
      </c>
      <c r="AV57" s="27">
        <f t="shared" si="801"/>
        <v>0.41666666666666669</v>
      </c>
      <c r="AW57" s="27">
        <f t="shared" si="801"/>
        <v>0.41666666666666669</v>
      </c>
      <c r="AX57" s="27">
        <f t="shared" si="801"/>
        <v>0.41666666666666669</v>
      </c>
      <c r="AY57" s="27">
        <f t="shared" si="801"/>
        <v>0.41666666666666669</v>
      </c>
      <c r="AZ57" s="60">
        <f t="shared" si="801"/>
        <v>0.41666666666666669</v>
      </c>
      <c r="BA57" s="26">
        <f t="shared" si="801"/>
        <v>0.41666666666666669</v>
      </c>
      <c r="BB57" s="27">
        <f t="shared" si="801"/>
        <v>0.41666666666666669</v>
      </c>
      <c r="BC57" s="27">
        <f t="shared" si="801"/>
        <v>0.41666666666666669</v>
      </c>
      <c r="BD57" s="27">
        <f t="shared" si="801"/>
        <v>0.41666666666666669</v>
      </c>
      <c r="BE57" s="27">
        <f t="shared" si="801"/>
        <v>1.6666666666666667</v>
      </c>
      <c r="BF57" s="27">
        <f t="shared" si="801"/>
        <v>1.6666666666666667</v>
      </c>
      <c r="BG57" s="27">
        <f t="shared" si="801"/>
        <v>1.6666666666666667</v>
      </c>
      <c r="BH57" s="27">
        <f t="shared" si="801"/>
        <v>1.6666666666666667</v>
      </c>
      <c r="BI57" s="27">
        <f t="shared" si="801"/>
        <v>1.6666666666666667</v>
      </c>
      <c r="BJ57" s="27">
        <f t="shared" si="801"/>
        <v>1.6666666666666667</v>
      </c>
      <c r="BK57" s="27">
        <f t="shared" si="801"/>
        <v>1.6666666666666667</v>
      </c>
      <c r="BL57" s="27">
        <f t="shared" si="801"/>
        <v>1.6666666666666667</v>
      </c>
      <c r="BM57" s="27">
        <f t="shared" si="801"/>
        <v>1.6666666666666667</v>
      </c>
      <c r="BN57" s="27">
        <f t="shared" si="801"/>
        <v>1.6666666666666667</v>
      </c>
      <c r="BO57" s="27">
        <f t="shared" si="801"/>
        <v>1.6666666666666667</v>
      </c>
      <c r="BP57" s="27">
        <f t="shared" si="801"/>
        <v>1.6666666666666667</v>
      </c>
      <c r="BQ57" s="27">
        <f t="shared" ref="BQ57:CV57" si="802">IF(BP41="T",$D$57*0.25,$D$57)</f>
        <v>1.6666666666666667</v>
      </c>
      <c r="BR57" s="27">
        <f t="shared" si="802"/>
        <v>1.6666666666666667</v>
      </c>
      <c r="BS57" s="27">
        <f t="shared" si="802"/>
        <v>1.6666666666666667</v>
      </c>
      <c r="BT57" s="27">
        <f t="shared" si="802"/>
        <v>1.6666666666666667</v>
      </c>
      <c r="BU57" s="27">
        <f t="shared" si="802"/>
        <v>1.6666666666666667</v>
      </c>
      <c r="BV57" s="27">
        <f t="shared" si="802"/>
        <v>1.6666666666666667</v>
      </c>
      <c r="BW57" s="27">
        <f t="shared" si="802"/>
        <v>0.41666666666666669</v>
      </c>
      <c r="BX57" s="60">
        <f t="shared" si="802"/>
        <v>0.41666666666666669</v>
      </c>
      <c r="BY57" s="26">
        <f t="shared" si="802"/>
        <v>0.41666666666666669</v>
      </c>
      <c r="BZ57" s="27">
        <f t="shared" si="802"/>
        <v>0.41666666666666669</v>
      </c>
      <c r="CA57" s="27">
        <f t="shared" si="802"/>
        <v>0.41666666666666669</v>
      </c>
      <c r="CB57" s="27">
        <f t="shared" si="802"/>
        <v>0.41666666666666669</v>
      </c>
      <c r="CC57" s="27">
        <f t="shared" si="802"/>
        <v>1.6666666666666667</v>
      </c>
      <c r="CD57" s="27">
        <f t="shared" si="802"/>
        <v>1.6666666666666667</v>
      </c>
      <c r="CE57" s="27">
        <f t="shared" si="802"/>
        <v>1.6666666666666667</v>
      </c>
      <c r="CF57" s="27">
        <f t="shared" si="802"/>
        <v>1.6666666666666667</v>
      </c>
      <c r="CG57" s="27">
        <f t="shared" si="802"/>
        <v>1.6666666666666667</v>
      </c>
      <c r="CH57" s="27">
        <f t="shared" si="802"/>
        <v>1.6666666666666667</v>
      </c>
      <c r="CI57" s="27">
        <f t="shared" si="802"/>
        <v>1.6666666666666667</v>
      </c>
      <c r="CJ57" s="27">
        <f t="shared" si="802"/>
        <v>1.6666666666666667</v>
      </c>
      <c r="CK57" s="27">
        <f t="shared" si="802"/>
        <v>1.6666666666666667</v>
      </c>
      <c r="CL57" s="27">
        <f t="shared" si="802"/>
        <v>1.6666666666666667</v>
      </c>
      <c r="CM57" s="27">
        <f t="shared" si="802"/>
        <v>1.6666666666666667</v>
      </c>
      <c r="CN57" s="27">
        <f t="shared" si="802"/>
        <v>1.6666666666666667</v>
      </c>
      <c r="CO57" s="27">
        <f t="shared" si="802"/>
        <v>1.6666666666666667</v>
      </c>
      <c r="CP57" s="27">
        <f t="shared" si="802"/>
        <v>1.6666666666666667</v>
      </c>
      <c r="CQ57" s="27">
        <f t="shared" si="802"/>
        <v>1.6666666666666667</v>
      </c>
      <c r="CR57" s="27">
        <f t="shared" si="802"/>
        <v>1.6666666666666667</v>
      </c>
      <c r="CS57" s="27">
        <f t="shared" si="802"/>
        <v>1.6666666666666667</v>
      </c>
      <c r="CT57" s="27">
        <f t="shared" si="802"/>
        <v>0.41666666666666669</v>
      </c>
      <c r="CU57" s="27">
        <f t="shared" si="802"/>
        <v>0.41666666666666669</v>
      </c>
      <c r="CV57" s="60">
        <f t="shared" si="802"/>
        <v>0.41666666666666669</v>
      </c>
      <c r="CW57" s="26">
        <f t="shared" ref="CW57:DT57" si="803">IF(CV41="T",$D$57*0.25,$D$57)</f>
        <v>0.41666666666666669</v>
      </c>
      <c r="CX57" s="27">
        <f t="shared" si="803"/>
        <v>0.41666666666666669</v>
      </c>
      <c r="CY57" s="27">
        <f t="shared" si="803"/>
        <v>0.41666666666666669</v>
      </c>
      <c r="CZ57" s="27">
        <f t="shared" si="803"/>
        <v>0.41666666666666669</v>
      </c>
      <c r="DA57" s="27">
        <f t="shared" si="803"/>
        <v>1.6666666666666667</v>
      </c>
      <c r="DB57" s="27">
        <f t="shared" si="803"/>
        <v>1.6666666666666667</v>
      </c>
      <c r="DC57" s="27">
        <f t="shared" si="803"/>
        <v>1.6666666666666667</v>
      </c>
      <c r="DD57" s="27">
        <f t="shared" si="803"/>
        <v>1.6666666666666667</v>
      </c>
      <c r="DE57" s="27">
        <f t="shared" si="803"/>
        <v>1.6666666666666667</v>
      </c>
      <c r="DF57" s="27">
        <f t="shared" si="803"/>
        <v>1.6666666666666667</v>
      </c>
      <c r="DG57" s="27">
        <f t="shared" si="803"/>
        <v>1.6666666666666667</v>
      </c>
      <c r="DH57" s="27">
        <f t="shared" si="803"/>
        <v>1.6666666666666667</v>
      </c>
      <c r="DI57" s="27">
        <f t="shared" si="803"/>
        <v>1.6666666666666667</v>
      </c>
      <c r="DJ57" s="27">
        <f t="shared" si="803"/>
        <v>1.6666666666666667</v>
      </c>
      <c r="DK57" s="27">
        <f t="shared" si="803"/>
        <v>1.6666666666666667</v>
      </c>
      <c r="DL57" s="27">
        <f t="shared" si="803"/>
        <v>1.6666666666666667</v>
      </c>
      <c r="DM57" s="27">
        <f t="shared" si="803"/>
        <v>1.6666666666666667</v>
      </c>
      <c r="DN57" s="27">
        <f t="shared" si="803"/>
        <v>1.6666666666666667</v>
      </c>
      <c r="DO57" s="27">
        <f t="shared" si="803"/>
        <v>1.6666666666666667</v>
      </c>
      <c r="DP57" s="27">
        <f t="shared" si="803"/>
        <v>1.6666666666666667</v>
      </c>
      <c r="DQ57" s="27">
        <f t="shared" si="803"/>
        <v>1.6666666666666667</v>
      </c>
      <c r="DR57" s="27">
        <f t="shared" si="803"/>
        <v>0.41666666666666669</v>
      </c>
      <c r="DS57" s="27">
        <f t="shared" si="803"/>
        <v>0.41666666666666669</v>
      </c>
      <c r="DT57" s="60">
        <f t="shared" si="803"/>
        <v>0.41666666666666669</v>
      </c>
    </row>
    <row r="58" spans="2:124" s="12" customFormat="1" x14ac:dyDescent="0.2">
      <c r="B58" s="28" t="s">
        <v>14</v>
      </c>
      <c r="C58" s="75"/>
      <c r="D58" s="152">
        <v>0.5</v>
      </c>
      <c r="E58" s="29">
        <v>0.5</v>
      </c>
      <c r="F58" s="12">
        <v>0.5</v>
      </c>
      <c r="G58" s="12">
        <v>0.5</v>
      </c>
      <c r="H58" s="12">
        <v>0.5</v>
      </c>
      <c r="I58" s="12">
        <v>0.5</v>
      </c>
      <c r="J58" s="12">
        <v>0.5</v>
      </c>
      <c r="K58" s="12">
        <v>0.5</v>
      </c>
      <c r="L58" s="12">
        <v>0.5</v>
      </c>
      <c r="M58" s="12">
        <v>1.3</v>
      </c>
      <c r="N58" s="12">
        <v>1.3</v>
      </c>
      <c r="O58" s="12">
        <v>1.3</v>
      </c>
      <c r="P58" s="12">
        <v>1.3</v>
      </c>
      <c r="Q58" s="12">
        <v>1.3</v>
      </c>
      <c r="R58" s="12">
        <v>1.3</v>
      </c>
      <c r="S58" s="12">
        <v>1.3</v>
      </c>
      <c r="T58" s="12">
        <v>1.3</v>
      </c>
      <c r="U58" s="12">
        <v>1.3</v>
      </c>
      <c r="V58" s="12">
        <v>1.3</v>
      </c>
      <c r="W58" s="12">
        <v>0.5</v>
      </c>
      <c r="X58" s="12">
        <v>0.5</v>
      </c>
      <c r="Y58" s="12">
        <v>0.5</v>
      </c>
      <c r="Z58" s="12">
        <v>0.5</v>
      </c>
      <c r="AA58" s="12">
        <v>0.5</v>
      </c>
      <c r="AB58" s="61">
        <v>0.5</v>
      </c>
      <c r="AC58" s="29">
        <v>0.5</v>
      </c>
      <c r="AD58" s="12">
        <v>0.5</v>
      </c>
      <c r="AE58" s="12">
        <v>0.5</v>
      </c>
      <c r="AF58" s="12">
        <v>0.5</v>
      </c>
      <c r="AG58" s="12">
        <v>0.5</v>
      </c>
      <c r="AH58" s="12">
        <v>0.5</v>
      </c>
      <c r="AI58" s="12">
        <v>0.5</v>
      </c>
      <c r="AJ58" s="12">
        <v>0.5</v>
      </c>
      <c r="AK58" s="12">
        <v>1.3</v>
      </c>
      <c r="AL58" s="12">
        <v>1.3</v>
      </c>
      <c r="AM58" s="12">
        <v>1.3</v>
      </c>
      <c r="AN58" s="12">
        <v>1.3</v>
      </c>
      <c r="AO58" s="12">
        <v>1.3</v>
      </c>
      <c r="AP58" s="12">
        <v>1.3</v>
      </c>
      <c r="AQ58" s="12">
        <v>1.3</v>
      </c>
      <c r="AR58" s="12">
        <v>1.3</v>
      </c>
      <c r="AS58" s="12">
        <v>1.3</v>
      </c>
      <c r="AT58" s="12">
        <v>1.3</v>
      </c>
      <c r="AU58" s="12">
        <v>0.5</v>
      </c>
      <c r="AV58" s="12">
        <v>0.5</v>
      </c>
      <c r="AW58" s="12">
        <v>0.5</v>
      </c>
      <c r="AX58" s="12">
        <v>0.5</v>
      </c>
      <c r="AY58" s="12">
        <v>0.5</v>
      </c>
      <c r="AZ58" s="61">
        <v>0.5</v>
      </c>
      <c r="BA58" s="29">
        <v>0.5</v>
      </c>
      <c r="BB58" s="12">
        <v>0.5</v>
      </c>
      <c r="BC58" s="12">
        <v>0.5</v>
      </c>
      <c r="BD58" s="12">
        <v>0.5</v>
      </c>
      <c r="BE58" s="12">
        <v>0.5</v>
      </c>
      <c r="BF58" s="12">
        <v>0.5</v>
      </c>
      <c r="BG58" s="12">
        <v>0.5</v>
      </c>
      <c r="BH58" s="12">
        <v>0.5</v>
      </c>
      <c r="BI58" s="12">
        <v>1.3</v>
      </c>
      <c r="BJ58" s="12">
        <v>1.3</v>
      </c>
      <c r="BK58" s="12">
        <v>1.3</v>
      </c>
      <c r="BL58" s="12">
        <v>1.3</v>
      </c>
      <c r="BM58" s="12">
        <v>1.3</v>
      </c>
      <c r="BN58" s="12">
        <v>1.3</v>
      </c>
      <c r="BO58" s="12">
        <v>1.3</v>
      </c>
      <c r="BP58" s="12">
        <v>1.3</v>
      </c>
      <c r="BQ58" s="12">
        <v>1.3</v>
      </c>
      <c r="BR58" s="12">
        <v>1.3</v>
      </c>
      <c r="BS58" s="12">
        <v>0.5</v>
      </c>
      <c r="BT58" s="12">
        <v>0.5</v>
      </c>
      <c r="BU58" s="12">
        <v>0.5</v>
      </c>
      <c r="BV58" s="12">
        <v>0.5</v>
      </c>
      <c r="BW58" s="12">
        <v>0.5</v>
      </c>
      <c r="BX58" s="61">
        <v>0.5</v>
      </c>
      <c r="BY58" s="29">
        <v>0.5</v>
      </c>
      <c r="BZ58" s="12">
        <v>0.5</v>
      </c>
      <c r="CA58" s="12">
        <v>0.5</v>
      </c>
      <c r="CB58" s="12">
        <v>0.5</v>
      </c>
      <c r="CC58" s="12">
        <v>0.5</v>
      </c>
      <c r="CD58" s="12">
        <v>0.5</v>
      </c>
      <c r="CE58" s="12">
        <v>0.5</v>
      </c>
      <c r="CF58" s="12">
        <v>0.5</v>
      </c>
      <c r="CG58" s="12">
        <v>1.3</v>
      </c>
      <c r="CH58" s="12">
        <v>1.3</v>
      </c>
      <c r="CI58" s="12">
        <v>1.3</v>
      </c>
      <c r="CJ58" s="12">
        <v>1.3</v>
      </c>
      <c r="CK58" s="12">
        <v>1.3</v>
      </c>
      <c r="CL58" s="12">
        <v>1.3</v>
      </c>
      <c r="CM58" s="12">
        <v>1.3</v>
      </c>
      <c r="CN58" s="12">
        <v>1.3</v>
      </c>
      <c r="CO58" s="12">
        <v>1.3</v>
      </c>
      <c r="CP58" s="12">
        <v>1.3</v>
      </c>
      <c r="CQ58" s="12">
        <v>0.5</v>
      </c>
      <c r="CR58" s="12">
        <v>0.5</v>
      </c>
      <c r="CS58" s="12">
        <v>0.5</v>
      </c>
      <c r="CT58" s="12">
        <v>0.5</v>
      </c>
      <c r="CU58" s="12">
        <v>0.5</v>
      </c>
      <c r="CV58" s="61">
        <v>0.5</v>
      </c>
      <c r="CW58" s="29">
        <v>0.5</v>
      </c>
      <c r="CX58" s="12">
        <v>0.5</v>
      </c>
      <c r="CY58" s="12">
        <v>0.5</v>
      </c>
      <c r="CZ58" s="12">
        <v>0.5</v>
      </c>
      <c r="DA58" s="12">
        <v>0.5</v>
      </c>
      <c r="DB58" s="12">
        <v>0.5</v>
      </c>
      <c r="DC58" s="12">
        <v>0.5</v>
      </c>
      <c r="DD58" s="12">
        <v>0.5</v>
      </c>
      <c r="DE58" s="12">
        <v>1.3</v>
      </c>
      <c r="DF58" s="12">
        <v>1.3</v>
      </c>
      <c r="DG58" s="12">
        <v>1.3</v>
      </c>
      <c r="DH58" s="12">
        <v>1.3</v>
      </c>
      <c r="DI58" s="12">
        <v>1.3</v>
      </c>
      <c r="DJ58" s="12">
        <v>1.3</v>
      </c>
      <c r="DK58" s="12">
        <v>1.3</v>
      </c>
      <c r="DL58" s="12">
        <v>1.3</v>
      </c>
      <c r="DM58" s="12">
        <v>1.3</v>
      </c>
      <c r="DN58" s="12">
        <v>1.3</v>
      </c>
      <c r="DO58" s="12">
        <v>0.5</v>
      </c>
      <c r="DP58" s="12">
        <v>0.5</v>
      </c>
      <c r="DQ58" s="12">
        <v>0.5</v>
      </c>
      <c r="DR58" s="12">
        <v>0.5</v>
      </c>
      <c r="DS58" s="12">
        <v>0.5</v>
      </c>
      <c r="DT58" s="61">
        <v>0.5</v>
      </c>
    </row>
    <row r="59" spans="2:124" x14ac:dyDescent="0.2">
      <c r="B59" s="3" t="s">
        <v>15</v>
      </c>
      <c r="D59" s="145">
        <v>1</v>
      </c>
      <c r="E59" s="30">
        <v>1.06</v>
      </c>
      <c r="F59" s="31">
        <v>1.06</v>
      </c>
      <c r="G59" s="31">
        <v>1.06</v>
      </c>
      <c r="H59" s="31">
        <v>1.06</v>
      </c>
      <c r="I59" s="31">
        <v>1.06</v>
      </c>
      <c r="J59" s="31">
        <v>1.06</v>
      </c>
      <c r="K59" s="31">
        <v>1.06</v>
      </c>
      <c r="L59" s="31">
        <v>1.06</v>
      </c>
      <c r="M59" s="31">
        <v>1.06</v>
      </c>
      <c r="N59" s="31">
        <v>1.06</v>
      </c>
      <c r="O59" s="31">
        <v>1.06</v>
      </c>
      <c r="P59" s="31">
        <v>1.06</v>
      </c>
      <c r="Q59" s="31">
        <v>1.06</v>
      </c>
      <c r="R59" s="31">
        <v>1.06</v>
      </c>
      <c r="S59" s="31">
        <v>1.06</v>
      </c>
      <c r="T59" s="31">
        <v>1.06</v>
      </c>
      <c r="U59" s="31">
        <v>1.06</v>
      </c>
      <c r="V59" s="31">
        <v>1.06</v>
      </c>
      <c r="W59" s="31">
        <v>1.06</v>
      </c>
      <c r="X59" s="31">
        <v>1.06</v>
      </c>
      <c r="Y59" s="31">
        <v>1.06</v>
      </c>
      <c r="Z59" s="31">
        <v>1.06</v>
      </c>
      <c r="AA59" s="31">
        <v>1.06</v>
      </c>
      <c r="AB59" s="62">
        <v>1.06</v>
      </c>
      <c r="AC59" s="30">
        <v>1.06</v>
      </c>
      <c r="AD59" s="31">
        <v>1.06</v>
      </c>
      <c r="AE59" s="31">
        <v>1.06</v>
      </c>
      <c r="AF59" s="31">
        <v>1.06</v>
      </c>
      <c r="AG59" s="31">
        <v>1.06</v>
      </c>
      <c r="AH59" s="31">
        <v>1.06</v>
      </c>
      <c r="AI59" s="31">
        <v>1.06</v>
      </c>
      <c r="AJ59" s="31">
        <v>1.06</v>
      </c>
      <c r="AK59" s="31">
        <v>1.06</v>
      </c>
      <c r="AL59" s="31">
        <v>1.06</v>
      </c>
      <c r="AM59" s="31">
        <v>1.06</v>
      </c>
      <c r="AN59" s="31">
        <v>1.06</v>
      </c>
      <c r="AO59" s="31">
        <v>1.06</v>
      </c>
      <c r="AP59" s="31">
        <v>1.06</v>
      </c>
      <c r="AQ59" s="31">
        <v>1.06</v>
      </c>
      <c r="AR59" s="31">
        <v>1.06</v>
      </c>
      <c r="AS59" s="31">
        <v>1.06</v>
      </c>
      <c r="AT59" s="31">
        <v>1.06</v>
      </c>
      <c r="AU59" s="31">
        <v>1.06</v>
      </c>
      <c r="AV59" s="31">
        <v>1.06</v>
      </c>
      <c r="AW59" s="31">
        <v>1.06</v>
      </c>
      <c r="AX59" s="31">
        <v>1.06</v>
      </c>
      <c r="AY59" s="31">
        <v>1.06</v>
      </c>
      <c r="AZ59" s="62">
        <v>1.06</v>
      </c>
      <c r="BA59" s="30">
        <v>1.06</v>
      </c>
      <c r="BB59" s="31">
        <v>1.06</v>
      </c>
      <c r="BC59" s="31">
        <v>1.06</v>
      </c>
      <c r="BD59" s="31">
        <v>1.06</v>
      </c>
      <c r="BE59" s="31">
        <v>1.06</v>
      </c>
      <c r="BF59" s="31">
        <v>1.06</v>
      </c>
      <c r="BG59" s="31">
        <v>1.06</v>
      </c>
      <c r="BH59" s="31">
        <v>1.06</v>
      </c>
      <c r="BI59" s="31">
        <v>1.06</v>
      </c>
      <c r="BJ59" s="31">
        <v>1.06</v>
      </c>
      <c r="BK59" s="31">
        <v>1.06</v>
      </c>
      <c r="BL59" s="31">
        <v>1.06</v>
      </c>
      <c r="BM59" s="31">
        <v>1.06</v>
      </c>
      <c r="BN59" s="31">
        <v>1.06</v>
      </c>
      <c r="BO59" s="31">
        <v>1.06</v>
      </c>
      <c r="BP59" s="31">
        <v>1.06</v>
      </c>
      <c r="BQ59" s="31">
        <v>1.06</v>
      </c>
      <c r="BR59" s="31">
        <v>1.06</v>
      </c>
      <c r="BS59" s="31">
        <v>1.06</v>
      </c>
      <c r="BT59" s="31">
        <v>1.06</v>
      </c>
      <c r="BU59" s="31">
        <v>1.06</v>
      </c>
      <c r="BV59" s="31">
        <v>1.06</v>
      </c>
      <c r="BW59" s="31">
        <v>1.06</v>
      </c>
      <c r="BX59" s="62">
        <v>1.06</v>
      </c>
      <c r="BY59" s="30">
        <v>1.06</v>
      </c>
      <c r="BZ59" s="31">
        <v>1.06</v>
      </c>
      <c r="CA59" s="31">
        <v>1.06</v>
      </c>
      <c r="CB59" s="31">
        <v>1.06</v>
      </c>
      <c r="CC59" s="31">
        <v>1.06</v>
      </c>
      <c r="CD59" s="31">
        <v>1.06</v>
      </c>
      <c r="CE59" s="31">
        <v>1.06</v>
      </c>
      <c r="CF59" s="31">
        <v>1.06</v>
      </c>
      <c r="CG59" s="31">
        <v>1.06</v>
      </c>
      <c r="CH59" s="31">
        <v>1.06</v>
      </c>
      <c r="CI59" s="31">
        <v>1.06</v>
      </c>
      <c r="CJ59" s="31">
        <v>1.06</v>
      </c>
      <c r="CK59" s="31">
        <v>1.06</v>
      </c>
      <c r="CL59" s="31">
        <v>1.06</v>
      </c>
      <c r="CM59" s="31">
        <v>1.06</v>
      </c>
      <c r="CN59" s="31">
        <v>1.06</v>
      </c>
      <c r="CO59" s="31">
        <v>1.06</v>
      </c>
      <c r="CP59" s="31">
        <v>1.06</v>
      </c>
      <c r="CQ59" s="31">
        <v>1.06</v>
      </c>
      <c r="CR59" s="31">
        <v>1.06</v>
      </c>
      <c r="CS59" s="31">
        <v>1.06</v>
      </c>
      <c r="CT59" s="31">
        <v>1.06</v>
      </c>
      <c r="CU59" s="31">
        <v>1.06</v>
      </c>
      <c r="CV59" s="62">
        <v>1.06</v>
      </c>
      <c r="CW59" s="30">
        <v>1.06</v>
      </c>
      <c r="CX59" s="31">
        <v>1.06</v>
      </c>
      <c r="CY59" s="31">
        <v>1.06</v>
      </c>
      <c r="CZ59" s="31">
        <v>1.06</v>
      </c>
      <c r="DA59" s="31">
        <v>1.06</v>
      </c>
      <c r="DB59" s="31">
        <v>1.06</v>
      </c>
      <c r="DC59" s="31">
        <v>1.06</v>
      </c>
      <c r="DD59" s="31">
        <v>1.06</v>
      </c>
      <c r="DE59" s="31">
        <v>1.06</v>
      </c>
      <c r="DF59" s="31">
        <v>1.06</v>
      </c>
      <c r="DG59" s="31">
        <v>1.06</v>
      </c>
      <c r="DH59" s="31">
        <v>1.06</v>
      </c>
      <c r="DI59" s="31">
        <v>1.06</v>
      </c>
      <c r="DJ59" s="31">
        <v>1.06</v>
      </c>
      <c r="DK59" s="31">
        <v>1.06</v>
      </c>
      <c r="DL59" s="31">
        <v>1.06</v>
      </c>
      <c r="DM59" s="31">
        <v>1.06</v>
      </c>
      <c r="DN59" s="31">
        <v>1.06</v>
      </c>
      <c r="DO59" s="31">
        <v>1.06</v>
      </c>
      <c r="DP59" s="31">
        <v>1.06</v>
      </c>
      <c r="DQ59" s="31">
        <v>1.06</v>
      </c>
      <c r="DR59" s="31">
        <v>1.06</v>
      </c>
      <c r="DS59" s="31">
        <v>1.06</v>
      </c>
      <c r="DT59" s="62">
        <v>1.06</v>
      </c>
    </row>
    <row r="60" spans="2:124" x14ac:dyDescent="0.2">
      <c r="B60" s="3" t="s">
        <v>39</v>
      </c>
      <c r="D60" s="149">
        <f>(D56+D57+D58)*D59</f>
        <v>4.166666666666667</v>
      </c>
      <c r="E60" s="19">
        <f>E56+(E57*E59)+E58</f>
        <v>5.5250000000000004</v>
      </c>
      <c r="F60" s="25">
        <f t="shared" ref="F60:BQ60" si="804">F56+(F57*F59)+F58</f>
        <v>6.8833333333333337</v>
      </c>
      <c r="G60" s="25">
        <f t="shared" si="804"/>
        <v>8.2416666666666671</v>
      </c>
      <c r="H60" s="25">
        <f t="shared" si="804"/>
        <v>9.6</v>
      </c>
      <c r="I60" s="25">
        <f t="shared" si="804"/>
        <v>13.533333333333333</v>
      </c>
      <c r="J60" s="25">
        <f t="shared" si="804"/>
        <v>7.4666666666666668</v>
      </c>
      <c r="K60" s="25">
        <f t="shared" si="804"/>
        <v>11.4</v>
      </c>
      <c r="L60" s="25">
        <f t="shared" si="804"/>
        <v>5.3333333333333339</v>
      </c>
      <c r="M60" s="25">
        <f t="shared" si="804"/>
        <v>10.066666666666668</v>
      </c>
      <c r="N60" s="25">
        <f t="shared" si="804"/>
        <v>4.8000000000000016</v>
      </c>
      <c r="O60" s="25">
        <f t="shared" si="804"/>
        <v>9.5333333333333368</v>
      </c>
      <c r="P60" s="25">
        <f t="shared" si="804"/>
        <v>14.266666666666671</v>
      </c>
      <c r="Q60" s="25">
        <f t="shared" si="804"/>
        <v>9.0000000000000053</v>
      </c>
      <c r="R60" s="25">
        <f t="shared" si="804"/>
        <v>13.73333333333334</v>
      </c>
      <c r="S60" s="25">
        <f t="shared" si="804"/>
        <v>8.4666666666666739</v>
      </c>
      <c r="T60" s="25">
        <f t="shared" si="804"/>
        <v>13.200000000000008</v>
      </c>
      <c r="U60" s="25">
        <f t="shared" si="804"/>
        <v>7.9333333333333416</v>
      </c>
      <c r="V60" s="25">
        <f t="shared" si="804"/>
        <v>12.666666666666677</v>
      </c>
      <c r="W60" s="25">
        <f t="shared" si="804"/>
        <v>6.6000000000000103</v>
      </c>
      <c r="X60" s="25">
        <f t="shared" si="804"/>
        <v>10.533333333333344</v>
      </c>
      <c r="Y60" s="25">
        <f t="shared" si="804"/>
        <v>4.4666666666666774</v>
      </c>
      <c r="Z60" s="25">
        <f t="shared" si="804"/>
        <v>8.400000000000011</v>
      </c>
      <c r="AA60" s="25">
        <f t="shared" si="804"/>
        <v>9.7583333333333435</v>
      </c>
      <c r="AB60" s="57">
        <f t="shared" si="804"/>
        <v>11.116666666666676</v>
      </c>
      <c r="AC60" s="19">
        <f t="shared" si="804"/>
        <v>12.475000000000009</v>
      </c>
      <c r="AD60" s="25">
        <f t="shared" si="804"/>
        <v>13.833333333333341</v>
      </c>
      <c r="AE60" s="25">
        <f t="shared" si="804"/>
        <v>15.191666666666674</v>
      </c>
      <c r="AF60" s="25">
        <f t="shared" si="804"/>
        <v>16.550000000000008</v>
      </c>
      <c r="AG60" s="25">
        <f t="shared" si="804"/>
        <v>17.908333333333342</v>
      </c>
      <c r="AH60" s="25">
        <f t="shared" si="804"/>
        <v>19.266666666666676</v>
      </c>
      <c r="AI60" s="25">
        <f t="shared" si="804"/>
        <v>20.625000000000011</v>
      </c>
      <c r="AJ60" s="25">
        <f t="shared" si="804"/>
        <v>21.983333333333345</v>
      </c>
      <c r="AK60" s="25">
        <f t="shared" si="804"/>
        <v>24.14166666666668</v>
      </c>
      <c r="AL60" s="25">
        <f t="shared" si="804"/>
        <v>26.300000000000015</v>
      </c>
      <c r="AM60" s="25">
        <f t="shared" si="804"/>
        <v>28.45833333333335</v>
      </c>
      <c r="AN60" s="25">
        <f t="shared" si="804"/>
        <v>30.616666666666685</v>
      </c>
      <c r="AO60" s="25">
        <f t="shared" si="804"/>
        <v>32.77500000000002</v>
      </c>
      <c r="AP60" s="25">
        <f t="shared" si="804"/>
        <v>34.933333333333351</v>
      </c>
      <c r="AQ60" s="25">
        <f t="shared" si="804"/>
        <v>37.091666666666683</v>
      </c>
      <c r="AR60" s="25">
        <f t="shared" si="804"/>
        <v>39.250000000000014</v>
      </c>
      <c r="AS60" s="25">
        <f t="shared" si="804"/>
        <v>41.408333333333346</v>
      </c>
      <c r="AT60" s="25">
        <f t="shared" si="804"/>
        <v>43.566666666666677</v>
      </c>
      <c r="AU60" s="25">
        <f t="shared" si="804"/>
        <v>44.925000000000011</v>
      </c>
      <c r="AV60" s="25">
        <f t="shared" si="804"/>
        <v>46.283333333333346</v>
      </c>
      <c r="AW60" s="25">
        <f t="shared" si="804"/>
        <v>47.64166666666668</v>
      </c>
      <c r="AX60" s="25">
        <f t="shared" si="804"/>
        <v>49.000000000000014</v>
      </c>
      <c r="AY60" s="25">
        <f t="shared" si="804"/>
        <v>50.358333333333348</v>
      </c>
      <c r="AZ60" s="57">
        <f t="shared" si="804"/>
        <v>51.716666666666683</v>
      </c>
      <c r="BA60" s="19">
        <f t="shared" si="804"/>
        <v>53.075000000000017</v>
      </c>
      <c r="BB60" s="25">
        <f t="shared" si="804"/>
        <v>54.433333333333351</v>
      </c>
      <c r="BC60" s="25">
        <f t="shared" si="804"/>
        <v>55.791666666666686</v>
      </c>
      <c r="BD60" s="25">
        <f t="shared" si="804"/>
        <v>57.15000000000002</v>
      </c>
      <c r="BE60" s="25">
        <f t="shared" si="804"/>
        <v>61.08333333333335</v>
      </c>
      <c r="BF60" s="25">
        <f t="shared" si="804"/>
        <v>55.01666666666668</v>
      </c>
      <c r="BG60" s="25">
        <f t="shared" si="804"/>
        <v>48.95000000000001</v>
      </c>
      <c r="BH60" s="25">
        <f t="shared" si="804"/>
        <v>42.88333333333334</v>
      </c>
      <c r="BI60" s="25">
        <f t="shared" si="804"/>
        <v>37.616666666666667</v>
      </c>
      <c r="BJ60" s="25">
        <f t="shared" si="804"/>
        <v>32.35</v>
      </c>
      <c r="BK60" s="25">
        <f t="shared" si="804"/>
        <v>27.083333333333336</v>
      </c>
      <c r="BL60" s="25">
        <f t="shared" si="804"/>
        <v>21.81666666666667</v>
      </c>
      <c r="BM60" s="25">
        <f t="shared" si="804"/>
        <v>16.550000000000004</v>
      </c>
      <c r="BN60" s="25">
        <f t="shared" si="804"/>
        <v>11.283333333333339</v>
      </c>
      <c r="BO60" s="25">
        <f t="shared" si="804"/>
        <v>6.0166666666666719</v>
      </c>
      <c r="BP60" s="25">
        <f t="shared" si="804"/>
        <v>10.750000000000007</v>
      </c>
      <c r="BQ60" s="25">
        <f t="shared" si="804"/>
        <v>5.4833333333333405</v>
      </c>
      <c r="BR60" s="25">
        <f t="shared" ref="BR60:CO60" si="805">BR56+(BR57*BR59)+BR58</f>
        <v>10.216666666666676</v>
      </c>
      <c r="BS60" s="25">
        <f t="shared" si="805"/>
        <v>4.1500000000000092</v>
      </c>
      <c r="BT60" s="25">
        <f t="shared" si="805"/>
        <v>8.0833333333333428</v>
      </c>
      <c r="BU60" s="25">
        <f t="shared" si="805"/>
        <v>12.016666666666676</v>
      </c>
      <c r="BV60" s="25">
        <f t="shared" si="805"/>
        <v>5.9500000000000099</v>
      </c>
      <c r="BW60" s="25">
        <f t="shared" si="805"/>
        <v>7.3083333333333433</v>
      </c>
      <c r="BX60" s="57">
        <f t="shared" si="805"/>
        <v>8.6666666666666767</v>
      </c>
      <c r="BY60" s="19">
        <f t="shared" si="805"/>
        <v>10.025000000000009</v>
      </c>
      <c r="BZ60" s="25">
        <f t="shared" si="805"/>
        <v>11.383333333333342</v>
      </c>
      <c r="CA60" s="25">
        <f t="shared" si="805"/>
        <v>12.741666666666674</v>
      </c>
      <c r="CB60" s="25">
        <f t="shared" si="805"/>
        <v>14.100000000000007</v>
      </c>
      <c r="CC60" s="25">
        <f t="shared" si="805"/>
        <v>18.033333333333339</v>
      </c>
      <c r="CD60" s="25">
        <f t="shared" si="805"/>
        <v>11.966666666666672</v>
      </c>
      <c r="CE60" s="25">
        <f t="shared" si="805"/>
        <v>5.9000000000000057</v>
      </c>
      <c r="CF60" s="25">
        <f t="shared" si="805"/>
        <v>9.8333333333333393</v>
      </c>
      <c r="CG60" s="25">
        <f t="shared" si="805"/>
        <v>14.566666666666674</v>
      </c>
      <c r="CH60" s="25">
        <f t="shared" si="805"/>
        <v>9.3000000000000078</v>
      </c>
      <c r="CI60" s="25">
        <f t="shared" si="805"/>
        <v>14.033333333333342</v>
      </c>
      <c r="CJ60" s="25">
        <f t="shared" si="805"/>
        <v>8.7666666666666764</v>
      </c>
      <c r="CK60" s="25">
        <f t="shared" si="805"/>
        <v>13.500000000000011</v>
      </c>
      <c r="CL60" s="25">
        <f t="shared" si="805"/>
        <v>8.2333333333333449</v>
      </c>
      <c r="CM60" s="25">
        <f t="shared" si="805"/>
        <v>12.966666666666679</v>
      </c>
      <c r="CN60" s="25">
        <f t="shared" si="805"/>
        <v>7.7000000000000126</v>
      </c>
      <c r="CO60" s="25">
        <f t="shared" si="805"/>
        <v>12.433333333333348</v>
      </c>
      <c r="CP60" s="25">
        <f t="shared" ref="CP60:DT60" si="806">CP56+(CP57*CP59)+CP58</f>
        <v>7.1666666666666812</v>
      </c>
      <c r="CQ60" s="25">
        <f t="shared" si="806"/>
        <v>11.100000000000016</v>
      </c>
      <c r="CR60" s="25">
        <f t="shared" si="806"/>
        <v>5.0333333333333492</v>
      </c>
      <c r="CS60" s="25">
        <f t="shared" si="806"/>
        <v>8.9666666666666828</v>
      </c>
      <c r="CT60" s="25">
        <f t="shared" si="806"/>
        <v>10.325000000000015</v>
      </c>
      <c r="CU60" s="25">
        <f t="shared" si="806"/>
        <v>11.683333333333348</v>
      </c>
      <c r="CV60" s="57">
        <f t="shared" si="806"/>
        <v>13.04166666666668</v>
      </c>
      <c r="CW60" s="19">
        <f t="shared" si="806"/>
        <v>14.400000000000013</v>
      </c>
      <c r="CX60" s="25">
        <f t="shared" si="806"/>
        <v>15.758333333333345</v>
      </c>
      <c r="CY60" s="25">
        <f t="shared" si="806"/>
        <v>17.116666666666678</v>
      </c>
      <c r="CZ60" s="25">
        <f t="shared" si="806"/>
        <v>18.475000000000012</v>
      </c>
      <c r="DA60" s="25">
        <f t="shared" si="806"/>
        <v>22.408333333333346</v>
      </c>
      <c r="DB60" s="25">
        <f t="shared" si="806"/>
        <v>16.341666666666679</v>
      </c>
      <c r="DC60" s="25">
        <f t="shared" si="806"/>
        <v>10.275000000000013</v>
      </c>
      <c r="DD60" s="25">
        <f t="shared" si="806"/>
        <v>4.2083333333333464</v>
      </c>
      <c r="DE60" s="25">
        <f t="shared" si="806"/>
        <v>8.9416666666666806</v>
      </c>
      <c r="DF60" s="25">
        <f t="shared" si="806"/>
        <v>13.675000000000015</v>
      </c>
      <c r="DG60" s="25">
        <f t="shared" si="806"/>
        <v>8.4083333333333492</v>
      </c>
      <c r="DH60" s="25">
        <f t="shared" si="806"/>
        <v>13.141666666666683</v>
      </c>
      <c r="DI60" s="25">
        <f t="shared" si="806"/>
        <v>7.8750000000000169</v>
      </c>
      <c r="DJ60" s="25">
        <f t="shared" si="806"/>
        <v>12.608333333333352</v>
      </c>
      <c r="DK60" s="25">
        <f t="shared" si="806"/>
        <v>7.3416666666666854</v>
      </c>
      <c r="DL60" s="25">
        <f t="shared" si="806"/>
        <v>12.075000000000021</v>
      </c>
      <c r="DM60" s="25">
        <f t="shared" si="806"/>
        <v>6.808333333333354</v>
      </c>
      <c r="DN60" s="25">
        <f t="shared" si="806"/>
        <v>11.541666666666689</v>
      </c>
      <c r="DO60" s="25">
        <f t="shared" si="806"/>
        <v>5.4750000000000227</v>
      </c>
      <c r="DP60" s="25">
        <f t="shared" si="806"/>
        <v>9.4083333333333563</v>
      </c>
      <c r="DQ60" s="25">
        <f t="shared" si="806"/>
        <v>13.34166666666669</v>
      </c>
      <c r="DR60" s="25">
        <f t="shared" si="806"/>
        <v>4.7000000000000233</v>
      </c>
      <c r="DS60" s="25">
        <f t="shared" si="806"/>
        <v>6.0583333333333567</v>
      </c>
      <c r="DT60" s="57">
        <f t="shared" si="806"/>
        <v>7.4166666666666901</v>
      </c>
    </row>
    <row r="61" spans="2:124" x14ac:dyDescent="0.2">
      <c r="B61" s="3" t="s">
        <v>72</v>
      </c>
      <c r="D61" s="149"/>
      <c r="E61" s="19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57"/>
      <c r="AC61" s="19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57"/>
      <c r="BA61" s="19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57"/>
      <c r="BY61" s="19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57"/>
      <c r="CW61" s="19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57"/>
    </row>
    <row r="62" spans="2:124" s="14" customFormat="1" x14ac:dyDescent="0.2">
      <c r="B62" s="41" t="s">
        <v>40</v>
      </c>
      <c r="C62" s="82"/>
      <c r="D62" s="152">
        <f>IF(B41="B",IF(D60&gt;=10,10,IF(D61="K",IF(D60&gt;=8,8,IF(B52&gt;0,IF(D60&gt;=10,10,4),0)),0)),0)</f>
        <v>0</v>
      </c>
      <c r="E62" s="14">
        <f>IF(D41="B",IF(E60&gt;=10,10,IF(E61="K",IF(E60&gt;=8,8,IF(D52&gt;0,IF(E60&gt;=10,10,4),0)),0)),0)</f>
        <v>0</v>
      </c>
      <c r="F62" s="14">
        <f t="shared" ref="F62:AJ62" si="807">IF(E41="B",IF(F60&gt;=10,10,IF(F61="K",IF(F60&gt;=8,8,IF(E52&gt;0,IF(F60&gt;=10,10,4),0)),0)),0)</f>
        <v>0</v>
      </c>
      <c r="G62" s="14">
        <f t="shared" si="807"/>
        <v>0</v>
      </c>
      <c r="H62" s="14">
        <f t="shared" si="807"/>
        <v>0</v>
      </c>
      <c r="I62" s="14">
        <f t="shared" si="807"/>
        <v>10</v>
      </c>
      <c r="J62" s="14">
        <f t="shared" si="807"/>
        <v>0</v>
      </c>
      <c r="K62" s="14">
        <f t="shared" si="807"/>
        <v>10</v>
      </c>
      <c r="L62" s="14">
        <f t="shared" si="807"/>
        <v>0</v>
      </c>
      <c r="M62" s="14">
        <f t="shared" si="807"/>
        <v>10</v>
      </c>
      <c r="N62" s="14">
        <f t="shared" si="807"/>
        <v>0</v>
      </c>
      <c r="O62" s="14">
        <f t="shared" si="807"/>
        <v>0</v>
      </c>
      <c r="P62" s="14">
        <f t="shared" si="807"/>
        <v>10</v>
      </c>
      <c r="Q62" s="14">
        <f t="shared" si="807"/>
        <v>0</v>
      </c>
      <c r="R62" s="14">
        <f t="shared" si="807"/>
        <v>10</v>
      </c>
      <c r="S62" s="14">
        <f t="shared" si="807"/>
        <v>0</v>
      </c>
      <c r="T62" s="14">
        <f t="shared" si="807"/>
        <v>10</v>
      </c>
      <c r="U62" s="14">
        <f t="shared" si="807"/>
        <v>0</v>
      </c>
      <c r="V62" s="14">
        <f t="shared" si="807"/>
        <v>10</v>
      </c>
      <c r="W62" s="14">
        <f t="shared" si="807"/>
        <v>0</v>
      </c>
      <c r="X62" s="14">
        <f t="shared" si="807"/>
        <v>10</v>
      </c>
      <c r="Y62" s="14">
        <f t="shared" si="807"/>
        <v>0</v>
      </c>
      <c r="Z62" s="14">
        <f t="shared" si="807"/>
        <v>0</v>
      </c>
      <c r="AA62" s="14">
        <f t="shared" si="807"/>
        <v>0</v>
      </c>
      <c r="AB62" s="55">
        <f t="shared" si="807"/>
        <v>0</v>
      </c>
      <c r="AC62" s="14">
        <f t="shared" si="807"/>
        <v>0</v>
      </c>
      <c r="AD62" s="14">
        <f t="shared" si="807"/>
        <v>0</v>
      </c>
      <c r="AE62" s="14">
        <f t="shared" si="807"/>
        <v>0</v>
      </c>
      <c r="AF62" s="14">
        <f t="shared" si="807"/>
        <v>0</v>
      </c>
      <c r="AG62" s="14">
        <f t="shared" si="807"/>
        <v>0</v>
      </c>
      <c r="AH62" s="14">
        <f t="shared" si="807"/>
        <v>0</v>
      </c>
      <c r="AI62" s="14">
        <f t="shared" si="807"/>
        <v>0</v>
      </c>
      <c r="AJ62" s="14">
        <f t="shared" si="807"/>
        <v>0</v>
      </c>
      <c r="AK62" s="14">
        <f t="shared" ref="AK62:BP62" si="808">IF(AJ41="B",IF(AK60&gt;=10,10,IF(AK61="K",IF(AK60&gt;=8,8,IF(AJ52&gt;0,IF(AK60&gt;=10,10,4),0)),0)),0)</f>
        <v>0</v>
      </c>
      <c r="AL62" s="14">
        <f t="shared" si="808"/>
        <v>0</v>
      </c>
      <c r="AM62" s="14">
        <f t="shared" si="808"/>
        <v>0</v>
      </c>
      <c r="AN62" s="14">
        <f t="shared" si="808"/>
        <v>0</v>
      </c>
      <c r="AO62" s="14">
        <f t="shared" si="808"/>
        <v>0</v>
      </c>
      <c r="AP62" s="14">
        <f t="shared" si="808"/>
        <v>0</v>
      </c>
      <c r="AQ62" s="14">
        <f t="shared" si="808"/>
        <v>0</v>
      </c>
      <c r="AR62" s="14">
        <f t="shared" si="808"/>
        <v>0</v>
      </c>
      <c r="AS62" s="14">
        <f t="shared" si="808"/>
        <v>0</v>
      </c>
      <c r="AT62" s="14">
        <f t="shared" si="808"/>
        <v>0</v>
      </c>
      <c r="AU62" s="14">
        <f t="shared" si="808"/>
        <v>0</v>
      </c>
      <c r="AV62" s="14">
        <f t="shared" si="808"/>
        <v>0</v>
      </c>
      <c r="AW62" s="14">
        <f t="shared" si="808"/>
        <v>0</v>
      </c>
      <c r="AX62" s="14">
        <f t="shared" si="808"/>
        <v>0</v>
      </c>
      <c r="AY62" s="14">
        <f t="shared" si="808"/>
        <v>0</v>
      </c>
      <c r="AZ62" s="55">
        <f t="shared" si="808"/>
        <v>0</v>
      </c>
      <c r="BA62" s="14">
        <f t="shared" si="808"/>
        <v>0</v>
      </c>
      <c r="BB62" s="14">
        <f t="shared" si="808"/>
        <v>0</v>
      </c>
      <c r="BC62" s="14">
        <f t="shared" si="808"/>
        <v>0</v>
      </c>
      <c r="BD62" s="14">
        <f t="shared" si="808"/>
        <v>0</v>
      </c>
      <c r="BE62" s="14">
        <f t="shared" si="808"/>
        <v>10</v>
      </c>
      <c r="BF62" s="14">
        <f t="shared" si="808"/>
        <v>10</v>
      </c>
      <c r="BG62" s="14">
        <f t="shared" si="808"/>
        <v>10</v>
      </c>
      <c r="BH62" s="14">
        <f t="shared" si="808"/>
        <v>10</v>
      </c>
      <c r="BI62" s="14">
        <f t="shared" si="808"/>
        <v>10</v>
      </c>
      <c r="BJ62" s="14">
        <f t="shared" si="808"/>
        <v>10</v>
      </c>
      <c r="BK62" s="14">
        <f t="shared" si="808"/>
        <v>10</v>
      </c>
      <c r="BL62" s="14">
        <f t="shared" si="808"/>
        <v>10</v>
      </c>
      <c r="BM62" s="14">
        <f t="shared" si="808"/>
        <v>10</v>
      </c>
      <c r="BN62" s="14">
        <f t="shared" si="808"/>
        <v>10</v>
      </c>
      <c r="BO62" s="14">
        <f t="shared" si="808"/>
        <v>0</v>
      </c>
      <c r="BP62" s="14">
        <f t="shared" si="808"/>
        <v>10</v>
      </c>
      <c r="BQ62" s="14">
        <f t="shared" ref="BQ62:CV62" si="809">IF(BP41="B",IF(BQ60&gt;=10,10,IF(BQ61="K",IF(BQ60&gt;=8,8,IF(BP52&gt;0,IF(BQ60&gt;=10,10,4),0)),0)),0)</f>
        <v>0</v>
      </c>
      <c r="BR62" s="14">
        <f t="shared" si="809"/>
        <v>10</v>
      </c>
      <c r="BS62" s="14">
        <f t="shared" si="809"/>
        <v>0</v>
      </c>
      <c r="BT62" s="14">
        <f t="shared" si="809"/>
        <v>0</v>
      </c>
      <c r="BU62" s="14">
        <f t="shared" si="809"/>
        <v>10</v>
      </c>
      <c r="BV62" s="14">
        <f t="shared" si="809"/>
        <v>0</v>
      </c>
      <c r="BW62" s="14">
        <f t="shared" si="809"/>
        <v>0</v>
      </c>
      <c r="BX62" s="55">
        <f t="shared" si="809"/>
        <v>0</v>
      </c>
      <c r="BY62" s="14">
        <f t="shared" si="809"/>
        <v>0</v>
      </c>
      <c r="BZ62" s="14">
        <f t="shared" si="809"/>
        <v>0</v>
      </c>
      <c r="CA62" s="14">
        <f t="shared" si="809"/>
        <v>0</v>
      </c>
      <c r="CB62" s="14">
        <f t="shared" si="809"/>
        <v>0</v>
      </c>
      <c r="CC62" s="14">
        <f t="shared" si="809"/>
        <v>10</v>
      </c>
      <c r="CD62" s="14">
        <f t="shared" si="809"/>
        <v>10</v>
      </c>
      <c r="CE62" s="14">
        <f t="shared" si="809"/>
        <v>0</v>
      </c>
      <c r="CF62" s="14">
        <f t="shared" si="809"/>
        <v>0</v>
      </c>
      <c r="CG62" s="14">
        <f t="shared" si="809"/>
        <v>10</v>
      </c>
      <c r="CH62" s="14">
        <f t="shared" si="809"/>
        <v>0</v>
      </c>
      <c r="CI62" s="14">
        <f t="shared" si="809"/>
        <v>10</v>
      </c>
      <c r="CJ62" s="14">
        <f t="shared" si="809"/>
        <v>0</v>
      </c>
      <c r="CK62" s="14">
        <f t="shared" si="809"/>
        <v>10</v>
      </c>
      <c r="CL62" s="14">
        <f t="shared" si="809"/>
        <v>0</v>
      </c>
      <c r="CM62" s="14">
        <f t="shared" si="809"/>
        <v>10</v>
      </c>
      <c r="CN62" s="14">
        <f t="shared" si="809"/>
        <v>0</v>
      </c>
      <c r="CO62" s="14">
        <f t="shared" si="809"/>
        <v>10</v>
      </c>
      <c r="CP62" s="14">
        <f t="shared" si="809"/>
        <v>0</v>
      </c>
      <c r="CQ62" s="14">
        <f t="shared" si="809"/>
        <v>10</v>
      </c>
      <c r="CR62" s="14">
        <f t="shared" si="809"/>
        <v>0</v>
      </c>
      <c r="CS62" s="14">
        <f t="shared" si="809"/>
        <v>0</v>
      </c>
      <c r="CT62" s="14">
        <f t="shared" si="809"/>
        <v>0</v>
      </c>
      <c r="CU62" s="14">
        <f t="shared" si="809"/>
        <v>0</v>
      </c>
      <c r="CV62" s="55">
        <f t="shared" si="809"/>
        <v>0</v>
      </c>
      <c r="CW62" s="14">
        <f t="shared" ref="CW62:DT62" si="810">IF(CV41="B",IF(CW60&gt;=10,10,IF(CW61="K",IF(CW60&gt;=8,8,IF(CV52&gt;0,IF(CW60&gt;=10,10,4),0)),0)),0)</f>
        <v>0</v>
      </c>
      <c r="CX62" s="14">
        <f t="shared" si="810"/>
        <v>0</v>
      </c>
      <c r="CY62" s="14">
        <f t="shared" si="810"/>
        <v>0</v>
      </c>
      <c r="CZ62" s="14">
        <f t="shared" si="810"/>
        <v>0</v>
      </c>
      <c r="DA62" s="14">
        <f t="shared" si="810"/>
        <v>10</v>
      </c>
      <c r="DB62" s="14">
        <f t="shared" si="810"/>
        <v>10</v>
      </c>
      <c r="DC62" s="14">
        <f t="shared" si="810"/>
        <v>10</v>
      </c>
      <c r="DD62" s="14">
        <f t="shared" si="810"/>
        <v>0</v>
      </c>
      <c r="DE62" s="14">
        <f t="shared" si="810"/>
        <v>0</v>
      </c>
      <c r="DF62" s="14">
        <f t="shared" si="810"/>
        <v>10</v>
      </c>
      <c r="DG62" s="14">
        <f t="shared" si="810"/>
        <v>0</v>
      </c>
      <c r="DH62" s="14">
        <f t="shared" si="810"/>
        <v>10</v>
      </c>
      <c r="DI62" s="14">
        <f t="shared" si="810"/>
        <v>0</v>
      </c>
      <c r="DJ62" s="14">
        <f t="shared" si="810"/>
        <v>10</v>
      </c>
      <c r="DK62" s="14">
        <f t="shared" si="810"/>
        <v>0</v>
      </c>
      <c r="DL62" s="14">
        <f t="shared" si="810"/>
        <v>10</v>
      </c>
      <c r="DM62" s="14">
        <f t="shared" si="810"/>
        <v>0</v>
      </c>
      <c r="DN62" s="14">
        <f t="shared" si="810"/>
        <v>10</v>
      </c>
      <c r="DO62" s="14">
        <f t="shared" si="810"/>
        <v>0</v>
      </c>
      <c r="DP62" s="14">
        <f t="shared" si="810"/>
        <v>0</v>
      </c>
      <c r="DQ62" s="14">
        <f t="shared" si="810"/>
        <v>10</v>
      </c>
      <c r="DR62" s="14">
        <f t="shared" si="810"/>
        <v>0</v>
      </c>
      <c r="DS62" s="14">
        <f t="shared" si="810"/>
        <v>0</v>
      </c>
      <c r="DT62" s="55">
        <f t="shared" si="810"/>
        <v>0</v>
      </c>
    </row>
    <row r="63" spans="2:124" s="17" customFormat="1" ht="16" thickBot="1" x14ac:dyDescent="0.25">
      <c r="B63" s="21" t="s">
        <v>226</v>
      </c>
      <c r="C63" s="76"/>
      <c r="D63" s="154">
        <f t="shared" ref="D63:AI63" si="811">D62/10*200</f>
        <v>0</v>
      </c>
      <c r="E63" s="17">
        <f t="shared" si="811"/>
        <v>0</v>
      </c>
      <c r="F63" s="17">
        <f t="shared" si="811"/>
        <v>0</v>
      </c>
      <c r="G63" s="17">
        <f t="shared" si="811"/>
        <v>0</v>
      </c>
      <c r="H63" s="17">
        <f t="shared" si="811"/>
        <v>0</v>
      </c>
      <c r="I63" s="17">
        <f t="shared" si="811"/>
        <v>200</v>
      </c>
      <c r="J63" s="17">
        <f t="shared" si="811"/>
        <v>0</v>
      </c>
      <c r="K63" s="17">
        <f t="shared" si="811"/>
        <v>200</v>
      </c>
      <c r="L63" s="17">
        <f t="shared" si="811"/>
        <v>0</v>
      </c>
      <c r="M63" s="17">
        <f t="shared" si="811"/>
        <v>200</v>
      </c>
      <c r="N63" s="17">
        <f t="shared" si="811"/>
        <v>0</v>
      </c>
      <c r="O63" s="17">
        <f t="shared" si="811"/>
        <v>0</v>
      </c>
      <c r="P63" s="17">
        <f t="shared" si="811"/>
        <v>200</v>
      </c>
      <c r="Q63" s="17">
        <f t="shared" si="811"/>
        <v>0</v>
      </c>
      <c r="R63" s="17">
        <f t="shared" si="811"/>
        <v>200</v>
      </c>
      <c r="S63" s="17">
        <f t="shared" si="811"/>
        <v>0</v>
      </c>
      <c r="T63" s="17">
        <f t="shared" si="811"/>
        <v>200</v>
      </c>
      <c r="U63" s="17">
        <f t="shared" si="811"/>
        <v>0</v>
      </c>
      <c r="V63" s="17">
        <f t="shared" si="811"/>
        <v>200</v>
      </c>
      <c r="W63" s="17">
        <f t="shared" si="811"/>
        <v>0</v>
      </c>
      <c r="X63" s="17">
        <f t="shared" si="811"/>
        <v>200</v>
      </c>
      <c r="Y63" s="17">
        <f t="shared" si="811"/>
        <v>0</v>
      </c>
      <c r="Z63" s="17">
        <f t="shared" si="811"/>
        <v>0</v>
      </c>
      <c r="AA63" s="17">
        <f t="shared" si="811"/>
        <v>0</v>
      </c>
      <c r="AB63" s="69">
        <f t="shared" si="811"/>
        <v>0</v>
      </c>
      <c r="AC63" s="17">
        <f t="shared" si="811"/>
        <v>0</v>
      </c>
      <c r="AD63" s="17">
        <f t="shared" si="811"/>
        <v>0</v>
      </c>
      <c r="AE63" s="17">
        <f t="shared" si="811"/>
        <v>0</v>
      </c>
      <c r="AF63" s="17">
        <f t="shared" si="811"/>
        <v>0</v>
      </c>
      <c r="AG63" s="17">
        <f t="shared" si="811"/>
        <v>0</v>
      </c>
      <c r="AH63" s="17">
        <f t="shared" si="811"/>
        <v>0</v>
      </c>
      <c r="AI63" s="17">
        <f t="shared" si="811"/>
        <v>0</v>
      </c>
      <c r="AJ63" s="17">
        <f t="shared" ref="AJ63:BO63" si="812">AJ62/10*200</f>
        <v>0</v>
      </c>
      <c r="AK63" s="17">
        <f t="shared" si="812"/>
        <v>0</v>
      </c>
      <c r="AL63" s="17">
        <f t="shared" si="812"/>
        <v>0</v>
      </c>
      <c r="AM63" s="17">
        <f t="shared" si="812"/>
        <v>0</v>
      </c>
      <c r="AN63" s="17">
        <f t="shared" si="812"/>
        <v>0</v>
      </c>
      <c r="AO63" s="17">
        <f t="shared" si="812"/>
        <v>0</v>
      </c>
      <c r="AP63" s="17">
        <f t="shared" si="812"/>
        <v>0</v>
      </c>
      <c r="AQ63" s="17">
        <f t="shared" si="812"/>
        <v>0</v>
      </c>
      <c r="AR63" s="17">
        <f t="shared" si="812"/>
        <v>0</v>
      </c>
      <c r="AS63" s="17">
        <f t="shared" si="812"/>
        <v>0</v>
      </c>
      <c r="AT63" s="17">
        <f t="shared" si="812"/>
        <v>0</v>
      </c>
      <c r="AU63" s="17">
        <f t="shared" si="812"/>
        <v>0</v>
      </c>
      <c r="AV63" s="17">
        <f t="shared" si="812"/>
        <v>0</v>
      </c>
      <c r="AW63" s="17">
        <f t="shared" si="812"/>
        <v>0</v>
      </c>
      <c r="AX63" s="17">
        <f t="shared" si="812"/>
        <v>0</v>
      </c>
      <c r="AY63" s="17">
        <f t="shared" si="812"/>
        <v>0</v>
      </c>
      <c r="AZ63" s="69">
        <f t="shared" si="812"/>
        <v>0</v>
      </c>
      <c r="BA63" s="17">
        <f t="shared" si="812"/>
        <v>0</v>
      </c>
      <c r="BB63" s="17">
        <f t="shared" si="812"/>
        <v>0</v>
      </c>
      <c r="BC63" s="17">
        <f t="shared" si="812"/>
        <v>0</v>
      </c>
      <c r="BD63" s="17">
        <f t="shared" si="812"/>
        <v>0</v>
      </c>
      <c r="BE63" s="17">
        <f t="shared" si="812"/>
        <v>200</v>
      </c>
      <c r="BF63" s="17">
        <f t="shared" si="812"/>
        <v>200</v>
      </c>
      <c r="BG63" s="17">
        <f t="shared" si="812"/>
        <v>200</v>
      </c>
      <c r="BH63" s="17">
        <f t="shared" si="812"/>
        <v>200</v>
      </c>
      <c r="BI63" s="17">
        <f t="shared" si="812"/>
        <v>200</v>
      </c>
      <c r="BJ63" s="17">
        <f t="shared" si="812"/>
        <v>200</v>
      </c>
      <c r="BK63" s="17">
        <f t="shared" si="812"/>
        <v>200</v>
      </c>
      <c r="BL63" s="17">
        <f t="shared" si="812"/>
        <v>200</v>
      </c>
      <c r="BM63" s="17">
        <f t="shared" si="812"/>
        <v>200</v>
      </c>
      <c r="BN63" s="17">
        <f t="shared" si="812"/>
        <v>200</v>
      </c>
      <c r="BO63" s="17">
        <f t="shared" si="812"/>
        <v>0</v>
      </c>
      <c r="BP63" s="17">
        <f t="shared" ref="BP63:CU63" si="813">BP62/10*200</f>
        <v>200</v>
      </c>
      <c r="BQ63" s="17">
        <f t="shared" si="813"/>
        <v>0</v>
      </c>
      <c r="BR63" s="17">
        <f t="shared" si="813"/>
        <v>200</v>
      </c>
      <c r="BS63" s="17">
        <f t="shared" si="813"/>
        <v>0</v>
      </c>
      <c r="BT63" s="17">
        <f t="shared" si="813"/>
        <v>0</v>
      </c>
      <c r="BU63" s="17">
        <f t="shared" si="813"/>
        <v>200</v>
      </c>
      <c r="BV63" s="17">
        <f t="shared" si="813"/>
        <v>0</v>
      </c>
      <c r="BW63" s="17">
        <f t="shared" si="813"/>
        <v>0</v>
      </c>
      <c r="BX63" s="69">
        <f t="shared" si="813"/>
        <v>0</v>
      </c>
      <c r="BY63" s="17">
        <f t="shared" si="813"/>
        <v>0</v>
      </c>
      <c r="BZ63" s="17">
        <f t="shared" si="813"/>
        <v>0</v>
      </c>
      <c r="CA63" s="17">
        <f t="shared" si="813"/>
        <v>0</v>
      </c>
      <c r="CB63" s="17">
        <f t="shared" si="813"/>
        <v>0</v>
      </c>
      <c r="CC63" s="17">
        <f t="shared" si="813"/>
        <v>200</v>
      </c>
      <c r="CD63" s="17">
        <f t="shared" si="813"/>
        <v>200</v>
      </c>
      <c r="CE63" s="17">
        <f t="shared" si="813"/>
        <v>0</v>
      </c>
      <c r="CF63" s="17">
        <f t="shared" si="813"/>
        <v>0</v>
      </c>
      <c r="CG63" s="17">
        <f t="shared" si="813"/>
        <v>200</v>
      </c>
      <c r="CH63" s="17">
        <f t="shared" si="813"/>
        <v>0</v>
      </c>
      <c r="CI63" s="17">
        <f t="shared" si="813"/>
        <v>200</v>
      </c>
      <c r="CJ63" s="17">
        <f t="shared" si="813"/>
        <v>0</v>
      </c>
      <c r="CK63" s="17">
        <f t="shared" si="813"/>
        <v>200</v>
      </c>
      <c r="CL63" s="17">
        <f t="shared" si="813"/>
        <v>0</v>
      </c>
      <c r="CM63" s="17">
        <f t="shared" si="813"/>
        <v>200</v>
      </c>
      <c r="CN63" s="17">
        <f t="shared" si="813"/>
        <v>0</v>
      </c>
      <c r="CO63" s="17">
        <f t="shared" si="813"/>
        <v>200</v>
      </c>
      <c r="CP63" s="17">
        <f t="shared" si="813"/>
        <v>0</v>
      </c>
      <c r="CQ63" s="17">
        <f t="shared" si="813"/>
        <v>200</v>
      </c>
      <c r="CR63" s="17">
        <f t="shared" si="813"/>
        <v>0</v>
      </c>
      <c r="CS63" s="17">
        <f t="shared" si="813"/>
        <v>0</v>
      </c>
      <c r="CT63" s="17">
        <f t="shared" si="813"/>
        <v>0</v>
      </c>
      <c r="CU63" s="17">
        <f t="shared" si="813"/>
        <v>0</v>
      </c>
      <c r="CV63" s="69">
        <f t="shared" ref="CV63:DT63" si="814">CV62/10*200</f>
        <v>0</v>
      </c>
      <c r="CW63" s="17">
        <f t="shared" si="814"/>
        <v>0</v>
      </c>
      <c r="CX63" s="17">
        <f t="shared" si="814"/>
        <v>0</v>
      </c>
      <c r="CY63" s="17">
        <f t="shared" si="814"/>
        <v>0</v>
      </c>
      <c r="CZ63" s="17">
        <f t="shared" si="814"/>
        <v>0</v>
      </c>
      <c r="DA63" s="17">
        <f t="shared" si="814"/>
        <v>200</v>
      </c>
      <c r="DB63" s="17">
        <f t="shared" si="814"/>
        <v>200</v>
      </c>
      <c r="DC63" s="17">
        <f t="shared" si="814"/>
        <v>200</v>
      </c>
      <c r="DD63" s="17">
        <f t="shared" si="814"/>
        <v>0</v>
      </c>
      <c r="DE63" s="17">
        <f t="shared" si="814"/>
        <v>0</v>
      </c>
      <c r="DF63" s="17">
        <f t="shared" si="814"/>
        <v>200</v>
      </c>
      <c r="DG63" s="17">
        <f t="shared" si="814"/>
        <v>0</v>
      </c>
      <c r="DH63" s="17">
        <f t="shared" si="814"/>
        <v>200</v>
      </c>
      <c r="DI63" s="17">
        <f t="shared" si="814"/>
        <v>0</v>
      </c>
      <c r="DJ63" s="17">
        <f t="shared" si="814"/>
        <v>200</v>
      </c>
      <c r="DK63" s="17">
        <f t="shared" si="814"/>
        <v>0</v>
      </c>
      <c r="DL63" s="17">
        <f t="shared" si="814"/>
        <v>200</v>
      </c>
      <c r="DM63" s="17">
        <f t="shared" si="814"/>
        <v>0</v>
      </c>
      <c r="DN63" s="17">
        <f t="shared" si="814"/>
        <v>200</v>
      </c>
      <c r="DO63" s="17">
        <f t="shared" si="814"/>
        <v>0</v>
      </c>
      <c r="DP63" s="17">
        <f t="shared" si="814"/>
        <v>0</v>
      </c>
      <c r="DQ63" s="17">
        <f t="shared" si="814"/>
        <v>200</v>
      </c>
      <c r="DR63" s="17">
        <f t="shared" si="814"/>
        <v>0</v>
      </c>
      <c r="DS63" s="17">
        <f t="shared" si="814"/>
        <v>0</v>
      </c>
      <c r="DT63" s="69">
        <f t="shared" si="814"/>
        <v>0</v>
      </c>
    </row>
    <row r="64" spans="2:124" x14ac:dyDescent="0.2">
      <c r="E64" s="193" t="s">
        <v>66</v>
      </c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5"/>
      <c r="AC64" s="196" t="s">
        <v>67</v>
      </c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8"/>
      <c r="BA64" s="193" t="s">
        <v>68</v>
      </c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/>
      <c r="BU64" s="194"/>
      <c r="BV64" s="194"/>
      <c r="BW64" s="194"/>
      <c r="BX64" s="195"/>
      <c r="BY64" s="196" t="s">
        <v>69</v>
      </c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7"/>
      <c r="CL64" s="197"/>
      <c r="CM64" s="197"/>
      <c r="CN64" s="197"/>
      <c r="CO64" s="197"/>
      <c r="CP64" s="197"/>
      <c r="CQ64" s="197"/>
      <c r="CR64" s="197"/>
      <c r="CS64" s="197"/>
      <c r="CT64" s="197"/>
      <c r="CU64" s="197"/>
      <c r="CV64" s="198"/>
      <c r="CW64" s="193" t="s">
        <v>70</v>
      </c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5"/>
    </row>
    <row r="65" spans="2:124" x14ac:dyDescent="0.2">
      <c r="B65" s="5" t="s">
        <v>122</v>
      </c>
      <c r="E65" s="23">
        <v>4.1666666666666664E-2</v>
      </c>
      <c r="F65" s="24">
        <v>8.3333333333333301E-2</v>
      </c>
      <c r="G65" s="24">
        <v>0.125</v>
      </c>
      <c r="H65" s="24">
        <v>0.16666666666666699</v>
      </c>
      <c r="I65" s="24">
        <v>0.20833333333333301</v>
      </c>
      <c r="J65" s="24">
        <v>0.25</v>
      </c>
      <c r="K65" s="24">
        <v>0.29166666666666702</v>
      </c>
      <c r="L65" s="24">
        <v>0.33333333333333298</v>
      </c>
      <c r="M65" s="24">
        <v>0.375</v>
      </c>
      <c r="N65" s="24">
        <v>0.41666666666666702</v>
      </c>
      <c r="O65" s="24">
        <v>0.45833333333333298</v>
      </c>
      <c r="P65" s="24">
        <v>0.5</v>
      </c>
      <c r="Q65" s="24">
        <v>0.54166666666666696</v>
      </c>
      <c r="R65" s="24">
        <v>0.58333333333333304</v>
      </c>
      <c r="S65" s="24">
        <v>0.625</v>
      </c>
      <c r="T65" s="24">
        <v>0.66666666666666696</v>
      </c>
      <c r="U65" s="24">
        <v>0.70833333333333304</v>
      </c>
      <c r="V65" s="24">
        <v>0.75</v>
      </c>
      <c r="W65" s="24">
        <v>0.79166666666666696</v>
      </c>
      <c r="X65" s="24">
        <v>0.83333333333333304</v>
      </c>
      <c r="Y65" s="24">
        <v>0.875</v>
      </c>
      <c r="Z65" s="24">
        <v>0.91666666666666696</v>
      </c>
      <c r="AA65" s="24">
        <v>0.95833333333333404</v>
      </c>
      <c r="AB65" s="59">
        <v>1</v>
      </c>
      <c r="AC65" s="23">
        <v>1.0416666666666701</v>
      </c>
      <c r="AD65" s="24">
        <v>1.0833333333333399</v>
      </c>
      <c r="AE65" s="24">
        <v>0.125</v>
      </c>
      <c r="AF65" s="24">
        <v>0.16666666666666699</v>
      </c>
      <c r="AG65" s="24">
        <v>0.20833333333333301</v>
      </c>
      <c r="AH65" s="24">
        <v>0.25</v>
      </c>
      <c r="AI65" s="24">
        <v>0.29166666666666702</v>
      </c>
      <c r="AJ65" s="24">
        <v>0.33333333333333298</v>
      </c>
      <c r="AK65" s="24">
        <v>0.375</v>
      </c>
      <c r="AL65" s="24">
        <v>0.41666666666666702</v>
      </c>
      <c r="AM65" s="24">
        <v>0.45833333333333298</v>
      </c>
      <c r="AN65" s="24">
        <v>0.5</v>
      </c>
      <c r="AO65" s="24">
        <v>0.54166666666666696</v>
      </c>
      <c r="AP65" s="24">
        <v>0.58333333333333304</v>
      </c>
      <c r="AQ65" s="24">
        <v>0.625</v>
      </c>
      <c r="AR65" s="24">
        <v>0.66666666666666696</v>
      </c>
      <c r="AS65" s="24">
        <v>0.70833333333333304</v>
      </c>
      <c r="AT65" s="24">
        <v>0.75</v>
      </c>
      <c r="AU65" s="24">
        <v>0.79166666666666696</v>
      </c>
      <c r="AV65" s="24">
        <v>0.83333333333333304</v>
      </c>
      <c r="AW65" s="24">
        <v>0.875</v>
      </c>
      <c r="AX65" s="24">
        <v>0.91666666666666696</v>
      </c>
      <c r="AY65" s="24">
        <v>0.95833333333333404</v>
      </c>
      <c r="AZ65" s="59">
        <v>1</v>
      </c>
      <c r="BA65" s="23">
        <v>1.0416666666666701</v>
      </c>
      <c r="BB65" s="24">
        <v>1.0833333333333399</v>
      </c>
      <c r="BC65" s="24">
        <v>0.125</v>
      </c>
      <c r="BD65" s="24">
        <v>0.16666666666666699</v>
      </c>
      <c r="BE65" s="24">
        <v>0.20833333333333301</v>
      </c>
      <c r="BF65" s="24">
        <v>0.25</v>
      </c>
      <c r="BG65" s="24">
        <v>0.29166666666666702</v>
      </c>
      <c r="BH65" s="24">
        <v>0.33333333333333298</v>
      </c>
      <c r="BI65" s="24">
        <v>0.375</v>
      </c>
      <c r="BJ65" s="24">
        <v>0.41666666666666702</v>
      </c>
      <c r="BK65" s="24">
        <v>0.45833333333333298</v>
      </c>
      <c r="BL65" s="24">
        <v>0.5</v>
      </c>
      <c r="BM65" s="24">
        <v>0.54166666666666696</v>
      </c>
      <c r="BN65" s="24">
        <v>0.58333333333333304</v>
      </c>
      <c r="BO65" s="24">
        <v>0.625</v>
      </c>
      <c r="BP65" s="24">
        <v>0.66666666666666696</v>
      </c>
      <c r="BQ65" s="24">
        <v>0.70833333333333304</v>
      </c>
      <c r="BR65" s="24">
        <v>0.75</v>
      </c>
      <c r="BS65" s="24">
        <v>0.79166666666666696</v>
      </c>
      <c r="BT65" s="24">
        <v>0.83333333333333304</v>
      </c>
      <c r="BU65" s="24">
        <v>0.875</v>
      </c>
      <c r="BV65" s="24">
        <v>0.91666666666666696</v>
      </c>
      <c r="BW65" s="24">
        <v>0.95833333333333404</v>
      </c>
      <c r="BX65" s="59">
        <v>1</v>
      </c>
      <c r="BY65" s="23">
        <v>1.0416666666666701</v>
      </c>
      <c r="BZ65" s="24">
        <v>1.0833333333333399</v>
      </c>
      <c r="CA65" s="24">
        <v>0.125</v>
      </c>
      <c r="CB65" s="24">
        <v>0.16666666666666699</v>
      </c>
      <c r="CC65" s="24">
        <v>0.20833333333333301</v>
      </c>
      <c r="CD65" s="24">
        <v>0.25</v>
      </c>
      <c r="CE65" s="24">
        <v>0.29166666666666702</v>
      </c>
      <c r="CF65" s="24">
        <v>0.33333333333333298</v>
      </c>
      <c r="CG65" s="24">
        <v>0.375</v>
      </c>
      <c r="CH65" s="24">
        <v>0.41666666666666702</v>
      </c>
      <c r="CI65" s="24">
        <v>0.45833333333333298</v>
      </c>
      <c r="CJ65" s="24">
        <v>0.5</v>
      </c>
      <c r="CK65" s="24">
        <v>0.54166666666666696</v>
      </c>
      <c r="CL65" s="24">
        <v>0.58333333333333304</v>
      </c>
      <c r="CM65" s="24">
        <v>0.625</v>
      </c>
      <c r="CN65" s="24">
        <v>0.66666666666666696</v>
      </c>
      <c r="CO65" s="24">
        <v>0.70833333333333304</v>
      </c>
      <c r="CP65" s="24">
        <v>0.75</v>
      </c>
      <c r="CQ65" s="24">
        <v>0.79166666666666696</v>
      </c>
      <c r="CR65" s="24">
        <v>0.83333333333333304</v>
      </c>
      <c r="CS65" s="24">
        <v>0.875</v>
      </c>
      <c r="CT65" s="24">
        <v>0.91666666666666696</v>
      </c>
      <c r="CU65" s="24">
        <v>0.95833333333333404</v>
      </c>
      <c r="CV65" s="59">
        <v>1</v>
      </c>
      <c r="CW65" s="23">
        <v>1.0416666666666701</v>
      </c>
      <c r="CX65" s="24">
        <v>1.0833333333333399</v>
      </c>
      <c r="CY65" s="24">
        <v>0.125</v>
      </c>
      <c r="CZ65" s="24">
        <v>0.16666666666666699</v>
      </c>
      <c r="DA65" s="24">
        <v>0.20833333333333301</v>
      </c>
      <c r="DB65" s="24">
        <v>0.25</v>
      </c>
      <c r="DC65" s="24">
        <v>0.29166666666666702</v>
      </c>
      <c r="DD65" s="24">
        <v>0.33333333333333298</v>
      </c>
      <c r="DE65" s="24">
        <v>0.375</v>
      </c>
      <c r="DF65" s="24">
        <v>0.41666666666666702</v>
      </c>
      <c r="DG65" s="24">
        <v>0.45833333333333298</v>
      </c>
      <c r="DH65" s="24">
        <v>0.5</v>
      </c>
      <c r="DI65" s="24">
        <v>0.54166666666666696</v>
      </c>
      <c r="DJ65" s="24">
        <v>0.58333333333333304</v>
      </c>
      <c r="DK65" s="24">
        <v>0.625</v>
      </c>
      <c r="DL65" s="24">
        <v>0.66666666666666696</v>
      </c>
      <c r="DM65" s="24">
        <v>0.70833333333333304</v>
      </c>
      <c r="DN65" s="24">
        <v>0.75</v>
      </c>
      <c r="DO65" s="24">
        <v>0.79166666666666696</v>
      </c>
      <c r="DP65" s="24">
        <v>0.83333333333333304</v>
      </c>
      <c r="DQ65" s="24">
        <v>0.875</v>
      </c>
      <c r="DR65" s="24">
        <v>0.91666666666666696</v>
      </c>
      <c r="DS65" s="24">
        <v>0.95833333333333404</v>
      </c>
      <c r="DT65" s="59">
        <v>1</v>
      </c>
    </row>
    <row r="66" spans="2:124" x14ac:dyDescent="0.2">
      <c r="B66" s="3" t="s">
        <v>41</v>
      </c>
      <c r="D66" s="152">
        <f>D63*20%</f>
        <v>0</v>
      </c>
      <c r="E66" s="14">
        <f t="shared" ref="E66:BP66" si="815">E63*20%</f>
        <v>0</v>
      </c>
      <c r="F66" s="1">
        <f t="shared" si="815"/>
        <v>0</v>
      </c>
      <c r="G66" s="1">
        <f t="shared" si="815"/>
        <v>0</v>
      </c>
      <c r="H66" s="1">
        <f t="shared" si="815"/>
        <v>0</v>
      </c>
      <c r="I66" s="1">
        <f t="shared" si="815"/>
        <v>40</v>
      </c>
      <c r="J66" s="1">
        <f t="shared" si="815"/>
        <v>0</v>
      </c>
      <c r="K66" s="1">
        <f t="shared" si="815"/>
        <v>40</v>
      </c>
      <c r="L66" s="1">
        <f t="shared" si="815"/>
        <v>0</v>
      </c>
      <c r="M66" s="1">
        <f t="shared" si="815"/>
        <v>40</v>
      </c>
      <c r="N66" s="1">
        <f t="shared" si="815"/>
        <v>0</v>
      </c>
      <c r="O66" s="1">
        <f t="shared" si="815"/>
        <v>0</v>
      </c>
      <c r="P66" s="1">
        <f t="shared" si="815"/>
        <v>40</v>
      </c>
      <c r="Q66" s="1">
        <f t="shared" si="815"/>
        <v>0</v>
      </c>
      <c r="R66" s="1">
        <f t="shared" si="815"/>
        <v>40</v>
      </c>
      <c r="S66" s="1">
        <f t="shared" si="815"/>
        <v>0</v>
      </c>
      <c r="T66" s="1">
        <f t="shared" si="815"/>
        <v>40</v>
      </c>
      <c r="U66" s="1">
        <f t="shared" si="815"/>
        <v>0</v>
      </c>
      <c r="V66" s="1">
        <f t="shared" si="815"/>
        <v>40</v>
      </c>
      <c r="W66" s="1">
        <f t="shared" si="815"/>
        <v>0</v>
      </c>
      <c r="X66" s="1">
        <f t="shared" si="815"/>
        <v>40</v>
      </c>
      <c r="Y66" s="1">
        <f t="shared" si="815"/>
        <v>0</v>
      </c>
      <c r="Z66" s="1">
        <f t="shared" si="815"/>
        <v>0</v>
      </c>
      <c r="AA66" s="1">
        <f t="shared" si="815"/>
        <v>0</v>
      </c>
      <c r="AB66" s="55">
        <f t="shared" si="815"/>
        <v>0</v>
      </c>
      <c r="AC66" s="14">
        <f t="shared" si="815"/>
        <v>0</v>
      </c>
      <c r="AD66" s="1">
        <f t="shared" si="815"/>
        <v>0</v>
      </c>
      <c r="AE66" s="1">
        <f t="shared" si="815"/>
        <v>0</v>
      </c>
      <c r="AF66" s="1">
        <f t="shared" si="815"/>
        <v>0</v>
      </c>
      <c r="AG66" s="1">
        <f t="shared" si="815"/>
        <v>0</v>
      </c>
      <c r="AH66" s="1">
        <f t="shared" si="815"/>
        <v>0</v>
      </c>
      <c r="AI66" s="1">
        <f t="shared" si="815"/>
        <v>0</v>
      </c>
      <c r="AJ66" s="1">
        <f t="shared" si="815"/>
        <v>0</v>
      </c>
      <c r="AK66" s="1">
        <f t="shared" si="815"/>
        <v>0</v>
      </c>
      <c r="AL66" s="1">
        <f t="shared" si="815"/>
        <v>0</v>
      </c>
      <c r="AM66" s="1">
        <f t="shared" si="815"/>
        <v>0</v>
      </c>
      <c r="AN66" s="1">
        <f t="shared" si="815"/>
        <v>0</v>
      </c>
      <c r="AO66" s="1">
        <f t="shared" si="815"/>
        <v>0</v>
      </c>
      <c r="AP66" s="1">
        <f t="shared" si="815"/>
        <v>0</v>
      </c>
      <c r="AQ66" s="1">
        <f t="shared" si="815"/>
        <v>0</v>
      </c>
      <c r="AR66" s="1">
        <f t="shared" si="815"/>
        <v>0</v>
      </c>
      <c r="AS66" s="1">
        <f t="shared" si="815"/>
        <v>0</v>
      </c>
      <c r="AT66" s="1">
        <f t="shared" si="815"/>
        <v>0</v>
      </c>
      <c r="AU66" s="1">
        <f t="shared" si="815"/>
        <v>0</v>
      </c>
      <c r="AV66" s="1">
        <f t="shared" si="815"/>
        <v>0</v>
      </c>
      <c r="AW66" s="1">
        <f t="shared" si="815"/>
        <v>0</v>
      </c>
      <c r="AX66" s="1">
        <f t="shared" si="815"/>
        <v>0</v>
      </c>
      <c r="AY66" s="1">
        <f t="shared" si="815"/>
        <v>0</v>
      </c>
      <c r="AZ66" s="55">
        <f t="shared" si="815"/>
        <v>0</v>
      </c>
      <c r="BA66" s="14">
        <f t="shared" si="815"/>
        <v>0</v>
      </c>
      <c r="BB66" s="1">
        <f t="shared" si="815"/>
        <v>0</v>
      </c>
      <c r="BC66" s="1">
        <f t="shared" si="815"/>
        <v>0</v>
      </c>
      <c r="BD66" s="1">
        <f t="shared" si="815"/>
        <v>0</v>
      </c>
      <c r="BE66" s="1">
        <f t="shared" si="815"/>
        <v>40</v>
      </c>
      <c r="BF66" s="1">
        <f t="shared" si="815"/>
        <v>40</v>
      </c>
      <c r="BG66" s="1">
        <f t="shared" si="815"/>
        <v>40</v>
      </c>
      <c r="BH66" s="1">
        <f t="shared" si="815"/>
        <v>40</v>
      </c>
      <c r="BI66" s="1">
        <f t="shared" si="815"/>
        <v>40</v>
      </c>
      <c r="BJ66" s="1">
        <f t="shared" si="815"/>
        <v>40</v>
      </c>
      <c r="BK66" s="1">
        <f t="shared" si="815"/>
        <v>40</v>
      </c>
      <c r="BL66" s="1">
        <f t="shared" si="815"/>
        <v>40</v>
      </c>
      <c r="BM66" s="1">
        <f t="shared" si="815"/>
        <v>40</v>
      </c>
      <c r="BN66" s="1">
        <f t="shared" si="815"/>
        <v>40</v>
      </c>
      <c r="BO66" s="1">
        <f t="shared" si="815"/>
        <v>0</v>
      </c>
      <c r="BP66" s="1">
        <f t="shared" si="815"/>
        <v>40</v>
      </c>
      <c r="BQ66" s="1">
        <f t="shared" ref="BQ66:CN66" si="816">BQ63*20%</f>
        <v>0</v>
      </c>
      <c r="BR66" s="1">
        <f t="shared" si="816"/>
        <v>40</v>
      </c>
      <c r="BS66" s="1">
        <f t="shared" si="816"/>
        <v>0</v>
      </c>
      <c r="BT66" s="1">
        <f t="shared" si="816"/>
        <v>0</v>
      </c>
      <c r="BU66" s="1">
        <f t="shared" si="816"/>
        <v>40</v>
      </c>
      <c r="BV66" s="1">
        <f t="shared" si="816"/>
        <v>0</v>
      </c>
      <c r="BW66" s="1">
        <f t="shared" si="816"/>
        <v>0</v>
      </c>
      <c r="BX66" s="55">
        <f t="shared" si="816"/>
        <v>0</v>
      </c>
      <c r="BY66" s="14">
        <f t="shared" si="816"/>
        <v>0</v>
      </c>
      <c r="BZ66" s="1">
        <f t="shared" si="816"/>
        <v>0</v>
      </c>
      <c r="CA66" s="1">
        <f t="shared" si="816"/>
        <v>0</v>
      </c>
      <c r="CB66" s="1">
        <f t="shared" si="816"/>
        <v>0</v>
      </c>
      <c r="CC66" s="1">
        <f t="shared" si="816"/>
        <v>40</v>
      </c>
      <c r="CD66" s="1">
        <f t="shared" si="816"/>
        <v>40</v>
      </c>
      <c r="CE66" s="1">
        <f t="shared" si="816"/>
        <v>0</v>
      </c>
      <c r="CF66" s="1">
        <f t="shared" si="816"/>
        <v>0</v>
      </c>
      <c r="CG66" s="1">
        <f t="shared" si="816"/>
        <v>40</v>
      </c>
      <c r="CH66" s="1">
        <f t="shared" si="816"/>
        <v>0</v>
      </c>
      <c r="CI66" s="1">
        <f t="shared" si="816"/>
        <v>40</v>
      </c>
      <c r="CJ66" s="1">
        <f t="shared" si="816"/>
        <v>0</v>
      </c>
      <c r="CK66" s="1">
        <f t="shared" si="816"/>
        <v>40</v>
      </c>
      <c r="CL66" s="1">
        <f t="shared" si="816"/>
        <v>0</v>
      </c>
      <c r="CM66" s="1">
        <f t="shared" si="816"/>
        <v>40</v>
      </c>
      <c r="CN66" s="1">
        <f t="shared" si="816"/>
        <v>0</v>
      </c>
      <c r="CO66" s="1">
        <f t="shared" ref="CO66:DL66" si="817">CO63*20%</f>
        <v>40</v>
      </c>
      <c r="CP66" s="1">
        <f t="shared" si="817"/>
        <v>0</v>
      </c>
      <c r="CQ66" s="1">
        <f t="shared" si="817"/>
        <v>40</v>
      </c>
      <c r="CR66" s="1">
        <f t="shared" si="817"/>
        <v>0</v>
      </c>
      <c r="CS66" s="1">
        <f t="shared" si="817"/>
        <v>0</v>
      </c>
      <c r="CT66" s="1">
        <f t="shared" si="817"/>
        <v>0</v>
      </c>
      <c r="CU66" s="1">
        <f t="shared" si="817"/>
        <v>0</v>
      </c>
      <c r="CV66" s="55">
        <f t="shared" si="817"/>
        <v>0</v>
      </c>
      <c r="CW66" s="14">
        <f t="shared" si="817"/>
        <v>0</v>
      </c>
      <c r="CX66" s="1">
        <f t="shared" si="817"/>
        <v>0</v>
      </c>
      <c r="CY66" s="1">
        <f t="shared" si="817"/>
        <v>0</v>
      </c>
      <c r="CZ66" s="1">
        <f t="shared" si="817"/>
        <v>0</v>
      </c>
      <c r="DA66" s="1">
        <f t="shared" si="817"/>
        <v>40</v>
      </c>
      <c r="DB66" s="1">
        <f t="shared" si="817"/>
        <v>40</v>
      </c>
      <c r="DC66" s="1">
        <f t="shared" si="817"/>
        <v>40</v>
      </c>
      <c r="DD66" s="1">
        <f t="shared" si="817"/>
        <v>0</v>
      </c>
      <c r="DE66" s="1">
        <f t="shared" si="817"/>
        <v>0</v>
      </c>
      <c r="DF66" s="1">
        <f t="shared" si="817"/>
        <v>40</v>
      </c>
      <c r="DG66" s="1">
        <f t="shared" si="817"/>
        <v>0</v>
      </c>
      <c r="DH66" s="1">
        <f t="shared" si="817"/>
        <v>40</v>
      </c>
      <c r="DI66" s="1">
        <f t="shared" si="817"/>
        <v>0</v>
      </c>
      <c r="DJ66" s="1">
        <f t="shared" si="817"/>
        <v>40</v>
      </c>
      <c r="DK66" s="1">
        <f t="shared" si="817"/>
        <v>0</v>
      </c>
      <c r="DL66" s="1">
        <f t="shared" si="817"/>
        <v>40</v>
      </c>
      <c r="DM66" s="1">
        <f t="shared" ref="DM66:DT66" si="818">DM63*20%</f>
        <v>0</v>
      </c>
      <c r="DN66" s="1">
        <f t="shared" si="818"/>
        <v>40</v>
      </c>
      <c r="DO66" s="1">
        <f t="shared" si="818"/>
        <v>0</v>
      </c>
      <c r="DP66" s="1">
        <f t="shared" si="818"/>
        <v>0</v>
      </c>
      <c r="DQ66" s="1">
        <f t="shared" si="818"/>
        <v>40</v>
      </c>
      <c r="DR66" s="1">
        <f t="shared" si="818"/>
        <v>0</v>
      </c>
      <c r="DS66" s="1">
        <f t="shared" si="818"/>
        <v>0</v>
      </c>
      <c r="DT66" s="55">
        <f t="shared" si="818"/>
        <v>0</v>
      </c>
    </row>
    <row r="67" spans="2:124" x14ac:dyDescent="0.2">
      <c r="B67" s="3" t="s">
        <v>42</v>
      </c>
      <c r="D67" s="152">
        <f>D53*5%</f>
        <v>5.7227805355600001</v>
      </c>
      <c r="E67" s="19">
        <f t="shared" ref="E67:BP67" si="819">E53*5%</f>
        <v>0</v>
      </c>
      <c r="F67" s="25">
        <f t="shared" si="819"/>
        <v>0</v>
      </c>
      <c r="G67" s="25">
        <f t="shared" si="819"/>
        <v>0</v>
      </c>
      <c r="H67" s="25">
        <f t="shared" si="819"/>
        <v>0</v>
      </c>
      <c r="I67" s="25">
        <f t="shared" si="819"/>
        <v>0</v>
      </c>
      <c r="J67" s="25">
        <f t="shared" si="819"/>
        <v>0</v>
      </c>
      <c r="K67" s="25">
        <f t="shared" si="819"/>
        <v>0</v>
      </c>
      <c r="L67" s="25">
        <f t="shared" si="819"/>
        <v>5.9983929794085107</v>
      </c>
      <c r="M67" s="25">
        <f t="shared" si="819"/>
        <v>0</v>
      </c>
      <c r="N67" s="25">
        <f t="shared" si="819"/>
        <v>0</v>
      </c>
      <c r="O67" s="25">
        <f t="shared" si="819"/>
        <v>0</v>
      </c>
      <c r="P67" s="25">
        <f t="shared" si="819"/>
        <v>6.0705971088432999</v>
      </c>
      <c r="Q67" s="25">
        <f t="shared" si="819"/>
        <v>0</v>
      </c>
      <c r="R67" s="25">
        <f t="shared" si="819"/>
        <v>0</v>
      </c>
      <c r="S67" s="25">
        <f t="shared" si="819"/>
        <v>0</v>
      </c>
      <c r="T67" s="25">
        <f t="shared" si="819"/>
        <v>0</v>
      </c>
      <c r="U67" s="25">
        <f t="shared" si="819"/>
        <v>0</v>
      </c>
      <c r="V67" s="25">
        <f t="shared" si="819"/>
        <v>9.6001147466720163</v>
      </c>
      <c r="W67" s="25">
        <f t="shared" si="819"/>
        <v>0</v>
      </c>
      <c r="X67" s="25">
        <f t="shared" si="819"/>
        <v>0</v>
      </c>
      <c r="Y67" s="25">
        <f t="shared" si="819"/>
        <v>0</v>
      </c>
      <c r="Z67" s="25">
        <f t="shared" si="819"/>
        <v>0</v>
      </c>
      <c r="AA67" s="25">
        <f t="shared" si="819"/>
        <v>0</v>
      </c>
      <c r="AB67" s="57">
        <f t="shared" si="819"/>
        <v>0</v>
      </c>
      <c r="AC67" s="19">
        <f t="shared" si="819"/>
        <v>0</v>
      </c>
      <c r="AD67" s="25">
        <f t="shared" si="819"/>
        <v>0</v>
      </c>
      <c r="AE67" s="25">
        <f t="shared" si="819"/>
        <v>0</v>
      </c>
      <c r="AF67" s="25">
        <f t="shared" si="819"/>
        <v>0</v>
      </c>
      <c r="AG67" s="25">
        <f t="shared" si="819"/>
        <v>0</v>
      </c>
      <c r="AH67" s="25">
        <f t="shared" si="819"/>
        <v>0</v>
      </c>
      <c r="AI67" s="25">
        <f t="shared" si="819"/>
        <v>0</v>
      </c>
      <c r="AJ67" s="25">
        <f t="shared" si="819"/>
        <v>0</v>
      </c>
      <c r="AK67" s="25">
        <f t="shared" si="819"/>
        <v>0</v>
      </c>
      <c r="AL67" s="25">
        <f t="shared" si="819"/>
        <v>0</v>
      </c>
      <c r="AM67" s="25">
        <f t="shared" si="819"/>
        <v>0</v>
      </c>
      <c r="AN67" s="25">
        <f t="shared" si="819"/>
        <v>0</v>
      </c>
      <c r="AO67" s="25">
        <f t="shared" si="819"/>
        <v>0</v>
      </c>
      <c r="AP67" s="25">
        <f t="shared" si="819"/>
        <v>0</v>
      </c>
      <c r="AQ67" s="25">
        <f t="shared" si="819"/>
        <v>0</v>
      </c>
      <c r="AR67" s="25">
        <f t="shared" si="819"/>
        <v>0</v>
      </c>
      <c r="AS67" s="25">
        <f t="shared" si="819"/>
        <v>0</v>
      </c>
      <c r="AT67" s="25">
        <f t="shared" si="819"/>
        <v>0</v>
      </c>
      <c r="AU67" s="25">
        <f t="shared" si="819"/>
        <v>0</v>
      </c>
      <c r="AV67" s="25">
        <f t="shared" si="819"/>
        <v>0</v>
      </c>
      <c r="AW67" s="25">
        <f t="shared" si="819"/>
        <v>0</v>
      </c>
      <c r="AX67" s="25">
        <f t="shared" si="819"/>
        <v>0</v>
      </c>
      <c r="AY67" s="25">
        <f t="shared" si="819"/>
        <v>0</v>
      </c>
      <c r="AZ67" s="57">
        <f t="shared" si="819"/>
        <v>0</v>
      </c>
      <c r="BA67" s="19">
        <f t="shared" si="819"/>
        <v>0</v>
      </c>
      <c r="BB67" s="25">
        <f t="shared" si="819"/>
        <v>0</v>
      </c>
      <c r="BC67" s="25">
        <f t="shared" si="819"/>
        <v>0</v>
      </c>
      <c r="BD67" s="25">
        <f t="shared" si="819"/>
        <v>0</v>
      </c>
      <c r="BE67" s="25">
        <f t="shared" si="819"/>
        <v>0</v>
      </c>
      <c r="BF67" s="25">
        <f t="shared" si="819"/>
        <v>34.541587747565373</v>
      </c>
      <c r="BG67" s="25">
        <f t="shared" si="819"/>
        <v>0</v>
      </c>
      <c r="BH67" s="25">
        <f t="shared" si="819"/>
        <v>0</v>
      </c>
      <c r="BI67" s="25">
        <f t="shared" si="819"/>
        <v>0</v>
      </c>
      <c r="BJ67" s="25">
        <f t="shared" si="819"/>
        <v>0</v>
      </c>
      <c r="BK67" s="25">
        <f t="shared" si="819"/>
        <v>0</v>
      </c>
      <c r="BL67" s="25">
        <f t="shared" si="819"/>
        <v>0</v>
      </c>
      <c r="BM67" s="25">
        <f t="shared" si="819"/>
        <v>0</v>
      </c>
      <c r="BN67" s="25">
        <f t="shared" si="819"/>
        <v>0</v>
      </c>
      <c r="BO67" s="25">
        <f t="shared" si="819"/>
        <v>0</v>
      </c>
      <c r="BP67" s="25">
        <f t="shared" si="819"/>
        <v>0</v>
      </c>
      <c r="BQ67" s="25">
        <f t="shared" ref="BQ67:CN67" si="820">BQ53*5%</f>
        <v>0</v>
      </c>
      <c r="BR67" s="25">
        <f t="shared" si="820"/>
        <v>0</v>
      </c>
      <c r="BS67" s="25">
        <f t="shared" si="820"/>
        <v>0</v>
      </c>
      <c r="BT67" s="25">
        <f t="shared" si="820"/>
        <v>0</v>
      </c>
      <c r="BU67" s="25">
        <f t="shared" si="820"/>
        <v>0</v>
      </c>
      <c r="BV67" s="25">
        <f t="shared" si="820"/>
        <v>0</v>
      </c>
      <c r="BW67" s="25">
        <f t="shared" si="820"/>
        <v>0</v>
      </c>
      <c r="BX67" s="57">
        <f t="shared" si="820"/>
        <v>0</v>
      </c>
      <c r="BY67" s="19">
        <f t="shared" si="820"/>
        <v>0</v>
      </c>
      <c r="BZ67" s="25">
        <f t="shared" si="820"/>
        <v>0</v>
      </c>
      <c r="CA67" s="25">
        <f t="shared" si="820"/>
        <v>0</v>
      </c>
      <c r="CB67" s="25">
        <f t="shared" si="820"/>
        <v>0</v>
      </c>
      <c r="CC67" s="25">
        <f t="shared" si="820"/>
        <v>0</v>
      </c>
      <c r="CD67" s="25">
        <f t="shared" si="820"/>
        <v>0</v>
      </c>
      <c r="CE67" s="25">
        <f t="shared" si="820"/>
        <v>0</v>
      </c>
      <c r="CF67" s="25">
        <f t="shared" si="820"/>
        <v>0</v>
      </c>
      <c r="CG67" s="25">
        <f t="shared" si="820"/>
        <v>0</v>
      </c>
      <c r="CH67" s="25">
        <f t="shared" si="820"/>
        <v>0</v>
      </c>
      <c r="CI67" s="25">
        <f t="shared" si="820"/>
        <v>0</v>
      </c>
      <c r="CJ67" s="25">
        <f t="shared" si="820"/>
        <v>0</v>
      </c>
      <c r="CK67" s="25">
        <f t="shared" si="820"/>
        <v>0</v>
      </c>
      <c r="CL67" s="25">
        <f t="shared" si="820"/>
        <v>0</v>
      </c>
      <c r="CM67" s="25">
        <f t="shared" si="820"/>
        <v>0</v>
      </c>
      <c r="CN67" s="25">
        <f t="shared" si="820"/>
        <v>0</v>
      </c>
      <c r="CO67" s="25">
        <f t="shared" ref="CO67:DL67" si="821">CO53*5%</f>
        <v>0</v>
      </c>
      <c r="CP67" s="25">
        <f t="shared" si="821"/>
        <v>0</v>
      </c>
      <c r="CQ67" s="25">
        <f t="shared" si="821"/>
        <v>0</v>
      </c>
      <c r="CR67" s="25">
        <f t="shared" si="821"/>
        <v>0</v>
      </c>
      <c r="CS67" s="25">
        <f t="shared" si="821"/>
        <v>0</v>
      </c>
      <c r="CT67" s="25">
        <f t="shared" si="821"/>
        <v>0</v>
      </c>
      <c r="CU67" s="25">
        <f t="shared" si="821"/>
        <v>0</v>
      </c>
      <c r="CV67" s="57">
        <f t="shared" si="821"/>
        <v>0</v>
      </c>
      <c r="CW67" s="19">
        <f t="shared" si="821"/>
        <v>0</v>
      </c>
      <c r="CX67" s="25">
        <f t="shared" si="821"/>
        <v>0</v>
      </c>
      <c r="CY67" s="25">
        <f t="shared" si="821"/>
        <v>0</v>
      </c>
      <c r="CZ67" s="25">
        <f t="shared" si="821"/>
        <v>0</v>
      </c>
      <c r="DA67" s="25">
        <f t="shared" si="821"/>
        <v>0</v>
      </c>
      <c r="DB67" s="25">
        <f t="shared" si="821"/>
        <v>0</v>
      </c>
      <c r="DC67" s="25">
        <f t="shared" si="821"/>
        <v>0</v>
      </c>
      <c r="DD67" s="25">
        <f t="shared" si="821"/>
        <v>0</v>
      </c>
      <c r="DE67" s="25">
        <f t="shared" si="821"/>
        <v>0</v>
      </c>
      <c r="DF67" s="25">
        <f t="shared" si="821"/>
        <v>0</v>
      </c>
      <c r="DG67" s="25">
        <f t="shared" si="821"/>
        <v>0</v>
      </c>
      <c r="DH67" s="25">
        <f t="shared" si="821"/>
        <v>0</v>
      </c>
      <c r="DI67" s="25">
        <f t="shared" si="821"/>
        <v>0</v>
      </c>
      <c r="DJ67" s="25">
        <f t="shared" si="821"/>
        <v>0</v>
      </c>
      <c r="DK67" s="25">
        <f t="shared" si="821"/>
        <v>0</v>
      </c>
      <c r="DL67" s="25">
        <f t="shared" si="821"/>
        <v>0</v>
      </c>
      <c r="DM67" s="25">
        <f t="shared" ref="DM67:DT67" si="822">DM53*5%</f>
        <v>0</v>
      </c>
      <c r="DN67" s="25">
        <f t="shared" si="822"/>
        <v>0</v>
      </c>
      <c r="DO67" s="25">
        <f t="shared" si="822"/>
        <v>0</v>
      </c>
      <c r="DP67" s="25">
        <f t="shared" si="822"/>
        <v>0</v>
      </c>
      <c r="DQ67" s="25">
        <f t="shared" si="822"/>
        <v>0</v>
      </c>
      <c r="DR67" s="25">
        <f t="shared" si="822"/>
        <v>0</v>
      </c>
      <c r="DS67" s="25">
        <f t="shared" si="822"/>
        <v>0</v>
      </c>
      <c r="DT67" s="57">
        <f t="shared" si="822"/>
        <v>0</v>
      </c>
    </row>
    <row r="68" spans="2:124" x14ac:dyDescent="0.2">
      <c r="B68" s="3" t="s">
        <v>237</v>
      </c>
      <c r="D68" s="152">
        <f>55%*54*1000</f>
        <v>29700.000000000004</v>
      </c>
      <c r="E68" s="14">
        <f>E66+E67+D68-D69</f>
        <v>29640.000000000004</v>
      </c>
      <c r="F68" s="1">
        <f t="shared" ref="F68:BQ68" si="823">F66+F67+E68-E69</f>
        <v>29580.000000000004</v>
      </c>
      <c r="G68" s="1">
        <f t="shared" si="823"/>
        <v>29520.000000000004</v>
      </c>
      <c r="H68" s="1">
        <f t="shared" si="823"/>
        <v>29460.000000000004</v>
      </c>
      <c r="I68" s="1">
        <f t="shared" si="823"/>
        <v>29440.000000000004</v>
      </c>
      <c r="J68" s="1">
        <f t="shared" si="823"/>
        <v>29380.000000000004</v>
      </c>
      <c r="K68" s="1">
        <f t="shared" si="823"/>
        <v>29360.000000000004</v>
      </c>
      <c r="L68" s="1">
        <f t="shared" si="823"/>
        <v>29305.998392979411</v>
      </c>
      <c r="M68" s="1">
        <f t="shared" si="823"/>
        <v>29285.998392979411</v>
      </c>
      <c r="N68" s="1">
        <f t="shared" si="823"/>
        <v>29225.998392979411</v>
      </c>
      <c r="O68" s="1">
        <f t="shared" si="823"/>
        <v>29165.998392979411</v>
      </c>
      <c r="P68" s="1">
        <f t="shared" si="823"/>
        <v>29152.068990088253</v>
      </c>
      <c r="Q68" s="1">
        <f t="shared" si="823"/>
        <v>29092.068990088253</v>
      </c>
      <c r="R68" s="1">
        <f t="shared" si="823"/>
        <v>29072.068990088253</v>
      </c>
      <c r="S68" s="1">
        <f t="shared" si="823"/>
        <v>29012.068990088253</v>
      </c>
      <c r="T68" s="1">
        <f t="shared" si="823"/>
        <v>28992.068990088253</v>
      </c>
      <c r="U68" s="1">
        <f t="shared" si="823"/>
        <v>28932.068990088253</v>
      </c>
      <c r="V68" s="1">
        <f t="shared" si="823"/>
        <v>28921.669104834924</v>
      </c>
      <c r="W68" s="1">
        <f t="shared" si="823"/>
        <v>28861.669104834924</v>
      </c>
      <c r="X68" s="1">
        <f t="shared" si="823"/>
        <v>28841.669104834924</v>
      </c>
      <c r="Y68" s="1">
        <f t="shared" si="823"/>
        <v>28781.669104834924</v>
      </c>
      <c r="Z68" s="1">
        <f t="shared" si="823"/>
        <v>28721.669104834924</v>
      </c>
      <c r="AA68" s="1">
        <f t="shared" si="823"/>
        <v>28661.669104834924</v>
      </c>
      <c r="AB68" s="55">
        <f t="shared" si="823"/>
        <v>28601.669104834924</v>
      </c>
      <c r="AC68" s="14">
        <f t="shared" si="823"/>
        <v>28541.669104834924</v>
      </c>
      <c r="AD68" s="1">
        <f t="shared" si="823"/>
        <v>28481.669104834924</v>
      </c>
      <c r="AE68" s="1">
        <f t="shared" si="823"/>
        <v>28421.669104834924</v>
      </c>
      <c r="AF68" s="1">
        <f t="shared" si="823"/>
        <v>28361.669104834924</v>
      </c>
      <c r="AG68" s="1">
        <f t="shared" si="823"/>
        <v>28301.669104834924</v>
      </c>
      <c r="AH68" s="1">
        <f t="shared" si="823"/>
        <v>28241.669104834924</v>
      </c>
      <c r="AI68" s="1">
        <f t="shared" si="823"/>
        <v>28181.669104834924</v>
      </c>
      <c r="AJ68" s="1">
        <f t="shared" si="823"/>
        <v>28121.669104834924</v>
      </c>
      <c r="AK68" s="1">
        <f t="shared" si="823"/>
        <v>28061.669104834924</v>
      </c>
      <c r="AL68" s="1">
        <f t="shared" si="823"/>
        <v>28001.669104834924</v>
      </c>
      <c r="AM68" s="1">
        <f t="shared" si="823"/>
        <v>27941.669104834924</v>
      </c>
      <c r="AN68" s="1">
        <f t="shared" si="823"/>
        <v>27881.669104834924</v>
      </c>
      <c r="AO68" s="1">
        <f t="shared" si="823"/>
        <v>27821.669104834924</v>
      </c>
      <c r="AP68" s="1">
        <f t="shared" si="823"/>
        <v>27761.669104834924</v>
      </c>
      <c r="AQ68" s="1">
        <f t="shared" si="823"/>
        <v>27701.669104834924</v>
      </c>
      <c r="AR68" s="1">
        <f t="shared" si="823"/>
        <v>27641.669104834924</v>
      </c>
      <c r="AS68" s="1">
        <f t="shared" si="823"/>
        <v>27581.669104834924</v>
      </c>
      <c r="AT68" s="1">
        <f t="shared" si="823"/>
        <v>27521.669104834924</v>
      </c>
      <c r="AU68" s="1">
        <f t="shared" si="823"/>
        <v>27461.669104834924</v>
      </c>
      <c r="AV68" s="1">
        <f t="shared" si="823"/>
        <v>27401.669104834924</v>
      </c>
      <c r="AW68" s="1">
        <f t="shared" si="823"/>
        <v>27341.669104834924</v>
      </c>
      <c r="AX68" s="1">
        <f t="shared" si="823"/>
        <v>27281.669104834924</v>
      </c>
      <c r="AY68" s="1">
        <f t="shared" si="823"/>
        <v>27221.669104834924</v>
      </c>
      <c r="AZ68" s="55">
        <f t="shared" si="823"/>
        <v>27161.669104834924</v>
      </c>
      <c r="BA68" s="14">
        <f t="shared" si="823"/>
        <v>27101.669104834924</v>
      </c>
      <c r="BB68" s="1">
        <f t="shared" si="823"/>
        <v>27041.669104834924</v>
      </c>
      <c r="BC68" s="1">
        <f t="shared" si="823"/>
        <v>26981.669104834924</v>
      </c>
      <c r="BD68" s="1">
        <f t="shared" si="823"/>
        <v>26921.669104834924</v>
      </c>
      <c r="BE68" s="1">
        <f t="shared" si="823"/>
        <v>26901.669104834924</v>
      </c>
      <c r="BF68" s="1">
        <f t="shared" si="823"/>
        <v>26916.210692582488</v>
      </c>
      <c r="BG68" s="1">
        <f t="shared" si="823"/>
        <v>26896.210692582488</v>
      </c>
      <c r="BH68" s="1">
        <f t="shared" si="823"/>
        <v>26876.210692582488</v>
      </c>
      <c r="BI68" s="1">
        <f t="shared" si="823"/>
        <v>26856.210692582488</v>
      </c>
      <c r="BJ68" s="1">
        <f t="shared" si="823"/>
        <v>26836.210692582488</v>
      </c>
      <c r="BK68" s="1">
        <f t="shared" si="823"/>
        <v>26816.210692582488</v>
      </c>
      <c r="BL68" s="1">
        <f t="shared" si="823"/>
        <v>26796.210692582488</v>
      </c>
      <c r="BM68" s="1">
        <f t="shared" si="823"/>
        <v>26776.210692582488</v>
      </c>
      <c r="BN68" s="1">
        <f t="shared" si="823"/>
        <v>26756.210692582488</v>
      </c>
      <c r="BO68" s="1">
        <f t="shared" si="823"/>
        <v>26696.210692582488</v>
      </c>
      <c r="BP68" s="1">
        <f t="shared" si="823"/>
        <v>26676.210692582488</v>
      </c>
      <c r="BQ68" s="1">
        <f t="shared" si="823"/>
        <v>26616.210692582488</v>
      </c>
      <c r="BR68" s="1">
        <f t="shared" ref="BR68:BX68" si="824">BR66+BR67+BQ68-BQ69</f>
        <v>26596.210692582488</v>
      </c>
      <c r="BS68" s="1">
        <f t="shared" si="824"/>
        <v>26536.210692582488</v>
      </c>
      <c r="BT68" s="1">
        <f t="shared" si="824"/>
        <v>26476.210692582488</v>
      </c>
      <c r="BU68" s="1">
        <f t="shared" si="824"/>
        <v>26456.210692582488</v>
      </c>
      <c r="BV68" s="1">
        <f t="shared" si="824"/>
        <v>26396.210692582488</v>
      </c>
      <c r="BW68" s="1">
        <f t="shared" si="824"/>
        <v>26336.210692582488</v>
      </c>
      <c r="BX68" s="55">
        <f t="shared" si="824"/>
        <v>26276.210692582488</v>
      </c>
      <c r="BY68" s="14">
        <f t="shared" ref="BY68" si="825">BY66+BY67+BX68-BX69</f>
        <v>26216.210692582488</v>
      </c>
      <c r="BZ68" s="1">
        <f t="shared" ref="BZ68" si="826">BZ66+BZ67+BY68-BY69</f>
        <v>26156.210692582488</v>
      </c>
      <c r="CA68" s="1">
        <f t="shared" ref="CA68" si="827">CA66+CA67+BZ68-BZ69</f>
        <v>26096.210692582488</v>
      </c>
      <c r="CB68" s="1">
        <f t="shared" ref="CB68" si="828">CB66+CB67+CA68-CA69</f>
        <v>26036.210692582488</v>
      </c>
      <c r="CC68" s="1">
        <f t="shared" ref="CC68" si="829">CC66+CC67+CB68-CB69</f>
        <v>26016.210692582488</v>
      </c>
      <c r="CD68" s="1">
        <f t="shared" ref="CD68" si="830">CD66+CD67+CC68-CC69</f>
        <v>25996.210692582488</v>
      </c>
      <c r="CE68" s="1">
        <f t="shared" ref="CE68" si="831">CE66+CE67+CD68-CD69</f>
        <v>25936.210692582488</v>
      </c>
      <c r="CF68" s="1">
        <f t="shared" ref="CF68" si="832">CF66+CF67+CE68-CE69</f>
        <v>25876.210692582488</v>
      </c>
      <c r="CG68" s="1">
        <f t="shared" ref="CG68" si="833">CG66+CG67+CF68-CF69</f>
        <v>25856.210692582488</v>
      </c>
      <c r="CH68" s="1">
        <f t="shared" ref="CH68" si="834">CH66+CH67+CG68-CG69</f>
        <v>25796.210692582488</v>
      </c>
      <c r="CI68" s="1">
        <f t="shared" ref="CI68" si="835">CI66+CI67+CH68-CH69</f>
        <v>25776.210692582488</v>
      </c>
      <c r="CJ68" s="1">
        <f t="shared" ref="CJ68" si="836">CJ66+CJ67+CI68-CI69</f>
        <v>25716.210692582488</v>
      </c>
      <c r="CK68" s="1">
        <f t="shared" ref="CK68" si="837">CK66+CK67+CJ68-CJ69</f>
        <v>25696.210692582488</v>
      </c>
      <c r="CL68" s="1">
        <f t="shared" ref="CL68" si="838">CL66+CL67+CK68-CK69</f>
        <v>25636.210692582488</v>
      </c>
      <c r="CM68" s="1">
        <f t="shared" ref="CM68" si="839">CM66+CM67+CL68-CL69</f>
        <v>25616.210692582488</v>
      </c>
      <c r="CN68" s="1">
        <f t="shared" ref="CN68" si="840">CN66+CN67+CM68-CM69</f>
        <v>25556.210692582488</v>
      </c>
      <c r="CO68" s="1">
        <f t="shared" ref="CO68" si="841">CO66+CO67+CN68-CN69</f>
        <v>25536.210692582488</v>
      </c>
      <c r="CP68" s="1">
        <f t="shared" ref="CP68" si="842">CP66+CP67+CO68-CO69</f>
        <v>25476.210692582488</v>
      </c>
      <c r="CQ68" s="1">
        <f t="shared" ref="CQ68" si="843">CQ66+CQ67+CP68-CP69</f>
        <v>25456.210692582488</v>
      </c>
      <c r="CR68" s="1">
        <f t="shared" ref="CR68" si="844">CR66+CR67+CQ68-CQ69</f>
        <v>25396.210692582488</v>
      </c>
      <c r="CS68" s="1">
        <f t="shared" ref="CS68" si="845">CS66+CS67+CR68-CR69</f>
        <v>25336.210692582488</v>
      </c>
      <c r="CT68" s="1">
        <f t="shared" ref="CT68" si="846">CT66+CT67+CS68-CS69</f>
        <v>25276.210692582488</v>
      </c>
      <c r="CU68" s="1">
        <f t="shared" ref="CU68" si="847">CU66+CU67+CT68-CT69</f>
        <v>25216.210692582488</v>
      </c>
      <c r="CV68" s="55">
        <f t="shared" ref="CV68" si="848">CV66+CV67+CU68-CU69</f>
        <v>25156.210692582488</v>
      </c>
      <c r="CW68" s="14">
        <f t="shared" ref="CW68" si="849">CW66+CW67+CV68-CV69</f>
        <v>25096.210692582488</v>
      </c>
      <c r="CX68" s="1">
        <f t="shared" ref="CX68" si="850">CX66+CX67+CW68-CW69</f>
        <v>25036.210692582488</v>
      </c>
      <c r="CY68" s="1">
        <f t="shared" ref="CY68" si="851">CY66+CY67+CX68-CX69</f>
        <v>24976.210692582488</v>
      </c>
      <c r="CZ68" s="1">
        <f t="shared" ref="CZ68" si="852">CZ66+CZ67+CY68-CY69</f>
        <v>24916.210692582488</v>
      </c>
      <c r="DA68" s="1">
        <f t="shared" ref="DA68" si="853">DA66+DA67+CZ68-CZ69</f>
        <v>24896.210692582488</v>
      </c>
      <c r="DB68" s="1">
        <f t="shared" ref="DB68" si="854">DB66+DB67+DA68-DA69</f>
        <v>24876.210692582488</v>
      </c>
      <c r="DC68" s="1">
        <f t="shared" ref="DC68" si="855">DC66+DC67+DB68-DB69</f>
        <v>24856.210692582488</v>
      </c>
      <c r="DD68" s="1">
        <f t="shared" ref="DD68" si="856">DD66+DD67+DC68-DC69</f>
        <v>24796.210692582488</v>
      </c>
      <c r="DE68" s="1">
        <f t="shared" ref="DE68" si="857">DE66+DE67+DD68-DD69</f>
        <v>24736.210692582488</v>
      </c>
      <c r="DF68" s="1">
        <f t="shared" ref="DF68" si="858">DF66+DF67+DE68-DE69</f>
        <v>24716.210692582488</v>
      </c>
      <c r="DG68" s="1">
        <f t="shared" ref="DG68" si="859">DG66+DG67+DF68-DF69</f>
        <v>24656.210692582488</v>
      </c>
      <c r="DH68" s="1">
        <f t="shared" ref="DH68" si="860">DH66+DH67+DG68-DG69</f>
        <v>24636.210692582488</v>
      </c>
      <c r="DI68" s="1">
        <f t="shared" ref="DI68" si="861">DI66+DI67+DH68-DH69</f>
        <v>24576.210692582488</v>
      </c>
      <c r="DJ68" s="1">
        <f t="shared" ref="DJ68" si="862">DJ66+DJ67+DI68-DI69</f>
        <v>24556.210692582488</v>
      </c>
      <c r="DK68" s="1">
        <f t="shared" ref="DK68" si="863">DK66+DK67+DJ68-DJ69</f>
        <v>24496.210692582488</v>
      </c>
      <c r="DL68" s="1">
        <f t="shared" ref="DL68" si="864">DL66+DL67+DK68-DK69</f>
        <v>24476.210692582488</v>
      </c>
      <c r="DM68" s="1">
        <f t="shared" ref="DM68" si="865">DM66+DM67+DL68-DL69</f>
        <v>24416.210692582488</v>
      </c>
      <c r="DN68" s="1">
        <f t="shared" ref="DN68" si="866">DN66+DN67+DM68-DM69</f>
        <v>24396.210692582488</v>
      </c>
      <c r="DO68" s="1">
        <f t="shared" ref="DO68" si="867">DO66+DO67+DN68-DN69</f>
        <v>24336.210692582488</v>
      </c>
      <c r="DP68" s="1">
        <f t="shared" ref="DP68" si="868">DP66+DP67+DO68-DO69</f>
        <v>24276.210692582488</v>
      </c>
      <c r="DQ68" s="1">
        <f t="shared" ref="DQ68" si="869">DQ66+DQ67+DP68-DP69</f>
        <v>24256.210692582488</v>
      </c>
      <c r="DR68" s="1">
        <f t="shared" ref="DR68" si="870">DR66+DR67+DQ68-DQ69</f>
        <v>24196.210692582488</v>
      </c>
      <c r="DS68" s="1">
        <f t="shared" ref="DS68" si="871">DS66+DS67+DR68-DR69</f>
        <v>24136.210692582488</v>
      </c>
      <c r="DT68" s="55">
        <f t="shared" ref="DT68" si="872">DT66+DT67+DS68-DS69</f>
        <v>24076.210692582488</v>
      </c>
    </row>
    <row r="69" spans="2:124" x14ac:dyDescent="0.2">
      <c r="B69" s="3" t="s">
        <v>43</v>
      </c>
      <c r="D69" s="152">
        <v>60</v>
      </c>
      <c r="E69" s="14">
        <f>D69</f>
        <v>60</v>
      </c>
      <c r="F69" s="1">
        <f t="shared" ref="F69:BQ69" si="873">E69</f>
        <v>60</v>
      </c>
      <c r="G69" s="1">
        <f t="shared" si="873"/>
        <v>60</v>
      </c>
      <c r="H69" s="1">
        <f t="shared" si="873"/>
        <v>60</v>
      </c>
      <c r="I69" s="1">
        <f t="shared" si="873"/>
        <v>60</v>
      </c>
      <c r="J69" s="1">
        <f t="shared" si="873"/>
        <v>60</v>
      </c>
      <c r="K69" s="1">
        <f t="shared" si="873"/>
        <v>60</v>
      </c>
      <c r="L69" s="1">
        <f t="shared" si="873"/>
        <v>60</v>
      </c>
      <c r="M69" s="1">
        <f t="shared" si="873"/>
        <v>60</v>
      </c>
      <c r="N69" s="1">
        <f t="shared" si="873"/>
        <v>60</v>
      </c>
      <c r="O69" s="1">
        <f t="shared" si="873"/>
        <v>60</v>
      </c>
      <c r="P69" s="1">
        <f t="shared" si="873"/>
        <v>60</v>
      </c>
      <c r="Q69" s="1">
        <f t="shared" si="873"/>
        <v>60</v>
      </c>
      <c r="R69" s="1">
        <f t="shared" si="873"/>
        <v>60</v>
      </c>
      <c r="S69" s="1">
        <f t="shared" si="873"/>
        <v>60</v>
      </c>
      <c r="T69" s="1">
        <f t="shared" si="873"/>
        <v>60</v>
      </c>
      <c r="U69" s="1">
        <f t="shared" si="873"/>
        <v>60</v>
      </c>
      <c r="V69" s="1">
        <f t="shared" si="873"/>
        <v>60</v>
      </c>
      <c r="W69" s="1">
        <f t="shared" si="873"/>
        <v>60</v>
      </c>
      <c r="X69" s="1">
        <f t="shared" si="873"/>
        <v>60</v>
      </c>
      <c r="Y69" s="1">
        <f t="shared" si="873"/>
        <v>60</v>
      </c>
      <c r="Z69" s="1">
        <f t="shared" si="873"/>
        <v>60</v>
      </c>
      <c r="AA69" s="1">
        <f t="shared" si="873"/>
        <v>60</v>
      </c>
      <c r="AB69" s="55">
        <f t="shared" si="873"/>
        <v>60</v>
      </c>
      <c r="AC69" s="14">
        <f t="shared" si="873"/>
        <v>60</v>
      </c>
      <c r="AD69" s="1">
        <f t="shared" si="873"/>
        <v>60</v>
      </c>
      <c r="AE69" s="1">
        <f t="shared" si="873"/>
        <v>60</v>
      </c>
      <c r="AF69" s="1">
        <f t="shared" si="873"/>
        <v>60</v>
      </c>
      <c r="AG69" s="1">
        <f t="shared" si="873"/>
        <v>60</v>
      </c>
      <c r="AH69" s="1">
        <f t="shared" si="873"/>
        <v>60</v>
      </c>
      <c r="AI69" s="1">
        <f t="shared" si="873"/>
        <v>60</v>
      </c>
      <c r="AJ69" s="1">
        <f t="shared" si="873"/>
        <v>60</v>
      </c>
      <c r="AK69" s="1">
        <f t="shared" si="873"/>
        <v>60</v>
      </c>
      <c r="AL69" s="1">
        <f t="shared" si="873"/>
        <v>60</v>
      </c>
      <c r="AM69" s="1">
        <f t="shared" si="873"/>
        <v>60</v>
      </c>
      <c r="AN69" s="1">
        <f t="shared" si="873"/>
        <v>60</v>
      </c>
      <c r="AO69" s="1">
        <f t="shared" si="873"/>
        <v>60</v>
      </c>
      <c r="AP69" s="1">
        <f t="shared" si="873"/>
        <v>60</v>
      </c>
      <c r="AQ69" s="1">
        <f t="shared" si="873"/>
        <v>60</v>
      </c>
      <c r="AR69" s="1">
        <f t="shared" si="873"/>
        <v>60</v>
      </c>
      <c r="AS69" s="1">
        <f t="shared" si="873"/>
        <v>60</v>
      </c>
      <c r="AT69" s="1">
        <f t="shared" si="873"/>
        <v>60</v>
      </c>
      <c r="AU69" s="1">
        <f t="shared" si="873"/>
        <v>60</v>
      </c>
      <c r="AV69" s="1">
        <f t="shared" si="873"/>
        <v>60</v>
      </c>
      <c r="AW69" s="1">
        <f t="shared" si="873"/>
        <v>60</v>
      </c>
      <c r="AX69" s="1">
        <f t="shared" si="873"/>
        <v>60</v>
      </c>
      <c r="AY69" s="1">
        <f t="shared" si="873"/>
        <v>60</v>
      </c>
      <c r="AZ69" s="55">
        <f t="shared" si="873"/>
        <v>60</v>
      </c>
      <c r="BA69" s="14">
        <f t="shared" si="873"/>
        <v>60</v>
      </c>
      <c r="BB69" s="1">
        <f t="shared" si="873"/>
        <v>60</v>
      </c>
      <c r="BC69" s="1">
        <f t="shared" si="873"/>
        <v>60</v>
      </c>
      <c r="BD69" s="1">
        <f t="shared" si="873"/>
        <v>60</v>
      </c>
      <c r="BE69" s="1">
        <f t="shared" si="873"/>
        <v>60</v>
      </c>
      <c r="BF69" s="1">
        <f t="shared" si="873"/>
        <v>60</v>
      </c>
      <c r="BG69" s="1">
        <f t="shared" si="873"/>
        <v>60</v>
      </c>
      <c r="BH69" s="1">
        <f t="shared" si="873"/>
        <v>60</v>
      </c>
      <c r="BI69" s="1">
        <f t="shared" si="873"/>
        <v>60</v>
      </c>
      <c r="BJ69" s="1">
        <f t="shared" si="873"/>
        <v>60</v>
      </c>
      <c r="BK69" s="1">
        <f t="shared" si="873"/>
        <v>60</v>
      </c>
      <c r="BL69" s="1">
        <f t="shared" si="873"/>
        <v>60</v>
      </c>
      <c r="BM69" s="1">
        <f t="shared" si="873"/>
        <v>60</v>
      </c>
      <c r="BN69" s="1">
        <f t="shared" si="873"/>
        <v>60</v>
      </c>
      <c r="BO69" s="1">
        <f t="shared" si="873"/>
        <v>60</v>
      </c>
      <c r="BP69" s="1">
        <f t="shared" si="873"/>
        <v>60</v>
      </c>
      <c r="BQ69" s="1">
        <f t="shared" si="873"/>
        <v>60</v>
      </c>
      <c r="BR69" s="1">
        <f t="shared" ref="BR69:BX69" si="874">BQ69</f>
        <v>60</v>
      </c>
      <c r="BS69" s="1">
        <f t="shared" si="874"/>
        <v>60</v>
      </c>
      <c r="BT69" s="1">
        <f t="shared" si="874"/>
        <v>60</v>
      </c>
      <c r="BU69" s="1">
        <f t="shared" si="874"/>
        <v>60</v>
      </c>
      <c r="BV69" s="1">
        <f t="shared" si="874"/>
        <v>60</v>
      </c>
      <c r="BW69" s="1">
        <f t="shared" si="874"/>
        <v>60</v>
      </c>
      <c r="BX69" s="55">
        <f t="shared" si="874"/>
        <v>60</v>
      </c>
      <c r="BY69" s="14">
        <f t="shared" ref="BY69" si="875">BX69</f>
        <v>60</v>
      </c>
      <c r="BZ69" s="1">
        <f t="shared" ref="BZ69" si="876">BY69</f>
        <v>60</v>
      </c>
      <c r="CA69" s="1">
        <f t="shared" ref="CA69" si="877">BZ69</f>
        <v>60</v>
      </c>
      <c r="CB69" s="1">
        <f t="shared" ref="CB69" si="878">CA69</f>
        <v>60</v>
      </c>
      <c r="CC69" s="1">
        <f t="shared" ref="CC69" si="879">CB69</f>
        <v>60</v>
      </c>
      <c r="CD69" s="1">
        <f t="shared" ref="CD69" si="880">CC69</f>
        <v>60</v>
      </c>
      <c r="CE69" s="1">
        <f t="shared" ref="CE69" si="881">CD69</f>
        <v>60</v>
      </c>
      <c r="CF69" s="1">
        <f t="shared" ref="CF69" si="882">CE69</f>
        <v>60</v>
      </c>
      <c r="CG69" s="1">
        <f t="shared" ref="CG69" si="883">CF69</f>
        <v>60</v>
      </c>
      <c r="CH69" s="1">
        <f t="shared" ref="CH69" si="884">CG69</f>
        <v>60</v>
      </c>
      <c r="CI69" s="1">
        <f t="shared" ref="CI69" si="885">CH69</f>
        <v>60</v>
      </c>
      <c r="CJ69" s="1">
        <f t="shared" ref="CJ69" si="886">CI69</f>
        <v>60</v>
      </c>
      <c r="CK69" s="1">
        <f t="shared" ref="CK69" si="887">CJ69</f>
        <v>60</v>
      </c>
      <c r="CL69" s="1">
        <f t="shared" ref="CL69" si="888">CK69</f>
        <v>60</v>
      </c>
      <c r="CM69" s="1">
        <f t="shared" ref="CM69" si="889">CL69</f>
        <v>60</v>
      </c>
      <c r="CN69" s="1">
        <f t="shared" ref="CN69" si="890">CM69</f>
        <v>60</v>
      </c>
      <c r="CO69" s="1">
        <f t="shared" ref="CO69" si="891">CN69</f>
        <v>60</v>
      </c>
      <c r="CP69" s="1">
        <f t="shared" ref="CP69" si="892">CO69</f>
        <v>60</v>
      </c>
      <c r="CQ69" s="1">
        <f t="shared" ref="CQ69" si="893">CP69</f>
        <v>60</v>
      </c>
      <c r="CR69" s="1">
        <f t="shared" ref="CR69" si="894">CQ69</f>
        <v>60</v>
      </c>
      <c r="CS69" s="1">
        <f t="shared" ref="CS69" si="895">CR69</f>
        <v>60</v>
      </c>
      <c r="CT69" s="1">
        <f t="shared" ref="CT69" si="896">CS69</f>
        <v>60</v>
      </c>
      <c r="CU69" s="1">
        <f t="shared" ref="CU69" si="897">CT69</f>
        <v>60</v>
      </c>
      <c r="CV69" s="55">
        <f t="shared" ref="CV69" si="898">CU69</f>
        <v>60</v>
      </c>
      <c r="CW69" s="14">
        <f t="shared" ref="CW69" si="899">CV69</f>
        <v>60</v>
      </c>
      <c r="CX69" s="1">
        <f t="shared" ref="CX69" si="900">CW69</f>
        <v>60</v>
      </c>
      <c r="CY69" s="1">
        <f t="shared" ref="CY69" si="901">CX69</f>
        <v>60</v>
      </c>
      <c r="CZ69" s="1">
        <f t="shared" ref="CZ69" si="902">CY69</f>
        <v>60</v>
      </c>
      <c r="DA69" s="1">
        <f t="shared" ref="DA69" si="903">CZ69</f>
        <v>60</v>
      </c>
      <c r="DB69" s="1">
        <f t="shared" ref="DB69" si="904">DA69</f>
        <v>60</v>
      </c>
      <c r="DC69" s="1">
        <f t="shared" ref="DC69" si="905">DB69</f>
        <v>60</v>
      </c>
      <c r="DD69" s="1">
        <f t="shared" ref="DD69" si="906">DC69</f>
        <v>60</v>
      </c>
      <c r="DE69" s="1">
        <f t="shared" ref="DE69" si="907">DD69</f>
        <v>60</v>
      </c>
      <c r="DF69" s="1">
        <f t="shared" ref="DF69" si="908">DE69</f>
        <v>60</v>
      </c>
      <c r="DG69" s="1">
        <f t="shared" ref="DG69" si="909">DF69</f>
        <v>60</v>
      </c>
      <c r="DH69" s="1">
        <f t="shared" ref="DH69" si="910">DG69</f>
        <v>60</v>
      </c>
      <c r="DI69" s="1">
        <f t="shared" ref="DI69" si="911">DH69</f>
        <v>60</v>
      </c>
      <c r="DJ69" s="1">
        <f t="shared" ref="DJ69" si="912">DI69</f>
        <v>60</v>
      </c>
      <c r="DK69" s="1">
        <f t="shared" ref="DK69" si="913">DJ69</f>
        <v>60</v>
      </c>
      <c r="DL69" s="1">
        <f t="shared" ref="DL69" si="914">DK69</f>
        <v>60</v>
      </c>
      <c r="DM69" s="1">
        <f t="shared" ref="DM69" si="915">DL69</f>
        <v>60</v>
      </c>
      <c r="DN69" s="1">
        <f t="shared" ref="DN69" si="916">DM69</f>
        <v>60</v>
      </c>
      <c r="DO69" s="1">
        <f t="shared" ref="DO69" si="917">DN69</f>
        <v>60</v>
      </c>
      <c r="DP69" s="1">
        <f t="shared" ref="DP69" si="918">DO69</f>
        <v>60</v>
      </c>
      <c r="DQ69" s="1">
        <f t="shared" ref="DQ69" si="919">DP69</f>
        <v>60</v>
      </c>
      <c r="DR69" s="1">
        <f t="shared" ref="DR69" si="920">DQ69</f>
        <v>60</v>
      </c>
      <c r="DS69" s="1">
        <f t="shared" ref="DS69" si="921">DR69</f>
        <v>60</v>
      </c>
      <c r="DT69" s="55">
        <f t="shared" ref="DT69" si="922">DS69</f>
        <v>60</v>
      </c>
    </row>
    <row r="70" spans="2:124" x14ac:dyDescent="0.2">
      <c r="B70" s="3" t="s">
        <v>14</v>
      </c>
      <c r="D70" s="152">
        <v>0</v>
      </c>
      <c r="E70" s="14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55">
        <v>0</v>
      </c>
      <c r="AC70" s="14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55">
        <v>0</v>
      </c>
      <c r="BA70" s="14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55">
        <v>0</v>
      </c>
      <c r="BY70" s="14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55">
        <v>0</v>
      </c>
      <c r="CW70" s="14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55">
        <v>0</v>
      </c>
    </row>
    <row r="71" spans="2:124" x14ac:dyDescent="0.2">
      <c r="B71" s="3" t="s">
        <v>15</v>
      </c>
      <c r="D71" s="145">
        <v>1</v>
      </c>
      <c r="E71" s="30">
        <v>1.06</v>
      </c>
      <c r="F71" s="31">
        <v>1.06</v>
      </c>
      <c r="G71" s="31">
        <v>1.06</v>
      </c>
      <c r="H71" s="31">
        <v>1.06</v>
      </c>
      <c r="I71" s="31">
        <v>1.06</v>
      </c>
      <c r="J71" s="31">
        <v>1.06</v>
      </c>
      <c r="K71" s="31">
        <v>1.06</v>
      </c>
      <c r="L71" s="31">
        <v>1.06</v>
      </c>
      <c r="M71" s="31">
        <v>1.06</v>
      </c>
      <c r="N71" s="31">
        <v>1.06</v>
      </c>
      <c r="O71" s="31">
        <v>1.06</v>
      </c>
      <c r="P71" s="31">
        <v>1.06</v>
      </c>
      <c r="Q71" s="31">
        <v>1.06</v>
      </c>
      <c r="R71" s="31">
        <v>1.06</v>
      </c>
      <c r="S71" s="31">
        <v>1.06</v>
      </c>
      <c r="T71" s="31">
        <v>1.06</v>
      </c>
      <c r="U71" s="31">
        <v>1.06</v>
      </c>
      <c r="V71" s="31">
        <v>1.06</v>
      </c>
      <c r="W71" s="31">
        <v>1.06</v>
      </c>
      <c r="X71" s="31">
        <v>1.06</v>
      </c>
      <c r="Y71" s="31">
        <v>1.06</v>
      </c>
      <c r="Z71" s="31">
        <v>1.06</v>
      </c>
      <c r="AA71" s="31">
        <v>1.06</v>
      </c>
      <c r="AB71" s="62">
        <v>1.06</v>
      </c>
      <c r="AC71" s="30">
        <v>1.06</v>
      </c>
      <c r="AD71" s="31">
        <v>1.06</v>
      </c>
      <c r="AE71" s="31">
        <v>1.06</v>
      </c>
      <c r="AF71" s="31">
        <v>1.06</v>
      </c>
      <c r="AG71" s="31">
        <v>1.06</v>
      </c>
      <c r="AH71" s="31">
        <v>1.06</v>
      </c>
      <c r="AI71" s="31">
        <v>1.06</v>
      </c>
      <c r="AJ71" s="31">
        <v>1.06</v>
      </c>
      <c r="AK71" s="31">
        <v>1.06</v>
      </c>
      <c r="AL71" s="31">
        <v>1.06</v>
      </c>
      <c r="AM71" s="31">
        <v>1.06</v>
      </c>
      <c r="AN71" s="31">
        <v>1.06</v>
      </c>
      <c r="AO71" s="31">
        <v>1.06</v>
      </c>
      <c r="AP71" s="31">
        <v>1.06</v>
      </c>
      <c r="AQ71" s="31">
        <v>1.06</v>
      </c>
      <c r="AR71" s="31">
        <v>1.06</v>
      </c>
      <c r="AS71" s="31">
        <v>1.06</v>
      </c>
      <c r="AT71" s="31">
        <v>1.06</v>
      </c>
      <c r="AU71" s="31">
        <v>1.06</v>
      </c>
      <c r="AV71" s="31">
        <v>1.06</v>
      </c>
      <c r="AW71" s="31">
        <v>1.06</v>
      </c>
      <c r="AX71" s="31">
        <v>1.06</v>
      </c>
      <c r="AY71" s="31">
        <v>1.06</v>
      </c>
      <c r="AZ71" s="62">
        <v>1.06</v>
      </c>
      <c r="BA71" s="30">
        <v>1.06</v>
      </c>
      <c r="BB71" s="31">
        <v>1.06</v>
      </c>
      <c r="BC71" s="31">
        <v>1.06</v>
      </c>
      <c r="BD71" s="31">
        <v>1.06</v>
      </c>
      <c r="BE71" s="31">
        <v>1.06</v>
      </c>
      <c r="BF71" s="31">
        <v>1.06</v>
      </c>
      <c r="BG71" s="31">
        <v>1.06</v>
      </c>
      <c r="BH71" s="31">
        <v>1.06</v>
      </c>
      <c r="BI71" s="31">
        <v>1.06</v>
      </c>
      <c r="BJ71" s="31">
        <v>1.06</v>
      </c>
      <c r="BK71" s="31">
        <v>1.06</v>
      </c>
      <c r="BL71" s="31">
        <v>1.06</v>
      </c>
      <c r="BM71" s="31">
        <v>1.06</v>
      </c>
      <c r="BN71" s="31">
        <v>1.06</v>
      </c>
      <c r="BO71" s="31">
        <v>1.06</v>
      </c>
      <c r="BP71" s="31">
        <v>1.06</v>
      </c>
      <c r="BQ71" s="31">
        <v>1.06</v>
      </c>
      <c r="BR71" s="31">
        <v>1.06</v>
      </c>
      <c r="BS71" s="31">
        <v>1.06</v>
      </c>
      <c r="BT71" s="31">
        <v>1.06</v>
      </c>
      <c r="BU71" s="31">
        <v>1.06</v>
      </c>
      <c r="BV71" s="31">
        <v>1.06</v>
      </c>
      <c r="BW71" s="31">
        <v>1.06</v>
      </c>
      <c r="BX71" s="62">
        <v>1.06</v>
      </c>
      <c r="BY71" s="30">
        <v>1.06</v>
      </c>
      <c r="BZ71" s="31">
        <v>1.06</v>
      </c>
      <c r="CA71" s="31">
        <v>1.06</v>
      </c>
      <c r="CB71" s="31">
        <v>1.06</v>
      </c>
      <c r="CC71" s="31">
        <v>1.06</v>
      </c>
      <c r="CD71" s="31">
        <v>1.06</v>
      </c>
      <c r="CE71" s="31">
        <v>1.06</v>
      </c>
      <c r="CF71" s="31">
        <v>1.06</v>
      </c>
      <c r="CG71" s="31">
        <v>1.06</v>
      </c>
      <c r="CH71" s="31">
        <v>1.06</v>
      </c>
      <c r="CI71" s="31">
        <v>1.06</v>
      </c>
      <c r="CJ71" s="31">
        <v>1.06</v>
      </c>
      <c r="CK71" s="31">
        <v>1.06</v>
      </c>
      <c r="CL71" s="31">
        <v>1.06</v>
      </c>
      <c r="CM71" s="31">
        <v>1.06</v>
      </c>
      <c r="CN71" s="31">
        <v>1.06</v>
      </c>
      <c r="CO71" s="31">
        <v>1.06</v>
      </c>
      <c r="CP71" s="31">
        <v>1.06</v>
      </c>
      <c r="CQ71" s="31">
        <v>1.06</v>
      </c>
      <c r="CR71" s="31">
        <v>1.06</v>
      </c>
      <c r="CS71" s="31">
        <v>1.06</v>
      </c>
      <c r="CT71" s="31">
        <v>1.06</v>
      </c>
      <c r="CU71" s="31">
        <v>1.06</v>
      </c>
      <c r="CV71" s="62">
        <v>1.06</v>
      </c>
      <c r="CW71" s="30">
        <v>1.06</v>
      </c>
      <c r="CX71" s="31">
        <v>1.06</v>
      </c>
      <c r="CY71" s="31">
        <v>1.06</v>
      </c>
      <c r="CZ71" s="31">
        <v>1.06</v>
      </c>
      <c r="DA71" s="31">
        <v>1.06</v>
      </c>
      <c r="DB71" s="31">
        <v>1.06</v>
      </c>
      <c r="DC71" s="31">
        <v>1.06</v>
      </c>
      <c r="DD71" s="31">
        <v>1.06</v>
      </c>
      <c r="DE71" s="31">
        <v>1.06</v>
      </c>
      <c r="DF71" s="31">
        <v>1.06</v>
      </c>
      <c r="DG71" s="31">
        <v>1.06</v>
      </c>
      <c r="DH71" s="31">
        <v>1.06</v>
      </c>
      <c r="DI71" s="31">
        <v>1.06</v>
      </c>
      <c r="DJ71" s="31">
        <v>1.06</v>
      </c>
      <c r="DK71" s="31">
        <v>1.06</v>
      </c>
      <c r="DL71" s="31">
        <v>1.06</v>
      </c>
      <c r="DM71" s="31">
        <v>1.06</v>
      </c>
      <c r="DN71" s="31">
        <v>1.06</v>
      </c>
      <c r="DO71" s="31">
        <v>1.06</v>
      </c>
      <c r="DP71" s="31">
        <v>1.06</v>
      </c>
      <c r="DQ71" s="31">
        <v>1.06</v>
      </c>
      <c r="DR71" s="31">
        <v>1.06</v>
      </c>
      <c r="DS71" s="31">
        <v>1.06</v>
      </c>
      <c r="DT71" s="62">
        <v>1.06</v>
      </c>
    </row>
    <row r="72" spans="2:124" x14ac:dyDescent="0.2">
      <c r="B72" s="133" t="s">
        <v>44</v>
      </c>
      <c r="D72" s="145">
        <v>55</v>
      </c>
      <c r="E72" s="25">
        <f t="shared" ref="E72:J72" si="923">D72-D73+(E70+(E69*E71)+IF(E92="BAB",E69,0))</f>
        <v>118.6</v>
      </c>
      <c r="F72" s="25">
        <f>E72-E73+(F70+(F69*F71)+IF(F92="BAB",F69,0))</f>
        <v>182.2</v>
      </c>
      <c r="G72" s="25">
        <f t="shared" si="923"/>
        <v>245.79999999999998</v>
      </c>
      <c r="H72" s="25">
        <f t="shared" si="923"/>
        <v>309.39999999999998</v>
      </c>
      <c r="I72" s="25">
        <f t="shared" si="923"/>
        <v>373</v>
      </c>
      <c r="J72" s="25">
        <f t="shared" si="923"/>
        <v>118.6</v>
      </c>
      <c r="K72" s="25">
        <f>J72-J73+(K70+(K69*K71)+IF(K92="BAB",K69,0))</f>
        <v>242.2</v>
      </c>
      <c r="L72" s="25">
        <f t="shared" ref="L72:BW72" si="924">K72-K73+(L70+(L69*L71)+IF(L92="BAB",L69,0))</f>
        <v>305.8</v>
      </c>
      <c r="M72" s="25">
        <f t="shared" si="924"/>
        <v>118.6</v>
      </c>
      <c r="N72" s="25">
        <f t="shared" si="924"/>
        <v>182.2</v>
      </c>
      <c r="O72" s="25">
        <f t="shared" si="924"/>
        <v>245.79999999999998</v>
      </c>
      <c r="P72" s="25">
        <f t="shared" si="924"/>
        <v>309.39999999999998</v>
      </c>
      <c r="Q72" s="25">
        <f t="shared" si="924"/>
        <v>118.6</v>
      </c>
      <c r="R72" s="25">
        <f t="shared" si="924"/>
        <v>182.2</v>
      </c>
      <c r="S72" s="25">
        <f t="shared" si="924"/>
        <v>245.79999999999998</v>
      </c>
      <c r="T72" s="25">
        <f t="shared" si="924"/>
        <v>309.39999999999998</v>
      </c>
      <c r="U72" s="25">
        <f t="shared" si="924"/>
        <v>118.6</v>
      </c>
      <c r="V72" s="25">
        <f t="shared" si="924"/>
        <v>182.2</v>
      </c>
      <c r="W72" s="25">
        <f t="shared" si="924"/>
        <v>245.79999999999998</v>
      </c>
      <c r="X72" s="25">
        <f t="shared" si="924"/>
        <v>309.39999999999998</v>
      </c>
      <c r="Y72" s="25">
        <f t="shared" si="924"/>
        <v>118.6</v>
      </c>
      <c r="Z72" s="25">
        <f t="shared" si="924"/>
        <v>182.2</v>
      </c>
      <c r="AA72" s="25">
        <f t="shared" si="924"/>
        <v>245.79999999999998</v>
      </c>
      <c r="AB72" s="57">
        <f t="shared" si="924"/>
        <v>309.39999999999998</v>
      </c>
      <c r="AC72" s="19">
        <f t="shared" si="924"/>
        <v>373</v>
      </c>
      <c r="AD72" s="25">
        <f t="shared" si="924"/>
        <v>436.6</v>
      </c>
      <c r="AE72" s="25">
        <f t="shared" si="924"/>
        <v>500.20000000000005</v>
      </c>
      <c r="AF72" s="25">
        <f t="shared" si="924"/>
        <v>563.80000000000007</v>
      </c>
      <c r="AG72" s="25">
        <f t="shared" si="924"/>
        <v>627.40000000000009</v>
      </c>
      <c r="AH72" s="25">
        <f t="shared" si="924"/>
        <v>691.00000000000011</v>
      </c>
      <c r="AI72" s="25">
        <f t="shared" si="924"/>
        <v>754.60000000000014</v>
      </c>
      <c r="AJ72" s="25">
        <f t="shared" si="924"/>
        <v>818.20000000000016</v>
      </c>
      <c r="AK72" s="25">
        <f t="shared" si="924"/>
        <v>881.80000000000018</v>
      </c>
      <c r="AL72" s="25">
        <f t="shared" si="924"/>
        <v>945.4000000000002</v>
      </c>
      <c r="AM72" s="25">
        <f t="shared" si="924"/>
        <v>1009.0000000000002</v>
      </c>
      <c r="AN72" s="25">
        <f t="shared" si="924"/>
        <v>1072.6000000000001</v>
      </c>
      <c r="AO72" s="25">
        <f t="shared" si="924"/>
        <v>1136.2</v>
      </c>
      <c r="AP72" s="25">
        <f t="shared" si="924"/>
        <v>1199.8</v>
      </c>
      <c r="AQ72" s="25">
        <f t="shared" si="924"/>
        <v>1263.3999999999999</v>
      </c>
      <c r="AR72" s="25">
        <f t="shared" si="924"/>
        <v>1326.9999999999998</v>
      </c>
      <c r="AS72" s="25">
        <f t="shared" si="924"/>
        <v>1390.5999999999997</v>
      </c>
      <c r="AT72" s="25">
        <f t="shared" si="924"/>
        <v>1454.1999999999996</v>
      </c>
      <c r="AU72" s="25">
        <f t="shared" si="924"/>
        <v>1517.7999999999995</v>
      </c>
      <c r="AV72" s="25">
        <f t="shared" si="924"/>
        <v>1581.3999999999994</v>
      </c>
      <c r="AW72" s="25">
        <f t="shared" si="924"/>
        <v>1644.9999999999993</v>
      </c>
      <c r="AX72" s="25">
        <f t="shared" si="924"/>
        <v>1708.5999999999992</v>
      </c>
      <c r="AY72" s="25">
        <f t="shared" si="924"/>
        <v>1772.1999999999991</v>
      </c>
      <c r="AZ72" s="57">
        <f t="shared" si="924"/>
        <v>1835.799999999999</v>
      </c>
      <c r="BA72" s="19">
        <f t="shared" si="924"/>
        <v>1899.399999999999</v>
      </c>
      <c r="BB72" s="25">
        <f t="shared" si="924"/>
        <v>1962.9999999999989</v>
      </c>
      <c r="BC72" s="25">
        <f t="shared" si="924"/>
        <v>2026.5999999999988</v>
      </c>
      <c r="BD72" s="25">
        <f t="shared" si="924"/>
        <v>2090.1999999999989</v>
      </c>
      <c r="BE72" s="25">
        <f t="shared" si="924"/>
        <v>2153.7999999999988</v>
      </c>
      <c r="BF72" s="25">
        <f t="shared" si="924"/>
        <v>178.6</v>
      </c>
      <c r="BG72" s="25">
        <f t="shared" si="924"/>
        <v>242.2</v>
      </c>
      <c r="BH72" s="25">
        <f t="shared" si="924"/>
        <v>305.8</v>
      </c>
      <c r="BI72" s="25">
        <f t="shared" si="924"/>
        <v>118.6</v>
      </c>
      <c r="BJ72" s="25">
        <f t="shared" si="924"/>
        <v>182.2</v>
      </c>
      <c r="BK72" s="25">
        <f t="shared" si="924"/>
        <v>245.79999999999998</v>
      </c>
      <c r="BL72" s="25">
        <f t="shared" si="924"/>
        <v>309.39999999999998</v>
      </c>
      <c r="BM72" s="25">
        <f t="shared" si="924"/>
        <v>118.6</v>
      </c>
      <c r="BN72" s="25">
        <f t="shared" si="924"/>
        <v>182.2</v>
      </c>
      <c r="BO72" s="25">
        <f t="shared" si="924"/>
        <v>245.79999999999998</v>
      </c>
      <c r="BP72" s="25">
        <f t="shared" si="924"/>
        <v>309.39999999999998</v>
      </c>
      <c r="BQ72" s="25">
        <f t="shared" si="924"/>
        <v>118.6</v>
      </c>
      <c r="BR72" s="25">
        <f t="shared" si="924"/>
        <v>182.2</v>
      </c>
      <c r="BS72" s="25">
        <f t="shared" si="924"/>
        <v>245.79999999999998</v>
      </c>
      <c r="BT72" s="25">
        <f t="shared" si="924"/>
        <v>309.39999999999998</v>
      </c>
      <c r="BU72" s="25">
        <f t="shared" si="924"/>
        <v>118.6</v>
      </c>
      <c r="BV72" s="25">
        <f t="shared" si="924"/>
        <v>182.2</v>
      </c>
      <c r="BW72" s="25">
        <f t="shared" si="924"/>
        <v>245.79999999999998</v>
      </c>
      <c r="BX72" s="57">
        <f t="shared" ref="BX72:DT72" si="925">BW72-BW73+(BX70+(BX69*BX71)+IF(BX92="BAB",BX69,0))</f>
        <v>309.39999999999998</v>
      </c>
      <c r="BY72" s="19">
        <f t="shared" si="925"/>
        <v>373</v>
      </c>
      <c r="BZ72" s="25">
        <f t="shared" si="925"/>
        <v>436.6</v>
      </c>
      <c r="CA72" s="25">
        <f t="shared" si="925"/>
        <v>500.20000000000005</v>
      </c>
      <c r="CB72" s="25">
        <f t="shared" si="925"/>
        <v>563.80000000000007</v>
      </c>
      <c r="CC72" s="25">
        <f t="shared" si="925"/>
        <v>627.40000000000009</v>
      </c>
      <c r="CD72" s="25">
        <f t="shared" si="925"/>
        <v>178.6</v>
      </c>
      <c r="CE72" s="25">
        <f t="shared" si="925"/>
        <v>242.2</v>
      </c>
      <c r="CF72" s="25">
        <f t="shared" si="925"/>
        <v>305.8</v>
      </c>
      <c r="CG72" s="25">
        <f t="shared" si="925"/>
        <v>118.6</v>
      </c>
      <c r="CH72" s="25">
        <f t="shared" si="925"/>
        <v>182.2</v>
      </c>
      <c r="CI72" s="25">
        <f t="shared" si="925"/>
        <v>245.79999999999998</v>
      </c>
      <c r="CJ72" s="25">
        <f t="shared" si="925"/>
        <v>309.39999999999998</v>
      </c>
      <c r="CK72" s="25">
        <f t="shared" si="925"/>
        <v>118.6</v>
      </c>
      <c r="CL72" s="25">
        <f t="shared" si="925"/>
        <v>182.2</v>
      </c>
      <c r="CM72" s="25">
        <f t="shared" si="925"/>
        <v>245.79999999999998</v>
      </c>
      <c r="CN72" s="25">
        <f t="shared" si="925"/>
        <v>309.39999999999998</v>
      </c>
      <c r="CO72" s="25">
        <f t="shared" si="925"/>
        <v>118.6</v>
      </c>
      <c r="CP72" s="25">
        <f t="shared" si="925"/>
        <v>182.2</v>
      </c>
      <c r="CQ72" s="25">
        <f t="shared" si="925"/>
        <v>245.79999999999998</v>
      </c>
      <c r="CR72" s="25">
        <f t="shared" si="925"/>
        <v>309.39999999999998</v>
      </c>
      <c r="CS72" s="25">
        <f t="shared" si="925"/>
        <v>118.6</v>
      </c>
      <c r="CT72" s="25">
        <f t="shared" si="925"/>
        <v>182.2</v>
      </c>
      <c r="CU72" s="25">
        <f t="shared" si="925"/>
        <v>245.79999999999998</v>
      </c>
      <c r="CV72" s="57">
        <f t="shared" si="925"/>
        <v>309.39999999999998</v>
      </c>
      <c r="CW72" s="19">
        <f t="shared" si="925"/>
        <v>373</v>
      </c>
      <c r="CX72" s="25">
        <f t="shared" si="925"/>
        <v>436.6</v>
      </c>
      <c r="CY72" s="25">
        <f t="shared" si="925"/>
        <v>500.20000000000005</v>
      </c>
      <c r="CZ72" s="25">
        <f t="shared" si="925"/>
        <v>563.80000000000007</v>
      </c>
      <c r="DA72" s="25">
        <f t="shared" si="925"/>
        <v>627.40000000000009</v>
      </c>
      <c r="DB72" s="25">
        <f t="shared" si="925"/>
        <v>178.6</v>
      </c>
      <c r="DC72" s="25">
        <f t="shared" si="925"/>
        <v>242.2</v>
      </c>
      <c r="DD72" s="25">
        <f t="shared" si="925"/>
        <v>305.8</v>
      </c>
      <c r="DE72" s="25">
        <f t="shared" si="925"/>
        <v>118.6</v>
      </c>
      <c r="DF72" s="25">
        <f t="shared" si="925"/>
        <v>182.2</v>
      </c>
      <c r="DG72" s="25">
        <f t="shared" si="925"/>
        <v>245.79999999999998</v>
      </c>
      <c r="DH72" s="25">
        <f t="shared" si="925"/>
        <v>309.39999999999998</v>
      </c>
      <c r="DI72" s="25">
        <f t="shared" si="925"/>
        <v>118.6</v>
      </c>
      <c r="DJ72" s="25">
        <f t="shared" si="925"/>
        <v>182.2</v>
      </c>
      <c r="DK72" s="25">
        <f t="shared" si="925"/>
        <v>245.79999999999998</v>
      </c>
      <c r="DL72" s="25">
        <f t="shared" si="925"/>
        <v>309.39999999999998</v>
      </c>
      <c r="DM72" s="25">
        <f t="shared" si="925"/>
        <v>118.6</v>
      </c>
      <c r="DN72" s="25">
        <f t="shared" si="925"/>
        <v>182.2</v>
      </c>
      <c r="DO72" s="25">
        <f t="shared" si="925"/>
        <v>245.79999999999998</v>
      </c>
      <c r="DP72" s="25">
        <f t="shared" si="925"/>
        <v>309.39999999999998</v>
      </c>
      <c r="DQ72" s="25">
        <f t="shared" si="925"/>
        <v>118.6</v>
      </c>
      <c r="DR72" s="25">
        <f t="shared" si="925"/>
        <v>182.2</v>
      </c>
      <c r="DS72" s="25">
        <f t="shared" si="925"/>
        <v>245.79999999999998</v>
      </c>
      <c r="DT72" s="57">
        <f t="shared" si="925"/>
        <v>309.39999999999998</v>
      </c>
    </row>
    <row r="73" spans="2:124" x14ac:dyDescent="0.2">
      <c r="B73" s="133" t="s">
        <v>45</v>
      </c>
      <c r="D73" s="145">
        <f t="shared" ref="D73:AI73" si="926">IF(C41="B",IF(D72&gt;=275,D72-D74,0),0)</f>
        <v>0</v>
      </c>
      <c r="E73" s="31">
        <f t="shared" si="926"/>
        <v>0</v>
      </c>
      <c r="F73" s="31">
        <f t="shared" si="926"/>
        <v>0</v>
      </c>
      <c r="G73" s="31">
        <f t="shared" si="926"/>
        <v>0</v>
      </c>
      <c r="H73" s="31">
        <f t="shared" si="926"/>
        <v>0</v>
      </c>
      <c r="I73" s="31">
        <f t="shared" si="926"/>
        <v>318</v>
      </c>
      <c r="J73" s="31">
        <f t="shared" si="926"/>
        <v>0</v>
      </c>
      <c r="K73" s="25">
        <f t="shared" si="926"/>
        <v>0</v>
      </c>
      <c r="L73" s="25">
        <f t="shared" si="926"/>
        <v>250.8</v>
      </c>
      <c r="M73" s="25">
        <f t="shared" si="926"/>
        <v>0</v>
      </c>
      <c r="N73" s="25">
        <f t="shared" si="926"/>
        <v>0</v>
      </c>
      <c r="O73" s="25">
        <f t="shared" si="926"/>
        <v>0</v>
      </c>
      <c r="P73" s="25">
        <f t="shared" si="926"/>
        <v>254.39999999999998</v>
      </c>
      <c r="Q73" s="25">
        <f t="shared" si="926"/>
        <v>0</v>
      </c>
      <c r="R73" s="25">
        <f t="shared" si="926"/>
        <v>0</v>
      </c>
      <c r="S73" s="25">
        <f t="shared" si="926"/>
        <v>0</v>
      </c>
      <c r="T73" s="25">
        <f t="shared" si="926"/>
        <v>254.39999999999998</v>
      </c>
      <c r="U73" s="25">
        <f t="shared" si="926"/>
        <v>0</v>
      </c>
      <c r="V73" s="25">
        <f t="shared" si="926"/>
        <v>0</v>
      </c>
      <c r="W73" s="25">
        <f t="shared" si="926"/>
        <v>0</v>
      </c>
      <c r="X73" s="25">
        <f t="shared" si="926"/>
        <v>254.39999999999998</v>
      </c>
      <c r="Y73" s="25">
        <f t="shared" si="926"/>
        <v>0</v>
      </c>
      <c r="Z73" s="25">
        <f t="shared" si="926"/>
        <v>0</v>
      </c>
      <c r="AA73" s="25">
        <f t="shared" si="926"/>
        <v>0</v>
      </c>
      <c r="AB73" s="57">
        <f t="shared" si="926"/>
        <v>0</v>
      </c>
      <c r="AC73" s="19">
        <f t="shared" si="926"/>
        <v>0</v>
      </c>
      <c r="AD73" s="25">
        <f t="shared" si="926"/>
        <v>0</v>
      </c>
      <c r="AE73" s="25">
        <f t="shared" si="926"/>
        <v>0</v>
      </c>
      <c r="AF73" s="25">
        <f t="shared" si="926"/>
        <v>0</v>
      </c>
      <c r="AG73" s="25">
        <f t="shared" si="926"/>
        <v>0</v>
      </c>
      <c r="AH73" s="25">
        <f t="shared" si="926"/>
        <v>0</v>
      </c>
      <c r="AI73" s="25">
        <f t="shared" si="926"/>
        <v>0</v>
      </c>
      <c r="AJ73" s="25">
        <f t="shared" ref="AJ73:BO73" si="927">IF(AI41="B",IF(AJ72&gt;=275,AJ72-AJ74,0),0)</f>
        <v>0</v>
      </c>
      <c r="AK73" s="25">
        <f t="shared" si="927"/>
        <v>0</v>
      </c>
      <c r="AL73" s="25">
        <f t="shared" si="927"/>
        <v>0</v>
      </c>
      <c r="AM73" s="25">
        <f t="shared" si="927"/>
        <v>0</v>
      </c>
      <c r="AN73" s="25">
        <f t="shared" si="927"/>
        <v>0</v>
      </c>
      <c r="AO73" s="25">
        <f t="shared" si="927"/>
        <v>0</v>
      </c>
      <c r="AP73" s="25">
        <f t="shared" si="927"/>
        <v>0</v>
      </c>
      <c r="AQ73" s="25">
        <f t="shared" si="927"/>
        <v>0</v>
      </c>
      <c r="AR73" s="25">
        <f t="shared" si="927"/>
        <v>0</v>
      </c>
      <c r="AS73" s="25">
        <f t="shared" si="927"/>
        <v>0</v>
      </c>
      <c r="AT73" s="25">
        <f t="shared" si="927"/>
        <v>0</v>
      </c>
      <c r="AU73" s="25">
        <f t="shared" si="927"/>
        <v>0</v>
      </c>
      <c r="AV73" s="25">
        <f t="shared" si="927"/>
        <v>0</v>
      </c>
      <c r="AW73" s="25">
        <f t="shared" si="927"/>
        <v>0</v>
      </c>
      <c r="AX73" s="25">
        <f t="shared" si="927"/>
        <v>0</v>
      </c>
      <c r="AY73" s="25">
        <f t="shared" si="927"/>
        <v>0</v>
      </c>
      <c r="AZ73" s="57">
        <f t="shared" si="927"/>
        <v>0</v>
      </c>
      <c r="BA73" s="19">
        <f t="shared" si="927"/>
        <v>0</v>
      </c>
      <c r="BB73" s="25">
        <f t="shared" si="927"/>
        <v>0</v>
      </c>
      <c r="BC73" s="25">
        <f t="shared" si="927"/>
        <v>0</v>
      </c>
      <c r="BD73" s="25">
        <f t="shared" si="927"/>
        <v>0</v>
      </c>
      <c r="BE73" s="25">
        <f t="shared" si="927"/>
        <v>2098.7999999999988</v>
      </c>
      <c r="BF73" s="25">
        <f t="shared" si="927"/>
        <v>0</v>
      </c>
      <c r="BG73" s="25">
        <f t="shared" si="927"/>
        <v>0</v>
      </c>
      <c r="BH73" s="25">
        <f t="shared" si="927"/>
        <v>250.8</v>
      </c>
      <c r="BI73" s="25">
        <f t="shared" si="927"/>
        <v>0</v>
      </c>
      <c r="BJ73" s="25">
        <f t="shared" si="927"/>
        <v>0</v>
      </c>
      <c r="BK73" s="25">
        <f t="shared" si="927"/>
        <v>0</v>
      </c>
      <c r="BL73" s="25">
        <f t="shared" si="927"/>
        <v>254.39999999999998</v>
      </c>
      <c r="BM73" s="25">
        <f t="shared" si="927"/>
        <v>0</v>
      </c>
      <c r="BN73" s="25">
        <f t="shared" si="927"/>
        <v>0</v>
      </c>
      <c r="BO73" s="25">
        <f t="shared" si="927"/>
        <v>0</v>
      </c>
      <c r="BP73" s="25">
        <f t="shared" ref="BP73:CU73" si="928">IF(BO41="B",IF(BP72&gt;=275,BP72-BP74,0),0)</f>
        <v>254.39999999999998</v>
      </c>
      <c r="BQ73" s="25">
        <f t="shared" si="928"/>
        <v>0</v>
      </c>
      <c r="BR73" s="25">
        <f t="shared" si="928"/>
        <v>0</v>
      </c>
      <c r="BS73" s="25">
        <f t="shared" si="928"/>
        <v>0</v>
      </c>
      <c r="BT73" s="25">
        <f t="shared" si="928"/>
        <v>254.39999999999998</v>
      </c>
      <c r="BU73" s="25">
        <f t="shared" si="928"/>
        <v>0</v>
      </c>
      <c r="BV73" s="25">
        <f t="shared" si="928"/>
        <v>0</v>
      </c>
      <c r="BW73" s="25">
        <f t="shared" si="928"/>
        <v>0</v>
      </c>
      <c r="BX73" s="57">
        <f t="shared" si="928"/>
        <v>0</v>
      </c>
      <c r="BY73" s="19">
        <f t="shared" si="928"/>
        <v>0</v>
      </c>
      <c r="BZ73" s="25">
        <f t="shared" si="928"/>
        <v>0</v>
      </c>
      <c r="CA73" s="25">
        <f t="shared" si="928"/>
        <v>0</v>
      </c>
      <c r="CB73" s="25">
        <f t="shared" si="928"/>
        <v>0</v>
      </c>
      <c r="CC73" s="25">
        <f t="shared" si="928"/>
        <v>572.40000000000009</v>
      </c>
      <c r="CD73" s="25">
        <f t="shared" si="928"/>
        <v>0</v>
      </c>
      <c r="CE73" s="25">
        <f t="shared" si="928"/>
        <v>0</v>
      </c>
      <c r="CF73" s="25">
        <f t="shared" si="928"/>
        <v>250.8</v>
      </c>
      <c r="CG73" s="25">
        <f t="shared" si="928"/>
        <v>0</v>
      </c>
      <c r="CH73" s="25">
        <f t="shared" si="928"/>
        <v>0</v>
      </c>
      <c r="CI73" s="25">
        <f t="shared" si="928"/>
        <v>0</v>
      </c>
      <c r="CJ73" s="25">
        <f t="shared" si="928"/>
        <v>254.39999999999998</v>
      </c>
      <c r="CK73" s="25">
        <f t="shared" si="928"/>
        <v>0</v>
      </c>
      <c r="CL73" s="25">
        <f t="shared" si="928"/>
        <v>0</v>
      </c>
      <c r="CM73" s="25">
        <f t="shared" si="928"/>
        <v>0</v>
      </c>
      <c r="CN73" s="25">
        <f t="shared" si="928"/>
        <v>254.39999999999998</v>
      </c>
      <c r="CO73" s="25">
        <f t="shared" si="928"/>
        <v>0</v>
      </c>
      <c r="CP73" s="25">
        <f t="shared" si="928"/>
        <v>0</v>
      </c>
      <c r="CQ73" s="25">
        <f t="shared" si="928"/>
        <v>0</v>
      </c>
      <c r="CR73" s="25">
        <f t="shared" si="928"/>
        <v>254.39999999999998</v>
      </c>
      <c r="CS73" s="25">
        <f t="shared" si="928"/>
        <v>0</v>
      </c>
      <c r="CT73" s="25">
        <f t="shared" si="928"/>
        <v>0</v>
      </c>
      <c r="CU73" s="25">
        <f t="shared" si="928"/>
        <v>0</v>
      </c>
      <c r="CV73" s="57">
        <f t="shared" ref="CV73:DT73" si="929">IF(CU41="B",IF(CV72&gt;=275,CV72-CV74,0),0)</f>
        <v>0</v>
      </c>
      <c r="CW73" s="19">
        <f t="shared" si="929"/>
        <v>0</v>
      </c>
      <c r="CX73" s="25">
        <f t="shared" si="929"/>
        <v>0</v>
      </c>
      <c r="CY73" s="25">
        <f t="shared" si="929"/>
        <v>0</v>
      </c>
      <c r="CZ73" s="25">
        <f t="shared" si="929"/>
        <v>0</v>
      </c>
      <c r="DA73" s="25">
        <f t="shared" si="929"/>
        <v>572.40000000000009</v>
      </c>
      <c r="DB73" s="25">
        <f t="shared" si="929"/>
        <v>0</v>
      </c>
      <c r="DC73" s="25">
        <f t="shared" si="929"/>
        <v>0</v>
      </c>
      <c r="DD73" s="25">
        <f t="shared" si="929"/>
        <v>250.8</v>
      </c>
      <c r="DE73" s="25">
        <f t="shared" si="929"/>
        <v>0</v>
      </c>
      <c r="DF73" s="25">
        <f t="shared" si="929"/>
        <v>0</v>
      </c>
      <c r="DG73" s="25">
        <f t="shared" si="929"/>
        <v>0</v>
      </c>
      <c r="DH73" s="25">
        <f t="shared" si="929"/>
        <v>254.39999999999998</v>
      </c>
      <c r="DI73" s="25">
        <f t="shared" si="929"/>
        <v>0</v>
      </c>
      <c r="DJ73" s="25">
        <f t="shared" si="929"/>
        <v>0</v>
      </c>
      <c r="DK73" s="25">
        <f t="shared" si="929"/>
        <v>0</v>
      </c>
      <c r="DL73" s="25">
        <f t="shared" si="929"/>
        <v>254.39999999999998</v>
      </c>
      <c r="DM73" s="25">
        <f t="shared" si="929"/>
        <v>0</v>
      </c>
      <c r="DN73" s="25">
        <f t="shared" si="929"/>
        <v>0</v>
      </c>
      <c r="DO73" s="25">
        <f t="shared" si="929"/>
        <v>0</v>
      </c>
      <c r="DP73" s="25">
        <f t="shared" si="929"/>
        <v>254.39999999999998</v>
      </c>
      <c r="DQ73" s="25">
        <f t="shared" si="929"/>
        <v>0</v>
      </c>
      <c r="DR73" s="25">
        <f t="shared" si="929"/>
        <v>0</v>
      </c>
      <c r="DS73" s="25">
        <f t="shared" si="929"/>
        <v>0</v>
      </c>
      <c r="DT73" s="57">
        <f t="shared" si="929"/>
        <v>0</v>
      </c>
    </row>
    <row r="74" spans="2:124" x14ac:dyDescent="0.2">
      <c r="B74" s="133" t="s">
        <v>46</v>
      </c>
      <c r="D74" s="145">
        <v>55</v>
      </c>
      <c r="E74" s="25">
        <v>55</v>
      </c>
      <c r="F74" s="25">
        <v>55</v>
      </c>
      <c r="G74" s="25">
        <v>55</v>
      </c>
      <c r="H74" s="25">
        <v>55</v>
      </c>
      <c r="I74" s="25">
        <v>55</v>
      </c>
      <c r="J74" s="25">
        <v>55</v>
      </c>
      <c r="K74" s="25">
        <v>55</v>
      </c>
      <c r="L74" s="25">
        <v>55</v>
      </c>
      <c r="M74" s="25">
        <v>55</v>
      </c>
      <c r="N74" s="25">
        <v>55</v>
      </c>
      <c r="O74" s="25">
        <v>55</v>
      </c>
      <c r="P74" s="25">
        <v>55</v>
      </c>
      <c r="Q74" s="25">
        <v>55</v>
      </c>
      <c r="R74" s="25">
        <v>55</v>
      </c>
      <c r="S74" s="25">
        <v>55</v>
      </c>
      <c r="T74" s="25">
        <v>55</v>
      </c>
      <c r="U74" s="25">
        <v>55</v>
      </c>
      <c r="V74" s="25">
        <v>55</v>
      </c>
      <c r="W74" s="25">
        <v>55</v>
      </c>
      <c r="X74" s="25">
        <v>55</v>
      </c>
      <c r="Y74" s="25">
        <v>55</v>
      </c>
      <c r="Z74" s="25">
        <v>55</v>
      </c>
      <c r="AA74" s="25">
        <v>55</v>
      </c>
      <c r="AB74" s="57">
        <v>55</v>
      </c>
      <c r="AC74" s="19">
        <v>55</v>
      </c>
      <c r="AD74" s="25">
        <v>55</v>
      </c>
      <c r="AE74" s="25">
        <v>55</v>
      </c>
      <c r="AF74" s="25">
        <v>55</v>
      </c>
      <c r="AG74" s="25">
        <v>55</v>
      </c>
      <c r="AH74" s="25">
        <v>55</v>
      </c>
      <c r="AI74" s="25">
        <v>55</v>
      </c>
      <c r="AJ74" s="25">
        <v>55</v>
      </c>
      <c r="AK74" s="25">
        <v>55</v>
      </c>
      <c r="AL74" s="25">
        <v>55</v>
      </c>
      <c r="AM74" s="25">
        <v>55</v>
      </c>
      <c r="AN74" s="25">
        <v>55</v>
      </c>
      <c r="AO74" s="25">
        <v>55</v>
      </c>
      <c r="AP74" s="25">
        <v>55</v>
      </c>
      <c r="AQ74" s="25">
        <v>55</v>
      </c>
      <c r="AR74" s="25">
        <v>55</v>
      </c>
      <c r="AS74" s="25">
        <v>55</v>
      </c>
      <c r="AT74" s="25">
        <v>55</v>
      </c>
      <c r="AU74" s="25">
        <v>55</v>
      </c>
      <c r="AV74" s="25">
        <v>55</v>
      </c>
      <c r="AW74" s="25">
        <v>55</v>
      </c>
      <c r="AX74" s="25">
        <v>55</v>
      </c>
      <c r="AY74" s="25">
        <v>55</v>
      </c>
      <c r="AZ74" s="57">
        <v>55</v>
      </c>
      <c r="BA74" s="19">
        <v>55</v>
      </c>
      <c r="BB74" s="25">
        <v>55</v>
      </c>
      <c r="BC74" s="25">
        <v>55</v>
      </c>
      <c r="BD74" s="25">
        <v>55</v>
      </c>
      <c r="BE74" s="25">
        <v>55</v>
      </c>
      <c r="BF74" s="25">
        <v>55</v>
      </c>
      <c r="BG74" s="25">
        <v>55</v>
      </c>
      <c r="BH74" s="25">
        <v>55</v>
      </c>
      <c r="BI74" s="25">
        <v>55</v>
      </c>
      <c r="BJ74" s="25">
        <v>55</v>
      </c>
      <c r="BK74" s="25">
        <v>55</v>
      </c>
      <c r="BL74" s="25">
        <v>55</v>
      </c>
      <c r="BM74" s="25">
        <v>55</v>
      </c>
      <c r="BN74" s="25">
        <v>55</v>
      </c>
      <c r="BO74" s="25">
        <v>55</v>
      </c>
      <c r="BP74" s="25">
        <v>55</v>
      </c>
      <c r="BQ74" s="25">
        <v>55</v>
      </c>
      <c r="BR74" s="25">
        <v>55</v>
      </c>
      <c r="BS74" s="25">
        <v>55</v>
      </c>
      <c r="BT74" s="25">
        <v>55</v>
      </c>
      <c r="BU74" s="25">
        <v>55</v>
      </c>
      <c r="BV74" s="25">
        <v>55</v>
      </c>
      <c r="BW74" s="25">
        <v>55</v>
      </c>
      <c r="BX74" s="57">
        <v>55</v>
      </c>
      <c r="BY74" s="19">
        <v>55</v>
      </c>
      <c r="BZ74" s="25">
        <v>55</v>
      </c>
      <c r="CA74" s="25">
        <v>55</v>
      </c>
      <c r="CB74" s="25">
        <v>55</v>
      </c>
      <c r="CC74" s="25">
        <v>55</v>
      </c>
      <c r="CD74" s="25">
        <v>55</v>
      </c>
      <c r="CE74" s="25">
        <v>55</v>
      </c>
      <c r="CF74" s="25">
        <v>55</v>
      </c>
      <c r="CG74" s="25">
        <v>55</v>
      </c>
      <c r="CH74" s="25">
        <v>55</v>
      </c>
      <c r="CI74" s="25">
        <v>55</v>
      </c>
      <c r="CJ74" s="25">
        <v>55</v>
      </c>
      <c r="CK74" s="25">
        <v>55</v>
      </c>
      <c r="CL74" s="25">
        <v>55</v>
      </c>
      <c r="CM74" s="25">
        <v>55</v>
      </c>
      <c r="CN74" s="25">
        <v>55</v>
      </c>
      <c r="CO74" s="25">
        <v>55</v>
      </c>
      <c r="CP74" s="25">
        <v>55</v>
      </c>
      <c r="CQ74" s="25">
        <v>55</v>
      </c>
      <c r="CR74" s="25">
        <v>55</v>
      </c>
      <c r="CS74" s="25">
        <v>55</v>
      </c>
      <c r="CT74" s="25">
        <v>55</v>
      </c>
      <c r="CU74" s="25">
        <v>55</v>
      </c>
      <c r="CV74" s="57">
        <v>55</v>
      </c>
      <c r="CW74" s="19">
        <v>55</v>
      </c>
      <c r="CX74" s="25">
        <v>55</v>
      </c>
      <c r="CY74" s="25">
        <v>55</v>
      </c>
      <c r="CZ74" s="25">
        <v>55</v>
      </c>
      <c r="DA74" s="25">
        <v>55</v>
      </c>
      <c r="DB74" s="25">
        <v>55</v>
      </c>
      <c r="DC74" s="25">
        <v>55</v>
      </c>
      <c r="DD74" s="25">
        <v>55</v>
      </c>
      <c r="DE74" s="25">
        <v>55</v>
      </c>
      <c r="DF74" s="25">
        <v>55</v>
      </c>
      <c r="DG74" s="25">
        <v>55</v>
      </c>
      <c r="DH74" s="25">
        <v>55</v>
      </c>
      <c r="DI74" s="25">
        <v>55</v>
      </c>
      <c r="DJ74" s="25">
        <v>55</v>
      </c>
      <c r="DK74" s="25">
        <v>55</v>
      </c>
      <c r="DL74" s="25">
        <v>55</v>
      </c>
      <c r="DM74" s="25">
        <v>55</v>
      </c>
      <c r="DN74" s="25">
        <v>55</v>
      </c>
      <c r="DO74" s="25">
        <v>55</v>
      </c>
      <c r="DP74" s="25">
        <v>55</v>
      </c>
      <c r="DQ74" s="25">
        <v>55</v>
      </c>
      <c r="DR74" s="25">
        <v>55</v>
      </c>
      <c r="DS74" s="25">
        <v>55</v>
      </c>
      <c r="DT74" s="57">
        <v>55</v>
      </c>
    </row>
    <row r="75" spans="2:124" s="17" customFormat="1" ht="16" thickBot="1" x14ac:dyDescent="0.25">
      <c r="B75" s="21" t="s">
        <v>47</v>
      </c>
      <c r="C75" s="76"/>
      <c r="D75" s="142">
        <f>D72/275*10</f>
        <v>2</v>
      </c>
      <c r="E75" s="22">
        <f>E72/275*10</f>
        <v>4.3127272727272725</v>
      </c>
      <c r="F75" s="22">
        <f t="shared" ref="F75:BQ75" si="930">F72/275*10</f>
        <v>6.625454545454545</v>
      </c>
      <c r="G75" s="22">
        <f t="shared" si="930"/>
        <v>8.9381818181818176</v>
      </c>
      <c r="H75" s="22">
        <f t="shared" si="930"/>
        <v>11.25090909090909</v>
      </c>
      <c r="I75" s="22">
        <f t="shared" si="930"/>
        <v>13.563636363636364</v>
      </c>
      <c r="J75" s="22">
        <f t="shared" si="930"/>
        <v>4.3127272727272725</v>
      </c>
      <c r="K75" s="22">
        <f t="shared" si="930"/>
        <v>8.8072727272727267</v>
      </c>
      <c r="L75" s="22">
        <f t="shared" si="930"/>
        <v>11.120000000000001</v>
      </c>
      <c r="M75" s="22">
        <f t="shared" si="930"/>
        <v>4.3127272727272725</v>
      </c>
      <c r="N75" s="22">
        <f t="shared" si="930"/>
        <v>6.625454545454545</v>
      </c>
      <c r="O75" s="22">
        <f t="shared" si="930"/>
        <v>8.9381818181818176</v>
      </c>
      <c r="P75" s="22">
        <f t="shared" si="930"/>
        <v>11.25090909090909</v>
      </c>
      <c r="Q75" s="22">
        <f t="shared" si="930"/>
        <v>4.3127272727272725</v>
      </c>
      <c r="R75" s="22">
        <f t="shared" si="930"/>
        <v>6.625454545454545</v>
      </c>
      <c r="S75" s="22">
        <f t="shared" si="930"/>
        <v>8.9381818181818176</v>
      </c>
      <c r="T75" s="22">
        <f t="shared" si="930"/>
        <v>11.25090909090909</v>
      </c>
      <c r="U75" s="22">
        <f t="shared" si="930"/>
        <v>4.3127272727272725</v>
      </c>
      <c r="V75" s="22">
        <f t="shared" si="930"/>
        <v>6.625454545454545</v>
      </c>
      <c r="W75" s="22">
        <f t="shared" si="930"/>
        <v>8.9381818181818176</v>
      </c>
      <c r="X75" s="22">
        <f t="shared" si="930"/>
        <v>11.25090909090909</v>
      </c>
      <c r="Y75" s="22">
        <f t="shared" si="930"/>
        <v>4.3127272727272725</v>
      </c>
      <c r="Z75" s="22">
        <f t="shared" si="930"/>
        <v>6.625454545454545</v>
      </c>
      <c r="AA75" s="22">
        <f t="shared" si="930"/>
        <v>8.9381818181818176</v>
      </c>
      <c r="AB75" s="58">
        <f t="shared" si="930"/>
        <v>11.25090909090909</v>
      </c>
      <c r="AC75" s="22">
        <f t="shared" si="930"/>
        <v>13.563636363636364</v>
      </c>
      <c r="AD75" s="22">
        <f t="shared" si="930"/>
        <v>15.876363636363637</v>
      </c>
      <c r="AE75" s="22">
        <f t="shared" si="930"/>
        <v>18.189090909090911</v>
      </c>
      <c r="AF75" s="22">
        <f t="shared" si="930"/>
        <v>20.501818181818187</v>
      </c>
      <c r="AG75" s="22">
        <f t="shared" si="930"/>
        <v>22.814545454545456</v>
      </c>
      <c r="AH75" s="22">
        <f t="shared" si="930"/>
        <v>25.127272727272732</v>
      </c>
      <c r="AI75" s="22">
        <f t="shared" si="930"/>
        <v>27.440000000000005</v>
      </c>
      <c r="AJ75" s="22">
        <f t="shared" si="930"/>
        <v>29.752727272727277</v>
      </c>
      <c r="AK75" s="22">
        <f t="shared" si="930"/>
        <v>32.06545454545455</v>
      </c>
      <c r="AL75" s="22">
        <f t="shared" si="930"/>
        <v>34.378181818181829</v>
      </c>
      <c r="AM75" s="22">
        <f t="shared" si="930"/>
        <v>36.690909090909102</v>
      </c>
      <c r="AN75" s="22">
        <f t="shared" si="930"/>
        <v>39.003636363636367</v>
      </c>
      <c r="AO75" s="22">
        <f t="shared" si="930"/>
        <v>41.31636363636364</v>
      </c>
      <c r="AP75" s="22">
        <f t="shared" si="930"/>
        <v>43.629090909090912</v>
      </c>
      <c r="AQ75" s="22">
        <f t="shared" si="930"/>
        <v>45.941818181818171</v>
      </c>
      <c r="AR75" s="22">
        <f t="shared" si="930"/>
        <v>48.254545454545443</v>
      </c>
      <c r="AS75" s="22">
        <f t="shared" si="930"/>
        <v>50.567272727272716</v>
      </c>
      <c r="AT75" s="22">
        <f t="shared" si="930"/>
        <v>52.879999999999981</v>
      </c>
      <c r="AU75" s="22">
        <f t="shared" si="930"/>
        <v>55.192727272727254</v>
      </c>
      <c r="AV75" s="22">
        <f t="shared" si="930"/>
        <v>57.505454545454526</v>
      </c>
      <c r="AW75" s="22">
        <f t="shared" si="930"/>
        <v>59.818181818181799</v>
      </c>
      <c r="AX75" s="22">
        <f t="shared" si="930"/>
        <v>62.130909090909057</v>
      </c>
      <c r="AY75" s="22">
        <f t="shared" si="930"/>
        <v>64.44363636363633</v>
      </c>
      <c r="AZ75" s="58">
        <f t="shared" si="930"/>
        <v>66.756363636363602</v>
      </c>
      <c r="BA75" s="22">
        <f t="shared" si="930"/>
        <v>69.069090909090875</v>
      </c>
      <c r="BB75" s="22">
        <f t="shared" si="930"/>
        <v>71.381818181818147</v>
      </c>
      <c r="BC75" s="22">
        <f t="shared" si="930"/>
        <v>73.69454545454542</v>
      </c>
      <c r="BD75" s="22">
        <f t="shared" si="930"/>
        <v>76.007272727272678</v>
      </c>
      <c r="BE75" s="22">
        <f t="shared" si="930"/>
        <v>78.319999999999951</v>
      </c>
      <c r="BF75" s="22">
        <f t="shared" si="930"/>
        <v>6.4945454545454542</v>
      </c>
      <c r="BG75" s="22">
        <f t="shared" si="930"/>
        <v>8.8072727272727267</v>
      </c>
      <c r="BH75" s="22">
        <f t="shared" si="930"/>
        <v>11.120000000000001</v>
      </c>
      <c r="BI75" s="22">
        <f t="shared" si="930"/>
        <v>4.3127272727272725</v>
      </c>
      <c r="BJ75" s="22">
        <f t="shared" si="930"/>
        <v>6.625454545454545</v>
      </c>
      <c r="BK75" s="22">
        <f t="shared" si="930"/>
        <v>8.9381818181818176</v>
      </c>
      <c r="BL75" s="22">
        <f t="shared" si="930"/>
        <v>11.25090909090909</v>
      </c>
      <c r="BM75" s="22">
        <f t="shared" si="930"/>
        <v>4.3127272727272725</v>
      </c>
      <c r="BN75" s="22">
        <f t="shared" si="930"/>
        <v>6.625454545454545</v>
      </c>
      <c r="BO75" s="22">
        <f t="shared" si="930"/>
        <v>8.9381818181818176</v>
      </c>
      <c r="BP75" s="22">
        <f t="shared" si="930"/>
        <v>11.25090909090909</v>
      </c>
      <c r="BQ75" s="22">
        <f t="shared" si="930"/>
        <v>4.3127272727272725</v>
      </c>
      <c r="BR75" s="22">
        <f t="shared" ref="BR75:DT75" si="931">BR72/275*10</f>
        <v>6.625454545454545</v>
      </c>
      <c r="BS75" s="22">
        <f t="shared" si="931"/>
        <v>8.9381818181818176</v>
      </c>
      <c r="BT75" s="22">
        <f t="shared" si="931"/>
        <v>11.25090909090909</v>
      </c>
      <c r="BU75" s="22">
        <f t="shared" si="931"/>
        <v>4.3127272727272725</v>
      </c>
      <c r="BV75" s="22">
        <f t="shared" si="931"/>
        <v>6.625454545454545</v>
      </c>
      <c r="BW75" s="22">
        <f t="shared" si="931"/>
        <v>8.9381818181818176</v>
      </c>
      <c r="BX75" s="58">
        <f t="shared" si="931"/>
        <v>11.25090909090909</v>
      </c>
      <c r="BY75" s="22">
        <f t="shared" si="931"/>
        <v>13.563636363636364</v>
      </c>
      <c r="BZ75" s="22">
        <f t="shared" si="931"/>
        <v>15.876363636363637</v>
      </c>
      <c r="CA75" s="22">
        <f t="shared" si="931"/>
        <v>18.189090909090911</v>
      </c>
      <c r="CB75" s="22">
        <f t="shared" si="931"/>
        <v>20.501818181818187</v>
      </c>
      <c r="CC75" s="22">
        <f t="shared" si="931"/>
        <v>22.814545454545456</v>
      </c>
      <c r="CD75" s="22">
        <f t="shared" si="931"/>
        <v>6.4945454545454542</v>
      </c>
      <c r="CE75" s="22">
        <f t="shared" si="931"/>
        <v>8.8072727272727267</v>
      </c>
      <c r="CF75" s="22">
        <f t="shared" si="931"/>
        <v>11.120000000000001</v>
      </c>
      <c r="CG75" s="22">
        <f t="shared" si="931"/>
        <v>4.3127272727272725</v>
      </c>
      <c r="CH75" s="22">
        <f t="shared" si="931"/>
        <v>6.625454545454545</v>
      </c>
      <c r="CI75" s="22">
        <f t="shared" si="931"/>
        <v>8.9381818181818176</v>
      </c>
      <c r="CJ75" s="22">
        <f t="shared" si="931"/>
        <v>11.25090909090909</v>
      </c>
      <c r="CK75" s="22">
        <f t="shared" si="931"/>
        <v>4.3127272727272725</v>
      </c>
      <c r="CL75" s="22">
        <f t="shared" si="931"/>
        <v>6.625454545454545</v>
      </c>
      <c r="CM75" s="22">
        <f t="shared" si="931"/>
        <v>8.9381818181818176</v>
      </c>
      <c r="CN75" s="22">
        <f t="shared" si="931"/>
        <v>11.25090909090909</v>
      </c>
      <c r="CO75" s="22">
        <f t="shared" si="931"/>
        <v>4.3127272727272725</v>
      </c>
      <c r="CP75" s="22">
        <f t="shared" si="931"/>
        <v>6.625454545454545</v>
      </c>
      <c r="CQ75" s="22">
        <f t="shared" si="931"/>
        <v>8.9381818181818176</v>
      </c>
      <c r="CR75" s="22">
        <f t="shared" si="931"/>
        <v>11.25090909090909</v>
      </c>
      <c r="CS75" s="22">
        <f t="shared" si="931"/>
        <v>4.3127272727272725</v>
      </c>
      <c r="CT75" s="22">
        <f t="shared" si="931"/>
        <v>6.625454545454545</v>
      </c>
      <c r="CU75" s="22">
        <f t="shared" si="931"/>
        <v>8.9381818181818176</v>
      </c>
      <c r="CV75" s="58">
        <f t="shared" si="931"/>
        <v>11.25090909090909</v>
      </c>
      <c r="CW75" s="22">
        <f t="shared" si="931"/>
        <v>13.563636363636364</v>
      </c>
      <c r="CX75" s="22">
        <f t="shared" si="931"/>
        <v>15.876363636363637</v>
      </c>
      <c r="CY75" s="22">
        <f t="shared" si="931"/>
        <v>18.189090909090911</v>
      </c>
      <c r="CZ75" s="22">
        <f t="shared" si="931"/>
        <v>20.501818181818187</v>
      </c>
      <c r="DA75" s="22">
        <f t="shared" si="931"/>
        <v>22.814545454545456</v>
      </c>
      <c r="DB75" s="22">
        <f t="shared" si="931"/>
        <v>6.4945454545454542</v>
      </c>
      <c r="DC75" s="22">
        <f t="shared" si="931"/>
        <v>8.8072727272727267</v>
      </c>
      <c r="DD75" s="22">
        <f t="shared" si="931"/>
        <v>11.120000000000001</v>
      </c>
      <c r="DE75" s="22">
        <f t="shared" si="931"/>
        <v>4.3127272727272725</v>
      </c>
      <c r="DF75" s="22">
        <f t="shared" si="931"/>
        <v>6.625454545454545</v>
      </c>
      <c r="DG75" s="22">
        <f t="shared" si="931"/>
        <v>8.9381818181818176</v>
      </c>
      <c r="DH75" s="22">
        <f t="shared" si="931"/>
        <v>11.25090909090909</v>
      </c>
      <c r="DI75" s="22">
        <f t="shared" si="931"/>
        <v>4.3127272727272725</v>
      </c>
      <c r="DJ75" s="22">
        <f t="shared" si="931"/>
        <v>6.625454545454545</v>
      </c>
      <c r="DK75" s="22">
        <f t="shared" si="931"/>
        <v>8.9381818181818176</v>
      </c>
      <c r="DL75" s="22">
        <f t="shared" si="931"/>
        <v>11.25090909090909</v>
      </c>
      <c r="DM75" s="22">
        <f t="shared" si="931"/>
        <v>4.3127272727272725</v>
      </c>
      <c r="DN75" s="22">
        <f t="shared" si="931"/>
        <v>6.625454545454545</v>
      </c>
      <c r="DO75" s="22">
        <f t="shared" si="931"/>
        <v>8.9381818181818176</v>
      </c>
      <c r="DP75" s="22">
        <f t="shared" si="931"/>
        <v>11.25090909090909</v>
      </c>
      <c r="DQ75" s="22">
        <f t="shared" si="931"/>
        <v>4.3127272727272725</v>
      </c>
      <c r="DR75" s="22">
        <f t="shared" si="931"/>
        <v>6.625454545454545</v>
      </c>
      <c r="DS75" s="22">
        <f t="shared" si="931"/>
        <v>8.9381818181818176</v>
      </c>
      <c r="DT75" s="58">
        <f t="shared" si="931"/>
        <v>11.25090909090909</v>
      </c>
    </row>
    <row r="76" spans="2:124" x14ac:dyDescent="0.2">
      <c r="E76" s="193" t="s">
        <v>66</v>
      </c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5"/>
      <c r="AC76" s="196" t="s">
        <v>67</v>
      </c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97"/>
      <c r="AX76" s="197"/>
      <c r="AY76" s="197"/>
      <c r="AZ76" s="198"/>
      <c r="BA76" s="193" t="s">
        <v>68</v>
      </c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5"/>
      <c r="BY76" s="196" t="s">
        <v>69</v>
      </c>
      <c r="BZ76" s="197"/>
      <c r="CA76" s="197"/>
      <c r="CB76" s="197"/>
      <c r="CC76" s="197"/>
      <c r="CD76" s="197"/>
      <c r="CE76" s="197"/>
      <c r="CF76" s="197"/>
      <c r="CG76" s="197"/>
      <c r="CH76" s="197"/>
      <c r="CI76" s="197"/>
      <c r="CJ76" s="197"/>
      <c r="CK76" s="197"/>
      <c r="CL76" s="197"/>
      <c r="CM76" s="197"/>
      <c r="CN76" s="197"/>
      <c r="CO76" s="197"/>
      <c r="CP76" s="197"/>
      <c r="CQ76" s="197"/>
      <c r="CR76" s="197"/>
      <c r="CS76" s="197"/>
      <c r="CT76" s="197"/>
      <c r="CU76" s="197"/>
      <c r="CV76" s="198"/>
      <c r="CW76" s="193" t="s">
        <v>70</v>
      </c>
      <c r="CX76" s="194"/>
      <c r="CY76" s="194"/>
      <c r="CZ76" s="194"/>
      <c r="DA76" s="194"/>
      <c r="DB76" s="194"/>
      <c r="DC76" s="194"/>
      <c r="DD76" s="194"/>
      <c r="DE76" s="194"/>
      <c r="DF76" s="194"/>
      <c r="DG76" s="194"/>
      <c r="DH76" s="194"/>
      <c r="DI76" s="194"/>
      <c r="DJ76" s="194"/>
      <c r="DK76" s="194"/>
      <c r="DL76" s="194"/>
      <c r="DM76" s="194"/>
      <c r="DN76" s="194"/>
      <c r="DO76" s="194"/>
      <c r="DP76" s="194"/>
      <c r="DQ76" s="194"/>
      <c r="DR76" s="194"/>
      <c r="DS76" s="194"/>
      <c r="DT76" s="195"/>
    </row>
    <row r="77" spans="2:124" x14ac:dyDescent="0.2">
      <c r="B77" s="5" t="s">
        <v>48</v>
      </c>
      <c r="E77" s="23">
        <v>4.1666666666666664E-2</v>
      </c>
      <c r="F77" s="24">
        <v>8.3333333333333301E-2</v>
      </c>
      <c r="G77" s="24">
        <v>0.125</v>
      </c>
      <c r="H77" s="24">
        <v>0.16666666666666699</v>
      </c>
      <c r="I77" s="24">
        <v>0.20833333333333301</v>
      </c>
      <c r="J77" s="24">
        <v>0.25</v>
      </c>
      <c r="K77" s="24">
        <v>0.29166666666666702</v>
      </c>
      <c r="L77" s="24">
        <v>0.33333333333333298</v>
      </c>
      <c r="M77" s="24">
        <v>0.375</v>
      </c>
      <c r="N77" s="24">
        <v>0.41666666666666702</v>
      </c>
      <c r="O77" s="24">
        <v>0.45833333333333298</v>
      </c>
      <c r="P77" s="24">
        <v>0.5</v>
      </c>
      <c r="Q77" s="24">
        <v>0.54166666666666696</v>
      </c>
      <c r="R77" s="24">
        <v>0.58333333333333304</v>
      </c>
      <c r="S77" s="24">
        <v>0.625</v>
      </c>
      <c r="T77" s="24">
        <v>0.66666666666666696</v>
      </c>
      <c r="U77" s="24">
        <v>0.70833333333333304</v>
      </c>
      <c r="V77" s="24">
        <v>0.75</v>
      </c>
      <c r="W77" s="24">
        <v>0.79166666666666696</v>
      </c>
      <c r="X77" s="24">
        <v>0.83333333333333304</v>
      </c>
      <c r="Y77" s="24">
        <v>0.875</v>
      </c>
      <c r="Z77" s="24">
        <v>0.91666666666666696</v>
      </c>
      <c r="AA77" s="24">
        <v>0.95833333333333404</v>
      </c>
      <c r="AB77" s="59">
        <v>1</v>
      </c>
      <c r="AC77" s="23">
        <v>4.1666666666666602E-2</v>
      </c>
      <c r="AD77" s="24">
        <v>8.3333333333333301E-2</v>
      </c>
      <c r="AE77" s="24">
        <v>0.125</v>
      </c>
      <c r="AF77" s="24">
        <v>0.16666666666666699</v>
      </c>
      <c r="AG77" s="24">
        <v>0.20833333333333301</v>
      </c>
      <c r="AH77" s="24">
        <v>0.25</v>
      </c>
      <c r="AI77" s="24">
        <v>0.29166666666666702</v>
      </c>
      <c r="AJ77" s="24">
        <v>0.33333333333333298</v>
      </c>
      <c r="AK77" s="24">
        <v>0.375</v>
      </c>
      <c r="AL77" s="24">
        <v>0.41666666666666702</v>
      </c>
      <c r="AM77" s="24">
        <v>0.45833333333333298</v>
      </c>
      <c r="AN77" s="24">
        <v>0.5</v>
      </c>
      <c r="AO77" s="24">
        <v>0.54166666666666696</v>
      </c>
      <c r="AP77" s="24">
        <v>0.58333333333333304</v>
      </c>
      <c r="AQ77" s="24">
        <v>0.625</v>
      </c>
      <c r="AR77" s="24">
        <v>0.66666666666666696</v>
      </c>
      <c r="AS77" s="24">
        <v>0.70833333333333304</v>
      </c>
      <c r="AT77" s="24">
        <v>0.75</v>
      </c>
      <c r="AU77" s="24">
        <v>0.79166666666666696</v>
      </c>
      <c r="AV77" s="24">
        <v>0.83333333333333304</v>
      </c>
      <c r="AW77" s="24">
        <v>0.875</v>
      </c>
      <c r="AX77" s="24">
        <v>0.91666666666666696</v>
      </c>
      <c r="AY77" s="24">
        <v>0.95833333333333404</v>
      </c>
      <c r="AZ77" s="59">
        <v>1</v>
      </c>
      <c r="BA77" s="23">
        <v>4.1666666666666602E-2</v>
      </c>
      <c r="BB77" s="24">
        <v>8.3333333333333301E-2</v>
      </c>
      <c r="BC77" s="24">
        <v>0.125</v>
      </c>
      <c r="BD77" s="24">
        <v>0.16666666666666699</v>
      </c>
      <c r="BE77" s="24">
        <v>0.20833333333333301</v>
      </c>
      <c r="BF77" s="24">
        <v>0.25</v>
      </c>
      <c r="BG77" s="24">
        <v>0.29166666666666702</v>
      </c>
      <c r="BH77" s="24">
        <v>0.33333333333333298</v>
      </c>
      <c r="BI77" s="24">
        <v>0.375</v>
      </c>
      <c r="BJ77" s="24">
        <v>0.41666666666666702</v>
      </c>
      <c r="BK77" s="24">
        <v>0.45833333333333298</v>
      </c>
      <c r="BL77" s="24">
        <v>0.5</v>
      </c>
      <c r="BM77" s="24">
        <v>0.54166666666666696</v>
      </c>
      <c r="BN77" s="24">
        <v>0.58333333333333304</v>
      </c>
      <c r="BO77" s="24">
        <v>0.625</v>
      </c>
      <c r="BP77" s="24">
        <v>0.66666666666666696</v>
      </c>
      <c r="BQ77" s="24">
        <v>0.70833333333333304</v>
      </c>
      <c r="BR77" s="24">
        <v>0.75</v>
      </c>
      <c r="BS77" s="24">
        <v>0.79166666666666696</v>
      </c>
      <c r="BT77" s="24">
        <v>0.83333333333333304</v>
      </c>
      <c r="BU77" s="24">
        <v>0.875</v>
      </c>
      <c r="BV77" s="24">
        <v>0.91666666666666696</v>
      </c>
      <c r="BW77" s="24">
        <v>0.95833333333333404</v>
      </c>
      <c r="BX77" s="59">
        <v>1</v>
      </c>
      <c r="BY77" s="23">
        <v>4.1666666666666602E-2</v>
      </c>
      <c r="BZ77" s="24">
        <v>8.3333333333333301E-2</v>
      </c>
      <c r="CA77" s="24">
        <v>0.125</v>
      </c>
      <c r="CB77" s="24">
        <v>0.16666666666666699</v>
      </c>
      <c r="CC77" s="24">
        <v>0.20833333333333301</v>
      </c>
      <c r="CD77" s="24">
        <v>0.25</v>
      </c>
      <c r="CE77" s="24">
        <v>0.29166666666666702</v>
      </c>
      <c r="CF77" s="24">
        <v>0.33333333333333298</v>
      </c>
      <c r="CG77" s="24">
        <v>0.375</v>
      </c>
      <c r="CH77" s="24">
        <v>0.41666666666666702</v>
      </c>
      <c r="CI77" s="24">
        <v>0.45833333333333298</v>
      </c>
      <c r="CJ77" s="24">
        <v>0.5</v>
      </c>
      <c r="CK77" s="24">
        <v>0.54166666666666696</v>
      </c>
      <c r="CL77" s="24">
        <v>0.58333333333333304</v>
      </c>
      <c r="CM77" s="24">
        <v>0.625</v>
      </c>
      <c r="CN77" s="24">
        <v>0.66666666666666696</v>
      </c>
      <c r="CO77" s="24">
        <v>0.70833333333333304</v>
      </c>
      <c r="CP77" s="24">
        <v>0.75</v>
      </c>
      <c r="CQ77" s="24">
        <v>0.79166666666666696</v>
      </c>
      <c r="CR77" s="24">
        <v>0.83333333333333304</v>
      </c>
      <c r="CS77" s="24">
        <v>0.875</v>
      </c>
      <c r="CT77" s="24">
        <v>0.91666666666666696</v>
      </c>
      <c r="CU77" s="24">
        <v>0.95833333333333404</v>
      </c>
      <c r="CV77" s="59">
        <v>1</v>
      </c>
      <c r="CW77" s="23">
        <v>4.1666666666666602E-2</v>
      </c>
      <c r="CX77" s="24">
        <v>8.3333333333333301E-2</v>
      </c>
      <c r="CY77" s="24">
        <v>0.125</v>
      </c>
      <c r="CZ77" s="24">
        <v>0.16666666666666699</v>
      </c>
      <c r="DA77" s="24">
        <v>0.20833333333333301</v>
      </c>
      <c r="DB77" s="24">
        <v>0.25</v>
      </c>
      <c r="DC77" s="24">
        <v>0.29166666666666702</v>
      </c>
      <c r="DD77" s="24">
        <v>0.33333333333333298</v>
      </c>
      <c r="DE77" s="24">
        <v>0.375</v>
      </c>
      <c r="DF77" s="24">
        <v>0.41666666666666702</v>
      </c>
      <c r="DG77" s="24">
        <v>0.45833333333333298</v>
      </c>
      <c r="DH77" s="24">
        <v>0.5</v>
      </c>
      <c r="DI77" s="24">
        <v>0.54166666666666696</v>
      </c>
      <c r="DJ77" s="24">
        <v>0.58333333333333304</v>
      </c>
      <c r="DK77" s="24">
        <v>0.625</v>
      </c>
      <c r="DL77" s="24">
        <v>0.66666666666666696</v>
      </c>
      <c r="DM77" s="24">
        <v>0.70833333333333304</v>
      </c>
      <c r="DN77" s="24">
        <v>0.75</v>
      </c>
      <c r="DO77" s="24">
        <v>0.79166666666666696</v>
      </c>
      <c r="DP77" s="24">
        <v>0.83333333333333304</v>
      </c>
      <c r="DQ77" s="24">
        <v>0.875</v>
      </c>
      <c r="DR77" s="24">
        <v>0.91666666666666696</v>
      </c>
      <c r="DS77" s="24">
        <v>0.95833333333333404</v>
      </c>
      <c r="DT77" s="59">
        <v>1</v>
      </c>
    </row>
    <row r="78" spans="2:124" x14ac:dyDescent="0.2">
      <c r="B78" s="3" t="s">
        <v>49</v>
      </c>
      <c r="D78" s="155">
        <v>0</v>
      </c>
      <c r="E78" s="48">
        <f>1891.4*5</f>
        <v>9457</v>
      </c>
      <c r="F78" s="31">
        <f t="shared" ref="F78:AK78" si="932">F51</f>
        <v>0</v>
      </c>
      <c r="G78" s="31">
        <f t="shared" si="932"/>
        <v>0</v>
      </c>
      <c r="H78" s="31">
        <f t="shared" si="932"/>
        <v>0</v>
      </c>
      <c r="I78" s="31">
        <f t="shared" si="932"/>
        <v>0</v>
      </c>
      <c r="J78" s="31">
        <f t="shared" si="932"/>
        <v>0</v>
      </c>
      <c r="K78" s="31">
        <f t="shared" si="932"/>
        <v>0</v>
      </c>
      <c r="L78" s="31">
        <f t="shared" si="932"/>
        <v>925.69350000000168</v>
      </c>
      <c r="M78" s="31">
        <f t="shared" si="932"/>
        <v>0</v>
      </c>
      <c r="N78" s="31">
        <f t="shared" si="932"/>
        <v>0</v>
      </c>
      <c r="O78" s="31">
        <f t="shared" si="932"/>
        <v>0</v>
      </c>
      <c r="P78" s="31">
        <f t="shared" si="932"/>
        <v>936.83629999999994</v>
      </c>
      <c r="Q78" s="31">
        <f t="shared" si="932"/>
        <v>0</v>
      </c>
      <c r="R78" s="31">
        <f t="shared" si="932"/>
        <v>0</v>
      </c>
      <c r="S78" s="31">
        <f t="shared" si="932"/>
        <v>0</v>
      </c>
      <c r="T78" s="31">
        <f t="shared" si="932"/>
        <v>0</v>
      </c>
      <c r="U78" s="31">
        <f t="shared" si="932"/>
        <v>0</v>
      </c>
      <c r="V78" s="31">
        <f t="shared" si="932"/>
        <v>1481.5241100000007</v>
      </c>
      <c r="W78" s="31">
        <f t="shared" si="932"/>
        <v>0</v>
      </c>
      <c r="X78" s="31">
        <f t="shared" si="932"/>
        <v>0</v>
      </c>
      <c r="Y78" s="31">
        <f t="shared" si="932"/>
        <v>0</v>
      </c>
      <c r="Z78" s="31">
        <f t="shared" si="932"/>
        <v>0</v>
      </c>
      <c r="AA78" s="31">
        <f t="shared" si="932"/>
        <v>0</v>
      </c>
      <c r="AB78" s="62">
        <f t="shared" si="932"/>
        <v>0</v>
      </c>
      <c r="AC78" s="30">
        <f t="shared" si="932"/>
        <v>0</v>
      </c>
      <c r="AD78" s="31">
        <f t="shared" si="932"/>
        <v>0</v>
      </c>
      <c r="AE78" s="31">
        <f t="shared" si="932"/>
        <v>0</v>
      </c>
      <c r="AF78" s="31">
        <f t="shared" si="932"/>
        <v>0</v>
      </c>
      <c r="AG78" s="31">
        <f t="shared" si="932"/>
        <v>0</v>
      </c>
      <c r="AH78" s="31">
        <f t="shared" si="932"/>
        <v>0</v>
      </c>
      <c r="AI78" s="31">
        <f t="shared" si="932"/>
        <v>0</v>
      </c>
      <c r="AJ78" s="31">
        <f t="shared" si="932"/>
        <v>0</v>
      </c>
      <c r="AK78" s="31">
        <f t="shared" si="932"/>
        <v>0</v>
      </c>
      <c r="AL78" s="31">
        <f t="shared" ref="AL78:BQ78" si="933">AL51</f>
        <v>0</v>
      </c>
      <c r="AM78" s="31">
        <f t="shared" si="933"/>
        <v>0</v>
      </c>
      <c r="AN78" s="31">
        <f t="shared" si="933"/>
        <v>0</v>
      </c>
      <c r="AO78" s="31">
        <f t="shared" si="933"/>
        <v>0</v>
      </c>
      <c r="AP78" s="31">
        <f t="shared" si="933"/>
        <v>0</v>
      </c>
      <c r="AQ78" s="31">
        <f t="shared" si="933"/>
        <v>0</v>
      </c>
      <c r="AR78" s="31">
        <f t="shared" si="933"/>
        <v>0</v>
      </c>
      <c r="AS78" s="31">
        <f t="shared" si="933"/>
        <v>0</v>
      </c>
      <c r="AT78" s="31">
        <f t="shared" si="933"/>
        <v>0</v>
      </c>
      <c r="AU78" s="31">
        <f t="shared" si="933"/>
        <v>0</v>
      </c>
      <c r="AV78" s="31">
        <f t="shared" si="933"/>
        <v>0</v>
      </c>
      <c r="AW78" s="31">
        <f t="shared" si="933"/>
        <v>0</v>
      </c>
      <c r="AX78" s="31">
        <f t="shared" si="933"/>
        <v>0</v>
      </c>
      <c r="AY78" s="31">
        <f t="shared" si="933"/>
        <v>0</v>
      </c>
      <c r="AZ78" s="62">
        <f t="shared" si="933"/>
        <v>0</v>
      </c>
      <c r="BA78" s="30">
        <f t="shared" si="933"/>
        <v>0</v>
      </c>
      <c r="BB78" s="31">
        <f t="shared" si="933"/>
        <v>0</v>
      </c>
      <c r="BC78" s="31">
        <f t="shared" si="933"/>
        <v>0</v>
      </c>
      <c r="BD78" s="31">
        <f t="shared" si="933"/>
        <v>0</v>
      </c>
      <c r="BE78" s="31">
        <f t="shared" si="933"/>
        <v>0</v>
      </c>
      <c r="BF78" s="31">
        <f t="shared" si="933"/>
        <v>5330.5816019999984</v>
      </c>
      <c r="BG78" s="31">
        <f t="shared" si="933"/>
        <v>0</v>
      </c>
      <c r="BH78" s="31">
        <f t="shared" si="933"/>
        <v>0</v>
      </c>
      <c r="BI78" s="31">
        <f t="shared" si="933"/>
        <v>0</v>
      </c>
      <c r="BJ78" s="31">
        <f t="shared" si="933"/>
        <v>0</v>
      </c>
      <c r="BK78" s="31">
        <f t="shared" si="933"/>
        <v>0</v>
      </c>
      <c r="BL78" s="31">
        <f t="shared" si="933"/>
        <v>0</v>
      </c>
      <c r="BM78" s="31">
        <f t="shared" si="933"/>
        <v>0</v>
      </c>
      <c r="BN78" s="31">
        <f t="shared" si="933"/>
        <v>0</v>
      </c>
      <c r="BO78" s="31">
        <f t="shared" si="933"/>
        <v>0</v>
      </c>
      <c r="BP78" s="31">
        <f t="shared" si="933"/>
        <v>0</v>
      </c>
      <c r="BQ78" s="31">
        <f t="shared" si="933"/>
        <v>0</v>
      </c>
      <c r="BR78" s="31">
        <f t="shared" ref="BR78:CW78" si="934">BR51</f>
        <v>0</v>
      </c>
      <c r="BS78" s="31">
        <f t="shared" si="934"/>
        <v>0</v>
      </c>
      <c r="BT78" s="31">
        <f t="shared" si="934"/>
        <v>0</v>
      </c>
      <c r="BU78" s="31">
        <f t="shared" si="934"/>
        <v>0</v>
      </c>
      <c r="BV78" s="31">
        <f t="shared" si="934"/>
        <v>0</v>
      </c>
      <c r="BW78" s="31">
        <f t="shared" si="934"/>
        <v>0</v>
      </c>
      <c r="BX78" s="62">
        <f t="shared" si="934"/>
        <v>0</v>
      </c>
      <c r="BY78" s="30">
        <f t="shared" si="934"/>
        <v>0</v>
      </c>
      <c r="BZ78" s="31">
        <f t="shared" si="934"/>
        <v>0</v>
      </c>
      <c r="CA78" s="31">
        <f t="shared" si="934"/>
        <v>0</v>
      </c>
      <c r="CB78" s="31">
        <f t="shared" si="934"/>
        <v>0</v>
      </c>
      <c r="CC78" s="31">
        <f t="shared" si="934"/>
        <v>0</v>
      </c>
      <c r="CD78" s="31">
        <f t="shared" si="934"/>
        <v>0</v>
      </c>
      <c r="CE78" s="31">
        <f t="shared" si="934"/>
        <v>0</v>
      </c>
      <c r="CF78" s="31">
        <f t="shared" si="934"/>
        <v>0</v>
      </c>
      <c r="CG78" s="31">
        <f t="shared" si="934"/>
        <v>0</v>
      </c>
      <c r="CH78" s="31">
        <f t="shared" si="934"/>
        <v>0</v>
      </c>
      <c r="CI78" s="31">
        <f t="shared" si="934"/>
        <v>0</v>
      </c>
      <c r="CJ78" s="31">
        <f t="shared" si="934"/>
        <v>0</v>
      </c>
      <c r="CK78" s="31">
        <f t="shared" si="934"/>
        <v>0</v>
      </c>
      <c r="CL78" s="31">
        <f t="shared" si="934"/>
        <v>0</v>
      </c>
      <c r="CM78" s="31">
        <f t="shared" si="934"/>
        <v>0</v>
      </c>
      <c r="CN78" s="31">
        <f t="shared" si="934"/>
        <v>0</v>
      </c>
      <c r="CO78" s="31">
        <f t="shared" si="934"/>
        <v>0</v>
      </c>
      <c r="CP78" s="31">
        <f t="shared" si="934"/>
        <v>0</v>
      </c>
      <c r="CQ78" s="31">
        <f t="shared" si="934"/>
        <v>0</v>
      </c>
      <c r="CR78" s="31">
        <f t="shared" si="934"/>
        <v>0</v>
      </c>
      <c r="CS78" s="31">
        <f t="shared" si="934"/>
        <v>0</v>
      </c>
      <c r="CT78" s="31">
        <f t="shared" si="934"/>
        <v>0</v>
      </c>
      <c r="CU78" s="31">
        <f t="shared" si="934"/>
        <v>0</v>
      </c>
      <c r="CV78" s="62">
        <f t="shared" si="934"/>
        <v>0</v>
      </c>
      <c r="CW78" s="30">
        <f t="shared" si="934"/>
        <v>0</v>
      </c>
      <c r="CX78" s="31">
        <f t="shared" ref="CX78:DT78" si="935">CX51</f>
        <v>0</v>
      </c>
      <c r="CY78" s="31">
        <f t="shared" si="935"/>
        <v>0</v>
      </c>
      <c r="CZ78" s="31">
        <f t="shared" si="935"/>
        <v>0</v>
      </c>
      <c r="DA78" s="31">
        <f t="shared" si="935"/>
        <v>0</v>
      </c>
      <c r="DB78" s="31">
        <f t="shared" si="935"/>
        <v>0</v>
      </c>
      <c r="DC78" s="31">
        <f t="shared" si="935"/>
        <v>0</v>
      </c>
      <c r="DD78" s="31">
        <f t="shared" si="935"/>
        <v>0</v>
      </c>
      <c r="DE78" s="31">
        <f t="shared" si="935"/>
        <v>0</v>
      </c>
      <c r="DF78" s="31">
        <f t="shared" si="935"/>
        <v>0</v>
      </c>
      <c r="DG78" s="31">
        <f t="shared" si="935"/>
        <v>0</v>
      </c>
      <c r="DH78" s="31">
        <f t="shared" si="935"/>
        <v>0</v>
      </c>
      <c r="DI78" s="31">
        <f t="shared" si="935"/>
        <v>0</v>
      </c>
      <c r="DJ78" s="31">
        <f t="shared" si="935"/>
        <v>0</v>
      </c>
      <c r="DK78" s="31">
        <f t="shared" si="935"/>
        <v>0</v>
      </c>
      <c r="DL78" s="31">
        <f t="shared" si="935"/>
        <v>0</v>
      </c>
      <c r="DM78" s="31">
        <f t="shared" si="935"/>
        <v>0</v>
      </c>
      <c r="DN78" s="31">
        <f t="shared" si="935"/>
        <v>0</v>
      </c>
      <c r="DO78" s="31">
        <f t="shared" si="935"/>
        <v>0</v>
      </c>
      <c r="DP78" s="31">
        <f t="shared" si="935"/>
        <v>0</v>
      </c>
      <c r="DQ78" s="31">
        <f t="shared" si="935"/>
        <v>0</v>
      </c>
      <c r="DR78" s="31">
        <f t="shared" si="935"/>
        <v>0</v>
      </c>
      <c r="DS78" s="31">
        <f t="shared" si="935"/>
        <v>0</v>
      </c>
      <c r="DT78" s="62">
        <f t="shared" si="935"/>
        <v>0</v>
      </c>
    </row>
    <row r="79" spans="2:124" x14ac:dyDescent="0.2">
      <c r="B79" s="3" t="s">
        <v>50</v>
      </c>
      <c r="D79" s="155">
        <f>2649.5/6</f>
        <v>441.58333333333331</v>
      </c>
      <c r="E79" s="31">
        <f t="shared" ref="E79" si="936">IF(E78&gt;0,E78+D79,IF(D79&gt;1,D79-D80,0))</f>
        <v>9898.5833333333339</v>
      </c>
      <c r="F79" s="31">
        <f t="shared" ref="F79" si="937">IF(F78&gt;0,F78+E79,IF(E79&gt;1,E79-E80,0))</f>
        <v>9073.7013888888887</v>
      </c>
      <c r="G79" s="31">
        <f t="shared" ref="G79" si="938">IF(G78&gt;0,G78+F79,IF(F79&gt;1,F79-F80,0))</f>
        <v>8248.8194444444434</v>
      </c>
      <c r="H79" s="31">
        <f t="shared" ref="H79" si="939">IF(H78&gt;0,H78+G79,IF(G79&gt;1,G79-G80,0))</f>
        <v>7423.9374999999991</v>
      </c>
      <c r="I79" s="31">
        <f t="shared" ref="I79" si="940">IF(I78&gt;0,I78+H79,IF(H79&gt;1,H79-H80,0))</f>
        <v>6599.0555555555547</v>
      </c>
      <c r="J79" s="31">
        <f t="shared" ref="J79" si="941">IF(J78&gt;0,J78+I79,IF(I79&gt;1,I79-I80,0))</f>
        <v>5774.1736111111104</v>
      </c>
      <c r="K79" s="31">
        <f t="shared" ref="K79" si="942">IF(K78&gt;0,K78+J79,IF(J79&gt;1,J79-J80,0))</f>
        <v>4949.2916666666661</v>
      </c>
      <c r="L79" s="31">
        <f t="shared" ref="L79" si="943">IF(L78&gt;0,L78+K79,IF(K79&gt;1,K79-K80,0))</f>
        <v>5874.9851666666673</v>
      </c>
      <c r="M79" s="31">
        <f t="shared" ref="M79" si="944">IF(M78&gt;0,M78+L79,IF(L79&gt;1,L79-L80,0))</f>
        <v>4895.8209722222227</v>
      </c>
      <c r="N79" s="31">
        <f t="shared" ref="N79" si="945">IF(N78&gt;0,N78+M79,IF(M79&gt;1,M79-M80,0))</f>
        <v>3916.6567777777782</v>
      </c>
      <c r="O79" s="31">
        <f t="shared" ref="O79" si="946">IF(O78&gt;0,O78+N79,IF(N79&gt;1,N79-N80,0))</f>
        <v>2937.4925833333336</v>
      </c>
      <c r="P79" s="31">
        <f t="shared" ref="P79" si="947">IF(P78&gt;0,P78+O79,IF(O79&gt;1,O79-O80,0))</f>
        <v>3874.3288833333336</v>
      </c>
      <c r="Q79" s="31">
        <f t="shared" ref="Q79" si="948">IF(Q78&gt;0,Q78+P79,IF(P79&gt;1,P79-P80,0))</f>
        <v>3228.6074027777781</v>
      </c>
      <c r="R79" s="31">
        <f t="shared" ref="R79" si="949">IF(R78&gt;0,R78+Q79,IF(Q79&gt;1,Q79-Q80,0))</f>
        <v>2582.8859222222227</v>
      </c>
      <c r="S79" s="31">
        <f t="shared" ref="S79" si="950">IF(S78&gt;0,S78+R79,IF(R79&gt;1,R79-R80,0))</f>
        <v>1937.1644416666672</v>
      </c>
      <c r="T79" s="31">
        <f t="shared" ref="T79" si="951">IF(T78&gt;0,T78+S79,IF(S79&gt;1,S79-S80,0))</f>
        <v>1291.4429611111118</v>
      </c>
      <c r="U79" s="31">
        <f t="shared" ref="U79" si="952">IF(U78&gt;0,U78+T79,IF(T79&gt;1,T79-T80,0))</f>
        <v>645.72148055555624</v>
      </c>
      <c r="V79" s="31">
        <f t="shared" ref="V79" si="953">IF(V78&gt;0,V78+U79,IF(U79&gt;1,U79-U80,0))</f>
        <v>2127.2455905555571</v>
      </c>
      <c r="W79" s="31">
        <f t="shared" ref="W79" si="954">IF(W78&gt;0,W78+V79,IF(V79&gt;1,V79-V80,0))</f>
        <v>1772.7046587962975</v>
      </c>
      <c r="X79" s="31">
        <f t="shared" ref="X79" si="955">IF(X78&gt;0,X78+W79,IF(W79&gt;1,W79-W80,0))</f>
        <v>1418.1637270370379</v>
      </c>
      <c r="Y79" s="31">
        <f t="shared" ref="Y79" si="956">IF(Y78&gt;0,Y78+X79,IF(X79&gt;1,X79-X80,0))</f>
        <v>1063.6227952777783</v>
      </c>
      <c r="Z79" s="31">
        <f t="shared" ref="Z79" si="957">IF(Z78&gt;0,Z78+Y79,IF(Y79&gt;1,Y79-Y80,0))</f>
        <v>709.08186351851873</v>
      </c>
      <c r="AA79" s="31">
        <f t="shared" ref="AA79" si="958">IF(AA78&gt;0,AA78+Z79,IF(Z79&gt;1,Z79-Z80,0))</f>
        <v>354.54093175925919</v>
      </c>
      <c r="AB79" s="62">
        <f t="shared" ref="AB79" si="959">IF(AB78&gt;0,AB78+AA79,IF(AA79&gt;1,AA79-AA80,0))</f>
        <v>-3.4106051316484809E-13</v>
      </c>
      <c r="AC79" s="30">
        <f t="shared" ref="AC79" si="960">IF(AC78&gt;0,AC78+AB79,IF(AB79&gt;1,AB79-AB80,0))</f>
        <v>0</v>
      </c>
      <c r="AD79" s="31">
        <f t="shared" ref="AD79" si="961">IF(AD78&gt;0,AD78+AC79,IF(AC79&gt;1,AC79-AC80,0))</f>
        <v>0</v>
      </c>
      <c r="AE79" s="31">
        <f t="shared" ref="AE79" si="962">IF(AE78&gt;0,AE78+AD79,IF(AD79&gt;1,AD79-AD80,0))</f>
        <v>0</v>
      </c>
      <c r="AF79" s="31">
        <f t="shared" ref="AF79" si="963">IF(AF78&gt;0,AF78+AE79,IF(AE79&gt;1,AE79-AE80,0))</f>
        <v>0</v>
      </c>
      <c r="AG79" s="31">
        <f t="shared" ref="AG79" si="964">IF(AG78&gt;0,AG78+AF79,IF(AF79&gt;1,AF79-AF80,0))</f>
        <v>0</v>
      </c>
      <c r="AH79" s="31">
        <f t="shared" ref="AH79" si="965">IF(AH78&gt;0,AH78+AG79,IF(AG79&gt;1,AG79-AG80,0))</f>
        <v>0</v>
      </c>
      <c r="AI79" s="31">
        <f t="shared" ref="AI79" si="966">IF(AI78&gt;0,AI78+AH79,IF(AH79&gt;1,AH79-AH80,0))</f>
        <v>0</v>
      </c>
      <c r="AJ79" s="31">
        <f t="shared" ref="AJ79" si="967">IF(AJ78&gt;0,AJ78+AI79,IF(AI79&gt;1,AI79-AI80,0))</f>
        <v>0</v>
      </c>
      <c r="AK79" s="31">
        <f t="shared" ref="AK79" si="968">IF(AK78&gt;0,AK78+AJ79,IF(AJ79&gt;1,AJ79-AJ80,0))</f>
        <v>0</v>
      </c>
      <c r="AL79" s="31">
        <f t="shared" ref="AL79" si="969">IF(AL78&gt;0,AL78+AK79,IF(AK79&gt;1,AK79-AK80,0))</f>
        <v>0</v>
      </c>
      <c r="AM79" s="31">
        <f t="shared" ref="AM79" si="970">IF(AM78&gt;0,AM78+AL79,IF(AL79&gt;1,AL79-AL80,0))</f>
        <v>0</v>
      </c>
      <c r="AN79" s="31">
        <f t="shared" ref="AN79" si="971">IF(AN78&gt;0,AN78+AM79,IF(AM79&gt;1,AM79-AM80,0))</f>
        <v>0</v>
      </c>
      <c r="AO79" s="31">
        <f t="shared" ref="AO79" si="972">IF(AO78&gt;0,AO78+AN79,IF(AN79&gt;1,AN79-AN80,0))</f>
        <v>0</v>
      </c>
      <c r="AP79" s="31">
        <f t="shared" ref="AP79" si="973">IF(AP78&gt;0,AP78+AO79,IF(AO79&gt;1,AO79-AO80,0))</f>
        <v>0</v>
      </c>
      <c r="AQ79" s="31">
        <f t="shared" ref="AQ79" si="974">IF(AQ78&gt;0,AQ78+AP79,IF(AP79&gt;1,AP79-AP80,0))</f>
        <v>0</v>
      </c>
      <c r="AR79" s="31">
        <f t="shared" ref="AR79" si="975">IF(AR78&gt;0,AR78+AQ79,IF(AQ79&gt;1,AQ79-AQ80,0))</f>
        <v>0</v>
      </c>
      <c r="AS79" s="31">
        <f t="shared" ref="AS79" si="976">IF(AS78&gt;0,AS78+AR79,IF(AR79&gt;1,AR79-AR80,0))</f>
        <v>0</v>
      </c>
      <c r="AT79" s="31">
        <f t="shared" ref="AT79" si="977">IF(AT78&gt;0,AT78+AS79,IF(AS79&gt;1,AS79-AS80,0))</f>
        <v>0</v>
      </c>
      <c r="AU79" s="31">
        <f t="shared" ref="AU79" si="978">IF(AU78&gt;0,AU78+AT79,IF(AT79&gt;1,AT79-AT80,0))</f>
        <v>0</v>
      </c>
      <c r="AV79" s="31">
        <f t="shared" ref="AV79" si="979">IF(AV78&gt;0,AV78+AU79,IF(AU79&gt;1,AU79-AU80,0))</f>
        <v>0</v>
      </c>
      <c r="AW79" s="31">
        <f t="shared" ref="AW79" si="980">IF(AW78&gt;0,AW78+AV79,IF(AV79&gt;1,AV79-AV80,0))</f>
        <v>0</v>
      </c>
      <c r="AX79" s="31">
        <f t="shared" ref="AX79" si="981">IF(AX78&gt;0,AX78+AW79,IF(AW79&gt;1,AW79-AW80,0))</f>
        <v>0</v>
      </c>
      <c r="AY79" s="31">
        <f t="shared" ref="AY79" si="982">IF(AY78&gt;0,AY78+AX79,IF(AX79&gt;1,AX79-AX80,0))</f>
        <v>0</v>
      </c>
      <c r="AZ79" s="62">
        <f t="shared" ref="AZ79" si="983">IF(AZ78&gt;0,AZ78+AY79,IF(AY79&gt;1,AY79-AY80,0))</f>
        <v>0</v>
      </c>
      <c r="BA79" s="30">
        <f t="shared" ref="BA79" si="984">IF(BA78&gt;0,BA78+AZ79,IF(AZ79&gt;1,AZ79-AZ80,0))</f>
        <v>0</v>
      </c>
      <c r="BB79" s="31">
        <f t="shared" ref="BB79" si="985">IF(BB78&gt;0,BB78+BA79,IF(BA79&gt;1,BA79-BA80,0))</f>
        <v>0</v>
      </c>
      <c r="BC79" s="31">
        <f t="shared" ref="BC79" si="986">IF(BC78&gt;0,BC78+BB79,IF(BB79&gt;1,BB79-BB80,0))</f>
        <v>0</v>
      </c>
      <c r="BD79" s="31">
        <f t="shared" ref="BD79" si="987">IF(BD78&gt;0,BD78+BC79,IF(BC79&gt;1,BC79-BC80,0))</f>
        <v>0</v>
      </c>
      <c r="BE79" s="31">
        <f t="shared" ref="BE79" si="988">IF(BE78&gt;0,BE78+BD79,IF(BD79&gt;1,BD79-BD80,0))</f>
        <v>0</v>
      </c>
      <c r="BF79" s="31">
        <f t="shared" ref="BF79" si="989">IF(BF78&gt;0,BF78+BE79,IF(BE79&gt;1,BE79-BE80,0))</f>
        <v>5330.5816019999984</v>
      </c>
      <c r="BG79" s="31">
        <f t="shared" ref="BG79" si="990">IF(BG78&gt;0,BG78+BF79,IF(BF79&gt;1,BF79-BF80,0))</f>
        <v>4442.1513349999987</v>
      </c>
      <c r="BH79" s="31">
        <f t="shared" ref="BH79" si="991">IF(BH78&gt;0,BH78+BG79,IF(BG79&gt;1,BG79-BG80,0))</f>
        <v>3553.7210679999989</v>
      </c>
      <c r="BI79" s="31">
        <f t="shared" ref="BI79" si="992">IF(BI78&gt;0,BI78+BH79,IF(BH79&gt;1,BH79-BH80,0))</f>
        <v>2665.2908009999992</v>
      </c>
      <c r="BJ79" s="31">
        <f t="shared" ref="BJ79" si="993">IF(BJ78&gt;0,BJ78+BI79,IF(BI79&gt;1,BI79-BI80,0))</f>
        <v>1776.8605339999995</v>
      </c>
      <c r="BK79" s="31">
        <f t="shared" ref="BK79" si="994">IF(BK78&gt;0,BK78+BJ79,IF(BJ79&gt;1,BJ79-BJ80,0))</f>
        <v>888.43026699999973</v>
      </c>
      <c r="BL79" s="31">
        <f t="shared" ref="BL79" si="995">IF(BL78&gt;0,BL78+BK79,IF(BK79&gt;1,BK79-BK80,0))</f>
        <v>0</v>
      </c>
      <c r="BM79" s="31">
        <f t="shared" ref="BM79" si="996">IF(BM78&gt;0,BM78+BL79,IF(BL79&gt;1,BL79-BL80,0))</f>
        <v>0</v>
      </c>
      <c r="BN79" s="31">
        <f t="shared" ref="BN79" si="997">IF(BN78&gt;0,BN78+BM79,IF(BM79&gt;1,BM79-BM80,0))</f>
        <v>0</v>
      </c>
      <c r="BO79" s="31">
        <f t="shared" ref="BO79" si="998">IF(BO78&gt;0,BO78+BN79,IF(BN79&gt;1,BN79-BN80,0))</f>
        <v>0</v>
      </c>
      <c r="BP79" s="31">
        <f t="shared" ref="BP79" si="999">IF(BP78&gt;0,BP78+BO79,IF(BO79&gt;1,BO79-BO80,0))</f>
        <v>0</v>
      </c>
      <c r="BQ79" s="31">
        <f t="shared" ref="BQ79" si="1000">IF(BQ78&gt;0,BQ78+BP79,IF(BP79&gt;1,BP79-BP80,0))</f>
        <v>0</v>
      </c>
      <c r="BR79" s="31">
        <f t="shared" ref="BR79" si="1001">IF(BR78&gt;0,BR78+BQ79,IF(BQ79&gt;1,BQ79-BQ80,0))</f>
        <v>0</v>
      </c>
      <c r="BS79" s="31">
        <f t="shared" ref="BS79" si="1002">IF(BS78&gt;0,BS78+BR79,IF(BR79&gt;1,BR79-BR80,0))</f>
        <v>0</v>
      </c>
      <c r="BT79" s="31">
        <f t="shared" ref="BT79" si="1003">IF(BT78&gt;0,BT78+BS79,IF(BS79&gt;1,BS79-BS80,0))</f>
        <v>0</v>
      </c>
      <c r="BU79" s="31">
        <f t="shared" ref="BU79" si="1004">IF(BU78&gt;0,BU78+BT79,IF(BT79&gt;1,BT79-BT80,0))</f>
        <v>0</v>
      </c>
      <c r="BV79" s="31">
        <f t="shared" ref="BV79" si="1005">IF(BV78&gt;0,BV78+BU79,IF(BU79&gt;1,BU79-BU80,0))</f>
        <v>0</v>
      </c>
      <c r="BW79" s="31">
        <f t="shared" ref="BW79" si="1006">IF(BW78&gt;0,BW78+BV79,IF(BV79&gt;1,BV79-BV80,0))</f>
        <v>0</v>
      </c>
      <c r="BX79" s="62">
        <f t="shared" ref="BX79" si="1007">IF(BX78&gt;0,BX78+BW79,IF(BW79&gt;1,BW79-BW80,0))</f>
        <v>0</v>
      </c>
      <c r="BY79" s="30">
        <f t="shared" ref="BY79" si="1008">IF(BY78&gt;0,BY78+BX79,IF(BX79&gt;1,BX79-BX80,0))</f>
        <v>0</v>
      </c>
      <c r="BZ79" s="31">
        <f t="shared" ref="BZ79" si="1009">IF(BZ78&gt;0,BZ78+BY79,IF(BY79&gt;1,BY79-BY80,0))</f>
        <v>0</v>
      </c>
      <c r="CA79" s="31">
        <f t="shared" ref="CA79" si="1010">IF(CA78&gt;0,CA78+BZ79,IF(BZ79&gt;1,BZ79-BZ80,0))</f>
        <v>0</v>
      </c>
      <c r="CB79" s="31">
        <f t="shared" ref="CB79" si="1011">IF(CB78&gt;0,CB78+CA79,IF(CA79&gt;1,CA79-CA80,0))</f>
        <v>0</v>
      </c>
      <c r="CC79" s="31">
        <f t="shared" ref="CC79" si="1012">IF(CC78&gt;0,CC78+CB79,IF(CB79&gt;1,CB79-CB80,0))</f>
        <v>0</v>
      </c>
      <c r="CD79" s="31">
        <f t="shared" ref="CD79" si="1013">IF(CD78&gt;0,CD78+CC79,IF(CC79&gt;1,CC79-CC80,0))</f>
        <v>0</v>
      </c>
      <c r="CE79" s="31">
        <f t="shared" ref="CE79" si="1014">IF(CE78&gt;0,CE78+CD79,IF(CD79&gt;1,CD79-CD80,0))</f>
        <v>0</v>
      </c>
      <c r="CF79" s="31">
        <f t="shared" ref="CF79" si="1015">IF(CF78&gt;0,CF78+CE79,IF(CE79&gt;1,CE79-CE80,0))</f>
        <v>0</v>
      </c>
      <c r="CG79" s="31">
        <f t="shared" ref="CG79" si="1016">IF(CG78&gt;0,CG78+CF79,IF(CF79&gt;1,CF79-CF80,0))</f>
        <v>0</v>
      </c>
      <c r="CH79" s="31">
        <f t="shared" ref="CH79" si="1017">IF(CH78&gt;0,CH78+CG79,IF(CG79&gt;1,CG79-CG80,0))</f>
        <v>0</v>
      </c>
      <c r="CI79" s="31">
        <f t="shared" ref="CI79" si="1018">IF(CI78&gt;0,CI78+CH79,IF(CH79&gt;1,CH79-CH80,0))</f>
        <v>0</v>
      </c>
      <c r="CJ79" s="31">
        <f t="shared" ref="CJ79" si="1019">IF(CJ78&gt;0,CJ78+CI79,IF(CI79&gt;1,CI79-CI80,0))</f>
        <v>0</v>
      </c>
      <c r="CK79" s="31">
        <f t="shared" ref="CK79" si="1020">IF(CK78&gt;0,CK78+CJ79,IF(CJ79&gt;1,CJ79-CJ80,0))</f>
        <v>0</v>
      </c>
      <c r="CL79" s="31">
        <f t="shared" ref="CL79" si="1021">IF(CL78&gt;0,CL78+CK79,IF(CK79&gt;1,CK79-CK80,0))</f>
        <v>0</v>
      </c>
      <c r="CM79" s="31">
        <f t="shared" ref="CM79" si="1022">IF(CM78&gt;0,CM78+CL79,IF(CL79&gt;1,CL79-CL80,0))</f>
        <v>0</v>
      </c>
      <c r="CN79" s="31">
        <f t="shared" ref="CN79" si="1023">IF(CN78&gt;0,CN78+CM79,IF(CM79&gt;1,CM79-CM80,0))</f>
        <v>0</v>
      </c>
      <c r="CO79" s="31">
        <f t="shared" ref="CO79" si="1024">IF(CO78&gt;0,CO78+CN79,IF(CN79&gt;1,CN79-CN80,0))</f>
        <v>0</v>
      </c>
      <c r="CP79" s="31">
        <f t="shared" ref="CP79" si="1025">IF(CP78&gt;0,CP78+CO79,IF(CO79&gt;1,CO79-CO80,0))</f>
        <v>0</v>
      </c>
      <c r="CQ79" s="31">
        <f t="shared" ref="CQ79" si="1026">IF(CQ78&gt;0,CQ78+CP79,IF(CP79&gt;1,CP79-CP80,0))</f>
        <v>0</v>
      </c>
      <c r="CR79" s="31">
        <f t="shared" ref="CR79" si="1027">IF(CR78&gt;0,CR78+CQ79,IF(CQ79&gt;1,CQ79-CQ80,0))</f>
        <v>0</v>
      </c>
      <c r="CS79" s="31">
        <f t="shared" ref="CS79" si="1028">IF(CS78&gt;0,CS78+CR79,IF(CR79&gt;1,CR79-CR80,0))</f>
        <v>0</v>
      </c>
      <c r="CT79" s="31">
        <f t="shared" ref="CT79" si="1029">IF(CT78&gt;0,CT78+CS79,IF(CS79&gt;1,CS79-CS80,0))</f>
        <v>0</v>
      </c>
      <c r="CU79" s="31">
        <f t="shared" ref="CU79" si="1030">IF(CU78&gt;0,CU78+CT79,IF(CT79&gt;1,CT79-CT80,0))</f>
        <v>0</v>
      </c>
      <c r="CV79" s="62">
        <f t="shared" ref="CV79" si="1031">IF(CV78&gt;0,CV78+CU79,IF(CU79&gt;1,CU79-CU80,0))</f>
        <v>0</v>
      </c>
      <c r="CW79" s="30">
        <f t="shared" ref="CW79" si="1032">IF(CW78&gt;0,CW78+CV79,IF(CV79&gt;1,CV79-CV80,0))</f>
        <v>0</v>
      </c>
      <c r="CX79" s="31">
        <f t="shared" ref="CX79" si="1033">IF(CX78&gt;0,CX78+CW79,IF(CW79&gt;1,CW79-CW80,0))</f>
        <v>0</v>
      </c>
      <c r="CY79" s="31">
        <f t="shared" ref="CY79" si="1034">IF(CY78&gt;0,CY78+CX79,IF(CX79&gt;1,CX79-CX80,0))</f>
        <v>0</v>
      </c>
      <c r="CZ79" s="31">
        <f t="shared" ref="CZ79" si="1035">IF(CZ78&gt;0,CZ78+CY79,IF(CY79&gt;1,CY79-CY80,0))</f>
        <v>0</v>
      </c>
      <c r="DA79" s="31">
        <f t="shared" ref="DA79" si="1036">IF(DA78&gt;0,DA78+CZ79,IF(CZ79&gt;1,CZ79-CZ80,0))</f>
        <v>0</v>
      </c>
      <c r="DB79" s="31">
        <f t="shared" ref="DB79" si="1037">IF(DB78&gt;0,DB78+DA79,IF(DA79&gt;1,DA79-DA80,0))</f>
        <v>0</v>
      </c>
      <c r="DC79" s="31">
        <f t="shared" ref="DC79" si="1038">IF(DC78&gt;0,DC78+DB79,IF(DB79&gt;1,DB79-DB80,0))</f>
        <v>0</v>
      </c>
      <c r="DD79" s="31">
        <f t="shared" ref="DD79" si="1039">IF(DD78&gt;0,DD78+DC79,IF(DC79&gt;1,DC79-DC80,0))</f>
        <v>0</v>
      </c>
      <c r="DE79" s="31">
        <f t="shared" ref="DE79" si="1040">IF(DE78&gt;0,DE78+DD79,IF(DD79&gt;1,DD79-DD80,0))</f>
        <v>0</v>
      </c>
      <c r="DF79" s="31">
        <f t="shared" ref="DF79" si="1041">IF(DF78&gt;0,DF78+DE79,IF(DE79&gt;1,DE79-DE80,0))</f>
        <v>0</v>
      </c>
      <c r="DG79" s="31">
        <f t="shared" ref="DG79" si="1042">IF(DG78&gt;0,DG78+DF79,IF(DF79&gt;1,DF79-DF80,0))</f>
        <v>0</v>
      </c>
      <c r="DH79" s="31">
        <f t="shared" ref="DH79" si="1043">IF(DH78&gt;0,DH78+DG79,IF(DG79&gt;1,DG79-DG80,0))</f>
        <v>0</v>
      </c>
      <c r="DI79" s="31">
        <f t="shared" ref="DI79" si="1044">IF(DI78&gt;0,DI78+DH79,IF(DH79&gt;1,DH79-DH80,0))</f>
        <v>0</v>
      </c>
      <c r="DJ79" s="31">
        <f t="shared" ref="DJ79" si="1045">IF(DJ78&gt;0,DJ78+DI79,IF(DI79&gt;1,DI79-DI80,0))</f>
        <v>0</v>
      </c>
      <c r="DK79" s="31">
        <f t="shared" ref="DK79" si="1046">IF(DK78&gt;0,DK78+DJ79,IF(DJ79&gt;1,DJ79-DJ80,0))</f>
        <v>0</v>
      </c>
      <c r="DL79" s="31">
        <f t="shared" ref="DL79" si="1047">IF(DL78&gt;0,DL78+DK79,IF(DK79&gt;1,DK79-DK80,0))</f>
        <v>0</v>
      </c>
      <c r="DM79" s="31">
        <f t="shared" ref="DM79" si="1048">IF(DM78&gt;0,DM78+DL79,IF(DL79&gt;1,DL79-DL80,0))</f>
        <v>0</v>
      </c>
      <c r="DN79" s="31">
        <f t="shared" ref="DN79" si="1049">IF(DN78&gt;0,DN78+DM79,IF(DM79&gt;1,DM79-DM80,0))</f>
        <v>0</v>
      </c>
      <c r="DO79" s="31">
        <f t="shared" ref="DO79" si="1050">IF(DO78&gt;0,DO78+DN79,IF(DN79&gt;1,DN79-DN80,0))</f>
        <v>0</v>
      </c>
      <c r="DP79" s="31">
        <f t="shared" ref="DP79" si="1051">IF(DP78&gt;0,DP78+DO79,IF(DO79&gt;1,DO79-DO80,0))</f>
        <v>0</v>
      </c>
      <c r="DQ79" s="31">
        <f t="shared" ref="DQ79" si="1052">IF(DQ78&gt;0,DQ78+DP79,IF(DP79&gt;1,DP79-DP80,0))</f>
        <v>0</v>
      </c>
      <c r="DR79" s="31">
        <f t="shared" ref="DR79" si="1053">IF(DR78&gt;0,DR78+DQ79,IF(DQ79&gt;1,DQ79-DQ80,0))</f>
        <v>0</v>
      </c>
      <c r="DS79" s="31">
        <f t="shared" ref="DS79" si="1054">IF(DS78&gt;0,DS78+DR79,IF(DR79&gt;1,DR79-DR80,0))</f>
        <v>0</v>
      </c>
      <c r="DT79" s="62">
        <f t="shared" ref="DT79" si="1055">IF(DT78&gt;0,DT78+DS79,IF(DS79&gt;1,DS79-DS80,0))</f>
        <v>0</v>
      </c>
    </row>
    <row r="80" spans="2:124" x14ac:dyDescent="0.2">
      <c r="B80" s="3" t="s">
        <v>51</v>
      </c>
      <c r="D80" s="145">
        <f t="shared" ref="D80:AI80" si="1056">IF(D41="B",IF(D78&gt;0,(D78+C79)/6,IF(D79&gt;0,C80,0)),IF(D78&gt;0,(D78+C79)/12,IF(D79&gt;0,C80,0)))</f>
        <v>0</v>
      </c>
      <c r="E80" s="31">
        <f t="shared" si="1056"/>
        <v>824.88194444444446</v>
      </c>
      <c r="F80" s="31">
        <f t="shared" si="1056"/>
        <v>824.88194444444446</v>
      </c>
      <c r="G80" s="31">
        <f t="shared" si="1056"/>
        <v>824.88194444444446</v>
      </c>
      <c r="H80" s="31">
        <f t="shared" si="1056"/>
        <v>824.88194444444446</v>
      </c>
      <c r="I80" s="31">
        <f t="shared" si="1056"/>
        <v>824.88194444444446</v>
      </c>
      <c r="J80" s="31">
        <f t="shared" si="1056"/>
        <v>824.88194444444446</v>
      </c>
      <c r="K80" s="31">
        <f t="shared" si="1056"/>
        <v>824.88194444444446</v>
      </c>
      <c r="L80" s="31">
        <f t="shared" si="1056"/>
        <v>979.16419444444455</v>
      </c>
      <c r="M80" s="31">
        <f t="shared" si="1056"/>
        <v>979.16419444444455</v>
      </c>
      <c r="N80" s="31">
        <f t="shared" si="1056"/>
        <v>979.16419444444455</v>
      </c>
      <c r="O80" s="31">
        <f t="shared" si="1056"/>
        <v>979.16419444444455</v>
      </c>
      <c r="P80" s="31">
        <f t="shared" si="1056"/>
        <v>645.72148055555556</v>
      </c>
      <c r="Q80" s="31">
        <f t="shared" si="1056"/>
        <v>645.72148055555556</v>
      </c>
      <c r="R80" s="31">
        <f t="shared" si="1056"/>
        <v>645.72148055555556</v>
      </c>
      <c r="S80" s="31">
        <f t="shared" si="1056"/>
        <v>645.72148055555556</v>
      </c>
      <c r="T80" s="31">
        <f t="shared" si="1056"/>
        <v>645.72148055555556</v>
      </c>
      <c r="U80" s="31">
        <f t="shared" si="1056"/>
        <v>645.72148055555556</v>
      </c>
      <c r="V80" s="31">
        <f t="shared" si="1056"/>
        <v>354.54093175925954</v>
      </c>
      <c r="W80" s="31">
        <f t="shared" si="1056"/>
        <v>354.54093175925954</v>
      </c>
      <c r="X80" s="31">
        <f t="shared" si="1056"/>
        <v>354.54093175925954</v>
      </c>
      <c r="Y80" s="31">
        <f t="shared" si="1056"/>
        <v>354.54093175925954</v>
      </c>
      <c r="Z80" s="31">
        <f t="shared" si="1056"/>
        <v>354.54093175925954</v>
      </c>
      <c r="AA80" s="31">
        <f t="shared" si="1056"/>
        <v>354.54093175925954</v>
      </c>
      <c r="AB80" s="62">
        <f t="shared" si="1056"/>
        <v>0</v>
      </c>
      <c r="AC80" s="31">
        <f t="shared" si="1056"/>
        <v>0</v>
      </c>
      <c r="AD80" s="31">
        <f t="shared" si="1056"/>
        <v>0</v>
      </c>
      <c r="AE80" s="31">
        <f t="shared" si="1056"/>
        <v>0</v>
      </c>
      <c r="AF80" s="31">
        <f t="shared" si="1056"/>
        <v>0</v>
      </c>
      <c r="AG80" s="31">
        <f t="shared" si="1056"/>
        <v>0</v>
      </c>
      <c r="AH80" s="31">
        <f t="shared" si="1056"/>
        <v>0</v>
      </c>
      <c r="AI80" s="31">
        <f t="shared" si="1056"/>
        <v>0</v>
      </c>
      <c r="AJ80" s="31">
        <f t="shared" ref="AJ80:BO80" si="1057">IF(AJ41="B",IF(AJ78&gt;0,(AJ78+AI79)/6,IF(AJ79&gt;0,AI80,0)),IF(AJ78&gt;0,(AJ78+AI79)/12,IF(AJ79&gt;0,AI80,0)))</f>
        <v>0</v>
      </c>
      <c r="AK80" s="31">
        <f t="shared" si="1057"/>
        <v>0</v>
      </c>
      <c r="AL80" s="31">
        <f t="shared" si="1057"/>
        <v>0</v>
      </c>
      <c r="AM80" s="31">
        <f t="shared" si="1057"/>
        <v>0</v>
      </c>
      <c r="AN80" s="31">
        <f t="shared" si="1057"/>
        <v>0</v>
      </c>
      <c r="AO80" s="31">
        <f t="shared" si="1057"/>
        <v>0</v>
      </c>
      <c r="AP80" s="31">
        <f t="shared" si="1057"/>
        <v>0</v>
      </c>
      <c r="AQ80" s="31">
        <f t="shared" si="1057"/>
        <v>0</v>
      </c>
      <c r="AR80" s="31">
        <f t="shared" si="1057"/>
        <v>0</v>
      </c>
      <c r="AS80" s="31">
        <f t="shared" si="1057"/>
        <v>0</v>
      </c>
      <c r="AT80" s="31">
        <f t="shared" si="1057"/>
        <v>0</v>
      </c>
      <c r="AU80" s="31">
        <f t="shared" si="1057"/>
        <v>0</v>
      </c>
      <c r="AV80" s="31">
        <f t="shared" si="1057"/>
        <v>0</v>
      </c>
      <c r="AW80" s="31">
        <f t="shared" si="1057"/>
        <v>0</v>
      </c>
      <c r="AX80" s="31">
        <f t="shared" si="1057"/>
        <v>0</v>
      </c>
      <c r="AY80" s="31">
        <f t="shared" si="1057"/>
        <v>0</v>
      </c>
      <c r="AZ80" s="62">
        <f t="shared" si="1057"/>
        <v>0</v>
      </c>
      <c r="BA80" s="30">
        <f t="shared" si="1057"/>
        <v>0</v>
      </c>
      <c r="BB80" s="31">
        <f t="shared" si="1057"/>
        <v>0</v>
      </c>
      <c r="BC80" s="31">
        <f t="shared" si="1057"/>
        <v>0</v>
      </c>
      <c r="BD80" s="31">
        <f t="shared" si="1057"/>
        <v>0</v>
      </c>
      <c r="BE80" s="31">
        <f t="shared" si="1057"/>
        <v>0</v>
      </c>
      <c r="BF80" s="31">
        <f t="shared" si="1057"/>
        <v>888.43026699999973</v>
      </c>
      <c r="BG80" s="31">
        <f t="shared" si="1057"/>
        <v>888.43026699999973</v>
      </c>
      <c r="BH80" s="31">
        <f t="shared" si="1057"/>
        <v>888.43026699999973</v>
      </c>
      <c r="BI80" s="31">
        <f t="shared" si="1057"/>
        <v>888.43026699999973</v>
      </c>
      <c r="BJ80" s="31">
        <f t="shared" si="1057"/>
        <v>888.43026699999973</v>
      </c>
      <c r="BK80" s="31">
        <f t="shared" si="1057"/>
        <v>888.43026699999973</v>
      </c>
      <c r="BL80" s="31">
        <f t="shared" si="1057"/>
        <v>0</v>
      </c>
      <c r="BM80" s="31">
        <f t="shared" si="1057"/>
        <v>0</v>
      </c>
      <c r="BN80" s="31">
        <f t="shared" si="1057"/>
        <v>0</v>
      </c>
      <c r="BO80" s="31">
        <f t="shared" si="1057"/>
        <v>0</v>
      </c>
      <c r="BP80" s="31">
        <f t="shared" ref="BP80:CU80" si="1058">IF(BP41="B",IF(BP78&gt;0,(BP78+BO79)/6,IF(BP79&gt;0,BO80,0)),IF(BP78&gt;0,(BP78+BO79)/12,IF(BP79&gt;0,BO80,0)))</f>
        <v>0</v>
      </c>
      <c r="BQ80" s="31">
        <f t="shared" si="1058"/>
        <v>0</v>
      </c>
      <c r="BR80" s="31">
        <f t="shared" si="1058"/>
        <v>0</v>
      </c>
      <c r="BS80" s="31">
        <f t="shared" si="1058"/>
        <v>0</v>
      </c>
      <c r="BT80" s="31">
        <f t="shared" si="1058"/>
        <v>0</v>
      </c>
      <c r="BU80" s="31">
        <f t="shared" si="1058"/>
        <v>0</v>
      </c>
      <c r="BV80" s="31">
        <f t="shared" si="1058"/>
        <v>0</v>
      </c>
      <c r="BW80" s="31">
        <f t="shared" si="1058"/>
        <v>0</v>
      </c>
      <c r="BX80" s="62">
        <f t="shared" si="1058"/>
        <v>0</v>
      </c>
      <c r="BY80" s="30">
        <f t="shared" si="1058"/>
        <v>0</v>
      </c>
      <c r="BZ80" s="31">
        <f t="shared" si="1058"/>
        <v>0</v>
      </c>
      <c r="CA80" s="31">
        <f t="shared" si="1058"/>
        <v>0</v>
      </c>
      <c r="CB80" s="31">
        <f t="shared" si="1058"/>
        <v>0</v>
      </c>
      <c r="CC80" s="31">
        <f t="shared" si="1058"/>
        <v>0</v>
      </c>
      <c r="CD80" s="31">
        <f t="shared" si="1058"/>
        <v>0</v>
      </c>
      <c r="CE80" s="31">
        <f t="shared" si="1058"/>
        <v>0</v>
      </c>
      <c r="CF80" s="31">
        <f t="shared" si="1058"/>
        <v>0</v>
      </c>
      <c r="CG80" s="31">
        <f t="shared" si="1058"/>
        <v>0</v>
      </c>
      <c r="CH80" s="31">
        <f t="shared" si="1058"/>
        <v>0</v>
      </c>
      <c r="CI80" s="31">
        <f t="shared" si="1058"/>
        <v>0</v>
      </c>
      <c r="CJ80" s="31">
        <f t="shared" si="1058"/>
        <v>0</v>
      </c>
      <c r="CK80" s="31">
        <f t="shared" si="1058"/>
        <v>0</v>
      </c>
      <c r="CL80" s="31">
        <f t="shared" si="1058"/>
        <v>0</v>
      </c>
      <c r="CM80" s="31">
        <f t="shared" si="1058"/>
        <v>0</v>
      </c>
      <c r="CN80" s="31">
        <f t="shared" si="1058"/>
        <v>0</v>
      </c>
      <c r="CO80" s="31">
        <f t="shared" si="1058"/>
        <v>0</v>
      </c>
      <c r="CP80" s="31">
        <f t="shared" si="1058"/>
        <v>0</v>
      </c>
      <c r="CQ80" s="31">
        <f t="shared" si="1058"/>
        <v>0</v>
      </c>
      <c r="CR80" s="31">
        <f t="shared" si="1058"/>
        <v>0</v>
      </c>
      <c r="CS80" s="31">
        <f t="shared" si="1058"/>
        <v>0</v>
      </c>
      <c r="CT80" s="31">
        <f t="shared" si="1058"/>
        <v>0</v>
      </c>
      <c r="CU80" s="31">
        <f t="shared" si="1058"/>
        <v>0</v>
      </c>
      <c r="CV80" s="62">
        <f t="shared" ref="CV80:DT80" si="1059">IF(CV41="B",IF(CV78&gt;0,(CV78+CU79)/6,IF(CV79&gt;0,CU80,0)),IF(CV78&gt;0,(CV78+CU79)/12,IF(CV79&gt;0,CU80,0)))</f>
        <v>0</v>
      </c>
      <c r="CW80" s="30">
        <f t="shared" si="1059"/>
        <v>0</v>
      </c>
      <c r="CX80" s="31">
        <f t="shared" si="1059"/>
        <v>0</v>
      </c>
      <c r="CY80" s="31">
        <f t="shared" si="1059"/>
        <v>0</v>
      </c>
      <c r="CZ80" s="31">
        <f t="shared" si="1059"/>
        <v>0</v>
      </c>
      <c r="DA80" s="31">
        <f t="shared" si="1059"/>
        <v>0</v>
      </c>
      <c r="DB80" s="31">
        <f t="shared" si="1059"/>
        <v>0</v>
      </c>
      <c r="DC80" s="31">
        <f t="shared" si="1059"/>
        <v>0</v>
      </c>
      <c r="DD80" s="31">
        <f t="shared" si="1059"/>
        <v>0</v>
      </c>
      <c r="DE80" s="31">
        <f t="shared" si="1059"/>
        <v>0</v>
      </c>
      <c r="DF80" s="31">
        <f t="shared" si="1059"/>
        <v>0</v>
      </c>
      <c r="DG80" s="31">
        <f t="shared" si="1059"/>
        <v>0</v>
      </c>
      <c r="DH80" s="31">
        <f t="shared" si="1059"/>
        <v>0</v>
      </c>
      <c r="DI80" s="31">
        <f t="shared" si="1059"/>
        <v>0</v>
      </c>
      <c r="DJ80" s="31">
        <f t="shared" si="1059"/>
        <v>0</v>
      </c>
      <c r="DK80" s="31">
        <f t="shared" si="1059"/>
        <v>0</v>
      </c>
      <c r="DL80" s="31">
        <f t="shared" si="1059"/>
        <v>0</v>
      </c>
      <c r="DM80" s="31">
        <f t="shared" si="1059"/>
        <v>0</v>
      </c>
      <c r="DN80" s="31">
        <f t="shared" si="1059"/>
        <v>0</v>
      </c>
      <c r="DO80" s="31">
        <f t="shared" si="1059"/>
        <v>0</v>
      </c>
      <c r="DP80" s="31">
        <f t="shared" si="1059"/>
        <v>0</v>
      </c>
      <c r="DQ80" s="31">
        <f t="shared" si="1059"/>
        <v>0</v>
      </c>
      <c r="DR80" s="31">
        <f t="shared" si="1059"/>
        <v>0</v>
      </c>
      <c r="DS80" s="31">
        <f t="shared" si="1059"/>
        <v>0</v>
      </c>
      <c r="DT80" s="62">
        <f t="shared" si="1059"/>
        <v>0</v>
      </c>
    </row>
    <row r="81" spans="2:124" x14ac:dyDescent="0.2">
      <c r="B81" s="3" t="s">
        <v>52</v>
      </c>
      <c r="D81" s="145">
        <f t="shared" ref="D81:AI81" si="1060">IF(D41="B",IF(D79&gt;=0,C81+D80/6,IF(C81&lt;=1,0,C81-C82)),IF(D79&gt;=0,C81+D80/12,IF(C81&lt;=1,0,C81-C82)))</f>
        <v>0</v>
      </c>
      <c r="E81" s="31">
        <f>IF(E41="B",IF(E79&gt;=0,D81+E80/6,IF(D81&lt;=1,0,D81-D82)),IF(E79&gt;=0,D81+E80/12,IF(D81&lt;=1,0,D81-D82)))</f>
        <v>68.740162037037038</v>
      </c>
      <c r="F81" s="31">
        <f t="shared" si="1060"/>
        <v>137.48032407407408</v>
      </c>
      <c r="G81" s="31">
        <f t="shared" si="1060"/>
        <v>206.22048611111111</v>
      </c>
      <c r="H81" s="31">
        <f t="shared" si="1060"/>
        <v>343.70081018518522</v>
      </c>
      <c r="I81" s="31">
        <f t="shared" si="1060"/>
        <v>481.1811342592593</v>
      </c>
      <c r="J81" s="31">
        <f t="shared" si="1060"/>
        <v>618.66145833333337</v>
      </c>
      <c r="K81" s="31">
        <f t="shared" si="1060"/>
        <v>756.14178240740739</v>
      </c>
      <c r="L81" s="31">
        <f t="shared" si="1060"/>
        <v>919.33581481481485</v>
      </c>
      <c r="M81" s="31">
        <f t="shared" si="1060"/>
        <v>1082.5298472222223</v>
      </c>
      <c r="N81" s="31">
        <f t="shared" si="1060"/>
        <v>1245.7238796296297</v>
      </c>
      <c r="O81" s="31">
        <f t="shared" si="1060"/>
        <v>1408.917912037037</v>
      </c>
      <c r="P81" s="31">
        <f t="shared" si="1060"/>
        <v>1516.5381587962963</v>
      </c>
      <c r="Q81" s="31">
        <f t="shared" si="1060"/>
        <v>1624.1584055555556</v>
      </c>
      <c r="R81" s="31">
        <f t="shared" si="1060"/>
        <v>1731.778652314815</v>
      </c>
      <c r="S81" s="31">
        <f t="shared" si="1060"/>
        <v>1839.3988990740743</v>
      </c>
      <c r="T81" s="31">
        <f t="shared" si="1060"/>
        <v>1947.0191458333336</v>
      </c>
      <c r="U81" s="31">
        <f t="shared" si="1060"/>
        <v>2054.6393925925927</v>
      </c>
      <c r="V81" s="31">
        <f t="shared" si="1060"/>
        <v>2113.7295478858027</v>
      </c>
      <c r="W81" s="31">
        <f t="shared" si="1060"/>
        <v>2172.8197031790128</v>
      </c>
      <c r="X81" s="31">
        <f t="shared" si="1060"/>
        <v>2231.9098584722228</v>
      </c>
      <c r="Y81" s="31">
        <f t="shared" si="1060"/>
        <v>2291.0000137654329</v>
      </c>
      <c r="Z81" s="31">
        <f t="shared" si="1060"/>
        <v>2320.5450914120379</v>
      </c>
      <c r="AA81" s="31">
        <f t="shared" si="1060"/>
        <v>2350.0901690586429</v>
      </c>
      <c r="AB81" s="62">
        <f t="shared" si="1060"/>
        <v>1760.7295852932107</v>
      </c>
      <c r="AC81" s="31">
        <f t="shared" si="1060"/>
        <v>1760.7295852932107</v>
      </c>
      <c r="AD81" s="31">
        <f t="shared" si="1060"/>
        <v>1760.7295852932107</v>
      </c>
      <c r="AE81" s="31">
        <f t="shared" si="1060"/>
        <v>1760.7295852932107</v>
      </c>
      <c r="AF81" s="31">
        <f t="shared" si="1060"/>
        <v>1760.7295852932107</v>
      </c>
      <c r="AG81" s="31">
        <f t="shared" si="1060"/>
        <v>1760.7295852932107</v>
      </c>
      <c r="AH81" s="31">
        <f t="shared" si="1060"/>
        <v>1760.7295852932107</v>
      </c>
      <c r="AI81" s="31">
        <f t="shared" si="1060"/>
        <v>1760.7295852932107</v>
      </c>
      <c r="AJ81" s="31">
        <f t="shared" ref="AJ81:BO81" si="1061">IF(AJ41="B",IF(AJ79&gt;=0,AI81+AJ80/6,IF(AI81&lt;=1,0,AI81-AI82)),IF(AJ79&gt;=0,AI81+AJ80/12,IF(AI81&lt;=1,0,AI81-AI82)))</f>
        <v>1760.7295852932107</v>
      </c>
      <c r="AK81" s="31">
        <f t="shared" si="1061"/>
        <v>1760.7295852932107</v>
      </c>
      <c r="AL81" s="31">
        <f t="shared" si="1061"/>
        <v>1760.7295852932107</v>
      </c>
      <c r="AM81" s="31">
        <f t="shared" si="1061"/>
        <v>1760.7295852932107</v>
      </c>
      <c r="AN81" s="31">
        <f t="shared" si="1061"/>
        <v>1760.7295852932107</v>
      </c>
      <c r="AO81" s="31">
        <f t="shared" si="1061"/>
        <v>1760.7295852932107</v>
      </c>
      <c r="AP81" s="31">
        <f t="shared" si="1061"/>
        <v>1760.7295852932107</v>
      </c>
      <c r="AQ81" s="31">
        <f t="shared" si="1061"/>
        <v>1760.7295852932107</v>
      </c>
      <c r="AR81" s="31">
        <f t="shared" si="1061"/>
        <v>1760.7295852932107</v>
      </c>
      <c r="AS81" s="31">
        <f t="shared" si="1061"/>
        <v>1760.7295852932107</v>
      </c>
      <c r="AT81" s="31">
        <f t="shared" si="1061"/>
        <v>1760.7295852932107</v>
      </c>
      <c r="AU81" s="31">
        <f t="shared" si="1061"/>
        <v>1760.7295852932107</v>
      </c>
      <c r="AV81" s="31">
        <f t="shared" si="1061"/>
        <v>1760.7295852932107</v>
      </c>
      <c r="AW81" s="31">
        <f t="shared" si="1061"/>
        <v>1760.7295852932107</v>
      </c>
      <c r="AX81" s="31">
        <f t="shared" si="1061"/>
        <v>1760.7295852932107</v>
      </c>
      <c r="AY81" s="31">
        <f t="shared" si="1061"/>
        <v>1760.7295852932107</v>
      </c>
      <c r="AZ81" s="62">
        <f t="shared" si="1061"/>
        <v>1760.7295852932107</v>
      </c>
      <c r="BA81" s="31">
        <f t="shared" si="1061"/>
        <v>1760.7295852932107</v>
      </c>
      <c r="BB81" s="31">
        <f t="shared" si="1061"/>
        <v>1760.7295852932107</v>
      </c>
      <c r="BC81" s="31">
        <f t="shared" si="1061"/>
        <v>1760.7295852932107</v>
      </c>
      <c r="BD81" s="31">
        <f t="shared" si="1061"/>
        <v>1760.7295852932107</v>
      </c>
      <c r="BE81" s="31">
        <f t="shared" si="1061"/>
        <v>1760.7295852932107</v>
      </c>
      <c r="BF81" s="31">
        <f t="shared" si="1061"/>
        <v>1908.8012964598772</v>
      </c>
      <c r="BG81" s="31">
        <f t="shared" si="1061"/>
        <v>2056.8730076265438</v>
      </c>
      <c r="BH81" s="31">
        <f t="shared" si="1061"/>
        <v>2204.9447187932105</v>
      </c>
      <c r="BI81" s="31">
        <f t="shared" si="1061"/>
        <v>2353.0164299598773</v>
      </c>
      <c r="BJ81" s="31">
        <f t="shared" si="1061"/>
        <v>2501.0881411265441</v>
      </c>
      <c r="BK81" s="31">
        <f t="shared" si="1061"/>
        <v>2649.1598522932109</v>
      </c>
      <c r="BL81" s="31">
        <f t="shared" si="1061"/>
        <v>2649.1598522932109</v>
      </c>
      <c r="BM81" s="31">
        <f t="shared" si="1061"/>
        <v>2649.1598522932109</v>
      </c>
      <c r="BN81" s="31">
        <f t="shared" si="1061"/>
        <v>2649.1598522932109</v>
      </c>
      <c r="BO81" s="31">
        <f t="shared" si="1061"/>
        <v>2649.1598522932109</v>
      </c>
      <c r="BP81" s="31">
        <f t="shared" ref="BP81:CU81" si="1062">IF(BP41="B",IF(BP79&gt;=0,BO81+BP80/6,IF(BO81&lt;=1,0,BO81-BO82)),IF(BP79&gt;=0,BO81+BP80/12,IF(BO81&lt;=1,0,BO81-BO82)))</f>
        <v>2649.1598522932109</v>
      </c>
      <c r="BQ81" s="31">
        <f t="shared" si="1062"/>
        <v>2649.1598522932109</v>
      </c>
      <c r="BR81" s="31">
        <f t="shared" si="1062"/>
        <v>2649.1598522932109</v>
      </c>
      <c r="BS81" s="31">
        <f t="shared" si="1062"/>
        <v>2649.1598522932109</v>
      </c>
      <c r="BT81" s="31">
        <f t="shared" si="1062"/>
        <v>2649.1598522932109</v>
      </c>
      <c r="BU81" s="31">
        <f t="shared" si="1062"/>
        <v>2649.1598522932109</v>
      </c>
      <c r="BV81" s="31">
        <f t="shared" si="1062"/>
        <v>2649.1598522932109</v>
      </c>
      <c r="BW81" s="31">
        <f t="shared" si="1062"/>
        <v>2649.1598522932109</v>
      </c>
      <c r="BX81" s="62">
        <f t="shared" si="1062"/>
        <v>2649.1598522932109</v>
      </c>
      <c r="BY81" s="31">
        <f t="shared" si="1062"/>
        <v>2649.1598522932109</v>
      </c>
      <c r="BZ81" s="31">
        <f t="shared" si="1062"/>
        <v>2649.1598522932109</v>
      </c>
      <c r="CA81" s="31">
        <f t="shared" si="1062"/>
        <v>2649.1598522932109</v>
      </c>
      <c r="CB81" s="31">
        <f t="shared" si="1062"/>
        <v>2649.1598522932109</v>
      </c>
      <c r="CC81" s="31">
        <f t="shared" si="1062"/>
        <v>2649.1598522932109</v>
      </c>
      <c r="CD81" s="31">
        <f t="shared" si="1062"/>
        <v>2649.1598522932109</v>
      </c>
      <c r="CE81" s="31">
        <f t="shared" si="1062"/>
        <v>2649.1598522932109</v>
      </c>
      <c r="CF81" s="31">
        <f t="shared" si="1062"/>
        <v>2649.1598522932109</v>
      </c>
      <c r="CG81" s="31">
        <f t="shared" si="1062"/>
        <v>2649.1598522932109</v>
      </c>
      <c r="CH81" s="31">
        <f t="shared" si="1062"/>
        <v>2649.1598522932109</v>
      </c>
      <c r="CI81" s="31">
        <f t="shared" si="1062"/>
        <v>2649.1598522932109</v>
      </c>
      <c r="CJ81" s="31">
        <f t="shared" si="1062"/>
        <v>2649.1598522932109</v>
      </c>
      <c r="CK81" s="31">
        <f t="shared" si="1062"/>
        <v>2649.1598522932109</v>
      </c>
      <c r="CL81" s="31">
        <f t="shared" si="1062"/>
        <v>2649.1598522932109</v>
      </c>
      <c r="CM81" s="31">
        <f t="shared" si="1062"/>
        <v>2649.1598522932109</v>
      </c>
      <c r="CN81" s="31">
        <f t="shared" si="1062"/>
        <v>2649.1598522932109</v>
      </c>
      <c r="CO81" s="31">
        <f t="shared" si="1062"/>
        <v>2649.1598522932109</v>
      </c>
      <c r="CP81" s="31">
        <f t="shared" si="1062"/>
        <v>2649.1598522932109</v>
      </c>
      <c r="CQ81" s="31">
        <f t="shared" si="1062"/>
        <v>2649.1598522932109</v>
      </c>
      <c r="CR81" s="31">
        <f t="shared" si="1062"/>
        <v>2649.1598522932109</v>
      </c>
      <c r="CS81" s="31">
        <f t="shared" si="1062"/>
        <v>2649.1598522932109</v>
      </c>
      <c r="CT81" s="31">
        <f t="shared" si="1062"/>
        <v>2649.1598522932109</v>
      </c>
      <c r="CU81" s="31">
        <f t="shared" si="1062"/>
        <v>2649.1598522932109</v>
      </c>
      <c r="CV81" s="62">
        <f t="shared" ref="CV81:DT81" si="1063">IF(CV41="B",IF(CV79&gt;=0,CU81+CV80/6,IF(CU81&lt;=1,0,CU81-CU82)),IF(CV79&gt;=0,CU81+CV80/12,IF(CU81&lt;=1,0,CU81-CU82)))</f>
        <v>2649.1598522932109</v>
      </c>
      <c r="CW81" s="31">
        <f t="shared" si="1063"/>
        <v>2649.1598522932109</v>
      </c>
      <c r="CX81" s="31">
        <f t="shared" si="1063"/>
        <v>2649.1598522932109</v>
      </c>
      <c r="CY81" s="31">
        <f t="shared" si="1063"/>
        <v>2649.1598522932109</v>
      </c>
      <c r="CZ81" s="31">
        <f t="shared" si="1063"/>
        <v>2649.1598522932109</v>
      </c>
      <c r="DA81" s="31">
        <f t="shared" si="1063"/>
        <v>2649.1598522932109</v>
      </c>
      <c r="DB81" s="31">
        <f t="shared" si="1063"/>
        <v>2649.1598522932109</v>
      </c>
      <c r="DC81" s="31">
        <f t="shared" si="1063"/>
        <v>2649.1598522932109</v>
      </c>
      <c r="DD81" s="31">
        <f t="shared" si="1063"/>
        <v>2649.1598522932109</v>
      </c>
      <c r="DE81" s="31">
        <f t="shared" si="1063"/>
        <v>2649.1598522932109</v>
      </c>
      <c r="DF81" s="31">
        <f t="shared" si="1063"/>
        <v>2649.1598522932109</v>
      </c>
      <c r="DG81" s="31">
        <f t="shared" si="1063"/>
        <v>2649.1598522932109</v>
      </c>
      <c r="DH81" s="31">
        <f t="shared" si="1063"/>
        <v>2649.1598522932109</v>
      </c>
      <c r="DI81" s="31">
        <f t="shared" si="1063"/>
        <v>2649.1598522932109</v>
      </c>
      <c r="DJ81" s="31">
        <f t="shared" si="1063"/>
        <v>2649.1598522932109</v>
      </c>
      <c r="DK81" s="31">
        <f t="shared" si="1063"/>
        <v>2649.1598522932109</v>
      </c>
      <c r="DL81" s="31">
        <f t="shared" si="1063"/>
        <v>2649.1598522932109</v>
      </c>
      <c r="DM81" s="31">
        <f t="shared" si="1063"/>
        <v>2649.1598522932109</v>
      </c>
      <c r="DN81" s="31">
        <f t="shared" si="1063"/>
        <v>2649.1598522932109</v>
      </c>
      <c r="DO81" s="31">
        <f t="shared" si="1063"/>
        <v>2649.1598522932109</v>
      </c>
      <c r="DP81" s="31">
        <f t="shared" si="1063"/>
        <v>2649.1598522932109</v>
      </c>
      <c r="DQ81" s="31">
        <f t="shared" si="1063"/>
        <v>2649.1598522932109</v>
      </c>
      <c r="DR81" s="31">
        <f t="shared" si="1063"/>
        <v>2649.1598522932109</v>
      </c>
      <c r="DS81" s="31">
        <f t="shared" si="1063"/>
        <v>2649.1598522932109</v>
      </c>
      <c r="DT81" s="62">
        <f t="shared" si="1063"/>
        <v>2649.1598522932109</v>
      </c>
    </row>
    <row r="82" spans="2:124" x14ac:dyDescent="0.2">
      <c r="B82" s="3" t="s">
        <v>53</v>
      </c>
      <c r="D82" s="145">
        <f t="shared" ref="D82:AI82" si="1064">IF(D41="B",IF(D78&gt;0,(D78+C81)/6,IF(D81&gt;0,C82,0)),IF(D78&gt;0,(D78+C81)/12,IF(D81&gt;0,C82,0)))</f>
        <v>0</v>
      </c>
      <c r="E82" s="31">
        <f t="shared" si="1064"/>
        <v>788.08333333333337</v>
      </c>
      <c r="F82" s="31">
        <f t="shared" si="1064"/>
        <v>788.08333333333337</v>
      </c>
      <c r="G82" s="31">
        <f t="shared" si="1064"/>
        <v>788.08333333333337</v>
      </c>
      <c r="H82" s="31">
        <f t="shared" si="1064"/>
        <v>788.08333333333337</v>
      </c>
      <c r="I82" s="31">
        <f>IF(I41="B",IF(I78&gt;0,(I78+H81)/6,IF(I81&gt;0,H82,0)),IF(I78&gt;0,(I78+H81)/12,IF(I81&gt;0,H82,0)))</f>
        <v>788.08333333333337</v>
      </c>
      <c r="J82" s="31">
        <f t="shared" si="1064"/>
        <v>788.08333333333337</v>
      </c>
      <c r="K82" s="31">
        <f t="shared" si="1064"/>
        <v>788.08333333333337</v>
      </c>
      <c r="L82" s="31">
        <f t="shared" si="1064"/>
        <v>280.30588040123484</v>
      </c>
      <c r="M82" s="31">
        <f t="shared" si="1064"/>
        <v>280.30588040123484</v>
      </c>
      <c r="N82" s="31">
        <f t="shared" si="1064"/>
        <v>280.30588040123484</v>
      </c>
      <c r="O82" s="31">
        <f t="shared" si="1064"/>
        <v>280.30588040123484</v>
      </c>
      <c r="P82" s="31">
        <f t="shared" si="1064"/>
        <v>390.95903533950622</v>
      </c>
      <c r="Q82" s="31">
        <f t="shared" si="1064"/>
        <v>390.95903533950622</v>
      </c>
      <c r="R82" s="31">
        <f t="shared" si="1064"/>
        <v>390.95903533950622</v>
      </c>
      <c r="S82" s="31">
        <f t="shared" si="1064"/>
        <v>390.95903533950622</v>
      </c>
      <c r="T82" s="31">
        <f t="shared" si="1064"/>
        <v>390.95903533950622</v>
      </c>
      <c r="U82" s="31">
        <f t="shared" si="1064"/>
        <v>390.95903533950622</v>
      </c>
      <c r="V82" s="31">
        <f t="shared" si="1064"/>
        <v>589.36058376543224</v>
      </c>
      <c r="W82" s="31">
        <f t="shared" si="1064"/>
        <v>589.36058376543224</v>
      </c>
      <c r="X82" s="31">
        <f t="shared" si="1064"/>
        <v>589.36058376543224</v>
      </c>
      <c r="Y82" s="31">
        <f t="shared" si="1064"/>
        <v>589.36058376543224</v>
      </c>
      <c r="Z82" s="31">
        <f t="shared" si="1064"/>
        <v>589.36058376543224</v>
      </c>
      <c r="AA82" s="31">
        <f t="shared" si="1064"/>
        <v>589.36058376543224</v>
      </c>
      <c r="AB82" s="62">
        <f t="shared" si="1064"/>
        <v>589.36058376543224</v>
      </c>
      <c r="AC82" s="31">
        <f t="shared" si="1064"/>
        <v>589.36058376543224</v>
      </c>
      <c r="AD82" s="31">
        <f t="shared" si="1064"/>
        <v>589.36058376543224</v>
      </c>
      <c r="AE82" s="31">
        <f t="shared" si="1064"/>
        <v>589.36058376543224</v>
      </c>
      <c r="AF82" s="31">
        <f t="shared" si="1064"/>
        <v>589.36058376543224</v>
      </c>
      <c r="AG82" s="31">
        <f t="shared" si="1064"/>
        <v>589.36058376543224</v>
      </c>
      <c r="AH82" s="31">
        <f t="shared" si="1064"/>
        <v>589.36058376543224</v>
      </c>
      <c r="AI82" s="31">
        <f t="shared" si="1064"/>
        <v>589.36058376543224</v>
      </c>
      <c r="AJ82" s="31">
        <f t="shared" ref="AJ82:BO82" si="1065">IF(AJ41="B",IF(AJ78&gt;0,(AJ78+AI81)/6,IF(AJ81&gt;0,AI82,0)),IF(AJ78&gt;0,(AJ78+AI81)/12,IF(AJ81&gt;0,AI82,0)))</f>
        <v>589.36058376543224</v>
      </c>
      <c r="AK82" s="31">
        <f t="shared" si="1065"/>
        <v>589.36058376543224</v>
      </c>
      <c r="AL82" s="31">
        <f t="shared" si="1065"/>
        <v>589.36058376543224</v>
      </c>
      <c r="AM82" s="31">
        <f t="shared" si="1065"/>
        <v>589.36058376543224</v>
      </c>
      <c r="AN82" s="31">
        <f t="shared" si="1065"/>
        <v>589.36058376543224</v>
      </c>
      <c r="AO82" s="31">
        <f t="shared" si="1065"/>
        <v>589.36058376543224</v>
      </c>
      <c r="AP82" s="31">
        <f t="shared" si="1065"/>
        <v>589.36058376543224</v>
      </c>
      <c r="AQ82" s="31">
        <f t="shared" si="1065"/>
        <v>589.36058376543224</v>
      </c>
      <c r="AR82" s="31">
        <f t="shared" si="1065"/>
        <v>589.36058376543224</v>
      </c>
      <c r="AS82" s="31">
        <f t="shared" si="1065"/>
        <v>589.36058376543224</v>
      </c>
      <c r="AT82" s="31">
        <f t="shared" si="1065"/>
        <v>589.36058376543224</v>
      </c>
      <c r="AU82" s="31">
        <f t="shared" si="1065"/>
        <v>589.36058376543224</v>
      </c>
      <c r="AV82" s="31">
        <f t="shared" si="1065"/>
        <v>589.36058376543224</v>
      </c>
      <c r="AW82" s="31">
        <f t="shared" si="1065"/>
        <v>589.36058376543224</v>
      </c>
      <c r="AX82" s="31">
        <f t="shared" si="1065"/>
        <v>589.36058376543224</v>
      </c>
      <c r="AY82" s="31">
        <f t="shared" si="1065"/>
        <v>589.36058376543224</v>
      </c>
      <c r="AZ82" s="62">
        <f t="shared" si="1065"/>
        <v>589.36058376543224</v>
      </c>
      <c r="BA82" s="30">
        <f t="shared" si="1065"/>
        <v>589.36058376543224</v>
      </c>
      <c r="BB82" s="31">
        <f t="shared" si="1065"/>
        <v>589.36058376543224</v>
      </c>
      <c r="BC82" s="31">
        <f t="shared" si="1065"/>
        <v>589.36058376543224</v>
      </c>
      <c r="BD82" s="31">
        <f t="shared" si="1065"/>
        <v>589.36058376543224</v>
      </c>
      <c r="BE82" s="31">
        <f t="shared" si="1065"/>
        <v>589.36058376543224</v>
      </c>
      <c r="BF82" s="31">
        <f t="shared" si="1065"/>
        <v>1181.8851978822015</v>
      </c>
      <c r="BG82" s="31">
        <f t="shared" si="1065"/>
        <v>1181.8851978822015</v>
      </c>
      <c r="BH82" s="31">
        <f t="shared" si="1065"/>
        <v>1181.8851978822015</v>
      </c>
      <c r="BI82" s="31">
        <f t="shared" si="1065"/>
        <v>1181.8851978822015</v>
      </c>
      <c r="BJ82" s="31">
        <f t="shared" si="1065"/>
        <v>1181.8851978822015</v>
      </c>
      <c r="BK82" s="31">
        <f t="shared" si="1065"/>
        <v>1181.8851978822015</v>
      </c>
      <c r="BL82" s="31">
        <f t="shared" si="1065"/>
        <v>1181.8851978822015</v>
      </c>
      <c r="BM82" s="31">
        <f t="shared" si="1065"/>
        <v>1181.8851978822015</v>
      </c>
      <c r="BN82" s="31">
        <f t="shared" si="1065"/>
        <v>1181.8851978822015</v>
      </c>
      <c r="BO82" s="31">
        <f t="shared" si="1065"/>
        <v>1181.8851978822015</v>
      </c>
      <c r="BP82" s="31">
        <f t="shared" ref="BP82:CU82" si="1066">IF(BP41="B",IF(BP78&gt;0,(BP78+BO81)/6,IF(BP81&gt;0,BO82,0)),IF(BP78&gt;0,(BP78+BO81)/12,IF(BP81&gt;0,BO82,0)))</f>
        <v>1181.8851978822015</v>
      </c>
      <c r="BQ82" s="31">
        <f t="shared" si="1066"/>
        <v>1181.8851978822015</v>
      </c>
      <c r="BR82" s="31">
        <f t="shared" si="1066"/>
        <v>1181.8851978822015</v>
      </c>
      <c r="BS82" s="31">
        <f t="shared" si="1066"/>
        <v>1181.8851978822015</v>
      </c>
      <c r="BT82" s="31">
        <f t="shared" si="1066"/>
        <v>1181.8851978822015</v>
      </c>
      <c r="BU82" s="31">
        <f t="shared" si="1066"/>
        <v>1181.8851978822015</v>
      </c>
      <c r="BV82" s="31">
        <f t="shared" si="1066"/>
        <v>1181.8851978822015</v>
      </c>
      <c r="BW82" s="31">
        <f t="shared" si="1066"/>
        <v>1181.8851978822015</v>
      </c>
      <c r="BX82" s="62">
        <f t="shared" si="1066"/>
        <v>1181.8851978822015</v>
      </c>
      <c r="BY82" s="30">
        <f t="shared" si="1066"/>
        <v>1181.8851978822015</v>
      </c>
      <c r="BZ82" s="31">
        <f t="shared" si="1066"/>
        <v>1181.8851978822015</v>
      </c>
      <c r="CA82" s="31">
        <f t="shared" si="1066"/>
        <v>1181.8851978822015</v>
      </c>
      <c r="CB82" s="31">
        <f t="shared" si="1066"/>
        <v>1181.8851978822015</v>
      </c>
      <c r="CC82" s="31">
        <f t="shared" si="1066"/>
        <v>1181.8851978822015</v>
      </c>
      <c r="CD82" s="31">
        <f t="shared" si="1066"/>
        <v>1181.8851978822015</v>
      </c>
      <c r="CE82" s="31">
        <f t="shared" si="1066"/>
        <v>1181.8851978822015</v>
      </c>
      <c r="CF82" s="31">
        <f t="shared" si="1066"/>
        <v>1181.8851978822015</v>
      </c>
      <c r="CG82" s="31">
        <f t="shared" si="1066"/>
        <v>1181.8851978822015</v>
      </c>
      <c r="CH82" s="31">
        <f t="shared" si="1066"/>
        <v>1181.8851978822015</v>
      </c>
      <c r="CI82" s="31">
        <f t="shared" si="1066"/>
        <v>1181.8851978822015</v>
      </c>
      <c r="CJ82" s="31">
        <f t="shared" si="1066"/>
        <v>1181.8851978822015</v>
      </c>
      <c r="CK82" s="31">
        <f t="shared" si="1066"/>
        <v>1181.8851978822015</v>
      </c>
      <c r="CL82" s="31">
        <f t="shared" si="1066"/>
        <v>1181.8851978822015</v>
      </c>
      <c r="CM82" s="31">
        <f t="shared" si="1066"/>
        <v>1181.8851978822015</v>
      </c>
      <c r="CN82" s="31">
        <f t="shared" si="1066"/>
        <v>1181.8851978822015</v>
      </c>
      <c r="CO82" s="31">
        <f t="shared" si="1066"/>
        <v>1181.8851978822015</v>
      </c>
      <c r="CP82" s="31">
        <f t="shared" si="1066"/>
        <v>1181.8851978822015</v>
      </c>
      <c r="CQ82" s="31">
        <f t="shared" si="1066"/>
        <v>1181.8851978822015</v>
      </c>
      <c r="CR82" s="31">
        <f t="shared" si="1066"/>
        <v>1181.8851978822015</v>
      </c>
      <c r="CS82" s="31">
        <f t="shared" si="1066"/>
        <v>1181.8851978822015</v>
      </c>
      <c r="CT82" s="31">
        <f t="shared" si="1066"/>
        <v>1181.8851978822015</v>
      </c>
      <c r="CU82" s="31">
        <f t="shared" si="1066"/>
        <v>1181.8851978822015</v>
      </c>
      <c r="CV82" s="62">
        <f t="shared" ref="CV82:DT82" si="1067">IF(CV41="B",IF(CV78&gt;0,(CV78+CU81)/6,IF(CV81&gt;0,CU82,0)),IF(CV78&gt;0,(CV78+CU81)/12,IF(CV81&gt;0,CU82,0)))</f>
        <v>1181.8851978822015</v>
      </c>
      <c r="CW82" s="30">
        <f t="shared" si="1067"/>
        <v>1181.8851978822015</v>
      </c>
      <c r="CX82" s="31">
        <f t="shared" si="1067"/>
        <v>1181.8851978822015</v>
      </c>
      <c r="CY82" s="31">
        <f t="shared" si="1067"/>
        <v>1181.8851978822015</v>
      </c>
      <c r="CZ82" s="31">
        <f t="shared" si="1067"/>
        <v>1181.8851978822015</v>
      </c>
      <c r="DA82" s="31">
        <f t="shared" si="1067"/>
        <v>1181.8851978822015</v>
      </c>
      <c r="DB82" s="31">
        <f t="shared" si="1067"/>
        <v>1181.8851978822015</v>
      </c>
      <c r="DC82" s="31">
        <f t="shared" si="1067"/>
        <v>1181.8851978822015</v>
      </c>
      <c r="DD82" s="31">
        <f t="shared" si="1067"/>
        <v>1181.8851978822015</v>
      </c>
      <c r="DE82" s="31">
        <f t="shared" si="1067"/>
        <v>1181.8851978822015</v>
      </c>
      <c r="DF82" s="31">
        <f t="shared" si="1067"/>
        <v>1181.8851978822015</v>
      </c>
      <c r="DG82" s="31">
        <f t="shared" si="1067"/>
        <v>1181.8851978822015</v>
      </c>
      <c r="DH82" s="31">
        <f t="shared" si="1067"/>
        <v>1181.8851978822015</v>
      </c>
      <c r="DI82" s="31">
        <f t="shared" si="1067"/>
        <v>1181.8851978822015</v>
      </c>
      <c r="DJ82" s="31">
        <f t="shared" si="1067"/>
        <v>1181.8851978822015</v>
      </c>
      <c r="DK82" s="31">
        <f t="shared" si="1067"/>
        <v>1181.8851978822015</v>
      </c>
      <c r="DL82" s="31">
        <f t="shared" si="1067"/>
        <v>1181.8851978822015</v>
      </c>
      <c r="DM82" s="31">
        <f t="shared" si="1067"/>
        <v>1181.8851978822015</v>
      </c>
      <c r="DN82" s="31">
        <f t="shared" si="1067"/>
        <v>1181.8851978822015</v>
      </c>
      <c r="DO82" s="31">
        <f t="shared" si="1067"/>
        <v>1181.8851978822015</v>
      </c>
      <c r="DP82" s="31">
        <f t="shared" si="1067"/>
        <v>1181.8851978822015</v>
      </c>
      <c r="DQ82" s="31">
        <f t="shared" si="1067"/>
        <v>1181.8851978822015</v>
      </c>
      <c r="DR82" s="31">
        <f t="shared" si="1067"/>
        <v>1181.8851978822015</v>
      </c>
      <c r="DS82" s="31">
        <f t="shared" si="1067"/>
        <v>1181.8851978822015</v>
      </c>
      <c r="DT82" s="62">
        <f t="shared" si="1067"/>
        <v>1181.8851978822015</v>
      </c>
    </row>
    <row r="83" spans="2:124" x14ac:dyDescent="0.2">
      <c r="B83" s="3" t="s">
        <v>54</v>
      </c>
      <c r="D83" s="145">
        <v>0</v>
      </c>
      <c r="E83" s="31">
        <f t="shared" ref="E83:F83" si="1068">IF(D92="BAB",D84-D85*3,IF(E81&gt;=1,D84+E82,IF(D84&lt;=1,0,D84-D85)))</f>
        <v>788.08333333333337</v>
      </c>
      <c r="F83" s="31">
        <f t="shared" si="1068"/>
        <v>1609.0034722222222</v>
      </c>
      <c r="G83" s="31">
        <f t="shared" ref="G83" si="1069">IF(F92="BAB",F84-F85*3,IF(G81&gt;=1,F84+G82,IF(F84&lt;=1,0,F84-F85)))</f>
        <v>2429.9236111111113</v>
      </c>
      <c r="H83" s="31">
        <f t="shared" ref="H83" si="1070">IF(G92="BAB",G84-G85*3,IF(H81&gt;=1,G84+H82,IF(G84&lt;=1,0,G84-G85)))</f>
        <v>3250.8437500000005</v>
      </c>
      <c r="I83" s="31">
        <f t="shared" ref="I83" si="1071">IF(H92="BAB",H84-H85*3,IF(I81&gt;=1,H84+I82,IF(H84&lt;=1,0,H84-H85)))</f>
        <v>4071.7638888888896</v>
      </c>
      <c r="J83" s="31">
        <f t="shared" ref="J83" si="1072">IF(I92="BAB",I84-I85*3,IF(J81&gt;=1,I84+J82,IF(I84&lt;=1,0,I84-I85)))</f>
        <v>4925.5208333333339</v>
      </c>
      <c r="K83" s="31">
        <f t="shared" ref="K83" si="1073">IF(J92="BAB",J84-J85*3,IF(K81&gt;=1,J84+K82,IF(J84&lt;=1,0,J84-J85)))</f>
        <v>5779.2777777777783</v>
      </c>
      <c r="L83" s="31">
        <f t="shared" ref="L83" si="1074">IF(K92="BAB",K84-K85*3,IF(L81&gt;=1,K84+L82,IF(K84&lt;=1,0,K84-K85)))</f>
        <v>4091.4659722222227</v>
      </c>
      <c r="M83" s="31">
        <f t="shared" ref="M83" si="1075">IF(L92="BAB",L84-L85*3,IF(M81&gt;=1,L84+M82,IF(L84&lt;=1,0,L84-L85)))</f>
        <v>303.66470376800441</v>
      </c>
      <c r="N83" s="31">
        <f t="shared" ref="N83" si="1076">IF(M92="BAB",M84-M85*3,IF(N81&gt;=1,M84+N82,IF(M84&lt;=1,0,M84-M85)))</f>
        <v>607.32940753600883</v>
      </c>
      <c r="O83" s="31">
        <f t="shared" ref="O83" si="1077">IF(N92="BAB",N84-N85*3,IF(O81&gt;=1,N84+O82,IF(N84&lt;=1,0,N84-N85)))</f>
        <v>910.99411130401324</v>
      </c>
      <c r="P83" s="31">
        <f t="shared" ref="P83" si="1078">IF(O92="BAB",O84-O85*3,IF(P81&gt;=1,O84+P82,IF(O84&lt;=1,0,O84-O85)))</f>
        <v>1325.3119700102891</v>
      </c>
      <c r="Q83" s="31">
        <f t="shared" ref="Q83" si="1079">IF(P92="BAB",P84-P85*3,IF(Q81&gt;=1,P84+Q82,IF(P84&lt;=1,0,P84-P85)))</f>
        <v>1748.8509249614208</v>
      </c>
      <c r="R83" s="31">
        <f t="shared" ref="R83" si="1080">IF(Q92="BAB",Q84-Q85*3,IF(R81&gt;=1,Q84+R82,IF(Q84&lt;=1,0,Q84-Q85)))</f>
        <v>2172.3898799125523</v>
      </c>
      <c r="S83" s="31">
        <f t="shared" ref="S83" si="1081">IF(R92="BAB",R84-R85*3,IF(S81&gt;=1,R84+S82,IF(R84&lt;=1,0,R84-R85)))</f>
        <v>2595.9288348636837</v>
      </c>
      <c r="T83" s="31">
        <f t="shared" ref="T83" si="1082">IF(S92="BAB",S84-S85*3,IF(T81&gt;=1,S84+T82,IF(S84&lt;=1,0,S84-S85)))</f>
        <v>3019.4677898148152</v>
      </c>
      <c r="U83" s="31">
        <f t="shared" ref="U83" si="1083">IF(T92="BAB",T84-T85*3,IF(U81&gt;=1,T84+U82,IF(T84&lt;=1,0,T84-T85)))</f>
        <v>3443.0067447659467</v>
      </c>
      <c r="V83" s="31">
        <f t="shared" ref="V83" si="1084">IF(U92="BAB",U84-U85*3,IF(V81&gt;=1,U84+V82,IF(U84&lt;=1,0,U84-U85)))</f>
        <v>4064.9472481430043</v>
      </c>
      <c r="W83" s="31">
        <f t="shared" ref="W83" si="1085">IF(V92="BAB",V84-V85*3,IF(W81&gt;=1,V84+W82,IF(V84&lt;=1,0,V84-V85)))</f>
        <v>4703.4212138888888</v>
      </c>
      <c r="X83" s="31">
        <f t="shared" ref="X83" si="1086">IF(W92="BAB",W84-W85*3,IF(X81&gt;=1,W84+X82,IF(W84&lt;=1,0,W84-W85)))</f>
        <v>5341.8951796347737</v>
      </c>
      <c r="Y83" s="31">
        <f t="shared" ref="Y83" si="1087">IF(X92="BAB",X84-X85*3,IF(Y81&gt;=1,X84+Y82,IF(X84&lt;=1,0,X84-X85)))</f>
        <v>5980.3691453806587</v>
      </c>
      <c r="Z83" s="31">
        <f t="shared" ref="Z83" si="1088">IF(Y92="BAB",Y84-Y85*3,IF(Z81&gt;=1,Y84+Z82,IF(Y84&lt;=1,0,Y84-Y85)))</f>
        <v>6618.8431111265436</v>
      </c>
      <c r="AA83" s="31">
        <f t="shared" ref="AA83" si="1089">IF(Z92="BAB",Z84-Z85*3,IF(AA81&gt;=1,Z84+AA82,IF(Z84&lt;=1,0,Z84-Z85)))</f>
        <v>7257.3170768724285</v>
      </c>
      <c r="AB83" s="62">
        <f t="shared" ref="AB83" si="1090">IF(AA92="BAB",AA84-AA85*3,IF(AB81&gt;=1,AA84+AB82,IF(AA84&lt;=1,0,AA84-AA85)))</f>
        <v>7871.2343516280871</v>
      </c>
      <c r="AC83" s="31">
        <f t="shared" ref="AC83" si="1091">IF(AB92="BAB",AB84-AB85*3,IF(AC81&gt;=1,AB84+AC82,IF(AB84&lt;=1,0,AB84-AB85)))</f>
        <v>8485.1516263837457</v>
      </c>
      <c r="AD83" s="31">
        <f t="shared" ref="AD83" si="1092">IF(AC92="BAB",AC84-AC85*3,IF(AD81&gt;=1,AC84+AD82,IF(AC84&lt;=1,0,AC84-AC85)))</f>
        <v>9099.0689011394043</v>
      </c>
      <c r="AE83" s="31">
        <f t="shared" ref="AE83" si="1093">IF(AD92="BAB",AD84-AD85*3,IF(AE81&gt;=1,AD84+AE82,IF(AD84&lt;=1,0,AD84-AD85)))</f>
        <v>9712.9861758950628</v>
      </c>
      <c r="AF83" s="31">
        <f t="shared" ref="AF83" si="1094">IF(AE92="BAB",AE84-AE85*3,IF(AF81&gt;=1,AE84+AF82,IF(AE84&lt;=1,0,AE84-AE85)))</f>
        <v>10326.903450650721</v>
      </c>
      <c r="AG83" s="31">
        <f t="shared" ref="AG83" si="1095">IF(AF92="BAB",AF84-AF85*3,IF(AG81&gt;=1,AF84+AG82,IF(AF84&lt;=1,0,AF84-AF85)))</f>
        <v>10940.82072540638</v>
      </c>
      <c r="AH83" s="31">
        <f t="shared" ref="AH83" si="1096">IF(AG92="BAB",AG84-AG85*3,IF(AH81&gt;=1,AG84+AH82,IF(AG84&lt;=1,0,AG84-AG85)))</f>
        <v>11554.738000162039</v>
      </c>
      <c r="AI83" s="31">
        <f t="shared" ref="AI83" si="1097">IF(AH92="BAB",AH84-AH85*3,IF(AI81&gt;=1,AH84+AI82,IF(AH84&lt;=1,0,AH84-AH85)))</f>
        <v>12168.655274917697</v>
      </c>
      <c r="AJ83" s="31">
        <f t="shared" ref="AJ83" si="1098">IF(AI92="BAB",AI84-AI85*3,IF(AJ81&gt;=1,AI84+AJ82,IF(AI84&lt;=1,0,AI84-AI85)))</f>
        <v>12782.572549673356</v>
      </c>
      <c r="AK83" s="31">
        <f t="shared" ref="AK83" si="1099">IF(AJ92="BAB",AJ84-AJ85*3,IF(AK81&gt;=1,AJ84+AK82,IF(AJ84&lt;=1,0,AJ84-AJ85)))</f>
        <v>13396.489824429014</v>
      </c>
      <c r="AL83" s="31">
        <f t="shared" ref="AL83" si="1100">IF(AK92="BAB",AK84-AK85*3,IF(AL81&gt;=1,AK84+AL82,IF(AK84&lt;=1,0,AK84-AK85)))</f>
        <v>14010.407099184673</v>
      </c>
      <c r="AM83" s="31">
        <f t="shared" ref="AM83" si="1101">IF(AL92="BAB",AL84-AL85*3,IF(AM81&gt;=1,AL84+AM82,IF(AL84&lt;=1,0,AL84-AL85)))</f>
        <v>14624.324373940331</v>
      </c>
      <c r="AN83" s="31">
        <f t="shared" ref="AN83" si="1102">IF(AM92="BAB",AM84-AM85*3,IF(AN81&gt;=1,AM84+AN82,IF(AM84&lt;=1,0,AM84-AM85)))</f>
        <v>15238.24164869599</v>
      </c>
      <c r="AO83" s="31">
        <f t="shared" ref="AO83" si="1103">IF(AN92="BAB",AN84-AN85*3,IF(AO81&gt;=1,AN84+AO82,IF(AN84&lt;=1,0,AN84-AN85)))</f>
        <v>15852.158923451649</v>
      </c>
      <c r="AP83" s="31">
        <f t="shared" ref="AP83" si="1104">IF(AO92="BAB",AO84-AO85*3,IF(AP81&gt;=1,AO84+AP82,IF(AO84&lt;=1,0,AO84-AO85)))</f>
        <v>16466.076198207309</v>
      </c>
      <c r="AQ83" s="31">
        <f t="shared" ref="AQ83" si="1105">IF(AP92="BAB",AP84-AP85*3,IF(AQ81&gt;=1,AP84+AQ82,IF(AP84&lt;=1,0,AP84-AP85)))</f>
        <v>17079.993472962968</v>
      </c>
      <c r="AR83" s="31">
        <f t="shared" ref="AR83" si="1106">IF(AQ92="BAB",AQ84-AQ85*3,IF(AR81&gt;=1,AQ84+AR82,IF(AQ84&lt;=1,0,AQ84-AQ85)))</f>
        <v>17693.910747718626</v>
      </c>
      <c r="AS83" s="31">
        <f t="shared" ref="AS83" si="1107">IF(AR92="BAB",AR84-AR85*3,IF(AS81&gt;=1,AR84+AS82,IF(AR84&lt;=1,0,AR84-AR85)))</f>
        <v>18307.828022474285</v>
      </c>
      <c r="AT83" s="31">
        <f t="shared" ref="AT83" si="1108">IF(AS92="BAB",AS84-AS85*3,IF(AT81&gt;=1,AS84+AT82,IF(AS84&lt;=1,0,AS84-AS85)))</f>
        <v>18921.745297229943</v>
      </c>
      <c r="AU83" s="31">
        <f t="shared" ref="AU83" si="1109">IF(AT92="BAB",AT84-AT85*3,IF(AU81&gt;=1,AT84+AU82,IF(AT84&lt;=1,0,AT84-AT85)))</f>
        <v>19535.662571985602</v>
      </c>
      <c r="AV83" s="31">
        <f t="shared" ref="AV83" si="1110">IF(AU92="BAB",AU84-AU85*3,IF(AV81&gt;=1,AU84+AV82,IF(AU84&lt;=1,0,AU84-AU85)))</f>
        <v>20149.579846741261</v>
      </c>
      <c r="AW83" s="31">
        <f t="shared" ref="AW83" si="1111">IF(AV92="BAB",AV84-AV85*3,IF(AW81&gt;=1,AV84+AW82,IF(AV84&lt;=1,0,AV84-AV85)))</f>
        <v>20763.497121496919</v>
      </c>
      <c r="AX83" s="31">
        <f t="shared" ref="AX83" si="1112">IF(AW92="BAB",AW84-AW85*3,IF(AX81&gt;=1,AW84+AX82,IF(AW84&lt;=1,0,AW84-AW85)))</f>
        <v>21377.414396252578</v>
      </c>
      <c r="AY83" s="31">
        <f t="shared" ref="AY83" si="1113">IF(AX92="BAB",AX84-AX85*3,IF(AY81&gt;=1,AX84+AY82,IF(AX84&lt;=1,0,AX84-AX85)))</f>
        <v>21991.331671008236</v>
      </c>
      <c r="AZ83" s="62">
        <f t="shared" ref="AZ83" si="1114">IF(AY92="BAB",AY84-AY85*3,IF(AZ81&gt;=1,AY84+AZ82,IF(AY84&lt;=1,0,AY84-AY85)))</f>
        <v>22605.248945763895</v>
      </c>
      <c r="BA83" s="31">
        <f t="shared" ref="BA83" si="1115">IF(AZ92="BAB",AZ84-AZ85*3,IF(BA81&gt;=1,AZ84+BA82,IF(AZ84&lt;=1,0,AZ84-AZ85)))</f>
        <v>23219.166220519553</v>
      </c>
      <c r="BB83" s="31">
        <f t="shared" ref="BB83" si="1116">IF(BA92="BAB",BA84-BA85*3,IF(BB81&gt;=1,BA84+BB82,IF(BA84&lt;=1,0,BA84-BA85)))</f>
        <v>23833.083495275212</v>
      </c>
      <c r="BC83" s="31">
        <f t="shared" ref="BC83" si="1117">IF(BB92="BAB",BB84-BB85*3,IF(BC81&gt;=1,BB84+BC82,IF(BB84&lt;=1,0,BB84-BB85)))</f>
        <v>24447.000770030871</v>
      </c>
      <c r="BD83" s="31">
        <f t="shared" ref="BD83" si="1118">IF(BC92="BAB",BC84-BC85*3,IF(BD81&gt;=1,BC84+BD82,IF(BC84&lt;=1,0,BC84-BC85)))</f>
        <v>25060.918044786529</v>
      </c>
      <c r="BE83" s="31">
        <f t="shared" ref="BE83" si="1119">IF(BD92="BAB",BD84-BD85*3,IF(BE81&gt;=1,BD84+BE82,IF(BD84&lt;=1,0,BD84-BD85)))</f>
        <v>25674.835319542188</v>
      </c>
      <c r="BF83" s="31">
        <f t="shared" ref="BF83" si="1120">IF(BE92="BAB",BE84-BE85*3,IF(BF81&gt;=1,BE84+BF82,IF(BE84&lt;=1,0,BE84-BE85)))</f>
        <v>26905.833899404843</v>
      </c>
      <c r="BG83" s="31">
        <f t="shared" ref="BG83" si="1121">IF(BF92="BAB",BF84-BF85*3,IF(BG81&gt;=1,BF84+BG82,IF(BF84&lt;=1,0,BF84-BF85)))</f>
        <v>18903.027032793187</v>
      </c>
      <c r="BH83" s="31">
        <f t="shared" ref="BH83" si="1122">IF(BG92="BAB",BG84-BG85*3,IF(BH81&gt;=1,BG84+BH82,IF(BG84&lt;=1,0,BG84-BG85)))</f>
        <v>1280.3756310390515</v>
      </c>
      <c r="BI83" s="31">
        <f t="shared" ref="BI83" si="1123">IF(BH92="BAB",BH84-BH85*3,IF(BI81&gt;=1,BH84+BI82,IF(BH84&lt;=1,0,BH84-BH85)))</f>
        <v>2560.7512620781031</v>
      </c>
      <c r="BJ83" s="31">
        <f t="shared" ref="BJ83" si="1124">IF(BI92="BAB",BI84-BI85*3,IF(BJ81&gt;=1,BI84+BJ82,IF(BI84&lt;=1,0,BI84-BI85)))</f>
        <v>3841.1268931171544</v>
      </c>
      <c r="BK83" s="31">
        <f t="shared" ref="BK83" si="1125">IF(BJ92="BAB",BJ84-BJ85*3,IF(BK81&gt;=1,BJ84+BK82,IF(BJ84&lt;=1,0,BJ84-BJ85)))</f>
        <v>5121.5025241562062</v>
      </c>
      <c r="BL83" s="31">
        <f t="shared" ref="BL83" si="1126">IF(BK92="BAB",BK84-BK85*3,IF(BL81&gt;=1,BK84+BL82,IF(BK84&lt;=1,0,BK84-BK85)))</f>
        <v>6401.8781551952579</v>
      </c>
      <c r="BM83" s="31">
        <f t="shared" ref="BM83" si="1127">IF(BL92="BAB",BL84-BL85*3,IF(BM81&gt;=1,BL84+BM82,IF(BL84&lt;=1,0,BL84-BL85)))</f>
        <v>7682.2537862343097</v>
      </c>
      <c r="BN83" s="31">
        <f t="shared" ref="BN83" si="1128">IF(BM92="BAB",BM84-BM85*3,IF(BN81&gt;=1,BM84+BN82,IF(BM84&lt;=1,0,BM84-BM85)))</f>
        <v>8962.6294172733615</v>
      </c>
      <c r="BO83" s="31">
        <f t="shared" ref="BO83" si="1129">IF(BN92="BAB",BN84-BN85*3,IF(BO81&gt;=1,BN84+BO82,IF(BN84&lt;=1,0,BN84-BN85)))</f>
        <v>10243.005048312414</v>
      </c>
      <c r="BP83" s="31">
        <f t="shared" ref="BP83" si="1130">IF(BO92="BAB",BO84-BO85*3,IF(BP81&gt;=1,BO84+BP82,IF(BO84&lt;=1,0,BO84-BO85)))</f>
        <v>11523.380679351467</v>
      </c>
      <c r="BQ83" s="31">
        <f t="shared" ref="BQ83" si="1131">IF(BP92="BAB",BP84-BP85*3,IF(BQ81&gt;=1,BP84+BQ82,IF(BP84&lt;=1,0,BP84-BP85)))</f>
        <v>12803.75631039052</v>
      </c>
      <c r="BR83" s="31">
        <f t="shared" ref="BR83" si="1132">IF(BQ92="BAB",BQ84-BQ85*3,IF(BR81&gt;=1,BQ84+BR82,IF(BQ84&lt;=1,0,BQ84-BQ85)))</f>
        <v>14084.131941429572</v>
      </c>
      <c r="BS83" s="31">
        <f t="shared" ref="BS83" si="1133">IF(BR92="BAB",BR84-BR85*3,IF(BS81&gt;=1,BR84+BS82,IF(BR84&lt;=1,0,BR84-BR85)))</f>
        <v>15364.507572468625</v>
      </c>
      <c r="BT83" s="31">
        <f t="shared" ref="BT83" si="1134">IF(BS92="BAB",BS84-BS85*3,IF(BT81&gt;=1,BS84+BT82,IF(BS84&lt;=1,0,BS84-BS85)))</f>
        <v>16644.883203507678</v>
      </c>
      <c r="BU83" s="31">
        <f t="shared" ref="BU83" si="1135">IF(BT92="BAB",BT84-BT85*3,IF(BU81&gt;=1,BT84+BU82,IF(BT84&lt;=1,0,BT84-BT85)))</f>
        <v>17925.25883454673</v>
      </c>
      <c r="BV83" s="31">
        <f t="shared" ref="BV83" si="1136">IF(BU92="BAB",BU84-BU85*3,IF(BV81&gt;=1,BU84+BV82,IF(BU84&lt;=1,0,BU84-BU85)))</f>
        <v>19205.634465585783</v>
      </c>
      <c r="BW83" s="31">
        <f t="shared" ref="BW83" si="1137">IF(BV92="BAB",BV84-BV85*3,IF(BW81&gt;=1,BV84+BW82,IF(BV84&lt;=1,0,BV84-BV85)))</f>
        <v>20486.010096624836</v>
      </c>
      <c r="BX83" s="62">
        <f t="shared" ref="BX83" si="1138">IF(BW92="BAB",BW84-BW85*3,IF(BX81&gt;=1,BW84+BX82,IF(BW84&lt;=1,0,BW84-BW85)))</f>
        <v>21717.140511085461</v>
      </c>
      <c r="BY83" s="31">
        <f t="shared" ref="BY83" si="1139">IF(BX92="BAB",BX84-BX85*3,IF(BY81&gt;=1,BX84+BY82,IF(BX84&lt;=1,0,BX84-BX85)))</f>
        <v>22948.270925546087</v>
      </c>
      <c r="BZ83" s="31">
        <f t="shared" ref="BZ83" si="1140">IF(BY92="BAB",BY84-BY85*3,IF(BZ81&gt;=1,BY84+BZ82,IF(BY84&lt;=1,0,BY84-BY85)))</f>
        <v>24179.401340006712</v>
      </c>
      <c r="CA83" s="31">
        <f t="shared" ref="CA83" si="1141">IF(BZ92="BAB",BZ84-BZ85*3,IF(CA81&gt;=1,BZ84+CA82,IF(BZ84&lt;=1,0,BZ84-BZ85)))</f>
        <v>25410.531754467338</v>
      </c>
      <c r="CB83" s="31">
        <f t="shared" ref="CB83" si="1142">IF(CA92="BAB",CA84-CA85*3,IF(CB81&gt;=1,CA84+CB82,IF(CA84&lt;=1,0,CA84-CA85)))</f>
        <v>26641.662168927964</v>
      </c>
      <c r="CC83" s="31">
        <f t="shared" ref="CC83" si="1143">IF(CB92="BAB",CB84-CB85*3,IF(CC81&gt;=1,CB84+CC82,IF(CB84&lt;=1,0,CB84-CB85)))</f>
        <v>27872.792583388589</v>
      </c>
      <c r="CD83" s="31">
        <f t="shared" ref="CD83" si="1144">IF(CC92="BAB",CC84-CC85*3,IF(CD81&gt;=1,CC84+CD82,IF(CC84&lt;=1,0,CC84-CC85)))</f>
        <v>29153.168214427642</v>
      </c>
      <c r="CE83" s="31">
        <f t="shared" ref="CE83" si="1145">IF(CD92="BAB",CD84-CD85*3,IF(CE81&gt;=1,CD84+CE82,IF(CD84&lt;=1,0,CD84-CD85)))</f>
        <v>20476.161053309144</v>
      </c>
      <c r="CF83" s="31">
        <f t="shared" ref="CF83" si="1146">IF(CE92="BAB",CE84-CE85*3,IF(CF81&gt;=1,CE84+CF82,IF(CE84&lt;=1,0,CE84-CE85)))</f>
        <v>1280.3756310390515</v>
      </c>
      <c r="CG83" s="31">
        <f t="shared" ref="CG83" si="1147">IF(CF92="BAB",CF84-CF85*3,IF(CG81&gt;=1,CF84+CG82,IF(CF84&lt;=1,0,CF84-CF85)))</f>
        <v>2560.7512620781031</v>
      </c>
      <c r="CH83" s="31">
        <f t="shared" ref="CH83" si="1148">IF(CG92="BAB",CG84-CG85*3,IF(CH81&gt;=1,CG84+CH82,IF(CG84&lt;=1,0,CG84-CG85)))</f>
        <v>3841.1268931171544</v>
      </c>
      <c r="CI83" s="31">
        <f t="shared" ref="CI83" si="1149">IF(CH92="BAB",CH84-CH85*3,IF(CI81&gt;=1,CH84+CI82,IF(CH84&lt;=1,0,CH84-CH85)))</f>
        <v>5121.5025241562062</v>
      </c>
      <c r="CJ83" s="31">
        <f t="shared" ref="CJ83" si="1150">IF(CI92="BAB",CI84-CI85*3,IF(CJ81&gt;=1,CI84+CJ82,IF(CI84&lt;=1,0,CI84-CI85)))</f>
        <v>6401.8781551952579</v>
      </c>
      <c r="CK83" s="31">
        <f t="shared" ref="CK83" si="1151">IF(CJ92="BAB",CJ84-CJ85*3,IF(CK81&gt;=1,CJ84+CK82,IF(CJ84&lt;=1,0,CJ84-CJ85)))</f>
        <v>7682.2537862343097</v>
      </c>
      <c r="CL83" s="31">
        <f t="shared" ref="CL83" si="1152">IF(CK92="BAB",CK84-CK85*3,IF(CL81&gt;=1,CK84+CL82,IF(CK84&lt;=1,0,CK84-CK85)))</f>
        <v>8962.6294172733615</v>
      </c>
      <c r="CM83" s="31">
        <f t="shared" ref="CM83" si="1153">IF(CL92="BAB",CL84-CL85*3,IF(CM81&gt;=1,CL84+CM82,IF(CL84&lt;=1,0,CL84-CL85)))</f>
        <v>10243.005048312414</v>
      </c>
      <c r="CN83" s="31">
        <f t="shared" ref="CN83" si="1154">IF(CM92="BAB",CM84-CM85*3,IF(CN81&gt;=1,CM84+CN82,IF(CM84&lt;=1,0,CM84-CM85)))</f>
        <v>11523.380679351467</v>
      </c>
      <c r="CO83" s="31">
        <f t="shared" ref="CO83" si="1155">IF(CN92="BAB",CN84-CN85*3,IF(CO81&gt;=1,CN84+CO82,IF(CN84&lt;=1,0,CN84-CN85)))</f>
        <v>12803.75631039052</v>
      </c>
      <c r="CP83" s="31">
        <f t="shared" ref="CP83" si="1156">IF(CO92="BAB",CO84-CO85*3,IF(CP81&gt;=1,CO84+CP82,IF(CO84&lt;=1,0,CO84-CO85)))</f>
        <v>14084.131941429572</v>
      </c>
      <c r="CQ83" s="31">
        <f t="shared" ref="CQ83" si="1157">IF(CP92="BAB",CP84-CP85*3,IF(CQ81&gt;=1,CP84+CQ82,IF(CP84&lt;=1,0,CP84-CP85)))</f>
        <v>15364.507572468625</v>
      </c>
      <c r="CR83" s="31">
        <f t="shared" ref="CR83" si="1158">IF(CQ92="BAB",CQ84-CQ85*3,IF(CR81&gt;=1,CQ84+CR82,IF(CQ84&lt;=1,0,CQ84-CQ85)))</f>
        <v>16644.883203507678</v>
      </c>
      <c r="CS83" s="31">
        <f t="shared" ref="CS83" si="1159">IF(CR92="BAB",CR84-CR85*3,IF(CS81&gt;=1,CR84+CS82,IF(CR84&lt;=1,0,CR84-CR85)))</f>
        <v>17925.25883454673</v>
      </c>
      <c r="CT83" s="31">
        <f t="shared" ref="CT83" si="1160">IF(CS92="BAB",CS84-CS85*3,IF(CT81&gt;=1,CS84+CT82,IF(CS84&lt;=1,0,CS84-CS85)))</f>
        <v>19205.634465585783</v>
      </c>
      <c r="CU83" s="31">
        <f t="shared" ref="CU83" si="1161">IF(CT92="BAB",CT84-CT85*3,IF(CU81&gt;=1,CT84+CU82,IF(CT84&lt;=1,0,CT84-CT85)))</f>
        <v>20436.764880046409</v>
      </c>
      <c r="CV83" s="62">
        <f t="shared" ref="CV83" si="1162">IF(CU92="BAB",CU84-CU85*3,IF(CV81&gt;=1,CU84+CV82,IF(CU84&lt;=1,0,CU84-CU85)))</f>
        <v>21667.895294507034</v>
      </c>
      <c r="CW83" s="31">
        <f t="shared" ref="CW83" si="1163">IF(CV92="BAB",CV84-CV85*3,IF(CW81&gt;=1,CV84+CW82,IF(CV84&lt;=1,0,CV84-CV85)))</f>
        <v>22899.02570896766</v>
      </c>
      <c r="CX83" s="31">
        <f t="shared" ref="CX83" si="1164">IF(CW92="BAB",CW84-CW85*3,IF(CX81&gt;=1,CW84+CX82,IF(CW84&lt;=1,0,CW84-CW85)))</f>
        <v>24130.156123428285</v>
      </c>
      <c r="CY83" s="31">
        <f t="shared" ref="CY83" si="1165">IF(CX92="BAB",CX84-CX85*3,IF(CY81&gt;=1,CX84+CY82,IF(CX84&lt;=1,0,CX84-CX85)))</f>
        <v>25361.286537888911</v>
      </c>
      <c r="CZ83" s="31">
        <f t="shared" ref="CZ83" si="1166">IF(CY92="BAB",CY84-CY85*3,IF(CZ81&gt;=1,CY84+CZ82,IF(CY84&lt;=1,0,CY84-CY85)))</f>
        <v>26592.416952349537</v>
      </c>
      <c r="DA83" s="31">
        <f t="shared" ref="DA83" si="1167">IF(CZ92="BAB",CZ84-CZ85*3,IF(DA81&gt;=1,CZ84+DA82,IF(CZ84&lt;=1,0,CZ84-CZ85)))</f>
        <v>27823.547366810162</v>
      </c>
      <c r="DB83" s="31">
        <f t="shared" ref="DB83" si="1168">IF(DA92="BAB",DA84-DA85*3,IF(DB81&gt;=1,DA84+DB82,IF(DA84&lt;=1,0,DA84-DA85)))</f>
        <v>29103.922997849215</v>
      </c>
      <c r="DC83" s="31">
        <f t="shared" ref="DC83" si="1169">IF(DB92="BAB",DB84-DB85*3,IF(DC81&gt;=1,DB84+DC82,IF(DB84&lt;=1,0,DB84-DB85)))</f>
        <v>20441.689401704243</v>
      </c>
      <c r="DD83" s="31">
        <f t="shared" ref="DD83" si="1170">IF(DC92="BAB",DC84-DC85*3,IF(DD81&gt;=1,DC84+DD82,IF(DC84&lt;=1,0,DC84-DC85)))</f>
        <v>1280.3756310390515</v>
      </c>
      <c r="DE83" s="31">
        <f t="shared" ref="DE83" si="1171">IF(DD92="BAB",DD84-DD85*3,IF(DE81&gt;=1,DD84+DE82,IF(DD84&lt;=1,0,DD84-DD85)))</f>
        <v>2560.7512620781031</v>
      </c>
      <c r="DF83" s="31">
        <f t="shared" ref="DF83" si="1172">IF(DE92="BAB",DE84-DE85*3,IF(DF81&gt;=1,DE84+DF82,IF(DE84&lt;=1,0,DE84-DE85)))</f>
        <v>3841.1268931171544</v>
      </c>
      <c r="DG83" s="31">
        <f t="shared" ref="DG83" si="1173">IF(DF92="BAB",DF84-DF85*3,IF(DG81&gt;=1,DF84+DG82,IF(DF84&lt;=1,0,DF84-DF85)))</f>
        <v>5121.5025241562062</v>
      </c>
      <c r="DH83" s="31">
        <f t="shared" ref="DH83" si="1174">IF(DG92="BAB",DG84-DG85*3,IF(DH81&gt;=1,DG84+DH82,IF(DG84&lt;=1,0,DG84-DG85)))</f>
        <v>6401.8781551952579</v>
      </c>
      <c r="DI83" s="31">
        <f t="shared" ref="DI83" si="1175">IF(DH92="BAB",DH84-DH85*3,IF(DI81&gt;=1,DH84+DI82,IF(DH84&lt;=1,0,DH84-DH85)))</f>
        <v>7682.2537862343097</v>
      </c>
      <c r="DJ83" s="31">
        <f t="shared" ref="DJ83" si="1176">IF(DI92="BAB",DI84-DI85*3,IF(DJ81&gt;=1,DI84+DJ82,IF(DI84&lt;=1,0,DI84-DI85)))</f>
        <v>8962.6294172733615</v>
      </c>
      <c r="DK83" s="31">
        <f t="shared" ref="DK83" si="1177">IF(DJ92="BAB",DJ84-DJ85*3,IF(DK81&gt;=1,DJ84+DK82,IF(DJ84&lt;=1,0,DJ84-DJ85)))</f>
        <v>10243.005048312414</v>
      </c>
      <c r="DL83" s="31">
        <f t="shared" ref="DL83" si="1178">IF(DK92="BAB",DK84-DK85*3,IF(DL81&gt;=1,DK84+DL82,IF(DK84&lt;=1,0,DK84-DK85)))</f>
        <v>11523.380679351467</v>
      </c>
      <c r="DM83" s="31">
        <f t="shared" ref="DM83" si="1179">IF(DL92="BAB",DL84-DL85*3,IF(DM81&gt;=1,DL84+DM82,IF(DL84&lt;=1,0,DL84-DL85)))</f>
        <v>12803.75631039052</v>
      </c>
      <c r="DN83" s="31">
        <f t="shared" ref="DN83" si="1180">IF(DM92="BAB",DM84-DM85*3,IF(DN81&gt;=1,DM84+DN82,IF(DM84&lt;=1,0,DM84-DM85)))</f>
        <v>14084.131941429572</v>
      </c>
      <c r="DO83" s="31">
        <f t="shared" ref="DO83" si="1181">IF(DN92="BAB",DN84-DN85*3,IF(DO81&gt;=1,DN84+DO82,IF(DN84&lt;=1,0,DN84-DN85)))</f>
        <v>15364.507572468625</v>
      </c>
      <c r="DP83" s="31">
        <f t="shared" ref="DP83" si="1182">IF(DO92="BAB",DO84-DO85*3,IF(DP81&gt;=1,DO84+DP82,IF(DO84&lt;=1,0,DO84-DO85)))</f>
        <v>16644.883203507678</v>
      </c>
      <c r="DQ83" s="31">
        <f t="shared" ref="DQ83" si="1183">IF(DP92="BAB",DP84-DP85*3,IF(DQ81&gt;=1,DP84+DQ82,IF(DP84&lt;=1,0,DP84-DP85)))</f>
        <v>17925.25883454673</v>
      </c>
      <c r="DR83" s="31">
        <f t="shared" ref="DR83" si="1184">IF(DQ92="BAB",DQ84-DQ85*3,IF(DR81&gt;=1,DQ84+DR82,IF(DQ84&lt;=1,0,DQ84-DQ85)))</f>
        <v>19205.634465585783</v>
      </c>
      <c r="DS83" s="31">
        <f t="shared" ref="DS83" si="1185">IF(DR92="BAB",DR84-DR85*3,IF(DS81&gt;=1,DR84+DS82,IF(DR84&lt;=1,0,DR84-DR85)))</f>
        <v>20436.764880046409</v>
      </c>
      <c r="DT83" s="62">
        <f t="shared" ref="DT83" si="1186">IF(DS92="BAB",DS84-DS85*3,IF(DT81&gt;=1,DS84+DT82,IF(DS84&lt;=1,0,DS84-DS85)))</f>
        <v>21667.895294507034</v>
      </c>
    </row>
    <row r="84" spans="2:124" x14ac:dyDescent="0.2">
      <c r="B84" s="3" t="s">
        <v>55</v>
      </c>
      <c r="D84" s="145">
        <f>IF(A41="B",IF(C92="BAB",D83+D82/12-453.592,D83+D82/12),D83+D82/24)</f>
        <v>0</v>
      </c>
      <c r="E84" s="31">
        <f t="shared" ref="E84:AJ84" si="1187">IF(D41="B",IF(D92="BAB",E82/12,E83+E82/12),E83+E82/24)</f>
        <v>820.92013888888891</v>
      </c>
      <c r="F84" s="31">
        <f t="shared" si="1187"/>
        <v>1641.8402777777778</v>
      </c>
      <c r="G84" s="31">
        <f t="shared" si="1187"/>
        <v>2462.760416666667</v>
      </c>
      <c r="H84" s="31">
        <f t="shared" si="1187"/>
        <v>3283.6805555555561</v>
      </c>
      <c r="I84" s="31">
        <f t="shared" si="1187"/>
        <v>4137.4375000000009</v>
      </c>
      <c r="J84" s="31">
        <f t="shared" si="1187"/>
        <v>4991.1944444444453</v>
      </c>
      <c r="K84" s="31">
        <f t="shared" si="1187"/>
        <v>5844.9513888888896</v>
      </c>
      <c r="L84" s="31">
        <f t="shared" si="1187"/>
        <v>23.35882336676957</v>
      </c>
      <c r="M84" s="31">
        <f t="shared" si="1187"/>
        <v>327.02352713477399</v>
      </c>
      <c r="N84" s="31">
        <f t="shared" si="1187"/>
        <v>630.6882309027784</v>
      </c>
      <c r="O84" s="31">
        <f t="shared" si="1187"/>
        <v>934.35293467078282</v>
      </c>
      <c r="P84" s="31">
        <f t="shared" si="1187"/>
        <v>1357.8918896219145</v>
      </c>
      <c r="Q84" s="31">
        <f t="shared" si="1187"/>
        <v>1781.4308445730462</v>
      </c>
      <c r="R84" s="31">
        <f t="shared" si="1187"/>
        <v>2204.9697995241777</v>
      </c>
      <c r="S84" s="31">
        <f t="shared" si="1187"/>
        <v>2628.5087544753092</v>
      </c>
      <c r="T84" s="31">
        <f t="shared" si="1187"/>
        <v>3052.0477094264406</v>
      </c>
      <c r="U84" s="31">
        <f t="shared" si="1187"/>
        <v>3475.5866643775721</v>
      </c>
      <c r="V84" s="31">
        <f t="shared" si="1187"/>
        <v>4114.0606301234566</v>
      </c>
      <c r="W84" s="31">
        <f t="shared" si="1187"/>
        <v>4752.5345958693415</v>
      </c>
      <c r="X84" s="31">
        <f t="shared" si="1187"/>
        <v>5391.0085616152264</v>
      </c>
      <c r="Y84" s="31">
        <f t="shared" si="1187"/>
        <v>6029.4825273611114</v>
      </c>
      <c r="Z84" s="31">
        <f t="shared" si="1187"/>
        <v>6667.9564931069963</v>
      </c>
      <c r="AA84" s="31">
        <f t="shared" si="1187"/>
        <v>7281.8737678626549</v>
      </c>
      <c r="AB84" s="62">
        <f t="shared" si="1187"/>
        <v>7895.7910426183134</v>
      </c>
      <c r="AC84" s="31">
        <f t="shared" si="1187"/>
        <v>8509.708317373972</v>
      </c>
      <c r="AD84" s="31">
        <f t="shared" si="1187"/>
        <v>9123.6255921296306</v>
      </c>
      <c r="AE84" s="31">
        <f t="shared" si="1187"/>
        <v>9737.5428668852892</v>
      </c>
      <c r="AF84" s="31">
        <f t="shared" si="1187"/>
        <v>10351.460141640948</v>
      </c>
      <c r="AG84" s="31">
        <f t="shared" si="1187"/>
        <v>10965.377416396606</v>
      </c>
      <c r="AH84" s="31">
        <f t="shared" si="1187"/>
        <v>11579.294691152265</v>
      </c>
      <c r="AI84" s="31">
        <f t="shared" si="1187"/>
        <v>12193.211965907924</v>
      </c>
      <c r="AJ84" s="31">
        <f t="shared" si="1187"/>
        <v>12807.129240663582</v>
      </c>
      <c r="AK84" s="31">
        <f t="shared" ref="AK84:BP84" si="1188">IF(AJ41="B",IF(AJ92="BAB",AK82/12,AK83+AK82/12),AK83+AK82/24)</f>
        <v>13421.046515419241</v>
      </c>
      <c r="AL84" s="31">
        <f t="shared" si="1188"/>
        <v>14034.963790174899</v>
      </c>
      <c r="AM84" s="31">
        <f t="shared" si="1188"/>
        <v>14648.881064930558</v>
      </c>
      <c r="AN84" s="31">
        <f t="shared" si="1188"/>
        <v>15262.798339686216</v>
      </c>
      <c r="AO84" s="31">
        <f t="shared" si="1188"/>
        <v>15876.715614441875</v>
      </c>
      <c r="AP84" s="31">
        <f t="shared" si="1188"/>
        <v>16490.632889197535</v>
      </c>
      <c r="AQ84" s="31">
        <f t="shared" si="1188"/>
        <v>17104.550163953194</v>
      </c>
      <c r="AR84" s="31">
        <f t="shared" si="1188"/>
        <v>17718.467438708853</v>
      </c>
      <c r="AS84" s="31">
        <f t="shared" si="1188"/>
        <v>18332.384713464511</v>
      </c>
      <c r="AT84" s="31">
        <f t="shared" si="1188"/>
        <v>18946.30198822017</v>
      </c>
      <c r="AU84" s="31">
        <f t="shared" si="1188"/>
        <v>19560.219262975828</v>
      </c>
      <c r="AV84" s="31">
        <f t="shared" si="1188"/>
        <v>20174.136537731487</v>
      </c>
      <c r="AW84" s="31">
        <f t="shared" si="1188"/>
        <v>20788.053812487145</v>
      </c>
      <c r="AX84" s="31">
        <f t="shared" si="1188"/>
        <v>21401.971087242804</v>
      </c>
      <c r="AY84" s="31">
        <f t="shared" si="1188"/>
        <v>22015.888361998463</v>
      </c>
      <c r="AZ84" s="62">
        <f t="shared" si="1188"/>
        <v>22629.805636754121</v>
      </c>
      <c r="BA84" s="31">
        <f t="shared" si="1188"/>
        <v>23243.72291150978</v>
      </c>
      <c r="BB84" s="31">
        <f t="shared" si="1188"/>
        <v>23857.640186265438</v>
      </c>
      <c r="BC84" s="31">
        <f t="shared" si="1188"/>
        <v>24471.557461021097</v>
      </c>
      <c r="BD84" s="31">
        <f t="shared" si="1188"/>
        <v>25085.474735776756</v>
      </c>
      <c r="BE84" s="31">
        <f t="shared" si="1188"/>
        <v>25723.94870152264</v>
      </c>
      <c r="BF84" s="31">
        <f t="shared" si="1188"/>
        <v>27004.324332561693</v>
      </c>
      <c r="BG84" s="31">
        <f t="shared" si="1188"/>
        <v>98.490433156850131</v>
      </c>
      <c r="BH84" s="31">
        <f t="shared" si="1188"/>
        <v>1378.8660641959016</v>
      </c>
      <c r="BI84" s="31">
        <f t="shared" si="1188"/>
        <v>2659.2416952349531</v>
      </c>
      <c r="BJ84" s="31">
        <f t="shared" si="1188"/>
        <v>3939.6173262740044</v>
      </c>
      <c r="BK84" s="31">
        <f t="shared" si="1188"/>
        <v>5219.9929573130566</v>
      </c>
      <c r="BL84" s="31">
        <f t="shared" si="1188"/>
        <v>6500.3685883521084</v>
      </c>
      <c r="BM84" s="31">
        <f t="shared" si="1188"/>
        <v>7780.7442193911602</v>
      </c>
      <c r="BN84" s="31">
        <f t="shared" si="1188"/>
        <v>9061.119850430212</v>
      </c>
      <c r="BO84" s="31">
        <f t="shared" si="1188"/>
        <v>10341.495481469265</v>
      </c>
      <c r="BP84" s="31">
        <f t="shared" si="1188"/>
        <v>11621.871112508317</v>
      </c>
      <c r="BQ84" s="31">
        <f t="shared" ref="BQ84:CV84" si="1189">IF(BP41="B",IF(BP92="BAB",BQ82/12,BQ83+BQ82/12),BQ83+BQ82/24)</f>
        <v>12902.24674354737</v>
      </c>
      <c r="BR84" s="31">
        <f t="shared" si="1189"/>
        <v>14182.622374586423</v>
      </c>
      <c r="BS84" s="31">
        <f t="shared" si="1189"/>
        <v>15462.998005625475</v>
      </c>
      <c r="BT84" s="31">
        <f t="shared" si="1189"/>
        <v>16743.373636664528</v>
      </c>
      <c r="BU84" s="31">
        <f t="shared" si="1189"/>
        <v>18023.749267703581</v>
      </c>
      <c r="BV84" s="31">
        <f t="shared" si="1189"/>
        <v>19304.124898742633</v>
      </c>
      <c r="BW84" s="31">
        <f t="shared" si="1189"/>
        <v>20535.255313203259</v>
      </c>
      <c r="BX84" s="62">
        <f t="shared" si="1189"/>
        <v>21766.385727663885</v>
      </c>
      <c r="BY84" s="31">
        <f t="shared" si="1189"/>
        <v>22997.51614212451</v>
      </c>
      <c r="BZ84" s="31">
        <f t="shared" si="1189"/>
        <v>24228.646556585136</v>
      </c>
      <c r="CA84" s="31">
        <f t="shared" si="1189"/>
        <v>25459.776971045761</v>
      </c>
      <c r="CB84" s="31">
        <f t="shared" si="1189"/>
        <v>26690.907385506387</v>
      </c>
      <c r="CC84" s="31">
        <f t="shared" si="1189"/>
        <v>27971.28301654544</v>
      </c>
      <c r="CD84" s="31">
        <f t="shared" si="1189"/>
        <v>29251.658647584492</v>
      </c>
      <c r="CE84" s="31">
        <f t="shared" si="1189"/>
        <v>98.490433156850131</v>
      </c>
      <c r="CF84" s="31">
        <f t="shared" si="1189"/>
        <v>1378.8660641959016</v>
      </c>
      <c r="CG84" s="31">
        <f t="shared" si="1189"/>
        <v>2659.2416952349531</v>
      </c>
      <c r="CH84" s="31">
        <f t="shared" si="1189"/>
        <v>3939.6173262740044</v>
      </c>
      <c r="CI84" s="31">
        <f t="shared" si="1189"/>
        <v>5219.9929573130566</v>
      </c>
      <c r="CJ84" s="31">
        <f t="shared" si="1189"/>
        <v>6500.3685883521084</v>
      </c>
      <c r="CK84" s="31">
        <f t="shared" si="1189"/>
        <v>7780.7442193911602</v>
      </c>
      <c r="CL84" s="31">
        <f t="shared" si="1189"/>
        <v>9061.119850430212</v>
      </c>
      <c r="CM84" s="31">
        <f t="shared" si="1189"/>
        <v>10341.495481469265</v>
      </c>
      <c r="CN84" s="31">
        <f t="shared" si="1189"/>
        <v>11621.871112508317</v>
      </c>
      <c r="CO84" s="31">
        <f t="shared" si="1189"/>
        <v>12902.24674354737</v>
      </c>
      <c r="CP84" s="31">
        <f t="shared" si="1189"/>
        <v>14182.622374586423</v>
      </c>
      <c r="CQ84" s="31">
        <f t="shared" si="1189"/>
        <v>15462.998005625475</v>
      </c>
      <c r="CR84" s="31">
        <f t="shared" si="1189"/>
        <v>16743.373636664528</v>
      </c>
      <c r="CS84" s="31">
        <f t="shared" si="1189"/>
        <v>18023.749267703581</v>
      </c>
      <c r="CT84" s="31">
        <f t="shared" si="1189"/>
        <v>19254.879682164206</v>
      </c>
      <c r="CU84" s="31">
        <f t="shared" si="1189"/>
        <v>20486.010096624832</v>
      </c>
      <c r="CV84" s="62">
        <f t="shared" si="1189"/>
        <v>21717.140511085458</v>
      </c>
      <c r="CW84" s="31">
        <f t="shared" ref="CW84:DT84" si="1190">IF(CV41="B",IF(CV92="BAB",CW82/12,CW83+CW82/12),CW83+CW82/24)</f>
        <v>22948.270925546083</v>
      </c>
      <c r="CX84" s="31">
        <f t="shared" si="1190"/>
        <v>24179.401340006709</v>
      </c>
      <c r="CY84" s="31">
        <f t="shared" si="1190"/>
        <v>25410.531754467334</v>
      </c>
      <c r="CZ84" s="31">
        <f t="shared" si="1190"/>
        <v>26641.66216892796</v>
      </c>
      <c r="DA84" s="31">
        <f t="shared" si="1190"/>
        <v>27922.037799967013</v>
      </c>
      <c r="DB84" s="31">
        <f t="shared" si="1190"/>
        <v>29202.413431006065</v>
      </c>
      <c r="DC84" s="31">
        <f t="shared" si="1190"/>
        <v>98.490433156850131</v>
      </c>
      <c r="DD84" s="31">
        <f t="shared" si="1190"/>
        <v>1378.8660641959016</v>
      </c>
      <c r="DE84" s="31">
        <f t="shared" si="1190"/>
        <v>2659.2416952349531</v>
      </c>
      <c r="DF84" s="31">
        <f t="shared" si="1190"/>
        <v>3939.6173262740044</v>
      </c>
      <c r="DG84" s="31">
        <f t="shared" si="1190"/>
        <v>5219.9929573130566</v>
      </c>
      <c r="DH84" s="31">
        <f t="shared" si="1190"/>
        <v>6500.3685883521084</v>
      </c>
      <c r="DI84" s="31">
        <f t="shared" si="1190"/>
        <v>7780.7442193911602</v>
      </c>
      <c r="DJ84" s="31">
        <f t="shared" si="1190"/>
        <v>9061.119850430212</v>
      </c>
      <c r="DK84" s="31">
        <f t="shared" si="1190"/>
        <v>10341.495481469265</v>
      </c>
      <c r="DL84" s="31">
        <f t="shared" si="1190"/>
        <v>11621.871112508317</v>
      </c>
      <c r="DM84" s="31">
        <f t="shared" si="1190"/>
        <v>12902.24674354737</v>
      </c>
      <c r="DN84" s="31">
        <f t="shared" si="1190"/>
        <v>14182.622374586423</v>
      </c>
      <c r="DO84" s="31">
        <f t="shared" si="1190"/>
        <v>15462.998005625475</v>
      </c>
      <c r="DP84" s="31">
        <f t="shared" si="1190"/>
        <v>16743.373636664528</v>
      </c>
      <c r="DQ84" s="31">
        <f t="shared" si="1190"/>
        <v>18023.749267703581</v>
      </c>
      <c r="DR84" s="31">
        <f t="shared" si="1190"/>
        <v>19254.879682164206</v>
      </c>
      <c r="DS84" s="31">
        <f t="shared" si="1190"/>
        <v>20486.010096624832</v>
      </c>
      <c r="DT84" s="62">
        <f t="shared" si="1190"/>
        <v>21717.140511085458</v>
      </c>
    </row>
    <row r="85" spans="2:124" x14ac:dyDescent="0.2">
      <c r="B85" s="3" t="s">
        <v>56</v>
      </c>
      <c r="C85" s="85">
        <v>0.1</v>
      </c>
      <c r="D85" s="145">
        <f>D84*$C$85</f>
        <v>0</v>
      </c>
      <c r="E85" s="30">
        <f>E84*$C$85</f>
        <v>82.0920138888889</v>
      </c>
      <c r="F85" s="31">
        <f>F84*$C$85</f>
        <v>164.1840277777778</v>
      </c>
      <c r="G85" s="31">
        <f t="shared" ref="G85:BR85" si="1191">G84*$C$85</f>
        <v>246.27604166666671</v>
      </c>
      <c r="H85" s="31">
        <f t="shared" si="1191"/>
        <v>328.36805555555566</v>
      </c>
      <c r="I85" s="31">
        <f t="shared" si="1191"/>
        <v>413.74375000000009</v>
      </c>
      <c r="J85" s="31">
        <f t="shared" si="1191"/>
        <v>499.11944444444453</v>
      </c>
      <c r="K85" s="31">
        <f t="shared" si="1191"/>
        <v>584.49513888888896</v>
      </c>
      <c r="L85" s="31">
        <f t="shared" si="1191"/>
        <v>2.3358823366769572</v>
      </c>
      <c r="M85" s="31">
        <f t="shared" si="1191"/>
        <v>32.702352713477403</v>
      </c>
      <c r="N85" s="31">
        <f t="shared" si="1191"/>
        <v>63.068823090277846</v>
      </c>
      <c r="O85" s="31">
        <f t="shared" si="1191"/>
        <v>93.435293467078282</v>
      </c>
      <c r="P85" s="31">
        <f t="shared" si="1191"/>
        <v>135.78918896219145</v>
      </c>
      <c r="Q85" s="31">
        <f t="shared" si="1191"/>
        <v>178.14308445730464</v>
      </c>
      <c r="R85" s="31">
        <f t="shared" si="1191"/>
        <v>220.49697995241777</v>
      </c>
      <c r="S85" s="31">
        <f t="shared" si="1191"/>
        <v>262.85087544753094</v>
      </c>
      <c r="T85" s="31">
        <f t="shared" si="1191"/>
        <v>305.20477094264407</v>
      </c>
      <c r="U85" s="31">
        <f t="shared" si="1191"/>
        <v>347.55866643775721</v>
      </c>
      <c r="V85" s="31">
        <f t="shared" si="1191"/>
        <v>411.40606301234567</v>
      </c>
      <c r="W85" s="31">
        <f t="shared" si="1191"/>
        <v>475.25345958693418</v>
      </c>
      <c r="X85" s="31">
        <f t="shared" si="1191"/>
        <v>539.10085616152264</v>
      </c>
      <c r="Y85" s="31">
        <f t="shared" si="1191"/>
        <v>602.94825273611116</v>
      </c>
      <c r="Z85" s="31">
        <f t="shared" si="1191"/>
        <v>666.79564931069967</v>
      </c>
      <c r="AA85" s="31">
        <f t="shared" si="1191"/>
        <v>728.18737678626553</v>
      </c>
      <c r="AB85" s="62">
        <f t="shared" si="1191"/>
        <v>789.57910426183139</v>
      </c>
      <c r="AC85" s="30">
        <f t="shared" si="1191"/>
        <v>850.97083173739725</v>
      </c>
      <c r="AD85" s="31">
        <f t="shared" si="1191"/>
        <v>912.36255921296311</v>
      </c>
      <c r="AE85" s="31">
        <f t="shared" si="1191"/>
        <v>973.75428668852896</v>
      </c>
      <c r="AF85" s="31">
        <f t="shared" si="1191"/>
        <v>1035.1460141640948</v>
      </c>
      <c r="AG85" s="31">
        <f t="shared" si="1191"/>
        <v>1096.5377416396607</v>
      </c>
      <c r="AH85" s="31">
        <f t="shared" si="1191"/>
        <v>1157.9294691152265</v>
      </c>
      <c r="AI85" s="31">
        <f t="shared" si="1191"/>
        <v>1219.3211965907924</v>
      </c>
      <c r="AJ85" s="31">
        <f t="shared" si="1191"/>
        <v>1280.7129240663583</v>
      </c>
      <c r="AK85" s="31">
        <f t="shared" si="1191"/>
        <v>1342.1046515419241</v>
      </c>
      <c r="AL85" s="31">
        <f t="shared" si="1191"/>
        <v>1403.49637901749</v>
      </c>
      <c r="AM85" s="31">
        <f t="shared" si="1191"/>
        <v>1464.8881064930558</v>
      </c>
      <c r="AN85" s="31">
        <f t="shared" si="1191"/>
        <v>1526.2798339686217</v>
      </c>
      <c r="AO85" s="31">
        <f t="shared" si="1191"/>
        <v>1587.6715614441875</v>
      </c>
      <c r="AP85" s="31">
        <f t="shared" si="1191"/>
        <v>1649.0632889197536</v>
      </c>
      <c r="AQ85" s="31">
        <f t="shared" si="1191"/>
        <v>1710.4550163953195</v>
      </c>
      <c r="AR85" s="31">
        <f t="shared" si="1191"/>
        <v>1771.8467438708853</v>
      </c>
      <c r="AS85" s="31">
        <f t="shared" si="1191"/>
        <v>1833.2384713464512</v>
      </c>
      <c r="AT85" s="31">
        <f t="shared" si="1191"/>
        <v>1894.6301988220171</v>
      </c>
      <c r="AU85" s="31">
        <f t="shared" si="1191"/>
        <v>1956.0219262975829</v>
      </c>
      <c r="AV85" s="31">
        <f t="shared" si="1191"/>
        <v>2017.4136537731488</v>
      </c>
      <c r="AW85" s="31">
        <f t="shared" si="1191"/>
        <v>2078.8053812487146</v>
      </c>
      <c r="AX85" s="31">
        <f t="shared" si="1191"/>
        <v>2140.1971087242805</v>
      </c>
      <c r="AY85" s="31">
        <f t="shared" si="1191"/>
        <v>2201.5888361998464</v>
      </c>
      <c r="AZ85" s="62">
        <f t="shared" si="1191"/>
        <v>2262.9805636754122</v>
      </c>
      <c r="BA85" s="30">
        <f t="shared" si="1191"/>
        <v>2324.3722911509781</v>
      </c>
      <c r="BB85" s="31">
        <f t="shared" si="1191"/>
        <v>2385.7640186265439</v>
      </c>
      <c r="BC85" s="31">
        <f t="shared" si="1191"/>
        <v>2447.1557461021098</v>
      </c>
      <c r="BD85" s="31">
        <f t="shared" si="1191"/>
        <v>2508.5474735776756</v>
      </c>
      <c r="BE85" s="31">
        <f t="shared" si="1191"/>
        <v>2572.394870152264</v>
      </c>
      <c r="BF85" s="31">
        <f t="shared" si="1191"/>
        <v>2700.4324332561696</v>
      </c>
      <c r="BG85" s="31">
        <f t="shared" si="1191"/>
        <v>9.8490433156850141</v>
      </c>
      <c r="BH85" s="31">
        <f t="shared" si="1191"/>
        <v>137.88660641959015</v>
      </c>
      <c r="BI85" s="31">
        <f t="shared" si="1191"/>
        <v>265.92416952349532</v>
      </c>
      <c r="BJ85" s="31">
        <f t="shared" si="1191"/>
        <v>393.96173262740047</v>
      </c>
      <c r="BK85" s="31">
        <f t="shared" si="1191"/>
        <v>521.99929573130566</v>
      </c>
      <c r="BL85" s="31">
        <f t="shared" si="1191"/>
        <v>650.03685883521086</v>
      </c>
      <c r="BM85" s="31">
        <f t="shared" si="1191"/>
        <v>778.07442193911606</v>
      </c>
      <c r="BN85" s="31">
        <f t="shared" si="1191"/>
        <v>906.11198504302126</v>
      </c>
      <c r="BO85" s="31">
        <f t="shared" si="1191"/>
        <v>1034.1495481469265</v>
      </c>
      <c r="BP85" s="31">
        <f t="shared" si="1191"/>
        <v>1162.1871112508318</v>
      </c>
      <c r="BQ85" s="31">
        <f t="shared" si="1191"/>
        <v>1290.2246743547371</v>
      </c>
      <c r="BR85" s="31">
        <f t="shared" si="1191"/>
        <v>1418.2622374586424</v>
      </c>
      <c r="BS85" s="31">
        <f t="shared" ref="BS85:DT85" si="1192">BS84*$C$85</f>
        <v>1546.2998005625477</v>
      </c>
      <c r="BT85" s="31">
        <f t="shared" si="1192"/>
        <v>1674.3373636664528</v>
      </c>
      <c r="BU85" s="31">
        <f t="shared" si="1192"/>
        <v>1802.3749267703581</v>
      </c>
      <c r="BV85" s="31">
        <f t="shared" si="1192"/>
        <v>1930.4124898742634</v>
      </c>
      <c r="BW85" s="31">
        <f t="shared" si="1192"/>
        <v>2053.5255313203261</v>
      </c>
      <c r="BX85" s="62">
        <f t="shared" si="1192"/>
        <v>2176.6385727663887</v>
      </c>
      <c r="BY85" s="30">
        <f t="shared" si="1192"/>
        <v>2299.7516142124509</v>
      </c>
      <c r="BZ85" s="31">
        <f t="shared" si="1192"/>
        <v>2422.8646556585136</v>
      </c>
      <c r="CA85" s="31">
        <f t="shared" si="1192"/>
        <v>2545.9776971045762</v>
      </c>
      <c r="CB85" s="31">
        <f t="shared" si="1192"/>
        <v>2669.0907385506389</v>
      </c>
      <c r="CC85" s="31">
        <f t="shared" si="1192"/>
        <v>2797.128301654544</v>
      </c>
      <c r="CD85" s="31">
        <f t="shared" si="1192"/>
        <v>2925.1658647584495</v>
      </c>
      <c r="CE85" s="31">
        <f t="shared" si="1192"/>
        <v>9.8490433156850141</v>
      </c>
      <c r="CF85" s="31">
        <f t="shared" si="1192"/>
        <v>137.88660641959015</v>
      </c>
      <c r="CG85" s="31">
        <f t="shared" si="1192"/>
        <v>265.92416952349532</v>
      </c>
      <c r="CH85" s="31">
        <f t="shared" si="1192"/>
        <v>393.96173262740047</v>
      </c>
      <c r="CI85" s="31">
        <f t="shared" si="1192"/>
        <v>521.99929573130566</v>
      </c>
      <c r="CJ85" s="31">
        <f t="shared" si="1192"/>
        <v>650.03685883521086</v>
      </c>
      <c r="CK85" s="31">
        <f t="shared" si="1192"/>
        <v>778.07442193911606</v>
      </c>
      <c r="CL85" s="31">
        <f t="shared" si="1192"/>
        <v>906.11198504302126</v>
      </c>
      <c r="CM85" s="31">
        <f t="shared" si="1192"/>
        <v>1034.1495481469265</v>
      </c>
      <c r="CN85" s="31">
        <f t="shared" si="1192"/>
        <v>1162.1871112508318</v>
      </c>
      <c r="CO85" s="31">
        <f t="shared" si="1192"/>
        <v>1290.2246743547371</v>
      </c>
      <c r="CP85" s="31">
        <f t="shared" si="1192"/>
        <v>1418.2622374586424</v>
      </c>
      <c r="CQ85" s="31">
        <f t="shared" si="1192"/>
        <v>1546.2998005625477</v>
      </c>
      <c r="CR85" s="31">
        <f t="shared" si="1192"/>
        <v>1674.3373636664528</v>
      </c>
      <c r="CS85" s="31">
        <f t="shared" si="1192"/>
        <v>1802.3749267703581</v>
      </c>
      <c r="CT85" s="31">
        <f t="shared" si="1192"/>
        <v>1925.4879682164208</v>
      </c>
      <c r="CU85" s="31">
        <f t="shared" si="1192"/>
        <v>2048.6010096624832</v>
      </c>
      <c r="CV85" s="62">
        <f t="shared" si="1192"/>
        <v>2171.7140511085458</v>
      </c>
      <c r="CW85" s="30">
        <f t="shared" si="1192"/>
        <v>2294.8270925546085</v>
      </c>
      <c r="CX85" s="31">
        <f t="shared" si="1192"/>
        <v>2417.9401340006712</v>
      </c>
      <c r="CY85" s="31">
        <f t="shared" si="1192"/>
        <v>2541.0531754467338</v>
      </c>
      <c r="CZ85" s="31">
        <f t="shared" si="1192"/>
        <v>2664.166216892796</v>
      </c>
      <c r="DA85" s="31">
        <f t="shared" si="1192"/>
        <v>2792.2037799967015</v>
      </c>
      <c r="DB85" s="31">
        <f t="shared" si="1192"/>
        <v>2920.2413431006066</v>
      </c>
      <c r="DC85" s="31">
        <f t="shared" si="1192"/>
        <v>9.8490433156850141</v>
      </c>
      <c r="DD85" s="31">
        <f t="shared" si="1192"/>
        <v>137.88660641959015</v>
      </c>
      <c r="DE85" s="31">
        <f t="shared" si="1192"/>
        <v>265.92416952349532</v>
      </c>
      <c r="DF85" s="31">
        <f t="shared" si="1192"/>
        <v>393.96173262740047</v>
      </c>
      <c r="DG85" s="31">
        <f t="shared" si="1192"/>
        <v>521.99929573130566</v>
      </c>
      <c r="DH85" s="31">
        <f t="shared" si="1192"/>
        <v>650.03685883521086</v>
      </c>
      <c r="DI85" s="31">
        <f t="shared" si="1192"/>
        <v>778.07442193911606</v>
      </c>
      <c r="DJ85" s="31">
        <f t="shared" si="1192"/>
        <v>906.11198504302126</v>
      </c>
      <c r="DK85" s="31">
        <f t="shared" si="1192"/>
        <v>1034.1495481469265</v>
      </c>
      <c r="DL85" s="31">
        <f t="shared" si="1192"/>
        <v>1162.1871112508318</v>
      </c>
      <c r="DM85" s="31">
        <f t="shared" si="1192"/>
        <v>1290.2246743547371</v>
      </c>
      <c r="DN85" s="31">
        <f t="shared" si="1192"/>
        <v>1418.2622374586424</v>
      </c>
      <c r="DO85" s="31">
        <f t="shared" si="1192"/>
        <v>1546.2998005625477</v>
      </c>
      <c r="DP85" s="31">
        <f t="shared" si="1192"/>
        <v>1674.3373636664528</v>
      </c>
      <c r="DQ85" s="31">
        <f t="shared" si="1192"/>
        <v>1802.3749267703581</v>
      </c>
      <c r="DR85" s="31">
        <f t="shared" si="1192"/>
        <v>1925.4879682164208</v>
      </c>
      <c r="DS85" s="31">
        <f t="shared" si="1192"/>
        <v>2048.6010096624832</v>
      </c>
      <c r="DT85" s="62">
        <f t="shared" si="1192"/>
        <v>2171.7140511085458</v>
      </c>
    </row>
    <row r="86" spans="2:124" x14ac:dyDescent="0.2">
      <c r="B86" s="3" t="s">
        <v>0</v>
      </c>
      <c r="D86" s="155"/>
      <c r="E86" s="30"/>
      <c r="F86" s="31"/>
      <c r="G86" s="31"/>
      <c r="H86" s="31"/>
      <c r="I86" s="31"/>
      <c r="J86" s="31" t="s">
        <v>36</v>
      </c>
      <c r="K86" s="31" t="s">
        <v>36</v>
      </c>
      <c r="L86" s="31" t="s">
        <v>36</v>
      </c>
      <c r="M86" s="31" t="s">
        <v>36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62"/>
      <c r="AC86" s="30"/>
      <c r="AD86" s="31"/>
      <c r="AE86" s="31"/>
      <c r="AF86" s="31"/>
      <c r="AG86" s="31"/>
      <c r="AH86" s="31" t="s">
        <v>36</v>
      </c>
      <c r="AI86" s="31" t="s">
        <v>36</v>
      </c>
      <c r="AJ86" s="31" t="s">
        <v>36</v>
      </c>
      <c r="AK86" s="31" t="s">
        <v>36</v>
      </c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62"/>
      <c r="BA86" s="30"/>
      <c r="BB86" s="31"/>
      <c r="BC86" s="31"/>
      <c r="BD86" s="31"/>
      <c r="BE86" s="31"/>
      <c r="BF86" s="31" t="s">
        <v>36</v>
      </c>
      <c r="BG86" s="31" t="s">
        <v>36</v>
      </c>
      <c r="BH86" s="31" t="s">
        <v>36</v>
      </c>
      <c r="BI86" s="31" t="s">
        <v>36</v>
      </c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62"/>
      <c r="BY86" s="30"/>
      <c r="BZ86" s="31"/>
      <c r="CA86" s="31"/>
      <c r="CB86" s="31"/>
      <c r="CC86" s="31"/>
      <c r="CD86" s="31" t="s">
        <v>36</v>
      </c>
      <c r="CE86" s="31" t="s">
        <v>36</v>
      </c>
      <c r="CF86" s="31" t="s">
        <v>36</v>
      </c>
      <c r="CG86" s="31" t="s">
        <v>36</v>
      </c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62"/>
      <c r="CW86" s="30"/>
      <c r="CX86" s="31"/>
      <c r="CY86" s="31"/>
      <c r="CZ86" s="31"/>
      <c r="DA86" s="31"/>
      <c r="DB86" s="31" t="s">
        <v>36</v>
      </c>
      <c r="DC86" s="31" t="s">
        <v>36</v>
      </c>
      <c r="DD86" s="31" t="s">
        <v>36</v>
      </c>
      <c r="DE86" s="31" t="s">
        <v>36</v>
      </c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62"/>
    </row>
    <row r="87" spans="2:124" s="12" customFormat="1" x14ac:dyDescent="0.2">
      <c r="B87" s="28" t="s">
        <v>14</v>
      </c>
      <c r="C87" s="75"/>
      <c r="D87" s="152">
        <v>1</v>
      </c>
      <c r="E87" s="29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1</v>
      </c>
      <c r="Q87" s="12">
        <v>1</v>
      </c>
      <c r="R87" s="12">
        <v>1</v>
      </c>
      <c r="S87" s="12">
        <v>1</v>
      </c>
      <c r="T87" s="12">
        <v>1</v>
      </c>
      <c r="U87" s="12">
        <v>1</v>
      </c>
      <c r="V87" s="12">
        <v>1</v>
      </c>
      <c r="W87" s="12">
        <v>1</v>
      </c>
      <c r="X87" s="12">
        <v>1</v>
      </c>
      <c r="Y87" s="12">
        <v>1</v>
      </c>
      <c r="Z87" s="12">
        <v>1</v>
      </c>
      <c r="AA87" s="12">
        <v>1</v>
      </c>
      <c r="AB87" s="61">
        <v>1</v>
      </c>
      <c r="AC87" s="29">
        <v>1</v>
      </c>
      <c r="AD87" s="12">
        <v>1</v>
      </c>
      <c r="AE87" s="12">
        <v>1</v>
      </c>
      <c r="AF87" s="12">
        <v>1</v>
      </c>
      <c r="AG87" s="12">
        <v>1</v>
      </c>
      <c r="AH87" s="12">
        <v>1</v>
      </c>
      <c r="AI87" s="12">
        <v>1</v>
      </c>
      <c r="AJ87" s="12">
        <v>1</v>
      </c>
      <c r="AK87" s="12">
        <v>1</v>
      </c>
      <c r="AL87" s="12">
        <v>1</v>
      </c>
      <c r="AM87" s="12">
        <v>1</v>
      </c>
      <c r="AN87" s="12">
        <v>1</v>
      </c>
      <c r="AO87" s="12">
        <v>1</v>
      </c>
      <c r="AP87" s="12">
        <v>1</v>
      </c>
      <c r="AQ87" s="12">
        <v>1</v>
      </c>
      <c r="AR87" s="12">
        <v>1</v>
      </c>
      <c r="AS87" s="12">
        <v>1</v>
      </c>
      <c r="AT87" s="12">
        <v>1</v>
      </c>
      <c r="AU87" s="12">
        <v>1</v>
      </c>
      <c r="AV87" s="12">
        <v>1</v>
      </c>
      <c r="AW87" s="12">
        <v>1</v>
      </c>
      <c r="AX87" s="12">
        <v>1</v>
      </c>
      <c r="AY87" s="12">
        <v>1</v>
      </c>
      <c r="AZ87" s="61">
        <v>1</v>
      </c>
      <c r="BA87" s="29">
        <v>1</v>
      </c>
      <c r="BB87" s="12">
        <v>1</v>
      </c>
      <c r="BC87" s="12">
        <v>1</v>
      </c>
      <c r="BD87" s="12">
        <v>1</v>
      </c>
      <c r="BE87" s="12">
        <v>1</v>
      </c>
      <c r="BF87" s="12">
        <v>1</v>
      </c>
      <c r="BG87" s="12">
        <v>1</v>
      </c>
      <c r="BH87" s="12">
        <v>1</v>
      </c>
      <c r="BI87" s="12">
        <v>1</v>
      </c>
      <c r="BJ87" s="12">
        <v>1</v>
      </c>
      <c r="BK87" s="12">
        <v>1</v>
      </c>
      <c r="BL87" s="12">
        <v>1</v>
      </c>
      <c r="BM87" s="12">
        <v>1</v>
      </c>
      <c r="BN87" s="12">
        <v>1</v>
      </c>
      <c r="BO87" s="12">
        <v>1</v>
      </c>
      <c r="BP87" s="12">
        <v>1</v>
      </c>
      <c r="BQ87" s="12">
        <v>1</v>
      </c>
      <c r="BR87" s="12">
        <v>1</v>
      </c>
      <c r="BS87" s="12">
        <v>1</v>
      </c>
      <c r="BT87" s="12">
        <v>1</v>
      </c>
      <c r="BU87" s="12">
        <v>1</v>
      </c>
      <c r="BV87" s="12">
        <v>1</v>
      </c>
      <c r="BW87" s="12">
        <v>1</v>
      </c>
      <c r="BX87" s="61">
        <v>1</v>
      </c>
      <c r="BY87" s="29">
        <v>1</v>
      </c>
      <c r="BZ87" s="12">
        <v>1</v>
      </c>
      <c r="CA87" s="12">
        <v>1</v>
      </c>
      <c r="CB87" s="12">
        <v>1</v>
      </c>
      <c r="CC87" s="12">
        <v>1</v>
      </c>
      <c r="CD87" s="12">
        <v>1</v>
      </c>
      <c r="CE87" s="12">
        <v>1</v>
      </c>
      <c r="CF87" s="12">
        <v>1</v>
      </c>
      <c r="CG87" s="12">
        <v>1</v>
      </c>
      <c r="CH87" s="12">
        <v>1</v>
      </c>
      <c r="CI87" s="12">
        <v>1</v>
      </c>
      <c r="CJ87" s="12">
        <v>1</v>
      </c>
      <c r="CK87" s="12">
        <v>1</v>
      </c>
      <c r="CL87" s="12">
        <v>1</v>
      </c>
      <c r="CM87" s="12">
        <v>1</v>
      </c>
      <c r="CN87" s="12">
        <v>1</v>
      </c>
      <c r="CO87" s="12">
        <v>1</v>
      </c>
      <c r="CP87" s="12">
        <v>1</v>
      </c>
      <c r="CQ87" s="12">
        <v>1</v>
      </c>
      <c r="CR87" s="12">
        <v>1</v>
      </c>
      <c r="CS87" s="12">
        <v>1</v>
      </c>
      <c r="CT87" s="12">
        <v>1</v>
      </c>
      <c r="CU87" s="12">
        <v>1</v>
      </c>
      <c r="CV87" s="61">
        <v>1</v>
      </c>
      <c r="CW87" s="29">
        <v>1</v>
      </c>
      <c r="CX87" s="12">
        <v>1</v>
      </c>
      <c r="CY87" s="12">
        <v>1</v>
      </c>
      <c r="CZ87" s="12">
        <v>1</v>
      </c>
      <c r="DA87" s="12">
        <v>1</v>
      </c>
      <c r="DB87" s="12">
        <v>1</v>
      </c>
      <c r="DC87" s="12">
        <v>1</v>
      </c>
      <c r="DD87" s="12">
        <v>1</v>
      </c>
      <c r="DE87" s="12">
        <v>1</v>
      </c>
      <c r="DF87" s="12">
        <v>1</v>
      </c>
      <c r="DG87" s="12">
        <v>1</v>
      </c>
      <c r="DH87" s="12">
        <v>1</v>
      </c>
      <c r="DI87" s="12">
        <v>1</v>
      </c>
      <c r="DJ87" s="12">
        <v>1</v>
      </c>
      <c r="DK87" s="12">
        <v>1</v>
      </c>
      <c r="DL87" s="12">
        <v>1</v>
      </c>
      <c r="DM87" s="12">
        <v>1</v>
      </c>
      <c r="DN87" s="12">
        <v>1</v>
      </c>
      <c r="DO87" s="12">
        <v>1</v>
      </c>
      <c r="DP87" s="12">
        <v>1</v>
      </c>
      <c r="DQ87" s="12">
        <v>1</v>
      </c>
      <c r="DR87" s="12">
        <v>1</v>
      </c>
      <c r="DS87" s="12">
        <v>1</v>
      </c>
      <c r="DT87" s="61">
        <v>1</v>
      </c>
    </row>
    <row r="88" spans="2:124" x14ac:dyDescent="0.2">
      <c r="B88" s="3" t="s">
        <v>15</v>
      </c>
      <c r="D88" s="145">
        <v>1</v>
      </c>
      <c r="E88" s="30">
        <v>1.06</v>
      </c>
      <c r="F88" s="31">
        <v>1.06</v>
      </c>
      <c r="G88" s="31">
        <v>1.06</v>
      </c>
      <c r="H88" s="31">
        <v>1.06</v>
      </c>
      <c r="I88" s="31">
        <v>1.06</v>
      </c>
      <c r="J88" s="31">
        <v>1.06</v>
      </c>
      <c r="K88" s="31">
        <v>1.06</v>
      </c>
      <c r="L88" s="31">
        <v>1.06</v>
      </c>
      <c r="M88" s="31">
        <v>1.06</v>
      </c>
      <c r="N88" s="31">
        <v>1.06</v>
      </c>
      <c r="O88" s="31">
        <v>1.06</v>
      </c>
      <c r="P88" s="31">
        <v>1.06</v>
      </c>
      <c r="Q88" s="31">
        <v>1.06</v>
      </c>
      <c r="R88" s="31">
        <v>1.06</v>
      </c>
      <c r="S88" s="31">
        <v>1.06</v>
      </c>
      <c r="T88" s="31">
        <v>1.06</v>
      </c>
      <c r="U88" s="31">
        <v>1.06</v>
      </c>
      <c r="V88" s="31">
        <v>1.06</v>
      </c>
      <c r="W88" s="31">
        <v>1.06</v>
      </c>
      <c r="X88" s="31">
        <v>1.06</v>
      </c>
      <c r="Y88" s="31">
        <v>1.06</v>
      </c>
      <c r="Z88" s="31">
        <v>1.06</v>
      </c>
      <c r="AA88" s="31">
        <v>1.06</v>
      </c>
      <c r="AB88" s="62">
        <v>1.06</v>
      </c>
      <c r="AC88" s="30">
        <v>1.06</v>
      </c>
      <c r="AD88" s="31">
        <v>1.06</v>
      </c>
      <c r="AE88" s="31">
        <v>1.06</v>
      </c>
      <c r="AF88" s="31">
        <v>1.06</v>
      </c>
      <c r="AG88" s="31">
        <v>1.06</v>
      </c>
      <c r="AH88" s="31">
        <v>1.06</v>
      </c>
      <c r="AI88" s="31">
        <v>1.06</v>
      </c>
      <c r="AJ88" s="31">
        <v>1.06</v>
      </c>
      <c r="AK88" s="31">
        <v>1.06</v>
      </c>
      <c r="AL88" s="31">
        <v>1.06</v>
      </c>
      <c r="AM88" s="31">
        <v>1.06</v>
      </c>
      <c r="AN88" s="31">
        <v>1.06</v>
      </c>
      <c r="AO88" s="31">
        <v>1.06</v>
      </c>
      <c r="AP88" s="31">
        <v>1.06</v>
      </c>
      <c r="AQ88" s="31">
        <v>1.06</v>
      </c>
      <c r="AR88" s="31">
        <v>1.06</v>
      </c>
      <c r="AS88" s="31">
        <v>1.06</v>
      </c>
      <c r="AT88" s="31">
        <v>1.06</v>
      </c>
      <c r="AU88" s="31">
        <v>1.06</v>
      </c>
      <c r="AV88" s="31">
        <v>1.06</v>
      </c>
      <c r="AW88" s="31">
        <v>1.06</v>
      </c>
      <c r="AX88" s="31">
        <v>1.06</v>
      </c>
      <c r="AY88" s="31">
        <v>1.06</v>
      </c>
      <c r="AZ88" s="62">
        <v>1.06</v>
      </c>
      <c r="BA88" s="30">
        <v>1.06</v>
      </c>
      <c r="BB88" s="31">
        <v>1.06</v>
      </c>
      <c r="BC88" s="31">
        <v>1.06</v>
      </c>
      <c r="BD88" s="31">
        <v>1.06</v>
      </c>
      <c r="BE88" s="31">
        <v>1.06</v>
      </c>
      <c r="BF88" s="31">
        <v>1.06</v>
      </c>
      <c r="BG88" s="31">
        <v>1.06</v>
      </c>
      <c r="BH88" s="31">
        <v>1.06</v>
      </c>
      <c r="BI88" s="31">
        <v>1.06</v>
      </c>
      <c r="BJ88" s="31">
        <v>1.06</v>
      </c>
      <c r="BK88" s="31">
        <v>1.06</v>
      </c>
      <c r="BL88" s="31">
        <v>1.06</v>
      </c>
      <c r="BM88" s="31">
        <v>1.06</v>
      </c>
      <c r="BN88" s="31">
        <v>1.06</v>
      </c>
      <c r="BO88" s="31">
        <v>1.06</v>
      </c>
      <c r="BP88" s="31">
        <v>1.06</v>
      </c>
      <c r="BQ88" s="31">
        <v>1.06</v>
      </c>
      <c r="BR88" s="31">
        <v>1.06</v>
      </c>
      <c r="BS88" s="31">
        <v>1.06</v>
      </c>
      <c r="BT88" s="31">
        <v>1.06</v>
      </c>
      <c r="BU88" s="31">
        <v>1.06</v>
      </c>
      <c r="BV88" s="31">
        <v>1.06</v>
      </c>
      <c r="BW88" s="31">
        <v>1.06</v>
      </c>
      <c r="BX88" s="62">
        <v>1.06</v>
      </c>
      <c r="BY88" s="30">
        <v>1.06</v>
      </c>
      <c r="BZ88" s="31">
        <v>1.06</v>
      </c>
      <c r="CA88" s="31">
        <v>1.06</v>
      </c>
      <c r="CB88" s="31">
        <v>1.06</v>
      </c>
      <c r="CC88" s="31">
        <v>1.06</v>
      </c>
      <c r="CD88" s="31">
        <v>1.06</v>
      </c>
      <c r="CE88" s="31">
        <v>1.06</v>
      </c>
      <c r="CF88" s="31">
        <v>1.06</v>
      </c>
      <c r="CG88" s="31">
        <v>1.06</v>
      </c>
      <c r="CH88" s="31">
        <v>1.06</v>
      </c>
      <c r="CI88" s="31">
        <v>1.06</v>
      </c>
      <c r="CJ88" s="31">
        <v>1.06</v>
      </c>
      <c r="CK88" s="31">
        <v>1.06</v>
      </c>
      <c r="CL88" s="31">
        <v>1.06</v>
      </c>
      <c r="CM88" s="31">
        <v>1.06</v>
      </c>
      <c r="CN88" s="31">
        <v>1.06</v>
      </c>
      <c r="CO88" s="31">
        <v>1.06</v>
      </c>
      <c r="CP88" s="31">
        <v>1.06</v>
      </c>
      <c r="CQ88" s="31">
        <v>1.06</v>
      </c>
      <c r="CR88" s="31">
        <v>1.06</v>
      </c>
      <c r="CS88" s="31">
        <v>1.06</v>
      </c>
      <c r="CT88" s="31">
        <v>1.06</v>
      </c>
      <c r="CU88" s="31">
        <v>1.06</v>
      </c>
      <c r="CV88" s="62">
        <v>1.06</v>
      </c>
      <c r="CW88" s="30">
        <v>1.06</v>
      </c>
      <c r="CX88" s="31">
        <v>1.06</v>
      </c>
      <c r="CY88" s="31">
        <v>1.06</v>
      </c>
      <c r="CZ88" s="31">
        <v>1.06</v>
      </c>
      <c r="DA88" s="31">
        <v>1.06</v>
      </c>
      <c r="DB88" s="31">
        <v>1.06</v>
      </c>
      <c r="DC88" s="31">
        <v>1.06</v>
      </c>
      <c r="DD88" s="31">
        <v>1.06</v>
      </c>
      <c r="DE88" s="31">
        <v>1.06</v>
      </c>
      <c r="DF88" s="31">
        <v>1.06</v>
      </c>
      <c r="DG88" s="31">
        <v>1.06</v>
      </c>
      <c r="DH88" s="31">
        <v>1.06</v>
      </c>
      <c r="DI88" s="31">
        <v>1.06</v>
      </c>
      <c r="DJ88" s="31">
        <v>1.06</v>
      </c>
      <c r="DK88" s="31">
        <v>1.06</v>
      </c>
      <c r="DL88" s="31">
        <v>1.06</v>
      </c>
      <c r="DM88" s="31">
        <v>1.06</v>
      </c>
      <c r="DN88" s="31">
        <v>1.06</v>
      </c>
      <c r="DO88" s="31">
        <v>1.06</v>
      </c>
      <c r="DP88" s="31">
        <v>1.06</v>
      </c>
      <c r="DQ88" s="31">
        <v>1.06</v>
      </c>
      <c r="DR88" s="31">
        <v>1.06</v>
      </c>
      <c r="DS88" s="31">
        <v>1.06</v>
      </c>
      <c r="DT88" s="62">
        <v>1.06</v>
      </c>
    </row>
    <row r="89" spans="2:124" x14ac:dyDescent="0.2">
      <c r="B89" s="1" t="s">
        <v>57</v>
      </c>
      <c r="C89" s="77"/>
      <c r="D89" s="145">
        <f>D85/12</f>
        <v>0</v>
      </c>
      <c r="E89" s="31">
        <f t="shared" ref="E89:BP89" si="1193">E85/24+E87*E88</f>
        <v>4.4805005787037047</v>
      </c>
      <c r="F89" s="31">
        <f>F85/24+F87*F88</f>
        <v>7.9010011574074088</v>
      </c>
      <c r="G89" s="31">
        <f t="shared" si="1193"/>
        <v>11.321501736111113</v>
      </c>
      <c r="H89" s="31">
        <f t="shared" si="1193"/>
        <v>14.742002314814819</v>
      </c>
      <c r="I89" s="31">
        <f t="shared" si="1193"/>
        <v>18.299322916666668</v>
      </c>
      <c r="J89" s="31">
        <f t="shared" si="1193"/>
        <v>21.856643518518521</v>
      </c>
      <c r="K89" s="31">
        <f t="shared" si="1193"/>
        <v>25.413964120370373</v>
      </c>
      <c r="L89" s="31">
        <f t="shared" si="1193"/>
        <v>1.1573284306948732</v>
      </c>
      <c r="M89" s="31">
        <f t="shared" si="1193"/>
        <v>2.422598029728225</v>
      </c>
      <c r="N89" s="31">
        <f t="shared" si="1193"/>
        <v>3.6878676287615768</v>
      </c>
      <c r="O89" s="31">
        <f t="shared" si="1193"/>
        <v>4.9531372277949286</v>
      </c>
      <c r="P89" s="31">
        <f t="shared" si="1193"/>
        <v>6.7178828734246441</v>
      </c>
      <c r="Q89" s="31">
        <f t="shared" si="1193"/>
        <v>8.4826285190543604</v>
      </c>
      <c r="R89" s="31">
        <f t="shared" si="1193"/>
        <v>10.247374164684075</v>
      </c>
      <c r="S89" s="31">
        <f t="shared" si="1193"/>
        <v>12.01211981031379</v>
      </c>
      <c r="T89" s="31">
        <f t="shared" si="1193"/>
        <v>13.776865455943504</v>
      </c>
      <c r="U89" s="31">
        <f t="shared" si="1193"/>
        <v>15.541611101573217</v>
      </c>
      <c r="V89" s="31">
        <f t="shared" si="1193"/>
        <v>18.201919292181067</v>
      </c>
      <c r="W89" s="31">
        <f t="shared" si="1193"/>
        <v>20.862227482788924</v>
      </c>
      <c r="X89" s="31">
        <f t="shared" si="1193"/>
        <v>23.522535673396774</v>
      </c>
      <c r="Y89" s="31">
        <f t="shared" si="1193"/>
        <v>26.182843864004631</v>
      </c>
      <c r="Z89" s="31">
        <f t="shared" si="1193"/>
        <v>28.843152054612485</v>
      </c>
      <c r="AA89" s="31">
        <f t="shared" si="1193"/>
        <v>31.401140699427728</v>
      </c>
      <c r="AB89" s="62">
        <f t="shared" si="1193"/>
        <v>33.959129344242974</v>
      </c>
      <c r="AC89" s="30">
        <f t="shared" si="1193"/>
        <v>36.517117989058221</v>
      </c>
      <c r="AD89" s="31">
        <f t="shared" si="1193"/>
        <v>39.075106633873467</v>
      </c>
      <c r="AE89" s="31">
        <f t="shared" si="1193"/>
        <v>41.633095278688707</v>
      </c>
      <c r="AF89" s="31">
        <f t="shared" si="1193"/>
        <v>44.191083923503953</v>
      </c>
      <c r="AG89" s="31">
        <f t="shared" si="1193"/>
        <v>46.7490725683192</v>
      </c>
      <c r="AH89" s="31">
        <f t="shared" si="1193"/>
        <v>49.307061213134439</v>
      </c>
      <c r="AI89" s="31">
        <f t="shared" si="1193"/>
        <v>51.865049857949685</v>
      </c>
      <c r="AJ89" s="31">
        <f t="shared" si="1193"/>
        <v>54.423038502764932</v>
      </c>
      <c r="AK89" s="31">
        <f t="shared" si="1193"/>
        <v>56.981027147580171</v>
      </c>
      <c r="AL89" s="31">
        <f t="shared" si="1193"/>
        <v>59.539015792395418</v>
      </c>
      <c r="AM89" s="31">
        <f t="shared" si="1193"/>
        <v>62.097004437210664</v>
      </c>
      <c r="AN89" s="31">
        <f t="shared" si="1193"/>
        <v>64.654993082025896</v>
      </c>
      <c r="AO89" s="31">
        <f t="shared" si="1193"/>
        <v>67.21298172684115</v>
      </c>
      <c r="AP89" s="31">
        <f t="shared" si="1193"/>
        <v>69.770970371656404</v>
      </c>
      <c r="AQ89" s="31">
        <f t="shared" si="1193"/>
        <v>72.328959016471643</v>
      </c>
      <c r="AR89" s="31">
        <f t="shared" si="1193"/>
        <v>74.886947661286897</v>
      </c>
      <c r="AS89" s="31">
        <f t="shared" si="1193"/>
        <v>77.444936306102136</v>
      </c>
      <c r="AT89" s="31">
        <f t="shared" si="1193"/>
        <v>80.002924950917375</v>
      </c>
      <c r="AU89" s="31">
        <f t="shared" si="1193"/>
        <v>82.560913595732629</v>
      </c>
      <c r="AV89" s="31">
        <f t="shared" si="1193"/>
        <v>85.118902240547868</v>
      </c>
      <c r="AW89" s="31">
        <f t="shared" si="1193"/>
        <v>87.676890885363107</v>
      </c>
      <c r="AX89" s="31">
        <f t="shared" si="1193"/>
        <v>90.234879530178361</v>
      </c>
      <c r="AY89" s="31">
        <f t="shared" si="1193"/>
        <v>92.7928681749936</v>
      </c>
      <c r="AZ89" s="62">
        <f t="shared" si="1193"/>
        <v>95.35085681980884</v>
      </c>
      <c r="BA89" s="30">
        <f t="shared" si="1193"/>
        <v>97.908845464624093</v>
      </c>
      <c r="BB89" s="31">
        <f t="shared" si="1193"/>
        <v>100.46683410943933</v>
      </c>
      <c r="BC89" s="31">
        <f t="shared" si="1193"/>
        <v>103.02482275425457</v>
      </c>
      <c r="BD89" s="31">
        <f t="shared" si="1193"/>
        <v>105.58281139906983</v>
      </c>
      <c r="BE89" s="31">
        <f t="shared" si="1193"/>
        <v>108.24311958967768</v>
      </c>
      <c r="BF89" s="31">
        <f t="shared" si="1193"/>
        <v>113.5780180523404</v>
      </c>
      <c r="BG89" s="31">
        <f t="shared" si="1193"/>
        <v>1.470376804820209</v>
      </c>
      <c r="BH89" s="31">
        <f t="shared" si="1193"/>
        <v>6.8052752674829229</v>
      </c>
      <c r="BI89" s="31">
        <f t="shared" si="1193"/>
        <v>12.140173730145639</v>
      </c>
      <c r="BJ89" s="31">
        <f t="shared" si="1193"/>
        <v>17.475072192808351</v>
      </c>
      <c r="BK89" s="31">
        <f t="shared" si="1193"/>
        <v>22.809970655471069</v>
      </c>
      <c r="BL89" s="31">
        <f t="shared" si="1193"/>
        <v>28.144869118133784</v>
      </c>
      <c r="BM89" s="31">
        <f t="shared" si="1193"/>
        <v>33.479767580796505</v>
      </c>
      <c r="BN89" s="31">
        <f t="shared" si="1193"/>
        <v>38.814666043459219</v>
      </c>
      <c r="BO89" s="31">
        <f t="shared" si="1193"/>
        <v>44.149564506121941</v>
      </c>
      <c r="BP89" s="31">
        <f t="shared" si="1193"/>
        <v>49.484462968784662</v>
      </c>
      <c r="BQ89" s="31">
        <f t="shared" ref="BQ89:DS89" si="1194">BQ85/24+BQ87*BQ88</f>
        <v>54.819361431447383</v>
      </c>
      <c r="BR89" s="31">
        <f t="shared" si="1194"/>
        <v>60.154259894110105</v>
      </c>
      <c r="BS89" s="31">
        <f t="shared" si="1194"/>
        <v>65.489158356772819</v>
      </c>
      <c r="BT89" s="31">
        <f t="shared" si="1194"/>
        <v>70.82405681943554</v>
      </c>
      <c r="BU89" s="31">
        <f t="shared" si="1194"/>
        <v>76.158955282098262</v>
      </c>
      <c r="BV89" s="31">
        <f t="shared" si="1194"/>
        <v>81.493853744760983</v>
      </c>
      <c r="BW89" s="31">
        <f t="shared" si="1194"/>
        <v>86.623563805013589</v>
      </c>
      <c r="BX89" s="62">
        <f t="shared" si="1194"/>
        <v>91.753273865266195</v>
      </c>
      <c r="BY89" s="30">
        <f t="shared" si="1194"/>
        <v>96.882983925518786</v>
      </c>
      <c r="BZ89" s="31">
        <f t="shared" si="1194"/>
        <v>102.01269398577141</v>
      </c>
      <c r="CA89" s="31">
        <f t="shared" si="1194"/>
        <v>107.14240404602401</v>
      </c>
      <c r="CB89" s="31">
        <f t="shared" si="1194"/>
        <v>112.27211410627662</v>
      </c>
      <c r="CC89" s="31">
        <f t="shared" si="1194"/>
        <v>117.60701256893934</v>
      </c>
      <c r="CD89" s="31">
        <f t="shared" si="1194"/>
        <v>122.94191103160206</v>
      </c>
      <c r="CE89" s="31">
        <f t="shared" si="1194"/>
        <v>1.470376804820209</v>
      </c>
      <c r="CF89" s="31">
        <f t="shared" si="1194"/>
        <v>6.8052752674829229</v>
      </c>
      <c r="CG89" s="31">
        <f t="shared" si="1194"/>
        <v>12.140173730145639</v>
      </c>
      <c r="CH89" s="31">
        <f t="shared" si="1194"/>
        <v>17.475072192808351</v>
      </c>
      <c r="CI89" s="31">
        <f t="shared" si="1194"/>
        <v>22.809970655471069</v>
      </c>
      <c r="CJ89" s="31">
        <f t="shared" si="1194"/>
        <v>28.144869118133784</v>
      </c>
      <c r="CK89" s="31">
        <f t="shared" si="1194"/>
        <v>33.479767580796505</v>
      </c>
      <c r="CL89" s="31">
        <f t="shared" si="1194"/>
        <v>38.814666043459219</v>
      </c>
      <c r="CM89" s="31">
        <f t="shared" si="1194"/>
        <v>44.149564506121941</v>
      </c>
      <c r="CN89" s="31">
        <f t="shared" si="1194"/>
        <v>49.484462968784662</v>
      </c>
      <c r="CO89" s="31">
        <f t="shared" si="1194"/>
        <v>54.819361431447383</v>
      </c>
      <c r="CP89" s="31">
        <f t="shared" si="1194"/>
        <v>60.154259894110105</v>
      </c>
      <c r="CQ89" s="31">
        <f t="shared" si="1194"/>
        <v>65.489158356772819</v>
      </c>
      <c r="CR89" s="31">
        <f t="shared" si="1194"/>
        <v>70.82405681943554</v>
      </c>
      <c r="CS89" s="31">
        <f t="shared" si="1194"/>
        <v>76.158955282098262</v>
      </c>
      <c r="CT89" s="31">
        <f t="shared" si="1194"/>
        <v>81.288665342350868</v>
      </c>
      <c r="CU89" s="31">
        <f t="shared" si="1194"/>
        <v>86.418375402603473</v>
      </c>
      <c r="CV89" s="62">
        <f t="shared" si="1194"/>
        <v>91.548085462856079</v>
      </c>
      <c r="CW89" s="30">
        <f t="shared" si="1194"/>
        <v>96.677795523108685</v>
      </c>
      <c r="CX89" s="31">
        <f t="shared" si="1194"/>
        <v>101.8075055833613</v>
      </c>
      <c r="CY89" s="31">
        <f t="shared" si="1194"/>
        <v>106.93721564361391</v>
      </c>
      <c r="CZ89" s="31">
        <f t="shared" si="1194"/>
        <v>112.0669257038665</v>
      </c>
      <c r="DA89" s="31">
        <f t="shared" si="1194"/>
        <v>117.40182416652924</v>
      </c>
      <c r="DB89" s="31">
        <f t="shared" si="1194"/>
        <v>122.73672262919195</v>
      </c>
      <c r="DC89" s="31">
        <f t="shared" si="1194"/>
        <v>1.470376804820209</v>
      </c>
      <c r="DD89" s="31">
        <f t="shared" si="1194"/>
        <v>6.8052752674829229</v>
      </c>
      <c r="DE89" s="31">
        <f t="shared" si="1194"/>
        <v>12.140173730145639</v>
      </c>
      <c r="DF89" s="31">
        <f t="shared" si="1194"/>
        <v>17.475072192808351</v>
      </c>
      <c r="DG89" s="31">
        <f t="shared" si="1194"/>
        <v>22.809970655471069</v>
      </c>
      <c r="DH89" s="31">
        <f t="shared" si="1194"/>
        <v>28.144869118133784</v>
      </c>
      <c r="DI89" s="31">
        <f t="shared" si="1194"/>
        <v>33.479767580796505</v>
      </c>
      <c r="DJ89" s="31">
        <f t="shared" si="1194"/>
        <v>38.814666043459219</v>
      </c>
      <c r="DK89" s="31">
        <f t="shared" si="1194"/>
        <v>44.149564506121941</v>
      </c>
      <c r="DL89" s="31">
        <f t="shared" si="1194"/>
        <v>49.484462968784662</v>
      </c>
      <c r="DM89" s="31">
        <f t="shared" si="1194"/>
        <v>54.819361431447383</v>
      </c>
      <c r="DN89" s="31">
        <f t="shared" si="1194"/>
        <v>60.154259894110105</v>
      </c>
      <c r="DO89" s="31">
        <f t="shared" si="1194"/>
        <v>65.489158356772819</v>
      </c>
      <c r="DP89" s="31">
        <f t="shared" si="1194"/>
        <v>70.82405681943554</v>
      </c>
      <c r="DQ89" s="31">
        <f t="shared" si="1194"/>
        <v>76.158955282098262</v>
      </c>
      <c r="DR89" s="31">
        <f t="shared" si="1194"/>
        <v>81.288665342350868</v>
      </c>
      <c r="DS89" s="31">
        <f t="shared" si="1194"/>
        <v>86.418375402603473</v>
      </c>
      <c r="DT89" s="62">
        <f>DT85/24+DT87*DT88</f>
        <v>91.548085462856079</v>
      </c>
    </row>
    <row r="90" spans="2:124" x14ac:dyDescent="0.2">
      <c r="B90" s="1" t="s">
        <v>77</v>
      </c>
      <c r="C90" s="77"/>
      <c r="D90" s="145">
        <f t="shared" ref="D90" si="1195">19.164</f>
        <v>19.164000000000001</v>
      </c>
      <c r="E90" s="25">
        <f t="shared" ref="E90:AJ90" si="1196">IF(D41="B",IF(C92="TB",IF(E86="K",IF(D92="TB",IF(E89&lt;39.08,E89,E89*0.7355),E89*0.7355),E89*0.7355),E89*0.7355),E89*0.7355)</f>
        <v>3.2954081756365752</v>
      </c>
      <c r="F90" s="25">
        <f t="shared" si="1196"/>
        <v>5.8111863512731494</v>
      </c>
      <c r="G90" s="25">
        <f t="shared" si="1196"/>
        <v>8.3269645269097232</v>
      </c>
      <c r="H90" s="25">
        <f t="shared" si="1196"/>
        <v>10.8427427025463</v>
      </c>
      <c r="I90" s="25">
        <f t="shared" si="1196"/>
        <v>13.459152005208335</v>
      </c>
      <c r="J90" s="25">
        <f t="shared" si="1196"/>
        <v>21.856643518518521</v>
      </c>
      <c r="K90" s="25">
        <f t="shared" si="1196"/>
        <v>25.413964120370373</v>
      </c>
      <c r="L90" s="25">
        <f t="shared" si="1196"/>
        <v>0.85121506077607934</v>
      </c>
      <c r="M90" s="25">
        <f t="shared" si="1196"/>
        <v>1.7818208508651097</v>
      </c>
      <c r="N90" s="25">
        <f t="shared" si="1196"/>
        <v>2.7124266409541398</v>
      </c>
      <c r="O90" s="25">
        <f t="shared" si="1196"/>
        <v>3.6430324310431703</v>
      </c>
      <c r="P90" s="25">
        <f t="shared" si="1196"/>
        <v>4.9410028534038259</v>
      </c>
      <c r="Q90" s="25">
        <f t="shared" si="1196"/>
        <v>6.2389732757644829</v>
      </c>
      <c r="R90" s="25">
        <f t="shared" si="1196"/>
        <v>7.5369436981251372</v>
      </c>
      <c r="S90" s="25">
        <f t="shared" si="1196"/>
        <v>8.8349141204857933</v>
      </c>
      <c r="T90" s="25">
        <f t="shared" si="1196"/>
        <v>10.132884542846448</v>
      </c>
      <c r="U90" s="25">
        <f t="shared" si="1196"/>
        <v>11.430854965207102</v>
      </c>
      <c r="V90" s="25">
        <f t="shared" si="1196"/>
        <v>13.387511639399175</v>
      </c>
      <c r="W90" s="25">
        <f t="shared" si="1196"/>
        <v>15.344168313591254</v>
      </c>
      <c r="X90" s="25">
        <f t="shared" si="1196"/>
        <v>17.300824987783329</v>
      </c>
      <c r="Y90" s="25">
        <f t="shared" si="1196"/>
        <v>19.257481661975408</v>
      </c>
      <c r="Z90" s="25">
        <f t="shared" si="1196"/>
        <v>21.214138336167483</v>
      </c>
      <c r="AA90" s="25">
        <f t="shared" si="1196"/>
        <v>23.095538984429094</v>
      </c>
      <c r="AB90" s="57">
        <f t="shared" si="1196"/>
        <v>24.976939632690708</v>
      </c>
      <c r="AC90" s="19">
        <f t="shared" si="1196"/>
        <v>26.858340280952323</v>
      </c>
      <c r="AD90" s="25">
        <f t="shared" si="1196"/>
        <v>28.739740929213937</v>
      </c>
      <c r="AE90" s="25">
        <f t="shared" si="1196"/>
        <v>30.621141577475544</v>
      </c>
      <c r="AF90" s="25">
        <f t="shared" si="1196"/>
        <v>32.502542225737159</v>
      </c>
      <c r="AG90" s="25">
        <f t="shared" si="1196"/>
        <v>34.383942873998777</v>
      </c>
      <c r="AH90" s="25">
        <f t="shared" si="1196"/>
        <v>36.26534352226038</v>
      </c>
      <c r="AI90" s="25">
        <f t="shared" si="1196"/>
        <v>38.146744170521998</v>
      </c>
      <c r="AJ90" s="25">
        <f t="shared" si="1196"/>
        <v>40.028144818783609</v>
      </c>
      <c r="AK90" s="25">
        <f t="shared" ref="AK90:BP90" si="1197">IF(AJ41="B",IF(AI92="TB",IF(AK86="K",IF(AJ92="TB",IF(AK89&lt;39.08,AK89,AK89*0.7355),AK89*0.7355),AK89*0.7355),AK89*0.7355),AK89*0.7355)</f>
        <v>41.90954546704522</v>
      </c>
      <c r="AL90" s="25">
        <f t="shared" si="1197"/>
        <v>43.790946115306831</v>
      </c>
      <c r="AM90" s="25">
        <f t="shared" si="1197"/>
        <v>45.672346763568449</v>
      </c>
      <c r="AN90" s="25">
        <f t="shared" si="1197"/>
        <v>47.553747411830052</v>
      </c>
      <c r="AO90" s="25">
        <f t="shared" si="1197"/>
        <v>49.43514806009167</v>
      </c>
      <c r="AP90" s="25">
        <f t="shared" si="1197"/>
        <v>51.316548708353288</v>
      </c>
      <c r="AQ90" s="25">
        <f t="shared" si="1197"/>
        <v>53.197949356614899</v>
      </c>
      <c r="AR90" s="25">
        <f t="shared" si="1197"/>
        <v>55.079350004876517</v>
      </c>
      <c r="AS90" s="25">
        <f t="shared" si="1197"/>
        <v>56.960750653138128</v>
      </c>
      <c r="AT90" s="25">
        <f t="shared" si="1197"/>
        <v>58.842151301399731</v>
      </c>
      <c r="AU90" s="25">
        <f t="shared" si="1197"/>
        <v>60.723551949661349</v>
      </c>
      <c r="AV90" s="25">
        <f t="shared" si="1197"/>
        <v>62.60495259792296</v>
      </c>
      <c r="AW90" s="25">
        <f t="shared" si="1197"/>
        <v>64.486353246184564</v>
      </c>
      <c r="AX90" s="25">
        <f t="shared" si="1197"/>
        <v>66.367753894446182</v>
      </c>
      <c r="AY90" s="25">
        <f t="shared" si="1197"/>
        <v>68.249154542707799</v>
      </c>
      <c r="AZ90" s="57">
        <f t="shared" si="1197"/>
        <v>70.130555190969403</v>
      </c>
      <c r="BA90" s="19">
        <f t="shared" si="1197"/>
        <v>72.011955839231021</v>
      </c>
      <c r="BB90" s="25">
        <f t="shared" si="1197"/>
        <v>73.893356487492639</v>
      </c>
      <c r="BC90" s="25">
        <f t="shared" si="1197"/>
        <v>75.774757135754243</v>
      </c>
      <c r="BD90" s="25">
        <f t="shared" si="1197"/>
        <v>77.656157784015861</v>
      </c>
      <c r="BE90" s="25">
        <f t="shared" si="1197"/>
        <v>79.612814458207936</v>
      </c>
      <c r="BF90" s="25">
        <f t="shared" si="1197"/>
        <v>83.536632277496366</v>
      </c>
      <c r="BG90" s="25">
        <f t="shared" si="1197"/>
        <v>1.0814621399452637</v>
      </c>
      <c r="BH90" s="25">
        <f t="shared" si="1197"/>
        <v>5.0052799592336905</v>
      </c>
      <c r="BI90" s="25">
        <f t="shared" si="1197"/>
        <v>12.140173730145639</v>
      </c>
      <c r="BJ90" s="25">
        <f t="shared" si="1197"/>
        <v>12.852915597810544</v>
      </c>
      <c r="BK90" s="25">
        <f t="shared" si="1197"/>
        <v>16.776733417098974</v>
      </c>
      <c r="BL90" s="25">
        <f t="shared" si="1197"/>
        <v>20.700551236387398</v>
      </c>
      <c r="BM90" s="25">
        <f t="shared" si="1197"/>
        <v>24.624369055675832</v>
      </c>
      <c r="BN90" s="25">
        <f t="shared" si="1197"/>
        <v>28.548186874964259</v>
      </c>
      <c r="BO90" s="25">
        <f t="shared" si="1197"/>
        <v>32.472004694252689</v>
      </c>
      <c r="BP90" s="25">
        <f t="shared" si="1197"/>
        <v>36.39582251354112</v>
      </c>
      <c r="BQ90" s="25">
        <f t="shared" ref="BQ90:CV90" si="1198">IF(BP41="B",IF(BO92="TB",IF(BQ86="K",IF(BP92="TB",IF(BQ89&lt;39.08,BQ89,BQ89*0.7355),BQ89*0.7355),BQ89*0.7355),BQ89*0.7355),BQ89*0.7355)</f>
        <v>40.31964033282955</v>
      </c>
      <c r="BR90" s="25">
        <f t="shared" si="1198"/>
        <v>44.243458152117988</v>
      </c>
      <c r="BS90" s="25">
        <f t="shared" si="1198"/>
        <v>48.167275971406411</v>
      </c>
      <c r="BT90" s="25">
        <f t="shared" si="1198"/>
        <v>52.091093790694842</v>
      </c>
      <c r="BU90" s="25">
        <f t="shared" si="1198"/>
        <v>56.014911609983272</v>
      </c>
      <c r="BV90" s="25">
        <f t="shared" si="1198"/>
        <v>59.93872942927171</v>
      </c>
      <c r="BW90" s="25">
        <f t="shared" si="1198"/>
        <v>63.711631178587496</v>
      </c>
      <c r="BX90" s="57">
        <f t="shared" si="1198"/>
        <v>67.484532927903288</v>
      </c>
      <c r="BY90" s="19">
        <f t="shared" si="1198"/>
        <v>71.257434677219067</v>
      </c>
      <c r="BZ90" s="25">
        <f t="shared" si="1198"/>
        <v>75.030336426534873</v>
      </c>
      <c r="CA90" s="25">
        <f t="shared" si="1198"/>
        <v>78.803238175850666</v>
      </c>
      <c r="CB90" s="25">
        <f t="shared" si="1198"/>
        <v>82.576139925166459</v>
      </c>
      <c r="CC90" s="25">
        <f t="shared" si="1198"/>
        <v>86.499957744454889</v>
      </c>
      <c r="CD90" s="25">
        <f t="shared" si="1198"/>
        <v>90.42377556374332</v>
      </c>
      <c r="CE90" s="25">
        <f t="shared" si="1198"/>
        <v>1.0814621399452637</v>
      </c>
      <c r="CF90" s="25">
        <f t="shared" si="1198"/>
        <v>5.0052799592336905</v>
      </c>
      <c r="CG90" s="25">
        <f t="shared" si="1198"/>
        <v>12.140173730145639</v>
      </c>
      <c r="CH90" s="25">
        <f t="shared" si="1198"/>
        <v>12.852915597810544</v>
      </c>
      <c r="CI90" s="25">
        <f t="shared" si="1198"/>
        <v>16.776733417098974</v>
      </c>
      <c r="CJ90" s="25">
        <f t="shared" si="1198"/>
        <v>20.700551236387398</v>
      </c>
      <c r="CK90" s="25">
        <f t="shared" si="1198"/>
        <v>24.624369055675832</v>
      </c>
      <c r="CL90" s="25">
        <f t="shared" si="1198"/>
        <v>28.548186874964259</v>
      </c>
      <c r="CM90" s="25">
        <f t="shared" si="1198"/>
        <v>32.472004694252689</v>
      </c>
      <c r="CN90" s="25">
        <f t="shared" si="1198"/>
        <v>36.39582251354112</v>
      </c>
      <c r="CO90" s="25">
        <f t="shared" si="1198"/>
        <v>40.31964033282955</v>
      </c>
      <c r="CP90" s="25">
        <f t="shared" si="1198"/>
        <v>44.243458152117988</v>
      </c>
      <c r="CQ90" s="25">
        <f t="shared" si="1198"/>
        <v>48.167275971406411</v>
      </c>
      <c r="CR90" s="25">
        <f t="shared" si="1198"/>
        <v>52.091093790694842</v>
      </c>
      <c r="CS90" s="25">
        <f t="shared" si="1198"/>
        <v>56.014911609983272</v>
      </c>
      <c r="CT90" s="25">
        <f t="shared" si="1198"/>
        <v>59.787813359299065</v>
      </c>
      <c r="CU90" s="25">
        <f t="shared" si="1198"/>
        <v>63.560715108614858</v>
      </c>
      <c r="CV90" s="57">
        <f t="shared" si="1198"/>
        <v>67.33361685793065</v>
      </c>
      <c r="CW90" s="19">
        <f t="shared" ref="CW90:DT90" si="1199">IF(CV41="B",IF(CU92="TB",IF(CW86="K",IF(CV92="TB",IF(CW89&lt;39.08,CW89,CW89*0.7355),CW89*0.7355),CW89*0.7355),CW89*0.7355),CW89*0.7355)</f>
        <v>71.106518607246443</v>
      </c>
      <c r="CX90" s="25">
        <f t="shared" si="1199"/>
        <v>74.87942035656225</v>
      </c>
      <c r="CY90" s="25">
        <f t="shared" si="1199"/>
        <v>78.652322105878042</v>
      </c>
      <c r="CZ90" s="25">
        <f t="shared" si="1199"/>
        <v>82.425223855193821</v>
      </c>
      <c r="DA90" s="25">
        <f t="shared" si="1199"/>
        <v>86.349041674482265</v>
      </c>
      <c r="DB90" s="25">
        <f t="shared" si="1199"/>
        <v>90.272859493770682</v>
      </c>
      <c r="DC90" s="25">
        <f t="shared" si="1199"/>
        <v>1.0814621399452637</v>
      </c>
      <c r="DD90" s="25">
        <f t="shared" si="1199"/>
        <v>5.0052799592336905</v>
      </c>
      <c r="DE90" s="25">
        <f t="shared" si="1199"/>
        <v>12.140173730145639</v>
      </c>
      <c r="DF90" s="25">
        <f t="shared" si="1199"/>
        <v>12.852915597810544</v>
      </c>
      <c r="DG90" s="25">
        <f t="shared" si="1199"/>
        <v>16.776733417098974</v>
      </c>
      <c r="DH90" s="25">
        <f t="shared" si="1199"/>
        <v>20.700551236387398</v>
      </c>
      <c r="DI90" s="25">
        <f t="shared" si="1199"/>
        <v>24.624369055675832</v>
      </c>
      <c r="DJ90" s="25">
        <f t="shared" si="1199"/>
        <v>28.548186874964259</v>
      </c>
      <c r="DK90" s="25">
        <f t="shared" si="1199"/>
        <v>32.472004694252689</v>
      </c>
      <c r="DL90" s="25">
        <f t="shared" si="1199"/>
        <v>36.39582251354112</v>
      </c>
      <c r="DM90" s="25">
        <f t="shared" si="1199"/>
        <v>40.31964033282955</v>
      </c>
      <c r="DN90" s="25">
        <f t="shared" si="1199"/>
        <v>44.243458152117988</v>
      </c>
      <c r="DO90" s="25">
        <f t="shared" si="1199"/>
        <v>48.167275971406411</v>
      </c>
      <c r="DP90" s="25">
        <f t="shared" si="1199"/>
        <v>52.091093790694842</v>
      </c>
      <c r="DQ90" s="25">
        <f t="shared" si="1199"/>
        <v>56.014911609983272</v>
      </c>
      <c r="DR90" s="25">
        <f t="shared" si="1199"/>
        <v>59.787813359299065</v>
      </c>
      <c r="DS90" s="25">
        <f t="shared" si="1199"/>
        <v>63.560715108614858</v>
      </c>
      <c r="DT90" s="57">
        <f t="shared" si="1199"/>
        <v>67.33361685793065</v>
      </c>
    </row>
    <row r="91" spans="2:124" x14ac:dyDescent="0.2">
      <c r="B91" s="1" t="s">
        <v>76</v>
      </c>
      <c r="C91" s="77"/>
      <c r="D91" s="145">
        <f>IF(B41="B",IF(C92="B",IF(C86="K",IF(((C91/8+C90+D87)*D88)&gt;=23.955,((C91/8+C90+D87)*D88)-27.539,((C91/8+C90+D87)*D88)-23.955),IF(((C91/8+C90+D87)*D88)&gt;=28.747,((C91/8+C90+D87)*D88)-31.143,((C91/8+C90+D87)*D88)-28.747)),((C91/12+C90+D87)*D88)),(C90)*D88)</f>
        <v>0</v>
      </c>
      <c r="E91" s="25">
        <f t="shared" ref="E91:BP91" si="1200">IF(E92="BAB",-E90,0)</f>
        <v>0</v>
      </c>
      <c r="F91" s="25">
        <f t="shared" si="1200"/>
        <v>0</v>
      </c>
      <c r="G91" s="25">
        <f t="shared" si="1200"/>
        <v>0</v>
      </c>
      <c r="H91" s="25">
        <f t="shared" si="1200"/>
        <v>0</v>
      </c>
      <c r="I91" s="25">
        <f t="shared" si="1200"/>
        <v>0</v>
      </c>
      <c r="J91" s="25">
        <f t="shared" si="1200"/>
        <v>0</v>
      </c>
      <c r="K91" s="25">
        <f t="shared" si="1200"/>
        <v>-25.413964120370373</v>
      </c>
      <c r="L91" s="25">
        <f t="shared" si="1200"/>
        <v>0</v>
      </c>
      <c r="M91" s="25">
        <f t="shared" si="1200"/>
        <v>0</v>
      </c>
      <c r="N91" s="25">
        <f t="shared" si="1200"/>
        <v>0</v>
      </c>
      <c r="O91" s="25">
        <f t="shared" si="1200"/>
        <v>0</v>
      </c>
      <c r="P91" s="25">
        <f t="shared" si="1200"/>
        <v>0</v>
      </c>
      <c r="Q91" s="25">
        <f t="shared" si="1200"/>
        <v>0</v>
      </c>
      <c r="R91" s="25">
        <f t="shared" si="1200"/>
        <v>0</v>
      </c>
      <c r="S91" s="25">
        <f t="shared" si="1200"/>
        <v>0</v>
      </c>
      <c r="T91" s="25">
        <f t="shared" si="1200"/>
        <v>0</v>
      </c>
      <c r="U91" s="25">
        <f t="shared" si="1200"/>
        <v>0</v>
      </c>
      <c r="V91" s="25">
        <f t="shared" si="1200"/>
        <v>0</v>
      </c>
      <c r="W91" s="25">
        <f t="shared" si="1200"/>
        <v>0</v>
      </c>
      <c r="X91" s="25">
        <f t="shared" si="1200"/>
        <v>0</v>
      </c>
      <c r="Y91" s="25">
        <f t="shared" si="1200"/>
        <v>0</v>
      </c>
      <c r="Z91" s="25">
        <f t="shared" si="1200"/>
        <v>0</v>
      </c>
      <c r="AA91" s="25">
        <f t="shared" si="1200"/>
        <v>0</v>
      </c>
      <c r="AB91" s="57">
        <f t="shared" si="1200"/>
        <v>0</v>
      </c>
      <c r="AC91" s="25">
        <f t="shared" si="1200"/>
        <v>0</v>
      </c>
      <c r="AD91" s="25">
        <f t="shared" si="1200"/>
        <v>0</v>
      </c>
      <c r="AE91" s="25">
        <f t="shared" si="1200"/>
        <v>0</v>
      </c>
      <c r="AF91" s="25">
        <f t="shared" si="1200"/>
        <v>0</v>
      </c>
      <c r="AG91" s="25">
        <f t="shared" si="1200"/>
        <v>0</v>
      </c>
      <c r="AH91" s="25">
        <f t="shared" si="1200"/>
        <v>0</v>
      </c>
      <c r="AI91" s="25">
        <f t="shared" si="1200"/>
        <v>0</v>
      </c>
      <c r="AJ91" s="25">
        <f t="shared" si="1200"/>
        <v>0</v>
      </c>
      <c r="AK91" s="25">
        <f t="shared" si="1200"/>
        <v>0</v>
      </c>
      <c r="AL91" s="25">
        <f t="shared" si="1200"/>
        <v>0</v>
      </c>
      <c r="AM91" s="25">
        <f t="shared" si="1200"/>
        <v>0</v>
      </c>
      <c r="AN91" s="25">
        <f t="shared" si="1200"/>
        <v>0</v>
      </c>
      <c r="AO91" s="25">
        <f t="shared" si="1200"/>
        <v>0</v>
      </c>
      <c r="AP91" s="25">
        <f t="shared" si="1200"/>
        <v>0</v>
      </c>
      <c r="AQ91" s="25">
        <f t="shared" si="1200"/>
        <v>0</v>
      </c>
      <c r="AR91" s="25">
        <f t="shared" si="1200"/>
        <v>0</v>
      </c>
      <c r="AS91" s="25">
        <f t="shared" si="1200"/>
        <v>0</v>
      </c>
      <c r="AT91" s="25">
        <f t="shared" si="1200"/>
        <v>0</v>
      </c>
      <c r="AU91" s="25">
        <f t="shared" si="1200"/>
        <v>0</v>
      </c>
      <c r="AV91" s="25">
        <f t="shared" si="1200"/>
        <v>0</v>
      </c>
      <c r="AW91" s="25">
        <f t="shared" si="1200"/>
        <v>0</v>
      </c>
      <c r="AX91" s="25">
        <f t="shared" si="1200"/>
        <v>0</v>
      </c>
      <c r="AY91" s="25">
        <f t="shared" si="1200"/>
        <v>0</v>
      </c>
      <c r="AZ91" s="57">
        <f t="shared" si="1200"/>
        <v>0</v>
      </c>
      <c r="BA91" s="25">
        <f t="shared" si="1200"/>
        <v>0</v>
      </c>
      <c r="BB91" s="25">
        <f t="shared" si="1200"/>
        <v>0</v>
      </c>
      <c r="BC91" s="25">
        <f t="shared" si="1200"/>
        <v>0</v>
      </c>
      <c r="BD91" s="25">
        <f t="shared" si="1200"/>
        <v>0</v>
      </c>
      <c r="BE91" s="25">
        <f t="shared" si="1200"/>
        <v>0</v>
      </c>
      <c r="BF91" s="25">
        <f t="shared" si="1200"/>
        <v>-83.536632277496366</v>
      </c>
      <c r="BG91" s="25">
        <f t="shared" si="1200"/>
        <v>0</v>
      </c>
      <c r="BH91" s="25">
        <f t="shared" si="1200"/>
        <v>0</v>
      </c>
      <c r="BI91" s="25">
        <f t="shared" si="1200"/>
        <v>0</v>
      </c>
      <c r="BJ91" s="25">
        <f t="shared" si="1200"/>
        <v>0</v>
      </c>
      <c r="BK91" s="25">
        <f t="shared" si="1200"/>
        <v>0</v>
      </c>
      <c r="BL91" s="25">
        <f t="shared" si="1200"/>
        <v>0</v>
      </c>
      <c r="BM91" s="25">
        <f t="shared" si="1200"/>
        <v>0</v>
      </c>
      <c r="BN91" s="25">
        <f t="shared" si="1200"/>
        <v>0</v>
      </c>
      <c r="BO91" s="25">
        <f t="shared" si="1200"/>
        <v>0</v>
      </c>
      <c r="BP91" s="25">
        <f t="shared" si="1200"/>
        <v>0</v>
      </c>
      <c r="BQ91" s="25">
        <f t="shared" ref="BQ91:CF91" si="1201">IF(BQ92="BAB",-BQ90,0)</f>
        <v>0</v>
      </c>
      <c r="BR91" s="25">
        <f t="shared" si="1201"/>
        <v>0</v>
      </c>
      <c r="BS91" s="25">
        <f t="shared" si="1201"/>
        <v>0</v>
      </c>
      <c r="BT91" s="25">
        <f t="shared" si="1201"/>
        <v>0</v>
      </c>
      <c r="BU91" s="25">
        <f t="shared" si="1201"/>
        <v>0</v>
      </c>
      <c r="BV91" s="25">
        <f t="shared" si="1201"/>
        <v>0</v>
      </c>
      <c r="BW91" s="25">
        <f t="shared" si="1201"/>
        <v>0</v>
      </c>
      <c r="BX91" s="57">
        <f t="shared" si="1201"/>
        <v>0</v>
      </c>
      <c r="BY91" s="25">
        <f t="shared" si="1201"/>
        <v>0</v>
      </c>
      <c r="BZ91" s="25">
        <f t="shared" si="1201"/>
        <v>0</v>
      </c>
      <c r="CA91" s="25">
        <f t="shared" si="1201"/>
        <v>0</v>
      </c>
      <c r="CB91" s="25">
        <f t="shared" si="1201"/>
        <v>0</v>
      </c>
      <c r="CC91" s="25">
        <f t="shared" si="1201"/>
        <v>0</v>
      </c>
      <c r="CD91" s="25">
        <f t="shared" si="1201"/>
        <v>-90.42377556374332</v>
      </c>
      <c r="CE91" s="25">
        <f t="shared" si="1201"/>
        <v>0</v>
      </c>
      <c r="CF91" s="25">
        <f t="shared" si="1201"/>
        <v>0</v>
      </c>
      <c r="CG91" s="25">
        <f>IF(CG92="BAB",-CG90,0)</f>
        <v>0</v>
      </c>
      <c r="CH91" s="25">
        <f t="shared" ref="CH91:DT91" si="1202">IF(CH92="BAB",-CH90,0)</f>
        <v>0</v>
      </c>
      <c r="CI91" s="25">
        <f t="shared" si="1202"/>
        <v>0</v>
      </c>
      <c r="CJ91" s="25">
        <f t="shared" si="1202"/>
        <v>0</v>
      </c>
      <c r="CK91" s="25">
        <f t="shared" si="1202"/>
        <v>0</v>
      </c>
      <c r="CL91" s="25">
        <f t="shared" si="1202"/>
        <v>0</v>
      </c>
      <c r="CM91" s="25">
        <f t="shared" si="1202"/>
        <v>0</v>
      </c>
      <c r="CN91" s="25">
        <f t="shared" si="1202"/>
        <v>0</v>
      </c>
      <c r="CO91" s="25">
        <f t="shared" si="1202"/>
        <v>0</v>
      </c>
      <c r="CP91" s="25">
        <f t="shared" si="1202"/>
        <v>0</v>
      </c>
      <c r="CQ91" s="25">
        <f t="shared" si="1202"/>
        <v>0</v>
      </c>
      <c r="CR91" s="25">
        <f t="shared" si="1202"/>
        <v>0</v>
      </c>
      <c r="CS91" s="25">
        <f t="shared" si="1202"/>
        <v>0</v>
      </c>
      <c r="CT91" s="25">
        <f t="shared" si="1202"/>
        <v>0</v>
      </c>
      <c r="CU91" s="25">
        <f t="shared" si="1202"/>
        <v>0</v>
      </c>
      <c r="CV91" s="57">
        <f t="shared" si="1202"/>
        <v>0</v>
      </c>
      <c r="CW91" s="25">
        <f t="shared" si="1202"/>
        <v>0</v>
      </c>
      <c r="CX91" s="25">
        <f t="shared" si="1202"/>
        <v>0</v>
      </c>
      <c r="CY91" s="25">
        <f t="shared" si="1202"/>
        <v>0</v>
      </c>
      <c r="CZ91" s="25">
        <f t="shared" si="1202"/>
        <v>0</v>
      </c>
      <c r="DA91" s="25">
        <f t="shared" si="1202"/>
        <v>0</v>
      </c>
      <c r="DB91" s="25">
        <f t="shared" si="1202"/>
        <v>-90.272859493770682</v>
      </c>
      <c r="DC91" s="25">
        <f t="shared" si="1202"/>
        <v>0</v>
      </c>
      <c r="DD91" s="25">
        <f t="shared" si="1202"/>
        <v>0</v>
      </c>
      <c r="DE91" s="25">
        <f t="shared" si="1202"/>
        <v>0</v>
      </c>
      <c r="DF91" s="25">
        <f t="shared" si="1202"/>
        <v>0</v>
      </c>
      <c r="DG91" s="25">
        <f t="shared" si="1202"/>
        <v>0</v>
      </c>
      <c r="DH91" s="25">
        <f t="shared" si="1202"/>
        <v>0</v>
      </c>
      <c r="DI91" s="25">
        <f t="shared" si="1202"/>
        <v>0</v>
      </c>
      <c r="DJ91" s="25">
        <f t="shared" si="1202"/>
        <v>0</v>
      </c>
      <c r="DK91" s="25">
        <f t="shared" si="1202"/>
        <v>0</v>
      </c>
      <c r="DL91" s="25">
        <f t="shared" si="1202"/>
        <v>0</v>
      </c>
      <c r="DM91" s="25">
        <f t="shared" si="1202"/>
        <v>0</v>
      </c>
      <c r="DN91" s="25">
        <f t="shared" si="1202"/>
        <v>0</v>
      </c>
      <c r="DO91" s="25">
        <f t="shared" si="1202"/>
        <v>0</v>
      </c>
      <c r="DP91" s="25">
        <f t="shared" si="1202"/>
        <v>0</v>
      </c>
      <c r="DQ91" s="25">
        <f t="shared" si="1202"/>
        <v>0</v>
      </c>
      <c r="DR91" s="25">
        <f t="shared" si="1202"/>
        <v>0</v>
      </c>
      <c r="DS91" s="25">
        <f t="shared" si="1202"/>
        <v>0</v>
      </c>
      <c r="DT91" s="57">
        <f t="shared" si="1202"/>
        <v>0</v>
      </c>
    </row>
    <row r="92" spans="2:124" x14ac:dyDescent="0.2">
      <c r="B92" s="3" t="s">
        <v>73</v>
      </c>
      <c r="D92" s="145" t="s">
        <v>74</v>
      </c>
      <c r="E92" s="31" t="str">
        <f t="shared" ref="E92:AJ92" si="1203">IF(D41="B",IF(E86="K",IF(E90&gt;=23.955,"BAB",IF(E90&gt;=28.747,"BAB","TB")),"TB"),"TB")</f>
        <v>TB</v>
      </c>
      <c r="F92" s="31" t="str">
        <f t="shared" si="1203"/>
        <v>TB</v>
      </c>
      <c r="G92" s="31" t="str">
        <f t="shared" si="1203"/>
        <v>TB</v>
      </c>
      <c r="H92" s="31" t="str">
        <f t="shared" si="1203"/>
        <v>TB</v>
      </c>
      <c r="I92" s="31" t="str">
        <f t="shared" si="1203"/>
        <v>TB</v>
      </c>
      <c r="J92" s="31" t="str">
        <f t="shared" si="1203"/>
        <v>TB</v>
      </c>
      <c r="K92" s="72" t="str">
        <f t="shared" si="1203"/>
        <v>BAB</v>
      </c>
      <c r="L92" s="31" t="str">
        <f t="shared" si="1203"/>
        <v>TB</v>
      </c>
      <c r="M92" s="31" t="str">
        <f t="shared" si="1203"/>
        <v>TB</v>
      </c>
      <c r="N92" s="31" t="str">
        <f t="shared" si="1203"/>
        <v>TB</v>
      </c>
      <c r="O92" s="31" t="str">
        <f t="shared" si="1203"/>
        <v>TB</v>
      </c>
      <c r="P92" s="31" t="str">
        <f t="shared" si="1203"/>
        <v>TB</v>
      </c>
      <c r="Q92" s="31" t="str">
        <f t="shared" si="1203"/>
        <v>TB</v>
      </c>
      <c r="R92" s="31" t="str">
        <f t="shared" si="1203"/>
        <v>TB</v>
      </c>
      <c r="S92" s="31" t="str">
        <f t="shared" si="1203"/>
        <v>TB</v>
      </c>
      <c r="T92" s="31" t="str">
        <f t="shared" si="1203"/>
        <v>TB</v>
      </c>
      <c r="U92" s="31" t="str">
        <f t="shared" si="1203"/>
        <v>TB</v>
      </c>
      <c r="V92" s="31" t="str">
        <f t="shared" si="1203"/>
        <v>TB</v>
      </c>
      <c r="W92" s="31" t="str">
        <f t="shared" si="1203"/>
        <v>TB</v>
      </c>
      <c r="X92" s="31" t="str">
        <f t="shared" si="1203"/>
        <v>TB</v>
      </c>
      <c r="Y92" s="31" t="str">
        <f t="shared" si="1203"/>
        <v>TB</v>
      </c>
      <c r="Z92" s="31" t="str">
        <f t="shared" si="1203"/>
        <v>TB</v>
      </c>
      <c r="AA92" s="31" t="str">
        <f t="shared" si="1203"/>
        <v>TB</v>
      </c>
      <c r="AB92" s="62" t="str">
        <f t="shared" si="1203"/>
        <v>TB</v>
      </c>
      <c r="AC92" s="62" t="str">
        <f t="shared" si="1203"/>
        <v>TB</v>
      </c>
      <c r="AD92" s="31" t="str">
        <f t="shared" si="1203"/>
        <v>TB</v>
      </c>
      <c r="AE92" s="31" t="str">
        <f t="shared" si="1203"/>
        <v>TB</v>
      </c>
      <c r="AF92" s="31" t="str">
        <f t="shared" si="1203"/>
        <v>TB</v>
      </c>
      <c r="AG92" s="31" t="str">
        <f t="shared" si="1203"/>
        <v>TB</v>
      </c>
      <c r="AH92" s="31" t="str">
        <f t="shared" si="1203"/>
        <v>TB</v>
      </c>
      <c r="AI92" s="72" t="str">
        <f t="shared" si="1203"/>
        <v>TB</v>
      </c>
      <c r="AJ92" s="31" t="str">
        <f t="shared" si="1203"/>
        <v>TB</v>
      </c>
      <c r="AK92" s="31" t="str">
        <f t="shared" ref="AK92:BP92" si="1204">IF(AJ41="B",IF(AK86="K",IF(AK90&gt;=23.955,"BAB",IF(AK90&gt;=28.747,"BAB","TB")),"TB"),"TB")</f>
        <v>TB</v>
      </c>
      <c r="AL92" s="31" t="str">
        <f t="shared" si="1204"/>
        <v>TB</v>
      </c>
      <c r="AM92" s="31" t="str">
        <f t="shared" si="1204"/>
        <v>TB</v>
      </c>
      <c r="AN92" s="31" t="str">
        <f t="shared" si="1204"/>
        <v>TB</v>
      </c>
      <c r="AO92" s="31" t="str">
        <f t="shared" si="1204"/>
        <v>TB</v>
      </c>
      <c r="AP92" s="31" t="str">
        <f t="shared" si="1204"/>
        <v>TB</v>
      </c>
      <c r="AQ92" s="31" t="str">
        <f t="shared" si="1204"/>
        <v>TB</v>
      </c>
      <c r="AR92" s="31" t="str">
        <f t="shared" si="1204"/>
        <v>TB</v>
      </c>
      <c r="AS92" s="31" t="str">
        <f t="shared" si="1204"/>
        <v>TB</v>
      </c>
      <c r="AT92" s="31" t="str">
        <f t="shared" si="1204"/>
        <v>TB</v>
      </c>
      <c r="AU92" s="31" t="str">
        <f t="shared" si="1204"/>
        <v>TB</v>
      </c>
      <c r="AV92" s="31" t="str">
        <f t="shared" si="1204"/>
        <v>TB</v>
      </c>
      <c r="AW92" s="31" t="str">
        <f t="shared" si="1204"/>
        <v>TB</v>
      </c>
      <c r="AX92" s="31" t="str">
        <f t="shared" si="1204"/>
        <v>TB</v>
      </c>
      <c r="AY92" s="31" t="str">
        <f t="shared" si="1204"/>
        <v>TB</v>
      </c>
      <c r="AZ92" s="62" t="str">
        <f t="shared" si="1204"/>
        <v>TB</v>
      </c>
      <c r="BA92" s="30" t="str">
        <f t="shared" si="1204"/>
        <v>TB</v>
      </c>
      <c r="BB92" s="30" t="str">
        <f t="shared" si="1204"/>
        <v>TB</v>
      </c>
      <c r="BC92" s="31" t="str">
        <f t="shared" si="1204"/>
        <v>TB</v>
      </c>
      <c r="BD92" s="31" t="str">
        <f t="shared" si="1204"/>
        <v>TB</v>
      </c>
      <c r="BE92" s="31" t="str">
        <f t="shared" si="1204"/>
        <v>TB</v>
      </c>
      <c r="BF92" s="72" t="str">
        <f t="shared" si="1204"/>
        <v>BAB</v>
      </c>
      <c r="BG92" s="31" t="str">
        <f t="shared" si="1204"/>
        <v>TB</v>
      </c>
      <c r="BH92" s="31" t="str">
        <f t="shared" si="1204"/>
        <v>TB</v>
      </c>
      <c r="BI92" s="31" t="str">
        <f t="shared" si="1204"/>
        <v>TB</v>
      </c>
      <c r="BJ92" s="31" t="str">
        <f t="shared" si="1204"/>
        <v>TB</v>
      </c>
      <c r="BK92" s="31" t="str">
        <f t="shared" si="1204"/>
        <v>TB</v>
      </c>
      <c r="BL92" s="31" t="str">
        <f t="shared" si="1204"/>
        <v>TB</v>
      </c>
      <c r="BM92" s="31" t="str">
        <f t="shared" si="1204"/>
        <v>TB</v>
      </c>
      <c r="BN92" s="31" t="str">
        <f t="shared" si="1204"/>
        <v>TB</v>
      </c>
      <c r="BO92" s="31" t="str">
        <f t="shared" si="1204"/>
        <v>TB</v>
      </c>
      <c r="BP92" s="31" t="str">
        <f t="shared" si="1204"/>
        <v>TB</v>
      </c>
      <c r="BQ92" s="31" t="str">
        <f t="shared" ref="BQ92:CV92" si="1205">IF(BP41="B",IF(BQ86="K",IF(BQ90&gt;=23.955,"BAB",IF(BQ90&gt;=28.747,"BAB","TB")),"TB"),"TB")</f>
        <v>TB</v>
      </c>
      <c r="BR92" s="31" t="str">
        <f t="shared" si="1205"/>
        <v>TB</v>
      </c>
      <c r="BS92" s="31" t="str">
        <f t="shared" si="1205"/>
        <v>TB</v>
      </c>
      <c r="BT92" s="31" t="str">
        <f t="shared" si="1205"/>
        <v>TB</v>
      </c>
      <c r="BU92" s="31" t="str">
        <f t="shared" si="1205"/>
        <v>TB</v>
      </c>
      <c r="BV92" s="31" t="str">
        <f t="shared" si="1205"/>
        <v>TB</v>
      </c>
      <c r="BW92" s="31" t="str">
        <f t="shared" si="1205"/>
        <v>TB</v>
      </c>
      <c r="BX92" s="62" t="str">
        <f t="shared" si="1205"/>
        <v>TB</v>
      </c>
      <c r="BY92" s="30" t="str">
        <f t="shared" si="1205"/>
        <v>TB</v>
      </c>
      <c r="BZ92" s="30" t="str">
        <f t="shared" si="1205"/>
        <v>TB</v>
      </c>
      <c r="CA92" s="31" t="str">
        <f t="shared" si="1205"/>
        <v>TB</v>
      </c>
      <c r="CB92" s="31" t="str">
        <f t="shared" si="1205"/>
        <v>TB</v>
      </c>
      <c r="CC92" s="31" t="str">
        <f t="shared" si="1205"/>
        <v>TB</v>
      </c>
      <c r="CD92" s="72" t="str">
        <f t="shared" si="1205"/>
        <v>BAB</v>
      </c>
      <c r="CE92" s="31" t="str">
        <f t="shared" si="1205"/>
        <v>TB</v>
      </c>
      <c r="CF92" s="31" t="str">
        <f t="shared" si="1205"/>
        <v>TB</v>
      </c>
      <c r="CG92" s="31" t="str">
        <f t="shared" si="1205"/>
        <v>TB</v>
      </c>
      <c r="CH92" s="31" t="str">
        <f t="shared" si="1205"/>
        <v>TB</v>
      </c>
      <c r="CI92" s="31" t="str">
        <f t="shared" si="1205"/>
        <v>TB</v>
      </c>
      <c r="CJ92" s="31" t="str">
        <f t="shared" si="1205"/>
        <v>TB</v>
      </c>
      <c r="CK92" s="31" t="str">
        <f t="shared" si="1205"/>
        <v>TB</v>
      </c>
      <c r="CL92" s="31" t="str">
        <f t="shared" si="1205"/>
        <v>TB</v>
      </c>
      <c r="CM92" s="31" t="str">
        <f t="shared" si="1205"/>
        <v>TB</v>
      </c>
      <c r="CN92" s="31" t="str">
        <f t="shared" si="1205"/>
        <v>TB</v>
      </c>
      <c r="CO92" s="31" t="str">
        <f t="shared" si="1205"/>
        <v>TB</v>
      </c>
      <c r="CP92" s="31" t="str">
        <f t="shared" si="1205"/>
        <v>TB</v>
      </c>
      <c r="CQ92" s="31" t="str">
        <f t="shared" si="1205"/>
        <v>TB</v>
      </c>
      <c r="CR92" s="31" t="str">
        <f t="shared" si="1205"/>
        <v>TB</v>
      </c>
      <c r="CS92" s="31" t="str">
        <f t="shared" si="1205"/>
        <v>TB</v>
      </c>
      <c r="CT92" s="31" t="str">
        <f t="shared" si="1205"/>
        <v>TB</v>
      </c>
      <c r="CU92" s="31" t="str">
        <f t="shared" si="1205"/>
        <v>TB</v>
      </c>
      <c r="CV92" s="62" t="str">
        <f t="shared" si="1205"/>
        <v>TB</v>
      </c>
      <c r="CW92" s="30" t="str">
        <f t="shared" ref="CW92:DT92" si="1206">IF(CV41="B",IF(CW86="K",IF(CW90&gt;=23.955,"BAB",IF(CW90&gt;=28.747,"BAB","TB")),"TB"),"TB")</f>
        <v>TB</v>
      </c>
      <c r="CX92" s="30" t="str">
        <f t="shared" si="1206"/>
        <v>TB</v>
      </c>
      <c r="CY92" s="31" t="str">
        <f t="shared" si="1206"/>
        <v>TB</v>
      </c>
      <c r="CZ92" s="31" t="str">
        <f t="shared" si="1206"/>
        <v>TB</v>
      </c>
      <c r="DA92" s="31" t="str">
        <f t="shared" si="1206"/>
        <v>TB</v>
      </c>
      <c r="DB92" s="72" t="str">
        <f t="shared" si="1206"/>
        <v>BAB</v>
      </c>
      <c r="DC92" s="31" t="str">
        <f t="shared" si="1206"/>
        <v>TB</v>
      </c>
      <c r="DD92" s="31" t="str">
        <f t="shared" si="1206"/>
        <v>TB</v>
      </c>
      <c r="DE92" s="31" t="str">
        <f t="shared" si="1206"/>
        <v>TB</v>
      </c>
      <c r="DF92" s="31" t="str">
        <f t="shared" si="1206"/>
        <v>TB</v>
      </c>
      <c r="DG92" s="31" t="str">
        <f t="shared" si="1206"/>
        <v>TB</v>
      </c>
      <c r="DH92" s="31" t="str">
        <f t="shared" si="1206"/>
        <v>TB</v>
      </c>
      <c r="DI92" s="31" t="str">
        <f t="shared" si="1206"/>
        <v>TB</v>
      </c>
      <c r="DJ92" s="31" t="str">
        <f t="shared" si="1206"/>
        <v>TB</v>
      </c>
      <c r="DK92" s="31" t="str">
        <f t="shared" si="1206"/>
        <v>TB</v>
      </c>
      <c r="DL92" s="31" t="str">
        <f t="shared" si="1206"/>
        <v>TB</v>
      </c>
      <c r="DM92" s="31" t="str">
        <f t="shared" si="1206"/>
        <v>TB</v>
      </c>
      <c r="DN92" s="31" t="str">
        <f t="shared" si="1206"/>
        <v>TB</v>
      </c>
      <c r="DO92" s="31" t="str">
        <f t="shared" si="1206"/>
        <v>TB</v>
      </c>
      <c r="DP92" s="31" t="str">
        <f t="shared" si="1206"/>
        <v>TB</v>
      </c>
      <c r="DQ92" s="31" t="str">
        <f t="shared" si="1206"/>
        <v>TB</v>
      </c>
      <c r="DR92" s="31" t="str">
        <f t="shared" si="1206"/>
        <v>TB</v>
      </c>
      <c r="DS92" s="31" t="str">
        <f t="shared" si="1206"/>
        <v>TB</v>
      </c>
      <c r="DT92" s="62" t="str">
        <f t="shared" si="1206"/>
        <v>TB</v>
      </c>
    </row>
    <row r="93" spans="2:124" s="17" customFormat="1" ht="16" thickBot="1" x14ac:dyDescent="0.25">
      <c r="B93" s="21" t="s">
        <v>59</v>
      </c>
      <c r="C93" s="76"/>
      <c r="D93" s="142">
        <f>D91/28.747*10</f>
        <v>0</v>
      </c>
      <c r="E93" s="22">
        <f t="shared" ref="E93:AG93" si="1207">IF(E90/28.747*10&lt;=10,E90/28.747*10,10)</f>
        <v>1.1463485496352925</v>
      </c>
      <c r="F93" s="22">
        <f t="shared" si="1207"/>
        <v>2.0214931475538838</v>
      </c>
      <c r="G93" s="22">
        <f t="shared" si="1207"/>
        <v>2.8966377454724745</v>
      </c>
      <c r="H93" s="22">
        <f t="shared" si="1207"/>
        <v>3.7717823433910667</v>
      </c>
      <c r="I93" s="22">
        <f t="shared" si="1207"/>
        <v>4.6819327252264014</v>
      </c>
      <c r="J93" s="22">
        <f t="shared" si="1207"/>
        <v>7.6031041564401578</v>
      </c>
      <c r="K93" s="22">
        <f t="shared" si="1207"/>
        <v>8.8405621874875191</v>
      </c>
      <c r="L93" s="22">
        <f t="shared" si="1207"/>
        <v>0.29610570173446948</v>
      </c>
      <c r="M93" s="22">
        <f t="shared" si="1207"/>
        <v>0.61982845196546066</v>
      </c>
      <c r="N93" s="22">
        <f t="shared" si="1207"/>
        <v>0.94355120219645183</v>
      </c>
      <c r="O93" s="22">
        <f t="shared" si="1207"/>
        <v>1.267273952427443</v>
      </c>
      <c r="P93" s="22">
        <f t="shared" si="1207"/>
        <v>1.7187890400402914</v>
      </c>
      <c r="Q93" s="22">
        <f t="shared" si="1207"/>
        <v>2.1703041276531403</v>
      </c>
      <c r="R93" s="22">
        <f t="shared" si="1207"/>
        <v>2.6218192152659885</v>
      </c>
      <c r="S93" s="22">
        <f t="shared" si="1207"/>
        <v>3.0733343028788376</v>
      </c>
      <c r="T93" s="22">
        <f t="shared" si="1207"/>
        <v>3.5248493904916849</v>
      </c>
      <c r="U93" s="22">
        <f t="shared" si="1207"/>
        <v>3.9763644781045331</v>
      </c>
      <c r="V93" s="22">
        <f t="shared" si="1207"/>
        <v>4.6570117366678874</v>
      </c>
      <c r="W93" s="22">
        <f t="shared" si="1207"/>
        <v>5.3376589952312425</v>
      </c>
      <c r="X93" s="22">
        <f t="shared" si="1207"/>
        <v>6.0183062537945977</v>
      </c>
      <c r="Y93" s="22">
        <f t="shared" si="1207"/>
        <v>6.6989535123579538</v>
      </c>
      <c r="Z93" s="22">
        <f t="shared" si="1207"/>
        <v>7.3796007709213072</v>
      </c>
      <c r="AA93" s="22">
        <f t="shared" si="1207"/>
        <v>8.0340692887706862</v>
      </c>
      <c r="AB93" s="58">
        <f t="shared" si="1207"/>
        <v>8.6885378066200687</v>
      </c>
      <c r="AC93" s="22">
        <f t="shared" si="1207"/>
        <v>9.3430063244694477</v>
      </c>
      <c r="AD93" s="22">
        <f t="shared" si="1207"/>
        <v>9.9974748423188284</v>
      </c>
      <c r="AE93" s="22">
        <f t="shared" si="1207"/>
        <v>10</v>
      </c>
      <c r="AF93" s="22">
        <f t="shared" si="1207"/>
        <v>10</v>
      </c>
      <c r="AG93" s="22">
        <f t="shared" si="1207"/>
        <v>10</v>
      </c>
      <c r="AH93" s="22">
        <f>IF(AH90/28.747*10&lt;=10,AH90/28.747*10,10)</f>
        <v>10</v>
      </c>
      <c r="AI93" s="22">
        <f t="shared" ref="AI93:CT93" si="1208">IF(AI90/28.747*10&lt;=10,AI90/28.747*10,10)</f>
        <v>10</v>
      </c>
      <c r="AJ93" s="22">
        <f t="shared" si="1208"/>
        <v>10</v>
      </c>
      <c r="AK93" s="22">
        <f t="shared" si="1208"/>
        <v>10</v>
      </c>
      <c r="AL93" s="22">
        <f t="shared" si="1208"/>
        <v>10</v>
      </c>
      <c r="AM93" s="22">
        <f t="shared" si="1208"/>
        <v>10</v>
      </c>
      <c r="AN93" s="22">
        <f t="shared" si="1208"/>
        <v>10</v>
      </c>
      <c r="AO93" s="22">
        <f t="shared" si="1208"/>
        <v>10</v>
      </c>
      <c r="AP93" s="22">
        <f t="shared" si="1208"/>
        <v>10</v>
      </c>
      <c r="AQ93" s="22">
        <f t="shared" si="1208"/>
        <v>10</v>
      </c>
      <c r="AR93" s="22">
        <f t="shared" si="1208"/>
        <v>10</v>
      </c>
      <c r="AS93" s="22">
        <f t="shared" si="1208"/>
        <v>10</v>
      </c>
      <c r="AT93" s="22">
        <f t="shared" si="1208"/>
        <v>10</v>
      </c>
      <c r="AU93" s="22">
        <f t="shared" si="1208"/>
        <v>10</v>
      </c>
      <c r="AV93" s="22">
        <f t="shared" si="1208"/>
        <v>10</v>
      </c>
      <c r="AW93" s="22">
        <f t="shared" si="1208"/>
        <v>10</v>
      </c>
      <c r="AX93" s="22">
        <f t="shared" si="1208"/>
        <v>10</v>
      </c>
      <c r="AY93" s="22">
        <f t="shared" si="1208"/>
        <v>10</v>
      </c>
      <c r="AZ93" s="58">
        <f t="shared" si="1208"/>
        <v>10</v>
      </c>
      <c r="BA93" s="22">
        <f t="shared" si="1208"/>
        <v>10</v>
      </c>
      <c r="BB93" s="22">
        <f t="shared" si="1208"/>
        <v>10</v>
      </c>
      <c r="BC93" s="22">
        <f t="shared" si="1208"/>
        <v>10</v>
      </c>
      <c r="BD93" s="22">
        <f t="shared" si="1208"/>
        <v>10</v>
      </c>
      <c r="BE93" s="22">
        <f t="shared" si="1208"/>
        <v>10</v>
      </c>
      <c r="BF93" s="22">
        <f t="shared" si="1208"/>
        <v>10</v>
      </c>
      <c r="BG93" s="22">
        <f t="shared" si="1208"/>
        <v>0.37619999998095932</v>
      </c>
      <c r="BH93" s="22">
        <f t="shared" si="1208"/>
        <v>1.7411486274163184</v>
      </c>
      <c r="BI93" s="22">
        <f t="shared" si="1208"/>
        <v>4.223109795855442</v>
      </c>
      <c r="BJ93" s="22">
        <f t="shared" si="1208"/>
        <v>4.4710458822870365</v>
      </c>
      <c r="BK93" s="22">
        <f t="shared" si="1208"/>
        <v>5.8359945097223962</v>
      </c>
      <c r="BL93" s="22">
        <f t="shared" si="1208"/>
        <v>7.200943137157755</v>
      </c>
      <c r="BM93" s="22">
        <f t="shared" si="1208"/>
        <v>8.5658917645931165</v>
      </c>
      <c r="BN93" s="22">
        <f t="shared" si="1208"/>
        <v>9.9308403920284753</v>
      </c>
      <c r="BO93" s="22">
        <f t="shared" si="1208"/>
        <v>10</v>
      </c>
      <c r="BP93" s="22">
        <f t="shared" si="1208"/>
        <v>10</v>
      </c>
      <c r="BQ93" s="22">
        <f t="shared" si="1208"/>
        <v>10</v>
      </c>
      <c r="BR93" s="22">
        <f t="shared" si="1208"/>
        <v>10</v>
      </c>
      <c r="BS93" s="22">
        <f t="shared" si="1208"/>
        <v>10</v>
      </c>
      <c r="BT93" s="22">
        <f t="shared" si="1208"/>
        <v>10</v>
      </c>
      <c r="BU93" s="22">
        <f t="shared" si="1208"/>
        <v>10</v>
      </c>
      <c r="BV93" s="22">
        <f t="shared" si="1208"/>
        <v>10</v>
      </c>
      <c r="BW93" s="22">
        <f t="shared" si="1208"/>
        <v>10</v>
      </c>
      <c r="BX93" s="58">
        <f t="shared" si="1208"/>
        <v>10</v>
      </c>
      <c r="BY93" s="22">
        <f t="shared" si="1208"/>
        <v>10</v>
      </c>
      <c r="BZ93" s="22">
        <f t="shared" si="1208"/>
        <v>10</v>
      </c>
      <c r="CA93" s="22">
        <f t="shared" si="1208"/>
        <v>10</v>
      </c>
      <c r="CB93" s="22">
        <f t="shared" si="1208"/>
        <v>10</v>
      </c>
      <c r="CC93" s="22">
        <f t="shared" si="1208"/>
        <v>10</v>
      </c>
      <c r="CD93" s="22">
        <f t="shared" si="1208"/>
        <v>10</v>
      </c>
      <c r="CE93" s="22">
        <f t="shared" si="1208"/>
        <v>0.37619999998095932</v>
      </c>
      <c r="CF93" s="22">
        <f t="shared" si="1208"/>
        <v>1.7411486274163184</v>
      </c>
      <c r="CG93" s="22">
        <f t="shared" si="1208"/>
        <v>4.223109795855442</v>
      </c>
      <c r="CH93" s="22">
        <f t="shared" si="1208"/>
        <v>4.4710458822870365</v>
      </c>
      <c r="CI93" s="22">
        <f t="shared" si="1208"/>
        <v>5.8359945097223962</v>
      </c>
      <c r="CJ93" s="22">
        <f t="shared" si="1208"/>
        <v>7.200943137157755</v>
      </c>
      <c r="CK93" s="22">
        <f t="shared" si="1208"/>
        <v>8.5658917645931165</v>
      </c>
      <c r="CL93" s="22">
        <f t="shared" si="1208"/>
        <v>9.9308403920284753</v>
      </c>
      <c r="CM93" s="22">
        <f t="shared" si="1208"/>
        <v>10</v>
      </c>
      <c r="CN93" s="22">
        <f t="shared" si="1208"/>
        <v>10</v>
      </c>
      <c r="CO93" s="22">
        <f t="shared" si="1208"/>
        <v>10</v>
      </c>
      <c r="CP93" s="22">
        <f t="shared" si="1208"/>
        <v>10</v>
      </c>
      <c r="CQ93" s="22">
        <f t="shared" si="1208"/>
        <v>10</v>
      </c>
      <c r="CR93" s="22">
        <f t="shared" si="1208"/>
        <v>10</v>
      </c>
      <c r="CS93" s="22">
        <f t="shared" si="1208"/>
        <v>10</v>
      </c>
      <c r="CT93" s="22">
        <f t="shared" si="1208"/>
        <v>10</v>
      </c>
      <c r="CU93" s="22">
        <f t="shared" ref="CU93:DT93" si="1209">IF(CU90/28.747*10&lt;=10,CU90/28.747*10,10)</f>
        <v>10</v>
      </c>
      <c r="CV93" s="58">
        <f t="shared" si="1209"/>
        <v>10</v>
      </c>
      <c r="CW93" s="22">
        <f t="shared" si="1209"/>
        <v>10</v>
      </c>
      <c r="CX93" s="22">
        <f t="shared" si="1209"/>
        <v>10</v>
      </c>
      <c r="CY93" s="22">
        <f t="shared" si="1209"/>
        <v>10</v>
      </c>
      <c r="CZ93" s="22">
        <f t="shared" si="1209"/>
        <v>10</v>
      </c>
      <c r="DA93" s="22">
        <f t="shared" si="1209"/>
        <v>10</v>
      </c>
      <c r="DB93" s="22">
        <f t="shared" si="1209"/>
        <v>10</v>
      </c>
      <c r="DC93" s="22">
        <f t="shared" si="1209"/>
        <v>0.37619999998095932</v>
      </c>
      <c r="DD93" s="22">
        <f t="shared" si="1209"/>
        <v>1.7411486274163184</v>
      </c>
      <c r="DE93" s="22">
        <f t="shared" si="1209"/>
        <v>4.223109795855442</v>
      </c>
      <c r="DF93" s="22">
        <f t="shared" si="1209"/>
        <v>4.4710458822870365</v>
      </c>
      <c r="DG93" s="22">
        <f t="shared" si="1209"/>
        <v>5.8359945097223962</v>
      </c>
      <c r="DH93" s="22">
        <f t="shared" si="1209"/>
        <v>7.200943137157755</v>
      </c>
      <c r="DI93" s="22">
        <f t="shared" si="1209"/>
        <v>8.5658917645931165</v>
      </c>
      <c r="DJ93" s="22">
        <f t="shared" si="1209"/>
        <v>9.9308403920284753</v>
      </c>
      <c r="DK93" s="22">
        <f t="shared" si="1209"/>
        <v>10</v>
      </c>
      <c r="DL93" s="22">
        <f t="shared" si="1209"/>
        <v>10</v>
      </c>
      <c r="DM93" s="22">
        <f t="shared" si="1209"/>
        <v>10</v>
      </c>
      <c r="DN93" s="22">
        <f t="shared" si="1209"/>
        <v>10</v>
      </c>
      <c r="DO93" s="22">
        <f t="shared" si="1209"/>
        <v>10</v>
      </c>
      <c r="DP93" s="22">
        <f t="shared" si="1209"/>
        <v>10</v>
      </c>
      <c r="DQ93" s="22">
        <f t="shared" si="1209"/>
        <v>10</v>
      </c>
      <c r="DR93" s="22">
        <f t="shared" si="1209"/>
        <v>10</v>
      </c>
      <c r="DS93" s="22">
        <f t="shared" si="1209"/>
        <v>10</v>
      </c>
      <c r="DT93" s="58">
        <f t="shared" si="1209"/>
        <v>10</v>
      </c>
    </row>
    <row r="94" spans="2:124" x14ac:dyDescent="0.2">
      <c r="E94" s="193" t="s">
        <v>66</v>
      </c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5"/>
      <c r="AC94" s="196" t="s">
        <v>67</v>
      </c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  <c r="AS94" s="197"/>
      <c r="AT94" s="197"/>
      <c r="AU94" s="197"/>
      <c r="AV94" s="197"/>
      <c r="AW94" s="197"/>
      <c r="AX94" s="197"/>
      <c r="AY94" s="197"/>
      <c r="AZ94" s="198"/>
      <c r="BA94" s="193" t="s">
        <v>68</v>
      </c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5"/>
      <c r="BY94" s="196" t="s">
        <v>69</v>
      </c>
      <c r="BZ94" s="197"/>
      <c r="CA94" s="197"/>
      <c r="CB94" s="197"/>
      <c r="CC94" s="197"/>
      <c r="CD94" s="197"/>
      <c r="CE94" s="197"/>
      <c r="CF94" s="197"/>
      <c r="CG94" s="197"/>
      <c r="CH94" s="197"/>
      <c r="CI94" s="197"/>
      <c r="CJ94" s="197"/>
      <c r="CK94" s="197"/>
      <c r="CL94" s="197"/>
      <c r="CM94" s="197"/>
      <c r="CN94" s="197"/>
      <c r="CO94" s="197"/>
      <c r="CP94" s="197"/>
      <c r="CQ94" s="197"/>
      <c r="CR94" s="197"/>
      <c r="CS94" s="197"/>
      <c r="CT94" s="197"/>
      <c r="CU94" s="197"/>
      <c r="CV94" s="198"/>
      <c r="CW94" s="193" t="s">
        <v>70</v>
      </c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  <c r="DL94" s="194"/>
      <c r="DM94" s="194"/>
      <c r="DN94" s="194"/>
      <c r="DO94" s="194"/>
      <c r="DP94" s="194"/>
      <c r="DQ94" s="194"/>
      <c r="DR94" s="194"/>
      <c r="DS94" s="194"/>
      <c r="DT94" s="195"/>
    </row>
    <row r="95" spans="2:124" x14ac:dyDescent="0.2">
      <c r="B95" s="5" t="s">
        <v>60</v>
      </c>
      <c r="E95" s="23">
        <v>4.1666666666666664E-2</v>
      </c>
      <c r="F95" s="24">
        <v>8.3333333333333301E-2</v>
      </c>
      <c r="G95" s="24">
        <v>0.125</v>
      </c>
      <c r="H95" s="24">
        <v>0.16666666666666699</v>
      </c>
      <c r="I95" s="24">
        <v>0.20833333333333301</v>
      </c>
      <c r="J95" s="24">
        <v>0.25</v>
      </c>
      <c r="K95" s="24">
        <v>0.29166666666666702</v>
      </c>
      <c r="L95" s="24">
        <v>0.33333333333333298</v>
      </c>
      <c r="M95" s="24">
        <v>0.375</v>
      </c>
      <c r="N95" s="24">
        <v>0.41666666666666702</v>
      </c>
      <c r="O95" s="24">
        <v>0.45833333333333298</v>
      </c>
      <c r="P95" s="24">
        <v>0.5</v>
      </c>
      <c r="Q95" s="24">
        <v>0.54166666666666696</v>
      </c>
      <c r="R95" s="24">
        <v>0.58333333333333304</v>
      </c>
      <c r="S95" s="24">
        <v>0.625</v>
      </c>
      <c r="T95" s="24">
        <v>0.66666666666666696</v>
      </c>
      <c r="U95" s="24">
        <v>0.70833333333333304</v>
      </c>
      <c r="V95" s="24">
        <v>0.75</v>
      </c>
      <c r="W95" s="24">
        <v>0.79166666666666696</v>
      </c>
      <c r="X95" s="24">
        <v>0.83333333333333304</v>
      </c>
      <c r="Y95" s="24">
        <v>0.875</v>
      </c>
      <c r="Z95" s="24">
        <v>0.91666666666666696</v>
      </c>
      <c r="AA95" s="24">
        <v>0.95833333333333404</v>
      </c>
      <c r="AB95" s="59">
        <v>1</v>
      </c>
      <c r="AC95" s="23">
        <v>1.0416666666666701</v>
      </c>
      <c r="AD95" s="24">
        <v>1.0833333333333299</v>
      </c>
      <c r="AE95" s="24">
        <v>0.125</v>
      </c>
      <c r="AF95" s="24">
        <v>0.16666666666666699</v>
      </c>
      <c r="AG95" s="24">
        <v>0.20833333333333301</v>
      </c>
      <c r="AH95" s="24">
        <v>0.25</v>
      </c>
      <c r="AI95" s="24">
        <v>0.29166666666666702</v>
      </c>
      <c r="AJ95" s="24">
        <v>0.33333333333333298</v>
      </c>
      <c r="AK95" s="24">
        <v>0.375</v>
      </c>
      <c r="AL95" s="24">
        <v>0.41666666666666702</v>
      </c>
      <c r="AM95" s="24">
        <v>0.45833333333333298</v>
      </c>
      <c r="AN95" s="24">
        <v>0.5</v>
      </c>
      <c r="AO95" s="24">
        <v>0.54166666666666696</v>
      </c>
      <c r="AP95" s="24">
        <v>0.58333333333333304</v>
      </c>
      <c r="AQ95" s="24">
        <v>0.625</v>
      </c>
      <c r="AR95" s="24">
        <v>0.66666666666666696</v>
      </c>
      <c r="AS95" s="24">
        <v>0.70833333333333304</v>
      </c>
      <c r="AT95" s="24">
        <v>0.75</v>
      </c>
      <c r="AU95" s="24">
        <v>0.79166666666666696</v>
      </c>
      <c r="AV95" s="24">
        <v>0.83333333333333304</v>
      </c>
      <c r="AW95" s="24">
        <v>0.875</v>
      </c>
      <c r="AX95" s="24">
        <v>0.91666666666666696</v>
      </c>
      <c r="AY95" s="24">
        <v>0.95833333333333404</v>
      </c>
      <c r="AZ95" s="59">
        <v>1</v>
      </c>
      <c r="BA95" s="23">
        <v>1.0416666666666701</v>
      </c>
      <c r="BB95" s="24">
        <v>1.0833333333333299</v>
      </c>
      <c r="BC95" s="24">
        <v>0.125</v>
      </c>
      <c r="BD95" s="24">
        <v>0.16666666666666699</v>
      </c>
      <c r="BE95" s="24">
        <v>0.20833333333333301</v>
      </c>
      <c r="BF95" s="24">
        <v>0.25</v>
      </c>
      <c r="BG95" s="24">
        <v>0.29166666666666702</v>
      </c>
      <c r="BH95" s="24">
        <v>0.33333333333333298</v>
      </c>
      <c r="BI95" s="24">
        <v>0.375</v>
      </c>
      <c r="BJ95" s="24">
        <v>0.41666666666666702</v>
      </c>
      <c r="BK95" s="24">
        <v>0.45833333333333298</v>
      </c>
      <c r="BL95" s="24">
        <v>0.5</v>
      </c>
      <c r="BM95" s="24">
        <v>0.54166666666666696</v>
      </c>
      <c r="BN95" s="24">
        <v>0.58333333333333304</v>
      </c>
      <c r="BO95" s="24">
        <v>0.625</v>
      </c>
      <c r="BP95" s="24">
        <v>0.66666666666666696</v>
      </c>
      <c r="BQ95" s="24">
        <v>0.70833333333333304</v>
      </c>
      <c r="BR95" s="24">
        <v>0.75</v>
      </c>
      <c r="BS95" s="24">
        <v>0.79166666666666696</v>
      </c>
      <c r="BT95" s="24">
        <v>0.83333333333333304</v>
      </c>
      <c r="BU95" s="24">
        <v>0.875</v>
      </c>
      <c r="BV95" s="24">
        <v>0.91666666666666696</v>
      </c>
      <c r="BW95" s="24">
        <v>0.95833333333333404</v>
      </c>
      <c r="BX95" s="59">
        <v>1</v>
      </c>
      <c r="BY95" s="23">
        <v>1.0416666666666701</v>
      </c>
      <c r="BZ95" s="24">
        <v>1.0833333333333299</v>
      </c>
      <c r="CA95" s="24">
        <v>0.125</v>
      </c>
      <c r="CB95" s="24">
        <v>0.16666666666666699</v>
      </c>
      <c r="CC95" s="24">
        <v>0.20833333333333301</v>
      </c>
      <c r="CD95" s="24">
        <v>0.25</v>
      </c>
      <c r="CE95" s="24">
        <v>0.29166666666666702</v>
      </c>
      <c r="CF95" s="24">
        <v>0.33333333333333298</v>
      </c>
      <c r="CG95" s="24">
        <v>0.375</v>
      </c>
      <c r="CH95" s="24">
        <v>0.41666666666666702</v>
      </c>
      <c r="CI95" s="24">
        <v>0.45833333333333298</v>
      </c>
      <c r="CJ95" s="24">
        <v>0.5</v>
      </c>
      <c r="CK95" s="24">
        <v>0.54166666666666696</v>
      </c>
      <c r="CL95" s="24">
        <v>0.58333333333333304</v>
      </c>
      <c r="CM95" s="24">
        <v>0.625</v>
      </c>
      <c r="CN95" s="24">
        <v>0.66666666666666696</v>
      </c>
      <c r="CO95" s="24">
        <v>0.70833333333333304</v>
      </c>
      <c r="CP95" s="24">
        <v>0.75</v>
      </c>
      <c r="CQ95" s="24">
        <v>0.79166666666666696</v>
      </c>
      <c r="CR95" s="24">
        <v>0.83333333333333304</v>
      </c>
      <c r="CS95" s="24">
        <v>0.875</v>
      </c>
      <c r="CT95" s="24">
        <v>0.91666666666666696</v>
      </c>
      <c r="CU95" s="24">
        <v>0.95833333333333404</v>
      </c>
      <c r="CV95" s="59">
        <v>1</v>
      </c>
      <c r="CW95" s="23">
        <v>1.0416666666666701</v>
      </c>
      <c r="CX95" s="24">
        <v>1.0833333333333299</v>
      </c>
      <c r="CY95" s="24">
        <v>0.125</v>
      </c>
      <c r="CZ95" s="24">
        <v>0.16666666666666699</v>
      </c>
      <c r="DA95" s="24">
        <v>0.20833333333333301</v>
      </c>
      <c r="DB95" s="24">
        <v>0.25</v>
      </c>
      <c r="DC95" s="24">
        <v>0.29166666666666702</v>
      </c>
      <c r="DD95" s="24">
        <v>0.33333333333333298</v>
      </c>
      <c r="DE95" s="24">
        <v>0.375</v>
      </c>
      <c r="DF95" s="24">
        <v>0.41666666666666702</v>
      </c>
      <c r="DG95" s="24">
        <v>0.45833333333333298</v>
      </c>
      <c r="DH95" s="24">
        <v>0.5</v>
      </c>
      <c r="DI95" s="24">
        <v>0.54166666666666696</v>
      </c>
      <c r="DJ95" s="24">
        <v>0.58333333333333304</v>
      </c>
      <c r="DK95" s="24">
        <v>0.625</v>
      </c>
      <c r="DL95" s="24">
        <v>0.66666666666666696</v>
      </c>
      <c r="DM95" s="24">
        <v>0.70833333333333304</v>
      </c>
      <c r="DN95" s="24">
        <v>0.75</v>
      </c>
      <c r="DO95" s="24">
        <v>0.79166666666666696</v>
      </c>
      <c r="DP95" s="24">
        <v>0.83333333333333304</v>
      </c>
      <c r="DQ95" s="24">
        <v>0.875</v>
      </c>
      <c r="DR95" s="24">
        <v>0.91666666666666696</v>
      </c>
      <c r="DS95" s="24">
        <v>0.95833333333333404</v>
      </c>
      <c r="DT95" s="59">
        <v>1</v>
      </c>
    </row>
    <row r="96" spans="2:124" x14ac:dyDescent="0.2">
      <c r="B96" s="3" t="s">
        <v>61</v>
      </c>
      <c r="D96" s="139">
        <v>2</v>
      </c>
      <c r="E96" s="49">
        <f>D103</f>
        <v>3.083333333333333</v>
      </c>
      <c r="F96" s="25">
        <f t="shared" ref="F96:BQ96" si="1210">E103</f>
        <v>3.3995833333333332</v>
      </c>
      <c r="G96" s="25">
        <f t="shared" si="1210"/>
        <v>3.7158333333333333</v>
      </c>
      <c r="H96" s="25">
        <f t="shared" si="1210"/>
        <v>4.0320833333333335</v>
      </c>
      <c r="I96" s="25">
        <f t="shared" si="1210"/>
        <v>4.5983333333333336</v>
      </c>
      <c r="J96" s="25">
        <f t="shared" si="1210"/>
        <v>5.2308333333333339</v>
      </c>
      <c r="K96" s="25">
        <f t="shared" si="1210"/>
        <v>8.8633333333333333</v>
      </c>
      <c r="L96" s="25">
        <f t="shared" si="1210"/>
        <v>0</v>
      </c>
      <c r="M96" s="25">
        <f t="shared" si="1210"/>
        <v>0.63250000000000006</v>
      </c>
      <c r="N96" s="25">
        <f t="shared" si="1210"/>
        <v>1.2650000000000001</v>
      </c>
      <c r="O96" s="25">
        <f t="shared" si="1210"/>
        <v>1.8975000000000002</v>
      </c>
      <c r="P96" s="25">
        <f t="shared" si="1210"/>
        <v>2.5300000000000002</v>
      </c>
      <c r="Q96" s="25">
        <f t="shared" si="1210"/>
        <v>3.1625000000000001</v>
      </c>
      <c r="R96" s="25">
        <f t="shared" si="1210"/>
        <v>3.7949999999999999</v>
      </c>
      <c r="S96" s="25">
        <f t="shared" si="1210"/>
        <v>4.4275000000000002</v>
      </c>
      <c r="T96" s="25">
        <f t="shared" si="1210"/>
        <v>8.06</v>
      </c>
      <c r="U96" s="25">
        <f t="shared" si="1210"/>
        <v>0</v>
      </c>
      <c r="V96" s="25">
        <f t="shared" si="1210"/>
        <v>0.63250000000000006</v>
      </c>
      <c r="W96" s="25">
        <f t="shared" si="1210"/>
        <v>1.2650000000000001</v>
      </c>
      <c r="X96" s="25">
        <f t="shared" si="1210"/>
        <v>1.8975000000000002</v>
      </c>
      <c r="Y96" s="25">
        <f t="shared" si="1210"/>
        <v>2.5300000000000002</v>
      </c>
      <c r="Z96" s="25">
        <f t="shared" si="1210"/>
        <v>3.1625000000000001</v>
      </c>
      <c r="AA96" s="25">
        <f t="shared" si="1210"/>
        <v>3.5449999999999999</v>
      </c>
      <c r="AB96" s="57">
        <f t="shared" si="1210"/>
        <v>3.8612500000000001</v>
      </c>
      <c r="AC96" s="19">
        <f t="shared" si="1210"/>
        <v>4.1775000000000002</v>
      </c>
      <c r="AD96" s="25">
        <f t="shared" si="1210"/>
        <v>4.4937500000000004</v>
      </c>
      <c r="AE96" s="25">
        <f t="shared" si="1210"/>
        <v>4.8100000000000005</v>
      </c>
      <c r="AF96" s="25">
        <f t="shared" si="1210"/>
        <v>5.1262500000000006</v>
      </c>
      <c r="AG96" s="25">
        <f t="shared" si="1210"/>
        <v>5.4425000000000008</v>
      </c>
      <c r="AH96" s="25">
        <f t="shared" si="1210"/>
        <v>5.7587500000000009</v>
      </c>
      <c r="AI96" s="25">
        <f t="shared" si="1210"/>
        <v>6.0750000000000011</v>
      </c>
      <c r="AJ96" s="25">
        <f t="shared" si="1210"/>
        <v>6.3912500000000012</v>
      </c>
      <c r="AK96" s="25">
        <f t="shared" si="1210"/>
        <v>6.7075000000000014</v>
      </c>
      <c r="AL96" s="25">
        <f t="shared" si="1210"/>
        <v>7.0237500000000015</v>
      </c>
      <c r="AM96" s="25">
        <f t="shared" si="1210"/>
        <v>7.3400000000000016</v>
      </c>
      <c r="AN96" s="25">
        <f t="shared" si="1210"/>
        <v>7.6562500000000018</v>
      </c>
      <c r="AO96" s="25">
        <f t="shared" si="1210"/>
        <v>7.9725000000000019</v>
      </c>
      <c r="AP96" s="25">
        <f t="shared" si="1210"/>
        <v>8.2887500000000021</v>
      </c>
      <c r="AQ96" s="25">
        <f t="shared" si="1210"/>
        <v>8.6050000000000022</v>
      </c>
      <c r="AR96" s="25">
        <f t="shared" si="1210"/>
        <v>8.9212500000000023</v>
      </c>
      <c r="AS96" s="25">
        <f t="shared" si="1210"/>
        <v>9.2375000000000025</v>
      </c>
      <c r="AT96" s="25">
        <f t="shared" si="1210"/>
        <v>9.5537500000000026</v>
      </c>
      <c r="AU96" s="25">
        <f t="shared" si="1210"/>
        <v>9.8700000000000028</v>
      </c>
      <c r="AV96" s="25">
        <f t="shared" si="1210"/>
        <v>10.186250000000003</v>
      </c>
      <c r="AW96" s="25">
        <f t="shared" si="1210"/>
        <v>10.502500000000003</v>
      </c>
      <c r="AX96" s="25">
        <f t="shared" si="1210"/>
        <v>10.818750000000003</v>
      </c>
      <c r="AY96" s="25">
        <f t="shared" si="1210"/>
        <v>11.135000000000003</v>
      </c>
      <c r="AZ96" s="57">
        <f t="shared" si="1210"/>
        <v>11.451250000000003</v>
      </c>
      <c r="BA96" s="19">
        <f t="shared" si="1210"/>
        <v>11.767500000000004</v>
      </c>
      <c r="BB96" s="25">
        <f t="shared" si="1210"/>
        <v>12.083750000000004</v>
      </c>
      <c r="BC96" s="25">
        <f t="shared" si="1210"/>
        <v>12.400000000000004</v>
      </c>
      <c r="BD96" s="25">
        <f t="shared" si="1210"/>
        <v>12.716250000000004</v>
      </c>
      <c r="BE96" s="25">
        <f t="shared" si="1210"/>
        <v>13.282500000000004</v>
      </c>
      <c r="BF96" s="25">
        <f t="shared" si="1210"/>
        <v>0</v>
      </c>
      <c r="BG96" s="25">
        <f t="shared" si="1210"/>
        <v>0.63250000000000006</v>
      </c>
      <c r="BH96" s="25">
        <f t="shared" si="1210"/>
        <v>1.2650000000000001</v>
      </c>
      <c r="BI96" s="25">
        <f t="shared" si="1210"/>
        <v>4.8975</v>
      </c>
      <c r="BJ96" s="25">
        <f t="shared" si="1210"/>
        <v>5.53</v>
      </c>
      <c r="BK96" s="25">
        <f t="shared" si="1210"/>
        <v>6.1625000000000005</v>
      </c>
      <c r="BL96" s="25">
        <f t="shared" si="1210"/>
        <v>6.7950000000000008</v>
      </c>
      <c r="BM96" s="25">
        <f t="shared" si="1210"/>
        <v>7.4275000000000011</v>
      </c>
      <c r="BN96" s="25">
        <f t="shared" si="1210"/>
        <v>8.0600000000000023</v>
      </c>
      <c r="BO96" s="25">
        <f t="shared" si="1210"/>
        <v>8.6925000000000026</v>
      </c>
      <c r="BP96" s="25">
        <f t="shared" si="1210"/>
        <v>9.3250000000000028</v>
      </c>
      <c r="BQ96" s="25">
        <f t="shared" si="1210"/>
        <v>9.9575000000000031</v>
      </c>
      <c r="BR96" s="25">
        <f t="shared" ref="BR96:DT96" si="1211">BQ103</f>
        <v>10.590000000000003</v>
      </c>
      <c r="BS96" s="25">
        <f t="shared" si="1211"/>
        <v>0</v>
      </c>
      <c r="BT96" s="25">
        <f t="shared" si="1211"/>
        <v>0.63250000000000006</v>
      </c>
      <c r="BU96" s="25">
        <f t="shared" si="1211"/>
        <v>1.2650000000000001</v>
      </c>
      <c r="BV96" s="25">
        <f t="shared" si="1211"/>
        <v>1.8975000000000002</v>
      </c>
      <c r="BW96" s="25">
        <f t="shared" si="1211"/>
        <v>2.2800000000000002</v>
      </c>
      <c r="BX96" s="57">
        <f t="shared" si="1211"/>
        <v>2.5962500000000004</v>
      </c>
      <c r="BY96" s="19">
        <f t="shared" si="1211"/>
        <v>2.9125000000000005</v>
      </c>
      <c r="BZ96" s="25">
        <f t="shared" si="1211"/>
        <v>3.2287500000000007</v>
      </c>
      <c r="CA96" s="25">
        <f t="shared" si="1211"/>
        <v>3.5450000000000008</v>
      </c>
      <c r="CB96" s="25">
        <f t="shared" si="1211"/>
        <v>3.861250000000001</v>
      </c>
      <c r="CC96" s="25">
        <f t="shared" si="1211"/>
        <v>4.4275000000000011</v>
      </c>
      <c r="CD96" s="25">
        <f t="shared" si="1211"/>
        <v>8.0600000000000023</v>
      </c>
      <c r="CE96" s="25">
        <f t="shared" si="1211"/>
        <v>0</v>
      </c>
      <c r="CF96" s="25">
        <f t="shared" si="1211"/>
        <v>0.63250000000000006</v>
      </c>
      <c r="CG96" s="25">
        <f t="shared" si="1211"/>
        <v>1.2650000000000001</v>
      </c>
      <c r="CH96" s="25">
        <f t="shared" si="1211"/>
        <v>1.8975000000000002</v>
      </c>
      <c r="CI96" s="25">
        <f t="shared" si="1211"/>
        <v>2.5300000000000002</v>
      </c>
      <c r="CJ96" s="25">
        <f t="shared" si="1211"/>
        <v>3.1625000000000001</v>
      </c>
      <c r="CK96" s="25">
        <f t="shared" si="1211"/>
        <v>3.7949999999999999</v>
      </c>
      <c r="CL96" s="25">
        <f t="shared" si="1211"/>
        <v>4.4275000000000002</v>
      </c>
      <c r="CM96" s="25">
        <f t="shared" si="1211"/>
        <v>5.0600000000000005</v>
      </c>
      <c r="CN96" s="25">
        <f t="shared" si="1211"/>
        <v>5.6925000000000008</v>
      </c>
      <c r="CO96" s="25">
        <f t="shared" si="1211"/>
        <v>6.3250000000000011</v>
      </c>
      <c r="CP96" s="25">
        <f t="shared" si="1211"/>
        <v>6.9575000000000014</v>
      </c>
      <c r="CQ96" s="25">
        <f t="shared" si="1211"/>
        <v>10.590000000000002</v>
      </c>
      <c r="CR96" s="25">
        <f t="shared" si="1211"/>
        <v>0</v>
      </c>
      <c r="CS96" s="25">
        <f t="shared" si="1211"/>
        <v>0.63250000000000006</v>
      </c>
      <c r="CT96" s="25">
        <f t="shared" si="1211"/>
        <v>1.0150000000000001</v>
      </c>
      <c r="CU96" s="25">
        <f t="shared" si="1211"/>
        <v>1.33125</v>
      </c>
      <c r="CV96" s="57">
        <f t="shared" si="1211"/>
        <v>1.6475</v>
      </c>
      <c r="CW96" s="19">
        <f t="shared" si="1211"/>
        <v>1.9637499999999999</v>
      </c>
      <c r="CX96" s="25">
        <f t="shared" si="1211"/>
        <v>2.2799999999999998</v>
      </c>
      <c r="CY96" s="25">
        <f t="shared" si="1211"/>
        <v>2.5962499999999999</v>
      </c>
      <c r="CZ96" s="25">
        <f t="shared" si="1211"/>
        <v>2.9125000000000001</v>
      </c>
      <c r="DA96" s="25">
        <f t="shared" si="1211"/>
        <v>3.4787500000000002</v>
      </c>
      <c r="DB96" s="25">
        <f t="shared" si="1211"/>
        <v>7.1112500000000001</v>
      </c>
      <c r="DC96" s="25">
        <f t="shared" si="1211"/>
        <v>10.74375</v>
      </c>
      <c r="DD96" s="25">
        <f t="shared" si="1211"/>
        <v>0</v>
      </c>
      <c r="DE96" s="25">
        <f t="shared" si="1211"/>
        <v>0.63250000000000006</v>
      </c>
      <c r="DF96" s="25">
        <f t="shared" si="1211"/>
        <v>1.2650000000000001</v>
      </c>
      <c r="DG96" s="25">
        <f t="shared" si="1211"/>
        <v>1.8975000000000002</v>
      </c>
      <c r="DH96" s="25">
        <f t="shared" si="1211"/>
        <v>2.5300000000000002</v>
      </c>
      <c r="DI96" s="25">
        <f t="shared" si="1211"/>
        <v>3.1625000000000001</v>
      </c>
      <c r="DJ96" s="25">
        <f t="shared" si="1211"/>
        <v>3.7949999999999999</v>
      </c>
      <c r="DK96" s="25">
        <f t="shared" si="1211"/>
        <v>4.4275000000000002</v>
      </c>
      <c r="DL96" s="25">
        <f t="shared" si="1211"/>
        <v>5.0600000000000005</v>
      </c>
      <c r="DM96" s="25">
        <f t="shared" si="1211"/>
        <v>5.6925000000000008</v>
      </c>
      <c r="DN96" s="25">
        <f t="shared" si="1211"/>
        <v>6.3250000000000011</v>
      </c>
      <c r="DO96" s="25">
        <f t="shared" si="1211"/>
        <v>9.9575000000000014</v>
      </c>
      <c r="DP96" s="25">
        <f t="shared" si="1211"/>
        <v>0</v>
      </c>
      <c r="DQ96" s="25">
        <f t="shared" si="1211"/>
        <v>0.63250000000000006</v>
      </c>
      <c r="DR96" s="25">
        <f t="shared" si="1211"/>
        <v>1.0150000000000001</v>
      </c>
      <c r="DS96" s="25">
        <f t="shared" si="1211"/>
        <v>1.33125</v>
      </c>
      <c r="DT96" s="57">
        <f t="shared" si="1211"/>
        <v>1.6475</v>
      </c>
    </row>
    <row r="97" spans="2:124" x14ac:dyDescent="0.2">
      <c r="B97" s="133" t="s">
        <v>62</v>
      </c>
      <c r="C97" s="132">
        <f>10/24</f>
        <v>0.41666666666666669</v>
      </c>
      <c r="D97" s="155">
        <f>IF(C41="T",$C$97*0.15,$C$97*0.3)</f>
        <v>6.25E-2</v>
      </c>
      <c r="E97" s="30">
        <f>IF(D41="T",$C$97*0.15,$C$97*0.3)</f>
        <v>6.25E-2</v>
      </c>
      <c r="F97" s="30">
        <f t="shared" ref="F97:BQ97" si="1212">IF(E41="T",$C$97*0.15,$C$97*0.3)</f>
        <v>6.25E-2</v>
      </c>
      <c r="G97" s="30">
        <f t="shared" si="1212"/>
        <v>6.25E-2</v>
      </c>
      <c r="H97" s="30">
        <f t="shared" si="1212"/>
        <v>6.25E-2</v>
      </c>
      <c r="I97" s="30">
        <f t="shared" si="1212"/>
        <v>0.125</v>
      </c>
      <c r="J97" s="30">
        <f t="shared" si="1212"/>
        <v>0.125</v>
      </c>
      <c r="K97" s="30">
        <f t="shared" si="1212"/>
        <v>0.125</v>
      </c>
      <c r="L97" s="30">
        <f t="shared" si="1212"/>
        <v>0.125</v>
      </c>
      <c r="M97" s="30">
        <f t="shared" si="1212"/>
        <v>0.125</v>
      </c>
      <c r="N97" s="30">
        <f t="shared" si="1212"/>
        <v>0.125</v>
      </c>
      <c r="O97" s="30">
        <f t="shared" si="1212"/>
        <v>0.125</v>
      </c>
      <c r="P97" s="30">
        <f t="shared" si="1212"/>
        <v>0.125</v>
      </c>
      <c r="Q97" s="30">
        <f t="shared" si="1212"/>
        <v>0.125</v>
      </c>
      <c r="R97" s="30">
        <f t="shared" si="1212"/>
        <v>0.125</v>
      </c>
      <c r="S97" s="30">
        <f t="shared" si="1212"/>
        <v>0.125</v>
      </c>
      <c r="T97" s="30">
        <f t="shared" si="1212"/>
        <v>0.125</v>
      </c>
      <c r="U97" s="30">
        <f t="shared" si="1212"/>
        <v>0.125</v>
      </c>
      <c r="V97" s="30">
        <f t="shared" si="1212"/>
        <v>0.125</v>
      </c>
      <c r="W97" s="30">
        <f t="shared" si="1212"/>
        <v>0.125</v>
      </c>
      <c r="X97" s="30">
        <f t="shared" si="1212"/>
        <v>0.125</v>
      </c>
      <c r="Y97" s="30">
        <f t="shared" si="1212"/>
        <v>0.125</v>
      </c>
      <c r="Z97" s="30">
        <f t="shared" si="1212"/>
        <v>0.125</v>
      </c>
      <c r="AA97" s="30">
        <f t="shared" si="1212"/>
        <v>6.25E-2</v>
      </c>
      <c r="AB97" s="62">
        <f t="shared" si="1212"/>
        <v>6.25E-2</v>
      </c>
      <c r="AC97" s="30">
        <f t="shared" si="1212"/>
        <v>6.25E-2</v>
      </c>
      <c r="AD97" s="30">
        <f t="shared" si="1212"/>
        <v>6.25E-2</v>
      </c>
      <c r="AE97" s="30">
        <f t="shared" si="1212"/>
        <v>6.25E-2</v>
      </c>
      <c r="AF97" s="30">
        <f t="shared" si="1212"/>
        <v>6.25E-2</v>
      </c>
      <c r="AG97" s="30">
        <f t="shared" si="1212"/>
        <v>6.25E-2</v>
      </c>
      <c r="AH97" s="30">
        <f t="shared" si="1212"/>
        <v>6.25E-2</v>
      </c>
      <c r="AI97" s="30">
        <f t="shared" si="1212"/>
        <v>6.25E-2</v>
      </c>
      <c r="AJ97" s="30">
        <f t="shared" si="1212"/>
        <v>6.25E-2</v>
      </c>
      <c r="AK97" s="30">
        <f t="shared" si="1212"/>
        <v>6.25E-2</v>
      </c>
      <c r="AL97" s="30">
        <f t="shared" si="1212"/>
        <v>6.25E-2</v>
      </c>
      <c r="AM97" s="30">
        <f t="shared" si="1212"/>
        <v>6.25E-2</v>
      </c>
      <c r="AN97" s="30">
        <f t="shared" si="1212"/>
        <v>6.25E-2</v>
      </c>
      <c r="AO97" s="30">
        <f t="shared" si="1212"/>
        <v>6.25E-2</v>
      </c>
      <c r="AP97" s="30">
        <f t="shared" si="1212"/>
        <v>6.25E-2</v>
      </c>
      <c r="AQ97" s="30">
        <f t="shared" si="1212"/>
        <v>6.25E-2</v>
      </c>
      <c r="AR97" s="30">
        <f t="shared" si="1212"/>
        <v>6.25E-2</v>
      </c>
      <c r="AS97" s="30">
        <f t="shared" si="1212"/>
        <v>6.25E-2</v>
      </c>
      <c r="AT97" s="30">
        <f t="shared" si="1212"/>
        <v>6.25E-2</v>
      </c>
      <c r="AU97" s="30">
        <f t="shared" si="1212"/>
        <v>6.25E-2</v>
      </c>
      <c r="AV97" s="30">
        <f t="shared" si="1212"/>
        <v>6.25E-2</v>
      </c>
      <c r="AW97" s="30">
        <f t="shared" si="1212"/>
        <v>6.25E-2</v>
      </c>
      <c r="AX97" s="30">
        <f t="shared" si="1212"/>
        <v>6.25E-2</v>
      </c>
      <c r="AY97" s="30">
        <f t="shared" si="1212"/>
        <v>6.25E-2</v>
      </c>
      <c r="AZ97" s="62">
        <f t="shared" si="1212"/>
        <v>6.25E-2</v>
      </c>
      <c r="BA97" s="30">
        <f t="shared" si="1212"/>
        <v>6.25E-2</v>
      </c>
      <c r="BB97" s="30">
        <f t="shared" si="1212"/>
        <v>6.25E-2</v>
      </c>
      <c r="BC97" s="30">
        <f t="shared" si="1212"/>
        <v>6.25E-2</v>
      </c>
      <c r="BD97" s="30">
        <f t="shared" si="1212"/>
        <v>6.25E-2</v>
      </c>
      <c r="BE97" s="30">
        <f t="shared" si="1212"/>
        <v>0.125</v>
      </c>
      <c r="BF97" s="30">
        <f t="shared" si="1212"/>
        <v>0.125</v>
      </c>
      <c r="BG97" s="30">
        <f t="shared" si="1212"/>
        <v>0.125</v>
      </c>
      <c r="BH97" s="30">
        <f t="shared" si="1212"/>
        <v>0.125</v>
      </c>
      <c r="BI97" s="30">
        <f t="shared" si="1212"/>
        <v>0.125</v>
      </c>
      <c r="BJ97" s="30">
        <f t="shared" si="1212"/>
        <v>0.125</v>
      </c>
      <c r="BK97" s="30">
        <f t="shared" si="1212"/>
        <v>0.125</v>
      </c>
      <c r="BL97" s="30">
        <f t="shared" si="1212"/>
        <v>0.125</v>
      </c>
      <c r="BM97" s="30">
        <f t="shared" si="1212"/>
        <v>0.125</v>
      </c>
      <c r="BN97" s="30">
        <f t="shared" si="1212"/>
        <v>0.125</v>
      </c>
      <c r="BO97" s="30">
        <f t="shared" si="1212"/>
        <v>0.125</v>
      </c>
      <c r="BP97" s="30">
        <f t="shared" si="1212"/>
        <v>0.125</v>
      </c>
      <c r="BQ97" s="30">
        <f t="shared" si="1212"/>
        <v>0.125</v>
      </c>
      <c r="BR97" s="30">
        <f t="shared" ref="BR97:DT97" si="1213">IF(BQ41="T",$C$97*0.15,$C$97*0.3)</f>
        <v>0.125</v>
      </c>
      <c r="BS97" s="30">
        <f t="shared" si="1213"/>
        <v>0.125</v>
      </c>
      <c r="BT97" s="30">
        <f t="shared" si="1213"/>
        <v>0.125</v>
      </c>
      <c r="BU97" s="30">
        <f t="shared" si="1213"/>
        <v>0.125</v>
      </c>
      <c r="BV97" s="30">
        <f t="shared" si="1213"/>
        <v>0.125</v>
      </c>
      <c r="BW97" s="30">
        <f t="shared" si="1213"/>
        <v>6.25E-2</v>
      </c>
      <c r="BX97" s="62">
        <f t="shared" si="1213"/>
        <v>6.25E-2</v>
      </c>
      <c r="BY97" s="30">
        <f t="shared" si="1213"/>
        <v>6.25E-2</v>
      </c>
      <c r="BZ97" s="30">
        <f t="shared" si="1213"/>
        <v>6.25E-2</v>
      </c>
      <c r="CA97" s="30">
        <f t="shared" si="1213"/>
        <v>6.25E-2</v>
      </c>
      <c r="CB97" s="30">
        <f t="shared" si="1213"/>
        <v>6.25E-2</v>
      </c>
      <c r="CC97" s="30">
        <f t="shared" si="1213"/>
        <v>0.125</v>
      </c>
      <c r="CD97" s="30">
        <f t="shared" si="1213"/>
        <v>0.125</v>
      </c>
      <c r="CE97" s="30">
        <f t="shared" si="1213"/>
        <v>0.125</v>
      </c>
      <c r="CF97" s="30">
        <f t="shared" si="1213"/>
        <v>0.125</v>
      </c>
      <c r="CG97" s="30">
        <f t="shared" si="1213"/>
        <v>0.125</v>
      </c>
      <c r="CH97" s="30">
        <f t="shared" si="1213"/>
        <v>0.125</v>
      </c>
      <c r="CI97" s="30">
        <f t="shared" si="1213"/>
        <v>0.125</v>
      </c>
      <c r="CJ97" s="30">
        <f t="shared" si="1213"/>
        <v>0.125</v>
      </c>
      <c r="CK97" s="30">
        <f t="shared" si="1213"/>
        <v>0.125</v>
      </c>
      <c r="CL97" s="30">
        <f t="shared" si="1213"/>
        <v>0.125</v>
      </c>
      <c r="CM97" s="30">
        <f t="shared" si="1213"/>
        <v>0.125</v>
      </c>
      <c r="CN97" s="30">
        <f t="shared" si="1213"/>
        <v>0.125</v>
      </c>
      <c r="CO97" s="30">
        <f t="shared" si="1213"/>
        <v>0.125</v>
      </c>
      <c r="CP97" s="30">
        <f t="shared" si="1213"/>
        <v>0.125</v>
      </c>
      <c r="CQ97" s="30">
        <f t="shared" si="1213"/>
        <v>0.125</v>
      </c>
      <c r="CR97" s="30">
        <f t="shared" si="1213"/>
        <v>0.125</v>
      </c>
      <c r="CS97" s="30">
        <f t="shared" si="1213"/>
        <v>0.125</v>
      </c>
      <c r="CT97" s="30">
        <f t="shared" si="1213"/>
        <v>6.25E-2</v>
      </c>
      <c r="CU97" s="30">
        <f t="shared" si="1213"/>
        <v>6.25E-2</v>
      </c>
      <c r="CV97" s="62">
        <f t="shared" si="1213"/>
        <v>6.25E-2</v>
      </c>
      <c r="CW97" s="30">
        <f t="shared" si="1213"/>
        <v>6.25E-2</v>
      </c>
      <c r="CX97" s="30">
        <f t="shared" si="1213"/>
        <v>6.25E-2</v>
      </c>
      <c r="CY97" s="30">
        <f t="shared" si="1213"/>
        <v>6.25E-2</v>
      </c>
      <c r="CZ97" s="30">
        <f t="shared" si="1213"/>
        <v>6.25E-2</v>
      </c>
      <c r="DA97" s="30">
        <f t="shared" si="1213"/>
        <v>0.125</v>
      </c>
      <c r="DB97" s="30">
        <f t="shared" si="1213"/>
        <v>0.125</v>
      </c>
      <c r="DC97" s="30">
        <f t="shared" si="1213"/>
        <v>0.125</v>
      </c>
      <c r="DD97" s="30">
        <f t="shared" si="1213"/>
        <v>0.125</v>
      </c>
      <c r="DE97" s="30">
        <f t="shared" si="1213"/>
        <v>0.125</v>
      </c>
      <c r="DF97" s="30">
        <f t="shared" si="1213"/>
        <v>0.125</v>
      </c>
      <c r="DG97" s="30">
        <f t="shared" si="1213"/>
        <v>0.125</v>
      </c>
      <c r="DH97" s="30">
        <f t="shared" si="1213"/>
        <v>0.125</v>
      </c>
      <c r="DI97" s="30">
        <f t="shared" si="1213"/>
        <v>0.125</v>
      </c>
      <c r="DJ97" s="30">
        <f t="shared" si="1213"/>
        <v>0.125</v>
      </c>
      <c r="DK97" s="30">
        <f t="shared" si="1213"/>
        <v>0.125</v>
      </c>
      <c r="DL97" s="30">
        <f t="shared" si="1213"/>
        <v>0.125</v>
      </c>
      <c r="DM97" s="30">
        <f t="shared" si="1213"/>
        <v>0.125</v>
      </c>
      <c r="DN97" s="30">
        <f t="shared" si="1213"/>
        <v>0.125</v>
      </c>
      <c r="DO97" s="30">
        <f t="shared" si="1213"/>
        <v>0.125</v>
      </c>
      <c r="DP97" s="30">
        <f t="shared" si="1213"/>
        <v>0.125</v>
      </c>
      <c r="DQ97" s="30">
        <f t="shared" si="1213"/>
        <v>0.125</v>
      </c>
      <c r="DR97" s="30">
        <f t="shared" si="1213"/>
        <v>6.25E-2</v>
      </c>
      <c r="DS97" s="30">
        <f t="shared" si="1213"/>
        <v>6.25E-2</v>
      </c>
      <c r="DT97" s="62">
        <f t="shared" si="1213"/>
        <v>6.25E-2</v>
      </c>
    </row>
    <row r="98" spans="2:124" x14ac:dyDescent="0.2">
      <c r="B98" s="3" t="s">
        <v>14</v>
      </c>
      <c r="D98" s="139">
        <f t="shared" ref="D98:AJ98" si="1214">IF(D41="B",0.5,0.25)</f>
        <v>0.25</v>
      </c>
      <c r="E98" s="134">
        <f t="shared" si="1214"/>
        <v>0.25</v>
      </c>
      <c r="F98" s="135">
        <f t="shared" si="1214"/>
        <v>0.25</v>
      </c>
      <c r="G98" s="135">
        <f t="shared" si="1214"/>
        <v>0.25</v>
      </c>
      <c r="H98" s="135">
        <f t="shared" si="1214"/>
        <v>0.5</v>
      </c>
      <c r="I98" s="135">
        <f t="shared" si="1214"/>
        <v>0.5</v>
      </c>
      <c r="J98" s="135">
        <f t="shared" si="1214"/>
        <v>0.5</v>
      </c>
      <c r="K98" s="135">
        <f t="shared" si="1214"/>
        <v>0.5</v>
      </c>
      <c r="L98" s="135">
        <f t="shared" si="1214"/>
        <v>0.5</v>
      </c>
      <c r="M98" s="135">
        <f t="shared" si="1214"/>
        <v>0.5</v>
      </c>
      <c r="N98" s="135">
        <f t="shared" si="1214"/>
        <v>0.5</v>
      </c>
      <c r="O98" s="25">
        <f t="shared" si="1214"/>
        <v>0.5</v>
      </c>
      <c r="P98" s="25">
        <f t="shared" si="1214"/>
        <v>0.5</v>
      </c>
      <c r="Q98" s="25">
        <f t="shared" si="1214"/>
        <v>0.5</v>
      </c>
      <c r="R98" s="25">
        <f t="shared" si="1214"/>
        <v>0.5</v>
      </c>
      <c r="S98" s="25">
        <f t="shared" si="1214"/>
        <v>0.5</v>
      </c>
      <c r="T98" s="25">
        <f t="shared" si="1214"/>
        <v>0.5</v>
      </c>
      <c r="U98" s="25">
        <f t="shared" si="1214"/>
        <v>0.5</v>
      </c>
      <c r="V98" s="25">
        <f t="shared" si="1214"/>
        <v>0.5</v>
      </c>
      <c r="W98" s="25">
        <f t="shared" si="1214"/>
        <v>0.5</v>
      </c>
      <c r="X98" s="25">
        <f t="shared" si="1214"/>
        <v>0.5</v>
      </c>
      <c r="Y98" s="25">
        <f t="shared" si="1214"/>
        <v>0.5</v>
      </c>
      <c r="Z98" s="25">
        <f t="shared" si="1214"/>
        <v>0.25</v>
      </c>
      <c r="AA98" s="25">
        <f t="shared" si="1214"/>
        <v>0.25</v>
      </c>
      <c r="AB98" s="57">
        <f t="shared" si="1214"/>
        <v>0.25</v>
      </c>
      <c r="AC98" s="19">
        <f t="shared" si="1214"/>
        <v>0.25</v>
      </c>
      <c r="AD98" s="25">
        <f t="shared" si="1214"/>
        <v>0.25</v>
      </c>
      <c r="AE98" s="25">
        <f t="shared" si="1214"/>
        <v>0.25</v>
      </c>
      <c r="AF98" s="25">
        <f t="shared" si="1214"/>
        <v>0.25</v>
      </c>
      <c r="AG98" s="25">
        <f t="shared" si="1214"/>
        <v>0.25</v>
      </c>
      <c r="AH98" s="25">
        <f t="shared" si="1214"/>
        <v>0.25</v>
      </c>
      <c r="AI98" s="25">
        <f t="shared" si="1214"/>
        <v>0.25</v>
      </c>
      <c r="AJ98" s="25">
        <f t="shared" si="1214"/>
        <v>0.25</v>
      </c>
      <c r="AK98" s="25">
        <f t="shared" ref="AK98:BP98" si="1215">IF(AK41="B",0.5,0.25)</f>
        <v>0.25</v>
      </c>
      <c r="AL98" s="25">
        <f t="shared" si="1215"/>
        <v>0.25</v>
      </c>
      <c r="AM98" s="25">
        <f t="shared" si="1215"/>
        <v>0.25</v>
      </c>
      <c r="AN98" s="25">
        <f t="shared" si="1215"/>
        <v>0.25</v>
      </c>
      <c r="AO98" s="25">
        <f t="shared" si="1215"/>
        <v>0.25</v>
      </c>
      <c r="AP98" s="25">
        <f t="shared" si="1215"/>
        <v>0.25</v>
      </c>
      <c r="AQ98" s="25">
        <f t="shared" si="1215"/>
        <v>0.25</v>
      </c>
      <c r="AR98" s="25">
        <f t="shared" si="1215"/>
        <v>0.25</v>
      </c>
      <c r="AS98" s="25">
        <f t="shared" si="1215"/>
        <v>0.25</v>
      </c>
      <c r="AT98" s="25">
        <f t="shared" si="1215"/>
        <v>0.25</v>
      </c>
      <c r="AU98" s="25">
        <f t="shared" si="1215"/>
        <v>0.25</v>
      </c>
      <c r="AV98" s="25">
        <f t="shared" si="1215"/>
        <v>0.25</v>
      </c>
      <c r="AW98" s="25">
        <f t="shared" si="1215"/>
        <v>0.25</v>
      </c>
      <c r="AX98" s="25">
        <f t="shared" si="1215"/>
        <v>0.25</v>
      </c>
      <c r="AY98" s="25">
        <f t="shared" si="1215"/>
        <v>0.25</v>
      </c>
      <c r="AZ98" s="57">
        <f t="shared" si="1215"/>
        <v>0.25</v>
      </c>
      <c r="BA98" s="19">
        <f t="shared" si="1215"/>
        <v>0.25</v>
      </c>
      <c r="BB98" s="25">
        <f t="shared" si="1215"/>
        <v>0.25</v>
      </c>
      <c r="BC98" s="25">
        <f t="shared" si="1215"/>
        <v>0.25</v>
      </c>
      <c r="BD98" s="25">
        <f t="shared" si="1215"/>
        <v>0.5</v>
      </c>
      <c r="BE98" s="25">
        <f t="shared" si="1215"/>
        <v>0.5</v>
      </c>
      <c r="BF98" s="25">
        <f t="shared" si="1215"/>
        <v>0.5</v>
      </c>
      <c r="BG98" s="25">
        <f t="shared" si="1215"/>
        <v>0.5</v>
      </c>
      <c r="BH98" s="25">
        <f t="shared" si="1215"/>
        <v>0.5</v>
      </c>
      <c r="BI98" s="25">
        <f t="shared" si="1215"/>
        <v>0.5</v>
      </c>
      <c r="BJ98" s="25">
        <f t="shared" si="1215"/>
        <v>0.5</v>
      </c>
      <c r="BK98" s="25">
        <f t="shared" si="1215"/>
        <v>0.5</v>
      </c>
      <c r="BL98" s="25">
        <f t="shared" si="1215"/>
        <v>0.5</v>
      </c>
      <c r="BM98" s="25">
        <f t="shared" si="1215"/>
        <v>0.5</v>
      </c>
      <c r="BN98" s="25">
        <f t="shared" si="1215"/>
        <v>0.5</v>
      </c>
      <c r="BO98" s="25">
        <f t="shared" si="1215"/>
        <v>0.5</v>
      </c>
      <c r="BP98" s="25">
        <f t="shared" si="1215"/>
        <v>0.5</v>
      </c>
      <c r="BQ98" s="25">
        <f t="shared" ref="BQ98:CV98" si="1216">IF(BQ41="B",0.5,0.25)</f>
        <v>0.5</v>
      </c>
      <c r="BR98" s="25">
        <f t="shared" si="1216"/>
        <v>0.5</v>
      </c>
      <c r="BS98" s="25">
        <f t="shared" si="1216"/>
        <v>0.5</v>
      </c>
      <c r="BT98" s="25">
        <f t="shared" si="1216"/>
        <v>0.5</v>
      </c>
      <c r="BU98" s="25">
        <f t="shared" si="1216"/>
        <v>0.5</v>
      </c>
      <c r="BV98" s="25">
        <f t="shared" si="1216"/>
        <v>0.25</v>
      </c>
      <c r="BW98" s="25">
        <f t="shared" si="1216"/>
        <v>0.25</v>
      </c>
      <c r="BX98" s="57">
        <f t="shared" si="1216"/>
        <v>0.25</v>
      </c>
      <c r="BY98" s="19">
        <f t="shared" si="1216"/>
        <v>0.25</v>
      </c>
      <c r="BZ98" s="25">
        <f t="shared" si="1216"/>
        <v>0.25</v>
      </c>
      <c r="CA98" s="25">
        <f t="shared" si="1216"/>
        <v>0.25</v>
      </c>
      <c r="CB98" s="25">
        <f t="shared" si="1216"/>
        <v>0.5</v>
      </c>
      <c r="CC98" s="25">
        <f t="shared" si="1216"/>
        <v>0.5</v>
      </c>
      <c r="CD98" s="25">
        <f t="shared" si="1216"/>
        <v>0.5</v>
      </c>
      <c r="CE98" s="25">
        <f t="shared" si="1216"/>
        <v>0.5</v>
      </c>
      <c r="CF98" s="25">
        <f t="shared" si="1216"/>
        <v>0.5</v>
      </c>
      <c r="CG98" s="25">
        <f t="shared" si="1216"/>
        <v>0.5</v>
      </c>
      <c r="CH98" s="25">
        <f t="shared" si="1216"/>
        <v>0.5</v>
      </c>
      <c r="CI98" s="25">
        <f t="shared" si="1216"/>
        <v>0.5</v>
      </c>
      <c r="CJ98" s="25">
        <f t="shared" si="1216"/>
        <v>0.5</v>
      </c>
      <c r="CK98" s="25">
        <f t="shared" si="1216"/>
        <v>0.5</v>
      </c>
      <c r="CL98" s="25">
        <f t="shared" si="1216"/>
        <v>0.5</v>
      </c>
      <c r="CM98" s="25">
        <f t="shared" si="1216"/>
        <v>0.5</v>
      </c>
      <c r="CN98" s="25">
        <f t="shared" si="1216"/>
        <v>0.5</v>
      </c>
      <c r="CO98" s="25">
        <f t="shared" si="1216"/>
        <v>0.5</v>
      </c>
      <c r="CP98" s="25">
        <f t="shared" si="1216"/>
        <v>0.5</v>
      </c>
      <c r="CQ98" s="25">
        <f t="shared" si="1216"/>
        <v>0.5</v>
      </c>
      <c r="CR98" s="25">
        <f t="shared" si="1216"/>
        <v>0.5</v>
      </c>
      <c r="CS98" s="25">
        <f t="shared" si="1216"/>
        <v>0.25</v>
      </c>
      <c r="CT98" s="25">
        <f t="shared" si="1216"/>
        <v>0.25</v>
      </c>
      <c r="CU98" s="25">
        <f t="shared" si="1216"/>
        <v>0.25</v>
      </c>
      <c r="CV98" s="57">
        <f t="shared" si="1216"/>
        <v>0.25</v>
      </c>
      <c r="CW98" s="19">
        <f t="shared" ref="CW98:DT98" si="1217">IF(CW41="B",0.5,0.25)</f>
        <v>0.25</v>
      </c>
      <c r="CX98" s="25">
        <f t="shared" si="1217"/>
        <v>0.25</v>
      </c>
      <c r="CY98" s="25">
        <f t="shared" si="1217"/>
        <v>0.25</v>
      </c>
      <c r="CZ98" s="25">
        <f t="shared" si="1217"/>
        <v>0.5</v>
      </c>
      <c r="DA98" s="25">
        <f t="shared" si="1217"/>
        <v>0.5</v>
      </c>
      <c r="DB98" s="25">
        <f t="shared" si="1217"/>
        <v>0.5</v>
      </c>
      <c r="DC98" s="25">
        <f t="shared" si="1217"/>
        <v>0.5</v>
      </c>
      <c r="DD98" s="25">
        <f t="shared" si="1217"/>
        <v>0.5</v>
      </c>
      <c r="DE98" s="25">
        <f t="shared" si="1217"/>
        <v>0.5</v>
      </c>
      <c r="DF98" s="25">
        <f t="shared" si="1217"/>
        <v>0.5</v>
      </c>
      <c r="DG98" s="25">
        <f t="shared" si="1217"/>
        <v>0.5</v>
      </c>
      <c r="DH98" s="25">
        <f t="shared" si="1217"/>
        <v>0.5</v>
      </c>
      <c r="DI98" s="25">
        <f t="shared" si="1217"/>
        <v>0.5</v>
      </c>
      <c r="DJ98" s="25">
        <f t="shared" si="1217"/>
        <v>0.5</v>
      </c>
      <c r="DK98" s="25">
        <f t="shared" si="1217"/>
        <v>0.5</v>
      </c>
      <c r="DL98" s="25">
        <f t="shared" si="1217"/>
        <v>0.5</v>
      </c>
      <c r="DM98" s="25">
        <f t="shared" si="1217"/>
        <v>0.5</v>
      </c>
      <c r="DN98" s="25">
        <f t="shared" si="1217"/>
        <v>0.5</v>
      </c>
      <c r="DO98" s="25">
        <f t="shared" si="1217"/>
        <v>0.5</v>
      </c>
      <c r="DP98" s="25">
        <f t="shared" si="1217"/>
        <v>0.5</v>
      </c>
      <c r="DQ98" s="25">
        <f t="shared" si="1217"/>
        <v>0.25</v>
      </c>
      <c r="DR98" s="25">
        <f t="shared" si="1217"/>
        <v>0.25</v>
      </c>
      <c r="DS98" s="25">
        <f t="shared" si="1217"/>
        <v>0.25</v>
      </c>
      <c r="DT98" s="57">
        <f t="shared" si="1217"/>
        <v>0.25</v>
      </c>
    </row>
    <row r="99" spans="2:124" x14ac:dyDescent="0.2">
      <c r="B99" s="3" t="s">
        <v>15</v>
      </c>
      <c r="D99" s="139">
        <v>1</v>
      </c>
      <c r="E99" s="30">
        <v>1.06</v>
      </c>
      <c r="F99" s="31">
        <v>1.06</v>
      </c>
      <c r="G99" s="31">
        <v>1.06</v>
      </c>
      <c r="H99" s="31">
        <v>1.06</v>
      </c>
      <c r="I99" s="31">
        <v>1.06</v>
      </c>
      <c r="J99" s="31">
        <v>1.06</v>
      </c>
      <c r="K99" s="31">
        <v>1.06</v>
      </c>
      <c r="L99" s="31">
        <v>1.06</v>
      </c>
      <c r="M99" s="31">
        <v>1.06</v>
      </c>
      <c r="N99" s="31">
        <v>1.06</v>
      </c>
      <c r="O99" s="31">
        <v>1.06</v>
      </c>
      <c r="P99" s="31">
        <v>1.06</v>
      </c>
      <c r="Q99" s="31">
        <v>1.06</v>
      </c>
      <c r="R99" s="31">
        <v>1.06</v>
      </c>
      <c r="S99" s="31">
        <v>1.06</v>
      </c>
      <c r="T99" s="31">
        <v>1.06</v>
      </c>
      <c r="U99" s="31">
        <v>1.06</v>
      </c>
      <c r="V99" s="31">
        <v>1.06</v>
      </c>
      <c r="W99" s="31">
        <v>1.06</v>
      </c>
      <c r="X99" s="31">
        <v>1.06</v>
      </c>
      <c r="Y99" s="31">
        <v>1.06</v>
      </c>
      <c r="Z99" s="31">
        <v>1.06</v>
      </c>
      <c r="AA99" s="31">
        <v>1.06</v>
      </c>
      <c r="AB99" s="62">
        <v>1.06</v>
      </c>
      <c r="AC99" s="30">
        <v>1.06</v>
      </c>
      <c r="AD99" s="31">
        <v>1.06</v>
      </c>
      <c r="AE99" s="31">
        <v>1.06</v>
      </c>
      <c r="AF99" s="31">
        <v>1.06</v>
      </c>
      <c r="AG99" s="31">
        <v>1.06</v>
      </c>
      <c r="AH99" s="31">
        <v>1.06</v>
      </c>
      <c r="AI99" s="31">
        <v>1.06</v>
      </c>
      <c r="AJ99" s="31">
        <v>1.06</v>
      </c>
      <c r="AK99" s="31">
        <v>1.06</v>
      </c>
      <c r="AL99" s="31">
        <v>1.06</v>
      </c>
      <c r="AM99" s="31">
        <v>1.06</v>
      </c>
      <c r="AN99" s="31">
        <v>1.06</v>
      </c>
      <c r="AO99" s="31">
        <v>1.06</v>
      </c>
      <c r="AP99" s="31">
        <v>1.06</v>
      </c>
      <c r="AQ99" s="31">
        <v>1.06</v>
      </c>
      <c r="AR99" s="31">
        <v>1.06</v>
      </c>
      <c r="AS99" s="31">
        <v>1.06</v>
      </c>
      <c r="AT99" s="31">
        <v>1.06</v>
      </c>
      <c r="AU99" s="31">
        <v>1.06</v>
      </c>
      <c r="AV99" s="31">
        <v>1.06</v>
      </c>
      <c r="AW99" s="31">
        <v>1.06</v>
      </c>
      <c r="AX99" s="31">
        <v>1.06</v>
      </c>
      <c r="AY99" s="31">
        <v>1.06</v>
      </c>
      <c r="AZ99" s="62">
        <v>1.06</v>
      </c>
      <c r="BA99" s="30">
        <v>1.06</v>
      </c>
      <c r="BB99" s="31">
        <v>1.06</v>
      </c>
      <c r="BC99" s="31">
        <v>1.06</v>
      </c>
      <c r="BD99" s="31">
        <v>1.06</v>
      </c>
      <c r="BE99" s="31">
        <v>1.06</v>
      </c>
      <c r="BF99" s="31">
        <v>1.06</v>
      </c>
      <c r="BG99" s="31">
        <v>1.06</v>
      </c>
      <c r="BH99" s="31">
        <v>1.06</v>
      </c>
      <c r="BI99" s="31">
        <v>1.06</v>
      </c>
      <c r="BJ99" s="31">
        <v>1.06</v>
      </c>
      <c r="BK99" s="31">
        <v>1.06</v>
      </c>
      <c r="BL99" s="31">
        <v>1.06</v>
      </c>
      <c r="BM99" s="31">
        <v>1.06</v>
      </c>
      <c r="BN99" s="31">
        <v>1.06</v>
      </c>
      <c r="BO99" s="31">
        <v>1.06</v>
      </c>
      <c r="BP99" s="31">
        <v>1.06</v>
      </c>
      <c r="BQ99" s="31">
        <v>1.06</v>
      </c>
      <c r="BR99" s="31">
        <v>1.06</v>
      </c>
      <c r="BS99" s="31">
        <v>1.06</v>
      </c>
      <c r="BT99" s="31">
        <v>1.06</v>
      </c>
      <c r="BU99" s="31">
        <v>1.06</v>
      </c>
      <c r="BV99" s="31">
        <v>1.06</v>
      </c>
      <c r="BW99" s="31">
        <v>1.06</v>
      </c>
      <c r="BX99" s="62">
        <v>1.06</v>
      </c>
      <c r="BY99" s="30">
        <v>1.06</v>
      </c>
      <c r="BZ99" s="31">
        <v>1.06</v>
      </c>
      <c r="CA99" s="31">
        <v>1.06</v>
      </c>
      <c r="CB99" s="31">
        <v>1.06</v>
      </c>
      <c r="CC99" s="31">
        <v>1.06</v>
      </c>
      <c r="CD99" s="31">
        <v>1.06</v>
      </c>
      <c r="CE99" s="31">
        <v>1.06</v>
      </c>
      <c r="CF99" s="31">
        <v>1.06</v>
      </c>
      <c r="CG99" s="31">
        <v>1.06</v>
      </c>
      <c r="CH99" s="31">
        <v>1.06</v>
      </c>
      <c r="CI99" s="31">
        <v>1.06</v>
      </c>
      <c r="CJ99" s="31">
        <v>1.06</v>
      </c>
      <c r="CK99" s="31">
        <v>1.06</v>
      </c>
      <c r="CL99" s="31">
        <v>1.06</v>
      </c>
      <c r="CM99" s="31">
        <v>1.06</v>
      </c>
      <c r="CN99" s="31">
        <v>1.06</v>
      </c>
      <c r="CO99" s="31">
        <v>1.06</v>
      </c>
      <c r="CP99" s="31">
        <v>1.06</v>
      </c>
      <c r="CQ99" s="31">
        <v>1.06</v>
      </c>
      <c r="CR99" s="31">
        <v>1.06</v>
      </c>
      <c r="CS99" s="31">
        <v>1.06</v>
      </c>
      <c r="CT99" s="31">
        <v>1.06</v>
      </c>
      <c r="CU99" s="31">
        <v>1.06</v>
      </c>
      <c r="CV99" s="62">
        <v>1.06</v>
      </c>
      <c r="CW99" s="30">
        <v>1.06</v>
      </c>
      <c r="CX99" s="31">
        <v>1.06</v>
      </c>
      <c r="CY99" s="31">
        <v>1.06</v>
      </c>
      <c r="CZ99" s="31">
        <v>1.06</v>
      </c>
      <c r="DA99" s="31">
        <v>1.06</v>
      </c>
      <c r="DB99" s="31">
        <v>1.06</v>
      </c>
      <c r="DC99" s="31">
        <v>1.06</v>
      </c>
      <c r="DD99" s="31">
        <v>1.06</v>
      </c>
      <c r="DE99" s="31">
        <v>1.06</v>
      </c>
      <c r="DF99" s="31">
        <v>1.06</v>
      </c>
      <c r="DG99" s="31">
        <v>1.06</v>
      </c>
      <c r="DH99" s="31">
        <v>1.06</v>
      </c>
      <c r="DI99" s="31">
        <v>1.06</v>
      </c>
      <c r="DJ99" s="31">
        <v>1.06</v>
      </c>
      <c r="DK99" s="31">
        <v>1.06</v>
      </c>
      <c r="DL99" s="31">
        <v>1.06</v>
      </c>
      <c r="DM99" s="31">
        <v>1.06</v>
      </c>
      <c r="DN99" s="31">
        <v>1.06</v>
      </c>
      <c r="DO99" s="31">
        <v>1.06</v>
      </c>
      <c r="DP99" s="31">
        <v>1.06</v>
      </c>
      <c r="DQ99" s="31">
        <v>1.06</v>
      </c>
      <c r="DR99" s="31">
        <v>1.06</v>
      </c>
      <c r="DS99" s="31">
        <v>1.06</v>
      </c>
      <c r="DT99" s="62">
        <v>1.06</v>
      </c>
    </row>
    <row r="100" spans="2:124" x14ac:dyDescent="0.2">
      <c r="B100" s="3" t="s">
        <v>64</v>
      </c>
      <c r="D100" s="141">
        <f>D96+(C97*D99)+D98</f>
        <v>2.6666666666666665</v>
      </c>
      <c r="E100" s="19">
        <f t="shared" ref="E100:L100" si="1218">E96+(E97*E99)+E98</f>
        <v>3.3995833333333332</v>
      </c>
      <c r="F100" s="19">
        <f t="shared" si="1218"/>
        <v>3.7158333333333333</v>
      </c>
      <c r="G100" s="19">
        <f t="shared" si="1218"/>
        <v>4.0320833333333335</v>
      </c>
      <c r="H100" s="19">
        <f t="shared" si="1218"/>
        <v>4.5983333333333336</v>
      </c>
      <c r="I100" s="19">
        <f t="shared" si="1218"/>
        <v>5.2308333333333339</v>
      </c>
      <c r="J100" s="19">
        <f t="shared" si="1218"/>
        <v>5.8633333333333342</v>
      </c>
      <c r="K100" s="19">
        <f t="shared" si="1218"/>
        <v>9.4958333333333336</v>
      </c>
      <c r="L100" s="19">
        <f t="shared" si="1218"/>
        <v>0.63250000000000006</v>
      </c>
      <c r="M100" s="19">
        <f t="shared" ref="M100:BQ100" si="1219">M96+(M97*M99)+M98</f>
        <v>1.2650000000000001</v>
      </c>
      <c r="N100" s="19">
        <f t="shared" si="1219"/>
        <v>1.8975000000000002</v>
      </c>
      <c r="O100" s="19">
        <f t="shared" si="1219"/>
        <v>2.5300000000000002</v>
      </c>
      <c r="P100" s="19">
        <f t="shared" si="1219"/>
        <v>3.1625000000000001</v>
      </c>
      <c r="Q100" s="19">
        <f t="shared" si="1219"/>
        <v>3.7949999999999999</v>
      </c>
      <c r="R100" s="19">
        <f t="shared" si="1219"/>
        <v>4.4275000000000002</v>
      </c>
      <c r="S100" s="19">
        <f t="shared" si="1219"/>
        <v>5.0600000000000005</v>
      </c>
      <c r="T100" s="19">
        <f t="shared" si="1219"/>
        <v>8.6925000000000008</v>
      </c>
      <c r="U100" s="19">
        <f t="shared" si="1219"/>
        <v>0.63250000000000006</v>
      </c>
      <c r="V100" s="19">
        <f t="shared" si="1219"/>
        <v>1.2650000000000001</v>
      </c>
      <c r="W100" s="19">
        <f t="shared" si="1219"/>
        <v>1.8975000000000002</v>
      </c>
      <c r="X100" s="19">
        <f t="shared" si="1219"/>
        <v>2.5300000000000002</v>
      </c>
      <c r="Y100" s="19">
        <f t="shared" si="1219"/>
        <v>3.1625000000000001</v>
      </c>
      <c r="Z100" s="19">
        <f t="shared" si="1219"/>
        <v>3.5449999999999999</v>
      </c>
      <c r="AA100" s="19">
        <f t="shared" si="1219"/>
        <v>3.8612500000000001</v>
      </c>
      <c r="AB100" s="57">
        <f t="shared" si="1219"/>
        <v>4.1775000000000002</v>
      </c>
      <c r="AC100" s="19">
        <f t="shared" si="1219"/>
        <v>4.4937500000000004</v>
      </c>
      <c r="AD100" s="19">
        <f t="shared" si="1219"/>
        <v>4.8100000000000005</v>
      </c>
      <c r="AE100" s="19">
        <f t="shared" si="1219"/>
        <v>5.1262500000000006</v>
      </c>
      <c r="AF100" s="19">
        <f t="shared" si="1219"/>
        <v>5.4425000000000008</v>
      </c>
      <c r="AG100" s="19">
        <f t="shared" si="1219"/>
        <v>5.7587500000000009</v>
      </c>
      <c r="AH100" s="19">
        <f t="shared" si="1219"/>
        <v>6.0750000000000011</v>
      </c>
      <c r="AI100" s="19">
        <f t="shared" si="1219"/>
        <v>6.3912500000000012</v>
      </c>
      <c r="AJ100" s="19">
        <f t="shared" si="1219"/>
        <v>6.7075000000000014</v>
      </c>
      <c r="AK100" s="19">
        <f t="shared" si="1219"/>
        <v>7.0237500000000015</v>
      </c>
      <c r="AL100" s="19">
        <f t="shared" si="1219"/>
        <v>7.3400000000000016</v>
      </c>
      <c r="AM100" s="19">
        <f t="shared" si="1219"/>
        <v>7.6562500000000018</v>
      </c>
      <c r="AN100" s="19">
        <f t="shared" si="1219"/>
        <v>7.9725000000000019</v>
      </c>
      <c r="AO100" s="19">
        <f t="shared" si="1219"/>
        <v>8.2887500000000021</v>
      </c>
      <c r="AP100" s="19">
        <f t="shared" si="1219"/>
        <v>8.6050000000000022</v>
      </c>
      <c r="AQ100" s="19">
        <f t="shared" si="1219"/>
        <v>8.9212500000000023</v>
      </c>
      <c r="AR100" s="19">
        <f t="shared" si="1219"/>
        <v>9.2375000000000025</v>
      </c>
      <c r="AS100" s="19">
        <f t="shared" si="1219"/>
        <v>9.5537500000000026</v>
      </c>
      <c r="AT100" s="19">
        <f t="shared" si="1219"/>
        <v>9.8700000000000028</v>
      </c>
      <c r="AU100" s="19">
        <f t="shared" si="1219"/>
        <v>10.186250000000003</v>
      </c>
      <c r="AV100" s="19">
        <f t="shared" si="1219"/>
        <v>10.502500000000003</v>
      </c>
      <c r="AW100" s="19">
        <f t="shared" si="1219"/>
        <v>10.818750000000003</v>
      </c>
      <c r="AX100" s="19">
        <f t="shared" si="1219"/>
        <v>11.135000000000003</v>
      </c>
      <c r="AY100" s="19">
        <f t="shared" si="1219"/>
        <v>11.451250000000003</v>
      </c>
      <c r="AZ100" s="57">
        <f t="shared" si="1219"/>
        <v>11.767500000000004</v>
      </c>
      <c r="BA100" s="19">
        <f t="shared" si="1219"/>
        <v>12.083750000000004</v>
      </c>
      <c r="BB100" s="19">
        <f t="shared" si="1219"/>
        <v>12.400000000000004</v>
      </c>
      <c r="BC100" s="19">
        <f t="shared" si="1219"/>
        <v>12.716250000000004</v>
      </c>
      <c r="BD100" s="19">
        <f t="shared" si="1219"/>
        <v>13.282500000000004</v>
      </c>
      <c r="BE100" s="19">
        <f t="shared" si="1219"/>
        <v>13.915000000000004</v>
      </c>
      <c r="BF100" s="19">
        <f t="shared" si="1219"/>
        <v>0.63250000000000006</v>
      </c>
      <c r="BG100" s="19">
        <f t="shared" si="1219"/>
        <v>1.2650000000000001</v>
      </c>
      <c r="BH100" s="19">
        <f t="shared" si="1219"/>
        <v>1.8975000000000002</v>
      </c>
      <c r="BI100" s="19">
        <f t="shared" si="1219"/>
        <v>5.53</v>
      </c>
      <c r="BJ100" s="19">
        <f t="shared" si="1219"/>
        <v>6.1625000000000005</v>
      </c>
      <c r="BK100" s="19">
        <f t="shared" si="1219"/>
        <v>6.7950000000000008</v>
      </c>
      <c r="BL100" s="19">
        <f t="shared" si="1219"/>
        <v>7.4275000000000011</v>
      </c>
      <c r="BM100" s="19">
        <f t="shared" si="1219"/>
        <v>8.0600000000000023</v>
      </c>
      <c r="BN100" s="19">
        <f t="shared" si="1219"/>
        <v>8.6925000000000026</v>
      </c>
      <c r="BO100" s="19">
        <f t="shared" si="1219"/>
        <v>9.3250000000000028</v>
      </c>
      <c r="BP100" s="19">
        <f t="shared" si="1219"/>
        <v>9.9575000000000031</v>
      </c>
      <c r="BQ100" s="19">
        <f t="shared" si="1219"/>
        <v>10.590000000000003</v>
      </c>
      <c r="BR100" s="19">
        <f t="shared" ref="BR100:DT100" si="1220">BR96+(BR97*BR99)+BR98</f>
        <v>11.222500000000004</v>
      </c>
      <c r="BS100" s="19">
        <f t="shared" si="1220"/>
        <v>0.63250000000000006</v>
      </c>
      <c r="BT100" s="19">
        <f t="shared" si="1220"/>
        <v>1.2650000000000001</v>
      </c>
      <c r="BU100" s="19">
        <f t="shared" si="1220"/>
        <v>1.8975000000000002</v>
      </c>
      <c r="BV100" s="19">
        <f t="shared" si="1220"/>
        <v>2.2800000000000002</v>
      </c>
      <c r="BW100" s="19">
        <f t="shared" si="1220"/>
        <v>2.5962500000000004</v>
      </c>
      <c r="BX100" s="57">
        <f t="shared" si="1220"/>
        <v>2.9125000000000005</v>
      </c>
      <c r="BY100" s="19">
        <f t="shared" si="1220"/>
        <v>3.2287500000000007</v>
      </c>
      <c r="BZ100" s="19">
        <f t="shared" si="1220"/>
        <v>3.5450000000000008</v>
      </c>
      <c r="CA100" s="19">
        <f t="shared" si="1220"/>
        <v>3.861250000000001</v>
      </c>
      <c r="CB100" s="19">
        <f t="shared" si="1220"/>
        <v>4.4275000000000011</v>
      </c>
      <c r="CC100" s="19">
        <f t="shared" si="1220"/>
        <v>5.0600000000000014</v>
      </c>
      <c r="CD100" s="19">
        <f t="shared" si="1220"/>
        <v>8.6925000000000026</v>
      </c>
      <c r="CE100" s="19">
        <f t="shared" si="1220"/>
        <v>0.63250000000000006</v>
      </c>
      <c r="CF100" s="19">
        <f t="shared" si="1220"/>
        <v>1.2650000000000001</v>
      </c>
      <c r="CG100" s="19">
        <f t="shared" si="1220"/>
        <v>1.8975000000000002</v>
      </c>
      <c r="CH100" s="19">
        <f t="shared" si="1220"/>
        <v>2.5300000000000002</v>
      </c>
      <c r="CI100" s="19">
        <f t="shared" si="1220"/>
        <v>3.1625000000000001</v>
      </c>
      <c r="CJ100" s="19">
        <f t="shared" si="1220"/>
        <v>3.7949999999999999</v>
      </c>
      <c r="CK100" s="19">
        <f t="shared" si="1220"/>
        <v>4.4275000000000002</v>
      </c>
      <c r="CL100" s="19">
        <f t="shared" si="1220"/>
        <v>5.0600000000000005</v>
      </c>
      <c r="CM100" s="19">
        <f t="shared" si="1220"/>
        <v>5.6925000000000008</v>
      </c>
      <c r="CN100" s="19">
        <f t="shared" si="1220"/>
        <v>6.3250000000000011</v>
      </c>
      <c r="CO100" s="19">
        <f t="shared" si="1220"/>
        <v>6.9575000000000014</v>
      </c>
      <c r="CP100" s="19">
        <f t="shared" si="1220"/>
        <v>7.5900000000000016</v>
      </c>
      <c r="CQ100" s="19">
        <f t="shared" si="1220"/>
        <v>11.222500000000002</v>
      </c>
      <c r="CR100" s="19">
        <f t="shared" si="1220"/>
        <v>0.63250000000000006</v>
      </c>
      <c r="CS100" s="19">
        <f t="shared" si="1220"/>
        <v>1.0150000000000001</v>
      </c>
      <c r="CT100" s="19">
        <f t="shared" si="1220"/>
        <v>1.33125</v>
      </c>
      <c r="CU100" s="19">
        <f t="shared" si="1220"/>
        <v>1.6475</v>
      </c>
      <c r="CV100" s="57">
        <f t="shared" si="1220"/>
        <v>1.9637499999999999</v>
      </c>
      <c r="CW100" s="19">
        <f t="shared" si="1220"/>
        <v>2.2799999999999998</v>
      </c>
      <c r="CX100" s="19">
        <f t="shared" si="1220"/>
        <v>2.5962499999999999</v>
      </c>
      <c r="CY100" s="19">
        <f t="shared" si="1220"/>
        <v>2.9125000000000001</v>
      </c>
      <c r="CZ100" s="19">
        <f t="shared" si="1220"/>
        <v>3.4787500000000002</v>
      </c>
      <c r="DA100" s="19">
        <f t="shared" si="1220"/>
        <v>4.1112500000000001</v>
      </c>
      <c r="DB100" s="19">
        <f t="shared" si="1220"/>
        <v>7.7437500000000004</v>
      </c>
      <c r="DC100" s="19">
        <f t="shared" si="1220"/>
        <v>11.376250000000001</v>
      </c>
      <c r="DD100" s="19">
        <f t="shared" si="1220"/>
        <v>0.63250000000000006</v>
      </c>
      <c r="DE100" s="19">
        <f t="shared" si="1220"/>
        <v>1.2650000000000001</v>
      </c>
      <c r="DF100" s="19">
        <f t="shared" si="1220"/>
        <v>1.8975000000000002</v>
      </c>
      <c r="DG100" s="19">
        <f t="shared" si="1220"/>
        <v>2.5300000000000002</v>
      </c>
      <c r="DH100" s="19">
        <f t="shared" si="1220"/>
        <v>3.1625000000000001</v>
      </c>
      <c r="DI100" s="19">
        <f t="shared" si="1220"/>
        <v>3.7949999999999999</v>
      </c>
      <c r="DJ100" s="19">
        <f t="shared" si="1220"/>
        <v>4.4275000000000002</v>
      </c>
      <c r="DK100" s="19">
        <f t="shared" si="1220"/>
        <v>5.0600000000000005</v>
      </c>
      <c r="DL100" s="19">
        <f t="shared" si="1220"/>
        <v>5.6925000000000008</v>
      </c>
      <c r="DM100" s="19">
        <f t="shared" si="1220"/>
        <v>6.3250000000000011</v>
      </c>
      <c r="DN100" s="19">
        <f t="shared" si="1220"/>
        <v>6.9575000000000014</v>
      </c>
      <c r="DO100" s="19">
        <f t="shared" si="1220"/>
        <v>10.590000000000002</v>
      </c>
      <c r="DP100" s="19">
        <f t="shared" si="1220"/>
        <v>0.63250000000000006</v>
      </c>
      <c r="DQ100" s="19">
        <f t="shared" si="1220"/>
        <v>1.0150000000000001</v>
      </c>
      <c r="DR100" s="19">
        <f t="shared" si="1220"/>
        <v>1.33125</v>
      </c>
      <c r="DS100" s="19">
        <f t="shared" si="1220"/>
        <v>1.6475</v>
      </c>
      <c r="DT100" s="57">
        <f t="shared" si="1220"/>
        <v>1.9637499999999999</v>
      </c>
    </row>
    <row r="101" spans="2:124" x14ac:dyDescent="0.2">
      <c r="B101" s="3" t="s">
        <v>0</v>
      </c>
      <c r="E101" s="45"/>
      <c r="F101" s="46"/>
      <c r="G101" s="46"/>
      <c r="H101" s="46"/>
      <c r="I101" s="46"/>
      <c r="J101" s="46" t="s">
        <v>36</v>
      </c>
      <c r="K101" s="46" t="s">
        <v>36</v>
      </c>
      <c r="L101" s="46" t="s">
        <v>36</v>
      </c>
      <c r="M101" s="46" t="s">
        <v>36</v>
      </c>
      <c r="N101" s="46"/>
      <c r="O101" s="46"/>
      <c r="P101" s="46"/>
      <c r="Q101" s="46"/>
      <c r="R101" s="46"/>
      <c r="S101" s="46" t="s">
        <v>36</v>
      </c>
      <c r="T101" s="46" t="s">
        <v>36</v>
      </c>
      <c r="U101" s="46" t="s">
        <v>36</v>
      </c>
      <c r="V101" s="46" t="s">
        <v>36</v>
      </c>
      <c r="W101" s="46"/>
      <c r="X101" s="46"/>
      <c r="Y101" s="46"/>
      <c r="Z101" s="46"/>
      <c r="AA101" s="46"/>
      <c r="AB101" s="70"/>
      <c r="AC101" s="45"/>
      <c r="AD101" s="46"/>
      <c r="AE101" s="46"/>
      <c r="AF101" s="46"/>
      <c r="AG101" s="52" t="s">
        <v>36</v>
      </c>
      <c r="AH101" s="52" t="s">
        <v>36</v>
      </c>
      <c r="AI101" s="52" t="s">
        <v>36</v>
      </c>
      <c r="AJ101" s="52" t="s">
        <v>36</v>
      </c>
      <c r="AK101" s="46"/>
      <c r="AL101" s="46"/>
      <c r="AM101" s="46"/>
      <c r="AN101" s="46"/>
      <c r="AO101" s="46"/>
      <c r="AP101" s="46"/>
      <c r="AQ101" s="46"/>
      <c r="AR101" s="46"/>
      <c r="AS101" s="46"/>
      <c r="AT101" s="52" t="s">
        <v>36</v>
      </c>
      <c r="AU101" s="52" t="s">
        <v>36</v>
      </c>
      <c r="AV101" s="52" t="s">
        <v>36</v>
      </c>
      <c r="AW101" s="46"/>
      <c r="AX101" s="46"/>
      <c r="AY101" s="46"/>
      <c r="AZ101" s="70"/>
      <c r="BA101" s="45"/>
      <c r="BB101" s="46"/>
      <c r="BC101" s="46"/>
      <c r="BD101" s="46"/>
      <c r="BE101" s="52" t="s">
        <v>36</v>
      </c>
      <c r="BF101" s="52" t="s">
        <v>36</v>
      </c>
      <c r="BG101" s="52" t="s">
        <v>36</v>
      </c>
      <c r="BH101" s="52" t="s">
        <v>36</v>
      </c>
      <c r="BI101" s="46"/>
      <c r="BJ101" s="46"/>
      <c r="BK101" s="46"/>
      <c r="BL101" s="46"/>
      <c r="BM101" s="46"/>
      <c r="BN101" s="46"/>
      <c r="BO101" s="46"/>
      <c r="BP101" s="46"/>
      <c r="BQ101" s="46"/>
      <c r="BR101" s="52" t="s">
        <v>36</v>
      </c>
      <c r="BS101" s="52" t="s">
        <v>36</v>
      </c>
      <c r="BT101" s="52" t="s">
        <v>36</v>
      </c>
      <c r="BU101" s="46"/>
      <c r="BV101" s="46"/>
      <c r="BW101" s="46"/>
      <c r="BX101" s="70"/>
      <c r="BY101" s="45"/>
      <c r="BZ101" s="46"/>
      <c r="CA101" s="46"/>
      <c r="CB101" s="46"/>
      <c r="CC101" s="52" t="s">
        <v>36</v>
      </c>
      <c r="CD101" s="52" t="s">
        <v>36</v>
      </c>
      <c r="CE101" s="52" t="s">
        <v>36</v>
      </c>
      <c r="CF101" s="52" t="s">
        <v>36</v>
      </c>
      <c r="CG101" s="46"/>
      <c r="CH101" s="46"/>
      <c r="CI101" s="46"/>
      <c r="CJ101" s="46"/>
      <c r="CK101" s="46"/>
      <c r="CL101" s="46"/>
      <c r="CM101" s="46"/>
      <c r="CN101" s="46"/>
      <c r="CO101" s="46"/>
      <c r="CP101" s="52" t="s">
        <v>36</v>
      </c>
      <c r="CQ101" s="52" t="s">
        <v>36</v>
      </c>
      <c r="CR101" s="52" t="s">
        <v>36</v>
      </c>
      <c r="CS101" s="46"/>
      <c r="CT101" s="46"/>
      <c r="CU101" s="46"/>
      <c r="CV101" s="70"/>
      <c r="CW101" s="45"/>
      <c r="CX101" s="46"/>
      <c r="CY101" s="46"/>
      <c r="CZ101" s="46"/>
      <c r="DA101" s="52" t="s">
        <v>36</v>
      </c>
      <c r="DB101" s="52" t="s">
        <v>36</v>
      </c>
      <c r="DC101" s="52" t="s">
        <v>36</v>
      </c>
      <c r="DD101" s="52" t="s">
        <v>36</v>
      </c>
      <c r="DE101" s="46"/>
      <c r="DF101" s="46"/>
      <c r="DG101" s="46"/>
      <c r="DH101" s="46"/>
      <c r="DI101" s="46"/>
      <c r="DJ101" s="46"/>
      <c r="DK101" s="46"/>
      <c r="DL101" s="46"/>
      <c r="DM101" s="46"/>
      <c r="DN101" s="52" t="s">
        <v>36</v>
      </c>
      <c r="DO101" s="52" t="s">
        <v>36</v>
      </c>
      <c r="DP101" s="52" t="s">
        <v>36</v>
      </c>
      <c r="DQ101" s="46"/>
      <c r="DR101" s="46"/>
      <c r="DS101" s="46"/>
      <c r="DT101" s="70"/>
    </row>
    <row r="102" spans="2:124" s="17" customFormat="1" ht="16" thickBot="1" x14ac:dyDescent="0.25">
      <c r="B102" s="21" t="s">
        <v>63</v>
      </c>
      <c r="C102" s="76"/>
      <c r="D102" s="154">
        <f>IF(D100&gt;=10,-10,IF(D101="M",IF(D100&gt;=8,-8,0),0))</f>
        <v>0</v>
      </c>
      <c r="E102" s="22">
        <f t="shared" ref="E102:AJ102" si="1221">IF(D41="B",IF(E101="K",IF(E100&gt;=10,-E100,IF(E100&gt;=8,-E100,0)),0),0)</f>
        <v>0</v>
      </c>
      <c r="F102" s="22">
        <f t="shared" si="1221"/>
        <v>0</v>
      </c>
      <c r="G102" s="22">
        <f t="shared" si="1221"/>
        <v>0</v>
      </c>
      <c r="H102" s="22">
        <f t="shared" si="1221"/>
        <v>0</v>
      </c>
      <c r="I102" s="22">
        <f t="shared" si="1221"/>
        <v>0</v>
      </c>
      <c r="J102" s="22">
        <f t="shared" si="1221"/>
        <v>0</v>
      </c>
      <c r="K102" s="22">
        <f t="shared" si="1221"/>
        <v>-9.4958333333333336</v>
      </c>
      <c r="L102" s="22">
        <f t="shared" si="1221"/>
        <v>0</v>
      </c>
      <c r="M102" s="22">
        <f t="shared" si="1221"/>
        <v>0</v>
      </c>
      <c r="N102" s="22">
        <f t="shared" si="1221"/>
        <v>0</v>
      </c>
      <c r="O102" s="22">
        <f t="shared" si="1221"/>
        <v>0</v>
      </c>
      <c r="P102" s="22">
        <f t="shared" si="1221"/>
        <v>0</v>
      </c>
      <c r="Q102" s="22">
        <f t="shared" si="1221"/>
        <v>0</v>
      </c>
      <c r="R102" s="22">
        <f t="shared" si="1221"/>
        <v>0</v>
      </c>
      <c r="S102" s="22">
        <f t="shared" si="1221"/>
        <v>0</v>
      </c>
      <c r="T102" s="22">
        <f t="shared" si="1221"/>
        <v>-8.6925000000000008</v>
      </c>
      <c r="U102" s="22">
        <f t="shared" si="1221"/>
        <v>0</v>
      </c>
      <c r="V102" s="22">
        <f t="shared" si="1221"/>
        <v>0</v>
      </c>
      <c r="W102" s="22">
        <f t="shared" si="1221"/>
        <v>0</v>
      </c>
      <c r="X102" s="22">
        <f t="shared" si="1221"/>
        <v>0</v>
      </c>
      <c r="Y102" s="22">
        <f t="shared" si="1221"/>
        <v>0</v>
      </c>
      <c r="Z102" s="22">
        <f t="shared" si="1221"/>
        <v>0</v>
      </c>
      <c r="AA102" s="22">
        <f t="shared" si="1221"/>
        <v>0</v>
      </c>
      <c r="AB102" s="58">
        <f t="shared" si="1221"/>
        <v>0</v>
      </c>
      <c r="AC102" s="22">
        <f t="shared" si="1221"/>
        <v>0</v>
      </c>
      <c r="AD102" s="22">
        <f t="shared" si="1221"/>
        <v>0</v>
      </c>
      <c r="AE102" s="22">
        <f t="shared" si="1221"/>
        <v>0</v>
      </c>
      <c r="AF102" s="22">
        <f t="shared" si="1221"/>
        <v>0</v>
      </c>
      <c r="AG102" s="22">
        <f t="shared" si="1221"/>
        <v>0</v>
      </c>
      <c r="AH102" s="22">
        <f t="shared" si="1221"/>
        <v>0</v>
      </c>
      <c r="AI102" s="22">
        <f t="shared" si="1221"/>
        <v>0</v>
      </c>
      <c r="AJ102" s="22">
        <f t="shared" si="1221"/>
        <v>0</v>
      </c>
      <c r="AK102" s="22">
        <f t="shared" ref="AK102:BP102" si="1222">IF(AJ41="B",IF(AK101="K",IF(AK100&gt;=10,-AK100,IF(AK100&gt;=8,-AK100,0)),0),0)</f>
        <v>0</v>
      </c>
      <c r="AL102" s="22">
        <f t="shared" si="1222"/>
        <v>0</v>
      </c>
      <c r="AM102" s="22">
        <f t="shared" si="1222"/>
        <v>0</v>
      </c>
      <c r="AN102" s="22">
        <f t="shared" si="1222"/>
        <v>0</v>
      </c>
      <c r="AO102" s="22">
        <f t="shared" si="1222"/>
        <v>0</v>
      </c>
      <c r="AP102" s="22">
        <f t="shared" si="1222"/>
        <v>0</v>
      </c>
      <c r="AQ102" s="22">
        <f t="shared" si="1222"/>
        <v>0</v>
      </c>
      <c r="AR102" s="22">
        <f t="shared" si="1222"/>
        <v>0</v>
      </c>
      <c r="AS102" s="22">
        <f t="shared" si="1222"/>
        <v>0</v>
      </c>
      <c r="AT102" s="22">
        <f t="shared" si="1222"/>
        <v>0</v>
      </c>
      <c r="AU102" s="22">
        <f t="shared" si="1222"/>
        <v>0</v>
      </c>
      <c r="AV102" s="22">
        <f t="shared" si="1222"/>
        <v>0</v>
      </c>
      <c r="AW102" s="22">
        <f t="shared" si="1222"/>
        <v>0</v>
      </c>
      <c r="AX102" s="22">
        <f t="shared" si="1222"/>
        <v>0</v>
      </c>
      <c r="AY102" s="22">
        <f t="shared" si="1222"/>
        <v>0</v>
      </c>
      <c r="AZ102" s="58">
        <f t="shared" si="1222"/>
        <v>0</v>
      </c>
      <c r="BA102" s="22">
        <f t="shared" si="1222"/>
        <v>0</v>
      </c>
      <c r="BB102" s="22">
        <f t="shared" si="1222"/>
        <v>0</v>
      </c>
      <c r="BC102" s="22">
        <f t="shared" si="1222"/>
        <v>0</v>
      </c>
      <c r="BD102" s="22">
        <f t="shared" si="1222"/>
        <v>0</v>
      </c>
      <c r="BE102" s="22">
        <f t="shared" si="1222"/>
        <v>-13.915000000000004</v>
      </c>
      <c r="BF102" s="22">
        <f t="shared" si="1222"/>
        <v>0</v>
      </c>
      <c r="BG102" s="22">
        <f t="shared" si="1222"/>
        <v>0</v>
      </c>
      <c r="BH102" s="22">
        <f t="shared" si="1222"/>
        <v>0</v>
      </c>
      <c r="BI102" s="22">
        <f t="shared" si="1222"/>
        <v>0</v>
      </c>
      <c r="BJ102" s="22">
        <f t="shared" si="1222"/>
        <v>0</v>
      </c>
      <c r="BK102" s="22">
        <f t="shared" si="1222"/>
        <v>0</v>
      </c>
      <c r="BL102" s="22">
        <f t="shared" si="1222"/>
        <v>0</v>
      </c>
      <c r="BM102" s="22">
        <f t="shared" si="1222"/>
        <v>0</v>
      </c>
      <c r="BN102" s="22">
        <f t="shared" si="1222"/>
        <v>0</v>
      </c>
      <c r="BO102" s="22">
        <f t="shared" si="1222"/>
        <v>0</v>
      </c>
      <c r="BP102" s="22">
        <f t="shared" si="1222"/>
        <v>0</v>
      </c>
      <c r="BQ102" s="22">
        <f t="shared" ref="BQ102:CV102" si="1223">IF(BP41="B",IF(BQ101="K",IF(BQ100&gt;=10,-BQ100,IF(BQ100&gt;=8,-BQ100,0)),0),0)</f>
        <v>0</v>
      </c>
      <c r="BR102" s="22">
        <f t="shared" si="1223"/>
        <v>-11.222500000000004</v>
      </c>
      <c r="BS102" s="22">
        <f t="shared" si="1223"/>
        <v>0</v>
      </c>
      <c r="BT102" s="22">
        <f t="shared" si="1223"/>
        <v>0</v>
      </c>
      <c r="BU102" s="22">
        <f t="shared" si="1223"/>
        <v>0</v>
      </c>
      <c r="BV102" s="22">
        <f t="shared" si="1223"/>
        <v>0</v>
      </c>
      <c r="BW102" s="22">
        <f t="shared" si="1223"/>
        <v>0</v>
      </c>
      <c r="BX102" s="58">
        <f t="shared" si="1223"/>
        <v>0</v>
      </c>
      <c r="BY102" s="22">
        <f t="shared" si="1223"/>
        <v>0</v>
      </c>
      <c r="BZ102" s="22">
        <f t="shared" si="1223"/>
        <v>0</v>
      </c>
      <c r="CA102" s="22">
        <f t="shared" si="1223"/>
        <v>0</v>
      </c>
      <c r="CB102" s="22">
        <f t="shared" si="1223"/>
        <v>0</v>
      </c>
      <c r="CC102" s="22">
        <f t="shared" si="1223"/>
        <v>0</v>
      </c>
      <c r="CD102" s="22">
        <f t="shared" si="1223"/>
        <v>-8.6925000000000026</v>
      </c>
      <c r="CE102" s="22">
        <f t="shared" si="1223"/>
        <v>0</v>
      </c>
      <c r="CF102" s="22">
        <f t="shared" si="1223"/>
        <v>0</v>
      </c>
      <c r="CG102" s="22">
        <f t="shared" si="1223"/>
        <v>0</v>
      </c>
      <c r="CH102" s="22">
        <f t="shared" si="1223"/>
        <v>0</v>
      </c>
      <c r="CI102" s="22">
        <f t="shared" si="1223"/>
        <v>0</v>
      </c>
      <c r="CJ102" s="22">
        <f t="shared" si="1223"/>
        <v>0</v>
      </c>
      <c r="CK102" s="22">
        <f t="shared" si="1223"/>
        <v>0</v>
      </c>
      <c r="CL102" s="22">
        <f t="shared" si="1223"/>
        <v>0</v>
      </c>
      <c r="CM102" s="22">
        <f t="shared" si="1223"/>
        <v>0</v>
      </c>
      <c r="CN102" s="22">
        <f t="shared" si="1223"/>
        <v>0</v>
      </c>
      <c r="CO102" s="22">
        <f t="shared" si="1223"/>
        <v>0</v>
      </c>
      <c r="CP102" s="22">
        <f t="shared" si="1223"/>
        <v>0</v>
      </c>
      <c r="CQ102" s="22">
        <f t="shared" si="1223"/>
        <v>-11.222500000000002</v>
      </c>
      <c r="CR102" s="22">
        <f t="shared" si="1223"/>
        <v>0</v>
      </c>
      <c r="CS102" s="22">
        <f t="shared" si="1223"/>
        <v>0</v>
      </c>
      <c r="CT102" s="22">
        <f t="shared" si="1223"/>
        <v>0</v>
      </c>
      <c r="CU102" s="22">
        <f t="shared" si="1223"/>
        <v>0</v>
      </c>
      <c r="CV102" s="58">
        <f t="shared" si="1223"/>
        <v>0</v>
      </c>
      <c r="CW102" s="22">
        <f t="shared" ref="CW102:DT102" si="1224">IF(CV41="B",IF(CW101="K",IF(CW100&gt;=10,-CW100,IF(CW100&gt;=8,-CW100,0)),0),0)</f>
        <v>0</v>
      </c>
      <c r="CX102" s="22">
        <f t="shared" si="1224"/>
        <v>0</v>
      </c>
      <c r="CY102" s="22">
        <f t="shared" si="1224"/>
        <v>0</v>
      </c>
      <c r="CZ102" s="22">
        <f t="shared" si="1224"/>
        <v>0</v>
      </c>
      <c r="DA102" s="22">
        <f t="shared" si="1224"/>
        <v>0</v>
      </c>
      <c r="DB102" s="22">
        <f t="shared" si="1224"/>
        <v>0</v>
      </c>
      <c r="DC102" s="22">
        <f t="shared" si="1224"/>
        <v>-11.376250000000001</v>
      </c>
      <c r="DD102" s="22">
        <f t="shared" si="1224"/>
        <v>0</v>
      </c>
      <c r="DE102" s="22">
        <f t="shared" si="1224"/>
        <v>0</v>
      </c>
      <c r="DF102" s="22">
        <f t="shared" si="1224"/>
        <v>0</v>
      </c>
      <c r="DG102" s="22">
        <f t="shared" si="1224"/>
        <v>0</v>
      </c>
      <c r="DH102" s="22">
        <f t="shared" si="1224"/>
        <v>0</v>
      </c>
      <c r="DI102" s="22">
        <f t="shared" si="1224"/>
        <v>0</v>
      </c>
      <c r="DJ102" s="22">
        <f t="shared" si="1224"/>
        <v>0</v>
      </c>
      <c r="DK102" s="22">
        <f t="shared" si="1224"/>
        <v>0</v>
      </c>
      <c r="DL102" s="22">
        <f t="shared" si="1224"/>
        <v>0</v>
      </c>
      <c r="DM102" s="22">
        <f t="shared" si="1224"/>
        <v>0</v>
      </c>
      <c r="DN102" s="22">
        <f t="shared" si="1224"/>
        <v>0</v>
      </c>
      <c r="DO102" s="22">
        <f t="shared" si="1224"/>
        <v>-10.590000000000002</v>
      </c>
      <c r="DP102" s="22">
        <f t="shared" si="1224"/>
        <v>0</v>
      </c>
      <c r="DQ102" s="22">
        <f t="shared" si="1224"/>
        <v>0</v>
      </c>
      <c r="DR102" s="22">
        <f t="shared" si="1224"/>
        <v>0</v>
      </c>
      <c r="DS102" s="22">
        <f t="shared" si="1224"/>
        <v>0</v>
      </c>
      <c r="DT102" s="58">
        <f t="shared" si="1224"/>
        <v>0</v>
      </c>
    </row>
    <row r="103" spans="2:124" x14ac:dyDescent="0.2">
      <c r="B103" s="5" t="s">
        <v>231</v>
      </c>
      <c r="D103" s="149">
        <f>IF(C41="B",IF(D100&gt;=10,0,D100+C97+D102),D100+C97)</f>
        <v>3.083333333333333</v>
      </c>
      <c r="E103" s="25">
        <f t="shared" ref="E103:AJ103" si="1225">IF(D41="B",IF(E101="K",IF(D104="TM",IF(C104="TM",IF(E100&lt;8,E100+3,E100+E102),E100+E102),E100+E102),E100),E100)</f>
        <v>3.3995833333333332</v>
      </c>
      <c r="F103" s="25">
        <f t="shared" si="1225"/>
        <v>3.7158333333333333</v>
      </c>
      <c r="G103" s="25">
        <f t="shared" si="1225"/>
        <v>4.0320833333333335</v>
      </c>
      <c r="H103" s="25">
        <f t="shared" si="1225"/>
        <v>4.5983333333333336</v>
      </c>
      <c r="I103" s="19">
        <f t="shared" si="1225"/>
        <v>5.2308333333333339</v>
      </c>
      <c r="J103" s="19">
        <f t="shared" si="1225"/>
        <v>8.8633333333333333</v>
      </c>
      <c r="K103" s="19">
        <f t="shared" si="1225"/>
        <v>0</v>
      </c>
      <c r="L103" s="19">
        <f t="shared" si="1225"/>
        <v>0.63250000000000006</v>
      </c>
      <c r="M103" s="19">
        <f t="shared" si="1225"/>
        <v>1.2650000000000001</v>
      </c>
      <c r="N103" s="19">
        <f t="shared" si="1225"/>
        <v>1.8975000000000002</v>
      </c>
      <c r="O103" s="19">
        <f t="shared" si="1225"/>
        <v>2.5300000000000002</v>
      </c>
      <c r="P103" s="25">
        <f t="shared" si="1225"/>
        <v>3.1625000000000001</v>
      </c>
      <c r="Q103" s="25">
        <f t="shared" si="1225"/>
        <v>3.7949999999999999</v>
      </c>
      <c r="R103" s="25">
        <f t="shared" si="1225"/>
        <v>4.4275000000000002</v>
      </c>
      <c r="S103" s="25">
        <f t="shared" si="1225"/>
        <v>8.06</v>
      </c>
      <c r="T103" s="25">
        <f t="shared" si="1225"/>
        <v>0</v>
      </c>
      <c r="U103" s="25">
        <f t="shared" si="1225"/>
        <v>0.63250000000000006</v>
      </c>
      <c r="V103" s="25">
        <f t="shared" si="1225"/>
        <v>1.2650000000000001</v>
      </c>
      <c r="W103" s="25">
        <f t="shared" si="1225"/>
        <v>1.8975000000000002</v>
      </c>
      <c r="X103" s="25">
        <f t="shared" si="1225"/>
        <v>2.5300000000000002</v>
      </c>
      <c r="Y103" s="25">
        <f t="shared" si="1225"/>
        <v>3.1625000000000001</v>
      </c>
      <c r="Z103" s="25">
        <f t="shared" si="1225"/>
        <v>3.5449999999999999</v>
      </c>
      <c r="AA103" s="25">
        <f t="shared" si="1225"/>
        <v>3.8612500000000001</v>
      </c>
      <c r="AB103" s="57">
        <f t="shared" si="1225"/>
        <v>4.1775000000000002</v>
      </c>
      <c r="AC103" s="19">
        <f t="shared" si="1225"/>
        <v>4.4937500000000004</v>
      </c>
      <c r="AD103" s="25">
        <f t="shared" si="1225"/>
        <v>4.8100000000000005</v>
      </c>
      <c r="AE103" s="25">
        <f t="shared" si="1225"/>
        <v>5.1262500000000006</v>
      </c>
      <c r="AF103" s="25">
        <f t="shared" si="1225"/>
        <v>5.4425000000000008</v>
      </c>
      <c r="AG103" s="25">
        <f t="shared" si="1225"/>
        <v>5.7587500000000009</v>
      </c>
      <c r="AH103" s="25">
        <f t="shared" si="1225"/>
        <v>6.0750000000000011</v>
      </c>
      <c r="AI103" s="25">
        <f t="shared" si="1225"/>
        <v>6.3912500000000012</v>
      </c>
      <c r="AJ103" s="25">
        <f t="shared" si="1225"/>
        <v>6.7075000000000014</v>
      </c>
      <c r="AK103" s="25">
        <f t="shared" ref="AK103:BP103" si="1226">IF(AJ41="B",IF(AK101="K",IF(AJ104="TM",IF(AI104="TM",IF(AK100&lt;8,AK100+3,AK100+AK102),AK100+AK102),AK100+AK102),AK100),AK100)</f>
        <v>7.0237500000000015</v>
      </c>
      <c r="AL103" s="25">
        <f t="shared" si="1226"/>
        <v>7.3400000000000016</v>
      </c>
      <c r="AM103" s="25">
        <f t="shared" si="1226"/>
        <v>7.6562500000000018</v>
      </c>
      <c r="AN103" s="25">
        <f t="shared" si="1226"/>
        <v>7.9725000000000019</v>
      </c>
      <c r="AO103" s="25">
        <f t="shared" si="1226"/>
        <v>8.2887500000000021</v>
      </c>
      <c r="AP103" s="25">
        <f t="shared" si="1226"/>
        <v>8.6050000000000022</v>
      </c>
      <c r="AQ103" s="25">
        <f t="shared" si="1226"/>
        <v>8.9212500000000023</v>
      </c>
      <c r="AR103" s="25">
        <f t="shared" si="1226"/>
        <v>9.2375000000000025</v>
      </c>
      <c r="AS103" s="25">
        <f t="shared" si="1226"/>
        <v>9.5537500000000026</v>
      </c>
      <c r="AT103" s="25">
        <f t="shared" si="1226"/>
        <v>9.8700000000000028</v>
      </c>
      <c r="AU103" s="25">
        <f t="shared" si="1226"/>
        <v>10.186250000000003</v>
      </c>
      <c r="AV103" s="25">
        <f t="shared" si="1226"/>
        <v>10.502500000000003</v>
      </c>
      <c r="AW103" s="25">
        <f t="shared" si="1226"/>
        <v>10.818750000000003</v>
      </c>
      <c r="AX103" s="25">
        <f t="shared" si="1226"/>
        <v>11.135000000000003</v>
      </c>
      <c r="AY103" s="25">
        <f t="shared" si="1226"/>
        <v>11.451250000000003</v>
      </c>
      <c r="AZ103" s="57">
        <f t="shared" si="1226"/>
        <v>11.767500000000004</v>
      </c>
      <c r="BA103" s="19">
        <f t="shared" si="1226"/>
        <v>12.083750000000004</v>
      </c>
      <c r="BB103" s="25">
        <f t="shared" si="1226"/>
        <v>12.400000000000004</v>
      </c>
      <c r="BC103" s="25">
        <f t="shared" si="1226"/>
        <v>12.716250000000004</v>
      </c>
      <c r="BD103" s="25">
        <f t="shared" si="1226"/>
        <v>13.282500000000004</v>
      </c>
      <c r="BE103" s="25">
        <f t="shared" si="1226"/>
        <v>0</v>
      </c>
      <c r="BF103" s="25">
        <f t="shared" si="1226"/>
        <v>0.63250000000000006</v>
      </c>
      <c r="BG103" s="25">
        <f t="shared" si="1226"/>
        <v>1.2650000000000001</v>
      </c>
      <c r="BH103" s="25">
        <f t="shared" si="1226"/>
        <v>4.8975</v>
      </c>
      <c r="BI103" s="25">
        <f t="shared" si="1226"/>
        <v>5.53</v>
      </c>
      <c r="BJ103" s="25">
        <f t="shared" si="1226"/>
        <v>6.1625000000000005</v>
      </c>
      <c r="BK103" s="25">
        <f t="shared" si="1226"/>
        <v>6.7950000000000008</v>
      </c>
      <c r="BL103" s="25">
        <f t="shared" si="1226"/>
        <v>7.4275000000000011</v>
      </c>
      <c r="BM103" s="25">
        <f t="shared" si="1226"/>
        <v>8.0600000000000023</v>
      </c>
      <c r="BN103" s="25">
        <f t="shared" si="1226"/>
        <v>8.6925000000000026</v>
      </c>
      <c r="BO103" s="25">
        <f t="shared" si="1226"/>
        <v>9.3250000000000028</v>
      </c>
      <c r="BP103" s="25">
        <f t="shared" si="1226"/>
        <v>9.9575000000000031</v>
      </c>
      <c r="BQ103" s="25">
        <f t="shared" ref="BQ103:CV103" si="1227">IF(BP41="B",IF(BQ101="K",IF(BP104="TM",IF(BO104="TM",IF(BQ100&lt;8,BQ100+3,BQ100+BQ102),BQ100+BQ102),BQ100+BQ102),BQ100),BQ100)</f>
        <v>10.590000000000003</v>
      </c>
      <c r="BR103" s="25">
        <f t="shared" si="1227"/>
        <v>0</v>
      </c>
      <c r="BS103" s="25">
        <f t="shared" si="1227"/>
        <v>0.63250000000000006</v>
      </c>
      <c r="BT103" s="25">
        <f t="shared" si="1227"/>
        <v>1.2650000000000001</v>
      </c>
      <c r="BU103" s="25">
        <f t="shared" si="1227"/>
        <v>1.8975000000000002</v>
      </c>
      <c r="BV103" s="25">
        <f t="shared" si="1227"/>
        <v>2.2800000000000002</v>
      </c>
      <c r="BW103" s="25">
        <f t="shared" si="1227"/>
        <v>2.5962500000000004</v>
      </c>
      <c r="BX103" s="57">
        <f t="shared" si="1227"/>
        <v>2.9125000000000005</v>
      </c>
      <c r="BY103" s="19">
        <f t="shared" si="1227"/>
        <v>3.2287500000000007</v>
      </c>
      <c r="BZ103" s="25">
        <f t="shared" si="1227"/>
        <v>3.5450000000000008</v>
      </c>
      <c r="CA103" s="25">
        <f t="shared" si="1227"/>
        <v>3.861250000000001</v>
      </c>
      <c r="CB103" s="25">
        <f t="shared" si="1227"/>
        <v>4.4275000000000011</v>
      </c>
      <c r="CC103" s="25">
        <f t="shared" si="1227"/>
        <v>8.0600000000000023</v>
      </c>
      <c r="CD103" s="25">
        <f t="shared" si="1227"/>
        <v>0</v>
      </c>
      <c r="CE103" s="25">
        <f t="shared" si="1227"/>
        <v>0.63250000000000006</v>
      </c>
      <c r="CF103" s="25">
        <f t="shared" si="1227"/>
        <v>1.2650000000000001</v>
      </c>
      <c r="CG103" s="25">
        <f t="shared" si="1227"/>
        <v>1.8975000000000002</v>
      </c>
      <c r="CH103" s="25">
        <f t="shared" si="1227"/>
        <v>2.5300000000000002</v>
      </c>
      <c r="CI103" s="25">
        <f t="shared" si="1227"/>
        <v>3.1625000000000001</v>
      </c>
      <c r="CJ103" s="25">
        <f t="shared" si="1227"/>
        <v>3.7949999999999999</v>
      </c>
      <c r="CK103" s="25">
        <f t="shared" si="1227"/>
        <v>4.4275000000000002</v>
      </c>
      <c r="CL103" s="25">
        <f t="shared" si="1227"/>
        <v>5.0600000000000005</v>
      </c>
      <c r="CM103" s="25">
        <f t="shared" si="1227"/>
        <v>5.6925000000000008</v>
      </c>
      <c r="CN103" s="25">
        <f t="shared" si="1227"/>
        <v>6.3250000000000011</v>
      </c>
      <c r="CO103" s="25">
        <f t="shared" si="1227"/>
        <v>6.9575000000000014</v>
      </c>
      <c r="CP103" s="25">
        <f t="shared" si="1227"/>
        <v>10.590000000000002</v>
      </c>
      <c r="CQ103" s="25">
        <f t="shared" si="1227"/>
        <v>0</v>
      </c>
      <c r="CR103" s="25">
        <f t="shared" si="1227"/>
        <v>0.63250000000000006</v>
      </c>
      <c r="CS103" s="25">
        <f t="shared" si="1227"/>
        <v>1.0150000000000001</v>
      </c>
      <c r="CT103" s="25">
        <f t="shared" si="1227"/>
        <v>1.33125</v>
      </c>
      <c r="CU103" s="25">
        <f t="shared" si="1227"/>
        <v>1.6475</v>
      </c>
      <c r="CV103" s="57">
        <f t="shared" si="1227"/>
        <v>1.9637499999999999</v>
      </c>
      <c r="CW103" s="19">
        <f t="shared" ref="CW103:DT103" si="1228">IF(CV41="B",IF(CW101="K",IF(CV104="TM",IF(CU104="TM",IF(CW100&lt;8,CW100+3,CW100+CW102),CW100+CW102),CW100+CW102),CW100),CW100)</f>
        <v>2.2799999999999998</v>
      </c>
      <c r="CX103" s="25">
        <f t="shared" si="1228"/>
        <v>2.5962499999999999</v>
      </c>
      <c r="CY103" s="25">
        <f t="shared" si="1228"/>
        <v>2.9125000000000001</v>
      </c>
      <c r="CZ103" s="25">
        <f t="shared" si="1228"/>
        <v>3.4787500000000002</v>
      </c>
      <c r="DA103" s="25">
        <f t="shared" si="1228"/>
        <v>7.1112500000000001</v>
      </c>
      <c r="DB103" s="25">
        <f t="shared" si="1228"/>
        <v>10.74375</v>
      </c>
      <c r="DC103" s="25">
        <f t="shared" si="1228"/>
        <v>0</v>
      </c>
      <c r="DD103" s="25">
        <f t="shared" si="1228"/>
        <v>0.63250000000000006</v>
      </c>
      <c r="DE103" s="25">
        <f t="shared" si="1228"/>
        <v>1.2650000000000001</v>
      </c>
      <c r="DF103" s="25">
        <f t="shared" si="1228"/>
        <v>1.8975000000000002</v>
      </c>
      <c r="DG103" s="25">
        <f t="shared" si="1228"/>
        <v>2.5300000000000002</v>
      </c>
      <c r="DH103" s="25">
        <f t="shared" si="1228"/>
        <v>3.1625000000000001</v>
      </c>
      <c r="DI103" s="25">
        <f t="shared" si="1228"/>
        <v>3.7949999999999999</v>
      </c>
      <c r="DJ103" s="25">
        <f t="shared" si="1228"/>
        <v>4.4275000000000002</v>
      </c>
      <c r="DK103" s="25">
        <f t="shared" si="1228"/>
        <v>5.0600000000000005</v>
      </c>
      <c r="DL103" s="25">
        <f t="shared" si="1228"/>
        <v>5.6925000000000008</v>
      </c>
      <c r="DM103" s="25">
        <f t="shared" si="1228"/>
        <v>6.3250000000000011</v>
      </c>
      <c r="DN103" s="25">
        <f t="shared" si="1228"/>
        <v>9.9575000000000014</v>
      </c>
      <c r="DO103" s="25">
        <f t="shared" si="1228"/>
        <v>0</v>
      </c>
      <c r="DP103" s="25">
        <f t="shared" si="1228"/>
        <v>0.63250000000000006</v>
      </c>
      <c r="DQ103" s="25">
        <f t="shared" si="1228"/>
        <v>1.0150000000000001</v>
      </c>
      <c r="DR103" s="25">
        <f t="shared" si="1228"/>
        <v>1.33125</v>
      </c>
      <c r="DS103" s="25">
        <f t="shared" si="1228"/>
        <v>1.6475</v>
      </c>
      <c r="DT103" s="57">
        <f t="shared" si="1228"/>
        <v>1.9637499999999999</v>
      </c>
    </row>
    <row r="104" spans="2:124" x14ac:dyDescent="0.2">
      <c r="B104" s="3" t="s">
        <v>232</v>
      </c>
      <c r="E104" s="1" t="str">
        <f>IF(E102&lt;0,"M","TM")</f>
        <v>TM</v>
      </c>
      <c r="F104" s="1" t="str">
        <f t="shared" ref="F104:L104" si="1229">IF(F102&lt;0,"M","TM")</f>
        <v>TM</v>
      </c>
      <c r="G104" s="1" t="str">
        <f t="shared" si="1229"/>
        <v>TM</v>
      </c>
      <c r="H104" s="1" t="str">
        <f t="shared" si="1229"/>
        <v>TM</v>
      </c>
      <c r="I104" s="1" t="str">
        <f t="shared" si="1229"/>
        <v>TM</v>
      </c>
      <c r="J104" s="1" t="str">
        <f t="shared" si="1229"/>
        <v>TM</v>
      </c>
      <c r="K104" s="1" t="str">
        <f t="shared" si="1229"/>
        <v>M</v>
      </c>
      <c r="L104" s="1" t="str">
        <f t="shared" si="1229"/>
        <v>TM</v>
      </c>
      <c r="M104" s="1" t="str">
        <f t="shared" ref="M104:BQ104" si="1230">IF(M102&lt;0,"M","TM")</f>
        <v>TM</v>
      </c>
      <c r="N104" s="1" t="str">
        <f t="shared" si="1230"/>
        <v>TM</v>
      </c>
      <c r="O104" s="1" t="str">
        <f t="shared" si="1230"/>
        <v>TM</v>
      </c>
      <c r="P104" s="1" t="str">
        <f t="shared" si="1230"/>
        <v>TM</v>
      </c>
      <c r="Q104" s="1" t="str">
        <f t="shared" si="1230"/>
        <v>TM</v>
      </c>
      <c r="R104" s="1" t="str">
        <f t="shared" si="1230"/>
        <v>TM</v>
      </c>
      <c r="S104" s="1" t="str">
        <f t="shared" si="1230"/>
        <v>TM</v>
      </c>
      <c r="T104" s="1" t="str">
        <f t="shared" si="1230"/>
        <v>M</v>
      </c>
      <c r="U104" s="1" t="str">
        <f t="shared" si="1230"/>
        <v>TM</v>
      </c>
      <c r="V104" s="1" t="str">
        <f t="shared" si="1230"/>
        <v>TM</v>
      </c>
      <c r="W104" s="1" t="str">
        <f t="shared" si="1230"/>
        <v>TM</v>
      </c>
      <c r="X104" s="1" t="str">
        <f t="shared" si="1230"/>
        <v>TM</v>
      </c>
      <c r="Y104" s="1" t="str">
        <f t="shared" si="1230"/>
        <v>TM</v>
      </c>
      <c r="Z104" s="1" t="str">
        <f t="shared" si="1230"/>
        <v>TM</v>
      </c>
      <c r="AA104" s="1" t="str">
        <f t="shared" si="1230"/>
        <v>TM</v>
      </c>
      <c r="AB104" s="55" t="str">
        <f t="shared" si="1230"/>
        <v>TM</v>
      </c>
      <c r="AC104" s="14" t="str">
        <f t="shared" si="1230"/>
        <v>TM</v>
      </c>
      <c r="AD104" s="1" t="str">
        <f t="shared" si="1230"/>
        <v>TM</v>
      </c>
      <c r="AE104" s="1" t="str">
        <f t="shared" si="1230"/>
        <v>TM</v>
      </c>
      <c r="AF104" s="1" t="str">
        <f t="shared" si="1230"/>
        <v>TM</v>
      </c>
      <c r="AG104" s="1" t="str">
        <f t="shared" si="1230"/>
        <v>TM</v>
      </c>
      <c r="AH104" s="1" t="str">
        <f t="shared" si="1230"/>
        <v>TM</v>
      </c>
      <c r="AI104" s="1" t="str">
        <f t="shared" si="1230"/>
        <v>TM</v>
      </c>
      <c r="AJ104" s="1" t="str">
        <f t="shared" si="1230"/>
        <v>TM</v>
      </c>
      <c r="AK104" s="1" t="str">
        <f t="shared" si="1230"/>
        <v>TM</v>
      </c>
      <c r="AL104" s="1" t="str">
        <f t="shared" si="1230"/>
        <v>TM</v>
      </c>
      <c r="AM104" s="1" t="str">
        <f t="shared" si="1230"/>
        <v>TM</v>
      </c>
      <c r="AN104" s="1" t="str">
        <f t="shared" si="1230"/>
        <v>TM</v>
      </c>
      <c r="AO104" s="1" t="str">
        <f t="shared" si="1230"/>
        <v>TM</v>
      </c>
      <c r="AP104" s="1" t="str">
        <f t="shared" si="1230"/>
        <v>TM</v>
      </c>
      <c r="AQ104" s="1" t="str">
        <f t="shared" si="1230"/>
        <v>TM</v>
      </c>
      <c r="AR104" s="1" t="str">
        <f t="shared" si="1230"/>
        <v>TM</v>
      </c>
      <c r="AS104" s="1" t="str">
        <f t="shared" si="1230"/>
        <v>TM</v>
      </c>
      <c r="AT104" s="1" t="str">
        <f t="shared" si="1230"/>
        <v>TM</v>
      </c>
      <c r="AU104" s="1" t="str">
        <f t="shared" si="1230"/>
        <v>TM</v>
      </c>
      <c r="AV104" s="1" t="str">
        <f t="shared" si="1230"/>
        <v>TM</v>
      </c>
      <c r="AW104" s="1" t="str">
        <f t="shared" si="1230"/>
        <v>TM</v>
      </c>
      <c r="AX104" s="1" t="str">
        <f t="shared" si="1230"/>
        <v>TM</v>
      </c>
      <c r="AY104" s="1" t="str">
        <f t="shared" si="1230"/>
        <v>TM</v>
      </c>
      <c r="AZ104" s="55" t="str">
        <f t="shared" si="1230"/>
        <v>TM</v>
      </c>
      <c r="BA104" s="14" t="str">
        <f t="shared" si="1230"/>
        <v>TM</v>
      </c>
      <c r="BB104" s="1" t="str">
        <f t="shared" si="1230"/>
        <v>TM</v>
      </c>
      <c r="BC104" s="1" t="str">
        <f t="shared" si="1230"/>
        <v>TM</v>
      </c>
      <c r="BD104" s="1" t="str">
        <f t="shared" si="1230"/>
        <v>TM</v>
      </c>
      <c r="BE104" s="1" t="str">
        <f t="shared" si="1230"/>
        <v>M</v>
      </c>
      <c r="BF104" s="1" t="str">
        <f t="shared" si="1230"/>
        <v>TM</v>
      </c>
      <c r="BG104" s="1" t="str">
        <f t="shared" si="1230"/>
        <v>TM</v>
      </c>
      <c r="BH104" s="1" t="str">
        <f t="shared" si="1230"/>
        <v>TM</v>
      </c>
      <c r="BI104" s="1" t="str">
        <f t="shared" si="1230"/>
        <v>TM</v>
      </c>
      <c r="BJ104" s="1" t="str">
        <f t="shared" si="1230"/>
        <v>TM</v>
      </c>
      <c r="BK104" s="1" t="str">
        <f t="shared" si="1230"/>
        <v>TM</v>
      </c>
      <c r="BL104" s="1" t="str">
        <f t="shared" si="1230"/>
        <v>TM</v>
      </c>
      <c r="BM104" s="1" t="str">
        <f t="shared" si="1230"/>
        <v>TM</v>
      </c>
      <c r="BN104" s="1" t="str">
        <f t="shared" si="1230"/>
        <v>TM</v>
      </c>
      <c r="BO104" s="1" t="str">
        <f t="shared" si="1230"/>
        <v>TM</v>
      </c>
      <c r="BP104" s="1" t="str">
        <f t="shared" si="1230"/>
        <v>TM</v>
      </c>
      <c r="BQ104" s="1" t="str">
        <f t="shared" si="1230"/>
        <v>TM</v>
      </c>
      <c r="BR104" s="1" t="str">
        <f t="shared" ref="BR104:DT104" si="1231">IF(BR102&lt;0,"M","TM")</f>
        <v>M</v>
      </c>
      <c r="BS104" s="1" t="str">
        <f t="shared" si="1231"/>
        <v>TM</v>
      </c>
      <c r="BT104" s="1" t="str">
        <f t="shared" si="1231"/>
        <v>TM</v>
      </c>
      <c r="BU104" s="1" t="str">
        <f t="shared" si="1231"/>
        <v>TM</v>
      </c>
      <c r="BV104" s="1" t="str">
        <f t="shared" si="1231"/>
        <v>TM</v>
      </c>
      <c r="BW104" s="1" t="str">
        <f t="shared" si="1231"/>
        <v>TM</v>
      </c>
      <c r="BX104" s="55" t="str">
        <f t="shared" si="1231"/>
        <v>TM</v>
      </c>
      <c r="BY104" s="14" t="str">
        <f t="shared" si="1231"/>
        <v>TM</v>
      </c>
      <c r="BZ104" s="1" t="str">
        <f t="shared" si="1231"/>
        <v>TM</v>
      </c>
      <c r="CA104" s="1" t="str">
        <f t="shared" si="1231"/>
        <v>TM</v>
      </c>
      <c r="CB104" s="1" t="str">
        <f t="shared" si="1231"/>
        <v>TM</v>
      </c>
      <c r="CC104" s="1" t="str">
        <f t="shared" si="1231"/>
        <v>TM</v>
      </c>
      <c r="CD104" s="1" t="str">
        <f t="shared" si="1231"/>
        <v>M</v>
      </c>
      <c r="CE104" s="1" t="str">
        <f t="shared" si="1231"/>
        <v>TM</v>
      </c>
      <c r="CF104" s="1" t="str">
        <f t="shared" si="1231"/>
        <v>TM</v>
      </c>
      <c r="CG104" s="1" t="str">
        <f t="shared" si="1231"/>
        <v>TM</v>
      </c>
      <c r="CH104" s="1" t="str">
        <f t="shared" si="1231"/>
        <v>TM</v>
      </c>
      <c r="CI104" s="1" t="str">
        <f t="shared" si="1231"/>
        <v>TM</v>
      </c>
      <c r="CJ104" s="1" t="str">
        <f t="shared" si="1231"/>
        <v>TM</v>
      </c>
      <c r="CK104" s="1" t="str">
        <f t="shared" si="1231"/>
        <v>TM</v>
      </c>
      <c r="CL104" s="1" t="str">
        <f t="shared" si="1231"/>
        <v>TM</v>
      </c>
      <c r="CM104" s="1" t="str">
        <f t="shared" si="1231"/>
        <v>TM</v>
      </c>
      <c r="CN104" s="1" t="str">
        <f t="shared" si="1231"/>
        <v>TM</v>
      </c>
      <c r="CO104" s="1" t="str">
        <f t="shared" si="1231"/>
        <v>TM</v>
      </c>
      <c r="CP104" s="1" t="str">
        <f t="shared" si="1231"/>
        <v>TM</v>
      </c>
      <c r="CQ104" s="1" t="str">
        <f t="shared" si="1231"/>
        <v>M</v>
      </c>
      <c r="CR104" s="1" t="str">
        <f t="shared" si="1231"/>
        <v>TM</v>
      </c>
      <c r="CS104" s="1" t="str">
        <f t="shared" si="1231"/>
        <v>TM</v>
      </c>
      <c r="CT104" s="1" t="str">
        <f t="shared" si="1231"/>
        <v>TM</v>
      </c>
      <c r="CU104" s="1" t="str">
        <f t="shared" si="1231"/>
        <v>TM</v>
      </c>
      <c r="CV104" s="55" t="str">
        <f t="shared" si="1231"/>
        <v>TM</v>
      </c>
      <c r="CW104" s="1" t="str">
        <f t="shared" si="1231"/>
        <v>TM</v>
      </c>
      <c r="CX104" s="1" t="str">
        <f t="shared" si="1231"/>
        <v>TM</v>
      </c>
      <c r="CY104" s="1" t="str">
        <f t="shared" si="1231"/>
        <v>TM</v>
      </c>
      <c r="CZ104" s="1" t="str">
        <f t="shared" si="1231"/>
        <v>TM</v>
      </c>
      <c r="DA104" s="1" t="str">
        <f t="shared" si="1231"/>
        <v>TM</v>
      </c>
      <c r="DB104" s="1" t="str">
        <f t="shared" si="1231"/>
        <v>TM</v>
      </c>
      <c r="DC104" s="1" t="str">
        <f t="shared" si="1231"/>
        <v>M</v>
      </c>
      <c r="DD104" s="1" t="str">
        <f t="shared" si="1231"/>
        <v>TM</v>
      </c>
      <c r="DE104" s="1" t="str">
        <f t="shared" si="1231"/>
        <v>TM</v>
      </c>
      <c r="DF104" s="1" t="str">
        <f t="shared" si="1231"/>
        <v>TM</v>
      </c>
      <c r="DG104" s="1" t="str">
        <f t="shared" si="1231"/>
        <v>TM</v>
      </c>
      <c r="DH104" s="1" t="str">
        <f t="shared" si="1231"/>
        <v>TM</v>
      </c>
      <c r="DI104" s="1" t="str">
        <f t="shared" si="1231"/>
        <v>TM</v>
      </c>
      <c r="DJ104" s="1" t="str">
        <f t="shared" si="1231"/>
        <v>TM</v>
      </c>
      <c r="DK104" s="1" t="str">
        <f t="shared" si="1231"/>
        <v>TM</v>
      </c>
      <c r="DL104" s="1" t="str">
        <f t="shared" si="1231"/>
        <v>TM</v>
      </c>
      <c r="DM104" s="1" t="str">
        <f t="shared" si="1231"/>
        <v>TM</v>
      </c>
      <c r="DN104" s="1" t="str">
        <f t="shared" si="1231"/>
        <v>TM</v>
      </c>
      <c r="DO104" s="1" t="str">
        <f t="shared" si="1231"/>
        <v>M</v>
      </c>
      <c r="DP104" s="1" t="str">
        <f t="shared" si="1231"/>
        <v>TM</v>
      </c>
      <c r="DQ104" s="1" t="str">
        <f t="shared" si="1231"/>
        <v>TM</v>
      </c>
      <c r="DR104" s="1" t="str">
        <f t="shared" si="1231"/>
        <v>TM</v>
      </c>
      <c r="DS104" s="1" t="str">
        <f t="shared" si="1231"/>
        <v>TM</v>
      </c>
      <c r="DT104" s="1" t="str">
        <f t="shared" si="1231"/>
        <v>TM</v>
      </c>
    </row>
  </sheetData>
  <mergeCells count="45">
    <mergeCell ref="E21:AB21"/>
    <mergeCell ref="AC21:AZ21"/>
    <mergeCell ref="BA21:BX21"/>
    <mergeCell ref="BY21:CV21"/>
    <mergeCell ref="CW21:DT21"/>
    <mergeCell ref="E30:AB30"/>
    <mergeCell ref="AC30:AZ30"/>
    <mergeCell ref="BA30:BX30"/>
    <mergeCell ref="BY30:CV30"/>
    <mergeCell ref="CW30:DT30"/>
    <mergeCell ref="E4:AB4"/>
    <mergeCell ref="AC4:AZ4"/>
    <mergeCell ref="BA4:BX4"/>
    <mergeCell ref="BY4:CV4"/>
    <mergeCell ref="CW4:DT4"/>
    <mergeCell ref="E10:AB10"/>
    <mergeCell ref="AC10:AZ10"/>
    <mergeCell ref="BA10:BX10"/>
    <mergeCell ref="BY10:CV10"/>
    <mergeCell ref="CW10:DT10"/>
    <mergeCell ref="E42:AB42"/>
    <mergeCell ref="AC42:AZ42"/>
    <mergeCell ref="BA42:BX42"/>
    <mergeCell ref="BY42:CV42"/>
    <mergeCell ref="CW42:DT42"/>
    <mergeCell ref="E54:AB54"/>
    <mergeCell ref="AC54:AZ54"/>
    <mergeCell ref="BA54:BX54"/>
    <mergeCell ref="BY54:CV54"/>
    <mergeCell ref="CW54:DT54"/>
    <mergeCell ref="E64:AB64"/>
    <mergeCell ref="AC64:AZ64"/>
    <mergeCell ref="BA64:BX64"/>
    <mergeCell ref="BY64:CV64"/>
    <mergeCell ref="CW64:DT64"/>
    <mergeCell ref="E76:AB76"/>
    <mergeCell ref="AC76:AZ76"/>
    <mergeCell ref="BA76:BX76"/>
    <mergeCell ref="BY76:CV76"/>
    <mergeCell ref="CW76:DT76"/>
    <mergeCell ref="E94:AB94"/>
    <mergeCell ref="AC94:AZ94"/>
    <mergeCell ref="BA94:BX94"/>
    <mergeCell ref="BY94:CV94"/>
    <mergeCell ref="CW94:DT94"/>
  </mergeCells>
  <pageMargins left="0.7" right="0.7" top="0.75" bottom="0.75" header="0.3" footer="0.3"/>
  <pageSetup paperSize="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FA3C-DA77-9844-BF88-4A49769CCE8B}">
  <dimension ref="D1:D6"/>
  <sheetViews>
    <sheetView workbookViewId="0">
      <selection activeCell="D4" sqref="D4"/>
    </sheetView>
  </sheetViews>
  <sheetFormatPr baseColWidth="10" defaultRowHeight="15" x14ac:dyDescent="0.2"/>
  <sheetData>
    <row r="1" spans="4:4" x14ac:dyDescent="0.2">
      <c r="D1" t="s">
        <v>240</v>
      </c>
    </row>
    <row r="2" spans="4:4" x14ac:dyDescent="0.2">
      <c r="D2" t="s">
        <v>239</v>
      </c>
    </row>
    <row r="3" spans="4:4" x14ac:dyDescent="0.2">
      <c r="D3" t="s">
        <v>238</v>
      </c>
    </row>
    <row r="4" spans="4:4" ht="144" x14ac:dyDescent="0.2">
      <c r="D4" s="199" cm="1">
        <f t="array" ref="D4">_xlfn.IFS(AND(D5="T",D3="KB"),IF(D2="e",D6-1,IF(D1="w",D6-2,D6-3)),AND(D5="T",D3="KBS"),IF(D2="e",D6-1,IF(D1="w",D6-2,D6-3)),
AND(D5="T",D3="KBS"),1,AND(D5="T",D3=""),6)</f>
        <v>3</v>
      </c>
    </row>
    <row r="5" spans="4:4" x14ac:dyDescent="0.2">
      <c r="D5" t="s">
        <v>33</v>
      </c>
    </row>
    <row r="6" spans="4:4" x14ac:dyDescent="0.2"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Tingkat IC</vt:lpstr>
      <vt:lpstr>KODE &amp; DATA IC</vt:lpstr>
      <vt:lpstr>(Hr) Kal.B+Cons</vt:lpstr>
      <vt:lpstr>Sheet1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Microsoft Office User</cp:lastModifiedBy>
  <dcterms:created xsi:type="dcterms:W3CDTF">2021-07-07T07:01:24Z</dcterms:created>
  <dcterms:modified xsi:type="dcterms:W3CDTF">2022-08-06T12:29:33Z</dcterms:modified>
</cp:coreProperties>
</file>