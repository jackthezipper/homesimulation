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3\Proses Dalam Otak\Data Pribadi Agen terbaru September 21\"/>
    </mc:Choice>
  </mc:AlternateContent>
  <xr:revisionPtr revIDLastSave="0" documentId="13_ncr:1_{2FA190C0-1848-49F2-8BCC-A7B6B1BA97F1}" xr6:coauthVersionLast="47" xr6:coauthVersionMax="47" xr10:uidLastSave="{00000000-0000-0000-0000-000000000000}"/>
  <bookViews>
    <workbookView xWindow="3615" yWindow="7125" windowWidth="16860" windowHeight="585" xr2:uid="{00000000-000D-0000-FFFF-FFFF00000000}"/>
  </bookViews>
  <sheets>
    <sheet name="Prasyarat 3-Agen di depan ruang" sheetId="1" r:id="rId1"/>
    <sheet name="Aktivitas Pendukung" sheetId="2" r:id="rId2"/>
  </sheets>
  <calcPr calcId="181029"/>
</workbook>
</file>

<file path=xl/calcChain.xml><?xml version="1.0" encoding="utf-8"?>
<calcChain xmlns="http://schemas.openxmlformats.org/spreadsheetml/2006/main">
  <c r="J33" i="1" l="1"/>
  <c r="J133" i="1"/>
  <c r="J136" i="1"/>
  <c r="J139" i="1"/>
  <c r="J166" i="1"/>
  <c r="K166" i="1"/>
  <c r="K165" i="1"/>
  <c r="J165" i="1"/>
  <c r="J265" i="1"/>
  <c r="J264" i="1"/>
  <c r="K265" i="1"/>
  <c r="K264" i="1"/>
  <c r="K263" i="1"/>
  <c r="J263" i="1"/>
  <c r="J268" i="1"/>
  <c r="J267" i="1"/>
  <c r="K268" i="1"/>
  <c r="K267" i="1"/>
  <c r="K266" i="1"/>
  <c r="J266" i="1"/>
  <c r="J119" i="1"/>
  <c r="J20" i="1"/>
  <c r="J274" i="1"/>
  <c r="J273" i="1"/>
  <c r="J161" i="1"/>
  <c r="J132" i="1"/>
  <c r="J118" i="1"/>
  <c r="J117" i="1"/>
  <c r="J109" i="1"/>
  <c r="J108" i="1"/>
  <c r="J103" i="1"/>
  <c r="J104" i="1"/>
  <c r="K271" i="1"/>
  <c r="J271" i="1"/>
  <c r="K270" i="1"/>
  <c r="J270" i="1"/>
  <c r="K269" i="1"/>
  <c r="J269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193" i="1"/>
  <c r="K192" i="1"/>
  <c r="K290" i="1"/>
  <c r="K289" i="1"/>
  <c r="J289" i="1"/>
  <c r="J290" i="1"/>
  <c r="K288" i="1"/>
  <c r="J288" i="1"/>
  <c r="J192" i="1"/>
  <c r="J193" i="1"/>
  <c r="K191" i="1"/>
  <c r="J191" i="1"/>
  <c r="K104" i="1"/>
  <c r="K103" i="1"/>
  <c r="J31" i="1" l="1"/>
  <c r="J22" i="1"/>
  <c r="J23" i="1"/>
  <c r="J216" i="1"/>
  <c r="K216" i="1"/>
  <c r="K155" i="1" l="1"/>
  <c r="J155" i="1"/>
  <c r="K154" i="1"/>
  <c r="J154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K138" i="1"/>
  <c r="J138" i="1"/>
  <c r="K137" i="1"/>
  <c r="J137" i="1"/>
  <c r="K131" i="1"/>
  <c r="J131" i="1"/>
  <c r="K130" i="1"/>
  <c r="J130" i="1"/>
  <c r="K129" i="1"/>
  <c r="J129" i="1"/>
  <c r="K128" i="1"/>
  <c r="J128" i="1"/>
  <c r="K127" i="1"/>
  <c r="J127" i="1"/>
  <c r="K121" i="1"/>
  <c r="J121" i="1"/>
  <c r="J120" i="1"/>
  <c r="K120" i="1"/>
  <c r="J122" i="1"/>
  <c r="K122" i="1"/>
  <c r="J123" i="1"/>
  <c r="K123" i="1"/>
  <c r="K119" i="1"/>
  <c r="K118" i="1"/>
  <c r="K117" i="1"/>
  <c r="K109" i="1"/>
  <c r="K108" i="1"/>
  <c r="K106" i="1"/>
  <c r="J106" i="1"/>
  <c r="K95" i="1"/>
  <c r="J95" i="1"/>
  <c r="K94" i="1"/>
  <c r="J94" i="1"/>
  <c r="K93" i="1"/>
  <c r="K92" i="1"/>
  <c r="J93" i="1"/>
  <c r="J92" i="1"/>
  <c r="K91" i="1"/>
  <c r="J91" i="1"/>
  <c r="J86" i="1"/>
  <c r="K86" i="1"/>
  <c r="K89" i="1"/>
  <c r="J89" i="1"/>
  <c r="K88" i="1"/>
  <c r="K164" i="1"/>
  <c r="J164" i="1"/>
  <c r="K163" i="1"/>
  <c r="J163" i="1"/>
  <c r="K162" i="1"/>
  <c r="J162" i="1"/>
  <c r="K161" i="1"/>
  <c r="K160" i="1"/>
  <c r="J160" i="1"/>
  <c r="K159" i="1"/>
  <c r="J159" i="1"/>
  <c r="K158" i="1"/>
  <c r="J158" i="1"/>
  <c r="K157" i="1"/>
  <c r="J157" i="1"/>
  <c r="K156" i="1"/>
  <c r="J156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62" i="1"/>
  <c r="J62" i="1"/>
  <c r="K61" i="1"/>
  <c r="J61" i="1"/>
  <c r="K60" i="1"/>
  <c r="J60" i="1"/>
  <c r="K59" i="1"/>
  <c r="J59" i="1"/>
  <c r="K45" i="1"/>
  <c r="K46" i="1"/>
  <c r="J46" i="1"/>
  <c r="J45" i="1"/>
  <c r="K44" i="1"/>
  <c r="J44" i="1"/>
  <c r="K43" i="1"/>
  <c r="J43" i="1"/>
  <c r="K41" i="1"/>
  <c r="K33" i="1"/>
  <c r="J215" i="1"/>
  <c r="J190" i="1"/>
  <c r="J181" i="1"/>
  <c r="J184" i="1"/>
  <c r="J84" i="1"/>
  <c r="J83" i="1"/>
  <c r="K26" i="1"/>
  <c r="K23" i="1"/>
  <c r="K22" i="1"/>
  <c r="J28" i="1"/>
  <c r="K18" i="1"/>
  <c r="K27" i="1"/>
  <c r="J16" i="1"/>
  <c r="K17" i="1"/>
  <c r="K25" i="1"/>
  <c r="J26" i="1"/>
  <c r="J25" i="1"/>
  <c r="J30" i="1"/>
  <c r="J24" i="1"/>
  <c r="J21" i="1"/>
  <c r="J15" i="1"/>
  <c r="K69" i="1"/>
  <c r="J69" i="1"/>
  <c r="K272" i="1"/>
  <c r="J272" i="1"/>
  <c r="K274" i="1"/>
  <c r="K273" i="1"/>
  <c r="K68" i="1"/>
  <c r="J68" i="1"/>
  <c r="K67" i="1"/>
  <c r="J67" i="1"/>
  <c r="K218" i="1"/>
  <c r="J218" i="1"/>
  <c r="K217" i="1"/>
  <c r="J217" i="1"/>
  <c r="K124" i="1" l="1"/>
  <c r="J124" i="1"/>
  <c r="AH11" i="1"/>
  <c r="AG11" i="1"/>
  <c r="J11" i="1"/>
  <c r="K96" i="1"/>
  <c r="J96" i="1"/>
  <c r="K90" i="1"/>
  <c r="J90" i="1"/>
  <c r="J57" i="1"/>
  <c r="J58" i="1"/>
  <c r="K175" i="1"/>
  <c r="J175" i="1"/>
  <c r="K174" i="1"/>
  <c r="J174" i="1"/>
  <c r="K173" i="1"/>
  <c r="J17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J253" i="1"/>
  <c r="K253" i="1"/>
  <c r="J252" i="1"/>
  <c r="J251" i="1"/>
  <c r="K252" i="1"/>
  <c r="K251" i="1"/>
  <c r="J250" i="1" l="1"/>
  <c r="K249" i="1"/>
  <c r="J249" i="1"/>
  <c r="J248" i="1"/>
  <c r="K248" i="1"/>
  <c r="K250" i="1"/>
  <c r="J244" i="1"/>
  <c r="I11" i="1"/>
  <c r="K242" i="1"/>
  <c r="K232" i="1"/>
  <c r="K240" i="1"/>
  <c r="K239" i="1"/>
  <c r="K243" i="1"/>
  <c r="J243" i="1"/>
  <c r="J242" i="1"/>
  <c r="K241" i="1"/>
  <c r="J241" i="1"/>
  <c r="J240" i="1"/>
  <c r="J239" i="1"/>
  <c r="K238" i="1"/>
  <c r="J238" i="1"/>
  <c r="J234" i="1"/>
  <c r="J237" i="1"/>
  <c r="J231" i="1"/>
  <c r="J200" i="1"/>
  <c r="K237" i="1"/>
  <c r="J233" i="1"/>
  <c r="K233" i="1"/>
  <c r="J232" i="1"/>
  <c r="K231" i="1"/>
  <c r="K229" i="1"/>
  <c r="K201" i="1"/>
  <c r="J201" i="1"/>
  <c r="K200" i="1"/>
  <c r="J198" i="1"/>
  <c r="J197" i="1"/>
  <c r="J196" i="1"/>
  <c r="J195" i="1"/>
  <c r="K195" i="1"/>
  <c r="J208" i="1"/>
  <c r="J209" i="1"/>
  <c r="K211" i="1"/>
  <c r="J211" i="1"/>
  <c r="K210" i="1"/>
  <c r="J210" i="1"/>
  <c r="J206" i="1"/>
  <c r="J205" i="1"/>
  <c r="K205" i="1"/>
  <c r="K203" i="1"/>
  <c r="J203" i="1"/>
  <c r="K221" i="1"/>
  <c r="J221" i="1"/>
  <c r="J220" i="1"/>
  <c r="K220" i="1"/>
  <c r="K219" i="1"/>
  <c r="J219" i="1"/>
  <c r="K215" i="1"/>
  <c r="K214" i="1"/>
  <c r="J214" i="1"/>
  <c r="J182" i="1"/>
  <c r="K182" i="1"/>
  <c r="K186" i="1"/>
  <c r="K184" i="1"/>
  <c r="K181" i="1"/>
  <c r="J187" i="1"/>
  <c r="K187" i="1"/>
  <c r="K185" i="1"/>
  <c r="J185" i="1"/>
  <c r="J188" i="1"/>
  <c r="J186" i="1"/>
  <c r="K227" i="1"/>
  <c r="J227" i="1"/>
  <c r="K226" i="1"/>
  <c r="K133" i="1"/>
  <c r="J72" i="1"/>
  <c r="K72" i="1"/>
  <c r="K225" i="1"/>
  <c r="J225" i="1"/>
  <c r="J70" i="1"/>
  <c r="K125" i="1"/>
  <c r="K172" i="1"/>
  <c r="J172" i="1"/>
  <c r="K171" i="1"/>
  <c r="J171" i="1"/>
  <c r="K170" i="1"/>
  <c r="K169" i="1"/>
  <c r="J169" i="1"/>
  <c r="K179" i="1"/>
  <c r="J179" i="1"/>
  <c r="K178" i="1"/>
  <c r="J178" i="1"/>
  <c r="K177" i="1"/>
  <c r="J177" i="1"/>
  <c r="K176" i="1"/>
  <c r="J176" i="1"/>
  <c r="J135" i="1"/>
  <c r="J134" i="1"/>
  <c r="J101" i="1" l="1"/>
  <c r="K100" i="1"/>
  <c r="J100" i="1"/>
  <c r="K97" i="1"/>
  <c r="J97" i="1"/>
  <c r="K36" i="1"/>
  <c r="K40" i="1"/>
  <c r="K56" i="1"/>
  <c r="K65" i="1"/>
  <c r="K32" i="1"/>
  <c r="J40" i="1"/>
  <c r="J56" i="1"/>
  <c r="J65" i="1"/>
  <c r="K63" i="1"/>
  <c r="J63" i="1"/>
  <c r="J34" i="1"/>
  <c r="K34" i="1"/>
  <c r="J36" i="1"/>
  <c r="J35" i="1"/>
  <c r="K38" i="1"/>
  <c r="J18" i="1"/>
  <c r="K21" i="1" l="1"/>
  <c r="J19" i="1"/>
  <c r="K20" i="1"/>
  <c r="K19" i="1"/>
  <c r="J32" i="1"/>
  <c r="K31" i="1"/>
  <c r="K35" i="1"/>
  <c r="K15" i="1"/>
  <c r="J17" i="1" l="1"/>
  <c r="K196" i="1" l="1"/>
  <c r="K197" i="1"/>
  <c r="K198" i="1"/>
  <c r="J194" i="1"/>
  <c r="J212" i="1" l="1"/>
  <c r="J213" i="1"/>
  <c r="K213" i="1"/>
  <c r="K212" i="1"/>
  <c r="J207" i="1"/>
  <c r="K206" i="1"/>
  <c r="K207" i="1"/>
  <c r="K180" i="1"/>
  <c r="J180" i="1"/>
  <c r="J226" i="1"/>
  <c r="K135" i="1"/>
  <c r="J105" i="1"/>
  <c r="K37" i="1"/>
  <c r="J37" i="1"/>
  <c r="K247" i="1"/>
  <c r="J247" i="1"/>
  <c r="J246" i="1"/>
  <c r="J245" i="1"/>
  <c r="K244" i="1"/>
  <c r="K246" i="1"/>
  <c r="K230" i="1"/>
  <c r="K236" i="1"/>
  <c r="J236" i="1"/>
  <c r="K235" i="1"/>
  <c r="J228" i="1"/>
  <c r="J235" i="1"/>
  <c r="J229" i="1"/>
  <c r="J199" i="1"/>
  <c r="K199" i="1"/>
  <c r="J202" i="1"/>
  <c r="J222" i="1"/>
  <c r="K222" i="1"/>
  <c r="J189" i="1"/>
  <c r="K190" i="1"/>
  <c r="K188" i="1"/>
  <c r="J183" i="1"/>
  <c r="J224" i="1"/>
  <c r="J71" i="1"/>
  <c r="K71" i="1"/>
  <c r="K126" i="1" l="1"/>
  <c r="J126" i="1"/>
  <c r="K167" i="1"/>
  <c r="J167" i="1"/>
  <c r="J168" i="1"/>
  <c r="K168" i="1"/>
  <c r="J116" i="1"/>
  <c r="J115" i="1"/>
  <c r="J114" i="1"/>
  <c r="K115" i="1"/>
  <c r="K116" i="1"/>
  <c r="J113" i="1"/>
  <c r="J112" i="1"/>
  <c r="K113" i="1"/>
  <c r="J111" i="1"/>
  <c r="J110" i="1"/>
  <c r="K111" i="1"/>
  <c r="J102" i="1"/>
  <c r="K102" i="1"/>
  <c r="J99" i="1"/>
  <c r="K99" i="1"/>
  <c r="K107" i="1"/>
  <c r="J107" i="1"/>
  <c r="J78" i="1"/>
  <c r="J76" i="1"/>
  <c r="K78" i="1"/>
  <c r="K76" i="1"/>
  <c r="J73" i="1"/>
  <c r="J75" i="1"/>
  <c r="K75" i="1"/>
  <c r="J87" i="1"/>
  <c r="K87" i="1"/>
  <c r="K84" i="1"/>
  <c r="J64" i="1"/>
  <c r="J66" i="1"/>
  <c r="K66" i="1"/>
  <c r="J42" i="1"/>
  <c r="K42" i="1"/>
  <c r="J29" i="1"/>
  <c r="K29" i="1"/>
  <c r="K16" i="1" l="1"/>
  <c r="K64" i="1"/>
  <c r="K245" i="1"/>
  <c r="K234" i="1"/>
  <c r="J230" i="1"/>
  <c r="K228" i="1"/>
  <c r="K194" i="1"/>
  <c r="K208" i="1"/>
  <c r="K209" i="1"/>
  <c r="K204" i="1"/>
  <c r="J204" i="1"/>
  <c r="K202" i="1"/>
  <c r="J223" i="1"/>
  <c r="K223" i="1"/>
  <c r="K189" i="1"/>
  <c r="K183" i="1"/>
  <c r="K224" i="1"/>
  <c r="K70" i="1"/>
  <c r="K132" i="1"/>
  <c r="J125" i="1"/>
  <c r="J170" i="1"/>
  <c r="K136" i="1"/>
  <c r="K134" i="1"/>
  <c r="K114" i="1"/>
  <c r="K112" i="1"/>
  <c r="K110" i="1"/>
  <c r="K101" i="1"/>
  <c r="K98" i="1"/>
  <c r="K105" i="1"/>
  <c r="K77" i="1"/>
  <c r="K74" i="1"/>
  <c r="K85" i="1"/>
  <c r="K82" i="1"/>
  <c r="K55" i="1"/>
  <c r="K39" i="1"/>
  <c r="K28" i="1"/>
  <c r="K24" i="1"/>
  <c r="J98" i="1"/>
  <c r="J77" i="1"/>
  <c r="K73" i="1"/>
  <c r="J74" i="1"/>
  <c r="K83" i="1"/>
  <c r="J82" i="1"/>
  <c r="K58" i="1"/>
  <c r="K57" i="1"/>
  <c r="J55" i="1"/>
  <c r="J41" i="1"/>
  <c r="J39" i="1"/>
  <c r="J38" i="1"/>
  <c r="J27" i="1"/>
  <c r="K30" i="1"/>
  <c r="X11" i="1" l="1"/>
  <c r="AA11" i="1" s="1"/>
  <c r="AD11" i="1" s="1"/>
  <c r="L11" i="1"/>
  <c r="T11" i="1" s="1"/>
  <c r="F11" i="1"/>
  <c r="AG5" i="1"/>
  <c r="X5" i="1"/>
  <c r="Y5" i="1" s="1"/>
  <c r="L5" i="1"/>
  <c r="T5" i="1" s="1"/>
  <c r="F5" i="1"/>
  <c r="G5" i="1" l="1"/>
  <c r="H5" i="1" s="1"/>
  <c r="I5" i="1" s="1"/>
  <c r="J5" i="1"/>
  <c r="AH5" i="1"/>
  <c r="Y11" i="1"/>
  <c r="O11" i="1"/>
  <c r="P11" i="1" s="1"/>
  <c r="Q11" i="1" s="1"/>
  <c r="R11" i="1" s="1"/>
  <c r="S11" i="1" s="1"/>
  <c r="O5" i="1"/>
  <c r="P5" i="1" s="1"/>
  <c r="Q5" i="1" s="1"/>
  <c r="R5" i="1" s="1"/>
  <c r="S5" i="1" s="1"/>
  <c r="AD5" i="1"/>
  <c r="AB11" i="1"/>
  <c r="G11" i="1" l="1"/>
  <c r="H11" i="1" s="1"/>
</calcChain>
</file>

<file path=xl/sharedStrings.xml><?xml version="1.0" encoding="utf-8"?>
<sst xmlns="http://schemas.openxmlformats.org/spreadsheetml/2006/main" count="1588" uniqueCount="446">
  <si>
    <t>Jika ada orang lain</t>
  </si>
  <si>
    <t>Aktivitas Berjalan</t>
  </si>
  <si>
    <t>Kondisi Terkini</t>
  </si>
  <si>
    <t>Batas</t>
  </si>
  <si>
    <t>APSB</t>
  </si>
  <si>
    <t>APST</t>
  </si>
  <si>
    <t>Objek</t>
  </si>
  <si>
    <t>Komponen</t>
  </si>
  <si>
    <t>Ya/Tidak</t>
  </si>
  <si>
    <t>Kode</t>
  </si>
  <si>
    <t>Peluang APSB</t>
  </si>
  <si>
    <t>Peluang APST</t>
  </si>
  <si>
    <t>Batas Sosial</t>
  </si>
  <si>
    <t>Pintu</t>
  </si>
  <si>
    <t>Terbuka</t>
  </si>
  <si>
    <t>Kursi</t>
  </si>
  <si>
    <t>Kosong</t>
  </si>
  <si>
    <t>Terisi</t>
  </si>
  <si>
    <t>*tempat duduk kosong random</t>
  </si>
  <si>
    <t>Aktivitas Utama</t>
  </si>
  <si>
    <t>Nama Ruang</t>
  </si>
  <si>
    <t>Prasyarat</t>
  </si>
  <si>
    <t>Keterangan</t>
  </si>
  <si>
    <t>Cek cahaya</t>
  </si>
  <si>
    <t>Ada</t>
  </si>
  <si>
    <t>Tidak Ada</t>
  </si>
  <si>
    <t>RDP01</t>
  </si>
  <si>
    <t>RHD01</t>
  </si>
  <si>
    <t>Mati</t>
  </si>
  <si>
    <t>Cek sumber daya</t>
  </si>
  <si>
    <t>Lampu</t>
  </si>
  <si>
    <t xml:space="preserve">Tujuan IF terpenuhi </t>
  </si>
  <si>
    <t xml:space="preserve">Tujuan IF tidak terpenuhi </t>
  </si>
  <si>
    <t>RKG01</t>
  </si>
  <si>
    <t>Sofa</t>
  </si>
  <si>
    <t>Karpet</t>
  </si>
  <si>
    <t>Tujuan Aktivitas Selesai</t>
  </si>
  <si>
    <t>Makan</t>
  </si>
  <si>
    <t>Minum</t>
  </si>
  <si>
    <t>Cek device</t>
  </si>
  <si>
    <t>Tidur</t>
  </si>
  <si>
    <t>RTU01</t>
  </si>
  <si>
    <t>Tempat tidur</t>
  </si>
  <si>
    <t>BAK</t>
  </si>
  <si>
    <t>RKM01</t>
  </si>
  <si>
    <t>Terkunci</t>
  </si>
  <si>
    <t>BAB</t>
  </si>
  <si>
    <t>Mandi</t>
  </si>
  <si>
    <t>RGD01</t>
  </si>
  <si>
    <t xml:space="preserve">Cek device </t>
  </si>
  <si>
    <t>Menyapu Ruang Keluarga</t>
  </si>
  <si>
    <t>Menyapu Ruang Tamu</t>
  </si>
  <si>
    <t>RTM01</t>
  </si>
  <si>
    <t>Menyapu Teras</t>
  </si>
  <si>
    <t>RTS01</t>
  </si>
  <si>
    <t>Mengepel Ruang Keluarga</t>
  </si>
  <si>
    <t>Mengepel Ruang Tamu</t>
  </si>
  <si>
    <t>Mengepel Teras</t>
  </si>
  <si>
    <t>Menyapu Ruang Tidur Utama 1</t>
  </si>
  <si>
    <t>Menyapu Ruang Tidur Utama 2</t>
  </si>
  <si>
    <t>RTU02</t>
  </si>
  <si>
    <t>RTA01</t>
  </si>
  <si>
    <t>Mengepel Ruang Tidur Utama 1</t>
  </si>
  <si>
    <t>Mengepel Ruang Tidur Utama 2</t>
  </si>
  <si>
    <t>Hidup</t>
  </si>
  <si>
    <t>Tidak ada</t>
  </si>
  <si>
    <t>Kran air</t>
  </si>
  <si>
    <t>Gas</t>
  </si>
  <si>
    <t>Listrik</t>
  </si>
  <si>
    <t>Belanja</t>
  </si>
  <si>
    <t>Daylight</t>
  </si>
  <si>
    <t>Mesin cuci</t>
  </si>
  <si>
    <t>Mengangkat pakaian kering</t>
  </si>
  <si>
    <t>Menyetrika pakaian</t>
  </si>
  <si>
    <t>Setrika</t>
  </si>
  <si>
    <t>Membaca</t>
  </si>
  <si>
    <t>Bersantai</t>
  </si>
  <si>
    <t>Cek agen</t>
  </si>
  <si>
    <t>Makanan</t>
  </si>
  <si>
    <t>Air minum</t>
  </si>
  <si>
    <t>Jumlah &amp; status</t>
  </si>
  <si>
    <t>Berubah sesuai dengan kondisi di ruang</t>
  </si>
  <si>
    <t>Air</t>
  </si>
  <si>
    <t>Lemari</t>
  </si>
  <si>
    <t xml:space="preserve">Ada </t>
  </si>
  <si>
    <t>Kompor</t>
  </si>
  <si>
    <t>Bagus</t>
  </si>
  <si>
    <t>Gas cadangan</t>
  </si>
  <si>
    <t>TV</t>
  </si>
  <si>
    <t>Kipas Angin</t>
  </si>
  <si>
    <t>Cek Suhu</t>
  </si>
  <si>
    <t>Iklim Ruang</t>
  </si>
  <si>
    <t>AC</t>
  </si>
  <si>
    <t>Cek suhu</t>
  </si>
  <si>
    <t>Asumsi alat kebersihan selalu tersedia</t>
  </si>
  <si>
    <t>Pompa air 2</t>
  </si>
  <si>
    <t>Pompa air 1</t>
  </si>
  <si>
    <t>IF Kondisi terkini&lt;Batas (1),"Meja Makan","Batal"</t>
  </si>
  <si>
    <t>IF Kondisi terkini (Kursi random)=Batas (Kosong),"Kursi (random)","RKG01"</t>
  </si>
  <si>
    <t>IF Kondisi terkini&gt;=Batas (150),"RKG01","Saklar Lampu"</t>
  </si>
  <si>
    <t>IF Kondisi terkini&lt;Batas (1),"Sofa (random)","Batal"</t>
  </si>
  <si>
    <t>batal = cek aktivitas urut 2</t>
  </si>
  <si>
    <t>Jumlah &amp; Status Agen</t>
  </si>
  <si>
    <t>IF Kondisi terkini&gt;=Batas (150),"Kulkas 1","Saklar Lampu"</t>
  </si>
  <si>
    <t>IF Kondisi terkini&lt;Batas (1),"Kulkas 1","Batal"</t>
  </si>
  <si>
    <r>
      <t xml:space="preserve">Cek cahaya </t>
    </r>
    <r>
      <rPr>
        <i/>
        <sz val="11"/>
        <color rgb="FFFF0000"/>
        <rFont val="Calibri"/>
        <family val="2"/>
        <scheme val="minor"/>
      </rPr>
      <t>(i)</t>
    </r>
  </si>
  <si>
    <r>
      <t xml:space="preserve">Cek device </t>
    </r>
    <r>
      <rPr>
        <i/>
        <sz val="11"/>
        <color rgb="FFFF0000"/>
        <rFont val="Calibri"/>
        <family val="2"/>
        <scheme val="minor"/>
      </rPr>
      <t>(ii)</t>
    </r>
  </si>
  <si>
    <t>Rumus</t>
  </si>
  <si>
    <t>Aktivitas Pendukung setelah selesai Aktivitas Utama</t>
  </si>
  <si>
    <t>Asumsi kondisi peralatan listrik baik, dan tidak ada mati listrik, sehingga tidak ada batal karena listrik</t>
  </si>
  <si>
    <t>IF Kondisi terkini&lt;=Batas (50),"RTU01","Saklar Lampu"</t>
  </si>
  <si>
    <t xml:space="preserve">Cek agen </t>
  </si>
  <si>
    <t>IF Kondisi terkini&lt;Batas (0.5),"RTU01","Batal"</t>
  </si>
  <si>
    <t>IF Kondisi terkini&lt;Batas (25),"Tempat tidur","AC"</t>
  </si>
  <si>
    <t>IF Kondisi terkini (Tempat tidur)=Batas (Kosong),"Tempat tidur","Batal"</t>
  </si>
  <si>
    <t>IF Kondisi terkini&gt;=Batas (150),"Pintu","Saklar Lampu"</t>
  </si>
  <si>
    <t>IF Kondisi terkini&lt;Batas (0.2),"Pintu","Batal"</t>
  </si>
  <si>
    <t>IF Kondisi terkini (Pintu)=Batas (Terbuka),"Bak mandi","Batal"</t>
  </si>
  <si>
    <t>IF Kondisi terkini&gt;=Batas (15),"Kloset","Kran air"</t>
  </si>
  <si>
    <r>
      <t>*</t>
    </r>
    <r>
      <rPr>
        <sz val="10"/>
        <color rgb="FFFF0000"/>
        <rFont val="Calibri"/>
        <family val="2"/>
        <scheme val="minor"/>
      </rPr>
      <t>Jika sebelumnya membuka kran</t>
    </r>
  </si>
  <si>
    <t>jika air tidak cukup, maka membuka kran dan menunggu di ruang</t>
  </si>
  <si>
    <r>
      <t>Kran air</t>
    </r>
    <r>
      <rPr>
        <b/>
        <sz val="11"/>
        <color rgb="FFFF0000"/>
        <rFont val="Calibri"/>
        <family val="2"/>
        <scheme val="minor"/>
      </rPr>
      <t xml:space="preserve">* </t>
    </r>
    <r>
      <rPr>
        <sz val="11"/>
        <rFont val="Calibri"/>
        <family val="2"/>
        <scheme val="minor"/>
      </rPr>
      <t>-&gt; Pintu</t>
    </r>
  </si>
  <si>
    <t>IF Kondisi terkini&gt;=Batas (90),"Bak mandi","Kran air"</t>
  </si>
  <si>
    <r>
      <t>jika air tidak cukup, maka membuka kran dan menunggu di ruang atau jika waktu tunggu &gt;= 15 menit, melakukan aktivitas 2</t>
    </r>
    <r>
      <rPr>
        <b/>
        <sz val="10"/>
        <rFont val="Calibri"/>
        <family val="2"/>
        <scheme val="minor"/>
      </rPr>
      <t>**</t>
    </r>
  </si>
  <si>
    <t>Berdandan (prereq: Mandi)</t>
  </si>
  <si>
    <r>
      <t>*</t>
    </r>
    <r>
      <rPr>
        <sz val="10"/>
        <color rgb="FFFF0000"/>
        <rFont val="Calibri"/>
        <family val="2"/>
        <scheme val="minor"/>
      </rPr>
      <t xml:space="preserve">Jika sebelumnya membuka kran </t>
    </r>
    <r>
      <rPr>
        <sz val="10"/>
        <rFont val="Calibri"/>
        <family val="2"/>
        <scheme val="minor"/>
      </rPr>
      <t>**Aktivitas tanpa keluar rumah &amp; bukan aktivitas prereq</t>
    </r>
  </si>
  <si>
    <t>IF Kondisi terkini (Pintu)=Batas (Terbuka),"RTU01","Batal"</t>
  </si>
  <si>
    <t>IF Kondisi terkini (Lemari)=Batas (Terbuka),"Lemari","Batal"</t>
  </si>
  <si>
    <t>IF Kondisi terkini&lt;=Batas (0),"Pintu","Batal"</t>
  </si>
  <si>
    <t>Jika agen ada kebiasaan (peluang) mematikan lampu</t>
  </si>
  <si>
    <t>IF Kondisi terkini&gt;=Batas (150),"RDP01","Saklar Lampu"</t>
  </si>
  <si>
    <t>IF Kondisi terkini&lt;Batas (0.2),"RDP01","Batal"</t>
  </si>
  <si>
    <t>IF Kondisi terkini (Pintu)=Batas (Terbuka),"RGD01","Batal"</t>
  </si>
  <si>
    <t>IF Kondisi terkini&lt;Batas (0.2),"RTU02","Batal"</t>
  </si>
  <si>
    <t>IF Kondisi terkini&lt;Batas (0.2),"RKG01","Batal"</t>
  </si>
  <si>
    <t>IF Kondisi terkini&gt;=Batas (150),"RTM01","Saklar Lampu"</t>
  </si>
  <si>
    <t>IF Kondisi terkini&lt;Batas (0.2),"RTM01","Batal"</t>
  </si>
  <si>
    <t>IF Kondisi terkini (Pintu)=Batas (Terbuka),"RTS01","Batal"</t>
  </si>
  <si>
    <t>IF Kondisi terkini&lt;Batas (0.5),"RTS01","Batal"</t>
  </si>
  <si>
    <t>IF Kondisi terkini&gt;=Batas (150),"RTU01","Saklar Lampu"</t>
  </si>
  <si>
    <t>IF Kondisi terkini&lt;Batas (0.2),"RTU01","Batal"</t>
  </si>
  <si>
    <t>IF Kondisi terkini (Pintu)=Batas (Terbuka),"RTU02","Batal"</t>
  </si>
  <si>
    <t>IF Kondisi terkini&gt;=Batas (150),"RTU02","Saklar Lampu"</t>
  </si>
  <si>
    <t>IF Kondisi terkini&gt;=Batas (150),"RTA01","Saklar Lampu"</t>
  </si>
  <si>
    <t>IF Kondisi terkini&lt;Batas (0.2),"RTS01","Batal"</t>
  </si>
  <si>
    <t>IF Kondisi terkini=Batas (Hidup),"Pompa air 1","Batal"</t>
  </si>
  <si>
    <t xml:space="preserve">J3 ; L1*** </t>
  </si>
  <si>
    <t>***Mematikan lampu hanya jika di ruang tidak ada agen lain</t>
  </si>
  <si>
    <t>IF Kondisi terkini&lt;Batas (0.5),"Tempat sampah","Batal"</t>
  </si>
  <si>
    <t>IF Kondisi terkini&gt;=Batas (100),"RDP01","Saklar Lampu"</t>
  </si>
  <si>
    <t>IF Kondisi terkini (Pintu)=Batas (Terbuka),"RHD01","Batal"</t>
  </si>
  <si>
    <t>IF Kondisi terkini&lt;=Batas (1),"Kran air","Batal"</t>
  </si>
  <si>
    <t>IF Kondisi terkini=Batas (Ada),"Pot tanaman","Pompa air 1"</t>
  </si>
  <si>
    <t>O9</t>
  </si>
  <si>
    <t>Saklar pompa</t>
  </si>
  <si>
    <t>W1</t>
  </si>
  <si>
    <t>W1= mematikan saklar</t>
  </si>
  <si>
    <t>IF Kondisi terkini=Batas (Mati),"Saklar pompa","Batal")</t>
  </si>
  <si>
    <t>IF Kondisi terkini&lt;=Batas (2),"Kran air","Batal"</t>
  </si>
  <si>
    <t>IF Kondisi terkini&lt;=Batas (2),"Kompor","Batal"</t>
  </si>
  <si>
    <t>IF Kondisi terkini=Batas (Bagus),"Gas","Batal"</t>
  </si>
  <si>
    <t>IF Kondisi terkini=Batas (Ada),"Kompor","Gas cadagan"</t>
  </si>
  <si>
    <t>IF Kondisi terkini=Batas (Ada),"Kompor","Batal"</t>
  </si>
  <si>
    <t>G11</t>
  </si>
  <si>
    <t>J3</t>
  </si>
  <si>
    <t>IF Kondisi terkini&lt;=Batas (2),"Blender","Batal"</t>
  </si>
  <si>
    <t>IF Kondisi terkini&lt;=Batas (2),"RHD01","Batal"</t>
  </si>
  <si>
    <t>IF Kondisi terkini&lt;=Batas (2),"Bak cuci piring","Batal"</t>
  </si>
  <si>
    <t>B3</t>
  </si>
  <si>
    <t>IF Kondisi terkini=Batas (Ada),"Kran air","Batal"</t>
  </si>
  <si>
    <t>IF Kondisi terkini (Pompa air)=Batas (Hidup),"Saklar pompa","Batal"</t>
  </si>
  <si>
    <r>
      <t xml:space="preserve">RDP01 </t>
    </r>
    <r>
      <rPr>
        <i/>
        <sz val="11"/>
        <color rgb="FFFF0000"/>
        <rFont val="Calibri"/>
        <family val="2"/>
        <scheme val="minor"/>
      </rPr>
      <t>(iv)</t>
    </r>
  </si>
  <si>
    <t>W1= mematikan saklar, jika sebelumnya menghidupkan saklar untuk mencuci piring</t>
  </si>
  <si>
    <t>IF Kondisi terkini=Batas (Hidup),"Mesin cuci","Batal"</t>
  </si>
  <si>
    <t>Bisa berbeda untuk tiap agen</t>
  </si>
  <si>
    <t>jika perlu menghidupkan pompa air, cek prasyarat (iii)</t>
  </si>
  <si>
    <t>IF Kondisi terkini (Mesin cuci)=Batas (Mati),"Mesin cuci","Batal"</t>
  </si>
  <si>
    <t>IF Kondisi terkini (Air)=Batas (Ada),"Mesin cuci","Pompa air"</t>
  </si>
  <si>
    <t>IF Kondisi terkini (Air)=Batas (Ada),"Kran air","Pompa air"</t>
  </si>
  <si>
    <r>
      <t>O9 / W1</t>
    </r>
    <r>
      <rPr>
        <b/>
        <sz val="11"/>
        <color rgb="FFFF0000"/>
        <rFont val="Calibri"/>
        <family val="2"/>
        <scheme val="minor"/>
      </rPr>
      <t>*</t>
    </r>
  </si>
  <si>
    <t>jika perlu menghidupkan pompa air, cek prasyarat (iii); *jika sebelumnya menghidupkan pompa</t>
  </si>
  <si>
    <t>IF Kondisi terkini (Pintu)=Batas (Terbuka),"Pintu","Batal"</t>
  </si>
  <si>
    <t>IF Kondisi terkini&lt;=Batas (1),"Meja setrika","Batal"</t>
  </si>
  <si>
    <t>IF Kondisi terkini (Setrika)=Batas (Bagus),"Meja setrika","Batal"</t>
  </si>
  <si>
    <t>IF Kondisi terkini (Listrik)=Batas (Hidup),"Kursi","Batal"</t>
  </si>
  <si>
    <t>IF Kondisi terkini&lt;=Batas (1),"Karpet","RTA01"</t>
  </si>
  <si>
    <t>IF Kondisi terkini=Batas (Kosong),"Karpet","RTA01"</t>
  </si>
  <si>
    <t>IF Kondisi terkini&lt;=Batas (25),"Karpet","Kipas angin"</t>
  </si>
  <si>
    <t>IF Kondisi terkini=Batas (Bagus),"Kipas angin","RTA01"</t>
  </si>
  <si>
    <t>IF Kondisi terkini=Batas (Hidup),"Karpet","Batal"</t>
  </si>
  <si>
    <t>IF Kondisi terkini&lt;=Batas (1),"Tempat tidur","Batal"</t>
  </si>
  <si>
    <t>IF Kondisi terkini&lt;=Batas (25),"Tempat tidur","AC"</t>
  </si>
  <si>
    <t>IF Kondisi terkini (AC)=Batas (Bagus),"Tempat tidur","Batal"</t>
  </si>
  <si>
    <t>IF Kondisi terkini (AC)=Batas (Hidup),"AC","Batal"</t>
  </si>
  <si>
    <t>IF Kondisi terkini&lt;=Batas (1),"Sofa/ Karpet","Batal"</t>
  </si>
  <si>
    <t>IF Kondisi terkini (Sofa)=Batas (Kosong),"Sofa","Karpet"</t>
  </si>
  <si>
    <t>IF Kondisi terkini (Karpet)=Batas (Kosong),"Sofa","Karpet"</t>
  </si>
  <si>
    <t>IF Kondisi terkini (Karpet)=Batas (Bagus),"Sofa/ Karpet","Batal"</t>
  </si>
  <si>
    <t>IF Kondisi terkini (Listrik)=Batas (Hidup),"Sofa/ Karpet","Batal"</t>
  </si>
  <si>
    <t>IF Kondisi terkini&lt;=Batas (25),"Sofa/ Karpet","Kipas angin"</t>
  </si>
  <si>
    <t>IF Kondisi terkini=Batas (Bagus),"Kipas angin","Batal"</t>
  </si>
  <si>
    <t>IF Kondisi terkini (Sofa)=Batas (Kosong),"Sofa","RTM01"</t>
  </si>
  <si>
    <t>IF Kondisi terkini&lt;=Batas (0.6),"Sofa","RTM01"</t>
  </si>
  <si>
    <t>IF Kondisi terkini&lt;=Batas (25),"Sofa","Kipas angin"</t>
  </si>
  <si>
    <t>IF Kondisi terkini=Batas (Hidup),"Sofa","Batal"</t>
  </si>
  <si>
    <t>IF Kondisi terkini=Batas (Bagus),"Kipas angin","RTM01"</t>
  </si>
  <si>
    <t>IF Kondisi terkini&lt;=Batas (0.4),"Sofa","Batal"</t>
  </si>
  <si>
    <t>IF Kondisi terkini (Sofa)=Batas (Kosong),"Sofa","Batal"</t>
  </si>
  <si>
    <t>IF Kondisi terkini&lt;=Batas (27),"Sofa","Batal"</t>
  </si>
  <si>
    <t>L1*** ; J3</t>
  </si>
  <si>
    <t>IF Kondisi terkini (Sofa)=Batas (Kosong),"Sofa","RTU01"</t>
  </si>
  <si>
    <t>IF Kondisi terkini&lt;=Batas (1),"Sofa","RTU01"</t>
  </si>
  <si>
    <t>F2***</t>
  </si>
  <si>
    <t>IF Kondisi terkini&lt;=Batas (0.4),"Tempat tidur","Batal"</t>
  </si>
  <si>
    <t>IF Kondisi terkini&lt;=Batas (24),"Tempat tidur","AC"</t>
  </si>
  <si>
    <t>IF Kondisi terkini=Batas (Bagus),"AC","Batal"</t>
  </si>
  <si>
    <t>IF Kondisi terkini=Batas (Hidup),"Tempat tidur","Batal"</t>
  </si>
  <si>
    <t>Pergi memasukan laundry</t>
  </si>
  <si>
    <t>Pergi mengambil laundry</t>
  </si>
  <si>
    <t>Berangkat kerja</t>
  </si>
  <si>
    <t>Agen berada di RTS01, cek lampu teras</t>
  </si>
  <si>
    <t>Kendaraan</t>
  </si>
  <si>
    <t>Bensin</t>
  </si>
  <si>
    <t>IF Kondisi terkini (Bensin)=Batas (Ada),"Kendaraan","Batal"</t>
  </si>
  <si>
    <t>IF Kondisi terkini (Kendaraan)=Batas (Ada),"RGS01","Batal"</t>
  </si>
  <si>
    <t>IF Kondisi terkini&gt;=Batas (150),"RGS01","Saklar Lampu"</t>
  </si>
  <si>
    <t xml:space="preserve">J3 </t>
  </si>
  <si>
    <t>Kendaraan / RGS01</t>
  </si>
  <si>
    <t>D2</t>
  </si>
  <si>
    <t>O9 ; J3 ; D2</t>
  </si>
  <si>
    <t>L1*** ; J3 ; D2</t>
  </si>
  <si>
    <t>J3 ; L1*** ; D2</t>
  </si>
  <si>
    <t>J3 ; D2</t>
  </si>
  <si>
    <t>S2 ; J3 ; D2</t>
  </si>
  <si>
    <t>A3*** ; L1*** ; J3 ; D2</t>
  </si>
  <si>
    <t>D4</t>
  </si>
  <si>
    <t>D2 ; D4</t>
  </si>
  <si>
    <t>T4 ; A3*** ; L2 ; J3 ; D2 ; D4</t>
  </si>
  <si>
    <t>Asumsi alat kebersihan selalu tersedia atau dalam agen mengambil alat kebersihan di ruang lain, dan selama aktivitas bersih-bersih, peralatan selalu ada pada agen</t>
  </si>
  <si>
    <t>Bahan makanan</t>
  </si>
  <si>
    <t>RMT01</t>
  </si>
  <si>
    <t>IF Kondisi terkini&lt;Batas (60),"Saklar lampu","Batal"</t>
  </si>
  <si>
    <t>Menghidupkan lampu garasi di sore hari</t>
  </si>
  <si>
    <t>IF Kondisi terkini (Lampu)=Batas (Mati),"Saklar lampu","Batal"</t>
  </si>
  <si>
    <t>IF Kondisi terkini (2)&lt;=Batas,"Saklar lampu",0)</t>
  </si>
  <si>
    <t>Mematikan lampu garasi di pagi hari</t>
  </si>
  <si>
    <t>IF Kondisi terkini (Lampu)=Batas (Hidup),"Saklar lampu","Batal"</t>
  </si>
  <si>
    <t>IF Kondisi terkini&lt;=Batas (150),"Saklar lampu","Batal"</t>
  </si>
  <si>
    <t>IF Kondisi terkini&lt;=Batas (150),"RGS01","Saklar Lampu"</t>
  </si>
  <si>
    <t>Mati, 60</t>
  </si>
  <si>
    <t>PA-I</t>
  </si>
  <si>
    <t>A4</t>
  </si>
  <si>
    <t>A8</t>
  </si>
  <si>
    <t>A10</t>
  </si>
  <si>
    <t>A12</t>
  </si>
  <si>
    <t>A15</t>
  </si>
  <si>
    <t>A16</t>
  </si>
  <si>
    <t>A18</t>
  </si>
  <si>
    <t>A19</t>
  </si>
  <si>
    <t>A20</t>
  </si>
  <si>
    <t>A21</t>
  </si>
  <si>
    <t>A22</t>
  </si>
  <si>
    <t>A25</t>
  </si>
  <si>
    <t>A26</t>
  </si>
  <si>
    <t>PR;A12</t>
  </si>
  <si>
    <t>A31</t>
  </si>
  <si>
    <t>PA-O</t>
  </si>
  <si>
    <t>A36</t>
  </si>
  <si>
    <t>A43</t>
  </si>
  <si>
    <t>A44</t>
  </si>
  <si>
    <t>UA-I</t>
  </si>
  <si>
    <t>PR;A45</t>
  </si>
  <si>
    <t>A59</t>
  </si>
  <si>
    <t>A65</t>
  </si>
  <si>
    <t>A70</t>
  </si>
  <si>
    <t>A72</t>
  </si>
  <si>
    <t>A74</t>
  </si>
  <si>
    <t>DLA</t>
  </si>
  <si>
    <t>B2</t>
  </si>
  <si>
    <t>B4</t>
  </si>
  <si>
    <t>B5</t>
  </si>
  <si>
    <t>B6</t>
  </si>
  <si>
    <t>B7</t>
  </si>
  <si>
    <t>Mencuci baju konvensional</t>
  </si>
  <si>
    <t>Mencuci dengan mesin cuci</t>
  </si>
  <si>
    <t>Menjemur pakaian</t>
  </si>
  <si>
    <t>Jenis</t>
  </si>
  <si>
    <t>No</t>
  </si>
  <si>
    <t>G12</t>
  </si>
  <si>
    <t>L1</t>
  </si>
  <si>
    <t>F2</t>
  </si>
  <si>
    <t>T4</t>
  </si>
  <si>
    <t>A3</t>
  </si>
  <si>
    <t>L2</t>
  </si>
  <si>
    <t>S2</t>
  </si>
  <si>
    <t>***</t>
  </si>
  <si>
    <t>mematikan hanya jika tidak ada agen di ruang</t>
  </si>
  <si>
    <t>*</t>
  </si>
  <si>
    <t>jika sebelumnya membuka kran</t>
  </si>
  <si>
    <t>**</t>
  </si>
  <si>
    <t>Mematikan saklar pompa</t>
  </si>
  <si>
    <t>Keluar dari ruang</t>
  </si>
  <si>
    <t>Mematikan blender</t>
  </si>
  <si>
    <t>Menutup Pintu</t>
  </si>
  <si>
    <t>Mengunci pintu</t>
  </si>
  <si>
    <t>Mematikan kipas angin</t>
  </si>
  <si>
    <t>Mematikan kompor</t>
  </si>
  <si>
    <t>Meletakan piring kotor di bak cuci piring</t>
  </si>
  <si>
    <t>Mematikan AC</t>
  </si>
  <si>
    <t>pilih aktivitas selanjutnya: hanya aktivitas indoor ; proses bak terisi dan kran terbuka berjalan</t>
  </si>
  <si>
    <t>Mematikan lampu</t>
  </si>
  <si>
    <t>Menghidupkan lampu</t>
  </si>
  <si>
    <t>L2 ; J3</t>
  </si>
  <si>
    <t>Menutup kran air</t>
  </si>
  <si>
    <t>Mematikan setrika</t>
  </si>
  <si>
    <t>Bangun dari tempat tidur</t>
  </si>
  <si>
    <t>RDP02</t>
  </si>
  <si>
    <t>Kembali ke RKG01 untuk cek device (ii), tetapi sampai di ruang cek mulai dari (i)</t>
  </si>
  <si>
    <t>IF Kondisi terkini (Kulkas 1)=Batas (Ada),"RKG01","Batal"</t>
  </si>
  <si>
    <t>berjalan ke ruang makan, menghidupkan pompa, ketika sampai di RKG01: cek prasyarat (iii), ketika pompa hidup, kembali ke RDP01: cek prasyarat (iv)</t>
  </si>
  <si>
    <t>jika ada makanan, semua kursi terisi, pindah ke ruang RTM01 (a)</t>
  </si>
  <si>
    <t>IF Kondisi terkini&lt;Batas (1),"Meja makan","Batal"</t>
  </si>
  <si>
    <t>IF Kondisi terkini (Meja makan)=Batas (Ada),"Kursi (random)","RDP02"</t>
  </si>
  <si>
    <t>IF Kondisi terkini (Meja makan)=Batas (Ada),"Meja Makan","RDP02"</t>
  </si>
  <si>
    <t>IF Kondisi terkini (Kursi random)=Batas (Kosong),"Kursi (random)","RTM01"</t>
  </si>
  <si>
    <t>IF Kondisi terkini&lt;Batas (1),"Meka makan","Batal"</t>
  </si>
  <si>
    <t>RBK01</t>
  </si>
  <si>
    <t>IF Kondisi terkini&gt;=Batas (150),"RBK01","Saklar Lampu"</t>
  </si>
  <si>
    <t>IF Kondisi terkini (Pintu)=Batas (Terbuka),"RBK01","Batal"</t>
  </si>
  <si>
    <t>IF Kondisi terkini&lt;Batas (0.5),"RBK01","Batal"</t>
  </si>
  <si>
    <t>IF Kondisi terkini&lt;=Batas (2),"RBK01","Batal"</t>
  </si>
  <si>
    <t>RG01</t>
  </si>
  <si>
    <t>IF Kondisi terkini&gt;=Batas (150),"rkg1","Saklar Lampu"</t>
  </si>
  <si>
    <t>RKM02</t>
  </si>
  <si>
    <t>IF Kondisi terkini (Pintu)=Batas (Terbuka),"Bak mandi","RKM03"</t>
  </si>
  <si>
    <t>RKM03</t>
  </si>
  <si>
    <t>Menyapu Ruang Kerja</t>
  </si>
  <si>
    <t>Menyapu Ruang Belakang</t>
  </si>
  <si>
    <t>Menyapu Dapur Kotor</t>
  </si>
  <si>
    <t>Menyapu Dapur Bersih</t>
  </si>
  <si>
    <t>Mengepel Ruang Kerja</t>
  </si>
  <si>
    <t>Mengepel Dapur Kotor</t>
  </si>
  <si>
    <t>Mengepel Dapur Bersih</t>
  </si>
  <si>
    <t>Memasak makan dengan rice cooker</t>
  </si>
  <si>
    <t>Membangunkan anak di pagi hari</t>
  </si>
  <si>
    <t>Membuat susu anak</t>
  </si>
  <si>
    <t>Membuang Sampah</t>
  </si>
  <si>
    <t>Membakar Sampah</t>
  </si>
  <si>
    <t>Membuat minuman herbal</t>
  </si>
  <si>
    <t>Menjahit</t>
  </si>
  <si>
    <t>Pergi membeli makan ke luar rumah</t>
  </si>
  <si>
    <t>Pergi jalan ke luar rumah di akhir pekan</t>
  </si>
  <si>
    <t>Mematikan rice cooker</t>
  </si>
  <si>
    <t>IF Kondisi terkini&gt;=Batas (150),"RDP02","Saklar Lampu"</t>
  </si>
  <si>
    <t>IF Kondisi terkini&lt;Batas (1),"Rice cooker","Batal"</t>
  </si>
  <si>
    <t>IF Kondisi terkini (Rice cooker)=Batas (Ada),"RKG01","Batal"</t>
  </si>
  <si>
    <t>IF Kondisi terkini&lt;Batas,"Sofa","Batal"</t>
  </si>
  <si>
    <t>PR-D;DLA;B7</t>
  </si>
  <si>
    <t>A73</t>
  </si>
  <si>
    <t>PR;A55</t>
  </si>
  <si>
    <t>A5</t>
  </si>
  <si>
    <t>A6</t>
  </si>
  <si>
    <t>A7</t>
  </si>
  <si>
    <t>A9</t>
  </si>
  <si>
    <t>A11</t>
  </si>
  <si>
    <t>A13</t>
  </si>
  <si>
    <t>PR;A5</t>
  </si>
  <si>
    <t>A14</t>
  </si>
  <si>
    <t>PR;A6</t>
  </si>
  <si>
    <t>PR;A7</t>
  </si>
  <si>
    <t>RKJ01</t>
  </si>
  <si>
    <t>IF Kondisi terkini&gt;=Batas (150),"RKJ01","Saklar Lampu"</t>
  </si>
  <si>
    <t>PR;A9</t>
  </si>
  <si>
    <t>A17</t>
  </si>
  <si>
    <t>PR;A10</t>
  </si>
  <si>
    <t>PR;A11</t>
  </si>
  <si>
    <t>PR;A13</t>
  </si>
  <si>
    <t>PA-I;A</t>
  </si>
  <si>
    <t>Memasak makan pagi/ siang/ malam dengan kompor gas</t>
  </si>
  <si>
    <t>A24/A49/A63</t>
  </si>
  <si>
    <t>PA-I;E;A23/A48/62</t>
  </si>
  <si>
    <t>PR-D;A25</t>
  </si>
  <si>
    <t>A27</t>
  </si>
  <si>
    <t>A28</t>
  </si>
  <si>
    <t>Memasak air untuk mandi pagi/ sore</t>
  </si>
  <si>
    <t>A29/A58</t>
  </si>
  <si>
    <t>Memandikan anak pagi/ sore</t>
  </si>
  <si>
    <t>A30/A59</t>
  </si>
  <si>
    <t>PR-D;A29/A58</t>
  </si>
  <si>
    <t>Menyuapi anak makan pagi/siang/malam</t>
  </si>
  <si>
    <t>A32/A50</t>
  </si>
  <si>
    <t>Menyiram tanaman pagi/sore</t>
  </si>
  <si>
    <t>A34/A55</t>
  </si>
  <si>
    <t>Membersihkan KM</t>
  </si>
  <si>
    <t>A37/A38/A39/A40</t>
  </si>
  <si>
    <t>PA-I;E;A42</t>
  </si>
  <si>
    <t>A41</t>
  </si>
  <si>
    <t>PA-I;E;A41</t>
  </si>
  <si>
    <t>A42</t>
  </si>
  <si>
    <t>PR-D;A41;A42</t>
  </si>
  <si>
    <t>Menonton TV siang/malam</t>
  </si>
  <si>
    <t>A46/A66</t>
  </si>
  <si>
    <t>A57</t>
  </si>
  <si>
    <t>PR;A56</t>
  </si>
  <si>
    <t>Mencuci piring dan alat masak pagi/siang/malam</t>
  </si>
  <si>
    <t>PR;A32/A50/A64</t>
  </si>
  <si>
    <t>A76</t>
  </si>
  <si>
    <t>A77</t>
  </si>
  <si>
    <t>A61</t>
  </si>
  <si>
    <t>A33</t>
  </si>
  <si>
    <t>A54</t>
  </si>
  <si>
    <t>A79</t>
  </si>
  <si>
    <t>A35/A67</t>
  </si>
  <si>
    <t>Bermain dengan anak pagi/malam</t>
  </si>
  <si>
    <t>Mesin jahit</t>
  </si>
  <si>
    <t>IF Kondisi terkini&lt;=Batas (1),"RKG01","Batal"</t>
  </si>
  <si>
    <t>Menerima tamu</t>
  </si>
  <si>
    <t>IF Kondisi terkini=Batas (Kosong),"Sofa","Batal"</t>
  </si>
  <si>
    <t>IF Kondisi terkini&lt;=Batas (1),"RTM01","Batal"</t>
  </si>
  <si>
    <t>IF Kondisi terkini=Batas (Bagus),"Mesin jahit","Batal"</t>
  </si>
  <si>
    <t>PR;A22/A47/A60</t>
  </si>
  <si>
    <t>A78</t>
  </si>
  <si>
    <t>Mengoperasikan gadget</t>
  </si>
  <si>
    <t>A71</t>
  </si>
  <si>
    <t>Menyiapkan kasur &amp; karpet tidur</t>
  </si>
  <si>
    <t>Menggunakan printer</t>
  </si>
  <si>
    <t>Rice cooker</t>
  </si>
  <si>
    <t>IF Kondisi terkini=Batas (Bagus),"Rice cooker","Batal"</t>
  </si>
  <si>
    <t>IF Kondisi terkini&gt;Batas,"Printer","Batal")</t>
  </si>
  <si>
    <t>Printer</t>
  </si>
  <si>
    <t>IF Kondisi terkini (Printer)=Batas (Hidup),"Printer","Batal"</t>
  </si>
  <si>
    <t>IF Kondisi terkini (Rice cooker)=Batas (Hidup),"Rice cooker","Batal"</t>
  </si>
  <si>
    <t>A69</t>
  </si>
  <si>
    <t>Bekerja menggunakan komputer</t>
  </si>
  <si>
    <t>Komputer</t>
  </si>
  <si>
    <t>IF Kondisi terkini&gt;Batas,"Kursi","Batal")</t>
  </si>
  <si>
    <t>IF Kondisi terkini (Komputer)=Batas (Hidup),"Komputer","Batal"</t>
  </si>
  <si>
    <t>Bekerja di luar rumah</t>
  </si>
  <si>
    <t>RGS01</t>
  </si>
  <si>
    <t>IF Kondisi terkini (Pintu)&gt;Batas (Terbuka),"RGS01","Batal"</t>
  </si>
  <si>
    <t>IF Kondisi terkini (Pintu)=Batas (Terbuka),"RGS01","Batal"</t>
  </si>
  <si>
    <t>IF Kondisi terkini&lt;=Batas (2),"Dispenser","Batal"</t>
  </si>
  <si>
    <t>Agen sampai di RDP01</t>
  </si>
  <si>
    <t>IF Kondisi terkini (Sofa random)&lt;Batas (Kosong),"Sofa (random)","Batal"</t>
  </si>
  <si>
    <t>agen sampai Di RTM01</t>
  </si>
  <si>
    <t>Kembali ke RKG01 untuk cek device: kursi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</si>
</sst>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49">
    <xf numFmtId="0" fontId="0" fillId="0" borderId="0" xfId="0"/>
    <xf numFmtId="0" fontId="2" fillId="2" borderId="11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2" fillId="0" borderId="20" xfId="1" applyFont="1" applyFill="1" applyBorder="1" applyAlignment="1">
      <alignment horizontal="center" vertical="center" wrapText="1"/>
    </xf>
    <xf numFmtId="0" fontId="2" fillId="6" borderId="23" xfId="1" applyFont="1" applyFill="1" applyBorder="1" applyAlignment="1">
      <alignment vertical="center" wrapText="1"/>
    </xf>
    <xf numFmtId="0" fontId="2" fillId="0" borderId="24" xfId="1" applyFont="1" applyFill="1" applyBorder="1" applyAlignment="1">
      <alignment horizontal="center" vertical="center" wrapText="1"/>
    </xf>
    <xf numFmtId="0" fontId="2" fillId="0" borderId="25" xfId="1" applyFont="1" applyFill="1" applyBorder="1" applyAlignment="1">
      <alignment horizontal="center" vertical="center" wrapText="1"/>
    </xf>
    <xf numFmtId="0" fontId="1" fillId="0" borderId="19" xfId="1" applyFont="1" applyFill="1" applyBorder="1" applyAlignment="1">
      <alignment horizontal="center" vertical="center"/>
    </xf>
    <xf numFmtId="0" fontId="5" fillId="6" borderId="19" xfId="1" applyFont="1" applyFill="1" applyBorder="1" applyAlignment="1">
      <alignment horizontal="center" vertical="center" wrapText="1"/>
    </xf>
    <xf numFmtId="0" fontId="1" fillId="0" borderId="18" xfId="1" applyFont="1" applyFill="1" applyBorder="1" applyAlignment="1">
      <alignment horizontal="center" vertical="center" wrapText="1"/>
    </xf>
    <xf numFmtId="0" fontId="0" fillId="6" borderId="19" xfId="1" applyFont="1" applyFill="1" applyBorder="1" applyAlignment="1">
      <alignment horizontal="center" vertical="center" wrapText="1"/>
    </xf>
    <xf numFmtId="0" fontId="0" fillId="0" borderId="19" xfId="1" applyFont="1" applyFill="1" applyBorder="1" applyAlignment="1">
      <alignment horizontal="center" vertical="center" wrapText="1"/>
    </xf>
    <xf numFmtId="0" fontId="0" fillId="0" borderId="19" xfId="1" applyFont="1" applyFill="1" applyBorder="1" applyAlignment="1">
      <alignment horizontal="center" vertical="center"/>
    </xf>
    <xf numFmtId="0" fontId="1" fillId="0" borderId="19" xfId="1" applyFont="1" applyFill="1" applyBorder="1" applyAlignment="1">
      <alignment horizontal="center" vertical="center" wrapText="1"/>
    </xf>
    <xf numFmtId="0" fontId="1" fillId="6" borderId="18" xfId="1" applyFont="1" applyFill="1" applyBorder="1" applyAlignment="1">
      <alignment horizontal="center" vertical="center" wrapText="1"/>
    </xf>
    <xf numFmtId="0" fontId="1" fillId="0" borderId="21" xfId="1" applyFont="1" applyFill="1" applyBorder="1" applyAlignment="1">
      <alignment horizontal="center" vertical="center" wrapText="1"/>
    </xf>
    <xf numFmtId="0" fontId="0" fillId="0" borderId="22" xfId="1" applyFont="1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 wrapText="1"/>
    </xf>
    <xf numFmtId="0" fontId="0" fillId="0" borderId="18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6" borderId="28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20" xfId="1" applyFont="1" applyFill="1" applyBorder="1" applyAlignment="1">
      <alignment horizontal="center" vertical="center" wrapText="1"/>
    </xf>
    <xf numFmtId="0" fontId="0" fillId="0" borderId="37" xfId="0" applyBorder="1" applyAlignment="1">
      <alignment horizontal="left" wrapText="1"/>
    </xf>
    <xf numFmtId="0" fontId="0" fillId="0" borderId="38" xfId="0" applyBorder="1" applyAlignment="1">
      <alignment horizontal="left" wrapText="1"/>
    </xf>
    <xf numFmtId="0" fontId="0" fillId="0" borderId="43" xfId="0" applyBorder="1" applyAlignment="1">
      <alignment horizontal="left" wrapText="1"/>
    </xf>
    <xf numFmtId="0" fontId="0" fillId="0" borderId="45" xfId="0" applyBorder="1" applyAlignment="1">
      <alignment horizontal="left" wrapText="1"/>
    </xf>
    <xf numFmtId="0" fontId="0" fillId="0" borderId="44" xfId="0" applyBorder="1" applyAlignment="1">
      <alignment horizontal="left" wrapText="1"/>
    </xf>
    <xf numFmtId="0" fontId="0" fillId="0" borderId="45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43" xfId="0" applyBorder="1" applyAlignment="1">
      <alignment wrapText="1"/>
    </xf>
    <xf numFmtId="0" fontId="2" fillId="0" borderId="20" xfId="1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2" fillId="2" borderId="9" xfId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19" xfId="1" applyFont="1" applyFill="1" applyBorder="1" applyAlignment="1">
      <alignment horizontal="left" vertical="center" wrapText="1"/>
    </xf>
    <xf numFmtId="0" fontId="9" fillId="3" borderId="11" xfId="1" applyFont="1" applyFill="1" applyBorder="1" applyAlignment="1">
      <alignment horizontal="center" vertical="center" wrapText="1"/>
    </xf>
    <xf numFmtId="0" fontId="7" fillId="0" borderId="19" xfId="1" applyFont="1" applyFill="1" applyBorder="1" applyAlignment="1">
      <alignment horizontal="center" vertical="center" wrapText="1"/>
    </xf>
    <xf numFmtId="0" fontId="2" fillId="6" borderId="49" xfId="1" applyFont="1" applyFill="1" applyBorder="1" applyAlignment="1">
      <alignment horizontal="center" vertical="center" wrapText="1"/>
    </xf>
    <xf numFmtId="0" fontId="2" fillId="6" borderId="28" xfId="1" applyFont="1" applyFill="1" applyBorder="1" applyAlignment="1">
      <alignment horizontal="center" vertical="center" wrapText="1"/>
    </xf>
    <xf numFmtId="0" fontId="0" fillId="0" borderId="37" xfId="0" applyBorder="1" applyAlignment="1">
      <alignment wrapText="1"/>
    </xf>
    <xf numFmtId="0" fontId="2" fillId="0" borderId="3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4" xfId="1" applyFont="1" applyBorder="1" applyAlignment="1">
      <alignment horizontal="center" vertical="center" wrapText="1"/>
    </xf>
    <xf numFmtId="0" fontId="0" fillId="0" borderId="37" xfId="1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 wrapText="1"/>
    </xf>
    <xf numFmtId="0" fontId="2" fillId="4" borderId="6" xfId="1" applyFont="1" applyFill="1" applyBorder="1" applyAlignment="1">
      <alignment horizontal="center" vertical="center" wrapText="1"/>
    </xf>
    <xf numFmtId="0" fontId="2" fillId="4" borderId="14" xfId="1" applyFont="1" applyFill="1" applyBorder="1" applyAlignment="1">
      <alignment horizontal="center" vertical="center" wrapText="1"/>
    </xf>
    <xf numFmtId="0" fontId="2" fillId="4" borderId="15" xfId="1" applyFont="1" applyFill="1" applyBorder="1" applyAlignment="1">
      <alignment horizontal="center" vertical="center" wrapText="1"/>
    </xf>
    <xf numFmtId="0" fontId="2" fillId="4" borderId="16" xfId="1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center" wrapText="1"/>
    </xf>
    <xf numFmtId="0" fontId="2" fillId="0" borderId="18" xfId="1" applyFont="1" applyFill="1" applyBorder="1" applyAlignment="1">
      <alignment horizontal="center" vertical="center" wrapText="1"/>
    </xf>
    <xf numFmtId="0" fontId="2" fillId="6" borderId="8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 wrapText="1"/>
    </xf>
    <xf numFmtId="0" fontId="2" fillId="4" borderId="9" xfId="1" applyFont="1" applyFill="1" applyBorder="1" applyAlignment="1">
      <alignment horizontal="center" vertical="center"/>
    </xf>
    <xf numFmtId="0" fontId="2" fillId="4" borderId="10" xfId="1" applyFont="1" applyFill="1" applyBorder="1" applyAlignment="1">
      <alignment horizontal="center" vertical="center"/>
    </xf>
    <xf numFmtId="0" fontId="2" fillId="0" borderId="12" xfId="1" applyFont="1" applyFill="1" applyBorder="1" applyAlignment="1">
      <alignment horizontal="center" vertical="center" wrapText="1"/>
    </xf>
    <xf numFmtId="0" fontId="2" fillId="0" borderId="21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/>
    </xf>
    <xf numFmtId="0" fontId="2" fillId="3" borderId="29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0" borderId="13" xfId="1" applyFont="1" applyFill="1" applyBorder="1" applyAlignment="1">
      <alignment horizontal="center" vertical="center" wrapText="1"/>
    </xf>
    <xf numFmtId="0" fontId="2" fillId="0" borderId="22" xfId="1" applyFont="1" applyFill="1" applyBorder="1" applyAlignment="1">
      <alignment horizontal="center" vertical="center" wrapText="1"/>
    </xf>
    <xf numFmtId="0" fontId="0" fillId="0" borderId="41" xfId="1" applyFont="1" applyBorder="1" applyAlignment="1">
      <alignment horizontal="center" vertical="center"/>
    </xf>
    <xf numFmtId="0" fontId="0" fillId="0" borderId="45" xfId="1" applyFont="1" applyBorder="1" applyAlignment="1">
      <alignment horizontal="center" vertical="center" wrapText="1"/>
    </xf>
    <xf numFmtId="0" fontId="0" fillId="6" borderId="45" xfId="1" applyFont="1" applyFill="1" applyBorder="1" applyAlignment="1">
      <alignment horizontal="center" vertical="center" wrapText="1"/>
    </xf>
    <xf numFmtId="0" fontId="0" fillId="6" borderId="43" xfId="1" applyFont="1" applyFill="1" applyBorder="1" applyAlignment="1">
      <alignment horizontal="center" vertical="center" wrapText="1"/>
    </xf>
    <xf numFmtId="0" fontId="0" fillId="0" borderId="43" xfId="1" applyFont="1" applyBorder="1" applyAlignment="1">
      <alignment horizontal="center" vertical="center" wrapText="1"/>
    </xf>
    <xf numFmtId="0" fontId="0" fillId="0" borderId="40" xfId="1" applyFont="1" applyBorder="1" applyAlignment="1">
      <alignment horizontal="center" vertical="center"/>
    </xf>
    <xf numFmtId="0" fontId="0" fillId="0" borderId="42" xfId="1" applyFont="1" applyBorder="1" applyAlignment="1">
      <alignment horizontal="center" vertical="center"/>
    </xf>
    <xf numFmtId="0" fontId="0" fillId="0" borderId="40" xfId="1" applyFont="1" applyBorder="1" applyAlignment="1">
      <alignment horizontal="center" vertical="center" wrapText="1"/>
    </xf>
    <xf numFmtId="0" fontId="0" fillId="0" borderId="41" xfId="1" applyFont="1" applyBorder="1" applyAlignment="1">
      <alignment horizontal="center" vertical="center" wrapText="1"/>
    </xf>
    <xf numFmtId="0" fontId="0" fillId="0" borderId="42" xfId="1" applyFont="1" applyBorder="1" applyAlignment="1">
      <alignment horizontal="center" vertical="center" wrapText="1"/>
    </xf>
    <xf numFmtId="0" fontId="0" fillId="8" borderId="40" xfId="1" applyFont="1" applyFill="1" applyBorder="1" applyAlignment="1">
      <alignment horizontal="center" vertical="center" wrapText="1"/>
    </xf>
    <xf numFmtId="0" fontId="0" fillId="8" borderId="41" xfId="1" applyFont="1" applyFill="1" applyBorder="1" applyAlignment="1">
      <alignment horizontal="center" vertical="center" wrapText="1"/>
    </xf>
    <xf numFmtId="0" fontId="0" fillId="8" borderId="42" xfId="1" applyFont="1" applyFill="1" applyBorder="1" applyAlignment="1">
      <alignment horizontal="center" vertical="center" wrapText="1"/>
    </xf>
    <xf numFmtId="0" fontId="0" fillId="0" borderId="6" xfId="1" applyFont="1" applyBorder="1" applyAlignment="1">
      <alignment horizontal="center" vertical="center"/>
    </xf>
    <xf numFmtId="0" fontId="0" fillId="0" borderId="35" xfId="1" applyFont="1" applyBorder="1" applyAlignment="1">
      <alignment horizontal="center" vertical="center"/>
    </xf>
    <xf numFmtId="0" fontId="0" fillId="0" borderId="44" xfId="0" applyBorder="1" applyAlignment="1">
      <alignment horizontal="left" vertical="center" wrapText="1"/>
    </xf>
    <xf numFmtId="0" fontId="0" fillId="0" borderId="27" xfId="1" applyFont="1" applyBorder="1" applyAlignment="1">
      <alignment horizontal="center" vertical="center"/>
    </xf>
    <xf numFmtId="0" fontId="0" fillId="0" borderId="38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44" xfId="1" applyFont="1" applyBorder="1" applyAlignment="1">
      <alignment horizontal="center" vertical="center" wrapText="1"/>
    </xf>
    <xf numFmtId="0" fontId="1" fillId="0" borderId="45" xfId="1" applyFont="1" applyBorder="1" applyAlignment="1">
      <alignment horizontal="center" vertical="center" wrapText="1"/>
    </xf>
    <xf numFmtId="0" fontId="1" fillId="0" borderId="43" xfId="1" applyFont="1" applyBorder="1" applyAlignment="1">
      <alignment horizontal="center" vertical="center" wrapText="1"/>
    </xf>
    <xf numFmtId="0" fontId="0" fillId="0" borderId="11" xfId="0" applyBorder="1"/>
    <xf numFmtId="0" fontId="10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wrapText="1"/>
    </xf>
    <xf numFmtId="0" fontId="0" fillId="0" borderId="48" xfId="0" applyBorder="1"/>
    <xf numFmtId="0" fontId="0" fillId="0" borderId="32" xfId="0" applyBorder="1"/>
    <xf numFmtId="0" fontId="0" fillId="0" borderId="25" xfId="0" applyBorder="1"/>
    <xf numFmtId="0" fontId="0" fillId="0" borderId="30" xfId="0" applyBorder="1"/>
    <xf numFmtId="0" fontId="0" fillId="0" borderId="13" xfId="0" applyBorder="1"/>
    <xf numFmtId="0" fontId="0" fillId="0" borderId="52" xfId="0" applyBorder="1"/>
    <xf numFmtId="0" fontId="12" fillId="0" borderId="32" xfId="0" applyFont="1" applyBorder="1" applyAlignment="1">
      <alignment wrapText="1"/>
    </xf>
    <xf numFmtId="0" fontId="12" fillId="0" borderId="25" xfId="0" applyFont="1" applyBorder="1" applyAlignment="1">
      <alignment wrapText="1"/>
    </xf>
    <xf numFmtId="0" fontId="12" fillId="0" borderId="48" xfId="0" applyFont="1" applyBorder="1" applyAlignment="1">
      <alignment wrapText="1"/>
    </xf>
    <xf numFmtId="0" fontId="10" fillId="0" borderId="3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wrapText="1"/>
    </xf>
    <xf numFmtId="0" fontId="10" fillId="9" borderId="8" xfId="0" applyFont="1" applyFill="1" applyBorder="1" applyAlignment="1">
      <alignment wrapText="1"/>
    </xf>
    <xf numFmtId="0" fontId="10" fillId="7" borderId="8" xfId="0" applyFont="1" applyFill="1" applyBorder="1" applyAlignment="1">
      <alignment wrapText="1"/>
    </xf>
    <xf numFmtId="0" fontId="10" fillId="8" borderId="8" xfId="0" applyFont="1" applyFill="1" applyBorder="1" applyAlignment="1">
      <alignment wrapText="1"/>
    </xf>
    <xf numFmtId="0" fontId="0" fillId="0" borderId="45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5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3" xfId="0" applyBorder="1" applyAlignment="1">
      <alignment vertical="center" wrapText="1"/>
    </xf>
    <xf numFmtId="0" fontId="2" fillId="0" borderId="55" xfId="0" applyFont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0" fillId="0" borderId="56" xfId="0" applyBorder="1" applyAlignment="1">
      <alignment horizontal="left" wrapText="1"/>
    </xf>
    <xf numFmtId="0" fontId="0" fillId="0" borderId="56" xfId="0" applyBorder="1" applyAlignment="1">
      <alignment wrapText="1"/>
    </xf>
    <xf numFmtId="0" fontId="0" fillId="0" borderId="57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29" xfId="0" applyBorder="1" applyAlignment="1">
      <alignment wrapText="1"/>
    </xf>
    <xf numFmtId="0" fontId="0" fillId="0" borderId="57" xfId="0" applyBorder="1" applyAlignment="1">
      <alignment wrapText="1"/>
    </xf>
    <xf numFmtId="0" fontId="0" fillId="3" borderId="45" xfId="0" applyFill="1" applyBorder="1" applyAlignment="1">
      <alignment horizontal="left"/>
    </xf>
    <xf numFmtId="0" fontId="0" fillId="3" borderId="44" xfId="0" applyFill="1" applyBorder="1" applyAlignment="1">
      <alignment horizontal="left"/>
    </xf>
    <xf numFmtId="0" fontId="0" fillId="0" borderId="44" xfId="0" applyBorder="1" applyAlignment="1">
      <alignment horizontal="left"/>
    </xf>
    <xf numFmtId="0" fontId="0" fillId="3" borderId="43" xfId="0" applyFill="1" applyBorder="1" applyAlignment="1">
      <alignment horizontal="left"/>
    </xf>
    <xf numFmtId="0" fontId="0" fillId="0" borderId="43" xfId="0" applyBorder="1" applyAlignment="1">
      <alignment horizontal="left"/>
    </xf>
    <xf numFmtId="0" fontId="0" fillId="0" borderId="45" xfId="0" applyBorder="1" applyAlignment="1">
      <alignment horizontal="left"/>
    </xf>
    <xf numFmtId="0" fontId="0" fillId="9" borderId="44" xfId="0" applyFill="1" applyBorder="1" applyAlignment="1">
      <alignment horizontal="left"/>
    </xf>
    <xf numFmtId="0" fontId="0" fillId="0" borderId="43" xfId="0" applyBorder="1"/>
    <xf numFmtId="0" fontId="0" fillId="9" borderId="43" xfId="0" applyFill="1" applyBorder="1" applyAlignment="1">
      <alignment horizontal="left"/>
    </xf>
    <xf numFmtId="0" fontId="0" fillId="3" borderId="38" xfId="0" applyFill="1" applyBorder="1" applyAlignment="1">
      <alignment horizontal="left"/>
    </xf>
    <xf numFmtId="0" fontId="0" fillId="0" borderId="44" xfId="0" applyBorder="1" applyAlignment="1">
      <alignment vertical="center" wrapText="1"/>
    </xf>
    <xf numFmtId="0" fontId="2" fillId="8" borderId="55" xfId="0" applyFont="1" applyFill="1" applyBorder="1" applyAlignment="1">
      <alignment horizontal="center" vertical="center" wrapText="1"/>
    </xf>
    <xf numFmtId="0" fontId="0" fillId="0" borderId="29" xfId="0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15" xfId="0" applyBorder="1" applyAlignment="1">
      <alignment wrapText="1"/>
    </xf>
    <xf numFmtId="0" fontId="2" fillId="0" borderId="33" xfId="0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51" xfId="0" applyFont="1" applyFill="1" applyBorder="1" applyAlignment="1">
      <alignment horizontal="left" vertical="center" wrapText="1"/>
    </xf>
    <xf numFmtId="0" fontId="7" fillId="0" borderId="36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51" xfId="0" applyFont="1" applyBorder="1" applyAlignment="1">
      <alignment wrapText="1"/>
    </xf>
    <xf numFmtId="0" fontId="7" fillId="0" borderId="36" xfId="0" applyFont="1" applyFill="1" applyBorder="1" applyAlignment="1">
      <alignment horizontal="left" vertical="center" wrapText="1"/>
    </xf>
    <xf numFmtId="0" fontId="7" fillId="0" borderId="51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51" xfId="0" applyFont="1" applyBorder="1" applyAlignment="1">
      <alignment horizontal="left" vertical="center" wrapText="1"/>
    </xf>
    <xf numFmtId="0" fontId="16" fillId="0" borderId="51" xfId="0" applyFont="1" applyBorder="1" applyAlignment="1">
      <alignment wrapText="1"/>
    </xf>
    <xf numFmtId="0" fontId="7" fillId="0" borderId="49" xfId="0" applyFont="1" applyBorder="1" applyAlignment="1">
      <alignment wrapText="1"/>
    </xf>
    <xf numFmtId="0" fontId="7" fillId="0" borderId="50" xfId="0" applyFont="1" applyBorder="1" applyAlignment="1">
      <alignment wrapText="1"/>
    </xf>
    <xf numFmtId="0" fontId="2" fillId="0" borderId="39" xfId="0" applyFont="1" applyFill="1" applyBorder="1" applyAlignment="1">
      <alignment horizontal="center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4" xfId="0" applyFont="1" applyBorder="1" applyAlignment="1">
      <alignment vertical="center" wrapText="1"/>
    </xf>
    <xf numFmtId="0" fontId="10" fillId="0" borderId="43" xfId="0" applyFont="1" applyBorder="1" applyAlignment="1">
      <alignment horizontal="left" vertical="center" wrapText="1"/>
    </xf>
    <xf numFmtId="0" fontId="10" fillId="0" borderId="45" xfId="0" applyFont="1" applyBorder="1" applyAlignment="1">
      <alignment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left" vertical="center" wrapText="1"/>
    </xf>
    <xf numFmtId="0" fontId="10" fillId="0" borderId="38" xfId="0" applyFont="1" applyBorder="1" applyAlignment="1">
      <alignment horizontal="left" vertical="center" wrapText="1"/>
    </xf>
    <xf numFmtId="0" fontId="7" fillId="0" borderId="31" xfId="0" applyFont="1" applyBorder="1" applyAlignment="1">
      <alignment wrapText="1"/>
    </xf>
    <xf numFmtId="0" fontId="0" fillId="0" borderId="54" xfId="0" applyBorder="1"/>
    <xf numFmtId="0" fontId="2" fillId="0" borderId="34" xfId="0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17" xfId="1" applyFont="1" applyBorder="1" applyAlignment="1">
      <alignment horizontal="center" vertical="center" wrapText="1"/>
    </xf>
    <xf numFmtId="0" fontId="1" fillId="0" borderId="26" xfId="1" applyFont="1" applyBorder="1" applyAlignment="1">
      <alignment horizontal="center" vertical="center" wrapText="1"/>
    </xf>
    <xf numFmtId="0" fontId="0" fillId="0" borderId="3" xfId="1" applyFont="1" applyBorder="1" applyAlignment="1">
      <alignment horizontal="center" vertical="center" wrapText="1"/>
    </xf>
    <xf numFmtId="0" fontId="0" fillId="0" borderId="17" xfId="1" applyFont="1" applyBorder="1" applyAlignment="1">
      <alignment horizontal="center" vertical="center" wrapText="1"/>
    </xf>
    <xf numFmtId="0" fontId="0" fillId="0" borderId="26" xfId="1" applyFont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 wrapText="1"/>
    </xf>
    <xf numFmtId="0" fontId="17" fillId="0" borderId="17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 wrapText="1"/>
    </xf>
    <xf numFmtId="0" fontId="0" fillId="0" borderId="47" xfId="1" applyFont="1" applyBorder="1" applyAlignment="1">
      <alignment horizontal="center" vertical="center" wrapText="1"/>
    </xf>
    <xf numFmtId="0" fontId="0" fillId="0" borderId="35" xfId="1" applyFont="1" applyBorder="1" applyAlignment="1">
      <alignment horizontal="center" vertical="center" wrapText="1"/>
    </xf>
    <xf numFmtId="0" fontId="0" fillId="0" borderId="27" xfId="1" applyFont="1" applyBorder="1" applyAlignment="1">
      <alignment horizontal="center" vertical="center" wrapText="1"/>
    </xf>
    <xf numFmtId="0" fontId="0" fillId="8" borderId="45" xfId="1" applyFont="1" applyFill="1" applyBorder="1" applyAlignment="1">
      <alignment horizontal="center" vertical="center" wrapText="1"/>
    </xf>
    <xf numFmtId="0" fontId="0" fillId="8" borderId="44" xfId="1" applyFont="1" applyFill="1" applyBorder="1" applyAlignment="1">
      <alignment horizontal="center" vertical="center" wrapText="1"/>
    </xf>
    <xf numFmtId="0" fontId="0" fillId="8" borderId="43" xfId="1" applyFont="1" applyFill="1" applyBorder="1" applyAlignment="1">
      <alignment horizontal="center" vertical="center" wrapText="1"/>
    </xf>
    <xf numFmtId="0" fontId="17" fillId="0" borderId="45" xfId="1" applyFont="1" applyBorder="1" applyAlignment="1">
      <alignment horizontal="center" vertical="center" wrapText="1"/>
    </xf>
    <xf numFmtId="0" fontId="17" fillId="0" borderId="44" xfId="1" applyFont="1" applyBorder="1" applyAlignment="1">
      <alignment horizontal="center" vertical="center" wrapText="1"/>
    </xf>
    <xf numFmtId="0" fontId="17" fillId="0" borderId="43" xfId="1" applyFont="1" applyBorder="1" applyAlignment="1">
      <alignment horizontal="center" vertical="center" wrapText="1"/>
    </xf>
    <xf numFmtId="0" fontId="0" fillId="10" borderId="45" xfId="1" applyFont="1" applyFill="1" applyBorder="1" applyAlignment="1">
      <alignment horizontal="center" vertical="center" wrapText="1"/>
    </xf>
    <xf numFmtId="0" fontId="0" fillId="10" borderId="44" xfId="1" applyFont="1" applyFill="1" applyBorder="1" applyAlignment="1">
      <alignment horizontal="center" vertical="center" wrapText="1"/>
    </xf>
    <xf numFmtId="0" fontId="0" fillId="10" borderId="43" xfId="1" applyFont="1" applyFill="1" applyBorder="1" applyAlignment="1">
      <alignment horizontal="center" vertical="center" wrapText="1"/>
    </xf>
    <xf numFmtId="0" fontId="2" fillId="11" borderId="55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left" wrapText="1"/>
    </xf>
    <xf numFmtId="0" fontId="0" fillId="11" borderId="29" xfId="0" applyFill="1" applyBorder="1" applyAlignment="1">
      <alignment horizontal="left" wrapText="1"/>
    </xf>
    <xf numFmtId="0" fontId="0" fillId="11" borderId="56" xfId="0" applyFill="1" applyBorder="1" applyAlignment="1">
      <alignment horizontal="left" wrapText="1"/>
    </xf>
    <xf numFmtId="0" fontId="0" fillId="11" borderId="56" xfId="0" applyFill="1" applyBorder="1" applyAlignment="1">
      <alignment wrapText="1"/>
    </xf>
    <xf numFmtId="0" fontId="0" fillId="11" borderId="57" xfId="0" applyFill="1" applyBorder="1" applyAlignment="1">
      <alignment horizontal="left" wrapText="1"/>
    </xf>
    <xf numFmtId="0" fontId="0" fillId="11" borderId="15" xfId="0" applyFill="1" applyBorder="1" applyAlignment="1">
      <alignment horizontal="left" wrapText="1"/>
    </xf>
    <xf numFmtId="0" fontId="2" fillId="6" borderId="49" xfId="1" applyFont="1" applyFill="1" applyBorder="1" applyAlignment="1">
      <alignment vertical="center" wrapText="1"/>
    </xf>
    <xf numFmtId="0" fontId="2" fillId="6" borderId="28" xfId="1" applyFont="1" applyFill="1" applyBorder="1" applyAlignment="1">
      <alignment vertical="center" wrapText="1"/>
    </xf>
    <xf numFmtId="0" fontId="1" fillId="6" borderId="28" xfId="1" applyFont="1" applyFill="1" applyBorder="1" applyAlignment="1">
      <alignment vertical="center"/>
    </xf>
    <xf numFmtId="0" fontId="0" fillId="0" borderId="2" xfId="0" applyFont="1" applyBorder="1" applyAlignment="1">
      <alignment vertical="center" wrapText="1"/>
    </xf>
    <xf numFmtId="0" fontId="0" fillId="0" borderId="29" xfId="0" applyFont="1" applyBorder="1" applyAlignment="1">
      <alignment vertical="center" wrapText="1"/>
    </xf>
    <xf numFmtId="0" fontId="0" fillId="0" borderId="56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13" fillId="0" borderId="2" xfId="1" applyFont="1" applyBorder="1" applyAlignment="1">
      <alignment vertical="center" wrapText="1"/>
    </xf>
    <xf numFmtId="0" fontId="13" fillId="0" borderId="29" xfId="1" applyFont="1" applyBorder="1" applyAlignment="1">
      <alignment vertical="center" wrapText="1"/>
    </xf>
    <xf numFmtId="0" fontId="13" fillId="0" borderId="56" xfId="1" applyFont="1" applyBorder="1" applyAlignment="1">
      <alignment vertical="center" wrapText="1"/>
    </xf>
    <xf numFmtId="0" fontId="0" fillId="0" borderId="57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13" fillId="0" borderId="40" xfId="1" applyFont="1" applyBorder="1" applyAlignment="1">
      <alignment vertical="center" wrapText="1"/>
    </xf>
    <xf numFmtId="0" fontId="13" fillId="0" borderId="41" xfId="1" applyFont="1" applyBorder="1" applyAlignment="1">
      <alignment vertical="center" wrapText="1"/>
    </xf>
    <xf numFmtId="0" fontId="13" fillId="0" borderId="42" xfId="1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53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31" xfId="0" applyFont="1" applyFill="1" applyBorder="1" applyAlignment="1">
      <alignment horizontal="left" vertical="center" wrapText="1"/>
    </xf>
    <xf numFmtId="0" fontId="13" fillId="0" borderId="40" xfId="1" applyFont="1" applyBorder="1" applyAlignment="1">
      <alignment horizontal="left" vertical="center" wrapText="1"/>
    </xf>
    <xf numFmtId="0" fontId="13" fillId="0" borderId="41" xfId="1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90"/>
  <sheetViews>
    <sheetView tabSelected="1" topLeftCell="A13" zoomScale="70" zoomScaleNormal="70" workbookViewId="0">
      <pane xSplit="5" ySplit="2" topLeftCell="J29" activePane="bottomRight" state="frozen"/>
      <selection activeCell="A13" sqref="A13"/>
      <selection pane="topRight" activeCell="D13" sqref="D13"/>
      <selection pane="bottomLeft" activeCell="A15" sqref="A15"/>
      <selection pane="bottomRight" activeCell="D34" sqref="D34:D38"/>
    </sheetView>
  </sheetViews>
  <sheetFormatPr defaultRowHeight="15" x14ac:dyDescent="0.25"/>
  <cols>
    <col min="1" max="1" width="2.28515625" customWidth="1"/>
    <col min="2" max="2" width="9" style="103" bestFit="1" customWidth="1"/>
    <col min="3" max="3" width="5.5703125" style="103" bestFit="1" customWidth="1"/>
    <col min="4" max="4" width="30.7109375" style="22" customWidth="1"/>
    <col min="5" max="5" width="12" style="37" customWidth="1"/>
    <col min="6" max="6" width="15.7109375" style="22" customWidth="1"/>
    <col min="7" max="7" width="10.7109375" style="38" hidden="1" customWidth="1"/>
    <col min="8" max="8" width="10.7109375" style="20" hidden="1" customWidth="1"/>
    <col min="9" max="9" width="10.7109375" hidden="1" customWidth="1"/>
    <col min="10" max="11" width="10.7109375" style="20" customWidth="1"/>
    <col min="12" max="13" width="10.7109375" style="20" hidden="1" customWidth="1"/>
    <col min="14" max="14" width="40.7109375" style="20" customWidth="1"/>
    <col min="15" max="15" width="40.7109375" style="22" customWidth="1"/>
    <col min="16" max="16" width="30.7109375" style="35" customWidth="1"/>
    <col min="17" max="17" width="30.7109375" customWidth="1"/>
    <col min="18" max="19" width="9.140625" customWidth="1"/>
    <col min="20" max="20" width="6.28515625" customWidth="1"/>
    <col min="21" max="21" width="10.140625" customWidth="1"/>
    <col min="22" max="23" width="8.5703125" customWidth="1"/>
    <col min="24" max="24" width="7.5703125" customWidth="1"/>
    <col min="25" max="25" width="5.5703125" customWidth="1"/>
    <col min="26" max="26" width="9.140625" customWidth="1"/>
    <col min="27" max="27" width="6.140625" customWidth="1"/>
    <col min="28" max="28" width="5.5703125" customWidth="1"/>
    <col min="29" max="29" width="9.140625" customWidth="1"/>
    <col min="30" max="30" width="9.7109375" customWidth="1"/>
    <col min="31" max="32" width="7.28515625" customWidth="1"/>
    <col min="33" max="33" width="6.7109375" customWidth="1"/>
  </cols>
  <sheetData>
    <row r="1" spans="2:34" ht="15.75" thickBot="1" x14ac:dyDescent="0.3"/>
    <row r="2" spans="2:34" x14ac:dyDescent="0.25">
      <c r="B2" s="52"/>
      <c r="C2" s="52"/>
      <c r="D2" s="52"/>
      <c r="E2" s="52"/>
      <c r="F2" s="52"/>
      <c r="G2" s="52"/>
      <c r="H2" s="52"/>
      <c r="I2" s="52"/>
      <c r="J2" s="52"/>
      <c r="K2" s="53"/>
      <c r="L2" s="53"/>
      <c r="M2" s="53"/>
      <c r="N2" s="53"/>
      <c r="O2" s="53"/>
      <c r="P2" s="53"/>
      <c r="Q2" s="53"/>
      <c r="R2" s="53"/>
      <c r="S2" s="53"/>
      <c r="T2" s="54"/>
      <c r="U2" s="55" t="s">
        <v>235</v>
      </c>
      <c r="V2" s="56"/>
      <c r="W2" s="56"/>
      <c r="X2" s="56"/>
      <c r="Y2" s="56"/>
      <c r="Z2" s="56"/>
      <c r="AA2" s="56"/>
      <c r="AB2" s="56"/>
      <c r="AC2" s="56"/>
      <c r="AD2" s="56"/>
      <c r="AE2" s="57" t="s">
        <v>0</v>
      </c>
      <c r="AF2" s="58"/>
      <c r="AG2" s="59"/>
      <c r="AH2" s="63" t="s">
        <v>1</v>
      </c>
    </row>
    <row r="3" spans="2:34" x14ac:dyDescent="0.25">
      <c r="B3" s="42"/>
      <c r="C3" s="42"/>
      <c r="D3" s="225"/>
      <c r="E3" s="66" t="s">
        <v>3</v>
      </c>
      <c r="F3" s="36" t="s">
        <v>4</v>
      </c>
      <c r="G3" s="68" t="s">
        <v>5</v>
      </c>
      <c r="H3" s="69"/>
      <c r="I3" s="1"/>
      <c r="J3" s="66" t="s">
        <v>6</v>
      </c>
      <c r="K3" s="72" t="s">
        <v>2</v>
      </c>
      <c r="L3" s="78" t="s">
        <v>4</v>
      </c>
      <c r="M3" s="79"/>
      <c r="N3" s="79"/>
      <c r="O3" s="80"/>
      <c r="P3" s="40"/>
      <c r="Q3" s="78" t="s">
        <v>5</v>
      </c>
      <c r="R3" s="80"/>
      <c r="S3" s="2"/>
      <c r="T3" s="81" t="s">
        <v>6</v>
      </c>
      <c r="U3" s="70" t="s">
        <v>7</v>
      </c>
      <c r="V3" s="72" t="s">
        <v>2</v>
      </c>
      <c r="W3" s="66" t="s">
        <v>3</v>
      </c>
      <c r="X3" s="74" t="s">
        <v>4</v>
      </c>
      <c r="Y3" s="75"/>
      <c r="Z3" s="3"/>
      <c r="AA3" s="74" t="s">
        <v>5</v>
      </c>
      <c r="AB3" s="75"/>
      <c r="AC3" s="3"/>
      <c r="AD3" s="76" t="s">
        <v>6</v>
      </c>
      <c r="AE3" s="60"/>
      <c r="AF3" s="61"/>
      <c r="AG3" s="62"/>
      <c r="AH3" s="64"/>
    </row>
    <row r="4" spans="2:34" ht="45.75" thickBot="1" x14ac:dyDescent="0.3">
      <c r="B4" s="43"/>
      <c r="C4" s="43"/>
      <c r="D4" s="226"/>
      <c r="E4" s="67"/>
      <c r="F4" s="4" t="s">
        <v>8</v>
      </c>
      <c r="G4" s="33" t="s">
        <v>8</v>
      </c>
      <c r="H4" s="4" t="s">
        <v>9</v>
      </c>
      <c r="I4" s="4" t="s">
        <v>11</v>
      </c>
      <c r="J4" s="67"/>
      <c r="K4" s="73"/>
      <c r="L4" s="4" t="s">
        <v>8</v>
      </c>
      <c r="M4" s="4"/>
      <c r="N4" s="4"/>
      <c r="O4" s="4" t="s">
        <v>9</v>
      </c>
      <c r="P4" s="23" t="s">
        <v>10</v>
      </c>
      <c r="Q4" s="4" t="s">
        <v>8</v>
      </c>
      <c r="R4" s="4" t="s">
        <v>9</v>
      </c>
      <c r="S4" s="4" t="s">
        <v>11</v>
      </c>
      <c r="T4" s="82"/>
      <c r="U4" s="71"/>
      <c r="V4" s="73"/>
      <c r="W4" s="67"/>
      <c r="X4" s="4" t="s">
        <v>8</v>
      </c>
      <c r="Y4" s="4" t="s">
        <v>9</v>
      </c>
      <c r="Z4" s="4" t="s">
        <v>10</v>
      </c>
      <c r="AA4" s="4" t="s">
        <v>8</v>
      </c>
      <c r="AB4" s="4" t="s">
        <v>9</v>
      </c>
      <c r="AC4" s="4" t="s">
        <v>11</v>
      </c>
      <c r="AD4" s="77"/>
      <c r="AE4" s="5" t="s">
        <v>2</v>
      </c>
      <c r="AF4" s="6" t="s">
        <v>12</v>
      </c>
      <c r="AG4" s="7" t="s">
        <v>8</v>
      </c>
      <c r="AH4" s="65"/>
    </row>
    <row r="5" spans="2:34" ht="15.75" thickBot="1" x14ac:dyDescent="0.3">
      <c r="B5" s="21"/>
      <c r="C5" s="21"/>
      <c r="D5" s="227"/>
      <c r="E5" s="14">
        <v>150</v>
      </c>
      <c r="F5" s="8" t="e">
        <f>IF(E5&lt;=#REF!,"Tidak","Ya")</f>
        <v>#REF!</v>
      </c>
      <c r="G5" s="39" t="e">
        <f>IF(#REF!="Ya","L2",0)</f>
        <v>#REF!</v>
      </c>
      <c r="H5" s="14" t="e">
        <f t="shared" ref="H5:I5" si="0">IF(G5="Ya","L2",0)</f>
        <v>#REF!</v>
      </c>
      <c r="I5" s="8" t="e">
        <f t="shared" si="0"/>
        <v>#REF!</v>
      </c>
      <c r="J5" s="14" t="e">
        <f>IF(F5="Ya","LA10",0)</f>
        <v>#REF!</v>
      </c>
      <c r="K5" s="9">
        <v>60</v>
      </c>
      <c r="L5" s="14" t="e">
        <f>IF(K5&lt;=#REF!,"Ya","Tidak")</f>
        <v>#REF!</v>
      </c>
      <c r="M5" s="14"/>
      <c r="N5" s="14"/>
      <c r="O5" s="8" t="e">
        <f>IF(L5="Ya","O1",0)</f>
        <v>#REF!</v>
      </c>
      <c r="P5" s="41" t="e">
        <f t="shared" ref="P5:S5" si="1">IF(O5="Ya","L2",0)</f>
        <v>#REF!</v>
      </c>
      <c r="Q5" s="8" t="e">
        <f t="shared" si="1"/>
        <v>#REF!</v>
      </c>
      <c r="R5" s="8" t="e">
        <f t="shared" si="1"/>
        <v>#REF!</v>
      </c>
      <c r="S5" s="8" t="e">
        <f t="shared" si="1"/>
        <v>#REF!</v>
      </c>
      <c r="T5" s="8" t="e">
        <f>IF(L5="Ya","WT03",0)</f>
        <v>#REF!</v>
      </c>
      <c r="U5" s="10" t="s">
        <v>13</v>
      </c>
      <c r="V5" s="11" t="s">
        <v>14</v>
      </c>
      <c r="W5" s="12" t="s">
        <v>14</v>
      </c>
      <c r="X5" s="13" t="str">
        <f>IF(V5=W5,"Tidak","Ya")</f>
        <v>Tidak</v>
      </c>
      <c r="Y5" s="12" t="str">
        <f>IF(X5="Ya","G2","0")</f>
        <v>0</v>
      </c>
      <c r="Z5" s="14">
        <v>1</v>
      </c>
      <c r="AA5" s="14">
        <v>0</v>
      </c>
      <c r="AB5" s="14" t="s">
        <v>228</v>
      </c>
      <c r="AC5" s="14">
        <v>1</v>
      </c>
      <c r="AD5" s="8" t="str">
        <f>IF(X5="Ya","PT08","0")</f>
        <v>0</v>
      </c>
      <c r="AE5" s="15">
        <v>0</v>
      </c>
      <c r="AF5" s="16">
        <v>0.2</v>
      </c>
      <c r="AG5" s="17" t="str">
        <f>IF(AF5&lt;=AE5,"Tidak","Ya")</f>
        <v>Ya</v>
      </c>
      <c r="AH5" s="18" t="e">
        <f>IF(F5="Tidak",IF(L5="Tidak",IF(X5="Ya",IF(AG5="Ya","Jalan","Tidak Jalan"),"Tidak Jalan"),"Tidak Jalan"),"Tidak Jalan")</f>
        <v>#REF!</v>
      </c>
    </row>
    <row r="7" spans="2:34" ht="15.75" thickBot="1" x14ac:dyDescent="0.3"/>
    <row r="8" spans="2:34" x14ac:dyDescent="0.25">
      <c r="B8" s="52"/>
      <c r="C8" s="52"/>
      <c r="D8" s="52"/>
      <c r="E8" s="52"/>
      <c r="F8" s="52"/>
      <c r="G8" s="52"/>
      <c r="H8" s="52"/>
      <c r="I8" s="52"/>
      <c r="J8" s="52"/>
      <c r="K8" s="53"/>
      <c r="L8" s="53"/>
      <c r="M8" s="53"/>
      <c r="N8" s="53"/>
      <c r="O8" s="53"/>
      <c r="P8" s="53"/>
      <c r="Q8" s="53"/>
      <c r="R8" s="53"/>
      <c r="S8" s="53"/>
      <c r="T8" s="54"/>
      <c r="U8" s="55" t="s">
        <v>235</v>
      </c>
      <c r="V8" s="56"/>
      <c r="W8" s="56"/>
      <c r="X8" s="56"/>
      <c r="Y8" s="56"/>
      <c r="Z8" s="56"/>
      <c r="AA8" s="56"/>
      <c r="AB8" s="56"/>
      <c r="AC8" s="56"/>
      <c r="AD8" s="56"/>
      <c r="AE8" s="57" t="s">
        <v>0</v>
      </c>
      <c r="AF8" s="58"/>
      <c r="AG8" s="59"/>
      <c r="AH8" s="63" t="s">
        <v>1</v>
      </c>
    </row>
    <row r="9" spans="2:34" x14ac:dyDescent="0.25">
      <c r="B9" s="42"/>
      <c r="C9" s="42"/>
      <c r="D9" s="225"/>
      <c r="E9" s="66" t="s">
        <v>3</v>
      </c>
      <c r="F9" s="36" t="s">
        <v>4</v>
      </c>
      <c r="G9" s="68" t="s">
        <v>5</v>
      </c>
      <c r="H9" s="69"/>
      <c r="I9" s="1"/>
      <c r="J9" s="66" t="s">
        <v>6</v>
      </c>
      <c r="K9" s="72" t="s">
        <v>2</v>
      </c>
      <c r="L9" s="78" t="s">
        <v>4</v>
      </c>
      <c r="M9" s="79"/>
      <c r="N9" s="79"/>
      <c r="O9" s="80"/>
      <c r="P9" s="40"/>
      <c r="Q9" s="78" t="s">
        <v>5</v>
      </c>
      <c r="R9" s="80"/>
      <c r="S9" s="2"/>
      <c r="T9" s="81" t="s">
        <v>6</v>
      </c>
      <c r="U9" s="70" t="s">
        <v>7</v>
      </c>
      <c r="V9" s="72" t="s">
        <v>2</v>
      </c>
      <c r="W9" s="66" t="s">
        <v>3</v>
      </c>
      <c r="X9" s="74" t="s">
        <v>4</v>
      </c>
      <c r="Y9" s="75"/>
      <c r="Z9" s="3"/>
      <c r="AA9" s="74" t="s">
        <v>5</v>
      </c>
      <c r="AB9" s="75"/>
      <c r="AC9" s="3"/>
      <c r="AD9" s="76" t="s">
        <v>6</v>
      </c>
      <c r="AE9" s="60"/>
      <c r="AF9" s="61"/>
      <c r="AG9" s="62"/>
      <c r="AH9" s="64"/>
    </row>
    <row r="10" spans="2:34" ht="45.75" thickBot="1" x14ac:dyDescent="0.3">
      <c r="B10" s="43"/>
      <c r="C10" s="43"/>
      <c r="D10" s="226"/>
      <c r="E10" s="67"/>
      <c r="F10" s="4" t="s">
        <v>8</v>
      </c>
      <c r="G10" s="33" t="s">
        <v>8</v>
      </c>
      <c r="H10" s="4" t="s">
        <v>9</v>
      </c>
      <c r="I10" s="4" t="s">
        <v>11</v>
      </c>
      <c r="J10" s="67"/>
      <c r="K10" s="73"/>
      <c r="L10" s="4" t="s">
        <v>8</v>
      </c>
      <c r="M10" s="4"/>
      <c r="N10" s="4"/>
      <c r="O10" s="4" t="s">
        <v>9</v>
      </c>
      <c r="P10" s="23" t="s">
        <v>10</v>
      </c>
      <c r="Q10" s="4" t="s">
        <v>8</v>
      </c>
      <c r="R10" s="4" t="s">
        <v>9</v>
      </c>
      <c r="S10" s="4" t="s">
        <v>11</v>
      </c>
      <c r="T10" s="82"/>
      <c r="U10" s="71"/>
      <c r="V10" s="73"/>
      <c r="W10" s="67"/>
      <c r="X10" s="4" t="s">
        <v>8</v>
      </c>
      <c r="Y10" s="4" t="s">
        <v>9</v>
      </c>
      <c r="Z10" s="4" t="s">
        <v>10</v>
      </c>
      <c r="AA10" s="4" t="s">
        <v>8</v>
      </c>
      <c r="AB10" s="4" t="s">
        <v>9</v>
      </c>
      <c r="AC10" s="4" t="s">
        <v>11</v>
      </c>
      <c r="AD10" s="77"/>
      <c r="AE10" s="5" t="s">
        <v>2</v>
      </c>
      <c r="AF10" s="6" t="s">
        <v>12</v>
      </c>
      <c r="AG10" s="7" t="s">
        <v>8</v>
      </c>
      <c r="AH10" s="65"/>
    </row>
    <row r="11" spans="2:34" ht="15.75" thickBot="1" x14ac:dyDescent="0.3">
      <c r="B11" s="21"/>
      <c r="C11" s="21"/>
      <c r="D11" s="227"/>
      <c r="E11" s="14">
        <v>150</v>
      </c>
      <c r="F11" s="8" t="e">
        <f>IF(E11&lt;=#REF!,"Tidak","Ya")</f>
        <v>#REF!</v>
      </c>
      <c r="G11" s="39" t="e">
        <f>IF(#REF!="Ya","L2",0)</f>
        <v>#REF!</v>
      </c>
      <c r="H11" s="14" t="e">
        <f t="shared" ref="H11" si="2">IF(G11="Ya","L2",0)</f>
        <v>#REF!</v>
      </c>
      <c r="I11" s="8">
        <f>IF(G19="Ya","L2",0)</f>
        <v>0</v>
      </c>
      <c r="J11" s="14" t="e">
        <f>IF(#REF!="Ya","LA11",0)</f>
        <v>#REF!</v>
      </c>
      <c r="K11" s="21">
        <v>0</v>
      </c>
      <c r="L11" s="14" t="e">
        <f>IF(K11&lt;=#REF!,"Ya","Tidak")</f>
        <v>#REF!</v>
      </c>
      <c r="M11" s="14"/>
      <c r="N11" s="14"/>
      <c r="O11" s="8" t="e">
        <f>IF(L11="Ya","KK1",0)</f>
        <v>#REF!</v>
      </c>
      <c r="P11" s="41" t="e">
        <f t="shared" ref="P11:S11" si="3">IF(O11="Ya","L2",0)</f>
        <v>#REF!</v>
      </c>
      <c r="Q11" s="8" t="e">
        <f t="shared" si="3"/>
        <v>#REF!</v>
      </c>
      <c r="R11" s="8" t="e">
        <f t="shared" si="3"/>
        <v>#REF!</v>
      </c>
      <c r="S11" s="8" t="e">
        <f t="shared" si="3"/>
        <v>#REF!</v>
      </c>
      <c r="T11" s="8" t="e">
        <f>IF(L11="Ya","RE02",0)</f>
        <v>#REF!</v>
      </c>
      <c r="U11" s="19" t="s">
        <v>15</v>
      </c>
      <c r="V11" s="11" t="s">
        <v>16</v>
      </c>
      <c r="W11" s="12" t="s">
        <v>17</v>
      </c>
      <c r="X11" s="13" t="str">
        <f>IF(V11=W11,"Pindah","Ya")</f>
        <v>Ya</v>
      </c>
      <c r="Y11" s="12" t="str">
        <f>IF(X11="Ya","KU1","KU3")</f>
        <v>KU1</v>
      </c>
      <c r="Z11" s="14">
        <v>1</v>
      </c>
      <c r="AA11" s="13" t="str">
        <f>IF(X11="Ya","Tidak","Ya")</f>
        <v>Tidak</v>
      </c>
      <c r="AB11" s="12" t="str">
        <f>IF(AA11="Tidak","0","KU1")</f>
        <v>0</v>
      </c>
      <c r="AC11" s="14">
        <v>1</v>
      </c>
      <c r="AD11" s="8" t="str">
        <f>IF(AA11="Tidak","KU01","KU02")</f>
        <v>KU01</v>
      </c>
      <c r="AE11" s="15">
        <v>0.2</v>
      </c>
      <c r="AF11" s="16">
        <v>0.6</v>
      </c>
      <c r="AG11" s="17" t="e">
        <f>IF(#REF!&lt;=AE11,"Tidak","Ya")</f>
        <v>#REF!</v>
      </c>
      <c r="AH11" s="18" t="e">
        <f>IF(#REF!="Tidak",IF(L11="Tidak",IF(AD11="Ya",IF(AG11="Ya","Jalan","Tidak Jalan"),"Tidak Jalan"),"Tidak Jalan"),"Tidak Jalan")</f>
        <v>#REF!</v>
      </c>
    </row>
    <row r="12" spans="2:34" ht="15.75" thickBot="1" x14ac:dyDescent="0.3">
      <c r="B12" s="104"/>
      <c r="C12" s="105"/>
      <c r="AD12" t="s">
        <v>18</v>
      </c>
    </row>
    <row r="13" spans="2:34" s="34" customFormat="1" ht="63.75" hidden="1" x14ac:dyDescent="0.2">
      <c r="B13" s="122"/>
      <c r="C13" s="122"/>
      <c r="D13" s="123"/>
      <c r="E13" s="123"/>
      <c r="F13" s="123"/>
      <c r="G13" s="110"/>
      <c r="H13" s="124"/>
      <c r="I13" s="125" t="s">
        <v>174</v>
      </c>
      <c r="J13" s="126" t="s">
        <v>81</v>
      </c>
      <c r="K13" s="124"/>
      <c r="L13" s="124"/>
      <c r="M13" s="124"/>
      <c r="N13" s="127" t="s">
        <v>108</v>
      </c>
      <c r="O13" s="123"/>
      <c r="P13" s="111"/>
    </row>
    <row r="14" spans="2:34" s="245" customFormat="1" ht="45.75" thickBot="1" x14ac:dyDescent="0.3">
      <c r="B14" s="45" t="s">
        <v>286</v>
      </c>
      <c r="C14" s="196" t="s">
        <v>9</v>
      </c>
      <c r="D14" s="142" t="s">
        <v>19</v>
      </c>
      <c r="E14" s="45" t="s">
        <v>20</v>
      </c>
      <c r="F14" s="45" t="s">
        <v>21</v>
      </c>
      <c r="G14" s="142" t="s">
        <v>6</v>
      </c>
      <c r="H14" s="45" t="s">
        <v>3</v>
      </c>
      <c r="I14" s="218" t="s">
        <v>2</v>
      </c>
      <c r="J14" s="45" t="s">
        <v>31</v>
      </c>
      <c r="K14" s="142" t="s">
        <v>32</v>
      </c>
      <c r="L14" s="45" t="s">
        <v>36</v>
      </c>
      <c r="M14" s="162" t="s">
        <v>5</v>
      </c>
      <c r="N14" s="184" t="s">
        <v>107</v>
      </c>
      <c r="O14" s="167" t="s">
        <v>22</v>
      </c>
      <c r="P14" s="244"/>
    </row>
    <row r="15" spans="2:34" ht="38.25" x14ac:dyDescent="0.25">
      <c r="B15" s="107" t="s">
        <v>277</v>
      </c>
      <c r="C15" s="197" t="s">
        <v>278</v>
      </c>
      <c r="D15" s="228" t="s">
        <v>37</v>
      </c>
      <c r="E15" s="128" t="s">
        <v>33</v>
      </c>
      <c r="F15" s="139" t="s">
        <v>105</v>
      </c>
      <c r="G15" s="143" t="s">
        <v>30</v>
      </c>
      <c r="H15" s="151">
        <v>150</v>
      </c>
      <c r="I15" s="219">
        <v>100</v>
      </c>
      <c r="J15" s="27">
        <f>IF(I15&gt;=H15,"RKG01",0)</f>
        <v>0</v>
      </c>
      <c r="K15" s="143" t="str">
        <f>IF(I15&lt;H15,"Saklar Lampu",0)</f>
        <v>Saklar Lampu</v>
      </c>
      <c r="L15" s="27"/>
      <c r="M15" s="143"/>
      <c r="N15" s="185" t="s">
        <v>99</v>
      </c>
      <c r="O15" s="168" t="s">
        <v>109</v>
      </c>
      <c r="P15" s="112"/>
    </row>
    <row r="16" spans="2:34" ht="45" x14ac:dyDescent="0.25">
      <c r="B16" s="106"/>
      <c r="C16" s="198"/>
      <c r="D16" s="229"/>
      <c r="E16" s="129"/>
      <c r="F16" s="101" t="s">
        <v>77</v>
      </c>
      <c r="G16" s="144" t="s">
        <v>102</v>
      </c>
      <c r="H16" s="152">
        <v>1</v>
      </c>
      <c r="I16" s="220">
        <v>1</v>
      </c>
      <c r="J16" s="28">
        <f>IF(I16&lt;H16,"Meja makan",0)</f>
        <v>0</v>
      </c>
      <c r="K16" s="144" t="str">
        <f>IF(I16&gt;=H16,"Batal",0)</f>
        <v>Batal</v>
      </c>
      <c r="L16" s="28"/>
      <c r="M16" s="144"/>
      <c r="N16" s="186" t="s">
        <v>97</v>
      </c>
      <c r="O16" s="169" t="s">
        <v>101</v>
      </c>
      <c r="P16" s="113"/>
    </row>
    <row r="17" spans="2:16" ht="30" x14ac:dyDescent="0.25">
      <c r="B17" s="106"/>
      <c r="C17" s="198"/>
      <c r="D17" s="229"/>
      <c r="E17" s="129"/>
      <c r="F17" s="101" t="s">
        <v>29</v>
      </c>
      <c r="G17" s="144" t="s">
        <v>78</v>
      </c>
      <c r="H17" s="28" t="s">
        <v>24</v>
      </c>
      <c r="I17" s="220" t="s">
        <v>25</v>
      </c>
      <c r="J17" s="28">
        <f>IF(I17=H17,"Meja makan",0)</f>
        <v>0</v>
      </c>
      <c r="K17" s="144" t="str">
        <f>IF(I17=H17,0,"RDP02")</f>
        <v>RDP02</v>
      </c>
      <c r="L17" s="28"/>
      <c r="M17" s="144"/>
      <c r="N17" s="187" t="s">
        <v>323</v>
      </c>
      <c r="O17" s="170"/>
      <c r="P17" s="121"/>
    </row>
    <row r="18" spans="2:16" ht="25.5" x14ac:dyDescent="0.25">
      <c r="B18" s="106"/>
      <c r="C18" s="198"/>
      <c r="D18" s="229"/>
      <c r="E18" s="129"/>
      <c r="F18" s="101" t="s">
        <v>106</v>
      </c>
      <c r="G18" s="144" t="s">
        <v>15</v>
      </c>
      <c r="H18" s="153" t="s">
        <v>16</v>
      </c>
      <c r="I18" s="220" t="s">
        <v>17</v>
      </c>
      <c r="J18" s="28">
        <f t="shared" ref="J18" si="4">IF(I18=H18,"Kursi",0)</f>
        <v>0</v>
      </c>
      <c r="K18" s="144" t="str">
        <f>IF(I18=H18,0,"RTM01")</f>
        <v>RTM01</v>
      </c>
      <c r="L18" s="28"/>
      <c r="M18" s="144"/>
      <c r="N18" s="186" t="s">
        <v>324</v>
      </c>
      <c r="O18" s="171" t="s">
        <v>320</v>
      </c>
      <c r="P18" s="113"/>
    </row>
    <row r="19" spans="2:16" ht="30" x14ac:dyDescent="0.25">
      <c r="B19" s="106"/>
      <c r="C19" s="198"/>
      <c r="D19" s="229"/>
      <c r="E19" s="129" t="s">
        <v>316</v>
      </c>
      <c r="F19" s="101" t="s">
        <v>23</v>
      </c>
      <c r="G19" s="144" t="s">
        <v>30</v>
      </c>
      <c r="H19" s="152">
        <v>150</v>
      </c>
      <c r="I19" s="220">
        <v>100</v>
      </c>
      <c r="J19" s="28">
        <f>IF(I19&gt;=H19,"RDP01",0)</f>
        <v>0</v>
      </c>
      <c r="K19" s="144" t="str">
        <f>IF(I19&lt;H19,"Saklar Lampu",0)</f>
        <v>Saklar Lampu</v>
      </c>
      <c r="L19" s="28"/>
      <c r="M19" s="144"/>
      <c r="N19" s="186" t="s">
        <v>353</v>
      </c>
      <c r="O19" s="171"/>
      <c r="P19" s="113"/>
    </row>
    <row r="20" spans="2:16" ht="45" x14ac:dyDescent="0.25">
      <c r="B20" s="106"/>
      <c r="C20" s="198"/>
      <c r="D20" s="229"/>
      <c r="E20" s="129"/>
      <c r="F20" s="101" t="s">
        <v>77</v>
      </c>
      <c r="G20" s="144" t="s">
        <v>102</v>
      </c>
      <c r="H20" s="152">
        <v>1</v>
      </c>
      <c r="I20" s="220">
        <v>1</v>
      </c>
      <c r="J20" s="28">
        <f>IF(I20&lt;H20,"Rice cooker",0)</f>
        <v>0</v>
      </c>
      <c r="K20" s="144" t="str">
        <f>IF(I20&gt;=H20,"Batal",0)</f>
        <v>Batal</v>
      </c>
      <c r="L20" s="28"/>
      <c r="M20" s="144"/>
      <c r="N20" s="186" t="s">
        <v>354</v>
      </c>
      <c r="O20" s="169" t="s">
        <v>101</v>
      </c>
      <c r="P20" s="113"/>
    </row>
    <row r="21" spans="2:16" ht="30" x14ac:dyDescent="0.25">
      <c r="B21" s="106"/>
      <c r="C21" s="198"/>
      <c r="D21" s="229"/>
      <c r="E21" s="129"/>
      <c r="F21" s="101" t="s">
        <v>29</v>
      </c>
      <c r="G21" s="144" t="s">
        <v>78</v>
      </c>
      <c r="H21" s="28" t="s">
        <v>24</v>
      </c>
      <c r="I21" s="220" t="s">
        <v>25</v>
      </c>
      <c r="J21" s="28">
        <f>IF(I21=H21,"RKG01",0)</f>
        <v>0</v>
      </c>
      <c r="K21" s="144" t="str">
        <f>IF(I21=H21,0,"Batal")</f>
        <v>Batal</v>
      </c>
      <c r="L21" s="28"/>
      <c r="M21" s="144"/>
      <c r="N21" s="187" t="s">
        <v>355</v>
      </c>
      <c r="O21" s="171" t="s">
        <v>317</v>
      </c>
      <c r="P21" s="113"/>
    </row>
    <row r="22" spans="2:16" ht="30" x14ac:dyDescent="0.25">
      <c r="B22" s="106"/>
      <c r="C22" s="198"/>
      <c r="D22" s="229"/>
      <c r="E22" s="129" t="s">
        <v>52</v>
      </c>
      <c r="F22" s="101" t="s">
        <v>23</v>
      </c>
      <c r="G22" s="144" t="s">
        <v>30</v>
      </c>
      <c r="H22" s="152">
        <v>150</v>
      </c>
      <c r="I22" s="220">
        <v>100</v>
      </c>
      <c r="J22" s="28">
        <f>IF(I22&gt;=H22,"RTM01",0)</f>
        <v>0</v>
      </c>
      <c r="K22" s="144" t="str">
        <f>IF(I22&lt;H22,"Saklar Lampu",0)</f>
        <v>Saklar Lampu</v>
      </c>
      <c r="L22" s="28"/>
      <c r="M22" s="144"/>
      <c r="N22" s="186" t="s">
        <v>135</v>
      </c>
      <c r="O22" s="171"/>
      <c r="P22" s="113"/>
    </row>
    <row r="23" spans="2:16" ht="45.75" thickBot="1" x14ac:dyDescent="0.3">
      <c r="B23" s="108"/>
      <c r="C23" s="199"/>
      <c r="D23" s="230"/>
      <c r="E23" s="130"/>
      <c r="F23" s="140" t="s">
        <v>77</v>
      </c>
      <c r="G23" s="145" t="s">
        <v>102</v>
      </c>
      <c r="H23" s="154">
        <v>1</v>
      </c>
      <c r="I23" s="221">
        <v>1</v>
      </c>
      <c r="J23" s="26">
        <f>IF(I23&lt;H23,"Sofa",0)</f>
        <v>0</v>
      </c>
      <c r="K23" s="145" t="str">
        <f>IF(I23&gt;=H23,"Batal",0)</f>
        <v>Batal</v>
      </c>
      <c r="L23" s="26"/>
      <c r="M23" s="145"/>
      <c r="N23" s="188" t="s">
        <v>356</v>
      </c>
      <c r="O23" s="172"/>
      <c r="P23" s="114"/>
    </row>
    <row r="24" spans="2:16" ht="30" x14ac:dyDescent="0.25">
      <c r="B24" s="107" t="s">
        <v>277</v>
      </c>
      <c r="C24" s="197" t="s">
        <v>168</v>
      </c>
      <c r="D24" s="228" t="s">
        <v>38</v>
      </c>
      <c r="E24" s="128" t="s">
        <v>33</v>
      </c>
      <c r="F24" s="139" t="s">
        <v>23</v>
      </c>
      <c r="G24" s="143" t="s">
        <v>30</v>
      </c>
      <c r="H24" s="151">
        <v>150</v>
      </c>
      <c r="I24" s="219">
        <v>100</v>
      </c>
      <c r="J24" s="27">
        <f>IF(I24&gt;=H24,"RKG01",0)</f>
        <v>0</v>
      </c>
      <c r="K24" s="143" t="str">
        <f>IF(I24&lt;H24,"Saklar Lampu",0)</f>
        <v>Saklar Lampu</v>
      </c>
      <c r="L24" s="27"/>
      <c r="M24" s="143"/>
      <c r="N24" s="185" t="s">
        <v>99</v>
      </c>
      <c r="O24" s="173"/>
      <c r="P24" s="112"/>
    </row>
    <row r="25" spans="2:16" ht="45" x14ac:dyDescent="0.25">
      <c r="B25" s="106"/>
      <c r="C25" s="198"/>
      <c r="D25" s="229"/>
      <c r="E25" s="129"/>
      <c r="F25" s="101" t="s">
        <v>77</v>
      </c>
      <c r="G25" s="144" t="s">
        <v>102</v>
      </c>
      <c r="H25" s="152">
        <v>1.5</v>
      </c>
      <c r="I25" s="220">
        <v>1</v>
      </c>
      <c r="J25" s="28" t="str">
        <f>IF(I25&lt;H25,"Meja makan",0)</f>
        <v>Meja makan</v>
      </c>
      <c r="K25" s="144">
        <f>IF(I25&gt;=H25,"Batal",0)</f>
        <v>0</v>
      </c>
      <c r="L25" s="28"/>
      <c r="M25" s="144"/>
      <c r="N25" s="186" t="s">
        <v>321</v>
      </c>
      <c r="O25" s="174"/>
      <c r="P25" s="113"/>
    </row>
    <row r="26" spans="2:16" ht="30" x14ac:dyDescent="0.25">
      <c r="B26" s="106"/>
      <c r="C26" s="198"/>
      <c r="D26" s="229"/>
      <c r="E26" s="129"/>
      <c r="F26" s="101" t="s">
        <v>29</v>
      </c>
      <c r="G26" s="144" t="s">
        <v>79</v>
      </c>
      <c r="H26" s="28" t="s">
        <v>24</v>
      </c>
      <c r="I26" s="220" t="s">
        <v>65</v>
      </c>
      <c r="J26" s="28">
        <f t="shared" ref="J26:J27" si="5">IF(I26=H26,"Kursi",0)</f>
        <v>0</v>
      </c>
      <c r="K26" s="144" t="str">
        <f>IF(I26=H26,0,"RDP02")</f>
        <v>RDP02</v>
      </c>
      <c r="L26" s="28"/>
      <c r="M26" s="144"/>
      <c r="N26" s="187" t="s">
        <v>322</v>
      </c>
      <c r="O26" s="170"/>
      <c r="P26" s="113"/>
    </row>
    <row r="27" spans="2:16" ht="25.5" x14ac:dyDescent="0.25">
      <c r="B27" s="106"/>
      <c r="C27" s="198"/>
      <c r="D27" s="229"/>
      <c r="E27" s="129"/>
      <c r="F27" s="101" t="s">
        <v>39</v>
      </c>
      <c r="G27" s="144" t="s">
        <v>15</v>
      </c>
      <c r="H27" s="153" t="s">
        <v>16</v>
      </c>
      <c r="I27" s="220" t="s">
        <v>17</v>
      </c>
      <c r="J27" s="28">
        <f t="shared" si="5"/>
        <v>0</v>
      </c>
      <c r="K27" s="144" t="str">
        <f>IF(I27=H27,0,"RTM01")</f>
        <v>RTM01</v>
      </c>
      <c r="L27" s="28"/>
      <c r="M27" s="144"/>
      <c r="N27" s="186" t="s">
        <v>324</v>
      </c>
      <c r="O27" s="169"/>
      <c r="P27" s="113"/>
    </row>
    <row r="28" spans="2:16" ht="30" x14ac:dyDescent="0.25">
      <c r="B28" s="106"/>
      <c r="C28" s="198"/>
      <c r="D28" s="229"/>
      <c r="E28" s="129" t="s">
        <v>316</v>
      </c>
      <c r="F28" s="101" t="s">
        <v>23</v>
      </c>
      <c r="G28" s="144" t="s">
        <v>30</v>
      </c>
      <c r="H28" s="152">
        <v>150</v>
      </c>
      <c r="I28" s="220">
        <v>100</v>
      </c>
      <c r="J28" s="28">
        <f>IF(I28&gt;=H28,"RDP02",0)</f>
        <v>0</v>
      </c>
      <c r="K28" s="144" t="str">
        <f>IF(I28&lt;H28,"Saklar Lampu",0)</f>
        <v>Saklar Lampu</v>
      </c>
      <c r="L28" s="28"/>
      <c r="M28" s="144"/>
      <c r="N28" s="186" t="s">
        <v>103</v>
      </c>
      <c r="O28" s="169" t="s">
        <v>442</v>
      </c>
      <c r="P28" s="113"/>
    </row>
    <row r="29" spans="2:16" ht="30" x14ac:dyDescent="0.25">
      <c r="B29" s="106"/>
      <c r="C29" s="198"/>
      <c r="D29" s="229"/>
      <c r="E29" s="129"/>
      <c r="F29" s="101" t="s">
        <v>77</v>
      </c>
      <c r="G29" s="144" t="s">
        <v>80</v>
      </c>
      <c r="H29" s="152">
        <v>1.5</v>
      </c>
      <c r="I29" s="220">
        <v>1.7</v>
      </c>
      <c r="J29" s="28">
        <f>IF(I29&lt;H29,"Kulkas 1",0)</f>
        <v>0</v>
      </c>
      <c r="K29" s="144" t="str">
        <f>IF(I29&gt;=H29,"Batal",0)</f>
        <v>Batal</v>
      </c>
      <c r="L29" s="28"/>
      <c r="M29" s="144"/>
      <c r="N29" s="186" t="s">
        <v>104</v>
      </c>
      <c r="O29" s="174"/>
      <c r="P29" s="113"/>
    </row>
    <row r="30" spans="2:16" ht="30" x14ac:dyDescent="0.25">
      <c r="B30" s="106"/>
      <c r="C30" s="198"/>
      <c r="D30" s="229"/>
      <c r="E30" s="129"/>
      <c r="F30" s="101" t="s">
        <v>29</v>
      </c>
      <c r="G30" s="144" t="s">
        <v>79</v>
      </c>
      <c r="H30" s="28" t="s">
        <v>24</v>
      </c>
      <c r="I30" s="220" t="s">
        <v>25</v>
      </c>
      <c r="J30" s="28">
        <f>IF(I30=H30,"RKG01",0)</f>
        <v>0</v>
      </c>
      <c r="K30" s="144" t="str">
        <f>IF(I30=H30,0,"Batal")</f>
        <v>Batal</v>
      </c>
      <c r="L30" s="161"/>
      <c r="M30" s="163"/>
      <c r="N30" s="186" t="s">
        <v>318</v>
      </c>
      <c r="O30" s="169" t="s">
        <v>445</v>
      </c>
      <c r="P30" s="113"/>
    </row>
    <row r="31" spans="2:16" ht="30" x14ac:dyDescent="0.25">
      <c r="B31" s="106"/>
      <c r="C31" s="198"/>
      <c r="D31" s="229"/>
      <c r="E31" s="129" t="s">
        <v>52</v>
      </c>
      <c r="F31" s="101" t="s">
        <v>23</v>
      </c>
      <c r="G31" s="144" t="s">
        <v>30</v>
      </c>
      <c r="H31" s="152">
        <v>150</v>
      </c>
      <c r="I31" s="220">
        <v>100</v>
      </c>
      <c r="J31" s="28">
        <f>IF(I31&gt;=H31,"RTM01",0)</f>
        <v>0</v>
      </c>
      <c r="K31" s="144" t="str">
        <f>IF(I31&lt;H31,"Saklar Lampu",0)</f>
        <v>Saklar Lampu</v>
      </c>
      <c r="L31" s="28"/>
      <c r="M31" s="144"/>
      <c r="N31" s="186" t="s">
        <v>135</v>
      </c>
      <c r="O31" s="174" t="s">
        <v>444</v>
      </c>
      <c r="P31" s="113"/>
    </row>
    <row r="32" spans="2:16" ht="45" x14ac:dyDescent="0.25">
      <c r="B32" s="106"/>
      <c r="C32" s="198"/>
      <c r="D32" s="229"/>
      <c r="E32" s="129"/>
      <c r="F32" s="101" t="s">
        <v>111</v>
      </c>
      <c r="G32" s="144" t="s">
        <v>102</v>
      </c>
      <c r="H32" s="152">
        <v>1</v>
      </c>
      <c r="I32" s="220">
        <v>1</v>
      </c>
      <c r="J32" s="28">
        <f>IF(I32&lt;H32,"Sofa",0)</f>
        <v>0</v>
      </c>
      <c r="K32" s="144" t="str">
        <f>IF(I32&gt;=H32,"Batal",0)</f>
        <v>Batal</v>
      </c>
      <c r="L32" s="28"/>
      <c r="M32" s="144"/>
      <c r="N32" s="186" t="s">
        <v>100</v>
      </c>
      <c r="O32" s="174"/>
      <c r="P32" s="113"/>
    </row>
    <row r="33" spans="2:16" ht="26.25" thickBot="1" x14ac:dyDescent="0.3">
      <c r="B33" s="108"/>
      <c r="C33" s="199"/>
      <c r="D33" s="230"/>
      <c r="E33" s="130"/>
      <c r="F33" s="140" t="s">
        <v>39</v>
      </c>
      <c r="G33" s="145" t="s">
        <v>34</v>
      </c>
      <c r="H33" s="155" t="s">
        <v>16</v>
      </c>
      <c r="I33" s="221" t="s">
        <v>17</v>
      </c>
      <c r="J33" s="26">
        <f>IF(I33=H33,"Sofa",0)</f>
        <v>0</v>
      </c>
      <c r="K33" s="145" t="str">
        <f>IF(I33=H33,0,"Batal")</f>
        <v>Batal</v>
      </c>
      <c r="L33" s="141"/>
      <c r="M33" s="164"/>
      <c r="N33" s="188" t="s">
        <v>443</v>
      </c>
      <c r="O33" s="175"/>
      <c r="P33" s="114"/>
    </row>
    <row r="34" spans="2:16" ht="25.5" x14ac:dyDescent="0.25">
      <c r="B34" s="107" t="s">
        <v>277</v>
      </c>
      <c r="C34" s="197" t="s">
        <v>279</v>
      </c>
      <c r="D34" s="228" t="s">
        <v>40</v>
      </c>
      <c r="E34" s="128" t="s">
        <v>41</v>
      </c>
      <c r="F34" s="139" t="s">
        <v>39</v>
      </c>
      <c r="G34" s="143" t="s">
        <v>13</v>
      </c>
      <c r="H34" s="156" t="s">
        <v>14</v>
      </c>
      <c r="I34" s="219" t="s">
        <v>45</v>
      </c>
      <c r="J34" s="27">
        <f>IF(I34=H34,"RTU01",0)</f>
        <v>0</v>
      </c>
      <c r="K34" s="143" t="str">
        <f>IF(I34=H34,0,"Batal")</f>
        <v>Batal</v>
      </c>
      <c r="L34" s="27"/>
      <c r="M34" s="143" t="s">
        <v>236</v>
      </c>
      <c r="N34" s="185" t="s">
        <v>126</v>
      </c>
      <c r="O34" s="176"/>
      <c r="P34" s="112"/>
    </row>
    <row r="35" spans="2:16" ht="30" x14ac:dyDescent="0.25">
      <c r="B35" s="106"/>
      <c r="C35" s="198"/>
      <c r="D35" s="229"/>
      <c r="E35" s="129"/>
      <c r="F35" s="101" t="s">
        <v>23</v>
      </c>
      <c r="G35" s="144" t="s">
        <v>30</v>
      </c>
      <c r="H35" s="152">
        <v>50</v>
      </c>
      <c r="I35" s="220">
        <v>150</v>
      </c>
      <c r="J35" s="28">
        <f>IF(I35&lt;=H35,"RTU01",0)</f>
        <v>0</v>
      </c>
      <c r="K35" s="144" t="str">
        <f>IF(I35&gt;H35,"Saklar Lampu",0)</f>
        <v>Saklar Lampu</v>
      </c>
      <c r="L35" s="28"/>
      <c r="M35" s="144"/>
      <c r="N35" s="186" t="s">
        <v>110</v>
      </c>
      <c r="O35" s="174"/>
      <c r="P35" s="113"/>
    </row>
    <row r="36" spans="2:16" ht="30" x14ac:dyDescent="0.25">
      <c r="B36" s="106"/>
      <c r="C36" s="198"/>
      <c r="D36" s="229"/>
      <c r="E36" s="129"/>
      <c r="F36" s="101" t="s">
        <v>77</v>
      </c>
      <c r="G36" s="144" t="s">
        <v>80</v>
      </c>
      <c r="H36" s="152">
        <v>0.5</v>
      </c>
      <c r="I36" s="220">
        <v>0.2</v>
      </c>
      <c r="J36" s="28" t="str">
        <f>IF(I36&lt;H36,"RTU01",0)</f>
        <v>RTU01</v>
      </c>
      <c r="K36" s="144">
        <f>IF(I36&gt;=H36,"Batal",0)</f>
        <v>0</v>
      </c>
      <c r="L36" s="28"/>
      <c r="M36" s="144"/>
      <c r="N36" s="186" t="s">
        <v>112</v>
      </c>
      <c r="O36" s="174"/>
      <c r="P36" s="113"/>
    </row>
    <row r="37" spans="2:16" ht="30" x14ac:dyDescent="0.25">
      <c r="B37" s="106"/>
      <c r="C37" s="198"/>
      <c r="D37" s="229"/>
      <c r="E37" s="129"/>
      <c r="F37" s="101" t="s">
        <v>93</v>
      </c>
      <c r="G37" s="144" t="s">
        <v>91</v>
      </c>
      <c r="H37" s="157">
        <v>24</v>
      </c>
      <c r="I37" s="220">
        <v>28</v>
      </c>
      <c r="J37" s="28">
        <f>IF(I37&lt;H37,"Tempat tidur",0)</f>
        <v>0</v>
      </c>
      <c r="K37" s="144" t="str">
        <f>IF(I37&gt;H37,"AC",0)</f>
        <v>AC</v>
      </c>
      <c r="L37" s="28"/>
      <c r="M37" s="144"/>
      <c r="N37" s="186" t="s">
        <v>113</v>
      </c>
      <c r="O37" s="174"/>
      <c r="P37" s="113"/>
    </row>
    <row r="38" spans="2:16" ht="45.75" thickBot="1" x14ac:dyDescent="0.3">
      <c r="B38" s="108"/>
      <c r="C38" s="199"/>
      <c r="D38" s="230"/>
      <c r="E38" s="130"/>
      <c r="F38" s="140" t="s">
        <v>39</v>
      </c>
      <c r="G38" s="145" t="s">
        <v>42</v>
      </c>
      <c r="H38" s="155" t="s">
        <v>16</v>
      </c>
      <c r="I38" s="221" t="s">
        <v>16</v>
      </c>
      <c r="J38" s="26" t="str">
        <f>IF(I38=H38,"Tempat tidur",0)</f>
        <v>Tempat tidur</v>
      </c>
      <c r="K38" s="145">
        <f>IF(I38=H38,0,"Batal")</f>
        <v>0</v>
      </c>
      <c r="L38" s="26" t="s">
        <v>42</v>
      </c>
      <c r="M38" s="145" t="s">
        <v>237</v>
      </c>
      <c r="N38" s="188" t="s">
        <v>114</v>
      </c>
      <c r="O38" s="175"/>
      <c r="P38" s="114"/>
    </row>
    <row r="39" spans="2:16" ht="30" x14ac:dyDescent="0.25">
      <c r="B39" s="107" t="s">
        <v>277</v>
      </c>
      <c r="C39" s="197" t="s">
        <v>280</v>
      </c>
      <c r="D39" s="231" t="s">
        <v>43</v>
      </c>
      <c r="E39" s="128" t="s">
        <v>333</v>
      </c>
      <c r="F39" s="139" t="s">
        <v>23</v>
      </c>
      <c r="G39" s="143" t="s">
        <v>30</v>
      </c>
      <c r="H39" s="151">
        <v>150</v>
      </c>
      <c r="I39" s="219">
        <v>100</v>
      </c>
      <c r="J39" s="27">
        <f>IF(I39&gt;=H39,"Pintu",0)</f>
        <v>0</v>
      </c>
      <c r="K39" s="143" t="str">
        <f>IF(I39&lt;H39,"Saklar Lampu",0)</f>
        <v>Saklar Lampu</v>
      </c>
      <c r="L39" s="27"/>
      <c r="M39" s="143"/>
      <c r="N39" s="185" t="s">
        <v>115</v>
      </c>
      <c r="O39" s="173"/>
      <c r="P39" s="112"/>
    </row>
    <row r="40" spans="2:16" ht="30" x14ac:dyDescent="0.25">
      <c r="B40" s="106"/>
      <c r="C40" s="198"/>
      <c r="D40" s="232"/>
      <c r="E40" s="129"/>
      <c r="F40" s="101" t="s">
        <v>77</v>
      </c>
      <c r="G40" s="144" t="s">
        <v>80</v>
      </c>
      <c r="H40" s="152">
        <v>0</v>
      </c>
      <c r="I40" s="220">
        <v>0.2</v>
      </c>
      <c r="J40" s="28">
        <f>IF(I40&lt;=H40,"Pintu",0)</f>
        <v>0</v>
      </c>
      <c r="K40" s="144" t="str">
        <f>IF(I40&gt;H40,"Batal",0)</f>
        <v>Batal</v>
      </c>
      <c r="L40" s="28"/>
      <c r="M40" s="144"/>
      <c r="N40" s="186" t="s">
        <v>128</v>
      </c>
      <c r="O40" s="174"/>
      <c r="P40" s="113"/>
    </row>
    <row r="41" spans="2:16" ht="25.5" x14ac:dyDescent="0.25">
      <c r="B41" s="106"/>
      <c r="C41" s="198"/>
      <c r="D41" s="232"/>
      <c r="E41" s="129"/>
      <c r="F41" s="101" t="s">
        <v>39</v>
      </c>
      <c r="G41" s="144" t="s">
        <v>13</v>
      </c>
      <c r="H41" s="153" t="s">
        <v>14</v>
      </c>
      <c r="I41" s="220" t="s">
        <v>45</v>
      </c>
      <c r="J41" s="28">
        <f>IF(I41=H41,"Bak mandi",0)</f>
        <v>0</v>
      </c>
      <c r="K41" s="144" t="str">
        <f>IF(I41=H41,0,"RKM03")</f>
        <v>RKM03</v>
      </c>
      <c r="L41" s="28"/>
      <c r="M41" s="144" t="s">
        <v>236</v>
      </c>
      <c r="N41" s="186" t="s">
        <v>334</v>
      </c>
      <c r="O41" s="174"/>
      <c r="P41" s="113"/>
    </row>
    <row r="42" spans="2:16" ht="30" x14ac:dyDescent="0.25">
      <c r="B42" s="106"/>
      <c r="C42" s="198"/>
      <c r="D42" s="232"/>
      <c r="E42" s="129"/>
      <c r="F42" s="101" t="s">
        <v>29</v>
      </c>
      <c r="G42" s="144" t="s">
        <v>82</v>
      </c>
      <c r="H42" s="28">
        <v>15</v>
      </c>
      <c r="I42" s="220">
        <v>5</v>
      </c>
      <c r="J42" s="28">
        <f>IF(I42&gt;=H42,"Kloset",0)</f>
        <v>0</v>
      </c>
      <c r="K42" s="144" t="str">
        <f>IF(I42&gt;=H42,0,"Kran air")</f>
        <v>Kran air</v>
      </c>
      <c r="L42" s="28" t="s">
        <v>121</v>
      </c>
      <c r="M42" s="144" t="s">
        <v>229</v>
      </c>
      <c r="N42" s="186" t="s">
        <v>118</v>
      </c>
      <c r="O42" s="169" t="s">
        <v>120</v>
      </c>
      <c r="P42" s="118" t="s">
        <v>119</v>
      </c>
    </row>
    <row r="43" spans="2:16" ht="30" x14ac:dyDescent="0.25">
      <c r="B43" s="106"/>
      <c r="C43" s="198"/>
      <c r="D43" s="232"/>
      <c r="E43" s="129" t="s">
        <v>335</v>
      </c>
      <c r="F43" s="101" t="s">
        <v>23</v>
      </c>
      <c r="G43" s="144" t="s">
        <v>30</v>
      </c>
      <c r="H43" s="152">
        <v>150</v>
      </c>
      <c r="I43" s="220">
        <v>100</v>
      </c>
      <c r="J43" s="28">
        <f>IF(I43&gt;=H43,"Pintu",0)</f>
        <v>0</v>
      </c>
      <c r="K43" s="144" t="str">
        <f>IF(I43&lt;H43,"Saklar Lampu",0)</f>
        <v>Saklar Lampu</v>
      </c>
      <c r="L43" s="28"/>
      <c r="M43" s="144"/>
      <c r="N43" s="186" t="s">
        <v>115</v>
      </c>
      <c r="O43" s="169"/>
      <c r="P43" s="118"/>
    </row>
    <row r="44" spans="2:16" ht="30" x14ac:dyDescent="0.25">
      <c r="B44" s="106"/>
      <c r="C44" s="198"/>
      <c r="D44" s="232"/>
      <c r="E44" s="129"/>
      <c r="F44" s="101" t="s">
        <v>77</v>
      </c>
      <c r="G44" s="144" t="s">
        <v>80</v>
      </c>
      <c r="H44" s="152">
        <v>0</v>
      </c>
      <c r="I44" s="220">
        <v>0.2</v>
      </c>
      <c r="J44" s="28">
        <f>IF(I44&lt;=H44,"Pintu",0)</f>
        <v>0</v>
      </c>
      <c r="K44" s="144" t="str">
        <f>IF(I44&gt;H44,"Batal",0)</f>
        <v>Batal</v>
      </c>
      <c r="L44" s="28"/>
      <c r="M44" s="144"/>
      <c r="N44" s="186" t="s">
        <v>128</v>
      </c>
      <c r="O44" s="169"/>
      <c r="P44" s="118"/>
    </row>
    <row r="45" spans="2:16" ht="25.5" x14ac:dyDescent="0.25">
      <c r="B45" s="106"/>
      <c r="C45" s="198"/>
      <c r="D45" s="232"/>
      <c r="E45" s="129"/>
      <c r="F45" s="101" t="s">
        <v>39</v>
      </c>
      <c r="G45" s="144" t="s">
        <v>13</v>
      </c>
      <c r="H45" s="153" t="s">
        <v>14</v>
      </c>
      <c r="I45" s="220" t="s">
        <v>45</v>
      </c>
      <c r="J45" s="28">
        <f>IF(I45=H45,"Bak mandi",0)</f>
        <v>0</v>
      </c>
      <c r="K45" s="144" t="str">
        <f>IF(I45=H45,0,"Batal")</f>
        <v>Batal</v>
      </c>
      <c r="L45" s="28"/>
      <c r="M45" s="144" t="s">
        <v>236</v>
      </c>
      <c r="N45" s="186" t="s">
        <v>117</v>
      </c>
      <c r="O45" s="169"/>
      <c r="P45" s="118"/>
    </row>
    <row r="46" spans="2:16" ht="30.75" thickBot="1" x14ac:dyDescent="0.3">
      <c r="B46" s="108"/>
      <c r="C46" s="199"/>
      <c r="D46" s="233"/>
      <c r="E46" s="130"/>
      <c r="F46" s="140" t="s">
        <v>29</v>
      </c>
      <c r="G46" s="145" t="s">
        <v>82</v>
      </c>
      <c r="H46" s="26">
        <v>15</v>
      </c>
      <c r="I46" s="221">
        <v>5</v>
      </c>
      <c r="J46" s="26">
        <f>IF(I46&gt;=H46,"Kloset",0)</f>
        <v>0</v>
      </c>
      <c r="K46" s="145" t="str">
        <f>IF(I46&gt;=H46,0,"Kran air")</f>
        <v>Kran air</v>
      </c>
      <c r="L46" s="26" t="s">
        <v>121</v>
      </c>
      <c r="M46" s="145" t="s">
        <v>229</v>
      </c>
      <c r="N46" s="188" t="s">
        <v>118</v>
      </c>
      <c r="O46" s="177"/>
      <c r="P46" s="119"/>
    </row>
    <row r="47" spans="2:16" ht="30" x14ac:dyDescent="0.25">
      <c r="B47" s="107" t="s">
        <v>277</v>
      </c>
      <c r="C47" s="197" t="s">
        <v>281</v>
      </c>
      <c r="D47" s="231" t="s">
        <v>46</v>
      </c>
      <c r="E47" s="128" t="s">
        <v>333</v>
      </c>
      <c r="F47" s="139" t="s">
        <v>23</v>
      </c>
      <c r="G47" s="143" t="s">
        <v>30</v>
      </c>
      <c r="H47" s="151">
        <v>150</v>
      </c>
      <c r="I47" s="219">
        <v>100</v>
      </c>
      <c r="J47" s="27">
        <f>IF(I47&gt;=H47,"Pintu",0)</f>
        <v>0</v>
      </c>
      <c r="K47" s="143" t="str">
        <f>IF(I47&lt;H47,"Saklar Lampu",0)</f>
        <v>Saklar Lampu</v>
      </c>
      <c r="L47" s="27"/>
      <c r="M47" s="143"/>
      <c r="N47" s="185" t="s">
        <v>115</v>
      </c>
      <c r="O47" s="173"/>
      <c r="P47" s="112"/>
    </row>
    <row r="48" spans="2:16" ht="30" x14ac:dyDescent="0.25">
      <c r="B48" s="106"/>
      <c r="C48" s="198"/>
      <c r="D48" s="232"/>
      <c r="E48" s="129"/>
      <c r="F48" s="101" t="s">
        <v>77</v>
      </c>
      <c r="G48" s="144" t="s">
        <v>80</v>
      </c>
      <c r="H48" s="152">
        <v>0</v>
      </c>
      <c r="I48" s="220">
        <v>0.2</v>
      </c>
      <c r="J48" s="28">
        <f>IF(I48&lt;=H48,"Pintu",0)</f>
        <v>0</v>
      </c>
      <c r="K48" s="144" t="str">
        <f>IF(I48&gt;H48,"Batal",0)</f>
        <v>Batal</v>
      </c>
      <c r="L48" s="28"/>
      <c r="M48" s="144"/>
      <c r="N48" s="186" t="s">
        <v>128</v>
      </c>
      <c r="O48" s="174"/>
      <c r="P48" s="113"/>
    </row>
    <row r="49" spans="2:16" ht="25.5" x14ac:dyDescent="0.25">
      <c r="B49" s="106"/>
      <c r="C49" s="198"/>
      <c r="D49" s="232"/>
      <c r="E49" s="129"/>
      <c r="F49" s="101" t="s">
        <v>39</v>
      </c>
      <c r="G49" s="144" t="s">
        <v>13</v>
      </c>
      <c r="H49" s="153" t="s">
        <v>14</v>
      </c>
      <c r="I49" s="220" t="s">
        <v>45</v>
      </c>
      <c r="J49" s="28">
        <f>IF(I49=H49,"Bak mandi",0)</f>
        <v>0</v>
      </c>
      <c r="K49" s="144" t="str">
        <f>IF(I49=H49,0,"RKM03")</f>
        <v>RKM03</v>
      </c>
      <c r="L49" s="28"/>
      <c r="M49" s="144" t="s">
        <v>236</v>
      </c>
      <c r="N49" s="186" t="s">
        <v>334</v>
      </c>
      <c r="O49" s="174"/>
      <c r="P49" s="113"/>
    </row>
    <row r="50" spans="2:16" ht="30" x14ac:dyDescent="0.25">
      <c r="B50" s="106"/>
      <c r="C50" s="198"/>
      <c r="D50" s="232"/>
      <c r="E50" s="129"/>
      <c r="F50" s="101" t="s">
        <v>29</v>
      </c>
      <c r="G50" s="144" t="s">
        <v>82</v>
      </c>
      <c r="H50" s="28">
        <v>15</v>
      </c>
      <c r="I50" s="220">
        <v>5</v>
      </c>
      <c r="J50" s="28">
        <f>IF(I50&gt;=H50,"Kloset",0)</f>
        <v>0</v>
      </c>
      <c r="K50" s="144" t="str">
        <f>IF(I50&gt;=H50,0,"Kran air")</f>
        <v>Kran air</v>
      </c>
      <c r="L50" s="28" t="s">
        <v>121</v>
      </c>
      <c r="M50" s="144" t="s">
        <v>229</v>
      </c>
      <c r="N50" s="186" t="s">
        <v>118</v>
      </c>
      <c r="O50" s="169" t="s">
        <v>120</v>
      </c>
      <c r="P50" s="118" t="s">
        <v>119</v>
      </c>
    </row>
    <row r="51" spans="2:16" ht="30" x14ac:dyDescent="0.25">
      <c r="B51" s="106"/>
      <c r="C51" s="198"/>
      <c r="D51" s="232"/>
      <c r="E51" s="129" t="s">
        <v>335</v>
      </c>
      <c r="F51" s="101" t="s">
        <v>23</v>
      </c>
      <c r="G51" s="144" t="s">
        <v>30</v>
      </c>
      <c r="H51" s="152">
        <v>150</v>
      </c>
      <c r="I51" s="220">
        <v>100</v>
      </c>
      <c r="J51" s="28">
        <f>IF(I51&gt;=H51,"Pintu",0)</f>
        <v>0</v>
      </c>
      <c r="K51" s="144" t="str">
        <f>IF(I51&lt;H51,"Saklar Lampu",0)</f>
        <v>Saklar Lampu</v>
      </c>
      <c r="L51" s="28"/>
      <c r="M51" s="144"/>
      <c r="N51" s="186" t="s">
        <v>115</v>
      </c>
      <c r="O51" s="169"/>
      <c r="P51" s="118"/>
    </row>
    <row r="52" spans="2:16" ht="30" x14ac:dyDescent="0.25">
      <c r="B52" s="106"/>
      <c r="C52" s="198"/>
      <c r="D52" s="232"/>
      <c r="E52" s="129"/>
      <c r="F52" s="101" t="s">
        <v>77</v>
      </c>
      <c r="G52" s="144" t="s">
        <v>80</v>
      </c>
      <c r="H52" s="152">
        <v>0</v>
      </c>
      <c r="I52" s="220">
        <v>0.2</v>
      </c>
      <c r="J52" s="28">
        <f>IF(I52&lt;=H52,"Pintu",0)</f>
        <v>0</v>
      </c>
      <c r="K52" s="144" t="str">
        <f>IF(I52&gt;H52,"Batal",0)</f>
        <v>Batal</v>
      </c>
      <c r="L52" s="28"/>
      <c r="M52" s="144"/>
      <c r="N52" s="186" t="s">
        <v>128</v>
      </c>
      <c r="O52" s="169"/>
      <c r="P52" s="118"/>
    </row>
    <row r="53" spans="2:16" ht="25.5" x14ac:dyDescent="0.25">
      <c r="B53" s="106"/>
      <c r="C53" s="198"/>
      <c r="D53" s="232"/>
      <c r="E53" s="129"/>
      <c r="F53" s="101" t="s">
        <v>39</v>
      </c>
      <c r="G53" s="144" t="s">
        <v>13</v>
      </c>
      <c r="H53" s="153" t="s">
        <v>14</v>
      </c>
      <c r="I53" s="220" t="s">
        <v>45</v>
      </c>
      <c r="J53" s="28">
        <f>IF(I53=H53,"Bak mandi",0)</f>
        <v>0</v>
      </c>
      <c r="K53" s="144" t="str">
        <f>IF(I53=H53,0,"Batal")</f>
        <v>Batal</v>
      </c>
      <c r="L53" s="28"/>
      <c r="M53" s="144" t="s">
        <v>236</v>
      </c>
      <c r="N53" s="186" t="s">
        <v>117</v>
      </c>
      <c r="O53" s="169"/>
      <c r="P53" s="118"/>
    </row>
    <row r="54" spans="2:16" ht="30.75" thickBot="1" x14ac:dyDescent="0.3">
      <c r="B54" s="108"/>
      <c r="C54" s="199"/>
      <c r="D54" s="233"/>
      <c r="E54" s="130"/>
      <c r="F54" s="140" t="s">
        <v>29</v>
      </c>
      <c r="G54" s="145" t="s">
        <v>82</v>
      </c>
      <c r="H54" s="26">
        <v>15</v>
      </c>
      <c r="I54" s="221">
        <v>5</v>
      </c>
      <c r="J54" s="26">
        <f>IF(I54&gt;=H54,"Kloset",0)</f>
        <v>0</v>
      </c>
      <c r="K54" s="145" t="str">
        <f>IF(I54&gt;=H54,0,"Kran air")</f>
        <v>Kran air</v>
      </c>
      <c r="L54" s="26" t="s">
        <v>121</v>
      </c>
      <c r="M54" s="145" t="s">
        <v>229</v>
      </c>
      <c r="N54" s="188" t="s">
        <v>118</v>
      </c>
      <c r="O54" s="177"/>
      <c r="P54" s="119"/>
    </row>
    <row r="55" spans="2:16" ht="30" x14ac:dyDescent="0.25">
      <c r="B55" s="107" t="s">
        <v>277</v>
      </c>
      <c r="C55" s="197" t="s">
        <v>282</v>
      </c>
      <c r="D55" s="231" t="s">
        <v>47</v>
      </c>
      <c r="E55" s="128" t="s">
        <v>333</v>
      </c>
      <c r="F55" s="139" t="s">
        <v>23</v>
      </c>
      <c r="G55" s="143" t="s">
        <v>30</v>
      </c>
      <c r="H55" s="151">
        <v>150</v>
      </c>
      <c r="I55" s="219">
        <v>100</v>
      </c>
      <c r="J55" s="27">
        <f>IF(I55&gt;=H55,"Pintu",0)</f>
        <v>0</v>
      </c>
      <c r="K55" s="143" t="str">
        <f>IF(I55&lt;H55,"Saklar Lampu",0)</f>
        <v>Saklar Lampu</v>
      </c>
      <c r="L55" s="27"/>
      <c r="M55" s="143"/>
      <c r="N55" s="185" t="s">
        <v>115</v>
      </c>
      <c r="O55" s="173"/>
      <c r="P55" s="112"/>
    </row>
    <row r="56" spans="2:16" ht="30" x14ac:dyDescent="0.25">
      <c r="B56" s="106"/>
      <c r="C56" s="198"/>
      <c r="D56" s="232"/>
      <c r="E56" s="129"/>
      <c r="F56" s="101" t="s">
        <v>77</v>
      </c>
      <c r="G56" s="144" t="s">
        <v>80</v>
      </c>
      <c r="H56" s="152">
        <v>0</v>
      </c>
      <c r="I56" s="220">
        <v>0.2</v>
      </c>
      <c r="J56" s="28">
        <f>IF(I56&lt;=H56,"Pintu",0)</f>
        <v>0</v>
      </c>
      <c r="K56" s="144" t="str">
        <f>IF(I56&gt;H56,"Batal",0)</f>
        <v>Batal</v>
      </c>
      <c r="L56" s="28"/>
      <c r="M56" s="144"/>
      <c r="N56" s="186" t="s">
        <v>128</v>
      </c>
      <c r="O56" s="174"/>
      <c r="P56" s="113"/>
    </row>
    <row r="57" spans="2:16" ht="25.5" x14ac:dyDescent="0.25">
      <c r="B57" s="106"/>
      <c r="C57" s="198"/>
      <c r="D57" s="232"/>
      <c r="E57" s="129"/>
      <c r="F57" s="101" t="s">
        <v>39</v>
      </c>
      <c r="G57" s="144" t="s">
        <v>13</v>
      </c>
      <c r="H57" s="153" t="s">
        <v>14</v>
      </c>
      <c r="I57" s="220" t="s">
        <v>45</v>
      </c>
      <c r="J57" s="28">
        <f>IF(I57=H57,"Bak mandi",0)</f>
        <v>0</v>
      </c>
      <c r="K57" s="144" t="str">
        <f>IF(I57=H57,0,"Batal")</f>
        <v>Batal</v>
      </c>
      <c r="L57" s="28"/>
      <c r="M57" s="144" t="s">
        <v>236</v>
      </c>
      <c r="N57" s="186" t="s">
        <v>334</v>
      </c>
      <c r="O57" s="174"/>
      <c r="P57" s="113"/>
    </row>
    <row r="58" spans="2:16" ht="39" x14ac:dyDescent="0.25">
      <c r="B58" s="106"/>
      <c r="C58" s="198"/>
      <c r="D58" s="232"/>
      <c r="E58" s="129"/>
      <c r="F58" s="101" t="s">
        <v>29</v>
      </c>
      <c r="G58" s="144" t="s">
        <v>82</v>
      </c>
      <c r="H58" s="28">
        <v>90</v>
      </c>
      <c r="I58" s="220">
        <v>10</v>
      </c>
      <c r="J58" s="28">
        <f>IF(I58&gt;=H58,"Bak mandi",0)</f>
        <v>0</v>
      </c>
      <c r="K58" s="144" t="str">
        <f>IF(I58&gt;=H58,0,"Kran air")</f>
        <v>Kran air</v>
      </c>
      <c r="L58" s="28" t="s">
        <v>121</v>
      </c>
      <c r="M58" s="144" t="s">
        <v>229</v>
      </c>
      <c r="N58" s="186" t="s">
        <v>122</v>
      </c>
      <c r="O58" s="169" t="s">
        <v>123</v>
      </c>
      <c r="P58" s="118" t="s">
        <v>125</v>
      </c>
    </row>
    <row r="59" spans="2:16" ht="30" x14ac:dyDescent="0.25">
      <c r="B59" s="106"/>
      <c r="C59" s="198"/>
      <c r="D59" s="232"/>
      <c r="E59" s="129" t="s">
        <v>335</v>
      </c>
      <c r="F59" s="101" t="s">
        <v>23</v>
      </c>
      <c r="G59" s="144" t="s">
        <v>30</v>
      </c>
      <c r="H59" s="152">
        <v>150</v>
      </c>
      <c r="I59" s="220">
        <v>100</v>
      </c>
      <c r="J59" s="28">
        <f>IF(I59&gt;=H59,"Pintu",0)</f>
        <v>0</v>
      </c>
      <c r="K59" s="144" t="str">
        <f>IF(I59&lt;H59,"Saklar Lampu",0)</f>
        <v>Saklar Lampu</v>
      </c>
      <c r="L59" s="28"/>
      <c r="M59" s="144"/>
      <c r="N59" s="186" t="s">
        <v>115</v>
      </c>
      <c r="O59" s="169"/>
      <c r="P59" s="118"/>
    </row>
    <row r="60" spans="2:16" ht="30" x14ac:dyDescent="0.25">
      <c r="B60" s="106"/>
      <c r="C60" s="198"/>
      <c r="D60" s="232"/>
      <c r="E60" s="129"/>
      <c r="F60" s="101" t="s">
        <v>77</v>
      </c>
      <c r="G60" s="144" t="s">
        <v>80</v>
      </c>
      <c r="H60" s="152">
        <v>0</v>
      </c>
      <c r="I60" s="220">
        <v>0.2</v>
      </c>
      <c r="J60" s="28">
        <f>IF(I60&lt;=H60,"Pintu",0)</f>
        <v>0</v>
      </c>
      <c r="K60" s="144" t="str">
        <f>IF(I60&gt;H60,"Batal",0)</f>
        <v>Batal</v>
      </c>
      <c r="L60" s="28"/>
      <c r="M60" s="144"/>
      <c r="N60" s="186" t="s">
        <v>128</v>
      </c>
      <c r="O60" s="169"/>
      <c r="P60" s="118"/>
    </row>
    <row r="61" spans="2:16" ht="25.5" x14ac:dyDescent="0.25">
      <c r="B61" s="106"/>
      <c r="C61" s="198"/>
      <c r="D61" s="232"/>
      <c r="E61" s="129"/>
      <c r="F61" s="101" t="s">
        <v>39</v>
      </c>
      <c r="G61" s="144" t="s">
        <v>13</v>
      </c>
      <c r="H61" s="153" t="s">
        <v>14</v>
      </c>
      <c r="I61" s="220" t="s">
        <v>45</v>
      </c>
      <c r="J61" s="28">
        <f>IF(I61=H61,"Bak mandi",0)</f>
        <v>0</v>
      </c>
      <c r="K61" s="144" t="str">
        <f>IF(I61=H61,0,"Batal")</f>
        <v>Batal</v>
      </c>
      <c r="L61" s="28"/>
      <c r="M61" s="144" t="s">
        <v>236</v>
      </c>
      <c r="N61" s="186" t="s">
        <v>117</v>
      </c>
      <c r="O61" s="169"/>
      <c r="P61" s="118"/>
    </row>
    <row r="62" spans="2:16" ht="30.75" thickBot="1" x14ac:dyDescent="0.3">
      <c r="B62" s="108"/>
      <c r="C62" s="199"/>
      <c r="D62" s="233"/>
      <c r="E62" s="130"/>
      <c r="F62" s="140" t="s">
        <v>29</v>
      </c>
      <c r="G62" s="145" t="s">
        <v>82</v>
      </c>
      <c r="H62" s="26">
        <v>15</v>
      </c>
      <c r="I62" s="221">
        <v>5</v>
      </c>
      <c r="J62" s="26">
        <f>IF(I62&gt;=H62,"Kloset",0)</f>
        <v>0</v>
      </c>
      <c r="K62" s="145" t="str">
        <f>IF(I62&gt;=H62,0,"Kran air")</f>
        <v>Kran air</v>
      </c>
      <c r="L62" s="26" t="s">
        <v>121</v>
      </c>
      <c r="M62" s="145" t="s">
        <v>229</v>
      </c>
      <c r="N62" s="188" t="s">
        <v>118</v>
      </c>
      <c r="O62" s="177"/>
      <c r="P62" s="119"/>
    </row>
    <row r="63" spans="2:16" ht="25.5" x14ac:dyDescent="0.25">
      <c r="B63" s="209" t="s">
        <v>357</v>
      </c>
      <c r="C63" s="200" t="s">
        <v>358</v>
      </c>
      <c r="D63" s="231" t="s">
        <v>124</v>
      </c>
      <c r="E63" s="128" t="s">
        <v>41</v>
      </c>
      <c r="F63" s="139" t="s">
        <v>39</v>
      </c>
      <c r="G63" s="143" t="s">
        <v>13</v>
      </c>
      <c r="H63" s="156" t="s">
        <v>14</v>
      </c>
      <c r="I63" s="219" t="s">
        <v>45</v>
      </c>
      <c r="J63" s="27">
        <f>IF(I63=H63,"RTU01",0)</f>
        <v>0</v>
      </c>
      <c r="K63" s="143" t="str">
        <f>IF(I63=H63,0,"Batal")</f>
        <v>Batal</v>
      </c>
      <c r="L63" s="27"/>
      <c r="M63" s="143" t="s">
        <v>228</v>
      </c>
      <c r="N63" s="185" t="s">
        <v>126</v>
      </c>
      <c r="O63" s="168"/>
      <c r="P63" s="120"/>
    </row>
    <row r="64" spans="2:16" ht="30" x14ac:dyDescent="0.25">
      <c r="B64" s="210"/>
      <c r="C64" s="201"/>
      <c r="D64" s="232"/>
      <c r="E64" s="129"/>
      <c r="F64" s="101" t="s">
        <v>23</v>
      </c>
      <c r="G64" s="144" t="s">
        <v>30</v>
      </c>
      <c r="H64" s="152">
        <v>150</v>
      </c>
      <c r="I64" s="220">
        <v>100</v>
      </c>
      <c r="J64" s="28">
        <f>IF(I64&gt;=H64,"Pintu",0)</f>
        <v>0</v>
      </c>
      <c r="K64" s="144" t="str">
        <f>IF(I64&lt;H64,"Saklar Lampu",0)</f>
        <v>Saklar Lampu</v>
      </c>
      <c r="L64" s="28"/>
      <c r="M64" s="144"/>
      <c r="N64" s="186" t="s">
        <v>115</v>
      </c>
      <c r="O64" s="174"/>
      <c r="P64" s="113"/>
    </row>
    <row r="65" spans="2:16" ht="30" x14ac:dyDescent="0.25">
      <c r="B65" s="210"/>
      <c r="C65" s="201"/>
      <c r="D65" s="232"/>
      <c r="E65" s="129"/>
      <c r="F65" s="101" t="s">
        <v>77</v>
      </c>
      <c r="G65" s="144" t="s">
        <v>80</v>
      </c>
      <c r="H65" s="152">
        <v>0.5</v>
      </c>
      <c r="I65" s="220">
        <v>0.2</v>
      </c>
      <c r="J65" s="28" t="str">
        <f>IF(I65&lt;H65,"Lemari",0)</f>
        <v>Lemari</v>
      </c>
      <c r="K65" s="144">
        <f>IF(I65&gt;=H65,"Batal",0)</f>
        <v>0</v>
      </c>
      <c r="L65" s="28"/>
      <c r="M65" s="144"/>
      <c r="N65" s="186" t="s">
        <v>116</v>
      </c>
      <c r="O65" s="174"/>
      <c r="P65" s="113"/>
    </row>
    <row r="66" spans="2:16" ht="30.75" thickBot="1" x14ac:dyDescent="0.3">
      <c r="B66" s="211"/>
      <c r="C66" s="202"/>
      <c r="D66" s="233"/>
      <c r="E66" s="130"/>
      <c r="F66" s="140" t="s">
        <v>39</v>
      </c>
      <c r="G66" s="145" t="s">
        <v>83</v>
      </c>
      <c r="H66" s="155" t="s">
        <v>14</v>
      </c>
      <c r="I66" s="221" t="s">
        <v>45</v>
      </c>
      <c r="J66" s="26">
        <f>IF(I66=H66,"Lemari",0)</f>
        <v>0</v>
      </c>
      <c r="K66" s="145" t="str">
        <f>IF(I66=H66,0,"Batal")</f>
        <v>Batal</v>
      </c>
      <c r="L66" s="26" t="s">
        <v>41</v>
      </c>
      <c r="M66" s="145" t="s">
        <v>230</v>
      </c>
      <c r="N66" s="188" t="s">
        <v>127</v>
      </c>
      <c r="O66" s="175" t="s">
        <v>129</v>
      </c>
      <c r="P66" s="114"/>
    </row>
    <row r="67" spans="2:16" ht="30" x14ac:dyDescent="0.25">
      <c r="B67" s="209" t="s">
        <v>359</v>
      </c>
      <c r="C67" s="200" t="s">
        <v>292</v>
      </c>
      <c r="D67" s="231" t="s">
        <v>245</v>
      </c>
      <c r="E67" s="46" t="s">
        <v>240</v>
      </c>
      <c r="F67" s="139" t="s">
        <v>23</v>
      </c>
      <c r="G67" s="143" t="s">
        <v>30</v>
      </c>
      <c r="H67" s="151">
        <v>60</v>
      </c>
      <c r="I67" s="219">
        <v>40</v>
      </c>
      <c r="J67" s="27" t="str">
        <f>IF(I67&lt;H67,"Saklar lampu",0)</f>
        <v>Saklar lampu</v>
      </c>
      <c r="K67" s="143">
        <f>IF(I67&gt;H67,"Batal",0)</f>
        <v>0</v>
      </c>
      <c r="L67" s="27"/>
      <c r="M67" s="165"/>
      <c r="N67" s="185" t="s">
        <v>241</v>
      </c>
      <c r="O67" s="173"/>
      <c r="P67" s="112"/>
    </row>
    <row r="68" spans="2:16" ht="30" x14ac:dyDescent="0.25">
      <c r="B68" s="210"/>
      <c r="C68" s="201"/>
      <c r="D68" s="232"/>
      <c r="E68" s="47"/>
      <c r="F68" s="101" t="s">
        <v>77</v>
      </c>
      <c r="G68" s="144" t="s">
        <v>80</v>
      </c>
      <c r="H68" s="152">
        <v>2</v>
      </c>
      <c r="I68" s="220">
        <v>1</v>
      </c>
      <c r="J68" s="28" t="str">
        <f>IF(I68&lt;=H68,"Saklar lampu",0)</f>
        <v>Saklar lampu</v>
      </c>
      <c r="K68" s="144">
        <f>IF(I68&gt;H68,"Batal",0)</f>
        <v>0</v>
      </c>
      <c r="L68" s="28"/>
      <c r="M68" s="149"/>
      <c r="N68" s="186" t="s">
        <v>244</v>
      </c>
      <c r="O68" s="174"/>
      <c r="P68" s="113"/>
    </row>
    <row r="69" spans="2:16" ht="30.75" thickBot="1" x14ac:dyDescent="0.3">
      <c r="B69" s="211"/>
      <c r="C69" s="202"/>
      <c r="D69" s="233"/>
      <c r="E69" s="48"/>
      <c r="F69" s="140" t="s">
        <v>39</v>
      </c>
      <c r="G69" s="145" t="s">
        <v>30</v>
      </c>
      <c r="H69" s="155" t="s">
        <v>64</v>
      </c>
      <c r="I69" s="221" t="s">
        <v>64</v>
      </c>
      <c r="J69" s="26" t="str">
        <f>IF(I69=H69,"Saklar lampu",0)</f>
        <v>Saklar lampu</v>
      </c>
      <c r="K69" s="145">
        <f>IF(I69=H69,0,"Batal")</f>
        <v>0</v>
      </c>
      <c r="L69" s="26" t="s">
        <v>52</v>
      </c>
      <c r="M69" s="146" t="s">
        <v>209</v>
      </c>
      <c r="N69" s="188" t="s">
        <v>246</v>
      </c>
      <c r="O69" s="175"/>
      <c r="P69" s="114"/>
    </row>
    <row r="70" spans="2:16" ht="25.5" x14ac:dyDescent="0.25">
      <c r="B70" s="212" t="s">
        <v>266</v>
      </c>
      <c r="C70" s="203" t="s">
        <v>251</v>
      </c>
      <c r="D70" s="231" t="s">
        <v>69</v>
      </c>
      <c r="E70" s="128" t="s">
        <v>54</v>
      </c>
      <c r="F70" s="139" t="s">
        <v>23</v>
      </c>
      <c r="G70" s="143" t="s">
        <v>70</v>
      </c>
      <c r="H70" s="151">
        <v>80</v>
      </c>
      <c r="I70" s="219">
        <v>60</v>
      </c>
      <c r="J70" s="27">
        <f>IF(I70&gt;=H70,"RHD01",0)</f>
        <v>0</v>
      </c>
      <c r="K70" s="143" t="str">
        <f>IF(I70&lt;H70,"Batal",0)</f>
        <v>Batal</v>
      </c>
      <c r="L70" s="27"/>
      <c r="M70" s="143"/>
      <c r="N70" s="189" t="s">
        <v>150</v>
      </c>
      <c r="O70" s="173"/>
      <c r="P70" s="112"/>
    </row>
    <row r="71" spans="2:16" ht="25.5" x14ac:dyDescent="0.25">
      <c r="B71" s="213"/>
      <c r="C71" s="204"/>
      <c r="D71" s="232"/>
      <c r="E71" s="129"/>
      <c r="F71" s="101" t="s">
        <v>39</v>
      </c>
      <c r="G71" s="144" t="s">
        <v>13</v>
      </c>
      <c r="H71" s="153" t="s">
        <v>14</v>
      </c>
      <c r="I71" s="220" t="s">
        <v>45</v>
      </c>
      <c r="J71" s="28">
        <f>IF(I71=H71,"RHD01",0)</f>
        <v>0</v>
      </c>
      <c r="K71" s="144" t="str">
        <f>IF(I71=H71,0,"Batal")</f>
        <v>Batal</v>
      </c>
      <c r="L71" s="28"/>
      <c r="M71" s="144"/>
      <c r="N71" s="186" t="s">
        <v>150</v>
      </c>
      <c r="O71" s="174"/>
      <c r="P71" s="113"/>
    </row>
    <row r="72" spans="2:16" ht="30.75" thickBot="1" x14ac:dyDescent="0.3">
      <c r="B72" s="214"/>
      <c r="C72" s="205"/>
      <c r="D72" s="233"/>
      <c r="E72" s="130"/>
      <c r="F72" s="140" t="s">
        <v>77</v>
      </c>
      <c r="G72" s="145" t="s">
        <v>80</v>
      </c>
      <c r="H72" s="154">
        <v>2</v>
      </c>
      <c r="I72" s="221">
        <v>2</v>
      </c>
      <c r="J72" s="26" t="str">
        <f>IF(I72&lt;=H72,"RHD01",0)</f>
        <v>RHD01</v>
      </c>
      <c r="K72" s="145">
        <f>IF(I72&gt;H72,"Batal",0)</f>
        <v>0</v>
      </c>
      <c r="L72" s="26" t="s">
        <v>52</v>
      </c>
      <c r="M72" s="145" t="s">
        <v>228</v>
      </c>
      <c r="N72" s="188" t="s">
        <v>166</v>
      </c>
      <c r="O72" s="175"/>
      <c r="P72" s="114"/>
    </row>
    <row r="73" spans="2:16" ht="25.5" x14ac:dyDescent="0.25">
      <c r="B73" s="84" t="s">
        <v>250</v>
      </c>
      <c r="C73" s="200" t="s">
        <v>360</v>
      </c>
      <c r="D73" s="231" t="s">
        <v>58</v>
      </c>
      <c r="E73" s="128" t="s">
        <v>41</v>
      </c>
      <c r="F73" s="139" t="s">
        <v>39</v>
      </c>
      <c r="G73" s="143" t="s">
        <v>13</v>
      </c>
      <c r="H73" s="156" t="s">
        <v>14</v>
      </c>
      <c r="I73" s="219" t="s">
        <v>45</v>
      </c>
      <c r="J73" s="27">
        <f>IF(I73=H73,"RTU01",0)</f>
        <v>0</v>
      </c>
      <c r="K73" s="143" t="str">
        <f>IF(I73=H73,0,"Batal")</f>
        <v>Batal</v>
      </c>
      <c r="L73" s="27"/>
      <c r="M73" s="143"/>
      <c r="N73" s="185" t="s">
        <v>126</v>
      </c>
      <c r="O73" s="173"/>
      <c r="P73" s="112"/>
    </row>
    <row r="74" spans="2:16" ht="30" x14ac:dyDescent="0.25">
      <c r="B74" s="50"/>
      <c r="C74" s="201"/>
      <c r="D74" s="232"/>
      <c r="E74" s="129"/>
      <c r="F74" s="101" t="s">
        <v>23</v>
      </c>
      <c r="G74" s="144" t="s">
        <v>30</v>
      </c>
      <c r="H74" s="152">
        <v>150</v>
      </c>
      <c r="I74" s="220">
        <v>100</v>
      </c>
      <c r="J74" s="28">
        <f>IF(I74&gt;=H74,"Pintu",0)</f>
        <v>0</v>
      </c>
      <c r="K74" s="144" t="str">
        <f>IF(I74&lt;H74,"Saklar Lampu",0)</f>
        <v>Saklar Lampu</v>
      </c>
      <c r="L74" s="28"/>
      <c r="M74" s="144"/>
      <c r="N74" s="186" t="s">
        <v>139</v>
      </c>
      <c r="O74" s="174"/>
      <c r="P74" s="113"/>
    </row>
    <row r="75" spans="2:16" ht="30.75" thickBot="1" x14ac:dyDescent="0.3">
      <c r="B75" s="87"/>
      <c r="C75" s="202"/>
      <c r="D75" s="233"/>
      <c r="E75" s="130"/>
      <c r="F75" s="140" t="s">
        <v>77</v>
      </c>
      <c r="G75" s="145" t="s">
        <v>80</v>
      </c>
      <c r="H75" s="154">
        <v>0.5</v>
      </c>
      <c r="I75" s="221">
        <v>0.2</v>
      </c>
      <c r="J75" s="26" t="str">
        <f>IF(I75&lt;H75,"RTU01",0)</f>
        <v>RTU01</v>
      </c>
      <c r="K75" s="145">
        <f>IF(I75&gt;=H75,"Batal",0)</f>
        <v>0</v>
      </c>
      <c r="L75" s="26" t="s">
        <v>13</v>
      </c>
      <c r="M75" s="145" t="s">
        <v>231</v>
      </c>
      <c r="N75" s="188" t="s">
        <v>112</v>
      </c>
      <c r="O75" s="175" t="s">
        <v>94</v>
      </c>
      <c r="P75" s="114"/>
    </row>
    <row r="76" spans="2:16" ht="25.5" x14ac:dyDescent="0.25">
      <c r="B76" s="84" t="s">
        <v>250</v>
      </c>
      <c r="C76" s="200" t="s">
        <v>361</v>
      </c>
      <c r="D76" s="231" t="s">
        <v>59</v>
      </c>
      <c r="E76" s="128" t="s">
        <v>60</v>
      </c>
      <c r="F76" s="139" t="s">
        <v>39</v>
      </c>
      <c r="G76" s="143" t="s">
        <v>13</v>
      </c>
      <c r="H76" s="156" t="s">
        <v>14</v>
      </c>
      <c r="I76" s="219" t="s">
        <v>45</v>
      </c>
      <c r="J76" s="27">
        <f>IF(I76=H76,"RTU02",0)</f>
        <v>0</v>
      </c>
      <c r="K76" s="143" t="str">
        <f>IF(I76=H76,0,"Batal")</f>
        <v>Batal</v>
      </c>
      <c r="L76" s="27"/>
      <c r="M76" s="143"/>
      <c r="N76" s="185" t="s">
        <v>141</v>
      </c>
      <c r="O76" s="173"/>
      <c r="P76" s="112"/>
    </row>
    <row r="77" spans="2:16" ht="30" x14ac:dyDescent="0.25">
      <c r="B77" s="50"/>
      <c r="C77" s="201"/>
      <c r="D77" s="232"/>
      <c r="E77" s="129"/>
      <c r="F77" s="101" t="s">
        <v>23</v>
      </c>
      <c r="G77" s="144" t="s">
        <v>30</v>
      </c>
      <c r="H77" s="152">
        <v>150</v>
      </c>
      <c r="I77" s="220">
        <v>100</v>
      </c>
      <c r="J77" s="28">
        <f>IF(I77&gt;=H77,"Pintu",0)</f>
        <v>0</v>
      </c>
      <c r="K77" s="144" t="str">
        <f>IF(I77&lt;H77,"Saklar Lampu",0)</f>
        <v>Saklar Lampu</v>
      </c>
      <c r="L77" s="28"/>
      <c r="M77" s="144"/>
      <c r="N77" s="186" t="s">
        <v>142</v>
      </c>
      <c r="O77" s="174"/>
      <c r="P77" s="113"/>
    </row>
    <row r="78" spans="2:16" ht="30.75" thickBot="1" x14ac:dyDescent="0.3">
      <c r="B78" s="87"/>
      <c r="C78" s="202"/>
      <c r="D78" s="233"/>
      <c r="E78" s="130"/>
      <c r="F78" s="140" t="s">
        <v>77</v>
      </c>
      <c r="G78" s="145" t="s">
        <v>80</v>
      </c>
      <c r="H78" s="154">
        <v>0.2</v>
      </c>
      <c r="I78" s="221">
        <v>1</v>
      </c>
      <c r="J78" s="26">
        <f>IF(I78&lt;H78,"RTU02",0)</f>
        <v>0</v>
      </c>
      <c r="K78" s="145" t="str">
        <f>IF(I78&gt;=H78,"Batal",0)</f>
        <v>Batal</v>
      </c>
      <c r="L78" s="26" t="s">
        <v>13</v>
      </c>
      <c r="M78" s="145" t="s">
        <v>231</v>
      </c>
      <c r="N78" s="188" t="s">
        <v>133</v>
      </c>
      <c r="O78" s="175" t="s">
        <v>94</v>
      </c>
      <c r="P78" s="114"/>
    </row>
    <row r="79" spans="2:16" x14ac:dyDescent="0.25">
      <c r="B79" s="84" t="s">
        <v>250</v>
      </c>
      <c r="C79" s="200" t="s">
        <v>362</v>
      </c>
      <c r="D79" s="231" t="s">
        <v>336</v>
      </c>
      <c r="E79" s="131"/>
      <c r="F79" s="139"/>
      <c r="G79" s="143"/>
      <c r="H79" s="151"/>
      <c r="I79" s="219"/>
      <c r="J79" s="27"/>
      <c r="K79" s="143"/>
      <c r="L79" s="27"/>
      <c r="M79" s="143"/>
      <c r="N79" s="185"/>
      <c r="O79" s="173"/>
      <c r="P79" s="112"/>
    </row>
    <row r="80" spans="2:16" x14ac:dyDescent="0.25">
      <c r="B80" s="50"/>
      <c r="C80" s="201"/>
      <c r="D80" s="232"/>
      <c r="E80" s="132"/>
      <c r="F80" s="101"/>
      <c r="G80" s="144"/>
      <c r="H80" s="152"/>
      <c r="I80" s="220"/>
      <c r="J80" s="28"/>
      <c r="K80" s="144"/>
      <c r="L80" s="28"/>
      <c r="M80" s="144"/>
      <c r="N80" s="186"/>
      <c r="O80" s="174"/>
      <c r="P80" s="113"/>
    </row>
    <row r="81" spans="2:16" ht="15.75" thickBot="1" x14ac:dyDescent="0.3">
      <c r="B81" s="87"/>
      <c r="C81" s="202"/>
      <c r="D81" s="233"/>
      <c r="E81" s="133"/>
      <c r="F81" s="140"/>
      <c r="G81" s="145"/>
      <c r="H81" s="154"/>
      <c r="I81" s="221"/>
      <c r="J81" s="26"/>
      <c r="K81" s="145"/>
      <c r="L81" s="26"/>
      <c r="M81" s="145"/>
      <c r="N81" s="188"/>
      <c r="O81" s="175"/>
      <c r="P81" s="114"/>
    </row>
    <row r="82" spans="2:16" ht="30" x14ac:dyDescent="0.25">
      <c r="B82" s="84" t="s">
        <v>250</v>
      </c>
      <c r="C82" s="200" t="s">
        <v>252</v>
      </c>
      <c r="D82" s="231" t="s">
        <v>337</v>
      </c>
      <c r="E82" s="128" t="s">
        <v>326</v>
      </c>
      <c r="F82" s="139" t="s">
        <v>23</v>
      </c>
      <c r="G82" s="143" t="s">
        <v>30</v>
      </c>
      <c r="H82" s="151">
        <v>150</v>
      </c>
      <c r="I82" s="219">
        <v>100</v>
      </c>
      <c r="J82" s="27">
        <f>IF(I82&gt;=H82,"Pintu",0)</f>
        <v>0</v>
      </c>
      <c r="K82" s="143" t="str">
        <f>IF(I82&lt;H82,"Saklar Lampu",0)</f>
        <v>Saklar Lampu</v>
      </c>
      <c r="L82" s="27"/>
      <c r="M82" s="143"/>
      <c r="N82" s="185" t="s">
        <v>327</v>
      </c>
      <c r="O82" s="178" t="s">
        <v>238</v>
      </c>
      <c r="P82" s="112"/>
    </row>
    <row r="83" spans="2:16" ht="25.5" x14ac:dyDescent="0.25">
      <c r="B83" s="50"/>
      <c r="C83" s="201"/>
      <c r="D83" s="232"/>
      <c r="E83" s="129"/>
      <c r="F83" s="101" t="s">
        <v>39</v>
      </c>
      <c r="G83" s="144" t="s">
        <v>13</v>
      </c>
      <c r="H83" s="153" t="s">
        <v>14</v>
      </c>
      <c r="I83" s="220" t="s">
        <v>14</v>
      </c>
      <c r="J83" s="28" t="str">
        <f>IF(I83=H83,"RBK01",0)</f>
        <v>RBK01</v>
      </c>
      <c r="K83" s="144">
        <f>IF(I83=H83,0,"Batal")</f>
        <v>0</v>
      </c>
      <c r="L83" s="28"/>
      <c r="M83" s="144"/>
      <c r="N83" s="186" t="s">
        <v>328</v>
      </c>
      <c r="O83" s="179"/>
      <c r="P83" s="113"/>
    </row>
    <row r="84" spans="2:16" ht="30.75" thickBot="1" x14ac:dyDescent="0.3">
      <c r="B84" s="87"/>
      <c r="C84" s="202"/>
      <c r="D84" s="233"/>
      <c r="E84" s="130"/>
      <c r="F84" s="140" t="s">
        <v>77</v>
      </c>
      <c r="G84" s="145" t="s">
        <v>80</v>
      </c>
      <c r="H84" s="154">
        <v>0.5</v>
      </c>
      <c r="I84" s="221">
        <v>0.5</v>
      </c>
      <c r="J84" s="26">
        <f>IF(I84&lt;H84,"RBK01",0)</f>
        <v>0</v>
      </c>
      <c r="K84" s="145" t="str">
        <f>IF(I84&gt;=H84,"Batal",0)</f>
        <v>Batal</v>
      </c>
      <c r="L84" s="26" t="s">
        <v>13</v>
      </c>
      <c r="M84" s="145" t="s">
        <v>231</v>
      </c>
      <c r="N84" s="188" t="s">
        <v>329</v>
      </c>
      <c r="O84" s="180"/>
      <c r="P84" s="114"/>
    </row>
    <row r="85" spans="2:16" ht="30" x14ac:dyDescent="0.25">
      <c r="B85" s="84" t="s">
        <v>250</v>
      </c>
      <c r="C85" s="200" t="s">
        <v>363</v>
      </c>
      <c r="D85" s="231" t="s">
        <v>338</v>
      </c>
      <c r="E85" s="128" t="s">
        <v>26</v>
      </c>
      <c r="F85" s="139" t="s">
        <v>23</v>
      </c>
      <c r="G85" s="143" t="s">
        <v>30</v>
      </c>
      <c r="H85" s="151">
        <v>150</v>
      </c>
      <c r="I85" s="219">
        <v>100</v>
      </c>
      <c r="J85" s="27" t="s">
        <v>331</v>
      </c>
      <c r="K85" s="143" t="str">
        <f>IF(I85&lt;H85,"Saklar Lampu",0)</f>
        <v>Saklar Lampu</v>
      </c>
      <c r="L85" s="27"/>
      <c r="M85" s="143"/>
      <c r="N85" s="185" t="s">
        <v>332</v>
      </c>
      <c r="O85" s="173"/>
      <c r="P85" s="112"/>
    </row>
    <row r="86" spans="2:16" ht="25.5" x14ac:dyDescent="0.25">
      <c r="B86" s="50"/>
      <c r="C86" s="201"/>
      <c r="D86" s="232"/>
      <c r="E86" s="129"/>
      <c r="F86" s="101" t="s">
        <v>39</v>
      </c>
      <c r="G86" s="144" t="s">
        <v>13</v>
      </c>
      <c r="H86" s="153" t="s">
        <v>14</v>
      </c>
      <c r="I86" s="220" t="s">
        <v>14</v>
      </c>
      <c r="J86" s="28" t="str">
        <f>IF(I86=H86,"RDP01",0)</f>
        <v>RDP01</v>
      </c>
      <c r="K86" s="144">
        <f>IF(I86=H86,0,"Batal")</f>
        <v>0</v>
      </c>
      <c r="L86" s="28"/>
      <c r="M86" s="144"/>
      <c r="N86" s="186" t="s">
        <v>328</v>
      </c>
      <c r="O86" s="174"/>
      <c r="P86" s="113"/>
    </row>
    <row r="87" spans="2:16" ht="30.75" thickBot="1" x14ac:dyDescent="0.3">
      <c r="B87" s="87"/>
      <c r="C87" s="202"/>
      <c r="D87" s="233"/>
      <c r="E87" s="130"/>
      <c r="F87" s="140" t="s">
        <v>77</v>
      </c>
      <c r="G87" s="145" t="s">
        <v>80</v>
      </c>
      <c r="H87" s="154">
        <v>0.2</v>
      </c>
      <c r="I87" s="221">
        <v>1</v>
      </c>
      <c r="J87" s="26">
        <f>IF(I87&lt;H87,"RDP01",0)</f>
        <v>0</v>
      </c>
      <c r="K87" s="145" t="str">
        <f>IF(I87&gt;=H87,"Batal",0)</f>
        <v>Batal</v>
      </c>
      <c r="L87" s="26"/>
      <c r="M87" s="145" t="s">
        <v>164</v>
      </c>
      <c r="N87" s="188" t="s">
        <v>131</v>
      </c>
      <c r="O87" s="175" t="s">
        <v>94</v>
      </c>
      <c r="P87" s="114"/>
    </row>
    <row r="88" spans="2:16" ht="30" x14ac:dyDescent="0.25">
      <c r="B88" s="84" t="s">
        <v>250</v>
      </c>
      <c r="C88" s="200" t="s">
        <v>253</v>
      </c>
      <c r="D88" s="231" t="s">
        <v>339</v>
      </c>
      <c r="E88" s="128" t="s">
        <v>26</v>
      </c>
      <c r="F88" s="139" t="s">
        <v>23</v>
      </c>
      <c r="G88" s="143" t="s">
        <v>30</v>
      </c>
      <c r="H88" s="151">
        <v>150</v>
      </c>
      <c r="I88" s="219">
        <v>100</v>
      </c>
      <c r="J88" s="27" t="s">
        <v>331</v>
      </c>
      <c r="K88" s="143" t="str">
        <f>IF(I88&lt;H88,"Saklar Lampu",0)</f>
        <v>Saklar Lampu</v>
      </c>
      <c r="L88" s="27"/>
      <c r="M88" s="143"/>
      <c r="N88" s="185" t="s">
        <v>332</v>
      </c>
      <c r="O88" s="173"/>
      <c r="P88" s="112"/>
    </row>
    <row r="89" spans="2:16" ht="30.75" thickBot="1" x14ac:dyDescent="0.3">
      <c r="B89" s="87"/>
      <c r="C89" s="202"/>
      <c r="D89" s="233"/>
      <c r="E89" s="130"/>
      <c r="F89" s="140" t="s">
        <v>77</v>
      </c>
      <c r="G89" s="145" t="s">
        <v>80</v>
      </c>
      <c r="H89" s="154">
        <v>0.2</v>
      </c>
      <c r="I89" s="221">
        <v>1</v>
      </c>
      <c r="J89" s="26">
        <f>IF(I89&lt;H89,"RDP01",0)</f>
        <v>0</v>
      </c>
      <c r="K89" s="145" t="str">
        <f>IF(I89&gt;=H89,"Batal",0)</f>
        <v>Batal</v>
      </c>
      <c r="L89" s="26"/>
      <c r="M89" s="145" t="s">
        <v>164</v>
      </c>
      <c r="N89" s="188" t="s">
        <v>131</v>
      </c>
      <c r="O89" s="175" t="s">
        <v>94</v>
      </c>
      <c r="P89" s="114"/>
    </row>
    <row r="90" spans="2:16" ht="25.5" x14ac:dyDescent="0.25">
      <c r="B90" s="84" t="s">
        <v>250</v>
      </c>
      <c r="C90" s="200" t="s">
        <v>364</v>
      </c>
      <c r="D90" s="231" t="s">
        <v>50</v>
      </c>
      <c r="E90" s="128" t="s">
        <v>33</v>
      </c>
      <c r="F90" s="139" t="s">
        <v>23</v>
      </c>
      <c r="G90" s="143" t="s">
        <v>30</v>
      </c>
      <c r="H90" s="151">
        <v>150</v>
      </c>
      <c r="I90" s="219">
        <v>100</v>
      </c>
      <c r="J90" s="27" t="str">
        <f>IF(I90&gt;=E21,"RKG01",0)</f>
        <v>RKG01</v>
      </c>
      <c r="K90" s="143">
        <f>IF(I90&lt;E21,"Saklar Lampu",0)</f>
        <v>0</v>
      </c>
      <c r="L90" s="27"/>
      <c r="M90" s="143"/>
      <c r="N90" s="185" t="s">
        <v>99</v>
      </c>
      <c r="O90" s="173"/>
      <c r="P90" s="112"/>
    </row>
    <row r="91" spans="2:16" ht="30.75" thickBot="1" x14ac:dyDescent="0.3">
      <c r="B91" s="87"/>
      <c r="C91" s="202"/>
      <c r="D91" s="233"/>
      <c r="E91" s="130"/>
      <c r="F91" s="140" t="s">
        <v>77</v>
      </c>
      <c r="G91" s="145" t="s">
        <v>80</v>
      </c>
      <c r="H91" s="154">
        <v>0.5</v>
      </c>
      <c r="I91" s="221">
        <v>1</v>
      </c>
      <c r="J91" s="26">
        <f>IF(I91&lt;H91,"RKG01",0)</f>
        <v>0</v>
      </c>
      <c r="K91" s="145" t="str">
        <f>IF(I91&gt;=H91,"Batal",0)</f>
        <v>Batal</v>
      </c>
      <c r="L91" s="26"/>
      <c r="M91" s="145" t="s">
        <v>146</v>
      </c>
      <c r="N91" s="188" t="s">
        <v>134</v>
      </c>
      <c r="O91" s="175" t="s">
        <v>94</v>
      </c>
      <c r="P91" s="114"/>
    </row>
    <row r="92" spans="2:16" ht="30" x14ac:dyDescent="0.25">
      <c r="B92" s="84" t="s">
        <v>250</v>
      </c>
      <c r="C92" s="200" t="s">
        <v>254</v>
      </c>
      <c r="D92" s="231" t="s">
        <v>51</v>
      </c>
      <c r="E92" s="128" t="s">
        <v>52</v>
      </c>
      <c r="F92" s="139" t="s">
        <v>23</v>
      </c>
      <c r="G92" s="143" t="s">
        <v>30</v>
      </c>
      <c r="H92" s="151">
        <v>150</v>
      </c>
      <c r="I92" s="219">
        <v>100</v>
      </c>
      <c r="J92" s="27">
        <f>IF(I92&gt;=H92,"RTM01",0)</f>
        <v>0</v>
      </c>
      <c r="K92" s="143" t="str">
        <f>IF(I92&lt;H92,"Saklar Lampu",0)</f>
        <v>Saklar Lampu</v>
      </c>
      <c r="L92" s="27"/>
      <c r="M92" s="143"/>
      <c r="N92" s="185" t="s">
        <v>135</v>
      </c>
      <c r="O92" s="173"/>
      <c r="P92" s="112"/>
    </row>
    <row r="93" spans="2:16" ht="30.75" thickBot="1" x14ac:dyDescent="0.3">
      <c r="B93" s="87"/>
      <c r="C93" s="202"/>
      <c r="D93" s="233"/>
      <c r="E93" s="130"/>
      <c r="F93" s="140" t="s">
        <v>77</v>
      </c>
      <c r="G93" s="145" t="s">
        <v>80</v>
      </c>
      <c r="H93" s="154">
        <v>0.2</v>
      </c>
      <c r="I93" s="221">
        <v>1</v>
      </c>
      <c r="J93" s="26">
        <f>IF(I93&lt;H93,"RTM01",0)</f>
        <v>0</v>
      </c>
      <c r="K93" s="145" t="str">
        <f>IF(I93&gt;=H93,"Batal",0)</f>
        <v>Batal</v>
      </c>
      <c r="L93" s="26"/>
      <c r="M93" s="145" t="s">
        <v>146</v>
      </c>
      <c r="N93" s="188" t="s">
        <v>136</v>
      </c>
      <c r="O93" s="175" t="s">
        <v>94</v>
      </c>
      <c r="P93" s="114"/>
    </row>
    <row r="94" spans="2:16" ht="30" x14ac:dyDescent="0.25">
      <c r="B94" s="84" t="s">
        <v>250</v>
      </c>
      <c r="C94" s="200" t="s">
        <v>365</v>
      </c>
      <c r="D94" s="231" t="s">
        <v>53</v>
      </c>
      <c r="E94" s="128" t="s">
        <v>54</v>
      </c>
      <c r="F94" s="139" t="s">
        <v>23</v>
      </c>
      <c r="G94" s="143" t="s">
        <v>30</v>
      </c>
      <c r="H94" s="151">
        <v>150</v>
      </c>
      <c r="I94" s="219">
        <v>100</v>
      </c>
      <c r="J94" s="27">
        <f>IF(I94&gt;=H94,"Pintu",0)</f>
        <v>0</v>
      </c>
      <c r="K94" s="143" t="str">
        <f>IF(I94&lt;H94,"Saklar Lampu",0)</f>
        <v>Saklar Lampu</v>
      </c>
      <c r="L94" s="27"/>
      <c r="M94" s="143"/>
      <c r="N94" s="185" t="s">
        <v>115</v>
      </c>
      <c r="O94" s="173"/>
      <c r="P94" s="112"/>
    </row>
    <row r="95" spans="2:16" ht="25.5" x14ac:dyDescent="0.25">
      <c r="B95" s="50"/>
      <c r="C95" s="201"/>
      <c r="D95" s="232"/>
      <c r="E95" s="129"/>
      <c r="F95" s="101" t="s">
        <v>39</v>
      </c>
      <c r="G95" s="144" t="s">
        <v>13</v>
      </c>
      <c r="H95" s="153" t="s">
        <v>14</v>
      </c>
      <c r="I95" s="220" t="s">
        <v>45</v>
      </c>
      <c r="J95" s="28">
        <f>IF(I95=H95,"RTS01",0)</f>
        <v>0</v>
      </c>
      <c r="K95" s="144" t="str">
        <f>IF(I95=H95,0,"Batal")</f>
        <v>Batal</v>
      </c>
      <c r="L95" s="28"/>
      <c r="M95" s="144"/>
      <c r="N95" s="186" t="s">
        <v>137</v>
      </c>
      <c r="O95" s="174"/>
      <c r="P95" s="113"/>
    </row>
    <row r="96" spans="2:16" ht="30.75" thickBot="1" x14ac:dyDescent="0.3">
      <c r="B96" s="87"/>
      <c r="C96" s="202"/>
      <c r="D96" s="233"/>
      <c r="E96" s="130"/>
      <c r="F96" s="140" t="s">
        <v>77</v>
      </c>
      <c r="G96" s="145" t="s">
        <v>80</v>
      </c>
      <c r="H96" s="154">
        <v>0.5</v>
      </c>
      <c r="I96" s="221">
        <v>1</v>
      </c>
      <c r="J96" s="26" t="str">
        <f>IF(I96&lt;E24,"RTS01",0)</f>
        <v>RTS01</v>
      </c>
      <c r="K96" s="145">
        <f>IF(I96&gt;=E24,"Batal",0)</f>
        <v>0</v>
      </c>
      <c r="L96" s="26" t="s">
        <v>13</v>
      </c>
      <c r="M96" s="145" t="s">
        <v>231</v>
      </c>
      <c r="N96" s="188" t="s">
        <v>138</v>
      </c>
      <c r="O96" s="175" t="s">
        <v>94</v>
      </c>
      <c r="P96" s="114"/>
    </row>
    <row r="97" spans="2:16" ht="25.5" x14ac:dyDescent="0.25">
      <c r="B97" s="209" t="s">
        <v>366</v>
      </c>
      <c r="C97" s="200" t="s">
        <v>367</v>
      </c>
      <c r="D97" s="231" t="s">
        <v>62</v>
      </c>
      <c r="E97" s="128" t="s">
        <v>41</v>
      </c>
      <c r="F97" s="139" t="s">
        <v>39</v>
      </c>
      <c r="G97" s="143" t="s">
        <v>13</v>
      </c>
      <c r="H97" s="156" t="s">
        <v>14</v>
      </c>
      <c r="I97" s="219" t="s">
        <v>45</v>
      </c>
      <c r="J97" s="27">
        <f>IF(I97=H97,"RTS01",0)</f>
        <v>0</v>
      </c>
      <c r="K97" s="143" t="str">
        <f>IF(I97=H97,0,"Batal")</f>
        <v>Batal</v>
      </c>
      <c r="L97" s="27"/>
      <c r="M97" s="143"/>
      <c r="N97" s="185" t="s">
        <v>126</v>
      </c>
      <c r="O97" s="173"/>
      <c r="P97" s="112"/>
    </row>
    <row r="98" spans="2:16" ht="30" x14ac:dyDescent="0.25">
      <c r="B98" s="210"/>
      <c r="C98" s="201"/>
      <c r="D98" s="232"/>
      <c r="E98" s="129"/>
      <c r="F98" s="101" t="s">
        <v>23</v>
      </c>
      <c r="G98" s="144" t="s">
        <v>30</v>
      </c>
      <c r="H98" s="152">
        <v>150</v>
      </c>
      <c r="I98" s="220">
        <v>100</v>
      </c>
      <c r="J98" s="28">
        <f>IF(I98&gt;=H98,"Pintu",0)</f>
        <v>0</v>
      </c>
      <c r="K98" s="144" t="str">
        <f>IF(I98&lt;H98,"Saklar Lampu",0)</f>
        <v>Saklar Lampu</v>
      </c>
      <c r="L98" s="28"/>
      <c r="M98" s="144"/>
      <c r="N98" s="186" t="s">
        <v>139</v>
      </c>
      <c r="O98" s="174"/>
      <c r="P98" s="113"/>
    </row>
    <row r="99" spans="2:16" ht="30.75" thickBot="1" x14ac:dyDescent="0.3">
      <c r="B99" s="211"/>
      <c r="C99" s="202"/>
      <c r="D99" s="233"/>
      <c r="E99" s="130"/>
      <c r="F99" s="140" t="s">
        <v>77</v>
      </c>
      <c r="G99" s="145" t="s">
        <v>80</v>
      </c>
      <c r="H99" s="154">
        <v>0.2</v>
      </c>
      <c r="I99" s="221">
        <v>1</v>
      </c>
      <c r="J99" s="26">
        <f>IF(I99&lt;H99,"RTU01",0)</f>
        <v>0</v>
      </c>
      <c r="K99" s="145" t="str">
        <f>IF(I99&gt;=H99,"Batal",0)</f>
        <v>Batal</v>
      </c>
      <c r="L99" s="26" t="s">
        <v>13</v>
      </c>
      <c r="M99" s="145" t="s">
        <v>231</v>
      </c>
      <c r="N99" s="188" t="s">
        <v>140</v>
      </c>
      <c r="O99" s="175"/>
      <c r="P99" s="114"/>
    </row>
    <row r="100" spans="2:16" ht="25.5" x14ac:dyDescent="0.25">
      <c r="B100" s="209" t="s">
        <v>368</v>
      </c>
      <c r="C100" s="200" t="s">
        <v>255</v>
      </c>
      <c r="D100" s="231" t="s">
        <v>63</v>
      </c>
      <c r="E100" s="128" t="s">
        <v>60</v>
      </c>
      <c r="F100" s="139" t="s">
        <v>39</v>
      </c>
      <c r="G100" s="143" t="s">
        <v>13</v>
      </c>
      <c r="H100" s="156" t="s">
        <v>14</v>
      </c>
      <c r="I100" s="219" t="s">
        <v>45</v>
      </c>
      <c r="J100" s="27">
        <f>IF(I100=H100,"RTS01",0)</f>
        <v>0</v>
      </c>
      <c r="K100" s="143" t="str">
        <f>IF(I100=H100,0,"Batal")</f>
        <v>Batal</v>
      </c>
      <c r="L100" s="27"/>
      <c r="M100" s="143"/>
      <c r="N100" s="185" t="s">
        <v>141</v>
      </c>
      <c r="O100" s="173"/>
      <c r="P100" s="112"/>
    </row>
    <row r="101" spans="2:16" ht="30" x14ac:dyDescent="0.25">
      <c r="B101" s="210"/>
      <c r="C101" s="201"/>
      <c r="D101" s="232"/>
      <c r="E101" s="129"/>
      <c r="F101" s="101" t="s">
        <v>23</v>
      </c>
      <c r="G101" s="144" t="s">
        <v>30</v>
      </c>
      <c r="H101" s="152">
        <v>150</v>
      </c>
      <c r="I101" s="220">
        <v>100</v>
      </c>
      <c r="J101" s="28">
        <f>IF(I101&gt;=H101,"Pintu",0)</f>
        <v>0</v>
      </c>
      <c r="K101" s="144" t="str">
        <f>IF(I101&lt;H101,"Saklar Lampu",0)</f>
        <v>Saklar Lampu</v>
      </c>
      <c r="L101" s="28"/>
      <c r="M101" s="144"/>
      <c r="N101" s="186" t="s">
        <v>142</v>
      </c>
      <c r="O101" s="174"/>
      <c r="P101" s="113"/>
    </row>
    <row r="102" spans="2:16" ht="30.75" thickBot="1" x14ac:dyDescent="0.3">
      <c r="B102" s="211"/>
      <c r="C102" s="202"/>
      <c r="D102" s="233"/>
      <c r="E102" s="130"/>
      <c r="F102" s="140" t="s">
        <v>77</v>
      </c>
      <c r="G102" s="145" t="s">
        <v>80</v>
      </c>
      <c r="H102" s="154">
        <v>0.2</v>
      </c>
      <c r="I102" s="221">
        <v>1</v>
      </c>
      <c r="J102" s="26">
        <f>IF(I102&lt;H102,"RTU02",0)</f>
        <v>0</v>
      </c>
      <c r="K102" s="145" t="str">
        <f>IF(I102&gt;=H102,"Batal",0)</f>
        <v>Batal</v>
      </c>
      <c r="L102" s="26" t="s">
        <v>13</v>
      </c>
      <c r="M102" s="145" t="s">
        <v>231</v>
      </c>
      <c r="N102" s="188" t="s">
        <v>133</v>
      </c>
      <c r="O102" s="175"/>
      <c r="P102" s="114"/>
    </row>
    <row r="103" spans="2:16" ht="30" x14ac:dyDescent="0.25">
      <c r="B103" s="209" t="s">
        <v>369</v>
      </c>
      <c r="C103" s="200" t="s">
        <v>256</v>
      </c>
      <c r="D103" s="231" t="s">
        <v>340</v>
      </c>
      <c r="E103" s="128" t="s">
        <v>370</v>
      </c>
      <c r="F103" s="139" t="s">
        <v>23</v>
      </c>
      <c r="G103" s="143" t="s">
        <v>30</v>
      </c>
      <c r="H103" s="151">
        <v>150</v>
      </c>
      <c r="I103" s="219">
        <v>100</v>
      </c>
      <c r="J103" s="27">
        <f>IF(I103&gt;=H103,"RKJ01",0)</f>
        <v>0</v>
      </c>
      <c r="K103" s="143" t="str">
        <f>IF(I103&lt;H103,"Saklar Lampu",0)</f>
        <v>Saklar Lampu</v>
      </c>
      <c r="L103" s="27"/>
      <c r="M103" s="143"/>
      <c r="N103" s="190" t="s">
        <v>371</v>
      </c>
      <c r="O103" s="173"/>
      <c r="P103" s="112"/>
    </row>
    <row r="104" spans="2:16" ht="30.75" thickBot="1" x14ac:dyDescent="0.3">
      <c r="B104" s="211"/>
      <c r="C104" s="202"/>
      <c r="D104" s="233"/>
      <c r="E104" s="130"/>
      <c r="F104" s="140" t="s">
        <v>77</v>
      </c>
      <c r="G104" s="145" t="s">
        <v>80</v>
      </c>
      <c r="H104" s="154">
        <v>0.2</v>
      </c>
      <c r="I104" s="221">
        <v>0</v>
      </c>
      <c r="J104" s="26" t="str">
        <f>IF(I104&lt;H104,"RKJ01",0)</f>
        <v>RKJ01</v>
      </c>
      <c r="K104" s="145">
        <f>IF(I104&gt;=H104,"Batal",0)</f>
        <v>0</v>
      </c>
      <c r="L104" s="26"/>
      <c r="M104" s="145" t="s">
        <v>164</v>
      </c>
      <c r="N104" s="191"/>
      <c r="O104" s="175"/>
      <c r="P104" s="114"/>
    </row>
    <row r="105" spans="2:16" ht="30" x14ac:dyDescent="0.25">
      <c r="B105" s="209" t="s">
        <v>372</v>
      </c>
      <c r="C105" s="200" t="s">
        <v>373</v>
      </c>
      <c r="D105" s="231" t="s">
        <v>341</v>
      </c>
      <c r="E105" s="128" t="s">
        <v>26</v>
      </c>
      <c r="F105" s="139" t="s">
        <v>23</v>
      </c>
      <c r="G105" s="143" t="s">
        <v>30</v>
      </c>
      <c r="H105" s="151">
        <v>150</v>
      </c>
      <c r="I105" s="219">
        <v>100</v>
      </c>
      <c r="J105" s="27">
        <f>IF(I105&gt;=H105,"RDP01",0)</f>
        <v>0</v>
      </c>
      <c r="K105" s="143" t="str">
        <f>IF(I105&lt;H105,"Saklar Lampu",0)</f>
        <v>Saklar Lampu</v>
      </c>
      <c r="L105" s="27"/>
      <c r="M105" s="143"/>
      <c r="N105" s="185" t="s">
        <v>130</v>
      </c>
      <c r="O105" s="173"/>
      <c r="P105" s="112"/>
    </row>
    <row r="106" spans="2:16" x14ac:dyDescent="0.25">
      <c r="B106" s="210"/>
      <c r="C106" s="201"/>
      <c r="D106" s="232"/>
      <c r="E106" s="129"/>
      <c r="F106" s="101" t="s">
        <v>39</v>
      </c>
      <c r="G106" s="144" t="s">
        <v>13</v>
      </c>
      <c r="H106" s="153" t="s">
        <v>14</v>
      </c>
      <c r="I106" s="220" t="s">
        <v>14</v>
      </c>
      <c r="J106" s="28" t="str">
        <f>IF(I106=H106,"RDP01",0)</f>
        <v>RDP01</v>
      </c>
      <c r="K106" s="144">
        <f>IF(I106=H106,0,"Batal")</f>
        <v>0</v>
      </c>
      <c r="L106" s="28"/>
      <c r="M106" s="144"/>
      <c r="N106" s="186"/>
      <c r="O106" s="174"/>
      <c r="P106" s="113"/>
    </row>
    <row r="107" spans="2:16" ht="30.75" thickBot="1" x14ac:dyDescent="0.3">
      <c r="B107" s="211"/>
      <c r="C107" s="202"/>
      <c r="D107" s="233"/>
      <c r="E107" s="130"/>
      <c r="F107" s="140" t="s">
        <v>77</v>
      </c>
      <c r="G107" s="145" t="s">
        <v>80</v>
      </c>
      <c r="H107" s="154">
        <v>0.2</v>
      </c>
      <c r="I107" s="221">
        <v>1</v>
      </c>
      <c r="J107" s="26">
        <f>IF(I107&lt;H107,"RDP01",0)</f>
        <v>0</v>
      </c>
      <c r="K107" s="145" t="str">
        <f>IF(I107&gt;=H107,"Batal",0)</f>
        <v>Batal</v>
      </c>
      <c r="L107" s="26"/>
      <c r="M107" s="145" t="s">
        <v>226</v>
      </c>
      <c r="N107" s="188" t="s">
        <v>131</v>
      </c>
      <c r="O107" s="175" t="s">
        <v>94</v>
      </c>
      <c r="P107" s="114"/>
    </row>
    <row r="108" spans="2:16" ht="30" x14ac:dyDescent="0.25">
      <c r="B108" s="209" t="s">
        <v>374</v>
      </c>
      <c r="C108" s="200" t="s">
        <v>257</v>
      </c>
      <c r="D108" s="231" t="s">
        <v>342</v>
      </c>
      <c r="E108" s="128" t="s">
        <v>316</v>
      </c>
      <c r="F108" s="139" t="s">
        <v>23</v>
      </c>
      <c r="G108" s="143" t="s">
        <v>30</v>
      </c>
      <c r="H108" s="151">
        <v>150</v>
      </c>
      <c r="I108" s="219">
        <v>100</v>
      </c>
      <c r="J108" s="27">
        <f>IF(I108&gt;=H108,"RDP02",0)</f>
        <v>0</v>
      </c>
      <c r="K108" s="143" t="str">
        <f>IF(I108&lt;H108,"Saklar Lampu",0)</f>
        <v>Saklar Lampu</v>
      </c>
      <c r="L108" s="27"/>
      <c r="M108" s="143"/>
      <c r="N108" s="185" t="s">
        <v>130</v>
      </c>
      <c r="O108" s="173"/>
      <c r="P108" s="112"/>
    </row>
    <row r="109" spans="2:16" ht="30.75" thickBot="1" x14ac:dyDescent="0.3">
      <c r="B109" s="211"/>
      <c r="C109" s="202"/>
      <c r="D109" s="233"/>
      <c r="E109" s="130"/>
      <c r="F109" s="140" t="s">
        <v>77</v>
      </c>
      <c r="G109" s="145" t="s">
        <v>80</v>
      </c>
      <c r="H109" s="154">
        <v>0.2</v>
      </c>
      <c r="I109" s="221">
        <v>1</v>
      </c>
      <c r="J109" s="26">
        <f>IF(I109&lt;H109,"RDP02",0)</f>
        <v>0</v>
      </c>
      <c r="K109" s="145" t="str">
        <f>IF(I109&gt;=H109,"Batal",0)</f>
        <v>Batal</v>
      </c>
      <c r="L109" s="26"/>
      <c r="M109" s="145" t="s">
        <v>226</v>
      </c>
      <c r="N109" s="188" t="s">
        <v>131</v>
      </c>
      <c r="O109" s="175" t="s">
        <v>94</v>
      </c>
      <c r="P109" s="114"/>
    </row>
    <row r="110" spans="2:16" ht="30" x14ac:dyDescent="0.25">
      <c r="B110" s="209" t="s">
        <v>375</v>
      </c>
      <c r="C110" s="200" t="s">
        <v>258</v>
      </c>
      <c r="D110" s="231" t="s">
        <v>55</v>
      </c>
      <c r="E110" s="128" t="s">
        <v>33</v>
      </c>
      <c r="F110" s="139" t="s">
        <v>23</v>
      </c>
      <c r="G110" s="143" t="s">
        <v>30</v>
      </c>
      <c r="H110" s="151">
        <v>150</v>
      </c>
      <c r="I110" s="219">
        <v>100</v>
      </c>
      <c r="J110" s="27">
        <f>IF(I110&gt;=H110,"RKG01",0)</f>
        <v>0</v>
      </c>
      <c r="K110" s="143" t="str">
        <f>IF(I110&lt;H110,"Saklar Lampu",0)</f>
        <v>Saklar Lampu</v>
      </c>
      <c r="L110" s="27"/>
      <c r="M110" s="143"/>
      <c r="N110" s="185" t="s">
        <v>99</v>
      </c>
      <c r="O110" s="173"/>
      <c r="P110" s="112"/>
    </row>
    <row r="111" spans="2:16" ht="30.75" thickBot="1" x14ac:dyDescent="0.3">
      <c r="B111" s="211"/>
      <c r="C111" s="202"/>
      <c r="D111" s="233"/>
      <c r="E111" s="130"/>
      <c r="F111" s="140" t="s">
        <v>77</v>
      </c>
      <c r="G111" s="145" t="s">
        <v>80</v>
      </c>
      <c r="H111" s="154">
        <v>0.2</v>
      </c>
      <c r="I111" s="221">
        <v>1</v>
      </c>
      <c r="J111" s="26">
        <f>IF(I111&lt;H111,"RKG01",0)</f>
        <v>0</v>
      </c>
      <c r="K111" s="145" t="str">
        <f>IF(I111&gt;=H111,"Batal",0)</f>
        <v>Batal</v>
      </c>
      <c r="L111" s="26"/>
      <c r="M111" s="145"/>
      <c r="N111" s="188" t="s">
        <v>134</v>
      </c>
      <c r="O111" s="175"/>
      <c r="P111" s="114"/>
    </row>
    <row r="112" spans="2:16" ht="30" x14ac:dyDescent="0.25">
      <c r="B112" s="209" t="s">
        <v>264</v>
      </c>
      <c r="C112" s="200" t="s">
        <v>259</v>
      </c>
      <c r="D112" s="231" t="s">
        <v>56</v>
      </c>
      <c r="E112" s="128" t="s">
        <v>52</v>
      </c>
      <c r="F112" s="139" t="s">
        <v>23</v>
      </c>
      <c r="G112" s="143" t="s">
        <v>30</v>
      </c>
      <c r="H112" s="151">
        <v>150</v>
      </c>
      <c r="I112" s="219">
        <v>100</v>
      </c>
      <c r="J112" s="27">
        <f>IF(I112&gt;=H112,"RTM01",0)</f>
        <v>0</v>
      </c>
      <c r="K112" s="143" t="str">
        <f>IF(I112&lt;H112,"Saklar Lampu",0)</f>
        <v>Saklar Lampu</v>
      </c>
      <c r="L112" s="27"/>
      <c r="M112" s="143"/>
      <c r="N112" s="185" t="s">
        <v>135</v>
      </c>
      <c r="O112" s="173"/>
      <c r="P112" s="112"/>
    </row>
    <row r="113" spans="2:16" ht="30.75" thickBot="1" x14ac:dyDescent="0.3">
      <c r="B113" s="211"/>
      <c r="C113" s="202"/>
      <c r="D113" s="233"/>
      <c r="E113" s="130"/>
      <c r="F113" s="140" t="s">
        <v>77</v>
      </c>
      <c r="G113" s="145" t="s">
        <v>80</v>
      </c>
      <c r="H113" s="154">
        <v>0.2</v>
      </c>
      <c r="I113" s="221">
        <v>1</v>
      </c>
      <c r="J113" s="26">
        <f>IF(I113&lt;H113,"RTM01",0)</f>
        <v>0</v>
      </c>
      <c r="K113" s="145" t="str">
        <f>IF(I113&gt;=H113,"Batal",0)</f>
        <v>Batal</v>
      </c>
      <c r="L113" s="26"/>
      <c r="M113" s="145"/>
      <c r="N113" s="188" t="s">
        <v>136</v>
      </c>
      <c r="O113" s="175"/>
      <c r="P113" s="114"/>
    </row>
    <row r="114" spans="2:16" ht="30" x14ac:dyDescent="0.25">
      <c r="B114" s="209" t="s">
        <v>376</v>
      </c>
      <c r="C114" s="200" t="s">
        <v>260</v>
      </c>
      <c r="D114" s="231" t="s">
        <v>57</v>
      </c>
      <c r="E114" s="128" t="s">
        <v>54</v>
      </c>
      <c r="F114" s="139" t="s">
        <v>23</v>
      </c>
      <c r="G114" s="143" t="s">
        <v>30</v>
      </c>
      <c r="H114" s="151">
        <v>150</v>
      </c>
      <c r="I114" s="219">
        <v>100</v>
      </c>
      <c r="J114" s="27">
        <f>IF(I114&gt;=H114,"Pintu",0)</f>
        <v>0</v>
      </c>
      <c r="K114" s="143" t="str">
        <f>IF(I114&lt;H114,"Saklar Lampu",0)</f>
        <v>Saklar Lampu</v>
      </c>
      <c r="L114" s="27"/>
      <c r="M114" s="143"/>
      <c r="N114" s="185" t="s">
        <v>115</v>
      </c>
      <c r="O114" s="173"/>
      <c r="P114" s="112"/>
    </row>
    <row r="115" spans="2:16" ht="25.5" x14ac:dyDescent="0.25">
      <c r="B115" s="210"/>
      <c r="C115" s="201"/>
      <c r="D115" s="232"/>
      <c r="E115" s="129"/>
      <c r="F115" s="101" t="s">
        <v>39</v>
      </c>
      <c r="G115" s="144" t="s">
        <v>13</v>
      </c>
      <c r="H115" s="153" t="s">
        <v>14</v>
      </c>
      <c r="I115" s="220" t="s">
        <v>45</v>
      </c>
      <c r="J115" s="28">
        <f>IF(I115=H115,"RTS01",0)</f>
        <v>0</v>
      </c>
      <c r="K115" s="144" t="str">
        <f>IF(I115=H115,0,"Batal")</f>
        <v>Batal</v>
      </c>
      <c r="L115" s="28"/>
      <c r="M115" s="144"/>
      <c r="N115" s="186" t="s">
        <v>137</v>
      </c>
      <c r="O115" s="174"/>
      <c r="P115" s="113"/>
    </row>
    <row r="116" spans="2:16" ht="30.75" thickBot="1" x14ac:dyDescent="0.3">
      <c r="B116" s="211"/>
      <c r="C116" s="202"/>
      <c r="D116" s="233"/>
      <c r="E116" s="130"/>
      <c r="F116" s="140" t="s">
        <v>77</v>
      </c>
      <c r="G116" s="145" t="s">
        <v>80</v>
      </c>
      <c r="H116" s="154">
        <v>0.2</v>
      </c>
      <c r="I116" s="221">
        <v>1</v>
      </c>
      <c r="J116" s="26">
        <f>IF(I116&lt;H116,"RTS01",0)</f>
        <v>0</v>
      </c>
      <c r="K116" s="145" t="str">
        <f>IF(I116&gt;=H116,"Batal",0)</f>
        <v>Batal</v>
      </c>
      <c r="L116" s="26" t="s">
        <v>13</v>
      </c>
      <c r="M116" s="145" t="s">
        <v>231</v>
      </c>
      <c r="N116" s="188" t="s">
        <v>144</v>
      </c>
      <c r="O116" s="181" t="s">
        <v>147</v>
      </c>
      <c r="P116" s="114"/>
    </row>
    <row r="117" spans="2:16" ht="30" x14ac:dyDescent="0.25">
      <c r="B117" s="84" t="s">
        <v>377</v>
      </c>
      <c r="C117" s="200" t="s">
        <v>261</v>
      </c>
      <c r="D117" s="231" t="s">
        <v>343</v>
      </c>
      <c r="E117" s="134" t="s">
        <v>316</v>
      </c>
      <c r="F117" s="139" t="s">
        <v>23</v>
      </c>
      <c r="G117" s="143" t="s">
        <v>30</v>
      </c>
      <c r="H117" s="151">
        <v>150</v>
      </c>
      <c r="I117" s="219">
        <v>100</v>
      </c>
      <c r="J117" s="27">
        <f>IF(I117&gt;=H117,"RDP02",0)</f>
        <v>0</v>
      </c>
      <c r="K117" s="143" t="str">
        <f>IF(I117&lt;H117,"Saklar Lampu",0)</f>
        <v>Saklar Lampu</v>
      </c>
      <c r="L117" s="27"/>
      <c r="M117" s="143"/>
      <c r="N117" s="185" t="s">
        <v>130</v>
      </c>
      <c r="O117" s="173"/>
      <c r="P117" s="112"/>
    </row>
    <row r="118" spans="2:16" ht="30" x14ac:dyDescent="0.25">
      <c r="B118" s="50"/>
      <c r="C118" s="201"/>
      <c r="D118" s="232"/>
      <c r="E118" s="135"/>
      <c r="F118" s="101" t="s">
        <v>77</v>
      </c>
      <c r="G118" s="144" t="s">
        <v>80</v>
      </c>
      <c r="H118" s="152">
        <v>0.2</v>
      </c>
      <c r="I118" s="220">
        <v>1</v>
      </c>
      <c r="J118" s="28">
        <f>IF(I118&lt;H118,"RDP02",0)</f>
        <v>0</v>
      </c>
      <c r="K118" s="144" t="str">
        <f>IF(I118&gt;=H118,"Batal",0)</f>
        <v>Batal</v>
      </c>
      <c r="L118" s="28"/>
      <c r="M118" s="144" t="s">
        <v>226</v>
      </c>
      <c r="N118" s="186" t="s">
        <v>131</v>
      </c>
      <c r="O118" s="174" t="s">
        <v>94</v>
      </c>
      <c r="P118" s="113"/>
    </row>
    <row r="119" spans="2:16" ht="30.75" thickBot="1" x14ac:dyDescent="0.3">
      <c r="B119" s="87"/>
      <c r="C119" s="202"/>
      <c r="D119" s="233"/>
      <c r="E119" s="136"/>
      <c r="F119" s="141" t="s">
        <v>39</v>
      </c>
      <c r="G119" s="145" t="s">
        <v>426</v>
      </c>
      <c r="H119" s="155" t="s">
        <v>86</v>
      </c>
      <c r="I119" s="221" t="s">
        <v>86</v>
      </c>
      <c r="J119" s="26" t="str">
        <f>IF(I119=H119,"Rice cooker",0)</f>
        <v>Rice cooker</v>
      </c>
      <c r="K119" s="145">
        <f>IF(I119=H119,0,"Batal")</f>
        <v>0</v>
      </c>
      <c r="L119" s="26"/>
      <c r="M119" s="145"/>
      <c r="N119" s="188" t="s">
        <v>427</v>
      </c>
      <c r="O119" s="175"/>
      <c r="P119" s="114"/>
    </row>
    <row r="120" spans="2:16" ht="30" customHeight="1" x14ac:dyDescent="0.25">
      <c r="B120" s="215" t="s">
        <v>380</v>
      </c>
      <c r="C120" s="200" t="s">
        <v>379</v>
      </c>
      <c r="D120" s="231" t="s">
        <v>378</v>
      </c>
      <c r="E120" s="128" t="s">
        <v>26</v>
      </c>
      <c r="F120" s="139" t="s">
        <v>23</v>
      </c>
      <c r="G120" s="143" t="s">
        <v>30</v>
      </c>
      <c r="H120" s="151">
        <v>150</v>
      </c>
      <c r="I120" s="219">
        <v>100</v>
      </c>
      <c r="J120" s="27">
        <f>IF(I120&gt;=H120,"RDP01",0)</f>
        <v>0</v>
      </c>
      <c r="K120" s="143" t="str">
        <f>IF(I120&lt;H120,"Saklar Lampu",0)</f>
        <v>Saklar Lampu</v>
      </c>
      <c r="L120" s="27"/>
      <c r="M120" s="143"/>
      <c r="N120" s="185" t="s">
        <v>130</v>
      </c>
      <c r="O120" s="173"/>
      <c r="P120" s="112"/>
    </row>
    <row r="121" spans="2:16" x14ac:dyDescent="0.25">
      <c r="B121" s="216"/>
      <c r="C121" s="201"/>
      <c r="D121" s="232"/>
      <c r="E121" s="129"/>
      <c r="F121" s="101" t="s">
        <v>39</v>
      </c>
      <c r="G121" s="144" t="s">
        <v>13</v>
      </c>
      <c r="H121" s="153" t="s">
        <v>14</v>
      </c>
      <c r="I121" s="220" t="s">
        <v>14</v>
      </c>
      <c r="J121" s="28" t="str">
        <f>IF(I121=H121,"RDP01",0)</f>
        <v>RDP01</v>
      </c>
      <c r="K121" s="144">
        <f>IF(I121=H121,0,"Batal")</f>
        <v>0</v>
      </c>
      <c r="L121" s="28"/>
      <c r="M121" s="144"/>
      <c r="N121" s="186"/>
      <c r="O121" s="174"/>
      <c r="P121" s="113"/>
    </row>
    <row r="122" spans="2:16" ht="30" x14ac:dyDescent="0.25">
      <c r="B122" s="216"/>
      <c r="C122" s="201"/>
      <c r="D122" s="232"/>
      <c r="E122" s="129"/>
      <c r="F122" s="101" t="s">
        <v>77</v>
      </c>
      <c r="G122" s="144" t="s">
        <v>80</v>
      </c>
      <c r="H122" s="152">
        <v>2</v>
      </c>
      <c r="I122" s="220">
        <v>0.2</v>
      </c>
      <c r="J122" s="28" t="str">
        <f>IF(I122&lt;=H122,"Kompor",0)</f>
        <v>Kompor</v>
      </c>
      <c r="K122" s="144">
        <f>IF(I122&gt;H122,"Batal",0)</f>
        <v>0</v>
      </c>
      <c r="L122" s="28"/>
      <c r="M122" s="144"/>
      <c r="N122" s="186" t="s">
        <v>159</v>
      </c>
      <c r="O122" s="174"/>
      <c r="P122" s="113"/>
    </row>
    <row r="123" spans="2:16" x14ac:dyDescent="0.25">
      <c r="B123" s="216"/>
      <c r="C123" s="201"/>
      <c r="D123" s="232"/>
      <c r="E123" s="129"/>
      <c r="F123" s="101" t="s">
        <v>39</v>
      </c>
      <c r="G123" s="144" t="s">
        <v>85</v>
      </c>
      <c r="H123" s="153" t="s">
        <v>86</v>
      </c>
      <c r="I123" s="220" t="s">
        <v>86</v>
      </c>
      <c r="J123" s="28" t="str">
        <f>IF(I123=H123,"Gas",0)</f>
        <v>Gas</v>
      </c>
      <c r="K123" s="144">
        <f>IF(I123=H123,0,"Batal")</f>
        <v>0</v>
      </c>
      <c r="L123" s="28"/>
      <c r="M123" s="144"/>
      <c r="N123" s="186" t="s">
        <v>160</v>
      </c>
      <c r="O123" s="174"/>
      <c r="P123" s="113"/>
    </row>
    <row r="124" spans="2:16" ht="30" x14ac:dyDescent="0.25">
      <c r="B124" s="216"/>
      <c r="C124" s="201"/>
      <c r="D124" s="232"/>
      <c r="E124" s="129"/>
      <c r="F124" s="47" t="s">
        <v>29</v>
      </c>
      <c r="G124" s="144" t="s">
        <v>239</v>
      </c>
      <c r="H124" s="153">
        <v>0</v>
      </c>
      <c r="I124" s="220">
        <v>2</v>
      </c>
      <c r="J124" s="28" t="str">
        <f>IF(I124&gt;H124,"Lemari bahan",0)</f>
        <v>Lemari bahan</v>
      </c>
      <c r="K124" s="144" t="str">
        <f>IF(I124&lt;H124,0,"Batal")</f>
        <v>Batal</v>
      </c>
      <c r="L124" s="28"/>
      <c r="M124" s="144"/>
      <c r="N124" s="186" t="s">
        <v>160</v>
      </c>
      <c r="O124" s="174"/>
      <c r="P124" s="113"/>
    </row>
    <row r="125" spans="2:16" ht="30" x14ac:dyDescent="0.25">
      <c r="B125" s="216"/>
      <c r="C125" s="201"/>
      <c r="D125" s="232"/>
      <c r="E125" s="129"/>
      <c r="F125" s="47"/>
      <c r="G125" s="144" t="s">
        <v>67</v>
      </c>
      <c r="H125" s="28" t="s">
        <v>24</v>
      </c>
      <c r="I125" s="220" t="s">
        <v>65</v>
      </c>
      <c r="J125" s="28">
        <f>IF(I125=H125,"Kompor",0)</f>
        <v>0</v>
      </c>
      <c r="K125" s="144" t="str">
        <f>IF(I125=H125,0,"Gas cadangan")</f>
        <v>Gas cadangan</v>
      </c>
      <c r="L125" s="28"/>
      <c r="M125" s="144"/>
      <c r="N125" s="186" t="s">
        <v>161</v>
      </c>
      <c r="O125" s="174"/>
      <c r="P125" s="113"/>
    </row>
    <row r="126" spans="2:16" ht="30.75" thickBot="1" x14ac:dyDescent="0.3">
      <c r="B126" s="217"/>
      <c r="C126" s="202"/>
      <c r="D126" s="233"/>
      <c r="E126" s="130"/>
      <c r="F126" s="48"/>
      <c r="G126" s="145" t="s">
        <v>87</v>
      </c>
      <c r="H126" s="26" t="s">
        <v>24</v>
      </c>
      <c r="I126" s="221" t="s">
        <v>24</v>
      </c>
      <c r="J126" s="26" t="str">
        <f>IF(I126=H126,"Kompor",0)</f>
        <v>Kompor</v>
      </c>
      <c r="K126" s="145">
        <f>IF(I126=H126,0,"Batal")</f>
        <v>0</v>
      </c>
      <c r="L126" s="26" t="s">
        <v>85</v>
      </c>
      <c r="M126" s="145" t="s">
        <v>163</v>
      </c>
      <c r="N126" s="188" t="s">
        <v>162</v>
      </c>
      <c r="O126" s="175"/>
      <c r="P126" s="114"/>
    </row>
    <row r="127" spans="2:16" ht="25.5" x14ac:dyDescent="0.25">
      <c r="B127" s="84" t="s">
        <v>250</v>
      </c>
      <c r="C127" s="200" t="s">
        <v>262</v>
      </c>
      <c r="D127" s="231" t="s">
        <v>344</v>
      </c>
      <c r="E127" s="128" t="s">
        <v>41</v>
      </c>
      <c r="F127" s="139" t="s">
        <v>39</v>
      </c>
      <c r="G127" s="143" t="s">
        <v>13</v>
      </c>
      <c r="H127" s="156" t="s">
        <v>14</v>
      </c>
      <c r="I127" s="219" t="s">
        <v>45</v>
      </c>
      <c r="J127" s="27">
        <f>IF(I127=H127,"RTU01",0)</f>
        <v>0</v>
      </c>
      <c r="K127" s="143" t="str">
        <f>IF(I127=H127,0,"Batal")</f>
        <v>Batal</v>
      </c>
      <c r="L127" s="27"/>
      <c r="M127" s="143" t="s">
        <v>236</v>
      </c>
      <c r="N127" s="185" t="s">
        <v>126</v>
      </c>
      <c r="O127" s="176"/>
      <c r="P127" s="112"/>
    </row>
    <row r="128" spans="2:16" ht="30" x14ac:dyDescent="0.25">
      <c r="B128" s="50"/>
      <c r="C128" s="201"/>
      <c r="D128" s="232"/>
      <c r="E128" s="129"/>
      <c r="F128" s="101" t="s">
        <v>23</v>
      </c>
      <c r="G128" s="144" t="s">
        <v>30</v>
      </c>
      <c r="H128" s="152">
        <v>50</v>
      </c>
      <c r="I128" s="220">
        <v>150</v>
      </c>
      <c r="J128" s="28">
        <f>IF(I128&lt;=H128,"RTU01",0)</f>
        <v>0</v>
      </c>
      <c r="K128" s="144" t="str">
        <f>IF(I128&gt;H128,"Saklar Lampu",0)</f>
        <v>Saklar Lampu</v>
      </c>
      <c r="L128" s="28"/>
      <c r="M128" s="144"/>
      <c r="N128" s="186" t="s">
        <v>110</v>
      </c>
      <c r="O128" s="174"/>
      <c r="P128" s="113"/>
    </row>
    <row r="129" spans="2:16" ht="30" x14ac:dyDescent="0.25">
      <c r="B129" s="50"/>
      <c r="C129" s="201"/>
      <c r="D129" s="232"/>
      <c r="E129" s="129"/>
      <c r="F129" s="101" t="s">
        <v>77</v>
      </c>
      <c r="G129" s="144" t="s">
        <v>80</v>
      </c>
      <c r="H129" s="152">
        <v>0.5</v>
      </c>
      <c r="I129" s="220">
        <v>0.2</v>
      </c>
      <c r="J129" s="28" t="str">
        <f>IF(I129&lt;H129,"RTU01",0)</f>
        <v>RTU01</v>
      </c>
      <c r="K129" s="144">
        <f>IF(I129&gt;=H129,"Batal",0)</f>
        <v>0</v>
      </c>
      <c r="L129" s="28"/>
      <c r="M129" s="144"/>
      <c r="N129" s="186" t="s">
        <v>112</v>
      </c>
      <c r="O129" s="174"/>
      <c r="P129" s="113"/>
    </row>
    <row r="130" spans="2:16" ht="30" x14ac:dyDescent="0.25">
      <c r="B130" s="50"/>
      <c r="C130" s="201"/>
      <c r="D130" s="232"/>
      <c r="E130" s="129"/>
      <c r="F130" s="101" t="s">
        <v>93</v>
      </c>
      <c r="G130" s="144" t="s">
        <v>91</v>
      </c>
      <c r="H130" s="157">
        <v>24</v>
      </c>
      <c r="I130" s="220">
        <v>28</v>
      </c>
      <c r="J130" s="28">
        <f>IF(I130&lt;H130,"Tempat tidur",0)</f>
        <v>0</v>
      </c>
      <c r="K130" s="144" t="str">
        <f>IF(I130&gt;H130,"AC",0)</f>
        <v>AC</v>
      </c>
      <c r="L130" s="28"/>
      <c r="M130" s="144"/>
      <c r="N130" s="186" t="s">
        <v>113</v>
      </c>
      <c r="O130" s="174"/>
      <c r="P130" s="113"/>
    </row>
    <row r="131" spans="2:16" ht="45.75" thickBot="1" x14ac:dyDescent="0.3">
      <c r="B131" s="87"/>
      <c r="C131" s="202"/>
      <c r="D131" s="233"/>
      <c r="E131" s="130"/>
      <c r="F131" s="140" t="s">
        <v>39</v>
      </c>
      <c r="G131" s="145" t="s">
        <v>42</v>
      </c>
      <c r="H131" s="155" t="s">
        <v>16</v>
      </c>
      <c r="I131" s="221" t="s">
        <v>16</v>
      </c>
      <c r="J131" s="26" t="str">
        <f>IF(I131=H131,"Tempat tidur",0)</f>
        <v>Tempat tidur</v>
      </c>
      <c r="K131" s="145">
        <f>IF(I131=H131,0,"Batal")</f>
        <v>0</v>
      </c>
      <c r="L131" s="26" t="s">
        <v>42</v>
      </c>
      <c r="M131" s="145" t="s">
        <v>237</v>
      </c>
      <c r="N131" s="188" t="s">
        <v>114</v>
      </c>
      <c r="O131" s="175"/>
      <c r="P131" s="114"/>
    </row>
    <row r="132" spans="2:16" ht="30" x14ac:dyDescent="0.25">
      <c r="B132" s="209" t="s">
        <v>381</v>
      </c>
      <c r="C132" s="200" t="s">
        <v>263</v>
      </c>
      <c r="D132" s="231" t="s">
        <v>345</v>
      </c>
      <c r="E132" s="128" t="s">
        <v>316</v>
      </c>
      <c r="F132" s="139" t="s">
        <v>23</v>
      </c>
      <c r="G132" s="143" t="s">
        <v>30</v>
      </c>
      <c r="H132" s="151">
        <v>150</v>
      </c>
      <c r="I132" s="219">
        <v>100</v>
      </c>
      <c r="J132" s="27">
        <f>IF(I132&gt;=H132,"RDP02",0)</f>
        <v>0</v>
      </c>
      <c r="K132" s="143" t="str">
        <f>IF(I132&lt;H132,"Saklar Lampu",0)</f>
        <v>Saklar Lampu</v>
      </c>
      <c r="L132" s="27"/>
      <c r="M132" s="143"/>
      <c r="N132" s="185" t="s">
        <v>353</v>
      </c>
      <c r="O132" s="173"/>
      <c r="P132" s="112"/>
    </row>
    <row r="133" spans="2:16" ht="30.75" thickBot="1" x14ac:dyDescent="0.3">
      <c r="B133" s="211"/>
      <c r="C133" s="202"/>
      <c r="D133" s="233"/>
      <c r="E133" s="130"/>
      <c r="F133" s="140" t="s">
        <v>77</v>
      </c>
      <c r="G133" s="145" t="s">
        <v>80</v>
      </c>
      <c r="H133" s="154">
        <v>2</v>
      </c>
      <c r="I133" s="221">
        <v>2.1</v>
      </c>
      <c r="J133" s="26">
        <f>IF(I133&lt;=H133,"Dispenser",0)</f>
        <v>0</v>
      </c>
      <c r="K133" s="145" t="str">
        <f>IF(I133&gt;H133,"Batal",0)</f>
        <v>Batal</v>
      </c>
      <c r="L133" s="26"/>
      <c r="M133" s="145"/>
      <c r="N133" s="188" t="s">
        <v>441</v>
      </c>
      <c r="O133" s="175"/>
      <c r="P133" s="114"/>
    </row>
    <row r="134" spans="2:16" ht="25.5" x14ac:dyDescent="0.25">
      <c r="B134" s="84" t="s">
        <v>250</v>
      </c>
      <c r="C134" s="200" t="s">
        <v>382</v>
      </c>
      <c r="D134" s="231" t="s">
        <v>346</v>
      </c>
      <c r="E134" s="128" t="s">
        <v>26</v>
      </c>
      <c r="F134" s="139" t="s">
        <v>23</v>
      </c>
      <c r="G134" s="143" t="s">
        <v>70</v>
      </c>
      <c r="H134" s="151">
        <v>100</v>
      </c>
      <c r="I134" s="219">
        <v>120</v>
      </c>
      <c r="J134" s="27" t="str">
        <f>IF(I134&gt;=H134,"RDP01",0)</f>
        <v>RDP01</v>
      </c>
      <c r="K134" s="143">
        <f>IF(I134&lt;H134,"Saklar Lampu",0)</f>
        <v>0</v>
      </c>
      <c r="L134" s="27"/>
      <c r="M134" s="143"/>
      <c r="N134" s="185" t="s">
        <v>149</v>
      </c>
      <c r="O134" s="173"/>
      <c r="P134" s="112"/>
    </row>
    <row r="135" spans="2:16" ht="30" x14ac:dyDescent="0.25">
      <c r="B135" s="50"/>
      <c r="C135" s="201"/>
      <c r="D135" s="232"/>
      <c r="E135" s="129"/>
      <c r="F135" s="101" t="s">
        <v>77</v>
      </c>
      <c r="G135" s="144" t="s">
        <v>80</v>
      </c>
      <c r="H135" s="152">
        <v>0.5</v>
      </c>
      <c r="I135" s="220">
        <v>0.3</v>
      </c>
      <c r="J135" s="28" t="str">
        <f>IF(I135&lt;H135,"Tempat sampah",0)</f>
        <v>Tempat sampah</v>
      </c>
      <c r="K135" s="144">
        <f>IF(I135&gt;=H135,"Batal",0)</f>
        <v>0</v>
      </c>
      <c r="L135" s="28"/>
      <c r="M135" s="144"/>
      <c r="N135" s="186" t="s">
        <v>148</v>
      </c>
      <c r="O135" s="174"/>
      <c r="P135" s="113"/>
    </row>
    <row r="136" spans="2:16" ht="26.25" thickBot="1" x14ac:dyDescent="0.3">
      <c r="B136" s="87"/>
      <c r="C136" s="202"/>
      <c r="D136" s="233"/>
      <c r="E136" s="130"/>
      <c r="F136" s="140" t="s">
        <v>39</v>
      </c>
      <c r="G136" s="145" t="s">
        <v>13</v>
      </c>
      <c r="H136" s="155" t="s">
        <v>14</v>
      </c>
      <c r="I136" s="221" t="s">
        <v>14</v>
      </c>
      <c r="J136" s="26" t="str">
        <f>IF(I136=H136,"RHD01",0)</f>
        <v>RHD01</v>
      </c>
      <c r="K136" s="145">
        <f>IF(I136=H136,0,"Batal")</f>
        <v>0</v>
      </c>
      <c r="L136" s="26"/>
      <c r="M136" s="145"/>
      <c r="N136" s="188" t="s">
        <v>150</v>
      </c>
      <c r="O136" s="175"/>
      <c r="P136" s="114"/>
    </row>
    <row r="137" spans="2:16" ht="25.5" x14ac:dyDescent="0.25">
      <c r="B137" s="84" t="s">
        <v>250</v>
      </c>
      <c r="C137" s="200" t="s">
        <v>383</v>
      </c>
      <c r="D137" s="231" t="s">
        <v>347</v>
      </c>
      <c r="E137" s="128" t="s">
        <v>27</v>
      </c>
      <c r="F137" s="139" t="s">
        <v>23</v>
      </c>
      <c r="G137" s="143" t="s">
        <v>70</v>
      </c>
      <c r="H137" s="151">
        <v>100</v>
      </c>
      <c r="I137" s="219">
        <v>120</v>
      </c>
      <c r="J137" s="27" t="str">
        <f>IF(I137&gt;=H137,"RDP01",0)</f>
        <v>RDP01</v>
      </c>
      <c r="K137" s="143">
        <f>IF(I137&lt;H137,"Saklar Lampu",0)</f>
        <v>0</v>
      </c>
      <c r="L137" s="27"/>
      <c r="M137" s="143"/>
      <c r="N137" s="185" t="s">
        <v>149</v>
      </c>
      <c r="O137" s="173"/>
      <c r="P137" s="112"/>
    </row>
    <row r="138" spans="2:16" ht="30" x14ac:dyDescent="0.25">
      <c r="B138" s="50"/>
      <c r="C138" s="201"/>
      <c r="D138" s="232"/>
      <c r="E138" s="129"/>
      <c r="F138" s="101" t="s">
        <v>77</v>
      </c>
      <c r="G138" s="144" t="s">
        <v>80</v>
      </c>
      <c r="H138" s="152">
        <v>0.5</v>
      </c>
      <c r="I138" s="220">
        <v>0.3</v>
      </c>
      <c r="J138" s="28" t="str">
        <f>IF(I138&lt;H138,"Tempat sampah",0)</f>
        <v>Tempat sampah</v>
      </c>
      <c r="K138" s="144">
        <f>IF(I138&gt;=H138,"Batal",0)</f>
        <v>0</v>
      </c>
      <c r="L138" s="28"/>
      <c r="M138" s="144"/>
      <c r="N138" s="186" t="s">
        <v>148</v>
      </c>
      <c r="O138" s="174"/>
      <c r="P138" s="113"/>
    </row>
    <row r="139" spans="2:16" ht="26.25" thickBot="1" x14ac:dyDescent="0.3">
      <c r="B139" s="87"/>
      <c r="C139" s="202"/>
      <c r="D139" s="233"/>
      <c r="E139" s="130"/>
      <c r="F139" s="140" t="s">
        <v>39</v>
      </c>
      <c r="G139" s="145" t="s">
        <v>13</v>
      </c>
      <c r="H139" s="155" t="s">
        <v>14</v>
      </c>
      <c r="I139" s="221" t="s">
        <v>14</v>
      </c>
      <c r="J139" s="26" t="str">
        <f>IF(I139=H139,"RHD01",0)</f>
        <v>RHD01</v>
      </c>
      <c r="K139" s="145">
        <f>IF(I139=H139,0,"Batal")</f>
        <v>0</v>
      </c>
      <c r="L139" s="26"/>
      <c r="M139" s="145"/>
      <c r="N139" s="188" t="s">
        <v>328</v>
      </c>
      <c r="O139" s="175"/>
      <c r="P139" s="114"/>
    </row>
    <row r="140" spans="2:16" ht="30" customHeight="1" x14ac:dyDescent="0.25">
      <c r="B140" s="84" t="s">
        <v>377</v>
      </c>
      <c r="C140" s="200" t="s">
        <v>385</v>
      </c>
      <c r="D140" s="231" t="s">
        <v>384</v>
      </c>
      <c r="E140" s="128" t="s">
        <v>26</v>
      </c>
      <c r="F140" s="139" t="s">
        <v>23</v>
      </c>
      <c r="G140" s="143" t="s">
        <v>30</v>
      </c>
      <c r="H140" s="151">
        <v>150</v>
      </c>
      <c r="I140" s="219">
        <v>100</v>
      </c>
      <c r="J140" s="27">
        <f>IF(I140&gt;=H140,"RDP01",0)</f>
        <v>0</v>
      </c>
      <c r="K140" s="143" t="str">
        <f>IF(I140&lt;H140,"Saklar Lampu",0)</f>
        <v>Saklar Lampu</v>
      </c>
      <c r="L140" s="27"/>
      <c r="M140" s="143"/>
      <c r="N140" s="185" t="s">
        <v>130</v>
      </c>
      <c r="O140" s="173"/>
      <c r="P140" s="112"/>
    </row>
    <row r="141" spans="2:16" x14ac:dyDescent="0.25">
      <c r="B141" s="50"/>
      <c r="C141" s="201"/>
      <c r="D141" s="232"/>
      <c r="E141" s="129"/>
      <c r="F141" s="101" t="s">
        <v>39</v>
      </c>
      <c r="G141" s="144" t="s">
        <v>13</v>
      </c>
      <c r="H141" s="153" t="s">
        <v>14</v>
      </c>
      <c r="I141" s="220" t="s">
        <v>14</v>
      </c>
      <c r="J141" s="28" t="str">
        <f>IF(I141=H141,"RDP01",0)</f>
        <v>RDP01</v>
      </c>
      <c r="K141" s="144">
        <f>IF(I141=H141,0,"Batal")</f>
        <v>0</v>
      </c>
      <c r="L141" s="28"/>
      <c r="M141" s="144"/>
      <c r="N141" s="186"/>
      <c r="O141" s="174"/>
      <c r="P141" s="113"/>
    </row>
    <row r="142" spans="2:16" ht="30" x14ac:dyDescent="0.25">
      <c r="B142" s="50"/>
      <c r="C142" s="201"/>
      <c r="D142" s="232"/>
      <c r="E142" s="129"/>
      <c r="F142" s="101" t="s">
        <v>77</v>
      </c>
      <c r="G142" s="144" t="s">
        <v>80</v>
      </c>
      <c r="H142" s="152">
        <v>2</v>
      </c>
      <c r="I142" s="220">
        <v>0.2</v>
      </c>
      <c r="J142" s="28" t="str">
        <f>IF(I142&lt;=H142,"Kompor",0)</f>
        <v>Kompor</v>
      </c>
      <c r="K142" s="144">
        <f>IF(I142&gt;H142,"Batal",0)</f>
        <v>0</v>
      </c>
      <c r="L142" s="28"/>
      <c r="M142" s="144"/>
      <c r="N142" s="186" t="s">
        <v>159</v>
      </c>
      <c r="O142" s="174"/>
      <c r="P142" s="113"/>
    </row>
    <row r="143" spans="2:16" x14ac:dyDescent="0.25">
      <c r="B143" s="50"/>
      <c r="C143" s="201"/>
      <c r="D143" s="232"/>
      <c r="E143" s="129"/>
      <c r="F143" s="101" t="s">
        <v>39</v>
      </c>
      <c r="G143" s="144" t="s">
        <v>85</v>
      </c>
      <c r="H143" s="153" t="s">
        <v>86</v>
      </c>
      <c r="I143" s="220" t="s">
        <v>86</v>
      </c>
      <c r="J143" s="28" t="str">
        <f>IF(I143=H143,"Gas",0)</f>
        <v>Gas</v>
      </c>
      <c r="K143" s="144">
        <f>IF(I143=H143,0,"Batal")</f>
        <v>0</v>
      </c>
      <c r="L143" s="28"/>
      <c r="M143" s="144"/>
      <c r="N143" s="186" t="s">
        <v>160</v>
      </c>
      <c r="O143" s="174"/>
      <c r="P143" s="113"/>
    </row>
    <row r="144" spans="2:16" ht="30" x14ac:dyDescent="0.25">
      <c r="B144" s="50"/>
      <c r="C144" s="201"/>
      <c r="D144" s="232"/>
      <c r="E144" s="129"/>
      <c r="F144" s="47" t="s">
        <v>29</v>
      </c>
      <c r="G144" s="144" t="s">
        <v>67</v>
      </c>
      <c r="H144" s="28" t="s">
        <v>24</v>
      </c>
      <c r="I144" s="220" t="s">
        <v>65</v>
      </c>
      <c r="J144" s="28">
        <f>IF(I144=H144,"Kompor",0)</f>
        <v>0</v>
      </c>
      <c r="K144" s="144" t="str">
        <f>IF(I144=H144,0,"Gas cadangan")</f>
        <v>Gas cadangan</v>
      </c>
      <c r="L144" s="28"/>
      <c r="M144" s="144"/>
      <c r="N144" s="186" t="s">
        <v>161</v>
      </c>
      <c r="O144" s="174"/>
      <c r="P144" s="113"/>
    </row>
    <row r="145" spans="2:16" ht="30.75" thickBot="1" x14ac:dyDescent="0.3">
      <c r="B145" s="87"/>
      <c r="C145" s="202"/>
      <c r="D145" s="233"/>
      <c r="E145" s="130"/>
      <c r="F145" s="48"/>
      <c r="G145" s="145" t="s">
        <v>87</v>
      </c>
      <c r="H145" s="26" t="s">
        <v>24</v>
      </c>
      <c r="I145" s="221" t="s">
        <v>24</v>
      </c>
      <c r="J145" s="26" t="str">
        <f>IF(I145=H145,"Kompor",0)</f>
        <v>Kompor</v>
      </c>
      <c r="K145" s="145">
        <f>IF(I145=H145,0,"Batal")</f>
        <v>0</v>
      </c>
      <c r="L145" s="26" t="s">
        <v>85</v>
      </c>
      <c r="M145" s="145" t="s">
        <v>163</v>
      </c>
      <c r="N145" s="188" t="s">
        <v>162</v>
      </c>
      <c r="O145" s="175"/>
      <c r="P145" s="114"/>
    </row>
    <row r="146" spans="2:16" ht="30" x14ac:dyDescent="0.25">
      <c r="B146" s="84" t="s">
        <v>388</v>
      </c>
      <c r="C146" s="200" t="s">
        <v>387</v>
      </c>
      <c r="D146" s="231" t="s">
        <v>386</v>
      </c>
      <c r="E146" s="128" t="s">
        <v>333</v>
      </c>
      <c r="F146" s="139" t="s">
        <v>23</v>
      </c>
      <c r="G146" s="143" t="s">
        <v>30</v>
      </c>
      <c r="H146" s="151">
        <v>150</v>
      </c>
      <c r="I146" s="219">
        <v>100</v>
      </c>
      <c r="J146" s="27">
        <f>IF(I146&gt;=H146,"Pintu",0)</f>
        <v>0</v>
      </c>
      <c r="K146" s="143" t="str">
        <f>IF(I146&lt;H146,"Saklar Lampu",0)</f>
        <v>Saklar Lampu</v>
      </c>
      <c r="L146" s="27"/>
      <c r="M146" s="143"/>
      <c r="N146" s="185" t="s">
        <v>115</v>
      </c>
      <c r="O146" s="173"/>
      <c r="P146" s="112"/>
    </row>
    <row r="147" spans="2:16" ht="30" x14ac:dyDescent="0.25">
      <c r="B147" s="50"/>
      <c r="C147" s="201"/>
      <c r="D147" s="232"/>
      <c r="E147" s="129"/>
      <c r="F147" s="101" t="s">
        <v>77</v>
      </c>
      <c r="G147" s="144" t="s">
        <v>80</v>
      </c>
      <c r="H147" s="152">
        <v>0</v>
      </c>
      <c r="I147" s="220">
        <v>0.2</v>
      </c>
      <c r="J147" s="28">
        <f>IF(I147&lt;=H147,"Pintu",0)</f>
        <v>0</v>
      </c>
      <c r="K147" s="144" t="str">
        <f>IF(I147&gt;H147,"Batal",0)</f>
        <v>Batal</v>
      </c>
      <c r="L147" s="28"/>
      <c r="M147" s="144"/>
      <c r="N147" s="186" t="s">
        <v>128</v>
      </c>
      <c r="O147" s="174"/>
      <c r="P147" s="113"/>
    </row>
    <row r="148" spans="2:16" ht="25.5" x14ac:dyDescent="0.25">
      <c r="B148" s="50"/>
      <c r="C148" s="201"/>
      <c r="D148" s="232"/>
      <c r="E148" s="129"/>
      <c r="F148" s="101" t="s">
        <v>39</v>
      </c>
      <c r="G148" s="144" t="s">
        <v>13</v>
      </c>
      <c r="H148" s="153" t="s">
        <v>14</v>
      </c>
      <c r="I148" s="220" t="s">
        <v>45</v>
      </c>
      <c r="J148" s="28">
        <f>IF(I148=H148,"Bak mandi",0)</f>
        <v>0</v>
      </c>
      <c r="K148" s="144" t="str">
        <f>IF(I148=H148,0,"Batal")</f>
        <v>Batal</v>
      </c>
      <c r="L148" s="28"/>
      <c r="M148" s="144" t="s">
        <v>236</v>
      </c>
      <c r="N148" s="186" t="s">
        <v>334</v>
      </c>
      <c r="O148" s="174"/>
      <c r="P148" s="113"/>
    </row>
    <row r="149" spans="2:16" ht="39" x14ac:dyDescent="0.25">
      <c r="B149" s="50"/>
      <c r="C149" s="201"/>
      <c r="D149" s="232"/>
      <c r="E149" s="129"/>
      <c r="F149" s="101" t="s">
        <v>29</v>
      </c>
      <c r="G149" s="144" t="s">
        <v>82</v>
      </c>
      <c r="H149" s="28">
        <v>90</v>
      </c>
      <c r="I149" s="220">
        <v>10</v>
      </c>
      <c r="J149" s="28">
        <f>IF(I149&gt;=H149,"Bak mandi",0)</f>
        <v>0</v>
      </c>
      <c r="K149" s="144" t="str">
        <f>IF(I149&gt;=H149,0,"Kran air")</f>
        <v>Kran air</v>
      </c>
      <c r="L149" s="28" t="s">
        <v>121</v>
      </c>
      <c r="M149" s="144" t="s">
        <v>229</v>
      </c>
      <c r="N149" s="186" t="s">
        <v>122</v>
      </c>
      <c r="O149" s="169" t="s">
        <v>123</v>
      </c>
      <c r="P149" s="118" t="s">
        <v>125</v>
      </c>
    </row>
    <row r="150" spans="2:16" ht="30" x14ac:dyDescent="0.25">
      <c r="B150" s="50"/>
      <c r="C150" s="201"/>
      <c r="D150" s="232"/>
      <c r="E150" s="129" t="s">
        <v>335</v>
      </c>
      <c r="F150" s="101" t="s">
        <v>23</v>
      </c>
      <c r="G150" s="144" t="s">
        <v>30</v>
      </c>
      <c r="H150" s="152">
        <v>150</v>
      </c>
      <c r="I150" s="220">
        <v>100</v>
      </c>
      <c r="J150" s="28">
        <f>IF(I150&gt;=H150,"Pintu",0)</f>
        <v>0</v>
      </c>
      <c r="K150" s="144" t="str">
        <f>IF(I150&lt;H150,"Saklar Lampu",0)</f>
        <v>Saklar Lampu</v>
      </c>
      <c r="L150" s="28"/>
      <c r="M150" s="144"/>
      <c r="N150" s="186" t="s">
        <v>115</v>
      </c>
      <c r="O150" s="169"/>
      <c r="P150" s="118"/>
    </row>
    <row r="151" spans="2:16" ht="30" x14ac:dyDescent="0.25">
      <c r="B151" s="50"/>
      <c r="C151" s="201"/>
      <c r="D151" s="232"/>
      <c r="E151" s="129"/>
      <c r="F151" s="101" t="s">
        <v>77</v>
      </c>
      <c r="G151" s="144" t="s">
        <v>80</v>
      </c>
      <c r="H151" s="152">
        <v>0</v>
      </c>
      <c r="I151" s="220">
        <v>0.2</v>
      </c>
      <c r="J151" s="28">
        <f>IF(I151&lt;=H151,"Pintu",0)</f>
        <v>0</v>
      </c>
      <c r="K151" s="144" t="str">
        <f>IF(I151&gt;H151,"Batal",0)</f>
        <v>Batal</v>
      </c>
      <c r="L151" s="28"/>
      <c r="M151" s="144"/>
      <c r="N151" s="186" t="s">
        <v>128</v>
      </c>
      <c r="O151" s="169"/>
      <c r="P151" s="118"/>
    </row>
    <row r="152" spans="2:16" ht="25.5" x14ac:dyDescent="0.25">
      <c r="B152" s="50"/>
      <c r="C152" s="201"/>
      <c r="D152" s="232"/>
      <c r="E152" s="129"/>
      <c r="F152" s="101" t="s">
        <v>39</v>
      </c>
      <c r="G152" s="144" t="s">
        <v>13</v>
      </c>
      <c r="H152" s="153" t="s">
        <v>14</v>
      </c>
      <c r="I152" s="220" t="s">
        <v>45</v>
      </c>
      <c r="J152" s="28">
        <f>IF(I152=H152,"Bak mandi",0)</f>
        <v>0</v>
      </c>
      <c r="K152" s="144" t="str">
        <f>IF(I152=H152,0,"Batal")</f>
        <v>Batal</v>
      </c>
      <c r="L152" s="28"/>
      <c r="M152" s="144" t="s">
        <v>236</v>
      </c>
      <c r="N152" s="186" t="s">
        <v>117</v>
      </c>
      <c r="O152" s="169"/>
      <c r="P152" s="118"/>
    </row>
    <row r="153" spans="2:16" ht="30.75" thickBot="1" x14ac:dyDescent="0.3">
      <c r="B153" s="87"/>
      <c r="C153" s="202"/>
      <c r="D153" s="233"/>
      <c r="E153" s="130"/>
      <c r="F153" s="140" t="s">
        <v>29</v>
      </c>
      <c r="G153" s="145" t="s">
        <v>82</v>
      </c>
      <c r="H153" s="26">
        <v>15</v>
      </c>
      <c r="I153" s="221">
        <v>5</v>
      </c>
      <c r="J153" s="26">
        <f>IF(I153&gt;=H153,"Kloset",0)</f>
        <v>0</v>
      </c>
      <c r="K153" s="145" t="str">
        <f>IF(I153&gt;=H153,0,"Kran air")</f>
        <v>Kran air</v>
      </c>
      <c r="L153" s="26" t="s">
        <v>121</v>
      </c>
      <c r="M153" s="145" t="s">
        <v>229</v>
      </c>
      <c r="N153" s="188" t="s">
        <v>118</v>
      </c>
      <c r="O153" s="177"/>
      <c r="P153" s="119"/>
    </row>
    <row r="154" spans="2:16" ht="30" x14ac:dyDescent="0.25">
      <c r="B154" s="84" t="s">
        <v>250</v>
      </c>
      <c r="C154" s="200" t="s">
        <v>265</v>
      </c>
      <c r="D154" s="231" t="s">
        <v>348</v>
      </c>
      <c r="E154" s="128" t="s">
        <v>26</v>
      </c>
      <c r="F154" s="139" t="s">
        <v>23</v>
      </c>
      <c r="G154" s="143" t="s">
        <v>30</v>
      </c>
      <c r="H154" s="151">
        <v>150</v>
      </c>
      <c r="I154" s="219">
        <v>100</v>
      </c>
      <c r="J154" s="27">
        <f>IF(I154&gt;=H154,"RDP01",0)</f>
        <v>0</v>
      </c>
      <c r="K154" s="143" t="str">
        <f>IF(I154&lt;H154,"Saklar Lampu",0)</f>
        <v>Saklar Lampu</v>
      </c>
      <c r="L154" s="27"/>
      <c r="M154" s="143"/>
      <c r="N154" s="185" t="s">
        <v>130</v>
      </c>
      <c r="O154" s="173"/>
      <c r="P154" s="112"/>
    </row>
    <row r="155" spans="2:16" ht="30.75" thickBot="1" x14ac:dyDescent="0.3">
      <c r="B155" s="87"/>
      <c r="C155" s="202"/>
      <c r="D155" s="233"/>
      <c r="E155" s="130"/>
      <c r="F155" s="140" t="s">
        <v>77</v>
      </c>
      <c r="G155" s="145" t="s">
        <v>80</v>
      </c>
      <c r="H155" s="154">
        <v>2</v>
      </c>
      <c r="I155" s="221">
        <v>2.1</v>
      </c>
      <c r="J155" s="26">
        <f>IF(I155&lt;=H155,"Blender",0)</f>
        <v>0</v>
      </c>
      <c r="K155" s="145" t="str">
        <f>IF(I155&gt;H155,"Batal",0)</f>
        <v>Batal</v>
      </c>
      <c r="L155" s="26"/>
      <c r="M155" s="145"/>
      <c r="N155" s="188" t="s">
        <v>165</v>
      </c>
      <c r="O155" s="175"/>
      <c r="P155" s="114"/>
    </row>
    <row r="156" spans="2:16" ht="38.25" customHeight="1" x14ac:dyDescent="0.25">
      <c r="B156" s="84" t="s">
        <v>250</v>
      </c>
      <c r="C156" s="200" t="s">
        <v>390</v>
      </c>
      <c r="D156" s="234" t="s">
        <v>389</v>
      </c>
      <c r="E156" s="128" t="s">
        <v>33</v>
      </c>
      <c r="F156" s="139" t="s">
        <v>105</v>
      </c>
      <c r="G156" s="143" t="s">
        <v>30</v>
      </c>
      <c r="H156" s="151">
        <v>150</v>
      </c>
      <c r="I156" s="219">
        <v>100</v>
      </c>
      <c r="J156" s="27">
        <f>IF(I156&gt;=H156,"RKG01",0)</f>
        <v>0</v>
      </c>
      <c r="K156" s="143" t="str">
        <f>IF(I156&lt;H156,"Saklar Lampu",0)</f>
        <v>Saklar Lampu</v>
      </c>
      <c r="L156" s="27"/>
      <c r="M156" s="143"/>
      <c r="N156" s="185" t="s">
        <v>99</v>
      </c>
      <c r="O156" s="168" t="s">
        <v>109</v>
      </c>
      <c r="P156" s="112"/>
    </row>
    <row r="157" spans="2:16" ht="45" x14ac:dyDescent="0.25">
      <c r="B157" s="50"/>
      <c r="C157" s="201"/>
      <c r="D157" s="235"/>
      <c r="E157" s="129"/>
      <c r="F157" s="101" t="s">
        <v>77</v>
      </c>
      <c r="G157" s="144" t="s">
        <v>102</v>
      </c>
      <c r="H157" s="152">
        <v>1</v>
      </c>
      <c r="I157" s="220">
        <v>1</v>
      </c>
      <c r="J157" s="28">
        <f>IF(I157&lt;H157,"Meja makan",0)</f>
        <v>0</v>
      </c>
      <c r="K157" s="144" t="str">
        <f>IF(I157&gt;=H157,"Batal",0)</f>
        <v>Batal</v>
      </c>
      <c r="L157" s="28"/>
      <c r="M157" s="144"/>
      <c r="N157" s="186" t="s">
        <v>97</v>
      </c>
      <c r="O157" s="169" t="s">
        <v>101</v>
      </c>
      <c r="P157" s="113"/>
    </row>
    <row r="158" spans="2:16" ht="30" x14ac:dyDescent="0.25">
      <c r="B158" s="50"/>
      <c r="C158" s="201"/>
      <c r="D158" s="235"/>
      <c r="E158" s="129"/>
      <c r="F158" s="101" t="s">
        <v>29</v>
      </c>
      <c r="G158" s="144" t="s">
        <v>78</v>
      </c>
      <c r="H158" s="28" t="s">
        <v>24</v>
      </c>
      <c r="I158" s="220" t="s">
        <v>25</v>
      </c>
      <c r="J158" s="28">
        <f>IF(I158=H158,"Meja makan",0)</f>
        <v>0</v>
      </c>
      <c r="K158" s="144" t="str">
        <f>IF(I158=H158,0,"RDP02")</f>
        <v>RDP02</v>
      </c>
      <c r="L158" s="28"/>
      <c r="M158" s="144"/>
      <c r="N158" s="187" t="s">
        <v>323</v>
      </c>
      <c r="O158" s="170"/>
      <c r="P158" s="113"/>
    </row>
    <row r="159" spans="2:16" ht="25.5" x14ac:dyDescent="0.25">
      <c r="B159" s="50"/>
      <c r="C159" s="201"/>
      <c r="D159" s="235"/>
      <c r="E159" s="129"/>
      <c r="F159" s="101" t="s">
        <v>106</v>
      </c>
      <c r="G159" s="144" t="s">
        <v>15</v>
      </c>
      <c r="H159" s="153" t="s">
        <v>16</v>
      </c>
      <c r="I159" s="220" t="s">
        <v>17</v>
      </c>
      <c r="J159" s="28">
        <f t="shared" ref="J159" si="6">IF(I159=H159,"Kursi",0)</f>
        <v>0</v>
      </c>
      <c r="K159" s="144" t="str">
        <f>IF(I159=H159,0,"RTM01")</f>
        <v>RTM01</v>
      </c>
      <c r="L159" s="28"/>
      <c r="M159" s="144"/>
      <c r="N159" s="186" t="s">
        <v>98</v>
      </c>
      <c r="O159" s="171" t="s">
        <v>320</v>
      </c>
      <c r="P159" s="113"/>
    </row>
    <row r="160" spans="2:16" ht="30" x14ac:dyDescent="0.25">
      <c r="B160" s="50"/>
      <c r="C160" s="201"/>
      <c r="D160" s="235"/>
      <c r="E160" s="129" t="s">
        <v>316</v>
      </c>
      <c r="F160" s="101" t="s">
        <v>23</v>
      </c>
      <c r="G160" s="144" t="s">
        <v>30</v>
      </c>
      <c r="H160" s="152">
        <v>150</v>
      </c>
      <c r="I160" s="220">
        <v>100</v>
      </c>
      <c r="J160" s="28">
        <f>IF(I160&gt;=H160,"RDP01",0)</f>
        <v>0</v>
      </c>
      <c r="K160" s="144" t="str">
        <f>IF(I160&lt;H160,"Saklar Lampu",0)</f>
        <v>Saklar Lampu</v>
      </c>
      <c r="L160" s="28"/>
      <c r="M160" s="144"/>
      <c r="N160" s="186" t="s">
        <v>99</v>
      </c>
      <c r="O160" s="171"/>
      <c r="P160" s="113"/>
    </row>
    <row r="161" spans="2:16" ht="45" x14ac:dyDescent="0.25">
      <c r="B161" s="50"/>
      <c r="C161" s="201"/>
      <c r="D161" s="235"/>
      <c r="E161" s="129"/>
      <c r="F161" s="101" t="s">
        <v>77</v>
      </c>
      <c r="G161" s="144" t="s">
        <v>102</v>
      </c>
      <c r="H161" s="152">
        <v>1</v>
      </c>
      <c r="I161" s="220">
        <v>1</v>
      </c>
      <c r="J161" s="28">
        <f>IF(I161&lt;H161,"Rice cooker",0)</f>
        <v>0</v>
      </c>
      <c r="K161" s="144" t="str">
        <f>IF(I161&gt;=H161,"Batal",0)</f>
        <v>Batal</v>
      </c>
      <c r="L161" s="28"/>
      <c r="M161" s="144"/>
      <c r="N161" s="186" t="s">
        <v>354</v>
      </c>
      <c r="O161" s="169" t="s">
        <v>101</v>
      </c>
      <c r="P161" s="113"/>
    </row>
    <row r="162" spans="2:16" ht="30" x14ac:dyDescent="0.25">
      <c r="B162" s="50"/>
      <c r="C162" s="201"/>
      <c r="D162" s="235"/>
      <c r="E162" s="129"/>
      <c r="F162" s="101" t="s">
        <v>29</v>
      </c>
      <c r="G162" s="144" t="s">
        <v>78</v>
      </c>
      <c r="H162" s="28" t="s">
        <v>24</v>
      </c>
      <c r="I162" s="220" t="s">
        <v>25</v>
      </c>
      <c r="J162" s="28">
        <f>IF(I162=H162,"RKG01",0)</f>
        <v>0</v>
      </c>
      <c r="K162" s="144" t="str">
        <f>IF(I162=H162,0,"Batal")</f>
        <v>Batal</v>
      </c>
      <c r="L162" s="28"/>
      <c r="M162" s="144"/>
      <c r="N162" s="187" t="s">
        <v>355</v>
      </c>
      <c r="O162" s="171" t="s">
        <v>317</v>
      </c>
      <c r="P162" s="113"/>
    </row>
    <row r="163" spans="2:16" ht="30" x14ac:dyDescent="0.25">
      <c r="B163" s="50"/>
      <c r="C163" s="201"/>
      <c r="D163" s="235"/>
      <c r="E163" s="129" t="s">
        <v>52</v>
      </c>
      <c r="F163" s="101" t="s">
        <v>23</v>
      </c>
      <c r="G163" s="144" t="s">
        <v>30</v>
      </c>
      <c r="H163" s="152">
        <v>150</v>
      </c>
      <c r="I163" s="220">
        <v>100</v>
      </c>
      <c r="J163" s="28">
        <f>IF(I163&gt;=H163,"RDP01",0)</f>
        <v>0</v>
      </c>
      <c r="K163" s="144" t="str">
        <f>IF(I163&lt;H163,"Saklar Lampu",0)</f>
        <v>Saklar Lampu</v>
      </c>
      <c r="L163" s="28"/>
      <c r="M163" s="144"/>
      <c r="N163" s="186" t="s">
        <v>99</v>
      </c>
      <c r="O163" s="171"/>
      <c r="P163" s="113"/>
    </row>
    <row r="164" spans="2:16" ht="45.75" thickBot="1" x14ac:dyDescent="0.3">
      <c r="B164" s="87"/>
      <c r="C164" s="202"/>
      <c r="D164" s="236"/>
      <c r="E164" s="130"/>
      <c r="F164" s="140" t="s">
        <v>77</v>
      </c>
      <c r="G164" s="145" t="s">
        <v>102</v>
      </c>
      <c r="H164" s="154">
        <v>1</v>
      </c>
      <c r="I164" s="221">
        <v>1</v>
      </c>
      <c r="J164" s="26">
        <f>IF(I164&lt;H164,"Meja makan",0)</f>
        <v>0</v>
      </c>
      <c r="K164" s="145" t="str">
        <f>IF(I164&gt;=H164,"Batal",0)</f>
        <v>Batal</v>
      </c>
      <c r="L164" s="26"/>
      <c r="M164" s="145"/>
      <c r="N164" s="188" t="s">
        <v>325</v>
      </c>
      <c r="O164" s="172"/>
      <c r="P164" s="114"/>
    </row>
    <row r="165" spans="2:16" ht="25.5" x14ac:dyDescent="0.25">
      <c r="B165" s="90" t="s">
        <v>266</v>
      </c>
      <c r="C165" s="90" t="s">
        <v>409</v>
      </c>
      <c r="D165" s="247" t="s">
        <v>437</v>
      </c>
      <c r="E165" s="134" t="s">
        <v>438</v>
      </c>
      <c r="F165" s="139" t="s">
        <v>23</v>
      </c>
      <c r="G165" s="143" t="s">
        <v>70</v>
      </c>
      <c r="H165" s="151">
        <v>100</v>
      </c>
      <c r="I165" s="219">
        <v>120</v>
      </c>
      <c r="J165" s="27" t="str">
        <f>IF(I165&gt;H165,"Pintu",0)</f>
        <v>Pintu</v>
      </c>
      <c r="K165" s="143">
        <f>IF(I165&lt;=H165,"Batal",0)</f>
        <v>0</v>
      </c>
      <c r="L165" s="27"/>
      <c r="M165" s="143"/>
      <c r="N165" s="189" t="s">
        <v>439</v>
      </c>
      <c r="O165" s="246"/>
      <c r="P165" s="195"/>
    </row>
    <row r="166" spans="2:16" ht="26.25" thickBot="1" x14ac:dyDescent="0.3">
      <c r="B166" s="91"/>
      <c r="C166" s="91"/>
      <c r="D166" s="248"/>
      <c r="E166" s="135"/>
      <c r="F166" s="101" t="s">
        <v>39</v>
      </c>
      <c r="G166" s="144" t="s">
        <v>13</v>
      </c>
      <c r="H166" s="153" t="s">
        <v>14</v>
      </c>
      <c r="I166" s="220" t="s">
        <v>14</v>
      </c>
      <c r="J166" s="28" t="str">
        <f>IF(I166=H166,"RGS01",0)</f>
        <v>RGS01</v>
      </c>
      <c r="K166" s="144">
        <f>IF(I166=H166,0,"Batal")</f>
        <v>0</v>
      </c>
      <c r="L166" s="28"/>
      <c r="M166" s="144"/>
      <c r="N166" s="186" t="s">
        <v>440</v>
      </c>
      <c r="O166" s="246"/>
      <c r="P166" s="195"/>
    </row>
    <row r="167" spans="2:16" ht="25.5" x14ac:dyDescent="0.25">
      <c r="B167" s="84" t="s">
        <v>250</v>
      </c>
      <c r="C167" s="200" t="s">
        <v>392</v>
      </c>
      <c r="D167" s="231" t="s">
        <v>391</v>
      </c>
      <c r="E167" s="128" t="s">
        <v>27</v>
      </c>
      <c r="F167" s="139" t="s">
        <v>23</v>
      </c>
      <c r="G167" s="143" t="s">
        <v>70</v>
      </c>
      <c r="H167" s="151">
        <v>100</v>
      </c>
      <c r="I167" s="219">
        <v>120</v>
      </c>
      <c r="J167" s="27" t="str">
        <f>IF(I167&gt;H167,"Pintu",0)</f>
        <v>Pintu</v>
      </c>
      <c r="K167" s="143">
        <f>IF(I167&lt;=H167,"Batal",0)</f>
        <v>0</v>
      </c>
      <c r="L167" s="27"/>
      <c r="M167" s="143"/>
      <c r="N167" s="189" t="s">
        <v>150</v>
      </c>
      <c r="O167" s="173"/>
      <c r="P167" s="112"/>
    </row>
    <row r="168" spans="2:16" ht="25.5" x14ac:dyDescent="0.25">
      <c r="B168" s="50"/>
      <c r="C168" s="201"/>
      <c r="D168" s="232"/>
      <c r="E168" s="129"/>
      <c r="F168" s="101" t="s">
        <v>39</v>
      </c>
      <c r="G168" s="144" t="s">
        <v>13</v>
      </c>
      <c r="H168" s="153" t="s">
        <v>14</v>
      </c>
      <c r="I168" s="220" t="s">
        <v>14</v>
      </c>
      <c r="J168" s="28" t="str">
        <f>IF(I168=H168,"RHD01",0)</f>
        <v>RHD01</v>
      </c>
      <c r="K168" s="144">
        <f>IF(I168=H168,0,"Batal")</f>
        <v>0</v>
      </c>
      <c r="L168" s="28"/>
      <c r="M168" s="144"/>
      <c r="N168" s="186" t="s">
        <v>150</v>
      </c>
      <c r="O168" s="174"/>
      <c r="P168" s="113"/>
    </row>
    <row r="169" spans="2:16" ht="30" x14ac:dyDescent="0.25">
      <c r="B169" s="50"/>
      <c r="C169" s="201"/>
      <c r="D169" s="232"/>
      <c r="E169" s="129"/>
      <c r="F169" s="101" t="s">
        <v>77</v>
      </c>
      <c r="G169" s="144" t="s">
        <v>80</v>
      </c>
      <c r="H169" s="152">
        <v>1</v>
      </c>
      <c r="I169" s="220">
        <v>0.8</v>
      </c>
      <c r="J169" s="28" t="str">
        <f>IF(I169&lt;=H169,"Kran air",0)</f>
        <v>Kran air</v>
      </c>
      <c r="K169" s="144">
        <f>IF(I169&gt;H169,"Batal",0)</f>
        <v>0</v>
      </c>
      <c r="L169" s="28"/>
      <c r="M169" s="144"/>
      <c r="N169" s="186" t="s">
        <v>151</v>
      </c>
      <c r="O169" s="174"/>
      <c r="P169" s="113"/>
    </row>
    <row r="170" spans="2:16" ht="30" x14ac:dyDescent="0.25">
      <c r="B170" s="50"/>
      <c r="C170" s="201"/>
      <c r="D170" s="232"/>
      <c r="E170" s="129"/>
      <c r="F170" s="101" t="s">
        <v>29</v>
      </c>
      <c r="G170" s="144" t="s">
        <v>82</v>
      </c>
      <c r="H170" s="28" t="s">
        <v>84</v>
      </c>
      <c r="I170" s="220" t="s">
        <v>84</v>
      </c>
      <c r="J170" s="28" t="str">
        <f>IF(I170=H170,"Pot tanaman",0)</f>
        <v>Pot tanaman</v>
      </c>
      <c r="K170" s="144">
        <f>IF(I170=H170,0,"Pompa air 1")</f>
        <v>0</v>
      </c>
      <c r="L170" s="28" t="s">
        <v>66</v>
      </c>
      <c r="M170" s="144" t="s">
        <v>153</v>
      </c>
      <c r="N170" s="186" t="s">
        <v>152</v>
      </c>
      <c r="O170" s="174"/>
      <c r="P170" s="113"/>
    </row>
    <row r="171" spans="2:16" ht="30" x14ac:dyDescent="0.25">
      <c r="B171" s="50"/>
      <c r="C171" s="201"/>
      <c r="D171" s="232"/>
      <c r="E171" s="129"/>
      <c r="F171" s="101" t="s">
        <v>29</v>
      </c>
      <c r="G171" s="144" t="s">
        <v>68</v>
      </c>
      <c r="H171" s="28" t="s">
        <v>64</v>
      </c>
      <c r="I171" s="220" t="s">
        <v>64</v>
      </c>
      <c r="J171" s="28" t="str">
        <f>IF(I171=H171,"Pompa air",0)</f>
        <v>Pompa air</v>
      </c>
      <c r="K171" s="144">
        <f>IF(I171=H171,0,"Batal")</f>
        <v>0</v>
      </c>
      <c r="L171" s="28"/>
      <c r="M171" s="144"/>
      <c r="N171" s="186" t="s">
        <v>145</v>
      </c>
      <c r="O171" s="174"/>
      <c r="P171" s="113"/>
    </row>
    <row r="172" spans="2:16" ht="30.75" thickBot="1" x14ac:dyDescent="0.3">
      <c r="B172" s="87"/>
      <c r="C172" s="202"/>
      <c r="D172" s="233"/>
      <c r="E172" s="130"/>
      <c r="F172" s="140" t="s">
        <v>49</v>
      </c>
      <c r="G172" s="145" t="s">
        <v>96</v>
      </c>
      <c r="H172" s="26" t="s">
        <v>28</v>
      </c>
      <c r="I172" s="221" t="s">
        <v>64</v>
      </c>
      <c r="J172" s="26">
        <f>IF(I172=H172,"Saklar pompa",0)</f>
        <v>0</v>
      </c>
      <c r="K172" s="145" t="str">
        <f>IF(I172=H172,0,"Batal")</f>
        <v>Batal</v>
      </c>
      <c r="L172" s="26" t="s">
        <v>154</v>
      </c>
      <c r="M172" s="145" t="s">
        <v>155</v>
      </c>
      <c r="N172" s="188" t="s">
        <v>157</v>
      </c>
      <c r="O172" s="175" t="s">
        <v>156</v>
      </c>
      <c r="P172" s="114"/>
    </row>
    <row r="173" spans="2:16" ht="30" x14ac:dyDescent="0.25">
      <c r="B173" s="84" t="s">
        <v>266</v>
      </c>
      <c r="C173" s="200" t="s">
        <v>267</v>
      </c>
      <c r="D173" s="231" t="s">
        <v>351</v>
      </c>
      <c r="E173" s="128" t="s">
        <v>27</v>
      </c>
      <c r="F173" s="139" t="s">
        <v>23</v>
      </c>
      <c r="G173" s="143" t="s">
        <v>30</v>
      </c>
      <c r="H173" s="151">
        <v>150</v>
      </c>
      <c r="I173" s="219">
        <v>100</v>
      </c>
      <c r="J173" s="27">
        <f>IF(I173&gt;=H173,"RGS01",0)</f>
        <v>0</v>
      </c>
      <c r="K173" s="143" t="str">
        <f>IF(I173&lt;H173,"Saklar Lampu",0)</f>
        <v>Saklar Lampu</v>
      </c>
      <c r="L173" s="27"/>
      <c r="M173" s="143"/>
      <c r="N173" s="185" t="s">
        <v>225</v>
      </c>
      <c r="O173" s="173" t="s">
        <v>220</v>
      </c>
      <c r="P173" s="112"/>
    </row>
    <row r="174" spans="2:16" ht="25.5" x14ac:dyDescent="0.25">
      <c r="B174" s="50"/>
      <c r="C174" s="201"/>
      <c r="D174" s="232"/>
      <c r="E174" s="129"/>
      <c r="F174" s="101" t="s">
        <v>39</v>
      </c>
      <c r="G174" s="144" t="s">
        <v>221</v>
      </c>
      <c r="H174" s="153" t="s">
        <v>24</v>
      </c>
      <c r="I174" s="220" t="s">
        <v>24</v>
      </c>
      <c r="J174" s="28" t="str">
        <f>IF(I174=H174,"RGS01",0)</f>
        <v>RGS01</v>
      </c>
      <c r="K174" s="144">
        <f>IF(I174=H174,0,"Batal")</f>
        <v>0</v>
      </c>
      <c r="L174" s="28"/>
      <c r="M174" s="144"/>
      <c r="N174" s="186" t="s">
        <v>224</v>
      </c>
      <c r="O174" s="174"/>
      <c r="P174" s="113"/>
    </row>
    <row r="175" spans="2:16" ht="30.75" thickBot="1" x14ac:dyDescent="0.3">
      <c r="B175" s="87"/>
      <c r="C175" s="202"/>
      <c r="D175" s="233"/>
      <c r="E175" s="130"/>
      <c r="F175" s="140" t="s">
        <v>29</v>
      </c>
      <c r="G175" s="146" t="s">
        <v>222</v>
      </c>
      <c r="H175" s="158" t="s">
        <v>24</v>
      </c>
      <c r="I175" s="222" t="s">
        <v>24</v>
      </c>
      <c r="J175" s="26" t="str">
        <f>IF(I175=H175,"Kendaraan",0)</f>
        <v>Kendaraan</v>
      </c>
      <c r="K175" s="145">
        <f>IF(I175=H175,0,"Batal")</f>
        <v>0</v>
      </c>
      <c r="L175" s="32" t="s">
        <v>227</v>
      </c>
      <c r="M175" s="146" t="s">
        <v>164</v>
      </c>
      <c r="N175" s="188" t="s">
        <v>223</v>
      </c>
      <c r="O175" s="175"/>
      <c r="P175" s="114"/>
    </row>
    <row r="176" spans="2:16" ht="30" x14ac:dyDescent="0.25">
      <c r="B176" s="84" t="s">
        <v>250</v>
      </c>
      <c r="C176" s="200" t="s">
        <v>394</v>
      </c>
      <c r="D176" s="231" t="s">
        <v>393</v>
      </c>
      <c r="E176" s="128" t="s">
        <v>44</v>
      </c>
      <c r="F176" s="139" t="s">
        <v>23</v>
      </c>
      <c r="G176" s="143" t="s">
        <v>30</v>
      </c>
      <c r="H176" s="151">
        <v>150</v>
      </c>
      <c r="I176" s="219">
        <v>100</v>
      </c>
      <c r="J176" s="27">
        <f>IF(I176&gt;=H176,"Pintu",0)</f>
        <v>0</v>
      </c>
      <c r="K176" s="143" t="str">
        <f>IF(I176&lt;H176,"Saklar Lampu",0)</f>
        <v>Saklar Lampu</v>
      </c>
      <c r="L176" s="27"/>
      <c r="M176" s="143"/>
      <c r="N176" s="185" t="s">
        <v>115</v>
      </c>
      <c r="O176" s="173"/>
      <c r="P176" s="112"/>
    </row>
    <row r="177" spans="2:16" ht="30" x14ac:dyDescent="0.25">
      <c r="B177" s="50"/>
      <c r="C177" s="201"/>
      <c r="D177" s="232"/>
      <c r="E177" s="129"/>
      <c r="F177" s="101" t="s">
        <v>77</v>
      </c>
      <c r="G177" s="144" t="s">
        <v>80</v>
      </c>
      <c r="H177" s="152">
        <v>0</v>
      </c>
      <c r="I177" s="220">
        <v>0.2</v>
      </c>
      <c r="J177" s="28">
        <f>IF(I177&lt;=H177,"Pintu",0)</f>
        <v>0</v>
      </c>
      <c r="K177" s="144" t="str">
        <f>IF(I177&gt;H177,"Batal",0)</f>
        <v>Batal</v>
      </c>
      <c r="L177" s="28"/>
      <c r="M177" s="144"/>
      <c r="N177" s="186" t="s">
        <v>128</v>
      </c>
      <c r="O177" s="174"/>
      <c r="P177" s="113"/>
    </row>
    <row r="178" spans="2:16" ht="25.5" x14ac:dyDescent="0.25">
      <c r="B178" s="50"/>
      <c r="C178" s="201"/>
      <c r="D178" s="232"/>
      <c r="E178" s="129"/>
      <c r="F178" s="101" t="s">
        <v>39</v>
      </c>
      <c r="G178" s="144" t="s">
        <v>13</v>
      </c>
      <c r="H178" s="153" t="s">
        <v>14</v>
      </c>
      <c r="I178" s="220" t="s">
        <v>45</v>
      </c>
      <c r="J178" s="28">
        <f>IF(I178=H178,"Bak mandi",0)</f>
        <v>0</v>
      </c>
      <c r="K178" s="144" t="str">
        <f>IF(I178=H178,0,"Batal")</f>
        <v>Batal</v>
      </c>
      <c r="L178" s="28"/>
      <c r="M178" s="144" t="s">
        <v>236</v>
      </c>
      <c r="N178" s="186" t="s">
        <v>117</v>
      </c>
      <c r="O178" s="174"/>
      <c r="P178" s="113"/>
    </row>
    <row r="179" spans="2:16" ht="39" thickBot="1" x14ac:dyDescent="0.3">
      <c r="B179" s="87"/>
      <c r="C179" s="202"/>
      <c r="D179" s="233"/>
      <c r="E179" s="130"/>
      <c r="F179" s="140" t="s">
        <v>29</v>
      </c>
      <c r="G179" s="145" t="s">
        <v>82</v>
      </c>
      <c r="H179" s="26">
        <v>120</v>
      </c>
      <c r="I179" s="221">
        <v>80</v>
      </c>
      <c r="J179" s="26">
        <f>IF(I179&gt;=H179,"Bak mandi",0)</f>
        <v>0</v>
      </c>
      <c r="K179" s="145" t="str">
        <f>IF(I179&gt;=H179,0,"Kran air")</f>
        <v>Kran air</v>
      </c>
      <c r="L179" s="26" t="s">
        <v>121</v>
      </c>
      <c r="M179" s="145" t="s">
        <v>229</v>
      </c>
      <c r="N179" s="188" t="s">
        <v>122</v>
      </c>
      <c r="O179" s="177" t="s">
        <v>123</v>
      </c>
      <c r="P179" s="114"/>
    </row>
    <row r="180" spans="2:16" ht="25.5" x14ac:dyDescent="0.25">
      <c r="B180" s="215" t="s">
        <v>395</v>
      </c>
      <c r="C180" s="200" t="s">
        <v>396</v>
      </c>
      <c r="D180" s="231" t="s">
        <v>283</v>
      </c>
      <c r="E180" s="128" t="s">
        <v>326</v>
      </c>
      <c r="F180" s="139" t="s">
        <v>23</v>
      </c>
      <c r="G180" s="143" t="s">
        <v>30</v>
      </c>
      <c r="H180" s="151">
        <v>150</v>
      </c>
      <c r="I180" s="219">
        <v>150</v>
      </c>
      <c r="J180" s="27" t="str">
        <f>IF(I180&gt;=H180,"Pintu",0)</f>
        <v>Pintu</v>
      </c>
      <c r="K180" s="143">
        <f>IF(I180&lt;H180,"Saklar Lampu",0)</f>
        <v>0</v>
      </c>
      <c r="L180" s="27"/>
      <c r="M180" s="143"/>
      <c r="N180" s="185" t="s">
        <v>115</v>
      </c>
      <c r="O180" s="173"/>
      <c r="P180" s="112"/>
    </row>
    <row r="181" spans="2:16" ht="30" x14ac:dyDescent="0.25">
      <c r="B181" s="216"/>
      <c r="C181" s="201"/>
      <c r="D181" s="232"/>
      <c r="E181" s="129"/>
      <c r="F181" s="101" t="s">
        <v>77</v>
      </c>
      <c r="G181" s="144" t="s">
        <v>80</v>
      </c>
      <c r="H181" s="152">
        <v>2</v>
      </c>
      <c r="I181" s="220">
        <v>1</v>
      </c>
      <c r="J181" s="28" t="str">
        <f>IF(I181&lt;=H181,"RBK01",0)</f>
        <v>RBK01</v>
      </c>
      <c r="K181" s="144">
        <f>IF(I181&gt;H181,"Batal",0)</f>
        <v>0</v>
      </c>
      <c r="L181" s="28"/>
      <c r="M181" s="144"/>
      <c r="N181" s="186" t="s">
        <v>330</v>
      </c>
      <c r="O181" s="174"/>
      <c r="P181" s="113"/>
    </row>
    <row r="182" spans="2:16" ht="30.75" thickBot="1" x14ac:dyDescent="0.3">
      <c r="B182" s="217"/>
      <c r="C182" s="202"/>
      <c r="D182" s="233"/>
      <c r="E182" s="130"/>
      <c r="F182" s="140" t="s">
        <v>29</v>
      </c>
      <c r="G182" s="145" t="s">
        <v>82</v>
      </c>
      <c r="H182" s="26" t="s">
        <v>24</v>
      </c>
      <c r="I182" s="221" t="s">
        <v>24</v>
      </c>
      <c r="J182" s="26" t="str">
        <f>IF(I182=H182,"Kran air",0)</f>
        <v>Kran air</v>
      </c>
      <c r="K182" s="145">
        <f>IF(I182=H182,0,"Pompa air")</f>
        <v>0</v>
      </c>
      <c r="L182" s="26" t="s">
        <v>66</v>
      </c>
      <c r="M182" s="145" t="s">
        <v>179</v>
      </c>
      <c r="N182" s="188" t="s">
        <v>178</v>
      </c>
      <c r="O182" s="175" t="s">
        <v>180</v>
      </c>
      <c r="P182" s="114"/>
    </row>
    <row r="183" spans="2:16" ht="30" x14ac:dyDescent="0.25">
      <c r="B183" s="215" t="s">
        <v>397</v>
      </c>
      <c r="C183" s="200" t="s">
        <v>398</v>
      </c>
      <c r="D183" s="231" t="s">
        <v>284</v>
      </c>
      <c r="E183" s="128" t="s">
        <v>326</v>
      </c>
      <c r="F183" s="139" t="s">
        <v>23</v>
      </c>
      <c r="G183" s="143" t="s">
        <v>30</v>
      </c>
      <c r="H183" s="151">
        <v>150</v>
      </c>
      <c r="I183" s="219">
        <v>100</v>
      </c>
      <c r="J183" s="27">
        <f>IF(I183&gt;=H183,"Pintu",0)</f>
        <v>0</v>
      </c>
      <c r="K183" s="143" t="str">
        <f>IF(I183&lt;H183,"Saklar Lampu",0)</f>
        <v>Saklar Lampu</v>
      </c>
      <c r="L183" s="27"/>
      <c r="M183" s="143"/>
      <c r="N183" s="185" t="s">
        <v>115</v>
      </c>
      <c r="O183" s="173"/>
      <c r="P183" s="112"/>
    </row>
    <row r="184" spans="2:16" ht="25.5" x14ac:dyDescent="0.25">
      <c r="B184" s="216"/>
      <c r="C184" s="201"/>
      <c r="D184" s="232"/>
      <c r="E184" s="129"/>
      <c r="F184" s="101" t="s">
        <v>39</v>
      </c>
      <c r="G184" s="144" t="s">
        <v>13</v>
      </c>
      <c r="H184" s="153" t="s">
        <v>14</v>
      </c>
      <c r="I184" s="220" t="s">
        <v>14</v>
      </c>
      <c r="J184" s="28" t="str">
        <f>IF(I184=H184,"RBK01",0)</f>
        <v>RBK01</v>
      </c>
      <c r="K184" s="144">
        <f>IF(I184=H184,0,"Batal")</f>
        <v>0</v>
      </c>
      <c r="L184" s="28"/>
      <c r="M184" s="144"/>
      <c r="N184" s="186" t="s">
        <v>328</v>
      </c>
      <c r="O184" s="174"/>
      <c r="P184" s="113"/>
    </row>
    <row r="185" spans="2:16" ht="30" x14ac:dyDescent="0.25">
      <c r="B185" s="216"/>
      <c r="C185" s="201"/>
      <c r="D185" s="232"/>
      <c r="E185" s="129"/>
      <c r="F185" s="101" t="s">
        <v>77</v>
      </c>
      <c r="G185" s="144" t="s">
        <v>80</v>
      </c>
      <c r="H185" s="152">
        <v>2</v>
      </c>
      <c r="I185" s="220">
        <v>0.4</v>
      </c>
      <c r="J185" s="28" t="str">
        <f>IF(I185&lt;=H185,"Kran air",0)</f>
        <v>Kran air</v>
      </c>
      <c r="K185" s="144">
        <f>IF(I185&gt;H185,"Batal",0)</f>
        <v>0</v>
      </c>
      <c r="L185" s="28"/>
      <c r="M185" s="144"/>
      <c r="N185" s="186" t="s">
        <v>158</v>
      </c>
      <c r="O185" s="174"/>
      <c r="P185" s="113"/>
    </row>
    <row r="186" spans="2:16" ht="30" x14ac:dyDescent="0.25">
      <c r="B186" s="216"/>
      <c r="C186" s="201"/>
      <c r="D186" s="232"/>
      <c r="E186" s="129"/>
      <c r="F186" s="101" t="s">
        <v>29</v>
      </c>
      <c r="G186" s="144" t="s">
        <v>82</v>
      </c>
      <c r="H186" s="28" t="s">
        <v>24</v>
      </c>
      <c r="I186" s="220" t="s">
        <v>65</v>
      </c>
      <c r="J186" s="28">
        <f>IF(I186=H186,"Mesin cuci",0)</f>
        <v>0</v>
      </c>
      <c r="K186" s="144" t="str">
        <f>IF(I186=H186,0,"Pompa air")</f>
        <v>Pompa air</v>
      </c>
      <c r="L186" s="28"/>
      <c r="M186" s="144"/>
      <c r="N186" s="186" t="s">
        <v>177</v>
      </c>
      <c r="O186" s="174" t="s">
        <v>175</v>
      </c>
      <c r="P186" s="113"/>
    </row>
    <row r="187" spans="2:16" ht="30" x14ac:dyDescent="0.25">
      <c r="B187" s="216"/>
      <c r="C187" s="201"/>
      <c r="D187" s="232"/>
      <c r="E187" s="129"/>
      <c r="F187" s="101" t="s">
        <v>29</v>
      </c>
      <c r="G187" s="144" t="s">
        <v>68</v>
      </c>
      <c r="H187" s="28" t="s">
        <v>64</v>
      </c>
      <c r="I187" s="220" t="s">
        <v>64</v>
      </c>
      <c r="J187" s="28" t="str">
        <f>IF(I187=H187,"Mesin cuci",0)</f>
        <v>Mesin cuci</v>
      </c>
      <c r="K187" s="144">
        <f>IF(I187=H187,0,"Batal")</f>
        <v>0</v>
      </c>
      <c r="L187" s="28"/>
      <c r="M187" s="144"/>
      <c r="N187" s="186" t="s">
        <v>173</v>
      </c>
      <c r="O187" s="174"/>
      <c r="P187" s="113"/>
    </row>
    <row r="188" spans="2:16" ht="26.25" thickBot="1" x14ac:dyDescent="0.3">
      <c r="B188" s="217"/>
      <c r="C188" s="202"/>
      <c r="D188" s="233"/>
      <c r="E188" s="130"/>
      <c r="F188" s="140" t="s">
        <v>39</v>
      </c>
      <c r="G188" s="145" t="s">
        <v>71</v>
      </c>
      <c r="H188" s="155" t="s">
        <v>28</v>
      </c>
      <c r="I188" s="221" t="s">
        <v>28</v>
      </c>
      <c r="J188" s="26" t="str">
        <f>IF(I188=H188,"Mesin cuci",0)</f>
        <v>Mesin cuci</v>
      </c>
      <c r="K188" s="145">
        <f>IF(I188=H188,0,"Batal")</f>
        <v>0</v>
      </c>
      <c r="L188" s="26" t="s">
        <v>326</v>
      </c>
      <c r="M188" s="145"/>
      <c r="N188" s="188" t="s">
        <v>176</v>
      </c>
      <c r="O188" s="175"/>
      <c r="P188" s="114"/>
    </row>
    <row r="189" spans="2:16" ht="30" x14ac:dyDescent="0.25">
      <c r="B189" s="209" t="s">
        <v>399</v>
      </c>
      <c r="C189" s="200" t="s">
        <v>268</v>
      </c>
      <c r="D189" s="231" t="s">
        <v>285</v>
      </c>
      <c r="E189" s="128" t="s">
        <v>326</v>
      </c>
      <c r="F189" s="139" t="s">
        <v>23</v>
      </c>
      <c r="G189" s="143" t="s">
        <v>30</v>
      </c>
      <c r="H189" s="151">
        <v>150</v>
      </c>
      <c r="I189" s="219">
        <v>100</v>
      </c>
      <c r="J189" s="27">
        <f>IF(I189&gt;=H189,"Pintu",0)</f>
        <v>0</v>
      </c>
      <c r="K189" s="143" t="str">
        <f t="shared" ref="K189" si="7">IF(I189&lt;H189,"Saklar Lampu",0)</f>
        <v>Saklar Lampu</v>
      </c>
      <c r="L189" s="27"/>
      <c r="M189" s="143"/>
      <c r="N189" s="185" t="s">
        <v>115</v>
      </c>
      <c r="O189" s="173"/>
      <c r="P189" s="112"/>
    </row>
    <row r="190" spans="2:16" ht="26.25" thickBot="1" x14ac:dyDescent="0.3">
      <c r="B190" s="211"/>
      <c r="C190" s="202"/>
      <c r="D190" s="233"/>
      <c r="E190" s="130"/>
      <c r="F190" s="140" t="s">
        <v>39</v>
      </c>
      <c r="G190" s="145" t="s">
        <v>13</v>
      </c>
      <c r="H190" s="155" t="s">
        <v>14</v>
      </c>
      <c r="I190" s="221" t="s">
        <v>14</v>
      </c>
      <c r="J190" s="26" t="str">
        <f>IF(I190=H190,"RBK01",0)</f>
        <v>RBK01</v>
      </c>
      <c r="K190" s="145">
        <f>IF(I190=H190,0,"Batal")</f>
        <v>0</v>
      </c>
      <c r="L190" s="26" t="s">
        <v>13</v>
      </c>
      <c r="M190" s="145" t="s">
        <v>232</v>
      </c>
      <c r="N190" s="188" t="s">
        <v>328</v>
      </c>
      <c r="O190" s="175"/>
      <c r="P190" s="114"/>
    </row>
    <row r="191" spans="2:16" ht="30" x14ac:dyDescent="0.25">
      <c r="B191" s="84" t="s">
        <v>250</v>
      </c>
      <c r="C191" s="200" t="s">
        <v>269</v>
      </c>
      <c r="D191" s="231" t="s">
        <v>349</v>
      </c>
      <c r="E191" s="128" t="s">
        <v>33</v>
      </c>
      <c r="F191" s="139" t="s">
        <v>23</v>
      </c>
      <c r="G191" s="143" t="s">
        <v>30</v>
      </c>
      <c r="H191" s="151">
        <v>150</v>
      </c>
      <c r="I191" s="219">
        <v>100</v>
      </c>
      <c r="J191" s="27">
        <f>IF(I191&gt;=H191,"RKG01",0)</f>
        <v>0</v>
      </c>
      <c r="K191" s="143" t="str">
        <f>IF(I191&lt;H191,"Saklar Lampu",0)</f>
        <v>Saklar Lampu</v>
      </c>
      <c r="L191" s="29"/>
      <c r="M191" s="165"/>
      <c r="N191" s="185" t="s">
        <v>99</v>
      </c>
      <c r="O191" s="173"/>
      <c r="P191" s="112"/>
    </row>
    <row r="192" spans="2:16" ht="30" x14ac:dyDescent="0.25">
      <c r="B192" s="50"/>
      <c r="C192" s="201"/>
      <c r="D192" s="232"/>
      <c r="E192" s="129"/>
      <c r="F192" s="101" t="s">
        <v>77</v>
      </c>
      <c r="G192" s="144" t="s">
        <v>80</v>
      </c>
      <c r="H192" s="152">
        <v>2</v>
      </c>
      <c r="I192" s="220">
        <v>1</v>
      </c>
      <c r="J192" s="28" t="str">
        <f>IF(I192&lt;=H192,"RKG01",0)</f>
        <v>RKG01</v>
      </c>
      <c r="K192" s="144">
        <f>IF(I192&gt;H192,"Batal",0)</f>
        <v>0</v>
      </c>
      <c r="L192" s="28"/>
      <c r="M192" s="144"/>
      <c r="N192" s="186" t="s">
        <v>415</v>
      </c>
      <c r="O192" s="174"/>
      <c r="P192" s="113"/>
    </row>
    <row r="193" spans="2:16" ht="30.75" thickBot="1" x14ac:dyDescent="0.3">
      <c r="B193" s="87"/>
      <c r="C193" s="202"/>
      <c r="D193" s="233"/>
      <c r="E193" s="130"/>
      <c r="F193" s="140" t="s">
        <v>39</v>
      </c>
      <c r="G193" s="145" t="s">
        <v>414</v>
      </c>
      <c r="H193" s="155" t="s">
        <v>86</v>
      </c>
      <c r="I193" s="221" t="s">
        <v>86</v>
      </c>
      <c r="J193" s="26" t="str">
        <f>IF(I193=H193,"Mesin jahit",0)</f>
        <v>Mesin jahit</v>
      </c>
      <c r="K193" s="145">
        <f>IF(I193=H193,0,"Batal")</f>
        <v>0</v>
      </c>
      <c r="L193" s="32"/>
      <c r="M193" s="146"/>
      <c r="N193" s="188" t="s">
        <v>419</v>
      </c>
      <c r="O193" s="175"/>
      <c r="P193" s="114"/>
    </row>
    <row r="194" spans="2:16" ht="30" x14ac:dyDescent="0.25">
      <c r="B194" s="84" t="s">
        <v>250</v>
      </c>
      <c r="C194" s="200" t="s">
        <v>401</v>
      </c>
      <c r="D194" s="231" t="s">
        <v>400</v>
      </c>
      <c r="E194" s="128" t="s">
        <v>33</v>
      </c>
      <c r="F194" s="139" t="s">
        <v>23</v>
      </c>
      <c r="G194" s="143" t="s">
        <v>30</v>
      </c>
      <c r="H194" s="151">
        <v>150</v>
      </c>
      <c r="I194" s="219">
        <v>100</v>
      </c>
      <c r="J194" s="27">
        <f>IF(I194&gt;=H194,"RKG01",0)</f>
        <v>0</v>
      </c>
      <c r="K194" s="143" t="str">
        <f>IF(I194&lt;H194,"Saklar Lampu",0)</f>
        <v>Saklar Lampu</v>
      </c>
      <c r="L194" s="29"/>
      <c r="M194" s="165"/>
      <c r="N194" s="185" t="s">
        <v>99</v>
      </c>
      <c r="O194" s="173"/>
      <c r="P194" s="112"/>
    </row>
    <row r="195" spans="2:16" ht="30" x14ac:dyDescent="0.25">
      <c r="B195" s="50"/>
      <c r="C195" s="201"/>
      <c r="D195" s="232"/>
      <c r="E195" s="129"/>
      <c r="F195" s="101" t="s">
        <v>77</v>
      </c>
      <c r="G195" s="144" t="s">
        <v>80</v>
      </c>
      <c r="H195" s="152">
        <v>1</v>
      </c>
      <c r="I195" s="220">
        <v>1</v>
      </c>
      <c r="J195" s="28" t="str">
        <f>IF(I195&lt;=H195,"Sofa/ Karpet",0)</f>
        <v>Sofa/ Karpet</v>
      </c>
      <c r="K195" s="144">
        <f>IF(I195&gt;H195,"Batal",0)</f>
        <v>0</v>
      </c>
      <c r="L195" s="28"/>
      <c r="M195" s="144"/>
      <c r="N195" s="186" t="s">
        <v>194</v>
      </c>
      <c r="O195" s="174"/>
      <c r="P195" s="113"/>
    </row>
    <row r="196" spans="2:16" ht="25.5" x14ac:dyDescent="0.25">
      <c r="B196" s="50"/>
      <c r="C196" s="201"/>
      <c r="D196" s="232"/>
      <c r="E196" s="129"/>
      <c r="F196" s="98" t="s">
        <v>39</v>
      </c>
      <c r="G196" s="144" t="s">
        <v>34</v>
      </c>
      <c r="H196" s="153" t="s">
        <v>16</v>
      </c>
      <c r="I196" s="220" t="s">
        <v>16</v>
      </c>
      <c r="J196" s="28" t="str">
        <f>IF(I196=H196,"Sofa",0)</f>
        <v>Sofa</v>
      </c>
      <c r="K196" s="144">
        <f>IF(I196=H196,0,"Karpet")</f>
        <v>0</v>
      </c>
      <c r="L196" s="30"/>
      <c r="M196" s="149"/>
      <c r="N196" s="186" t="s">
        <v>195</v>
      </c>
      <c r="O196" s="174"/>
      <c r="P196" s="113"/>
    </row>
    <row r="197" spans="2:16" ht="25.5" x14ac:dyDescent="0.25">
      <c r="B197" s="50"/>
      <c r="C197" s="201"/>
      <c r="D197" s="232"/>
      <c r="E197" s="129"/>
      <c r="F197" s="98"/>
      <c r="G197" s="144" t="s">
        <v>35</v>
      </c>
      <c r="H197" s="153" t="s">
        <v>16</v>
      </c>
      <c r="I197" s="220" t="s">
        <v>16</v>
      </c>
      <c r="J197" s="28" t="str">
        <f>IF(I197=H197,"Karpet",0)</f>
        <v>Karpet</v>
      </c>
      <c r="K197" s="144">
        <f t="shared" ref="K197:K198" si="8">IF(I197=H197,0,"Batal")</f>
        <v>0</v>
      </c>
      <c r="L197" s="30"/>
      <c r="M197" s="149"/>
      <c r="N197" s="186" t="s">
        <v>196</v>
      </c>
      <c r="O197" s="174"/>
      <c r="P197" s="113"/>
    </row>
    <row r="198" spans="2:16" ht="30" x14ac:dyDescent="0.25">
      <c r="B198" s="50"/>
      <c r="C198" s="201"/>
      <c r="D198" s="232"/>
      <c r="E198" s="129"/>
      <c r="F198" s="98"/>
      <c r="G198" s="144" t="s">
        <v>88</v>
      </c>
      <c r="H198" s="153" t="s">
        <v>86</v>
      </c>
      <c r="I198" s="220" t="s">
        <v>86</v>
      </c>
      <c r="J198" s="28" t="str">
        <f>IF(I198=H198,"Sofa/ Karpet",0)</f>
        <v>Sofa/ Karpet</v>
      </c>
      <c r="K198" s="144">
        <f t="shared" si="8"/>
        <v>0</v>
      </c>
      <c r="L198" s="30"/>
      <c r="M198" s="149"/>
      <c r="N198" s="186" t="s">
        <v>197</v>
      </c>
      <c r="O198" s="174"/>
      <c r="P198" s="113"/>
    </row>
    <row r="199" spans="2:16" ht="30" x14ac:dyDescent="0.25">
      <c r="B199" s="50"/>
      <c r="C199" s="201"/>
      <c r="D199" s="232"/>
      <c r="E199" s="129"/>
      <c r="F199" s="101" t="s">
        <v>29</v>
      </c>
      <c r="G199" s="144" t="s">
        <v>68</v>
      </c>
      <c r="H199" s="28" t="s">
        <v>64</v>
      </c>
      <c r="I199" s="220" t="s">
        <v>249</v>
      </c>
      <c r="J199" s="28">
        <f>IF(I199=H199,"Sofa/ Karpet",0)</f>
        <v>0</v>
      </c>
      <c r="K199" s="144" t="str">
        <f>IF(I199=H199,0,"Batal")</f>
        <v>Batal</v>
      </c>
      <c r="L199" s="28"/>
      <c r="M199" s="144"/>
      <c r="N199" s="186" t="s">
        <v>198</v>
      </c>
      <c r="O199" s="174"/>
      <c r="P199" s="113"/>
    </row>
    <row r="200" spans="2:16" ht="30" x14ac:dyDescent="0.25">
      <c r="B200" s="50"/>
      <c r="C200" s="201"/>
      <c r="D200" s="232"/>
      <c r="E200" s="129"/>
      <c r="F200" s="101" t="s">
        <v>90</v>
      </c>
      <c r="G200" s="144" t="s">
        <v>91</v>
      </c>
      <c r="H200" s="157">
        <v>25</v>
      </c>
      <c r="I200" s="220">
        <v>27</v>
      </c>
      <c r="J200" s="28">
        <f>IF(I200&lt;=H200,"Sofa/ Karpet",0)</f>
        <v>0</v>
      </c>
      <c r="K200" s="144" t="str">
        <f>IF(I200&gt;H200,"Kipas angin",0)</f>
        <v>Kipas angin</v>
      </c>
      <c r="L200" s="30"/>
      <c r="M200" s="149"/>
      <c r="N200" s="186" t="s">
        <v>199</v>
      </c>
      <c r="O200" s="174"/>
      <c r="P200" s="113"/>
    </row>
    <row r="201" spans="2:16" ht="30.75" thickBot="1" x14ac:dyDescent="0.3">
      <c r="B201" s="87"/>
      <c r="C201" s="202"/>
      <c r="D201" s="233"/>
      <c r="E201" s="130"/>
      <c r="F201" s="140" t="s">
        <v>39</v>
      </c>
      <c r="G201" s="145" t="s">
        <v>89</v>
      </c>
      <c r="H201" s="159" t="s">
        <v>86</v>
      </c>
      <c r="I201" s="221" t="s">
        <v>86</v>
      </c>
      <c r="J201" s="26" t="str">
        <f>IF(I201=H201,"Kipas angin",0)</f>
        <v>Kipas angin</v>
      </c>
      <c r="K201" s="145">
        <f>IF(I201=H201,0,"Batal")</f>
        <v>0</v>
      </c>
      <c r="L201" s="32" t="s">
        <v>33</v>
      </c>
      <c r="M201" s="146" t="s">
        <v>212</v>
      </c>
      <c r="N201" s="188" t="s">
        <v>200</v>
      </c>
      <c r="O201" s="175"/>
      <c r="P201" s="114"/>
    </row>
    <row r="202" spans="2:16" ht="30" x14ac:dyDescent="0.25">
      <c r="B202" s="84" t="s">
        <v>250</v>
      </c>
      <c r="C202" s="200" t="s">
        <v>412</v>
      </c>
      <c r="D202" s="231" t="s">
        <v>413</v>
      </c>
      <c r="E202" s="128" t="s">
        <v>33</v>
      </c>
      <c r="F202" s="139" t="s">
        <v>23</v>
      </c>
      <c r="G202" s="143" t="s">
        <v>30</v>
      </c>
      <c r="H202" s="151">
        <v>150</v>
      </c>
      <c r="I202" s="219">
        <v>100</v>
      </c>
      <c r="J202" s="27">
        <f>IF(I202&gt;=H202,"RKG01",0)</f>
        <v>0</v>
      </c>
      <c r="K202" s="143" t="str">
        <f>IF(I202&lt;H202,"Saklar Lampu",0)</f>
        <v>Saklar Lampu</v>
      </c>
      <c r="L202" s="29"/>
      <c r="M202" s="165"/>
      <c r="N202" s="185" t="s">
        <v>99</v>
      </c>
      <c r="O202" s="173"/>
      <c r="P202" s="112"/>
    </row>
    <row r="203" spans="2:16" ht="30" x14ac:dyDescent="0.25">
      <c r="B203" s="50"/>
      <c r="C203" s="201"/>
      <c r="D203" s="232"/>
      <c r="E203" s="129"/>
      <c r="F203" s="101" t="s">
        <v>77</v>
      </c>
      <c r="G203" s="144" t="s">
        <v>80</v>
      </c>
      <c r="H203" s="152">
        <v>2</v>
      </c>
      <c r="I203" s="220">
        <v>1</v>
      </c>
      <c r="J203" s="28" t="str">
        <f>IF(I203&lt;=H203,"Karpet",0)</f>
        <v>Karpet</v>
      </c>
      <c r="K203" s="144">
        <f>IF(I203&gt;H203,"RTA01",0)</f>
        <v>0</v>
      </c>
      <c r="L203" s="28"/>
      <c r="M203" s="144"/>
      <c r="N203" s="186" t="s">
        <v>185</v>
      </c>
      <c r="O203" s="174"/>
      <c r="P203" s="113"/>
    </row>
    <row r="204" spans="2:16" ht="25.5" x14ac:dyDescent="0.25">
      <c r="B204" s="50"/>
      <c r="C204" s="201"/>
      <c r="D204" s="232"/>
      <c r="E204" s="129"/>
      <c r="F204" s="101" t="s">
        <v>39</v>
      </c>
      <c r="G204" s="144" t="s">
        <v>35</v>
      </c>
      <c r="H204" s="153" t="s">
        <v>16</v>
      </c>
      <c r="I204" s="220" t="s">
        <v>16</v>
      </c>
      <c r="J204" s="28" t="str">
        <f>IF(I204=H204,"Karpet",0)</f>
        <v>Karpet</v>
      </c>
      <c r="K204" s="144">
        <f>IF(I204=H204,0,"RTA01")</f>
        <v>0</v>
      </c>
      <c r="L204" s="30"/>
      <c r="M204" s="149"/>
      <c r="N204" s="186" t="s">
        <v>186</v>
      </c>
      <c r="O204" s="174"/>
      <c r="P204" s="113"/>
    </row>
    <row r="205" spans="2:16" ht="30" x14ac:dyDescent="0.25">
      <c r="B205" s="50"/>
      <c r="C205" s="201"/>
      <c r="D205" s="232"/>
      <c r="E205" s="129"/>
      <c r="F205" s="101" t="s">
        <v>90</v>
      </c>
      <c r="G205" s="144" t="s">
        <v>91</v>
      </c>
      <c r="H205" s="157">
        <v>25</v>
      </c>
      <c r="I205" s="220">
        <v>26</v>
      </c>
      <c r="J205" s="28">
        <f>IF(I205&lt;=H205,"Karpet",0)</f>
        <v>0</v>
      </c>
      <c r="K205" s="144" t="str">
        <f>IF(I205&gt;H205,"Kipas angin",0)</f>
        <v>Kipas angin</v>
      </c>
      <c r="L205" s="30"/>
      <c r="M205" s="149"/>
      <c r="N205" s="186" t="s">
        <v>187</v>
      </c>
      <c r="O205" s="174"/>
      <c r="P205" s="113"/>
    </row>
    <row r="206" spans="2:16" ht="30" x14ac:dyDescent="0.25">
      <c r="B206" s="50"/>
      <c r="C206" s="201"/>
      <c r="D206" s="232"/>
      <c r="E206" s="129"/>
      <c r="F206" s="101" t="s">
        <v>39</v>
      </c>
      <c r="G206" s="144" t="s">
        <v>89</v>
      </c>
      <c r="H206" s="153" t="s">
        <v>86</v>
      </c>
      <c r="I206" s="220" t="s">
        <v>86</v>
      </c>
      <c r="J206" s="28" t="str">
        <f>IF(I206=H206,"Kipas angin",0)</f>
        <v>Kipas angin</v>
      </c>
      <c r="K206" s="144">
        <f>IF(I206=H206,0,"RTA01")</f>
        <v>0</v>
      </c>
      <c r="L206" s="28"/>
      <c r="M206" s="144"/>
      <c r="N206" s="186" t="s">
        <v>188</v>
      </c>
      <c r="O206" s="174"/>
      <c r="P206" s="113"/>
    </row>
    <row r="207" spans="2:16" ht="30" x14ac:dyDescent="0.25">
      <c r="B207" s="50"/>
      <c r="C207" s="201"/>
      <c r="D207" s="232"/>
      <c r="E207" s="129"/>
      <c r="F207" s="101" t="s">
        <v>29</v>
      </c>
      <c r="G207" s="144" t="s">
        <v>68</v>
      </c>
      <c r="H207" s="28" t="s">
        <v>64</v>
      </c>
      <c r="I207" s="220" t="s">
        <v>64</v>
      </c>
      <c r="J207" s="28" t="str">
        <f>IF(I207=H207,"Karpet",0)</f>
        <v>Karpet</v>
      </c>
      <c r="K207" s="144">
        <f>IF(I207=H207,0,"Batal")</f>
        <v>0</v>
      </c>
      <c r="L207" s="30"/>
      <c r="M207" s="149" t="s">
        <v>212</v>
      </c>
      <c r="N207" s="186" t="s">
        <v>189</v>
      </c>
      <c r="O207" s="174"/>
      <c r="P207" s="113"/>
    </row>
    <row r="208" spans="2:16" ht="25.5" x14ac:dyDescent="0.25">
      <c r="B208" s="50"/>
      <c r="C208" s="201"/>
      <c r="D208" s="232"/>
      <c r="E208" s="129" t="s">
        <v>61</v>
      </c>
      <c r="F208" s="101" t="s">
        <v>39</v>
      </c>
      <c r="G208" s="144" t="s">
        <v>13</v>
      </c>
      <c r="H208" s="153" t="s">
        <v>14</v>
      </c>
      <c r="I208" s="220" t="s">
        <v>45</v>
      </c>
      <c r="J208" s="28">
        <f>IF(I208=H208,"Pintu",0)</f>
        <v>0</v>
      </c>
      <c r="K208" s="144" t="str">
        <f>IF(I208=H208,0,"Batal")</f>
        <v>Batal</v>
      </c>
      <c r="L208" s="28"/>
      <c r="M208" s="144"/>
      <c r="N208" s="186" t="s">
        <v>181</v>
      </c>
      <c r="O208" s="174"/>
      <c r="P208" s="113"/>
    </row>
    <row r="209" spans="2:16" ht="25.5" x14ac:dyDescent="0.25">
      <c r="B209" s="50"/>
      <c r="C209" s="201"/>
      <c r="D209" s="232"/>
      <c r="E209" s="129"/>
      <c r="F209" s="101" t="s">
        <v>23</v>
      </c>
      <c r="G209" s="144" t="s">
        <v>30</v>
      </c>
      <c r="H209" s="152">
        <v>150</v>
      </c>
      <c r="I209" s="220">
        <v>150</v>
      </c>
      <c r="J209" s="28" t="str">
        <f>IF(I209&gt;=H209,"RTA01",0)</f>
        <v>RTA01</v>
      </c>
      <c r="K209" s="144">
        <f>IF(I209&lt;H209,"Saklar Lampu",0)</f>
        <v>0</v>
      </c>
      <c r="L209" s="30"/>
      <c r="M209" s="149"/>
      <c r="N209" s="186" t="s">
        <v>143</v>
      </c>
      <c r="O209" s="174"/>
      <c r="P209" s="113"/>
    </row>
    <row r="210" spans="2:16" ht="30" x14ac:dyDescent="0.25">
      <c r="B210" s="50"/>
      <c r="C210" s="201"/>
      <c r="D210" s="232"/>
      <c r="E210" s="129"/>
      <c r="F210" s="101" t="s">
        <v>77</v>
      </c>
      <c r="G210" s="144" t="s">
        <v>80</v>
      </c>
      <c r="H210" s="152">
        <v>1</v>
      </c>
      <c r="I210" s="220">
        <v>0.5</v>
      </c>
      <c r="J210" s="28" t="str">
        <f>IF(I210&lt;=H210,"Tempat tidur",0)</f>
        <v>Tempat tidur</v>
      </c>
      <c r="K210" s="144">
        <f>IF(I210&gt;H210,"Batal",0)</f>
        <v>0</v>
      </c>
      <c r="L210" s="28"/>
      <c r="M210" s="144"/>
      <c r="N210" s="186" t="s">
        <v>190</v>
      </c>
      <c r="O210" s="174"/>
      <c r="P210" s="113"/>
    </row>
    <row r="211" spans="2:16" ht="30" x14ac:dyDescent="0.25">
      <c r="B211" s="50"/>
      <c r="C211" s="201"/>
      <c r="D211" s="232"/>
      <c r="E211" s="129"/>
      <c r="F211" s="101" t="s">
        <v>90</v>
      </c>
      <c r="G211" s="144" t="s">
        <v>91</v>
      </c>
      <c r="H211" s="157">
        <v>24</v>
      </c>
      <c r="I211" s="220">
        <v>27</v>
      </c>
      <c r="J211" s="28">
        <f>IF(I211&lt;=H211,"Tempat tidur",0)</f>
        <v>0</v>
      </c>
      <c r="K211" s="144" t="str">
        <f>IF(I211&gt;H211,"AC",0)</f>
        <v>AC</v>
      </c>
      <c r="L211" s="30"/>
      <c r="M211" s="149"/>
      <c r="N211" s="186" t="s">
        <v>191</v>
      </c>
      <c r="O211" s="174"/>
      <c r="P211" s="113"/>
    </row>
    <row r="212" spans="2:16" ht="30" x14ac:dyDescent="0.25">
      <c r="B212" s="50"/>
      <c r="C212" s="201"/>
      <c r="D212" s="232"/>
      <c r="E212" s="129"/>
      <c r="F212" s="101" t="s">
        <v>39</v>
      </c>
      <c r="G212" s="144" t="s">
        <v>92</v>
      </c>
      <c r="H212" s="153" t="s">
        <v>86</v>
      </c>
      <c r="I212" s="220" t="s">
        <v>86</v>
      </c>
      <c r="J212" s="28" t="str">
        <f>IF(I212=H212,"Tempat tidur",0)</f>
        <v>Tempat tidur</v>
      </c>
      <c r="K212" s="144">
        <f>IF(I212=H212,0,"Batal")</f>
        <v>0</v>
      </c>
      <c r="L212" s="28"/>
      <c r="M212" s="144"/>
      <c r="N212" s="186" t="s">
        <v>192</v>
      </c>
      <c r="O212" s="174"/>
      <c r="P212" s="113"/>
    </row>
    <row r="213" spans="2:16" ht="45.75" thickBot="1" x14ac:dyDescent="0.3">
      <c r="B213" s="51"/>
      <c r="C213" s="206"/>
      <c r="D213" s="237"/>
      <c r="E213" s="137"/>
      <c r="F213" s="102" t="s">
        <v>29</v>
      </c>
      <c r="G213" s="147" t="s">
        <v>68</v>
      </c>
      <c r="H213" s="24" t="s">
        <v>64</v>
      </c>
      <c r="I213" s="223" t="s">
        <v>64</v>
      </c>
      <c r="J213" s="24" t="str">
        <f>IF(I213=H213,"AC",0)</f>
        <v>AC</v>
      </c>
      <c r="K213" s="147">
        <f>IF(I213=H213,0,"Batal")</f>
        <v>0</v>
      </c>
      <c r="L213" s="44" t="s">
        <v>13</v>
      </c>
      <c r="M213" s="150" t="s">
        <v>234</v>
      </c>
      <c r="N213" s="192" t="s">
        <v>193</v>
      </c>
      <c r="O213" s="182"/>
      <c r="P213" s="116"/>
    </row>
    <row r="214" spans="2:16" ht="30" x14ac:dyDescent="0.25">
      <c r="B214" s="85" t="s">
        <v>271</v>
      </c>
      <c r="C214" s="200" t="s">
        <v>272</v>
      </c>
      <c r="D214" s="231" t="s">
        <v>72</v>
      </c>
      <c r="E214" s="128" t="s">
        <v>326</v>
      </c>
      <c r="F214" s="139" t="s">
        <v>23</v>
      </c>
      <c r="G214" s="143" t="s">
        <v>30</v>
      </c>
      <c r="H214" s="151">
        <v>150</v>
      </c>
      <c r="I214" s="219">
        <v>100</v>
      </c>
      <c r="J214" s="27">
        <f>IF(I214&gt;=H214,"Pintu",0)</f>
        <v>0</v>
      </c>
      <c r="K214" s="143" t="str">
        <f t="shared" ref="K214" si="9">IF(I214&lt;H214,"Saklar Lampu",0)</f>
        <v>Saklar Lampu</v>
      </c>
      <c r="L214" s="27"/>
      <c r="M214" s="143"/>
      <c r="N214" s="185" t="s">
        <v>115</v>
      </c>
      <c r="O214" s="173"/>
      <c r="P214" s="112"/>
    </row>
    <row r="215" spans="2:16" ht="26.25" thickBot="1" x14ac:dyDescent="0.3">
      <c r="B215" s="86"/>
      <c r="C215" s="202"/>
      <c r="D215" s="233"/>
      <c r="E215" s="130"/>
      <c r="F215" s="140" t="s">
        <v>39</v>
      </c>
      <c r="G215" s="145" t="s">
        <v>13</v>
      </c>
      <c r="H215" s="155" t="s">
        <v>14</v>
      </c>
      <c r="I215" s="221" t="s">
        <v>14</v>
      </c>
      <c r="J215" s="26" t="str">
        <f>IF(I215=H215,"RBK01",0)</f>
        <v>RBK01</v>
      </c>
      <c r="K215" s="145">
        <f>IF(I215=H215,0,"Batal")</f>
        <v>0</v>
      </c>
      <c r="L215" s="26" t="s">
        <v>13</v>
      </c>
      <c r="M215" s="145" t="s">
        <v>232</v>
      </c>
      <c r="N215" s="188" t="s">
        <v>328</v>
      </c>
      <c r="O215" s="175"/>
      <c r="P215" s="114"/>
    </row>
    <row r="216" spans="2:16" ht="30" x14ac:dyDescent="0.25">
      <c r="B216" s="91" t="s">
        <v>250</v>
      </c>
      <c r="C216" s="207" t="s">
        <v>402</v>
      </c>
      <c r="D216" s="238" t="s">
        <v>242</v>
      </c>
      <c r="E216" s="49" t="s">
        <v>240</v>
      </c>
      <c r="F216" s="100" t="s">
        <v>23</v>
      </c>
      <c r="G216" s="148" t="s">
        <v>30</v>
      </c>
      <c r="H216" s="160">
        <v>60</v>
      </c>
      <c r="I216" s="224">
        <v>40</v>
      </c>
      <c r="J216" s="25" t="str">
        <f>IF(I216&lt;H216,"Saklar lampu",0)</f>
        <v>Saklar lampu</v>
      </c>
      <c r="K216" s="148">
        <f>IF(I216&gt;H216,"Batal",0)</f>
        <v>0</v>
      </c>
      <c r="L216" s="25"/>
      <c r="M216" s="166"/>
      <c r="N216" s="193" t="s">
        <v>241</v>
      </c>
      <c r="O216" s="183"/>
      <c r="P216" s="117"/>
    </row>
    <row r="217" spans="2:16" ht="30" x14ac:dyDescent="0.25">
      <c r="B217" s="91"/>
      <c r="C217" s="207"/>
      <c r="D217" s="238"/>
      <c r="E217" s="47"/>
      <c r="F217" s="101" t="s">
        <v>77</v>
      </c>
      <c r="G217" s="144" t="s">
        <v>80</v>
      </c>
      <c r="H217" s="152">
        <v>2</v>
      </c>
      <c r="I217" s="220">
        <v>1</v>
      </c>
      <c r="J217" s="28" t="str">
        <f>IF(I217&lt;=H217,"Saklar lampu",0)</f>
        <v>Saklar lampu</v>
      </c>
      <c r="K217" s="144">
        <f>IF(I217&gt;H217,"Batal",0)</f>
        <v>0</v>
      </c>
      <c r="L217" s="28"/>
      <c r="M217" s="149"/>
      <c r="N217" s="186" t="s">
        <v>244</v>
      </c>
      <c r="O217" s="174"/>
      <c r="P217" s="113"/>
    </row>
    <row r="218" spans="2:16" ht="26.25" thickBot="1" x14ac:dyDescent="0.3">
      <c r="B218" s="92"/>
      <c r="C218" s="208"/>
      <c r="D218" s="239"/>
      <c r="E218" s="48"/>
      <c r="F218" s="140" t="s">
        <v>39</v>
      </c>
      <c r="G218" s="145" t="s">
        <v>30</v>
      </c>
      <c r="H218" s="155" t="s">
        <v>28</v>
      </c>
      <c r="I218" s="221" t="s">
        <v>64</v>
      </c>
      <c r="J218" s="26">
        <f>IF(I218=H218,"Saklar lampu",0)</f>
        <v>0</v>
      </c>
      <c r="K218" s="145" t="str">
        <f>IF(I218=H218,0,"Batal")</f>
        <v>Batal</v>
      </c>
      <c r="L218" s="26" t="s">
        <v>52</v>
      </c>
      <c r="M218" s="146" t="s">
        <v>312</v>
      </c>
      <c r="N218" s="188" t="s">
        <v>243</v>
      </c>
      <c r="O218" s="175"/>
      <c r="P218" s="114"/>
    </row>
    <row r="219" spans="2:16" ht="30" x14ac:dyDescent="0.25">
      <c r="B219" s="209" t="s">
        <v>403</v>
      </c>
      <c r="C219" s="200" t="s">
        <v>273</v>
      </c>
      <c r="D219" s="231" t="s">
        <v>73</v>
      </c>
      <c r="E219" s="128" t="s">
        <v>48</v>
      </c>
      <c r="F219" s="139" t="s">
        <v>23</v>
      </c>
      <c r="G219" s="143" t="s">
        <v>30</v>
      </c>
      <c r="H219" s="151">
        <v>150</v>
      </c>
      <c r="I219" s="219">
        <v>100</v>
      </c>
      <c r="J219" s="27">
        <f>IF(I219&gt;=H219,"Pintu",0)</f>
        <v>0</v>
      </c>
      <c r="K219" s="143" t="str">
        <f t="shared" ref="K219" si="10">IF(I219&lt;H219,"Saklar Lampu",0)</f>
        <v>Saklar Lampu</v>
      </c>
      <c r="L219" s="27"/>
      <c r="M219" s="143"/>
      <c r="N219" s="185" t="s">
        <v>115</v>
      </c>
      <c r="O219" s="173"/>
      <c r="P219" s="112"/>
    </row>
    <row r="220" spans="2:16" ht="25.5" x14ac:dyDescent="0.25">
      <c r="B220" s="210"/>
      <c r="C220" s="201"/>
      <c r="D220" s="232"/>
      <c r="E220" s="129"/>
      <c r="F220" s="101" t="s">
        <v>39</v>
      </c>
      <c r="G220" s="144" t="s">
        <v>13</v>
      </c>
      <c r="H220" s="153" t="s">
        <v>14</v>
      </c>
      <c r="I220" s="220" t="s">
        <v>14</v>
      </c>
      <c r="J220" s="28" t="str">
        <f>IF(I220=H220,"RGD01",0)</f>
        <v>RGD01</v>
      </c>
      <c r="K220" s="144">
        <f>IF(I220=H220,0,"Batal")</f>
        <v>0</v>
      </c>
      <c r="L220" s="28"/>
      <c r="M220" s="144"/>
      <c r="N220" s="186" t="s">
        <v>132</v>
      </c>
      <c r="O220" s="174"/>
      <c r="P220" s="113"/>
    </row>
    <row r="221" spans="2:16" ht="30" x14ac:dyDescent="0.25">
      <c r="B221" s="210"/>
      <c r="C221" s="201"/>
      <c r="D221" s="232"/>
      <c r="E221" s="129"/>
      <c r="F221" s="101" t="s">
        <v>77</v>
      </c>
      <c r="G221" s="144" t="s">
        <v>80</v>
      </c>
      <c r="H221" s="152">
        <v>1</v>
      </c>
      <c r="I221" s="220">
        <v>1</v>
      </c>
      <c r="J221" s="28" t="str">
        <f>IF(I221&lt;=H221,"Meja setrika",0)</f>
        <v>Meja setrika</v>
      </c>
      <c r="K221" s="144">
        <f>IF(I221&gt;H221,"Batal",0)</f>
        <v>0</v>
      </c>
      <c r="L221" s="28"/>
      <c r="M221" s="144"/>
      <c r="N221" s="186" t="s">
        <v>182</v>
      </c>
      <c r="O221" s="174"/>
      <c r="P221" s="113"/>
    </row>
    <row r="222" spans="2:16" ht="30" x14ac:dyDescent="0.25">
      <c r="B222" s="210"/>
      <c r="C222" s="201"/>
      <c r="D222" s="232"/>
      <c r="E222" s="129"/>
      <c r="F222" s="101" t="s">
        <v>39</v>
      </c>
      <c r="G222" s="144" t="s">
        <v>74</v>
      </c>
      <c r="H222" s="152" t="s">
        <v>86</v>
      </c>
      <c r="I222" s="220" t="s">
        <v>86</v>
      </c>
      <c r="J222" s="28" t="str">
        <f>IF(I222=H222,"Meja setrika",0)</f>
        <v>Meja setrika</v>
      </c>
      <c r="K222" s="144">
        <f>IF(I222=H222,0,"Batal")</f>
        <v>0</v>
      </c>
      <c r="L222" s="28"/>
      <c r="M222" s="144"/>
      <c r="N222" s="186" t="s">
        <v>183</v>
      </c>
      <c r="O222" s="174"/>
      <c r="P222" s="113"/>
    </row>
    <row r="223" spans="2:16" ht="30.75" thickBot="1" x14ac:dyDescent="0.3">
      <c r="B223" s="211"/>
      <c r="C223" s="202"/>
      <c r="D223" s="233"/>
      <c r="E223" s="130"/>
      <c r="F223" s="140" t="s">
        <v>29</v>
      </c>
      <c r="G223" s="145" t="s">
        <v>68</v>
      </c>
      <c r="H223" s="26" t="s">
        <v>64</v>
      </c>
      <c r="I223" s="221" t="s">
        <v>64</v>
      </c>
      <c r="J223" s="26" t="str">
        <f>IF(I223=H223,"Kursi",0)</f>
        <v>Kursi</v>
      </c>
      <c r="K223" s="145">
        <f>IF(I223=H223,0,"Batal")</f>
        <v>0</v>
      </c>
      <c r="L223" s="26" t="s">
        <v>13</v>
      </c>
      <c r="M223" s="145" t="s">
        <v>233</v>
      </c>
      <c r="N223" s="188" t="s">
        <v>184</v>
      </c>
      <c r="O223" s="175"/>
      <c r="P223" s="114"/>
    </row>
    <row r="224" spans="2:16" ht="30" customHeight="1" x14ac:dyDescent="0.25">
      <c r="B224" s="209" t="s">
        <v>405</v>
      </c>
      <c r="C224" s="200" t="s">
        <v>276</v>
      </c>
      <c r="D224" s="231" t="s">
        <v>404</v>
      </c>
      <c r="E224" s="128" t="s">
        <v>171</v>
      </c>
      <c r="F224" s="139" t="s">
        <v>23</v>
      </c>
      <c r="G224" s="143" t="s">
        <v>30</v>
      </c>
      <c r="H224" s="151">
        <v>150</v>
      </c>
      <c r="I224" s="219">
        <v>100</v>
      </c>
      <c r="J224" s="27">
        <f>IF(I224&gt;=H224,"RDP01",0)</f>
        <v>0</v>
      </c>
      <c r="K224" s="143" t="str">
        <f>IF(I224&lt;H224,"Saklar Lampu",0)</f>
        <v>Saklar Lampu</v>
      </c>
      <c r="L224" s="27"/>
      <c r="M224" s="143"/>
      <c r="N224" s="185" t="s">
        <v>130</v>
      </c>
      <c r="O224" s="173"/>
      <c r="P224" s="112"/>
    </row>
    <row r="225" spans="2:16" ht="30" x14ac:dyDescent="0.25">
      <c r="B225" s="210"/>
      <c r="C225" s="201"/>
      <c r="D225" s="232"/>
      <c r="E225" s="129"/>
      <c r="F225" s="101" t="s">
        <v>77</v>
      </c>
      <c r="G225" s="144" t="s">
        <v>80</v>
      </c>
      <c r="H225" s="152">
        <v>2</v>
      </c>
      <c r="I225" s="220">
        <v>2</v>
      </c>
      <c r="J225" s="28" t="str">
        <f>IF(I225&lt;=H225,"Bak cuci piring",0)</f>
        <v>Bak cuci piring</v>
      </c>
      <c r="K225" s="144">
        <f>IF(I225&gt;H225,"Batal",0)</f>
        <v>0</v>
      </c>
      <c r="L225" s="28"/>
      <c r="M225" s="144"/>
      <c r="N225" s="186" t="s">
        <v>167</v>
      </c>
      <c r="O225" s="174"/>
      <c r="P225" s="113"/>
    </row>
    <row r="226" spans="2:16" ht="51.75" x14ac:dyDescent="0.25">
      <c r="B226" s="210"/>
      <c r="C226" s="201"/>
      <c r="D226" s="232"/>
      <c r="E226" s="129"/>
      <c r="F226" s="101" t="s">
        <v>29</v>
      </c>
      <c r="G226" s="144" t="s">
        <v>82</v>
      </c>
      <c r="H226" s="28" t="s">
        <v>84</v>
      </c>
      <c r="I226" s="220" t="s">
        <v>65</v>
      </c>
      <c r="J226" s="28">
        <f>IF(I226=H226,"Kran air",0)</f>
        <v>0</v>
      </c>
      <c r="K226" s="144" t="str">
        <f>IF(I226=H226,0,"Pompa air 2")</f>
        <v>Pompa air 2</v>
      </c>
      <c r="L226" s="28" t="s">
        <v>66</v>
      </c>
      <c r="M226" s="144" t="s">
        <v>153</v>
      </c>
      <c r="N226" s="186" t="s">
        <v>169</v>
      </c>
      <c r="O226" s="174" t="s">
        <v>319</v>
      </c>
      <c r="P226" s="113"/>
    </row>
    <row r="227" spans="2:16" ht="30.75" thickBot="1" x14ac:dyDescent="0.3">
      <c r="B227" s="211"/>
      <c r="C227" s="202"/>
      <c r="D227" s="233"/>
      <c r="E227" s="130"/>
      <c r="F227" s="140" t="s">
        <v>39</v>
      </c>
      <c r="G227" s="145" t="s">
        <v>95</v>
      </c>
      <c r="H227" s="155" t="s">
        <v>64</v>
      </c>
      <c r="I227" s="221" t="s">
        <v>28</v>
      </c>
      <c r="J227" s="26" t="str">
        <f>IF(I227=H227,0,"Saklar pompa")</f>
        <v>Saklar pompa</v>
      </c>
      <c r="K227" s="145">
        <f>IF(I227=H227,"Batal",0)</f>
        <v>0</v>
      </c>
      <c r="L227" s="26" t="s">
        <v>154</v>
      </c>
      <c r="M227" s="145" t="s">
        <v>155</v>
      </c>
      <c r="N227" s="188" t="s">
        <v>170</v>
      </c>
      <c r="O227" s="175" t="s">
        <v>172</v>
      </c>
      <c r="P227" s="114"/>
    </row>
    <row r="228" spans="2:16" ht="30" x14ac:dyDescent="0.25">
      <c r="B228" s="84" t="s">
        <v>270</v>
      </c>
      <c r="C228" s="200" t="s">
        <v>406</v>
      </c>
      <c r="D228" s="231" t="s">
        <v>75</v>
      </c>
      <c r="E228" s="128" t="s">
        <v>33</v>
      </c>
      <c r="F228" s="139" t="s">
        <v>23</v>
      </c>
      <c r="G228" s="143" t="s">
        <v>30</v>
      </c>
      <c r="H228" s="151">
        <v>150</v>
      </c>
      <c r="I228" s="219">
        <v>100</v>
      </c>
      <c r="J228" s="27">
        <f>IF(I228&gt;=H228,"RKG01",0)</f>
        <v>0</v>
      </c>
      <c r="K228" s="143" t="str">
        <f>IF(I228&lt;H228,"Saklar Lampu",0)</f>
        <v>Saklar Lampu</v>
      </c>
      <c r="L228" s="29"/>
      <c r="M228" s="165"/>
      <c r="N228" s="185" t="s">
        <v>99</v>
      </c>
      <c r="O228" s="173"/>
      <c r="P228" s="112"/>
    </row>
    <row r="229" spans="2:16" ht="30" x14ac:dyDescent="0.25">
      <c r="B229" s="50"/>
      <c r="C229" s="201"/>
      <c r="D229" s="232"/>
      <c r="E229" s="129"/>
      <c r="F229" s="101" t="s">
        <v>77</v>
      </c>
      <c r="G229" s="144" t="s">
        <v>80</v>
      </c>
      <c r="H229" s="152">
        <v>0.6</v>
      </c>
      <c r="I229" s="220">
        <v>1.2</v>
      </c>
      <c r="J229" s="28">
        <f>IF(I229&lt;H229,"Sofa",0)</f>
        <v>0</v>
      </c>
      <c r="K229" s="144" t="str">
        <f>IF(I229&gt;=H229,"RTM01",0)</f>
        <v>RTM01</v>
      </c>
      <c r="L229" s="28"/>
      <c r="M229" s="144"/>
      <c r="N229" s="186" t="s">
        <v>202</v>
      </c>
      <c r="O229" s="174"/>
      <c r="P229" s="113"/>
    </row>
    <row r="230" spans="2:16" ht="25.5" x14ac:dyDescent="0.25">
      <c r="B230" s="50"/>
      <c r="C230" s="201"/>
      <c r="D230" s="232"/>
      <c r="E230" s="129"/>
      <c r="F230" s="101" t="s">
        <v>39</v>
      </c>
      <c r="G230" s="144" t="s">
        <v>34</v>
      </c>
      <c r="H230" s="153" t="s">
        <v>16</v>
      </c>
      <c r="I230" s="220" t="s">
        <v>17</v>
      </c>
      <c r="J230" s="28">
        <f>IF(I230=H230,"Sofa",0)</f>
        <v>0</v>
      </c>
      <c r="K230" s="144" t="str">
        <f>IF(I230=H230,0,"RTM01")</f>
        <v>RTM01</v>
      </c>
      <c r="L230" s="30"/>
      <c r="M230" s="149"/>
      <c r="N230" s="186" t="s">
        <v>201</v>
      </c>
      <c r="O230" s="174"/>
      <c r="P230" s="113"/>
    </row>
    <row r="231" spans="2:16" ht="30" x14ac:dyDescent="0.25">
      <c r="B231" s="50"/>
      <c r="C231" s="201"/>
      <c r="D231" s="232"/>
      <c r="E231" s="129"/>
      <c r="F231" s="101" t="s">
        <v>90</v>
      </c>
      <c r="G231" s="144" t="s">
        <v>91</v>
      </c>
      <c r="H231" s="157">
        <v>25</v>
      </c>
      <c r="I231" s="220">
        <v>25</v>
      </c>
      <c r="J231" s="28" t="str">
        <f>IF(I231&lt;=H231,"Sofa",0)</f>
        <v>Sofa</v>
      </c>
      <c r="K231" s="144">
        <f>IF(I231&gt;H231,"Kipas angin",0)</f>
        <v>0</v>
      </c>
      <c r="L231" s="30"/>
      <c r="M231" s="149"/>
      <c r="N231" s="186" t="s">
        <v>203</v>
      </c>
      <c r="O231" s="174"/>
      <c r="P231" s="113"/>
    </row>
    <row r="232" spans="2:16" ht="30" x14ac:dyDescent="0.25">
      <c r="B232" s="50"/>
      <c r="C232" s="201"/>
      <c r="D232" s="232"/>
      <c r="E232" s="129"/>
      <c r="F232" s="101" t="s">
        <v>39</v>
      </c>
      <c r="G232" s="144" t="s">
        <v>89</v>
      </c>
      <c r="H232" s="153" t="s">
        <v>86</v>
      </c>
      <c r="I232" s="220" t="s">
        <v>86</v>
      </c>
      <c r="J232" s="28" t="str">
        <f>IF(I232=H232,"Kipas angin",0)</f>
        <v>Kipas angin</v>
      </c>
      <c r="K232" s="144">
        <f>IF(I232=H232,0,"RTM01")</f>
        <v>0</v>
      </c>
      <c r="L232" s="28"/>
      <c r="M232" s="144"/>
      <c r="N232" s="186" t="s">
        <v>205</v>
      </c>
      <c r="O232" s="174"/>
      <c r="P232" s="113"/>
    </row>
    <row r="233" spans="2:16" ht="30" x14ac:dyDescent="0.25">
      <c r="B233" s="50"/>
      <c r="C233" s="201"/>
      <c r="D233" s="232"/>
      <c r="E233" s="129"/>
      <c r="F233" s="101" t="s">
        <v>29</v>
      </c>
      <c r="G233" s="144" t="s">
        <v>68</v>
      </c>
      <c r="H233" s="28" t="s">
        <v>64</v>
      </c>
      <c r="I233" s="220" t="s">
        <v>64</v>
      </c>
      <c r="J233" s="28" t="str">
        <f>IF(I233=H233,"Sofa",0)</f>
        <v>Sofa</v>
      </c>
      <c r="K233" s="144">
        <f>IF(I233=H233,0,"Batal")</f>
        <v>0</v>
      </c>
      <c r="L233" s="30"/>
      <c r="M233" s="149" t="s">
        <v>212</v>
      </c>
      <c r="N233" s="186" t="s">
        <v>204</v>
      </c>
      <c r="O233" s="174"/>
      <c r="P233" s="113"/>
    </row>
    <row r="234" spans="2:16" ht="25.5" x14ac:dyDescent="0.25">
      <c r="B234" s="50"/>
      <c r="C234" s="201"/>
      <c r="D234" s="232"/>
      <c r="E234" s="129" t="s">
        <v>52</v>
      </c>
      <c r="F234" s="101" t="s">
        <v>23</v>
      </c>
      <c r="G234" s="144" t="s">
        <v>30</v>
      </c>
      <c r="H234" s="152">
        <v>150</v>
      </c>
      <c r="I234" s="220">
        <v>150</v>
      </c>
      <c r="J234" s="28" t="str">
        <f>IF(I234&gt;=H234,"RTM01",0)</f>
        <v>RTM01</v>
      </c>
      <c r="K234" s="144">
        <f>IF(I234&lt;H234,"Saklar Lampu",0)</f>
        <v>0</v>
      </c>
      <c r="L234" s="30"/>
      <c r="M234" s="149"/>
      <c r="N234" s="186" t="s">
        <v>135</v>
      </c>
      <c r="O234" s="174"/>
      <c r="P234" s="113"/>
    </row>
    <row r="235" spans="2:16" ht="30" x14ac:dyDescent="0.25">
      <c r="B235" s="50"/>
      <c r="C235" s="201"/>
      <c r="D235" s="232"/>
      <c r="E235" s="129"/>
      <c r="F235" s="101" t="s">
        <v>77</v>
      </c>
      <c r="G235" s="144" t="s">
        <v>80</v>
      </c>
      <c r="H235" s="152">
        <v>0.4</v>
      </c>
      <c r="I235" s="220">
        <v>0.2</v>
      </c>
      <c r="J235" s="28" t="str">
        <f>IF(I235&lt;H235,"Sofa",0)</f>
        <v>Sofa</v>
      </c>
      <c r="K235" s="144">
        <f>IF(I235&gt;=H235,"Batal",0)</f>
        <v>0</v>
      </c>
      <c r="L235" s="28"/>
      <c r="M235" s="144"/>
      <c r="N235" s="186" t="s">
        <v>206</v>
      </c>
      <c r="O235" s="174"/>
      <c r="P235" s="113"/>
    </row>
    <row r="236" spans="2:16" ht="25.5" x14ac:dyDescent="0.25">
      <c r="B236" s="50"/>
      <c r="C236" s="201"/>
      <c r="D236" s="232"/>
      <c r="E236" s="129"/>
      <c r="F236" s="101" t="s">
        <v>39</v>
      </c>
      <c r="G236" s="144" t="s">
        <v>34</v>
      </c>
      <c r="H236" s="153" t="s">
        <v>16</v>
      </c>
      <c r="I236" s="220" t="s">
        <v>16</v>
      </c>
      <c r="J236" s="28" t="str">
        <f>IF(I236=H236,"Sofa",0)</f>
        <v>Sofa</v>
      </c>
      <c r="K236" s="144">
        <f>IF(I236=H236,0,"Batal")</f>
        <v>0</v>
      </c>
      <c r="L236" s="28"/>
      <c r="M236" s="144"/>
      <c r="N236" s="186" t="s">
        <v>207</v>
      </c>
      <c r="O236" s="174"/>
      <c r="P236" s="113"/>
    </row>
    <row r="237" spans="2:16" ht="30.75" thickBot="1" x14ac:dyDescent="0.3">
      <c r="B237" s="87"/>
      <c r="C237" s="202"/>
      <c r="D237" s="233"/>
      <c r="E237" s="130"/>
      <c r="F237" s="140" t="s">
        <v>90</v>
      </c>
      <c r="G237" s="145" t="s">
        <v>91</v>
      </c>
      <c r="H237" s="159">
        <v>27</v>
      </c>
      <c r="I237" s="221">
        <v>28</v>
      </c>
      <c r="J237" s="26">
        <f>IF(I237&lt;=H237,"Sofa",0)</f>
        <v>0</v>
      </c>
      <c r="K237" s="145" t="str">
        <f>IF(I237&gt;H237,"Batal",0)</f>
        <v>Batal</v>
      </c>
      <c r="L237" s="32"/>
      <c r="M237" s="146" t="s">
        <v>209</v>
      </c>
      <c r="N237" s="188" t="s">
        <v>208</v>
      </c>
      <c r="O237" s="175"/>
      <c r="P237" s="114"/>
    </row>
    <row r="238" spans="2:16" ht="30" x14ac:dyDescent="0.25">
      <c r="B238" s="84" t="s">
        <v>270</v>
      </c>
      <c r="C238" s="200" t="s">
        <v>407</v>
      </c>
      <c r="D238" s="231" t="s">
        <v>76</v>
      </c>
      <c r="E238" s="128" t="s">
        <v>33</v>
      </c>
      <c r="F238" s="139" t="s">
        <v>23</v>
      </c>
      <c r="G238" s="143" t="s">
        <v>30</v>
      </c>
      <c r="H238" s="151">
        <v>150</v>
      </c>
      <c r="I238" s="219">
        <v>100</v>
      </c>
      <c r="J238" s="27">
        <f>IF(I238&gt;=H238,"RKG01",0)</f>
        <v>0</v>
      </c>
      <c r="K238" s="143" t="str">
        <f>IF(I238&lt;H238,"Saklar Lampu",0)</f>
        <v>Saklar Lampu</v>
      </c>
      <c r="L238" s="29"/>
      <c r="M238" s="165"/>
      <c r="N238" s="185" t="s">
        <v>99</v>
      </c>
      <c r="O238" s="173"/>
      <c r="P238" s="112"/>
    </row>
    <row r="239" spans="2:16" ht="30" x14ac:dyDescent="0.25">
      <c r="B239" s="50"/>
      <c r="C239" s="201"/>
      <c r="D239" s="232"/>
      <c r="E239" s="129"/>
      <c r="F239" s="101" t="s">
        <v>77</v>
      </c>
      <c r="G239" s="144" t="s">
        <v>80</v>
      </c>
      <c r="H239" s="152">
        <v>1</v>
      </c>
      <c r="I239" s="220">
        <v>1.2</v>
      </c>
      <c r="J239" s="28">
        <f>IF(I239&lt;H239,"Sofa",0)</f>
        <v>0</v>
      </c>
      <c r="K239" s="144" t="str">
        <f>IF(I239&gt;=H239,"RTU01",0)</f>
        <v>RTU01</v>
      </c>
      <c r="L239" s="28"/>
      <c r="M239" s="144"/>
      <c r="N239" s="186" t="s">
        <v>211</v>
      </c>
      <c r="O239" s="174"/>
      <c r="P239" s="113"/>
    </row>
    <row r="240" spans="2:16" ht="25.5" x14ac:dyDescent="0.25">
      <c r="B240" s="50"/>
      <c r="C240" s="201"/>
      <c r="D240" s="232"/>
      <c r="E240" s="129"/>
      <c r="F240" s="101" t="s">
        <v>39</v>
      </c>
      <c r="G240" s="144" t="s">
        <v>34</v>
      </c>
      <c r="H240" s="153" t="s">
        <v>16</v>
      </c>
      <c r="I240" s="220" t="s">
        <v>17</v>
      </c>
      <c r="J240" s="28">
        <f>IF(I240=H240,"Sofa",0)</f>
        <v>0</v>
      </c>
      <c r="K240" s="144" t="str">
        <f>IF(I240=H240,0,"RTU01")</f>
        <v>RTU01</v>
      </c>
      <c r="L240" s="30"/>
      <c r="M240" s="149"/>
      <c r="N240" s="186" t="s">
        <v>210</v>
      </c>
      <c r="O240" s="174"/>
      <c r="P240" s="113"/>
    </row>
    <row r="241" spans="2:16" ht="30" x14ac:dyDescent="0.25">
      <c r="B241" s="50"/>
      <c r="C241" s="201"/>
      <c r="D241" s="232"/>
      <c r="E241" s="129"/>
      <c r="F241" s="101" t="s">
        <v>90</v>
      </c>
      <c r="G241" s="144" t="s">
        <v>91</v>
      </c>
      <c r="H241" s="157">
        <v>25</v>
      </c>
      <c r="I241" s="220">
        <v>25</v>
      </c>
      <c r="J241" s="28" t="str">
        <f>IF(I241&lt;=H241,"Sofa",0)</f>
        <v>Sofa</v>
      </c>
      <c r="K241" s="144">
        <f>IF(I241&gt;H241,"Kipas angin",0)</f>
        <v>0</v>
      </c>
      <c r="L241" s="30"/>
      <c r="M241" s="149"/>
      <c r="N241" s="186" t="s">
        <v>203</v>
      </c>
      <c r="O241" s="174"/>
      <c r="P241" s="113"/>
    </row>
    <row r="242" spans="2:16" ht="30" x14ac:dyDescent="0.25">
      <c r="B242" s="50"/>
      <c r="C242" s="201"/>
      <c r="D242" s="232"/>
      <c r="E242" s="129"/>
      <c r="F242" s="101" t="s">
        <v>39</v>
      </c>
      <c r="G242" s="144" t="s">
        <v>89</v>
      </c>
      <c r="H242" s="153" t="s">
        <v>86</v>
      </c>
      <c r="I242" s="220" t="s">
        <v>86</v>
      </c>
      <c r="J242" s="28" t="str">
        <f>IF(I242=H242,"Kipas angin",0)</f>
        <v>Kipas angin</v>
      </c>
      <c r="K242" s="144">
        <f>IF(I242=H242,0,"RTU01")</f>
        <v>0</v>
      </c>
      <c r="L242" s="28"/>
      <c r="M242" s="144"/>
      <c r="N242" s="186" t="s">
        <v>205</v>
      </c>
      <c r="O242" s="174"/>
      <c r="P242" s="113"/>
    </row>
    <row r="243" spans="2:16" ht="30" x14ac:dyDescent="0.25">
      <c r="B243" s="50"/>
      <c r="C243" s="201"/>
      <c r="D243" s="232"/>
      <c r="E243" s="129"/>
      <c r="F243" s="101" t="s">
        <v>29</v>
      </c>
      <c r="G243" s="144" t="s">
        <v>68</v>
      </c>
      <c r="H243" s="28" t="s">
        <v>64</v>
      </c>
      <c r="I243" s="220" t="s">
        <v>64</v>
      </c>
      <c r="J243" s="28" t="str">
        <f>IF(I243=H243,"Sofa",0)</f>
        <v>Sofa</v>
      </c>
      <c r="K243" s="144">
        <f>IF(I243=H243,0,"Batal")</f>
        <v>0</v>
      </c>
      <c r="L243" s="30"/>
      <c r="M243" s="149" t="s">
        <v>212</v>
      </c>
      <c r="N243" s="186" t="s">
        <v>204</v>
      </c>
      <c r="O243" s="174"/>
      <c r="P243" s="113"/>
    </row>
    <row r="244" spans="2:16" ht="25.5" x14ac:dyDescent="0.25">
      <c r="B244" s="50"/>
      <c r="C244" s="201"/>
      <c r="D244" s="232"/>
      <c r="E244" s="129" t="s">
        <v>41</v>
      </c>
      <c r="F244" s="101" t="s">
        <v>39</v>
      </c>
      <c r="G244" s="144" t="s">
        <v>13</v>
      </c>
      <c r="H244" s="153" t="s">
        <v>14</v>
      </c>
      <c r="I244" s="220" t="s">
        <v>45</v>
      </c>
      <c r="J244" s="28">
        <f>IF(I244=H244,"Pintu",0)</f>
        <v>0</v>
      </c>
      <c r="K244" s="144" t="str">
        <f>IF(I244=H244,0,"Batal")</f>
        <v>Batal</v>
      </c>
      <c r="L244" s="28"/>
      <c r="M244" s="144" t="s">
        <v>236</v>
      </c>
      <c r="N244" s="186" t="s">
        <v>181</v>
      </c>
      <c r="O244" s="174"/>
      <c r="P244" s="113"/>
    </row>
    <row r="245" spans="2:16" ht="30" x14ac:dyDescent="0.25">
      <c r="B245" s="50"/>
      <c r="C245" s="201"/>
      <c r="D245" s="232"/>
      <c r="E245" s="129"/>
      <c r="F245" s="101" t="s">
        <v>23</v>
      </c>
      <c r="G245" s="144" t="s">
        <v>30</v>
      </c>
      <c r="H245" s="152">
        <v>150</v>
      </c>
      <c r="I245" s="220">
        <v>100</v>
      </c>
      <c r="J245" s="28">
        <f>IF(I245&gt;=H245,"RTU01",0)</f>
        <v>0</v>
      </c>
      <c r="K245" s="144" t="str">
        <f>IF(I245&lt;H245,"Saklar Lampu",0)</f>
        <v>Saklar Lampu</v>
      </c>
      <c r="L245" s="30"/>
      <c r="M245" s="149"/>
      <c r="N245" s="186" t="s">
        <v>139</v>
      </c>
      <c r="O245" s="174"/>
      <c r="P245" s="113"/>
    </row>
    <row r="246" spans="2:16" ht="30" x14ac:dyDescent="0.25">
      <c r="B246" s="50"/>
      <c r="C246" s="201"/>
      <c r="D246" s="232"/>
      <c r="E246" s="129"/>
      <c r="F246" s="101" t="s">
        <v>77</v>
      </c>
      <c r="G246" s="144" t="s">
        <v>80</v>
      </c>
      <c r="H246" s="152">
        <v>0.4</v>
      </c>
      <c r="I246" s="220">
        <v>1</v>
      </c>
      <c r="J246" s="28">
        <f>IF(I246&lt;H246,"Tempat tidur",0)</f>
        <v>0</v>
      </c>
      <c r="K246" s="144" t="str">
        <f>IF(I246&gt;=H246,"Batal",0)</f>
        <v>Batal</v>
      </c>
      <c r="L246" s="30"/>
      <c r="M246" s="149"/>
      <c r="N246" s="186" t="s">
        <v>213</v>
      </c>
      <c r="O246" s="174"/>
      <c r="P246" s="113"/>
    </row>
    <row r="247" spans="2:16" ht="30" x14ac:dyDescent="0.25">
      <c r="B247" s="50"/>
      <c r="C247" s="201"/>
      <c r="D247" s="232"/>
      <c r="E247" s="129"/>
      <c r="F247" s="101" t="s">
        <v>39</v>
      </c>
      <c r="G247" s="144" t="s">
        <v>42</v>
      </c>
      <c r="H247" s="153" t="s">
        <v>16</v>
      </c>
      <c r="I247" s="220" t="s">
        <v>17</v>
      </c>
      <c r="J247" s="28">
        <f>IF(I247=H247,"Tempat tidur",0)</f>
        <v>0</v>
      </c>
      <c r="K247" s="144" t="str">
        <f>IF(I247=H247,0,"Batal")</f>
        <v>Batal</v>
      </c>
      <c r="L247" s="30"/>
      <c r="M247" s="149"/>
      <c r="N247" s="186" t="s">
        <v>114</v>
      </c>
      <c r="O247" s="174"/>
      <c r="P247" s="113"/>
    </row>
    <row r="248" spans="2:16" ht="30" x14ac:dyDescent="0.25">
      <c r="B248" s="50"/>
      <c r="C248" s="201"/>
      <c r="D248" s="232"/>
      <c r="E248" s="129"/>
      <c r="F248" s="101" t="s">
        <v>90</v>
      </c>
      <c r="G248" s="144" t="s">
        <v>91</v>
      </c>
      <c r="H248" s="157">
        <v>24</v>
      </c>
      <c r="I248" s="220">
        <v>25</v>
      </c>
      <c r="J248" s="28">
        <f>IF(I248&lt;=H248,"Tempat tidur",0)</f>
        <v>0</v>
      </c>
      <c r="K248" s="144" t="str">
        <f>IF(I248&gt;H248,"AC",0)</f>
        <v>AC</v>
      </c>
      <c r="L248" s="30"/>
      <c r="M248" s="149"/>
      <c r="N248" s="186" t="s">
        <v>214</v>
      </c>
      <c r="O248" s="174"/>
      <c r="P248" s="113"/>
    </row>
    <row r="249" spans="2:16" x14ac:dyDescent="0.25">
      <c r="B249" s="50"/>
      <c r="C249" s="201"/>
      <c r="D249" s="232"/>
      <c r="E249" s="129"/>
      <c r="F249" s="101" t="s">
        <v>39</v>
      </c>
      <c r="G249" s="144" t="s">
        <v>92</v>
      </c>
      <c r="H249" s="153" t="s">
        <v>86</v>
      </c>
      <c r="I249" s="220" t="s">
        <v>86</v>
      </c>
      <c r="J249" s="28" t="str">
        <f>IF(I249=H249,"AC",0)</f>
        <v>AC</v>
      </c>
      <c r="K249" s="144">
        <f>IF(I249=H249,0,"Batal")</f>
        <v>0</v>
      </c>
      <c r="L249" s="28"/>
      <c r="M249" s="144"/>
      <c r="N249" s="186" t="s">
        <v>215</v>
      </c>
      <c r="O249" s="174"/>
      <c r="P249" s="113"/>
    </row>
    <row r="250" spans="2:16" ht="45.75" thickBot="1" x14ac:dyDescent="0.3">
      <c r="B250" s="87"/>
      <c r="C250" s="202"/>
      <c r="D250" s="233"/>
      <c r="E250" s="130"/>
      <c r="F250" s="140" t="s">
        <v>29</v>
      </c>
      <c r="G250" s="145" t="s">
        <v>68</v>
      </c>
      <c r="H250" s="26" t="s">
        <v>64</v>
      </c>
      <c r="I250" s="221" t="s">
        <v>64</v>
      </c>
      <c r="J250" s="26" t="str">
        <f>IF(I250=H250,"Tempat tidur",0)</f>
        <v>Tempat tidur</v>
      </c>
      <c r="K250" s="145">
        <f>IF(I250=H250,0,"Batal")</f>
        <v>0</v>
      </c>
      <c r="L250" s="32"/>
      <c r="M250" s="146" t="s">
        <v>234</v>
      </c>
      <c r="N250" s="188" t="s">
        <v>216</v>
      </c>
      <c r="O250" s="175"/>
      <c r="P250" s="114"/>
    </row>
    <row r="251" spans="2:16" ht="30" x14ac:dyDescent="0.25">
      <c r="B251" s="84" t="s">
        <v>266</v>
      </c>
      <c r="C251" s="200" t="s">
        <v>409</v>
      </c>
      <c r="D251" s="231" t="s">
        <v>217</v>
      </c>
      <c r="E251" s="128" t="s">
        <v>54</v>
      </c>
      <c r="F251" s="139" t="s">
        <v>23</v>
      </c>
      <c r="G251" s="143" t="s">
        <v>30</v>
      </c>
      <c r="H251" s="151">
        <v>150</v>
      </c>
      <c r="I251" s="219">
        <v>100</v>
      </c>
      <c r="J251" s="27">
        <f>IF(I251&gt;=H251,"RGS01",0)</f>
        <v>0</v>
      </c>
      <c r="K251" s="143" t="str">
        <f>IF(I251&lt;H251,"Saklar Lampu",0)</f>
        <v>Saklar Lampu</v>
      </c>
      <c r="L251" s="27"/>
      <c r="M251" s="143"/>
      <c r="N251" s="185" t="s">
        <v>225</v>
      </c>
      <c r="O251" s="173" t="s">
        <v>220</v>
      </c>
      <c r="P251" s="112"/>
    </row>
    <row r="252" spans="2:16" ht="25.5" x14ac:dyDescent="0.25">
      <c r="B252" s="50"/>
      <c r="C252" s="201"/>
      <c r="D252" s="232"/>
      <c r="E252" s="129"/>
      <c r="F252" s="101" t="s">
        <v>39</v>
      </c>
      <c r="G252" s="144" t="s">
        <v>221</v>
      </c>
      <c r="H252" s="153" t="s">
        <v>24</v>
      </c>
      <c r="I252" s="220" t="s">
        <v>24</v>
      </c>
      <c r="J252" s="28" t="str">
        <f>IF(I252=H252,"RGS01",0)</f>
        <v>RGS01</v>
      </c>
      <c r="K252" s="144">
        <f>IF(I252=H252,0,"Batal")</f>
        <v>0</v>
      </c>
      <c r="L252" s="28"/>
      <c r="M252" s="144"/>
      <c r="N252" s="186" t="s">
        <v>224</v>
      </c>
      <c r="O252" s="174"/>
      <c r="P252" s="113"/>
    </row>
    <row r="253" spans="2:16" ht="30.75" thickBot="1" x14ac:dyDescent="0.3">
      <c r="B253" s="87"/>
      <c r="C253" s="202"/>
      <c r="D253" s="233"/>
      <c r="E253" s="130"/>
      <c r="F253" s="140" t="s">
        <v>29</v>
      </c>
      <c r="G253" s="146" t="s">
        <v>222</v>
      </c>
      <c r="H253" s="158" t="s">
        <v>24</v>
      </c>
      <c r="I253" s="222" t="s">
        <v>24</v>
      </c>
      <c r="J253" s="26" t="str">
        <f>IF(I253=H253,"Kendaraan",0)</f>
        <v>Kendaraan</v>
      </c>
      <c r="K253" s="145">
        <f>IF(I253=H253,0,"Batal")</f>
        <v>0</v>
      </c>
      <c r="L253" s="32" t="s">
        <v>227</v>
      </c>
      <c r="M253" s="146" t="s">
        <v>164</v>
      </c>
      <c r="N253" s="188" t="s">
        <v>223</v>
      </c>
      <c r="O253" s="175"/>
      <c r="P253" s="114"/>
    </row>
    <row r="254" spans="2:16" ht="30" x14ac:dyDescent="0.25">
      <c r="B254" s="84" t="s">
        <v>266</v>
      </c>
      <c r="C254" s="200" t="s">
        <v>408</v>
      </c>
      <c r="D254" s="231" t="s">
        <v>218</v>
      </c>
      <c r="E254" s="128" t="s">
        <v>54</v>
      </c>
      <c r="F254" s="139" t="s">
        <v>23</v>
      </c>
      <c r="G254" s="143" t="s">
        <v>30</v>
      </c>
      <c r="H254" s="151">
        <v>150</v>
      </c>
      <c r="I254" s="219">
        <v>100</v>
      </c>
      <c r="J254" s="27">
        <f>IF(I254&gt;=H254,"RGS01",0)</f>
        <v>0</v>
      </c>
      <c r="K254" s="143" t="str">
        <f>IF(I254&lt;H254,"Saklar Lampu",0)</f>
        <v>Saklar Lampu</v>
      </c>
      <c r="L254" s="27"/>
      <c r="M254" s="143"/>
      <c r="N254" s="185" t="s">
        <v>225</v>
      </c>
      <c r="O254" s="173" t="s">
        <v>220</v>
      </c>
      <c r="P254" s="112"/>
    </row>
    <row r="255" spans="2:16" ht="25.5" x14ac:dyDescent="0.25">
      <c r="B255" s="50"/>
      <c r="C255" s="201"/>
      <c r="D255" s="232"/>
      <c r="E255" s="129"/>
      <c r="F255" s="101" t="s">
        <v>39</v>
      </c>
      <c r="G255" s="144" t="s">
        <v>221</v>
      </c>
      <c r="H255" s="153" t="s">
        <v>24</v>
      </c>
      <c r="I255" s="220" t="s">
        <v>24</v>
      </c>
      <c r="J255" s="28" t="str">
        <f>IF(I255=H255,"RGS01",0)</f>
        <v>RGS01</v>
      </c>
      <c r="K255" s="144">
        <f>IF(I255=H255,0,"Batal")</f>
        <v>0</v>
      </c>
      <c r="L255" s="28"/>
      <c r="M255" s="144"/>
      <c r="N255" s="186" t="s">
        <v>224</v>
      </c>
      <c r="O255" s="174"/>
      <c r="P255" s="113"/>
    </row>
    <row r="256" spans="2:16" ht="30.75" thickBot="1" x14ac:dyDescent="0.3">
      <c r="B256" s="87"/>
      <c r="C256" s="202"/>
      <c r="D256" s="233"/>
      <c r="E256" s="130"/>
      <c r="F256" s="140" t="s">
        <v>29</v>
      </c>
      <c r="G256" s="146" t="s">
        <v>222</v>
      </c>
      <c r="H256" s="158" t="s">
        <v>24</v>
      </c>
      <c r="I256" s="222" t="s">
        <v>24</v>
      </c>
      <c r="J256" s="26" t="str">
        <f>IF(I256=H256,"Kendaraan",0)</f>
        <v>Kendaraan</v>
      </c>
      <c r="K256" s="145">
        <f>IF(I256=H256,0,"Batal")</f>
        <v>0</v>
      </c>
      <c r="L256" s="32" t="s">
        <v>227</v>
      </c>
      <c r="M256" s="146" t="s">
        <v>164</v>
      </c>
      <c r="N256" s="188" t="s">
        <v>223</v>
      </c>
      <c r="O256" s="175"/>
      <c r="P256" s="114"/>
    </row>
    <row r="257" spans="2:16" ht="30" x14ac:dyDescent="0.25">
      <c r="B257" s="84" t="s">
        <v>266</v>
      </c>
      <c r="C257" s="200" t="s">
        <v>267</v>
      </c>
      <c r="D257" s="231" t="s">
        <v>219</v>
      </c>
      <c r="E257" s="128" t="s">
        <v>54</v>
      </c>
      <c r="F257" s="139" t="s">
        <v>23</v>
      </c>
      <c r="G257" s="143" t="s">
        <v>30</v>
      </c>
      <c r="H257" s="151">
        <v>150</v>
      </c>
      <c r="I257" s="219">
        <v>100</v>
      </c>
      <c r="J257" s="27">
        <f>IF(I257&gt;=H257,"RGS01",0)</f>
        <v>0</v>
      </c>
      <c r="K257" s="143" t="str">
        <f>IF(I257&lt;H257,"Saklar Lampu",0)</f>
        <v>Saklar Lampu</v>
      </c>
      <c r="L257" s="27"/>
      <c r="M257" s="143"/>
      <c r="N257" s="185" t="s">
        <v>225</v>
      </c>
      <c r="O257" s="173" t="s">
        <v>220</v>
      </c>
      <c r="P257" s="112"/>
    </row>
    <row r="258" spans="2:16" ht="25.5" x14ac:dyDescent="0.25">
      <c r="B258" s="50"/>
      <c r="C258" s="201"/>
      <c r="D258" s="232"/>
      <c r="E258" s="129"/>
      <c r="F258" s="101" t="s">
        <v>39</v>
      </c>
      <c r="G258" s="144" t="s">
        <v>221</v>
      </c>
      <c r="H258" s="153" t="s">
        <v>24</v>
      </c>
      <c r="I258" s="220" t="s">
        <v>24</v>
      </c>
      <c r="J258" s="28" t="str">
        <f>IF(I258=H258,"RGS01",0)</f>
        <v>RGS01</v>
      </c>
      <c r="K258" s="144">
        <f>IF(I258=H258,0,"Batal")</f>
        <v>0</v>
      </c>
      <c r="L258" s="28"/>
      <c r="M258" s="144"/>
      <c r="N258" s="186" t="s">
        <v>224</v>
      </c>
      <c r="O258" s="174"/>
      <c r="P258" s="113"/>
    </row>
    <row r="259" spans="2:16" ht="30.75" thickBot="1" x14ac:dyDescent="0.3">
      <c r="B259" s="87"/>
      <c r="C259" s="202"/>
      <c r="D259" s="233"/>
      <c r="E259" s="130"/>
      <c r="F259" s="140" t="s">
        <v>29</v>
      </c>
      <c r="G259" s="146" t="s">
        <v>222</v>
      </c>
      <c r="H259" s="158" t="s">
        <v>24</v>
      </c>
      <c r="I259" s="222" t="s">
        <v>24</v>
      </c>
      <c r="J259" s="26" t="str">
        <f>IF(I259=H259,"Kendaraan",0)</f>
        <v>Kendaraan</v>
      </c>
      <c r="K259" s="145">
        <f>IF(I259=H259,0,"Batal")</f>
        <v>0</v>
      </c>
      <c r="L259" s="32" t="s">
        <v>227</v>
      </c>
      <c r="M259" s="146" t="s">
        <v>164</v>
      </c>
      <c r="N259" s="188" t="s">
        <v>223</v>
      </c>
      <c r="O259" s="175"/>
      <c r="P259" s="114"/>
    </row>
    <row r="260" spans="2:16" ht="30" customHeight="1" x14ac:dyDescent="0.25">
      <c r="B260" s="84" t="s">
        <v>266</v>
      </c>
      <c r="C260" s="200" t="s">
        <v>410</v>
      </c>
      <c r="D260" s="231" t="s">
        <v>350</v>
      </c>
      <c r="E260" s="128" t="s">
        <v>54</v>
      </c>
      <c r="F260" s="139" t="s">
        <v>23</v>
      </c>
      <c r="G260" s="143" t="s">
        <v>30</v>
      </c>
      <c r="H260" s="151">
        <v>150</v>
      </c>
      <c r="I260" s="219">
        <v>100</v>
      </c>
      <c r="J260" s="27">
        <f>IF(I260&gt;=H260,"RGS01",0)</f>
        <v>0</v>
      </c>
      <c r="K260" s="143" t="str">
        <f>IF(I260&lt;H260,"Saklar Lampu",0)</f>
        <v>Saklar Lampu</v>
      </c>
      <c r="L260" s="27"/>
      <c r="M260" s="143"/>
      <c r="N260" s="185" t="s">
        <v>248</v>
      </c>
      <c r="O260" s="173" t="s">
        <v>220</v>
      </c>
      <c r="P260" s="112"/>
    </row>
    <row r="261" spans="2:16" ht="25.5" x14ac:dyDescent="0.25">
      <c r="B261" s="50"/>
      <c r="C261" s="201"/>
      <c r="D261" s="232"/>
      <c r="E261" s="129"/>
      <c r="F261" s="101" t="s">
        <v>39</v>
      </c>
      <c r="G261" s="144" t="s">
        <v>221</v>
      </c>
      <c r="H261" s="153" t="s">
        <v>24</v>
      </c>
      <c r="I261" s="220" t="s">
        <v>24</v>
      </c>
      <c r="J261" s="28" t="str">
        <f>IF(I261=H261,"RGS01",0)</f>
        <v>RGS01</v>
      </c>
      <c r="K261" s="144">
        <f>IF(I261=H261,0,"Batal")</f>
        <v>0</v>
      </c>
      <c r="L261" s="28"/>
      <c r="M261" s="144"/>
      <c r="N261" s="186" t="s">
        <v>224</v>
      </c>
      <c r="O261" s="174"/>
      <c r="P261" s="113"/>
    </row>
    <row r="262" spans="2:16" ht="30.75" thickBot="1" x14ac:dyDescent="0.3">
      <c r="B262" s="87"/>
      <c r="C262" s="202"/>
      <c r="D262" s="233"/>
      <c r="E262" s="130"/>
      <c r="F262" s="140" t="s">
        <v>29</v>
      </c>
      <c r="G262" s="146" t="s">
        <v>222</v>
      </c>
      <c r="H262" s="158" t="s">
        <v>24</v>
      </c>
      <c r="I262" s="222" t="s">
        <v>24</v>
      </c>
      <c r="J262" s="26" t="str">
        <f>IF(I262=H262,"Kendaraan",0)</f>
        <v>Kendaraan</v>
      </c>
      <c r="K262" s="145">
        <f>IF(I262=H262,0,"Batal")</f>
        <v>0</v>
      </c>
      <c r="L262" s="32" t="s">
        <v>227</v>
      </c>
      <c r="M262" s="146" t="s">
        <v>164</v>
      </c>
      <c r="N262" s="188" t="s">
        <v>223</v>
      </c>
      <c r="O262" s="175"/>
      <c r="P262" s="114"/>
    </row>
    <row r="263" spans="2:16" ht="30" x14ac:dyDescent="0.25">
      <c r="B263" s="88" t="s">
        <v>250</v>
      </c>
      <c r="C263" s="88" t="s">
        <v>432</v>
      </c>
      <c r="D263" s="240" t="s">
        <v>433</v>
      </c>
      <c r="E263" s="88" t="s">
        <v>370</v>
      </c>
      <c r="F263" s="139" t="s">
        <v>23</v>
      </c>
      <c r="G263" s="143" t="s">
        <v>30</v>
      </c>
      <c r="H263" s="151">
        <v>150</v>
      </c>
      <c r="I263" s="219">
        <v>100</v>
      </c>
      <c r="J263" s="27" t="str">
        <f>IF(I263&gt;=H263,0,"Saklar lampu")</f>
        <v>Saklar lampu</v>
      </c>
      <c r="K263" s="143">
        <f>IF(I263&gt;=H263,"Batal",0)</f>
        <v>0</v>
      </c>
      <c r="L263" s="27"/>
      <c r="M263" s="165"/>
      <c r="N263" s="185" t="s">
        <v>247</v>
      </c>
      <c r="O263" s="194"/>
      <c r="P263" s="195"/>
    </row>
    <row r="264" spans="2:16" ht="30" x14ac:dyDescent="0.25">
      <c r="B264" s="83"/>
      <c r="C264" s="83"/>
      <c r="D264" s="241"/>
      <c r="E264" s="83"/>
      <c r="F264" s="101" t="s">
        <v>77</v>
      </c>
      <c r="G264" s="144" t="s">
        <v>80</v>
      </c>
      <c r="H264" s="152">
        <v>2</v>
      </c>
      <c r="I264" s="220">
        <v>1</v>
      </c>
      <c r="J264" s="28" t="str">
        <f>IF(I264&lt;=H264,"Kursi",0)</f>
        <v>Kursi</v>
      </c>
      <c r="K264" s="144">
        <f>IF(I264&gt;H264,"Batal",0)</f>
        <v>0</v>
      </c>
      <c r="L264" s="28"/>
      <c r="M264" s="149"/>
      <c r="N264" s="186" t="s">
        <v>435</v>
      </c>
      <c r="O264" s="194"/>
      <c r="P264" s="195"/>
    </row>
    <row r="265" spans="2:16" ht="26.25" thickBot="1" x14ac:dyDescent="0.3">
      <c r="B265" s="89"/>
      <c r="C265" s="89"/>
      <c r="D265" s="242"/>
      <c r="E265" s="89"/>
      <c r="F265" s="140" t="s">
        <v>39</v>
      </c>
      <c r="G265" s="145" t="s">
        <v>434</v>
      </c>
      <c r="H265" s="155" t="s">
        <v>64</v>
      </c>
      <c r="I265" s="221" t="s">
        <v>64</v>
      </c>
      <c r="J265" s="26" t="str">
        <f>IF(I265=H265,"Komputer",0)</f>
        <v>Komputer</v>
      </c>
      <c r="K265" s="145">
        <f>IF(I265=H265,0,"Batal")</f>
        <v>0</v>
      </c>
      <c r="L265" s="26" t="s">
        <v>370</v>
      </c>
      <c r="M265" s="146" t="s">
        <v>209</v>
      </c>
      <c r="N265" s="188" t="s">
        <v>436</v>
      </c>
      <c r="O265" s="194"/>
      <c r="P265" s="195"/>
    </row>
    <row r="266" spans="2:16" ht="30" x14ac:dyDescent="0.25">
      <c r="B266" s="88" t="s">
        <v>250</v>
      </c>
      <c r="C266" s="88" t="s">
        <v>274</v>
      </c>
      <c r="D266" s="240" t="s">
        <v>425</v>
      </c>
      <c r="E266" s="88" t="s">
        <v>370</v>
      </c>
      <c r="F266" s="139" t="s">
        <v>23</v>
      </c>
      <c r="G266" s="143" t="s">
        <v>30</v>
      </c>
      <c r="H266" s="151">
        <v>150</v>
      </c>
      <c r="I266" s="219">
        <v>100</v>
      </c>
      <c r="J266" s="27" t="str">
        <f>IF(I266&gt;=H266,0,"Saklar lampu")</f>
        <v>Saklar lampu</v>
      </c>
      <c r="K266" s="143">
        <f>IF(I266&gt;=H266,"Batal",0)</f>
        <v>0</v>
      </c>
      <c r="L266" s="27"/>
      <c r="M266" s="165"/>
      <c r="N266" s="185" t="s">
        <v>247</v>
      </c>
      <c r="O266" s="173"/>
      <c r="P266" s="112"/>
    </row>
    <row r="267" spans="2:16" ht="30" x14ac:dyDescent="0.25">
      <c r="B267" s="83"/>
      <c r="C267" s="83"/>
      <c r="D267" s="241"/>
      <c r="E267" s="83"/>
      <c r="F267" s="101" t="s">
        <v>77</v>
      </c>
      <c r="G267" s="144" t="s">
        <v>80</v>
      </c>
      <c r="H267" s="152">
        <v>2</v>
      </c>
      <c r="I267" s="220">
        <v>1</v>
      </c>
      <c r="J267" s="28" t="str">
        <f>IF(I267&lt;=H267,"Printer",0)</f>
        <v>Printer</v>
      </c>
      <c r="K267" s="144">
        <f>IF(I267&gt;H267,"Batal",0)</f>
        <v>0</v>
      </c>
      <c r="L267" s="28"/>
      <c r="M267" s="149"/>
      <c r="N267" s="186" t="s">
        <v>428</v>
      </c>
      <c r="O267" s="174"/>
      <c r="P267" s="113"/>
    </row>
    <row r="268" spans="2:16" ht="26.25" thickBot="1" x14ac:dyDescent="0.3">
      <c r="B268" s="89"/>
      <c r="C268" s="89"/>
      <c r="D268" s="242"/>
      <c r="E268" s="89"/>
      <c r="F268" s="140" t="s">
        <v>39</v>
      </c>
      <c r="G268" s="145" t="s">
        <v>429</v>
      </c>
      <c r="H268" s="155" t="s">
        <v>64</v>
      </c>
      <c r="I268" s="221" t="s">
        <v>64</v>
      </c>
      <c r="J268" s="26" t="str">
        <f>IF(I268=H268,"Printer",0)</f>
        <v>Printer</v>
      </c>
      <c r="K268" s="145">
        <f>IF(I268=H268,0,"Batal")</f>
        <v>0</v>
      </c>
      <c r="L268" s="26" t="s">
        <v>370</v>
      </c>
      <c r="M268" s="146" t="s">
        <v>209</v>
      </c>
      <c r="N268" s="188" t="s">
        <v>430</v>
      </c>
      <c r="O268" s="175"/>
      <c r="P268" s="114"/>
    </row>
    <row r="269" spans="2:16" ht="25.5" x14ac:dyDescent="0.25">
      <c r="B269" s="88" t="s">
        <v>250</v>
      </c>
      <c r="C269" s="96" t="s">
        <v>423</v>
      </c>
      <c r="D269" s="240" t="s">
        <v>424</v>
      </c>
      <c r="E269" s="88" t="s">
        <v>41</v>
      </c>
      <c r="F269" s="101" t="s">
        <v>39</v>
      </c>
      <c r="G269" s="144" t="s">
        <v>13</v>
      </c>
      <c r="H269" s="153" t="s">
        <v>14</v>
      </c>
      <c r="I269" s="220" t="s">
        <v>45</v>
      </c>
      <c r="J269" s="28">
        <f>IF(I269=H269,"Pintu",0)</f>
        <v>0</v>
      </c>
      <c r="K269" s="144" t="str">
        <f>IF(I269=H269,0,"Batal")</f>
        <v>Batal</v>
      </c>
      <c r="L269" s="28"/>
      <c r="M269" s="144" t="s">
        <v>236</v>
      </c>
      <c r="N269" s="186" t="s">
        <v>181</v>
      </c>
      <c r="O269" s="194"/>
      <c r="P269" s="195"/>
    </row>
    <row r="270" spans="2:16" ht="30" x14ac:dyDescent="0.25">
      <c r="B270" s="83"/>
      <c r="C270" s="97"/>
      <c r="D270" s="241"/>
      <c r="E270" s="83"/>
      <c r="F270" s="101" t="s">
        <v>23</v>
      </c>
      <c r="G270" s="144" t="s">
        <v>30</v>
      </c>
      <c r="H270" s="152">
        <v>150</v>
      </c>
      <c r="I270" s="220">
        <v>100</v>
      </c>
      <c r="J270" s="28">
        <f>IF(I270&gt;=H270,"RTU01",0)</f>
        <v>0</v>
      </c>
      <c r="K270" s="144" t="str">
        <f>IF(I270&lt;H270,"Saklar Lampu",0)</f>
        <v>Saklar Lampu</v>
      </c>
      <c r="L270" s="30"/>
      <c r="M270" s="149"/>
      <c r="N270" s="186" t="s">
        <v>139</v>
      </c>
      <c r="O270" s="194"/>
      <c r="P270" s="195"/>
    </row>
    <row r="271" spans="2:16" ht="30.75" thickBot="1" x14ac:dyDescent="0.3">
      <c r="B271" s="89"/>
      <c r="C271" s="99"/>
      <c r="D271" s="242"/>
      <c r="E271" s="89"/>
      <c r="F271" s="101" t="s">
        <v>77</v>
      </c>
      <c r="G271" s="144" t="s">
        <v>80</v>
      </c>
      <c r="H271" s="152">
        <v>0.4</v>
      </c>
      <c r="I271" s="220">
        <v>1</v>
      </c>
      <c r="J271" s="28">
        <f>IF(I271&lt;H271,"Tempat tidur",0)</f>
        <v>0</v>
      </c>
      <c r="K271" s="144" t="str">
        <f>IF(I271&gt;=H271,"Batal",0)</f>
        <v>Batal</v>
      </c>
      <c r="L271" s="30"/>
      <c r="M271" s="149"/>
      <c r="N271" s="186" t="s">
        <v>213</v>
      </c>
      <c r="O271" s="194"/>
      <c r="P271" s="195"/>
    </row>
    <row r="272" spans="2:16" ht="30" x14ac:dyDescent="0.25">
      <c r="B272" s="93" t="s">
        <v>420</v>
      </c>
      <c r="C272" s="96" t="s">
        <v>275</v>
      </c>
      <c r="D272" s="231" t="s">
        <v>352</v>
      </c>
      <c r="E272" s="46" t="s">
        <v>316</v>
      </c>
      <c r="F272" s="139" t="s">
        <v>23</v>
      </c>
      <c r="G272" s="143" t="s">
        <v>30</v>
      </c>
      <c r="H272" s="151">
        <v>150</v>
      </c>
      <c r="I272" s="219">
        <v>100</v>
      </c>
      <c r="J272" s="27" t="str">
        <f>IF(I272&gt;=H272,0,"Saklar lampu")</f>
        <v>Saklar lampu</v>
      </c>
      <c r="K272" s="143">
        <f>IF(I272&gt;=H272,"Batal",0)</f>
        <v>0</v>
      </c>
      <c r="L272" s="27"/>
      <c r="M272" s="165"/>
      <c r="N272" s="185" t="s">
        <v>247</v>
      </c>
      <c r="O272" s="173"/>
      <c r="P272" s="112"/>
    </row>
    <row r="273" spans="2:16" ht="30" x14ac:dyDescent="0.25">
      <c r="B273" s="94"/>
      <c r="C273" s="97"/>
      <c r="D273" s="232"/>
      <c r="E273" s="47"/>
      <c r="F273" s="101" t="s">
        <v>77</v>
      </c>
      <c r="G273" s="144" t="s">
        <v>80</v>
      </c>
      <c r="H273" s="152">
        <v>2</v>
      </c>
      <c r="I273" s="220">
        <v>2</v>
      </c>
      <c r="J273" s="28" t="str">
        <f>IF(I273&lt;=H273,"Rice cooker",0)</f>
        <v>Rice cooker</v>
      </c>
      <c r="K273" s="144">
        <f>IF(I273&gt;H273,"Batal",0)</f>
        <v>0</v>
      </c>
      <c r="L273" s="28"/>
      <c r="M273" s="149"/>
      <c r="N273" s="186" t="s">
        <v>244</v>
      </c>
      <c r="O273" s="174"/>
      <c r="P273" s="113"/>
    </row>
    <row r="274" spans="2:16" ht="30.75" thickBot="1" x14ac:dyDescent="0.3">
      <c r="B274" s="95"/>
      <c r="C274" s="99"/>
      <c r="D274" s="233"/>
      <c r="E274" s="48"/>
      <c r="F274" s="140" t="s">
        <v>39</v>
      </c>
      <c r="G274" s="145" t="s">
        <v>426</v>
      </c>
      <c r="H274" s="155" t="s">
        <v>64</v>
      </c>
      <c r="I274" s="221" t="s">
        <v>64</v>
      </c>
      <c r="J274" s="26" t="str">
        <f>IF(I274=H274,"Rice cooker",0)</f>
        <v>Rice cooker</v>
      </c>
      <c r="K274" s="145">
        <f>IF(I274=H274,0,"Batal")</f>
        <v>0</v>
      </c>
      <c r="L274" s="26" t="s">
        <v>33</v>
      </c>
      <c r="M274" s="146" t="s">
        <v>209</v>
      </c>
      <c r="N274" s="188" t="s">
        <v>431</v>
      </c>
      <c r="O274" s="175"/>
      <c r="P274" s="114"/>
    </row>
    <row r="275" spans="2:16" ht="30" x14ac:dyDescent="0.25">
      <c r="B275" s="88" t="s">
        <v>270</v>
      </c>
      <c r="C275" s="96" t="s">
        <v>421</v>
      </c>
      <c r="D275" s="243" t="s">
        <v>422</v>
      </c>
      <c r="E275" s="138" t="s">
        <v>33</v>
      </c>
      <c r="F275" s="100" t="s">
        <v>23</v>
      </c>
      <c r="G275" s="148" t="s">
        <v>30</v>
      </c>
      <c r="H275" s="160">
        <v>150</v>
      </c>
      <c r="I275" s="224">
        <v>100</v>
      </c>
      <c r="J275" s="25">
        <f>IF(I275&gt;=H275,"RKG01",0)</f>
        <v>0</v>
      </c>
      <c r="K275" s="148" t="str">
        <f>IF(I275&lt;H275,"Saklar Lampu",0)</f>
        <v>Saklar Lampu</v>
      </c>
      <c r="L275" s="31"/>
      <c r="M275" s="166"/>
      <c r="N275" s="193" t="s">
        <v>99</v>
      </c>
      <c r="O275" s="183"/>
      <c r="P275" s="115"/>
    </row>
    <row r="276" spans="2:16" ht="30" x14ac:dyDescent="0.25">
      <c r="B276" s="83"/>
      <c r="C276" s="97"/>
      <c r="D276" s="232"/>
      <c r="E276" s="129"/>
      <c r="F276" s="101" t="s">
        <v>77</v>
      </c>
      <c r="G276" s="144" t="s">
        <v>80</v>
      </c>
      <c r="H276" s="152">
        <v>1</v>
      </c>
      <c r="I276" s="220">
        <v>0.6</v>
      </c>
      <c r="J276" s="28" t="str">
        <f>IF(I276&lt;H276,"Sofa",0)</f>
        <v>Sofa</v>
      </c>
      <c r="K276" s="144">
        <f>IF(I276&gt;=H276,"RTU01",0)</f>
        <v>0</v>
      </c>
      <c r="L276" s="28"/>
      <c r="M276" s="144"/>
      <c r="N276" s="186" t="s">
        <v>211</v>
      </c>
      <c r="O276" s="174"/>
      <c r="P276" s="109"/>
    </row>
    <row r="277" spans="2:16" ht="25.5" x14ac:dyDescent="0.25">
      <c r="B277" s="83"/>
      <c r="C277" s="97"/>
      <c r="D277" s="232"/>
      <c r="E277" s="129"/>
      <c r="F277" s="101" t="s">
        <v>39</v>
      </c>
      <c r="G277" s="144" t="s">
        <v>34</v>
      </c>
      <c r="H277" s="153" t="s">
        <v>16</v>
      </c>
      <c r="I277" s="220" t="s">
        <v>16</v>
      </c>
      <c r="J277" s="28" t="str">
        <f>IF(I277=H277,"Sofa",0)</f>
        <v>Sofa</v>
      </c>
      <c r="K277" s="144">
        <f>IF(I277=H277,0,"RTU01")</f>
        <v>0</v>
      </c>
      <c r="L277" s="30"/>
      <c r="M277" s="149"/>
      <c r="N277" s="186" t="s">
        <v>210</v>
      </c>
      <c r="O277" s="174"/>
      <c r="P277" s="109"/>
    </row>
    <row r="278" spans="2:16" ht="30" x14ac:dyDescent="0.25">
      <c r="B278" s="83"/>
      <c r="C278" s="97"/>
      <c r="D278" s="232"/>
      <c r="E278" s="129"/>
      <c r="F278" s="101" t="s">
        <v>90</v>
      </c>
      <c r="G278" s="144" t="s">
        <v>91</v>
      </c>
      <c r="H278" s="157">
        <v>25</v>
      </c>
      <c r="I278" s="220">
        <v>25</v>
      </c>
      <c r="J278" s="28" t="str">
        <f>IF(I278&lt;=H278,"Sofa",0)</f>
        <v>Sofa</v>
      </c>
      <c r="K278" s="144">
        <f>IF(I278&gt;H278,"Kipas angin",0)</f>
        <v>0</v>
      </c>
      <c r="L278" s="30"/>
      <c r="M278" s="149"/>
      <c r="N278" s="186" t="s">
        <v>203</v>
      </c>
      <c r="O278" s="174"/>
      <c r="P278" s="109"/>
    </row>
    <row r="279" spans="2:16" ht="30" x14ac:dyDescent="0.25">
      <c r="B279" s="83"/>
      <c r="C279" s="97"/>
      <c r="D279" s="232"/>
      <c r="E279" s="129"/>
      <c r="F279" s="101" t="s">
        <v>39</v>
      </c>
      <c r="G279" s="144" t="s">
        <v>89</v>
      </c>
      <c r="H279" s="153" t="s">
        <v>86</v>
      </c>
      <c r="I279" s="220" t="s">
        <v>86</v>
      </c>
      <c r="J279" s="28" t="str">
        <f>IF(I279=H279,"Kipas angin",0)</f>
        <v>Kipas angin</v>
      </c>
      <c r="K279" s="144">
        <f>IF(I279=H279,0,"RTU01")</f>
        <v>0</v>
      </c>
      <c r="L279" s="28"/>
      <c r="M279" s="144"/>
      <c r="N279" s="186" t="s">
        <v>205</v>
      </c>
      <c r="O279" s="174"/>
      <c r="P279" s="109"/>
    </row>
    <row r="280" spans="2:16" ht="30" x14ac:dyDescent="0.25">
      <c r="B280" s="83"/>
      <c r="C280" s="97"/>
      <c r="D280" s="232"/>
      <c r="E280" s="129"/>
      <c r="F280" s="101" t="s">
        <v>29</v>
      </c>
      <c r="G280" s="144" t="s">
        <v>68</v>
      </c>
      <c r="H280" s="28" t="s">
        <v>64</v>
      </c>
      <c r="I280" s="220" t="s">
        <v>28</v>
      </c>
      <c r="J280" s="28">
        <f>IF(I280=H280,"Sofa",0)</f>
        <v>0</v>
      </c>
      <c r="K280" s="144" t="str">
        <f>IF(I280=H280,0,"Batal")</f>
        <v>Batal</v>
      </c>
      <c r="L280" s="30"/>
      <c r="M280" s="149" t="s">
        <v>212</v>
      </c>
      <c r="N280" s="186" t="s">
        <v>204</v>
      </c>
      <c r="O280" s="174"/>
      <c r="P280" s="109"/>
    </row>
    <row r="281" spans="2:16" ht="25.5" x14ac:dyDescent="0.25">
      <c r="B281" s="83"/>
      <c r="C281" s="97"/>
      <c r="D281" s="232"/>
      <c r="E281" s="129" t="s">
        <v>41</v>
      </c>
      <c r="F281" s="101" t="s">
        <v>39</v>
      </c>
      <c r="G281" s="144" t="s">
        <v>13</v>
      </c>
      <c r="H281" s="153" t="s">
        <v>14</v>
      </c>
      <c r="I281" s="220" t="s">
        <v>14</v>
      </c>
      <c r="J281" s="28" t="str">
        <f>IF(I281=H281,"Pintu",0)</f>
        <v>Pintu</v>
      </c>
      <c r="K281" s="144">
        <f>IF(I281=H281,0,"Batal")</f>
        <v>0</v>
      </c>
      <c r="L281" s="28"/>
      <c r="M281" s="144" t="s">
        <v>236</v>
      </c>
      <c r="N281" s="186" t="s">
        <v>181</v>
      </c>
      <c r="O281" s="174"/>
      <c r="P281" s="109"/>
    </row>
    <row r="282" spans="2:16" ht="30" x14ac:dyDescent="0.25">
      <c r="B282" s="83"/>
      <c r="C282" s="97"/>
      <c r="D282" s="232"/>
      <c r="E282" s="129"/>
      <c r="F282" s="101" t="s">
        <v>23</v>
      </c>
      <c r="G282" s="144" t="s">
        <v>30</v>
      </c>
      <c r="H282" s="152">
        <v>150</v>
      </c>
      <c r="I282" s="220">
        <v>100</v>
      </c>
      <c r="J282" s="28">
        <f>IF(I282&gt;=H282,"RTU01",0)</f>
        <v>0</v>
      </c>
      <c r="K282" s="144" t="str">
        <f>IF(I282&lt;H282,"Saklar Lampu",0)</f>
        <v>Saklar Lampu</v>
      </c>
      <c r="L282" s="30"/>
      <c r="M282" s="149"/>
      <c r="N282" s="186" t="s">
        <v>139</v>
      </c>
      <c r="O282" s="174"/>
      <c r="P282" s="109"/>
    </row>
    <row r="283" spans="2:16" ht="30" x14ac:dyDescent="0.25">
      <c r="B283" s="83"/>
      <c r="C283" s="97"/>
      <c r="D283" s="232"/>
      <c r="E283" s="129"/>
      <c r="F283" s="101" t="s">
        <v>77</v>
      </c>
      <c r="G283" s="144" t="s">
        <v>80</v>
      </c>
      <c r="H283" s="152">
        <v>1</v>
      </c>
      <c r="I283" s="220">
        <v>0.2</v>
      </c>
      <c r="J283" s="28" t="str">
        <f>IF(I283&lt;H283,"Tempat tidur",0)</f>
        <v>Tempat tidur</v>
      </c>
      <c r="K283" s="144">
        <f>IF(I283&gt;=H283,"Batal",0)</f>
        <v>0</v>
      </c>
      <c r="L283" s="30"/>
      <c r="M283" s="149"/>
      <c r="N283" s="186" t="s">
        <v>213</v>
      </c>
      <c r="O283" s="174"/>
      <c r="P283" s="109"/>
    </row>
    <row r="284" spans="2:16" ht="30" x14ac:dyDescent="0.25">
      <c r="B284" s="83"/>
      <c r="C284" s="97"/>
      <c r="D284" s="232"/>
      <c r="E284" s="129"/>
      <c r="F284" s="101" t="s">
        <v>39</v>
      </c>
      <c r="G284" s="144" t="s">
        <v>42</v>
      </c>
      <c r="H284" s="153" t="s">
        <v>16</v>
      </c>
      <c r="I284" s="220" t="s">
        <v>16</v>
      </c>
      <c r="J284" s="28" t="str">
        <f>IF(I284=H284,"Tempat tidur",0)</f>
        <v>Tempat tidur</v>
      </c>
      <c r="K284" s="144">
        <f>IF(I284=H284,0,"Batal")</f>
        <v>0</v>
      </c>
      <c r="L284" s="30"/>
      <c r="M284" s="149"/>
      <c r="N284" s="186" t="s">
        <v>114</v>
      </c>
      <c r="O284" s="174"/>
      <c r="P284" s="109"/>
    </row>
    <row r="285" spans="2:16" ht="30" x14ac:dyDescent="0.25">
      <c r="B285" s="83"/>
      <c r="C285" s="97"/>
      <c r="D285" s="232"/>
      <c r="E285" s="129"/>
      <c r="F285" s="101" t="s">
        <v>90</v>
      </c>
      <c r="G285" s="144" t="s">
        <v>91</v>
      </c>
      <c r="H285" s="157">
        <v>24</v>
      </c>
      <c r="I285" s="220">
        <v>25</v>
      </c>
      <c r="J285" s="28">
        <f>IF(I285&lt;=H285,"Tempat tidur",0)</f>
        <v>0</v>
      </c>
      <c r="K285" s="144" t="str">
        <f>IF(I285&gt;H285,"AC",0)</f>
        <v>AC</v>
      </c>
      <c r="L285" s="30"/>
      <c r="M285" s="149"/>
      <c r="N285" s="186" t="s">
        <v>214</v>
      </c>
      <c r="O285" s="174"/>
      <c r="P285" s="109"/>
    </row>
    <row r="286" spans="2:16" x14ac:dyDescent="0.25">
      <c r="B286" s="83"/>
      <c r="C286" s="97"/>
      <c r="D286" s="232"/>
      <c r="E286" s="129"/>
      <c r="F286" s="101" t="s">
        <v>39</v>
      </c>
      <c r="G286" s="144" t="s">
        <v>92</v>
      </c>
      <c r="H286" s="153" t="s">
        <v>86</v>
      </c>
      <c r="I286" s="220" t="s">
        <v>86</v>
      </c>
      <c r="J286" s="28" t="str">
        <f>IF(I286=H286,"AC",0)</f>
        <v>AC</v>
      </c>
      <c r="K286" s="144">
        <f>IF(I286=H286,0,"Batal")</f>
        <v>0</v>
      </c>
      <c r="L286" s="28"/>
      <c r="M286" s="144"/>
      <c r="N286" s="186" t="s">
        <v>215</v>
      </c>
      <c r="O286" s="174"/>
      <c r="P286" s="109"/>
    </row>
    <row r="287" spans="2:16" ht="45.75" thickBot="1" x14ac:dyDescent="0.3">
      <c r="B287" s="89"/>
      <c r="C287" s="99"/>
      <c r="D287" s="233"/>
      <c r="E287" s="130"/>
      <c r="F287" s="101" t="s">
        <v>29</v>
      </c>
      <c r="G287" s="144" t="s">
        <v>68</v>
      </c>
      <c r="H287" s="28" t="s">
        <v>64</v>
      </c>
      <c r="I287" s="220" t="s">
        <v>64</v>
      </c>
      <c r="J287" s="28" t="str">
        <f>IF(I287=H287,"Tempat tidur",0)</f>
        <v>Tempat tidur</v>
      </c>
      <c r="K287" s="144">
        <f>IF(I287=H287,0,"Batal")</f>
        <v>0</v>
      </c>
      <c r="L287" s="30"/>
      <c r="M287" s="149" t="s">
        <v>234</v>
      </c>
      <c r="N287" s="186" t="s">
        <v>216</v>
      </c>
      <c r="O287" s="174"/>
      <c r="P287" s="109"/>
    </row>
    <row r="288" spans="2:16" ht="30" x14ac:dyDescent="0.25">
      <c r="B288" s="84" t="s">
        <v>270</v>
      </c>
      <c r="C288" s="200" t="s">
        <v>411</v>
      </c>
      <c r="D288" s="231" t="s">
        <v>416</v>
      </c>
      <c r="E288" s="128" t="s">
        <v>52</v>
      </c>
      <c r="F288" s="139" t="s">
        <v>23</v>
      </c>
      <c r="G288" s="143" t="s">
        <v>30</v>
      </c>
      <c r="H288" s="151">
        <v>150</v>
      </c>
      <c r="I288" s="219">
        <v>100</v>
      </c>
      <c r="J288" s="27">
        <f>IF(I288&gt;=H288,"RKG01",0)</f>
        <v>0</v>
      </c>
      <c r="K288" s="143" t="str">
        <f>IF(I288&lt;H288,"Saklar Lampu",0)</f>
        <v>Saklar Lampu</v>
      </c>
      <c r="L288" s="29"/>
      <c r="M288" s="165"/>
      <c r="N288" s="185" t="s">
        <v>135</v>
      </c>
      <c r="O288" s="173"/>
      <c r="P288" s="112"/>
    </row>
    <row r="289" spans="2:16" ht="30" x14ac:dyDescent="0.25">
      <c r="B289" s="50"/>
      <c r="C289" s="201"/>
      <c r="D289" s="232"/>
      <c r="E289" s="129"/>
      <c r="F289" s="101" t="s">
        <v>77</v>
      </c>
      <c r="G289" s="144" t="s">
        <v>80</v>
      </c>
      <c r="H289" s="152">
        <v>3</v>
      </c>
      <c r="I289" s="220">
        <v>1</v>
      </c>
      <c r="J289" s="28" t="str">
        <f>IF(I289&lt;=H289,"RTM01",0)</f>
        <v>RTM01</v>
      </c>
      <c r="K289" s="144">
        <f>IF(I289&gt;H289,"Batal",0)</f>
        <v>0</v>
      </c>
      <c r="L289" s="28"/>
      <c r="M289" s="144"/>
      <c r="N289" s="186" t="s">
        <v>418</v>
      </c>
      <c r="O289" s="174"/>
      <c r="P289" s="113"/>
    </row>
    <row r="290" spans="2:16" ht="15.75" thickBot="1" x14ac:dyDescent="0.3">
      <c r="B290" s="87"/>
      <c r="C290" s="202"/>
      <c r="D290" s="233"/>
      <c r="E290" s="130"/>
      <c r="F290" s="140" t="s">
        <v>39</v>
      </c>
      <c r="G290" s="145" t="s">
        <v>34</v>
      </c>
      <c r="H290" s="155" t="s">
        <v>16</v>
      </c>
      <c r="I290" s="221" t="s">
        <v>16</v>
      </c>
      <c r="J290" s="26" t="str">
        <f>IF(I290=H290,"Sofa",0)</f>
        <v>Sofa</v>
      </c>
      <c r="K290" s="145">
        <f>IF(I290=H290,0,"Batal")</f>
        <v>0</v>
      </c>
      <c r="L290" s="32" t="s">
        <v>52</v>
      </c>
      <c r="M290" s="146"/>
      <c r="N290" s="188" t="s">
        <v>417</v>
      </c>
      <c r="O290" s="175"/>
      <c r="P290" s="114"/>
    </row>
  </sheetData>
  <mergeCells count="302">
    <mergeCell ref="B263:B265"/>
    <mergeCell ref="C263:C265"/>
    <mergeCell ref="D263:D265"/>
    <mergeCell ref="E263:E265"/>
    <mergeCell ref="B165:B166"/>
    <mergeCell ref="C165:C166"/>
    <mergeCell ref="D165:D166"/>
    <mergeCell ref="E165:E166"/>
    <mergeCell ref="N103:N104"/>
    <mergeCell ref="B191:B193"/>
    <mergeCell ref="C191:C193"/>
    <mergeCell ref="E191:E193"/>
    <mergeCell ref="E117:E119"/>
    <mergeCell ref="B288:B290"/>
    <mergeCell ref="C288:C290"/>
    <mergeCell ref="D288:D290"/>
    <mergeCell ref="E288:E290"/>
    <mergeCell ref="D275:D287"/>
    <mergeCell ref="E275:E280"/>
    <mergeCell ref="E281:E287"/>
    <mergeCell ref="B275:B287"/>
    <mergeCell ref="C275:C287"/>
    <mergeCell ref="B269:B271"/>
    <mergeCell ref="C269:C271"/>
    <mergeCell ref="D269:D271"/>
    <mergeCell ref="E269:E271"/>
    <mergeCell ref="E266:E268"/>
    <mergeCell ref="D266:D268"/>
    <mergeCell ref="C266:C268"/>
    <mergeCell ref="B266:B268"/>
    <mergeCell ref="F144:F145"/>
    <mergeCell ref="B154:B155"/>
    <mergeCell ref="C154:C155"/>
    <mergeCell ref="D154:D155"/>
    <mergeCell ref="E154:E155"/>
    <mergeCell ref="E108:E109"/>
    <mergeCell ref="E127:E131"/>
    <mergeCell ref="D127:D131"/>
    <mergeCell ref="C127:C131"/>
    <mergeCell ref="B127:B131"/>
    <mergeCell ref="B137:B139"/>
    <mergeCell ref="C137:C139"/>
    <mergeCell ref="D137:D139"/>
    <mergeCell ref="E137:E139"/>
    <mergeCell ref="D132:D133"/>
    <mergeCell ref="E132:E133"/>
    <mergeCell ref="B67:B69"/>
    <mergeCell ref="C67:C69"/>
    <mergeCell ref="C173:C175"/>
    <mergeCell ref="B173:B175"/>
    <mergeCell ref="C238:C250"/>
    <mergeCell ref="B224:B227"/>
    <mergeCell ref="C224:C227"/>
    <mergeCell ref="C183:C188"/>
    <mergeCell ref="C47:C54"/>
    <mergeCell ref="B47:B54"/>
    <mergeCell ref="C55:C62"/>
    <mergeCell ref="B55:B62"/>
    <mergeCell ref="C146:C153"/>
    <mergeCell ref="B146:B153"/>
    <mergeCell ref="B97:B99"/>
    <mergeCell ref="C97:C99"/>
    <mergeCell ref="B100:B102"/>
    <mergeCell ref="C100:C102"/>
    <mergeCell ref="B108:B109"/>
    <mergeCell ref="C108:C109"/>
    <mergeCell ref="C90:C91"/>
    <mergeCell ref="B92:B93"/>
    <mergeCell ref="C92:C93"/>
    <mergeCell ref="B94:B96"/>
    <mergeCell ref="B251:B253"/>
    <mergeCell ref="C251:C253"/>
    <mergeCell ref="B254:B256"/>
    <mergeCell ref="C254:C256"/>
    <mergeCell ref="C260:C262"/>
    <mergeCell ref="B260:B262"/>
    <mergeCell ref="C257:C259"/>
    <mergeCell ref="B257:B259"/>
    <mergeCell ref="C117:C119"/>
    <mergeCell ref="B70:B72"/>
    <mergeCell ref="B132:B133"/>
    <mergeCell ref="B140:B145"/>
    <mergeCell ref="C140:C145"/>
    <mergeCell ref="C134:C136"/>
    <mergeCell ref="B134:B136"/>
    <mergeCell ref="C176:C179"/>
    <mergeCell ref="B176:B179"/>
    <mergeCell ref="C70:C72"/>
    <mergeCell ref="B73:B75"/>
    <mergeCell ref="C73:C75"/>
    <mergeCell ref="C94:C96"/>
    <mergeCell ref="B105:B107"/>
    <mergeCell ref="C105:C107"/>
    <mergeCell ref="B79:B81"/>
    <mergeCell ref="C79:C81"/>
    <mergeCell ref="B103:B104"/>
    <mergeCell ref="C103:C104"/>
    <mergeCell ref="C156:C164"/>
    <mergeCell ref="D224:D227"/>
    <mergeCell ref="E224:E227"/>
    <mergeCell ref="E120:E126"/>
    <mergeCell ref="E176:E179"/>
    <mergeCell ref="D176:D179"/>
    <mergeCell ref="C189:C190"/>
    <mergeCell ref="B189:B190"/>
    <mergeCell ref="C180:C182"/>
    <mergeCell ref="B180:B182"/>
    <mergeCell ref="C214:C215"/>
    <mergeCell ref="B214:B215"/>
    <mergeCell ref="B183:B188"/>
    <mergeCell ref="B219:B223"/>
    <mergeCell ref="C219:C223"/>
    <mergeCell ref="C202:C213"/>
    <mergeCell ref="B202:B213"/>
    <mergeCell ref="C194:C201"/>
    <mergeCell ref="B194:B201"/>
    <mergeCell ref="C216:C218"/>
    <mergeCell ref="B216:B218"/>
    <mergeCell ref="E150:E153"/>
    <mergeCell ref="D146:D153"/>
    <mergeCell ref="D140:D145"/>
    <mergeCell ref="C167:C172"/>
    <mergeCell ref="B167:B172"/>
    <mergeCell ref="F196:F198"/>
    <mergeCell ref="E202:E207"/>
    <mergeCell ref="D189:D190"/>
    <mergeCell ref="E189:E190"/>
    <mergeCell ref="D214:D215"/>
    <mergeCell ref="E214:E215"/>
    <mergeCell ref="D180:D182"/>
    <mergeCell ref="E180:E182"/>
    <mergeCell ref="E234:E237"/>
    <mergeCell ref="E228:E233"/>
    <mergeCell ref="D228:D237"/>
    <mergeCell ref="E194:E201"/>
    <mergeCell ref="D194:D201"/>
    <mergeCell ref="D238:D250"/>
    <mergeCell ref="E244:E250"/>
    <mergeCell ref="E238:E243"/>
    <mergeCell ref="B228:B237"/>
    <mergeCell ref="C228:C237"/>
    <mergeCell ref="B238:B250"/>
    <mergeCell ref="B63:B66"/>
    <mergeCell ref="C63:C66"/>
    <mergeCell ref="B156:B164"/>
    <mergeCell ref="C82:C84"/>
    <mergeCell ref="B82:B84"/>
    <mergeCell ref="E59:E62"/>
    <mergeCell ref="E156:E159"/>
    <mergeCell ref="E160:E162"/>
    <mergeCell ref="E163:E164"/>
    <mergeCell ref="D79:D81"/>
    <mergeCell ref="D85:D87"/>
    <mergeCell ref="E85:E87"/>
    <mergeCell ref="B85:B87"/>
    <mergeCell ref="C85:C87"/>
    <mergeCell ref="B88:B89"/>
    <mergeCell ref="C88:C89"/>
    <mergeCell ref="E73:E75"/>
    <mergeCell ref="D110:D111"/>
    <mergeCell ref="E110:E111"/>
    <mergeCell ref="D100:D102"/>
    <mergeCell ref="E100:E102"/>
    <mergeCell ref="D97:D99"/>
    <mergeCell ref="E97:E99"/>
    <mergeCell ref="D73:D75"/>
    <mergeCell ref="B2:J2"/>
    <mergeCell ref="K2:T2"/>
    <mergeCell ref="U2:AD2"/>
    <mergeCell ref="AE2:AG3"/>
    <mergeCell ref="AH2:AH4"/>
    <mergeCell ref="E3:E4"/>
    <mergeCell ref="G3:H3"/>
    <mergeCell ref="J3:J4"/>
    <mergeCell ref="U3:U4"/>
    <mergeCell ref="V3:V4"/>
    <mergeCell ref="W3:W4"/>
    <mergeCell ref="X3:Y3"/>
    <mergeCell ref="AA3:AB3"/>
    <mergeCell ref="AD3:AD4"/>
    <mergeCell ref="K3:K4"/>
    <mergeCell ref="L3:O3"/>
    <mergeCell ref="Q3:R3"/>
    <mergeCell ref="T3:T4"/>
    <mergeCell ref="AH8:AH10"/>
    <mergeCell ref="E9:E10"/>
    <mergeCell ref="G9:H9"/>
    <mergeCell ref="J9:J10"/>
    <mergeCell ref="U9:U10"/>
    <mergeCell ref="V9:V10"/>
    <mergeCell ref="W9:W10"/>
    <mergeCell ref="X9:Y9"/>
    <mergeCell ref="AA9:AB9"/>
    <mergeCell ref="AD9:AD10"/>
    <mergeCell ref="K9:K10"/>
    <mergeCell ref="L9:O9"/>
    <mergeCell ref="Q9:R9"/>
    <mergeCell ref="T9:T10"/>
    <mergeCell ref="E15:E18"/>
    <mergeCell ref="E22:E23"/>
    <mergeCell ref="D15:D23"/>
    <mergeCell ref="C15:C23"/>
    <mergeCell ref="B15:B23"/>
    <mergeCell ref="B8:J8"/>
    <mergeCell ref="K8:T8"/>
    <mergeCell ref="U8:AD8"/>
    <mergeCell ref="AE8:AG9"/>
    <mergeCell ref="C39:C46"/>
    <mergeCell ref="B39:B46"/>
    <mergeCell ref="E47:E50"/>
    <mergeCell ref="E28:E30"/>
    <mergeCell ref="D24:D33"/>
    <mergeCell ref="E24:E27"/>
    <mergeCell ref="E31:E33"/>
    <mergeCell ref="E19:E21"/>
    <mergeCell ref="C24:C33"/>
    <mergeCell ref="B24:B33"/>
    <mergeCell ref="E39:E42"/>
    <mergeCell ref="C34:C38"/>
    <mergeCell ref="B34:B38"/>
    <mergeCell ref="B76:B78"/>
    <mergeCell ref="C76:C78"/>
    <mergeCell ref="B90:B91"/>
    <mergeCell ref="D134:D136"/>
    <mergeCell ref="E134:E136"/>
    <mergeCell ref="D114:D116"/>
    <mergeCell ref="E114:E116"/>
    <mergeCell ref="B110:B111"/>
    <mergeCell ref="C110:C111"/>
    <mergeCell ref="B112:B113"/>
    <mergeCell ref="C112:C113"/>
    <mergeCell ref="B114:B116"/>
    <mergeCell ref="C114:C116"/>
    <mergeCell ref="E76:E78"/>
    <mergeCell ref="D112:D113"/>
    <mergeCell ref="E112:E113"/>
    <mergeCell ref="C120:C126"/>
    <mergeCell ref="B120:B126"/>
    <mergeCell ref="C132:C133"/>
    <mergeCell ref="D120:D126"/>
    <mergeCell ref="D82:D84"/>
    <mergeCell ref="E82:E84"/>
    <mergeCell ref="D105:D107"/>
    <mergeCell ref="B117:B119"/>
    <mergeCell ref="E183:E188"/>
    <mergeCell ref="D70:D72"/>
    <mergeCell ref="E70:E72"/>
    <mergeCell ref="D202:D213"/>
    <mergeCell ref="E208:E213"/>
    <mergeCell ref="E51:E54"/>
    <mergeCell ref="D47:D54"/>
    <mergeCell ref="D88:D89"/>
    <mergeCell ref="E88:E89"/>
    <mergeCell ref="E167:E172"/>
    <mergeCell ref="D167:D172"/>
    <mergeCell ref="E55:E58"/>
    <mergeCell ref="E146:E149"/>
    <mergeCell ref="D55:D62"/>
    <mergeCell ref="D108:D109"/>
    <mergeCell ref="E140:E145"/>
    <mergeCell ref="D103:D104"/>
    <mergeCell ref="E103:E104"/>
    <mergeCell ref="D34:D38"/>
    <mergeCell ref="E34:E38"/>
    <mergeCell ref="D63:D66"/>
    <mergeCell ref="E63:E66"/>
    <mergeCell ref="D156:D164"/>
    <mergeCell ref="D92:D93"/>
    <mergeCell ref="E92:E93"/>
    <mergeCell ref="D94:D96"/>
    <mergeCell ref="E94:E96"/>
    <mergeCell ref="D117:D119"/>
    <mergeCell ref="D76:D78"/>
    <mergeCell ref="E105:E107"/>
    <mergeCell ref="D90:D91"/>
    <mergeCell ref="E90:E91"/>
    <mergeCell ref="E43:E46"/>
    <mergeCell ref="D39:D46"/>
    <mergeCell ref="D67:D69"/>
    <mergeCell ref="E67:E69"/>
    <mergeCell ref="D272:D274"/>
    <mergeCell ref="E272:E274"/>
    <mergeCell ref="C272:C274"/>
    <mergeCell ref="B272:B274"/>
    <mergeCell ref="O82:O84"/>
    <mergeCell ref="F124:F126"/>
    <mergeCell ref="D216:D218"/>
    <mergeCell ref="E216:E218"/>
    <mergeCell ref="D254:D256"/>
    <mergeCell ref="D257:D259"/>
    <mergeCell ref="D260:D262"/>
    <mergeCell ref="D173:D175"/>
    <mergeCell ref="D251:D253"/>
    <mergeCell ref="E251:E253"/>
    <mergeCell ref="E254:E256"/>
    <mergeCell ref="E257:E259"/>
    <mergeCell ref="E260:E262"/>
    <mergeCell ref="E173:E175"/>
    <mergeCell ref="D191:D193"/>
    <mergeCell ref="D219:D223"/>
    <mergeCell ref="E219:E223"/>
    <mergeCell ref="D183:D18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79DF-AE77-438F-859C-5ECEE5E997EA}">
  <dimension ref="B2:D19"/>
  <sheetViews>
    <sheetView workbookViewId="0">
      <selection activeCell="D17" sqref="D17"/>
    </sheetView>
  </sheetViews>
  <sheetFormatPr defaultRowHeight="15" x14ac:dyDescent="0.25"/>
  <cols>
    <col min="2" max="2" width="3.5703125" bestFit="1" customWidth="1"/>
    <col min="3" max="3" width="5.5703125" bestFit="1" customWidth="1"/>
  </cols>
  <sheetData>
    <row r="2" spans="2:4" x14ac:dyDescent="0.25">
      <c r="B2" t="s">
        <v>287</v>
      </c>
      <c r="C2" t="s">
        <v>9</v>
      </c>
      <c r="D2" t="s">
        <v>22</v>
      </c>
    </row>
    <row r="3" spans="2:4" x14ac:dyDescent="0.25">
      <c r="B3">
        <v>1</v>
      </c>
      <c r="C3" t="s">
        <v>292</v>
      </c>
      <c r="D3" t="s">
        <v>308</v>
      </c>
    </row>
    <row r="4" spans="2:4" x14ac:dyDescent="0.25">
      <c r="B4">
        <v>2</v>
      </c>
      <c r="C4" t="s">
        <v>168</v>
      </c>
      <c r="D4" t="s">
        <v>302</v>
      </c>
    </row>
    <row r="5" spans="2:4" x14ac:dyDescent="0.25">
      <c r="B5">
        <v>3</v>
      </c>
      <c r="C5" t="s">
        <v>228</v>
      </c>
      <c r="D5" t="s">
        <v>303</v>
      </c>
    </row>
    <row r="6" spans="2:4" x14ac:dyDescent="0.25">
      <c r="B6">
        <v>4</v>
      </c>
      <c r="C6" t="s">
        <v>235</v>
      </c>
      <c r="D6" t="s">
        <v>304</v>
      </c>
    </row>
    <row r="7" spans="2:4" x14ac:dyDescent="0.25">
      <c r="B7">
        <v>5</v>
      </c>
      <c r="C7" t="s">
        <v>290</v>
      </c>
      <c r="D7" t="s">
        <v>305</v>
      </c>
    </row>
    <row r="8" spans="2:4" x14ac:dyDescent="0.25">
      <c r="B8">
        <v>6</v>
      </c>
      <c r="C8" t="s">
        <v>163</v>
      </c>
      <c r="D8" t="s">
        <v>306</v>
      </c>
    </row>
    <row r="9" spans="2:4" x14ac:dyDescent="0.25">
      <c r="B9">
        <v>7</v>
      </c>
      <c r="C9" t="s">
        <v>288</v>
      </c>
      <c r="D9" t="s">
        <v>307</v>
      </c>
    </row>
    <row r="10" spans="2:4" x14ac:dyDescent="0.25">
      <c r="B10">
        <v>8</v>
      </c>
      <c r="C10" t="s">
        <v>164</v>
      </c>
      <c r="D10" t="s">
        <v>301</v>
      </c>
    </row>
    <row r="11" spans="2:4" x14ac:dyDescent="0.25">
      <c r="B11">
        <v>9</v>
      </c>
      <c r="C11" t="s">
        <v>289</v>
      </c>
      <c r="D11" t="s">
        <v>310</v>
      </c>
    </row>
    <row r="12" spans="2:4" x14ac:dyDescent="0.25">
      <c r="B12">
        <v>10</v>
      </c>
      <c r="C12" t="s">
        <v>293</v>
      </c>
      <c r="D12" t="s">
        <v>311</v>
      </c>
    </row>
    <row r="13" spans="2:4" x14ac:dyDescent="0.25">
      <c r="B13">
        <v>11</v>
      </c>
      <c r="C13" t="s">
        <v>153</v>
      </c>
      <c r="D13" t="s">
        <v>313</v>
      </c>
    </row>
    <row r="14" spans="2:4" x14ac:dyDescent="0.25">
      <c r="B14">
        <v>12</v>
      </c>
      <c r="C14" t="s">
        <v>294</v>
      </c>
      <c r="D14" t="s">
        <v>314</v>
      </c>
    </row>
    <row r="15" spans="2:4" x14ac:dyDescent="0.25">
      <c r="B15">
        <v>13</v>
      </c>
      <c r="C15" t="s">
        <v>291</v>
      </c>
      <c r="D15" t="s">
        <v>315</v>
      </c>
    </row>
    <row r="16" spans="2:4" x14ac:dyDescent="0.25">
      <c r="B16">
        <v>14</v>
      </c>
      <c r="C16" t="s">
        <v>155</v>
      </c>
      <c r="D16" t="s">
        <v>300</v>
      </c>
    </row>
    <row r="17" spans="3:4" x14ac:dyDescent="0.25">
      <c r="C17" t="s">
        <v>297</v>
      </c>
      <c r="D17" t="s">
        <v>298</v>
      </c>
    </row>
    <row r="18" spans="3:4" x14ac:dyDescent="0.25">
      <c r="C18" t="s">
        <v>299</v>
      </c>
      <c r="D18" t="s">
        <v>309</v>
      </c>
    </row>
    <row r="19" spans="3:4" x14ac:dyDescent="0.25">
      <c r="C19" t="s">
        <v>295</v>
      </c>
      <c r="D19" t="s">
        <v>296</v>
      </c>
    </row>
  </sheetData>
  <sortState xmlns:xlrd2="http://schemas.microsoft.com/office/spreadsheetml/2017/richdata2" ref="C3:C16">
    <sortCondition ref="C3:C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Prasyarat 3-Agen di depan ruang</vt:lpstr>
      <vt:lpstr>Aktivitas Pendukung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2021-08-05T03:22:25Z</dcterms:created>
  <dcterms:modified xsi:type="dcterms:W3CDTF">2021-10-04T04:35:28Z</dcterms:modified>
</cp:coreProperties>
</file>