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4 - Rumah 01\Rumah 01\21OKT21_RUMAH 1\Tabel Revisi 11NOV21\"/>
    </mc:Choice>
  </mc:AlternateContent>
  <xr:revisionPtr revIDLastSave="0" documentId="13_ncr:1_{45564D76-C707-442C-9D30-E61D88C6110C}" xr6:coauthVersionLast="47" xr6:coauthVersionMax="47" xr10:uidLastSave="{00000000-0000-0000-0000-000000000000}"/>
  <bookViews>
    <workbookView xWindow="-120" yWindow="360" windowWidth="20730" windowHeight="11280" firstSheet="1" activeTab="1" xr2:uid="{00000000-000D-0000-FFFF-FFFF00000000}"/>
  </bookViews>
  <sheets>
    <sheet name="Komp. UL" sheetId="1" r:id="rId1"/>
    <sheet name="Efek ke Lkg" sheetId="5" r:id="rId2"/>
    <sheet name="Kal. UL" sheetId="2" r:id="rId3"/>
    <sheet name="Data Utilitas" sheetId="3" r:id="rId4"/>
  </sheets>
  <externalReferences>
    <externalReference r:id="rId5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0" i="5" l="1"/>
  <c r="AF10" i="5" s="1"/>
  <c r="G2" i="5" l="1"/>
  <c r="U3" i="5"/>
  <c r="U4" i="5"/>
  <c r="F35" i="3" l="1"/>
  <c r="F34" i="3" s="1"/>
  <c r="M56" i="2"/>
  <c r="I56" i="2"/>
  <c r="E56" i="2"/>
  <c r="D56" i="2"/>
  <c r="M53" i="2"/>
  <c r="I53" i="2"/>
  <c r="E53" i="2"/>
  <c r="D53" i="2"/>
  <c r="M50" i="2"/>
  <c r="I50" i="2"/>
  <c r="E50" i="2"/>
  <c r="D50" i="2"/>
  <c r="M47" i="2"/>
  <c r="I47" i="2"/>
  <c r="E47" i="2"/>
  <c r="D47" i="2"/>
  <c r="M44" i="2"/>
  <c r="I44" i="2"/>
  <c r="E44" i="2"/>
  <c r="D44" i="2"/>
  <c r="M41" i="2"/>
  <c r="I41" i="2"/>
  <c r="E41" i="2"/>
  <c r="D41" i="2"/>
  <c r="M38" i="2"/>
  <c r="I38" i="2"/>
  <c r="E38" i="2"/>
  <c r="D38" i="2"/>
  <c r="M35" i="2"/>
  <c r="I35" i="2"/>
  <c r="E35" i="2"/>
  <c r="D35" i="2"/>
  <c r="M32" i="2"/>
  <c r="I32" i="2"/>
  <c r="E32" i="2"/>
  <c r="D32" i="2"/>
  <c r="M29" i="2"/>
  <c r="I29" i="2"/>
  <c r="E29" i="2"/>
  <c r="D29" i="2"/>
  <c r="M26" i="2"/>
  <c r="I26" i="2"/>
  <c r="E26" i="2"/>
  <c r="D26" i="2"/>
  <c r="M25" i="2"/>
  <c r="I25" i="2"/>
  <c r="E25" i="2"/>
  <c r="D25" i="2"/>
  <c r="M24" i="2"/>
  <c r="I24" i="2"/>
  <c r="E24" i="2"/>
  <c r="D24" i="2"/>
  <c r="M23" i="2"/>
  <c r="I23" i="2"/>
  <c r="E23" i="2"/>
  <c r="D23" i="2"/>
  <c r="M22" i="2"/>
  <c r="I22" i="2"/>
  <c r="E22" i="2"/>
  <c r="D22" i="2"/>
  <c r="M21" i="2"/>
  <c r="I21" i="2"/>
  <c r="E21" i="2"/>
  <c r="D21" i="2"/>
  <c r="M20" i="2"/>
  <c r="I20" i="2"/>
  <c r="E20" i="2"/>
  <c r="D20" i="2"/>
  <c r="M19" i="2"/>
  <c r="I19" i="2"/>
  <c r="E19" i="2"/>
  <c r="D19" i="2"/>
  <c r="M18" i="2"/>
  <c r="I18" i="2"/>
  <c r="E18" i="2"/>
  <c r="D18" i="2"/>
  <c r="M17" i="2"/>
  <c r="I17" i="2"/>
  <c r="E17" i="2"/>
  <c r="D17" i="2"/>
  <c r="M16" i="2"/>
  <c r="I16" i="2"/>
  <c r="E16" i="2"/>
  <c r="D16" i="2"/>
  <c r="M15" i="2"/>
  <c r="I15" i="2"/>
  <c r="E15" i="2"/>
  <c r="D15" i="2"/>
  <c r="M14" i="2"/>
  <c r="I14" i="2"/>
  <c r="E14" i="2"/>
  <c r="D14" i="2"/>
  <c r="F7" i="2"/>
  <c r="F6" i="2"/>
  <c r="F5" i="2"/>
  <c r="F4" i="2"/>
  <c r="F3" i="2"/>
  <c r="N3" i="5"/>
  <c r="N2" i="5"/>
</calcChain>
</file>

<file path=xl/sharedStrings.xml><?xml version="1.0" encoding="utf-8"?>
<sst xmlns="http://schemas.openxmlformats.org/spreadsheetml/2006/main" count="616" uniqueCount="329">
  <si>
    <t>Kloset 1 (RKM01-KL01)</t>
  </si>
  <si>
    <t>Keranjang baju kotor</t>
  </si>
  <si>
    <t>Bak Mandi 1 (RKM01-BM01)</t>
  </si>
  <si>
    <t>Lantai 8 (RKM01-LA08)</t>
  </si>
  <si>
    <t>Mandi</t>
  </si>
  <si>
    <t>BAB</t>
  </si>
  <si>
    <t>BAK</t>
  </si>
  <si>
    <t>Tempat Tidur 1 (RTU01-TD01)</t>
  </si>
  <si>
    <t>Lantai 4 (RTU01-LT04)</t>
  </si>
  <si>
    <t>Tidur</t>
  </si>
  <si>
    <t>Bak Cuci Piring (RDP01-SK01)</t>
  </si>
  <si>
    <t>Galon 1 (RMK01-GL01)</t>
  </si>
  <si>
    <t>Minum</t>
  </si>
  <si>
    <t>Tempat Sampah 1 (RDP01-TS01)</t>
  </si>
  <si>
    <t>Makan</t>
  </si>
  <si>
    <t>Lantai 10 (RDP01-Lantai 10)</t>
  </si>
  <si>
    <t>Mencuci piring dan alat masak malam</t>
  </si>
  <si>
    <t xml:space="preserve">Menyuapi anak 2 makan malam </t>
  </si>
  <si>
    <t>Memasak makan malam dengan peralatan listrik</t>
  </si>
  <si>
    <t>Gas 1 (RDP01-GS01)</t>
  </si>
  <si>
    <t>Memasak makan malam dengan kompor gas</t>
  </si>
  <si>
    <t>Mengganti galon</t>
  </si>
  <si>
    <t xml:space="preserve">Memandikan anak 2 sore hari </t>
  </si>
  <si>
    <t>Tanaman</t>
  </si>
  <si>
    <t>Lantai 14 (RHD01-LT14)</t>
  </si>
  <si>
    <t xml:space="preserve">Menyiram tanaman di sore hari </t>
  </si>
  <si>
    <t>Keranjang baju selesai jemur</t>
  </si>
  <si>
    <t>Menyetrika pakaian</t>
  </si>
  <si>
    <t xml:space="preserve">Mengangkat jemuran </t>
  </si>
  <si>
    <t>Lantai 6 (RTU01-LT04)</t>
  </si>
  <si>
    <t>Mengepel Ruang Tidur Utama 2</t>
  </si>
  <si>
    <t>Lantai 5 (RTA01-LT05)</t>
  </si>
  <si>
    <t>Mengepel Ruang Tidur Anak 1,2</t>
  </si>
  <si>
    <t>Lantai 4 (RTU02-LT06)</t>
  </si>
  <si>
    <t>Mengepel Ruang Tidur Utama 1</t>
  </si>
  <si>
    <t>Menyapu Ruang Tidur Utama 2</t>
  </si>
  <si>
    <t>Menyapu Ruang Tidur Anak 1,2</t>
  </si>
  <si>
    <t>Menyapu Ruang Tidur Utama 1</t>
  </si>
  <si>
    <t>Lantai 10 (RDP01-LT10)</t>
  </si>
  <si>
    <t>Mencuci piring dan alat masak siang</t>
  </si>
  <si>
    <t xml:space="preserve">Menyuapi anak 2 makan siang </t>
  </si>
  <si>
    <t>Memasak makan siang dengan peralatan listrik</t>
  </si>
  <si>
    <t>Memasak makan siang dengan kompor gas</t>
  </si>
  <si>
    <t>Keranjang baju selesai cuci</t>
  </si>
  <si>
    <t xml:space="preserve">Menjemur pakaian </t>
  </si>
  <si>
    <t>Lantai 12 (RCC01-Lantai 12)</t>
  </si>
  <si>
    <t>Mencuci baju konvensional</t>
  </si>
  <si>
    <t>Mencuci piring dan alat masak pagi</t>
  </si>
  <si>
    <t>Mencuci dengan mesin cuci</t>
  </si>
  <si>
    <t>Menyuapi anak2 pagi hari</t>
  </si>
  <si>
    <t>Memandikan anak 2 pagi hari</t>
  </si>
  <si>
    <t>Lantai 11 (RMK01-LT11)</t>
  </si>
  <si>
    <t>Menggunakan blender</t>
  </si>
  <si>
    <t>Memasak makan pagi dengan peralatan listrik</t>
  </si>
  <si>
    <t>Memasak makan pagi dengan kompor gas</t>
  </si>
  <si>
    <t>Belanja</t>
  </si>
  <si>
    <t>Mengepel Teras</t>
  </si>
  <si>
    <t xml:space="preserve">Menyiram tanaman pagi hari </t>
  </si>
  <si>
    <t xml:space="preserve">Membersihkan Kamar Mandi </t>
  </si>
  <si>
    <t>Mengepel Dapur</t>
  </si>
  <si>
    <t>Lantai 11 (RMK01-Lantai 11)</t>
  </si>
  <si>
    <t>Mengepel Ruang Makan</t>
  </si>
  <si>
    <t>Lantai 9 (RGD01-LT09)</t>
  </si>
  <si>
    <t>Mengepel Gudang</t>
  </si>
  <si>
    <t>Mengepel Koridor</t>
  </si>
  <si>
    <t>Lantai 7 (RKG01-LT07)</t>
  </si>
  <si>
    <t>Mengepel Ruang Keluarga</t>
  </si>
  <si>
    <t>Lantai 2 (RTM01-LT02)</t>
  </si>
  <si>
    <t>Mengepel Ruang Tamu</t>
  </si>
  <si>
    <t>Membuang Sampah Dapur</t>
  </si>
  <si>
    <t>Lantai 1 (RTS01-LT01)</t>
  </si>
  <si>
    <t>Menyapu Teras</t>
  </si>
  <si>
    <t>Menyapu Ruang Tamu</t>
  </si>
  <si>
    <t>Menyapu Ruang Keluarga</t>
  </si>
  <si>
    <t>Menyapu Koridor</t>
  </si>
  <si>
    <t>Menyapu Gudang</t>
  </si>
  <si>
    <t>Menghidupkan pompa</t>
  </si>
  <si>
    <t>efek aktivitas: meningkat</t>
  </si>
  <si>
    <t>Menyapu Dapur</t>
  </si>
  <si>
    <t>efek aktivitas: berkurang</t>
  </si>
  <si>
    <t>Menyapu Ruang Makan</t>
  </si>
  <si>
    <t>Belum ada data/stok/bahan/makanan yg ada</t>
  </si>
  <si>
    <t>Menyapu Ruang Cuci</t>
  </si>
  <si>
    <t>Di denah belum ada kode lantai</t>
  </si>
  <si>
    <t>Komp. Lingk.5</t>
  </si>
  <si>
    <t>Komp. Lingk.4</t>
  </si>
  <si>
    <t>Komp. Lingk.3</t>
  </si>
  <si>
    <t>Komp. Lingk.2</t>
  </si>
  <si>
    <t>Komp. Lingk.1</t>
  </si>
  <si>
    <t>Aktivitas</t>
  </si>
  <si>
    <t>No.</t>
  </si>
  <si>
    <t>Komponen Urgensi Lingkungan</t>
  </si>
  <si>
    <t>Komp. Lingk.11</t>
  </si>
  <si>
    <t>Komp. Lingk.10</t>
  </si>
  <si>
    <t>Komp. Lingk.9</t>
  </si>
  <si>
    <t>Komp. Lingk.8</t>
  </si>
  <si>
    <t>Komp. Lingk.7</t>
  </si>
  <si>
    <t>Komp. Lingk.6</t>
  </si>
  <si>
    <t>*150=total vol. bak</t>
  </si>
  <si>
    <t>Menghidupkan Pompa</t>
  </si>
  <si>
    <t>Lantai 12 (RCC01-LT 12)</t>
  </si>
  <si>
    <t>Lantai 13 (RGS01-LT13)</t>
  </si>
  <si>
    <t>Lantai 11 (RMK01-LT 11)</t>
  </si>
  <si>
    <t>Lantai 10 (RDP01-LT 10)</t>
  </si>
  <si>
    <t>link ke Rekap PA-KR-KP Pompa Air</t>
  </si>
  <si>
    <t>A4</t>
  </si>
  <si>
    <t>A5</t>
  </si>
  <si>
    <t>A1</t>
  </si>
  <si>
    <t>Kode Akt.</t>
  </si>
  <si>
    <t>Poin</t>
  </si>
  <si>
    <t>Durasi jalan</t>
  </si>
  <si>
    <t>Total</t>
  </si>
  <si>
    <t>NO</t>
  </si>
  <si>
    <t>masuk DD_P: Urgensi Linkungan</t>
  </si>
  <si>
    <t>Ef. Akt.3</t>
  </si>
  <si>
    <t>Ef. Akt.2</t>
  </si>
  <si>
    <t>Ef. Akt.1</t>
  </si>
  <si>
    <t>Poin Terkini</t>
  </si>
  <si>
    <t>Kalkulasi Urgensi Linkungan</t>
  </si>
  <si>
    <t>Power Backup Consumption</t>
  </si>
  <si>
    <t>Current Backup</t>
  </si>
  <si>
    <t>Power Consumption</t>
  </si>
  <si>
    <t>Current Power</t>
  </si>
  <si>
    <t>Status</t>
  </si>
  <si>
    <t>rp</t>
  </si>
  <si>
    <t>Price</t>
  </si>
  <si>
    <t>Kg</t>
  </si>
  <si>
    <t>Gas Supply</t>
  </si>
  <si>
    <t>Basic</t>
  </si>
  <si>
    <t>C. Gas</t>
  </si>
  <si>
    <t>IC</t>
  </si>
  <si>
    <t>Water Backup Consumption</t>
  </si>
  <si>
    <t>Current Water Backup</t>
  </si>
  <si>
    <t>Water Consumption</t>
  </si>
  <si>
    <t>m3</t>
  </si>
  <si>
    <t>Current Water</t>
  </si>
  <si>
    <t>volume bak mandi?</t>
  </si>
  <si>
    <t>Water Backup</t>
  </si>
  <si>
    <t>Water Supply</t>
  </si>
  <si>
    <t>B. Water Tank</t>
  </si>
  <si>
    <t>Availability</t>
  </si>
  <si>
    <t>Power Cost</t>
  </si>
  <si>
    <t>Current Power Consumption</t>
  </si>
  <si>
    <t>rp/kwh</t>
  </si>
  <si>
    <t>watt</t>
  </si>
  <si>
    <t>Power Supply</t>
  </si>
  <si>
    <t>A. Power Meter</t>
  </si>
  <si>
    <t>Note</t>
  </si>
  <si>
    <t xml:space="preserve">Parameter </t>
  </si>
  <si>
    <t>Variable iii</t>
  </si>
  <si>
    <t>Variable ii</t>
  </si>
  <si>
    <t>Variable i</t>
  </si>
  <si>
    <t>No</t>
  </si>
  <si>
    <t>UTILITIES</t>
  </si>
  <si>
    <t>BUILDING</t>
  </si>
  <si>
    <t>ENVIRONMENT</t>
  </si>
  <si>
    <t>ABM</t>
  </si>
  <si>
    <t>Mematikan pompa</t>
  </si>
  <si>
    <t>Membersihkan Kamar Mandi</t>
  </si>
  <si>
    <t>Menyiram tanaman pagi hari</t>
  </si>
  <si>
    <t>Menyuapi anak2 makan pagi</t>
  </si>
  <si>
    <t>Kegiatan sosial di pagi hari</t>
  </si>
  <si>
    <t>Menjemur pakaian</t>
  </si>
  <si>
    <t>Menyuapi anak 2 makan siang</t>
  </si>
  <si>
    <t>Menonton TV siang</t>
  </si>
  <si>
    <t>Membaca</t>
  </si>
  <si>
    <t>Mengangkat jemuran</t>
  </si>
  <si>
    <t>Menyiram tanaman sore hari</t>
  </si>
  <si>
    <t>Kegiatan sosial di sore hari</t>
  </si>
  <si>
    <t>Mengawasi anak 2 bermain</t>
  </si>
  <si>
    <t>Memandikan anak 2 sore hari</t>
  </si>
  <si>
    <t>Menyuapi anak 2 makan malam</t>
  </si>
  <si>
    <t>Bersantai</t>
  </si>
  <si>
    <t>Menonton TV malam</t>
  </si>
  <si>
    <t>Berdandan</t>
  </si>
  <si>
    <t>Daftar di Tabel Pilih</t>
  </si>
  <si>
    <t>Setiap aktivitas yang dilakukan +/- tingkat kotor, level obyek lingkungan, di link ke Data Kondisi ruang per aktivitas utk masing2 obyek lingkungan</t>
  </si>
  <si>
    <t>Urgensi pada tabel pilih didorong oleh Total Urgensi</t>
  </si>
  <si>
    <t>Tandon Air</t>
  </si>
  <si>
    <t>Kwh*waktu</t>
  </si>
  <si>
    <t>Kulkas 1 (RDP01-RE01)</t>
  </si>
  <si>
    <t>mematikan pompa</t>
  </si>
  <si>
    <t>volume terkini</t>
  </si>
  <si>
    <t>menghidupkan pompa</t>
  </si>
  <si>
    <t>urgensi</t>
  </si>
  <si>
    <t>10-(volume tandon terkini/volume tandon)*10</t>
  </si>
  <si>
    <t>10/(volume tandon/volume tandon terkini)</t>
  </si>
  <si>
    <t>belanja</t>
  </si>
  <si>
    <t>mengganti galon</t>
  </si>
  <si>
    <t>10-(volume bahan terkini/volume total)*11</t>
  </si>
  <si>
    <t>10-(volume (dispenser+kulkas 1+kulkas 2) terkini/volume total)*10</t>
  </si>
  <si>
    <t>berdandan</t>
  </si>
  <si>
    <t>10-(10/tingkat kotor agen terkini)*10</t>
  </si>
  <si>
    <t>volume total</t>
  </si>
  <si>
    <t>permenit</t>
  </si>
  <si>
    <t>sekali aktivitas jalan</t>
  </si>
  <si>
    <t>normal emosi anak</t>
  </si>
  <si>
    <t>terkini</t>
  </si>
  <si>
    <t>PA-I</t>
  </si>
  <si>
    <t>Pergi memasukan laundry</t>
  </si>
  <si>
    <t>A41</t>
  </si>
  <si>
    <t>A42</t>
  </si>
  <si>
    <t>A43</t>
  </si>
  <si>
    <t>A56</t>
  </si>
  <si>
    <t>A61</t>
  </si>
  <si>
    <t>Pergi mengambil laundry</t>
  </si>
  <si>
    <t>A65</t>
  </si>
  <si>
    <t>A72</t>
  </si>
  <si>
    <t>A75</t>
  </si>
  <si>
    <t>Berdandan setelah mandi</t>
  </si>
  <si>
    <t>PA-I;E;A42</t>
  </si>
  <si>
    <t>PA-I;E;A41</t>
  </si>
  <si>
    <t>PR-D;A41;A42</t>
  </si>
  <si>
    <t>PA-O;E;A41/A42</t>
  </si>
  <si>
    <t>PR;A43</t>
  </si>
  <si>
    <t>Mematikan rice cooker</t>
  </si>
  <si>
    <t>B5</t>
  </si>
  <si>
    <t>B6</t>
  </si>
  <si>
    <t>B7</t>
  </si>
  <si>
    <t>Memasak makan dengan rice cooker</t>
  </si>
  <si>
    <t>Memasak makan pagi/ siang/ malam dengan kompor gas</t>
  </si>
  <si>
    <t>Memandikan anak pagi/ sore</t>
  </si>
  <si>
    <t>Pergi membeli makan pagi/ siang/ malam ke luar rumah</t>
  </si>
  <si>
    <t>Kode</t>
  </si>
  <si>
    <t>A22/ A47/ A60</t>
  </si>
  <si>
    <t>A24/A49/A63</t>
  </si>
  <si>
    <t>A23/ A48/ A62</t>
  </si>
  <si>
    <t>Jenis</t>
  </si>
  <si>
    <t>Konsumsi listrik, jika bedanya jauh dari hasil pengukuran lapangan dibagi 0.85; watt atau kwh x waktu terpakai / 0.85</t>
  </si>
  <si>
    <t>Ruang</t>
  </si>
  <si>
    <t>RDP02</t>
  </si>
  <si>
    <t>RTU01</t>
  </si>
  <si>
    <t>RDP01</t>
  </si>
  <si>
    <t>RGS01</t>
  </si>
  <si>
    <t>RKJ01</t>
  </si>
  <si>
    <t>RBK01</t>
  </si>
  <si>
    <t>RKM02</t>
  </si>
  <si>
    <t>Lantai 7 (RDP02-LT07)</t>
  </si>
  <si>
    <t>Nilai Efek Aktivitas</t>
  </si>
  <si>
    <t>Obyek terpengaruh 1</t>
  </si>
  <si>
    <t>Obyek terpengaruh 2</t>
  </si>
  <si>
    <t>Obyek terpengaruh 3</t>
  </si>
  <si>
    <t>Obyek terpengaruh 4</t>
  </si>
  <si>
    <t>Obyek terpengaruh 5</t>
  </si>
  <si>
    <t>Lantai 6 (RKM02-LA06)</t>
  </si>
  <si>
    <t>bilas 1</t>
  </si>
  <si>
    <t>bilas 2</t>
  </si>
  <si>
    <t>Formula urgensi lingkungan</t>
  </si>
  <si>
    <t>Lantai 3 (RGS01-LT03)</t>
  </si>
  <si>
    <t>vol bahan terkini</t>
  </si>
  <si>
    <t>vol total</t>
  </si>
  <si>
    <t>Lantai 15 (RKJ01-LT15)</t>
  </si>
  <si>
    <t>Lantai 11 (RBK01-LT11)</t>
  </si>
  <si>
    <t>Lantai 8 (RDP01-LT08)</t>
  </si>
  <si>
    <t>50% dari jumlah tingkat lapar agen lain</t>
  </si>
  <si>
    <t>Bak Cuci Piring (RDP02-SK01)</t>
  </si>
  <si>
    <t>Rice Cooker (RDP02-RC01)</t>
  </si>
  <si>
    <t>80% dari tingkat kotor anak</t>
  </si>
  <si>
    <t>RKM03</t>
  </si>
  <si>
    <t>Bak mandi 2 (RKM02-BT02)</t>
  </si>
  <si>
    <t>-0.25 L/s x waktu</t>
  </si>
  <si>
    <t>Tandon Air melalui kran (RKM02-WT04)</t>
  </si>
  <si>
    <t>Lantai 9 (RKM03-LA09)</t>
  </si>
  <si>
    <t>Lantai 14 (RKM04-LA14)</t>
  </si>
  <si>
    <t>Tandon Air melalui kran (RKM03-WT07)</t>
  </si>
  <si>
    <t>Tandon Air melalui kran (RKM04-WT08)</t>
  </si>
  <si>
    <t>-0.091 L/s x waktu</t>
  </si>
  <si>
    <t>80% dari tingkat lapar agen lain</t>
  </si>
  <si>
    <t>Bak mandi 3 (RKM04-BT03)</t>
  </si>
  <si>
    <t>RKM04</t>
  </si>
  <si>
    <t>nilai yang masuk ke kolom "Urgensi Lingkungan" Tabel Proses Pilih</t>
  </si>
  <si>
    <t>Obyek terpengaruh</t>
  </si>
  <si>
    <t>aktivitas memberi efek untuk setiap obyek yang digunakan/ berkaitan selama aktivitas</t>
  </si>
  <si>
    <t>nilai yang masuk ke Tabel Data Kondisi Ruang (selain yang dikali dengan waktu, untuk efek lainnya hanya dihitung sekali dalam 1 waktu beraktivitas: mandi 10 menit, air berkurang 40 L selama 10 menit)</t>
  </si>
  <si>
    <t>-0.0048 x waktu</t>
  </si>
  <si>
    <t>nilai yang diambil dari Tabel Data Kondisi Ruang: kotor (lantai), isi tempat sampah, keranjang baju, intensitas cahaya</t>
  </si>
  <si>
    <t>efek berjalan, jika agen melakukan aktivitas pendukung menghidupkan kran air</t>
  </si>
  <si>
    <t>makanan</t>
  </si>
  <si>
    <t>PR;A22/A47/A60</t>
  </si>
  <si>
    <t>PR;A22/A47;E;A24//A49/A63</t>
  </si>
  <si>
    <t>A45</t>
  </si>
  <si>
    <t>PR;A56</t>
  </si>
  <si>
    <t>A29/A59</t>
  </si>
  <si>
    <t>PR;A29/A58</t>
  </si>
  <si>
    <t>PR;A22/ A47/ A60;E;A23/ A48/ A62</t>
  </si>
  <si>
    <t>PR-D;DLA;B7</t>
  </si>
  <si>
    <t>DLA</t>
  </si>
  <si>
    <t>10-(tingkat kotor agen terkini/10)*10</t>
  </si>
  <si>
    <t>PR;A45</t>
  </si>
  <si>
    <t>(100-jumlah pakaian di lemari)/10</t>
  </si>
  <si>
    <t>makanan (efek terjadi setelah 30 menit)</t>
  </si>
  <si>
    <t>Pakaian kotor (RBK01)</t>
  </si>
  <si>
    <t xml:space="preserve">Pakaian kotor (RBK01) </t>
  </si>
  <si>
    <t>-jumlah Pakaian kotor (RBK01)</t>
  </si>
  <si>
    <t>aktivitas</t>
  </si>
  <si>
    <t>mandi</t>
  </si>
  <si>
    <t>ruang</t>
  </si>
  <si>
    <t>berdandan setelah mandi</t>
  </si>
  <si>
    <t>mencuci (konvensional/ mesin)</t>
  </si>
  <si>
    <t>menjemur</t>
  </si>
  <si>
    <t>mengangkat jemuran</t>
  </si>
  <si>
    <t>menyetrika</t>
  </si>
  <si>
    <t>jumlah terkini</t>
  </si>
  <si>
    <t>1 RUMAH</t>
  </si>
  <si>
    <t>Pakaian siap pakai</t>
  </si>
  <si>
    <t>Pakaian bersih kering (efek terjadi 6 jam setelah aktivitas selesai)</t>
  </si>
  <si>
    <t>Pakaian bersih kering (RBK01)</t>
  </si>
  <si>
    <t>Pakaian bersih basah (efek terjadi setelah aktivitas selesai)</t>
  </si>
  <si>
    <t>Pakaian bersih kering (RKJ01)</t>
  </si>
  <si>
    <t>Pakaian siap pakai (RTU01)</t>
  </si>
  <si>
    <t>jumlah pakaian kotor 1 step sebelum aktivitas berjalan</t>
  </si>
  <si>
    <r>
      <t xml:space="preserve">jumlah terkini + jumlah </t>
    </r>
    <r>
      <rPr>
        <sz val="11"/>
        <color rgb="FFC00000"/>
        <rFont val="Calibri"/>
        <family val="2"/>
        <scheme val="minor"/>
      </rPr>
      <t>Pakaian kotor (RBK01)</t>
    </r>
  </si>
  <si>
    <r>
      <t xml:space="preserve">jumlah pakaian kotor (RBK01) pada aktivitas A45 Pergi memasukan laundry, </t>
    </r>
    <r>
      <rPr>
        <b/>
        <i/>
        <sz val="11"/>
        <color rgb="FFC00000"/>
        <rFont val="Calibri"/>
        <family val="2"/>
        <scheme val="minor"/>
      </rPr>
      <t>bukan</t>
    </r>
    <r>
      <rPr>
        <i/>
        <sz val="11"/>
        <color rgb="FFC00000"/>
        <rFont val="Calibri"/>
        <family val="2"/>
        <scheme val="minor"/>
      </rPr>
      <t xml:space="preserve"> jumlah pakaian kotor di RBK01 terkini</t>
    </r>
  </si>
  <si>
    <r>
      <t xml:space="preserve">-jumlah </t>
    </r>
    <r>
      <rPr>
        <sz val="11"/>
        <color rgb="FFC00000"/>
        <rFont val="Calibri"/>
        <family val="2"/>
        <scheme val="minor"/>
      </rPr>
      <t>Pakaian basah (RBK01) terkini</t>
    </r>
  </si>
  <si>
    <t>jumlah pakaian bersih basah (RBK01)**</t>
  </si>
  <si>
    <t>Pakaian bersih basah (RBK01)**</t>
  </si>
  <si>
    <t>jumlah pakaian kotor (RBK01) terkini</t>
  </si>
  <si>
    <t>jumlah pakaian bersih basah (RBK01) terkini</t>
  </si>
  <si>
    <t>Pakaian bersih kering (RBK01) terkini</t>
  </si>
  <si>
    <r>
      <t xml:space="preserve">jumlah terkini (RKJ01) + jumlah </t>
    </r>
    <r>
      <rPr>
        <sz val="11"/>
        <color rgb="FFC00000"/>
        <rFont val="Calibri"/>
        <family val="2"/>
        <scheme val="minor"/>
      </rPr>
      <t>Pakaian bersih kering (RBK01) terkini</t>
    </r>
  </si>
  <si>
    <t>Pakaian bersih kering (RKJ01) terkini</t>
  </si>
  <si>
    <r>
      <t xml:space="preserve">-jumlah </t>
    </r>
    <r>
      <rPr>
        <sz val="11"/>
        <color rgb="FFC00000"/>
        <rFont val="Calibri"/>
        <family val="2"/>
        <scheme val="minor"/>
      </rPr>
      <t>Pakaian bersih kering (RKJ01) terkini</t>
    </r>
  </si>
  <si>
    <r>
      <t xml:space="preserve">jumlah terkini (RTU01) + jumlah </t>
    </r>
    <r>
      <rPr>
        <sz val="11"/>
        <color rgb="FFC00000"/>
        <rFont val="Calibri"/>
        <family val="2"/>
        <scheme val="minor"/>
      </rPr>
      <t>Pakaian bersih kering (RKJ01) terkini</t>
    </r>
  </si>
  <si>
    <r>
      <t xml:space="preserve">-jumlah </t>
    </r>
    <r>
      <rPr>
        <sz val="11"/>
        <color rgb="FFC00000"/>
        <rFont val="Calibri"/>
        <family val="2"/>
        <scheme val="minor"/>
      </rPr>
      <t>Pakaian bersih kering (RBK01) terkini</t>
    </r>
  </si>
  <si>
    <r>
      <t xml:space="preserve">jumlah terkini + jumlah </t>
    </r>
    <r>
      <rPr>
        <sz val="11"/>
        <color rgb="FFC00000"/>
        <rFont val="Calibri"/>
        <family val="2"/>
        <scheme val="minor"/>
      </rPr>
      <t>Pakaian bersih basah (RBK01) terkini</t>
    </r>
  </si>
  <si>
    <r>
      <t xml:space="preserve">jumlah yang ada + jumlah </t>
    </r>
    <r>
      <rPr>
        <sz val="11"/>
        <color rgb="FFC00000"/>
        <rFont val="Calibri"/>
        <family val="2"/>
        <scheme val="minor"/>
      </rPr>
      <t>Pakaian kotor (RBK01) terkini</t>
    </r>
  </si>
  <si>
    <r>
      <t xml:space="preserve">-jumlah </t>
    </r>
    <r>
      <rPr>
        <sz val="11"/>
        <color rgb="FFC00000"/>
        <rFont val="Calibri"/>
        <family val="2"/>
        <scheme val="minor"/>
      </rPr>
      <t>Pakaian kotor (RBK01) terkini</t>
    </r>
  </si>
  <si>
    <t>=10/30 (sejak aktivitas memasak dengan Rice cooker dilakukan)</t>
  </si>
  <si>
    <t>data seharusnya kosong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</si>
</sst>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C00000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  <font>
      <i/>
      <sz val="11"/>
      <color rgb="FFC00000"/>
      <name val="Calibri"/>
      <family val="2"/>
      <scheme val="minor"/>
    </font>
    <font>
      <b/>
      <i/>
      <sz val="11"/>
      <color rgb="FFC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67">
    <xf numFmtId="0" fontId="0" fillId="0" borderId="0" xfId="0"/>
    <xf numFmtId="0" fontId="0" fillId="0" borderId="0" xfId="0" applyBorder="1"/>
    <xf numFmtId="0" fontId="0" fillId="0" borderId="1" xfId="0" applyBorder="1"/>
    <xf numFmtId="0" fontId="2" fillId="2" borderId="2" xfId="0" applyFont="1" applyFill="1" applyBorder="1"/>
    <xf numFmtId="0" fontId="0" fillId="2" borderId="2" xfId="0" applyFill="1" applyBorder="1"/>
    <xf numFmtId="0" fontId="2" fillId="3" borderId="2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Fill="1" applyBorder="1"/>
    <xf numFmtId="0" fontId="2" fillId="2" borderId="7" xfId="0" applyFont="1" applyFill="1" applyBorder="1"/>
    <xf numFmtId="0" fontId="2" fillId="3" borderId="7" xfId="0" applyFont="1" applyFill="1" applyBorder="1"/>
    <xf numFmtId="0" fontId="0" fillId="0" borderId="8" xfId="0" applyBorder="1"/>
    <xf numFmtId="0" fontId="0" fillId="0" borderId="9" xfId="0" applyBorder="1"/>
    <xf numFmtId="0" fontId="2" fillId="0" borderId="7" xfId="0" applyFont="1" applyFill="1" applyBorder="1"/>
    <xf numFmtId="0" fontId="2" fillId="2" borderId="10" xfId="0" applyFont="1" applyFill="1" applyBorder="1"/>
    <xf numFmtId="0" fontId="0" fillId="0" borderId="11" xfId="0" applyBorder="1"/>
    <xf numFmtId="0" fontId="0" fillId="0" borderId="12" xfId="0" applyBorder="1"/>
    <xf numFmtId="0" fontId="0" fillId="4" borderId="7" xfId="0" applyFill="1" applyBorder="1"/>
    <xf numFmtId="0" fontId="0" fillId="0" borderId="13" xfId="0" applyBorder="1"/>
    <xf numFmtId="0" fontId="0" fillId="0" borderId="14" xfId="0" applyBorder="1"/>
    <xf numFmtId="0" fontId="0" fillId="0" borderId="6" xfId="0" applyBorder="1"/>
    <xf numFmtId="0" fontId="2" fillId="3" borderId="6" xfId="0" applyFont="1" applyFill="1" applyBorder="1"/>
    <xf numFmtId="0" fontId="2" fillId="3" borderId="5" xfId="0" applyFont="1" applyFill="1" applyBorder="1"/>
    <xf numFmtId="0" fontId="0" fillId="0" borderId="7" xfId="0" applyBorder="1"/>
    <xf numFmtId="0" fontId="0" fillId="2" borderId="7" xfId="0" applyFill="1" applyBorder="1"/>
    <xf numFmtId="0" fontId="0" fillId="0" borderId="7" xfId="0" applyFill="1" applyBorder="1"/>
    <xf numFmtId="0" fontId="0" fillId="3" borderId="7" xfId="0" applyFill="1" applyBorder="1"/>
    <xf numFmtId="0" fontId="2" fillId="0" borderId="6" xfId="0" applyFont="1" applyFill="1" applyBorder="1"/>
    <xf numFmtId="0" fontId="0" fillId="5" borderId="7" xfId="0" applyFill="1" applyBorder="1"/>
    <xf numFmtId="0" fontId="0" fillId="0" borderId="0" xfId="0" applyFill="1" applyBorder="1"/>
    <xf numFmtId="0" fontId="0" fillId="2" borderId="0" xfId="0" applyFill="1" applyBorder="1"/>
    <xf numFmtId="0" fontId="0" fillId="3" borderId="0" xfId="0" applyFill="1" applyBorder="1"/>
    <xf numFmtId="0" fontId="0" fillId="4" borderId="0" xfId="0" applyFill="1" applyBorder="1"/>
    <xf numFmtId="0" fontId="0" fillId="0" borderId="15" xfId="0" applyBorder="1"/>
    <xf numFmtId="0" fontId="2" fillId="2" borderId="15" xfId="0" applyFont="1" applyFill="1" applyBorder="1"/>
    <xf numFmtId="0" fontId="0" fillId="3" borderId="15" xfId="0" applyFill="1" applyBorder="1"/>
    <xf numFmtId="0" fontId="0" fillId="0" borderId="16" xfId="0" applyBorder="1"/>
    <xf numFmtId="0" fontId="0" fillId="5" borderId="0" xfId="0" applyFill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1" fillId="0" borderId="0" xfId="0" applyFont="1" applyBorder="1"/>
    <xf numFmtId="0" fontId="0" fillId="0" borderId="0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1" fillId="0" borderId="7" xfId="0" applyFont="1" applyFill="1" applyBorder="1"/>
    <xf numFmtId="0" fontId="1" fillId="0" borderId="7" xfId="0" applyFont="1" applyFill="1" applyBorder="1" applyAlignment="1">
      <alignment horizontal="center" vertical="center"/>
    </xf>
    <xf numFmtId="0" fontId="2" fillId="5" borderId="7" xfId="0" applyFont="1" applyFill="1" applyBorder="1"/>
    <xf numFmtId="0" fontId="1" fillId="0" borderId="0" xfId="0" applyFont="1" applyFill="1" applyBorder="1"/>
    <xf numFmtId="0" fontId="1" fillId="0" borderId="0" xfId="0" applyFont="1" applyFill="1" applyBorder="1" applyAlignment="1">
      <alignment horizontal="center" vertical="center"/>
    </xf>
    <xf numFmtId="0" fontId="0" fillId="0" borderId="0" xfId="0" applyFill="1"/>
    <xf numFmtId="0" fontId="0" fillId="0" borderId="1" xfId="0" applyFill="1" applyBorder="1"/>
    <xf numFmtId="0" fontId="0" fillId="0" borderId="2" xfId="0" applyFill="1" applyBorder="1"/>
    <xf numFmtId="0" fontId="0" fillId="0" borderId="23" xfId="0" applyFill="1" applyBorder="1"/>
    <xf numFmtId="0" fontId="0" fillId="0" borderId="5" xfId="0" applyFill="1" applyBorder="1"/>
    <xf numFmtId="0" fontId="0" fillId="0" borderId="24" xfId="0" applyFill="1" applyBorder="1"/>
    <xf numFmtId="0" fontId="0" fillId="6" borderId="5" xfId="0" applyFill="1" applyBorder="1"/>
    <xf numFmtId="3" fontId="0" fillId="6" borderId="7" xfId="0" applyNumberFormat="1" applyFill="1" applyBorder="1"/>
    <xf numFmtId="0" fontId="0" fillId="6" borderId="7" xfId="0" applyFill="1" applyBorder="1"/>
    <xf numFmtId="0" fontId="0" fillId="6" borderId="24" xfId="0" applyFill="1" applyBorder="1"/>
    <xf numFmtId="0" fontId="0" fillId="0" borderId="28" xfId="0" applyFill="1" applyBorder="1"/>
    <xf numFmtId="0" fontId="4" fillId="0" borderId="0" xfId="0" applyFont="1" applyFill="1" applyAlignment="1">
      <alignment vertical="top" wrapText="1"/>
    </xf>
    <xf numFmtId="0" fontId="0" fillId="0" borderId="17" xfId="0" applyFill="1" applyBorder="1"/>
    <xf numFmtId="0" fontId="0" fillId="0" borderId="19" xfId="0" applyFill="1" applyBorder="1"/>
    <xf numFmtId="0" fontId="0" fillId="0" borderId="29" xfId="0" applyFill="1" applyBorder="1"/>
    <xf numFmtId="0" fontId="0" fillId="0" borderId="30" xfId="0" applyFill="1" applyBorder="1" applyAlignment="1">
      <alignment horizontal="center"/>
    </xf>
    <xf numFmtId="0" fontId="0" fillId="0" borderId="31" xfId="0" applyFill="1" applyBorder="1" applyAlignment="1">
      <alignment horizontal="center"/>
    </xf>
    <xf numFmtId="0" fontId="0" fillId="0" borderId="31" xfId="0" applyFill="1" applyBorder="1" applyAlignment="1">
      <alignment horizontal="left"/>
    </xf>
    <xf numFmtId="0" fontId="0" fillId="0" borderId="32" xfId="0" applyFill="1" applyBorder="1" applyAlignment="1">
      <alignment horizontal="left"/>
    </xf>
    <xf numFmtId="0" fontId="2" fillId="0" borderId="36" xfId="1" applyFont="1" applyBorder="1"/>
    <xf numFmtId="0" fontId="2" fillId="0" borderId="9" xfId="1" applyFont="1" applyBorder="1"/>
    <xf numFmtId="0" fontId="2" fillId="0" borderId="4" xfId="1" applyFont="1" applyBorder="1"/>
    <xf numFmtId="0" fontId="0" fillId="0" borderId="37" xfId="0" applyBorder="1"/>
    <xf numFmtId="0" fontId="2" fillId="3" borderId="10" xfId="0" applyFont="1" applyFill="1" applyBorder="1"/>
    <xf numFmtId="0" fontId="0" fillId="0" borderId="38" xfId="0" applyBorder="1"/>
    <xf numFmtId="0" fontId="0" fillId="0" borderId="39" xfId="0" applyBorder="1"/>
    <xf numFmtId="0" fontId="0" fillId="0" borderId="0" xfId="0" applyBorder="1" applyAlignment="1">
      <alignment horizontal="center" vertical="center"/>
    </xf>
    <xf numFmtId="0" fontId="0" fillId="0" borderId="0" xfId="0" quotePrefix="1" applyBorder="1"/>
    <xf numFmtId="0" fontId="0" fillId="0" borderId="0" xfId="0" quotePrefix="1" applyBorder="1" applyAlignment="1"/>
    <xf numFmtId="0" fontId="0" fillId="0" borderId="0" xfId="0" applyBorder="1" applyAlignment="1">
      <alignment wrapText="1"/>
    </xf>
    <xf numFmtId="0" fontId="0" fillId="0" borderId="0" xfId="0" applyFill="1" applyBorder="1" applyAlignment="1">
      <alignment wrapText="1"/>
    </xf>
    <xf numFmtId="0" fontId="0" fillId="0" borderId="7" xfId="0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/>
    </xf>
    <xf numFmtId="0" fontId="0" fillId="0" borderId="7" xfId="0" applyBorder="1" applyAlignment="1">
      <alignment vertical="center" wrapText="1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 wrapText="1"/>
    </xf>
    <xf numFmtId="0" fontId="0" fillId="0" borderId="7" xfId="0" quotePrefix="1" applyFill="1" applyBorder="1" applyAlignment="1">
      <alignment horizontal="center" vertical="center" wrapText="1"/>
    </xf>
    <xf numFmtId="0" fontId="0" fillId="8" borderId="7" xfId="0" applyFill="1" applyBorder="1" applyAlignment="1">
      <alignment horizontal="center" vertical="center" wrapText="1"/>
    </xf>
    <xf numFmtId="0" fontId="0" fillId="8" borderId="7" xfId="0" quotePrefix="1" applyFill="1" applyBorder="1" applyAlignment="1">
      <alignment horizontal="center" vertical="center" wrapText="1"/>
    </xf>
    <xf numFmtId="0" fontId="0" fillId="0" borderId="7" xfId="1" applyFont="1" applyFill="1" applyBorder="1" applyAlignment="1">
      <alignment horizontal="center" vertical="center"/>
    </xf>
    <xf numFmtId="0" fontId="0" fillId="0" borderId="7" xfId="1" applyFont="1" applyFill="1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7" xfId="0" applyFill="1" applyBorder="1" applyAlignment="1">
      <alignment vertical="center" wrapText="1"/>
    </xf>
    <xf numFmtId="0" fontId="1" fillId="0" borderId="7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0" fillId="0" borderId="7" xfId="0" applyFont="1" applyFill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0" fillId="0" borderId="7" xfId="1" applyFont="1" applyFill="1" applyBorder="1" applyAlignment="1">
      <alignment horizontal="center" vertical="center" wrapText="1"/>
    </xf>
    <xf numFmtId="0" fontId="0" fillId="0" borderId="0" xfId="0" applyBorder="1" applyAlignment="1"/>
    <xf numFmtId="0" fontId="0" fillId="0" borderId="0" xfId="0" applyFill="1" applyBorder="1" applyAlignment="1"/>
    <xf numFmtId="0" fontId="4" fillId="0" borderId="0" xfId="0" applyFont="1" applyBorder="1" applyAlignment="1">
      <alignment vertical="center"/>
    </xf>
    <xf numFmtId="0" fontId="0" fillId="0" borderId="7" xfId="0" applyFill="1" applyBorder="1" applyAlignment="1">
      <alignment vertical="center"/>
    </xf>
    <xf numFmtId="0" fontId="0" fillId="7" borderId="0" xfId="0" applyFill="1" applyBorder="1" applyAlignment="1">
      <alignment vertical="center"/>
    </xf>
    <xf numFmtId="0" fontId="0" fillId="0" borderId="0" xfId="0" quotePrefix="1" applyBorder="1" applyAlignment="1">
      <alignment vertical="center"/>
    </xf>
    <xf numFmtId="0" fontId="0" fillId="0" borderId="0" xfId="0" quotePrefix="1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/>
    <xf numFmtId="0" fontId="8" fillId="0" borderId="0" xfId="0" applyFont="1" applyFill="1" applyBorder="1" applyAlignment="1">
      <alignment vertical="center"/>
    </xf>
    <xf numFmtId="0" fontId="0" fillId="8" borderId="0" xfId="0" applyFill="1" applyBorder="1" applyAlignment="1">
      <alignment vertical="center"/>
    </xf>
    <xf numFmtId="0" fontId="4" fillId="0" borderId="4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vertical="center"/>
    </xf>
    <xf numFmtId="20" fontId="0" fillId="0" borderId="7" xfId="0" applyNumberFormat="1" applyFill="1" applyBorder="1" applyAlignment="1">
      <alignment horizontal="center" vertical="center" wrapText="1"/>
    </xf>
    <xf numFmtId="0" fontId="0" fillId="0" borderId="7" xfId="0" applyNumberFormat="1" applyFill="1" applyBorder="1" applyAlignment="1">
      <alignment horizontal="center" vertical="center" wrapText="1"/>
    </xf>
    <xf numFmtId="0" fontId="0" fillId="4" borderId="7" xfId="0" quotePrefix="1" applyFill="1" applyBorder="1" applyAlignment="1">
      <alignment horizontal="center" vertical="center" wrapText="1"/>
    </xf>
    <xf numFmtId="0" fontId="0" fillId="4" borderId="7" xfId="1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7" xfId="0" applyFont="1" applyFill="1" applyBorder="1" applyAlignment="1">
      <alignment horizontal="center" vertical="center" wrapText="1"/>
    </xf>
    <xf numFmtId="0" fontId="0" fillId="4" borderId="7" xfId="0" applyNumberFormat="1" applyFill="1" applyBorder="1" applyAlignment="1">
      <alignment horizontal="center" vertical="center" wrapText="1"/>
    </xf>
    <xf numFmtId="0" fontId="0" fillId="4" borderId="7" xfId="0" applyFill="1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0" fontId="0" fillId="0" borderId="10" xfId="1" applyFont="1" applyFill="1" applyBorder="1" applyAlignment="1">
      <alignment horizontal="center" vertical="center"/>
    </xf>
    <xf numFmtId="0" fontId="0" fillId="0" borderId="15" xfId="1" applyFont="1" applyFill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0" fillId="0" borderId="10" xfId="1" applyFont="1" applyFill="1" applyBorder="1" applyAlignment="1">
      <alignment horizontal="center" vertical="center" wrapText="1"/>
    </xf>
    <xf numFmtId="0" fontId="0" fillId="0" borderId="15" xfId="1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0" fillId="0" borderId="27" xfId="0" applyFill="1" applyBorder="1" applyAlignment="1">
      <alignment horizontal="left"/>
    </xf>
    <xf numFmtId="0" fontId="0" fillId="0" borderId="26" xfId="0" applyFill="1" applyBorder="1" applyAlignment="1">
      <alignment horizontal="left"/>
    </xf>
    <xf numFmtId="0" fontId="0" fillId="0" borderId="25" xfId="0" applyFill="1" applyBorder="1" applyAlignment="1">
      <alignment horizontal="left"/>
    </xf>
    <xf numFmtId="0" fontId="1" fillId="0" borderId="35" xfId="0" applyFont="1" applyFill="1" applyBorder="1" applyAlignment="1">
      <alignment horizontal="center"/>
    </xf>
    <xf numFmtId="0" fontId="1" fillId="0" borderId="34" xfId="0" applyFont="1" applyFill="1" applyBorder="1" applyAlignment="1">
      <alignment horizontal="center"/>
    </xf>
    <xf numFmtId="0" fontId="1" fillId="0" borderId="33" xfId="0" applyFont="1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0" fillId="0" borderId="31" xfId="0" applyFill="1" applyBorder="1" applyAlignment="1">
      <alignment horizontal="center"/>
    </xf>
    <xf numFmtId="0" fontId="0" fillId="0" borderId="30" xfId="0" applyFill="1" applyBorder="1" applyAlignment="1">
      <alignment horizontal="center"/>
    </xf>
    <xf numFmtId="0" fontId="0" fillId="0" borderId="29" xfId="0" applyFill="1" applyBorder="1" applyAlignment="1">
      <alignment horizontal="left"/>
    </xf>
    <xf numFmtId="0" fontId="0" fillId="0" borderId="19" xfId="0" applyFill="1" applyBorder="1" applyAlignment="1">
      <alignment horizontal="left"/>
    </xf>
    <xf numFmtId="0" fontId="0" fillId="0" borderId="17" xfId="0" applyFill="1" applyBorder="1" applyAlignment="1">
      <alignment horizontal="left"/>
    </xf>
    <xf numFmtId="0" fontId="0" fillId="4" borderId="10" xfId="0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7" xfId="0" quotePrefix="1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1" fillId="0" borderId="8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Dropbox/My%20PC%20(DESKTOP-C80LV6H)/Documents/PENELITIAN%20VCP/ABM/Tabel%20Flow%20ABM%2013%2020%20Aug/Tabel%20Flow%20ABM%2013/Data%20Faktor%20Lingkungan/Initial%20Condition%20(IC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i&amp;Fis_IC"/>
      <sheetName val="Bio_IC"/>
      <sheetName val="Kebiasaan_IC"/>
      <sheetName val="Peralatan_IC"/>
      <sheetName val="Mesin_IC"/>
      <sheetName val="Lampu_IC"/>
      <sheetName val="Dinamis_IC"/>
      <sheetName val="Statis_IC"/>
      <sheetName val="Utilitas_IC"/>
      <sheetName val="Data Lingkungan_I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80">
          <cell r="DK80"/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67"/>
  <sheetViews>
    <sheetView zoomScaleNormal="100" workbookViewId="0">
      <selection activeCell="C5" sqref="C5"/>
    </sheetView>
  </sheetViews>
  <sheetFormatPr defaultRowHeight="15" x14ac:dyDescent="0.25"/>
  <cols>
    <col min="1" max="1" width="44.5703125" style="1" bestFit="1" customWidth="1"/>
    <col min="2" max="2" width="4.140625" style="1" customWidth="1"/>
    <col min="3" max="3" width="28.42578125" style="1" customWidth="1"/>
    <col min="4" max="5" width="29.5703125" style="1" customWidth="1"/>
    <col min="6" max="7" width="26.85546875" style="1" bestFit="1" customWidth="1"/>
    <col min="8" max="8" width="21.28515625" style="1" bestFit="1" customWidth="1"/>
    <col min="9" max="16384" width="9.140625" style="1"/>
  </cols>
  <sheetData>
    <row r="2" spans="1:11" x14ac:dyDescent="0.25">
      <c r="B2" s="44" t="s">
        <v>91</v>
      </c>
    </row>
    <row r="3" spans="1:11" ht="15.75" thickBot="1" x14ac:dyDescent="0.3"/>
    <row r="4" spans="1:11" ht="15.75" thickBot="1" x14ac:dyDescent="0.3">
      <c r="A4" s="1" t="s">
        <v>175</v>
      </c>
      <c r="B4" s="43" t="s">
        <v>90</v>
      </c>
      <c r="C4" s="42" t="s">
        <v>89</v>
      </c>
      <c r="D4" s="41" t="s">
        <v>88</v>
      </c>
      <c r="E4" s="41" t="s">
        <v>87</v>
      </c>
      <c r="F4" s="41" t="s">
        <v>86</v>
      </c>
      <c r="G4" s="40" t="s">
        <v>85</v>
      </c>
      <c r="H4" s="39" t="s">
        <v>84</v>
      </c>
      <c r="J4" s="38"/>
      <c r="K4" s="1" t="s">
        <v>83</v>
      </c>
    </row>
    <row r="5" spans="1:11" x14ac:dyDescent="0.25">
      <c r="A5" s="72" t="s">
        <v>82</v>
      </c>
      <c r="B5" s="19">
        <v>1</v>
      </c>
      <c r="C5" s="37" t="s">
        <v>82</v>
      </c>
      <c r="D5" s="36" t="s">
        <v>45</v>
      </c>
      <c r="E5" s="35" t="s">
        <v>13</v>
      </c>
      <c r="F5" s="34"/>
      <c r="G5" s="17"/>
      <c r="H5" s="16"/>
      <c r="J5" s="33"/>
      <c r="K5" s="1" t="s">
        <v>81</v>
      </c>
    </row>
    <row r="6" spans="1:11" x14ac:dyDescent="0.25">
      <c r="A6" s="73" t="s">
        <v>80</v>
      </c>
      <c r="B6" s="13">
        <v>2</v>
      </c>
      <c r="C6" s="12" t="s">
        <v>80</v>
      </c>
      <c r="D6" s="27" t="s">
        <v>60</v>
      </c>
      <c r="E6" s="10" t="s">
        <v>13</v>
      </c>
      <c r="F6" s="24"/>
      <c r="G6" s="21"/>
      <c r="H6" s="8"/>
      <c r="J6" s="32"/>
      <c r="K6" s="30" t="s">
        <v>79</v>
      </c>
    </row>
    <row r="7" spans="1:11" x14ac:dyDescent="0.25">
      <c r="A7" s="73" t="s">
        <v>78</v>
      </c>
      <c r="B7" s="13">
        <v>3</v>
      </c>
      <c r="C7" s="12" t="s">
        <v>78</v>
      </c>
      <c r="D7" s="11" t="s">
        <v>15</v>
      </c>
      <c r="E7" s="10" t="s">
        <v>13</v>
      </c>
      <c r="F7" s="24"/>
      <c r="G7" s="21"/>
      <c r="H7" s="8"/>
      <c r="J7" s="31"/>
      <c r="K7" s="30" t="s">
        <v>77</v>
      </c>
    </row>
    <row r="8" spans="1:11" x14ac:dyDescent="0.25">
      <c r="A8" s="73" t="s">
        <v>76</v>
      </c>
      <c r="B8" s="13">
        <v>4</v>
      </c>
      <c r="C8" s="12" t="s">
        <v>76</v>
      </c>
      <c r="D8" s="10" t="s">
        <v>2</v>
      </c>
      <c r="E8" s="14"/>
      <c r="F8" s="24"/>
      <c r="G8" s="21"/>
      <c r="H8" s="8"/>
    </row>
    <row r="9" spans="1:11" x14ac:dyDescent="0.25">
      <c r="A9" s="73" t="s">
        <v>75</v>
      </c>
      <c r="B9" s="13">
        <v>5</v>
      </c>
      <c r="C9" s="12" t="s">
        <v>75</v>
      </c>
      <c r="D9" s="11" t="s">
        <v>62</v>
      </c>
      <c r="E9" s="10" t="s">
        <v>13</v>
      </c>
      <c r="F9" s="24"/>
      <c r="G9" s="21"/>
      <c r="H9" s="8"/>
    </row>
    <row r="10" spans="1:11" x14ac:dyDescent="0.25">
      <c r="A10" s="73" t="s">
        <v>74</v>
      </c>
      <c r="B10" s="13">
        <v>6</v>
      </c>
      <c r="C10" s="12" t="s">
        <v>74</v>
      </c>
      <c r="D10" s="29"/>
      <c r="E10" s="10" t="s">
        <v>13</v>
      </c>
      <c r="F10" s="24"/>
      <c r="G10" s="21"/>
      <c r="H10" s="8"/>
    </row>
    <row r="11" spans="1:11" x14ac:dyDescent="0.25">
      <c r="A11" s="73" t="s">
        <v>73</v>
      </c>
      <c r="B11" s="13">
        <v>7</v>
      </c>
      <c r="C11" s="12" t="s">
        <v>73</v>
      </c>
      <c r="D11" s="11" t="s">
        <v>65</v>
      </c>
      <c r="E11" s="10" t="s">
        <v>13</v>
      </c>
      <c r="F11" s="24"/>
      <c r="G11" s="21"/>
      <c r="H11" s="8"/>
    </row>
    <row r="12" spans="1:11" x14ac:dyDescent="0.25">
      <c r="A12" s="73" t="s">
        <v>72</v>
      </c>
      <c r="B12" s="13">
        <v>8</v>
      </c>
      <c r="C12" s="12" t="s">
        <v>72</v>
      </c>
      <c r="D12" s="11" t="s">
        <v>67</v>
      </c>
      <c r="E12" s="10" t="s">
        <v>13</v>
      </c>
      <c r="F12" s="24"/>
      <c r="G12" s="21"/>
      <c r="H12" s="8"/>
    </row>
    <row r="13" spans="1:11" x14ac:dyDescent="0.25">
      <c r="A13" s="73" t="s">
        <v>71</v>
      </c>
      <c r="B13" s="13">
        <v>9</v>
      </c>
      <c r="C13" s="12" t="s">
        <v>71</v>
      </c>
      <c r="D13" s="11" t="s">
        <v>70</v>
      </c>
      <c r="E13" s="10" t="s">
        <v>13</v>
      </c>
      <c r="F13" s="24"/>
      <c r="G13" s="21"/>
      <c r="H13" s="8"/>
    </row>
    <row r="14" spans="1:11" x14ac:dyDescent="0.25">
      <c r="A14" s="73" t="s">
        <v>69</v>
      </c>
      <c r="B14" s="13">
        <v>10</v>
      </c>
      <c r="C14" s="12" t="s">
        <v>69</v>
      </c>
      <c r="D14" s="10" t="s">
        <v>15</v>
      </c>
      <c r="E14" s="11" t="s">
        <v>13</v>
      </c>
      <c r="F14" s="24"/>
      <c r="G14" s="21"/>
      <c r="H14" s="8"/>
    </row>
    <row r="15" spans="1:11" x14ac:dyDescent="0.25">
      <c r="A15" s="73" t="s">
        <v>68</v>
      </c>
      <c r="B15" s="13">
        <v>11</v>
      </c>
      <c r="C15" s="12" t="s">
        <v>68</v>
      </c>
      <c r="D15" s="11" t="s">
        <v>67</v>
      </c>
      <c r="E15" s="11" t="s">
        <v>2</v>
      </c>
      <c r="F15" s="14"/>
      <c r="G15" s="21"/>
      <c r="H15" s="8"/>
    </row>
    <row r="16" spans="1:11" x14ac:dyDescent="0.25">
      <c r="A16" s="73" t="s">
        <v>66</v>
      </c>
      <c r="B16" s="13">
        <v>12</v>
      </c>
      <c r="C16" s="12" t="s">
        <v>66</v>
      </c>
      <c r="D16" s="11" t="s">
        <v>65</v>
      </c>
      <c r="E16" s="11" t="s">
        <v>2</v>
      </c>
      <c r="F16" s="14"/>
      <c r="G16" s="21"/>
      <c r="H16" s="8"/>
    </row>
    <row r="17" spans="1:8" x14ac:dyDescent="0.25">
      <c r="A17" s="73" t="s">
        <v>64</v>
      </c>
      <c r="B17" s="13">
        <v>13</v>
      </c>
      <c r="C17" s="12" t="s">
        <v>64</v>
      </c>
      <c r="D17" s="29"/>
      <c r="E17" s="11" t="s">
        <v>2</v>
      </c>
      <c r="F17" s="14"/>
      <c r="G17" s="21"/>
      <c r="H17" s="8"/>
    </row>
    <row r="18" spans="1:8" x14ac:dyDescent="0.25">
      <c r="A18" s="73" t="s">
        <v>63</v>
      </c>
      <c r="B18" s="13">
        <v>14</v>
      </c>
      <c r="C18" s="12" t="s">
        <v>63</v>
      </c>
      <c r="D18" s="11" t="s">
        <v>62</v>
      </c>
      <c r="E18" s="11" t="s">
        <v>2</v>
      </c>
      <c r="F18" s="14"/>
      <c r="G18" s="21"/>
      <c r="H18" s="8"/>
    </row>
    <row r="19" spans="1:8" x14ac:dyDescent="0.25">
      <c r="A19" s="73" t="s">
        <v>61</v>
      </c>
      <c r="B19" s="13">
        <v>15</v>
      </c>
      <c r="C19" s="12" t="s">
        <v>61</v>
      </c>
      <c r="D19" s="27" t="s">
        <v>60</v>
      </c>
      <c r="E19" s="11" t="s">
        <v>2</v>
      </c>
      <c r="F19" s="14"/>
      <c r="G19" s="21"/>
      <c r="H19" s="8"/>
    </row>
    <row r="20" spans="1:8" x14ac:dyDescent="0.25">
      <c r="A20" s="73" t="s">
        <v>157</v>
      </c>
      <c r="B20" s="13"/>
      <c r="C20" s="73" t="s">
        <v>157</v>
      </c>
      <c r="D20" s="27"/>
      <c r="E20" s="11"/>
      <c r="F20" s="14"/>
      <c r="G20" s="21"/>
      <c r="H20" s="8"/>
    </row>
    <row r="21" spans="1:8" x14ac:dyDescent="0.25">
      <c r="A21" s="73" t="s">
        <v>59</v>
      </c>
      <c r="B21" s="13">
        <v>16</v>
      </c>
      <c r="C21" s="12" t="s">
        <v>59</v>
      </c>
      <c r="D21" s="11" t="s">
        <v>15</v>
      </c>
      <c r="E21" s="11" t="s">
        <v>2</v>
      </c>
      <c r="F21" s="14"/>
      <c r="G21" s="21"/>
      <c r="H21" s="8"/>
    </row>
    <row r="22" spans="1:8" x14ac:dyDescent="0.25">
      <c r="A22" s="73" t="s">
        <v>158</v>
      </c>
      <c r="B22" s="13">
        <v>17</v>
      </c>
      <c r="C22" s="12" t="s">
        <v>58</v>
      </c>
      <c r="D22" s="11" t="s">
        <v>3</v>
      </c>
      <c r="E22" s="11" t="s">
        <v>2</v>
      </c>
      <c r="F22" s="14"/>
      <c r="G22" s="21"/>
      <c r="H22" s="8"/>
    </row>
    <row r="23" spans="1:8" x14ac:dyDescent="0.25">
      <c r="A23" s="73" t="s">
        <v>159</v>
      </c>
      <c r="B23" s="13">
        <v>18</v>
      </c>
      <c r="C23" s="12" t="s">
        <v>57</v>
      </c>
      <c r="D23" s="10" t="s">
        <v>24</v>
      </c>
      <c r="E23" s="27" t="s">
        <v>23</v>
      </c>
      <c r="G23" s="21"/>
      <c r="H23" s="8"/>
    </row>
    <row r="24" spans="1:8" x14ac:dyDescent="0.25">
      <c r="A24" s="73" t="s">
        <v>56</v>
      </c>
      <c r="B24" s="13">
        <v>19</v>
      </c>
      <c r="C24" s="12" t="s">
        <v>56</v>
      </c>
      <c r="D24" s="11" t="s">
        <v>24</v>
      </c>
      <c r="E24" s="11" t="s">
        <v>2</v>
      </c>
      <c r="F24" s="14"/>
      <c r="G24" s="21"/>
      <c r="H24" s="8"/>
    </row>
    <row r="25" spans="1:8" x14ac:dyDescent="0.25">
      <c r="A25" s="73" t="s">
        <v>55</v>
      </c>
      <c r="B25" s="13">
        <v>20</v>
      </c>
      <c r="C25" s="12" t="s">
        <v>55</v>
      </c>
      <c r="D25" s="18"/>
      <c r="E25" s="10" t="s">
        <v>13</v>
      </c>
      <c r="F25" s="24"/>
      <c r="G25" s="21"/>
      <c r="H25" s="8"/>
    </row>
    <row r="26" spans="1:8" x14ac:dyDescent="0.25">
      <c r="A26" s="73" t="s">
        <v>54</v>
      </c>
      <c r="B26" s="13">
        <v>21</v>
      </c>
      <c r="C26" s="12" t="s">
        <v>54</v>
      </c>
      <c r="D26" s="10" t="s">
        <v>15</v>
      </c>
      <c r="E26" s="10" t="s">
        <v>13</v>
      </c>
      <c r="F26" s="10" t="s">
        <v>10</v>
      </c>
      <c r="G26" s="22" t="s">
        <v>19</v>
      </c>
      <c r="H26" s="23" t="s">
        <v>11</v>
      </c>
    </row>
    <row r="27" spans="1:8" x14ac:dyDescent="0.25">
      <c r="A27" s="73" t="s">
        <v>53</v>
      </c>
      <c r="B27" s="13">
        <v>22</v>
      </c>
      <c r="C27" s="12" t="s">
        <v>53</v>
      </c>
      <c r="D27" s="10" t="s">
        <v>15</v>
      </c>
      <c r="E27" s="10" t="s">
        <v>13</v>
      </c>
      <c r="F27" s="10" t="s">
        <v>10</v>
      </c>
      <c r="G27" s="22" t="s">
        <v>11</v>
      </c>
      <c r="H27" s="8"/>
    </row>
    <row r="28" spans="1:8" x14ac:dyDescent="0.25">
      <c r="A28" s="73" t="s">
        <v>52</v>
      </c>
      <c r="B28" s="13">
        <v>23</v>
      </c>
      <c r="C28" s="12" t="s">
        <v>52</v>
      </c>
      <c r="D28" s="10" t="s">
        <v>51</v>
      </c>
      <c r="E28" s="10" t="s">
        <v>10</v>
      </c>
      <c r="F28" s="10" t="s">
        <v>13</v>
      </c>
      <c r="G28" s="11" t="s">
        <v>11</v>
      </c>
      <c r="H28" s="8"/>
    </row>
    <row r="29" spans="1:8" x14ac:dyDescent="0.25">
      <c r="A29" s="73" t="s">
        <v>50</v>
      </c>
      <c r="B29" s="13">
        <v>24</v>
      </c>
      <c r="C29" s="12" t="s">
        <v>50</v>
      </c>
      <c r="D29" s="10" t="s">
        <v>3</v>
      </c>
      <c r="E29" s="11" t="s">
        <v>2</v>
      </c>
      <c r="F29" s="25" t="s">
        <v>1</v>
      </c>
      <c r="G29" s="10" t="s">
        <v>0</v>
      </c>
      <c r="H29" s="8"/>
    </row>
    <row r="30" spans="1:8" x14ac:dyDescent="0.25">
      <c r="A30" s="73" t="s">
        <v>160</v>
      </c>
      <c r="B30" s="13">
        <v>25</v>
      </c>
      <c r="C30" s="12" t="s">
        <v>49</v>
      </c>
      <c r="D30" s="18"/>
      <c r="E30" s="10" t="s">
        <v>13</v>
      </c>
      <c r="F30" s="10" t="s">
        <v>10</v>
      </c>
      <c r="G30" s="21"/>
      <c r="H30" s="8"/>
    </row>
    <row r="31" spans="1:8" x14ac:dyDescent="0.25">
      <c r="A31" s="73" t="s">
        <v>161</v>
      </c>
      <c r="B31" s="13"/>
      <c r="C31" s="73" t="s">
        <v>161</v>
      </c>
      <c r="D31" s="18"/>
      <c r="E31" s="10"/>
      <c r="F31" s="10"/>
      <c r="G31" s="21"/>
      <c r="H31" s="8"/>
    </row>
    <row r="32" spans="1:8" x14ac:dyDescent="0.25">
      <c r="A32" s="73" t="s">
        <v>48</v>
      </c>
      <c r="B32" s="13">
        <v>26</v>
      </c>
      <c r="C32" s="12" t="s">
        <v>48</v>
      </c>
      <c r="D32" s="25" t="s">
        <v>45</v>
      </c>
      <c r="E32" s="27" t="s">
        <v>1</v>
      </c>
      <c r="F32" s="10" t="s">
        <v>43</v>
      </c>
      <c r="G32" s="21"/>
      <c r="H32" s="8"/>
    </row>
    <row r="33" spans="1:8" x14ac:dyDescent="0.25">
      <c r="A33" s="73" t="s">
        <v>47</v>
      </c>
      <c r="B33" s="13">
        <v>27</v>
      </c>
      <c r="C33" s="12" t="s">
        <v>47</v>
      </c>
      <c r="D33" s="10" t="s">
        <v>38</v>
      </c>
      <c r="E33" s="10" t="s">
        <v>13</v>
      </c>
      <c r="F33" s="22" t="s">
        <v>10</v>
      </c>
      <c r="G33" s="21"/>
      <c r="H33" s="8"/>
    </row>
    <row r="34" spans="1:8" x14ac:dyDescent="0.25">
      <c r="A34" s="73" t="s">
        <v>46</v>
      </c>
      <c r="B34" s="13">
        <v>28</v>
      </c>
      <c r="C34" s="12" t="s">
        <v>46</v>
      </c>
      <c r="D34" s="25" t="s">
        <v>45</v>
      </c>
      <c r="E34" s="27" t="s">
        <v>1</v>
      </c>
      <c r="F34" s="10" t="s">
        <v>43</v>
      </c>
      <c r="G34" s="21"/>
      <c r="H34" s="8"/>
    </row>
    <row r="35" spans="1:8" x14ac:dyDescent="0.25">
      <c r="A35" s="73" t="s">
        <v>162</v>
      </c>
      <c r="B35" s="13">
        <v>29</v>
      </c>
      <c r="C35" s="12" t="s">
        <v>44</v>
      </c>
      <c r="D35" s="11" t="s">
        <v>43</v>
      </c>
      <c r="E35" s="24"/>
      <c r="F35" s="24"/>
      <c r="G35" s="21"/>
      <c r="H35" s="8"/>
    </row>
    <row r="36" spans="1:8" x14ac:dyDescent="0.25">
      <c r="A36" s="73" t="s">
        <v>42</v>
      </c>
      <c r="B36" s="13">
        <v>30</v>
      </c>
      <c r="C36" s="12" t="s">
        <v>42</v>
      </c>
      <c r="D36" s="10" t="s">
        <v>15</v>
      </c>
      <c r="E36" s="10" t="s">
        <v>13</v>
      </c>
      <c r="F36" s="10" t="s">
        <v>10</v>
      </c>
      <c r="G36" s="22" t="s">
        <v>19</v>
      </c>
      <c r="H36" s="23" t="s">
        <v>11</v>
      </c>
    </row>
    <row r="37" spans="1:8" x14ac:dyDescent="0.25">
      <c r="A37" s="73" t="s">
        <v>41</v>
      </c>
      <c r="B37" s="13">
        <v>31</v>
      </c>
      <c r="C37" s="12" t="s">
        <v>41</v>
      </c>
      <c r="D37" s="10" t="s">
        <v>15</v>
      </c>
      <c r="E37" s="10" t="s">
        <v>13</v>
      </c>
      <c r="F37" s="10" t="s">
        <v>10</v>
      </c>
      <c r="G37" s="22" t="s">
        <v>11</v>
      </c>
      <c r="H37" s="8"/>
    </row>
    <row r="38" spans="1:8" x14ac:dyDescent="0.25">
      <c r="A38" s="73" t="s">
        <v>163</v>
      </c>
      <c r="B38" s="13">
        <v>32</v>
      </c>
      <c r="C38" s="12" t="s">
        <v>40</v>
      </c>
      <c r="D38" s="18"/>
      <c r="E38" s="10" t="s">
        <v>13</v>
      </c>
      <c r="F38" s="10" t="s">
        <v>10</v>
      </c>
      <c r="G38" s="21"/>
      <c r="H38" s="8"/>
    </row>
    <row r="39" spans="1:8" x14ac:dyDescent="0.25">
      <c r="A39" s="73" t="s">
        <v>164</v>
      </c>
      <c r="B39" s="13"/>
      <c r="C39" s="73" t="s">
        <v>164</v>
      </c>
      <c r="D39" s="18"/>
      <c r="E39" s="10"/>
      <c r="F39" s="10"/>
      <c r="G39" s="21"/>
      <c r="H39" s="8"/>
    </row>
    <row r="40" spans="1:8" x14ac:dyDescent="0.25">
      <c r="A40" s="73" t="s">
        <v>39</v>
      </c>
      <c r="B40" s="13">
        <v>33</v>
      </c>
      <c r="C40" s="12" t="s">
        <v>39</v>
      </c>
      <c r="D40" s="10" t="s">
        <v>38</v>
      </c>
      <c r="E40" s="10" t="s">
        <v>13</v>
      </c>
      <c r="F40" s="11" t="s">
        <v>10</v>
      </c>
      <c r="G40" s="28"/>
      <c r="H40" s="8"/>
    </row>
    <row r="41" spans="1:8" x14ac:dyDescent="0.25">
      <c r="A41" s="73" t="s">
        <v>37</v>
      </c>
      <c r="B41" s="13">
        <v>34</v>
      </c>
      <c r="C41" s="12" t="s">
        <v>37</v>
      </c>
      <c r="D41" s="11" t="s">
        <v>33</v>
      </c>
      <c r="E41" s="10" t="s">
        <v>13</v>
      </c>
      <c r="F41" s="24"/>
      <c r="G41" s="21"/>
      <c r="H41" s="8"/>
    </row>
    <row r="42" spans="1:8" x14ac:dyDescent="0.25">
      <c r="A42" s="73" t="s">
        <v>35</v>
      </c>
      <c r="B42" s="13">
        <v>35</v>
      </c>
      <c r="C42" s="12" t="s">
        <v>36</v>
      </c>
      <c r="D42" s="11" t="s">
        <v>31</v>
      </c>
      <c r="E42" s="10" t="s">
        <v>13</v>
      </c>
      <c r="F42" s="24"/>
      <c r="G42" s="21"/>
      <c r="H42" s="8"/>
    </row>
    <row r="43" spans="1:8" x14ac:dyDescent="0.25">
      <c r="A43" s="73" t="s">
        <v>36</v>
      </c>
      <c r="B43" s="13">
        <v>36</v>
      </c>
      <c r="C43" s="12" t="s">
        <v>35</v>
      </c>
      <c r="D43" s="11" t="s">
        <v>29</v>
      </c>
      <c r="E43" s="10" t="s">
        <v>13</v>
      </c>
      <c r="F43" s="24"/>
      <c r="G43" s="21"/>
      <c r="H43" s="8"/>
    </row>
    <row r="44" spans="1:8" x14ac:dyDescent="0.25">
      <c r="A44" s="73" t="s">
        <v>34</v>
      </c>
      <c r="B44" s="13">
        <v>37</v>
      </c>
      <c r="C44" s="12" t="s">
        <v>34</v>
      </c>
      <c r="D44" s="11" t="s">
        <v>33</v>
      </c>
      <c r="E44" s="11" t="s">
        <v>2</v>
      </c>
      <c r="F44" s="14"/>
      <c r="G44" s="21"/>
      <c r="H44" s="8"/>
    </row>
    <row r="45" spans="1:8" x14ac:dyDescent="0.25">
      <c r="A45" s="73" t="s">
        <v>30</v>
      </c>
      <c r="B45" s="13">
        <v>38</v>
      </c>
      <c r="C45" s="12" t="s">
        <v>32</v>
      </c>
      <c r="D45" s="11" t="s">
        <v>31</v>
      </c>
      <c r="E45" s="11" t="s">
        <v>2</v>
      </c>
      <c r="F45" s="14"/>
      <c r="G45" s="21"/>
      <c r="H45" s="8"/>
    </row>
    <row r="46" spans="1:8" x14ac:dyDescent="0.25">
      <c r="A46" s="73" t="s">
        <v>32</v>
      </c>
      <c r="B46" s="13">
        <v>39</v>
      </c>
      <c r="C46" s="12" t="s">
        <v>30</v>
      </c>
      <c r="D46" s="11" t="s">
        <v>29</v>
      </c>
      <c r="E46" s="11" t="s">
        <v>2</v>
      </c>
      <c r="F46" s="14"/>
      <c r="G46" s="21"/>
      <c r="H46" s="8"/>
    </row>
    <row r="47" spans="1:8" x14ac:dyDescent="0.25">
      <c r="A47" s="73" t="s">
        <v>165</v>
      </c>
      <c r="B47" s="13"/>
      <c r="C47" s="73" t="s">
        <v>165</v>
      </c>
      <c r="D47" s="11"/>
      <c r="E47" s="11"/>
      <c r="F47" s="14"/>
      <c r="G47" s="21"/>
      <c r="H47" s="8"/>
    </row>
    <row r="48" spans="1:8" x14ac:dyDescent="0.25">
      <c r="A48" s="73" t="s">
        <v>166</v>
      </c>
      <c r="B48" s="13">
        <v>40</v>
      </c>
      <c r="C48" s="12" t="s">
        <v>28</v>
      </c>
      <c r="D48" s="10" t="s">
        <v>26</v>
      </c>
      <c r="E48" s="24"/>
      <c r="F48" s="24"/>
      <c r="G48" s="21"/>
      <c r="H48" s="8"/>
    </row>
    <row r="49" spans="1:8" x14ac:dyDescent="0.25">
      <c r="A49" s="73" t="s">
        <v>27</v>
      </c>
      <c r="B49" s="13">
        <v>41</v>
      </c>
      <c r="C49" s="12" t="s">
        <v>27</v>
      </c>
      <c r="D49" s="11" t="s">
        <v>26</v>
      </c>
      <c r="E49" s="24"/>
      <c r="F49" s="24"/>
      <c r="G49" s="21"/>
      <c r="H49" s="8"/>
    </row>
    <row r="50" spans="1:8" x14ac:dyDescent="0.25">
      <c r="A50" s="73" t="s">
        <v>167</v>
      </c>
      <c r="B50" s="13">
        <v>42</v>
      </c>
      <c r="C50" s="12" t="s">
        <v>25</v>
      </c>
      <c r="D50" s="10" t="s">
        <v>24</v>
      </c>
      <c r="E50" s="27" t="s">
        <v>23</v>
      </c>
      <c r="F50" s="26"/>
      <c r="G50" s="21"/>
      <c r="H50" s="8"/>
    </row>
    <row r="51" spans="1:8" x14ac:dyDescent="0.25">
      <c r="A51" s="73" t="s">
        <v>168</v>
      </c>
      <c r="B51" s="13"/>
      <c r="C51" s="73" t="s">
        <v>168</v>
      </c>
      <c r="D51" s="10"/>
      <c r="E51" s="27"/>
      <c r="F51" s="26"/>
      <c r="G51" s="21"/>
      <c r="H51" s="8"/>
    </row>
    <row r="52" spans="1:8" x14ac:dyDescent="0.25">
      <c r="A52" s="73" t="s">
        <v>169</v>
      </c>
      <c r="B52" s="13"/>
      <c r="C52" s="73" t="s">
        <v>169</v>
      </c>
      <c r="D52" s="10"/>
      <c r="E52" s="27"/>
      <c r="F52" s="26"/>
      <c r="G52" s="21"/>
      <c r="H52" s="8"/>
    </row>
    <row r="53" spans="1:8" x14ac:dyDescent="0.25">
      <c r="A53" s="73" t="s">
        <v>170</v>
      </c>
      <c r="B53" s="13">
        <v>43</v>
      </c>
      <c r="C53" s="12" t="s">
        <v>22</v>
      </c>
      <c r="D53" s="10" t="s">
        <v>3</v>
      </c>
      <c r="E53" s="11" t="s">
        <v>2</v>
      </c>
      <c r="F53" s="25" t="s">
        <v>1</v>
      </c>
      <c r="G53" s="10" t="s">
        <v>0</v>
      </c>
      <c r="H53" s="8"/>
    </row>
    <row r="54" spans="1:8" x14ac:dyDescent="0.25">
      <c r="A54" s="73" t="s">
        <v>21</v>
      </c>
      <c r="B54" s="13">
        <v>44</v>
      </c>
      <c r="C54" s="12" t="s">
        <v>21</v>
      </c>
      <c r="D54" s="10" t="s">
        <v>11</v>
      </c>
      <c r="E54" s="24"/>
      <c r="F54" s="24"/>
      <c r="G54" s="21"/>
      <c r="H54" s="8"/>
    </row>
    <row r="55" spans="1:8" x14ac:dyDescent="0.25">
      <c r="A55" s="73" t="s">
        <v>20</v>
      </c>
      <c r="B55" s="13">
        <v>45</v>
      </c>
      <c r="C55" s="12" t="s">
        <v>20</v>
      </c>
      <c r="D55" s="10" t="s">
        <v>15</v>
      </c>
      <c r="E55" s="10" t="s">
        <v>13</v>
      </c>
      <c r="F55" s="10" t="s">
        <v>10</v>
      </c>
      <c r="G55" s="22" t="s">
        <v>19</v>
      </c>
      <c r="H55" s="23" t="s">
        <v>11</v>
      </c>
    </row>
    <row r="56" spans="1:8" x14ac:dyDescent="0.25">
      <c r="A56" s="73" t="s">
        <v>18</v>
      </c>
      <c r="B56" s="13">
        <v>46</v>
      </c>
      <c r="C56" s="12" t="s">
        <v>18</v>
      </c>
      <c r="D56" s="10" t="s">
        <v>15</v>
      </c>
      <c r="E56" s="10" t="s">
        <v>13</v>
      </c>
      <c r="F56" s="10" t="s">
        <v>10</v>
      </c>
      <c r="G56" s="22" t="s">
        <v>11</v>
      </c>
      <c r="H56" s="8"/>
    </row>
    <row r="57" spans="1:8" x14ac:dyDescent="0.25">
      <c r="A57" s="73" t="s">
        <v>171</v>
      </c>
      <c r="B57" s="13">
        <v>47</v>
      </c>
      <c r="C57" s="12" t="s">
        <v>17</v>
      </c>
      <c r="D57" s="18"/>
      <c r="E57" s="10" t="s">
        <v>13</v>
      </c>
      <c r="F57" s="10" t="s">
        <v>10</v>
      </c>
      <c r="G57" s="21"/>
      <c r="H57" s="8"/>
    </row>
    <row r="58" spans="1:8" ht="15.75" thickBot="1" x14ac:dyDescent="0.3">
      <c r="A58" s="73" t="s">
        <v>16</v>
      </c>
      <c r="B58" s="7">
        <v>48</v>
      </c>
      <c r="C58" s="6" t="s">
        <v>16</v>
      </c>
      <c r="D58" s="3" t="s">
        <v>15</v>
      </c>
      <c r="E58" s="3" t="s">
        <v>13</v>
      </c>
      <c r="F58" s="5" t="s">
        <v>10</v>
      </c>
      <c r="G58" s="20"/>
      <c r="H58" s="2"/>
    </row>
    <row r="59" spans="1:8" x14ac:dyDescent="0.25">
      <c r="A59" s="73" t="s">
        <v>172</v>
      </c>
      <c r="B59" s="75"/>
      <c r="C59" s="73" t="s">
        <v>172</v>
      </c>
      <c r="D59" s="15"/>
      <c r="E59" s="15"/>
      <c r="F59" s="76"/>
      <c r="G59" s="77"/>
      <c r="H59" s="78"/>
    </row>
    <row r="60" spans="1:8" x14ac:dyDescent="0.25">
      <c r="A60" s="73" t="s">
        <v>173</v>
      </c>
      <c r="B60" s="75"/>
      <c r="C60" s="73" t="s">
        <v>173</v>
      </c>
      <c r="D60" s="15"/>
      <c r="E60" s="15"/>
      <c r="F60" s="76"/>
      <c r="G60" s="77"/>
      <c r="H60" s="78"/>
    </row>
    <row r="61" spans="1:8" ht="15.75" thickBot="1" x14ac:dyDescent="0.3">
      <c r="A61" s="74" t="s">
        <v>174</v>
      </c>
      <c r="B61" s="75"/>
      <c r="C61" s="74" t="s">
        <v>174</v>
      </c>
      <c r="D61" s="15"/>
      <c r="E61" s="15"/>
      <c r="F61" s="76"/>
      <c r="G61" s="77"/>
      <c r="H61" s="78"/>
    </row>
    <row r="62" spans="1:8" x14ac:dyDescent="0.25">
      <c r="B62" s="19">
        <v>49</v>
      </c>
      <c r="C62" s="12" t="s">
        <v>14</v>
      </c>
      <c r="D62" s="18"/>
      <c r="E62" s="10" t="s">
        <v>13</v>
      </c>
      <c r="F62" s="10" t="s">
        <v>10</v>
      </c>
      <c r="G62" s="17"/>
      <c r="H62" s="16"/>
    </row>
    <row r="63" spans="1:8" x14ac:dyDescent="0.25">
      <c r="B63" s="13">
        <v>50</v>
      </c>
      <c r="C63" s="12" t="s">
        <v>12</v>
      </c>
      <c r="D63" s="11" t="s">
        <v>11</v>
      </c>
      <c r="E63" s="10" t="s">
        <v>10</v>
      </c>
      <c r="F63" s="14"/>
      <c r="G63" s="9"/>
      <c r="H63" s="8"/>
    </row>
    <row r="64" spans="1:8" x14ac:dyDescent="0.25">
      <c r="B64" s="13">
        <v>51</v>
      </c>
      <c r="C64" s="12" t="s">
        <v>9</v>
      </c>
      <c r="D64" s="15" t="s">
        <v>8</v>
      </c>
      <c r="E64" s="10" t="s">
        <v>7</v>
      </c>
      <c r="F64" s="14"/>
      <c r="G64" s="9"/>
      <c r="H64" s="8"/>
    </row>
    <row r="65" spans="2:8" x14ac:dyDescent="0.25">
      <c r="B65" s="13">
        <v>52</v>
      </c>
      <c r="C65" s="12" t="s">
        <v>6</v>
      </c>
      <c r="D65" s="10" t="s">
        <v>3</v>
      </c>
      <c r="E65" s="11" t="s">
        <v>2</v>
      </c>
      <c r="F65" s="10" t="s">
        <v>0</v>
      </c>
      <c r="G65" s="9"/>
      <c r="H65" s="8"/>
    </row>
    <row r="66" spans="2:8" x14ac:dyDescent="0.25">
      <c r="B66" s="13">
        <v>53</v>
      </c>
      <c r="C66" s="12" t="s">
        <v>5</v>
      </c>
      <c r="D66" s="10" t="s">
        <v>3</v>
      </c>
      <c r="E66" s="11" t="s">
        <v>2</v>
      </c>
      <c r="F66" s="10" t="s">
        <v>0</v>
      </c>
      <c r="G66" s="9"/>
      <c r="H66" s="8"/>
    </row>
    <row r="67" spans="2:8" ht="15.75" thickBot="1" x14ac:dyDescent="0.3">
      <c r="B67" s="7">
        <v>54</v>
      </c>
      <c r="C67" s="6" t="s">
        <v>4</v>
      </c>
      <c r="D67" s="3" t="s">
        <v>3</v>
      </c>
      <c r="E67" s="5" t="s">
        <v>2</v>
      </c>
      <c r="F67" s="4" t="s">
        <v>1</v>
      </c>
      <c r="G67" s="3" t="s">
        <v>0</v>
      </c>
      <c r="H6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J29"/>
  <sheetViews>
    <sheetView tabSelected="1" topLeftCell="C8" zoomScale="90" zoomScaleNormal="90" workbookViewId="0">
      <pane xSplit="4" ySplit="2" topLeftCell="G10" activePane="bottomRight" state="frozen"/>
      <selection activeCell="C8" sqref="C8"/>
      <selection pane="topRight" activeCell="G8" sqref="G8"/>
      <selection pane="bottomLeft" activeCell="C10" sqref="C10"/>
      <selection pane="bottomRight" activeCell="K14" sqref="K14"/>
    </sheetView>
  </sheetViews>
  <sheetFormatPr defaultRowHeight="15" x14ac:dyDescent="0.25"/>
  <cols>
    <col min="1" max="1" width="9.140625" style="1"/>
    <col min="2" max="2" width="3.28515625" style="1" bestFit="1" customWidth="1"/>
    <col min="3" max="3" width="17.7109375" style="30" bestFit="1" customWidth="1"/>
    <col min="4" max="4" width="5.7109375" style="83" bestFit="1" customWidth="1"/>
    <col min="5" max="5" width="24.28515625" style="1" bestFit="1" customWidth="1"/>
    <col min="6" max="6" width="7.5703125" style="1" customWidth="1"/>
    <col min="7" max="9" width="15.7109375" style="82" customWidth="1"/>
    <col min="10" max="10" width="15.7109375" style="83" customWidth="1"/>
    <col min="11" max="11" width="15.7109375" style="82" customWidth="1"/>
    <col min="12" max="12" width="15.7109375" style="83" customWidth="1"/>
    <col min="13" max="13" width="15.7109375" style="82" customWidth="1"/>
    <col min="14" max="17" width="15.7109375" style="83" customWidth="1"/>
    <col min="18" max="18" width="15.7109375" style="30" customWidth="1"/>
    <col min="19" max="19" width="15.7109375" style="1" customWidth="1"/>
    <col min="20" max="21" width="12.7109375" style="1" customWidth="1"/>
    <col min="22" max="26" width="9.140625" style="1"/>
    <col min="27" max="34" width="15.7109375" style="1" customWidth="1"/>
    <col min="35" max="37" width="12.7109375" style="1" customWidth="1"/>
    <col min="38" max="16384" width="9.140625" style="1"/>
  </cols>
  <sheetData>
    <row r="1" spans="2:36" s="103" customFormat="1" hidden="1" x14ac:dyDescent="0.25">
      <c r="B1" s="95"/>
      <c r="C1" s="96"/>
      <c r="D1" s="96"/>
      <c r="E1" s="95"/>
      <c r="F1" s="95"/>
      <c r="G1" s="95"/>
      <c r="H1" s="95"/>
      <c r="I1" s="95"/>
      <c r="J1" s="96"/>
      <c r="K1" s="95"/>
      <c r="L1" s="96" t="s">
        <v>196</v>
      </c>
      <c r="M1" s="95"/>
      <c r="N1" s="96">
        <v>1.2</v>
      </c>
      <c r="O1" s="96"/>
      <c r="P1" s="96"/>
      <c r="Q1" s="96"/>
      <c r="R1" s="104"/>
    </row>
    <row r="2" spans="2:36" s="103" customFormat="1" hidden="1" x14ac:dyDescent="0.25">
      <c r="B2" s="95"/>
      <c r="C2" s="96"/>
      <c r="D2" s="96"/>
      <c r="E2" s="95" t="s">
        <v>228</v>
      </c>
      <c r="F2" s="95"/>
      <c r="G2" s="95">
        <f>10-(H3/H4)*10</f>
        <v>8</v>
      </c>
      <c r="H2" s="105" t="s">
        <v>177</v>
      </c>
      <c r="I2" s="105" t="s">
        <v>176</v>
      </c>
      <c r="J2" s="106"/>
      <c r="K2" s="96" t="s">
        <v>195</v>
      </c>
      <c r="L2" s="96" t="s">
        <v>197</v>
      </c>
      <c r="M2" s="95">
        <v>1.1000000000000001</v>
      </c>
      <c r="N2" s="95">
        <f>10-(M2/$N$1)*10</f>
        <v>0.83333333333333215</v>
      </c>
      <c r="O2" s="96"/>
      <c r="P2" s="96"/>
      <c r="Q2" s="96"/>
      <c r="R2" s="104"/>
    </row>
    <row r="3" spans="2:36" s="103" customFormat="1" hidden="1" x14ac:dyDescent="0.25">
      <c r="B3" s="95"/>
      <c r="C3" s="96"/>
      <c r="D3" s="96"/>
      <c r="E3" s="95"/>
      <c r="F3" s="95"/>
      <c r="G3" s="95" t="s">
        <v>249</v>
      </c>
      <c r="H3" s="105">
        <v>2</v>
      </c>
      <c r="I3" s="105"/>
      <c r="J3" s="107"/>
      <c r="K3" s="96" t="s">
        <v>194</v>
      </c>
      <c r="L3" s="108"/>
      <c r="M3" s="95">
        <v>0.3</v>
      </c>
      <c r="N3" s="95">
        <f>10-(M3/$N$1)*10</f>
        <v>7.5</v>
      </c>
      <c r="O3" s="109"/>
      <c r="P3" s="96"/>
      <c r="Q3" s="96"/>
      <c r="R3" s="104"/>
      <c r="S3" s="103" t="s">
        <v>245</v>
      </c>
      <c r="T3" s="103">
        <v>8</v>
      </c>
      <c r="U3" s="103">
        <f>T3*2</f>
        <v>16</v>
      </c>
    </row>
    <row r="4" spans="2:36" s="103" customFormat="1" hidden="1" x14ac:dyDescent="0.25">
      <c r="B4" s="95"/>
      <c r="C4" s="96"/>
      <c r="D4" s="96"/>
      <c r="E4" s="95"/>
      <c r="F4" s="95"/>
      <c r="G4" s="95" t="s">
        <v>250</v>
      </c>
      <c r="H4" s="105">
        <v>10</v>
      </c>
      <c r="I4" s="105"/>
      <c r="J4" s="107"/>
      <c r="K4" s="96"/>
      <c r="L4" s="108"/>
      <c r="M4" s="95"/>
      <c r="N4" s="95"/>
      <c r="O4" s="109"/>
      <c r="P4" s="96"/>
      <c r="Q4" s="96"/>
      <c r="R4" s="104"/>
      <c r="S4" s="103" t="s">
        <v>246</v>
      </c>
      <c r="T4" s="103">
        <v>6</v>
      </c>
      <c r="U4" s="103">
        <f t="shared" ref="U4" si="0">T4*2</f>
        <v>12</v>
      </c>
    </row>
    <row r="5" spans="2:36" s="104" customFormat="1" x14ac:dyDescent="0.25">
      <c r="B5" s="96"/>
      <c r="C5" s="96"/>
      <c r="D5" s="96"/>
      <c r="E5" s="96"/>
      <c r="F5" s="96"/>
      <c r="G5" s="116"/>
      <c r="H5" s="99"/>
      <c r="I5" s="99"/>
      <c r="J5" s="99"/>
      <c r="K5" s="96"/>
      <c r="L5" s="109"/>
      <c r="M5" s="96"/>
      <c r="N5" s="96"/>
      <c r="O5" s="109"/>
      <c r="P5" s="96"/>
      <c r="Q5" s="96"/>
    </row>
    <row r="6" spans="2:36" s="104" customFormat="1" x14ac:dyDescent="0.25">
      <c r="B6" s="96"/>
      <c r="C6" s="96"/>
      <c r="D6" s="110"/>
      <c r="E6" s="111" t="s">
        <v>275</v>
      </c>
      <c r="F6" s="96"/>
      <c r="G6" s="112"/>
      <c r="I6" s="113" t="s">
        <v>247</v>
      </c>
      <c r="J6" s="99" t="s">
        <v>270</v>
      </c>
      <c r="K6" s="99"/>
      <c r="L6" s="99"/>
      <c r="M6" s="96"/>
      <c r="N6" s="109"/>
      <c r="O6" s="96"/>
      <c r="P6" s="96"/>
      <c r="Q6" s="96"/>
    </row>
    <row r="7" spans="2:36" s="104" customFormat="1" x14ac:dyDescent="0.25">
      <c r="B7" s="96"/>
      <c r="C7" s="96"/>
      <c r="D7" s="114"/>
      <c r="E7" s="111" t="s">
        <v>276</v>
      </c>
      <c r="F7" s="96"/>
      <c r="I7" s="113" t="s">
        <v>271</v>
      </c>
      <c r="J7" s="99" t="s">
        <v>272</v>
      </c>
      <c r="K7" s="99"/>
      <c r="L7" s="99"/>
      <c r="M7" s="96"/>
      <c r="N7" s="109"/>
      <c r="O7" s="96"/>
      <c r="P7" s="96"/>
      <c r="Q7" s="96"/>
    </row>
    <row r="8" spans="2:36" s="104" customFormat="1" x14ac:dyDescent="0.25">
      <c r="B8" s="96"/>
      <c r="C8" s="96"/>
      <c r="D8" s="96"/>
      <c r="E8" s="96"/>
      <c r="F8" s="96"/>
      <c r="I8" s="113" t="s">
        <v>238</v>
      </c>
      <c r="J8" s="115" t="s">
        <v>273</v>
      </c>
      <c r="K8" s="115"/>
      <c r="L8" s="115"/>
      <c r="M8" s="115"/>
      <c r="N8" s="115"/>
      <c r="O8" s="115"/>
      <c r="P8" s="96"/>
      <c r="Q8" s="96"/>
    </row>
    <row r="9" spans="2:36" s="79" customFormat="1" ht="30" x14ac:dyDescent="0.25">
      <c r="B9" s="88"/>
      <c r="C9" s="98" t="s">
        <v>227</v>
      </c>
      <c r="D9" s="89" t="s">
        <v>223</v>
      </c>
      <c r="E9" s="88" t="s">
        <v>89</v>
      </c>
      <c r="F9" s="88" t="s">
        <v>229</v>
      </c>
      <c r="G9" s="121" t="s">
        <v>247</v>
      </c>
      <c r="H9" s="89" t="s">
        <v>239</v>
      </c>
      <c r="I9" s="101" t="s">
        <v>238</v>
      </c>
      <c r="J9" s="89" t="s">
        <v>240</v>
      </c>
      <c r="K9" s="101" t="s">
        <v>238</v>
      </c>
      <c r="L9" s="89" t="s">
        <v>241</v>
      </c>
      <c r="M9" s="101" t="s">
        <v>238</v>
      </c>
      <c r="N9" s="89" t="s">
        <v>242</v>
      </c>
      <c r="O9" s="101" t="s">
        <v>238</v>
      </c>
      <c r="P9" s="89" t="s">
        <v>243</v>
      </c>
      <c r="Q9" s="101" t="s">
        <v>238</v>
      </c>
      <c r="R9" s="89" t="s">
        <v>243</v>
      </c>
      <c r="S9" s="101" t="s">
        <v>238</v>
      </c>
      <c r="AA9" s="158" t="s">
        <v>294</v>
      </c>
      <c r="AB9" s="158" t="s">
        <v>295</v>
      </c>
      <c r="AC9" s="158" t="s">
        <v>297</v>
      </c>
      <c r="AD9" s="159" t="s">
        <v>298</v>
      </c>
      <c r="AE9" s="159"/>
      <c r="AF9" s="158" t="s">
        <v>299</v>
      </c>
      <c r="AG9" s="158" t="s">
        <v>300</v>
      </c>
      <c r="AH9" s="160" t="s">
        <v>301</v>
      </c>
      <c r="AI9" s="157"/>
      <c r="AJ9" s="157"/>
    </row>
    <row r="10" spans="2:36" ht="45" x14ac:dyDescent="0.25">
      <c r="B10" s="132"/>
      <c r="C10" s="130" t="s">
        <v>286</v>
      </c>
      <c r="D10" s="134" t="s">
        <v>216</v>
      </c>
      <c r="E10" s="126" t="s">
        <v>6</v>
      </c>
      <c r="F10" s="87" t="s">
        <v>236</v>
      </c>
      <c r="G10" s="84">
        <v>0</v>
      </c>
      <c r="H10" s="85" t="s">
        <v>244</v>
      </c>
      <c r="I10" s="85">
        <v>0.1</v>
      </c>
      <c r="J10" s="85" t="s">
        <v>259</v>
      </c>
      <c r="K10" s="85">
        <v>-10</v>
      </c>
      <c r="L10" s="91" t="s">
        <v>261</v>
      </c>
      <c r="M10" s="92" t="s">
        <v>260</v>
      </c>
      <c r="N10" s="156" t="s">
        <v>328</v>
      </c>
      <c r="O10" s="156" t="s">
        <v>328</v>
      </c>
      <c r="P10" s="85"/>
      <c r="Q10" s="85"/>
      <c r="R10" s="89"/>
      <c r="S10" s="89"/>
      <c r="Z10" s="1">
        <v>100</v>
      </c>
      <c r="AA10" s="82" t="s">
        <v>302</v>
      </c>
      <c r="AB10" s="1">
        <v>20</v>
      </c>
      <c r="AC10" s="1">
        <v>0</v>
      </c>
      <c r="AD10" s="30">
        <v>50</v>
      </c>
      <c r="AE10" s="1">
        <f>Z10-AB10-AC10-AD10</f>
        <v>30</v>
      </c>
      <c r="AF10" s="1">
        <f>SUM(AB10:AE10)</f>
        <v>100</v>
      </c>
    </row>
    <row r="11" spans="2:36" ht="45" x14ac:dyDescent="0.25">
      <c r="B11" s="133"/>
      <c r="C11" s="131"/>
      <c r="D11" s="135"/>
      <c r="E11" s="127"/>
      <c r="F11" s="87" t="s">
        <v>258</v>
      </c>
      <c r="G11" s="84">
        <v>0</v>
      </c>
      <c r="H11" s="85" t="s">
        <v>262</v>
      </c>
      <c r="I11" s="85">
        <v>0.1</v>
      </c>
      <c r="J11" s="85" t="s">
        <v>268</v>
      </c>
      <c r="K11" s="85">
        <v>-10</v>
      </c>
      <c r="L11" s="91" t="s">
        <v>264</v>
      </c>
      <c r="M11" s="92" t="s">
        <v>260</v>
      </c>
      <c r="N11" s="156" t="s">
        <v>328</v>
      </c>
      <c r="O11" s="156" t="s">
        <v>328</v>
      </c>
      <c r="P11" s="85"/>
      <c r="Q11" s="85"/>
      <c r="R11" s="89"/>
      <c r="S11" s="89"/>
      <c r="AA11" s="1" t="s">
        <v>296</v>
      </c>
      <c r="AB11" s="1" t="s">
        <v>235</v>
      </c>
      <c r="AC11" s="1" t="s">
        <v>235</v>
      </c>
      <c r="AD11" s="30" t="s">
        <v>234</v>
      </c>
      <c r="AE11" s="30" t="s">
        <v>231</v>
      </c>
      <c r="AF11" s="30" t="s">
        <v>303</v>
      </c>
    </row>
    <row r="12" spans="2:36" ht="45" x14ac:dyDescent="0.25">
      <c r="B12" s="86"/>
      <c r="C12" s="130" t="s">
        <v>286</v>
      </c>
      <c r="D12" s="134" t="s">
        <v>217</v>
      </c>
      <c r="E12" s="126" t="s">
        <v>5</v>
      </c>
      <c r="F12" s="87" t="s">
        <v>236</v>
      </c>
      <c r="G12" s="84">
        <v>0</v>
      </c>
      <c r="H12" s="85" t="s">
        <v>244</v>
      </c>
      <c r="I12" s="85">
        <v>0.1</v>
      </c>
      <c r="J12" s="85" t="s">
        <v>259</v>
      </c>
      <c r="K12" s="85">
        <v>-15</v>
      </c>
      <c r="L12" s="91" t="s">
        <v>261</v>
      </c>
      <c r="M12" s="92" t="s">
        <v>260</v>
      </c>
      <c r="N12" s="156" t="s">
        <v>328</v>
      </c>
      <c r="O12" s="156" t="s">
        <v>328</v>
      </c>
      <c r="P12" s="85"/>
      <c r="Q12" s="85"/>
      <c r="R12" s="89"/>
      <c r="S12" s="89"/>
    </row>
    <row r="13" spans="2:36" ht="45" x14ac:dyDescent="0.25">
      <c r="B13" s="86"/>
      <c r="C13" s="131"/>
      <c r="D13" s="135"/>
      <c r="E13" s="127"/>
      <c r="F13" s="87" t="s">
        <v>258</v>
      </c>
      <c r="G13" s="84">
        <v>0</v>
      </c>
      <c r="H13" s="85" t="s">
        <v>262</v>
      </c>
      <c r="I13" s="85">
        <v>0.1</v>
      </c>
      <c r="J13" s="85" t="s">
        <v>268</v>
      </c>
      <c r="K13" s="85">
        <v>-15</v>
      </c>
      <c r="L13" s="91" t="s">
        <v>264</v>
      </c>
      <c r="M13" s="92" t="s">
        <v>260</v>
      </c>
      <c r="N13" s="156" t="s">
        <v>328</v>
      </c>
      <c r="O13" s="156" t="s">
        <v>328</v>
      </c>
      <c r="P13" s="85"/>
      <c r="Q13" s="85"/>
      <c r="R13" s="89"/>
      <c r="S13" s="89"/>
    </row>
    <row r="14" spans="2:36" ht="45" x14ac:dyDescent="0.25">
      <c r="B14" s="132"/>
      <c r="C14" s="130" t="s">
        <v>286</v>
      </c>
      <c r="D14" s="134" t="s">
        <v>218</v>
      </c>
      <c r="E14" s="154" t="s">
        <v>4</v>
      </c>
      <c r="F14" s="87" t="s">
        <v>236</v>
      </c>
      <c r="G14" s="84">
        <v>0</v>
      </c>
      <c r="H14" s="85" t="s">
        <v>244</v>
      </c>
      <c r="I14" s="85">
        <v>0.1</v>
      </c>
      <c r="J14" s="85" t="s">
        <v>259</v>
      </c>
      <c r="K14" s="85">
        <v>-60</v>
      </c>
      <c r="L14" s="91" t="s">
        <v>261</v>
      </c>
      <c r="M14" s="92" t="s">
        <v>260</v>
      </c>
      <c r="N14" s="122" t="s">
        <v>291</v>
      </c>
      <c r="O14" s="122">
        <v>1</v>
      </c>
      <c r="P14" s="85"/>
      <c r="Q14" s="85"/>
      <c r="R14" s="89"/>
      <c r="S14" s="89"/>
    </row>
    <row r="15" spans="2:36" ht="45" x14ac:dyDescent="0.25">
      <c r="B15" s="133"/>
      <c r="C15" s="131"/>
      <c r="D15" s="135"/>
      <c r="E15" s="155"/>
      <c r="F15" s="87" t="s">
        <v>269</v>
      </c>
      <c r="G15" s="84">
        <v>0</v>
      </c>
      <c r="H15" s="85" t="s">
        <v>263</v>
      </c>
      <c r="I15" s="85">
        <v>0.1</v>
      </c>
      <c r="J15" s="85" t="s">
        <v>268</v>
      </c>
      <c r="K15" s="85">
        <v>-60</v>
      </c>
      <c r="L15" s="91" t="s">
        <v>265</v>
      </c>
      <c r="M15" s="92" t="s">
        <v>266</v>
      </c>
      <c r="N15" s="122" t="s">
        <v>291</v>
      </c>
      <c r="O15" s="122">
        <v>1</v>
      </c>
      <c r="P15" s="85"/>
      <c r="Q15" s="85"/>
      <c r="R15" s="89"/>
      <c r="S15" s="89"/>
    </row>
    <row r="16" spans="2:36" ht="45" x14ac:dyDescent="0.25">
      <c r="B16" s="86"/>
      <c r="C16" s="93" t="s">
        <v>285</v>
      </c>
      <c r="D16" s="94" t="s">
        <v>208</v>
      </c>
      <c r="E16" s="125" t="s">
        <v>209</v>
      </c>
      <c r="F16" s="87" t="s">
        <v>231</v>
      </c>
      <c r="G16" s="122" t="s">
        <v>287</v>
      </c>
      <c r="H16" s="85" t="s">
        <v>29</v>
      </c>
      <c r="I16" s="85">
        <v>0.1</v>
      </c>
      <c r="J16" s="122" t="s">
        <v>304</v>
      </c>
      <c r="K16" s="122">
        <v>-1</v>
      </c>
      <c r="L16" s="85"/>
      <c r="M16" s="85"/>
      <c r="N16" s="85"/>
      <c r="O16" s="85"/>
      <c r="P16" s="85"/>
      <c r="Q16" s="85"/>
      <c r="R16" s="89"/>
      <c r="S16" s="89"/>
    </row>
    <row r="17" spans="2:21" ht="45" x14ac:dyDescent="0.25">
      <c r="B17" s="86"/>
      <c r="C17" s="93" t="s">
        <v>198</v>
      </c>
      <c r="D17" s="97" t="s">
        <v>224</v>
      </c>
      <c r="E17" s="125" t="s">
        <v>219</v>
      </c>
      <c r="F17" s="87" t="s">
        <v>230</v>
      </c>
      <c r="G17" s="84" t="s">
        <v>254</v>
      </c>
      <c r="H17" s="85" t="s">
        <v>237</v>
      </c>
      <c r="I17" s="85">
        <v>0.5</v>
      </c>
      <c r="J17" s="122" t="s">
        <v>256</v>
      </c>
      <c r="K17" s="122" t="s">
        <v>179</v>
      </c>
      <c r="L17" s="122" t="s">
        <v>290</v>
      </c>
      <c r="M17" s="124">
        <v>5</v>
      </c>
      <c r="N17" s="85"/>
      <c r="O17" s="85"/>
      <c r="P17" s="85"/>
      <c r="Q17" s="85"/>
      <c r="R17" s="89"/>
      <c r="S17" s="89"/>
    </row>
    <row r="18" spans="2:21" ht="45" x14ac:dyDescent="0.25">
      <c r="B18" s="86"/>
      <c r="C18" s="102" t="s">
        <v>284</v>
      </c>
      <c r="D18" s="97" t="s">
        <v>225</v>
      </c>
      <c r="E18" s="125" t="s">
        <v>220</v>
      </c>
      <c r="F18" s="87" t="s">
        <v>232</v>
      </c>
      <c r="G18" s="84" t="s">
        <v>254</v>
      </c>
      <c r="H18" s="85" t="s">
        <v>253</v>
      </c>
      <c r="I18" s="85">
        <v>0.5</v>
      </c>
      <c r="J18" s="85" t="s">
        <v>180</v>
      </c>
      <c r="K18" s="85">
        <v>-5</v>
      </c>
      <c r="L18" s="85" t="s">
        <v>255</v>
      </c>
      <c r="M18" s="85">
        <v>0.75</v>
      </c>
      <c r="N18" s="85" t="s">
        <v>13</v>
      </c>
      <c r="O18" s="85">
        <v>0.2</v>
      </c>
      <c r="P18" s="85" t="s">
        <v>19</v>
      </c>
      <c r="Q18" s="90" t="s">
        <v>274</v>
      </c>
      <c r="R18" s="100" t="s">
        <v>178</v>
      </c>
      <c r="S18" s="100">
        <v>-8</v>
      </c>
      <c r="T18" s="123" t="s">
        <v>277</v>
      </c>
      <c r="U18" s="123">
        <v>5</v>
      </c>
    </row>
    <row r="19" spans="2:21" ht="45" x14ac:dyDescent="0.25">
      <c r="B19" s="132"/>
      <c r="C19" s="130" t="s">
        <v>283</v>
      </c>
      <c r="D19" s="128" t="s">
        <v>282</v>
      </c>
      <c r="E19" s="154" t="s">
        <v>221</v>
      </c>
      <c r="F19" s="87" t="s">
        <v>236</v>
      </c>
      <c r="G19" s="126" t="s">
        <v>257</v>
      </c>
      <c r="H19" s="91" t="s">
        <v>261</v>
      </c>
      <c r="I19" s="92" t="s">
        <v>260</v>
      </c>
      <c r="J19" s="122" t="s">
        <v>291</v>
      </c>
      <c r="K19" s="122">
        <v>1</v>
      </c>
      <c r="L19" s="85"/>
      <c r="M19" s="85"/>
      <c r="N19" s="85"/>
      <c r="O19" s="85"/>
      <c r="P19" s="85"/>
      <c r="Q19" s="85"/>
      <c r="R19" s="89"/>
      <c r="S19" s="89"/>
    </row>
    <row r="20" spans="2:21" ht="45" x14ac:dyDescent="0.25">
      <c r="B20" s="133"/>
      <c r="C20" s="131"/>
      <c r="D20" s="129"/>
      <c r="E20" s="155"/>
      <c r="F20" s="87" t="s">
        <v>269</v>
      </c>
      <c r="G20" s="127"/>
      <c r="H20" s="91" t="s">
        <v>265</v>
      </c>
      <c r="I20" s="92" t="s">
        <v>266</v>
      </c>
      <c r="J20" s="122" t="s">
        <v>291</v>
      </c>
      <c r="K20" s="122">
        <v>1</v>
      </c>
      <c r="L20" s="85"/>
      <c r="M20" s="85"/>
      <c r="N20" s="85"/>
      <c r="O20" s="85"/>
      <c r="P20" s="85"/>
      <c r="Q20" s="85"/>
      <c r="R20" s="89"/>
      <c r="S20" s="89"/>
    </row>
    <row r="21" spans="2:21" ht="75" x14ac:dyDescent="0.25">
      <c r="B21" s="86"/>
      <c r="C21" s="93" t="s">
        <v>210</v>
      </c>
      <c r="D21" s="97" t="s">
        <v>200</v>
      </c>
      <c r="E21" s="125" t="s">
        <v>46</v>
      </c>
      <c r="F21" s="87" t="s">
        <v>235</v>
      </c>
      <c r="G21" s="122" t="s">
        <v>316</v>
      </c>
      <c r="H21" s="85" t="s">
        <v>252</v>
      </c>
      <c r="I21" s="85">
        <v>1</v>
      </c>
      <c r="J21" s="161" t="s">
        <v>291</v>
      </c>
      <c r="K21" s="162" t="s">
        <v>326</v>
      </c>
      <c r="L21" s="161" t="s">
        <v>307</v>
      </c>
      <c r="M21" s="161" t="s">
        <v>325</v>
      </c>
      <c r="N21" s="163" t="s">
        <v>310</v>
      </c>
      <c r="O21" s="85"/>
      <c r="P21" s="85"/>
      <c r="Q21" s="85"/>
      <c r="R21" s="89"/>
      <c r="S21" s="89"/>
    </row>
    <row r="22" spans="2:21" ht="75" x14ac:dyDescent="0.25">
      <c r="B22" s="86"/>
      <c r="C22" s="93" t="s">
        <v>211</v>
      </c>
      <c r="D22" s="97" t="s">
        <v>201</v>
      </c>
      <c r="E22" s="125" t="s">
        <v>48</v>
      </c>
      <c r="F22" s="87" t="s">
        <v>235</v>
      </c>
      <c r="G22" s="122" t="s">
        <v>316</v>
      </c>
      <c r="H22" s="85" t="s">
        <v>252</v>
      </c>
      <c r="I22" s="85">
        <v>1</v>
      </c>
      <c r="J22" s="161" t="s">
        <v>291</v>
      </c>
      <c r="K22" s="162" t="s">
        <v>326</v>
      </c>
      <c r="L22" s="161" t="s">
        <v>307</v>
      </c>
      <c r="M22" s="161" t="s">
        <v>325</v>
      </c>
      <c r="N22" s="163" t="s">
        <v>310</v>
      </c>
      <c r="O22" s="85"/>
      <c r="P22" s="85"/>
      <c r="Q22" s="85"/>
      <c r="R22" s="89"/>
      <c r="S22" s="89"/>
    </row>
    <row r="23" spans="2:21" ht="75" x14ac:dyDescent="0.25">
      <c r="B23" s="86"/>
      <c r="C23" s="93" t="s">
        <v>212</v>
      </c>
      <c r="D23" s="97" t="s">
        <v>202</v>
      </c>
      <c r="E23" s="125" t="s">
        <v>162</v>
      </c>
      <c r="F23" s="87" t="s">
        <v>235</v>
      </c>
      <c r="G23" s="122" t="s">
        <v>317</v>
      </c>
      <c r="H23" s="85" t="s">
        <v>252</v>
      </c>
      <c r="I23" s="85">
        <v>1</v>
      </c>
      <c r="J23" s="161" t="s">
        <v>315</v>
      </c>
      <c r="K23" s="162" t="s">
        <v>313</v>
      </c>
      <c r="L23" s="161" t="s">
        <v>305</v>
      </c>
      <c r="M23" s="161" t="s">
        <v>324</v>
      </c>
      <c r="N23" s="166" t="s">
        <v>314</v>
      </c>
      <c r="O23" s="85"/>
      <c r="P23" s="85"/>
      <c r="Q23" s="85"/>
      <c r="R23" s="89"/>
      <c r="S23" s="89"/>
    </row>
    <row r="24" spans="2:21" ht="75" x14ac:dyDescent="0.25">
      <c r="B24" s="86"/>
      <c r="C24" s="93" t="s">
        <v>214</v>
      </c>
      <c r="D24" s="97" t="s">
        <v>203</v>
      </c>
      <c r="E24" s="125" t="s">
        <v>166</v>
      </c>
      <c r="F24" s="87" t="s">
        <v>235</v>
      </c>
      <c r="G24" s="122" t="s">
        <v>318</v>
      </c>
      <c r="H24" s="85" t="s">
        <v>252</v>
      </c>
      <c r="I24" s="85">
        <v>1</v>
      </c>
      <c r="J24" s="161" t="s">
        <v>306</v>
      </c>
      <c r="K24" s="162" t="s">
        <v>323</v>
      </c>
      <c r="L24" s="122" t="s">
        <v>308</v>
      </c>
      <c r="M24" s="161" t="s">
        <v>319</v>
      </c>
      <c r="N24" s="85"/>
      <c r="O24" s="85"/>
      <c r="P24" s="85"/>
      <c r="Q24" s="85"/>
      <c r="R24" s="89"/>
      <c r="S24" s="89"/>
    </row>
    <row r="25" spans="2:21" ht="75" x14ac:dyDescent="0.25">
      <c r="B25" s="86"/>
      <c r="C25" s="93" t="s">
        <v>281</v>
      </c>
      <c r="D25" s="97" t="s">
        <v>206</v>
      </c>
      <c r="E25" s="125" t="s">
        <v>27</v>
      </c>
      <c r="F25" s="87" t="s">
        <v>234</v>
      </c>
      <c r="G25" s="122" t="s">
        <v>320</v>
      </c>
      <c r="H25" s="85" t="s">
        <v>251</v>
      </c>
      <c r="I25" s="85">
        <v>0.5</v>
      </c>
      <c r="J25" s="122" t="s">
        <v>308</v>
      </c>
      <c r="K25" s="162" t="s">
        <v>321</v>
      </c>
      <c r="L25" s="122" t="s">
        <v>309</v>
      </c>
      <c r="M25" s="122" t="s">
        <v>322</v>
      </c>
      <c r="N25" s="85"/>
      <c r="O25" s="85"/>
      <c r="P25" s="85"/>
      <c r="Q25" s="85"/>
      <c r="R25" s="89"/>
      <c r="S25" s="89"/>
    </row>
    <row r="26" spans="2:21" ht="30" x14ac:dyDescent="0.25">
      <c r="B26" s="86"/>
      <c r="C26" s="93" t="s">
        <v>213</v>
      </c>
      <c r="D26" s="97" t="s">
        <v>280</v>
      </c>
      <c r="E26" s="125" t="s">
        <v>199</v>
      </c>
      <c r="F26" s="87" t="s">
        <v>233</v>
      </c>
      <c r="G26" s="122" t="s">
        <v>291</v>
      </c>
      <c r="H26" s="85" t="s">
        <v>248</v>
      </c>
      <c r="I26" s="85">
        <v>0.1</v>
      </c>
      <c r="J26" s="122" t="s">
        <v>292</v>
      </c>
      <c r="K26" s="119" t="s">
        <v>293</v>
      </c>
      <c r="L26" s="85"/>
      <c r="M26" s="85"/>
      <c r="N26" s="85"/>
      <c r="O26" s="85"/>
      <c r="P26" s="85"/>
      <c r="Q26" s="85"/>
      <c r="R26" s="89"/>
      <c r="S26" s="89"/>
    </row>
    <row r="27" spans="2:21" ht="45" x14ac:dyDescent="0.25">
      <c r="B27" s="86"/>
      <c r="C27" s="120" t="s">
        <v>288</v>
      </c>
      <c r="D27" s="97" t="s">
        <v>204</v>
      </c>
      <c r="E27" s="125" t="s">
        <v>205</v>
      </c>
      <c r="F27" s="87" t="s">
        <v>233</v>
      </c>
      <c r="G27" s="119" t="s">
        <v>289</v>
      </c>
      <c r="H27" s="85" t="s">
        <v>248</v>
      </c>
      <c r="I27" s="85">
        <v>0.1</v>
      </c>
      <c r="J27" s="122" t="s">
        <v>309</v>
      </c>
      <c r="K27" s="119" t="s">
        <v>311</v>
      </c>
      <c r="L27" s="164" t="s">
        <v>312</v>
      </c>
      <c r="M27" s="165"/>
      <c r="N27" s="85"/>
      <c r="O27" s="85"/>
      <c r="P27" s="85"/>
      <c r="Q27" s="85"/>
      <c r="R27" s="89"/>
      <c r="S27" s="89"/>
    </row>
    <row r="28" spans="2:21" ht="45" x14ac:dyDescent="0.25">
      <c r="B28" s="86"/>
      <c r="C28" s="102" t="s">
        <v>279</v>
      </c>
      <c r="D28" s="97" t="s">
        <v>226</v>
      </c>
      <c r="E28" s="87" t="s">
        <v>222</v>
      </c>
      <c r="F28" s="87" t="s">
        <v>233</v>
      </c>
      <c r="G28" s="84" t="s">
        <v>267</v>
      </c>
      <c r="H28" s="85" t="s">
        <v>248</v>
      </c>
      <c r="I28" s="85">
        <v>0.1</v>
      </c>
      <c r="J28" s="122" t="s">
        <v>277</v>
      </c>
      <c r="K28" s="122">
        <v>5</v>
      </c>
      <c r="L28" s="85"/>
      <c r="M28" s="85"/>
      <c r="N28" s="85"/>
      <c r="O28" s="85"/>
      <c r="P28" s="117"/>
      <c r="Q28" s="117"/>
      <c r="R28" s="89"/>
      <c r="S28" s="89"/>
    </row>
    <row r="29" spans="2:21" ht="90" x14ac:dyDescent="0.25">
      <c r="B29" s="86"/>
      <c r="C29" s="93" t="s">
        <v>278</v>
      </c>
      <c r="D29" s="97" t="s">
        <v>207</v>
      </c>
      <c r="E29" s="125" t="s">
        <v>215</v>
      </c>
      <c r="F29" s="87" t="s">
        <v>230</v>
      </c>
      <c r="G29" s="119" t="s">
        <v>327</v>
      </c>
      <c r="H29" s="85" t="s">
        <v>237</v>
      </c>
      <c r="I29" s="85">
        <v>0.1</v>
      </c>
      <c r="J29" s="85"/>
      <c r="K29" s="85"/>
      <c r="L29" s="85"/>
      <c r="M29" s="118"/>
      <c r="N29" s="85"/>
      <c r="O29" s="85"/>
      <c r="P29" s="85"/>
      <c r="Q29" s="85"/>
      <c r="R29" s="89"/>
      <c r="S29" s="89"/>
    </row>
  </sheetData>
  <mergeCells count="18">
    <mergeCell ref="AD9:AE9"/>
    <mergeCell ref="L27:M27"/>
    <mergeCell ref="G19:G20"/>
    <mergeCell ref="E19:E20"/>
    <mergeCell ref="D19:D20"/>
    <mergeCell ref="E10:E11"/>
    <mergeCell ref="D10:D11"/>
    <mergeCell ref="C10:C11"/>
    <mergeCell ref="C19:C20"/>
    <mergeCell ref="E12:E13"/>
    <mergeCell ref="D12:D13"/>
    <mergeCell ref="C12:C13"/>
    <mergeCell ref="B10:B11"/>
    <mergeCell ref="B14:B15"/>
    <mergeCell ref="B19:B20"/>
    <mergeCell ref="C14:C15"/>
    <mergeCell ref="E14:E15"/>
    <mergeCell ref="D14:D15"/>
  </mergeCells>
  <phoneticPr fontId="6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S56"/>
  <sheetViews>
    <sheetView topLeftCell="E1" zoomScaleNormal="100" workbookViewId="0">
      <selection activeCell="E3" sqref="E3"/>
    </sheetView>
  </sheetViews>
  <sheetFormatPr defaultRowHeight="15" x14ac:dyDescent="0.25"/>
  <cols>
    <col min="1" max="1" width="9.140625" style="30"/>
    <col min="2" max="2" width="21.140625" style="30" bestFit="1" customWidth="1"/>
    <col min="3" max="3" width="61.5703125" style="30" bestFit="1" customWidth="1"/>
    <col min="4" max="4" width="12.28515625" style="30" customWidth="1"/>
    <col min="5" max="5" width="14.140625" style="30" customWidth="1"/>
    <col min="6" max="6" width="7.5703125" style="30" customWidth="1"/>
    <col min="7" max="7" width="5" style="30" customWidth="1"/>
    <col min="8" max="8" width="9.5703125" style="45" customWidth="1"/>
    <col min="9" max="9" width="5.42578125" style="30" customWidth="1"/>
    <col min="10" max="10" width="11.28515625" style="30" bestFit="1" customWidth="1"/>
    <col min="11" max="11" width="5" style="30" customWidth="1"/>
    <col min="12" max="12" width="9.5703125" style="45" customWidth="1"/>
    <col min="13" max="13" width="5.42578125" style="30" customWidth="1"/>
    <col min="14" max="14" width="11.28515625" style="30" bestFit="1" customWidth="1"/>
    <col min="15" max="15" width="5" style="30" customWidth="1"/>
    <col min="16" max="16" width="9.5703125" style="45" customWidth="1"/>
    <col min="17" max="16384" width="9.140625" style="30"/>
  </cols>
  <sheetData>
    <row r="2" spans="2:19" x14ac:dyDescent="0.25">
      <c r="B2" s="1"/>
      <c r="D2" s="1" t="s">
        <v>193</v>
      </c>
      <c r="E2" s="30" t="s">
        <v>182</v>
      </c>
      <c r="F2" s="1" t="s">
        <v>184</v>
      </c>
    </row>
    <row r="3" spans="2:19" x14ac:dyDescent="0.25">
      <c r="B3" s="1" t="s">
        <v>181</v>
      </c>
      <c r="C3" s="81" t="s">
        <v>186</v>
      </c>
      <c r="D3" s="1">
        <v>12000</v>
      </c>
      <c r="E3" s="30">
        <v>12000</v>
      </c>
      <c r="F3" s="80">
        <f>(E3/D3)*10</f>
        <v>10</v>
      </c>
    </row>
    <row r="4" spans="2:19" x14ac:dyDescent="0.25">
      <c r="B4" s="1" t="s">
        <v>183</v>
      </c>
      <c r="C4" s="81" t="s">
        <v>185</v>
      </c>
      <c r="D4" s="1">
        <v>12000</v>
      </c>
      <c r="E4" s="30">
        <v>12000</v>
      </c>
      <c r="F4" s="80">
        <f>10-(E4/D4)*10</f>
        <v>0</v>
      </c>
    </row>
    <row r="5" spans="2:19" x14ac:dyDescent="0.25">
      <c r="B5" s="1" t="s">
        <v>187</v>
      </c>
      <c r="C5" s="81" t="s">
        <v>189</v>
      </c>
      <c r="D5" s="1">
        <v>10</v>
      </c>
      <c r="E5" s="30">
        <v>2</v>
      </c>
      <c r="F5" s="1">
        <f>10-(E5/D5)*10</f>
        <v>8</v>
      </c>
    </row>
    <row r="6" spans="2:19" x14ac:dyDescent="0.25">
      <c r="B6" s="30" t="s">
        <v>188</v>
      </c>
      <c r="C6" s="81" t="s">
        <v>190</v>
      </c>
      <c r="D6" s="30">
        <v>19000</v>
      </c>
      <c r="E6" s="30">
        <v>0</v>
      </c>
      <c r="F6" s="1">
        <f>10-(E6/D6)*10</f>
        <v>10</v>
      </c>
    </row>
    <row r="7" spans="2:19" x14ac:dyDescent="0.25">
      <c r="B7" s="30" t="s">
        <v>191</v>
      </c>
      <c r="C7" s="81" t="s">
        <v>192</v>
      </c>
      <c r="D7" s="30">
        <v>10</v>
      </c>
      <c r="E7" s="30">
        <v>0</v>
      </c>
      <c r="F7" s="1">
        <f>10-(E7/D7)*10</f>
        <v>10</v>
      </c>
    </row>
    <row r="11" spans="2:19" x14ac:dyDescent="0.25">
      <c r="C11" s="51" t="s">
        <v>118</v>
      </c>
      <c r="D11" s="51"/>
      <c r="E11" s="51"/>
      <c r="F11" s="51"/>
      <c r="G11" s="51"/>
      <c r="H11" s="52"/>
      <c r="I11" s="51"/>
    </row>
    <row r="12" spans="2:19" x14ac:dyDescent="0.25">
      <c r="C12" s="51"/>
      <c r="D12" s="136" t="s">
        <v>117</v>
      </c>
      <c r="E12" s="138" t="s">
        <v>116</v>
      </c>
      <c r="F12" s="139"/>
      <c r="G12" s="139"/>
      <c r="H12" s="140"/>
      <c r="I12" s="138" t="s">
        <v>115</v>
      </c>
      <c r="J12" s="139"/>
      <c r="K12" s="139"/>
      <c r="L12" s="140"/>
      <c r="M12" s="141" t="s">
        <v>114</v>
      </c>
      <c r="N12" s="141"/>
      <c r="O12" s="141"/>
      <c r="P12" s="141"/>
      <c r="R12" s="33"/>
      <c r="S12" s="30" t="s">
        <v>113</v>
      </c>
    </row>
    <row r="13" spans="2:19" x14ac:dyDescent="0.25">
      <c r="B13" s="48" t="s">
        <v>112</v>
      </c>
      <c r="C13" s="48" t="s">
        <v>88</v>
      </c>
      <c r="D13" s="137"/>
      <c r="E13" s="49" t="s">
        <v>111</v>
      </c>
      <c r="F13" s="49" t="s">
        <v>110</v>
      </c>
      <c r="G13" s="49" t="s">
        <v>109</v>
      </c>
      <c r="H13" s="49" t="s">
        <v>108</v>
      </c>
      <c r="I13" s="49" t="s">
        <v>111</v>
      </c>
      <c r="J13" s="49" t="s">
        <v>110</v>
      </c>
      <c r="K13" s="49" t="s">
        <v>109</v>
      </c>
      <c r="L13" s="49" t="s">
        <v>108</v>
      </c>
      <c r="M13" s="49" t="s">
        <v>111</v>
      </c>
      <c r="N13" s="49" t="s">
        <v>110</v>
      </c>
      <c r="O13" s="49" t="s">
        <v>109</v>
      </c>
      <c r="P13" s="49" t="s">
        <v>108</v>
      </c>
    </row>
    <row r="14" spans="2:19" x14ac:dyDescent="0.25">
      <c r="B14" s="14">
        <v>1</v>
      </c>
      <c r="C14" s="14" t="s">
        <v>70</v>
      </c>
      <c r="D14" s="14">
        <f>E14+I14+M14/10*10</f>
        <v>5.2</v>
      </c>
      <c r="E14" s="14">
        <f t="shared" ref="E14:E26" si="0">F14*G14</f>
        <v>3</v>
      </c>
      <c r="F14" s="14">
        <v>30</v>
      </c>
      <c r="G14" s="14">
        <v>0.1</v>
      </c>
      <c r="H14" s="47" t="s">
        <v>107</v>
      </c>
      <c r="I14" s="14">
        <f t="shared" ref="I14:I26" si="1">J14*K14</f>
        <v>-0.30000000000000004</v>
      </c>
      <c r="J14" s="26">
        <v>3</v>
      </c>
      <c r="K14" s="14">
        <v>-0.1</v>
      </c>
      <c r="L14" s="47" t="s">
        <v>106</v>
      </c>
      <c r="M14" s="14">
        <f t="shared" ref="M14:M26" si="2">N14*O14</f>
        <v>2.5</v>
      </c>
      <c r="N14" s="14">
        <v>5</v>
      </c>
      <c r="O14" s="14">
        <v>0.5</v>
      </c>
      <c r="P14" s="46" t="s">
        <v>105</v>
      </c>
      <c r="R14" s="38"/>
      <c r="S14" s="30" t="s">
        <v>104</v>
      </c>
    </row>
    <row r="15" spans="2:19" x14ac:dyDescent="0.25">
      <c r="B15" s="14">
        <v>2</v>
      </c>
      <c r="C15" s="14" t="s">
        <v>67</v>
      </c>
      <c r="D15" s="14">
        <f t="shared" ref="D15:D26" si="3">E15+I15+M15</f>
        <v>0</v>
      </c>
      <c r="E15" s="14">
        <f t="shared" si="0"/>
        <v>0</v>
      </c>
      <c r="F15" s="14">
        <v>0</v>
      </c>
      <c r="G15" s="14">
        <v>0</v>
      </c>
      <c r="H15" s="47"/>
      <c r="I15" s="14">
        <f t="shared" si="1"/>
        <v>0</v>
      </c>
      <c r="J15" s="26">
        <v>0</v>
      </c>
      <c r="K15" s="14">
        <v>0</v>
      </c>
      <c r="L15" s="47"/>
      <c r="M15" s="14">
        <f t="shared" si="2"/>
        <v>0</v>
      </c>
      <c r="N15" s="14">
        <v>0</v>
      </c>
      <c r="O15" s="14">
        <v>0</v>
      </c>
      <c r="P15" s="46"/>
    </row>
    <row r="16" spans="2:19" x14ac:dyDescent="0.25">
      <c r="B16" s="14">
        <v>3</v>
      </c>
      <c r="C16" s="14" t="s">
        <v>33</v>
      </c>
      <c r="D16" s="14">
        <f t="shared" si="3"/>
        <v>0</v>
      </c>
      <c r="E16" s="14">
        <f t="shared" si="0"/>
        <v>0</v>
      </c>
      <c r="F16" s="14">
        <v>0</v>
      </c>
      <c r="G16" s="14">
        <v>0</v>
      </c>
      <c r="H16" s="47"/>
      <c r="I16" s="14">
        <f t="shared" si="1"/>
        <v>0</v>
      </c>
      <c r="J16" s="26">
        <v>0</v>
      </c>
      <c r="K16" s="14">
        <v>0</v>
      </c>
      <c r="L16" s="47"/>
      <c r="M16" s="14">
        <f t="shared" si="2"/>
        <v>0</v>
      </c>
      <c r="N16" s="14">
        <v>0</v>
      </c>
      <c r="O16" s="14">
        <v>0</v>
      </c>
      <c r="P16" s="46"/>
    </row>
    <row r="17" spans="2:17" x14ac:dyDescent="0.25">
      <c r="B17" s="14">
        <v>4</v>
      </c>
      <c r="C17" s="14" t="s">
        <v>31</v>
      </c>
      <c r="D17" s="14">
        <f t="shared" si="3"/>
        <v>0</v>
      </c>
      <c r="E17" s="14">
        <f t="shared" si="0"/>
        <v>0</v>
      </c>
      <c r="F17" s="14">
        <v>0</v>
      </c>
      <c r="G17" s="14">
        <v>0</v>
      </c>
      <c r="H17" s="47"/>
      <c r="I17" s="14">
        <f t="shared" si="1"/>
        <v>0</v>
      </c>
      <c r="J17" s="26">
        <v>0</v>
      </c>
      <c r="K17" s="14">
        <v>0</v>
      </c>
      <c r="L17" s="47"/>
      <c r="M17" s="14">
        <f t="shared" si="2"/>
        <v>0</v>
      </c>
      <c r="N17" s="14">
        <v>0</v>
      </c>
      <c r="O17" s="14">
        <v>0</v>
      </c>
      <c r="P17" s="46"/>
    </row>
    <row r="18" spans="2:17" x14ac:dyDescent="0.25">
      <c r="B18" s="14">
        <v>5</v>
      </c>
      <c r="C18" s="14" t="s">
        <v>29</v>
      </c>
      <c r="D18" s="14">
        <f t="shared" si="3"/>
        <v>0</v>
      </c>
      <c r="E18" s="14">
        <f t="shared" si="0"/>
        <v>0</v>
      </c>
      <c r="F18" s="14">
        <v>0</v>
      </c>
      <c r="G18" s="14">
        <v>0</v>
      </c>
      <c r="H18" s="47"/>
      <c r="I18" s="14">
        <f t="shared" si="1"/>
        <v>0</v>
      </c>
      <c r="J18" s="26">
        <v>0</v>
      </c>
      <c r="K18" s="14">
        <v>0</v>
      </c>
      <c r="L18" s="47"/>
      <c r="M18" s="14">
        <f t="shared" si="2"/>
        <v>0</v>
      </c>
      <c r="N18" s="14">
        <v>0</v>
      </c>
      <c r="O18" s="14">
        <v>0</v>
      </c>
      <c r="P18" s="46"/>
    </row>
    <row r="19" spans="2:17" x14ac:dyDescent="0.25">
      <c r="B19" s="14">
        <v>6</v>
      </c>
      <c r="C19" s="26" t="s">
        <v>65</v>
      </c>
      <c r="D19" s="14">
        <f t="shared" si="3"/>
        <v>0</v>
      </c>
      <c r="E19" s="14">
        <f t="shared" si="0"/>
        <v>0</v>
      </c>
      <c r="F19" s="14">
        <v>0</v>
      </c>
      <c r="G19" s="14">
        <v>0</v>
      </c>
      <c r="H19" s="47"/>
      <c r="I19" s="14">
        <f t="shared" si="1"/>
        <v>0</v>
      </c>
      <c r="J19" s="26">
        <v>0</v>
      </c>
      <c r="K19" s="14">
        <v>0</v>
      </c>
      <c r="L19" s="47"/>
      <c r="M19" s="14">
        <f t="shared" si="2"/>
        <v>0</v>
      </c>
      <c r="N19" s="14">
        <v>0</v>
      </c>
      <c r="O19" s="14">
        <v>0</v>
      </c>
      <c r="P19" s="46"/>
    </row>
    <row r="20" spans="2:17" x14ac:dyDescent="0.25">
      <c r="B20" s="14">
        <v>7</v>
      </c>
      <c r="C20" s="26" t="s">
        <v>3</v>
      </c>
      <c r="D20" s="14">
        <f t="shared" si="3"/>
        <v>0</v>
      </c>
      <c r="E20" s="14">
        <f t="shared" si="0"/>
        <v>0</v>
      </c>
      <c r="F20" s="14">
        <v>0</v>
      </c>
      <c r="G20" s="14">
        <v>0</v>
      </c>
      <c r="H20" s="47"/>
      <c r="I20" s="14">
        <f t="shared" si="1"/>
        <v>0</v>
      </c>
      <c r="J20" s="26">
        <v>0</v>
      </c>
      <c r="K20" s="14">
        <v>0</v>
      </c>
      <c r="L20" s="47"/>
      <c r="M20" s="14">
        <f t="shared" si="2"/>
        <v>0</v>
      </c>
      <c r="N20" s="14">
        <v>0</v>
      </c>
      <c r="O20" s="14">
        <v>0</v>
      </c>
      <c r="P20" s="46"/>
    </row>
    <row r="21" spans="2:17" x14ac:dyDescent="0.25">
      <c r="B21" s="14">
        <v>8</v>
      </c>
      <c r="C21" s="26" t="s">
        <v>62</v>
      </c>
      <c r="D21" s="14">
        <f t="shared" si="3"/>
        <v>0</v>
      </c>
      <c r="E21" s="14">
        <f t="shared" si="0"/>
        <v>0</v>
      </c>
      <c r="F21" s="14">
        <v>0</v>
      </c>
      <c r="G21" s="14">
        <v>0</v>
      </c>
      <c r="H21" s="47"/>
      <c r="I21" s="14">
        <f t="shared" si="1"/>
        <v>0</v>
      </c>
      <c r="J21" s="26">
        <v>0</v>
      </c>
      <c r="K21" s="14">
        <v>0</v>
      </c>
      <c r="L21" s="47"/>
      <c r="M21" s="14">
        <f t="shared" si="2"/>
        <v>0</v>
      </c>
      <c r="N21" s="14">
        <v>0</v>
      </c>
      <c r="O21" s="14">
        <v>0</v>
      </c>
      <c r="P21" s="46"/>
    </row>
    <row r="22" spans="2:17" x14ac:dyDescent="0.25">
      <c r="B22" s="14">
        <v>9</v>
      </c>
      <c r="C22" s="26" t="s">
        <v>103</v>
      </c>
      <c r="D22" s="14">
        <f t="shared" si="3"/>
        <v>0</v>
      </c>
      <c r="E22" s="14">
        <f t="shared" si="0"/>
        <v>0</v>
      </c>
      <c r="F22" s="14">
        <v>0</v>
      </c>
      <c r="G22" s="14">
        <v>0</v>
      </c>
      <c r="H22" s="47"/>
      <c r="I22" s="14">
        <f t="shared" si="1"/>
        <v>0</v>
      </c>
      <c r="J22" s="26">
        <v>0</v>
      </c>
      <c r="K22" s="14">
        <v>0</v>
      </c>
      <c r="L22" s="47"/>
      <c r="M22" s="14">
        <f t="shared" si="2"/>
        <v>0</v>
      </c>
      <c r="N22" s="14">
        <v>0</v>
      </c>
      <c r="O22" s="14">
        <v>0</v>
      </c>
      <c r="P22" s="46"/>
    </row>
    <row r="23" spans="2:17" x14ac:dyDescent="0.25">
      <c r="B23" s="14">
        <v>10</v>
      </c>
      <c r="C23" s="26" t="s">
        <v>102</v>
      </c>
      <c r="D23" s="14">
        <f t="shared" si="3"/>
        <v>0</v>
      </c>
      <c r="E23" s="14">
        <f t="shared" si="0"/>
        <v>0</v>
      </c>
      <c r="F23" s="14">
        <v>0</v>
      </c>
      <c r="G23" s="14">
        <v>0</v>
      </c>
      <c r="H23" s="47"/>
      <c r="I23" s="14">
        <f t="shared" si="1"/>
        <v>0</v>
      </c>
      <c r="J23" s="26">
        <v>0</v>
      </c>
      <c r="K23" s="14">
        <v>0</v>
      </c>
      <c r="L23" s="47"/>
      <c r="M23" s="14">
        <f t="shared" si="2"/>
        <v>0</v>
      </c>
      <c r="N23" s="14">
        <v>0</v>
      </c>
      <c r="O23" s="14">
        <v>0</v>
      </c>
      <c r="P23" s="46"/>
    </row>
    <row r="24" spans="2:17" x14ac:dyDescent="0.25">
      <c r="B24" s="14">
        <v>11</v>
      </c>
      <c r="C24" s="26" t="s">
        <v>101</v>
      </c>
      <c r="D24" s="14">
        <f t="shared" si="3"/>
        <v>0</v>
      </c>
      <c r="E24" s="14">
        <f t="shared" si="0"/>
        <v>0</v>
      </c>
      <c r="F24" s="14">
        <v>0</v>
      </c>
      <c r="G24" s="14">
        <v>0</v>
      </c>
      <c r="H24" s="47"/>
      <c r="I24" s="14">
        <f t="shared" si="1"/>
        <v>0</v>
      </c>
      <c r="J24" s="26">
        <v>0</v>
      </c>
      <c r="K24" s="14">
        <v>0</v>
      </c>
      <c r="L24" s="47"/>
      <c r="M24" s="14">
        <f t="shared" si="2"/>
        <v>0</v>
      </c>
      <c r="N24" s="14">
        <v>0</v>
      </c>
      <c r="O24" s="14">
        <v>0</v>
      </c>
      <c r="P24" s="46"/>
    </row>
    <row r="25" spans="2:17" x14ac:dyDescent="0.25">
      <c r="B25" s="14">
        <v>12</v>
      </c>
      <c r="C25" s="26" t="s">
        <v>100</v>
      </c>
      <c r="D25" s="14">
        <f t="shared" si="3"/>
        <v>0</v>
      </c>
      <c r="E25" s="14">
        <f t="shared" si="0"/>
        <v>0</v>
      </c>
      <c r="F25" s="14">
        <v>0</v>
      </c>
      <c r="G25" s="14">
        <v>0</v>
      </c>
      <c r="H25" s="47"/>
      <c r="I25" s="14">
        <f t="shared" si="1"/>
        <v>0</v>
      </c>
      <c r="J25" s="26">
        <v>0</v>
      </c>
      <c r="K25" s="14">
        <v>0</v>
      </c>
      <c r="L25" s="47"/>
      <c r="M25" s="14">
        <f t="shared" si="2"/>
        <v>0</v>
      </c>
      <c r="N25" s="14">
        <v>0</v>
      </c>
      <c r="O25" s="14">
        <v>0</v>
      </c>
      <c r="P25" s="46"/>
    </row>
    <row r="26" spans="2:17" x14ac:dyDescent="0.25">
      <c r="B26" s="14">
        <v>13</v>
      </c>
      <c r="C26" s="26" t="s">
        <v>24</v>
      </c>
      <c r="D26" s="14">
        <f t="shared" si="3"/>
        <v>0</v>
      </c>
      <c r="E26" s="14">
        <f t="shared" si="0"/>
        <v>0</v>
      </c>
      <c r="F26" s="14">
        <v>0</v>
      </c>
      <c r="G26" s="14">
        <v>0</v>
      </c>
      <c r="H26" s="47"/>
      <c r="I26" s="14">
        <f t="shared" si="1"/>
        <v>0</v>
      </c>
      <c r="J26" s="26">
        <v>0</v>
      </c>
      <c r="K26" s="14">
        <v>0</v>
      </c>
      <c r="L26" s="47"/>
      <c r="M26" s="14">
        <f t="shared" si="2"/>
        <v>0</v>
      </c>
      <c r="N26" s="14">
        <v>0</v>
      </c>
      <c r="O26" s="14">
        <v>0</v>
      </c>
      <c r="P26" s="46"/>
    </row>
    <row r="27" spans="2:17" x14ac:dyDescent="0.25">
      <c r="B27" s="26"/>
      <c r="C27" s="26"/>
      <c r="D27" s="26"/>
      <c r="E27" s="26"/>
      <c r="F27" s="26"/>
      <c r="G27" s="26"/>
      <c r="H27" s="46"/>
      <c r="I27" s="26"/>
      <c r="J27" s="26"/>
      <c r="K27" s="26"/>
      <c r="L27" s="46"/>
      <c r="M27" s="26"/>
      <c r="N27" s="26"/>
      <c r="O27" s="26"/>
      <c r="P27" s="46"/>
    </row>
    <row r="28" spans="2:17" x14ac:dyDescent="0.25">
      <c r="B28" s="48"/>
      <c r="C28" s="48" t="s">
        <v>87</v>
      </c>
      <c r="D28" s="48"/>
      <c r="E28" s="48"/>
      <c r="F28" s="48"/>
      <c r="G28" s="48"/>
      <c r="H28" s="49"/>
      <c r="I28" s="48"/>
      <c r="J28" s="26"/>
      <c r="K28" s="26"/>
      <c r="L28" s="46"/>
      <c r="M28" s="26"/>
      <c r="N28" s="26"/>
      <c r="O28" s="26"/>
      <c r="P28" s="46"/>
    </row>
    <row r="29" spans="2:17" x14ac:dyDescent="0.25">
      <c r="B29" s="26">
        <v>1</v>
      </c>
      <c r="C29" s="26" t="s">
        <v>2</v>
      </c>
      <c r="D29" s="14">
        <f>(E29+I29+M29)/150*10</f>
        <v>6.5</v>
      </c>
      <c r="E29" s="14">
        <f>F29*G29</f>
        <v>-2.5</v>
      </c>
      <c r="F29" s="14">
        <v>5</v>
      </c>
      <c r="G29" s="14">
        <v>-0.5</v>
      </c>
      <c r="H29" s="47" t="s">
        <v>4</v>
      </c>
      <c r="I29" s="14">
        <f>J29*K29</f>
        <v>100</v>
      </c>
      <c r="J29" s="26">
        <v>20</v>
      </c>
      <c r="K29" s="50">
        <v>5</v>
      </c>
      <c r="L29" s="47" t="s">
        <v>99</v>
      </c>
      <c r="M29" s="14">
        <f>N29*O29</f>
        <v>0</v>
      </c>
      <c r="N29" s="14">
        <v>0</v>
      </c>
      <c r="O29" s="14">
        <v>0</v>
      </c>
      <c r="P29" s="46"/>
      <c r="Q29" s="30" t="s">
        <v>98</v>
      </c>
    </row>
    <row r="30" spans="2:17" x14ac:dyDescent="0.25">
      <c r="B30" s="26"/>
      <c r="C30" s="26"/>
      <c r="D30" s="26"/>
      <c r="E30" s="26"/>
      <c r="F30" s="26"/>
      <c r="G30" s="26"/>
      <c r="H30" s="46"/>
      <c r="I30" s="26"/>
      <c r="J30" s="26"/>
      <c r="K30" s="26"/>
      <c r="L30" s="46"/>
      <c r="M30" s="26"/>
      <c r="N30" s="26"/>
      <c r="O30" s="26"/>
      <c r="P30" s="46"/>
    </row>
    <row r="31" spans="2:17" x14ac:dyDescent="0.25">
      <c r="B31" s="48"/>
      <c r="C31" s="48" t="s">
        <v>86</v>
      </c>
      <c r="D31" s="48"/>
      <c r="E31" s="48"/>
      <c r="F31" s="48"/>
      <c r="G31" s="48"/>
      <c r="H31" s="49"/>
      <c r="I31" s="48"/>
      <c r="J31" s="26"/>
      <c r="K31" s="26"/>
      <c r="L31" s="46"/>
      <c r="M31" s="26"/>
      <c r="N31" s="26"/>
      <c r="O31" s="26"/>
      <c r="P31" s="46"/>
    </row>
    <row r="32" spans="2:17" x14ac:dyDescent="0.25">
      <c r="B32" s="26">
        <v>1</v>
      </c>
      <c r="C32" s="26" t="s">
        <v>13</v>
      </c>
      <c r="D32" s="14">
        <f>E32+I32+M32</f>
        <v>0</v>
      </c>
      <c r="E32" s="14">
        <f>F32*G32</f>
        <v>0</v>
      </c>
      <c r="F32" s="14">
        <v>0</v>
      </c>
      <c r="G32" s="14">
        <v>0</v>
      </c>
      <c r="H32" s="47"/>
      <c r="I32" s="14">
        <f>J32*K32</f>
        <v>0</v>
      </c>
      <c r="J32" s="26">
        <v>0</v>
      </c>
      <c r="K32" s="14">
        <v>0</v>
      </c>
      <c r="L32" s="47"/>
      <c r="M32" s="14">
        <f>N32*O32</f>
        <v>0</v>
      </c>
      <c r="N32" s="14">
        <v>0</v>
      </c>
      <c r="O32" s="14">
        <v>0</v>
      </c>
      <c r="P32" s="46"/>
    </row>
    <row r="33" spans="2:16" x14ac:dyDescent="0.25">
      <c r="B33" s="26"/>
      <c r="C33" s="26"/>
      <c r="D33" s="26"/>
      <c r="E33" s="26"/>
      <c r="F33" s="26"/>
      <c r="G33" s="26"/>
      <c r="H33" s="46"/>
      <c r="I33" s="26"/>
      <c r="J33" s="26"/>
      <c r="K33" s="26"/>
      <c r="L33" s="46"/>
      <c r="M33" s="26"/>
      <c r="N33" s="26"/>
      <c r="O33" s="26"/>
      <c r="P33" s="46"/>
    </row>
    <row r="34" spans="2:16" x14ac:dyDescent="0.25">
      <c r="B34" s="48"/>
      <c r="C34" s="48" t="s">
        <v>85</v>
      </c>
      <c r="D34" s="48"/>
      <c r="E34" s="48"/>
      <c r="F34" s="48"/>
      <c r="G34" s="48"/>
      <c r="H34" s="49"/>
      <c r="I34" s="48"/>
      <c r="J34" s="26"/>
      <c r="K34" s="26"/>
      <c r="L34" s="46"/>
      <c r="M34" s="26"/>
      <c r="N34" s="26"/>
      <c r="O34" s="26"/>
      <c r="P34" s="46"/>
    </row>
    <row r="35" spans="2:16" x14ac:dyDescent="0.25">
      <c r="B35" s="26">
        <v>1</v>
      </c>
      <c r="C35" s="26" t="s">
        <v>10</v>
      </c>
      <c r="D35" s="14">
        <f>E35+I35+M35</f>
        <v>0</v>
      </c>
      <c r="E35" s="14">
        <f>F35*G35</f>
        <v>0</v>
      </c>
      <c r="F35" s="14">
        <v>0</v>
      </c>
      <c r="G35" s="14">
        <v>0</v>
      </c>
      <c r="H35" s="47"/>
      <c r="I35" s="14">
        <f>J35*K35</f>
        <v>0</v>
      </c>
      <c r="J35" s="26">
        <v>0</v>
      </c>
      <c r="K35" s="14">
        <v>0</v>
      </c>
      <c r="L35" s="47"/>
      <c r="M35" s="14">
        <f>N35*O35</f>
        <v>0</v>
      </c>
      <c r="N35" s="14">
        <v>0</v>
      </c>
      <c r="O35" s="14">
        <v>0</v>
      </c>
      <c r="P35" s="46"/>
    </row>
    <row r="36" spans="2:16" x14ac:dyDescent="0.25">
      <c r="B36" s="26"/>
      <c r="C36" s="26"/>
      <c r="D36" s="26"/>
      <c r="E36" s="26"/>
      <c r="F36" s="26"/>
      <c r="G36" s="26"/>
      <c r="H36" s="46"/>
      <c r="I36" s="26"/>
      <c r="J36" s="26"/>
      <c r="K36" s="26"/>
      <c r="L36" s="46"/>
      <c r="M36" s="26"/>
      <c r="N36" s="26"/>
      <c r="O36" s="26"/>
      <c r="P36" s="46"/>
    </row>
    <row r="37" spans="2:16" x14ac:dyDescent="0.25">
      <c r="B37" s="48"/>
      <c r="C37" s="48" t="s">
        <v>84</v>
      </c>
      <c r="D37" s="48"/>
      <c r="E37" s="48"/>
      <c r="F37" s="48"/>
      <c r="G37" s="48"/>
      <c r="H37" s="49"/>
      <c r="I37" s="48"/>
      <c r="J37" s="26"/>
      <c r="K37" s="26"/>
      <c r="L37" s="46"/>
      <c r="M37" s="26"/>
      <c r="N37" s="26"/>
      <c r="O37" s="26"/>
      <c r="P37" s="46"/>
    </row>
    <row r="38" spans="2:16" x14ac:dyDescent="0.25">
      <c r="B38" s="26">
        <v>1</v>
      </c>
      <c r="C38" s="26" t="s">
        <v>19</v>
      </c>
      <c r="D38" s="14">
        <f>E38+I38+M38</f>
        <v>0</v>
      </c>
      <c r="E38" s="14">
        <f>F38*G38</f>
        <v>0</v>
      </c>
      <c r="F38" s="14">
        <v>0</v>
      </c>
      <c r="G38" s="14">
        <v>0</v>
      </c>
      <c r="H38" s="47"/>
      <c r="I38" s="14">
        <f>J38*K38</f>
        <v>0</v>
      </c>
      <c r="J38" s="26">
        <v>0</v>
      </c>
      <c r="K38" s="14">
        <v>0</v>
      </c>
      <c r="L38" s="47"/>
      <c r="M38" s="14">
        <f>N38*O38</f>
        <v>0</v>
      </c>
      <c r="N38" s="14">
        <v>0</v>
      </c>
      <c r="O38" s="14">
        <v>0</v>
      </c>
      <c r="P38" s="46"/>
    </row>
    <row r="39" spans="2:16" x14ac:dyDescent="0.25">
      <c r="B39" s="26"/>
      <c r="C39" s="26"/>
      <c r="D39" s="26"/>
      <c r="E39" s="26"/>
      <c r="F39" s="26"/>
      <c r="G39" s="26"/>
      <c r="H39" s="46"/>
      <c r="I39" s="26"/>
      <c r="J39" s="26"/>
      <c r="K39" s="26"/>
      <c r="L39" s="46"/>
      <c r="M39" s="26"/>
      <c r="N39" s="26"/>
      <c r="O39" s="26"/>
      <c r="P39" s="46"/>
    </row>
    <row r="40" spans="2:16" x14ac:dyDescent="0.25">
      <c r="B40" s="48"/>
      <c r="C40" s="48" t="s">
        <v>97</v>
      </c>
      <c r="D40" s="48"/>
      <c r="E40" s="48"/>
      <c r="F40" s="48"/>
      <c r="G40" s="48"/>
      <c r="H40" s="49"/>
      <c r="I40" s="48"/>
      <c r="J40" s="26"/>
      <c r="K40" s="26"/>
      <c r="L40" s="46"/>
      <c r="M40" s="26"/>
      <c r="N40" s="26"/>
      <c r="O40" s="26"/>
      <c r="P40" s="46"/>
    </row>
    <row r="41" spans="2:16" x14ac:dyDescent="0.25">
      <c r="B41" s="26">
        <v>1</v>
      </c>
      <c r="C41" s="26" t="s">
        <v>11</v>
      </c>
      <c r="D41" s="14">
        <f>E41+I41+M41</f>
        <v>0</v>
      </c>
      <c r="E41" s="14">
        <f>F41*G41</f>
        <v>0</v>
      </c>
      <c r="F41" s="14">
        <v>0</v>
      </c>
      <c r="G41" s="14">
        <v>0</v>
      </c>
      <c r="H41" s="47"/>
      <c r="I41" s="14">
        <f>J41*K41</f>
        <v>0</v>
      </c>
      <c r="J41" s="26">
        <v>0</v>
      </c>
      <c r="K41" s="14">
        <v>0</v>
      </c>
      <c r="L41" s="47"/>
      <c r="M41" s="14">
        <f>N41*O41</f>
        <v>0</v>
      </c>
      <c r="N41" s="14">
        <v>0</v>
      </c>
      <c r="O41" s="14">
        <v>0</v>
      </c>
      <c r="P41" s="46"/>
    </row>
    <row r="42" spans="2:16" x14ac:dyDescent="0.25">
      <c r="B42" s="26"/>
      <c r="C42" s="26"/>
      <c r="D42" s="26"/>
      <c r="E42" s="26"/>
      <c r="F42" s="26"/>
      <c r="G42" s="26"/>
      <c r="H42" s="46"/>
      <c r="I42" s="26"/>
      <c r="J42" s="26"/>
      <c r="K42" s="26"/>
      <c r="L42" s="46"/>
      <c r="M42" s="26"/>
      <c r="N42" s="26"/>
      <c r="O42" s="26"/>
      <c r="P42" s="46"/>
    </row>
    <row r="43" spans="2:16" x14ac:dyDescent="0.25">
      <c r="B43" s="48"/>
      <c r="C43" s="48" t="s">
        <v>96</v>
      </c>
      <c r="D43" s="48"/>
      <c r="E43" s="48"/>
      <c r="F43" s="48"/>
      <c r="G43" s="48"/>
      <c r="H43" s="49"/>
      <c r="I43" s="48"/>
      <c r="J43" s="26"/>
      <c r="K43" s="26"/>
      <c r="L43" s="46"/>
      <c r="M43" s="26"/>
      <c r="N43" s="26"/>
      <c r="O43" s="26"/>
      <c r="P43" s="46"/>
    </row>
    <row r="44" spans="2:16" x14ac:dyDescent="0.25">
      <c r="B44" s="26">
        <v>1</v>
      </c>
      <c r="C44" s="26" t="s">
        <v>0</v>
      </c>
      <c r="D44" s="14">
        <f>E44+I44+M44</f>
        <v>0</v>
      </c>
      <c r="E44" s="14">
        <f>F44*G44</f>
        <v>0</v>
      </c>
      <c r="F44" s="14">
        <v>0</v>
      </c>
      <c r="G44" s="14">
        <v>0</v>
      </c>
      <c r="H44" s="47"/>
      <c r="I44" s="14">
        <f>J44*K44</f>
        <v>0</v>
      </c>
      <c r="J44" s="26">
        <v>0</v>
      </c>
      <c r="K44" s="14">
        <v>0</v>
      </c>
      <c r="L44" s="47"/>
      <c r="M44" s="14">
        <f>N44*O44</f>
        <v>0</v>
      </c>
      <c r="N44" s="14">
        <v>0</v>
      </c>
      <c r="O44" s="14">
        <v>0</v>
      </c>
      <c r="P44" s="46"/>
    </row>
    <row r="45" spans="2:16" x14ac:dyDescent="0.25">
      <c r="B45" s="26"/>
      <c r="C45" s="26"/>
      <c r="D45" s="26"/>
      <c r="E45" s="26"/>
      <c r="F45" s="26"/>
      <c r="G45" s="26"/>
      <c r="H45" s="46"/>
      <c r="I45" s="26"/>
      <c r="J45" s="26"/>
      <c r="K45" s="26"/>
      <c r="L45" s="46"/>
      <c r="M45" s="26"/>
      <c r="N45" s="26"/>
      <c r="O45" s="26"/>
      <c r="P45" s="46"/>
    </row>
    <row r="46" spans="2:16" x14ac:dyDescent="0.25">
      <c r="B46" s="48"/>
      <c r="C46" s="48" t="s">
        <v>95</v>
      </c>
      <c r="D46" s="48"/>
      <c r="E46" s="48"/>
      <c r="F46" s="48"/>
      <c r="G46" s="48"/>
      <c r="H46" s="49"/>
      <c r="I46" s="48"/>
      <c r="J46" s="26"/>
      <c r="K46" s="26"/>
      <c r="L46" s="46"/>
      <c r="M46" s="26"/>
      <c r="N46" s="26"/>
      <c r="O46" s="26"/>
      <c r="P46" s="46"/>
    </row>
    <row r="47" spans="2:16" x14ac:dyDescent="0.25">
      <c r="B47" s="26">
        <v>1</v>
      </c>
      <c r="C47" s="26" t="s">
        <v>23</v>
      </c>
      <c r="D47" s="14">
        <f>E47+I47+M47</f>
        <v>0</v>
      </c>
      <c r="E47" s="14">
        <f>F47*G47</f>
        <v>0</v>
      </c>
      <c r="F47" s="14">
        <v>0</v>
      </c>
      <c r="G47" s="14">
        <v>0</v>
      </c>
      <c r="H47" s="47"/>
      <c r="I47" s="14">
        <f>J47*K47</f>
        <v>0</v>
      </c>
      <c r="J47" s="26">
        <v>0</v>
      </c>
      <c r="K47" s="14">
        <v>0</v>
      </c>
      <c r="L47" s="47"/>
      <c r="M47" s="14">
        <f>N47*O47</f>
        <v>0</v>
      </c>
      <c r="N47" s="14">
        <v>0</v>
      </c>
      <c r="O47" s="14">
        <v>0</v>
      </c>
      <c r="P47" s="46"/>
    </row>
    <row r="48" spans="2:16" x14ac:dyDescent="0.25">
      <c r="B48" s="26"/>
      <c r="C48" s="26"/>
      <c r="D48" s="26"/>
      <c r="E48" s="26"/>
      <c r="F48" s="26"/>
      <c r="G48" s="26"/>
      <c r="H48" s="46"/>
      <c r="I48" s="26"/>
      <c r="J48" s="26"/>
      <c r="K48" s="26"/>
      <c r="L48" s="46"/>
      <c r="M48" s="26"/>
      <c r="N48" s="26"/>
      <c r="O48" s="26"/>
      <c r="P48" s="46"/>
    </row>
    <row r="49" spans="2:16" x14ac:dyDescent="0.25">
      <c r="B49" s="48"/>
      <c r="C49" s="48" t="s">
        <v>94</v>
      </c>
      <c r="D49" s="48"/>
      <c r="E49" s="48"/>
      <c r="F49" s="48"/>
      <c r="G49" s="48"/>
      <c r="H49" s="49"/>
      <c r="I49" s="48"/>
      <c r="J49" s="26"/>
      <c r="K49" s="26"/>
      <c r="L49" s="46"/>
      <c r="M49" s="26"/>
      <c r="N49" s="26"/>
      <c r="O49" s="26"/>
      <c r="P49" s="46"/>
    </row>
    <row r="50" spans="2:16" x14ac:dyDescent="0.25">
      <c r="B50" s="26">
        <v>1</v>
      </c>
      <c r="C50" s="26" t="s">
        <v>1</v>
      </c>
      <c r="D50" s="14">
        <f>E50+I50+M50</f>
        <v>0</v>
      </c>
      <c r="E50" s="14">
        <f>F50*G50</f>
        <v>0</v>
      </c>
      <c r="F50" s="14">
        <v>0</v>
      </c>
      <c r="G50" s="14">
        <v>0</v>
      </c>
      <c r="H50" s="47"/>
      <c r="I50" s="14">
        <f>J50*K50</f>
        <v>0</v>
      </c>
      <c r="J50" s="26">
        <v>0</v>
      </c>
      <c r="K50" s="14">
        <v>0</v>
      </c>
      <c r="L50" s="47"/>
      <c r="M50" s="14">
        <f>N50*O50</f>
        <v>0</v>
      </c>
      <c r="N50" s="14">
        <v>0</v>
      </c>
      <c r="O50" s="14">
        <v>0</v>
      </c>
      <c r="P50" s="46"/>
    </row>
    <row r="51" spans="2:16" x14ac:dyDescent="0.25">
      <c r="B51" s="26"/>
      <c r="C51" s="26"/>
      <c r="D51" s="26"/>
      <c r="E51" s="26"/>
      <c r="F51" s="26"/>
      <c r="G51" s="26"/>
      <c r="H51" s="46"/>
      <c r="I51" s="26"/>
      <c r="J51" s="26"/>
      <c r="K51" s="26"/>
      <c r="L51" s="46"/>
      <c r="M51" s="26"/>
      <c r="N51" s="26"/>
      <c r="O51" s="26"/>
      <c r="P51" s="46"/>
    </row>
    <row r="52" spans="2:16" x14ac:dyDescent="0.25">
      <c r="B52" s="48"/>
      <c r="C52" s="48" t="s">
        <v>93</v>
      </c>
      <c r="D52" s="48"/>
      <c r="E52" s="48"/>
      <c r="F52" s="48"/>
      <c r="G52" s="48"/>
      <c r="H52" s="49"/>
      <c r="I52" s="48"/>
      <c r="J52" s="26"/>
      <c r="K52" s="26"/>
      <c r="L52" s="46"/>
      <c r="M52" s="26"/>
      <c r="N52" s="26"/>
      <c r="O52" s="26"/>
      <c r="P52" s="46"/>
    </row>
    <row r="53" spans="2:16" x14ac:dyDescent="0.25">
      <c r="B53" s="26">
        <v>1</v>
      </c>
      <c r="C53" s="26" t="s">
        <v>43</v>
      </c>
      <c r="D53" s="14">
        <f>E53+I53+M53</f>
        <v>0</v>
      </c>
      <c r="E53" s="14">
        <f>F53*G53</f>
        <v>0</v>
      </c>
      <c r="F53" s="14">
        <v>0</v>
      </c>
      <c r="G53" s="14">
        <v>0</v>
      </c>
      <c r="H53" s="47"/>
      <c r="I53" s="14">
        <f>J53*K53</f>
        <v>0</v>
      </c>
      <c r="J53" s="26">
        <v>0</v>
      </c>
      <c r="K53" s="14">
        <v>0</v>
      </c>
      <c r="L53" s="47"/>
      <c r="M53" s="14">
        <f>N53*O53</f>
        <v>0</v>
      </c>
      <c r="N53" s="14">
        <v>0</v>
      </c>
      <c r="O53" s="14">
        <v>0</v>
      </c>
      <c r="P53" s="46"/>
    </row>
    <row r="54" spans="2:16" x14ac:dyDescent="0.25">
      <c r="B54" s="26"/>
      <c r="C54" s="26"/>
      <c r="D54" s="26"/>
      <c r="E54" s="26"/>
      <c r="F54" s="26"/>
      <c r="G54" s="26"/>
      <c r="H54" s="46"/>
      <c r="I54" s="26"/>
      <c r="J54" s="26"/>
      <c r="K54" s="26"/>
      <c r="L54" s="46"/>
      <c r="M54" s="26"/>
      <c r="N54" s="26"/>
      <c r="O54" s="26"/>
      <c r="P54" s="46"/>
    </row>
    <row r="55" spans="2:16" x14ac:dyDescent="0.25">
      <c r="B55" s="48"/>
      <c r="C55" s="48" t="s">
        <v>92</v>
      </c>
      <c r="D55" s="48"/>
      <c r="E55" s="48"/>
      <c r="F55" s="48"/>
      <c r="G55" s="48"/>
      <c r="H55" s="49"/>
      <c r="I55" s="48"/>
      <c r="J55" s="26"/>
      <c r="K55" s="26"/>
      <c r="L55" s="46"/>
      <c r="M55" s="26"/>
      <c r="N55" s="26"/>
      <c r="O55" s="26"/>
      <c r="P55" s="46"/>
    </row>
    <row r="56" spans="2:16" x14ac:dyDescent="0.25">
      <c r="B56" s="26">
        <v>1</v>
      </c>
      <c r="C56" s="26" t="s">
        <v>26</v>
      </c>
      <c r="D56" s="14">
        <f>E56+I56+M56</f>
        <v>0</v>
      </c>
      <c r="E56" s="14">
        <f>F56*G56</f>
        <v>0</v>
      </c>
      <c r="F56" s="14">
        <v>0</v>
      </c>
      <c r="G56" s="14">
        <v>0</v>
      </c>
      <c r="H56" s="47"/>
      <c r="I56" s="14">
        <f>J56*K56</f>
        <v>0</v>
      </c>
      <c r="J56" s="26">
        <v>0</v>
      </c>
      <c r="K56" s="14">
        <v>0</v>
      </c>
      <c r="L56" s="47"/>
      <c r="M56" s="14">
        <f>N56*O56</f>
        <v>0</v>
      </c>
      <c r="N56" s="14">
        <v>0</v>
      </c>
      <c r="O56" s="14">
        <v>0</v>
      </c>
      <c r="P56" s="46"/>
    </row>
  </sheetData>
  <mergeCells count="4">
    <mergeCell ref="D12:D13"/>
    <mergeCell ref="E12:H12"/>
    <mergeCell ref="I12:L12"/>
    <mergeCell ref="M12:P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P46"/>
  <sheetViews>
    <sheetView showGridLines="0" topLeftCell="A25" zoomScale="85" zoomScaleNormal="85" workbookViewId="0">
      <selection activeCell="K18" sqref="K18"/>
    </sheetView>
  </sheetViews>
  <sheetFormatPr defaultColWidth="9.140625" defaultRowHeight="15" x14ac:dyDescent="0.25"/>
  <cols>
    <col min="1" max="1" width="2.85546875" style="53" customWidth="1"/>
    <col min="2" max="2" width="3.42578125" style="53" bestFit="1" customWidth="1"/>
    <col min="3" max="7" width="20.7109375" style="53" customWidth="1"/>
    <col min="8" max="8" width="9.140625" style="53"/>
    <col min="9" max="9" width="3.42578125" style="53" bestFit="1" customWidth="1"/>
    <col min="10" max="14" width="20.7109375" style="53" customWidth="1"/>
    <col min="15" max="16384" width="9.140625" style="53"/>
  </cols>
  <sheetData>
    <row r="1" spans="2:7" ht="15.75" thickBot="1" x14ac:dyDescent="0.3"/>
    <row r="2" spans="2:7" x14ac:dyDescent="0.25">
      <c r="B2" s="145" t="s">
        <v>156</v>
      </c>
      <c r="C2" s="146"/>
      <c r="D2" s="146"/>
      <c r="E2" s="146"/>
      <c r="F2" s="146"/>
      <c r="G2" s="147"/>
    </row>
    <row r="3" spans="2:7" ht="15.75" thickBot="1" x14ac:dyDescent="0.3">
      <c r="B3" s="148" t="s">
        <v>155</v>
      </c>
      <c r="C3" s="149"/>
      <c r="D3" s="149"/>
      <c r="E3" s="149"/>
      <c r="F3" s="149"/>
      <c r="G3" s="150"/>
    </row>
    <row r="4" spans="2:7" ht="15.75" thickBot="1" x14ac:dyDescent="0.3">
      <c r="B4" s="71" t="s">
        <v>154</v>
      </c>
      <c r="C4" s="70"/>
      <c r="D4" s="69"/>
      <c r="E4" s="69"/>
      <c r="F4" s="69"/>
      <c r="G4" s="68"/>
    </row>
    <row r="5" spans="2:7" ht="15.75" thickBot="1" x14ac:dyDescent="0.3">
      <c r="B5" s="151" t="s">
        <v>153</v>
      </c>
      <c r="C5" s="152"/>
      <c r="D5" s="152"/>
      <c r="E5" s="152"/>
      <c r="F5" s="152"/>
      <c r="G5" s="153"/>
    </row>
    <row r="6" spans="2:7" ht="15.75" thickBot="1" x14ac:dyDescent="0.3">
      <c r="B6" s="67" t="s">
        <v>152</v>
      </c>
      <c r="C6" s="66" t="s">
        <v>151</v>
      </c>
      <c r="D6" s="66" t="s">
        <v>150</v>
      </c>
      <c r="E6" s="66" t="s">
        <v>149</v>
      </c>
      <c r="F6" s="66" t="s">
        <v>148</v>
      </c>
      <c r="G6" s="65" t="s">
        <v>147</v>
      </c>
    </row>
    <row r="7" spans="2:7" x14ac:dyDescent="0.25">
      <c r="B7" s="63"/>
      <c r="C7" s="142" t="s">
        <v>146</v>
      </c>
      <c r="D7" s="143"/>
      <c r="E7" s="143"/>
      <c r="F7" s="143"/>
      <c r="G7" s="144"/>
    </row>
    <row r="8" spans="2:7" x14ac:dyDescent="0.25">
      <c r="B8" s="58"/>
      <c r="C8" s="26"/>
      <c r="D8" s="26" t="s">
        <v>128</v>
      </c>
      <c r="E8" s="26"/>
      <c r="F8" s="26"/>
      <c r="G8" s="57"/>
    </row>
    <row r="9" spans="2:7" x14ac:dyDescent="0.25">
      <c r="B9" s="62">
        <v>1</v>
      </c>
      <c r="C9" s="61"/>
      <c r="D9" s="61"/>
      <c r="E9" s="61" t="s">
        <v>145</v>
      </c>
      <c r="F9" s="61">
        <v>900</v>
      </c>
      <c r="G9" s="59" t="s">
        <v>144</v>
      </c>
    </row>
    <row r="10" spans="2:7" x14ac:dyDescent="0.25">
      <c r="B10" s="62">
        <v>2</v>
      </c>
      <c r="C10" s="61"/>
      <c r="D10" s="61"/>
      <c r="E10" s="61" t="s">
        <v>125</v>
      </c>
      <c r="F10" s="61">
        <v>1500</v>
      </c>
      <c r="G10" s="59" t="s">
        <v>143</v>
      </c>
    </row>
    <row r="11" spans="2:7" x14ac:dyDescent="0.25">
      <c r="B11" s="58">
        <v>3</v>
      </c>
      <c r="C11" s="26"/>
      <c r="D11" s="26"/>
      <c r="E11" s="26"/>
      <c r="F11" s="26"/>
      <c r="G11" s="57"/>
    </row>
    <row r="12" spans="2:7" x14ac:dyDescent="0.25">
      <c r="B12" s="58"/>
      <c r="C12" s="26"/>
      <c r="D12" s="26" t="s">
        <v>123</v>
      </c>
      <c r="E12" s="26"/>
      <c r="F12" s="26"/>
      <c r="G12" s="57"/>
    </row>
    <row r="13" spans="2:7" x14ac:dyDescent="0.25">
      <c r="B13" s="58">
        <v>4</v>
      </c>
      <c r="C13" s="26"/>
      <c r="D13" s="26"/>
      <c r="E13" s="26" t="s">
        <v>142</v>
      </c>
      <c r="F13" s="26"/>
      <c r="G13" s="57"/>
    </row>
    <row r="14" spans="2:7" x14ac:dyDescent="0.25">
      <c r="B14" s="58">
        <v>5</v>
      </c>
      <c r="C14" s="26"/>
      <c r="D14" s="26"/>
      <c r="E14" s="26" t="s">
        <v>141</v>
      </c>
      <c r="F14" s="26"/>
      <c r="G14" s="57"/>
    </row>
    <row r="15" spans="2:7" x14ac:dyDescent="0.25">
      <c r="B15" s="58">
        <v>6</v>
      </c>
      <c r="C15" s="26"/>
      <c r="D15" s="26"/>
      <c r="E15" s="26" t="s">
        <v>140</v>
      </c>
      <c r="F15" s="26"/>
      <c r="G15" s="57"/>
    </row>
    <row r="16" spans="2:7" ht="15.75" thickBot="1" x14ac:dyDescent="0.3">
      <c r="B16" s="56">
        <v>7</v>
      </c>
      <c r="C16" s="55"/>
      <c r="D16" s="55"/>
      <c r="E16" s="55"/>
      <c r="F16" s="55"/>
      <c r="G16" s="54"/>
    </row>
    <row r="17" spans="2:16" ht="3.95" customHeight="1" thickBot="1" x14ac:dyDescent="0.3"/>
    <row r="18" spans="2:16" x14ac:dyDescent="0.25">
      <c r="B18" s="63"/>
      <c r="C18" s="142" t="s">
        <v>139</v>
      </c>
      <c r="D18" s="143"/>
      <c r="E18" s="143"/>
      <c r="F18" s="143"/>
      <c r="G18" s="144"/>
    </row>
    <row r="19" spans="2:16" x14ac:dyDescent="0.25">
      <c r="B19" s="58"/>
      <c r="C19" s="26"/>
      <c r="D19" s="26" t="s">
        <v>128</v>
      </c>
      <c r="E19" s="26"/>
      <c r="F19" s="26"/>
      <c r="G19" s="57"/>
    </row>
    <row r="20" spans="2:16" x14ac:dyDescent="0.25">
      <c r="B20" s="62">
        <v>1</v>
      </c>
      <c r="C20" s="61"/>
      <c r="D20" s="61"/>
      <c r="E20" s="61" t="s">
        <v>138</v>
      </c>
      <c r="F20" s="61"/>
      <c r="G20" s="59" t="s">
        <v>134</v>
      </c>
    </row>
    <row r="21" spans="2:16" x14ac:dyDescent="0.25">
      <c r="B21" s="62">
        <v>2</v>
      </c>
      <c r="C21" s="61"/>
      <c r="D21" s="61"/>
      <c r="E21" s="61" t="s">
        <v>125</v>
      </c>
      <c r="F21" s="61"/>
      <c r="G21" s="59"/>
    </row>
    <row r="22" spans="2:16" x14ac:dyDescent="0.25">
      <c r="B22" s="58">
        <v>3</v>
      </c>
      <c r="C22" s="26"/>
      <c r="D22" s="26"/>
      <c r="E22" s="26" t="s">
        <v>137</v>
      </c>
      <c r="F22" s="26"/>
      <c r="G22" s="57"/>
    </row>
    <row r="23" spans="2:16" x14ac:dyDescent="0.25">
      <c r="B23" s="58"/>
      <c r="C23" s="26"/>
      <c r="D23" s="26" t="s">
        <v>123</v>
      </c>
      <c r="E23" s="26" t="s">
        <v>130</v>
      </c>
      <c r="F23" s="26" t="s">
        <v>136</v>
      </c>
      <c r="G23" s="57"/>
    </row>
    <row r="24" spans="2:16" ht="15" customHeight="1" x14ac:dyDescent="0.25">
      <c r="B24" s="58">
        <v>4</v>
      </c>
      <c r="C24" s="26"/>
      <c r="D24" s="26"/>
      <c r="E24" s="26" t="s">
        <v>135</v>
      </c>
      <c r="F24" s="26"/>
      <c r="G24" s="57" t="s">
        <v>134</v>
      </c>
      <c r="I24" s="64"/>
      <c r="J24" s="64"/>
    </row>
    <row r="25" spans="2:16" x14ac:dyDescent="0.25">
      <c r="B25" s="58">
        <v>5</v>
      </c>
      <c r="C25" s="26"/>
      <c r="D25" s="26"/>
      <c r="E25" s="26" t="s">
        <v>133</v>
      </c>
      <c r="F25" s="26"/>
      <c r="G25" s="57"/>
      <c r="I25" s="64"/>
      <c r="J25" s="64"/>
    </row>
    <row r="26" spans="2:16" x14ac:dyDescent="0.25">
      <c r="B26" s="58">
        <v>6</v>
      </c>
      <c r="C26" s="26"/>
      <c r="D26" s="26"/>
      <c r="E26" s="26" t="s">
        <v>132</v>
      </c>
      <c r="F26" s="26"/>
      <c r="G26" s="57"/>
      <c r="I26" s="64"/>
      <c r="J26" s="64"/>
    </row>
    <row r="27" spans="2:16" ht="15.75" thickBot="1" x14ac:dyDescent="0.3">
      <c r="B27" s="56">
        <v>7</v>
      </c>
      <c r="C27" s="55"/>
      <c r="D27" s="55"/>
      <c r="E27" s="55" t="s">
        <v>131</v>
      </c>
      <c r="F27" s="55"/>
      <c r="G27" s="54"/>
      <c r="L27" s="64"/>
      <c r="M27" s="64"/>
      <c r="N27" s="64"/>
      <c r="O27" s="64"/>
      <c r="P27" s="64"/>
    </row>
    <row r="28" spans="2:16" ht="3.95" customHeight="1" thickBot="1" x14ac:dyDescent="0.3"/>
    <row r="29" spans="2:16" x14ac:dyDescent="0.25">
      <c r="B29" s="63"/>
      <c r="C29" s="142" t="s">
        <v>129</v>
      </c>
      <c r="D29" s="143"/>
      <c r="E29" s="143"/>
      <c r="F29" s="143"/>
      <c r="G29" s="144"/>
    </row>
    <row r="30" spans="2:16" x14ac:dyDescent="0.25">
      <c r="B30" s="58"/>
      <c r="C30" s="26"/>
      <c r="D30" s="26" t="s">
        <v>128</v>
      </c>
      <c r="E30" s="26"/>
      <c r="F30" s="26"/>
      <c r="G30" s="57"/>
    </row>
    <row r="31" spans="2:16" x14ac:dyDescent="0.25">
      <c r="B31" s="62">
        <v>1</v>
      </c>
      <c r="C31" s="61"/>
      <c r="D31" s="61"/>
      <c r="E31" s="61" t="s">
        <v>127</v>
      </c>
      <c r="F31" s="61">
        <v>3</v>
      </c>
      <c r="G31" s="59" t="s">
        <v>126</v>
      </c>
    </row>
    <row r="32" spans="2:16" x14ac:dyDescent="0.25">
      <c r="B32" s="62">
        <v>2</v>
      </c>
      <c r="C32" s="61"/>
      <c r="D32" s="61"/>
      <c r="E32" s="61" t="s">
        <v>125</v>
      </c>
      <c r="F32" s="60"/>
      <c r="G32" s="59" t="s">
        <v>124</v>
      </c>
    </row>
    <row r="33" spans="2:7" x14ac:dyDescent="0.25">
      <c r="B33" s="58"/>
      <c r="C33" s="26"/>
      <c r="D33" s="26" t="s">
        <v>123</v>
      </c>
      <c r="E33" s="26" t="s">
        <v>130</v>
      </c>
      <c r="F33" s="26">
        <v>2.25</v>
      </c>
      <c r="G33" s="57"/>
    </row>
    <row r="34" spans="2:7" x14ac:dyDescent="0.25">
      <c r="B34" s="58">
        <v>3</v>
      </c>
      <c r="C34" s="26"/>
      <c r="D34" s="26"/>
      <c r="E34" s="26" t="s">
        <v>122</v>
      </c>
      <c r="F34" s="26">
        <f>F33-F35</f>
        <v>2.25</v>
      </c>
      <c r="G34" s="57"/>
    </row>
    <row r="35" spans="2:7" x14ac:dyDescent="0.25">
      <c r="B35" s="58">
        <v>4</v>
      </c>
      <c r="C35" s="26"/>
      <c r="D35" s="26"/>
      <c r="E35" s="26" t="s">
        <v>121</v>
      </c>
      <c r="F35" s="26">
        <f>'[1]Data Lingkungan_IC'!DK80</f>
        <v>0</v>
      </c>
      <c r="G35" s="57"/>
    </row>
    <row r="36" spans="2:7" x14ac:dyDescent="0.25">
      <c r="B36" s="58">
        <v>5</v>
      </c>
      <c r="C36" s="26"/>
      <c r="D36" s="26"/>
      <c r="E36" s="26" t="s">
        <v>120</v>
      </c>
      <c r="F36" s="26"/>
      <c r="G36" s="57"/>
    </row>
    <row r="37" spans="2:7" ht="15.75" thickBot="1" x14ac:dyDescent="0.3">
      <c r="B37" s="56">
        <v>6</v>
      </c>
      <c r="C37" s="55"/>
      <c r="D37" s="55"/>
      <c r="E37" s="55" t="s">
        <v>119</v>
      </c>
      <c r="F37" s="55"/>
      <c r="G37" s="54"/>
    </row>
    <row r="38" spans="2:7" x14ac:dyDescent="0.25">
      <c r="B38" s="63"/>
      <c r="C38" s="142" t="s">
        <v>129</v>
      </c>
      <c r="D38" s="143"/>
      <c r="E38" s="143"/>
      <c r="F38" s="143"/>
      <c r="G38" s="144"/>
    </row>
    <row r="39" spans="2:7" x14ac:dyDescent="0.25">
      <c r="B39" s="58"/>
      <c r="C39" s="26"/>
      <c r="D39" s="26" t="s">
        <v>128</v>
      </c>
      <c r="E39" s="26"/>
      <c r="F39" s="26"/>
      <c r="G39" s="57"/>
    </row>
    <row r="40" spans="2:7" x14ac:dyDescent="0.25">
      <c r="B40" s="62">
        <v>6.5714285714285703</v>
      </c>
      <c r="C40" s="61"/>
      <c r="D40" s="61"/>
      <c r="E40" s="61" t="s">
        <v>127</v>
      </c>
      <c r="F40" s="61">
        <v>7.5</v>
      </c>
      <c r="G40" s="59" t="s">
        <v>126</v>
      </c>
    </row>
    <row r="41" spans="2:7" x14ac:dyDescent="0.25">
      <c r="B41" s="62">
        <v>7.37267080745342</v>
      </c>
      <c r="C41" s="61"/>
      <c r="D41" s="61"/>
      <c r="E41" s="61" t="s">
        <v>125</v>
      </c>
      <c r="F41" s="60"/>
      <c r="G41" s="59" t="s">
        <v>124</v>
      </c>
    </row>
    <row r="42" spans="2:7" x14ac:dyDescent="0.25">
      <c r="B42" s="58">
        <v>8.1739130434782599</v>
      </c>
      <c r="C42" s="26"/>
      <c r="D42" s="26" t="s">
        <v>123</v>
      </c>
      <c r="E42" s="26"/>
      <c r="F42" s="26"/>
      <c r="G42" s="57"/>
    </row>
    <row r="43" spans="2:7" x14ac:dyDescent="0.25">
      <c r="B43" s="58">
        <v>8.9751552795031095</v>
      </c>
      <c r="C43" s="26"/>
      <c r="D43" s="26"/>
      <c r="E43" s="26" t="s">
        <v>122</v>
      </c>
      <c r="F43" s="26"/>
      <c r="G43" s="57"/>
    </row>
    <row r="44" spans="2:7" x14ac:dyDescent="0.25">
      <c r="B44" s="58">
        <v>9.7763975155279503</v>
      </c>
      <c r="C44" s="26"/>
      <c r="D44" s="26"/>
      <c r="E44" s="26" t="s">
        <v>121</v>
      </c>
      <c r="F44" s="26"/>
      <c r="G44" s="57"/>
    </row>
    <row r="45" spans="2:7" x14ac:dyDescent="0.25">
      <c r="B45" s="58">
        <v>10.5776397515528</v>
      </c>
      <c r="C45" s="26"/>
      <c r="D45" s="26"/>
      <c r="E45" s="26" t="s">
        <v>120</v>
      </c>
      <c r="F45" s="26"/>
      <c r="G45" s="57"/>
    </row>
    <row r="46" spans="2:7" ht="15.75" thickBot="1" x14ac:dyDescent="0.3">
      <c r="B46" s="56">
        <v>11.378881987577699</v>
      </c>
      <c r="C46" s="55"/>
      <c r="D46" s="55"/>
      <c r="E46" s="55" t="s">
        <v>119</v>
      </c>
      <c r="F46" s="55"/>
      <c r="G46" s="54"/>
    </row>
  </sheetData>
  <mergeCells count="7">
    <mergeCell ref="C38:G38"/>
    <mergeCell ref="B2:G2"/>
    <mergeCell ref="B3:G3"/>
    <mergeCell ref="B5:G5"/>
    <mergeCell ref="C7:G7"/>
    <mergeCell ref="C18:G18"/>
    <mergeCell ref="C29:G29"/>
  </mergeCells>
  <pageMargins left="0.7" right="0.7" top="0.75" bottom="0.75" header="0.3" footer="0.3"/>
  <pageSetup paperSize="9" scale="74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Komp. UL</vt:lpstr>
      <vt:lpstr>Efek ke Lkg</vt:lpstr>
      <vt:lpstr>Kal. UL</vt:lpstr>
      <vt:lpstr>Data Utilitas</vt:lpstr>
    </vt:vector>
  </TitlesOfParts>
  <Company>VCP Studio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STUDIO_10</dc:creator>
  <cp:lastModifiedBy>ii</cp:lastModifiedBy>
  <dcterms:created xsi:type="dcterms:W3CDTF">2021-08-05T09:18:22Z</dcterms:created>
  <dcterms:modified xsi:type="dcterms:W3CDTF">2021-11-11T09:28:59Z</dcterms:modified>
</cp:coreProperties>
</file>