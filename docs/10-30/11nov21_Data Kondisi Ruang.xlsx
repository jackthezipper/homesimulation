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Tabel Revisi 11NOV21\"/>
    </mc:Choice>
  </mc:AlternateContent>
  <xr:revisionPtr revIDLastSave="0" documentId="13_ncr:1_{2716C677-A80F-4C6A-84A2-7838E7020E3B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ta Lingkungan (DL)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Q32" i="1"/>
  <c r="R22" i="1" s="1"/>
  <c r="Q22" i="1" s="1"/>
  <c r="P22" i="1" s="1"/>
  <c r="Q35" i="1"/>
  <c r="R24" i="1" s="1"/>
  <c r="Q24" i="1" s="1"/>
  <c r="P24" i="1" s="1"/>
  <c r="AY19" i="1"/>
  <c r="BB19" i="1"/>
  <c r="AY20" i="1"/>
  <c r="BB20" i="1"/>
  <c r="AG21" i="1"/>
  <c r="AH21" i="1"/>
  <c r="AJ21" i="1"/>
  <c r="AX25" i="1"/>
  <c r="AI30" i="1"/>
  <c r="BA33" i="1"/>
  <c r="BA20" i="1" s="1"/>
  <c r="AI38" i="1"/>
  <c r="AI21" i="1" s="1"/>
  <c r="AI41" i="1"/>
</calcChain>
</file>

<file path=xl/sharedStrings.xml><?xml version="1.0" encoding="utf-8"?>
<sst xmlns="http://schemas.openxmlformats.org/spreadsheetml/2006/main" count="997" uniqueCount="259">
  <si>
    <t>waktu aktifitas berjalan</t>
  </si>
  <si>
    <t>Siapa terlibat</t>
  </si>
  <si>
    <t>Jenis Aktifitas</t>
  </si>
  <si>
    <t>Aktifitas</t>
  </si>
  <si>
    <t>E.</t>
  </si>
  <si>
    <t>Gas 1 (RDP01-GS01)</t>
  </si>
  <si>
    <t>Gas</t>
  </si>
  <si>
    <t>Air</t>
  </si>
  <si>
    <t>Listrik</t>
  </si>
  <si>
    <t>D.</t>
  </si>
  <si>
    <t>Lantai</t>
  </si>
  <si>
    <t>Saklar 3 (RTU01-SK03)</t>
  </si>
  <si>
    <t>Lantai 2 (RTM01-LT02)</t>
  </si>
  <si>
    <t>Gas 2 (RCC01-GS02)</t>
  </si>
  <si>
    <t>Dinding</t>
  </si>
  <si>
    <t>Lantai 4 (RTU01-LT04)</t>
  </si>
  <si>
    <t>Plafond</t>
  </si>
  <si>
    <t>Konstruksi</t>
  </si>
  <si>
    <t>C.</t>
  </si>
  <si>
    <t>off</t>
  </si>
  <si>
    <t>Lantai 12 (RCC01-LT12)</t>
  </si>
  <si>
    <t>on</t>
  </si>
  <si>
    <t>Saklar 9 (RGD01-SK09)</t>
  </si>
  <si>
    <t>Sofa 7 (RTM01-SF07)</t>
  </si>
  <si>
    <t>Dinding 11 (RCC01-D11)</t>
  </si>
  <si>
    <t>Bak Cuci Piring (RDP01-SK01)</t>
  </si>
  <si>
    <t>Sofa 6 (RTM01-SF06)</t>
  </si>
  <si>
    <t/>
  </si>
  <si>
    <t>Dinding 10 (RCC01-D10)</t>
  </si>
  <si>
    <t>Tempat Sampah 1 (RDP01-TS01)</t>
  </si>
  <si>
    <t>Tempat Tidur 1 (RTU01-TD01)</t>
  </si>
  <si>
    <t>Statis</t>
  </si>
  <si>
    <t>Sofa 5 (RTM01-SF05)</t>
  </si>
  <si>
    <t>Dinamis</t>
  </si>
  <si>
    <t>Lantai 1 (RTS01-LT01)</t>
  </si>
  <si>
    <t>Lantai 13 (RGS01-LT13)</t>
  </si>
  <si>
    <t>Lantai 14 (RHD01-LT14)</t>
  </si>
  <si>
    <t>Pintu 12 (RCC01-PT12)</t>
  </si>
  <si>
    <t>Kran 2 (RCC01-WT02)</t>
  </si>
  <si>
    <t>Kompor Gas 1 (RDP01-ST01)</t>
  </si>
  <si>
    <t>Mesin Cuci 2 (RCC01-WM02)</t>
  </si>
  <si>
    <t>TV 1 (RKG01-TV01)</t>
  </si>
  <si>
    <t>Tanaman</t>
  </si>
  <si>
    <t>Mesin Cuci 1 (RCC01-WM01)</t>
  </si>
  <si>
    <t>Mesin</t>
  </si>
  <si>
    <t>Pintu 13 (RGS01-PT13)</t>
  </si>
  <si>
    <t>Kran 4 (RHD01-WT04)</t>
  </si>
  <si>
    <t>Interior</t>
  </si>
  <si>
    <t>B.</t>
  </si>
  <si>
    <t>Pompa Air 1 (RGS01-WP01)</t>
  </si>
  <si>
    <t>Lampu 15 (RCC01-LA15)</t>
  </si>
  <si>
    <t>Lanskap</t>
  </si>
  <si>
    <t>Lampu 13 (RCC01-LA13)</t>
  </si>
  <si>
    <t>Intensitas Cahaya</t>
  </si>
  <si>
    <t>Lampu 12 (RDP01-LA12)</t>
  </si>
  <si>
    <t>Temperatur</t>
  </si>
  <si>
    <t>Iklim</t>
  </si>
  <si>
    <t xml:space="preserve">A. </t>
  </si>
  <si>
    <t>Perawatan</t>
  </si>
  <si>
    <t>Kotor</t>
  </si>
  <si>
    <t>Pemakaian</t>
  </si>
  <si>
    <t>Kondisi</t>
  </si>
  <si>
    <t>Status</t>
  </si>
  <si>
    <t>Jenis</t>
  </si>
  <si>
    <t>Variabel</t>
  </si>
  <si>
    <t>No</t>
  </si>
  <si>
    <t>INDOOR CLIMATE</t>
  </si>
  <si>
    <t>OUTDOOR CLIMATE</t>
  </si>
  <si>
    <t>Ruang Dapur 1 (RDP01)</t>
  </si>
  <si>
    <t>Ruang Gudang 1 (RGD01)</t>
  </si>
  <si>
    <t>Ruang Kamar Mandi 1 (RKM01)</t>
  </si>
  <si>
    <t>Ruang Tidur Utama 2 (RTU02)</t>
  </si>
  <si>
    <t>Ruang Tidur Utama 1 (RTU01)</t>
  </si>
  <si>
    <t>Ruang Keluarga 1 (RKG01)</t>
  </si>
  <si>
    <t>Ruang Tamu 1 (RTM01)</t>
  </si>
  <si>
    <t>Ruang Teras 1 (RTS01)</t>
  </si>
  <si>
    <t>Ruang Garasi 1 (RGS01)</t>
  </si>
  <si>
    <t>Ruang Halaman Depan 1 (RHD01)</t>
  </si>
  <si>
    <t>ENVIRONMENT</t>
  </si>
  <si>
    <t>ABM</t>
  </si>
  <si>
    <t>CONTOH DATA LINGKUNGAN TIAP RUANG</t>
  </si>
  <si>
    <t>AY21</t>
  </si>
  <si>
    <t>aktivitas membersihkan (perawatan) setiap 1 cycle selesai akan +1 poin ke cumulative maintenance sheet machine</t>
  </si>
  <si>
    <t xml:space="preserve">Membersihkan mesin cuci </t>
  </si>
  <si>
    <t>IB21</t>
  </si>
  <si>
    <t>aktivitas menggunakan mesin setiap 1 cycle selesai akan +1 poin ke kotor</t>
  </si>
  <si>
    <t>Mencuci pakaian</t>
  </si>
  <si>
    <t>% akt = waktu berjalan/waktu yang diperlukan</t>
  </si>
  <si>
    <t>waktu berjalan</t>
  </si>
  <si>
    <t>waktu yang diperlukan replace dari aktivitas yang terpilih dan akan dijalankan</t>
  </si>
  <si>
    <t>NK21</t>
  </si>
  <si>
    <t>menyapu halaman</t>
  </si>
  <si>
    <t>Ayah (AY21)</t>
  </si>
  <si>
    <t>Saklar 18 (RCC01-SK18)</t>
  </si>
  <si>
    <t>Memarkir kendaraan</t>
  </si>
  <si>
    <t>menyiram tanaman</t>
  </si>
  <si>
    <t>Lantai pada halaman/ taman berkaitan dg kecepatan angin. Sementara kecepatan angin tidak dipakai, hanya +1 poin setiap agen beraktivitas di halaman/taman</t>
  </si>
  <si>
    <t>setelah selesai disiram, kotor = 0, perawatan = 0, waktu kembali mundur ke 0, jika baru 0.5, tetap dianggap belum selesai menyiram</t>
  </si>
  <si>
    <r>
      <rPr>
        <b/>
        <sz val="10"/>
        <rFont val="Calibri"/>
        <family val="2"/>
        <scheme val="minor"/>
      </rPr>
      <t>sangat kering</t>
    </r>
    <r>
      <rPr>
        <sz val="10"/>
        <rFont val="Calibri"/>
        <family val="2"/>
        <scheme val="minor"/>
      </rPr>
      <t>, kering, basah, sangat basah</t>
    </r>
  </si>
  <si>
    <t>aktivitas menggunakan mesin setiap 1 cycle selesai akan mereplace +0.1 poin ke cleanliness sheet machine</t>
  </si>
  <si>
    <t>jika di luar ruang ada objek dinamis</t>
  </si>
  <si>
    <t>bagus</t>
  </si>
  <si>
    <t>jika di luar ruang tidak ada mesin</t>
  </si>
  <si>
    <t>replace data kelembaban luar ruang terkini</t>
  </si>
  <si>
    <t>Kelembaban</t>
  </si>
  <si>
    <t>replace data intensitas luar ruang terkini</t>
  </si>
  <si>
    <t>replace data suhu luar ruang terkini</t>
  </si>
  <si>
    <t>Respon ke Lingkungan</t>
  </si>
  <si>
    <t>Ruang Cuci (RCC01)</t>
  </si>
  <si>
    <t>CONTOH</t>
  </si>
  <si>
    <r>
      <t xml:space="preserve">Perawatan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</t>
    </r>
    <r>
      <rPr>
        <b/>
        <sz val="10"/>
        <rFont val="Calibri"/>
        <family val="2"/>
        <scheme val="minor"/>
      </rPr>
      <t>Maintenance</t>
    </r>
    <r>
      <rPr>
        <sz val="10"/>
        <rFont val="Calibri"/>
        <family val="2"/>
        <scheme val="minor"/>
      </rPr>
      <t xml:space="preserve"> Machine/ Dynamic/ Static/ Utility</t>
    </r>
  </si>
  <si>
    <t>Setiap pemakaian +0.1 poin replace ke Machine/ Dynamic/ Static/ Utility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</si>
  <si>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 huruf</t>
    </r>
  </si>
  <si>
    <r>
      <t xml:space="preserve">Status </t>
    </r>
    <r>
      <rPr>
        <b/>
        <sz val="10"/>
        <rFont val="Calibri"/>
        <family val="2"/>
        <scheme val="minor"/>
      </rPr>
      <t>"on"</t>
    </r>
    <r>
      <rPr>
        <sz val="10"/>
        <rFont val="Calibri"/>
        <family val="2"/>
        <scheme val="minor"/>
      </rPr>
      <t xml:space="preserve"> jika digunakan, </t>
    </r>
    <r>
      <rPr>
        <b/>
        <sz val="10"/>
        <rFont val="Calibri"/>
        <family val="2"/>
        <scheme val="minor"/>
      </rPr>
      <t>"off"</t>
    </r>
    <r>
      <rPr>
        <sz val="10"/>
        <rFont val="Calibri"/>
        <family val="2"/>
        <scheme val="minor"/>
      </rPr>
      <t xml:space="preserve"> jika tidak digunakan</t>
    </r>
  </si>
  <si>
    <t>Jenis komponen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</si>
  <si>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angka/huruf</t>
    </r>
  </si>
  <si>
    <t>Kotor: Kondisi terkini=Pemakaian x 1 /10</t>
  </si>
  <si>
    <t>Pemakaian: pada lantai=berpa kali ruang digunakan +1 setiap kali ada agen masuk ruang. Pada lanskap: waktu berjalan 24 jam, maks kotor 1=kering &gt;&gt; urgensi menyiram tanaman tinggi</t>
  </si>
  <si>
    <t>Perawatan: ada aktivitas membersihkan (mengurangi nilai kotor)</t>
  </si>
  <si>
    <t>1 Sheet untuk masing-masing rumah</t>
  </si>
  <si>
    <t>DATA LINGKUNGAN TERKINI</t>
  </si>
  <si>
    <t>Lampu 9 (RGS01-LA09)</t>
  </si>
  <si>
    <t>Pintu 1 (RGS01-PT01)</t>
  </si>
  <si>
    <t>Lantai 3 (RGS01-LT03)</t>
  </si>
  <si>
    <t>Lampu 1 (RTS01-LA01)</t>
  </si>
  <si>
    <t>Lampu 2 (RTM01-LA02)</t>
  </si>
  <si>
    <t>Charger HP (RTM01-CH01)</t>
  </si>
  <si>
    <t>Pintu-Jendela 1 (RTM01-PJ01)</t>
  </si>
  <si>
    <t>Sofa 1 (RTS01-SF01)</t>
  </si>
  <si>
    <t>Sofa 2 (RTS01-SF02)</t>
  </si>
  <si>
    <t>Sofa 3 (RTS01-SF03)</t>
  </si>
  <si>
    <t>Sofa 4 (RTS01-SF04)</t>
  </si>
  <si>
    <t>Sofa 8 (RTM01-SF08)</t>
  </si>
  <si>
    <t>Sofa 9 (RTM01-SF09)</t>
  </si>
  <si>
    <t>Sofa 10 (RTM01-SF10)</t>
  </si>
  <si>
    <t>Saklar 1 (RTM01-SK01)</t>
  </si>
  <si>
    <t>Lampu 3 (RKG01-LA03)</t>
  </si>
  <si>
    <t>Router Internet (RKG01-RI01)</t>
  </si>
  <si>
    <t>Kursi 1 (RKG01-KU01)</t>
  </si>
  <si>
    <t>Kursi 2 (RKG01-KU02)</t>
  </si>
  <si>
    <t>Kursi 3 (RKG01-KU03)</t>
  </si>
  <si>
    <t>Kursi 4 (RKG01-KU04)</t>
  </si>
  <si>
    <t>Lantai 5 (RKG01-LT05)</t>
  </si>
  <si>
    <t>Lampu 4 (RTU01-LA04)</t>
  </si>
  <si>
    <t>Pintu 8 (RTU01-PT08)</t>
  </si>
  <si>
    <t>Jendela 1 (RTU01-JD01)</t>
  </si>
  <si>
    <t>Lampu 5 (RTA01-LA05)</t>
  </si>
  <si>
    <t>Kipas angin 1 (RTU02-KP01)</t>
  </si>
  <si>
    <t>Tempat Tidur 2 (RTU02-TD02)</t>
  </si>
  <si>
    <t>Pintu 10 (RTU02-PT10)</t>
  </si>
  <si>
    <t>Lantai 12 (RTU02-LT12)</t>
  </si>
  <si>
    <t>TV 2 (RTU02-TV02)</t>
  </si>
  <si>
    <t>Saklar 5 (RTU02-SK05)</t>
  </si>
  <si>
    <t>Ruang Tidur 1 (RTD01)</t>
  </si>
  <si>
    <t>Lampu 17 (RTD01-LA17)</t>
  </si>
  <si>
    <t>Pintu 13 (RTD01-PT13)</t>
  </si>
  <si>
    <t>Jendela 5 (RTD01-JD05)</t>
  </si>
  <si>
    <t>Tempat Tidur 3 (RTD01-TD03)</t>
  </si>
  <si>
    <t>Lantai 17 (RTD01-LT17)</t>
  </si>
  <si>
    <t>Saklar 13 (RTD01-SK13)</t>
  </si>
  <si>
    <t>Kursi 9 (RTD01-KU09)</t>
  </si>
  <si>
    <t>Ruang Tidur 2 (RTD02)</t>
  </si>
  <si>
    <t>Lampu 18 (RTD02-LA18)</t>
  </si>
  <si>
    <t>Pintu 14 (RTD02-PT14)</t>
  </si>
  <si>
    <t>Lantai 18 (RTD02-LT18)</t>
  </si>
  <si>
    <t>Saklar 14 (RTD02-SK14)</t>
  </si>
  <si>
    <t>Ruang Tidur 3 (RTD03)</t>
  </si>
  <si>
    <t>Lampu 16 (RTD03-LA16)</t>
  </si>
  <si>
    <t>Pintu 12 (RTD03-PT12)</t>
  </si>
  <si>
    <t>Saklar 11 (RTD03-SK11)</t>
  </si>
  <si>
    <t>Lantai 16 (RTD03-LT16)</t>
  </si>
  <si>
    <t>Tempat tidur 4 (RTD03-TD04)</t>
  </si>
  <si>
    <t>Jendela 4 (RTD03-JD04)</t>
  </si>
  <si>
    <t>Lampu 6 (RKM01-LA06)</t>
  </si>
  <si>
    <t>Pintu 9 (RKM01-PT09)</t>
  </si>
  <si>
    <t>Kloset 1 (RKM02-WT03)</t>
  </si>
  <si>
    <t>Kran 2 (RKM01-WT02)</t>
  </si>
  <si>
    <t>Lantai 13 (RKM01-LA13)</t>
  </si>
  <si>
    <t>Saklar 4 (RKM01-SK04)</t>
  </si>
  <si>
    <t>Bak Mandi 1 (RKM01-BT01)</t>
  </si>
  <si>
    <t>Ruang Kamar Mandi 2 (RKM02)</t>
  </si>
  <si>
    <t>Lampu 7 (RKM02-LA07)</t>
  </si>
  <si>
    <t>Pintu 6 (RKM02-PT06)</t>
  </si>
  <si>
    <t>Kran 4 (RKM02-WT04)</t>
  </si>
  <si>
    <t>Kran jetspray 5 (RKM02-WT05)</t>
  </si>
  <si>
    <t>Kloset 2 (RKM02-WT06)</t>
  </si>
  <si>
    <t>Lantai 6 (RKM02-LA06)</t>
  </si>
  <si>
    <t>Bak Mandi 2 (RKM02-BT02)</t>
  </si>
  <si>
    <t>Ruang Kamar Mandi 3 (RKM03)</t>
  </si>
  <si>
    <t>Lampu 10 (RKM03-LA10)</t>
  </si>
  <si>
    <t>Pintu 4 (RKM03-PT04)</t>
  </si>
  <si>
    <t>Kran 7 (RKM03-WT07)</t>
  </si>
  <si>
    <t>Lantai 9 (RKM03-LA09)</t>
  </si>
  <si>
    <t>Saklar 8 (RKM03-SK08)</t>
  </si>
  <si>
    <t>Lampu 19 (RKM04-LA19)</t>
  </si>
  <si>
    <t>Pintu 11 (RKM04-PT11)</t>
  </si>
  <si>
    <t>Kran jetspray 9 (RKM04-WT09)</t>
  </si>
  <si>
    <t>Kloset 1 (RKM04-WT10)</t>
  </si>
  <si>
    <t>Kran 8 (RKM04-WT08)</t>
  </si>
  <si>
    <t>Lantai 14 (RKM04-LA14)</t>
  </si>
  <si>
    <t>Saklar 10 (RKM04-SK10)</t>
  </si>
  <si>
    <t>Bak Mandi 3 (RKM04-BT03)</t>
  </si>
  <si>
    <t>Lampu 11 (RBK01-LA11)</t>
  </si>
  <si>
    <t>Mesin Cuci 1 (RBK01-WM01)</t>
  </si>
  <si>
    <t>Pompa air (RBK01-WP01)</t>
  </si>
  <si>
    <t>Pintu-Jendela 2 (RBK01-PT02)</t>
  </si>
  <si>
    <t>Lantai 11 (RBK01-LT11)</t>
  </si>
  <si>
    <t>Ruang Belakang (RBK01)</t>
  </si>
  <si>
    <t>Ruang Dapur 2 (RDP02)</t>
  </si>
  <si>
    <t>Lantai 8 (RDP01-LT08)</t>
  </si>
  <si>
    <t>Pintu 2 (RDP01-PT02)</t>
  </si>
  <si>
    <t>Lampu 8 (RDP02-LA08)</t>
  </si>
  <si>
    <t>Kulkas 1 (RDP02-RE01)</t>
  </si>
  <si>
    <t>Rice Cooker 1 (RDP02-RC01)</t>
  </si>
  <si>
    <t>Kipas Angin 2 (RDP02-KP02)</t>
  </si>
  <si>
    <t>Charger HP-Tab (RDP02-CH02)</t>
  </si>
  <si>
    <t>Charger HP (RDP02-CH03)</t>
  </si>
  <si>
    <t>Kran 1 (RDP02-WT01)</t>
  </si>
  <si>
    <t>Lantai 7 (RDP02-LT07)</t>
  </si>
  <si>
    <t>Saklar 7 (RDP01-SK07)</t>
  </si>
  <si>
    <t>Ada</t>
  </si>
  <si>
    <t>Ruang Kamar Mandi 4 (RKM04) - LT2</t>
  </si>
  <si>
    <t>Ruang Kerja 1 (RKJ01)-LT2</t>
  </si>
  <si>
    <t>Lampu 15 (RKJ01-LA15)</t>
  </si>
  <si>
    <t>Komputer 1 (RKJ01-KO01)</t>
  </si>
  <si>
    <t>Laptop 1 (RKJ01-CH04)</t>
  </si>
  <si>
    <t>Pintu-Jendela 3 (RKJ01-PJ03)</t>
  </si>
  <si>
    <t>Lantai 15 (RKJ01-LT15)</t>
  </si>
  <si>
    <t>Printer 1 (RKJ01-PR01)</t>
  </si>
  <si>
    <t>Setrika (RKJ01-DI01)</t>
  </si>
  <si>
    <t>Sofa 12 (RKJ01-SF12)</t>
  </si>
  <si>
    <t>Sofa 11 (RKJ01-SF11)</t>
  </si>
  <si>
    <t>Kursi 5 (RKJ01-KU05)</t>
  </si>
  <si>
    <t>Kursi 6 (RKJ01-KU06)</t>
  </si>
  <si>
    <t>Kursi 7 (RKJ01-KU07)</t>
  </si>
  <si>
    <t>Mesin jahit (RKJ01-SW01)</t>
  </si>
  <si>
    <t>Lampu 14 (RKJ01-LA14)</t>
  </si>
  <si>
    <t>Jendela 7 (RKJ01-JD07)</t>
  </si>
  <si>
    <t>Saklar 15 (RKJ01-SK15)</t>
  </si>
  <si>
    <t>Lampu 13 (RKJ01-LA13)</t>
  </si>
  <si>
    <t>Saklar 2 (RKG01-SK02)</t>
  </si>
  <si>
    <t>Saklar 6 (RGS01-SK06)</t>
  </si>
  <si>
    <t>Saklar 12 (RKJ01-SK12)</t>
  </si>
  <si>
    <t>Lantai 10 (RGD01-LT10)</t>
  </si>
  <si>
    <t>Pintu 5 (RGD01-PT05)</t>
  </si>
  <si>
    <t>Mesin/ Dinamis/Intensitas Cahaya/ Utilitas / Sumber daya (waktu berjalan); Statis/ Lantai (kali pemakaian: 1 kali agen duduk, 1 kali agen masuk ruang)</t>
  </si>
  <si>
    <t>Utilitas / Sumber daya</t>
  </si>
  <si>
    <t>Makanan</t>
  </si>
  <si>
    <t>Air minum</t>
  </si>
  <si>
    <t>Air bersih</t>
  </si>
  <si>
    <t>Tandon 1</t>
  </si>
  <si>
    <t>Galon 1</t>
  </si>
  <si>
    <t>Lantai 19 (RHD01-LT19)</t>
  </si>
  <si>
    <t>Pakaian bersih</t>
  </si>
  <si>
    <t>Pakaian kotor</t>
  </si>
  <si>
    <t>Pakaian siap pakai</t>
  </si>
  <si>
    <t>Pakaian bersih basah</t>
  </si>
  <si>
    <t>Pakaian bersih kering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</si>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</sst>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0" xfId="0" applyFont="1" applyFill="1" applyBorder="1"/>
    <xf numFmtId="0" fontId="1" fillId="0" borderId="5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2" fontId="1" fillId="0" borderId="7" xfId="0" applyNumberFormat="1" applyFont="1" applyBorder="1"/>
    <xf numFmtId="2" fontId="1" fillId="0" borderId="2" xfId="0" applyNumberFormat="1" applyFont="1" applyBorder="1"/>
    <xf numFmtId="0" fontId="1" fillId="0" borderId="2" xfId="0" quotePrefix="1" applyFont="1" applyBorder="1"/>
    <xf numFmtId="2" fontId="1" fillId="0" borderId="1" xfId="0" applyNumberFormat="1" applyFont="1" applyBorder="1"/>
    <xf numFmtId="1" fontId="1" fillId="0" borderId="7" xfId="0" applyNumberFormat="1" applyFont="1" applyBorder="1"/>
    <xf numFmtId="1" fontId="1" fillId="0" borderId="2" xfId="0" applyNumberFormat="1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2" fillId="0" borderId="0" xfId="0" applyFont="1"/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41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4" fillId="0" borderId="1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8" fillId="2" borderId="0" xfId="1" applyFont="1" applyFill="1"/>
    <xf numFmtId="0" fontId="8" fillId="0" borderId="0" xfId="0" applyFont="1"/>
    <xf numFmtId="0" fontId="1" fillId="0" borderId="0" xfId="0" applyFont="1" applyFill="1"/>
    <xf numFmtId="0" fontId="8" fillId="0" borderId="0" xfId="1" applyFont="1" applyFill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/>
    <xf numFmtId="2" fontId="1" fillId="0" borderId="0" xfId="0" applyNumberFormat="1" applyFont="1" applyFill="1" applyBorder="1"/>
    <xf numFmtId="164" fontId="1" fillId="0" borderId="2" xfId="0" applyNumberFormat="1" applyFont="1" applyBorder="1"/>
    <xf numFmtId="0" fontId="2" fillId="3" borderId="34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1" fillId="3" borderId="37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4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left"/>
    </xf>
    <xf numFmtId="0" fontId="1" fillId="4" borderId="33" xfId="0" applyFont="1" applyFill="1" applyBorder="1" applyAlignment="1">
      <alignment horizontal="left"/>
    </xf>
    <xf numFmtId="0" fontId="1" fillId="4" borderId="32" xfId="0" applyFont="1" applyFill="1" applyBorder="1" applyAlignment="1">
      <alignment horizontal="left"/>
    </xf>
    <xf numFmtId="0" fontId="1" fillId="2" borderId="20" xfId="0" applyFont="1" applyFill="1" applyBorder="1"/>
    <xf numFmtId="0" fontId="1" fillId="2" borderId="27" xfId="0" applyFont="1" applyFill="1" applyBorder="1"/>
    <xf numFmtId="0" fontId="1" fillId="2" borderId="26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25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Simulasi%20Proses%20Pilih/Set%20Data%20Terpakai%20(Rumah%202)_Simulasi%201_pengali%20sosial%20+%20efek%20akt%20di%20kal.%20b%20+%20tabel%20efe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IC_Psi-Fis"/>
      <sheetName val="IC_Bio"/>
      <sheetName val="IC_Habit"/>
      <sheetName val="IC_EQ"/>
      <sheetName val="IC_Machine"/>
      <sheetName val="IC_Lighting"/>
      <sheetName val="IC_Dynamic"/>
      <sheetName val="IC_Static"/>
      <sheetName val="IC_Utility"/>
      <sheetName val="Proses Pilih IB"/>
      <sheetName val="Data Linkungan (DL)"/>
      <sheetName val="Rekap BGN"/>
      <sheetName val="Data Iklim"/>
      <sheetName val="Rekap Data Aktivitas"/>
      <sheetName val="Data Agen"/>
      <sheetName val="Fisik_Data"/>
      <sheetName val="Bio_Data"/>
      <sheetName val="Daftar Efek"/>
      <sheetName val="Emosi_Data"/>
      <sheetName val="Kal.B"/>
      <sheetName val="Rekap CCB"/>
      <sheetName val="Kal.E"/>
      <sheetName val="Rekap CCE"/>
      <sheetName val="DD_W"/>
      <sheetName val="DD_Bio"/>
      <sheetName val="DD_E"/>
      <sheetName val="DD_P"/>
      <sheetName val="PILIH"/>
      <sheetName val="URUT_MEMBACA"/>
      <sheetName val="Syarat Standar_P"/>
      <sheetName val="Syarat Operasi"/>
      <sheetName val="Pendukung"/>
      <sheetName val="Kal.B (16)"/>
      <sheetName val="Rekap CCB (16)"/>
      <sheetName val="Kal.E (16)"/>
      <sheetName val="Rekap CCE (16)"/>
      <sheetName val="URUT_MANDI (16)"/>
      <sheetName val="Syarat Standar_Bio (16)"/>
      <sheetName val="Syarat Operasi (16)"/>
      <sheetName val="Pendukung (16)"/>
      <sheetName val="DL (DATA KRAN)"/>
      <sheetName val="Kal.B (17)"/>
      <sheetName val="Rekap CCB (17)"/>
      <sheetName val="Kal.E (17)"/>
      <sheetName val="Rekap CCE (17)"/>
      <sheetName val="DD_W (17)"/>
      <sheetName val="DD_Bio (17)"/>
      <sheetName val="DD_E (17)"/>
      <sheetName val="DD_P (17)"/>
      <sheetName val="PILIH (17)"/>
      <sheetName val="URUT_MENYIRAM (17)"/>
      <sheetName val="Syarat Standar_P (17)"/>
      <sheetName val="Syarat Operasi (1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E21">
            <v>0.1</v>
          </cell>
        </row>
        <row r="24">
          <cell r="E24">
            <v>0.99759259259259259</v>
          </cell>
        </row>
      </sheetData>
      <sheetData sheetId="6" refreshError="1"/>
      <sheetData sheetId="7" refreshError="1">
        <row r="21">
          <cell r="E21">
            <v>0</v>
          </cell>
        </row>
        <row r="55">
          <cell r="E55">
            <v>0.97685185185185186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O92"/>
  <sheetViews>
    <sheetView showGridLines="0" tabSelected="1" topLeftCell="FD51" zoomScale="90" zoomScaleNormal="90" workbookViewId="0">
      <pane ySplit="5" topLeftCell="A60" activePane="bottomLeft" state="frozen"/>
      <selection activeCell="E52" sqref="E52"/>
      <selection pane="bottomLeft" activeCell="FP66" sqref="FP66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3" width="23.7109375" style="1" bestFit="1" customWidth="1"/>
    <col min="4" max="4" width="23.5703125" style="1" bestFit="1" customWidth="1"/>
    <col min="5" max="5" width="6.85546875" style="1" bestFit="1" customWidth="1"/>
    <col min="6" max="7" width="12.42578125" style="1" bestFit="1" customWidth="1"/>
    <col min="8" max="8" width="11.5703125" style="1" bestFit="1" customWidth="1"/>
    <col min="9" max="9" width="10.85546875" style="1" bestFit="1" customWidth="1"/>
    <col min="10" max="10" width="8.85546875" style="1"/>
    <col min="11" max="11" width="3.42578125" style="1" bestFit="1" customWidth="1"/>
    <col min="12" max="12" width="23.7109375" style="1" bestFit="1" customWidth="1"/>
    <col min="13" max="13" width="23.5703125" style="1" bestFit="1" customWidth="1"/>
    <col min="14" max="14" width="6.85546875" style="1" bestFit="1" customWidth="1"/>
    <col min="15" max="16" width="12.42578125" style="1" bestFit="1" customWidth="1"/>
    <col min="17" max="17" width="11.5703125" style="1" bestFit="1" customWidth="1"/>
    <col min="18" max="19" width="10.85546875" style="1" bestFit="1" customWidth="1"/>
    <col min="20" max="20" width="3.42578125" style="1" bestFit="1" customWidth="1"/>
    <col min="21" max="21" width="23.7109375" style="1" bestFit="1" customWidth="1"/>
    <col min="22" max="22" width="27.28515625" style="1" bestFit="1" customWidth="1"/>
    <col min="23" max="23" width="6.85546875" style="1" bestFit="1" customWidth="1"/>
    <col min="24" max="25" width="12.42578125" style="1" bestFit="1" customWidth="1"/>
    <col min="26" max="26" width="11.5703125" style="1" bestFit="1" customWidth="1"/>
    <col min="27" max="27" width="10.85546875" style="1" bestFit="1" customWidth="1"/>
    <col min="28" max="28" width="8.85546875" style="1"/>
    <col min="29" max="29" width="3.42578125" style="1" bestFit="1" customWidth="1"/>
    <col min="30" max="30" width="23.7109375" style="1" bestFit="1" customWidth="1"/>
    <col min="31" max="31" width="28.140625" style="1" bestFit="1" customWidth="1"/>
    <col min="32" max="32" width="6.85546875" style="1" bestFit="1" customWidth="1"/>
    <col min="33" max="33" width="12.42578125" style="1" bestFit="1" customWidth="1"/>
    <col min="34" max="34" width="11.5703125" style="1" bestFit="1" customWidth="1"/>
    <col min="35" max="36" width="10.85546875" style="1" bestFit="1" customWidth="1"/>
    <col min="37" max="37" width="8.85546875" style="1"/>
    <col min="38" max="38" width="3.42578125" style="1" bestFit="1" customWidth="1"/>
    <col min="39" max="39" width="23.7109375" style="1" bestFit="1" customWidth="1"/>
    <col min="40" max="40" width="24" style="1" bestFit="1" customWidth="1"/>
    <col min="41" max="41" width="6.85546875" style="1" bestFit="1" customWidth="1"/>
    <col min="42" max="43" width="12.42578125" style="1" bestFit="1" customWidth="1"/>
    <col min="44" max="44" width="11.5703125" style="1" bestFit="1" customWidth="1"/>
    <col min="45" max="45" width="10.85546875" style="1" bestFit="1" customWidth="1"/>
    <col min="46" max="46" width="8.85546875" style="1"/>
    <col min="47" max="47" width="3.42578125" style="1" bestFit="1" customWidth="1"/>
    <col min="48" max="48" width="23.7109375" style="1" bestFit="1" customWidth="1"/>
    <col min="49" max="49" width="24.28515625" style="1" bestFit="1" customWidth="1"/>
    <col min="50" max="50" width="6.85546875" style="1" bestFit="1" customWidth="1"/>
    <col min="51" max="52" width="12.42578125" style="1" bestFit="1" customWidth="1"/>
    <col min="53" max="53" width="5.85546875" style="1" bestFit="1" customWidth="1"/>
    <col min="54" max="54" width="10.85546875" style="1" bestFit="1" customWidth="1"/>
    <col min="55" max="55" width="8.85546875" style="1"/>
    <col min="56" max="56" width="3.42578125" style="1" bestFit="1" customWidth="1"/>
    <col min="57" max="57" width="23.7109375" style="1" bestFit="1" customWidth="1"/>
    <col min="58" max="58" width="28.85546875" style="1" bestFit="1" customWidth="1"/>
    <col min="59" max="59" width="6.85546875" style="1" bestFit="1" customWidth="1"/>
    <col min="60" max="61" width="12.42578125" style="1" bestFit="1" customWidth="1"/>
    <col min="62" max="62" width="5.85546875" style="1" bestFit="1" customWidth="1"/>
    <col min="63" max="63" width="10.85546875" style="1" bestFit="1" customWidth="1"/>
    <col min="64" max="64" width="8.85546875" style="1"/>
    <col min="65" max="65" width="3.42578125" style="1" bestFit="1" customWidth="1"/>
    <col min="66" max="66" width="23.7109375" style="1" bestFit="1" customWidth="1"/>
    <col min="67" max="67" width="32.5703125" style="1" bestFit="1" customWidth="1"/>
    <col min="68" max="68" width="6.85546875" style="1" bestFit="1" customWidth="1"/>
    <col min="69" max="70" width="12.42578125" style="1" bestFit="1" customWidth="1"/>
    <col min="71" max="71" width="5.85546875" style="1" bestFit="1" customWidth="1"/>
    <col min="72" max="72" width="10.85546875" style="1" bestFit="1" customWidth="1"/>
    <col min="73" max="73" width="8.85546875" style="1"/>
    <col min="74" max="74" width="3.42578125" style="1" bestFit="1" customWidth="1"/>
    <col min="75" max="75" width="23.7109375" style="1" bestFit="1" customWidth="1"/>
    <col min="76" max="76" width="32.5703125" style="1" bestFit="1" customWidth="1"/>
    <col min="77" max="77" width="6.85546875" style="1" bestFit="1" customWidth="1"/>
    <col min="78" max="79" width="12.42578125" style="1" bestFit="1" customWidth="1"/>
    <col min="80" max="80" width="5.85546875" style="1" bestFit="1" customWidth="1"/>
    <col min="81" max="81" width="10.85546875" style="1" bestFit="1" customWidth="1"/>
    <col min="82" max="82" width="8.85546875" style="1"/>
    <col min="83" max="83" width="3.42578125" style="1" bestFit="1" customWidth="1"/>
    <col min="84" max="84" width="23.7109375" style="1" bestFit="1" customWidth="1"/>
    <col min="85" max="85" width="32.5703125" style="1" bestFit="1" customWidth="1"/>
    <col min="86" max="86" width="6.85546875" style="1" bestFit="1" customWidth="1"/>
    <col min="87" max="88" width="12.42578125" style="1" bestFit="1" customWidth="1"/>
    <col min="89" max="89" width="5.85546875" style="1" bestFit="1" customWidth="1"/>
    <col min="90" max="90" width="10.85546875" style="1" bestFit="1" customWidth="1"/>
    <col min="91" max="91" width="8.85546875" style="1"/>
    <col min="92" max="92" width="3.42578125" style="1" bestFit="1" customWidth="1"/>
    <col min="93" max="93" width="23.7109375" style="1" bestFit="1" customWidth="1"/>
    <col min="94" max="94" width="30.140625" style="1" bestFit="1" customWidth="1"/>
    <col min="95" max="95" width="6.85546875" style="1" bestFit="1" customWidth="1"/>
    <col min="96" max="97" width="12.42578125" style="1" bestFit="1" customWidth="1"/>
    <col min="98" max="98" width="8.42578125" style="1" bestFit="1" customWidth="1"/>
    <col min="99" max="99" width="10.85546875" style="1" bestFit="1" customWidth="1"/>
    <col min="100" max="100" width="10.85546875" style="70" customWidth="1"/>
    <col min="101" max="101" width="3.42578125" style="1" bestFit="1" customWidth="1"/>
    <col min="102" max="102" width="23.7109375" style="1" bestFit="1" customWidth="1"/>
    <col min="103" max="103" width="30.140625" style="1" bestFit="1" customWidth="1"/>
    <col min="104" max="104" width="6.85546875" style="1" bestFit="1" customWidth="1"/>
    <col min="105" max="106" width="12.42578125" style="1" bestFit="1" customWidth="1"/>
    <col min="107" max="107" width="8.42578125" style="1" bestFit="1" customWidth="1"/>
    <col min="108" max="108" width="10.85546875" style="1" bestFit="1" customWidth="1"/>
    <col min="109" max="109" width="10.85546875" style="70" customWidth="1"/>
    <col min="110" max="110" width="3.42578125" style="1" bestFit="1" customWidth="1"/>
    <col min="111" max="111" width="23.7109375" style="1" bestFit="1" customWidth="1"/>
    <col min="112" max="112" width="30.140625" style="1" bestFit="1" customWidth="1"/>
    <col min="113" max="113" width="6.85546875" style="1" bestFit="1" customWidth="1"/>
    <col min="114" max="115" width="12.42578125" style="1" bestFit="1" customWidth="1"/>
    <col min="116" max="116" width="8.42578125" style="1" bestFit="1" customWidth="1"/>
    <col min="117" max="117" width="10.85546875" style="1" bestFit="1" customWidth="1"/>
    <col min="118" max="118" width="10.85546875" style="70" customWidth="1"/>
    <col min="119" max="119" width="3.42578125" style="1" bestFit="1" customWidth="1"/>
    <col min="120" max="120" width="23.7109375" style="1" bestFit="1" customWidth="1"/>
    <col min="121" max="121" width="30.140625" style="1" bestFit="1" customWidth="1"/>
    <col min="122" max="122" width="6.85546875" style="1" bestFit="1" customWidth="1"/>
    <col min="123" max="124" width="12.42578125" style="1" bestFit="1" customWidth="1"/>
    <col min="125" max="125" width="8.42578125" style="1" bestFit="1" customWidth="1"/>
    <col min="126" max="126" width="10.85546875" style="1" bestFit="1" customWidth="1"/>
    <col min="127" max="127" width="8.85546875" style="1"/>
    <col min="128" max="128" width="3.42578125" style="1" bestFit="1" customWidth="1"/>
    <col min="129" max="129" width="23.7109375" style="1" bestFit="1" customWidth="1"/>
    <col min="130" max="130" width="24" style="1" bestFit="1" customWidth="1"/>
    <col min="131" max="131" width="6.85546875" style="1" bestFit="1" customWidth="1"/>
    <col min="132" max="133" width="12.42578125" style="1" bestFit="1" customWidth="1"/>
    <col min="134" max="134" width="5.85546875" style="1" bestFit="1" customWidth="1"/>
    <col min="135" max="135" width="10.85546875" style="1" bestFit="1" customWidth="1"/>
    <col min="136" max="136" width="8.85546875" style="1"/>
    <col min="137" max="137" width="3.42578125" style="1" bestFit="1" customWidth="1"/>
    <col min="138" max="138" width="23.7109375" style="1" bestFit="1" customWidth="1"/>
    <col min="139" max="139" width="33.5703125" style="1" bestFit="1" customWidth="1"/>
    <col min="140" max="140" width="6.85546875" style="1" bestFit="1" customWidth="1"/>
    <col min="141" max="142" width="12.42578125" style="1" bestFit="1" customWidth="1"/>
    <col min="143" max="143" width="5.85546875" style="1" bestFit="1" customWidth="1"/>
    <col min="144" max="144" width="10.85546875" style="1" bestFit="1" customWidth="1"/>
    <col min="145" max="145" width="10.85546875" style="70" customWidth="1"/>
    <col min="146" max="146" width="3.42578125" style="1" bestFit="1" customWidth="1"/>
    <col min="147" max="147" width="23.7109375" style="1" bestFit="1" customWidth="1"/>
    <col min="148" max="148" width="33.5703125" style="1" bestFit="1" customWidth="1"/>
    <col min="149" max="149" width="6.85546875" style="1" bestFit="1" customWidth="1"/>
    <col min="150" max="151" width="12.42578125" style="1" bestFit="1" customWidth="1"/>
    <col min="152" max="152" width="5.85546875" style="1" bestFit="1" customWidth="1"/>
    <col min="153" max="153" width="10.85546875" style="1" bestFit="1" customWidth="1"/>
    <col min="154" max="154" width="8.85546875" style="1"/>
    <col min="155" max="155" width="3.42578125" style="1" bestFit="1" customWidth="1"/>
    <col min="156" max="156" width="23.7109375" style="1" bestFit="1" customWidth="1"/>
    <col min="157" max="157" width="32.5703125" style="1" bestFit="1" customWidth="1"/>
    <col min="158" max="158" width="6.85546875" style="1" bestFit="1" customWidth="1"/>
    <col min="159" max="160" width="12.42578125" style="1" bestFit="1" customWidth="1"/>
    <col min="161" max="161" width="5.85546875" style="1" bestFit="1" customWidth="1"/>
    <col min="162" max="162" width="10.85546875" style="1" bestFit="1" customWidth="1"/>
    <col min="163" max="163" width="8.85546875" style="1"/>
    <col min="164" max="164" width="3.42578125" style="1" bestFit="1" customWidth="1"/>
    <col min="165" max="165" width="23.7109375" style="1" bestFit="1" customWidth="1"/>
    <col min="166" max="166" width="32.5703125" style="1" bestFit="1" customWidth="1"/>
    <col min="167" max="167" width="6.85546875" style="1" bestFit="1" customWidth="1"/>
    <col min="168" max="169" width="12.42578125" style="1" bestFit="1" customWidth="1"/>
    <col min="170" max="170" width="5.85546875" style="1" bestFit="1" customWidth="1"/>
    <col min="171" max="171" width="10.85546875" style="1" bestFit="1" customWidth="1"/>
    <col min="172" max="16384" width="8.85546875" style="1"/>
  </cols>
  <sheetData>
    <row r="2" spans="11:145" ht="21" x14ac:dyDescent="0.35">
      <c r="K2" s="69" t="s">
        <v>120</v>
      </c>
    </row>
    <row r="3" spans="11:145" x14ac:dyDescent="0.25">
      <c r="K3" s="51"/>
    </row>
    <row r="4" spans="11:145" s="68" customFormat="1" ht="21" x14ac:dyDescent="0.35">
      <c r="K4" s="68" t="s">
        <v>119</v>
      </c>
      <c r="CV4" s="71"/>
      <c r="DE4" s="71"/>
      <c r="DN4" s="71"/>
      <c r="EO4" s="71"/>
    </row>
    <row r="5" spans="11:145" ht="18.75" x14ac:dyDescent="0.3">
      <c r="K5" s="67" t="s">
        <v>118</v>
      </c>
    </row>
    <row r="6" spans="11:145" ht="18.75" x14ac:dyDescent="0.3">
      <c r="K6" s="67" t="s">
        <v>117</v>
      </c>
    </row>
    <row r="7" spans="11:145" ht="18.75" x14ac:dyDescent="0.3">
      <c r="K7" s="67" t="s">
        <v>116</v>
      </c>
    </row>
    <row r="8" spans="11:145" ht="18.75" customHeight="1" x14ac:dyDescent="0.3">
      <c r="K8" s="67"/>
    </row>
    <row r="9" spans="11:145" ht="193.5" thickBot="1" x14ac:dyDescent="0.35">
      <c r="K9" s="67"/>
      <c r="M9" s="66" t="s">
        <v>114</v>
      </c>
      <c r="N9" s="65" t="s">
        <v>113</v>
      </c>
      <c r="O9" s="65" t="s">
        <v>115</v>
      </c>
      <c r="P9" s="65" t="s">
        <v>245</v>
      </c>
      <c r="Q9" s="65" t="s">
        <v>111</v>
      </c>
      <c r="R9" s="65" t="s">
        <v>110</v>
      </c>
      <c r="AE9" s="66" t="s">
        <v>114</v>
      </c>
      <c r="AF9" s="65" t="s">
        <v>113</v>
      </c>
      <c r="AG9" s="65" t="s">
        <v>112</v>
      </c>
      <c r="AH9" s="65" t="s">
        <v>245</v>
      </c>
      <c r="AI9" s="65" t="s">
        <v>111</v>
      </c>
      <c r="AJ9" s="65" t="s">
        <v>110</v>
      </c>
    </row>
    <row r="10" spans="11:145" x14ac:dyDescent="0.25">
      <c r="K10" s="95" t="s">
        <v>109</v>
      </c>
      <c r="L10" s="96"/>
      <c r="M10" s="96"/>
      <c r="N10" s="96"/>
      <c r="O10" s="96"/>
      <c r="P10" s="96"/>
      <c r="Q10" s="96"/>
      <c r="R10" s="97"/>
      <c r="AC10" s="95" t="s">
        <v>109</v>
      </c>
      <c r="AD10" s="96"/>
      <c r="AE10" s="96"/>
      <c r="AF10" s="96"/>
      <c r="AG10" s="96"/>
      <c r="AH10" s="96"/>
      <c r="AI10" s="96"/>
      <c r="AJ10" s="97"/>
      <c r="AU10" s="95" t="s">
        <v>109</v>
      </c>
      <c r="AV10" s="96"/>
      <c r="AW10" s="96"/>
      <c r="AX10" s="96"/>
      <c r="AY10" s="96"/>
      <c r="AZ10" s="96"/>
      <c r="BA10" s="96"/>
      <c r="BB10" s="97"/>
    </row>
    <row r="11" spans="11:145" ht="15.75" thickBot="1" x14ac:dyDescent="0.3">
      <c r="K11" s="98" t="s">
        <v>78</v>
      </c>
      <c r="L11" s="99"/>
      <c r="M11" s="99"/>
      <c r="N11" s="99"/>
      <c r="O11" s="99"/>
      <c r="P11" s="99"/>
      <c r="Q11" s="99"/>
      <c r="R11" s="100"/>
      <c r="AC11" s="98" t="s">
        <v>78</v>
      </c>
      <c r="AD11" s="99"/>
      <c r="AE11" s="99"/>
      <c r="AF11" s="99"/>
      <c r="AG11" s="99"/>
      <c r="AH11" s="99"/>
      <c r="AI11" s="99"/>
      <c r="AJ11" s="100"/>
      <c r="AU11" s="98" t="s">
        <v>78</v>
      </c>
      <c r="AV11" s="99"/>
      <c r="AW11" s="99"/>
      <c r="AX11" s="99"/>
      <c r="AY11" s="99"/>
      <c r="AZ11" s="99"/>
      <c r="BA11" s="99"/>
      <c r="BB11" s="100"/>
    </row>
    <row r="12" spans="11:145" ht="15.75" thickBot="1" x14ac:dyDescent="0.3">
      <c r="K12" s="101" t="s">
        <v>77</v>
      </c>
      <c r="L12" s="102"/>
      <c r="M12" s="102"/>
      <c r="N12" s="102"/>
      <c r="O12" s="102"/>
      <c r="P12" s="102"/>
      <c r="Q12" s="102"/>
      <c r="R12" s="103"/>
      <c r="AC12" s="101" t="s">
        <v>108</v>
      </c>
      <c r="AD12" s="102"/>
      <c r="AE12" s="102"/>
      <c r="AF12" s="102"/>
      <c r="AG12" s="102"/>
      <c r="AH12" s="102"/>
      <c r="AI12" s="102"/>
      <c r="AJ12" s="103"/>
      <c r="AU12" s="64" t="s">
        <v>76</v>
      </c>
      <c r="AV12" s="63"/>
      <c r="AW12" s="63"/>
      <c r="AX12" s="63"/>
      <c r="AY12" s="63"/>
      <c r="AZ12" s="63"/>
      <c r="BA12" s="63"/>
      <c r="BB12" s="62"/>
    </row>
    <row r="13" spans="11:145" ht="15.75" thickBot="1" x14ac:dyDescent="0.3">
      <c r="K13" s="104" t="s">
        <v>67</v>
      </c>
      <c r="L13" s="105"/>
      <c r="M13" s="105"/>
      <c r="N13" s="105"/>
      <c r="O13" s="105"/>
      <c r="P13" s="105"/>
      <c r="Q13" s="105"/>
      <c r="R13" s="106"/>
      <c r="AC13" s="104" t="s">
        <v>66</v>
      </c>
      <c r="AD13" s="105"/>
      <c r="AE13" s="105"/>
      <c r="AF13" s="105"/>
      <c r="AG13" s="105"/>
      <c r="AH13" s="105"/>
      <c r="AI13" s="105"/>
      <c r="AJ13" s="106"/>
      <c r="AU13" s="107" t="s">
        <v>67</v>
      </c>
      <c r="AV13" s="108"/>
      <c r="AW13" s="108"/>
      <c r="AX13" s="108"/>
      <c r="AY13" s="108"/>
      <c r="AZ13" s="108"/>
      <c r="BA13" s="108"/>
      <c r="BB13" s="109"/>
    </row>
    <row r="14" spans="11:145" ht="15.75" thickBot="1" x14ac:dyDescent="0.3">
      <c r="K14" s="17" t="s">
        <v>65</v>
      </c>
      <c r="L14" s="16" t="s">
        <v>64</v>
      </c>
      <c r="M14" s="16" t="s">
        <v>63</v>
      </c>
      <c r="N14" s="15" t="s">
        <v>62</v>
      </c>
      <c r="O14" s="15" t="s">
        <v>61</v>
      </c>
      <c r="P14" s="15" t="s">
        <v>60</v>
      </c>
      <c r="Q14" s="15" t="s">
        <v>59</v>
      </c>
      <c r="R14" s="14" t="s">
        <v>107</v>
      </c>
      <c r="AC14" s="17" t="s">
        <v>65</v>
      </c>
      <c r="AD14" s="16" t="s">
        <v>64</v>
      </c>
      <c r="AE14" s="16" t="s">
        <v>63</v>
      </c>
      <c r="AF14" s="15" t="s">
        <v>62</v>
      </c>
      <c r="AG14" s="15" t="s">
        <v>61</v>
      </c>
      <c r="AH14" s="15" t="s">
        <v>60</v>
      </c>
      <c r="AI14" s="15" t="s">
        <v>59</v>
      </c>
      <c r="AJ14" s="14" t="s">
        <v>58</v>
      </c>
      <c r="AU14" s="17" t="s">
        <v>65</v>
      </c>
      <c r="AV14" s="16" t="s">
        <v>64</v>
      </c>
      <c r="AW14" s="16" t="s">
        <v>63</v>
      </c>
      <c r="AX14" s="15" t="s">
        <v>62</v>
      </c>
      <c r="AY14" s="15" t="s">
        <v>61</v>
      </c>
      <c r="AZ14" s="15" t="s">
        <v>60</v>
      </c>
      <c r="BA14" s="15" t="s">
        <v>59</v>
      </c>
      <c r="BB14" s="14" t="s">
        <v>58</v>
      </c>
    </row>
    <row r="15" spans="11:145" ht="15.75" thickBot="1" x14ac:dyDescent="0.3">
      <c r="K15" s="50" t="s">
        <v>57</v>
      </c>
      <c r="L15" s="49" t="s">
        <v>56</v>
      </c>
      <c r="M15" s="49"/>
      <c r="N15" s="48"/>
      <c r="O15" s="48"/>
      <c r="P15" s="48"/>
      <c r="Q15" s="48"/>
      <c r="R15" s="47"/>
      <c r="AC15" s="50" t="s">
        <v>57</v>
      </c>
      <c r="AD15" s="49" t="s">
        <v>56</v>
      </c>
      <c r="AE15" s="49"/>
      <c r="AF15" s="48"/>
      <c r="AG15" s="48"/>
      <c r="AH15" s="48"/>
      <c r="AI15" s="48"/>
      <c r="AJ15" s="47"/>
      <c r="AU15" s="50" t="s">
        <v>57</v>
      </c>
      <c r="AV15" s="49" t="s">
        <v>56</v>
      </c>
      <c r="AW15" s="49"/>
      <c r="AX15" s="48"/>
      <c r="AY15" s="48"/>
      <c r="AZ15" s="48"/>
      <c r="BA15" s="48"/>
      <c r="BB15" s="47"/>
    </row>
    <row r="16" spans="11:145" x14ac:dyDescent="0.25">
      <c r="K16" s="37">
        <v>1</v>
      </c>
      <c r="L16" s="36" t="s">
        <v>55</v>
      </c>
      <c r="M16" s="36"/>
      <c r="N16" s="35"/>
      <c r="O16" s="35"/>
      <c r="P16" s="35"/>
      <c r="Q16" s="35"/>
      <c r="R16" s="34"/>
      <c r="S16" s="1" t="s">
        <v>106</v>
      </c>
      <c r="AC16" s="37">
        <v>1</v>
      </c>
      <c r="AD16" s="36" t="s">
        <v>55</v>
      </c>
      <c r="AE16" s="36"/>
      <c r="AF16" s="35"/>
      <c r="AG16" s="35"/>
      <c r="AH16" s="35"/>
      <c r="AI16" s="35"/>
      <c r="AJ16" s="34"/>
      <c r="AK16" s="1" t="s">
        <v>106</v>
      </c>
      <c r="AU16" s="37">
        <v>1</v>
      </c>
      <c r="AV16" s="36" t="s">
        <v>55</v>
      </c>
      <c r="AW16" s="36"/>
      <c r="AX16" s="35"/>
      <c r="AY16" s="35"/>
      <c r="AZ16" s="35"/>
      <c r="BA16" s="35"/>
      <c r="BB16" s="34"/>
    </row>
    <row r="17" spans="11:54" ht="15.75" thickBot="1" x14ac:dyDescent="0.3">
      <c r="K17" s="5">
        <v>2</v>
      </c>
      <c r="L17" s="4" t="s">
        <v>53</v>
      </c>
      <c r="M17" s="4"/>
      <c r="N17" s="3"/>
      <c r="O17" s="3"/>
      <c r="P17" s="3"/>
      <c r="Q17" s="3"/>
      <c r="R17" s="2"/>
      <c r="S17" s="1" t="s">
        <v>105</v>
      </c>
      <c r="AC17" s="5">
        <v>2</v>
      </c>
      <c r="AD17" s="4" t="s">
        <v>53</v>
      </c>
      <c r="AE17" s="4" t="s">
        <v>52</v>
      </c>
      <c r="AF17" s="3"/>
      <c r="AG17" s="3"/>
      <c r="AH17" s="3"/>
      <c r="AI17" s="3"/>
      <c r="AJ17" s="2"/>
      <c r="AK17" s="1" t="s">
        <v>105</v>
      </c>
      <c r="AU17" s="5">
        <v>2</v>
      </c>
      <c r="AV17" s="4" t="s">
        <v>53</v>
      </c>
      <c r="AW17" s="4"/>
      <c r="AX17" s="3"/>
      <c r="AY17" s="3"/>
      <c r="AZ17" s="3"/>
      <c r="BA17" s="3"/>
      <c r="BB17" s="2"/>
    </row>
    <row r="18" spans="11:54" ht="15.75" thickBot="1" x14ac:dyDescent="0.3">
      <c r="K18" s="5">
        <v>3</v>
      </c>
      <c r="L18" s="4" t="s">
        <v>104</v>
      </c>
      <c r="M18" s="4"/>
      <c r="N18" s="3"/>
      <c r="O18" s="3"/>
      <c r="P18" s="3"/>
      <c r="Q18" s="3"/>
      <c r="R18" s="2"/>
      <c r="S18" s="1" t="s">
        <v>103</v>
      </c>
      <c r="AC18" s="5"/>
      <c r="AD18" s="4"/>
      <c r="AE18" s="4" t="s">
        <v>50</v>
      </c>
      <c r="AF18" s="3"/>
      <c r="AG18" s="3"/>
      <c r="AH18" s="3"/>
      <c r="AI18" s="3"/>
      <c r="AJ18" s="2"/>
      <c r="AK18" s="1" t="s">
        <v>105</v>
      </c>
      <c r="AU18" s="17" t="s">
        <v>48</v>
      </c>
      <c r="AV18" s="16" t="s">
        <v>47</v>
      </c>
      <c r="AW18" s="16"/>
      <c r="AX18" s="15"/>
      <c r="AY18" s="15"/>
      <c r="AZ18" s="15"/>
      <c r="BA18" s="15"/>
      <c r="BB18" s="14"/>
    </row>
    <row r="19" spans="11:54" ht="15.75" thickBot="1" x14ac:dyDescent="0.3">
      <c r="K19" s="17" t="s">
        <v>48</v>
      </c>
      <c r="L19" s="16" t="s">
        <v>51</v>
      </c>
      <c r="M19" s="16"/>
      <c r="N19" s="15"/>
      <c r="O19" s="15"/>
      <c r="P19" s="15"/>
      <c r="Q19" s="15"/>
      <c r="R19" s="14"/>
      <c r="AC19" s="5">
        <v>3</v>
      </c>
      <c r="AD19" s="4" t="s">
        <v>104</v>
      </c>
      <c r="AE19" s="4"/>
      <c r="AF19" s="3"/>
      <c r="AG19" s="3"/>
      <c r="AH19" s="3"/>
      <c r="AI19" s="3"/>
      <c r="AJ19" s="2"/>
      <c r="AK19" s="1" t="s">
        <v>103</v>
      </c>
      <c r="AU19" s="10">
        <v>1</v>
      </c>
      <c r="AV19" s="9" t="s">
        <v>44</v>
      </c>
      <c r="AW19" s="9" t="s">
        <v>49</v>
      </c>
      <c r="AX19" s="8" t="s">
        <v>19</v>
      </c>
      <c r="AY19" s="41" t="e">
        <f>[1]IC_Machine!AX104</f>
        <v>#REF!</v>
      </c>
      <c r="AZ19" s="8"/>
      <c r="BA19" s="8">
        <v>0</v>
      </c>
      <c r="BB19" s="7" t="e">
        <f>[1]IC_Machine!AX101</f>
        <v>#REF!</v>
      </c>
    </row>
    <row r="20" spans="11:54" ht="15.75" thickBot="1" x14ac:dyDescent="0.3">
      <c r="K20" s="10">
        <v>1</v>
      </c>
      <c r="L20" s="9" t="s">
        <v>44</v>
      </c>
      <c r="M20" s="9"/>
      <c r="N20" s="8"/>
      <c r="O20" s="8"/>
      <c r="P20" s="8"/>
      <c r="Q20" s="8"/>
      <c r="R20" s="7"/>
      <c r="S20" s="1" t="s">
        <v>102</v>
      </c>
      <c r="AC20" s="17" t="s">
        <v>48</v>
      </c>
      <c r="AD20" s="16" t="s">
        <v>47</v>
      </c>
      <c r="AE20" s="16"/>
      <c r="AF20" s="15"/>
      <c r="AG20" s="15"/>
      <c r="AH20" s="15"/>
      <c r="AI20" s="15"/>
      <c r="AJ20" s="14"/>
      <c r="AU20" s="5">
        <v>2</v>
      </c>
      <c r="AV20" s="4" t="s">
        <v>33</v>
      </c>
      <c r="AW20" s="4" t="s">
        <v>45</v>
      </c>
      <c r="AX20" s="3" t="s">
        <v>21</v>
      </c>
      <c r="AY20" s="42">
        <f>[1]IC_Dynamic!E55</f>
        <v>0.97685185185185186</v>
      </c>
      <c r="AZ20" s="3"/>
      <c r="BA20" s="8">
        <f>BA33/10</f>
        <v>0.1</v>
      </c>
      <c r="BB20" s="2">
        <f>[1]IC_Dynamic!E21</f>
        <v>0</v>
      </c>
    </row>
    <row r="21" spans="11:54" ht="15" customHeight="1" thickBot="1" x14ac:dyDescent="0.3">
      <c r="K21" s="5">
        <v>2</v>
      </c>
      <c r="L21" s="4" t="s">
        <v>33</v>
      </c>
      <c r="M21" s="4" t="s">
        <v>46</v>
      </c>
      <c r="N21" s="3" t="s">
        <v>21</v>
      </c>
      <c r="O21" s="3" t="s">
        <v>101</v>
      </c>
      <c r="P21" s="61">
        <f>P32</f>
        <v>0</v>
      </c>
      <c r="Q21" s="3"/>
      <c r="R21" s="2"/>
      <c r="S21" s="1" t="s">
        <v>100</v>
      </c>
      <c r="AC21" s="10">
        <v>1</v>
      </c>
      <c r="AD21" s="9" t="s">
        <v>44</v>
      </c>
      <c r="AE21" s="9" t="s">
        <v>43</v>
      </c>
      <c r="AF21" s="8" t="s">
        <v>21</v>
      </c>
      <c r="AG21" s="41">
        <f>[1]IC_Machine!E24</f>
        <v>0.99759259259259259</v>
      </c>
      <c r="AH21" s="8">
        <f>AH38</f>
        <v>30</v>
      </c>
      <c r="AI21" s="8">
        <f>AI38/10</f>
        <v>0.1</v>
      </c>
      <c r="AJ21" s="7">
        <f>[1]IC_Machine!E21</f>
        <v>0.1</v>
      </c>
      <c r="AK21" s="92" t="s">
        <v>99</v>
      </c>
      <c r="AL21" s="93"/>
      <c r="AM21" s="93"/>
      <c r="AN21" s="93"/>
      <c r="AO21" s="57"/>
      <c r="AU21" s="5">
        <v>3</v>
      </c>
      <c r="AV21" s="4" t="s">
        <v>31</v>
      </c>
      <c r="AW21" s="4"/>
      <c r="AX21" s="3"/>
      <c r="AY21" s="3"/>
      <c r="AZ21" s="3"/>
      <c r="BA21" s="3"/>
      <c r="BB21" s="2"/>
    </row>
    <row r="22" spans="11:54" ht="39.75" customHeight="1" thickBot="1" x14ac:dyDescent="0.3">
      <c r="K22" s="5">
        <v>3</v>
      </c>
      <c r="L22" s="4" t="s">
        <v>31</v>
      </c>
      <c r="M22" s="4" t="s">
        <v>42</v>
      </c>
      <c r="N22" s="3"/>
      <c r="O22" s="60" t="s">
        <v>98</v>
      </c>
      <c r="P22" s="31">
        <f>Q22</f>
        <v>1</v>
      </c>
      <c r="Q22" s="31">
        <f>1-R22</f>
        <v>1</v>
      </c>
      <c r="R22" s="2">
        <f>Q32</f>
        <v>0</v>
      </c>
      <c r="S22" s="91" t="s">
        <v>97</v>
      </c>
      <c r="T22" s="91"/>
      <c r="U22" s="91"/>
      <c r="V22" s="59"/>
      <c r="AC22" s="10"/>
      <c r="AD22" s="9"/>
      <c r="AE22" s="9" t="s">
        <v>40</v>
      </c>
      <c r="AF22" s="8"/>
      <c r="AG22" s="8"/>
      <c r="AH22" s="8"/>
      <c r="AI22" s="8"/>
      <c r="AJ22" s="7"/>
      <c r="AK22" s="92"/>
      <c r="AL22" s="93"/>
      <c r="AM22" s="93"/>
      <c r="AN22" s="93"/>
      <c r="AO22" s="57"/>
      <c r="AU22" s="17" t="s">
        <v>18</v>
      </c>
      <c r="AV22" s="16" t="s">
        <v>17</v>
      </c>
      <c r="AW22" s="16"/>
      <c r="AX22" s="15"/>
      <c r="AY22" s="15"/>
      <c r="AZ22" s="15"/>
      <c r="BA22" s="15"/>
      <c r="BB22" s="14"/>
    </row>
    <row r="23" spans="11:54" ht="15.75" thickBot="1" x14ac:dyDescent="0.3">
      <c r="K23" s="17" t="s">
        <v>18</v>
      </c>
      <c r="L23" s="16" t="s">
        <v>17</v>
      </c>
      <c r="M23" s="16"/>
      <c r="N23" s="15"/>
      <c r="O23" s="15"/>
      <c r="P23" s="15"/>
      <c r="Q23" s="15"/>
      <c r="R23" s="14"/>
      <c r="AC23" s="5">
        <v>2</v>
      </c>
      <c r="AD23" s="4" t="s">
        <v>33</v>
      </c>
      <c r="AE23" s="4" t="s">
        <v>38</v>
      </c>
      <c r="AF23" s="3"/>
      <c r="AG23" s="3"/>
      <c r="AH23" s="3"/>
      <c r="AI23" s="3"/>
      <c r="AJ23" s="2"/>
      <c r="AK23" s="58"/>
      <c r="AL23" s="55"/>
      <c r="AM23" s="55"/>
      <c r="AN23" s="55"/>
      <c r="AO23" s="55"/>
      <c r="AU23" s="10">
        <v>1</v>
      </c>
      <c r="AV23" s="9" t="s">
        <v>16</v>
      </c>
      <c r="AW23" s="9"/>
      <c r="AX23" s="8"/>
      <c r="AY23" s="8"/>
      <c r="AZ23" s="8"/>
      <c r="BA23" s="8"/>
      <c r="BB23" s="7"/>
    </row>
    <row r="24" spans="11:54" ht="15.75" customHeight="1" thickBot="1" x14ac:dyDescent="0.3">
      <c r="K24" s="33">
        <v>3</v>
      </c>
      <c r="L24" s="32" t="s">
        <v>10</v>
      </c>
      <c r="M24" s="32" t="s">
        <v>36</v>
      </c>
      <c r="N24" s="31"/>
      <c r="O24" s="31"/>
      <c r="P24" s="31">
        <f>Q24</f>
        <v>1</v>
      </c>
      <c r="Q24" s="31">
        <f>1-R24</f>
        <v>1</v>
      </c>
      <c r="R24" s="2">
        <f>Q35</f>
        <v>0</v>
      </c>
      <c r="S24" s="91" t="s">
        <v>96</v>
      </c>
      <c r="T24" s="91"/>
      <c r="U24" s="91"/>
      <c r="V24" s="59"/>
      <c r="AC24" s="5"/>
      <c r="AD24" s="4"/>
      <c r="AE24" s="4" t="s">
        <v>37</v>
      </c>
      <c r="AF24" s="3"/>
      <c r="AG24" s="3"/>
      <c r="AH24" s="3"/>
      <c r="AI24" s="3"/>
      <c r="AJ24" s="2"/>
      <c r="AU24" s="10">
        <v>2</v>
      </c>
      <c r="AV24" s="4" t="s">
        <v>14</v>
      </c>
      <c r="AW24" s="4"/>
      <c r="AX24" s="3"/>
      <c r="AY24" s="3"/>
      <c r="AZ24" s="3"/>
      <c r="BA24" s="3"/>
      <c r="BB24" s="2"/>
    </row>
    <row r="25" spans="11:54" ht="15.75" thickBot="1" x14ac:dyDescent="0.3">
      <c r="K25" s="17" t="s">
        <v>9</v>
      </c>
      <c r="L25" s="16" t="s">
        <v>246</v>
      </c>
      <c r="M25" s="16"/>
      <c r="N25" s="15"/>
      <c r="O25" s="15"/>
      <c r="P25" s="15"/>
      <c r="Q25" s="15"/>
      <c r="R25" s="14"/>
      <c r="S25" s="91"/>
      <c r="T25" s="91"/>
      <c r="U25" s="91"/>
      <c r="V25" s="59"/>
      <c r="AC25" s="5">
        <v>3</v>
      </c>
      <c r="AD25" s="4" t="s">
        <v>31</v>
      </c>
      <c r="AE25" s="4"/>
      <c r="AF25" s="3"/>
      <c r="AG25" s="3"/>
      <c r="AH25" s="3"/>
      <c r="AI25" s="3"/>
      <c r="AJ25" s="2"/>
      <c r="AU25" s="33">
        <v>3</v>
      </c>
      <c r="AV25" s="32" t="s">
        <v>10</v>
      </c>
      <c r="AW25" s="32" t="s">
        <v>35</v>
      </c>
      <c r="AX25" s="31">
        <f>AX31</f>
        <v>0.1</v>
      </c>
      <c r="AY25" s="31"/>
      <c r="AZ25" s="31"/>
      <c r="BA25" s="31"/>
      <c r="BB25" s="30"/>
    </row>
    <row r="26" spans="11:54" ht="15.75" thickBot="1" x14ac:dyDescent="0.3">
      <c r="K26" s="10">
        <v>1</v>
      </c>
      <c r="L26" s="9" t="s">
        <v>8</v>
      </c>
      <c r="M26" s="9"/>
      <c r="N26" s="8"/>
      <c r="O26" s="8"/>
      <c r="P26" s="8"/>
      <c r="Q26" s="8"/>
      <c r="R26" s="7"/>
      <c r="S26" s="91"/>
      <c r="T26" s="91"/>
      <c r="U26" s="91"/>
      <c r="V26" s="59"/>
      <c r="AC26" s="17" t="s">
        <v>18</v>
      </c>
      <c r="AD26" s="16" t="s">
        <v>17</v>
      </c>
      <c r="AE26" s="16"/>
      <c r="AF26" s="15"/>
      <c r="AG26" s="15"/>
      <c r="AH26" s="15"/>
      <c r="AI26" s="15"/>
      <c r="AJ26" s="14"/>
      <c r="AU26" s="17" t="s">
        <v>9</v>
      </c>
      <c r="AV26" s="16" t="s">
        <v>246</v>
      </c>
      <c r="AW26" s="16"/>
      <c r="AX26" s="15"/>
      <c r="AY26" s="15"/>
      <c r="AZ26" s="15"/>
      <c r="BA26" s="15"/>
      <c r="BB26" s="14"/>
    </row>
    <row r="27" spans="11:54" x14ac:dyDescent="0.25">
      <c r="K27" s="10">
        <v>2</v>
      </c>
      <c r="L27" s="9" t="s">
        <v>7</v>
      </c>
      <c r="M27" s="4"/>
      <c r="N27" s="3"/>
      <c r="O27" s="3"/>
      <c r="P27" s="3"/>
      <c r="Q27" s="43" t="s">
        <v>27</v>
      </c>
      <c r="R27" s="2"/>
      <c r="AC27" s="10">
        <v>1</v>
      </c>
      <c r="AD27" s="9" t="s">
        <v>16</v>
      </c>
      <c r="AE27" s="9"/>
      <c r="AF27" s="8"/>
      <c r="AG27" s="8"/>
      <c r="AH27" s="8"/>
      <c r="AI27" s="8"/>
      <c r="AJ27" s="7"/>
      <c r="AU27" s="10">
        <v>1</v>
      </c>
      <c r="AV27" s="9" t="s">
        <v>8</v>
      </c>
      <c r="AW27" s="9"/>
      <c r="AX27" s="8"/>
      <c r="AY27" s="8"/>
      <c r="AZ27" s="8"/>
      <c r="BA27" s="8"/>
      <c r="BB27" s="7"/>
    </row>
    <row r="28" spans="11:54" ht="15.75" thickBot="1" x14ac:dyDescent="0.3">
      <c r="K28" s="10">
        <v>3</v>
      </c>
      <c r="L28" s="9" t="s">
        <v>6</v>
      </c>
      <c r="M28" s="4"/>
      <c r="N28" s="3"/>
      <c r="O28" s="3"/>
      <c r="P28" s="3"/>
      <c r="Q28" s="3"/>
      <c r="R28" s="2"/>
      <c r="AC28" s="10">
        <v>2</v>
      </c>
      <c r="AD28" s="4" t="s">
        <v>14</v>
      </c>
      <c r="AE28" s="4" t="s">
        <v>28</v>
      </c>
      <c r="AF28" s="3"/>
      <c r="AG28" s="3"/>
      <c r="AH28" s="3"/>
      <c r="AI28" s="3"/>
      <c r="AJ28" s="2"/>
      <c r="AU28" s="10">
        <v>2</v>
      </c>
      <c r="AV28" s="9" t="s">
        <v>7</v>
      </c>
      <c r="AW28" s="4"/>
      <c r="AX28" s="3"/>
      <c r="AY28" s="3"/>
      <c r="AZ28" s="3"/>
      <c r="BA28" s="3"/>
      <c r="BB28" s="2"/>
    </row>
    <row r="29" spans="11:54" ht="15.75" thickBot="1" x14ac:dyDescent="0.3">
      <c r="K29" s="17" t="s">
        <v>4</v>
      </c>
      <c r="L29" s="16" t="s">
        <v>3</v>
      </c>
      <c r="M29" s="16"/>
      <c r="N29" s="15"/>
      <c r="O29" s="15"/>
      <c r="P29" s="15"/>
      <c r="Q29" s="15"/>
      <c r="R29" s="14"/>
      <c r="AC29" s="33"/>
      <c r="AD29" s="32"/>
      <c r="AE29" s="4" t="s">
        <v>24</v>
      </c>
      <c r="AF29" s="31"/>
      <c r="AG29" s="31"/>
      <c r="AH29" s="31"/>
      <c r="AI29" s="31"/>
      <c r="AJ29" s="30"/>
      <c r="AU29" s="10">
        <v>3</v>
      </c>
      <c r="AV29" s="9" t="s">
        <v>6</v>
      </c>
      <c r="AW29" s="4"/>
      <c r="AX29" s="3"/>
      <c r="AY29" s="3"/>
      <c r="AZ29" s="3"/>
      <c r="BA29" s="3"/>
      <c r="BB29" s="2"/>
    </row>
    <row r="30" spans="11:54" ht="15.75" thickBot="1" x14ac:dyDescent="0.3">
      <c r="K30" s="10">
        <v>1</v>
      </c>
      <c r="L30" s="9" t="s">
        <v>2</v>
      </c>
      <c r="M30" s="9" t="s">
        <v>95</v>
      </c>
      <c r="N30" s="8"/>
      <c r="O30" s="8"/>
      <c r="P30" s="8"/>
      <c r="Q30" s="8"/>
      <c r="R30" s="7"/>
      <c r="AC30" s="33">
        <v>3</v>
      </c>
      <c r="AD30" s="32" t="s">
        <v>10</v>
      </c>
      <c r="AE30" s="32" t="s">
        <v>20</v>
      </c>
      <c r="AF30" s="31"/>
      <c r="AG30" s="31"/>
      <c r="AH30" s="31"/>
      <c r="AI30" s="31">
        <f>AF36+AF39</f>
        <v>0.2</v>
      </c>
      <c r="AJ30" s="30"/>
      <c r="AU30" s="17" t="s">
        <v>4</v>
      </c>
      <c r="AV30" s="16" t="s">
        <v>3</v>
      </c>
      <c r="AW30" s="16"/>
      <c r="AX30" s="15"/>
      <c r="AY30" s="15"/>
      <c r="AZ30" s="15"/>
      <c r="BA30" s="15"/>
      <c r="BB30" s="14"/>
    </row>
    <row r="31" spans="11:54" ht="15.75" thickBot="1" x14ac:dyDescent="0.3">
      <c r="K31" s="5">
        <v>2</v>
      </c>
      <c r="L31" s="4" t="s">
        <v>1</v>
      </c>
      <c r="M31" s="4" t="s">
        <v>84</v>
      </c>
      <c r="N31" s="3"/>
      <c r="O31" s="3"/>
      <c r="P31" s="3"/>
      <c r="Q31" s="3"/>
      <c r="R31" s="2"/>
      <c r="AC31" s="17" t="s">
        <v>9</v>
      </c>
      <c r="AD31" s="16" t="s">
        <v>246</v>
      </c>
      <c r="AE31" s="16"/>
      <c r="AF31" s="15"/>
      <c r="AG31" s="15"/>
      <c r="AH31" s="15"/>
      <c r="AI31" s="15"/>
      <c r="AJ31" s="14"/>
      <c r="AU31" s="10">
        <v>1</v>
      </c>
      <c r="AV31" s="9" t="s">
        <v>2</v>
      </c>
      <c r="AW31" s="9" t="s">
        <v>94</v>
      </c>
      <c r="AX31" s="8">
        <v>0.1</v>
      </c>
      <c r="AY31" s="8"/>
      <c r="AZ31" s="8"/>
      <c r="BA31" s="8"/>
      <c r="BB31" s="7"/>
    </row>
    <row r="32" spans="11:54" ht="15.75" thickBot="1" x14ac:dyDescent="0.3">
      <c r="K32" s="13">
        <v>3</v>
      </c>
      <c r="L32" s="12" t="s">
        <v>0</v>
      </c>
      <c r="M32" s="12">
        <v>15</v>
      </c>
      <c r="N32" s="6"/>
      <c r="O32" s="6"/>
      <c r="P32" s="6">
        <v>0</v>
      </c>
      <c r="Q32" s="6">
        <f>P32/M32</f>
        <v>0</v>
      </c>
      <c r="R32" s="11"/>
      <c r="AC32" s="10">
        <v>1</v>
      </c>
      <c r="AD32" s="9" t="s">
        <v>8</v>
      </c>
      <c r="AE32" s="9" t="s">
        <v>93</v>
      </c>
      <c r="AF32" s="8"/>
      <c r="AG32" s="8"/>
      <c r="AH32" s="8"/>
      <c r="AI32" s="8"/>
      <c r="AJ32" s="7"/>
      <c r="AU32" s="5">
        <v>2</v>
      </c>
      <c r="AV32" s="4" t="s">
        <v>1</v>
      </c>
      <c r="AW32" s="4" t="s">
        <v>92</v>
      </c>
      <c r="AX32" s="3"/>
      <c r="AY32" s="3"/>
      <c r="AZ32" s="3"/>
      <c r="BA32" s="3"/>
      <c r="BB32" s="2"/>
    </row>
    <row r="33" spans="11:54" ht="15.75" thickBot="1" x14ac:dyDescent="0.3">
      <c r="K33" s="10">
        <v>1</v>
      </c>
      <c r="L33" s="9" t="s">
        <v>2</v>
      </c>
      <c r="M33" s="9" t="s">
        <v>91</v>
      </c>
      <c r="N33" s="8"/>
      <c r="O33" s="8"/>
      <c r="P33" s="8"/>
      <c r="Q33" s="8"/>
      <c r="R33" s="7"/>
      <c r="AC33" s="10">
        <v>2</v>
      </c>
      <c r="AD33" s="9" t="s">
        <v>7</v>
      </c>
      <c r="AE33" s="4"/>
      <c r="AF33" s="3"/>
      <c r="AG33" s="3"/>
      <c r="AH33" s="3"/>
      <c r="AI33" s="3"/>
      <c r="AJ33" s="2"/>
      <c r="AU33" s="13">
        <v>3</v>
      </c>
      <c r="AV33" s="12" t="s">
        <v>0</v>
      </c>
      <c r="AW33" s="12">
        <v>10</v>
      </c>
      <c r="AX33" s="6"/>
      <c r="AY33" s="6"/>
      <c r="AZ33" s="6">
        <v>10</v>
      </c>
      <c r="BA33" s="6">
        <f>AZ33/AW33</f>
        <v>1</v>
      </c>
      <c r="BB33" s="11"/>
    </row>
    <row r="34" spans="11:54" ht="15.75" thickBot="1" x14ac:dyDescent="0.3">
      <c r="K34" s="5">
        <v>2</v>
      </c>
      <c r="L34" s="4" t="s">
        <v>1</v>
      </c>
      <c r="M34" s="4" t="s">
        <v>90</v>
      </c>
      <c r="N34" s="3"/>
      <c r="O34" s="3"/>
      <c r="P34" s="3"/>
      <c r="Q34" s="3"/>
      <c r="R34" s="2"/>
      <c r="AC34" s="10">
        <v>3</v>
      </c>
      <c r="AD34" s="9" t="s">
        <v>6</v>
      </c>
      <c r="AE34" s="4" t="s">
        <v>13</v>
      </c>
      <c r="AF34" s="3"/>
      <c r="AG34" s="3"/>
      <c r="AH34" s="3"/>
      <c r="AI34" s="3"/>
      <c r="AJ34" s="2"/>
    </row>
    <row r="35" spans="11:54" ht="15.75" thickBot="1" x14ac:dyDescent="0.3">
      <c r="K35" s="13">
        <v>3</v>
      </c>
      <c r="L35" s="12" t="s">
        <v>0</v>
      </c>
      <c r="M35" s="12">
        <v>15</v>
      </c>
      <c r="N35" s="6"/>
      <c r="O35" s="6"/>
      <c r="P35" s="6">
        <v>0</v>
      </c>
      <c r="Q35" s="6">
        <f>P35/M35</f>
        <v>0</v>
      </c>
      <c r="R35" s="11"/>
      <c r="AC35" s="17" t="s">
        <v>4</v>
      </c>
      <c r="AD35" s="16" t="s">
        <v>3</v>
      </c>
      <c r="AE35" s="16"/>
      <c r="AF35" s="15"/>
      <c r="AG35" s="15"/>
      <c r="AH35" s="15"/>
      <c r="AI35" s="15"/>
      <c r="AJ35" s="14"/>
    </row>
    <row r="36" spans="11:54" ht="75" x14ac:dyDescent="0.25">
      <c r="M36" s="55" t="s">
        <v>89</v>
      </c>
      <c r="N36" s="56"/>
      <c r="O36" s="55"/>
      <c r="P36" s="55" t="s">
        <v>88</v>
      </c>
      <c r="Q36" s="55" t="s">
        <v>87</v>
      </c>
      <c r="AC36" s="37">
        <v>1</v>
      </c>
      <c r="AD36" s="36" t="s">
        <v>2</v>
      </c>
      <c r="AE36" s="36" t="s">
        <v>86</v>
      </c>
      <c r="AF36" s="35">
        <v>0.1</v>
      </c>
      <c r="AG36" s="35"/>
      <c r="AH36" s="35"/>
      <c r="AI36" s="35"/>
      <c r="AJ36" s="34"/>
      <c r="AK36" s="92" t="s">
        <v>85</v>
      </c>
      <c r="AL36" s="93"/>
      <c r="AM36" s="93"/>
      <c r="AN36" s="93"/>
      <c r="AO36" s="57"/>
    </row>
    <row r="37" spans="11:54" x14ac:dyDescent="0.25">
      <c r="M37" s="55"/>
      <c r="N37" s="56"/>
      <c r="O37" s="55"/>
      <c r="P37" s="55"/>
      <c r="Q37" s="55"/>
      <c r="AC37" s="5">
        <v>2</v>
      </c>
      <c r="AD37" s="4" t="s">
        <v>1</v>
      </c>
      <c r="AE37" s="4" t="s">
        <v>84</v>
      </c>
      <c r="AF37" s="3"/>
      <c r="AG37" s="3"/>
      <c r="AH37" s="3"/>
      <c r="AI37" s="3"/>
      <c r="AJ37" s="2"/>
      <c r="AK37" s="58"/>
      <c r="AL37" s="55"/>
      <c r="AM37" s="55"/>
      <c r="AN37" s="55"/>
      <c r="AO37" s="55"/>
    </row>
    <row r="38" spans="11:54" ht="15.75" thickBot="1" x14ac:dyDescent="0.3">
      <c r="M38" s="55"/>
      <c r="N38" s="56"/>
      <c r="O38" s="55"/>
      <c r="P38" s="55"/>
      <c r="Q38" s="55"/>
      <c r="AC38" s="13">
        <v>3</v>
      </c>
      <c r="AD38" s="12" t="s">
        <v>0</v>
      </c>
      <c r="AE38" s="12">
        <v>30</v>
      </c>
      <c r="AF38" s="6"/>
      <c r="AG38" s="6"/>
      <c r="AH38" s="6">
        <v>30</v>
      </c>
      <c r="AI38" s="6">
        <f>AH38/AE38</f>
        <v>1</v>
      </c>
      <c r="AJ38" s="11"/>
      <c r="AK38" s="58"/>
      <c r="AL38" s="55"/>
      <c r="AM38" s="55"/>
      <c r="AN38" s="55"/>
      <c r="AO38" s="55"/>
    </row>
    <row r="39" spans="11:54" x14ac:dyDescent="0.25">
      <c r="M39" s="55"/>
      <c r="N39" s="56"/>
      <c r="O39" s="55"/>
      <c r="P39" s="55"/>
      <c r="Q39" s="55"/>
      <c r="AC39" s="37">
        <v>1</v>
      </c>
      <c r="AD39" s="36" t="s">
        <v>2</v>
      </c>
      <c r="AE39" s="36" t="s">
        <v>83</v>
      </c>
      <c r="AF39" s="35">
        <v>0.1</v>
      </c>
      <c r="AG39" s="35"/>
      <c r="AH39" s="35"/>
      <c r="AI39" s="35"/>
      <c r="AJ39" s="34"/>
      <c r="AK39" s="92" t="s">
        <v>82</v>
      </c>
      <c r="AL39" s="93"/>
      <c r="AM39" s="93"/>
      <c r="AN39" s="93"/>
      <c r="AO39" s="57"/>
    </row>
    <row r="40" spans="11:54" x14ac:dyDescent="0.25">
      <c r="M40" s="55"/>
      <c r="N40" s="56"/>
      <c r="O40" s="55"/>
      <c r="P40" s="55"/>
      <c r="Q40" s="55"/>
      <c r="AC40" s="5">
        <v>2</v>
      </c>
      <c r="AD40" s="4" t="s">
        <v>1</v>
      </c>
      <c r="AE40" s="4" t="s">
        <v>81</v>
      </c>
      <c r="AF40" s="3"/>
      <c r="AG40" s="3"/>
      <c r="AH40" s="3"/>
      <c r="AI40" s="3"/>
      <c r="AJ40" s="2"/>
      <c r="AK40" s="92"/>
      <c r="AL40" s="93"/>
      <c r="AM40" s="93"/>
      <c r="AN40" s="93"/>
      <c r="AO40" s="57"/>
    </row>
    <row r="41" spans="11:54" ht="15.75" thickBot="1" x14ac:dyDescent="0.3">
      <c r="M41" s="55"/>
      <c r="N41" s="56"/>
      <c r="O41" s="55"/>
      <c r="P41" s="55"/>
      <c r="Q41" s="55"/>
      <c r="AC41" s="13">
        <v>3</v>
      </c>
      <c r="AD41" s="12" t="s">
        <v>0</v>
      </c>
      <c r="AE41" s="12">
        <v>60</v>
      </c>
      <c r="AF41" s="6"/>
      <c r="AG41" s="6"/>
      <c r="AH41" s="6">
        <v>60</v>
      </c>
      <c r="AI41" s="6">
        <f>AH41/AE41</f>
        <v>1</v>
      </c>
      <c r="AJ41" s="11"/>
      <c r="AK41" s="92"/>
      <c r="AL41" s="93"/>
      <c r="AM41" s="93"/>
      <c r="AN41" s="93"/>
      <c r="AO41" s="57"/>
    </row>
    <row r="42" spans="11:54" x14ac:dyDescent="0.25">
      <c r="M42" s="55"/>
      <c r="N42" s="56"/>
      <c r="O42" s="55"/>
      <c r="P42" s="55"/>
      <c r="Q42" s="55"/>
    </row>
    <row r="43" spans="11:54" x14ac:dyDescent="0.25">
      <c r="M43" s="55"/>
      <c r="N43" s="56"/>
      <c r="O43" s="55"/>
      <c r="P43" s="55"/>
      <c r="Q43" s="55"/>
    </row>
    <row r="44" spans="11:54" x14ac:dyDescent="0.25">
      <c r="M44" s="55"/>
      <c r="N44" s="56"/>
      <c r="O44" s="55"/>
      <c r="P44" s="55"/>
      <c r="Q44" s="55"/>
    </row>
    <row r="45" spans="11:54" x14ac:dyDescent="0.25">
      <c r="M45" s="55"/>
      <c r="N45" s="56"/>
      <c r="O45" s="55"/>
      <c r="P45" s="55"/>
      <c r="Q45" s="55"/>
    </row>
    <row r="46" spans="11:54" x14ac:dyDescent="0.25">
      <c r="M46" s="55"/>
      <c r="N46" s="56"/>
      <c r="O46" s="55"/>
      <c r="P46" s="55"/>
      <c r="Q46" s="55"/>
    </row>
    <row r="47" spans="11:54" x14ac:dyDescent="0.25">
      <c r="M47" s="55"/>
      <c r="N47" s="56"/>
      <c r="O47" s="55"/>
      <c r="P47" s="55"/>
      <c r="Q47" s="55"/>
    </row>
    <row r="48" spans="11:54" x14ac:dyDescent="0.25">
      <c r="M48" s="55"/>
      <c r="N48" s="56"/>
      <c r="O48" s="55"/>
      <c r="P48" s="55"/>
      <c r="Q48" s="55"/>
    </row>
    <row r="49" spans="2:171" x14ac:dyDescent="0.25">
      <c r="M49" s="55"/>
      <c r="N49" s="56"/>
      <c r="O49" s="55"/>
      <c r="P49" s="55"/>
      <c r="Q49" s="55"/>
    </row>
    <row r="50" spans="2:171" x14ac:dyDescent="0.25">
      <c r="M50" s="55"/>
      <c r="N50" s="56"/>
      <c r="O50" s="55"/>
      <c r="P50" s="55"/>
      <c r="Q50" s="55"/>
    </row>
    <row r="51" spans="2:171" ht="19.5" thickBot="1" x14ac:dyDescent="0.35">
      <c r="AU51" s="94" t="s">
        <v>80</v>
      </c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</row>
    <row r="52" spans="2:171" x14ac:dyDescent="0.25">
      <c r="B52" s="88" t="s">
        <v>79</v>
      </c>
      <c r="C52" s="89"/>
      <c r="D52" s="89"/>
      <c r="E52" s="89"/>
      <c r="F52" s="89"/>
      <c r="G52" s="89"/>
      <c r="H52" s="89"/>
      <c r="I52" s="90"/>
      <c r="K52" s="88" t="s">
        <v>79</v>
      </c>
      <c r="L52" s="89"/>
      <c r="M52" s="89"/>
      <c r="N52" s="89"/>
      <c r="O52" s="89"/>
      <c r="P52" s="89"/>
      <c r="Q52" s="89"/>
      <c r="R52" s="90"/>
      <c r="T52" s="88" t="s">
        <v>79</v>
      </c>
      <c r="U52" s="89"/>
      <c r="V52" s="89"/>
      <c r="W52" s="89"/>
      <c r="X52" s="89"/>
      <c r="Y52" s="89"/>
      <c r="Z52" s="89"/>
      <c r="AA52" s="90"/>
      <c r="AC52" s="88" t="s">
        <v>79</v>
      </c>
      <c r="AD52" s="89"/>
      <c r="AE52" s="89"/>
      <c r="AF52" s="89"/>
      <c r="AG52" s="89"/>
      <c r="AH52" s="89"/>
      <c r="AI52" s="89"/>
      <c r="AJ52" s="90"/>
      <c r="AL52" s="88" t="s">
        <v>79</v>
      </c>
      <c r="AM52" s="89"/>
      <c r="AN52" s="89"/>
      <c r="AO52" s="89"/>
      <c r="AP52" s="89"/>
      <c r="AQ52" s="89"/>
      <c r="AR52" s="89"/>
      <c r="AS52" s="90"/>
      <c r="AU52" s="88" t="s">
        <v>79</v>
      </c>
      <c r="AV52" s="89"/>
      <c r="AW52" s="89"/>
      <c r="AX52" s="89"/>
      <c r="AY52" s="89"/>
      <c r="AZ52" s="89"/>
      <c r="BA52" s="89"/>
      <c r="BB52" s="90"/>
      <c r="BD52" s="88" t="s">
        <v>79</v>
      </c>
      <c r="BE52" s="89"/>
      <c r="BF52" s="89"/>
      <c r="BG52" s="89"/>
      <c r="BH52" s="89"/>
      <c r="BI52" s="89"/>
      <c r="BJ52" s="89"/>
      <c r="BK52" s="90"/>
      <c r="BM52" s="88" t="s">
        <v>79</v>
      </c>
      <c r="BN52" s="89"/>
      <c r="BO52" s="89"/>
      <c r="BP52" s="89"/>
      <c r="BQ52" s="89"/>
      <c r="BR52" s="89"/>
      <c r="BS52" s="89"/>
      <c r="BT52" s="90"/>
      <c r="BV52" s="88" t="s">
        <v>79</v>
      </c>
      <c r="BW52" s="89"/>
      <c r="BX52" s="89"/>
      <c r="BY52" s="89"/>
      <c r="BZ52" s="89"/>
      <c r="CA52" s="89"/>
      <c r="CB52" s="89"/>
      <c r="CC52" s="90"/>
      <c r="CE52" s="88" t="s">
        <v>79</v>
      </c>
      <c r="CF52" s="89"/>
      <c r="CG52" s="89"/>
      <c r="CH52" s="89"/>
      <c r="CI52" s="89"/>
      <c r="CJ52" s="89"/>
      <c r="CK52" s="89"/>
      <c r="CL52" s="90"/>
      <c r="CN52" s="88" t="s">
        <v>79</v>
      </c>
      <c r="CO52" s="89"/>
      <c r="CP52" s="89"/>
      <c r="CQ52" s="89"/>
      <c r="CR52" s="89"/>
      <c r="CS52" s="89"/>
      <c r="CT52" s="89"/>
      <c r="CU52" s="90"/>
      <c r="CV52" s="72"/>
      <c r="CW52" s="88" t="s">
        <v>79</v>
      </c>
      <c r="CX52" s="89"/>
      <c r="CY52" s="89"/>
      <c r="CZ52" s="89"/>
      <c r="DA52" s="89"/>
      <c r="DB52" s="89"/>
      <c r="DC52" s="89"/>
      <c r="DD52" s="90"/>
      <c r="DE52" s="72"/>
      <c r="DF52" s="88" t="s">
        <v>79</v>
      </c>
      <c r="DG52" s="89"/>
      <c r="DH52" s="89"/>
      <c r="DI52" s="89"/>
      <c r="DJ52" s="89"/>
      <c r="DK52" s="89"/>
      <c r="DL52" s="89"/>
      <c r="DM52" s="90"/>
      <c r="DN52" s="72"/>
      <c r="DO52" s="88" t="s">
        <v>79</v>
      </c>
      <c r="DP52" s="89"/>
      <c r="DQ52" s="89"/>
      <c r="DR52" s="89"/>
      <c r="DS52" s="89"/>
      <c r="DT52" s="89"/>
      <c r="DU52" s="89"/>
      <c r="DV52" s="90"/>
      <c r="DX52" s="88" t="s">
        <v>79</v>
      </c>
      <c r="DY52" s="89"/>
      <c r="DZ52" s="89"/>
      <c r="EA52" s="89"/>
      <c r="EB52" s="89"/>
      <c r="EC52" s="89"/>
      <c r="ED52" s="89"/>
      <c r="EE52" s="90"/>
      <c r="EG52" s="88" t="s">
        <v>79</v>
      </c>
      <c r="EH52" s="89"/>
      <c r="EI52" s="89"/>
      <c r="EJ52" s="89"/>
      <c r="EK52" s="89"/>
      <c r="EL52" s="89"/>
      <c r="EM52" s="89"/>
      <c r="EN52" s="90"/>
      <c r="EO52" s="72"/>
      <c r="EP52" s="88" t="s">
        <v>79</v>
      </c>
      <c r="EQ52" s="89"/>
      <c r="ER52" s="89"/>
      <c r="ES52" s="89"/>
      <c r="ET52" s="89"/>
      <c r="EU52" s="89"/>
      <c r="EV52" s="89"/>
      <c r="EW52" s="90"/>
      <c r="EY52" s="88" t="s">
        <v>79</v>
      </c>
      <c r="EZ52" s="89"/>
      <c r="FA52" s="89"/>
      <c r="FB52" s="89"/>
      <c r="FC52" s="89"/>
      <c r="FD52" s="89"/>
      <c r="FE52" s="89"/>
      <c r="FF52" s="90"/>
      <c r="FH52" s="88" t="s">
        <v>79</v>
      </c>
      <c r="FI52" s="89"/>
      <c r="FJ52" s="89"/>
      <c r="FK52" s="89"/>
      <c r="FL52" s="89"/>
      <c r="FM52" s="89"/>
      <c r="FN52" s="89"/>
      <c r="FO52" s="90"/>
    </row>
    <row r="53" spans="2:171" ht="15.75" thickBot="1" x14ac:dyDescent="0.3">
      <c r="B53" s="85" t="s">
        <v>78</v>
      </c>
      <c r="C53" s="86"/>
      <c r="D53" s="86"/>
      <c r="E53" s="86"/>
      <c r="F53" s="86"/>
      <c r="G53" s="86"/>
      <c r="H53" s="86"/>
      <c r="I53" s="87"/>
      <c r="K53" s="85" t="s">
        <v>78</v>
      </c>
      <c r="L53" s="86"/>
      <c r="M53" s="86"/>
      <c r="N53" s="86"/>
      <c r="O53" s="86"/>
      <c r="P53" s="86"/>
      <c r="Q53" s="86"/>
      <c r="R53" s="87"/>
      <c r="T53" s="85" t="s">
        <v>78</v>
      </c>
      <c r="U53" s="86"/>
      <c r="V53" s="86"/>
      <c r="W53" s="86"/>
      <c r="X53" s="86"/>
      <c r="Y53" s="86"/>
      <c r="Z53" s="86"/>
      <c r="AA53" s="87"/>
      <c r="AC53" s="85" t="s">
        <v>78</v>
      </c>
      <c r="AD53" s="86"/>
      <c r="AE53" s="86"/>
      <c r="AF53" s="86"/>
      <c r="AG53" s="86"/>
      <c r="AH53" s="86"/>
      <c r="AI53" s="86"/>
      <c r="AJ53" s="87"/>
      <c r="AL53" s="85" t="s">
        <v>78</v>
      </c>
      <c r="AM53" s="86"/>
      <c r="AN53" s="86"/>
      <c r="AO53" s="86"/>
      <c r="AP53" s="86"/>
      <c r="AQ53" s="86"/>
      <c r="AR53" s="86"/>
      <c r="AS53" s="87"/>
      <c r="AU53" s="85" t="s">
        <v>78</v>
      </c>
      <c r="AV53" s="86"/>
      <c r="AW53" s="86"/>
      <c r="AX53" s="86"/>
      <c r="AY53" s="86"/>
      <c r="AZ53" s="86"/>
      <c r="BA53" s="86"/>
      <c r="BB53" s="87"/>
      <c r="BD53" s="85" t="s">
        <v>78</v>
      </c>
      <c r="BE53" s="86"/>
      <c r="BF53" s="86"/>
      <c r="BG53" s="86"/>
      <c r="BH53" s="86"/>
      <c r="BI53" s="86"/>
      <c r="BJ53" s="86"/>
      <c r="BK53" s="87"/>
      <c r="BM53" s="85" t="s">
        <v>78</v>
      </c>
      <c r="BN53" s="86"/>
      <c r="BO53" s="86"/>
      <c r="BP53" s="86"/>
      <c r="BQ53" s="86"/>
      <c r="BR53" s="86"/>
      <c r="BS53" s="86"/>
      <c r="BT53" s="87"/>
      <c r="BV53" s="85" t="s">
        <v>78</v>
      </c>
      <c r="BW53" s="86"/>
      <c r="BX53" s="86"/>
      <c r="BY53" s="86"/>
      <c r="BZ53" s="86"/>
      <c r="CA53" s="86"/>
      <c r="CB53" s="86"/>
      <c r="CC53" s="87"/>
      <c r="CE53" s="85" t="s">
        <v>78</v>
      </c>
      <c r="CF53" s="86"/>
      <c r="CG53" s="86"/>
      <c r="CH53" s="86"/>
      <c r="CI53" s="86"/>
      <c r="CJ53" s="86"/>
      <c r="CK53" s="86"/>
      <c r="CL53" s="87"/>
      <c r="CN53" s="85" t="s">
        <v>78</v>
      </c>
      <c r="CO53" s="86"/>
      <c r="CP53" s="86"/>
      <c r="CQ53" s="86"/>
      <c r="CR53" s="86"/>
      <c r="CS53" s="86"/>
      <c r="CT53" s="86"/>
      <c r="CU53" s="87"/>
      <c r="CV53" s="73"/>
      <c r="CW53" s="85" t="s">
        <v>78</v>
      </c>
      <c r="CX53" s="86"/>
      <c r="CY53" s="86"/>
      <c r="CZ53" s="86"/>
      <c r="DA53" s="86"/>
      <c r="DB53" s="86"/>
      <c r="DC53" s="86"/>
      <c r="DD53" s="87"/>
      <c r="DE53" s="73"/>
      <c r="DF53" s="85" t="s">
        <v>78</v>
      </c>
      <c r="DG53" s="86"/>
      <c r="DH53" s="86"/>
      <c r="DI53" s="86"/>
      <c r="DJ53" s="86"/>
      <c r="DK53" s="86"/>
      <c r="DL53" s="86"/>
      <c r="DM53" s="87"/>
      <c r="DN53" s="73"/>
      <c r="DO53" s="85" t="s">
        <v>78</v>
      </c>
      <c r="DP53" s="86"/>
      <c r="DQ53" s="86"/>
      <c r="DR53" s="86"/>
      <c r="DS53" s="86"/>
      <c r="DT53" s="86"/>
      <c r="DU53" s="86"/>
      <c r="DV53" s="87"/>
      <c r="DX53" s="85" t="s">
        <v>78</v>
      </c>
      <c r="DY53" s="86"/>
      <c r="DZ53" s="86"/>
      <c r="EA53" s="86"/>
      <c r="EB53" s="86"/>
      <c r="EC53" s="86"/>
      <c r="ED53" s="86"/>
      <c r="EE53" s="87"/>
      <c r="EG53" s="85" t="s">
        <v>78</v>
      </c>
      <c r="EH53" s="86"/>
      <c r="EI53" s="86"/>
      <c r="EJ53" s="86"/>
      <c r="EK53" s="86"/>
      <c r="EL53" s="86"/>
      <c r="EM53" s="86"/>
      <c r="EN53" s="87"/>
      <c r="EO53" s="73"/>
      <c r="EP53" s="85" t="s">
        <v>78</v>
      </c>
      <c r="EQ53" s="86"/>
      <c r="ER53" s="86"/>
      <c r="ES53" s="86"/>
      <c r="ET53" s="86"/>
      <c r="EU53" s="86"/>
      <c r="EV53" s="86"/>
      <c r="EW53" s="87"/>
      <c r="EY53" s="85" t="s">
        <v>78</v>
      </c>
      <c r="EZ53" s="86"/>
      <c r="FA53" s="86"/>
      <c r="FB53" s="86"/>
      <c r="FC53" s="86"/>
      <c r="FD53" s="86"/>
      <c r="FE53" s="86"/>
      <c r="FF53" s="87"/>
      <c r="FH53" s="85" t="s">
        <v>78</v>
      </c>
      <c r="FI53" s="86"/>
      <c r="FJ53" s="86"/>
      <c r="FK53" s="86"/>
      <c r="FL53" s="86"/>
      <c r="FM53" s="86"/>
      <c r="FN53" s="86"/>
      <c r="FO53" s="87"/>
    </row>
    <row r="54" spans="2:171" s="51" customFormat="1" ht="15.75" thickBot="1" x14ac:dyDescent="0.3">
      <c r="B54" s="54" t="s">
        <v>77</v>
      </c>
      <c r="C54" s="53"/>
      <c r="D54" s="53"/>
      <c r="E54" s="53"/>
      <c r="F54" s="53"/>
      <c r="G54" s="53"/>
      <c r="H54" s="53"/>
      <c r="I54" s="52"/>
      <c r="K54" s="54" t="s">
        <v>76</v>
      </c>
      <c r="L54" s="53"/>
      <c r="M54" s="53"/>
      <c r="N54" s="53"/>
      <c r="O54" s="53"/>
      <c r="P54" s="53"/>
      <c r="Q54" s="53"/>
      <c r="R54" s="52"/>
      <c r="T54" s="54" t="s">
        <v>75</v>
      </c>
      <c r="U54" s="53"/>
      <c r="V54" s="53"/>
      <c r="W54" s="53"/>
      <c r="X54" s="53"/>
      <c r="Y54" s="53"/>
      <c r="Z54" s="53"/>
      <c r="AA54" s="52"/>
      <c r="AC54" s="54" t="s">
        <v>74</v>
      </c>
      <c r="AD54" s="53"/>
      <c r="AE54" s="53"/>
      <c r="AF54" s="53"/>
      <c r="AG54" s="53"/>
      <c r="AH54" s="53"/>
      <c r="AI54" s="53"/>
      <c r="AJ54" s="52"/>
      <c r="AL54" s="54" t="s">
        <v>73</v>
      </c>
      <c r="AM54" s="53"/>
      <c r="AN54" s="53"/>
      <c r="AO54" s="53"/>
      <c r="AP54" s="53"/>
      <c r="AQ54" s="53"/>
      <c r="AR54" s="53"/>
      <c r="AS54" s="52"/>
      <c r="AU54" s="54" t="s">
        <v>72</v>
      </c>
      <c r="AV54" s="53"/>
      <c r="AW54" s="53"/>
      <c r="AX54" s="53"/>
      <c r="AY54" s="53"/>
      <c r="AZ54" s="53"/>
      <c r="BA54" s="53"/>
      <c r="BB54" s="52"/>
      <c r="BD54" s="54" t="s">
        <v>71</v>
      </c>
      <c r="BE54" s="53"/>
      <c r="BF54" s="53"/>
      <c r="BG54" s="53"/>
      <c r="BH54" s="53"/>
      <c r="BI54" s="53"/>
      <c r="BJ54" s="53"/>
      <c r="BK54" s="52"/>
      <c r="BM54" s="54" t="s">
        <v>153</v>
      </c>
      <c r="BN54" s="53"/>
      <c r="BO54" s="53"/>
      <c r="BP54" s="53"/>
      <c r="BQ54" s="53"/>
      <c r="BR54" s="53"/>
      <c r="BS54" s="53"/>
      <c r="BT54" s="52"/>
      <c r="BV54" s="54" t="s">
        <v>161</v>
      </c>
      <c r="BW54" s="53"/>
      <c r="BX54" s="53"/>
      <c r="BY54" s="53"/>
      <c r="BZ54" s="53"/>
      <c r="CA54" s="53"/>
      <c r="CB54" s="53"/>
      <c r="CC54" s="52"/>
      <c r="CE54" s="54" t="s">
        <v>166</v>
      </c>
      <c r="CF54" s="53"/>
      <c r="CG54" s="53"/>
      <c r="CH54" s="53"/>
      <c r="CI54" s="53"/>
      <c r="CJ54" s="53"/>
      <c r="CK54" s="53"/>
      <c r="CL54" s="52"/>
      <c r="CN54" s="54" t="s">
        <v>70</v>
      </c>
      <c r="CO54" s="53"/>
      <c r="CP54" s="53"/>
      <c r="CQ54" s="53"/>
      <c r="CR54" s="53"/>
      <c r="CS54" s="53"/>
      <c r="CT54" s="53"/>
      <c r="CU54" s="52"/>
      <c r="CV54" s="72"/>
      <c r="CW54" s="54" t="s">
        <v>180</v>
      </c>
      <c r="CX54" s="53"/>
      <c r="CY54" s="53"/>
      <c r="CZ54" s="53"/>
      <c r="DA54" s="53"/>
      <c r="DB54" s="53"/>
      <c r="DC54" s="53"/>
      <c r="DD54" s="52"/>
      <c r="DE54" s="72"/>
      <c r="DF54" s="54" t="s">
        <v>188</v>
      </c>
      <c r="DG54" s="53"/>
      <c r="DH54" s="53"/>
      <c r="DI54" s="53"/>
      <c r="DJ54" s="53"/>
      <c r="DK54" s="53"/>
      <c r="DL54" s="53"/>
      <c r="DM54" s="52"/>
      <c r="DN54" s="72"/>
      <c r="DO54" s="54" t="s">
        <v>221</v>
      </c>
      <c r="DP54" s="53"/>
      <c r="DQ54" s="53"/>
      <c r="DR54" s="53"/>
      <c r="DS54" s="53"/>
      <c r="DT54" s="53"/>
      <c r="DU54" s="53"/>
      <c r="DV54" s="52"/>
      <c r="DX54" s="54" t="s">
        <v>69</v>
      </c>
      <c r="DY54" s="53"/>
      <c r="DZ54" s="53"/>
      <c r="EA54" s="53"/>
      <c r="EB54" s="53"/>
      <c r="EC54" s="53"/>
      <c r="ED54" s="53"/>
      <c r="EE54" s="52"/>
      <c r="EG54" s="54" t="s">
        <v>68</v>
      </c>
      <c r="EH54" s="53"/>
      <c r="EI54" s="53"/>
      <c r="EJ54" s="53"/>
      <c r="EK54" s="53"/>
      <c r="EL54" s="53"/>
      <c r="EM54" s="53"/>
      <c r="EN54" s="52"/>
      <c r="EO54" s="72"/>
      <c r="EP54" s="54" t="s">
        <v>208</v>
      </c>
      <c r="EQ54" s="53"/>
      <c r="ER54" s="53"/>
      <c r="ES54" s="53"/>
      <c r="ET54" s="53"/>
      <c r="EU54" s="53"/>
      <c r="EV54" s="53"/>
      <c r="EW54" s="52"/>
      <c r="EY54" s="54" t="s">
        <v>222</v>
      </c>
      <c r="EZ54" s="53"/>
      <c r="FA54" s="53"/>
      <c r="FB54" s="53"/>
      <c r="FC54" s="53"/>
      <c r="FD54" s="53"/>
      <c r="FE54" s="53"/>
      <c r="FF54" s="52"/>
      <c r="FH54" s="54" t="s">
        <v>207</v>
      </c>
      <c r="FI54" s="53"/>
      <c r="FJ54" s="53"/>
      <c r="FK54" s="53"/>
      <c r="FL54" s="53"/>
      <c r="FM54" s="53"/>
      <c r="FN54" s="53"/>
      <c r="FO54" s="52"/>
    </row>
    <row r="55" spans="2:171" s="51" customFormat="1" ht="15.75" thickBot="1" x14ac:dyDescent="0.3">
      <c r="B55" s="78" t="s">
        <v>66</v>
      </c>
      <c r="C55" s="79"/>
      <c r="D55" s="79"/>
      <c r="E55" s="79"/>
      <c r="F55" s="79"/>
      <c r="G55" s="79"/>
      <c r="H55" s="79"/>
      <c r="I55" s="80"/>
      <c r="K55" s="78" t="s">
        <v>66</v>
      </c>
      <c r="L55" s="79"/>
      <c r="M55" s="79"/>
      <c r="N55" s="79"/>
      <c r="O55" s="79"/>
      <c r="P55" s="79"/>
      <c r="Q55" s="79"/>
      <c r="R55" s="80"/>
      <c r="T55" s="81" t="s">
        <v>66</v>
      </c>
      <c r="U55" s="82"/>
      <c r="V55" s="82"/>
      <c r="W55" s="83"/>
      <c r="X55" s="83"/>
      <c r="Y55" s="83"/>
      <c r="Z55" s="83"/>
      <c r="AA55" s="84"/>
      <c r="AC55" s="78" t="s">
        <v>66</v>
      </c>
      <c r="AD55" s="79"/>
      <c r="AE55" s="79"/>
      <c r="AF55" s="79"/>
      <c r="AG55" s="79"/>
      <c r="AH55" s="79"/>
      <c r="AI55" s="79"/>
      <c r="AJ55" s="80"/>
      <c r="AL55" s="81" t="s">
        <v>66</v>
      </c>
      <c r="AM55" s="82"/>
      <c r="AN55" s="82"/>
      <c r="AO55" s="83"/>
      <c r="AP55" s="83"/>
      <c r="AQ55" s="83"/>
      <c r="AR55" s="83"/>
      <c r="AS55" s="84"/>
      <c r="AU55" s="81" t="s">
        <v>66</v>
      </c>
      <c r="AV55" s="82"/>
      <c r="AW55" s="82"/>
      <c r="AX55" s="83"/>
      <c r="AY55" s="83"/>
      <c r="AZ55" s="83"/>
      <c r="BA55" s="83"/>
      <c r="BB55" s="84"/>
      <c r="BD55" s="78" t="s">
        <v>66</v>
      </c>
      <c r="BE55" s="79"/>
      <c r="BF55" s="79"/>
      <c r="BG55" s="79"/>
      <c r="BH55" s="79"/>
      <c r="BI55" s="79"/>
      <c r="BJ55" s="79"/>
      <c r="BK55" s="80"/>
      <c r="BM55" s="81" t="s">
        <v>66</v>
      </c>
      <c r="BN55" s="82"/>
      <c r="BO55" s="82"/>
      <c r="BP55" s="83"/>
      <c r="BQ55" s="83"/>
      <c r="BR55" s="83"/>
      <c r="BS55" s="83"/>
      <c r="BT55" s="84"/>
      <c r="BV55" s="81" t="s">
        <v>66</v>
      </c>
      <c r="BW55" s="82"/>
      <c r="BX55" s="82"/>
      <c r="BY55" s="83"/>
      <c r="BZ55" s="83"/>
      <c r="CA55" s="83"/>
      <c r="CB55" s="83"/>
      <c r="CC55" s="84"/>
      <c r="CE55" s="81" t="s">
        <v>66</v>
      </c>
      <c r="CF55" s="82"/>
      <c r="CG55" s="82"/>
      <c r="CH55" s="83"/>
      <c r="CI55" s="83"/>
      <c r="CJ55" s="83"/>
      <c r="CK55" s="83"/>
      <c r="CL55" s="84"/>
      <c r="CN55" s="81" t="s">
        <v>66</v>
      </c>
      <c r="CO55" s="82"/>
      <c r="CP55" s="82"/>
      <c r="CQ55" s="83"/>
      <c r="CR55" s="83"/>
      <c r="CS55" s="83"/>
      <c r="CT55" s="83"/>
      <c r="CU55" s="84"/>
      <c r="CV55" s="74"/>
      <c r="CW55" s="81" t="s">
        <v>66</v>
      </c>
      <c r="CX55" s="82"/>
      <c r="CY55" s="82"/>
      <c r="CZ55" s="83"/>
      <c r="DA55" s="83"/>
      <c r="DB55" s="83"/>
      <c r="DC55" s="83"/>
      <c r="DD55" s="84"/>
      <c r="DE55" s="74"/>
      <c r="DF55" s="81" t="s">
        <v>66</v>
      </c>
      <c r="DG55" s="82"/>
      <c r="DH55" s="82"/>
      <c r="DI55" s="83"/>
      <c r="DJ55" s="83"/>
      <c r="DK55" s="83"/>
      <c r="DL55" s="83"/>
      <c r="DM55" s="84"/>
      <c r="DN55" s="74"/>
      <c r="DO55" s="81" t="s">
        <v>66</v>
      </c>
      <c r="DP55" s="82"/>
      <c r="DQ55" s="82"/>
      <c r="DR55" s="83"/>
      <c r="DS55" s="83"/>
      <c r="DT55" s="83"/>
      <c r="DU55" s="83"/>
      <c r="DV55" s="84"/>
      <c r="DX55" s="81" t="s">
        <v>66</v>
      </c>
      <c r="DY55" s="82"/>
      <c r="DZ55" s="82"/>
      <c r="EA55" s="83"/>
      <c r="EB55" s="83"/>
      <c r="EC55" s="83"/>
      <c r="ED55" s="83"/>
      <c r="EE55" s="84"/>
      <c r="EG55" s="81" t="s">
        <v>66</v>
      </c>
      <c r="EH55" s="82"/>
      <c r="EI55" s="82"/>
      <c r="EJ55" s="83"/>
      <c r="EK55" s="83"/>
      <c r="EL55" s="83"/>
      <c r="EM55" s="83"/>
      <c r="EN55" s="84"/>
      <c r="EO55" s="74"/>
      <c r="EP55" s="81" t="s">
        <v>66</v>
      </c>
      <c r="EQ55" s="82"/>
      <c r="ER55" s="82"/>
      <c r="ES55" s="83"/>
      <c r="ET55" s="83"/>
      <c r="EU55" s="83"/>
      <c r="EV55" s="83"/>
      <c r="EW55" s="84"/>
      <c r="EY55" s="81"/>
      <c r="EZ55" s="82"/>
      <c r="FA55" s="82"/>
      <c r="FB55" s="83"/>
      <c r="FC55" s="83"/>
      <c r="FD55" s="83"/>
      <c r="FE55" s="83"/>
      <c r="FF55" s="84"/>
      <c r="FH55" s="81"/>
      <c r="FI55" s="82"/>
      <c r="FJ55" s="82"/>
      <c r="FK55" s="83"/>
      <c r="FL55" s="83"/>
      <c r="FM55" s="83"/>
      <c r="FN55" s="83"/>
      <c r="FO55" s="84"/>
    </row>
    <row r="56" spans="2:171" ht="15.75" thickBot="1" x14ac:dyDescent="0.3">
      <c r="B56" s="17" t="s">
        <v>65</v>
      </c>
      <c r="C56" s="16" t="s">
        <v>64</v>
      </c>
      <c r="D56" s="16" t="s">
        <v>63</v>
      </c>
      <c r="E56" s="15" t="s">
        <v>62</v>
      </c>
      <c r="F56" s="15" t="s">
        <v>61</v>
      </c>
      <c r="G56" s="15" t="s">
        <v>60</v>
      </c>
      <c r="H56" s="15" t="s">
        <v>59</v>
      </c>
      <c r="I56" s="14" t="s">
        <v>58</v>
      </c>
      <c r="K56" s="17" t="s">
        <v>65</v>
      </c>
      <c r="L56" s="16" t="s">
        <v>64</v>
      </c>
      <c r="M56" s="16" t="s">
        <v>63</v>
      </c>
      <c r="N56" s="15" t="s">
        <v>62</v>
      </c>
      <c r="O56" s="15" t="s">
        <v>61</v>
      </c>
      <c r="P56" s="15" t="s">
        <v>60</v>
      </c>
      <c r="Q56" s="15" t="s">
        <v>59</v>
      </c>
      <c r="R56" s="14" t="s">
        <v>58</v>
      </c>
      <c r="T56" s="17" t="s">
        <v>65</v>
      </c>
      <c r="U56" s="16" t="s">
        <v>64</v>
      </c>
      <c r="V56" s="16" t="s">
        <v>63</v>
      </c>
      <c r="W56" s="15" t="s">
        <v>62</v>
      </c>
      <c r="X56" s="15" t="s">
        <v>61</v>
      </c>
      <c r="Y56" s="15" t="s">
        <v>60</v>
      </c>
      <c r="Z56" s="15" t="s">
        <v>59</v>
      </c>
      <c r="AA56" s="14" t="s">
        <v>58</v>
      </c>
      <c r="AC56" s="17" t="s">
        <v>65</v>
      </c>
      <c r="AD56" s="16" t="s">
        <v>64</v>
      </c>
      <c r="AE56" s="16" t="s">
        <v>63</v>
      </c>
      <c r="AF56" s="15" t="s">
        <v>62</v>
      </c>
      <c r="AG56" s="15" t="s">
        <v>61</v>
      </c>
      <c r="AH56" s="15" t="s">
        <v>60</v>
      </c>
      <c r="AI56" s="15" t="s">
        <v>59</v>
      </c>
      <c r="AJ56" s="14" t="s">
        <v>58</v>
      </c>
      <c r="AL56" s="17" t="s">
        <v>65</v>
      </c>
      <c r="AM56" s="16" t="s">
        <v>64</v>
      </c>
      <c r="AN56" s="16" t="s">
        <v>63</v>
      </c>
      <c r="AO56" s="15" t="s">
        <v>62</v>
      </c>
      <c r="AP56" s="15" t="s">
        <v>61</v>
      </c>
      <c r="AQ56" s="15" t="s">
        <v>60</v>
      </c>
      <c r="AR56" s="15" t="s">
        <v>59</v>
      </c>
      <c r="AS56" s="14" t="s">
        <v>58</v>
      </c>
      <c r="AU56" s="17" t="s">
        <v>65</v>
      </c>
      <c r="AV56" s="16" t="s">
        <v>64</v>
      </c>
      <c r="AW56" s="16" t="s">
        <v>63</v>
      </c>
      <c r="AX56" s="15" t="s">
        <v>62</v>
      </c>
      <c r="AY56" s="15" t="s">
        <v>61</v>
      </c>
      <c r="AZ56" s="15" t="s">
        <v>60</v>
      </c>
      <c r="BA56" s="15" t="s">
        <v>59</v>
      </c>
      <c r="BB56" s="14" t="s">
        <v>58</v>
      </c>
      <c r="BD56" s="17" t="s">
        <v>65</v>
      </c>
      <c r="BE56" s="16" t="s">
        <v>64</v>
      </c>
      <c r="BF56" s="16" t="s">
        <v>63</v>
      </c>
      <c r="BG56" s="15" t="s">
        <v>62</v>
      </c>
      <c r="BH56" s="15" t="s">
        <v>61</v>
      </c>
      <c r="BI56" s="15" t="s">
        <v>60</v>
      </c>
      <c r="BJ56" s="15" t="s">
        <v>59</v>
      </c>
      <c r="BK56" s="14" t="s">
        <v>58</v>
      </c>
      <c r="BM56" s="17" t="s">
        <v>65</v>
      </c>
      <c r="BN56" s="16" t="s">
        <v>64</v>
      </c>
      <c r="BO56" s="16" t="s">
        <v>63</v>
      </c>
      <c r="BP56" s="15" t="s">
        <v>62</v>
      </c>
      <c r="BQ56" s="15" t="s">
        <v>61</v>
      </c>
      <c r="BR56" s="15" t="s">
        <v>60</v>
      </c>
      <c r="BS56" s="15" t="s">
        <v>59</v>
      </c>
      <c r="BT56" s="14" t="s">
        <v>58</v>
      </c>
      <c r="BV56" s="17" t="s">
        <v>65</v>
      </c>
      <c r="BW56" s="16" t="s">
        <v>64</v>
      </c>
      <c r="BX56" s="16" t="s">
        <v>63</v>
      </c>
      <c r="BY56" s="15" t="s">
        <v>62</v>
      </c>
      <c r="BZ56" s="15" t="s">
        <v>61</v>
      </c>
      <c r="CA56" s="15" t="s">
        <v>60</v>
      </c>
      <c r="CB56" s="15" t="s">
        <v>59</v>
      </c>
      <c r="CC56" s="14" t="s">
        <v>58</v>
      </c>
      <c r="CE56" s="17" t="s">
        <v>65</v>
      </c>
      <c r="CF56" s="16" t="s">
        <v>64</v>
      </c>
      <c r="CG56" s="16" t="s">
        <v>63</v>
      </c>
      <c r="CH56" s="15" t="s">
        <v>62</v>
      </c>
      <c r="CI56" s="15" t="s">
        <v>61</v>
      </c>
      <c r="CJ56" s="15" t="s">
        <v>60</v>
      </c>
      <c r="CK56" s="15" t="s">
        <v>59</v>
      </c>
      <c r="CL56" s="14" t="s">
        <v>58</v>
      </c>
      <c r="CN56" s="17" t="s">
        <v>65</v>
      </c>
      <c r="CO56" s="16" t="s">
        <v>64</v>
      </c>
      <c r="CP56" s="16" t="s">
        <v>63</v>
      </c>
      <c r="CQ56" s="15" t="s">
        <v>62</v>
      </c>
      <c r="CR56" s="15" t="s">
        <v>61</v>
      </c>
      <c r="CS56" s="15" t="s">
        <v>60</v>
      </c>
      <c r="CT56" s="15" t="s">
        <v>59</v>
      </c>
      <c r="CU56" s="14" t="s">
        <v>58</v>
      </c>
      <c r="CV56" s="75"/>
      <c r="CW56" s="17" t="s">
        <v>65</v>
      </c>
      <c r="CX56" s="16" t="s">
        <v>64</v>
      </c>
      <c r="CY56" s="16" t="s">
        <v>63</v>
      </c>
      <c r="CZ56" s="15" t="s">
        <v>62</v>
      </c>
      <c r="DA56" s="15" t="s">
        <v>61</v>
      </c>
      <c r="DB56" s="15" t="s">
        <v>60</v>
      </c>
      <c r="DC56" s="15" t="s">
        <v>59</v>
      </c>
      <c r="DD56" s="14" t="s">
        <v>58</v>
      </c>
      <c r="DE56" s="75"/>
      <c r="DF56" s="17" t="s">
        <v>65</v>
      </c>
      <c r="DG56" s="16" t="s">
        <v>64</v>
      </c>
      <c r="DH56" s="16" t="s">
        <v>63</v>
      </c>
      <c r="DI56" s="15" t="s">
        <v>62</v>
      </c>
      <c r="DJ56" s="15" t="s">
        <v>61</v>
      </c>
      <c r="DK56" s="15" t="s">
        <v>60</v>
      </c>
      <c r="DL56" s="15" t="s">
        <v>59</v>
      </c>
      <c r="DM56" s="14" t="s">
        <v>58</v>
      </c>
      <c r="DN56" s="75"/>
      <c r="DO56" s="17" t="s">
        <v>65</v>
      </c>
      <c r="DP56" s="16" t="s">
        <v>64</v>
      </c>
      <c r="DQ56" s="16" t="s">
        <v>63</v>
      </c>
      <c r="DR56" s="15" t="s">
        <v>62</v>
      </c>
      <c r="DS56" s="15" t="s">
        <v>61</v>
      </c>
      <c r="DT56" s="15" t="s">
        <v>60</v>
      </c>
      <c r="DU56" s="15" t="s">
        <v>59</v>
      </c>
      <c r="DV56" s="14" t="s">
        <v>58</v>
      </c>
      <c r="DX56" s="17" t="s">
        <v>65</v>
      </c>
      <c r="DY56" s="16" t="s">
        <v>64</v>
      </c>
      <c r="DZ56" s="16" t="s">
        <v>63</v>
      </c>
      <c r="EA56" s="15" t="s">
        <v>62</v>
      </c>
      <c r="EB56" s="15" t="s">
        <v>61</v>
      </c>
      <c r="EC56" s="15" t="s">
        <v>60</v>
      </c>
      <c r="ED56" s="15" t="s">
        <v>59</v>
      </c>
      <c r="EE56" s="14" t="s">
        <v>58</v>
      </c>
      <c r="EG56" s="17" t="s">
        <v>65</v>
      </c>
      <c r="EH56" s="16" t="s">
        <v>64</v>
      </c>
      <c r="EI56" s="16" t="s">
        <v>63</v>
      </c>
      <c r="EJ56" s="15" t="s">
        <v>62</v>
      </c>
      <c r="EK56" s="15" t="s">
        <v>61</v>
      </c>
      <c r="EL56" s="15" t="s">
        <v>60</v>
      </c>
      <c r="EM56" s="15" t="s">
        <v>59</v>
      </c>
      <c r="EN56" s="14" t="s">
        <v>58</v>
      </c>
      <c r="EO56" s="75"/>
      <c r="EP56" s="17" t="s">
        <v>65</v>
      </c>
      <c r="EQ56" s="16" t="s">
        <v>64</v>
      </c>
      <c r="ER56" s="16" t="s">
        <v>63</v>
      </c>
      <c r="ES56" s="15" t="s">
        <v>62</v>
      </c>
      <c r="ET56" s="15" t="s">
        <v>61</v>
      </c>
      <c r="EU56" s="15" t="s">
        <v>60</v>
      </c>
      <c r="EV56" s="15" t="s">
        <v>59</v>
      </c>
      <c r="EW56" s="14" t="s">
        <v>58</v>
      </c>
      <c r="EY56" s="17" t="s">
        <v>65</v>
      </c>
      <c r="EZ56" s="16" t="s">
        <v>64</v>
      </c>
      <c r="FA56" s="16" t="s">
        <v>63</v>
      </c>
      <c r="FB56" s="15" t="s">
        <v>62</v>
      </c>
      <c r="FC56" s="15" t="s">
        <v>61</v>
      </c>
      <c r="FD56" s="15" t="s">
        <v>60</v>
      </c>
      <c r="FE56" s="15" t="s">
        <v>59</v>
      </c>
      <c r="FF56" s="14" t="s">
        <v>58</v>
      </c>
      <c r="FH56" s="17" t="s">
        <v>65</v>
      </c>
      <c r="FI56" s="16" t="s">
        <v>64</v>
      </c>
      <c r="FJ56" s="16" t="s">
        <v>63</v>
      </c>
      <c r="FK56" s="15" t="s">
        <v>62</v>
      </c>
      <c r="FL56" s="15" t="s">
        <v>61</v>
      </c>
      <c r="FM56" s="15" t="s">
        <v>60</v>
      </c>
      <c r="FN56" s="15" t="s">
        <v>59</v>
      </c>
      <c r="FO56" s="14" t="s">
        <v>58</v>
      </c>
    </row>
    <row r="57" spans="2:171" ht="15.75" thickBot="1" x14ac:dyDescent="0.3">
      <c r="B57" s="50" t="s">
        <v>57</v>
      </c>
      <c r="C57" s="49" t="s">
        <v>56</v>
      </c>
      <c r="D57" s="49"/>
      <c r="E57" s="48"/>
      <c r="F57" s="48"/>
      <c r="G57" s="48"/>
      <c r="H57" s="48"/>
      <c r="I57" s="47"/>
      <c r="K57" s="50" t="s">
        <v>57</v>
      </c>
      <c r="L57" s="49" t="s">
        <v>56</v>
      </c>
      <c r="M57" s="49"/>
      <c r="N57" s="48"/>
      <c r="O57" s="48"/>
      <c r="P57" s="48"/>
      <c r="Q57" s="48"/>
      <c r="R57" s="47"/>
      <c r="T57" s="50" t="s">
        <v>57</v>
      </c>
      <c r="U57" s="49" t="s">
        <v>56</v>
      </c>
      <c r="V57" s="49"/>
      <c r="W57" s="48"/>
      <c r="X57" s="48"/>
      <c r="Y57" s="48"/>
      <c r="Z57" s="48"/>
      <c r="AA57" s="47"/>
      <c r="AC57" s="50" t="s">
        <v>57</v>
      </c>
      <c r="AD57" s="49" t="s">
        <v>56</v>
      </c>
      <c r="AE57" s="49"/>
      <c r="AF57" s="48"/>
      <c r="AG57" s="48"/>
      <c r="AH57" s="48"/>
      <c r="AI57" s="48"/>
      <c r="AJ57" s="47"/>
      <c r="AL57" s="50" t="s">
        <v>57</v>
      </c>
      <c r="AM57" s="49" t="s">
        <v>56</v>
      </c>
      <c r="AN57" s="49"/>
      <c r="AO57" s="48"/>
      <c r="AP57" s="48"/>
      <c r="AQ57" s="48"/>
      <c r="AR57" s="48"/>
      <c r="AS57" s="47"/>
      <c r="AU57" s="50" t="s">
        <v>57</v>
      </c>
      <c r="AV57" s="49" t="s">
        <v>56</v>
      </c>
      <c r="AW57" s="49"/>
      <c r="AX57" s="48"/>
      <c r="AY57" s="48"/>
      <c r="AZ57" s="48"/>
      <c r="BA57" s="48"/>
      <c r="BB57" s="47"/>
      <c r="BD57" s="50" t="s">
        <v>57</v>
      </c>
      <c r="BE57" s="49" t="s">
        <v>56</v>
      </c>
      <c r="BF57" s="49"/>
      <c r="BG57" s="48"/>
      <c r="BH57" s="48"/>
      <c r="BI57" s="48"/>
      <c r="BJ57" s="48"/>
      <c r="BK57" s="47"/>
      <c r="BM57" s="50" t="s">
        <v>57</v>
      </c>
      <c r="BN57" s="49" t="s">
        <v>56</v>
      </c>
      <c r="BO57" s="49"/>
      <c r="BP57" s="48"/>
      <c r="BQ57" s="48"/>
      <c r="BR57" s="48"/>
      <c r="BS57" s="48"/>
      <c r="BT57" s="47"/>
      <c r="BV57" s="50" t="s">
        <v>57</v>
      </c>
      <c r="BW57" s="49" t="s">
        <v>56</v>
      </c>
      <c r="BX57" s="49"/>
      <c r="BY57" s="48"/>
      <c r="BZ57" s="48"/>
      <c r="CA57" s="48"/>
      <c r="CB57" s="48"/>
      <c r="CC57" s="47"/>
      <c r="CE57" s="50" t="s">
        <v>57</v>
      </c>
      <c r="CF57" s="49" t="s">
        <v>56</v>
      </c>
      <c r="CG57" s="49"/>
      <c r="CH57" s="48"/>
      <c r="CI57" s="48"/>
      <c r="CJ57" s="48"/>
      <c r="CK57" s="48"/>
      <c r="CL57" s="47"/>
      <c r="CN57" s="50" t="s">
        <v>57</v>
      </c>
      <c r="CO57" s="49" t="s">
        <v>56</v>
      </c>
      <c r="CP57" s="49"/>
      <c r="CQ57" s="48"/>
      <c r="CR57" s="48"/>
      <c r="CS57" s="48"/>
      <c r="CT57" s="48"/>
      <c r="CU57" s="47"/>
      <c r="CV57" s="75"/>
      <c r="CW57" s="50" t="s">
        <v>57</v>
      </c>
      <c r="CX57" s="49" t="s">
        <v>56</v>
      </c>
      <c r="CY57" s="49"/>
      <c r="CZ57" s="48"/>
      <c r="DA57" s="48"/>
      <c r="DB57" s="48"/>
      <c r="DC57" s="48"/>
      <c r="DD57" s="47"/>
      <c r="DE57" s="75"/>
      <c r="DF57" s="50" t="s">
        <v>57</v>
      </c>
      <c r="DG57" s="49" t="s">
        <v>56</v>
      </c>
      <c r="DH57" s="49"/>
      <c r="DI57" s="48"/>
      <c r="DJ57" s="48"/>
      <c r="DK57" s="48"/>
      <c r="DL57" s="48"/>
      <c r="DM57" s="47"/>
      <c r="DN57" s="75"/>
      <c r="DO57" s="50" t="s">
        <v>57</v>
      </c>
      <c r="DP57" s="49" t="s">
        <v>56</v>
      </c>
      <c r="DQ57" s="49"/>
      <c r="DR57" s="48"/>
      <c r="DS57" s="48"/>
      <c r="DT57" s="48"/>
      <c r="DU57" s="48"/>
      <c r="DV57" s="47"/>
      <c r="DX57" s="50" t="s">
        <v>57</v>
      </c>
      <c r="DY57" s="49" t="s">
        <v>56</v>
      </c>
      <c r="DZ57" s="49"/>
      <c r="EA57" s="48"/>
      <c r="EB57" s="48"/>
      <c r="EC57" s="48"/>
      <c r="ED57" s="48"/>
      <c r="EE57" s="47"/>
      <c r="EG57" s="50" t="s">
        <v>57</v>
      </c>
      <c r="EH57" s="49" t="s">
        <v>56</v>
      </c>
      <c r="EI57" s="49"/>
      <c r="EJ57" s="48"/>
      <c r="EK57" s="48"/>
      <c r="EL57" s="48"/>
      <c r="EM57" s="48"/>
      <c r="EN57" s="47"/>
      <c r="EO57" s="75"/>
      <c r="EP57" s="50" t="s">
        <v>57</v>
      </c>
      <c r="EQ57" s="49" t="s">
        <v>56</v>
      </c>
      <c r="ER57" s="49"/>
      <c r="ES57" s="48"/>
      <c r="ET57" s="48"/>
      <c r="EU57" s="48"/>
      <c r="EV57" s="48"/>
      <c r="EW57" s="47"/>
      <c r="EY57" s="50" t="s">
        <v>57</v>
      </c>
      <c r="EZ57" s="49" t="s">
        <v>56</v>
      </c>
      <c r="FA57" s="49"/>
      <c r="FB57" s="48"/>
      <c r="FC57" s="48"/>
      <c r="FD57" s="48"/>
      <c r="FE57" s="48"/>
      <c r="FF57" s="47"/>
      <c r="FH57" s="50" t="s">
        <v>57</v>
      </c>
      <c r="FI57" s="49" t="s">
        <v>56</v>
      </c>
      <c r="FJ57" s="49"/>
      <c r="FK57" s="48"/>
      <c r="FL57" s="48"/>
      <c r="FM57" s="48"/>
      <c r="FN57" s="48"/>
      <c r="FO57" s="47"/>
    </row>
    <row r="58" spans="2:171" x14ac:dyDescent="0.25">
      <c r="B58" s="37">
        <v>1</v>
      </c>
      <c r="C58" s="36" t="s">
        <v>55</v>
      </c>
      <c r="D58" s="36"/>
      <c r="E58" s="35"/>
      <c r="F58" s="35"/>
      <c r="G58" s="35"/>
      <c r="H58" s="35"/>
      <c r="I58" s="34"/>
      <c r="K58" s="37">
        <v>1</v>
      </c>
      <c r="L58" s="36" t="s">
        <v>55</v>
      </c>
      <c r="M58" s="36"/>
      <c r="N58" s="35"/>
      <c r="O58" s="35"/>
      <c r="P58" s="35"/>
      <c r="Q58" s="35"/>
      <c r="R58" s="34"/>
      <c r="T58" s="37">
        <v>1</v>
      </c>
      <c r="U58" s="36" t="s">
        <v>55</v>
      </c>
      <c r="V58" s="36"/>
      <c r="W58" s="35"/>
      <c r="X58" s="35"/>
      <c r="Y58" s="35"/>
      <c r="Z58" s="35"/>
      <c r="AA58" s="34"/>
      <c r="AC58" s="37">
        <v>1</v>
      </c>
      <c r="AD58" s="36" t="s">
        <v>55</v>
      </c>
      <c r="AE58" s="36"/>
      <c r="AF58" s="35"/>
      <c r="AG58" s="35"/>
      <c r="AH58" s="35"/>
      <c r="AI58" s="35"/>
      <c r="AJ58" s="34"/>
      <c r="AL58" s="37">
        <v>1</v>
      </c>
      <c r="AM58" s="36" t="s">
        <v>55</v>
      </c>
      <c r="AN58" s="36"/>
      <c r="AO58" s="35"/>
      <c r="AP58" s="35"/>
      <c r="AQ58" s="35"/>
      <c r="AR58" s="35"/>
      <c r="AS58" s="34"/>
      <c r="AU58" s="37">
        <v>1</v>
      </c>
      <c r="AV58" s="36" t="s">
        <v>55</v>
      </c>
      <c r="AW58" s="36"/>
      <c r="AX58" s="35"/>
      <c r="AY58" s="35"/>
      <c r="AZ58" s="35"/>
      <c r="BA58" s="35"/>
      <c r="BB58" s="34"/>
      <c r="BD58" s="37">
        <v>1</v>
      </c>
      <c r="BE58" s="36" t="s">
        <v>55</v>
      </c>
      <c r="BF58" s="36"/>
      <c r="BG58" s="35"/>
      <c r="BH58" s="35"/>
      <c r="BI58" s="35"/>
      <c r="BJ58" s="35"/>
      <c r="BK58" s="34"/>
      <c r="BM58" s="37">
        <v>1</v>
      </c>
      <c r="BN58" s="36" t="s">
        <v>55</v>
      </c>
      <c r="BO58" s="36"/>
      <c r="BP58" s="35"/>
      <c r="BQ58" s="35"/>
      <c r="BR58" s="35"/>
      <c r="BS58" s="35"/>
      <c r="BT58" s="34"/>
      <c r="BV58" s="37">
        <v>1</v>
      </c>
      <c r="BW58" s="36" t="s">
        <v>55</v>
      </c>
      <c r="BX58" s="36"/>
      <c r="BY58" s="35"/>
      <c r="BZ58" s="35"/>
      <c r="CA58" s="35"/>
      <c r="CB58" s="35"/>
      <c r="CC58" s="34"/>
      <c r="CE58" s="37">
        <v>1</v>
      </c>
      <c r="CF58" s="36" t="s">
        <v>55</v>
      </c>
      <c r="CG58" s="36"/>
      <c r="CH58" s="35"/>
      <c r="CI58" s="35"/>
      <c r="CJ58" s="35"/>
      <c r="CK58" s="35"/>
      <c r="CL58" s="34"/>
      <c r="CN58" s="37">
        <v>1</v>
      </c>
      <c r="CO58" s="36" t="s">
        <v>55</v>
      </c>
      <c r="CP58" s="36"/>
      <c r="CQ58" s="35"/>
      <c r="CR58" s="35"/>
      <c r="CS58" s="35"/>
      <c r="CT58" s="35"/>
      <c r="CU58" s="34"/>
      <c r="CV58" s="75"/>
      <c r="CW58" s="37">
        <v>1</v>
      </c>
      <c r="CX58" s="36" t="s">
        <v>55</v>
      </c>
      <c r="CY58" s="36"/>
      <c r="CZ58" s="35"/>
      <c r="DA58" s="35"/>
      <c r="DB58" s="35"/>
      <c r="DC58" s="35"/>
      <c r="DD58" s="34"/>
      <c r="DE58" s="75"/>
      <c r="DF58" s="37">
        <v>1</v>
      </c>
      <c r="DG58" s="36" t="s">
        <v>55</v>
      </c>
      <c r="DH58" s="36"/>
      <c r="DI58" s="35"/>
      <c r="DJ58" s="35"/>
      <c r="DK58" s="35"/>
      <c r="DL58" s="35"/>
      <c r="DM58" s="34"/>
      <c r="DN58" s="75"/>
      <c r="DO58" s="37">
        <v>1</v>
      </c>
      <c r="DP58" s="36" t="s">
        <v>55</v>
      </c>
      <c r="DQ58" s="36"/>
      <c r="DR58" s="35"/>
      <c r="DS58" s="35"/>
      <c r="DT58" s="35"/>
      <c r="DU58" s="35"/>
      <c r="DV58" s="34"/>
      <c r="DX58" s="37">
        <v>1</v>
      </c>
      <c r="DY58" s="36" t="s">
        <v>55</v>
      </c>
      <c r="DZ58" s="36"/>
      <c r="EA58" s="35"/>
      <c r="EB58" s="35"/>
      <c r="EC58" s="35"/>
      <c r="ED58" s="35"/>
      <c r="EE58" s="34"/>
      <c r="EG58" s="37">
        <v>1</v>
      </c>
      <c r="EH58" s="36" t="s">
        <v>55</v>
      </c>
      <c r="EI58" s="36"/>
      <c r="EJ58" s="35"/>
      <c r="EK58" s="35"/>
      <c r="EL58" s="35"/>
      <c r="EM58" s="35"/>
      <c r="EN58" s="34"/>
      <c r="EO58" s="75"/>
      <c r="EP58" s="37">
        <v>1</v>
      </c>
      <c r="EQ58" s="36" t="s">
        <v>55</v>
      </c>
      <c r="ER58" s="36"/>
      <c r="ES58" s="35"/>
      <c r="ET58" s="35"/>
      <c r="EU58" s="35"/>
      <c r="EV58" s="35"/>
      <c r="EW58" s="34"/>
      <c r="EY58" s="37">
        <v>1</v>
      </c>
      <c r="EZ58" s="36" t="s">
        <v>55</v>
      </c>
      <c r="FA58" s="36"/>
      <c r="FB58" s="35"/>
      <c r="FC58" s="35"/>
      <c r="FD58" s="35"/>
      <c r="FE58" s="35"/>
      <c r="FF58" s="34"/>
      <c r="FH58" s="37">
        <v>1</v>
      </c>
      <c r="FI58" s="36" t="s">
        <v>55</v>
      </c>
      <c r="FJ58" s="36"/>
      <c r="FK58" s="35"/>
      <c r="FL58" s="35"/>
      <c r="FM58" s="35"/>
      <c r="FN58" s="35"/>
      <c r="FO58" s="34"/>
    </row>
    <row r="59" spans="2:171" ht="15.75" thickBot="1" x14ac:dyDescent="0.3">
      <c r="B59" s="5">
        <v>2</v>
      </c>
      <c r="C59" s="4" t="s">
        <v>53</v>
      </c>
      <c r="D59" s="4"/>
      <c r="E59" s="3"/>
      <c r="F59" s="3"/>
      <c r="G59" s="46"/>
      <c r="H59" s="3"/>
      <c r="I59" s="2"/>
      <c r="K59" s="5">
        <v>2</v>
      </c>
      <c r="L59" s="4" t="s">
        <v>53</v>
      </c>
      <c r="M59" s="4" t="s">
        <v>121</v>
      </c>
      <c r="N59" s="3"/>
      <c r="O59" s="3"/>
      <c r="P59" s="46"/>
      <c r="Q59" s="3"/>
      <c r="R59" s="2"/>
      <c r="T59" s="5">
        <v>2</v>
      </c>
      <c r="U59" s="4" t="s">
        <v>53</v>
      </c>
      <c r="V59" s="4" t="s">
        <v>124</v>
      </c>
      <c r="W59" s="3"/>
      <c r="X59" s="3"/>
      <c r="Y59" s="46"/>
      <c r="Z59" s="3"/>
      <c r="AA59" s="2"/>
      <c r="AC59" s="5">
        <v>2</v>
      </c>
      <c r="AD59" s="4" t="s">
        <v>53</v>
      </c>
      <c r="AE59" s="4" t="s">
        <v>125</v>
      </c>
      <c r="AF59" s="3" t="s">
        <v>21</v>
      </c>
      <c r="AG59" s="3"/>
      <c r="AH59" s="77">
        <v>3.5999999999999999E-3</v>
      </c>
      <c r="AI59" s="3"/>
      <c r="AJ59" s="2"/>
      <c r="AL59" s="5">
        <v>2</v>
      </c>
      <c r="AM59" s="4" t="s">
        <v>53</v>
      </c>
      <c r="AN59" s="4" t="s">
        <v>136</v>
      </c>
      <c r="AO59" s="3"/>
      <c r="AP59" s="3"/>
      <c r="AQ59" s="46"/>
      <c r="AR59" s="3"/>
      <c r="AS59" s="2"/>
      <c r="AU59" s="5">
        <v>2</v>
      </c>
      <c r="AV59" s="4" t="s">
        <v>53</v>
      </c>
      <c r="AW59" s="4" t="s">
        <v>143</v>
      </c>
      <c r="AX59" s="3"/>
      <c r="AY59" s="3"/>
      <c r="AZ59" s="46"/>
      <c r="BA59" s="3"/>
      <c r="BB59" s="2"/>
      <c r="BD59" s="5">
        <v>2</v>
      </c>
      <c r="BE59" s="4" t="s">
        <v>53</v>
      </c>
      <c r="BF59" s="4" t="s">
        <v>146</v>
      </c>
      <c r="BG59" s="3"/>
      <c r="BH59" s="3"/>
      <c r="BI59" s="46"/>
      <c r="BJ59" s="3"/>
      <c r="BK59" s="2"/>
      <c r="BM59" s="5">
        <v>2</v>
      </c>
      <c r="BN59" s="4" t="s">
        <v>53</v>
      </c>
      <c r="BO59" s="4" t="s">
        <v>154</v>
      </c>
      <c r="BP59" s="3"/>
      <c r="BQ59" s="3"/>
      <c r="BR59" s="46"/>
      <c r="BS59" s="3"/>
      <c r="BT59" s="2"/>
      <c r="BV59" s="5">
        <v>2</v>
      </c>
      <c r="BW59" s="4" t="s">
        <v>53</v>
      </c>
      <c r="BX59" s="4" t="s">
        <v>162</v>
      </c>
      <c r="BY59" s="3"/>
      <c r="BZ59" s="3"/>
      <c r="CA59" s="46"/>
      <c r="CB59" s="3"/>
      <c r="CC59" s="2"/>
      <c r="CE59" s="5">
        <v>2</v>
      </c>
      <c r="CF59" s="4" t="s">
        <v>53</v>
      </c>
      <c r="CG59" s="4" t="s">
        <v>167</v>
      </c>
      <c r="CH59" s="3"/>
      <c r="CI59" s="3"/>
      <c r="CJ59" s="46"/>
      <c r="CK59" s="3"/>
      <c r="CL59" s="2"/>
      <c r="CN59" s="5">
        <v>2</v>
      </c>
      <c r="CO59" s="4" t="s">
        <v>53</v>
      </c>
      <c r="CP59" s="4" t="s">
        <v>173</v>
      </c>
      <c r="CQ59" s="3"/>
      <c r="CR59" s="3"/>
      <c r="CS59" s="46"/>
      <c r="CT59" s="3"/>
      <c r="CU59" s="2"/>
      <c r="CV59" s="75"/>
      <c r="CW59" s="5">
        <v>2</v>
      </c>
      <c r="CX59" s="4" t="s">
        <v>53</v>
      </c>
      <c r="CY59" s="4" t="s">
        <v>181</v>
      </c>
      <c r="CZ59" s="3"/>
      <c r="DA59" s="3"/>
      <c r="DB59" s="46"/>
      <c r="DC59" s="3"/>
      <c r="DD59" s="2"/>
      <c r="DE59" s="75"/>
      <c r="DF59" s="5">
        <v>2</v>
      </c>
      <c r="DG59" s="4" t="s">
        <v>53</v>
      </c>
      <c r="DH59" s="4" t="s">
        <v>189</v>
      </c>
      <c r="DI59" s="3"/>
      <c r="DJ59" s="3"/>
      <c r="DK59" s="46"/>
      <c r="DL59" s="3"/>
      <c r="DM59" s="2"/>
      <c r="DN59" s="75"/>
      <c r="DO59" s="5">
        <v>2</v>
      </c>
      <c r="DP59" s="4" t="s">
        <v>53</v>
      </c>
      <c r="DQ59" s="4" t="s">
        <v>194</v>
      </c>
      <c r="DR59" s="3"/>
      <c r="DS59" s="3"/>
      <c r="DT59" s="46"/>
      <c r="DU59" s="3"/>
      <c r="DV59" s="2"/>
      <c r="DX59" s="5">
        <v>2</v>
      </c>
      <c r="DY59" s="4" t="s">
        <v>53</v>
      </c>
      <c r="DZ59" s="4"/>
      <c r="EA59" s="3"/>
      <c r="EB59" s="3"/>
      <c r="EC59" s="46"/>
      <c r="ED59" s="3"/>
      <c r="EE59" s="2"/>
      <c r="EG59" s="5">
        <v>2</v>
      </c>
      <c r="EH59" s="4" t="s">
        <v>53</v>
      </c>
      <c r="EI59" s="4" t="s">
        <v>54</v>
      </c>
      <c r="EJ59" s="3"/>
      <c r="EK59" s="3"/>
      <c r="EL59" s="46"/>
      <c r="EM59" s="3"/>
      <c r="EN59" s="2"/>
      <c r="EO59" s="75"/>
      <c r="EP59" s="5">
        <v>2</v>
      </c>
      <c r="EQ59" s="4" t="s">
        <v>53</v>
      </c>
      <c r="ER59" s="4" t="s">
        <v>211</v>
      </c>
      <c r="ES59" s="3"/>
      <c r="ET59" s="3"/>
      <c r="EU59" s="46"/>
      <c r="EV59" s="3"/>
      <c r="EW59" s="2"/>
      <c r="EY59" s="5">
        <v>2</v>
      </c>
      <c r="EZ59" s="4" t="s">
        <v>53</v>
      </c>
      <c r="FA59" s="9" t="s">
        <v>239</v>
      </c>
      <c r="FB59" s="8"/>
      <c r="FC59" s="8"/>
      <c r="FD59" s="8"/>
      <c r="FE59" s="8"/>
      <c r="FF59" s="7"/>
      <c r="FH59" s="5">
        <v>2</v>
      </c>
      <c r="FI59" s="4" t="s">
        <v>53</v>
      </c>
      <c r="FJ59" s="4" t="s">
        <v>202</v>
      </c>
      <c r="FK59" s="3"/>
      <c r="FL59" s="3"/>
      <c r="FM59" s="46"/>
      <c r="FN59" s="3"/>
      <c r="FO59" s="2"/>
    </row>
    <row r="60" spans="2:171" ht="15.75" thickBot="1" x14ac:dyDescent="0.3">
      <c r="B60" s="17" t="s">
        <v>48</v>
      </c>
      <c r="C60" s="16" t="s">
        <v>47</v>
      </c>
      <c r="D60" s="16"/>
      <c r="E60" s="15"/>
      <c r="F60" s="15"/>
      <c r="G60" s="15"/>
      <c r="H60" s="15"/>
      <c r="I60" s="14"/>
      <c r="K60" s="17" t="s">
        <v>48</v>
      </c>
      <c r="L60" s="16" t="s">
        <v>47</v>
      </c>
      <c r="M60" s="16"/>
      <c r="N60" s="15"/>
      <c r="O60" s="15"/>
      <c r="P60" s="15"/>
      <c r="Q60" s="15"/>
      <c r="R60" s="14"/>
      <c r="T60" s="17" t="s">
        <v>48</v>
      </c>
      <c r="U60" s="16" t="s">
        <v>47</v>
      </c>
      <c r="V60" s="16"/>
      <c r="W60" s="15"/>
      <c r="X60" s="15"/>
      <c r="Y60" s="15"/>
      <c r="Z60" s="15"/>
      <c r="AA60" s="14"/>
      <c r="AC60" s="17" t="s">
        <v>48</v>
      </c>
      <c r="AD60" s="16" t="s">
        <v>47</v>
      </c>
      <c r="AE60" s="16"/>
      <c r="AF60" s="15"/>
      <c r="AG60" s="15"/>
      <c r="AH60" s="15"/>
      <c r="AI60" s="15"/>
      <c r="AJ60" s="14"/>
      <c r="AL60" s="17" t="s">
        <v>48</v>
      </c>
      <c r="AM60" s="16" t="s">
        <v>47</v>
      </c>
      <c r="AN60" s="16"/>
      <c r="AO60" s="15"/>
      <c r="AP60" s="15"/>
      <c r="AQ60" s="15"/>
      <c r="AR60" s="15"/>
      <c r="AS60" s="14"/>
      <c r="AU60" s="17" t="s">
        <v>48</v>
      </c>
      <c r="AV60" s="16" t="s">
        <v>47</v>
      </c>
      <c r="AW60" s="16"/>
      <c r="AX60" s="15"/>
      <c r="AY60" s="15"/>
      <c r="AZ60" s="15"/>
      <c r="BA60" s="15"/>
      <c r="BB60" s="14"/>
      <c r="BD60" s="17" t="s">
        <v>48</v>
      </c>
      <c r="BE60" s="16" t="s">
        <v>47</v>
      </c>
      <c r="BF60" s="16"/>
      <c r="BG60" s="15"/>
      <c r="BH60" s="15"/>
      <c r="BI60" s="15"/>
      <c r="BJ60" s="15"/>
      <c r="BK60" s="14"/>
      <c r="BM60" s="17" t="s">
        <v>48</v>
      </c>
      <c r="BN60" s="16" t="s">
        <v>47</v>
      </c>
      <c r="BO60" s="16"/>
      <c r="BP60" s="15"/>
      <c r="BQ60" s="15"/>
      <c r="BR60" s="15"/>
      <c r="BS60" s="15"/>
      <c r="BT60" s="14"/>
      <c r="BV60" s="17" t="s">
        <v>48</v>
      </c>
      <c r="BW60" s="16" t="s">
        <v>47</v>
      </c>
      <c r="BX60" s="16"/>
      <c r="BY60" s="15"/>
      <c r="BZ60" s="15"/>
      <c r="CA60" s="15"/>
      <c r="CB60" s="15"/>
      <c r="CC60" s="14"/>
      <c r="CE60" s="17" t="s">
        <v>48</v>
      </c>
      <c r="CF60" s="16" t="s">
        <v>47</v>
      </c>
      <c r="CG60" s="16"/>
      <c r="CH60" s="15"/>
      <c r="CI60" s="15"/>
      <c r="CJ60" s="15"/>
      <c r="CK60" s="15"/>
      <c r="CL60" s="14"/>
      <c r="CN60" s="17" t="s">
        <v>48</v>
      </c>
      <c r="CO60" s="16" t="s">
        <v>47</v>
      </c>
      <c r="CP60" s="16"/>
      <c r="CQ60" s="15"/>
      <c r="CR60" s="15"/>
      <c r="CS60" s="15"/>
      <c r="CT60" s="15"/>
      <c r="CU60" s="14"/>
      <c r="CV60" s="75"/>
      <c r="CW60" s="17" t="s">
        <v>48</v>
      </c>
      <c r="CX60" s="16" t="s">
        <v>47</v>
      </c>
      <c r="CY60" s="16"/>
      <c r="CZ60" s="15"/>
      <c r="DA60" s="15"/>
      <c r="DB60" s="15"/>
      <c r="DC60" s="15"/>
      <c r="DD60" s="14"/>
      <c r="DE60" s="75"/>
      <c r="DF60" s="17" t="s">
        <v>48</v>
      </c>
      <c r="DG60" s="16" t="s">
        <v>47</v>
      </c>
      <c r="DH60" s="16"/>
      <c r="DI60" s="15"/>
      <c r="DJ60" s="15"/>
      <c r="DK60" s="15"/>
      <c r="DL60" s="15"/>
      <c r="DM60" s="14"/>
      <c r="DN60" s="75"/>
      <c r="DO60" s="17" t="s">
        <v>48</v>
      </c>
      <c r="DP60" s="16" t="s">
        <v>47</v>
      </c>
      <c r="DQ60" s="16"/>
      <c r="DR60" s="15"/>
      <c r="DS60" s="15"/>
      <c r="DT60" s="15"/>
      <c r="DU60" s="15"/>
      <c r="DV60" s="14"/>
      <c r="DX60" s="17" t="s">
        <v>48</v>
      </c>
      <c r="DY60" s="16" t="s">
        <v>47</v>
      </c>
      <c r="DZ60" s="16"/>
      <c r="EA60" s="15"/>
      <c r="EB60" s="15"/>
      <c r="EC60" s="15"/>
      <c r="ED60" s="15"/>
      <c r="EE60" s="14"/>
      <c r="EG60" s="17" t="s">
        <v>48</v>
      </c>
      <c r="EH60" s="16" t="s">
        <v>47</v>
      </c>
      <c r="EI60" s="16"/>
      <c r="EJ60" s="15"/>
      <c r="EK60" s="15"/>
      <c r="EL60" s="15"/>
      <c r="EM60" s="15"/>
      <c r="EN60" s="14"/>
      <c r="EO60" s="75"/>
      <c r="EP60" s="17" t="s">
        <v>48</v>
      </c>
      <c r="EQ60" s="16" t="s">
        <v>47</v>
      </c>
      <c r="ER60" s="16"/>
      <c r="ES60" s="15"/>
      <c r="ET60" s="15"/>
      <c r="EU60" s="15"/>
      <c r="EV60" s="15"/>
      <c r="EW60" s="14"/>
      <c r="EY60" s="5"/>
      <c r="EZ60" s="4"/>
      <c r="FA60" s="4" t="s">
        <v>236</v>
      </c>
      <c r="FB60" s="3"/>
      <c r="FC60" s="3"/>
      <c r="FD60" s="46"/>
      <c r="FE60" s="3"/>
      <c r="FF60" s="2"/>
      <c r="FH60" s="17" t="s">
        <v>48</v>
      </c>
      <c r="FI60" s="16" t="s">
        <v>47</v>
      </c>
      <c r="FJ60" s="16"/>
      <c r="FK60" s="15"/>
      <c r="FL60" s="15"/>
      <c r="FM60" s="15"/>
      <c r="FN60" s="15"/>
      <c r="FO60" s="14"/>
    </row>
    <row r="61" spans="2:171" ht="15.75" thickBot="1" x14ac:dyDescent="0.3">
      <c r="B61" s="10">
        <v>1</v>
      </c>
      <c r="C61" s="9" t="s">
        <v>44</v>
      </c>
      <c r="D61" s="9"/>
      <c r="E61" s="8"/>
      <c r="F61" s="41"/>
      <c r="G61" s="45"/>
      <c r="H61" s="8"/>
      <c r="I61" s="7"/>
      <c r="K61" s="10">
        <v>1</v>
      </c>
      <c r="L61" s="9" t="s">
        <v>44</v>
      </c>
      <c r="M61" s="9"/>
      <c r="N61" s="8"/>
      <c r="O61" s="41"/>
      <c r="P61" s="45"/>
      <c r="Q61" s="8"/>
      <c r="R61" s="7"/>
      <c r="T61" s="10">
        <v>1</v>
      </c>
      <c r="U61" s="9" t="s">
        <v>44</v>
      </c>
      <c r="V61" s="9"/>
      <c r="W61" s="8"/>
      <c r="X61" s="8"/>
      <c r="Y61" s="8"/>
      <c r="Z61" s="8"/>
      <c r="AA61" s="7"/>
      <c r="AC61" s="10">
        <v>1</v>
      </c>
      <c r="AD61" s="9" t="s">
        <v>44</v>
      </c>
      <c r="AE61" s="9" t="s">
        <v>126</v>
      </c>
      <c r="AF61" s="8" t="s">
        <v>21</v>
      </c>
      <c r="AG61" s="41"/>
      <c r="AH61" s="8">
        <v>1.32E-2</v>
      </c>
      <c r="AI61" s="8"/>
      <c r="AJ61" s="7"/>
      <c r="AL61" s="10">
        <v>1</v>
      </c>
      <c r="AM61" s="9" t="s">
        <v>44</v>
      </c>
      <c r="AN61" s="9" t="s">
        <v>41</v>
      </c>
      <c r="AO61" s="8"/>
      <c r="AP61" s="41"/>
      <c r="AQ61" s="45"/>
      <c r="AR61" s="8"/>
      <c r="AS61" s="7"/>
      <c r="AU61" s="10">
        <v>1</v>
      </c>
      <c r="AV61" s="9" t="s">
        <v>44</v>
      </c>
      <c r="AW61" s="9"/>
      <c r="AX61" s="8"/>
      <c r="AY61" s="41"/>
      <c r="AZ61" s="45"/>
      <c r="BA61" s="8"/>
      <c r="BB61" s="7"/>
      <c r="BD61" s="10">
        <v>1</v>
      </c>
      <c r="BE61" s="9" t="s">
        <v>44</v>
      </c>
      <c r="BF61" s="9" t="s">
        <v>147</v>
      </c>
      <c r="BG61" s="8"/>
      <c r="BH61" s="8"/>
      <c r="BI61" s="8"/>
      <c r="BJ61" s="8"/>
      <c r="BK61" s="7"/>
      <c r="BM61" s="10">
        <v>1</v>
      </c>
      <c r="BN61" s="9" t="s">
        <v>44</v>
      </c>
      <c r="BO61" s="9"/>
      <c r="BP61" s="8"/>
      <c r="BQ61" s="41"/>
      <c r="BR61" s="46"/>
      <c r="BS61" s="3"/>
      <c r="BT61" s="7"/>
      <c r="BV61" s="10">
        <v>1</v>
      </c>
      <c r="BW61" s="9" t="s">
        <v>44</v>
      </c>
      <c r="BX61" s="9"/>
      <c r="BY61" s="8"/>
      <c r="BZ61" s="41"/>
      <c r="CA61" s="46"/>
      <c r="CB61" s="3"/>
      <c r="CC61" s="7"/>
      <c r="CE61" s="10">
        <v>1</v>
      </c>
      <c r="CF61" s="9" t="s">
        <v>44</v>
      </c>
      <c r="CG61" s="9"/>
      <c r="CH61" s="8"/>
      <c r="CI61" s="41"/>
      <c r="CJ61" s="46"/>
      <c r="CK61" s="3"/>
      <c r="CL61" s="7"/>
      <c r="CN61" s="10">
        <v>1</v>
      </c>
      <c r="CO61" s="9" t="s">
        <v>44</v>
      </c>
      <c r="CP61" s="9"/>
      <c r="CQ61" s="8"/>
      <c r="CR61" s="8"/>
      <c r="CS61" s="8"/>
      <c r="CT61" s="8"/>
      <c r="CU61" s="7"/>
      <c r="CV61" s="75"/>
      <c r="CW61" s="10">
        <v>1</v>
      </c>
      <c r="CX61" s="9" t="s">
        <v>44</v>
      </c>
      <c r="CY61" s="9"/>
      <c r="CZ61" s="8"/>
      <c r="DA61" s="8"/>
      <c r="DB61" s="8"/>
      <c r="DC61" s="8"/>
      <c r="DD61" s="7"/>
      <c r="DE61" s="75"/>
      <c r="DF61" s="10">
        <v>1</v>
      </c>
      <c r="DG61" s="9" t="s">
        <v>44</v>
      </c>
      <c r="DH61" s="9"/>
      <c r="DI61" s="8"/>
      <c r="DJ61" s="8"/>
      <c r="DK61" s="8"/>
      <c r="DL61" s="8"/>
      <c r="DM61" s="7"/>
      <c r="DN61" s="75"/>
      <c r="DO61" s="10">
        <v>1</v>
      </c>
      <c r="DP61" s="9" t="s">
        <v>44</v>
      </c>
      <c r="DQ61" s="9"/>
      <c r="DR61" s="8"/>
      <c r="DS61" s="8"/>
      <c r="DT61" s="8"/>
      <c r="DU61" s="8"/>
      <c r="DV61" s="7"/>
      <c r="DX61" s="10">
        <v>1</v>
      </c>
      <c r="DY61" s="9" t="s">
        <v>44</v>
      </c>
      <c r="DZ61" s="9"/>
      <c r="EA61" s="8"/>
      <c r="EB61" s="41"/>
      <c r="EC61" s="45"/>
      <c r="ED61" s="8"/>
      <c r="EE61" s="7"/>
      <c r="EG61" s="10">
        <v>1</v>
      </c>
      <c r="EH61" s="9" t="s">
        <v>44</v>
      </c>
      <c r="EI61" s="9"/>
      <c r="EJ61" s="8"/>
      <c r="EK61" s="41"/>
      <c r="EL61" s="45"/>
      <c r="EM61" s="8"/>
      <c r="EN61" s="7"/>
      <c r="EO61" s="75"/>
      <c r="EP61" s="10">
        <v>1</v>
      </c>
      <c r="EQ61" s="9" t="s">
        <v>44</v>
      </c>
      <c r="ER61" s="9" t="s">
        <v>212</v>
      </c>
      <c r="ES61" s="8"/>
      <c r="ET61" s="41"/>
      <c r="EU61" s="45"/>
      <c r="EV61" s="8"/>
      <c r="EW61" s="7"/>
      <c r="EY61" s="5"/>
      <c r="EZ61" s="4"/>
      <c r="FA61" s="4" t="s">
        <v>223</v>
      </c>
      <c r="FB61" s="3"/>
      <c r="FC61" s="3"/>
      <c r="FD61" s="46"/>
      <c r="FE61" s="3"/>
      <c r="FF61" s="2"/>
      <c r="FH61" s="10">
        <v>1</v>
      </c>
      <c r="FI61" s="9" t="s">
        <v>44</v>
      </c>
      <c r="FJ61" s="9" t="s">
        <v>203</v>
      </c>
      <c r="FK61" s="8"/>
      <c r="FL61" s="41"/>
      <c r="FM61" s="45"/>
      <c r="FN61" s="8"/>
      <c r="FO61" s="7"/>
    </row>
    <row r="62" spans="2:171" ht="15.75" thickBot="1" x14ac:dyDescent="0.3">
      <c r="B62" s="5">
        <v>2</v>
      </c>
      <c r="C62" s="4" t="s">
        <v>33</v>
      </c>
      <c r="D62" s="4"/>
      <c r="E62" s="3"/>
      <c r="F62" s="42"/>
      <c r="G62" s="3"/>
      <c r="H62" s="3"/>
      <c r="I62" s="2"/>
      <c r="K62" s="5">
        <v>2</v>
      </c>
      <c r="L62" s="4" t="s">
        <v>33</v>
      </c>
      <c r="M62" s="4" t="s">
        <v>122</v>
      </c>
      <c r="N62" s="3"/>
      <c r="O62" s="42"/>
      <c r="P62" s="3"/>
      <c r="Q62" s="3"/>
      <c r="R62" s="2"/>
      <c r="T62" s="5">
        <v>2</v>
      </c>
      <c r="U62" s="4" t="s">
        <v>33</v>
      </c>
      <c r="V62" s="4"/>
      <c r="W62" s="3"/>
      <c r="X62" s="3"/>
      <c r="Y62" s="3"/>
      <c r="Z62" s="3"/>
      <c r="AA62" s="2"/>
      <c r="AC62" s="5">
        <v>2</v>
      </c>
      <c r="AD62" s="4" t="s">
        <v>33</v>
      </c>
      <c r="AE62" s="4" t="s">
        <v>127</v>
      </c>
      <c r="AF62" s="8"/>
      <c r="AG62" s="42"/>
      <c r="AH62" s="3"/>
      <c r="AI62" s="3"/>
      <c r="AJ62" s="2"/>
      <c r="AL62" s="10"/>
      <c r="AM62" s="9"/>
      <c r="AN62" s="9" t="s">
        <v>137</v>
      </c>
      <c r="AO62" s="8"/>
      <c r="AP62" s="41"/>
      <c r="AQ62" s="45"/>
      <c r="AR62" s="8"/>
      <c r="AS62" s="7"/>
      <c r="AU62" s="5">
        <v>2</v>
      </c>
      <c r="AV62" s="4" t="s">
        <v>33</v>
      </c>
      <c r="AW62" s="4" t="s">
        <v>144</v>
      </c>
      <c r="AX62" s="8"/>
      <c r="AY62" s="42"/>
      <c r="AZ62" s="3"/>
      <c r="BA62" s="3"/>
      <c r="BB62" s="2"/>
      <c r="BD62" s="10"/>
      <c r="BE62" s="9"/>
      <c r="BF62" s="9" t="s">
        <v>151</v>
      </c>
      <c r="BG62" s="8"/>
      <c r="BH62" s="8"/>
      <c r="BI62" s="8"/>
      <c r="BJ62" s="8"/>
      <c r="BK62" s="7"/>
      <c r="BM62" s="5">
        <v>2</v>
      </c>
      <c r="BN62" s="4" t="s">
        <v>33</v>
      </c>
      <c r="BO62" s="4" t="s">
        <v>155</v>
      </c>
      <c r="BP62" s="8"/>
      <c r="BQ62" s="42"/>
      <c r="BR62" s="3"/>
      <c r="BS62" s="3"/>
      <c r="BT62" s="2"/>
      <c r="BV62" s="5">
        <v>2</v>
      </c>
      <c r="BW62" s="4" t="s">
        <v>33</v>
      </c>
      <c r="BX62" s="4" t="s">
        <v>163</v>
      </c>
      <c r="BY62" s="8"/>
      <c r="BZ62" s="42"/>
      <c r="CA62" s="3"/>
      <c r="CB62" s="3"/>
      <c r="CC62" s="2"/>
      <c r="CE62" s="5">
        <v>2</v>
      </c>
      <c r="CF62" s="4" t="s">
        <v>33</v>
      </c>
      <c r="CG62" s="4" t="s">
        <v>168</v>
      </c>
      <c r="CH62" s="8"/>
      <c r="CI62" s="42"/>
      <c r="CJ62" s="3"/>
      <c r="CK62" s="3"/>
      <c r="CL62" s="2"/>
      <c r="CN62" s="5">
        <v>2</v>
      </c>
      <c r="CO62" s="4" t="s">
        <v>33</v>
      </c>
      <c r="CP62" s="4" t="s">
        <v>174</v>
      </c>
      <c r="CQ62" s="3"/>
      <c r="CR62" s="42"/>
      <c r="CS62" s="3"/>
      <c r="CT62" s="3"/>
      <c r="CU62" s="2"/>
      <c r="CV62" s="75"/>
      <c r="CW62" s="5">
        <v>2</v>
      </c>
      <c r="CX62" s="4" t="s">
        <v>33</v>
      </c>
      <c r="CY62" s="4" t="s">
        <v>182</v>
      </c>
      <c r="CZ62" s="3"/>
      <c r="DA62" s="42"/>
      <c r="DB62" s="3"/>
      <c r="DC62" s="3"/>
      <c r="DD62" s="2"/>
      <c r="DE62" s="75"/>
      <c r="DF62" s="5">
        <v>2</v>
      </c>
      <c r="DG62" s="4" t="s">
        <v>33</v>
      </c>
      <c r="DH62" s="4" t="s">
        <v>190</v>
      </c>
      <c r="DI62" s="3"/>
      <c r="DJ62" s="42"/>
      <c r="DK62" s="3"/>
      <c r="DL62" s="3"/>
      <c r="DM62" s="2"/>
      <c r="DN62" s="75"/>
      <c r="DO62" s="5">
        <v>2</v>
      </c>
      <c r="DP62" s="4" t="s">
        <v>33</v>
      </c>
      <c r="DQ62" s="4" t="s">
        <v>195</v>
      </c>
      <c r="DR62" s="3"/>
      <c r="DS62" s="42"/>
      <c r="DT62" s="3"/>
      <c r="DU62" s="3"/>
      <c r="DV62" s="2"/>
      <c r="DX62" s="5">
        <v>2</v>
      </c>
      <c r="DY62" s="4" t="s">
        <v>33</v>
      </c>
      <c r="DZ62" s="4" t="s">
        <v>244</v>
      </c>
      <c r="EA62" s="3"/>
      <c r="EB62" s="42"/>
      <c r="EC62" s="3"/>
      <c r="ED62" s="3"/>
      <c r="EE62" s="2"/>
      <c r="EG62" s="5">
        <v>2</v>
      </c>
      <c r="EH62" s="4" t="s">
        <v>33</v>
      </c>
      <c r="EI62" s="9" t="s">
        <v>210</v>
      </c>
      <c r="EJ62" s="8"/>
      <c r="EK62" s="41"/>
      <c r="EL62" s="45"/>
      <c r="EM62" s="8"/>
      <c r="EN62" s="7"/>
      <c r="EO62" s="75"/>
      <c r="EP62" s="10"/>
      <c r="EQ62" s="9"/>
      <c r="ER62" s="9" t="s">
        <v>213</v>
      </c>
      <c r="ES62" s="8"/>
      <c r="ET62" s="41"/>
      <c r="EU62" s="45"/>
      <c r="EV62" s="8"/>
      <c r="EW62" s="7"/>
      <c r="EY62" s="17" t="s">
        <v>48</v>
      </c>
      <c r="EZ62" s="16" t="s">
        <v>47</v>
      </c>
      <c r="FA62" s="16"/>
      <c r="FB62" s="15"/>
      <c r="FC62" s="15"/>
      <c r="FD62" s="15"/>
      <c r="FE62" s="15"/>
      <c r="FF62" s="14"/>
      <c r="FH62" s="10"/>
      <c r="FI62" s="9"/>
      <c r="FJ62" s="9" t="s">
        <v>204</v>
      </c>
      <c r="FK62" s="8"/>
      <c r="FL62" s="41"/>
      <c r="FM62" s="8"/>
      <c r="FN62" s="8"/>
      <c r="FO62" s="7"/>
    </row>
    <row r="63" spans="2:171" ht="15.75" thickBot="1" x14ac:dyDescent="0.3">
      <c r="B63" s="5">
        <v>3</v>
      </c>
      <c r="C63" s="4" t="s">
        <v>31</v>
      </c>
      <c r="D63" s="4"/>
      <c r="E63" s="3"/>
      <c r="F63" s="3"/>
      <c r="G63" s="3"/>
      <c r="H63" s="3"/>
      <c r="I63" s="2"/>
      <c r="K63" s="5">
        <v>3</v>
      </c>
      <c r="L63" s="4" t="s">
        <v>31</v>
      </c>
      <c r="M63" s="4"/>
      <c r="N63" s="3"/>
      <c r="O63" s="3"/>
      <c r="P63" s="3"/>
      <c r="Q63" s="3"/>
      <c r="R63" s="2"/>
      <c r="T63" s="5">
        <v>3</v>
      </c>
      <c r="U63" s="4" t="s">
        <v>31</v>
      </c>
      <c r="V63" s="4" t="s">
        <v>128</v>
      </c>
      <c r="W63" s="3"/>
      <c r="X63" s="3"/>
      <c r="Y63" s="3"/>
      <c r="Z63" s="3"/>
      <c r="AA63" s="2"/>
      <c r="AC63" s="5">
        <v>3</v>
      </c>
      <c r="AD63" s="4" t="s">
        <v>31</v>
      </c>
      <c r="AE63" s="4" t="s">
        <v>32</v>
      </c>
      <c r="AF63" s="3"/>
      <c r="AG63" s="42"/>
      <c r="AH63" s="31"/>
      <c r="AI63" s="8"/>
      <c r="AJ63" s="2"/>
      <c r="AL63" s="5">
        <v>2</v>
      </c>
      <c r="AM63" s="4" t="s">
        <v>33</v>
      </c>
      <c r="AN63" s="4"/>
      <c r="AO63" s="3"/>
      <c r="AP63" s="3"/>
      <c r="AQ63" s="3"/>
      <c r="AR63" s="3"/>
      <c r="AS63" s="2"/>
      <c r="AU63" s="5"/>
      <c r="AV63" s="4"/>
      <c r="AW63" s="4" t="s">
        <v>145</v>
      </c>
      <c r="AX63" s="8"/>
      <c r="AY63" s="42"/>
      <c r="AZ63" s="3"/>
      <c r="BA63" s="3"/>
      <c r="BB63" s="2"/>
      <c r="BD63" s="5">
        <v>2</v>
      </c>
      <c r="BE63" s="4" t="s">
        <v>33</v>
      </c>
      <c r="BF63" s="4" t="s">
        <v>149</v>
      </c>
      <c r="BG63" s="3"/>
      <c r="BH63" s="42"/>
      <c r="BI63" s="3"/>
      <c r="BJ63" s="3"/>
      <c r="BK63" s="2"/>
      <c r="BM63" s="5"/>
      <c r="BN63" s="4"/>
      <c r="BO63" s="4" t="s">
        <v>156</v>
      </c>
      <c r="BP63" s="8"/>
      <c r="BQ63" s="42"/>
      <c r="BR63" s="3"/>
      <c r="BS63" s="3"/>
      <c r="BT63" s="2"/>
      <c r="BV63" s="5">
        <v>3</v>
      </c>
      <c r="BW63" s="4" t="s">
        <v>31</v>
      </c>
      <c r="BX63" s="4"/>
      <c r="BY63" s="3"/>
      <c r="BZ63" s="42"/>
      <c r="CA63" s="3"/>
      <c r="CB63" s="3"/>
      <c r="CC63" s="2"/>
      <c r="CE63" s="5"/>
      <c r="CF63" s="4"/>
      <c r="CG63" s="4" t="s">
        <v>172</v>
      </c>
      <c r="CH63" s="8"/>
      <c r="CI63" s="42"/>
      <c r="CJ63" s="3"/>
      <c r="CK63" s="3"/>
      <c r="CL63" s="2"/>
      <c r="CN63" s="5"/>
      <c r="CO63" s="4"/>
      <c r="CP63" s="4" t="s">
        <v>176</v>
      </c>
      <c r="CQ63" s="3"/>
      <c r="CR63" s="42"/>
      <c r="CS63" s="3"/>
      <c r="CT63" s="3"/>
      <c r="CU63" s="44"/>
      <c r="CV63" s="75"/>
      <c r="CW63" s="5"/>
      <c r="CX63" s="4"/>
      <c r="CY63" s="4" t="s">
        <v>183</v>
      </c>
      <c r="CZ63" s="3"/>
      <c r="DA63" s="42"/>
      <c r="DB63" s="3"/>
      <c r="DC63" s="3"/>
      <c r="DD63" s="44"/>
      <c r="DE63" s="75"/>
      <c r="DF63" s="5"/>
      <c r="DG63" s="4"/>
      <c r="DH63" s="4" t="s">
        <v>191</v>
      </c>
      <c r="DI63" s="3"/>
      <c r="DJ63" s="42"/>
      <c r="DK63" s="3"/>
      <c r="DL63" s="3"/>
      <c r="DM63" s="44"/>
      <c r="DN63" s="75"/>
      <c r="DO63" s="5"/>
      <c r="DP63" s="4"/>
      <c r="DQ63" s="4" t="s">
        <v>198</v>
      </c>
      <c r="DR63" s="3"/>
      <c r="DS63" s="42"/>
      <c r="DT63" s="3"/>
      <c r="DU63" s="3"/>
      <c r="DV63" s="44"/>
      <c r="DX63" s="5">
        <v>3</v>
      </c>
      <c r="DY63" s="4" t="s">
        <v>31</v>
      </c>
      <c r="DZ63" s="4"/>
      <c r="EA63" s="3"/>
      <c r="EB63" s="42"/>
      <c r="EC63" s="3"/>
      <c r="ED63" s="3"/>
      <c r="EE63" s="2"/>
      <c r="EG63" s="5"/>
      <c r="EH63" s="4"/>
      <c r="EI63" s="4" t="s">
        <v>39</v>
      </c>
      <c r="EJ63" s="8"/>
      <c r="EK63" s="42"/>
      <c r="EL63" s="3"/>
      <c r="EM63" s="3"/>
      <c r="EN63" s="2"/>
      <c r="EO63" s="75"/>
      <c r="EP63" s="10"/>
      <c r="EQ63" s="9"/>
      <c r="ER63" s="9" t="s">
        <v>214</v>
      </c>
      <c r="ES63" s="8"/>
      <c r="ET63" s="41"/>
      <c r="EU63" s="45"/>
      <c r="EV63" s="8"/>
      <c r="EW63" s="7"/>
      <c r="EY63" s="10">
        <v>1</v>
      </c>
      <c r="EZ63" s="9" t="s">
        <v>44</v>
      </c>
      <c r="FA63" s="9" t="s">
        <v>224</v>
      </c>
      <c r="FB63" s="8"/>
      <c r="FC63" s="41"/>
      <c r="FD63" s="45"/>
      <c r="FE63" s="8"/>
      <c r="FF63" s="7"/>
      <c r="FH63" s="5">
        <v>2</v>
      </c>
      <c r="FI63" s="4" t="s">
        <v>33</v>
      </c>
      <c r="FJ63" s="4" t="s">
        <v>205</v>
      </c>
      <c r="FK63" s="8"/>
      <c r="FL63" s="42"/>
      <c r="FM63" s="3"/>
      <c r="FN63" s="3"/>
      <c r="FO63" s="2"/>
    </row>
    <row r="64" spans="2:171" ht="15.75" thickBot="1" x14ac:dyDescent="0.3">
      <c r="B64" s="17" t="s">
        <v>18</v>
      </c>
      <c r="C64" s="16" t="s">
        <v>17</v>
      </c>
      <c r="D64" s="16"/>
      <c r="E64" s="15"/>
      <c r="F64" s="15"/>
      <c r="G64" s="15"/>
      <c r="H64" s="15"/>
      <c r="I64" s="14"/>
      <c r="K64" s="17" t="s">
        <v>18</v>
      </c>
      <c r="L64" s="16" t="s">
        <v>17</v>
      </c>
      <c r="M64" s="16"/>
      <c r="N64" s="15"/>
      <c r="O64" s="15"/>
      <c r="P64" s="15"/>
      <c r="Q64" s="15"/>
      <c r="R64" s="14"/>
      <c r="T64" s="5"/>
      <c r="U64" s="4"/>
      <c r="V64" s="4" t="s">
        <v>129</v>
      </c>
      <c r="W64" s="3"/>
      <c r="X64" s="3"/>
      <c r="Y64" s="3"/>
      <c r="Z64" s="3"/>
      <c r="AA64" s="2"/>
      <c r="AC64" s="5"/>
      <c r="AD64" s="4"/>
      <c r="AE64" s="4" t="s">
        <v>26</v>
      </c>
      <c r="AF64" s="3"/>
      <c r="AG64" s="42"/>
      <c r="AH64" s="31"/>
      <c r="AI64" s="31"/>
      <c r="AJ64" s="2"/>
      <c r="AL64" s="5">
        <v>3</v>
      </c>
      <c r="AM64" s="4" t="s">
        <v>31</v>
      </c>
      <c r="AN64" s="4" t="s">
        <v>138</v>
      </c>
      <c r="AO64" s="3"/>
      <c r="AP64" s="42"/>
      <c r="AQ64" s="3"/>
      <c r="AR64" s="3"/>
      <c r="AS64" s="2"/>
      <c r="AU64" s="5">
        <v>3</v>
      </c>
      <c r="AV64" s="4" t="s">
        <v>31</v>
      </c>
      <c r="AW64" s="4" t="s">
        <v>30</v>
      </c>
      <c r="AX64" s="3"/>
      <c r="AY64" s="42"/>
      <c r="AZ64" s="3"/>
      <c r="BA64" s="3"/>
      <c r="BB64" s="2"/>
      <c r="BD64" s="5"/>
      <c r="BE64" s="4"/>
      <c r="BF64" s="4"/>
      <c r="BG64" s="3"/>
      <c r="BH64" s="42"/>
      <c r="BI64" s="3"/>
      <c r="BJ64" s="3"/>
      <c r="BK64" s="38"/>
      <c r="BM64" s="5">
        <v>3</v>
      </c>
      <c r="BN64" s="4" t="s">
        <v>31</v>
      </c>
      <c r="BO64" s="4" t="s">
        <v>157</v>
      </c>
      <c r="BP64" s="3"/>
      <c r="BQ64" s="42"/>
      <c r="BR64" s="3"/>
      <c r="BS64" s="3"/>
      <c r="BT64" s="2"/>
      <c r="BV64" s="17" t="s">
        <v>18</v>
      </c>
      <c r="BW64" s="16" t="s">
        <v>17</v>
      </c>
      <c r="BX64" s="16"/>
      <c r="BY64" s="15"/>
      <c r="BZ64" s="15"/>
      <c r="CA64" s="15"/>
      <c r="CB64" s="15"/>
      <c r="CC64" s="14"/>
      <c r="CE64" s="5">
        <v>3</v>
      </c>
      <c r="CF64" s="4" t="s">
        <v>31</v>
      </c>
      <c r="CG64" s="4" t="s">
        <v>171</v>
      </c>
      <c r="CH64" s="3"/>
      <c r="CI64" s="42"/>
      <c r="CJ64" s="3"/>
      <c r="CK64" s="3"/>
      <c r="CL64" s="2"/>
      <c r="CN64" s="5"/>
      <c r="CO64" s="4"/>
      <c r="CP64" s="4" t="s">
        <v>175</v>
      </c>
      <c r="CQ64" s="3"/>
      <c r="CR64" s="42"/>
      <c r="CS64" s="3"/>
      <c r="CT64" s="3"/>
      <c r="CU64" s="2"/>
      <c r="CV64" s="75"/>
      <c r="CW64" s="5"/>
      <c r="CX64" s="4"/>
      <c r="CY64" s="4" t="s">
        <v>184</v>
      </c>
      <c r="CZ64" s="3"/>
      <c r="DA64" s="42"/>
      <c r="DB64" s="3"/>
      <c r="DC64" s="3"/>
      <c r="DD64" s="44"/>
      <c r="DE64" s="75"/>
      <c r="DF64" s="5">
        <v>3</v>
      </c>
      <c r="DG64" s="4" t="s">
        <v>31</v>
      </c>
      <c r="DH64" s="4"/>
      <c r="DI64" s="3"/>
      <c r="DJ64" s="42"/>
      <c r="DK64" s="3"/>
      <c r="DL64" s="3"/>
      <c r="DM64" s="2"/>
      <c r="DN64" s="75"/>
      <c r="DO64" s="5"/>
      <c r="DP64" s="4"/>
      <c r="DQ64" s="4" t="s">
        <v>196</v>
      </c>
      <c r="DR64" s="3"/>
      <c r="DS64" s="42"/>
      <c r="DT64" s="3"/>
      <c r="DU64" s="3"/>
      <c r="DV64" s="44"/>
      <c r="DX64" s="17" t="s">
        <v>18</v>
      </c>
      <c r="DY64" s="16" t="s">
        <v>17</v>
      </c>
      <c r="DZ64" s="16"/>
      <c r="EA64" s="15"/>
      <c r="EB64" s="15"/>
      <c r="EC64" s="15"/>
      <c r="ED64" s="15"/>
      <c r="EE64" s="14"/>
      <c r="EG64" s="5">
        <v>3</v>
      </c>
      <c r="EH64" s="4" t="s">
        <v>31</v>
      </c>
      <c r="EI64" s="4" t="s">
        <v>29</v>
      </c>
      <c r="EJ64" s="8"/>
      <c r="EK64" s="42"/>
      <c r="EL64" s="3"/>
      <c r="EM64" s="3"/>
      <c r="EN64" s="2"/>
      <c r="EO64" s="75"/>
      <c r="EP64" s="10"/>
      <c r="EQ64" s="9"/>
      <c r="ER64" s="9" t="s">
        <v>215</v>
      </c>
      <c r="ES64" s="8"/>
      <c r="ET64" s="41"/>
      <c r="EU64" s="45"/>
      <c r="EV64" s="8"/>
      <c r="EW64" s="7"/>
      <c r="EY64" s="10"/>
      <c r="EZ64" s="9"/>
      <c r="FA64" s="9" t="s">
        <v>225</v>
      </c>
      <c r="FB64" s="8"/>
      <c r="FC64" s="41"/>
      <c r="FD64" s="8"/>
      <c r="FE64" s="8"/>
      <c r="FF64" s="7"/>
      <c r="FH64" s="17" t="s">
        <v>18</v>
      </c>
      <c r="FI64" s="16" t="s">
        <v>17</v>
      </c>
      <c r="FJ64" s="16"/>
      <c r="FK64" s="15"/>
      <c r="FL64" s="15"/>
      <c r="FM64" s="15"/>
      <c r="FN64" s="15"/>
      <c r="FO64" s="14"/>
    </row>
    <row r="65" spans="2:171" ht="15.75" thickBot="1" x14ac:dyDescent="0.3">
      <c r="B65" s="10">
        <v>1</v>
      </c>
      <c r="C65" s="9" t="s">
        <v>16</v>
      </c>
      <c r="D65" s="9"/>
      <c r="E65" s="8"/>
      <c r="F65" s="8"/>
      <c r="G65" s="8"/>
      <c r="H65" s="8"/>
      <c r="I65" s="7"/>
      <c r="K65" s="10">
        <v>1</v>
      </c>
      <c r="L65" s="9" t="s">
        <v>16</v>
      </c>
      <c r="M65" s="9"/>
      <c r="N65" s="8"/>
      <c r="O65" s="8"/>
      <c r="P65" s="8"/>
      <c r="Q65" s="8"/>
      <c r="R65" s="7"/>
      <c r="T65" s="5"/>
      <c r="U65" s="4"/>
      <c r="V65" s="4" t="s">
        <v>130</v>
      </c>
      <c r="W65" s="3"/>
      <c r="X65" s="3"/>
      <c r="Y65" s="3"/>
      <c r="Z65" s="3"/>
      <c r="AA65" s="2"/>
      <c r="AC65" s="5"/>
      <c r="AD65" s="4"/>
      <c r="AE65" s="4" t="s">
        <v>23</v>
      </c>
      <c r="AF65" s="3"/>
      <c r="AG65" s="42"/>
      <c r="AH65" s="31"/>
      <c r="AI65" s="31"/>
      <c r="AJ65" s="2"/>
      <c r="AL65" s="5"/>
      <c r="AM65" s="4"/>
      <c r="AN65" s="4" t="s">
        <v>139</v>
      </c>
      <c r="AO65" s="3"/>
      <c r="AP65" s="42"/>
      <c r="AQ65" s="3"/>
      <c r="AR65" s="3"/>
      <c r="AS65" s="2"/>
      <c r="AU65" s="17" t="s">
        <v>18</v>
      </c>
      <c r="AV65" s="16" t="s">
        <v>17</v>
      </c>
      <c r="AW65" s="16"/>
      <c r="AX65" s="15"/>
      <c r="AY65" s="15"/>
      <c r="AZ65" s="15"/>
      <c r="BA65" s="15"/>
      <c r="BB65" s="14"/>
      <c r="BD65" s="5">
        <v>3</v>
      </c>
      <c r="BE65" s="4" t="s">
        <v>31</v>
      </c>
      <c r="BF65" s="4" t="s">
        <v>148</v>
      </c>
      <c r="BG65" s="3"/>
      <c r="BH65" s="42"/>
      <c r="BI65" s="3"/>
      <c r="BJ65" s="3"/>
      <c r="BK65" s="38"/>
      <c r="BM65" s="5"/>
      <c r="BN65" s="4"/>
      <c r="BO65" s="4" t="s">
        <v>160</v>
      </c>
      <c r="BP65" s="3"/>
      <c r="BQ65" s="42"/>
      <c r="BR65" s="3"/>
      <c r="BS65" s="3"/>
      <c r="BT65" s="2"/>
      <c r="BV65" s="10">
        <v>1</v>
      </c>
      <c r="BW65" s="9" t="s">
        <v>16</v>
      </c>
      <c r="BX65" s="9"/>
      <c r="BY65" s="8"/>
      <c r="BZ65" s="8"/>
      <c r="CA65" s="8"/>
      <c r="CB65" s="8"/>
      <c r="CC65" s="7"/>
      <c r="CE65" s="17" t="s">
        <v>18</v>
      </c>
      <c r="CF65" s="16" t="s">
        <v>17</v>
      </c>
      <c r="CG65" s="16"/>
      <c r="CH65" s="15"/>
      <c r="CI65" s="15"/>
      <c r="CJ65" s="15"/>
      <c r="CK65" s="15"/>
      <c r="CL65" s="14"/>
      <c r="CN65" s="5">
        <v>3</v>
      </c>
      <c r="CO65" s="4" t="s">
        <v>31</v>
      </c>
      <c r="CP65" s="4"/>
      <c r="CQ65" s="3"/>
      <c r="CR65" s="42"/>
      <c r="CS65" s="3"/>
      <c r="CT65" s="3"/>
      <c r="CU65" s="2"/>
      <c r="CV65" s="76"/>
      <c r="CW65" s="5"/>
      <c r="CX65" s="4"/>
      <c r="CY65" s="4" t="s">
        <v>185</v>
      </c>
      <c r="CZ65" s="3"/>
      <c r="DA65" s="42"/>
      <c r="DB65" s="3"/>
      <c r="DC65" s="3"/>
      <c r="DD65" s="2"/>
      <c r="DE65" s="76"/>
      <c r="DF65" s="17" t="s">
        <v>18</v>
      </c>
      <c r="DG65" s="16" t="s">
        <v>17</v>
      </c>
      <c r="DH65" s="16"/>
      <c r="DI65" s="15"/>
      <c r="DJ65" s="15"/>
      <c r="DK65" s="15"/>
      <c r="DL65" s="15"/>
      <c r="DM65" s="14"/>
      <c r="DN65" s="76"/>
      <c r="DO65" s="5"/>
      <c r="DP65" s="4"/>
      <c r="DQ65" s="4" t="s">
        <v>197</v>
      </c>
      <c r="DR65" s="3"/>
      <c r="DS65" s="42"/>
      <c r="DT65" s="3"/>
      <c r="DU65" s="3"/>
      <c r="DV65" s="44"/>
      <c r="DX65" s="10">
        <v>1</v>
      </c>
      <c r="DY65" s="9" t="s">
        <v>16</v>
      </c>
      <c r="DZ65" s="9"/>
      <c r="EA65" s="8"/>
      <c r="EB65" s="8"/>
      <c r="EC65" s="8"/>
      <c r="ED65" s="8"/>
      <c r="EE65" s="7"/>
      <c r="EG65" s="17" t="s">
        <v>18</v>
      </c>
      <c r="EH65" s="16" t="s">
        <v>17</v>
      </c>
      <c r="EI65" s="16"/>
      <c r="EJ65" s="15"/>
      <c r="EK65" s="15"/>
      <c r="EL65" s="15"/>
      <c r="EM65" s="15"/>
      <c r="EN65" s="14"/>
      <c r="EO65" s="75"/>
      <c r="EP65" s="10"/>
      <c r="EQ65" s="9"/>
      <c r="ER65" s="9" t="s">
        <v>216</v>
      </c>
      <c r="ES65" s="8"/>
      <c r="ET65" s="41"/>
      <c r="EU65" s="45"/>
      <c r="EV65" s="8"/>
      <c r="EW65" s="7"/>
      <c r="EY65" s="10"/>
      <c r="EZ65" s="9"/>
      <c r="FA65" s="9" t="s">
        <v>228</v>
      </c>
      <c r="FB65" s="8"/>
      <c r="FC65" s="41"/>
      <c r="FD65" s="8"/>
      <c r="FE65" s="8"/>
      <c r="FF65" s="7"/>
      <c r="FH65" s="10">
        <v>1</v>
      </c>
      <c r="FI65" s="9" t="s">
        <v>16</v>
      </c>
      <c r="FJ65" s="9"/>
      <c r="FK65" s="8"/>
      <c r="FL65" s="8"/>
      <c r="FM65" s="8"/>
      <c r="FN65" s="8"/>
      <c r="FO65" s="7"/>
    </row>
    <row r="66" spans="2:171" ht="15.75" thickBot="1" x14ac:dyDescent="0.3">
      <c r="B66" s="10">
        <v>2</v>
      </c>
      <c r="C66" s="4" t="s">
        <v>14</v>
      </c>
      <c r="D66" s="4"/>
      <c r="E66" s="3"/>
      <c r="F66" s="3"/>
      <c r="G66" s="3"/>
      <c r="H66" s="3"/>
      <c r="I66" s="2"/>
      <c r="K66" s="10">
        <v>2</v>
      </c>
      <c r="L66" s="4" t="s">
        <v>14</v>
      </c>
      <c r="M66" s="4"/>
      <c r="N66" s="3"/>
      <c r="O66" s="3"/>
      <c r="P66" s="3"/>
      <c r="Q66" s="3"/>
      <c r="R66" s="2"/>
      <c r="T66" s="5"/>
      <c r="U66" s="4"/>
      <c r="V66" s="4" t="s">
        <v>131</v>
      </c>
      <c r="W66" s="3"/>
      <c r="X66" s="3"/>
      <c r="Y66" s="3"/>
      <c r="Z66" s="3"/>
      <c r="AA66" s="2"/>
      <c r="AC66" s="5"/>
      <c r="AD66" s="4"/>
      <c r="AE66" s="4" t="s">
        <v>132</v>
      </c>
      <c r="AF66" s="3"/>
      <c r="AG66" s="42"/>
      <c r="AH66" s="31"/>
      <c r="AI66" s="31"/>
      <c r="AJ66" s="2"/>
      <c r="AL66" s="5"/>
      <c r="AM66" s="4"/>
      <c r="AN66" s="4" t="s">
        <v>140</v>
      </c>
      <c r="AO66" s="3"/>
      <c r="AP66" s="42"/>
      <c r="AQ66" s="3"/>
      <c r="AR66" s="3"/>
      <c r="AS66" s="2"/>
      <c r="AU66" s="10">
        <v>1</v>
      </c>
      <c r="AV66" s="9" t="s">
        <v>16</v>
      </c>
      <c r="AW66" s="9"/>
      <c r="AX66" s="8"/>
      <c r="AY66" s="8"/>
      <c r="AZ66" s="8"/>
      <c r="BA66" s="8"/>
      <c r="BB66" s="7"/>
      <c r="BD66" s="17" t="s">
        <v>18</v>
      </c>
      <c r="BE66" s="16" t="s">
        <v>17</v>
      </c>
      <c r="BF66" s="16"/>
      <c r="BG66" s="15"/>
      <c r="BH66" s="15"/>
      <c r="BI66" s="15"/>
      <c r="BJ66" s="15"/>
      <c r="BK66" s="14"/>
      <c r="BM66" s="17" t="s">
        <v>18</v>
      </c>
      <c r="BN66" s="16" t="s">
        <v>17</v>
      </c>
      <c r="BO66" s="16"/>
      <c r="BP66" s="15"/>
      <c r="BQ66" s="15"/>
      <c r="BR66" s="15"/>
      <c r="BS66" s="15"/>
      <c r="BT66" s="14"/>
      <c r="BV66" s="10">
        <v>2</v>
      </c>
      <c r="BW66" s="4" t="s">
        <v>14</v>
      </c>
      <c r="BX66" s="4"/>
      <c r="BY66" s="3"/>
      <c r="BZ66" s="3"/>
      <c r="CA66" s="3"/>
      <c r="CB66" s="3"/>
      <c r="CC66" s="2"/>
      <c r="CE66" s="10">
        <v>1</v>
      </c>
      <c r="CF66" s="9" t="s">
        <v>16</v>
      </c>
      <c r="CG66" s="9"/>
      <c r="CH66" s="8"/>
      <c r="CI66" s="8"/>
      <c r="CJ66" s="8"/>
      <c r="CK66" s="8"/>
      <c r="CL66" s="7"/>
      <c r="CN66" s="17" t="s">
        <v>18</v>
      </c>
      <c r="CO66" s="16" t="s">
        <v>17</v>
      </c>
      <c r="CP66" s="16"/>
      <c r="CQ66" s="15"/>
      <c r="CR66" s="15"/>
      <c r="CS66" s="15"/>
      <c r="CT66" s="15"/>
      <c r="CU66" s="14"/>
      <c r="CV66" s="75"/>
      <c r="CW66" s="5">
        <v>3</v>
      </c>
      <c r="CX66" s="4" t="s">
        <v>31</v>
      </c>
      <c r="CY66" s="4"/>
      <c r="CZ66" s="3"/>
      <c r="DA66" s="42"/>
      <c r="DB66" s="3"/>
      <c r="DC66" s="3"/>
      <c r="DD66" s="2"/>
      <c r="DE66" s="75"/>
      <c r="DF66" s="10">
        <v>1</v>
      </c>
      <c r="DG66" s="9" t="s">
        <v>16</v>
      </c>
      <c r="DH66" s="9"/>
      <c r="DI66" s="8"/>
      <c r="DJ66" s="8"/>
      <c r="DK66" s="8"/>
      <c r="DL66" s="8"/>
      <c r="DM66" s="7"/>
      <c r="DN66" s="75"/>
      <c r="DO66" s="5">
        <v>3</v>
      </c>
      <c r="DP66" s="4" t="s">
        <v>31</v>
      </c>
      <c r="DQ66" s="4"/>
      <c r="DR66" s="3"/>
      <c r="DS66" s="42"/>
      <c r="DT66" s="3"/>
      <c r="DU66" s="3"/>
      <c r="DV66" s="2"/>
      <c r="DX66" s="10">
        <v>2</v>
      </c>
      <c r="DY66" s="4" t="s">
        <v>14</v>
      </c>
      <c r="DZ66" s="4"/>
      <c r="EA66" s="3"/>
      <c r="EB66" s="3"/>
      <c r="EC66" s="3"/>
      <c r="ED66" s="3"/>
      <c r="EE66" s="2"/>
      <c r="EG66" s="10">
        <v>1</v>
      </c>
      <c r="EH66" s="9" t="s">
        <v>16</v>
      </c>
      <c r="EI66" s="9"/>
      <c r="EJ66" s="8"/>
      <c r="EK66" s="8"/>
      <c r="EL66" s="8"/>
      <c r="EM66" s="8"/>
      <c r="EN66" s="7"/>
      <c r="EO66" s="75"/>
      <c r="EP66" s="5">
        <v>2</v>
      </c>
      <c r="EQ66" s="4" t="s">
        <v>33</v>
      </c>
      <c r="ER66" s="4" t="s">
        <v>217</v>
      </c>
      <c r="ES66" s="8"/>
      <c r="ET66" s="42"/>
      <c r="EU66" s="3"/>
      <c r="EV66" s="3"/>
      <c r="EW66" s="2"/>
      <c r="EY66" s="10"/>
      <c r="EZ66" s="9"/>
      <c r="FA66" s="9" t="s">
        <v>229</v>
      </c>
      <c r="FB66" s="8"/>
      <c r="FC66" s="41"/>
      <c r="FD66" s="8"/>
      <c r="FE66" s="8"/>
      <c r="FF66" s="7"/>
      <c r="FH66" s="10">
        <v>2</v>
      </c>
      <c r="FI66" s="4" t="s">
        <v>14</v>
      </c>
      <c r="FJ66" s="4"/>
      <c r="FK66" s="3"/>
      <c r="FL66" s="3"/>
      <c r="FM66" s="3"/>
      <c r="FN66" s="3"/>
      <c r="FO66" s="2"/>
    </row>
    <row r="67" spans="2:171" ht="15.75" thickBot="1" x14ac:dyDescent="0.3">
      <c r="B67" s="33">
        <v>3</v>
      </c>
      <c r="C67" s="32" t="s">
        <v>10</v>
      </c>
      <c r="D67" s="32" t="s">
        <v>252</v>
      </c>
      <c r="E67" s="31"/>
      <c r="F67" s="31"/>
      <c r="G67" s="31"/>
      <c r="H67" s="31"/>
      <c r="I67" s="30"/>
      <c r="K67" s="33">
        <v>3</v>
      </c>
      <c r="L67" s="32" t="s">
        <v>10</v>
      </c>
      <c r="M67" s="32" t="s">
        <v>123</v>
      </c>
      <c r="N67" s="31"/>
      <c r="O67" s="31"/>
      <c r="P67" s="31"/>
      <c r="Q67" s="31"/>
      <c r="R67" s="30"/>
      <c r="T67" s="17" t="s">
        <v>18</v>
      </c>
      <c r="U67" s="16" t="s">
        <v>17</v>
      </c>
      <c r="V67" s="16"/>
      <c r="W67" s="15"/>
      <c r="X67" s="15"/>
      <c r="Y67" s="15"/>
      <c r="Z67" s="15"/>
      <c r="AA67" s="14"/>
      <c r="AC67" s="5"/>
      <c r="AD67" s="4"/>
      <c r="AE67" s="4" t="s">
        <v>133</v>
      </c>
      <c r="AF67" s="3"/>
      <c r="AG67" s="42"/>
      <c r="AH67" s="31"/>
      <c r="AI67" s="31"/>
      <c r="AJ67" s="2"/>
      <c r="AL67" s="5"/>
      <c r="AM67" s="4"/>
      <c r="AN67" s="4" t="s">
        <v>141</v>
      </c>
      <c r="AO67" s="3"/>
      <c r="AP67" s="42"/>
      <c r="AQ67" s="3"/>
      <c r="AR67" s="3"/>
      <c r="AS67" s="2"/>
      <c r="AU67" s="10">
        <v>2</v>
      </c>
      <c r="AV67" s="4" t="s">
        <v>14</v>
      </c>
      <c r="AW67" s="4"/>
      <c r="AX67" s="3"/>
      <c r="AY67" s="3"/>
      <c r="AZ67" s="3"/>
      <c r="BA67" s="3"/>
      <c r="BB67" s="2"/>
      <c r="BD67" s="10">
        <v>1</v>
      </c>
      <c r="BE67" s="9" t="s">
        <v>16</v>
      </c>
      <c r="BF67" s="9"/>
      <c r="BG67" s="8"/>
      <c r="BH67" s="8"/>
      <c r="BI67" s="8"/>
      <c r="BJ67" s="8"/>
      <c r="BK67" s="7"/>
      <c r="BM67" s="10">
        <v>1</v>
      </c>
      <c r="BN67" s="9" t="s">
        <v>16</v>
      </c>
      <c r="BO67" s="9"/>
      <c r="BP67" s="8"/>
      <c r="BQ67" s="8"/>
      <c r="BR67" s="8"/>
      <c r="BS67" s="8"/>
      <c r="BT67" s="7"/>
      <c r="BV67" s="33">
        <v>3</v>
      </c>
      <c r="BW67" s="32" t="s">
        <v>10</v>
      </c>
      <c r="BX67" s="32" t="s">
        <v>164</v>
      </c>
      <c r="BY67" s="31"/>
      <c r="BZ67" s="31"/>
      <c r="CA67" s="31"/>
      <c r="CB67" s="31"/>
      <c r="CC67" s="30"/>
      <c r="CE67" s="10">
        <v>2</v>
      </c>
      <c r="CF67" s="4" t="s">
        <v>14</v>
      </c>
      <c r="CG67" s="4"/>
      <c r="CH67" s="3"/>
      <c r="CI67" s="3"/>
      <c r="CJ67" s="3"/>
      <c r="CK67" s="3"/>
      <c r="CL67" s="2"/>
      <c r="CN67" s="10">
        <v>1</v>
      </c>
      <c r="CO67" s="9" t="s">
        <v>16</v>
      </c>
      <c r="CP67" s="9"/>
      <c r="CQ67" s="8"/>
      <c r="CR67" s="8"/>
      <c r="CS67" s="8"/>
      <c r="CT67" s="8"/>
      <c r="CU67" s="7"/>
      <c r="CV67" s="75"/>
      <c r="CW67" s="17" t="s">
        <v>18</v>
      </c>
      <c r="CX67" s="16" t="s">
        <v>17</v>
      </c>
      <c r="CY67" s="16"/>
      <c r="CZ67" s="15"/>
      <c r="DA67" s="15"/>
      <c r="DB67" s="15"/>
      <c r="DC67" s="15"/>
      <c r="DD67" s="14"/>
      <c r="DE67" s="75"/>
      <c r="DF67" s="10">
        <v>2</v>
      </c>
      <c r="DG67" s="4" t="s">
        <v>14</v>
      </c>
      <c r="DH67" s="4"/>
      <c r="DI67" s="3"/>
      <c r="DJ67" s="3"/>
      <c r="DK67" s="3"/>
      <c r="DL67" s="3"/>
      <c r="DM67" s="2"/>
      <c r="DN67" s="75"/>
      <c r="DO67" s="17" t="s">
        <v>18</v>
      </c>
      <c r="DP67" s="16" t="s">
        <v>17</v>
      </c>
      <c r="DQ67" s="16"/>
      <c r="DR67" s="15"/>
      <c r="DS67" s="15"/>
      <c r="DT67" s="15"/>
      <c r="DU67" s="15"/>
      <c r="DV67" s="14"/>
      <c r="DX67" s="33">
        <v>3</v>
      </c>
      <c r="DY67" s="32" t="s">
        <v>10</v>
      </c>
      <c r="DZ67" s="32" t="s">
        <v>243</v>
      </c>
      <c r="EA67" s="31"/>
      <c r="EB67" s="31"/>
      <c r="EC67" s="31"/>
      <c r="ED67" s="31"/>
      <c r="EE67" s="30"/>
      <c r="EG67" s="10">
        <v>2</v>
      </c>
      <c r="EH67" s="4" t="s">
        <v>14</v>
      </c>
      <c r="EI67" s="4"/>
      <c r="EJ67" s="3"/>
      <c r="EK67" s="3"/>
      <c r="EL67" s="3"/>
      <c r="EM67" s="3"/>
      <c r="EN67" s="2"/>
      <c r="EO67" s="75"/>
      <c r="EP67" s="5">
        <v>3</v>
      </c>
      <c r="EQ67" s="4" t="s">
        <v>31</v>
      </c>
      <c r="ER67" s="40" t="s">
        <v>25</v>
      </c>
      <c r="ES67" s="8"/>
      <c r="ET67" s="42"/>
      <c r="EU67" s="3"/>
      <c r="EV67" s="3"/>
      <c r="EW67" s="2"/>
      <c r="EY67" s="5">
        <v>2</v>
      </c>
      <c r="EZ67" s="4" t="s">
        <v>33</v>
      </c>
      <c r="FA67" s="4" t="s">
        <v>226</v>
      </c>
      <c r="FB67" s="8"/>
      <c r="FC67" s="42"/>
      <c r="FD67" s="3"/>
      <c r="FE67" s="3"/>
      <c r="FF67" s="2"/>
      <c r="FH67" s="33">
        <v>3</v>
      </c>
      <c r="FI67" s="32" t="s">
        <v>10</v>
      </c>
      <c r="FJ67" s="32" t="s">
        <v>206</v>
      </c>
      <c r="FK67" s="31"/>
      <c r="FL67" s="31"/>
      <c r="FM67" s="31"/>
      <c r="FN67" s="31"/>
      <c r="FO67" s="30"/>
    </row>
    <row r="68" spans="2:171" ht="15.75" thickBot="1" x14ac:dyDescent="0.3">
      <c r="B68" s="17" t="s">
        <v>9</v>
      </c>
      <c r="C68" s="16" t="s">
        <v>246</v>
      </c>
      <c r="D68" s="16"/>
      <c r="E68" s="15"/>
      <c r="F68" s="15"/>
      <c r="G68" s="15"/>
      <c r="H68" s="15"/>
      <c r="I68" s="14"/>
      <c r="K68" s="17" t="s">
        <v>9</v>
      </c>
      <c r="L68" s="16" t="s">
        <v>246</v>
      </c>
      <c r="M68" s="16"/>
      <c r="N68" s="15"/>
      <c r="O68" s="15"/>
      <c r="P68" s="15"/>
      <c r="Q68" s="15"/>
      <c r="R68" s="14"/>
      <c r="T68" s="10">
        <v>1</v>
      </c>
      <c r="U68" s="9" t="s">
        <v>16</v>
      </c>
      <c r="V68" s="9"/>
      <c r="W68" s="8"/>
      <c r="X68" s="8"/>
      <c r="Y68" s="8"/>
      <c r="Z68" s="8"/>
      <c r="AA68" s="7"/>
      <c r="AC68" s="5"/>
      <c r="AD68" s="4"/>
      <c r="AE68" s="4" t="s">
        <v>134</v>
      </c>
      <c r="AF68" s="3"/>
      <c r="AG68" s="42"/>
      <c r="AH68" s="31"/>
      <c r="AI68" s="31"/>
      <c r="AJ68" s="2"/>
      <c r="AL68" s="17" t="s">
        <v>18</v>
      </c>
      <c r="AM68" s="16" t="s">
        <v>17</v>
      </c>
      <c r="AN68" s="16"/>
      <c r="AO68" s="15"/>
      <c r="AP68" s="15"/>
      <c r="AQ68" s="15"/>
      <c r="AR68" s="15"/>
      <c r="AS68" s="14"/>
      <c r="AU68" s="33">
        <v>3</v>
      </c>
      <c r="AV68" s="32" t="s">
        <v>10</v>
      </c>
      <c r="AW68" s="32" t="s">
        <v>15</v>
      </c>
      <c r="AX68" s="31"/>
      <c r="AY68" s="31"/>
      <c r="AZ68" s="31"/>
      <c r="BA68" s="31"/>
      <c r="BB68" s="30"/>
      <c r="BD68" s="10">
        <v>2</v>
      </c>
      <c r="BE68" s="4" t="s">
        <v>14</v>
      </c>
      <c r="BF68" s="4"/>
      <c r="BG68" s="3"/>
      <c r="BH68" s="3"/>
      <c r="BI68" s="3"/>
      <c r="BJ68" s="3"/>
      <c r="BK68" s="2"/>
      <c r="BM68" s="10">
        <v>2</v>
      </c>
      <c r="BN68" s="4" t="s">
        <v>14</v>
      </c>
      <c r="BO68" s="4"/>
      <c r="BP68" s="3"/>
      <c r="BQ68" s="3"/>
      <c r="BR68" s="3"/>
      <c r="BS68" s="3"/>
      <c r="BT68" s="2"/>
      <c r="BV68" s="17" t="s">
        <v>9</v>
      </c>
      <c r="BW68" s="16" t="s">
        <v>246</v>
      </c>
      <c r="BX68" s="16"/>
      <c r="BY68" s="15"/>
      <c r="BZ68" s="15"/>
      <c r="CA68" s="15"/>
      <c r="CB68" s="15"/>
      <c r="CC68" s="14"/>
      <c r="CE68" s="33">
        <v>3</v>
      </c>
      <c r="CF68" s="32" t="s">
        <v>10</v>
      </c>
      <c r="CG68" s="32" t="s">
        <v>170</v>
      </c>
      <c r="CH68" s="31"/>
      <c r="CI68" s="31"/>
      <c r="CJ68" s="31"/>
      <c r="CK68" s="31"/>
      <c r="CL68" s="30"/>
      <c r="CN68" s="10">
        <v>2</v>
      </c>
      <c r="CO68" s="4" t="s">
        <v>14</v>
      </c>
      <c r="CP68" s="4"/>
      <c r="CQ68" s="3"/>
      <c r="CR68" s="3"/>
      <c r="CS68" s="3"/>
      <c r="CT68" s="3"/>
      <c r="CU68" s="2"/>
      <c r="CV68" s="75"/>
      <c r="CW68" s="10">
        <v>1</v>
      </c>
      <c r="CX68" s="9" t="s">
        <v>16</v>
      </c>
      <c r="CY68" s="9"/>
      <c r="CZ68" s="8"/>
      <c r="DA68" s="8"/>
      <c r="DB68" s="8"/>
      <c r="DC68" s="8"/>
      <c r="DD68" s="7"/>
      <c r="DE68" s="75"/>
      <c r="DF68" s="33">
        <v>3</v>
      </c>
      <c r="DG68" s="32" t="s">
        <v>10</v>
      </c>
      <c r="DH68" s="32" t="s">
        <v>192</v>
      </c>
      <c r="DI68" s="31"/>
      <c r="DJ68" s="31"/>
      <c r="DK68" s="31"/>
      <c r="DL68" s="31"/>
      <c r="DM68" s="30"/>
      <c r="DN68" s="75"/>
      <c r="DO68" s="10">
        <v>1</v>
      </c>
      <c r="DP68" s="9" t="s">
        <v>16</v>
      </c>
      <c r="DQ68" s="9"/>
      <c r="DR68" s="8"/>
      <c r="DS68" s="8"/>
      <c r="DT68" s="8"/>
      <c r="DU68" s="8"/>
      <c r="DV68" s="7"/>
      <c r="DX68" s="17" t="s">
        <v>9</v>
      </c>
      <c r="DY68" s="16" t="s">
        <v>246</v>
      </c>
      <c r="DZ68" s="16"/>
      <c r="EA68" s="15"/>
      <c r="EB68" s="15"/>
      <c r="EC68" s="15"/>
      <c r="ED68" s="15"/>
      <c r="EE68" s="14"/>
      <c r="EG68" s="33">
        <v>3</v>
      </c>
      <c r="EH68" s="32" t="s">
        <v>10</v>
      </c>
      <c r="EI68" s="32" t="s">
        <v>209</v>
      </c>
      <c r="EJ68" s="31"/>
      <c r="EK68" s="31"/>
      <c r="EL68" s="31"/>
      <c r="EM68" s="31"/>
      <c r="EN68" s="30"/>
      <c r="EO68" s="75"/>
      <c r="EP68" s="17" t="s">
        <v>18</v>
      </c>
      <c r="EQ68" s="16" t="s">
        <v>17</v>
      </c>
      <c r="ER68" s="16"/>
      <c r="ES68" s="15"/>
      <c r="ET68" s="15"/>
      <c r="EU68" s="15"/>
      <c r="EV68" s="15"/>
      <c r="EW68" s="14"/>
      <c r="EY68" s="5"/>
      <c r="EZ68" s="4"/>
      <c r="FA68" s="4" t="s">
        <v>237</v>
      </c>
      <c r="FB68" s="8"/>
      <c r="FC68" s="42"/>
      <c r="FD68" s="3"/>
      <c r="FE68" s="3"/>
      <c r="FF68" s="2"/>
      <c r="FH68" s="17" t="s">
        <v>9</v>
      </c>
      <c r="FI68" s="16" t="s">
        <v>246</v>
      </c>
      <c r="FJ68" s="16"/>
      <c r="FK68" s="15"/>
      <c r="FL68" s="15"/>
      <c r="FM68" s="15"/>
      <c r="FN68" s="15"/>
      <c r="FO68" s="14"/>
    </row>
    <row r="69" spans="2:171" ht="15.75" thickBot="1" x14ac:dyDescent="0.3">
      <c r="B69" s="10">
        <v>1</v>
      </c>
      <c r="C69" s="9" t="s">
        <v>8</v>
      </c>
      <c r="D69" s="9"/>
      <c r="E69" s="8"/>
      <c r="F69" s="8"/>
      <c r="G69" s="8"/>
      <c r="H69" s="8"/>
      <c r="I69" s="7"/>
      <c r="K69" s="10">
        <v>1</v>
      </c>
      <c r="L69" s="9" t="s">
        <v>8</v>
      </c>
      <c r="M69" s="9" t="s">
        <v>241</v>
      </c>
      <c r="N69" s="8"/>
      <c r="O69" s="8"/>
      <c r="P69" s="8"/>
      <c r="Q69" s="8"/>
      <c r="R69" s="7"/>
      <c r="T69" s="10">
        <v>2</v>
      </c>
      <c r="U69" s="4" t="s">
        <v>14</v>
      </c>
      <c r="V69" s="4"/>
      <c r="W69" s="31"/>
      <c r="X69" s="31"/>
      <c r="Y69" s="31"/>
      <c r="Z69" s="31"/>
      <c r="AA69" s="2"/>
      <c r="AC69" s="17" t="s">
        <v>18</v>
      </c>
      <c r="AD69" s="16" t="s">
        <v>17</v>
      </c>
      <c r="AE69" s="16"/>
      <c r="AF69" s="15"/>
      <c r="AG69" s="15"/>
      <c r="AH69" s="15"/>
      <c r="AI69" s="15"/>
      <c r="AJ69" s="14"/>
      <c r="AL69" s="10">
        <v>1</v>
      </c>
      <c r="AM69" s="9" t="s">
        <v>16</v>
      </c>
      <c r="AN69" s="9"/>
      <c r="AO69" s="8"/>
      <c r="AP69" s="8"/>
      <c r="AQ69" s="8"/>
      <c r="AR69" s="8"/>
      <c r="AS69" s="7"/>
      <c r="AU69" s="17" t="s">
        <v>9</v>
      </c>
      <c r="AV69" s="16" t="s">
        <v>246</v>
      </c>
      <c r="AW69" s="16"/>
      <c r="AX69" s="15"/>
      <c r="AY69" s="15"/>
      <c r="AZ69" s="15"/>
      <c r="BA69" s="15"/>
      <c r="BB69" s="14"/>
      <c r="BD69" s="33">
        <v>3</v>
      </c>
      <c r="BE69" s="32" t="s">
        <v>10</v>
      </c>
      <c r="BF69" s="32" t="s">
        <v>150</v>
      </c>
      <c r="BG69" s="31"/>
      <c r="BH69" s="31"/>
      <c r="BI69" s="31"/>
      <c r="BJ69" s="31"/>
      <c r="BK69" s="30"/>
      <c r="BM69" s="33">
        <v>3</v>
      </c>
      <c r="BN69" s="32" t="s">
        <v>10</v>
      </c>
      <c r="BO69" s="32" t="s">
        <v>158</v>
      </c>
      <c r="BP69" s="31"/>
      <c r="BQ69" s="31"/>
      <c r="BR69" s="31"/>
      <c r="BS69" s="31"/>
      <c r="BT69" s="30"/>
      <c r="BV69" s="10">
        <v>1</v>
      </c>
      <c r="BW69" s="9" t="s">
        <v>8</v>
      </c>
      <c r="BX69" s="9" t="s">
        <v>165</v>
      </c>
      <c r="BY69" s="8"/>
      <c r="BZ69" s="8"/>
      <c r="CA69" s="8"/>
      <c r="CB69" s="8"/>
      <c r="CC69" s="7"/>
      <c r="CE69" s="17" t="s">
        <v>9</v>
      </c>
      <c r="CF69" s="16" t="s">
        <v>246</v>
      </c>
      <c r="CG69" s="16"/>
      <c r="CH69" s="15"/>
      <c r="CI69" s="15"/>
      <c r="CJ69" s="15"/>
      <c r="CK69" s="15"/>
      <c r="CL69" s="14"/>
      <c r="CN69" s="33">
        <v>3</v>
      </c>
      <c r="CO69" s="32" t="s">
        <v>10</v>
      </c>
      <c r="CP69" s="32" t="s">
        <v>177</v>
      </c>
      <c r="CQ69" s="31"/>
      <c r="CR69" s="31"/>
      <c r="CS69" s="31"/>
      <c r="CT69" s="31"/>
      <c r="CU69" s="30"/>
      <c r="CV69" s="75"/>
      <c r="CW69" s="10">
        <v>2</v>
      </c>
      <c r="CX69" s="4" t="s">
        <v>14</v>
      </c>
      <c r="CY69" s="4"/>
      <c r="CZ69" s="3"/>
      <c r="DA69" s="3"/>
      <c r="DB69" s="3"/>
      <c r="DC69" s="3"/>
      <c r="DD69" s="2"/>
      <c r="DE69" s="75"/>
      <c r="DF69" s="17" t="s">
        <v>9</v>
      </c>
      <c r="DG69" s="16" t="s">
        <v>246</v>
      </c>
      <c r="DH69" s="16"/>
      <c r="DI69" s="15"/>
      <c r="DJ69" s="15"/>
      <c r="DK69" s="15"/>
      <c r="DL69" s="15"/>
      <c r="DM69" s="14"/>
      <c r="DN69" s="75"/>
      <c r="DO69" s="10">
        <v>2</v>
      </c>
      <c r="DP69" s="4" t="s">
        <v>14</v>
      </c>
      <c r="DQ69" s="4"/>
      <c r="DR69" s="3"/>
      <c r="DS69" s="3"/>
      <c r="DT69" s="3"/>
      <c r="DU69" s="3"/>
      <c r="DV69" s="2"/>
      <c r="DX69" s="10">
        <v>1</v>
      </c>
      <c r="DY69" s="9" t="s">
        <v>8</v>
      </c>
      <c r="EA69" s="8"/>
      <c r="EB69" s="8"/>
      <c r="EC69" s="8"/>
      <c r="ED69" s="8"/>
      <c r="EE69" s="7"/>
      <c r="EG69" s="17" t="s">
        <v>9</v>
      </c>
      <c r="EH69" s="16" t="s">
        <v>246</v>
      </c>
      <c r="EI69" s="16"/>
      <c r="EJ69" s="15"/>
      <c r="EK69" s="15"/>
      <c r="EL69" s="15"/>
      <c r="EM69" s="15"/>
      <c r="EN69" s="14"/>
      <c r="EO69" s="75"/>
      <c r="EP69" s="10">
        <v>1</v>
      </c>
      <c r="EQ69" s="9" t="s">
        <v>16</v>
      </c>
      <c r="ER69" s="9"/>
      <c r="ES69" s="8"/>
      <c r="ET69" s="8"/>
      <c r="EU69" s="8"/>
      <c r="EV69" s="8"/>
      <c r="EW69" s="7"/>
      <c r="EY69" s="5"/>
      <c r="EZ69" s="4"/>
      <c r="FA69" s="4" t="s">
        <v>235</v>
      </c>
      <c r="FB69" s="8"/>
      <c r="FC69" s="42"/>
      <c r="FD69" s="3"/>
      <c r="FE69" s="3"/>
      <c r="FF69" s="2"/>
      <c r="FH69" s="10">
        <v>1</v>
      </c>
      <c r="FI69" s="9" t="s">
        <v>8</v>
      </c>
      <c r="FJ69" s="9"/>
      <c r="FK69" s="8"/>
      <c r="FL69" s="8"/>
      <c r="FM69" s="8"/>
      <c r="FN69" s="8"/>
      <c r="FO69" s="7"/>
    </row>
    <row r="70" spans="2:171" ht="15.75" thickBot="1" x14ac:dyDescent="0.3">
      <c r="B70" s="10">
        <v>2</v>
      </c>
      <c r="C70" s="9" t="s">
        <v>249</v>
      </c>
      <c r="D70" s="4"/>
      <c r="E70" s="3"/>
      <c r="F70" s="3"/>
      <c r="G70" s="3"/>
      <c r="H70" s="3"/>
      <c r="I70" s="2"/>
      <c r="K70" s="17" t="s">
        <v>4</v>
      </c>
      <c r="L70" s="16" t="s">
        <v>3</v>
      </c>
      <c r="M70" s="16"/>
      <c r="N70" s="15"/>
      <c r="O70" s="15"/>
      <c r="P70" s="15"/>
      <c r="Q70" s="15"/>
      <c r="R70" s="14"/>
      <c r="T70" s="33">
        <v>3</v>
      </c>
      <c r="U70" s="32" t="s">
        <v>10</v>
      </c>
      <c r="V70" s="32" t="s">
        <v>34</v>
      </c>
      <c r="W70" s="31"/>
      <c r="X70" s="31"/>
      <c r="Y70" s="31"/>
      <c r="Z70" s="31"/>
      <c r="AA70" s="30"/>
      <c r="AC70" s="10">
        <v>1</v>
      </c>
      <c r="AD70" s="9" t="s">
        <v>16</v>
      </c>
      <c r="AE70" s="9"/>
      <c r="AF70" s="8"/>
      <c r="AG70" s="8"/>
      <c r="AH70" s="8"/>
      <c r="AI70" s="8"/>
      <c r="AJ70" s="7"/>
      <c r="AL70" s="10">
        <v>2</v>
      </c>
      <c r="AM70" s="4" t="s">
        <v>14</v>
      </c>
      <c r="AN70" s="4"/>
      <c r="AO70" s="3"/>
      <c r="AP70" s="3"/>
      <c r="AQ70" s="3"/>
      <c r="AR70" s="3"/>
      <c r="AS70" s="2"/>
      <c r="AU70" s="10">
        <v>1</v>
      </c>
      <c r="AV70" s="9" t="s">
        <v>8</v>
      </c>
      <c r="AW70" s="9" t="s">
        <v>11</v>
      </c>
      <c r="AX70" s="8"/>
      <c r="AY70" s="8"/>
      <c r="AZ70" s="8"/>
      <c r="BA70" s="8"/>
      <c r="BB70" s="7"/>
      <c r="BD70" s="17" t="s">
        <v>9</v>
      </c>
      <c r="BE70" s="16" t="s">
        <v>246</v>
      </c>
      <c r="BF70" s="16"/>
      <c r="BG70" s="15"/>
      <c r="BH70" s="15"/>
      <c r="BI70" s="15"/>
      <c r="BJ70" s="15"/>
      <c r="BK70" s="14"/>
      <c r="BM70" s="17" t="s">
        <v>9</v>
      </c>
      <c r="BN70" s="16" t="s">
        <v>246</v>
      </c>
      <c r="BO70" s="16"/>
      <c r="BP70" s="15"/>
      <c r="BQ70" s="15"/>
      <c r="BR70" s="15"/>
      <c r="BS70" s="15"/>
      <c r="BT70" s="14"/>
      <c r="BV70" s="17" t="s">
        <v>4</v>
      </c>
      <c r="BW70" s="16" t="s">
        <v>3</v>
      </c>
      <c r="BX70" s="16"/>
      <c r="BY70" s="15"/>
      <c r="BZ70" s="15"/>
      <c r="CA70" s="15"/>
      <c r="CB70" s="15"/>
      <c r="CC70" s="14"/>
      <c r="CE70" s="10">
        <v>1</v>
      </c>
      <c r="CF70" s="9" t="s">
        <v>8</v>
      </c>
      <c r="CG70" s="9" t="s">
        <v>169</v>
      </c>
      <c r="CH70" s="8"/>
      <c r="CI70" s="8"/>
      <c r="CJ70" s="8"/>
      <c r="CK70" s="8"/>
      <c r="CL70" s="7"/>
      <c r="CN70" s="17" t="s">
        <v>9</v>
      </c>
      <c r="CO70" s="16" t="s">
        <v>246</v>
      </c>
      <c r="CP70" s="16"/>
      <c r="CQ70" s="15"/>
      <c r="CR70" s="15"/>
      <c r="CS70" s="15"/>
      <c r="CT70" s="15"/>
      <c r="CU70" s="14"/>
      <c r="CV70" s="75"/>
      <c r="CW70" s="33">
        <v>3</v>
      </c>
      <c r="CX70" s="32" t="s">
        <v>10</v>
      </c>
      <c r="CY70" s="32" t="s">
        <v>186</v>
      </c>
      <c r="CZ70" s="31"/>
      <c r="DA70" s="31"/>
      <c r="DB70" s="31"/>
      <c r="DC70" s="31"/>
      <c r="DD70" s="30"/>
      <c r="DE70" s="75"/>
      <c r="DF70" s="10">
        <v>1</v>
      </c>
      <c r="DG70" s="9" t="s">
        <v>8</v>
      </c>
      <c r="DH70" s="9" t="s">
        <v>193</v>
      </c>
      <c r="DI70" s="8"/>
      <c r="DJ70" s="8"/>
      <c r="DK70" s="8"/>
      <c r="DL70" s="8"/>
      <c r="DM70" s="7"/>
      <c r="DN70" s="75"/>
      <c r="DO70" s="33">
        <v>3</v>
      </c>
      <c r="DP70" s="32" t="s">
        <v>10</v>
      </c>
      <c r="DQ70" s="32" t="s">
        <v>199</v>
      </c>
      <c r="DR70" s="31"/>
      <c r="DS70" s="31"/>
      <c r="DT70" s="31"/>
      <c r="DU70" s="31"/>
      <c r="DV70" s="30"/>
      <c r="DX70" s="17" t="s">
        <v>4</v>
      </c>
      <c r="DY70" s="16" t="s">
        <v>3</v>
      </c>
      <c r="DZ70" s="16"/>
      <c r="EA70" s="15"/>
      <c r="EB70" s="15"/>
      <c r="EC70" s="15"/>
      <c r="ED70" s="15"/>
      <c r="EE70" s="14"/>
      <c r="EG70" s="10">
        <v>1</v>
      </c>
      <c r="EH70" s="9" t="s">
        <v>8</v>
      </c>
      <c r="EI70" s="9"/>
      <c r="EJ70" s="8"/>
      <c r="EK70" s="8"/>
      <c r="EL70" s="8"/>
      <c r="EM70" s="8"/>
      <c r="EN70" s="7"/>
      <c r="EO70" s="75"/>
      <c r="EP70" s="10">
        <v>2</v>
      </c>
      <c r="EQ70" s="4" t="s">
        <v>14</v>
      </c>
      <c r="ER70" s="4"/>
      <c r="ES70" s="3"/>
      <c r="ET70" s="3"/>
      <c r="EU70" s="3"/>
      <c r="EV70" s="3"/>
      <c r="EW70" s="2"/>
      <c r="EY70" s="5">
        <v>3</v>
      </c>
      <c r="EZ70" s="4" t="s">
        <v>31</v>
      </c>
      <c r="FA70" s="4" t="s">
        <v>231</v>
      </c>
      <c r="FB70" s="8"/>
      <c r="FC70" s="42"/>
      <c r="FD70" s="3"/>
      <c r="FE70" s="3"/>
      <c r="FF70" s="2"/>
      <c r="FH70" s="10">
        <v>2</v>
      </c>
      <c r="FI70" s="9" t="s">
        <v>249</v>
      </c>
      <c r="FJ70" s="9" t="s">
        <v>250</v>
      </c>
      <c r="FK70" s="8" t="s">
        <v>220</v>
      </c>
      <c r="FL70" s="3">
        <v>3000</v>
      </c>
      <c r="FM70" s="3"/>
      <c r="FN70" s="3"/>
      <c r="FO70" s="2"/>
    </row>
    <row r="71" spans="2:171" ht="15.75" thickBot="1" x14ac:dyDescent="0.3">
      <c r="B71" s="17" t="s">
        <v>4</v>
      </c>
      <c r="C71" s="16" t="s">
        <v>3</v>
      </c>
      <c r="D71" s="16"/>
      <c r="E71" s="15"/>
      <c r="F71" s="15"/>
      <c r="G71" s="15"/>
      <c r="H71" s="15"/>
      <c r="I71" s="14"/>
      <c r="K71" s="10">
        <v>1</v>
      </c>
      <c r="L71" s="9" t="s">
        <v>2</v>
      </c>
      <c r="M71" s="9"/>
      <c r="N71" s="8"/>
      <c r="O71" s="8"/>
      <c r="P71" s="8"/>
      <c r="Q71" s="8"/>
      <c r="R71" s="7"/>
      <c r="T71" s="17" t="s">
        <v>9</v>
      </c>
      <c r="U71" s="16" t="s">
        <v>246</v>
      </c>
      <c r="V71" s="16"/>
      <c r="W71" s="15"/>
      <c r="X71" s="15"/>
      <c r="Y71" s="15"/>
      <c r="Z71" s="15"/>
      <c r="AA71" s="14"/>
      <c r="AC71" s="10">
        <v>2</v>
      </c>
      <c r="AD71" s="4" t="s">
        <v>14</v>
      </c>
      <c r="AE71" s="4"/>
      <c r="AF71" s="3"/>
      <c r="AG71" s="3"/>
      <c r="AH71" s="3"/>
      <c r="AI71" s="3"/>
      <c r="AJ71" s="2"/>
      <c r="AL71" s="33">
        <v>3</v>
      </c>
      <c r="AM71" s="32" t="s">
        <v>10</v>
      </c>
      <c r="AN71" s="32" t="s">
        <v>142</v>
      </c>
      <c r="AO71" s="31"/>
      <c r="AP71" s="31"/>
      <c r="AQ71" s="31"/>
      <c r="AR71" s="31"/>
      <c r="AS71" s="30"/>
      <c r="AU71" s="110">
        <v>2</v>
      </c>
      <c r="AV71" s="111" t="s">
        <v>255</v>
      </c>
      <c r="AW71" s="111"/>
      <c r="AX71" s="112" t="s">
        <v>220</v>
      </c>
      <c r="AY71" s="112">
        <v>40</v>
      </c>
      <c r="AZ71" s="112"/>
      <c r="BA71" s="112"/>
      <c r="BB71" s="116"/>
      <c r="BD71" s="10">
        <v>1</v>
      </c>
      <c r="BE71" s="9" t="s">
        <v>8</v>
      </c>
      <c r="BF71" s="9" t="s">
        <v>152</v>
      </c>
      <c r="BG71" s="8"/>
      <c r="BH71" s="8"/>
      <c r="BI71" s="8"/>
      <c r="BJ71" s="8"/>
      <c r="BK71" s="7"/>
      <c r="BM71" s="10">
        <v>1</v>
      </c>
      <c r="BN71" s="9" t="s">
        <v>8</v>
      </c>
      <c r="BO71" s="9" t="s">
        <v>159</v>
      </c>
      <c r="BP71" s="8"/>
      <c r="BQ71" s="8"/>
      <c r="BR71" s="8"/>
      <c r="BS71" s="8"/>
      <c r="BT71" s="7"/>
      <c r="BV71" s="29">
        <v>1</v>
      </c>
      <c r="BW71" s="28" t="s">
        <v>2</v>
      </c>
      <c r="BX71" s="28"/>
      <c r="BY71" s="27"/>
      <c r="BZ71" s="27"/>
      <c r="CA71" s="27"/>
      <c r="CB71" s="27"/>
      <c r="CC71" s="26"/>
      <c r="CE71" s="17" t="s">
        <v>4</v>
      </c>
      <c r="CF71" s="16" t="s">
        <v>3</v>
      </c>
      <c r="CG71" s="16"/>
      <c r="CH71" s="15"/>
      <c r="CI71" s="15"/>
      <c r="CJ71" s="15"/>
      <c r="CK71" s="15"/>
      <c r="CL71" s="14"/>
      <c r="CN71" s="10">
        <v>1</v>
      </c>
      <c r="CO71" s="9" t="s">
        <v>8</v>
      </c>
      <c r="CP71" s="9" t="s">
        <v>178</v>
      </c>
      <c r="CQ71" s="8"/>
      <c r="CR71" s="8"/>
      <c r="CS71" s="8"/>
      <c r="CT71" s="8"/>
      <c r="CU71" s="7"/>
      <c r="CV71" s="75"/>
      <c r="CW71" s="17" t="s">
        <v>9</v>
      </c>
      <c r="CX71" s="16" t="s">
        <v>246</v>
      </c>
      <c r="CY71" s="16"/>
      <c r="CZ71" s="15"/>
      <c r="DA71" s="15"/>
      <c r="DB71" s="15"/>
      <c r="DC71" s="15"/>
      <c r="DD71" s="14"/>
      <c r="DE71" s="75"/>
      <c r="DF71" s="10">
        <v>2</v>
      </c>
      <c r="DG71" s="9" t="s">
        <v>249</v>
      </c>
      <c r="DH71" s="4" t="s">
        <v>250</v>
      </c>
      <c r="DI71" s="3" t="s">
        <v>220</v>
      </c>
      <c r="DJ71" s="3">
        <v>3000</v>
      </c>
      <c r="DK71" s="3"/>
      <c r="DL71" s="3"/>
      <c r="DM71" s="2"/>
      <c r="DN71" s="75"/>
      <c r="DO71" s="17" t="s">
        <v>9</v>
      </c>
      <c r="DP71" s="16" t="s">
        <v>246</v>
      </c>
      <c r="DQ71" s="16"/>
      <c r="DR71" s="15"/>
      <c r="DS71" s="15"/>
      <c r="DT71" s="15"/>
      <c r="DU71" s="15"/>
      <c r="DV71" s="14"/>
      <c r="DX71" s="10">
        <v>1</v>
      </c>
      <c r="DY71" s="9" t="s">
        <v>2</v>
      </c>
      <c r="DZ71" s="9"/>
      <c r="EA71" s="8"/>
      <c r="EB71" s="8"/>
      <c r="EC71" s="8"/>
      <c r="ED71" s="8"/>
      <c r="EE71" s="7"/>
      <c r="EG71" s="10">
        <v>2</v>
      </c>
      <c r="EH71" s="9" t="s">
        <v>6</v>
      </c>
      <c r="EI71" s="4" t="s">
        <v>5</v>
      </c>
      <c r="EJ71" s="3" t="s">
        <v>220</v>
      </c>
      <c r="EK71" s="3">
        <v>3</v>
      </c>
      <c r="EL71" s="3"/>
      <c r="EM71" s="3"/>
      <c r="EN71" s="2"/>
      <c r="EO71" s="75"/>
      <c r="EP71" s="33">
        <v>3</v>
      </c>
      <c r="EQ71" s="32" t="s">
        <v>10</v>
      </c>
      <c r="ER71" s="32" t="s">
        <v>218</v>
      </c>
      <c r="ES71" s="31"/>
      <c r="ET71" s="31"/>
      <c r="EU71" s="31"/>
      <c r="EV71" s="31"/>
      <c r="EW71" s="30"/>
      <c r="EY71" s="5"/>
      <c r="EZ71" s="4"/>
      <c r="FA71" s="4" t="s">
        <v>230</v>
      </c>
      <c r="FB71" s="8"/>
      <c r="FC71" s="42"/>
      <c r="FD71" s="3"/>
      <c r="FE71" s="3"/>
      <c r="FF71" s="2"/>
      <c r="FH71" s="113">
        <v>3</v>
      </c>
      <c r="FI71" s="114" t="s">
        <v>254</v>
      </c>
      <c r="FJ71" s="114"/>
      <c r="FK71" s="115" t="s">
        <v>220</v>
      </c>
      <c r="FL71" s="115">
        <v>10</v>
      </c>
      <c r="FM71" s="3"/>
      <c r="FN71" s="3"/>
      <c r="FO71" s="2"/>
    </row>
    <row r="72" spans="2:171" ht="15.75" thickBot="1" x14ac:dyDescent="0.3">
      <c r="B72" s="10">
        <v>1</v>
      </c>
      <c r="C72" s="9" t="s">
        <v>2</v>
      </c>
      <c r="D72" s="9"/>
      <c r="E72" s="8"/>
      <c r="F72" s="8"/>
      <c r="G72" s="8"/>
      <c r="H72" s="8"/>
      <c r="I72" s="7"/>
      <c r="K72" s="5">
        <v>2</v>
      </c>
      <c r="L72" s="4" t="s">
        <v>1</v>
      </c>
      <c r="M72" s="4"/>
      <c r="N72" s="3"/>
      <c r="O72" s="3"/>
      <c r="P72" s="3"/>
      <c r="Q72" s="3"/>
      <c r="R72" s="2"/>
      <c r="T72" s="10">
        <v>1</v>
      </c>
      <c r="U72" s="9" t="s">
        <v>8</v>
      </c>
      <c r="V72" s="9"/>
      <c r="W72" s="8"/>
      <c r="X72" s="8"/>
      <c r="Y72" s="8"/>
      <c r="Z72" s="8"/>
      <c r="AA72" s="7"/>
      <c r="AC72" s="33">
        <v>3</v>
      </c>
      <c r="AD72" s="32" t="s">
        <v>10</v>
      </c>
      <c r="AE72" s="32" t="s">
        <v>12</v>
      </c>
      <c r="AF72" s="31"/>
      <c r="AG72" s="31"/>
      <c r="AH72" s="31"/>
      <c r="AI72" s="31">
        <v>0.1</v>
      </c>
      <c r="AJ72" s="30"/>
      <c r="AL72" s="17" t="s">
        <v>9</v>
      </c>
      <c r="AM72" s="16" t="s">
        <v>246</v>
      </c>
      <c r="AN72" s="16"/>
      <c r="AO72" s="15"/>
      <c r="AP72" s="15"/>
      <c r="AQ72" s="15"/>
      <c r="AR72" s="15"/>
      <c r="AS72" s="14"/>
      <c r="AU72" s="17" t="s">
        <v>4</v>
      </c>
      <c r="AV72" s="16" t="s">
        <v>3</v>
      </c>
      <c r="AW72" s="16"/>
      <c r="AX72" s="15"/>
      <c r="AY72" s="15"/>
      <c r="AZ72" s="15"/>
      <c r="BA72" s="15"/>
      <c r="BB72" s="14"/>
      <c r="BD72" s="17" t="s">
        <v>4</v>
      </c>
      <c r="BE72" s="16" t="s">
        <v>3</v>
      </c>
      <c r="BF72" s="16"/>
      <c r="BG72" s="15"/>
      <c r="BH72" s="15"/>
      <c r="BI72" s="15"/>
      <c r="BJ72" s="15"/>
      <c r="BK72" s="14"/>
      <c r="BM72" s="17" t="s">
        <v>4</v>
      </c>
      <c r="BN72" s="16" t="s">
        <v>3</v>
      </c>
      <c r="BO72" s="16"/>
      <c r="BP72" s="15"/>
      <c r="BQ72" s="15"/>
      <c r="BR72" s="15"/>
      <c r="BS72" s="15"/>
      <c r="BT72" s="14"/>
      <c r="BV72" s="25">
        <v>2</v>
      </c>
      <c r="BW72" s="24" t="s">
        <v>1</v>
      </c>
      <c r="BX72" s="24"/>
      <c r="BY72" s="23"/>
      <c r="BZ72" s="23"/>
      <c r="CA72" s="23"/>
      <c r="CB72" s="23"/>
      <c r="CC72" s="22"/>
      <c r="CE72" s="29">
        <v>1</v>
      </c>
      <c r="CF72" s="28" t="s">
        <v>2</v>
      </c>
      <c r="CG72" s="28"/>
      <c r="CH72" s="27"/>
      <c r="CI72" s="27"/>
      <c r="CJ72" s="27"/>
      <c r="CK72" s="27"/>
      <c r="CL72" s="26"/>
      <c r="CN72" s="10">
        <v>2</v>
      </c>
      <c r="CO72" s="9" t="s">
        <v>7</v>
      </c>
      <c r="CP72" s="4" t="s">
        <v>179</v>
      </c>
      <c r="CQ72" s="3" t="s">
        <v>220</v>
      </c>
      <c r="CR72" s="3">
        <v>26</v>
      </c>
      <c r="CS72" s="3"/>
      <c r="CT72" s="3"/>
      <c r="CU72" s="2"/>
      <c r="CV72" s="75"/>
      <c r="CW72" s="10">
        <v>1</v>
      </c>
      <c r="CX72" s="9" t="s">
        <v>8</v>
      </c>
      <c r="CY72" s="9"/>
      <c r="CZ72" s="8"/>
      <c r="DA72" s="8"/>
      <c r="DB72" s="8"/>
      <c r="DC72" s="8"/>
      <c r="DD72" s="7"/>
      <c r="DE72" s="75"/>
      <c r="DF72" s="17" t="s">
        <v>4</v>
      </c>
      <c r="DG72" s="16" t="s">
        <v>3</v>
      </c>
      <c r="DH72" s="16"/>
      <c r="DI72" s="15"/>
      <c r="DJ72" s="15"/>
      <c r="DK72" s="15"/>
      <c r="DL72" s="15"/>
      <c r="DM72" s="14"/>
      <c r="DN72" s="75"/>
      <c r="DO72" s="10">
        <v>1</v>
      </c>
      <c r="DP72" s="9" t="s">
        <v>8</v>
      </c>
      <c r="DQ72" s="9" t="s">
        <v>200</v>
      </c>
      <c r="DR72" s="8"/>
      <c r="DS72" s="8"/>
      <c r="DT72" s="8"/>
      <c r="DU72" s="8"/>
      <c r="DV72" s="7"/>
      <c r="DX72" s="5">
        <v>2</v>
      </c>
      <c r="DY72" s="4" t="s">
        <v>1</v>
      </c>
      <c r="DZ72" s="4"/>
      <c r="EA72" s="3"/>
      <c r="EB72" s="3"/>
      <c r="EC72" s="3"/>
      <c r="ED72" s="3"/>
      <c r="EE72" s="2"/>
      <c r="EG72" s="10">
        <v>3</v>
      </c>
      <c r="EH72" s="40" t="s">
        <v>247</v>
      </c>
      <c r="EI72" s="9"/>
      <c r="EJ72" s="39" t="s">
        <v>220</v>
      </c>
      <c r="EK72" s="39">
        <v>5</v>
      </c>
      <c r="EL72" s="39"/>
      <c r="EM72" s="39"/>
      <c r="EN72" s="38"/>
      <c r="EO72" s="75"/>
      <c r="EP72" s="17" t="s">
        <v>9</v>
      </c>
      <c r="EQ72" s="16" t="s">
        <v>246</v>
      </c>
      <c r="ER72" s="16"/>
      <c r="ES72" s="15"/>
      <c r="ET72" s="15"/>
      <c r="EU72" s="15"/>
      <c r="EV72" s="15"/>
      <c r="EW72" s="14"/>
      <c r="EY72" s="5"/>
      <c r="EZ72" s="4"/>
      <c r="FA72" s="4" t="s">
        <v>232</v>
      </c>
      <c r="FB72" s="8"/>
      <c r="FC72" s="42"/>
      <c r="FD72" s="3"/>
      <c r="FE72" s="3"/>
      <c r="FF72" s="2"/>
      <c r="FH72" s="113">
        <v>4</v>
      </c>
      <c r="FI72" s="114" t="s">
        <v>256</v>
      </c>
      <c r="FJ72" s="114"/>
      <c r="FK72" s="115" t="s">
        <v>258</v>
      </c>
      <c r="FL72" s="115">
        <v>0</v>
      </c>
      <c r="FM72" s="3"/>
      <c r="FN72" s="3"/>
      <c r="FO72" s="2"/>
    </row>
    <row r="73" spans="2:171" ht="15.75" thickBot="1" x14ac:dyDescent="0.3">
      <c r="B73" s="5">
        <v>2</v>
      </c>
      <c r="C73" s="4" t="s">
        <v>1</v>
      </c>
      <c r="D73" s="4"/>
      <c r="E73" s="3"/>
      <c r="F73" s="3"/>
      <c r="G73" s="3"/>
      <c r="H73" s="3"/>
      <c r="I73" s="2"/>
      <c r="K73" s="5">
        <v>3</v>
      </c>
      <c r="L73" s="4" t="s">
        <v>0</v>
      </c>
      <c r="M73" s="4"/>
      <c r="N73" s="3"/>
      <c r="O73" s="3"/>
      <c r="P73" s="3"/>
      <c r="Q73" s="3"/>
      <c r="R73" s="2"/>
      <c r="T73" s="17" t="s">
        <v>4</v>
      </c>
      <c r="U73" s="16" t="s">
        <v>3</v>
      </c>
      <c r="V73" s="16"/>
      <c r="W73" s="15"/>
      <c r="X73" s="15"/>
      <c r="Y73" s="15"/>
      <c r="Z73" s="15"/>
      <c r="AA73" s="14"/>
      <c r="AC73" s="17" t="s">
        <v>9</v>
      </c>
      <c r="AD73" s="16" t="s">
        <v>246</v>
      </c>
      <c r="AE73" s="16"/>
      <c r="AF73" s="15"/>
      <c r="AG73" s="15"/>
      <c r="AH73" s="15"/>
      <c r="AI73" s="15"/>
      <c r="AJ73" s="14"/>
      <c r="AL73" s="10">
        <v>1</v>
      </c>
      <c r="AM73" s="9" t="s">
        <v>8</v>
      </c>
      <c r="AN73" s="9" t="s">
        <v>240</v>
      </c>
      <c r="AO73" s="8"/>
      <c r="AP73" s="8"/>
      <c r="AQ73" s="8"/>
      <c r="AR73" s="8"/>
      <c r="AS73" s="7"/>
      <c r="AU73" s="10">
        <v>1</v>
      </c>
      <c r="AV73" s="9" t="s">
        <v>2</v>
      </c>
      <c r="AW73" s="9"/>
      <c r="AX73" s="8"/>
      <c r="AY73" s="8"/>
      <c r="AZ73" s="8"/>
      <c r="BA73" s="8"/>
      <c r="BB73" s="7"/>
      <c r="BD73" s="37">
        <v>1</v>
      </c>
      <c r="BE73" s="36" t="s">
        <v>2</v>
      </c>
      <c r="BF73" s="36"/>
      <c r="BG73" s="35"/>
      <c r="BH73" s="35"/>
      <c r="BI73" s="35"/>
      <c r="BJ73" s="35"/>
      <c r="BK73" s="34"/>
      <c r="BM73" s="29">
        <v>1</v>
      </c>
      <c r="BN73" s="28" t="s">
        <v>2</v>
      </c>
      <c r="BO73" s="28"/>
      <c r="BP73" s="27"/>
      <c r="BQ73" s="27"/>
      <c r="BR73" s="27"/>
      <c r="BS73" s="27"/>
      <c r="BT73" s="26"/>
      <c r="BV73" s="21">
        <v>3</v>
      </c>
      <c r="BW73" s="20" t="s">
        <v>0</v>
      </c>
      <c r="BX73" s="20"/>
      <c r="BY73" s="19"/>
      <c r="BZ73" s="19"/>
      <c r="CA73" s="19"/>
      <c r="CB73" s="19"/>
      <c r="CC73" s="18"/>
      <c r="CE73" s="25">
        <v>2</v>
      </c>
      <c r="CF73" s="24" t="s">
        <v>1</v>
      </c>
      <c r="CG73" s="24"/>
      <c r="CH73" s="23"/>
      <c r="CI73" s="23"/>
      <c r="CJ73" s="23"/>
      <c r="CK73" s="23"/>
      <c r="CL73" s="22"/>
      <c r="CN73" s="10">
        <v>3</v>
      </c>
      <c r="CO73" s="9" t="s">
        <v>6</v>
      </c>
      <c r="CP73" s="4"/>
      <c r="CQ73" s="3"/>
      <c r="CR73" s="3"/>
      <c r="CS73" s="3"/>
      <c r="CT73" s="3"/>
      <c r="CU73" s="2"/>
      <c r="CV73" s="75"/>
      <c r="CW73" s="10">
        <v>2</v>
      </c>
      <c r="CX73" s="9" t="s">
        <v>7</v>
      </c>
      <c r="CY73" s="4" t="s">
        <v>187</v>
      </c>
      <c r="CZ73" s="3" t="s">
        <v>220</v>
      </c>
      <c r="DA73" s="3">
        <v>26</v>
      </c>
      <c r="DB73" s="3"/>
      <c r="DC73" s="3"/>
      <c r="DD73" s="2"/>
      <c r="DE73" s="75"/>
      <c r="DF73" s="10">
        <v>1</v>
      </c>
      <c r="DG73" s="9" t="s">
        <v>2</v>
      </c>
      <c r="DH73" s="9"/>
      <c r="DI73" s="8"/>
      <c r="DJ73" s="8"/>
      <c r="DK73" s="8"/>
      <c r="DL73" s="8"/>
      <c r="DM73" s="7"/>
      <c r="DN73" s="75"/>
      <c r="DO73" s="10">
        <v>2</v>
      </c>
      <c r="DP73" s="9" t="s">
        <v>7</v>
      </c>
      <c r="DQ73" s="4" t="s">
        <v>201</v>
      </c>
      <c r="DR73" s="3" t="s">
        <v>220</v>
      </c>
      <c r="DS73" s="3">
        <v>26</v>
      </c>
      <c r="DT73" s="3"/>
      <c r="DU73" s="3"/>
      <c r="DV73" s="2"/>
      <c r="DX73" s="5">
        <v>3</v>
      </c>
      <c r="DY73" s="4" t="s">
        <v>0</v>
      </c>
      <c r="DZ73" s="4"/>
      <c r="EA73" s="3"/>
      <c r="EB73" s="3"/>
      <c r="EC73" s="3"/>
      <c r="ED73" s="3"/>
      <c r="EE73" s="2"/>
      <c r="EG73" s="17" t="s">
        <v>4</v>
      </c>
      <c r="EH73" s="16" t="s">
        <v>3</v>
      </c>
      <c r="EI73" s="16"/>
      <c r="EJ73" s="15"/>
      <c r="EK73" s="15"/>
      <c r="EL73" s="15"/>
      <c r="EM73" s="15"/>
      <c r="EN73" s="14"/>
      <c r="EO73" s="75"/>
      <c r="EP73" s="10">
        <v>1</v>
      </c>
      <c r="EQ73" s="9" t="s">
        <v>8</v>
      </c>
      <c r="ER73" s="9" t="s">
        <v>219</v>
      </c>
      <c r="ES73" s="8"/>
      <c r="ET73" s="8"/>
      <c r="EU73" s="8"/>
      <c r="EV73" s="8"/>
      <c r="EW73" s="7"/>
      <c r="EY73" s="5"/>
      <c r="EZ73" s="4"/>
      <c r="FA73" s="4" t="s">
        <v>233</v>
      </c>
      <c r="FB73" s="8"/>
      <c r="FC73" s="42"/>
      <c r="FD73" s="3"/>
      <c r="FE73" s="3"/>
      <c r="FF73" s="2"/>
      <c r="FH73" s="110">
        <v>5</v>
      </c>
      <c r="FI73" s="111" t="s">
        <v>257</v>
      </c>
      <c r="FJ73" s="111"/>
      <c r="FK73" s="112" t="s">
        <v>220</v>
      </c>
      <c r="FL73" s="112">
        <v>20</v>
      </c>
      <c r="FM73" s="39"/>
      <c r="FN73" s="39"/>
      <c r="FO73" s="38"/>
    </row>
    <row r="74" spans="2:171" ht="15.75" thickBot="1" x14ac:dyDescent="0.3">
      <c r="B74" s="5">
        <v>3</v>
      </c>
      <c r="C74" s="4" t="s">
        <v>0</v>
      </c>
      <c r="D74" s="4"/>
      <c r="E74" s="3"/>
      <c r="F74" s="3"/>
      <c r="G74" s="3"/>
      <c r="H74" s="3"/>
      <c r="I74" s="2"/>
      <c r="T74" s="10">
        <v>1</v>
      </c>
      <c r="U74" s="9" t="s">
        <v>2</v>
      </c>
      <c r="V74" s="9"/>
      <c r="W74" s="8"/>
      <c r="X74" s="8"/>
      <c r="Y74" s="8"/>
      <c r="Z74" s="8"/>
      <c r="AA74" s="7"/>
      <c r="AC74" s="10">
        <v>1</v>
      </c>
      <c r="AD74" s="9" t="s">
        <v>8</v>
      </c>
      <c r="AE74" s="9" t="s">
        <v>135</v>
      </c>
      <c r="AF74" s="8"/>
      <c r="AG74" s="8"/>
      <c r="AH74" s="8"/>
      <c r="AI74" s="8"/>
      <c r="AJ74" s="7"/>
      <c r="AL74" s="10">
        <v>2</v>
      </c>
      <c r="AM74" s="9" t="s">
        <v>248</v>
      </c>
      <c r="AN74" s="4"/>
      <c r="AO74" s="3"/>
      <c r="AP74" s="3"/>
      <c r="AQ74" s="3"/>
      <c r="AR74" s="3"/>
      <c r="AS74" s="2"/>
      <c r="AU74" s="5">
        <v>2</v>
      </c>
      <c r="AV74" s="4" t="s">
        <v>1</v>
      </c>
      <c r="AW74" s="4"/>
      <c r="AX74" s="3"/>
      <c r="AY74" s="3"/>
      <c r="AZ74" s="3"/>
      <c r="BA74" s="3"/>
      <c r="BB74" s="2"/>
      <c r="BD74" s="5">
        <v>2</v>
      </c>
      <c r="BE74" s="4" t="s">
        <v>1</v>
      </c>
      <c r="BF74" s="4"/>
      <c r="BG74" s="3"/>
      <c r="BH74" s="3"/>
      <c r="BI74" s="3"/>
      <c r="BJ74" s="3"/>
      <c r="BK74" s="2"/>
      <c r="BM74" s="25">
        <v>2</v>
      </c>
      <c r="BN74" s="24" t="s">
        <v>1</v>
      </c>
      <c r="BO74" s="24"/>
      <c r="BP74" s="23"/>
      <c r="BQ74" s="23"/>
      <c r="BR74" s="23"/>
      <c r="BS74" s="23"/>
      <c r="BT74" s="22"/>
      <c r="CE74" s="21">
        <v>3</v>
      </c>
      <c r="CF74" s="20" t="s">
        <v>0</v>
      </c>
      <c r="CG74" s="20"/>
      <c r="CH74" s="19"/>
      <c r="CI74" s="19"/>
      <c r="CJ74" s="19"/>
      <c r="CK74" s="19"/>
      <c r="CL74" s="18"/>
      <c r="CN74" s="17" t="s">
        <v>4</v>
      </c>
      <c r="CO74" s="16" t="s">
        <v>3</v>
      </c>
      <c r="CP74" s="16"/>
      <c r="CQ74" s="15"/>
      <c r="CR74" s="15"/>
      <c r="CS74" s="15"/>
      <c r="CT74" s="15"/>
      <c r="CU74" s="14"/>
      <c r="CV74" s="75"/>
      <c r="CW74" s="17" t="s">
        <v>4</v>
      </c>
      <c r="CX74" s="16" t="s">
        <v>3</v>
      </c>
      <c r="CY74" s="16"/>
      <c r="CZ74" s="15"/>
      <c r="DA74" s="15"/>
      <c r="DB74" s="15"/>
      <c r="DC74" s="15"/>
      <c r="DD74" s="14"/>
      <c r="DE74" s="75"/>
      <c r="DF74" s="5">
        <v>2</v>
      </c>
      <c r="DG74" s="4" t="s">
        <v>1</v>
      </c>
      <c r="DH74" s="4"/>
      <c r="DI74" s="3"/>
      <c r="DJ74" s="3"/>
      <c r="DK74" s="3"/>
      <c r="DL74" s="3"/>
      <c r="DM74" s="2"/>
      <c r="DN74" s="75"/>
      <c r="DO74" s="17" t="s">
        <v>4</v>
      </c>
      <c r="DP74" s="16" t="s">
        <v>3</v>
      </c>
      <c r="DQ74" s="16"/>
      <c r="DR74" s="15"/>
      <c r="DS74" s="15"/>
      <c r="DT74" s="15"/>
      <c r="DU74" s="15"/>
      <c r="DV74" s="14"/>
      <c r="EG74" s="10">
        <v>1</v>
      </c>
      <c r="EH74" s="9" t="s">
        <v>2</v>
      </c>
      <c r="EI74" s="9"/>
      <c r="EJ74" s="8"/>
      <c r="EK74" s="8"/>
      <c r="EL74" s="8"/>
      <c r="EM74" s="8"/>
      <c r="EN74" s="7"/>
      <c r="EO74" s="75"/>
      <c r="EP74" s="10"/>
      <c r="EQ74" s="9"/>
      <c r="ER74" s="9" t="s">
        <v>22</v>
      </c>
      <c r="ES74" s="8"/>
      <c r="ET74" s="8"/>
      <c r="EU74" s="8"/>
      <c r="EV74" s="8"/>
      <c r="EW74" s="7"/>
      <c r="EY74" s="5"/>
      <c r="EZ74" s="4"/>
      <c r="FA74" s="4" t="s">
        <v>234</v>
      </c>
      <c r="FB74" s="8"/>
      <c r="FC74" s="42"/>
      <c r="FD74" s="3"/>
      <c r="FE74" s="3"/>
      <c r="FF74" s="2"/>
      <c r="FH74" s="17" t="s">
        <v>4</v>
      </c>
      <c r="FI74" s="16" t="s">
        <v>3</v>
      </c>
      <c r="FJ74" s="16"/>
      <c r="FK74" s="15"/>
      <c r="FL74" s="15"/>
      <c r="FM74" s="15"/>
      <c r="FN74" s="15"/>
      <c r="FO74" s="14"/>
    </row>
    <row r="75" spans="2:171" ht="15.75" thickBot="1" x14ac:dyDescent="0.3">
      <c r="T75" s="5">
        <v>2</v>
      </c>
      <c r="U75" s="4" t="s">
        <v>1</v>
      </c>
      <c r="V75" s="4"/>
      <c r="W75" s="3"/>
      <c r="X75" s="3"/>
      <c r="Y75" s="3"/>
      <c r="Z75" s="3"/>
      <c r="AA75" s="2"/>
      <c r="AC75" s="17" t="s">
        <v>4</v>
      </c>
      <c r="AD75" s="16" t="s">
        <v>3</v>
      </c>
      <c r="AE75" s="16"/>
      <c r="AF75" s="15"/>
      <c r="AG75" s="15"/>
      <c r="AH75" s="15"/>
      <c r="AI75" s="15"/>
      <c r="AJ75" s="14"/>
      <c r="AL75" s="10">
        <v>3</v>
      </c>
      <c r="AM75" s="9" t="s">
        <v>247</v>
      </c>
      <c r="AN75" s="4"/>
      <c r="AO75" s="3">
        <v>5</v>
      </c>
      <c r="AP75" s="3"/>
      <c r="AQ75" s="3"/>
      <c r="AR75" s="3"/>
      <c r="AS75" s="2"/>
      <c r="AU75" s="13">
        <v>3</v>
      </c>
      <c r="AV75" s="12" t="s">
        <v>0</v>
      </c>
      <c r="AW75" s="12"/>
      <c r="AX75" s="6"/>
      <c r="AY75" s="6"/>
      <c r="AZ75" s="6"/>
      <c r="BA75" s="6"/>
      <c r="BB75" s="11"/>
      <c r="BD75" s="13">
        <v>3</v>
      </c>
      <c r="BE75" s="12" t="s">
        <v>0</v>
      </c>
      <c r="BF75" s="12"/>
      <c r="BG75" s="6"/>
      <c r="BH75" s="6"/>
      <c r="BI75" s="6"/>
      <c r="BJ75" s="6"/>
      <c r="BK75" s="11"/>
      <c r="BM75" s="21">
        <v>3</v>
      </c>
      <c r="BN75" s="20" t="s">
        <v>0</v>
      </c>
      <c r="BO75" s="20"/>
      <c r="BP75" s="19"/>
      <c r="BQ75" s="19"/>
      <c r="BR75" s="19"/>
      <c r="BS75" s="19"/>
      <c r="BT75" s="18"/>
      <c r="CN75" s="10">
        <v>1</v>
      </c>
      <c r="CO75" s="9" t="s">
        <v>2</v>
      </c>
      <c r="CP75" s="9"/>
      <c r="CQ75" s="8"/>
      <c r="CR75" s="8"/>
      <c r="CS75" s="8"/>
      <c r="CT75" s="8"/>
      <c r="CU75" s="7"/>
      <c r="CV75" s="75"/>
      <c r="CW75" s="10">
        <v>1</v>
      </c>
      <c r="CX75" s="9" t="s">
        <v>2</v>
      </c>
      <c r="CY75" s="9"/>
      <c r="CZ75" s="8"/>
      <c r="DA75" s="8"/>
      <c r="DB75" s="8"/>
      <c r="DC75" s="8"/>
      <c r="DD75" s="7"/>
      <c r="DE75" s="75"/>
      <c r="DF75" s="5">
        <v>3</v>
      </c>
      <c r="DG75" s="4" t="s">
        <v>0</v>
      </c>
      <c r="DH75" s="4"/>
      <c r="DI75" s="3"/>
      <c r="DJ75" s="3"/>
      <c r="DK75" s="3"/>
      <c r="DL75" s="3"/>
      <c r="DM75" s="2"/>
      <c r="DN75" s="75"/>
      <c r="DO75" s="10">
        <v>1</v>
      </c>
      <c r="DP75" s="9" t="s">
        <v>2</v>
      </c>
      <c r="DQ75" s="9"/>
      <c r="DR75" s="8"/>
      <c r="DS75" s="8"/>
      <c r="DT75" s="8"/>
      <c r="DU75" s="8"/>
      <c r="DV75" s="7"/>
      <c r="EG75" s="5">
        <v>2</v>
      </c>
      <c r="EH75" s="4" t="s">
        <v>1</v>
      </c>
      <c r="EI75" s="4"/>
      <c r="EJ75" s="3"/>
      <c r="EK75" s="3"/>
      <c r="EL75" s="3"/>
      <c r="EM75" s="3"/>
      <c r="EN75" s="2"/>
      <c r="EO75" s="75"/>
      <c r="EP75" s="10">
        <v>2</v>
      </c>
      <c r="EQ75" s="9" t="s">
        <v>249</v>
      </c>
      <c r="ER75" s="9" t="s">
        <v>250</v>
      </c>
      <c r="ES75" s="8" t="s">
        <v>220</v>
      </c>
      <c r="ET75" s="8">
        <v>3000</v>
      </c>
      <c r="EU75" s="8"/>
      <c r="EV75" s="8"/>
      <c r="EW75" s="7"/>
      <c r="EY75" s="17" t="s">
        <v>18</v>
      </c>
      <c r="EZ75" s="16" t="s">
        <v>17</v>
      </c>
      <c r="FA75" s="16"/>
      <c r="FB75" s="15"/>
      <c r="FC75" s="15"/>
      <c r="FD75" s="15"/>
      <c r="FE75" s="15"/>
      <c r="FF75" s="14"/>
      <c r="FH75" s="10">
        <v>1</v>
      </c>
      <c r="FI75" s="9" t="s">
        <v>2</v>
      </c>
      <c r="FJ75" s="9"/>
      <c r="FK75" s="8"/>
      <c r="FL75" s="8"/>
      <c r="FM75" s="8"/>
      <c r="FN75" s="8"/>
      <c r="FO75" s="7"/>
    </row>
    <row r="76" spans="2:171" ht="15.75" thickBot="1" x14ac:dyDescent="0.3">
      <c r="T76" s="5">
        <v>3</v>
      </c>
      <c r="U76" s="4" t="s">
        <v>0</v>
      </c>
      <c r="V76" s="4"/>
      <c r="W76" s="3"/>
      <c r="X76" s="3"/>
      <c r="Y76" s="3"/>
      <c r="Z76" s="3"/>
      <c r="AA76" s="2"/>
      <c r="AC76" s="10">
        <v>1</v>
      </c>
      <c r="AD76" s="9" t="s">
        <v>2</v>
      </c>
      <c r="AE76" s="9"/>
      <c r="AF76" s="8"/>
      <c r="AG76" s="8"/>
      <c r="AH76" s="8"/>
      <c r="AI76" s="8"/>
      <c r="AJ76" s="7"/>
      <c r="AL76" s="17" t="s">
        <v>4</v>
      </c>
      <c r="AM76" s="16" t="s">
        <v>3</v>
      </c>
      <c r="AN76" s="16"/>
      <c r="AO76" s="15"/>
      <c r="AP76" s="15"/>
      <c r="AQ76" s="15"/>
      <c r="AR76" s="15"/>
      <c r="AS76" s="14"/>
      <c r="CN76" s="5">
        <v>2</v>
      </c>
      <c r="CO76" s="4" t="s">
        <v>1</v>
      </c>
      <c r="CP76" s="4"/>
      <c r="CQ76" s="3"/>
      <c r="CR76" s="3"/>
      <c r="CS76" s="3"/>
      <c r="CT76" s="3"/>
      <c r="CU76" s="2"/>
      <c r="CV76" s="75"/>
      <c r="CW76" s="5">
        <v>2</v>
      </c>
      <c r="CX76" s="4" t="s">
        <v>1</v>
      </c>
      <c r="CY76" s="4"/>
      <c r="CZ76" s="3"/>
      <c r="DA76" s="3"/>
      <c r="DB76" s="3"/>
      <c r="DC76" s="3"/>
      <c r="DD76" s="2"/>
      <c r="DE76" s="75"/>
      <c r="DN76" s="75"/>
      <c r="DO76" s="5">
        <v>2</v>
      </c>
      <c r="DP76" s="4" t="s">
        <v>1</v>
      </c>
      <c r="DQ76" s="4"/>
      <c r="DR76" s="3"/>
      <c r="DS76" s="3"/>
      <c r="DT76" s="3"/>
      <c r="DU76" s="3"/>
      <c r="DV76" s="2"/>
      <c r="EG76" s="5">
        <v>3</v>
      </c>
      <c r="EH76" s="4" t="s">
        <v>0</v>
      </c>
      <c r="EI76" s="4"/>
      <c r="EJ76" s="3"/>
      <c r="EK76" s="3"/>
      <c r="EL76" s="3"/>
      <c r="EM76" s="3"/>
      <c r="EN76" s="2"/>
      <c r="EO76" s="75"/>
      <c r="EP76" s="10">
        <v>3</v>
      </c>
      <c r="EQ76" s="9" t="s">
        <v>248</v>
      </c>
      <c r="ER76" s="9" t="s">
        <v>251</v>
      </c>
      <c r="ES76" s="8" t="s">
        <v>220</v>
      </c>
      <c r="ET76" s="8">
        <v>10</v>
      </c>
      <c r="EU76" s="8"/>
      <c r="EV76" s="8"/>
      <c r="EW76" s="7"/>
      <c r="EY76" s="10">
        <v>1</v>
      </c>
      <c r="EZ76" s="9" t="s">
        <v>16</v>
      </c>
      <c r="FA76" s="9"/>
      <c r="FB76" s="8"/>
      <c r="FC76" s="8"/>
      <c r="FD76" s="8"/>
      <c r="FE76" s="8"/>
      <c r="FF76" s="7"/>
      <c r="FH76" s="5">
        <v>2</v>
      </c>
      <c r="FI76" s="4" t="s">
        <v>1</v>
      </c>
      <c r="FJ76" s="4"/>
      <c r="FK76" s="3"/>
      <c r="FL76" s="3"/>
      <c r="FM76" s="3"/>
      <c r="FN76" s="3"/>
      <c r="FO76" s="2"/>
    </row>
    <row r="77" spans="2:171" ht="15.75" thickBot="1" x14ac:dyDescent="0.3">
      <c r="AC77" s="5">
        <v>2</v>
      </c>
      <c r="AD77" s="4" t="s">
        <v>1</v>
      </c>
      <c r="AE77" s="4"/>
      <c r="AF77" s="3"/>
      <c r="AG77" s="3"/>
      <c r="AH77" s="3"/>
      <c r="AI77" s="3"/>
      <c r="AJ77" s="2"/>
      <c r="AL77" s="10">
        <v>1</v>
      </c>
      <c r="AM77" s="9" t="s">
        <v>2</v>
      </c>
      <c r="AN77" s="9"/>
      <c r="AO77" s="8"/>
      <c r="AP77" s="8"/>
      <c r="AQ77" s="8"/>
      <c r="AR77" s="8"/>
      <c r="AS77" s="7"/>
      <c r="CN77" s="5">
        <v>3</v>
      </c>
      <c r="CO77" s="4" t="s">
        <v>0</v>
      </c>
      <c r="CP77" s="4"/>
      <c r="CQ77" s="3"/>
      <c r="CR77" s="3"/>
      <c r="CS77" s="3"/>
      <c r="CT77" s="3"/>
      <c r="CU77" s="2"/>
      <c r="CV77" s="75"/>
      <c r="CW77" s="5">
        <v>3</v>
      </c>
      <c r="CX77" s="4" t="s">
        <v>0</v>
      </c>
      <c r="CY77" s="4"/>
      <c r="CZ77" s="3"/>
      <c r="DA77" s="3"/>
      <c r="DB77" s="3"/>
      <c r="DC77" s="3"/>
      <c r="DD77" s="2"/>
      <c r="DE77" s="75"/>
      <c r="DN77" s="75"/>
      <c r="DO77" s="5">
        <v>3</v>
      </c>
      <c r="DP77" s="4" t="s">
        <v>0</v>
      </c>
      <c r="DQ77" s="4"/>
      <c r="DR77" s="3"/>
      <c r="DS77" s="3"/>
      <c r="DT77" s="3"/>
      <c r="DU77" s="3"/>
      <c r="DV77" s="2"/>
      <c r="EO77" s="75"/>
      <c r="EP77" s="10">
        <v>4</v>
      </c>
      <c r="EQ77" s="40" t="s">
        <v>247</v>
      </c>
      <c r="ER77" s="9" t="s">
        <v>213</v>
      </c>
      <c r="ES77" s="8" t="s">
        <v>220</v>
      </c>
      <c r="ET77" s="39">
        <v>5</v>
      </c>
      <c r="EU77" s="39"/>
      <c r="EV77" s="39"/>
      <c r="EW77" s="38"/>
      <c r="EY77" s="10">
        <v>2</v>
      </c>
      <c r="EZ77" s="4" t="s">
        <v>14</v>
      </c>
      <c r="FA77" s="4"/>
      <c r="FB77" s="3"/>
      <c r="FC77" s="3"/>
      <c r="FD77" s="3"/>
      <c r="FE77" s="3"/>
      <c r="FF77" s="2"/>
      <c r="FH77" s="5">
        <v>3</v>
      </c>
      <c r="FI77" s="4" t="s">
        <v>0</v>
      </c>
      <c r="FJ77" s="4"/>
      <c r="FK77" s="3"/>
      <c r="FL77" s="3"/>
      <c r="FM77" s="3"/>
      <c r="FN77" s="3"/>
      <c r="FO77" s="2"/>
    </row>
    <row r="78" spans="2:171" ht="15.75" thickBot="1" x14ac:dyDescent="0.3">
      <c r="AC78" s="5">
        <v>3</v>
      </c>
      <c r="AD78" s="4" t="s">
        <v>0</v>
      </c>
      <c r="AE78" s="4"/>
      <c r="AF78" s="3"/>
      <c r="AG78" s="3"/>
      <c r="AH78" s="3"/>
      <c r="AI78" s="6"/>
      <c r="AJ78" s="2"/>
      <c r="AL78" s="5">
        <v>2</v>
      </c>
      <c r="AM78" s="4" t="s">
        <v>1</v>
      </c>
      <c r="AN78" s="4"/>
      <c r="AO78" s="3"/>
      <c r="AP78" s="3"/>
      <c r="AQ78" s="3"/>
      <c r="AR78" s="3"/>
      <c r="AS78" s="2"/>
      <c r="CV78" s="75"/>
      <c r="DE78" s="75"/>
      <c r="DN78" s="75"/>
      <c r="EO78" s="75"/>
      <c r="EP78" s="17" t="s">
        <v>4</v>
      </c>
      <c r="EQ78" s="16" t="s">
        <v>3</v>
      </c>
      <c r="ER78" s="16"/>
      <c r="ES78" s="15"/>
      <c r="ET78" s="15"/>
      <c r="EU78" s="15"/>
      <c r="EV78" s="15"/>
      <c r="EW78" s="14"/>
      <c r="EY78" s="33">
        <v>3</v>
      </c>
      <c r="EZ78" s="32" t="s">
        <v>10</v>
      </c>
      <c r="FA78" s="32" t="s">
        <v>227</v>
      </c>
      <c r="FB78" s="31"/>
      <c r="FC78" s="31"/>
      <c r="FD78" s="31"/>
      <c r="FE78" s="31"/>
      <c r="FF78" s="30"/>
    </row>
    <row r="79" spans="2:171" ht="15.75" thickBot="1" x14ac:dyDescent="0.3">
      <c r="AL79" s="5">
        <v>3</v>
      </c>
      <c r="AM79" s="4" t="s">
        <v>0</v>
      </c>
      <c r="AN79" s="4"/>
      <c r="AO79" s="3"/>
      <c r="AP79" s="3"/>
      <c r="AQ79" s="3"/>
      <c r="AR79" s="3"/>
      <c r="AS79" s="2"/>
      <c r="CV79" s="75"/>
      <c r="DE79" s="75"/>
      <c r="DN79" s="75"/>
      <c r="EO79" s="75"/>
      <c r="EP79" s="10">
        <v>1</v>
      </c>
      <c r="EQ79" s="9" t="s">
        <v>2</v>
      </c>
      <c r="ER79" s="9"/>
      <c r="ES79" s="8"/>
      <c r="ET79" s="8"/>
      <c r="EU79" s="8"/>
      <c r="EV79" s="8"/>
      <c r="EW79" s="7"/>
      <c r="EY79" s="17" t="s">
        <v>9</v>
      </c>
      <c r="EZ79" s="16" t="s">
        <v>246</v>
      </c>
      <c r="FA79" s="16"/>
      <c r="FB79" s="15"/>
      <c r="FC79" s="15"/>
      <c r="FD79" s="15"/>
      <c r="FE79" s="15"/>
      <c r="FF79" s="14"/>
    </row>
    <row r="80" spans="2:171" x14ac:dyDescent="0.25">
      <c r="EO80" s="75"/>
      <c r="EP80" s="5">
        <v>2</v>
      </c>
      <c r="EQ80" s="4" t="s">
        <v>1</v>
      </c>
      <c r="ER80" s="4"/>
      <c r="ES80" s="3"/>
      <c r="ET80" s="3"/>
      <c r="EU80" s="3"/>
      <c r="EV80" s="3"/>
      <c r="EW80" s="2"/>
      <c r="EY80" s="10">
        <v>1</v>
      </c>
      <c r="EZ80" s="9" t="s">
        <v>8</v>
      </c>
      <c r="FA80" s="9" t="s">
        <v>242</v>
      </c>
      <c r="FB80" s="8"/>
      <c r="FC80" s="8"/>
      <c r="FD80" s="8"/>
      <c r="FE80" s="8"/>
      <c r="FF80" s="7"/>
    </row>
    <row r="81" spans="145:162" x14ac:dyDescent="0.25">
      <c r="EO81" s="75"/>
      <c r="EP81" s="5">
        <v>3</v>
      </c>
      <c r="EQ81" s="4" t="s">
        <v>0</v>
      </c>
      <c r="ER81" s="4"/>
      <c r="ES81" s="3"/>
      <c r="ET81" s="3"/>
      <c r="EU81" s="3"/>
      <c r="EV81" s="3"/>
      <c r="EW81" s="2"/>
      <c r="EY81" s="10"/>
      <c r="EZ81" s="9"/>
      <c r="FA81" s="9" t="s">
        <v>238</v>
      </c>
      <c r="FB81" s="8"/>
      <c r="FC81" s="8"/>
      <c r="FD81" s="8"/>
      <c r="FE81" s="8"/>
      <c r="FF81" s="7"/>
    </row>
    <row r="82" spans="145:162" ht="15.75" thickBot="1" x14ac:dyDescent="0.3">
      <c r="EO82" s="75"/>
      <c r="EY82" s="110">
        <v>2</v>
      </c>
      <c r="EZ82" s="111" t="s">
        <v>253</v>
      </c>
      <c r="FA82" s="111"/>
      <c r="FB82" s="112" t="s">
        <v>220</v>
      </c>
      <c r="FC82" s="112">
        <v>30</v>
      </c>
      <c r="FD82" s="112"/>
      <c r="FE82" s="112"/>
      <c r="FF82" s="116"/>
    </row>
    <row r="83" spans="145:162" ht="15.75" thickBot="1" x14ac:dyDescent="0.3">
      <c r="EO83" s="75"/>
      <c r="EY83" s="17" t="s">
        <v>4</v>
      </c>
      <c r="EZ83" s="16" t="s">
        <v>3</v>
      </c>
      <c r="FA83" s="16"/>
      <c r="FB83" s="15"/>
      <c r="FC83" s="15"/>
      <c r="FD83" s="15"/>
      <c r="FE83" s="15"/>
      <c r="FF83" s="14"/>
    </row>
    <row r="84" spans="145:162" x14ac:dyDescent="0.25">
      <c r="EO84" s="75"/>
      <c r="EY84" s="10">
        <v>1</v>
      </c>
      <c r="EZ84" s="9" t="s">
        <v>2</v>
      </c>
      <c r="FA84" s="9"/>
      <c r="FB84" s="8"/>
      <c r="FC84" s="8"/>
      <c r="FD84" s="8"/>
      <c r="FE84" s="8"/>
      <c r="FF84" s="7"/>
    </row>
    <row r="85" spans="145:162" x14ac:dyDescent="0.25">
      <c r="EO85" s="75"/>
      <c r="EY85" s="5">
        <v>2</v>
      </c>
      <c r="EZ85" s="4" t="s">
        <v>1</v>
      </c>
      <c r="FA85" s="4"/>
      <c r="FB85" s="3"/>
      <c r="FC85" s="3"/>
      <c r="FD85" s="3"/>
      <c r="FE85" s="3"/>
      <c r="FF85" s="2"/>
    </row>
    <row r="86" spans="145:162" x14ac:dyDescent="0.25">
      <c r="EO86" s="75"/>
      <c r="EY86" s="5">
        <v>3</v>
      </c>
      <c r="EZ86" s="4" t="s">
        <v>0</v>
      </c>
      <c r="FA86" s="4"/>
      <c r="FB86" s="3"/>
      <c r="FC86" s="3"/>
      <c r="FD86" s="3"/>
      <c r="FE86" s="3"/>
      <c r="FF86" s="2"/>
    </row>
    <row r="87" spans="145:162" x14ac:dyDescent="0.25">
      <c r="EO87" s="75"/>
    </row>
    <row r="88" spans="145:162" x14ac:dyDescent="0.25">
      <c r="EO88" s="75"/>
    </row>
    <row r="89" spans="145:162" x14ac:dyDescent="0.25">
      <c r="EO89" s="75"/>
    </row>
    <row r="90" spans="145:162" x14ac:dyDescent="0.25">
      <c r="EO90" s="75"/>
    </row>
    <row r="91" spans="145:162" x14ac:dyDescent="0.25">
      <c r="EO91" s="75"/>
    </row>
    <row r="92" spans="145:162" x14ac:dyDescent="0.25">
      <c r="EO92" s="75"/>
    </row>
  </sheetData>
  <mergeCells count="74">
    <mergeCell ref="B52:I52"/>
    <mergeCell ref="B53:I53"/>
    <mergeCell ref="B55:I55"/>
    <mergeCell ref="FH52:FO52"/>
    <mergeCell ref="FH53:FO53"/>
    <mergeCell ref="FH55:FO55"/>
    <mergeCell ref="EP52:EW52"/>
    <mergeCell ref="EP53:EW53"/>
    <mergeCell ref="EP55:EW55"/>
    <mergeCell ref="EY52:FF52"/>
    <mergeCell ref="EY53:FF53"/>
    <mergeCell ref="EY55:FF55"/>
    <mergeCell ref="BV52:CC52"/>
    <mergeCell ref="CE52:CL52"/>
    <mergeCell ref="CW52:DD52"/>
    <mergeCell ref="K13:R13"/>
    <mergeCell ref="K12:R12"/>
    <mergeCell ref="K11:R11"/>
    <mergeCell ref="K10:R10"/>
    <mergeCell ref="AK21:AN22"/>
    <mergeCell ref="S22:U22"/>
    <mergeCell ref="AC10:AJ10"/>
    <mergeCell ref="AU10:BB10"/>
    <mergeCell ref="AC11:AJ11"/>
    <mergeCell ref="AU11:BB11"/>
    <mergeCell ref="AC12:AJ12"/>
    <mergeCell ref="AC13:AJ13"/>
    <mergeCell ref="AU13:BB13"/>
    <mergeCell ref="S24:U26"/>
    <mergeCell ref="AK36:AN36"/>
    <mergeCell ref="AK39:AN41"/>
    <mergeCell ref="AU51:BK51"/>
    <mergeCell ref="AU52:BB52"/>
    <mergeCell ref="T52:AA52"/>
    <mergeCell ref="AC52:AJ52"/>
    <mergeCell ref="AL52:AS52"/>
    <mergeCell ref="EG53:EN53"/>
    <mergeCell ref="EG52:EN52"/>
    <mergeCell ref="K53:R53"/>
    <mergeCell ref="T53:AA53"/>
    <mergeCell ref="AC53:AJ53"/>
    <mergeCell ref="AL53:AS53"/>
    <mergeCell ref="AU53:BB53"/>
    <mergeCell ref="BD53:BK53"/>
    <mergeCell ref="BM53:BT53"/>
    <mergeCell ref="BD52:BK52"/>
    <mergeCell ref="BM52:BT52"/>
    <mergeCell ref="CN52:CU52"/>
    <mergeCell ref="K52:R52"/>
    <mergeCell ref="DX52:EE52"/>
    <mergeCell ref="DF52:DM52"/>
    <mergeCell ref="DO52:DV52"/>
    <mergeCell ref="CN53:CU53"/>
    <mergeCell ref="DX53:EE53"/>
    <mergeCell ref="BV53:CC53"/>
    <mergeCell ref="BV55:CC55"/>
    <mergeCell ref="CE53:CL53"/>
    <mergeCell ref="CE55:CL55"/>
    <mergeCell ref="CW53:DD53"/>
    <mergeCell ref="CW55:DD55"/>
    <mergeCell ref="DF53:DM53"/>
    <mergeCell ref="DF55:DM55"/>
    <mergeCell ref="DO53:DV53"/>
    <mergeCell ref="DO55:DV55"/>
    <mergeCell ref="K55:R55"/>
    <mergeCell ref="T55:AA55"/>
    <mergeCell ref="AC55:AJ55"/>
    <mergeCell ref="AL55:AS55"/>
    <mergeCell ref="EG55:EN55"/>
    <mergeCell ref="BD55:BK55"/>
    <mergeCell ref="BM55:BT55"/>
    <mergeCell ref="CN55:CU55"/>
    <mergeCell ref="DX55:EE55"/>
    <mergeCell ref="AU55:BB55"/>
  </mergeCells>
  <pageMargins left="0.7" right="0.7" top="0.75" bottom="0.75" header="0.3" footer="0.3"/>
  <pageSetup paperSize="9"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Lingkungan (DL)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2021-08-05T09:16:13Z</dcterms:created>
  <dcterms:modified xsi:type="dcterms:W3CDTF">2021-11-11T09:31:48Z</dcterms:modified>
</cp:coreProperties>
</file>