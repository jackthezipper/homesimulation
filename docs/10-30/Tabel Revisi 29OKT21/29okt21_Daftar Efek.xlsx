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Proses Dalam Otak\Data Dasar Agen\"/>
    </mc:Choice>
  </mc:AlternateContent>
  <xr:revisionPtr revIDLastSave="0" documentId="13_ncr:1_{83E83E8A-56CC-434F-9414-E5F99BBCB71A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Daftar Efek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83" i="1" l="1"/>
  <c r="W83" i="1"/>
  <c r="U83" i="1"/>
  <c r="S83" i="1"/>
  <c r="R83" i="1"/>
  <c r="Q83" i="1"/>
  <c r="N83" i="1"/>
  <c r="O83" i="1" s="1"/>
  <c r="M83" i="1"/>
  <c r="K83" i="1"/>
  <c r="I83" i="1"/>
  <c r="G83" i="1"/>
  <c r="Y41" i="1"/>
  <c r="W41" i="1"/>
  <c r="U41" i="1"/>
  <c r="S41" i="1"/>
  <c r="R41" i="1"/>
  <c r="Q41" i="1"/>
  <c r="N41" i="1"/>
  <c r="O41" i="1" s="1"/>
  <c r="M41" i="1"/>
  <c r="K41" i="1"/>
  <c r="I41" i="1"/>
  <c r="G41" i="1"/>
  <c r="Y110" i="1" l="1"/>
  <c r="W110" i="1"/>
  <c r="U110" i="1"/>
  <c r="S110" i="1"/>
  <c r="R110" i="1"/>
  <c r="Q110" i="1"/>
  <c r="N110" i="1"/>
  <c r="O110" i="1" s="1"/>
  <c r="M110" i="1"/>
  <c r="K110" i="1"/>
  <c r="I110" i="1"/>
  <c r="G110" i="1"/>
  <c r="Y98" i="1"/>
  <c r="W98" i="1"/>
  <c r="U98" i="1"/>
  <c r="R98" i="1"/>
  <c r="S98" i="1" s="1"/>
  <c r="Q98" i="1"/>
  <c r="N98" i="1"/>
  <c r="O98" i="1" s="1"/>
  <c r="M98" i="1"/>
  <c r="K98" i="1"/>
  <c r="I98" i="1"/>
  <c r="G98" i="1"/>
  <c r="Y95" i="1"/>
  <c r="W95" i="1"/>
  <c r="U95" i="1"/>
  <c r="R95" i="1"/>
  <c r="S95" i="1" s="1"/>
  <c r="Q95" i="1"/>
  <c r="N95" i="1"/>
  <c r="O95" i="1" s="1"/>
  <c r="M95" i="1"/>
  <c r="K95" i="1"/>
  <c r="I95" i="1"/>
  <c r="G95" i="1"/>
  <c r="Y91" i="1"/>
  <c r="W91" i="1"/>
  <c r="U91" i="1"/>
  <c r="S91" i="1"/>
  <c r="R91" i="1"/>
  <c r="Q91" i="1"/>
  <c r="N91" i="1"/>
  <c r="O91" i="1" s="1"/>
  <c r="M91" i="1"/>
  <c r="K91" i="1"/>
  <c r="I91" i="1"/>
  <c r="G91" i="1"/>
  <c r="Y90" i="1"/>
  <c r="W90" i="1"/>
  <c r="U90" i="1"/>
  <c r="R90" i="1"/>
  <c r="S90" i="1" s="1"/>
  <c r="Q90" i="1"/>
  <c r="N90" i="1"/>
  <c r="O90" i="1" s="1"/>
  <c r="M90" i="1"/>
  <c r="K90" i="1"/>
  <c r="I90" i="1"/>
  <c r="G90" i="1"/>
  <c r="Y89" i="1"/>
  <c r="W89" i="1"/>
  <c r="U89" i="1"/>
  <c r="R89" i="1"/>
  <c r="S89" i="1" s="1"/>
  <c r="Q89" i="1"/>
  <c r="N89" i="1"/>
  <c r="O89" i="1" s="1"/>
  <c r="M89" i="1"/>
  <c r="K89" i="1"/>
  <c r="I89" i="1"/>
  <c r="G89" i="1"/>
  <c r="Y82" i="1"/>
  <c r="W82" i="1"/>
  <c r="U82" i="1"/>
  <c r="S82" i="1"/>
  <c r="R82" i="1"/>
  <c r="Q82" i="1"/>
  <c r="N82" i="1"/>
  <c r="O82" i="1" s="1"/>
  <c r="M82" i="1"/>
  <c r="K82" i="1"/>
  <c r="I82" i="1"/>
  <c r="G82" i="1"/>
  <c r="Y81" i="1"/>
  <c r="W81" i="1"/>
  <c r="U81" i="1"/>
  <c r="S81" i="1"/>
  <c r="R81" i="1"/>
  <c r="Q81" i="1"/>
  <c r="N81" i="1"/>
  <c r="O81" i="1" s="1"/>
  <c r="M81" i="1"/>
  <c r="K81" i="1"/>
  <c r="I81" i="1"/>
  <c r="G81" i="1"/>
  <c r="Y75" i="1"/>
  <c r="W75" i="1"/>
  <c r="U75" i="1"/>
  <c r="R75" i="1"/>
  <c r="S75" i="1" s="1"/>
  <c r="Q75" i="1"/>
  <c r="N75" i="1"/>
  <c r="O75" i="1" s="1"/>
  <c r="M75" i="1"/>
  <c r="K75" i="1"/>
  <c r="I75" i="1"/>
  <c r="G75" i="1"/>
  <c r="Y72" i="1"/>
  <c r="W72" i="1"/>
  <c r="U72" i="1"/>
  <c r="R72" i="1"/>
  <c r="S72" i="1" s="1"/>
  <c r="Q72" i="1"/>
  <c r="N72" i="1"/>
  <c r="O72" i="1" s="1"/>
  <c r="M72" i="1"/>
  <c r="K72" i="1"/>
  <c r="I72" i="1"/>
  <c r="G72" i="1"/>
  <c r="Y69" i="1"/>
  <c r="W69" i="1"/>
  <c r="U69" i="1"/>
  <c r="S69" i="1"/>
  <c r="R69" i="1"/>
  <c r="Q69" i="1"/>
  <c r="N69" i="1"/>
  <c r="O69" i="1" s="1"/>
  <c r="M69" i="1"/>
  <c r="K69" i="1"/>
  <c r="I69" i="1"/>
  <c r="G69" i="1"/>
  <c r="Y68" i="1"/>
  <c r="W68" i="1"/>
  <c r="U68" i="1"/>
  <c r="R68" i="1"/>
  <c r="S68" i="1" s="1"/>
  <c r="Q68" i="1"/>
  <c r="N68" i="1"/>
  <c r="O68" i="1" s="1"/>
  <c r="M68" i="1"/>
  <c r="K68" i="1"/>
  <c r="I68" i="1"/>
  <c r="G68" i="1"/>
  <c r="Y67" i="1"/>
  <c r="W67" i="1"/>
  <c r="U67" i="1"/>
  <c r="R67" i="1"/>
  <c r="S67" i="1" s="1"/>
  <c r="Q67" i="1"/>
  <c r="N67" i="1"/>
  <c r="O67" i="1" s="1"/>
  <c r="M67" i="1"/>
  <c r="K67" i="1"/>
  <c r="I67" i="1"/>
  <c r="G67" i="1"/>
  <c r="Y51" i="1"/>
  <c r="W51" i="1"/>
  <c r="U51" i="1"/>
  <c r="S51" i="1"/>
  <c r="R51" i="1"/>
  <c r="Q51" i="1"/>
  <c r="N51" i="1"/>
  <c r="O51" i="1" s="1"/>
  <c r="M51" i="1"/>
  <c r="K51" i="1"/>
  <c r="I51" i="1"/>
  <c r="G51" i="1"/>
  <c r="Y47" i="1"/>
  <c r="W47" i="1"/>
  <c r="U47" i="1"/>
  <c r="S47" i="1"/>
  <c r="R47" i="1"/>
  <c r="Q47" i="1"/>
  <c r="N47" i="1"/>
  <c r="O47" i="1" s="1"/>
  <c r="M47" i="1"/>
  <c r="K47" i="1"/>
  <c r="I47" i="1"/>
  <c r="G47" i="1"/>
  <c r="Y46" i="1"/>
  <c r="W46" i="1"/>
  <c r="U46" i="1"/>
  <c r="R46" i="1"/>
  <c r="S46" i="1" s="1"/>
  <c r="Q46" i="1"/>
  <c r="N46" i="1"/>
  <c r="O46" i="1" s="1"/>
  <c r="M46" i="1"/>
  <c r="K46" i="1"/>
  <c r="I46" i="1"/>
  <c r="G46" i="1"/>
  <c r="Y45" i="1"/>
  <c r="W45" i="1"/>
  <c r="U45" i="1"/>
  <c r="R45" i="1"/>
  <c r="S45" i="1" s="1"/>
  <c r="Q45" i="1"/>
  <c r="N45" i="1"/>
  <c r="O45" i="1" s="1"/>
  <c r="M45" i="1"/>
  <c r="K45" i="1"/>
  <c r="I45" i="1"/>
  <c r="G45" i="1"/>
  <c r="Y44" i="1"/>
  <c r="W44" i="1"/>
  <c r="U44" i="1"/>
  <c r="S44" i="1"/>
  <c r="R44" i="1"/>
  <c r="Q44" i="1"/>
  <c r="N44" i="1"/>
  <c r="O44" i="1" s="1"/>
  <c r="M44" i="1"/>
  <c r="K44" i="1"/>
  <c r="I44" i="1"/>
  <c r="G44" i="1"/>
  <c r="Y40" i="1"/>
  <c r="W40" i="1"/>
  <c r="U40" i="1"/>
  <c r="S40" i="1"/>
  <c r="R40" i="1"/>
  <c r="Q40" i="1"/>
  <c r="N40" i="1"/>
  <c r="O40" i="1" s="1"/>
  <c r="M40" i="1"/>
  <c r="K40" i="1"/>
  <c r="I40" i="1"/>
  <c r="G40" i="1"/>
  <c r="Y39" i="1"/>
  <c r="W39" i="1"/>
  <c r="U39" i="1"/>
  <c r="R39" i="1"/>
  <c r="S39" i="1" s="1"/>
  <c r="Q39" i="1"/>
  <c r="N39" i="1"/>
  <c r="O39" i="1" s="1"/>
  <c r="M39" i="1"/>
  <c r="K39" i="1"/>
  <c r="I39" i="1"/>
  <c r="G39" i="1"/>
  <c r="Y35" i="1"/>
  <c r="W35" i="1"/>
  <c r="U35" i="1"/>
  <c r="R35" i="1"/>
  <c r="S35" i="1" s="1"/>
  <c r="Q35" i="1"/>
  <c r="N35" i="1"/>
  <c r="O35" i="1" s="1"/>
  <c r="M35" i="1"/>
  <c r="K35" i="1"/>
  <c r="I35" i="1"/>
  <c r="G35" i="1"/>
  <c r="Y34" i="1"/>
  <c r="W34" i="1"/>
  <c r="U34" i="1"/>
  <c r="S34" i="1"/>
  <c r="R34" i="1"/>
  <c r="Q34" i="1"/>
  <c r="N34" i="1"/>
  <c r="O34" i="1" s="1"/>
  <c r="M34" i="1"/>
  <c r="K34" i="1"/>
  <c r="I34" i="1"/>
  <c r="G34" i="1"/>
  <c r="Y31" i="1"/>
  <c r="W31" i="1"/>
  <c r="U31" i="1"/>
  <c r="S31" i="1"/>
  <c r="R31" i="1"/>
  <c r="Q31" i="1"/>
  <c r="N31" i="1"/>
  <c r="O31" i="1" s="1"/>
  <c r="M31" i="1"/>
  <c r="K31" i="1"/>
  <c r="I31" i="1"/>
  <c r="G31" i="1"/>
  <c r="F109" i="1"/>
  <c r="G109" i="1" s="1"/>
  <c r="I109" i="1"/>
  <c r="K109" i="1"/>
  <c r="M109" i="1"/>
  <c r="N109" i="1"/>
  <c r="O109" i="1" s="1"/>
  <c r="Q109" i="1"/>
  <c r="R109" i="1"/>
  <c r="S109" i="1" s="1"/>
  <c r="U109" i="1"/>
  <c r="W109" i="1"/>
  <c r="Y109" i="1"/>
  <c r="F19" i="1" l="1"/>
  <c r="G19" i="1"/>
  <c r="I19" i="1"/>
  <c r="K19" i="1"/>
  <c r="M19" i="1"/>
  <c r="N19" i="1"/>
  <c r="O19" i="1" s="1"/>
  <c r="Q19" i="1"/>
  <c r="R19" i="1"/>
  <c r="S19" i="1" s="1"/>
  <c r="U19" i="1"/>
  <c r="W19" i="1"/>
  <c r="Y19" i="1"/>
  <c r="F26" i="1"/>
  <c r="G26" i="1" s="1"/>
  <c r="I26" i="1"/>
  <c r="K26" i="1"/>
  <c r="M26" i="1"/>
  <c r="N26" i="1"/>
  <c r="O26" i="1" s="1"/>
  <c r="Q26" i="1"/>
  <c r="R26" i="1"/>
  <c r="S26" i="1" s="1"/>
  <c r="U26" i="1"/>
  <c r="W26" i="1"/>
  <c r="Y26" i="1"/>
  <c r="F17" i="1"/>
  <c r="G17" i="1" s="1"/>
  <c r="I17" i="1"/>
  <c r="K17" i="1"/>
  <c r="M17" i="1"/>
  <c r="N17" i="1"/>
  <c r="O17" i="1" s="1"/>
  <c r="Q17" i="1"/>
  <c r="R17" i="1"/>
  <c r="S17" i="1" s="1"/>
  <c r="U17" i="1"/>
  <c r="W17" i="1"/>
  <c r="Y17" i="1"/>
  <c r="F6" i="1"/>
  <c r="G6" i="1" s="1"/>
  <c r="I6" i="1"/>
  <c r="K6" i="1"/>
  <c r="M6" i="1"/>
  <c r="N6" i="1"/>
  <c r="O6" i="1" s="1"/>
  <c r="Q6" i="1"/>
  <c r="R6" i="1"/>
  <c r="S6" i="1" s="1"/>
  <c r="U6" i="1"/>
  <c r="W6" i="1"/>
  <c r="Y6" i="1"/>
  <c r="N49" i="1" l="1"/>
  <c r="O49" i="1" s="1"/>
  <c r="Y53" i="1"/>
  <c r="W53" i="1"/>
  <c r="U53" i="1"/>
  <c r="R53" i="1"/>
  <c r="S53" i="1" s="1"/>
  <c r="Q53" i="1"/>
  <c r="N53" i="1"/>
  <c r="O53" i="1" s="1"/>
  <c r="M53" i="1"/>
  <c r="K53" i="1"/>
  <c r="I53" i="1"/>
  <c r="F53" i="1"/>
  <c r="G53" i="1" s="1"/>
  <c r="Y48" i="1"/>
  <c r="W48" i="1"/>
  <c r="U48" i="1"/>
  <c r="R48" i="1"/>
  <c r="S48" i="1" s="1"/>
  <c r="Q48" i="1"/>
  <c r="N48" i="1"/>
  <c r="O48" i="1" s="1"/>
  <c r="M48" i="1"/>
  <c r="K48" i="1"/>
  <c r="I48" i="1"/>
  <c r="F48" i="1"/>
  <c r="G48" i="1" s="1"/>
  <c r="Y42" i="1"/>
  <c r="W42" i="1"/>
  <c r="U42" i="1"/>
  <c r="R42" i="1"/>
  <c r="S42" i="1" s="1"/>
  <c r="Q42" i="1"/>
  <c r="N42" i="1"/>
  <c r="O42" i="1" s="1"/>
  <c r="M42" i="1"/>
  <c r="K42" i="1"/>
  <c r="I42" i="1"/>
  <c r="F42" i="1"/>
  <c r="G42" i="1" s="1"/>
  <c r="Y64" i="1"/>
  <c r="W64" i="1"/>
  <c r="U64" i="1"/>
  <c r="R64" i="1"/>
  <c r="S64" i="1" s="1"/>
  <c r="Q64" i="1"/>
  <c r="N64" i="1"/>
  <c r="O64" i="1" s="1"/>
  <c r="M64" i="1"/>
  <c r="K64" i="1"/>
  <c r="I64" i="1"/>
  <c r="F64" i="1"/>
  <c r="G64" i="1" s="1"/>
  <c r="Y37" i="1"/>
  <c r="W37" i="1"/>
  <c r="U37" i="1"/>
  <c r="R37" i="1"/>
  <c r="S37" i="1" s="1"/>
  <c r="Q37" i="1"/>
  <c r="N37" i="1"/>
  <c r="O37" i="1" s="1"/>
  <c r="M37" i="1"/>
  <c r="K37" i="1"/>
  <c r="I37" i="1"/>
  <c r="F37" i="1"/>
  <c r="G37" i="1" s="1"/>
  <c r="F22" i="1"/>
  <c r="G22" i="1" s="1"/>
  <c r="I22" i="1"/>
  <c r="K22" i="1"/>
  <c r="M22" i="1"/>
  <c r="N22" i="1"/>
  <c r="O22" i="1" s="1"/>
  <c r="Q22" i="1"/>
  <c r="R22" i="1"/>
  <c r="S22" i="1" s="1"/>
  <c r="U22" i="1"/>
  <c r="W22" i="1"/>
  <c r="Y22" i="1"/>
  <c r="Y58" i="1"/>
  <c r="W58" i="1"/>
  <c r="U58" i="1"/>
  <c r="R58" i="1"/>
  <c r="S58" i="1" s="1"/>
  <c r="Q58" i="1"/>
  <c r="N58" i="1"/>
  <c r="O58" i="1" s="1"/>
  <c r="M58" i="1"/>
  <c r="K58" i="1"/>
  <c r="I58" i="1"/>
  <c r="F58" i="1"/>
  <c r="G58" i="1" s="1"/>
  <c r="Y61" i="1"/>
  <c r="W61" i="1"/>
  <c r="U61" i="1"/>
  <c r="R61" i="1"/>
  <c r="S61" i="1" s="1"/>
  <c r="Q61" i="1"/>
  <c r="N61" i="1"/>
  <c r="O61" i="1" s="1"/>
  <c r="M61" i="1"/>
  <c r="K61" i="1"/>
  <c r="I61" i="1"/>
  <c r="F61" i="1"/>
  <c r="G61" i="1" s="1"/>
  <c r="Y63" i="1"/>
  <c r="W63" i="1"/>
  <c r="U63" i="1"/>
  <c r="R63" i="1"/>
  <c r="S63" i="1" s="1"/>
  <c r="Q63" i="1"/>
  <c r="N63" i="1"/>
  <c r="O63" i="1" s="1"/>
  <c r="M63" i="1"/>
  <c r="K63" i="1"/>
  <c r="I63" i="1"/>
  <c r="G63" i="1"/>
  <c r="Y71" i="1"/>
  <c r="W71" i="1"/>
  <c r="U71" i="1"/>
  <c r="R71" i="1"/>
  <c r="S71" i="1" s="1"/>
  <c r="Q71" i="1"/>
  <c r="N71" i="1"/>
  <c r="O71" i="1" s="1"/>
  <c r="M71" i="1"/>
  <c r="K71" i="1"/>
  <c r="I71" i="1"/>
  <c r="G71" i="1"/>
  <c r="Y99" i="1"/>
  <c r="W99" i="1"/>
  <c r="U99" i="1"/>
  <c r="R99" i="1"/>
  <c r="S99" i="1" s="1"/>
  <c r="Q99" i="1"/>
  <c r="N99" i="1"/>
  <c r="O99" i="1" s="1"/>
  <c r="M99" i="1"/>
  <c r="K99" i="1"/>
  <c r="I99" i="1"/>
  <c r="F99" i="1"/>
  <c r="G99" i="1" s="1"/>
  <c r="Y100" i="1"/>
  <c r="W100" i="1"/>
  <c r="U100" i="1"/>
  <c r="R100" i="1"/>
  <c r="S100" i="1" s="1"/>
  <c r="Q100" i="1"/>
  <c r="N100" i="1"/>
  <c r="O100" i="1" s="1"/>
  <c r="M100" i="1"/>
  <c r="K100" i="1"/>
  <c r="I100" i="1"/>
  <c r="G100" i="1"/>
  <c r="Y97" i="1"/>
  <c r="W97" i="1"/>
  <c r="U97" i="1"/>
  <c r="R97" i="1"/>
  <c r="S97" i="1" s="1"/>
  <c r="Q97" i="1"/>
  <c r="N97" i="1"/>
  <c r="O97" i="1" s="1"/>
  <c r="M97" i="1"/>
  <c r="K97" i="1"/>
  <c r="I97" i="1"/>
  <c r="G97" i="1"/>
  <c r="Y74" i="1"/>
  <c r="W74" i="1"/>
  <c r="U74" i="1"/>
  <c r="R74" i="1"/>
  <c r="S74" i="1" s="1"/>
  <c r="Q74" i="1"/>
  <c r="N74" i="1"/>
  <c r="O74" i="1" s="1"/>
  <c r="M74" i="1"/>
  <c r="K74" i="1"/>
  <c r="I74" i="1"/>
  <c r="G74" i="1"/>
  <c r="Y33" i="1"/>
  <c r="W33" i="1"/>
  <c r="U33" i="1"/>
  <c r="R33" i="1"/>
  <c r="S33" i="1" s="1"/>
  <c r="Q33" i="1"/>
  <c r="N33" i="1"/>
  <c r="O33" i="1" s="1"/>
  <c r="M33" i="1"/>
  <c r="K33" i="1"/>
  <c r="I33" i="1"/>
  <c r="G33" i="1"/>
  <c r="Y32" i="1"/>
  <c r="W32" i="1"/>
  <c r="U32" i="1"/>
  <c r="R32" i="1"/>
  <c r="S32" i="1" s="1"/>
  <c r="Q32" i="1"/>
  <c r="N32" i="1"/>
  <c r="O32" i="1" s="1"/>
  <c r="M32" i="1"/>
  <c r="K32" i="1"/>
  <c r="I32" i="1"/>
  <c r="G32" i="1"/>
  <c r="Y7" i="1"/>
  <c r="W7" i="1"/>
  <c r="U7" i="1"/>
  <c r="R7" i="1"/>
  <c r="S7" i="1" s="1"/>
  <c r="Q7" i="1"/>
  <c r="N7" i="1"/>
  <c r="O7" i="1" s="1"/>
  <c r="M7" i="1"/>
  <c r="K7" i="1"/>
  <c r="I7" i="1"/>
  <c r="G7" i="1"/>
  <c r="F101" i="1"/>
  <c r="G101" i="1" s="1"/>
  <c r="I101" i="1"/>
  <c r="K101" i="1"/>
  <c r="M101" i="1"/>
  <c r="N101" i="1"/>
  <c r="O101" i="1" s="1"/>
  <c r="Q101" i="1"/>
  <c r="R101" i="1"/>
  <c r="S101" i="1" s="1"/>
  <c r="U101" i="1"/>
  <c r="W101" i="1"/>
  <c r="Y101" i="1"/>
  <c r="Y103" i="1"/>
  <c r="W103" i="1"/>
  <c r="U103" i="1"/>
  <c r="R103" i="1"/>
  <c r="S103" i="1" s="1"/>
  <c r="Q103" i="1"/>
  <c r="N103" i="1"/>
  <c r="O103" i="1" s="1"/>
  <c r="M103" i="1"/>
  <c r="K103" i="1"/>
  <c r="I103" i="1"/>
  <c r="F103" i="1"/>
  <c r="G103" i="1" s="1"/>
  <c r="Y108" i="1"/>
  <c r="W108" i="1"/>
  <c r="U108" i="1"/>
  <c r="R108" i="1"/>
  <c r="S108" i="1" s="1"/>
  <c r="Q108" i="1"/>
  <c r="N108" i="1"/>
  <c r="O108" i="1" s="1"/>
  <c r="M108" i="1"/>
  <c r="K108" i="1"/>
  <c r="I108" i="1"/>
  <c r="F108" i="1"/>
  <c r="G108" i="1" s="1"/>
  <c r="Y102" i="1"/>
  <c r="W102" i="1"/>
  <c r="U102" i="1"/>
  <c r="R102" i="1"/>
  <c r="S102" i="1" s="1"/>
  <c r="Q102" i="1"/>
  <c r="N102" i="1"/>
  <c r="O102" i="1" s="1"/>
  <c r="M102" i="1"/>
  <c r="K102" i="1"/>
  <c r="I102" i="1"/>
  <c r="G102" i="1"/>
  <c r="Y96" i="1"/>
  <c r="W96" i="1"/>
  <c r="U96" i="1"/>
  <c r="R96" i="1"/>
  <c r="S96" i="1" s="1"/>
  <c r="Q96" i="1"/>
  <c r="N96" i="1"/>
  <c r="O96" i="1" s="1"/>
  <c r="M96" i="1"/>
  <c r="K96" i="1"/>
  <c r="I96" i="1"/>
  <c r="F96" i="1"/>
  <c r="G96" i="1" s="1"/>
  <c r="Y73" i="1"/>
  <c r="W73" i="1"/>
  <c r="U73" i="1"/>
  <c r="R73" i="1"/>
  <c r="S73" i="1" s="1"/>
  <c r="Q73" i="1"/>
  <c r="N73" i="1"/>
  <c r="O73" i="1" s="1"/>
  <c r="M73" i="1"/>
  <c r="K73" i="1"/>
  <c r="I73" i="1"/>
  <c r="F73" i="1"/>
  <c r="G73" i="1" s="1"/>
  <c r="F55" i="1"/>
  <c r="G55" i="1" s="1"/>
  <c r="I55" i="1"/>
  <c r="K55" i="1"/>
  <c r="M55" i="1"/>
  <c r="N55" i="1"/>
  <c r="O55" i="1" s="1"/>
  <c r="Q55" i="1"/>
  <c r="R55" i="1"/>
  <c r="S55" i="1" s="1"/>
  <c r="U55" i="1"/>
  <c r="W55" i="1"/>
  <c r="Y55" i="1"/>
  <c r="F56" i="1"/>
  <c r="G56" i="1" s="1"/>
  <c r="I56" i="1"/>
  <c r="K56" i="1"/>
  <c r="M56" i="1"/>
  <c r="N56" i="1"/>
  <c r="O56" i="1" s="1"/>
  <c r="Q56" i="1"/>
  <c r="R56" i="1"/>
  <c r="S56" i="1" s="1"/>
  <c r="U56" i="1"/>
  <c r="W56" i="1"/>
  <c r="Y56" i="1"/>
  <c r="F57" i="1"/>
  <c r="G57" i="1" s="1"/>
  <c r="I57" i="1"/>
  <c r="K57" i="1"/>
  <c r="M57" i="1"/>
  <c r="N57" i="1"/>
  <c r="O57" i="1" s="1"/>
  <c r="Q57" i="1"/>
  <c r="R57" i="1"/>
  <c r="S57" i="1" s="1"/>
  <c r="U57" i="1"/>
  <c r="W57" i="1"/>
  <c r="Y57" i="1"/>
  <c r="Y80" i="1"/>
  <c r="W80" i="1"/>
  <c r="U80" i="1"/>
  <c r="R80" i="1"/>
  <c r="S80" i="1" s="1"/>
  <c r="Q80" i="1"/>
  <c r="N80" i="1"/>
  <c r="O80" i="1" s="1"/>
  <c r="M80" i="1"/>
  <c r="K80" i="1"/>
  <c r="I80" i="1"/>
  <c r="F80" i="1"/>
  <c r="G80" i="1" s="1"/>
  <c r="Y38" i="1"/>
  <c r="W38" i="1"/>
  <c r="U38" i="1"/>
  <c r="R38" i="1"/>
  <c r="S38" i="1" s="1"/>
  <c r="Q38" i="1"/>
  <c r="N38" i="1"/>
  <c r="O38" i="1" s="1"/>
  <c r="M38" i="1"/>
  <c r="K38" i="1"/>
  <c r="I38" i="1"/>
  <c r="F38" i="1"/>
  <c r="G38" i="1" s="1"/>
  <c r="Y87" i="1"/>
  <c r="W87" i="1"/>
  <c r="U87" i="1"/>
  <c r="R87" i="1"/>
  <c r="S87" i="1" s="1"/>
  <c r="Q87" i="1"/>
  <c r="N87" i="1"/>
  <c r="O87" i="1" s="1"/>
  <c r="M87" i="1"/>
  <c r="K87" i="1"/>
  <c r="I87" i="1"/>
  <c r="F87" i="1"/>
  <c r="G87" i="1" s="1"/>
  <c r="Y66" i="1"/>
  <c r="W66" i="1"/>
  <c r="U66" i="1"/>
  <c r="R66" i="1"/>
  <c r="S66" i="1" s="1"/>
  <c r="Q66" i="1"/>
  <c r="N66" i="1"/>
  <c r="O66" i="1" s="1"/>
  <c r="M66" i="1"/>
  <c r="K66" i="1"/>
  <c r="I66" i="1"/>
  <c r="F66" i="1"/>
  <c r="G66" i="1" s="1"/>
  <c r="Y24" i="1"/>
  <c r="W24" i="1"/>
  <c r="U24" i="1"/>
  <c r="R24" i="1"/>
  <c r="S24" i="1" s="1"/>
  <c r="Q24" i="1"/>
  <c r="N24" i="1"/>
  <c r="O24" i="1" s="1"/>
  <c r="M24" i="1"/>
  <c r="K24" i="1"/>
  <c r="I24" i="1"/>
  <c r="F24" i="1"/>
  <c r="G24" i="1" s="1"/>
  <c r="Y21" i="1"/>
  <c r="W21" i="1"/>
  <c r="U21" i="1"/>
  <c r="R21" i="1"/>
  <c r="S21" i="1" s="1"/>
  <c r="Q21" i="1"/>
  <c r="N21" i="1"/>
  <c r="O21" i="1" s="1"/>
  <c r="M21" i="1"/>
  <c r="K21" i="1"/>
  <c r="I21" i="1"/>
  <c r="F21" i="1"/>
  <c r="G21" i="1" s="1"/>
  <c r="Y20" i="1"/>
  <c r="W20" i="1"/>
  <c r="U20" i="1"/>
  <c r="R20" i="1"/>
  <c r="S20" i="1" s="1"/>
  <c r="Q20" i="1"/>
  <c r="N20" i="1"/>
  <c r="O20" i="1" s="1"/>
  <c r="M20" i="1"/>
  <c r="K20" i="1"/>
  <c r="I20" i="1"/>
  <c r="F20" i="1"/>
  <c r="G20" i="1" s="1"/>
  <c r="F12" i="1"/>
  <c r="G12" i="1" s="1"/>
  <c r="I12" i="1"/>
  <c r="K12" i="1"/>
  <c r="M12" i="1"/>
  <c r="N12" i="1"/>
  <c r="O12" i="1" s="1"/>
  <c r="Q12" i="1"/>
  <c r="R12" i="1"/>
  <c r="S12" i="1" s="1"/>
  <c r="U12" i="1"/>
  <c r="W12" i="1"/>
  <c r="Y12" i="1"/>
  <c r="F11" i="1"/>
  <c r="G11" i="1" s="1"/>
  <c r="I11" i="1"/>
  <c r="K11" i="1"/>
  <c r="M11" i="1"/>
  <c r="N11" i="1"/>
  <c r="O11" i="1" s="1"/>
  <c r="Q11" i="1"/>
  <c r="R11" i="1"/>
  <c r="S11" i="1" s="1"/>
  <c r="U11" i="1"/>
  <c r="W11" i="1"/>
  <c r="Y11" i="1"/>
  <c r="F16" i="1"/>
  <c r="G16" i="1" s="1"/>
  <c r="I16" i="1"/>
  <c r="K16" i="1"/>
  <c r="M16" i="1"/>
  <c r="N16" i="1"/>
  <c r="O16" i="1" s="1"/>
  <c r="Q16" i="1"/>
  <c r="R16" i="1"/>
  <c r="S16" i="1" s="1"/>
  <c r="U16" i="1"/>
  <c r="W16" i="1"/>
  <c r="Y16" i="1"/>
  <c r="Y15" i="1"/>
  <c r="W15" i="1"/>
  <c r="U15" i="1"/>
  <c r="R15" i="1"/>
  <c r="S15" i="1" s="1"/>
  <c r="Q15" i="1"/>
  <c r="N15" i="1"/>
  <c r="O15" i="1" s="1"/>
  <c r="M15" i="1"/>
  <c r="K15" i="1"/>
  <c r="I15" i="1"/>
  <c r="F15" i="1"/>
  <c r="G15" i="1" s="1"/>
  <c r="Y85" i="1"/>
  <c r="W85" i="1"/>
  <c r="U85" i="1"/>
  <c r="R85" i="1"/>
  <c r="S85" i="1" s="1"/>
  <c r="Q85" i="1"/>
  <c r="N85" i="1"/>
  <c r="O85" i="1" s="1"/>
  <c r="M85" i="1"/>
  <c r="K85" i="1"/>
  <c r="I85" i="1"/>
  <c r="F85" i="1"/>
  <c r="G85" i="1" s="1"/>
  <c r="Y65" i="1"/>
  <c r="W65" i="1"/>
  <c r="U65" i="1"/>
  <c r="R65" i="1"/>
  <c r="S65" i="1" s="1"/>
  <c r="Q65" i="1"/>
  <c r="N65" i="1"/>
  <c r="O65" i="1" s="1"/>
  <c r="M65" i="1"/>
  <c r="K65" i="1"/>
  <c r="I65" i="1"/>
  <c r="F65" i="1"/>
  <c r="G65" i="1" s="1"/>
  <c r="Y28" i="1"/>
  <c r="W28" i="1"/>
  <c r="U28" i="1"/>
  <c r="R28" i="1"/>
  <c r="S28" i="1" s="1"/>
  <c r="Q28" i="1"/>
  <c r="N28" i="1"/>
  <c r="O28" i="1" s="1"/>
  <c r="M28" i="1"/>
  <c r="K28" i="1"/>
  <c r="I28" i="1"/>
  <c r="F28" i="1"/>
  <c r="G28" i="1" s="1"/>
  <c r="Y112" i="1"/>
  <c r="Y113" i="1"/>
  <c r="Y114" i="1"/>
  <c r="Y115" i="1"/>
  <c r="Y116" i="1"/>
  <c r="Y117" i="1"/>
  <c r="Y111" i="1"/>
  <c r="Y8" i="1"/>
  <c r="Y13" i="1"/>
  <c r="Y14" i="1"/>
  <c r="Y18" i="1"/>
  <c r="Y36" i="1"/>
  <c r="Y10" i="1"/>
  <c r="Y25" i="1"/>
  <c r="Y23" i="1"/>
  <c r="Y27" i="1"/>
  <c r="Y9" i="1"/>
  <c r="Y30" i="1"/>
  <c r="Y62" i="1"/>
  <c r="Y49" i="1"/>
  <c r="Y43" i="1"/>
  <c r="Y54" i="1"/>
  <c r="Y50" i="1"/>
  <c r="Y29" i="1"/>
  <c r="Y59" i="1"/>
  <c r="Y60" i="1"/>
  <c r="Y70" i="1"/>
  <c r="Y94" i="1"/>
  <c r="Y76" i="1"/>
  <c r="Y78" i="1"/>
  <c r="Y86" i="1"/>
  <c r="Y52" i="1"/>
  <c r="Y84" i="1"/>
  <c r="Y77" i="1"/>
  <c r="Y93" i="1"/>
  <c r="Y79" i="1"/>
  <c r="Y88" i="1"/>
  <c r="Y92" i="1"/>
  <c r="Y104" i="1"/>
  <c r="Y105" i="1"/>
  <c r="Y106" i="1"/>
  <c r="Y107" i="1"/>
  <c r="W112" i="1"/>
  <c r="W113" i="1"/>
  <c r="W114" i="1"/>
  <c r="W115" i="1"/>
  <c r="W116" i="1"/>
  <c r="W117" i="1"/>
  <c r="W111" i="1"/>
  <c r="W8" i="1"/>
  <c r="W13" i="1"/>
  <c r="W14" i="1"/>
  <c r="W18" i="1"/>
  <c r="W36" i="1"/>
  <c r="W10" i="1"/>
  <c r="W25" i="1"/>
  <c r="W23" i="1"/>
  <c r="W27" i="1"/>
  <c r="W9" i="1"/>
  <c r="W30" i="1"/>
  <c r="W62" i="1"/>
  <c r="W49" i="1"/>
  <c r="W43" i="1"/>
  <c r="W54" i="1"/>
  <c r="W50" i="1"/>
  <c r="W29" i="1"/>
  <c r="W59" i="1"/>
  <c r="W60" i="1"/>
  <c r="W70" i="1"/>
  <c r="W94" i="1"/>
  <c r="W76" i="1"/>
  <c r="W78" i="1"/>
  <c r="W86" i="1"/>
  <c r="W52" i="1"/>
  <c r="W84" i="1"/>
  <c r="W77" i="1"/>
  <c r="W93" i="1"/>
  <c r="W79" i="1"/>
  <c r="W88" i="1"/>
  <c r="W92" i="1"/>
  <c r="W104" i="1"/>
  <c r="W105" i="1"/>
  <c r="W106" i="1"/>
  <c r="W107" i="1"/>
  <c r="U112" i="1"/>
  <c r="U113" i="1"/>
  <c r="U114" i="1"/>
  <c r="U115" i="1"/>
  <c r="U116" i="1"/>
  <c r="U117" i="1"/>
  <c r="U111" i="1"/>
  <c r="U8" i="1"/>
  <c r="U13" i="1"/>
  <c r="U14" i="1"/>
  <c r="U18" i="1"/>
  <c r="U36" i="1"/>
  <c r="U10" i="1"/>
  <c r="U25" i="1"/>
  <c r="U23" i="1"/>
  <c r="U27" i="1"/>
  <c r="U9" i="1"/>
  <c r="U30" i="1"/>
  <c r="U62" i="1"/>
  <c r="U49" i="1"/>
  <c r="U43" i="1"/>
  <c r="U54" i="1"/>
  <c r="U50" i="1"/>
  <c r="U29" i="1"/>
  <c r="U59" i="1"/>
  <c r="U60" i="1"/>
  <c r="U70" i="1"/>
  <c r="U94" i="1"/>
  <c r="U76" i="1"/>
  <c r="U78" i="1"/>
  <c r="U86" i="1"/>
  <c r="U52" i="1"/>
  <c r="U84" i="1"/>
  <c r="U77" i="1"/>
  <c r="U93" i="1"/>
  <c r="U79" i="1"/>
  <c r="U88" i="1"/>
  <c r="U92" i="1"/>
  <c r="U104" i="1"/>
  <c r="U105" i="1"/>
  <c r="U106" i="1"/>
  <c r="U107" i="1"/>
  <c r="K112" i="1"/>
  <c r="K113" i="1"/>
  <c r="K114" i="1"/>
  <c r="K115" i="1"/>
  <c r="K116" i="1"/>
  <c r="K117" i="1"/>
  <c r="K111" i="1"/>
  <c r="K8" i="1"/>
  <c r="K13" i="1"/>
  <c r="K14" i="1"/>
  <c r="K18" i="1"/>
  <c r="K36" i="1"/>
  <c r="K10" i="1"/>
  <c r="K25" i="1"/>
  <c r="K23" i="1"/>
  <c r="K27" i="1"/>
  <c r="K9" i="1"/>
  <c r="K30" i="1"/>
  <c r="K62" i="1"/>
  <c r="K49" i="1"/>
  <c r="K43" i="1"/>
  <c r="K54" i="1"/>
  <c r="K50" i="1"/>
  <c r="K29" i="1"/>
  <c r="K59" i="1"/>
  <c r="K60" i="1"/>
  <c r="K70" i="1"/>
  <c r="K94" i="1"/>
  <c r="K76" i="1"/>
  <c r="K78" i="1"/>
  <c r="K86" i="1"/>
  <c r="K52" i="1"/>
  <c r="K84" i="1"/>
  <c r="K77" i="1"/>
  <c r="K93" i="1"/>
  <c r="K79" i="1"/>
  <c r="K88" i="1"/>
  <c r="K92" i="1"/>
  <c r="K104" i="1"/>
  <c r="K105" i="1"/>
  <c r="K106" i="1"/>
  <c r="K107" i="1"/>
  <c r="I112" i="1"/>
  <c r="I113" i="1"/>
  <c r="I114" i="1"/>
  <c r="I115" i="1"/>
  <c r="I116" i="1"/>
  <c r="I117" i="1"/>
  <c r="I111" i="1"/>
  <c r="I8" i="1"/>
  <c r="I13" i="1"/>
  <c r="I14" i="1"/>
  <c r="I18" i="1"/>
  <c r="I36" i="1"/>
  <c r="I10" i="1"/>
  <c r="I25" i="1"/>
  <c r="I23" i="1"/>
  <c r="I27" i="1"/>
  <c r="I9" i="1"/>
  <c r="I30" i="1"/>
  <c r="I62" i="1"/>
  <c r="I49" i="1"/>
  <c r="I43" i="1"/>
  <c r="I54" i="1"/>
  <c r="I50" i="1"/>
  <c r="I29" i="1"/>
  <c r="I59" i="1"/>
  <c r="I60" i="1"/>
  <c r="I70" i="1"/>
  <c r="I94" i="1"/>
  <c r="I76" i="1"/>
  <c r="I78" i="1"/>
  <c r="I86" i="1"/>
  <c r="I52" i="1"/>
  <c r="I84" i="1"/>
  <c r="I77" i="1"/>
  <c r="I93" i="1"/>
  <c r="I79" i="1"/>
  <c r="I88" i="1"/>
  <c r="I92" i="1"/>
  <c r="I104" i="1"/>
  <c r="I105" i="1"/>
  <c r="I106" i="1"/>
  <c r="I107" i="1"/>
  <c r="G113" i="1"/>
  <c r="G114" i="1"/>
  <c r="G115" i="1"/>
  <c r="G116" i="1"/>
  <c r="G111" i="1"/>
  <c r="G8" i="1"/>
  <c r="G94" i="1"/>
  <c r="G79" i="1"/>
  <c r="G105" i="1"/>
  <c r="G107" i="1"/>
  <c r="F117" i="1"/>
  <c r="G117" i="1" s="1"/>
  <c r="F112" i="1"/>
  <c r="G112" i="1" s="1"/>
  <c r="F106" i="1"/>
  <c r="G106" i="1" s="1"/>
  <c r="F104" i="1"/>
  <c r="G104" i="1" s="1"/>
  <c r="F92" i="1"/>
  <c r="G92" i="1" s="1"/>
  <c r="F88" i="1"/>
  <c r="G88" i="1" s="1"/>
  <c r="F93" i="1"/>
  <c r="G93" i="1" s="1"/>
  <c r="F77" i="1"/>
  <c r="G77" i="1" s="1"/>
  <c r="F84" i="1"/>
  <c r="G84" i="1" s="1"/>
  <c r="F52" i="1"/>
  <c r="G52" i="1" s="1"/>
  <c r="F86" i="1"/>
  <c r="G86" i="1" s="1"/>
  <c r="F78" i="1"/>
  <c r="G78" i="1" s="1"/>
  <c r="F76" i="1"/>
  <c r="G76" i="1" s="1"/>
  <c r="F70" i="1"/>
  <c r="G70" i="1" s="1"/>
  <c r="F60" i="1"/>
  <c r="G60" i="1" s="1"/>
  <c r="F59" i="1"/>
  <c r="G59" i="1" s="1"/>
  <c r="F29" i="1"/>
  <c r="G29" i="1" s="1"/>
  <c r="F50" i="1"/>
  <c r="G50" i="1" s="1"/>
  <c r="F54" i="1"/>
  <c r="G54" i="1" s="1"/>
  <c r="F43" i="1"/>
  <c r="G43" i="1" s="1"/>
  <c r="F49" i="1"/>
  <c r="G49" i="1" s="1"/>
  <c r="F62" i="1"/>
  <c r="G62" i="1" s="1"/>
  <c r="F30" i="1"/>
  <c r="G30" i="1" s="1"/>
  <c r="F9" i="1"/>
  <c r="G9" i="1" s="1"/>
  <c r="F27" i="1"/>
  <c r="G27" i="1" s="1"/>
  <c r="F23" i="1"/>
  <c r="G23" i="1" s="1"/>
  <c r="F25" i="1"/>
  <c r="G25" i="1" s="1"/>
  <c r="F10" i="1"/>
  <c r="G10" i="1" s="1"/>
  <c r="F36" i="1"/>
  <c r="G36" i="1" s="1"/>
  <c r="F18" i="1"/>
  <c r="G18" i="1" s="1"/>
  <c r="F14" i="1"/>
  <c r="G14" i="1" s="1"/>
  <c r="F13" i="1"/>
  <c r="G13" i="1" s="1"/>
  <c r="R104" i="1"/>
  <c r="S104" i="1" s="1"/>
  <c r="Q104" i="1"/>
  <c r="N104" i="1"/>
  <c r="O104" i="1" s="1"/>
  <c r="M104" i="1"/>
  <c r="R105" i="1"/>
  <c r="S105" i="1" s="1"/>
  <c r="Q105" i="1"/>
  <c r="N105" i="1"/>
  <c r="O105" i="1" s="1"/>
  <c r="M105" i="1"/>
  <c r="R86" i="1"/>
  <c r="S86" i="1" s="1"/>
  <c r="Q86" i="1"/>
  <c r="N86" i="1"/>
  <c r="O86" i="1" s="1"/>
  <c r="M86" i="1"/>
  <c r="R76" i="1"/>
  <c r="S76" i="1" s="1"/>
  <c r="Q76" i="1"/>
  <c r="N76" i="1"/>
  <c r="O76" i="1" s="1"/>
  <c r="M76" i="1"/>
  <c r="R29" i="1"/>
  <c r="S29" i="1" s="1"/>
  <c r="Q29" i="1"/>
  <c r="N29" i="1"/>
  <c r="O29" i="1" s="1"/>
  <c r="M29" i="1"/>
  <c r="R49" i="1"/>
  <c r="S49" i="1" s="1"/>
  <c r="Q49" i="1"/>
  <c r="R62" i="1"/>
  <c r="S62" i="1" s="1"/>
  <c r="Q62" i="1"/>
  <c r="N62" i="1"/>
  <c r="O62" i="1" s="1"/>
  <c r="M62" i="1"/>
  <c r="R8" i="1"/>
  <c r="S8" i="1" s="1"/>
  <c r="Q8" i="1"/>
  <c r="N8" i="1"/>
  <c r="O8" i="1" s="1"/>
  <c r="M8" i="1"/>
  <c r="R79" i="1"/>
  <c r="S79" i="1" s="1"/>
  <c r="Q79" i="1"/>
  <c r="N79" i="1"/>
  <c r="O79" i="1" s="1"/>
  <c r="M79" i="1"/>
  <c r="M13" i="1"/>
  <c r="N13" i="1"/>
  <c r="O13" i="1" s="1"/>
  <c r="Q13" i="1"/>
  <c r="R13" i="1"/>
  <c r="S13" i="1" s="1"/>
  <c r="M14" i="1"/>
  <c r="N14" i="1"/>
  <c r="O14" i="1" s="1"/>
  <c r="Q14" i="1"/>
  <c r="R14" i="1"/>
  <c r="S14" i="1" s="1"/>
  <c r="M18" i="1"/>
  <c r="N18" i="1"/>
  <c r="O18" i="1" s="1"/>
  <c r="Q18" i="1"/>
  <c r="R18" i="1"/>
  <c r="S18" i="1" s="1"/>
  <c r="M36" i="1"/>
  <c r="N36" i="1"/>
  <c r="O36" i="1" s="1"/>
  <c r="Q36" i="1"/>
  <c r="R36" i="1"/>
  <c r="S36" i="1" s="1"/>
  <c r="M10" i="1"/>
  <c r="N10" i="1"/>
  <c r="O10" i="1" s="1"/>
  <c r="Q10" i="1"/>
  <c r="R10" i="1"/>
  <c r="S10" i="1" s="1"/>
  <c r="M25" i="1"/>
  <c r="N25" i="1"/>
  <c r="O25" i="1" s="1"/>
  <c r="Q25" i="1"/>
  <c r="R25" i="1"/>
  <c r="S25" i="1" s="1"/>
  <c r="M23" i="1"/>
  <c r="N23" i="1"/>
  <c r="O23" i="1" s="1"/>
  <c r="Q23" i="1"/>
  <c r="R23" i="1"/>
  <c r="S23" i="1" s="1"/>
  <c r="M27" i="1"/>
  <c r="N27" i="1"/>
  <c r="O27" i="1" s="1"/>
  <c r="Q27" i="1"/>
  <c r="R27" i="1"/>
  <c r="S27" i="1" s="1"/>
  <c r="M9" i="1"/>
  <c r="N9" i="1"/>
  <c r="O9" i="1" s="1"/>
  <c r="Q9" i="1"/>
  <c r="R9" i="1"/>
  <c r="S9" i="1" s="1"/>
  <c r="M30" i="1"/>
  <c r="N30" i="1"/>
  <c r="O30" i="1" s="1"/>
  <c r="Q30" i="1"/>
  <c r="R30" i="1"/>
  <c r="S30" i="1" s="1"/>
  <c r="M43" i="1"/>
  <c r="N43" i="1"/>
  <c r="O43" i="1" s="1"/>
  <c r="Q43" i="1"/>
  <c r="R43" i="1"/>
  <c r="S43" i="1" s="1"/>
  <c r="M54" i="1"/>
  <c r="N54" i="1"/>
  <c r="O54" i="1" s="1"/>
  <c r="Q54" i="1"/>
  <c r="R54" i="1"/>
  <c r="S54" i="1" s="1"/>
  <c r="M50" i="1"/>
  <c r="N50" i="1"/>
  <c r="O50" i="1" s="1"/>
  <c r="Q50" i="1"/>
  <c r="R50" i="1"/>
  <c r="S50" i="1" s="1"/>
  <c r="M59" i="1"/>
  <c r="N59" i="1"/>
  <c r="O59" i="1" s="1"/>
  <c r="Q59" i="1"/>
  <c r="R59" i="1"/>
  <c r="S59" i="1" s="1"/>
  <c r="M60" i="1"/>
  <c r="N60" i="1"/>
  <c r="O60" i="1" s="1"/>
  <c r="Q60" i="1"/>
  <c r="R60" i="1"/>
  <c r="S60" i="1" s="1"/>
  <c r="M70" i="1"/>
  <c r="N70" i="1"/>
  <c r="O70" i="1" s="1"/>
  <c r="Q70" i="1"/>
  <c r="R70" i="1"/>
  <c r="S70" i="1" s="1"/>
  <c r="M94" i="1"/>
  <c r="N94" i="1"/>
  <c r="O94" i="1" s="1"/>
  <c r="Q94" i="1"/>
  <c r="R94" i="1"/>
  <c r="S94" i="1" s="1"/>
  <c r="M78" i="1"/>
  <c r="N78" i="1"/>
  <c r="O78" i="1" s="1"/>
  <c r="Q78" i="1"/>
  <c r="R78" i="1"/>
  <c r="S78" i="1" s="1"/>
  <c r="M52" i="1"/>
  <c r="N52" i="1"/>
  <c r="O52" i="1" s="1"/>
  <c r="Q52" i="1"/>
  <c r="R52" i="1"/>
  <c r="S52" i="1" s="1"/>
  <c r="M84" i="1"/>
  <c r="N84" i="1"/>
  <c r="O84" i="1" s="1"/>
  <c r="Q84" i="1"/>
  <c r="R84" i="1"/>
  <c r="S84" i="1" s="1"/>
  <c r="M77" i="1"/>
  <c r="N77" i="1"/>
  <c r="O77" i="1" s="1"/>
  <c r="Q77" i="1"/>
  <c r="R77" i="1"/>
  <c r="S77" i="1" s="1"/>
  <c r="M93" i="1"/>
  <c r="N93" i="1"/>
  <c r="O93" i="1" s="1"/>
  <c r="Q93" i="1"/>
  <c r="R93" i="1"/>
  <c r="S93" i="1" s="1"/>
  <c r="M88" i="1"/>
  <c r="N88" i="1"/>
  <c r="O88" i="1" s="1"/>
  <c r="Q88" i="1"/>
  <c r="R88" i="1"/>
  <c r="S88" i="1" s="1"/>
  <c r="M92" i="1"/>
  <c r="N92" i="1"/>
  <c r="O92" i="1" s="1"/>
  <c r="Q92" i="1"/>
  <c r="R92" i="1"/>
  <c r="S92" i="1" s="1"/>
  <c r="M106" i="1"/>
  <c r="N106" i="1"/>
  <c r="O106" i="1" s="1"/>
  <c r="Q106" i="1"/>
  <c r="R106" i="1"/>
  <c r="S106" i="1" s="1"/>
  <c r="M49" i="1" l="1"/>
  <c r="M107" i="1"/>
  <c r="N107" i="1"/>
  <c r="O107" i="1" s="1"/>
  <c r="Q107" i="1"/>
  <c r="R107" i="1"/>
  <c r="S107" i="1" s="1"/>
  <c r="M111" i="1"/>
  <c r="N111" i="1"/>
  <c r="O111" i="1" s="1"/>
  <c r="Q111" i="1"/>
  <c r="R111" i="1"/>
  <c r="S111" i="1" s="1"/>
  <c r="M112" i="1"/>
  <c r="N112" i="1"/>
  <c r="O112" i="1" s="1"/>
  <c r="Q112" i="1"/>
  <c r="R112" i="1"/>
  <c r="S112" i="1" s="1"/>
  <c r="M113" i="1"/>
  <c r="N113" i="1"/>
  <c r="O113" i="1" s="1"/>
  <c r="Q113" i="1"/>
  <c r="R113" i="1"/>
  <c r="S113" i="1" s="1"/>
  <c r="M114" i="1"/>
  <c r="N114" i="1"/>
  <c r="O114" i="1" s="1"/>
  <c r="Q114" i="1"/>
  <c r="R114" i="1"/>
  <c r="S114" i="1" s="1"/>
  <c r="M115" i="1"/>
  <c r="N115" i="1"/>
  <c r="O115" i="1" s="1"/>
  <c r="Q115" i="1"/>
  <c r="R115" i="1"/>
  <c r="S115" i="1" s="1"/>
  <c r="M116" i="1"/>
  <c r="N116" i="1"/>
  <c r="O116" i="1" s="1"/>
  <c r="Q116" i="1"/>
  <c r="R116" i="1"/>
  <c r="S116" i="1" s="1"/>
  <c r="M117" i="1"/>
  <c r="N117" i="1"/>
  <c r="O117" i="1" s="1"/>
  <c r="Q117" i="1"/>
  <c r="R117" i="1"/>
  <c r="S117" i="1" s="1"/>
</calcChain>
</file>

<file path=xl/sharedStrings.xml><?xml version="1.0" encoding="utf-8"?>
<sst xmlns="http://schemas.openxmlformats.org/spreadsheetml/2006/main" count="375" uniqueCount="259">
  <si>
    <t>Mandi</t>
  </si>
  <si>
    <t>BAB</t>
  </si>
  <si>
    <t>BAK</t>
  </si>
  <si>
    <t>Tidur</t>
  </si>
  <si>
    <t>Minum</t>
  </si>
  <si>
    <t>Makan</t>
  </si>
  <si>
    <t>Menonton TV malam</t>
  </si>
  <si>
    <t>Bersantai</t>
  </si>
  <si>
    <t>Memasak makan malam dengan kompor gas</t>
  </si>
  <si>
    <t>Menyiram tanaman sore hari</t>
  </si>
  <si>
    <t>Menyetrika pakaian</t>
  </si>
  <si>
    <t>Mengangkat jemuran</t>
  </si>
  <si>
    <t>Membaca</t>
  </si>
  <si>
    <t>Mengepel Ruang Tidur Utama 2</t>
  </si>
  <si>
    <t>Mengepel Ruang Tidur Utama 1</t>
  </si>
  <si>
    <t>Menyapu Ruang Tidur Utama 2</t>
  </si>
  <si>
    <t>Menyapu Ruang Tidur Utama 1</t>
  </si>
  <si>
    <t>Menonton TV siang</t>
  </si>
  <si>
    <t>Memasak makan siang dengan kompor gas</t>
  </si>
  <si>
    <t>Menjemur pakaian</t>
  </si>
  <si>
    <t>Mencuci baju konvensional</t>
  </si>
  <si>
    <t>Mencuci dengan mesin cuci</t>
  </si>
  <si>
    <t>Memasak makan pagi dengan kompor gas</t>
  </si>
  <si>
    <t>Belanja</t>
  </si>
  <si>
    <t>Mengepel Teras</t>
  </si>
  <si>
    <t>Menyiram tanaman pagi hari</t>
  </si>
  <si>
    <t>Mengepel Ruang Keluarga</t>
  </si>
  <si>
    <t>Menyapu Teras</t>
  </si>
  <si>
    <t>Menyapu Ruang Keluarga</t>
  </si>
  <si>
    <t>MET/Menit*BB 60 kg</t>
  </si>
  <si>
    <t>MET/Menit (Umum)</t>
  </si>
  <si>
    <t>MET/Jam*BB 60 kg</t>
  </si>
  <si>
    <t>MET/Jam (Umum)</t>
  </si>
  <si>
    <t>Emosi</t>
  </si>
  <si>
    <t>Lapar (MET)</t>
  </si>
  <si>
    <t>Energi (MET)</t>
  </si>
  <si>
    <t>KAL.E</t>
  </si>
  <si>
    <t>KAL.B</t>
  </si>
  <si>
    <t>Efek Aktivitas Jalan</t>
  </si>
  <si>
    <t>Aktivitas</t>
  </si>
  <si>
    <t>Kode</t>
  </si>
  <si>
    <t>Tunda</t>
  </si>
  <si>
    <t>PA-I</t>
  </si>
  <si>
    <t>Mematikan lampu garasi di pagi hari</t>
  </si>
  <si>
    <t>PA-O</t>
  </si>
  <si>
    <t>Pergi memasukan laundry</t>
  </si>
  <si>
    <t>Pergi mengambil laundry</t>
  </si>
  <si>
    <t>UA-I</t>
  </si>
  <si>
    <t>Menghidupkan lampu garasi di sore hari</t>
  </si>
  <si>
    <t>DLA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</si>
  <si>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</si>
  <si>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</si>
  <si>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</si>
  <si>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</si>
  <si>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</si>
  <si>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</si>
  <si>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</si>
  <si>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</si>
  <si>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</si>
  <si>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</si>
  <si>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</si>
  <si>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</si>
  <si>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</si>
  <si>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</si>
  <si>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</si>
  <si>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</si>
  <si>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</si>
  <si>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PR;A6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</si>
  <si>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</si>
  <si>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</si>
  <si>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</si>
  <si>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</si>
  <si>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</si>
  <si>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</si>
  <si>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</si>
  <si>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</si>
  <si>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</si>
  <si>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</si>
  <si>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PR;A12</t>
  </si>
  <si>
    <t>A28</t>
  </si>
  <si>
    <t>PR;A10</t>
  </si>
  <si>
    <t>A29</t>
  </si>
  <si>
    <t>PR;A11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</si>
  <si>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</si>
  <si>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</si>
  <si>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</si>
  <si>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</si>
  <si>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</si>
  <si>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</si>
  <si>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</si>
  <si>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</si>
  <si>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</si>
  <si>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</si>
  <si>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</si>
  <si>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</si>
  <si>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</si>
  <si>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</si>
  <si>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</si>
  <si>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</si>
  <si>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PR;A5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</si>
  <si>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</si>
  <si>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</si>
  <si>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</si>
  <si>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</si>
  <si>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</si>
  <si>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</si>
  <si>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</si>
  <si>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</si>
  <si>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</si>
  <si>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</si>
  <si>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</si>
  <si>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</si>
  <si>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</si>
  <si>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</si>
  <si>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</si>
  <si>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</si>
  <si>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</si>
  <si>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</si>
  <si>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</si>
  <si>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</si>
  <si>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</si>
  <si>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</si>
  <si>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</si>
  <si>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</si>
  <si>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</si>
  <si>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</si>
  <si>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</si>
  <si>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</si>
  <si>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</si>
  <si>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</si>
  <si>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</si>
  <si>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</si>
  <si>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Berdandan setelah mandi</t>
  </si>
  <si>
    <t>Jenis</t>
  </si>
  <si>
    <t>No</t>
  </si>
  <si>
    <t>Urinasi (ml)</t>
  </si>
  <si>
    <t>Defekasi</t>
  </si>
  <si>
    <t>Kotor</t>
  </si>
  <si>
    <t>Jam</t>
  </si>
  <si>
    <t>Menit</t>
  </si>
  <si>
    <t>Haus</t>
  </si>
  <si>
    <t>Lelah</t>
  </si>
  <si>
    <t>Kantuk</t>
  </si>
  <si>
    <t>Membereskan kasur &amp; karpet tidur di pagi hari</t>
  </si>
  <si>
    <t>Mengisi ulang daya gadget</t>
  </si>
  <si>
    <t>Menyapu Ruang Kerja</t>
  </si>
  <si>
    <t>Menyapu Dapur Kotor</t>
  </si>
  <si>
    <t>Menyapu Dapur Bersih</t>
  </si>
  <si>
    <t>Mengepel Ruang Kerja</t>
  </si>
  <si>
    <t>Mengepel Dapur Kotor</t>
  </si>
  <si>
    <t>Mengepel Dapur Bersih</t>
  </si>
  <si>
    <t>Memasak makan pagi dengan rice cooker</t>
  </si>
  <si>
    <t>Membuat susu anak di pagi hari</t>
  </si>
  <si>
    <t>Pergi membeli makan pagi di luar rumah</t>
  </si>
  <si>
    <t>Membangunkan anak di pagi hari</t>
  </si>
  <si>
    <t>Membuang sampah</t>
  </si>
  <si>
    <t>Membakar sampah</t>
  </si>
  <si>
    <t>Memasak air untuk mandi di pagi hari</t>
  </si>
  <si>
    <t>Memandikan anak pagi hari</t>
  </si>
  <si>
    <t>Membuat minuman herbal</t>
  </si>
  <si>
    <t>Menyuapi anak makan pagi</t>
  </si>
  <si>
    <t>Bermain dengan anak di pagi hari</t>
  </si>
  <si>
    <t>Pergi jalan ke luar rumah di akhir pekan</t>
  </si>
  <si>
    <t>Membersihkan KM Tengah</t>
  </si>
  <si>
    <t>Membersihkan KM Dalam</t>
  </si>
  <si>
    <t>Membersihkan KM Lt. 2</t>
  </si>
  <si>
    <t>Menjahit</t>
  </si>
  <si>
    <t>Menonton TV pagi</t>
  </si>
  <si>
    <t>Memasak makan siang dengan rice cooker</t>
  </si>
  <si>
    <t>Pergi membeli makan siang di luar rumah</t>
  </si>
  <si>
    <t>Menyuapi anak makan siang</t>
  </si>
  <si>
    <t>Bermain dengan anak di siang hari</t>
  </si>
  <si>
    <t>Membuat susu anak di siang hari</t>
  </si>
  <si>
    <t>Pergi jalan ke luar rumah di siang hari</t>
  </si>
  <si>
    <t>Memasak air untuk mandi di sore hari</t>
  </si>
  <si>
    <t>Memandikan anak sore hari</t>
  </si>
  <si>
    <t>Memasak makan malam dengan rice cooker</t>
  </si>
  <si>
    <t>Pergi membeli makan malam di luar rumah</t>
  </si>
  <si>
    <t>Menyuapi anak makan malam</t>
  </si>
  <si>
    <t>Bermain dengan anak di malam hari</t>
  </si>
  <si>
    <t>Membuat susu anak di malam hari</t>
  </si>
  <si>
    <t>Bekerja menggunakan komputer</t>
  </si>
  <si>
    <t>Menggunakan printer</t>
  </si>
  <si>
    <t>Menyiapkan kasur &amp; karpet tidur</t>
  </si>
  <si>
    <t>Mematikan rice cooker</t>
  </si>
  <si>
    <t xml:space="preserve">Mencuci piring dan alat masak </t>
  </si>
  <si>
    <t>Mengoperasikan gadget</t>
  </si>
  <si>
    <t>Menerima tamu</t>
  </si>
  <si>
    <t>PR;A55</t>
  </si>
  <si>
    <t>PR;A7</t>
  </si>
  <si>
    <t>PR;A9</t>
  </si>
  <si>
    <t>Bekerja di luar rumah</t>
  </si>
  <si>
    <t>Membereskan mainan anak</t>
  </si>
  <si>
    <t>PA-I;A</t>
  </si>
  <si>
    <t>PR-D;DLA;B7</t>
  </si>
  <si>
    <t>B1</t>
  </si>
  <si>
    <t>B2</t>
  </si>
  <si>
    <t>B3</t>
  </si>
  <si>
    <t>B4</t>
  </si>
  <si>
    <t>B5</t>
  </si>
  <si>
    <t>B6</t>
  </si>
  <si>
    <t>B7</t>
  </si>
  <si>
    <t>Bangun tidur</t>
  </si>
  <si>
    <t>Menyapu Ruang Belakang</t>
  </si>
  <si>
    <t>Menyapu Ruang Tamu</t>
  </si>
  <si>
    <t>Mengepel Ruang Tamu</t>
  </si>
  <si>
    <t>PR;A13</t>
  </si>
  <si>
    <t>PR-D;A25</t>
  </si>
  <si>
    <t>PR-D;A29</t>
  </si>
  <si>
    <t>PA-I;E;A42</t>
  </si>
  <si>
    <t>PA-I;E;A41</t>
  </si>
  <si>
    <t>PR-D;A41;A42</t>
  </si>
  <si>
    <t>PA-O;E;A41/A42</t>
  </si>
  <si>
    <t>PA-O;E;A49</t>
  </si>
  <si>
    <t>PA-I;E;A48</t>
  </si>
  <si>
    <t>PR;A43</t>
  </si>
  <si>
    <t>PR-D;A58</t>
  </si>
  <si>
    <t>PA-O;E;A63</t>
  </si>
  <si>
    <t>PA-I;E;A62</t>
  </si>
  <si>
    <t>PR;A56</t>
  </si>
  <si>
    <t>PR;A22/A47/A60</t>
  </si>
  <si>
    <t>PR-D;A35/A52/A67</t>
  </si>
  <si>
    <t>PR;A32/A50/A64</t>
  </si>
  <si>
    <t>A78</t>
  </si>
  <si>
    <t>A79</t>
  </si>
  <si>
    <t>A80</t>
  </si>
  <si>
    <t>Menyapu Halaman Depan</t>
  </si>
  <si>
    <t>PR;A22;E;A24</t>
  </si>
  <si>
    <t>PR;A22;E;A23</t>
  </si>
  <si>
    <t>A116</t>
  </si>
  <si>
    <t>Mencari Agen 2</t>
  </si>
  <si>
    <t>PR-D;A116</t>
  </si>
  <si>
    <t>PR-D;A26</t>
  </si>
  <si>
    <t>A115</t>
  </si>
  <si>
    <t>Mengambil sampah</t>
  </si>
  <si>
    <t>PR-D;A115</t>
  </si>
  <si>
    <t>PR-D;A27</t>
  </si>
  <si>
    <t>A120</t>
  </si>
  <si>
    <t>Menyiapkan air mandi</t>
  </si>
  <si>
    <t>PR-D;A120</t>
  </si>
  <si>
    <t>PR;A29</t>
  </si>
  <si>
    <t>PR-D;A31</t>
  </si>
  <si>
    <t>A121</t>
  </si>
  <si>
    <t>Mencari Agen 3</t>
  </si>
  <si>
    <t>PR;A23/A24</t>
  </si>
  <si>
    <t>A117</t>
  </si>
  <si>
    <t>Membawa Agen 2</t>
  </si>
  <si>
    <t>PR-D;A117</t>
  </si>
  <si>
    <t>A118</t>
  </si>
  <si>
    <t>Mengambil Makan untuk Agen 2</t>
  </si>
  <si>
    <t>PR-D;A118</t>
  </si>
  <si>
    <t>Membersihkan KM Belakang</t>
  </si>
  <si>
    <t>PR-D;A53</t>
  </si>
  <si>
    <t>PR;A58</t>
  </si>
  <si>
    <t>PR-D;A68</t>
  </si>
  <si>
    <t>PR-D;A69</t>
  </si>
  <si>
    <t>A119</t>
  </si>
  <si>
    <t>Mengambil Makan</t>
  </si>
  <si>
    <t>PR-D;A119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</si>
</sst>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2" borderId="1" applyNumberFormat="0" applyAlignment="0" applyProtection="0"/>
  </cellStyleXfs>
  <cellXfs count="154">
    <xf numFmtId="0" fontId="0" fillId="0" borderId="0" xfId="0"/>
    <xf numFmtId="0" fontId="0" fillId="0" borderId="0" xfId="0" applyFill="1"/>
    <xf numFmtId="0" fontId="0" fillId="0" borderId="4" xfId="0" applyBorder="1"/>
    <xf numFmtId="0" fontId="0" fillId="0" borderId="6" xfId="0" applyBorder="1"/>
    <xf numFmtId="0" fontId="0" fillId="0" borderId="3" xfId="0" applyBorder="1"/>
    <xf numFmtId="2" fontId="0" fillId="0" borderId="4" xfId="0" applyNumberFormat="1" applyBorder="1"/>
    <xf numFmtId="0" fontId="0" fillId="0" borderId="5" xfId="0" applyBorder="1"/>
    <xf numFmtId="0" fontId="0" fillId="0" borderId="9" xfId="0" quotePrefix="1" applyFill="1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2" fontId="0" fillId="0" borderId="10" xfId="0" applyNumberFormat="1" applyBorder="1"/>
    <xf numFmtId="0" fontId="0" fillId="0" borderId="11" xfId="0" applyBorder="1"/>
    <xf numFmtId="0" fontId="0" fillId="0" borderId="12" xfId="0" quotePrefix="1" applyBorder="1"/>
    <xf numFmtId="0" fontId="0" fillId="0" borderId="14" xfId="0" quotePrefix="1" applyFill="1" applyBorder="1"/>
    <xf numFmtId="0" fontId="0" fillId="0" borderId="9" xfId="0" applyBorder="1"/>
    <xf numFmtId="0" fontId="0" fillId="0" borderId="15" xfId="0" applyBorder="1"/>
    <xf numFmtId="0" fontId="0" fillId="0" borderId="8" xfId="0" applyBorder="1"/>
    <xf numFmtId="2" fontId="0" fillId="0" borderId="9" xfId="0" applyNumberFormat="1" applyBorder="1"/>
    <xf numFmtId="0" fontId="0" fillId="0" borderId="14" xfId="0" applyBorder="1"/>
    <xf numFmtId="0" fontId="0" fillId="0" borderId="15" xfId="0" quotePrefix="1" applyBorder="1"/>
    <xf numFmtId="0" fontId="0" fillId="0" borderId="8" xfId="0" quotePrefix="1" applyFill="1" applyBorder="1"/>
    <xf numFmtId="0" fontId="0" fillId="0" borderId="15" xfId="0" quotePrefix="1" applyFill="1" applyBorder="1"/>
    <xf numFmtId="2" fontId="0" fillId="0" borderId="9" xfId="0" quotePrefix="1" applyNumberFormat="1" applyFill="1" applyBorder="1"/>
    <xf numFmtId="0" fontId="0" fillId="0" borderId="15" xfId="0" applyFill="1" applyBorder="1"/>
    <xf numFmtId="0" fontId="0" fillId="0" borderId="9" xfId="0" quotePrefix="1" applyBorder="1"/>
    <xf numFmtId="0" fontId="0" fillId="0" borderId="8" xfId="0" quotePrefix="1" applyBorder="1"/>
    <xf numFmtId="2" fontId="0" fillId="0" borderId="9" xfId="0" quotePrefix="1" applyNumberFormat="1" applyBorder="1"/>
    <xf numFmtId="0" fontId="0" fillId="0" borderId="14" xfId="0" quotePrefix="1" applyBorder="1"/>
    <xf numFmtId="0" fontId="2" fillId="0" borderId="0" xfId="0" applyFont="1" applyFill="1"/>
    <xf numFmtId="0" fontId="0" fillId="0" borderId="20" xfId="0" applyBorder="1"/>
    <xf numFmtId="0" fontId="2" fillId="0" borderId="21" xfId="0" applyFont="1" applyFill="1" applyBorder="1" applyAlignment="1">
      <alignment horizontal="center"/>
    </xf>
    <xf numFmtId="0" fontId="5" fillId="0" borderId="23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/>
    </xf>
    <xf numFmtId="0" fontId="2" fillId="3" borderId="32" xfId="0" quotePrefix="1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 vertical="center" wrapText="1"/>
    </xf>
    <xf numFmtId="164" fontId="0" fillId="3" borderId="18" xfId="0" quotePrefix="1" applyNumberFormat="1" applyFill="1" applyBorder="1"/>
    <xf numFmtId="164" fontId="0" fillId="3" borderId="2" xfId="0" quotePrefix="1" applyNumberFormat="1" applyFill="1" applyBorder="1"/>
    <xf numFmtId="164" fontId="0" fillId="3" borderId="7" xfId="0" quotePrefix="1" applyNumberFormat="1" applyFill="1" applyBorder="1"/>
    <xf numFmtId="0" fontId="2" fillId="3" borderId="32" xfId="0" applyFont="1" applyFill="1" applyBorder="1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7" xfId="0" applyFill="1" applyBorder="1" applyAlignment="1">
      <alignment wrapText="1"/>
    </xf>
    <xf numFmtId="0" fontId="0" fillId="0" borderId="5" xfId="0" quotePrefix="1" applyBorder="1"/>
    <xf numFmtId="0" fontId="0" fillId="0" borderId="3" xfId="0" quotePrefix="1" applyBorder="1"/>
    <xf numFmtId="0" fontId="2" fillId="3" borderId="26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0" fillId="0" borderId="40" xfId="0" quotePrefix="1" applyBorder="1"/>
    <xf numFmtId="0" fontId="0" fillId="0" borderId="40" xfId="0" applyBorder="1"/>
    <xf numFmtId="0" fontId="0" fillId="0" borderId="41" xfId="0" applyBorder="1"/>
    <xf numFmtId="0" fontId="0" fillId="0" borderId="40" xfId="0" applyFill="1" applyBorder="1"/>
    <xf numFmtId="0" fontId="0" fillId="0" borderId="42" xfId="0" applyBorder="1"/>
    <xf numFmtId="0" fontId="0" fillId="0" borderId="41" xfId="0" quotePrefix="1" applyBorder="1"/>
    <xf numFmtId="0" fontId="0" fillId="0" borderId="8" xfId="0" applyFill="1" applyBorder="1"/>
    <xf numFmtId="0" fontId="2" fillId="3" borderId="38" xfId="0" applyFont="1" applyFill="1" applyBorder="1" applyAlignment="1">
      <alignment horizontal="center" vertical="center" wrapText="1"/>
    </xf>
    <xf numFmtId="0" fontId="0" fillId="0" borderId="42" xfId="0" quotePrefix="1" applyBorder="1"/>
    <xf numFmtId="0" fontId="0" fillId="0" borderId="14" xfId="0" applyFill="1" applyBorder="1"/>
    <xf numFmtId="0" fontId="0" fillId="0" borderId="11" xfId="0" quotePrefix="1" applyBorder="1"/>
    <xf numFmtId="0" fontId="0" fillId="0" borderId="13" xfId="0" quotePrefix="1" applyBorder="1"/>
    <xf numFmtId="0" fontId="2" fillId="3" borderId="43" xfId="0" applyFont="1" applyFill="1" applyBorder="1" applyAlignment="1">
      <alignment horizontal="center"/>
    </xf>
    <xf numFmtId="0" fontId="0" fillId="0" borderId="40" xfId="0" quotePrefix="1" applyFill="1" applyBorder="1"/>
    <xf numFmtId="0" fontId="0" fillId="0" borderId="44" xfId="0" quotePrefix="1" applyBorder="1"/>
    <xf numFmtId="0" fontId="0" fillId="0" borderId="27" xfId="0" applyBorder="1"/>
    <xf numFmtId="0" fontId="0" fillId="0" borderId="7" xfId="1" applyFont="1" applyBorder="1" applyAlignment="1">
      <alignment horizontal="center" vertical="center"/>
    </xf>
    <xf numFmtId="0" fontId="0" fillId="0" borderId="17" xfId="1" applyFont="1" applyBorder="1" applyAlignment="1">
      <alignment horizontal="center" vertical="center"/>
    </xf>
    <xf numFmtId="0" fontId="0" fillId="0" borderId="16" xfId="1" applyFont="1" applyBorder="1" applyAlignment="1">
      <alignment horizontal="center" vertical="center"/>
    </xf>
    <xf numFmtId="0" fontId="0" fillId="0" borderId="45" xfId="1" applyFont="1" applyBorder="1" applyAlignment="1">
      <alignment horizontal="center" vertical="center"/>
    </xf>
    <xf numFmtId="0" fontId="0" fillId="3" borderId="46" xfId="1" applyFont="1" applyFill="1" applyBorder="1" applyAlignment="1">
      <alignment horizontal="center" vertical="center"/>
    </xf>
    <xf numFmtId="0" fontId="0" fillId="0" borderId="46" xfId="1" applyFont="1" applyBorder="1" applyAlignment="1">
      <alignment horizontal="center" vertical="center"/>
    </xf>
    <xf numFmtId="0" fontId="0" fillId="3" borderId="45" xfId="1" applyFont="1" applyFill="1" applyBorder="1" applyAlignment="1">
      <alignment horizontal="center" vertical="center"/>
    </xf>
    <xf numFmtId="0" fontId="0" fillId="5" borderId="45" xfId="1" applyFont="1" applyFill="1" applyBorder="1" applyAlignment="1">
      <alignment horizontal="center" vertical="center"/>
    </xf>
    <xf numFmtId="0" fontId="0" fillId="0" borderId="48" xfId="0" quotePrefix="1" applyBorder="1"/>
    <xf numFmtId="0" fontId="0" fillId="0" borderId="27" xfId="0" quotePrefix="1" applyBorder="1"/>
    <xf numFmtId="0" fontId="0" fillId="0" borderId="48" xfId="0" applyBorder="1"/>
    <xf numFmtId="0" fontId="0" fillId="0" borderId="44" xfId="0" applyBorder="1"/>
    <xf numFmtId="0" fontId="0" fillId="0" borderId="49" xfId="0" quotePrefix="1" applyBorder="1"/>
    <xf numFmtId="2" fontId="0" fillId="0" borderId="49" xfId="0" quotePrefix="1" applyNumberFormat="1" applyBorder="1"/>
    <xf numFmtId="0" fontId="0" fillId="0" borderId="20" xfId="0" quotePrefix="1" applyBorder="1"/>
    <xf numFmtId="0" fontId="2" fillId="0" borderId="21" xfId="0" applyFont="1" applyFill="1" applyBorder="1" applyAlignment="1">
      <alignment horizontal="center" wrapText="1"/>
    </xf>
    <xf numFmtId="0" fontId="1" fillId="0" borderId="7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1" fillId="0" borderId="16" xfId="1" applyFont="1" applyBorder="1" applyAlignment="1">
      <alignment horizontal="center" vertical="center"/>
    </xf>
    <xf numFmtId="0" fontId="0" fillId="0" borderId="2" xfId="0" applyFill="1" applyBorder="1" applyAlignment="1">
      <alignment wrapText="1"/>
    </xf>
    <xf numFmtId="0" fontId="0" fillId="6" borderId="46" xfId="1" applyFont="1" applyFill="1" applyBorder="1" applyAlignment="1">
      <alignment horizontal="center" vertical="center"/>
    </xf>
    <xf numFmtId="0" fontId="0" fillId="6" borderId="7" xfId="1" applyFont="1" applyFill="1" applyBorder="1" applyAlignment="1">
      <alignment horizontal="center" vertical="center"/>
    </xf>
    <xf numFmtId="0" fontId="4" fillId="6" borderId="19" xfId="1" applyFont="1" applyFill="1" applyBorder="1" applyAlignment="1">
      <alignment vertical="center" wrapText="1"/>
    </xf>
    <xf numFmtId="0" fontId="0" fillId="6" borderId="14" xfId="0" quotePrefix="1" applyFill="1" applyBorder="1"/>
    <xf numFmtId="0" fontId="0" fillId="6" borderId="40" xfId="0" quotePrefix="1" applyFill="1" applyBorder="1"/>
    <xf numFmtId="0" fontId="0" fillId="6" borderId="14" xfId="0" applyFill="1" applyBorder="1"/>
    <xf numFmtId="0" fontId="0" fillId="6" borderId="8" xfId="0" applyFill="1" applyBorder="1"/>
    <xf numFmtId="0" fontId="0" fillId="6" borderId="8" xfId="0" quotePrefix="1" applyFill="1" applyBorder="1"/>
    <xf numFmtId="0" fontId="0" fillId="6" borderId="9" xfId="0" quotePrefix="1" applyFill="1" applyBorder="1"/>
    <xf numFmtId="2" fontId="0" fillId="6" borderId="9" xfId="0" quotePrefix="1" applyNumberFormat="1" applyFill="1" applyBorder="1"/>
    <xf numFmtId="0" fontId="0" fillId="6" borderId="15" xfId="0" quotePrefix="1" applyFill="1" applyBorder="1"/>
    <xf numFmtId="0" fontId="0" fillId="6" borderId="20" xfId="0" applyFill="1" applyBorder="1"/>
    <xf numFmtId="0" fontId="0" fillId="6" borderId="27" xfId="0" applyFill="1" applyBorder="1"/>
    <xf numFmtId="0" fontId="0" fillId="6" borderId="44" xfId="0" quotePrefix="1" applyFill="1" applyBorder="1"/>
    <xf numFmtId="164" fontId="0" fillId="6" borderId="18" xfId="0" quotePrefix="1" applyNumberFormat="1" applyFill="1" applyBorder="1"/>
    <xf numFmtId="0" fontId="4" fillId="0" borderId="19" xfId="1" applyFont="1" applyBorder="1" applyAlignment="1">
      <alignment vertical="center" wrapText="1"/>
    </xf>
    <xf numFmtId="0" fontId="0" fillId="6" borderId="45" xfId="1" applyFont="1" applyFill="1" applyBorder="1" applyAlignment="1">
      <alignment horizontal="center" vertical="center" wrapText="1"/>
    </xf>
    <xf numFmtId="0" fontId="0" fillId="0" borderId="18" xfId="1" applyFont="1" applyBorder="1" applyAlignment="1">
      <alignment horizontal="center" vertical="center"/>
    </xf>
    <xf numFmtId="0" fontId="4" fillId="0" borderId="50" xfId="1" applyFont="1" applyBorder="1" applyAlignment="1">
      <alignment vertical="center" wrapText="1"/>
    </xf>
    <xf numFmtId="0" fontId="4" fillId="6" borderId="7" xfId="1" applyFont="1" applyFill="1" applyBorder="1" applyAlignment="1">
      <alignment vertical="center" wrapText="1"/>
    </xf>
    <xf numFmtId="0" fontId="0" fillId="6" borderId="45" xfId="1" applyFont="1" applyFill="1" applyBorder="1" applyAlignment="1">
      <alignment horizontal="center" vertical="center"/>
    </xf>
    <xf numFmtId="0" fontId="0" fillId="6" borderId="2" xfId="1" applyFont="1" applyFill="1" applyBorder="1" applyAlignment="1">
      <alignment horizontal="center" vertical="center"/>
    </xf>
    <xf numFmtId="0" fontId="4" fillId="6" borderId="51" xfId="1" applyFont="1" applyFill="1" applyBorder="1" applyAlignment="1">
      <alignment vertical="center" wrapText="1"/>
    </xf>
    <xf numFmtId="0" fontId="0" fillId="0" borderId="20" xfId="0" applyFill="1" applyBorder="1"/>
    <xf numFmtId="0" fontId="0" fillId="0" borderId="27" xfId="0" applyFill="1" applyBorder="1"/>
    <xf numFmtId="0" fontId="0" fillId="0" borderId="44" xfId="0" quotePrefix="1" applyFill="1" applyBorder="1"/>
    <xf numFmtId="0" fontId="0" fillId="0" borderId="48" xfId="0" quotePrefix="1" applyFill="1" applyBorder="1"/>
    <xf numFmtId="0" fontId="0" fillId="0" borderId="27" xfId="0" quotePrefix="1" applyFill="1" applyBorder="1"/>
    <xf numFmtId="0" fontId="0" fillId="0" borderId="48" xfId="0" applyFill="1" applyBorder="1"/>
    <xf numFmtId="0" fontId="0" fillId="0" borderId="44" xfId="0" applyFill="1" applyBorder="1"/>
    <xf numFmtId="0" fontId="0" fillId="0" borderId="49" xfId="0" quotePrefix="1" applyFill="1" applyBorder="1"/>
    <xf numFmtId="2" fontId="0" fillId="0" borderId="49" xfId="0" quotePrefix="1" applyNumberFormat="1" applyFill="1" applyBorder="1"/>
    <xf numFmtId="0" fontId="0" fillId="0" borderId="20" xfId="0" quotePrefix="1" applyFill="1" applyBorder="1"/>
    <xf numFmtId="0" fontId="0" fillId="6" borderId="47" xfId="1" applyFont="1" applyFill="1" applyBorder="1" applyAlignment="1">
      <alignment horizontal="center" vertical="center"/>
    </xf>
    <xf numFmtId="0" fontId="0" fillId="0" borderId="18" xfId="0" applyFill="1" applyBorder="1" applyAlignment="1">
      <alignment wrapText="1"/>
    </xf>
    <xf numFmtId="0" fontId="0" fillId="6" borderId="5" xfId="0" quotePrefix="1" applyFill="1" applyBorder="1"/>
    <xf numFmtId="0" fontId="0" fillId="6" borderId="41" xfId="0" quotePrefix="1" applyFill="1" applyBorder="1"/>
    <xf numFmtId="0" fontId="0" fillId="6" borderId="5" xfId="0" applyFill="1" applyBorder="1"/>
    <xf numFmtId="0" fontId="0" fillId="6" borderId="3" xfId="0" applyFill="1" applyBorder="1"/>
    <xf numFmtId="0" fontId="0" fillId="6" borderId="3" xfId="0" quotePrefix="1" applyFill="1" applyBorder="1"/>
    <xf numFmtId="0" fontId="0" fillId="6" borderId="4" xfId="0" quotePrefix="1" applyFill="1" applyBorder="1"/>
    <xf numFmtId="2" fontId="0" fillId="6" borderId="4" xfId="0" quotePrefix="1" applyNumberFormat="1" applyFill="1" applyBorder="1"/>
    <xf numFmtId="0" fontId="0" fillId="6" borderId="6" xfId="0" quotePrefix="1" applyFill="1" applyBorder="1"/>
    <xf numFmtId="0" fontId="0" fillId="6" borderId="6" xfId="0" applyFill="1" applyBorder="1"/>
    <xf numFmtId="0" fontId="0" fillId="6" borderId="41" xfId="0" applyFill="1" applyBorder="1"/>
    <xf numFmtId="164" fontId="0" fillId="6" borderId="2" xfId="0" quotePrefix="1" applyNumberFormat="1" applyFill="1" applyBorder="1"/>
    <xf numFmtId="0" fontId="2" fillId="3" borderId="28" xfId="1" applyFont="1" applyFill="1" applyBorder="1" applyAlignment="1">
      <alignment horizontal="center" vertical="center" wrapText="1"/>
    </xf>
    <xf numFmtId="0" fontId="2" fillId="3" borderId="3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2" fillId="3" borderId="35" xfId="0" quotePrefix="1" applyFont="1" applyFill="1" applyBorder="1" applyAlignment="1">
      <alignment horizontal="center"/>
    </xf>
    <xf numFmtId="0" fontId="2" fillId="3" borderId="39" xfId="0" quotePrefix="1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2" fillId="3" borderId="33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1" fillId="0" borderId="45" xfId="1" applyFont="1" applyBorder="1" applyAlignment="1">
      <alignment horizontal="center" vertical="center"/>
    </xf>
    <xf numFmtId="0" fontId="1" fillId="0" borderId="47" xfId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Outpu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17"/>
  <sheetViews>
    <sheetView tabSelected="1" zoomScale="85" zoomScaleNormal="85" workbookViewId="0">
      <selection activeCell="B110" sqref="B110"/>
    </sheetView>
  </sheetViews>
  <sheetFormatPr defaultRowHeight="15" x14ac:dyDescent="0.25"/>
  <cols>
    <col min="2" max="2" width="4" customWidth="1"/>
    <col min="3" max="3" width="14.42578125" customWidth="1"/>
    <col min="4" max="4" width="5.5703125" customWidth="1"/>
    <col min="5" max="5" width="26.5703125" customWidth="1"/>
    <col min="6" max="6" width="7.140625" style="44" customWidth="1"/>
    <col min="7" max="11" width="7.140625" customWidth="1"/>
    <col min="12" max="12" width="7.5703125" customWidth="1"/>
    <col min="13" max="20" width="7.42578125" customWidth="1"/>
    <col min="21" max="27" width="7.140625" customWidth="1"/>
  </cols>
  <sheetData>
    <row r="1" spans="1:32" s="1" customFormat="1" ht="15.75" thickBot="1" x14ac:dyDescent="0.3">
      <c r="F1" s="43"/>
    </row>
    <row r="2" spans="1:32" s="29" customFormat="1" ht="15.75" thickBot="1" x14ac:dyDescent="0.3">
      <c r="B2" s="137" t="s">
        <v>134</v>
      </c>
      <c r="C2" s="134" t="s">
        <v>133</v>
      </c>
      <c r="D2" s="134" t="s">
        <v>40</v>
      </c>
      <c r="E2" s="134" t="s">
        <v>39</v>
      </c>
      <c r="F2" s="142" t="s">
        <v>38</v>
      </c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42" t="s">
        <v>41</v>
      </c>
    </row>
    <row r="3" spans="1:32" s="29" customFormat="1" ht="15.75" thickBot="1" x14ac:dyDescent="0.3">
      <c r="B3" s="138"/>
      <c r="C3" s="135"/>
      <c r="D3" s="135"/>
      <c r="E3" s="135"/>
      <c r="F3" s="144" t="s">
        <v>37</v>
      </c>
      <c r="G3" s="145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7"/>
      <c r="X3" s="147"/>
      <c r="Y3" s="62"/>
      <c r="Z3" s="37" t="s">
        <v>36</v>
      </c>
      <c r="AA3" s="37" t="s">
        <v>36</v>
      </c>
    </row>
    <row r="4" spans="1:32" s="36" customFormat="1" ht="15" customHeight="1" x14ac:dyDescent="0.25">
      <c r="A4" s="85"/>
      <c r="B4" s="138"/>
      <c r="C4" s="135"/>
      <c r="D4" s="135"/>
      <c r="E4" s="135"/>
      <c r="F4" s="149" t="s">
        <v>135</v>
      </c>
      <c r="G4" s="150"/>
      <c r="H4" s="149" t="s">
        <v>136</v>
      </c>
      <c r="I4" s="151"/>
      <c r="J4" s="150" t="s">
        <v>137</v>
      </c>
      <c r="K4" s="151"/>
      <c r="L4" s="139" t="s">
        <v>35</v>
      </c>
      <c r="M4" s="140"/>
      <c r="N4" s="140"/>
      <c r="O4" s="141"/>
      <c r="P4" s="140" t="s">
        <v>34</v>
      </c>
      <c r="Q4" s="140"/>
      <c r="R4" s="140"/>
      <c r="S4" s="141"/>
      <c r="T4" s="149" t="s">
        <v>140</v>
      </c>
      <c r="U4" s="151"/>
      <c r="V4" s="149" t="s">
        <v>141</v>
      </c>
      <c r="W4" s="151"/>
      <c r="X4" s="149" t="s">
        <v>142</v>
      </c>
      <c r="Y4" s="151"/>
      <c r="Z4" s="137" t="s">
        <v>33</v>
      </c>
      <c r="AA4" s="137" t="s">
        <v>33</v>
      </c>
    </row>
    <row r="5" spans="1:32" s="31" customFormat="1" ht="39" thickBot="1" x14ac:dyDescent="0.3">
      <c r="A5" s="85"/>
      <c r="B5" s="138"/>
      <c r="C5" s="136"/>
      <c r="D5" s="136"/>
      <c r="E5" s="136"/>
      <c r="F5" s="38" t="s">
        <v>138</v>
      </c>
      <c r="G5" s="49" t="s">
        <v>139</v>
      </c>
      <c r="H5" s="38" t="s">
        <v>138</v>
      </c>
      <c r="I5" s="57" t="s">
        <v>139</v>
      </c>
      <c r="J5" s="48" t="s">
        <v>138</v>
      </c>
      <c r="K5" s="48" t="s">
        <v>139</v>
      </c>
      <c r="L5" s="35" t="s">
        <v>32</v>
      </c>
      <c r="M5" s="33" t="s">
        <v>31</v>
      </c>
      <c r="N5" s="33" t="s">
        <v>30</v>
      </c>
      <c r="O5" s="32" t="s">
        <v>29</v>
      </c>
      <c r="P5" s="34" t="s">
        <v>32</v>
      </c>
      <c r="Q5" s="33" t="s">
        <v>31</v>
      </c>
      <c r="R5" s="33" t="s">
        <v>30</v>
      </c>
      <c r="S5" s="32" t="s">
        <v>29</v>
      </c>
      <c r="T5" s="38" t="s">
        <v>138</v>
      </c>
      <c r="U5" s="49" t="s">
        <v>139</v>
      </c>
      <c r="V5" s="38" t="s">
        <v>138</v>
      </c>
      <c r="W5" s="57" t="s">
        <v>139</v>
      </c>
      <c r="X5" s="48" t="s">
        <v>138</v>
      </c>
      <c r="Y5" s="48" t="s">
        <v>139</v>
      </c>
      <c r="Z5" s="148"/>
      <c r="AA5" s="148"/>
      <c r="AB5" s="81"/>
      <c r="AC5" s="81"/>
      <c r="AD5" s="81"/>
      <c r="AE5" s="81"/>
      <c r="AF5" s="81"/>
    </row>
    <row r="6" spans="1:32" s="85" customFormat="1" ht="30" x14ac:dyDescent="0.25">
      <c r="A6"/>
      <c r="B6" s="86">
        <v>1</v>
      </c>
      <c r="C6" s="67" t="s">
        <v>42</v>
      </c>
      <c r="D6" s="68" t="s">
        <v>50</v>
      </c>
      <c r="E6" s="103" t="s">
        <v>143</v>
      </c>
      <c r="F6" s="14">
        <f>30*75%</f>
        <v>22.5</v>
      </c>
      <c r="G6" s="63">
        <f t="shared" ref="G6:G19" si="0">F6/60</f>
        <v>0.375</v>
      </c>
      <c r="H6" s="59">
        <v>1.75</v>
      </c>
      <c r="I6" s="56">
        <f t="shared" ref="I6:I19" si="1">H6/60</f>
        <v>2.9166666666666667E-2</v>
      </c>
      <c r="J6" s="63">
        <v>0.4</v>
      </c>
      <c r="K6" s="21">
        <f t="shared" ref="K6:K19" si="2">J6/60</f>
        <v>6.6666666666666671E-3</v>
      </c>
      <c r="L6" s="14">
        <v>-2</v>
      </c>
      <c r="M6" s="7">
        <f t="shared" ref="M6" si="3">L6*60</f>
        <v>-120</v>
      </c>
      <c r="N6" s="23">
        <f t="shared" ref="N6" si="4">L6/60</f>
        <v>-3.3333333333333333E-2</v>
      </c>
      <c r="O6" s="21">
        <f t="shared" ref="O6" si="5">N6*60</f>
        <v>-2</v>
      </c>
      <c r="P6" s="22">
        <v>-2</v>
      </c>
      <c r="Q6" s="7">
        <f t="shared" ref="Q6" si="6">P6*60</f>
        <v>-120</v>
      </c>
      <c r="R6" s="23">
        <f t="shared" ref="R6" si="7">P6/60</f>
        <v>-3.3333333333333333E-2</v>
      </c>
      <c r="S6" s="21">
        <f t="shared" ref="S6" si="8">R6*60</f>
        <v>-2</v>
      </c>
      <c r="T6" s="111">
        <v>0</v>
      </c>
      <c r="U6" s="112">
        <f t="shared" ref="U6:U19" si="9">T6/60</f>
        <v>0</v>
      </c>
      <c r="V6" s="14">
        <v>1.05</v>
      </c>
      <c r="W6" s="21">
        <f t="shared" ref="W6:W19" si="10">V6/60</f>
        <v>1.7500000000000002E-2</v>
      </c>
      <c r="X6" s="14">
        <v>0.5</v>
      </c>
      <c r="Y6" s="113">
        <f t="shared" ref="Y6:Y19" si="11">X6/60</f>
        <v>8.3333333333333332E-3</v>
      </c>
      <c r="Z6" s="39">
        <v>3.0000000000000001E-3</v>
      </c>
      <c r="AA6" s="39">
        <v>-0.6</v>
      </c>
      <c r="AB6" s="84"/>
      <c r="AC6" s="84"/>
      <c r="AD6" s="84"/>
      <c r="AE6" s="84"/>
      <c r="AF6" s="84"/>
    </row>
    <row r="7" spans="1:32" s="85" customFormat="1" x14ac:dyDescent="0.25">
      <c r="A7"/>
      <c r="B7" s="82">
        <v>2</v>
      </c>
      <c r="C7" s="69" t="s">
        <v>193</v>
      </c>
      <c r="D7" s="66" t="s">
        <v>51</v>
      </c>
      <c r="E7" s="103" t="s">
        <v>144</v>
      </c>
      <c r="F7" s="14">
        <v>30</v>
      </c>
      <c r="G7" s="63">
        <f t="shared" si="0"/>
        <v>0.5</v>
      </c>
      <c r="H7" s="59">
        <v>1</v>
      </c>
      <c r="I7" s="56">
        <f t="shared" si="1"/>
        <v>1.6666666666666666E-2</v>
      </c>
      <c r="J7" s="63">
        <v>0.1</v>
      </c>
      <c r="K7" s="21">
        <f t="shared" si="2"/>
        <v>1.6666666666666668E-3</v>
      </c>
      <c r="L7" s="14">
        <v>-1</v>
      </c>
      <c r="M7" s="7">
        <f t="shared" ref="M7:M16" si="12">L7*60</f>
        <v>-60</v>
      </c>
      <c r="N7" s="23">
        <f t="shared" ref="N7:N16" si="13">L7/60</f>
        <v>-1.6666666666666666E-2</v>
      </c>
      <c r="O7" s="21">
        <f t="shared" ref="O7:O16" si="14">N7*60</f>
        <v>-1</v>
      </c>
      <c r="P7" s="22">
        <v>-1</v>
      </c>
      <c r="Q7" s="7">
        <f t="shared" ref="Q7:Q16" si="15">P7*60</f>
        <v>-60</v>
      </c>
      <c r="R7" s="23">
        <f t="shared" ref="R7:R16" si="16">P7/60</f>
        <v>-1.6666666666666666E-2</v>
      </c>
      <c r="S7" s="21">
        <f t="shared" ref="S7:S16" si="17">R7*60</f>
        <v>-1</v>
      </c>
      <c r="T7" s="111">
        <v>0</v>
      </c>
      <c r="U7" s="112">
        <f t="shared" si="9"/>
        <v>0</v>
      </c>
      <c r="V7" s="14">
        <v>0</v>
      </c>
      <c r="W7" s="21">
        <f t="shared" si="10"/>
        <v>0</v>
      </c>
      <c r="X7" s="14">
        <v>0</v>
      </c>
      <c r="Y7" s="113">
        <f t="shared" si="11"/>
        <v>0</v>
      </c>
      <c r="Z7" s="39">
        <v>3.0000000000000001E-3</v>
      </c>
      <c r="AA7" s="39">
        <v>-0.6</v>
      </c>
      <c r="AB7" s="84"/>
      <c r="AC7" s="84"/>
      <c r="AD7" s="84"/>
      <c r="AE7" s="84"/>
      <c r="AF7" s="84"/>
    </row>
    <row r="8" spans="1:32" ht="30" x14ac:dyDescent="0.25">
      <c r="B8" s="82">
        <v>3</v>
      </c>
      <c r="C8" s="70" t="s">
        <v>188</v>
      </c>
      <c r="D8" s="66" t="s">
        <v>52</v>
      </c>
      <c r="E8" s="103" t="s">
        <v>43</v>
      </c>
      <c r="F8" s="14">
        <v>30</v>
      </c>
      <c r="G8" s="63">
        <f t="shared" si="0"/>
        <v>0.5</v>
      </c>
      <c r="H8" s="59">
        <v>1</v>
      </c>
      <c r="I8" s="56">
        <f t="shared" si="1"/>
        <v>1.6666666666666666E-2</v>
      </c>
      <c r="J8" s="63">
        <v>0.1</v>
      </c>
      <c r="K8" s="21">
        <f t="shared" si="2"/>
        <v>1.6666666666666668E-3</v>
      </c>
      <c r="L8" s="14">
        <v>-1</v>
      </c>
      <c r="M8" s="7">
        <f t="shared" si="12"/>
        <v>-60</v>
      </c>
      <c r="N8" s="23">
        <f t="shared" si="13"/>
        <v>-1.6666666666666666E-2</v>
      </c>
      <c r="O8" s="21">
        <f t="shared" si="14"/>
        <v>-1</v>
      </c>
      <c r="P8" s="22">
        <v>-1</v>
      </c>
      <c r="Q8" s="7">
        <f t="shared" si="15"/>
        <v>-60</v>
      </c>
      <c r="R8" s="23">
        <f t="shared" si="16"/>
        <v>-1.6666666666666666E-2</v>
      </c>
      <c r="S8" s="21">
        <f t="shared" si="17"/>
        <v>-1</v>
      </c>
      <c r="T8" s="111">
        <v>0</v>
      </c>
      <c r="U8" s="112">
        <f t="shared" si="9"/>
        <v>0</v>
      </c>
      <c r="V8" s="14">
        <v>0</v>
      </c>
      <c r="W8" s="21">
        <f t="shared" si="10"/>
        <v>0</v>
      </c>
      <c r="X8" s="14">
        <v>0</v>
      </c>
      <c r="Y8" s="113">
        <f t="shared" si="11"/>
        <v>0</v>
      </c>
      <c r="Z8" s="39">
        <v>3.0000000000000001E-3</v>
      </c>
      <c r="AA8" s="39">
        <v>-1</v>
      </c>
    </row>
    <row r="9" spans="1:32" x14ac:dyDescent="0.25">
      <c r="B9" s="82">
        <v>4</v>
      </c>
      <c r="C9" s="71" t="s">
        <v>44</v>
      </c>
      <c r="D9" s="66" t="s">
        <v>53</v>
      </c>
      <c r="E9" s="103" t="s">
        <v>23</v>
      </c>
      <c r="F9" s="14">
        <f>30*50%</f>
        <v>15</v>
      </c>
      <c r="G9" s="63">
        <f t="shared" si="0"/>
        <v>0.25</v>
      </c>
      <c r="H9" s="59">
        <v>1.5</v>
      </c>
      <c r="I9" s="56">
        <f t="shared" si="1"/>
        <v>2.5000000000000001E-2</v>
      </c>
      <c r="J9" s="63">
        <v>0.5</v>
      </c>
      <c r="K9" s="21">
        <f t="shared" si="2"/>
        <v>8.3333333333333332E-3</v>
      </c>
      <c r="L9" s="14">
        <v>-2.2999999999999998</v>
      </c>
      <c r="M9" s="7">
        <f t="shared" si="12"/>
        <v>-138</v>
      </c>
      <c r="N9" s="23">
        <f t="shared" si="13"/>
        <v>-3.833333333333333E-2</v>
      </c>
      <c r="O9" s="21">
        <f t="shared" si="14"/>
        <v>-2.2999999999999998</v>
      </c>
      <c r="P9" s="22">
        <v>-2.2999999999999998</v>
      </c>
      <c r="Q9" s="7">
        <f t="shared" si="15"/>
        <v>-138</v>
      </c>
      <c r="R9" s="23">
        <f t="shared" si="16"/>
        <v>-3.833333333333333E-2</v>
      </c>
      <c r="S9" s="21">
        <f t="shared" si="17"/>
        <v>-2.2999999999999998</v>
      </c>
      <c r="T9" s="111">
        <v>0</v>
      </c>
      <c r="U9" s="112">
        <f t="shared" si="9"/>
        <v>0</v>
      </c>
      <c r="V9" s="14">
        <v>0</v>
      </c>
      <c r="W9" s="21">
        <f t="shared" si="10"/>
        <v>0</v>
      </c>
      <c r="X9" s="14">
        <v>0</v>
      </c>
      <c r="Y9" s="113">
        <f t="shared" si="11"/>
        <v>0</v>
      </c>
      <c r="Z9" s="39">
        <v>0.03</v>
      </c>
      <c r="AA9" s="39">
        <v>-0.6</v>
      </c>
    </row>
    <row r="10" spans="1:32" ht="30" x14ac:dyDescent="0.25">
      <c r="B10" s="82">
        <v>5</v>
      </c>
      <c r="C10" s="71" t="s">
        <v>42</v>
      </c>
      <c r="D10" s="66" t="s">
        <v>54</v>
      </c>
      <c r="E10" s="103" t="s">
        <v>16</v>
      </c>
      <c r="F10" s="14">
        <f t="shared" ref="F10:F27" si="18">30*25%</f>
        <v>7.5</v>
      </c>
      <c r="G10" s="63">
        <f t="shared" si="0"/>
        <v>0.125</v>
      </c>
      <c r="H10" s="59">
        <v>1.25</v>
      </c>
      <c r="I10" s="56">
        <f t="shared" si="1"/>
        <v>2.0833333333333332E-2</v>
      </c>
      <c r="J10" s="63">
        <v>0.4</v>
      </c>
      <c r="K10" s="21">
        <f t="shared" si="2"/>
        <v>6.6666666666666671E-3</v>
      </c>
      <c r="L10" s="14">
        <v>-3.3</v>
      </c>
      <c r="M10" s="7">
        <f t="shared" si="12"/>
        <v>-198</v>
      </c>
      <c r="N10" s="23">
        <f t="shared" si="13"/>
        <v>-5.5E-2</v>
      </c>
      <c r="O10" s="21">
        <f t="shared" si="14"/>
        <v>-3.3</v>
      </c>
      <c r="P10" s="22">
        <v>-3.3</v>
      </c>
      <c r="Q10" s="7">
        <f t="shared" si="15"/>
        <v>-198</v>
      </c>
      <c r="R10" s="23">
        <f t="shared" si="16"/>
        <v>-5.5E-2</v>
      </c>
      <c r="S10" s="21">
        <f t="shared" si="17"/>
        <v>-3.3</v>
      </c>
      <c r="T10" s="111">
        <v>1.3</v>
      </c>
      <c r="U10" s="112">
        <f t="shared" si="9"/>
        <v>2.1666666666666667E-2</v>
      </c>
      <c r="V10" s="14">
        <v>1.1499999999999999</v>
      </c>
      <c r="W10" s="21">
        <f t="shared" si="10"/>
        <v>1.9166666666666665E-2</v>
      </c>
      <c r="X10" s="14">
        <v>0.15</v>
      </c>
      <c r="Y10" s="113">
        <f t="shared" si="11"/>
        <v>2.5000000000000001E-3</v>
      </c>
      <c r="Z10" s="39">
        <v>3.0000000000000001E-3</v>
      </c>
      <c r="AA10" s="39">
        <v>-0.6</v>
      </c>
    </row>
    <row r="11" spans="1:32" ht="30" x14ac:dyDescent="0.25">
      <c r="B11" s="82">
        <v>6</v>
      </c>
      <c r="C11" s="71" t="s">
        <v>42</v>
      </c>
      <c r="D11" s="66" t="s">
        <v>55</v>
      </c>
      <c r="E11" s="103" t="s">
        <v>15</v>
      </c>
      <c r="F11" s="14">
        <f t="shared" si="18"/>
        <v>7.5</v>
      </c>
      <c r="G11" s="63">
        <f t="shared" si="0"/>
        <v>0.125</v>
      </c>
      <c r="H11" s="59">
        <v>1.25</v>
      </c>
      <c r="I11" s="56">
        <f t="shared" si="1"/>
        <v>2.0833333333333332E-2</v>
      </c>
      <c r="J11" s="63">
        <v>0.4</v>
      </c>
      <c r="K11" s="21">
        <f t="shared" si="2"/>
        <v>6.6666666666666671E-3</v>
      </c>
      <c r="L11" s="14">
        <v>-3.3</v>
      </c>
      <c r="M11" s="7">
        <f t="shared" si="12"/>
        <v>-198</v>
      </c>
      <c r="N11" s="23">
        <f t="shared" si="13"/>
        <v>-5.5E-2</v>
      </c>
      <c r="O11" s="21">
        <f t="shared" si="14"/>
        <v>-3.3</v>
      </c>
      <c r="P11" s="22">
        <v>-3.3</v>
      </c>
      <c r="Q11" s="7">
        <f t="shared" si="15"/>
        <v>-198</v>
      </c>
      <c r="R11" s="23">
        <f t="shared" si="16"/>
        <v>-5.5E-2</v>
      </c>
      <c r="S11" s="21">
        <f t="shared" si="17"/>
        <v>-3.3</v>
      </c>
      <c r="T11" s="111">
        <v>1.3</v>
      </c>
      <c r="U11" s="112">
        <f t="shared" si="9"/>
        <v>2.1666666666666667E-2</v>
      </c>
      <c r="V11" s="14">
        <v>1.1499999999999999</v>
      </c>
      <c r="W11" s="21">
        <f t="shared" si="10"/>
        <v>1.9166666666666665E-2</v>
      </c>
      <c r="X11" s="14">
        <v>0.15</v>
      </c>
      <c r="Y11" s="113">
        <f t="shared" si="11"/>
        <v>2.5000000000000001E-3</v>
      </c>
      <c r="Z11" s="39">
        <v>3.0000000000000001E-3</v>
      </c>
      <c r="AA11" s="39">
        <v>-0.6</v>
      </c>
    </row>
    <row r="12" spans="1:32" x14ac:dyDescent="0.25">
      <c r="B12" s="82">
        <v>7</v>
      </c>
      <c r="C12" s="71" t="s">
        <v>42</v>
      </c>
      <c r="D12" s="66" t="s">
        <v>56</v>
      </c>
      <c r="E12" s="103" t="s">
        <v>145</v>
      </c>
      <c r="F12" s="14">
        <f t="shared" ref="F12:F19" si="19">30*25%</f>
        <v>7.5</v>
      </c>
      <c r="G12" s="63">
        <f t="shared" si="0"/>
        <v>0.125</v>
      </c>
      <c r="H12" s="59">
        <v>1.25</v>
      </c>
      <c r="I12" s="56">
        <f t="shared" si="1"/>
        <v>2.0833333333333332E-2</v>
      </c>
      <c r="J12" s="63">
        <v>0.4</v>
      </c>
      <c r="K12" s="21">
        <f t="shared" si="2"/>
        <v>6.6666666666666671E-3</v>
      </c>
      <c r="L12" s="14">
        <v>-3.3</v>
      </c>
      <c r="M12" s="7">
        <f t="shared" si="12"/>
        <v>-198</v>
      </c>
      <c r="N12" s="23">
        <f t="shared" si="13"/>
        <v>-5.5E-2</v>
      </c>
      <c r="O12" s="21">
        <f t="shared" si="14"/>
        <v>-3.3</v>
      </c>
      <c r="P12" s="22">
        <v>-3.3</v>
      </c>
      <c r="Q12" s="7">
        <f t="shared" si="15"/>
        <v>-198</v>
      </c>
      <c r="R12" s="23">
        <f t="shared" si="16"/>
        <v>-5.5E-2</v>
      </c>
      <c r="S12" s="21">
        <f t="shared" si="17"/>
        <v>-3.3</v>
      </c>
      <c r="T12" s="111">
        <v>1.3</v>
      </c>
      <c r="U12" s="112">
        <f t="shared" si="9"/>
        <v>2.1666666666666667E-2</v>
      </c>
      <c r="V12" s="14">
        <v>1.1499999999999999</v>
      </c>
      <c r="W12" s="21">
        <f t="shared" si="10"/>
        <v>1.9166666666666665E-2</v>
      </c>
      <c r="X12" s="14">
        <v>0.15</v>
      </c>
      <c r="Y12" s="113">
        <f t="shared" si="11"/>
        <v>2.5000000000000001E-3</v>
      </c>
      <c r="Z12" s="39">
        <v>5.0000000000000001E-3</v>
      </c>
      <c r="AA12" s="39">
        <v>-0.1</v>
      </c>
    </row>
    <row r="13" spans="1:32" x14ac:dyDescent="0.25">
      <c r="B13" s="82">
        <v>8</v>
      </c>
      <c r="C13" s="71" t="s">
        <v>42</v>
      </c>
      <c r="D13" s="66" t="s">
        <v>57</v>
      </c>
      <c r="E13" s="103" t="s">
        <v>203</v>
      </c>
      <c r="F13" s="14">
        <f t="shared" si="19"/>
        <v>7.5</v>
      </c>
      <c r="G13" s="63">
        <f t="shared" si="0"/>
        <v>0.125</v>
      </c>
      <c r="H13" s="59">
        <v>1.25</v>
      </c>
      <c r="I13" s="56">
        <f t="shared" si="1"/>
        <v>2.0833333333333332E-2</v>
      </c>
      <c r="J13" s="63">
        <v>0.4</v>
      </c>
      <c r="K13" s="21">
        <f t="shared" si="2"/>
        <v>6.6666666666666671E-3</v>
      </c>
      <c r="L13" s="14">
        <v>-3.3</v>
      </c>
      <c r="M13" s="7">
        <f t="shared" si="12"/>
        <v>-198</v>
      </c>
      <c r="N13" s="23">
        <f t="shared" si="13"/>
        <v>-5.5E-2</v>
      </c>
      <c r="O13" s="21">
        <f t="shared" si="14"/>
        <v>-3.3</v>
      </c>
      <c r="P13" s="22">
        <v>-3.3</v>
      </c>
      <c r="Q13" s="7">
        <f t="shared" si="15"/>
        <v>-198</v>
      </c>
      <c r="R13" s="23">
        <f t="shared" si="16"/>
        <v>-5.5E-2</v>
      </c>
      <c r="S13" s="21">
        <f t="shared" si="17"/>
        <v>-3.3</v>
      </c>
      <c r="T13" s="111">
        <v>1.3</v>
      </c>
      <c r="U13" s="112">
        <f t="shared" si="9"/>
        <v>2.1666666666666667E-2</v>
      </c>
      <c r="V13" s="14">
        <v>1.1499999999999999</v>
      </c>
      <c r="W13" s="21">
        <f t="shared" si="10"/>
        <v>1.9166666666666665E-2</v>
      </c>
      <c r="X13" s="14">
        <v>0.15</v>
      </c>
      <c r="Y13" s="113">
        <f t="shared" si="11"/>
        <v>2.5000000000000001E-3</v>
      </c>
      <c r="Z13" s="39">
        <v>5.0000000000000001E-3</v>
      </c>
      <c r="AA13" s="39">
        <v>-0.1</v>
      </c>
    </row>
    <row r="14" spans="1:32" x14ac:dyDescent="0.25">
      <c r="B14" s="82">
        <v>9</v>
      </c>
      <c r="C14" s="71" t="s">
        <v>42</v>
      </c>
      <c r="D14" s="66" t="s">
        <v>58</v>
      </c>
      <c r="E14" s="103" t="s">
        <v>146</v>
      </c>
      <c r="F14" s="14">
        <f t="shared" si="19"/>
        <v>7.5</v>
      </c>
      <c r="G14" s="63">
        <f t="shared" si="0"/>
        <v>0.125</v>
      </c>
      <c r="H14" s="59">
        <v>1.25</v>
      </c>
      <c r="I14" s="56">
        <f t="shared" si="1"/>
        <v>2.0833333333333332E-2</v>
      </c>
      <c r="J14" s="63">
        <v>0.4</v>
      </c>
      <c r="K14" s="21">
        <f t="shared" si="2"/>
        <v>6.6666666666666671E-3</v>
      </c>
      <c r="L14" s="14">
        <v>-3.3</v>
      </c>
      <c r="M14" s="7">
        <f t="shared" si="12"/>
        <v>-198</v>
      </c>
      <c r="N14" s="23">
        <f t="shared" si="13"/>
        <v>-5.5E-2</v>
      </c>
      <c r="O14" s="21">
        <f t="shared" si="14"/>
        <v>-3.3</v>
      </c>
      <c r="P14" s="22">
        <v>-3.3</v>
      </c>
      <c r="Q14" s="7">
        <f t="shared" si="15"/>
        <v>-198</v>
      </c>
      <c r="R14" s="23">
        <f t="shared" si="16"/>
        <v>-5.5E-2</v>
      </c>
      <c r="S14" s="21">
        <f t="shared" si="17"/>
        <v>-3.3</v>
      </c>
      <c r="T14" s="111">
        <v>1.3</v>
      </c>
      <c r="U14" s="112">
        <f t="shared" si="9"/>
        <v>2.1666666666666667E-2</v>
      </c>
      <c r="V14" s="14">
        <v>1.1499999999999999</v>
      </c>
      <c r="W14" s="21">
        <f t="shared" si="10"/>
        <v>1.9166666666666665E-2</v>
      </c>
      <c r="X14" s="14">
        <v>0.15</v>
      </c>
      <c r="Y14" s="113">
        <f t="shared" si="11"/>
        <v>2.5000000000000001E-3</v>
      </c>
      <c r="Z14" s="39">
        <v>5.0000000000000001E-3</v>
      </c>
      <c r="AA14" s="39">
        <v>-0.1</v>
      </c>
    </row>
    <row r="15" spans="1:32" x14ac:dyDescent="0.25">
      <c r="B15" s="82">
        <v>10</v>
      </c>
      <c r="C15" s="71" t="s">
        <v>42</v>
      </c>
      <c r="D15" s="66" t="s">
        <v>59</v>
      </c>
      <c r="E15" s="103" t="s">
        <v>147</v>
      </c>
      <c r="F15" s="14">
        <f t="shared" si="19"/>
        <v>7.5</v>
      </c>
      <c r="G15" s="63">
        <f t="shared" si="0"/>
        <v>0.125</v>
      </c>
      <c r="H15" s="59">
        <v>1.25</v>
      </c>
      <c r="I15" s="56">
        <f t="shared" si="1"/>
        <v>2.0833333333333332E-2</v>
      </c>
      <c r="J15" s="63">
        <v>0.4</v>
      </c>
      <c r="K15" s="21">
        <f t="shared" si="2"/>
        <v>6.6666666666666671E-3</v>
      </c>
      <c r="L15" s="14">
        <v>-3.3</v>
      </c>
      <c r="M15" s="7">
        <f t="shared" si="12"/>
        <v>-198</v>
      </c>
      <c r="N15" s="23">
        <f t="shared" si="13"/>
        <v>-5.5E-2</v>
      </c>
      <c r="O15" s="21">
        <f t="shared" si="14"/>
        <v>-3.3</v>
      </c>
      <c r="P15" s="22">
        <v>-3.3</v>
      </c>
      <c r="Q15" s="7">
        <f t="shared" si="15"/>
        <v>-198</v>
      </c>
      <c r="R15" s="23">
        <f t="shared" si="16"/>
        <v>-5.5E-2</v>
      </c>
      <c r="S15" s="21">
        <f t="shared" si="17"/>
        <v>-3.3</v>
      </c>
      <c r="T15" s="111">
        <v>1.3</v>
      </c>
      <c r="U15" s="112">
        <f t="shared" si="9"/>
        <v>2.1666666666666667E-2</v>
      </c>
      <c r="V15" s="14">
        <v>1.1499999999999999</v>
      </c>
      <c r="W15" s="21">
        <f t="shared" si="10"/>
        <v>1.9166666666666665E-2</v>
      </c>
      <c r="X15" s="14">
        <v>0.15</v>
      </c>
      <c r="Y15" s="113">
        <f t="shared" si="11"/>
        <v>2.5000000000000001E-3</v>
      </c>
      <c r="Z15" s="39">
        <v>5.0000000000000001E-3</v>
      </c>
      <c r="AA15" s="39">
        <v>-0.1</v>
      </c>
    </row>
    <row r="16" spans="1:32" x14ac:dyDescent="0.25">
      <c r="B16" s="82">
        <v>11</v>
      </c>
      <c r="C16" s="71" t="s">
        <v>42</v>
      </c>
      <c r="D16" s="66" t="s">
        <v>60</v>
      </c>
      <c r="E16" s="103" t="s">
        <v>28</v>
      </c>
      <c r="F16" s="14">
        <f t="shared" si="19"/>
        <v>7.5</v>
      </c>
      <c r="G16" s="63">
        <f t="shared" si="0"/>
        <v>0.125</v>
      </c>
      <c r="H16" s="59">
        <v>1.25</v>
      </c>
      <c r="I16" s="56">
        <f t="shared" si="1"/>
        <v>2.0833333333333332E-2</v>
      </c>
      <c r="J16" s="63">
        <v>0.4</v>
      </c>
      <c r="K16" s="21">
        <f t="shared" si="2"/>
        <v>6.6666666666666671E-3</v>
      </c>
      <c r="L16" s="14">
        <v>-3.3</v>
      </c>
      <c r="M16" s="7">
        <f t="shared" si="12"/>
        <v>-198</v>
      </c>
      <c r="N16" s="23">
        <f t="shared" si="13"/>
        <v>-5.5E-2</v>
      </c>
      <c r="O16" s="21">
        <f t="shared" si="14"/>
        <v>-3.3</v>
      </c>
      <c r="P16" s="22">
        <v>-3.3</v>
      </c>
      <c r="Q16" s="7">
        <f t="shared" si="15"/>
        <v>-198</v>
      </c>
      <c r="R16" s="23">
        <f t="shared" si="16"/>
        <v>-5.5E-2</v>
      </c>
      <c r="S16" s="21">
        <f t="shared" si="17"/>
        <v>-3.3</v>
      </c>
      <c r="T16" s="111">
        <v>1.3</v>
      </c>
      <c r="U16" s="112">
        <f t="shared" si="9"/>
        <v>2.1666666666666667E-2</v>
      </c>
      <c r="V16" s="14">
        <v>1.1499999999999999</v>
      </c>
      <c r="W16" s="21">
        <f t="shared" si="10"/>
        <v>1.9166666666666665E-2</v>
      </c>
      <c r="X16" s="14">
        <v>0.15</v>
      </c>
      <c r="Y16" s="113">
        <f t="shared" si="11"/>
        <v>2.5000000000000001E-3</v>
      </c>
      <c r="Z16" s="39">
        <v>5.0000000000000001E-3</v>
      </c>
      <c r="AA16" s="39">
        <v>-0.1</v>
      </c>
    </row>
    <row r="17" spans="2:27" x14ac:dyDescent="0.25">
      <c r="B17" s="82">
        <v>12</v>
      </c>
      <c r="C17" s="71" t="s">
        <v>42</v>
      </c>
      <c r="D17" s="66" t="s">
        <v>61</v>
      </c>
      <c r="E17" s="103" t="s">
        <v>204</v>
      </c>
      <c r="F17" s="14">
        <f t="shared" si="19"/>
        <v>7.5</v>
      </c>
      <c r="G17" s="63">
        <f t="shared" si="0"/>
        <v>0.125</v>
      </c>
      <c r="H17" s="59">
        <v>1.25</v>
      </c>
      <c r="I17" s="56">
        <f t="shared" si="1"/>
        <v>2.0833333333333332E-2</v>
      </c>
      <c r="J17" s="63">
        <v>0.4</v>
      </c>
      <c r="K17" s="21">
        <f t="shared" si="2"/>
        <v>6.6666666666666671E-3</v>
      </c>
      <c r="L17" s="14">
        <v>-3.3</v>
      </c>
      <c r="M17" s="7">
        <f t="shared" ref="M17" si="20">L17*60</f>
        <v>-198</v>
      </c>
      <c r="N17" s="23">
        <f t="shared" ref="N17" si="21">L17/60</f>
        <v>-5.5E-2</v>
      </c>
      <c r="O17" s="21">
        <f t="shared" ref="O17" si="22">N17*60</f>
        <v>-3.3</v>
      </c>
      <c r="P17" s="22">
        <v>-3.3</v>
      </c>
      <c r="Q17" s="7">
        <f t="shared" ref="Q17" si="23">P17*60</f>
        <v>-198</v>
      </c>
      <c r="R17" s="23">
        <f t="shared" ref="R17" si="24">P17/60</f>
        <v>-5.5E-2</v>
      </c>
      <c r="S17" s="21">
        <f t="shared" ref="S17" si="25">R17*60</f>
        <v>-3.3</v>
      </c>
      <c r="T17" s="111">
        <v>1.3</v>
      </c>
      <c r="U17" s="112">
        <f t="shared" si="9"/>
        <v>2.1666666666666667E-2</v>
      </c>
      <c r="V17" s="14">
        <v>1.1499999999999999</v>
      </c>
      <c r="W17" s="21">
        <f t="shared" si="10"/>
        <v>1.9166666666666665E-2</v>
      </c>
      <c r="X17" s="14">
        <v>0.15</v>
      </c>
      <c r="Y17" s="113">
        <f t="shared" si="11"/>
        <v>2.5000000000000001E-3</v>
      </c>
      <c r="Z17" s="39">
        <v>5.0000000000000001E-3</v>
      </c>
      <c r="AA17" s="39">
        <v>-0.1</v>
      </c>
    </row>
    <row r="18" spans="2:27" x14ac:dyDescent="0.25">
      <c r="B18" s="82">
        <v>13</v>
      </c>
      <c r="C18" s="71" t="s">
        <v>42</v>
      </c>
      <c r="D18" s="66" t="s">
        <v>62</v>
      </c>
      <c r="E18" s="103" t="s">
        <v>27</v>
      </c>
      <c r="F18" s="14">
        <f t="shared" si="19"/>
        <v>7.5</v>
      </c>
      <c r="G18" s="63">
        <f t="shared" si="0"/>
        <v>0.125</v>
      </c>
      <c r="H18" s="59">
        <v>1.25</v>
      </c>
      <c r="I18" s="56">
        <f t="shared" si="1"/>
        <v>2.0833333333333332E-2</v>
      </c>
      <c r="J18" s="63">
        <v>0.4</v>
      </c>
      <c r="K18" s="21">
        <f t="shared" si="2"/>
        <v>6.6666666666666671E-3</v>
      </c>
      <c r="L18" s="14">
        <v>-3.3</v>
      </c>
      <c r="M18" s="7">
        <f>L18*60</f>
        <v>-198</v>
      </c>
      <c r="N18" s="23">
        <f>L18/60</f>
        <v>-5.5E-2</v>
      </c>
      <c r="O18" s="21">
        <f>N18*60</f>
        <v>-3.3</v>
      </c>
      <c r="P18" s="22">
        <v>-3.3</v>
      </c>
      <c r="Q18" s="7">
        <f>P18*60</f>
        <v>-198</v>
      </c>
      <c r="R18" s="23">
        <f>P18/60</f>
        <v>-5.5E-2</v>
      </c>
      <c r="S18" s="21">
        <f>R18*60</f>
        <v>-3.3</v>
      </c>
      <c r="T18" s="111">
        <v>1.3</v>
      </c>
      <c r="U18" s="112">
        <f t="shared" si="9"/>
        <v>2.1666666666666667E-2</v>
      </c>
      <c r="V18" s="14">
        <v>1.1499999999999999</v>
      </c>
      <c r="W18" s="21">
        <f t="shared" si="10"/>
        <v>1.9166666666666665E-2</v>
      </c>
      <c r="X18" s="14">
        <v>0.15</v>
      </c>
      <c r="Y18" s="113">
        <f t="shared" si="11"/>
        <v>2.5000000000000001E-3</v>
      </c>
      <c r="Z18" s="39">
        <v>5.0000000000000001E-3</v>
      </c>
      <c r="AA18" s="39">
        <v>-0.1</v>
      </c>
    </row>
    <row r="19" spans="2:27" x14ac:dyDescent="0.25">
      <c r="B19" s="82">
        <v>14</v>
      </c>
      <c r="C19" s="71" t="s">
        <v>42</v>
      </c>
      <c r="D19" s="66" t="s">
        <v>225</v>
      </c>
      <c r="E19" s="103" t="s">
        <v>226</v>
      </c>
      <c r="F19" s="14">
        <f t="shared" si="19"/>
        <v>7.5</v>
      </c>
      <c r="G19" s="63">
        <f t="shared" si="0"/>
        <v>0.125</v>
      </c>
      <c r="H19" s="59">
        <v>1.25</v>
      </c>
      <c r="I19" s="56">
        <f t="shared" si="1"/>
        <v>2.0833333333333332E-2</v>
      </c>
      <c r="J19" s="63">
        <v>0.4</v>
      </c>
      <c r="K19" s="21">
        <f t="shared" si="2"/>
        <v>6.6666666666666671E-3</v>
      </c>
      <c r="L19" s="14">
        <v>-3.3</v>
      </c>
      <c r="M19" s="7">
        <f>L19*60</f>
        <v>-198</v>
      </c>
      <c r="N19" s="23">
        <f>L19/60</f>
        <v>-5.5E-2</v>
      </c>
      <c r="O19" s="21">
        <f>N19*60</f>
        <v>-3.3</v>
      </c>
      <c r="P19" s="22">
        <v>-3.3</v>
      </c>
      <c r="Q19" s="7">
        <f>P19*60</f>
        <v>-198</v>
      </c>
      <c r="R19" s="23">
        <f>P19/60</f>
        <v>-5.5E-2</v>
      </c>
      <c r="S19" s="21">
        <f>R19*60</f>
        <v>-3.3</v>
      </c>
      <c r="T19" s="111">
        <v>1.3</v>
      </c>
      <c r="U19" s="112">
        <f t="shared" si="9"/>
        <v>2.1666666666666667E-2</v>
      </c>
      <c r="V19" s="14">
        <v>1.1499999999999999</v>
      </c>
      <c r="W19" s="21">
        <f t="shared" si="10"/>
        <v>1.9166666666666665E-2</v>
      </c>
      <c r="X19" s="14">
        <v>0.15</v>
      </c>
      <c r="Y19" s="113">
        <f t="shared" si="11"/>
        <v>2.5000000000000001E-3</v>
      </c>
      <c r="Z19" s="39">
        <v>5.0000000000000001E-3</v>
      </c>
      <c r="AA19" s="39">
        <v>-0.1</v>
      </c>
    </row>
    <row r="20" spans="2:27" ht="30" x14ac:dyDescent="0.25">
      <c r="B20" s="82">
        <v>15</v>
      </c>
      <c r="C20" s="72" t="s">
        <v>99</v>
      </c>
      <c r="D20" s="66" t="s">
        <v>63</v>
      </c>
      <c r="E20" s="103" t="s">
        <v>14</v>
      </c>
      <c r="F20" s="14">
        <f t="shared" si="18"/>
        <v>7.5</v>
      </c>
      <c r="G20" s="63">
        <f t="shared" ref="G20" si="26">F20/60</f>
        <v>0.125</v>
      </c>
      <c r="H20" s="59">
        <v>1.25</v>
      </c>
      <c r="I20" s="56">
        <f t="shared" ref="I20" si="27">H20/60</f>
        <v>2.0833333333333332E-2</v>
      </c>
      <c r="J20" s="63">
        <v>0.35</v>
      </c>
      <c r="K20" s="21">
        <f t="shared" ref="K20" si="28">J20/60</f>
        <v>5.8333333333333327E-3</v>
      </c>
      <c r="L20" s="14">
        <v>-3.5</v>
      </c>
      <c r="M20" s="7">
        <f t="shared" ref="M20" si="29">L20*60</f>
        <v>-210</v>
      </c>
      <c r="N20" s="23">
        <f t="shared" ref="N20" si="30">L20/60</f>
        <v>-5.8333333333333334E-2</v>
      </c>
      <c r="O20" s="21">
        <f t="shared" ref="O20" si="31">N20*60</f>
        <v>-3.5</v>
      </c>
      <c r="P20" s="22">
        <v>-3.5</v>
      </c>
      <c r="Q20" s="7">
        <f t="shared" ref="Q20" si="32">P20*60</f>
        <v>-210</v>
      </c>
      <c r="R20" s="23">
        <f t="shared" ref="R20" si="33">P20/60</f>
        <v>-5.8333333333333334E-2</v>
      </c>
      <c r="S20" s="21">
        <f t="shared" ref="S20" si="34">R20*60</f>
        <v>-3.5</v>
      </c>
      <c r="T20" s="111">
        <v>1.3</v>
      </c>
      <c r="U20" s="112">
        <f t="shared" ref="U20" si="35">T20/60</f>
        <v>2.1666666666666667E-2</v>
      </c>
      <c r="V20" s="14">
        <v>1.03</v>
      </c>
      <c r="W20" s="21">
        <f t="shared" ref="W20" si="36">V20/60</f>
        <v>1.7166666666666667E-2</v>
      </c>
      <c r="X20" s="14">
        <v>-0.3</v>
      </c>
      <c r="Y20" s="113">
        <f t="shared" ref="Y20" si="37">X20/60</f>
        <v>-5.0000000000000001E-3</v>
      </c>
      <c r="Z20" s="39">
        <v>7.0000000000000001E-3</v>
      </c>
      <c r="AA20" s="39">
        <v>-0.2</v>
      </c>
    </row>
    <row r="21" spans="2:27" ht="30" x14ac:dyDescent="0.25">
      <c r="B21" s="82">
        <v>16</v>
      </c>
      <c r="C21" s="72" t="s">
        <v>67</v>
      </c>
      <c r="D21" s="66" t="s">
        <v>64</v>
      </c>
      <c r="E21" s="103" t="s">
        <v>13</v>
      </c>
      <c r="F21" s="14">
        <f t="shared" si="18"/>
        <v>7.5</v>
      </c>
      <c r="G21" s="63">
        <f t="shared" ref="G21" si="38">F21/60</f>
        <v>0.125</v>
      </c>
      <c r="H21" s="59">
        <v>1.25</v>
      </c>
      <c r="I21" s="56">
        <f t="shared" ref="I21" si="39">H21/60</f>
        <v>2.0833333333333332E-2</v>
      </c>
      <c r="J21" s="63">
        <v>0.35</v>
      </c>
      <c r="K21" s="21">
        <f t="shared" ref="K21" si="40">J21/60</f>
        <v>5.8333333333333327E-3</v>
      </c>
      <c r="L21" s="14">
        <v>-3.5</v>
      </c>
      <c r="M21" s="7">
        <f t="shared" ref="M21" si="41">L21*60</f>
        <v>-210</v>
      </c>
      <c r="N21" s="23">
        <f t="shared" ref="N21" si="42">L21/60</f>
        <v>-5.8333333333333334E-2</v>
      </c>
      <c r="O21" s="21">
        <f t="shared" ref="O21" si="43">N21*60</f>
        <v>-3.5</v>
      </c>
      <c r="P21" s="22">
        <v>-3.5</v>
      </c>
      <c r="Q21" s="7">
        <f t="shared" ref="Q21" si="44">P21*60</f>
        <v>-210</v>
      </c>
      <c r="R21" s="23">
        <f t="shared" ref="R21" si="45">P21/60</f>
        <v>-5.8333333333333334E-2</v>
      </c>
      <c r="S21" s="21">
        <f t="shared" ref="S21" si="46">R21*60</f>
        <v>-3.5</v>
      </c>
      <c r="T21" s="111">
        <v>1.3</v>
      </c>
      <c r="U21" s="112">
        <f t="shared" ref="U21" si="47">T21/60</f>
        <v>2.1666666666666667E-2</v>
      </c>
      <c r="V21" s="14">
        <v>1.03</v>
      </c>
      <c r="W21" s="21">
        <f t="shared" ref="W21" si="48">V21/60</f>
        <v>1.7166666666666667E-2</v>
      </c>
      <c r="X21" s="14">
        <v>-0.3</v>
      </c>
      <c r="Y21" s="113">
        <f t="shared" ref="Y21" si="49">X21/60</f>
        <v>-5.0000000000000001E-3</v>
      </c>
      <c r="Z21" s="39">
        <v>7.0000000000000001E-3</v>
      </c>
      <c r="AA21" s="39">
        <v>-0.2</v>
      </c>
    </row>
    <row r="22" spans="2:27" x14ac:dyDescent="0.25">
      <c r="B22" s="82">
        <v>17</v>
      </c>
      <c r="C22" s="72" t="s">
        <v>189</v>
      </c>
      <c r="D22" s="66" t="s">
        <v>65</v>
      </c>
      <c r="E22" s="103" t="s">
        <v>148</v>
      </c>
      <c r="F22" s="14">
        <f t="shared" si="18"/>
        <v>7.5</v>
      </c>
      <c r="G22" s="63">
        <f t="shared" ref="G22" si="50">F22/60</f>
        <v>0.125</v>
      </c>
      <c r="H22" s="59">
        <v>1.25</v>
      </c>
      <c r="I22" s="56">
        <f t="shared" ref="I22" si="51">H22/60</f>
        <v>2.0833333333333332E-2</v>
      </c>
      <c r="J22" s="63">
        <v>0.35</v>
      </c>
      <c r="K22" s="21">
        <f t="shared" ref="K22" si="52">J22/60</f>
        <v>5.8333333333333327E-3</v>
      </c>
      <c r="L22" s="14">
        <v>-3.5</v>
      </c>
      <c r="M22" s="7">
        <f t="shared" ref="M22" si="53">L22*60</f>
        <v>-210</v>
      </c>
      <c r="N22" s="23">
        <f t="shared" ref="N22" si="54">L22/60</f>
        <v>-5.8333333333333334E-2</v>
      </c>
      <c r="O22" s="21">
        <f t="shared" ref="O22" si="55">N22*60</f>
        <v>-3.5</v>
      </c>
      <c r="P22" s="22">
        <v>-3.5</v>
      </c>
      <c r="Q22" s="7">
        <f t="shared" ref="Q22" si="56">P22*60</f>
        <v>-210</v>
      </c>
      <c r="R22" s="23">
        <f t="shared" ref="R22" si="57">P22/60</f>
        <v>-5.8333333333333334E-2</v>
      </c>
      <c r="S22" s="21">
        <f t="shared" ref="S22" si="58">R22*60</f>
        <v>-3.5</v>
      </c>
      <c r="T22" s="111">
        <v>1.3</v>
      </c>
      <c r="U22" s="112">
        <f t="shared" ref="U22" si="59">T22/60</f>
        <v>2.1666666666666667E-2</v>
      </c>
      <c r="V22" s="14">
        <v>1.03</v>
      </c>
      <c r="W22" s="21">
        <f t="shared" ref="W22" si="60">V22/60</f>
        <v>1.7166666666666667E-2</v>
      </c>
      <c r="X22" s="14">
        <v>-0.3</v>
      </c>
      <c r="Y22" s="113">
        <f t="shared" ref="Y22" si="61">X22/60</f>
        <v>-5.0000000000000001E-3</v>
      </c>
      <c r="Z22" s="39">
        <v>7.0000000000000001E-3</v>
      </c>
      <c r="AA22" s="39">
        <v>-0.2</v>
      </c>
    </row>
    <row r="23" spans="2:27" x14ac:dyDescent="0.25">
      <c r="B23" s="82">
        <v>18</v>
      </c>
      <c r="C23" s="70" t="s">
        <v>190</v>
      </c>
      <c r="D23" s="66" t="s">
        <v>66</v>
      </c>
      <c r="E23" s="103" t="s">
        <v>149</v>
      </c>
      <c r="F23" s="14">
        <f t="shared" si="18"/>
        <v>7.5</v>
      </c>
      <c r="G23" s="63">
        <f>F23/60</f>
        <v>0.125</v>
      </c>
      <c r="H23" s="59">
        <v>1.25</v>
      </c>
      <c r="I23" s="56">
        <f>H23/60</f>
        <v>2.0833333333333332E-2</v>
      </c>
      <c r="J23" s="63">
        <v>0.35</v>
      </c>
      <c r="K23" s="21">
        <f>J23/60</f>
        <v>5.8333333333333327E-3</v>
      </c>
      <c r="L23" s="14">
        <v>-3.5</v>
      </c>
      <c r="M23" s="7">
        <f>L23*60</f>
        <v>-210</v>
      </c>
      <c r="N23" s="23">
        <f>L23/60</f>
        <v>-5.8333333333333334E-2</v>
      </c>
      <c r="O23" s="21">
        <f>N23*60</f>
        <v>-3.5</v>
      </c>
      <c r="P23" s="22">
        <v>-3.5</v>
      </c>
      <c r="Q23" s="7">
        <f>P23*60</f>
        <v>-210</v>
      </c>
      <c r="R23" s="23">
        <f>P23/60</f>
        <v>-5.8333333333333334E-2</v>
      </c>
      <c r="S23" s="21">
        <f>R23*60</f>
        <v>-3.5</v>
      </c>
      <c r="T23" s="111">
        <v>1.3</v>
      </c>
      <c r="U23" s="112">
        <f>T23/60</f>
        <v>2.1666666666666667E-2</v>
      </c>
      <c r="V23" s="14">
        <v>1.03</v>
      </c>
      <c r="W23" s="21">
        <f>V23/60</f>
        <v>1.7166666666666667E-2</v>
      </c>
      <c r="X23" s="14">
        <v>-0.3</v>
      </c>
      <c r="Y23" s="113">
        <f>X23/60</f>
        <v>-5.0000000000000001E-3</v>
      </c>
      <c r="Z23" s="39">
        <v>7.0000000000000001E-3</v>
      </c>
      <c r="AA23" s="39">
        <v>-0.2</v>
      </c>
    </row>
    <row r="24" spans="2:27" x14ac:dyDescent="0.25">
      <c r="B24" s="82">
        <v>19</v>
      </c>
      <c r="C24" s="70" t="s">
        <v>80</v>
      </c>
      <c r="D24" s="66" t="s">
        <v>68</v>
      </c>
      <c r="E24" s="103" t="s">
        <v>150</v>
      </c>
      <c r="F24" s="14">
        <f t="shared" si="18"/>
        <v>7.5</v>
      </c>
      <c r="G24" s="63">
        <f>F24/60</f>
        <v>0.125</v>
      </c>
      <c r="H24" s="59">
        <v>1.25</v>
      </c>
      <c r="I24" s="56">
        <f>H24/60</f>
        <v>2.0833333333333332E-2</v>
      </c>
      <c r="J24" s="63">
        <v>0.35</v>
      </c>
      <c r="K24" s="21">
        <f>J24/60</f>
        <v>5.8333333333333327E-3</v>
      </c>
      <c r="L24" s="14">
        <v>-3.5</v>
      </c>
      <c r="M24" s="7">
        <f>L24*60</f>
        <v>-210</v>
      </c>
      <c r="N24" s="23">
        <f>L24/60</f>
        <v>-5.8333333333333334E-2</v>
      </c>
      <c r="O24" s="21">
        <f>N24*60</f>
        <v>-3.5</v>
      </c>
      <c r="P24" s="22">
        <v>-3.5</v>
      </c>
      <c r="Q24" s="7">
        <f>P24*60</f>
        <v>-210</v>
      </c>
      <c r="R24" s="23">
        <f>P24/60</f>
        <v>-5.8333333333333334E-2</v>
      </c>
      <c r="S24" s="21">
        <f>R24*60</f>
        <v>-3.5</v>
      </c>
      <c r="T24" s="111">
        <v>1.3</v>
      </c>
      <c r="U24" s="112">
        <f>T24/60</f>
        <v>2.1666666666666667E-2</v>
      </c>
      <c r="V24" s="14">
        <v>1.03</v>
      </c>
      <c r="W24" s="21">
        <f>V24/60</f>
        <v>1.7166666666666667E-2</v>
      </c>
      <c r="X24" s="14">
        <v>-0.3</v>
      </c>
      <c r="Y24" s="113">
        <f>X24/60</f>
        <v>-5.0000000000000001E-3</v>
      </c>
      <c r="Z24" s="39">
        <v>7.0000000000000001E-3</v>
      </c>
      <c r="AA24" s="39">
        <v>-0.2</v>
      </c>
    </row>
    <row r="25" spans="2:27" x14ac:dyDescent="0.25">
      <c r="B25" s="82">
        <v>20</v>
      </c>
      <c r="C25" s="70" t="s">
        <v>82</v>
      </c>
      <c r="D25" s="66" t="s">
        <v>69</v>
      </c>
      <c r="E25" s="103" t="s">
        <v>26</v>
      </c>
      <c r="F25" s="14">
        <f t="shared" si="18"/>
        <v>7.5</v>
      </c>
      <c r="G25" s="63">
        <f>F25/60</f>
        <v>0.125</v>
      </c>
      <c r="H25" s="59">
        <v>1.25</v>
      </c>
      <c r="I25" s="56">
        <f>H25/60</f>
        <v>2.0833333333333332E-2</v>
      </c>
      <c r="J25" s="63">
        <v>0.35</v>
      </c>
      <c r="K25" s="21">
        <f>J25/60</f>
        <v>5.8333333333333327E-3</v>
      </c>
      <c r="L25" s="14">
        <v>-3.5</v>
      </c>
      <c r="M25" s="7">
        <f>L25*60</f>
        <v>-210</v>
      </c>
      <c r="N25" s="23">
        <f>L25/60</f>
        <v>-5.8333333333333334E-2</v>
      </c>
      <c r="O25" s="21">
        <f>N25*60</f>
        <v>-3.5</v>
      </c>
      <c r="P25" s="22">
        <v>-3.5</v>
      </c>
      <c r="Q25" s="7">
        <f>P25*60</f>
        <v>-210</v>
      </c>
      <c r="R25" s="23">
        <f>P25/60</f>
        <v>-5.8333333333333334E-2</v>
      </c>
      <c r="S25" s="21">
        <f>R25*60</f>
        <v>-3.5</v>
      </c>
      <c r="T25" s="111">
        <v>1.3</v>
      </c>
      <c r="U25" s="112">
        <f>T25/60</f>
        <v>2.1666666666666667E-2</v>
      </c>
      <c r="V25" s="14">
        <v>1.03</v>
      </c>
      <c r="W25" s="21">
        <f>V25/60</f>
        <v>1.7166666666666667E-2</v>
      </c>
      <c r="X25" s="14">
        <v>-0.3</v>
      </c>
      <c r="Y25" s="113">
        <f>X25/60</f>
        <v>-5.0000000000000001E-3</v>
      </c>
      <c r="Z25" s="39">
        <v>7.0000000000000001E-3</v>
      </c>
      <c r="AA25" s="39">
        <v>-0.2</v>
      </c>
    </row>
    <row r="26" spans="2:27" x14ac:dyDescent="0.25">
      <c r="B26" s="82">
        <v>21</v>
      </c>
      <c r="C26" s="70" t="s">
        <v>78</v>
      </c>
      <c r="D26" s="66" t="s">
        <v>70</v>
      </c>
      <c r="E26" s="103" t="s">
        <v>205</v>
      </c>
      <c r="F26" s="14">
        <f t="shared" si="18"/>
        <v>7.5</v>
      </c>
      <c r="G26" s="63">
        <f>F26/60</f>
        <v>0.125</v>
      </c>
      <c r="H26" s="59">
        <v>1.25</v>
      </c>
      <c r="I26" s="56">
        <f>H26/60</f>
        <v>2.0833333333333332E-2</v>
      </c>
      <c r="J26" s="63">
        <v>0.35</v>
      </c>
      <c r="K26" s="21">
        <f>J26/60</f>
        <v>5.8333333333333327E-3</v>
      </c>
      <c r="L26" s="14">
        <v>-3.5</v>
      </c>
      <c r="M26" s="7">
        <f>L26*60</f>
        <v>-210</v>
      </c>
      <c r="N26" s="23">
        <f>L26/60</f>
        <v>-5.8333333333333334E-2</v>
      </c>
      <c r="O26" s="21">
        <f>N26*60</f>
        <v>-3.5</v>
      </c>
      <c r="P26" s="22">
        <v>-3.5</v>
      </c>
      <c r="Q26" s="7">
        <f>P26*60</f>
        <v>-210</v>
      </c>
      <c r="R26" s="23">
        <f>P26/60</f>
        <v>-5.8333333333333334E-2</v>
      </c>
      <c r="S26" s="21">
        <f>R26*60</f>
        <v>-3.5</v>
      </c>
      <c r="T26" s="111">
        <v>1.3</v>
      </c>
      <c r="U26" s="112">
        <f>T26/60</f>
        <v>2.1666666666666667E-2</v>
      </c>
      <c r="V26" s="14">
        <v>1.03</v>
      </c>
      <c r="W26" s="21">
        <f>V26/60</f>
        <v>1.7166666666666667E-2</v>
      </c>
      <c r="X26" s="14">
        <v>-0.3</v>
      </c>
      <c r="Y26" s="113">
        <f>X26/60</f>
        <v>-5.0000000000000001E-3</v>
      </c>
      <c r="Z26" s="39">
        <v>7.0000000000000001E-3</v>
      </c>
      <c r="AA26" s="39">
        <v>-0.2</v>
      </c>
    </row>
    <row r="27" spans="2:27" x14ac:dyDescent="0.25">
      <c r="B27" s="82">
        <v>22</v>
      </c>
      <c r="C27" s="70" t="s">
        <v>206</v>
      </c>
      <c r="D27" s="66" t="s">
        <v>71</v>
      </c>
      <c r="E27" s="103" t="s">
        <v>24</v>
      </c>
      <c r="F27" s="14">
        <f t="shared" si="18"/>
        <v>7.5</v>
      </c>
      <c r="G27" s="63">
        <f t="shared" ref="G27:G54" si="62">F27/60</f>
        <v>0.125</v>
      </c>
      <c r="H27" s="59">
        <v>1.25</v>
      </c>
      <c r="I27" s="56">
        <f t="shared" ref="I27:I54" si="63">H27/60</f>
        <v>2.0833333333333332E-2</v>
      </c>
      <c r="J27" s="63">
        <v>0.35</v>
      </c>
      <c r="K27" s="21">
        <f t="shared" ref="K27:K54" si="64">J27/60</f>
        <v>5.8333333333333327E-3</v>
      </c>
      <c r="L27" s="14">
        <v>-3.5</v>
      </c>
      <c r="M27" s="7">
        <f>L27*60</f>
        <v>-210</v>
      </c>
      <c r="N27" s="23">
        <f>L27/60</f>
        <v>-5.8333333333333334E-2</v>
      </c>
      <c r="O27" s="21">
        <f>N27*60</f>
        <v>-3.5</v>
      </c>
      <c r="P27" s="22">
        <v>-3.5</v>
      </c>
      <c r="Q27" s="7">
        <f>P27*60</f>
        <v>-210</v>
      </c>
      <c r="R27" s="23">
        <f>P27/60</f>
        <v>-5.8333333333333334E-2</v>
      </c>
      <c r="S27" s="21">
        <f>R27*60</f>
        <v>-3.5</v>
      </c>
      <c r="T27" s="111">
        <v>1.3</v>
      </c>
      <c r="U27" s="112">
        <f t="shared" ref="U27:U54" si="65">T27/60</f>
        <v>2.1666666666666667E-2</v>
      </c>
      <c r="V27" s="14">
        <v>1.03</v>
      </c>
      <c r="W27" s="21">
        <f t="shared" ref="W27:W54" si="66">V27/60</f>
        <v>1.7166666666666667E-2</v>
      </c>
      <c r="X27" s="14">
        <v>-0.3</v>
      </c>
      <c r="Y27" s="113">
        <f t="shared" ref="Y27:Y54" si="67">X27/60</f>
        <v>-5.0000000000000001E-3</v>
      </c>
      <c r="Z27" s="39">
        <v>7.0000000000000001E-3</v>
      </c>
      <c r="AA27" s="39">
        <v>-0.2</v>
      </c>
    </row>
    <row r="28" spans="2:27" ht="30" x14ac:dyDescent="0.25">
      <c r="B28" s="82">
        <v>23</v>
      </c>
      <c r="C28" s="71" t="s">
        <v>193</v>
      </c>
      <c r="D28" s="66" t="s">
        <v>72</v>
      </c>
      <c r="E28" s="103" t="s">
        <v>151</v>
      </c>
      <c r="F28" s="14">
        <f>30*75%</f>
        <v>22.5</v>
      </c>
      <c r="G28" s="63">
        <f t="shared" si="62"/>
        <v>0.375</v>
      </c>
      <c r="H28" s="59">
        <v>1.75</v>
      </c>
      <c r="I28" s="56">
        <f t="shared" si="63"/>
        <v>2.9166666666666667E-2</v>
      </c>
      <c r="J28" s="63">
        <v>0.4</v>
      </c>
      <c r="K28" s="21">
        <f t="shared" si="64"/>
        <v>6.6666666666666671E-3</v>
      </c>
      <c r="L28" s="14">
        <v>-2</v>
      </c>
      <c r="M28" s="7">
        <f t="shared" ref="M28" si="68">L28*60</f>
        <v>-120</v>
      </c>
      <c r="N28" s="23">
        <f t="shared" ref="N28" si="69">L28/60</f>
        <v>-3.3333333333333333E-2</v>
      </c>
      <c r="O28" s="21">
        <f t="shared" ref="O28" si="70">N28*60</f>
        <v>-2</v>
      </c>
      <c r="P28" s="22">
        <v>-2</v>
      </c>
      <c r="Q28" s="7">
        <f t="shared" ref="Q28" si="71">P28*60</f>
        <v>-120</v>
      </c>
      <c r="R28" s="23">
        <f t="shared" ref="R28" si="72">P28/60</f>
        <v>-3.3333333333333333E-2</v>
      </c>
      <c r="S28" s="21">
        <f t="shared" ref="S28" si="73">R28*60</f>
        <v>-2</v>
      </c>
      <c r="T28" s="111">
        <v>0</v>
      </c>
      <c r="U28" s="112">
        <f t="shared" si="65"/>
        <v>0</v>
      </c>
      <c r="V28" s="14">
        <v>1.05</v>
      </c>
      <c r="W28" s="21">
        <f t="shared" si="66"/>
        <v>1.7500000000000002E-2</v>
      </c>
      <c r="X28" s="14">
        <v>0.5</v>
      </c>
      <c r="Y28" s="113">
        <f t="shared" si="67"/>
        <v>8.3333333333333332E-3</v>
      </c>
      <c r="Z28" s="39">
        <v>3.0000000000000001E-3</v>
      </c>
      <c r="AA28" s="39">
        <v>-0.6</v>
      </c>
    </row>
    <row r="29" spans="2:27" ht="30" x14ac:dyDescent="0.25">
      <c r="B29" s="82">
        <v>24</v>
      </c>
      <c r="C29" s="88" t="s">
        <v>227</v>
      </c>
      <c r="D29" s="66" t="s">
        <v>73</v>
      </c>
      <c r="E29" s="103" t="s">
        <v>153</v>
      </c>
      <c r="F29" s="14">
        <f>30*50%</f>
        <v>15</v>
      </c>
      <c r="G29" s="63">
        <f t="shared" si="62"/>
        <v>0.25</v>
      </c>
      <c r="H29" s="59">
        <v>1.5</v>
      </c>
      <c r="I29" s="56">
        <f t="shared" si="63"/>
        <v>2.5000000000000001E-2</v>
      </c>
      <c r="J29" s="63">
        <v>0.3</v>
      </c>
      <c r="K29" s="21">
        <f t="shared" si="64"/>
        <v>5.0000000000000001E-3</v>
      </c>
      <c r="L29" s="14">
        <v>-2.2999999999999998</v>
      </c>
      <c r="M29" s="7">
        <f t="shared" ref="M29:M54" si="74">L29*60</f>
        <v>-138</v>
      </c>
      <c r="N29" s="23">
        <f t="shared" ref="N29:N54" si="75">L29/60</f>
        <v>-3.833333333333333E-2</v>
      </c>
      <c r="O29" s="21">
        <f t="shared" ref="O29:O54" si="76">N29*60</f>
        <v>-2.2999999999999998</v>
      </c>
      <c r="P29" s="22">
        <v>-2.2999999999999998</v>
      </c>
      <c r="Q29" s="7">
        <f t="shared" ref="Q29:Q54" si="77">P29*60</f>
        <v>-138</v>
      </c>
      <c r="R29" s="23">
        <f t="shared" ref="R29:R54" si="78">P29/60</f>
        <v>-3.833333333333333E-2</v>
      </c>
      <c r="S29" s="21">
        <f t="shared" ref="S29:S54" si="79">R29*60</f>
        <v>-2.2999999999999998</v>
      </c>
      <c r="T29" s="111">
        <v>0</v>
      </c>
      <c r="U29" s="112">
        <f t="shared" si="65"/>
        <v>0</v>
      </c>
      <c r="V29" s="14">
        <v>1</v>
      </c>
      <c r="W29" s="21">
        <f t="shared" si="66"/>
        <v>1.6666666666666666E-2</v>
      </c>
      <c r="X29" s="14">
        <v>0.6</v>
      </c>
      <c r="Y29" s="113">
        <f t="shared" si="67"/>
        <v>0.01</v>
      </c>
      <c r="Z29" s="39">
        <v>0.05</v>
      </c>
      <c r="AA29" s="39">
        <v>-0.8</v>
      </c>
    </row>
    <row r="30" spans="2:27" ht="30" x14ac:dyDescent="0.25">
      <c r="B30" s="82">
        <v>25</v>
      </c>
      <c r="C30" s="88" t="s">
        <v>228</v>
      </c>
      <c r="D30" s="66" t="s">
        <v>74</v>
      </c>
      <c r="E30" s="103" t="s">
        <v>22</v>
      </c>
      <c r="F30" s="14">
        <f>30*50%</f>
        <v>15</v>
      </c>
      <c r="G30" s="63">
        <f t="shared" si="62"/>
        <v>0.25</v>
      </c>
      <c r="H30" s="59">
        <v>1.5</v>
      </c>
      <c r="I30" s="56">
        <f t="shared" si="63"/>
        <v>2.5000000000000001E-2</v>
      </c>
      <c r="J30" s="63">
        <v>0.3</v>
      </c>
      <c r="K30" s="21">
        <f t="shared" si="64"/>
        <v>5.0000000000000001E-3</v>
      </c>
      <c r="L30" s="14">
        <v>-2.5</v>
      </c>
      <c r="M30" s="7">
        <f t="shared" si="74"/>
        <v>-150</v>
      </c>
      <c r="N30" s="23">
        <f t="shared" si="75"/>
        <v>-4.1666666666666664E-2</v>
      </c>
      <c r="O30" s="21">
        <f t="shared" si="76"/>
        <v>-2.5</v>
      </c>
      <c r="P30" s="22">
        <v>-2.5</v>
      </c>
      <c r="Q30" s="7">
        <f t="shared" si="77"/>
        <v>-150</v>
      </c>
      <c r="R30" s="23">
        <f t="shared" si="78"/>
        <v>-4.1666666666666664E-2</v>
      </c>
      <c r="S30" s="21">
        <f t="shared" si="79"/>
        <v>-2.5</v>
      </c>
      <c r="T30" s="111">
        <v>1.7</v>
      </c>
      <c r="U30" s="112">
        <f t="shared" si="65"/>
        <v>2.8333333333333332E-2</v>
      </c>
      <c r="V30" s="14">
        <v>1.05</v>
      </c>
      <c r="W30" s="21">
        <f t="shared" si="66"/>
        <v>1.7500000000000002E-2</v>
      </c>
      <c r="X30" s="14">
        <v>0.5</v>
      </c>
      <c r="Y30" s="113">
        <f t="shared" si="67"/>
        <v>8.3333333333333332E-3</v>
      </c>
      <c r="Z30" s="39">
        <v>0.03</v>
      </c>
      <c r="AA30" s="39">
        <v>-0.6</v>
      </c>
    </row>
    <row r="31" spans="2:27" x14ac:dyDescent="0.25">
      <c r="B31" s="82">
        <v>26</v>
      </c>
      <c r="C31" s="104" t="s">
        <v>42</v>
      </c>
      <c r="D31" s="89" t="s">
        <v>229</v>
      </c>
      <c r="E31" s="90" t="s">
        <v>230</v>
      </c>
      <c r="F31" s="91">
        <v>30</v>
      </c>
      <c r="G31" s="92">
        <f t="shared" si="62"/>
        <v>0.5</v>
      </c>
      <c r="H31" s="93">
        <v>1</v>
      </c>
      <c r="I31" s="94">
        <f t="shared" si="63"/>
        <v>1.6666666666666666E-2</v>
      </c>
      <c r="J31" s="92">
        <v>0.1</v>
      </c>
      <c r="K31" s="95">
        <f t="shared" si="64"/>
        <v>1.6666666666666668E-3</v>
      </c>
      <c r="L31" s="91">
        <v>-1</v>
      </c>
      <c r="M31" s="96">
        <f t="shared" si="74"/>
        <v>-60</v>
      </c>
      <c r="N31" s="97">
        <f t="shared" si="75"/>
        <v>-1.6666666666666666E-2</v>
      </c>
      <c r="O31" s="95">
        <f t="shared" si="76"/>
        <v>-1</v>
      </c>
      <c r="P31" s="98">
        <v>-1</v>
      </c>
      <c r="Q31" s="96">
        <f t="shared" si="77"/>
        <v>-60</v>
      </c>
      <c r="R31" s="97">
        <f t="shared" si="78"/>
        <v>-1.6666666666666666E-2</v>
      </c>
      <c r="S31" s="95">
        <f t="shared" si="79"/>
        <v>-1</v>
      </c>
      <c r="T31" s="99">
        <v>0</v>
      </c>
      <c r="U31" s="100">
        <f t="shared" si="65"/>
        <v>0</v>
      </c>
      <c r="V31" s="91">
        <v>0</v>
      </c>
      <c r="W31" s="95">
        <f t="shared" si="66"/>
        <v>0</v>
      </c>
      <c r="X31" s="91">
        <v>0</v>
      </c>
      <c r="Y31" s="101">
        <f t="shared" si="67"/>
        <v>0</v>
      </c>
      <c r="Z31" s="102">
        <v>3.0000000000000001E-3</v>
      </c>
      <c r="AA31" s="102">
        <v>-1</v>
      </c>
    </row>
    <row r="32" spans="2:27" ht="30" x14ac:dyDescent="0.25">
      <c r="B32" s="82">
        <v>27</v>
      </c>
      <c r="C32" s="88" t="s">
        <v>231</v>
      </c>
      <c r="D32" s="66" t="s">
        <v>75</v>
      </c>
      <c r="E32" s="103" t="s">
        <v>154</v>
      </c>
      <c r="F32" s="14">
        <v>30</v>
      </c>
      <c r="G32" s="63">
        <f t="shared" si="62"/>
        <v>0.5</v>
      </c>
      <c r="H32" s="59">
        <v>1</v>
      </c>
      <c r="I32" s="56">
        <f t="shared" si="63"/>
        <v>1.6666666666666666E-2</v>
      </c>
      <c r="J32" s="63">
        <v>0.1</v>
      </c>
      <c r="K32" s="21">
        <f t="shared" si="64"/>
        <v>1.6666666666666668E-3</v>
      </c>
      <c r="L32" s="14">
        <v>-1</v>
      </c>
      <c r="M32" s="7">
        <f t="shared" si="74"/>
        <v>-60</v>
      </c>
      <c r="N32" s="23">
        <f t="shared" si="75"/>
        <v>-1.6666666666666666E-2</v>
      </c>
      <c r="O32" s="21">
        <f t="shared" si="76"/>
        <v>-1</v>
      </c>
      <c r="P32" s="22">
        <v>-1</v>
      </c>
      <c r="Q32" s="7">
        <f t="shared" si="77"/>
        <v>-60</v>
      </c>
      <c r="R32" s="23">
        <f t="shared" si="78"/>
        <v>-1.6666666666666666E-2</v>
      </c>
      <c r="S32" s="21">
        <f t="shared" si="79"/>
        <v>-1</v>
      </c>
      <c r="T32" s="111">
        <v>0</v>
      </c>
      <c r="U32" s="112">
        <f t="shared" si="65"/>
        <v>0</v>
      </c>
      <c r="V32" s="14">
        <v>0</v>
      </c>
      <c r="W32" s="21">
        <f t="shared" si="66"/>
        <v>0</v>
      </c>
      <c r="X32" s="14">
        <v>0</v>
      </c>
      <c r="Y32" s="113">
        <f t="shared" si="67"/>
        <v>0</v>
      </c>
      <c r="Z32" s="39">
        <v>3.0000000000000001E-3</v>
      </c>
      <c r="AA32" s="39">
        <v>-1</v>
      </c>
    </row>
    <row r="33" spans="2:27" ht="30" x14ac:dyDescent="0.25">
      <c r="B33" s="82">
        <v>28</v>
      </c>
      <c r="C33" s="70" t="s">
        <v>207</v>
      </c>
      <c r="D33" s="105" t="s">
        <v>76</v>
      </c>
      <c r="E33" s="106" t="s">
        <v>152</v>
      </c>
      <c r="F33" s="14">
        <v>30</v>
      </c>
      <c r="G33" s="63">
        <f t="shared" si="62"/>
        <v>0.5</v>
      </c>
      <c r="H33" s="59">
        <v>1</v>
      </c>
      <c r="I33" s="56">
        <f t="shared" si="63"/>
        <v>1.6666666666666666E-2</v>
      </c>
      <c r="J33" s="63">
        <v>0.1</v>
      </c>
      <c r="K33" s="21">
        <f t="shared" si="64"/>
        <v>1.6666666666666668E-3</v>
      </c>
      <c r="L33" s="14">
        <v>-1</v>
      </c>
      <c r="M33" s="7">
        <f t="shared" si="74"/>
        <v>-60</v>
      </c>
      <c r="N33" s="23">
        <f t="shared" si="75"/>
        <v>-1.6666666666666666E-2</v>
      </c>
      <c r="O33" s="21">
        <f t="shared" si="76"/>
        <v>-1</v>
      </c>
      <c r="P33" s="22">
        <v>-1</v>
      </c>
      <c r="Q33" s="7">
        <f t="shared" si="77"/>
        <v>-60</v>
      </c>
      <c r="R33" s="23">
        <f t="shared" si="78"/>
        <v>-1.6666666666666666E-2</v>
      </c>
      <c r="S33" s="21">
        <f t="shared" si="79"/>
        <v>-1</v>
      </c>
      <c r="T33" s="111">
        <v>0</v>
      </c>
      <c r="U33" s="112">
        <f t="shared" si="65"/>
        <v>0</v>
      </c>
      <c r="V33" s="14">
        <v>0</v>
      </c>
      <c r="W33" s="21">
        <f t="shared" si="66"/>
        <v>0</v>
      </c>
      <c r="X33" s="14">
        <v>0</v>
      </c>
      <c r="Y33" s="113">
        <f t="shared" si="67"/>
        <v>0</v>
      </c>
      <c r="Z33" s="39">
        <v>3.0000000000000001E-3</v>
      </c>
      <c r="AA33" s="39">
        <v>-0.6</v>
      </c>
    </row>
    <row r="34" spans="2:27" x14ac:dyDescent="0.25">
      <c r="B34" s="82">
        <v>29</v>
      </c>
      <c r="C34" s="104" t="s">
        <v>232</v>
      </c>
      <c r="D34" s="89" t="s">
        <v>229</v>
      </c>
      <c r="E34" s="107" t="s">
        <v>230</v>
      </c>
      <c r="F34" s="91">
        <v>30</v>
      </c>
      <c r="G34" s="92">
        <f t="shared" si="62"/>
        <v>0.5</v>
      </c>
      <c r="H34" s="93">
        <v>1</v>
      </c>
      <c r="I34" s="94">
        <f t="shared" si="63"/>
        <v>1.6666666666666666E-2</v>
      </c>
      <c r="J34" s="92">
        <v>0.1</v>
      </c>
      <c r="K34" s="95">
        <f t="shared" si="64"/>
        <v>1.6666666666666668E-3</v>
      </c>
      <c r="L34" s="91">
        <v>-1</v>
      </c>
      <c r="M34" s="96">
        <f t="shared" si="74"/>
        <v>-60</v>
      </c>
      <c r="N34" s="97">
        <f t="shared" si="75"/>
        <v>-1.6666666666666666E-2</v>
      </c>
      <c r="O34" s="95">
        <f t="shared" si="76"/>
        <v>-1</v>
      </c>
      <c r="P34" s="98">
        <v>-1</v>
      </c>
      <c r="Q34" s="96">
        <f t="shared" si="77"/>
        <v>-60</v>
      </c>
      <c r="R34" s="97">
        <f t="shared" si="78"/>
        <v>-1.6666666666666666E-2</v>
      </c>
      <c r="S34" s="95">
        <f t="shared" si="79"/>
        <v>-1</v>
      </c>
      <c r="T34" s="99">
        <v>0</v>
      </c>
      <c r="U34" s="100">
        <f t="shared" si="65"/>
        <v>0</v>
      </c>
      <c r="V34" s="91">
        <v>0</v>
      </c>
      <c r="W34" s="95">
        <f t="shared" si="66"/>
        <v>0</v>
      </c>
      <c r="X34" s="91">
        <v>0</v>
      </c>
      <c r="Y34" s="101">
        <f t="shared" si="67"/>
        <v>0</v>
      </c>
      <c r="Z34" s="102">
        <v>3.0000000000000001E-3</v>
      </c>
      <c r="AA34" s="102">
        <v>-1</v>
      </c>
    </row>
    <row r="35" spans="2:27" x14ac:dyDescent="0.25">
      <c r="B35" s="82">
        <v>30</v>
      </c>
      <c r="C35" s="88" t="s">
        <v>42</v>
      </c>
      <c r="D35" s="89" t="s">
        <v>233</v>
      </c>
      <c r="E35" s="90" t="s">
        <v>234</v>
      </c>
      <c r="F35" s="91">
        <v>30</v>
      </c>
      <c r="G35" s="92">
        <f t="shared" si="62"/>
        <v>0.5</v>
      </c>
      <c r="H35" s="93">
        <v>1</v>
      </c>
      <c r="I35" s="94">
        <f t="shared" si="63"/>
        <v>1.6666666666666666E-2</v>
      </c>
      <c r="J35" s="92">
        <v>0.1</v>
      </c>
      <c r="K35" s="95">
        <f t="shared" si="64"/>
        <v>1.6666666666666668E-3</v>
      </c>
      <c r="L35" s="91">
        <v>-1</v>
      </c>
      <c r="M35" s="96">
        <f t="shared" si="74"/>
        <v>-60</v>
      </c>
      <c r="N35" s="97">
        <f t="shared" si="75"/>
        <v>-1.6666666666666666E-2</v>
      </c>
      <c r="O35" s="95">
        <f t="shared" si="76"/>
        <v>-1</v>
      </c>
      <c r="P35" s="98">
        <v>-1</v>
      </c>
      <c r="Q35" s="96">
        <f t="shared" si="77"/>
        <v>-60</v>
      </c>
      <c r="R35" s="97">
        <f t="shared" si="78"/>
        <v>-1.6666666666666666E-2</v>
      </c>
      <c r="S35" s="95">
        <f t="shared" si="79"/>
        <v>-1</v>
      </c>
      <c r="T35" s="99">
        <v>0</v>
      </c>
      <c r="U35" s="100">
        <f t="shared" si="65"/>
        <v>0</v>
      </c>
      <c r="V35" s="91">
        <v>0</v>
      </c>
      <c r="W35" s="95">
        <f t="shared" si="66"/>
        <v>0</v>
      </c>
      <c r="X35" s="91">
        <v>0</v>
      </c>
      <c r="Y35" s="101">
        <f t="shared" si="67"/>
        <v>0</v>
      </c>
      <c r="Z35" s="102">
        <v>3.0000000000000001E-3</v>
      </c>
      <c r="AA35" s="102">
        <v>-1</v>
      </c>
    </row>
    <row r="36" spans="2:27" x14ac:dyDescent="0.25">
      <c r="B36" s="82">
        <v>31</v>
      </c>
      <c r="C36" s="88" t="s">
        <v>235</v>
      </c>
      <c r="D36" s="66" t="s">
        <v>77</v>
      </c>
      <c r="E36" s="103" t="s">
        <v>155</v>
      </c>
      <c r="F36" s="14">
        <f>30*50%</f>
        <v>15</v>
      </c>
      <c r="G36" s="63">
        <f t="shared" si="62"/>
        <v>0.25</v>
      </c>
      <c r="H36" s="59">
        <v>1.5</v>
      </c>
      <c r="I36" s="56">
        <f t="shared" si="63"/>
        <v>2.5000000000000001E-2</v>
      </c>
      <c r="J36" s="63">
        <v>0.3</v>
      </c>
      <c r="K36" s="21">
        <f t="shared" si="64"/>
        <v>5.0000000000000001E-3</v>
      </c>
      <c r="L36" s="14">
        <v>-3</v>
      </c>
      <c r="M36" s="7">
        <f t="shared" si="74"/>
        <v>-180</v>
      </c>
      <c r="N36" s="23">
        <f t="shared" si="75"/>
        <v>-0.05</v>
      </c>
      <c r="O36" s="21">
        <f t="shared" si="76"/>
        <v>-3</v>
      </c>
      <c r="P36" s="22">
        <v>-3</v>
      </c>
      <c r="Q36" s="7">
        <f t="shared" si="77"/>
        <v>-180</v>
      </c>
      <c r="R36" s="23">
        <f t="shared" si="78"/>
        <v>-0.05</v>
      </c>
      <c r="S36" s="21">
        <f t="shared" si="79"/>
        <v>-3</v>
      </c>
      <c r="T36" s="111">
        <v>1.3</v>
      </c>
      <c r="U36" s="112">
        <f t="shared" si="65"/>
        <v>2.1666666666666667E-2</v>
      </c>
      <c r="V36" s="14">
        <v>0</v>
      </c>
      <c r="W36" s="21">
        <f t="shared" si="66"/>
        <v>0</v>
      </c>
      <c r="X36" s="14">
        <v>0</v>
      </c>
      <c r="Y36" s="113">
        <f t="shared" si="67"/>
        <v>0</v>
      </c>
      <c r="Z36" s="39">
        <v>0.01</v>
      </c>
      <c r="AA36" s="39">
        <v>-0.1</v>
      </c>
    </row>
    <row r="37" spans="2:27" x14ac:dyDescent="0.25">
      <c r="B37" s="82">
        <v>32</v>
      </c>
      <c r="C37" s="88" t="s">
        <v>236</v>
      </c>
      <c r="D37" s="66" t="s">
        <v>79</v>
      </c>
      <c r="E37" s="103" t="s">
        <v>156</v>
      </c>
      <c r="F37" s="14">
        <f t="shared" ref="F37" si="80">30*25%</f>
        <v>7.5</v>
      </c>
      <c r="G37" s="63">
        <f t="shared" si="62"/>
        <v>0.125</v>
      </c>
      <c r="H37" s="59">
        <v>1.25</v>
      </c>
      <c r="I37" s="56">
        <f t="shared" si="63"/>
        <v>2.0833333333333332E-2</v>
      </c>
      <c r="J37" s="63">
        <v>0.35</v>
      </c>
      <c r="K37" s="21">
        <f t="shared" si="64"/>
        <v>5.8333333333333327E-3</v>
      </c>
      <c r="L37" s="14">
        <v>-3.5</v>
      </c>
      <c r="M37" s="7">
        <f t="shared" si="74"/>
        <v>-210</v>
      </c>
      <c r="N37" s="23">
        <f t="shared" si="75"/>
        <v>-5.8333333333333334E-2</v>
      </c>
      <c r="O37" s="21">
        <f t="shared" si="76"/>
        <v>-3.5</v>
      </c>
      <c r="P37" s="22">
        <v>-3.5</v>
      </c>
      <c r="Q37" s="7">
        <f t="shared" si="77"/>
        <v>-210</v>
      </c>
      <c r="R37" s="23">
        <f t="shared" si="78"/>
        <v>-5.8333333333333334E-2</v>
      </c>
      <c r="S37" s="21">
        <f t="shared" si="79"/>
        <v>-3.5</v>
      </c>
      <c r="T37" s="111">
        <v>1.3</v>
      </c>
      <c r="U37" s="112">
        <f t="shared" si="65"/>
        <v>2.1666666666666667E-2</v>
      </c>
      <c r="V37" s="14">
        <v>1.03</v>
      </c>
      <c r="W37" s="21">
        <f t="shared" si="66"/>
        <v>1.7166666666666667E-2</v>
      </c>
      <c r="X37" s="14">
        <v>-0.3</v>
      </c>
      <c r="Y37" s="113">
        <f t="shared" si="67"/>
        <v>-5.0000000000000001E-3</v>
      </c>
      <c r="Z37" s="39">
        <v>7.0000000000000001E-3</v>
      </c>
      <c r="AA37" s="39">
        <v>-0.2</v>
      </c>
    </row>
    <row r="38" spans="2:27" ht="30" x14ac:dyDescent="0.25">
      <c r="B38" s="82">
        <v>33</v>
      </c>
      <c r="C38" s="69" t="s">
        <v>193</v>
      </c>
      <c r="D38" s="66" t="s">
        <v>81</v>
      </c>
      <c r="E38" s="103" t="s">
        <v>157</v>
      </c>
      <c r="F38" s="14">
        <f>30*50%</f>
        <v>15</v>
      </c>
      <c r="G38" s="63">
        <f t="shared" si="62"/>
        <v>0.25</v>
      </c>
      <c r="H38" s="59">
        <v>1.5</v>
      </c>
      <c r="I38" s="56">
        <f t="shared" si="63"/>
        <v>2.5000000000000001E-2</v>
      </c>
      <c r="J38" s="63">
        <v>0.3</v>
      </c>
      <c r="K38" s="21">
        <f t="shared" si="64"/>
        <v>5.0000000000000001E-3</v>
      </c>
      <c r="L38" s="14">
        <v>-2.5</v>
      </c>
      <c r="M38" s="7">
        <f t="shared" si="74"/>
        <v>-150</v>
      </c>
      <c r="N38" s="23">
        <f t="shared" si="75"/>
        <v>-4.1666666666666664E-2</v>
      </c>
      <c r="O38" s="21">
        <f t="shared" si="76"/>
        <v>-2.5</v>
      </c>
      <c r="P38" s="22">
        <v>-2.5</v>
      </c>
      <c r="Q38" s="7">
        <f t="shared" si="77"/>
        <v>-150</v>
      </c>
      <c r="R38" s="23">
        <f t="shared" si="78"/>
        <v>-4.1666666666666664E-2</v>
      </c>
      <c r="S38" s="21">
        <f t="shared" si="79"/>
        <v>-2.5</v>
      </c>
      <c r="T38" s="111">
        <v>1.7</v>
      </c>
      <c r="U38" s="112">
        <f t="shared" si="65"/>
        <v>2.8333333333333332E-2</v>
      </c>
      <c r="V38" s="14">
        <v>1.05</v>
      </c>
      <c r="W38" s="21">
        <f t="shared" si="66"/>
        <v>1.7500000000000002E-2</v>
      </c>
      <c r="X38" s="14">
        <v>0.5</v>
      </c>
      <c r="Y38" s="113">
        <f t="shared" si="67"/>
        <v>8.3333333333333332E-3</v>
      </c>
      <c r="Z38" s="39">
        <v>3.0000000000000001E-3</v>
      </c>
      <c r="AA38" s="39">
        <v>-0.6</v>
      </c>
    </row>
    <row r="39" spans="2:27" x14ac:dyDescent="0.25">
      <c r="B39" s="82">
        <v>34</v>
      </c>
      <c r="C39" s="108" t="s">
        <v>208</v>
      </c>
      <c r="D39" s="89" t="s">
        <v>237</v>
      </c>
      <c r="E39" s="90" t="s">
        <v>238</v>
      </c>
      <c r="F39" s="91">
        <v>30</v>
      </c>
      <c r="G39" s="92">
        <f t="shared" si="62"/>
        <v>0.5</v>
      </c>
      <c r="H39" s="93">
        <v>1</v>
      </c>
      <c r="I39" s="94">
        <f t="shared" si="63"/>
        <v>1.6666666666666666E-2</v>
      </c>
      <c r="J39" s="92">
        <v>0.1</v>
      </c>
      <c r="K39" s="95">
        <f t="shared" si="64"/>
        <v>1.6666666666666668E-3</v>
      </c>
      <c r="L39" s="91">
        <v>-1</v>
      </c>
      <c r="M39" s="96">
        <f t="shared" si="74"/>
        <v>-60</v>
      </c>
      <c r="N39" s="97">
        <f t="shared" si="75"/>
        <v>-1.6666666666666666E-2</v>
      </c>
      <c r="O39" s="95">
        <f t="shared" si="76"/>
        <v>-1</v>
      </c>
      <c r="P39" s="98">
        <v>-1</v>
      </c>
      <c r="Q39" s="96">
        <f t="shared" si="77"/>
        <v>-60</v>
      </c>
      <c r="R39" s="97">
        <f t="shared" si="78"/>
        <v>-1.6666666666666666E-2</v>
      </c>
      <c r="S39" s="95">
        <f t="shared" si="79"/>
        <v>-1</v>
      </c>
      <c r="T39" s="99">
        <v>0</v>
      </c>
      <c r="U39" s="100">
        <f t="shared" si="65"/>
        <v>0</v>
      </c>
      <c r="V39" s="91">
        <v>0</v>
      </c>
      <c r="W39" s="95">
        <f t="shared" si="66"/>
        <v>0</v>
      </c>
      <c r="X39" s="91">
        <v>0</v>
      </c>
      <c r="Y39" s="101">
        <f t="shared" si="67"/>
        <v>0</v>
      </c>
      <c r="Z39" s="102">
        <v>3.0000000000000001E-3</v>
      </c>
      <c r="AA39" s="102">
        <v>-1</v>
      </c>
    </row>
    <row r="40" spans="2:27" x14ac:dyDescent="0.25">
      <c r="B40" s="82">
        <v>35</v>
      </c>
      <c r="C40" s="108" t="s">
        <v>239</v>
      </c>
      <c r="D40" s="89" t="s">
        <v>229</v>
      </c>
      <c r="E40" s="107" t="s">
        <v>230</v>
      </c>
      <c r="F40" s="91">
        <v>30</v>
      </c>
      <c r="G40" s="92">
        <f t="shared" si="62"/>
        <v>0.5</v>
      </c>
      <c r="H40" s="93">
        <v>1</v>
      </c>
      <c r="I40" s="94">
        <f t="shared" si="63"/>
        <v>1.6666666666666666E-2</v>
      </c>
      <c r="J40" s="92">
        <v>0.1</v>
      </c>
      <c r="K40" s="95">
        <f t="shared" si="64"/>
        <v>1.6666666666666668E-3</v>
      </c>
      <c r="L40" s="91">
        <v>-1</v>
      </c>
      <c r="M40" s="96">
        <f t="shared" si="74"/>
        <v>-60</v>
      </c>
      <c r="N40" s="97">
        <f t="shared" si="75"/>
        <v>-1.6666666666666666E-2</v>
      </c>
      <c r="O40" s="95">
        <f t="shared" si="76"/>
        <v>-1</v>
      </c>
      <c r="P40" s="98">
        <v>-1</v>
      </c>
      <c r="Q40" s="96">
        <f t="shared" si="77"/>
        <v>-60</v>
      </c>
      <c r="R40" s="97">
        <f t="shared" si="78"/>
        <v>-1.6666666666666666E-2</v>
      </c>
      <c r="S40" s="95">
        <f t="shared" si="79"/>
        <v>-1</v>
      </c>
      <c r="T40" s="99">
        <v>0</v>
      </c>
      <c r="U40" s="100">
        <f t="shared" si="65"/>
        <v>0</v>
      </c>
      <c r="V40" s="91">
        <v>0</v>
      </c>
      <c r="W40" s="95">
        <f t="shared" si="66"/>
        <v>0</v>
      </c>
      <c r="X40" s="91">
        <v>0</v>
      </c>
      <c r="Y40" s="101">
        <f t="shared" si="67"/>
        <v>0</v>
      </c>
      <c r="Z40" s="102">
        <v>3.0000000000000001E-3</v>
      </c>
      <c r="AA40" s="102">
        <v>-1</v>
      </c>
    </row>
    <row r="41" spans="2:27" x14ac:dyDescent="0.25">
      <c r="B41" s="82">
        <v>36</v>
      </c>
      <c r="C41" s="108" t="s">
        <v>231</v>
      </c>
      <c r="D41" s="89" t="s">
        <v>245</v>
      </c>
      <c r="E41" s="90" t="s">
        <v>246</v>
      </c>
      <c r="F41" s="91">
        <v>30</v>
      </c>
      <c r="G41" s="92">
        <f t="shared" si="62"/>
        <v>0.5</v>
      </c>
      <c r="H41" s="93">
        <v>1</v>
      </c>
      <c r="I41" s="94">
        <f t="shared" si="63"/>
        <v>1.6666666666666666E-2</v>
      </c>
      <c r="J41" s="92">
        <v>0.1</v>
      </c>
      <c r="K41" s="95">
        <f t="shared" si="64"/>
        <v>1.6666666666666668E-3</v>
      </c>
      <c r="L41" s="91">
        <v>-1</v>
      </c>
      <c r="M41" s="96">
        <f t="shared" si="74"/>
        <v>-60</v>
      </c>
      <c r="N41" s="97">
        <f t="shared" si="75"/>
        <v>-1.6666666666666666E-2</v>
      </c>
      <c r="O41" s="95">
        <f t="shared" si="76"/>
        <v>-1</v>
      </c>
      <c r="P41" s="98">
        <v>-1</v>
      </c>
      <c r="Q41" s="96">
        <f t="shared" si="77"/>
        <v>-60</v>
      </c>
      <c r="R41" s="97">
        <f t="shared" si="78"/>
        <v>-1.6666666666666666E-2</v>
      </c>
      <c r="S41" s="95">
        <f t="shared" si="79"/>
        <v>-1</v>
      </c>
      <c r="T41" s="99">
        <v>0</v>
      </c>
      <c r="U41" s="100">
        <f t="shared" si="65"/>
        <v>0</v>
      </c>
      <c r="V41" s="91">
        <v>0</v>
      </c>
      <c r="W41" s="95">
        <f t="shared" si="66"/>
        <v>0</v>
      </c>
      <c r="X41" s="91">
        <v>0</v>
      </c>
      <c r="Y41" s="101">
        <f t="shared" si="67"/>
        <v>0</v>
      </c>
      <c r="Z41" s="102">
        <v>3.0000000000000001E-3</v>
      </c>
      <c r="AA41" s="102">
        <v>-1</v>
      </c>
    </row>
    <row r="42" spans="2:27" x14ac:dyDescent="0.25">
      <c r="B42" s="82">
        <v>37</v>
      </c>
      <c r="C42" s="108" t="s">
        <v>240</v>
      </c>
      <c r="D42" s="66" t="s">
        <v>83</v>
      </c>
      <c r="E42" s="103" t="s">
        <v>158</v>
      </c>
      <c r="F42" s="14">
        <f>30*50%</f>
        <v>15</v>
      </c>
      <c r="G42" s="63">
        <f t="shared" si="62"/>
        <v>0.25</v>
      </c>
      <c r="H42" s="59">
        <v>1.5</v>
      </c>
      <c r="I42" s="56">
        <f t="shared" si="63"/>
        <v>2.5000000000000001E-2</v>
      </c>
      <c r="J42" s="63">
        <v>0.4</v>
      </c>
      <c r="K42" s="21">
        <f t="shared" si="64"/>
        <v>6.6666666666666671E-3</v>
      </c>
      <c r="L42" s="14">
        <v>-2.5</v>
      </c>
      <c r="M42" s="7">
        <f t="shared" si="74"/>
        <v>-150</v>
      </c>
      <c r="N42" s="23">
        <f t="shared" si="75"/>
        <v>-4.1666666666666664E-2</v>
      </c>
      <c r="O42" s="21">
        <f t="shared" si="76"/>
        <v>-2.5</v>
      </c>
      <c r="P42" s="22">
        <v>-2.5</v>
      </c>
      <c r="Q42" s="7">
        <f t="shared" si="77"/>
        <v>-150</v>
      </c>
      <c r="R42" s="23">
        <f t="shared" si="78"/>
        <v>-4.1666666666666664E-2</v>
      </c>
      <c r="S42" s="21">
        <f t="shared" si="79"/>
        <v>-2.5</v>
      </c>
      <c r="T42" s="111">
        <v>1.5</v>
      </c>
      <c r="U42" s="112">
        <f t="shared" si="65"/>
        <v>2.5000000000000001E-2</v>
      </c>
      <c r="V42" s="14">
        <v>1.1000000000000001</v>
      </c>
      <c r="W42" s="21">
        <f t="shared" si="66"/>
        <v>1.8333333333333333E-2</v>
      </c>
      <c r="X42" s="14">
        <v>-0.1</v>
      </c>
      <c r="Y42" s="113">
        <f t="shared" si="67"/>
        <v>-1.6666666666666668E-3</v>
      </c>
      <c r="Z42" s="39">
        <v>5.0000000000000001E-3</v>
      </c>
      <c r="AA42" s="39">
        <v>-0.1</v>
      </c>
    </row>
    <row r="43" spans="2:27" x14ac:dyDescent="0.25">
      <c r="B43" s="82">
        <v>38</v>
      </c>
      <c r="C43" s="71" t="s">
        <v>42</v>
      </c>
      <c r="D43" s="66" t="s">
        <v>84</v>
      </c>
      <c r="E43" s="103" t="s">
        <v>159</v>
      </c>
      <c r="F43" s="14">
        <f>30*50%</f>
        <v>15</v>
      </c>
      <c r="G43" s="63">
        <f t="shared" si="62"/>
        <v>0.25</v>
      </c>
      <c r="H43" s="59">
        <v>1.5</v>
      </c>
      <c r="I43" s="56">
        <f t="shared" si="63"/>
        <v>2.5000000000000001E-2</v>
      </c>
      <c r="J43" s="63">
        <v>0.1</v>
      </c>
      <c r="K43" s="21">
        <f t="shared" si="64"/>
        <v>1.6666666666666668E-3</v>
      </c>
      <c r="L43" s="14">
        <v>-2.5</v>
      </c>
      <c r="M43" s="7">
        <f t="shared" si="74"/>
        <v>-150</v>
      </c>
      <c r="N43" s="23">
        <f t="shared" si="75"/>
        <v>-4.1666666666666664E-2</v>
      </c>
      <c r="O43" s="21">
        <f t="shared" si="76"/>
        <v>-2.5</v>
      </c>
      <c r="P43" s="22">
        <v>-2.5</v>
      </c>
      <c r="Q43" s="7">
        <f t="shared" si="77"/>
        <v>-150</v>
      </c>
      <c r="R43" s="23">
        <f t="shared" si="78"/>
        <v>-4.1666666666666664E-2</v>
      </c>
      <c r="S43" s="21">
        <f t="shared" si="79"/>
        <v>-2.5</v>
      </c>
      <c r="T43" s="111">
        <v>1.3</v>
      </c>
      <c r="U43" s="112">
        <f t="shared" si="65"/>
        <v>2.1666666666666667E-2</v>
      </c>
      <c r="V43" s="14">
        <v>1.1000000000000001</v>
      </c>
      <c r="W43" s="21">
        <f t="shared" si="66"/>
        <v>1.8333333333333333E-2</v>
      </c>
      <c r="X43" s="14">
        <v>0.1</v>
      </c>
      <c r="Y43" s="113">
        <f t="shared" si="67"/>
        <v>1.6666666666666668E-3</v>
      </c>
      <c r="Z43" s="39">
        <v>5.0000000000000001E-3</v>
      </c>
      <c r="AA43" s="39">
        <v>-0.1</v>
      </c>
    </row>
    <row r="44" spans="2:27" x14ac:dyDescent="0.25">
      <c r="B44" s="82">
        <v>39</v>
      </c>
      <c r="C44" s="104" t="s">
        <v>241</v>
      </c>
      <c r="D44" s="89" t="s">
        <v>242</v>
      </c>
      <c r="E44" s="90" t="s">
        <v>243</v>
      </c>
      <c r="F44" s="91">
        <v>30</v>
      </c>
      <c r="G44" s="92">
        <f t="shared" si="62"/>
        <v>0.5</v>
      </c>
      <c r="H44" s="93">
        <v>1</v>
      </c>
      <c r="I44" s="94">
        <f t="shared" si="63"/>
        <v>1.6666666666666666E-2</v>
      </c>
      <c r="J44" s="92">
        <v>0.1</v>
      </c>
      <c r="K44" s="95">
        <f t="shared" si="64"/>
        <v>1.6666666666666668E-3</v>
      </c>
      <c r="L44" s="91">
        <v>-1</v>
      </c>
      <c r="M44" s="96">
        <f t="shared" si="74"/>
        <v>-60</v>
      </c>
      <c r="N44" s="97">
        <f t="shared" si="75"/>
        <v>-1.6666666666666666E-2</v>
      </c>
      <c r="O44" s="95">
        <f t="shared" si="76"/>
        <v>-1</v>
      </c>
      <c r="P44" s="98">
        <v>-1</v>
      </c>
      <c r="Q44" s="96">
        <f t="shared" si="77"/>
        <v>-60</v>
      </c>
      <c r="R44" s="97">
        <f t="shared" si="78"/>
        <v>-1.6666666666666666E-2</v>
      </c>
      <c r="S44" s="95">
        <f t="shared" si="79"/>
        <v>-1</v>
      </c>
      <c r="T44" s="99">
        <v>0</v>
      </c>
      <c r="U44" s="100">
        <f t="shared" si="65"/>
        <v>0</v>
      </c>
      <c r="V44" s="91">
        <v>0</v>
      </c>
      <c r="W44" s="95">
        <f t="shared" si="66"/>
        <v>0</v>
      </c>
      <c r="X44" s="91">
        <v>0</v>
      </c>
      <c r="Y44" s="101">
        <f t="shared" si="67"/>
        <v>0</v>
      </c>
      <c r="Z44" s="102">
        <v>3.0000000000000001E-3</v>
      </c>
      <c r="AA44" s="102">
        <v>-1</v>
      </c>
    </row>
    <row r="45" spans="2:27" x14ac:dyDescent="0.25">
      <c r="B45" s="82">
        <v>40</v>
      </c>
      <c r="C45" s="104" t="s">
        <v>244</v>
      </c>
      <c r="D45" s="89" t="s">
        <v>229</v>
      </c>
      <c r="E45" s="90" t="s">
        <v>230</v>
      </c>
      <c r="F45" s="91">
        <v>30</v>
      </c>
      <c r="G45" s="92">
        <f t="shared" si="62"/>
        <v>0.5</v>
      </c>
      <c r="H45" s="93">
        <v>1</v>
      </c>
      <c r="I45" s="94">
        <f t="shared" si="63"/>
        <v>1.6666666666666666E-2</v>
      </c>
      <c r="J45" s="92">
        <v>0.1</v>
      </c>
      <c r="K45" s="95">
        <f t="shared" si="64"/>
        <v>1.6666666666666668E-3</v>
      </c>
      <c r="L45" s="91">
        <v>-1</v>
      </c>
      <c r="M45" s="96">
        <f t="shared" si="74"/>
        <v>-60</v>
      </c>
      <c r="N45" s="97">
        <f t="shared" si="75"/>
        <v>-1.6666666666666666E-2</v>
      </c>
      <c r="O45" s="95">
        <f t="shared" si="76"/>
        <v>-1</v>
      </c>
      <c r="P45" s="98">
        <v>-1</v>
      </c>
      <c r="Q45" s="96">
        <f t="shared" si="77"/>
        <v>-60</v>
      </c>
      <c r="R45" s="97">
        <f t="shared" si="78"/>
        <v>-1.6666666666666666E-2</v>
      </c>
      <c r="S45" s="95">
        <f t="shared" si="79"/>
        <v>-1</v>
      </c>
      <c r="T45" s="99">
        <v>0</v>
      </c>
      <c r="U45" s="100">
        <f t="shared" si="65"/>
        <v>0</v>
      </c>
      <c r="V45" s="91">
        <v>0</v>
      </c>
      <c r="W45" s="95">
        <f t="shared" si="66"/>
        <v>0</v>
      </c>
      <c r="X45" s="91">
        <v>0</v>
      </c>
      <c r="Y45" s="101">
        <f t="shared" si="67"/>
        <v>0</v>
      </c>
      <c r="Z45" s="102">
        <v>3.0000000000000001E-3</v>
      </c>
      <c r="AA45" s="102">
        <v>-1</v>
      </c>
    </row>
    <row r="46" spans="2:27" x14ac:dyDescent="0.25">
      <c r="B46" s="82">
        <v>41</v>
      </c>
      <c r="C46" s="108" t="s">
        <v>231</v>
      </c>
      <c r="D46" s="89" t="s">
        <v>245</v>
      </c>
      <c r="E46" s="90" t="s">
        <v>246</v>
      </c>
      <c r="F46" s="91">
        <v>30</v>
      </c>
      <c r="G46" s="92">
        <f t="shared" si="62"/>
        <v>0.5</v>
      </c>
      <c r="H46" s="93">
        <v>1</v>
      </c>
      <c r="I46" s="94">
        <f t="shared" si="63"/>
        <v>1.6666666666666666E-2</v>
      </c>
      <c r="J46" s="92">
        <v>0.1</v>
      </c>
      <c r="K46" s="95">
        <f t="shared" si="64"/>
        <v>1.6666666666666668E-3</v>
      </c>
      <c r="L46" s="91">
        <v>-1</v>
      </c>
      <c r="M46" s="96">
        <f t="shared" si="74"/>
        <v>-60</v>
      </c>
      <c r="N46" s="97">
        <f t="shared" si="75"/>
        <v>-1.6666666666666666E-2</v>
      </c>
      <c r="O46" s="95">
        <f t="shared" si="76"/>
        <v>-1</v>
      </c>
      <c r="P46" s="98">
        <v>-1</v>
      </c>
      <c r="Q46" s="96">
        <f t="shared" si="77"/>
        <v>-60</v>
      </c>
      <c r="R46" s="97">
        <f t="shared" si="78"/>
        <v>-1.6666666666666666E-2</v>
      </c>
      <c r="S46" s="95">
        <f t="shared" si="79"/>
        <v>-1</v>
      </c>
      <c r="T46" s="99">
        <v>0</v>
      </c>
      <c r="U46" s="100">
        <f t="shared" si="65"/>
        <v>0</v>
      </c>
      <c r="V46" s="91">
        <v>0</v>
      </c>
      <c r="W46" s="95">
        <f t="shared" si="66"/>
        <v>0</v>
      </c>
      <c r="X46" s="91">
        <v>0</v>
      </c>
      <c r="Y46" s="101">
        <f t="shared" si="67"/>
        <v>0</v>
      </c>
      <c r="Z46" s="102">
        <v>3.0000000000000001E-3</v>
      </c>
      <c r="AA46" s="102">
        <v>-1</v>
      </c>
    </row>
    <row r="47" spans="2:27" ht="30" x14ac:dyDescent="0.25">
      <c r="B47" s="82">
        <v>42</v>
      </c>
      <c r="C47" s="108" t="s">
        <v>247</v>
      </c>
      <c r="D47" s="89" t="s">
        <v>248</v>
      </c>
      <c r="E47" s="90" t="s">
        <v>249</v>
      </c>
      <c r="F47" s="91">
        <v>30</v>
      </c>
      <c r="G47" s="92">
        <f t="shared" si="62"/>
        <v>0.5</v>
      </c>
      <c r="H47" s="93">
        <v>1</v>
      </c>
      <c r="I47" s="94">
        <f t="shared" si="63"/>
        <v>1.6666666666666666E-2</v>
      </c>
      <c r="J47" s="92">
        <v>0.1</v>
      </c>
      <c r="K47" s="95">
        <f t="shared" si="64"/>
        <v>1.6666666666666668E-3</v>
      </c>
      <c r="L47" s="91">
        <v>-1</v>
      </c>
      <c r="M47" s="96">
        <f t="shared" si="74"/>
        <v>-60</v>
      </c>
      <c r="N47" s="97">
        <f t="shared" si="75"/>
        <v>-1.6666666666666666E-2</v>
      </c>
      <c r="O47" s="95">
        <f t="shared" si="76"/>
        <v>-1</v>
      </c>
      <c r="P47" s="98">
        <v>-1</v>
      </c>
      <c r="Q47" s="96">
        <f t="shared" si="77"/>
        <v>-60</v>
      </c>
      <c r="R47" s="97">
        <f t="shared" si="78"/>
        <v>-1.6666666666666666E-2</v>
      </c>
      <c r="S47" s="95">
        <f t="shared" si="79"/>
        <v>-1</v>
      </c>
      <c r="T47" s="99">
        <v>0</v>
      </c>
      <c r="U47" s="100">
        <f t="shared" si="65"/>
        <v>0</v>
      </c>
      <c r="V47" s="91">
        <v>0</v>
      </c>
      <c r="W47" s="95">
        <f t="shared" si="66"/>
        <v>0</v>
      </c>
      <c r="X47" s="91">
        <v>0</v>
      </c>
      <c r="Y47" s="101">
        <f t="shared" si="67"/>
        <v>0</v>
      </c>
      <c r="Z47" s="102">
        <v>3.0000000000000001E-3</v>
      </c>
      <c r="AA47" s="102">
        <v>-1</v>
      </c>
    </row>
    <row r="48" spans="2:27" x14ac:dyDescent="0.25">
      <c r="B48" s="82">
        <v>43</v>
      </c>
      <c r="C48" s="108" t="s">
        <v>250</v>
      </c>
      <c r="D48" s="66" t="s">
        <v>85</v>
      </c>
      <c r="E48" s="103" t="s">
        <v>160</v>
      </c>
      <c r="F48" s="14">
        <f t="shared" ref="F48" si="81">30*50%</f>
        <v>15</v>
      </c>
      <c r="G48" s="63">
        <f t="shared" si="62"/>
        <v>0.25</v>
      </c>
      <c r="H48" s="59">
        <v>1.5</v>
      </c>
      <c r="I48" s="56">
        <f t="shared" si="63"/>
        <v>2.5000000000000001E-2</v>
      </c>
      <c r="J48" s="63">
        <v>0.1</v>
      </c>
      <c r="K48" s="21">
        <f t="shared" si="64"/>
        <v>1.6666666666666668E-3</v>
      </c>
      <c r="L48" s="14">
        <v>-2.5</v>
      </c>
      <c r="M48" s="7">
        <f t="shared" si="74"/>
        <v>-150</v>
      </c>
      <c r="N48" s="23">
        <f t="shared" si="75"/>
        <v>-4.1666666666666664E-2</v>
      </c>
      <c r="O48" s="21">
        <f t="shared" si="76"/>
        <v>-2.5</v>
      </c>
      <c r="P48" s="22">
        <v>-2.5</v>
      </c>
      <c r="Q48" s="7">
        <f t="shared" si="77"/>
        <v>-150</v>
      </c>
      <c r="R48" s="23">
        <f t="shared" si="78"/>
        <v>-4.1666666666666664E-2</v>
      </c>
      <c r="S48" s="21">
        <f t="shared" si="79"/>
        <v>-2.5</v>
      </c>
      <c r="T48" s="111">
        <v>1.3</v>
      </c>
      <c r="U48" s="112">
        <f t="shared" si="65"/>
        <v>2.1666666666666667E-2</v>
      </c>
      <c r="V48" s="14">
        <v>1.1000000000000001</v>
      </c>
      <c r="W48" s="21">
        <f t="shared" si="66"/>
        <v>1.8333333333333333E-2</v>
      </c>
      <c r="X48" s="14">
        <v>0.1</v>
      </c>
      <c r="Y48" s="113">
        <f t="shared" si="67"/>
        <v>1.6666666666666668E-3</v>
      </c>
      <c r="Z48" s="39">
        <v>5.0000000000000001E-3</v>
      </c>
      <c r="AA48" s="39">
        <v>-0.8</v>
      </c>
    </row>
    <row r="49" spans="2:27" x14ac:dyDescent="0.25">
      <c r="B49" s="82">
        <v>44</v>
      </c>
      <c r="C49" s="69" t="s">
        <v>44</v>
      </c>
      <c r="D49" s="66" t="s">
        <v>86</v>
      </c>
      <c r="E49" s="103" t="s">
        <v>191</v>
      </c>
      <c r="F49" s="14">
        <f>30*50%</f>
        <v>15</v>
      </c>
      <c r="G49" s="63">
        <f t="shared" si="62"/>
        <v>0.25</v>
      </c>
      <c r="H49" s="59">
        <v>1.5</v>
      </c>
      <c r="I49" s="56">
        <f t="shared" si="63"/>
        <v>2.5000000000000001E-2</v>
      </c>
      <c r="J49" s="63">
        <v>1</v>
      </c>
      <c r="K49" s="21">
        <f t="shared" si="64"/>
        <v>1.6666666666666666E-2</v>
      </c>
      <c r="L49" s="14">
        <v>-2.2999999999999998</v>
      </c>
      <c r="M49" s="7">
        <f t="shared" si="74"/>
        <v>-138</v>
      </c>
      <c r="N49" s="23">
        <f t="shared" si="75"/>
        <v>-3.833333333333333E-2</v>
      </c>
      <c r="O49" s="21">
        <f t="shared" si="76"/>
        <v>-2.2999999999999998</v>
      </c>
      <c r="P49" s="22">
        <v>-2.2999999999999998</v>
      </c>
      <c r="Q49" s="7">
        <f t="shared" si="77"/>
        <v>-138</v>
      </c>
      <c r="R49" s="23">
        <f t="shared" si="78"/>
        <v>-3.833333333333333E-2</v>
      </c>
      <c r="S49" s="21">
        <f t="shared" si="79"/>
        <v>-2.2999999999999998</v>
      </c>
      <c r="T49" s="111">
        <v>0</v>
      </c>
      <c r="U49" s="112">
        <f t="shared" si="65"/>
        <v>0</v>
      </c>
      <c r="V49" s="14">
        <v>1</v>
      </c>
      <c r="W49" s="21">
        <f t="shared" si="66"/>
        <v>1.6666666666666666E-2</v>
      </c>
      <c r="X49" s="14">
        <v>0.6</v>
      </c>
      <c r="Y49" s="113">
        <f t="shared" si="67"/>
        <v>0.01</v>
      </c>
      <c r="Z49" s="39">
        <v>3.0000000000000001E-3</v>
      </c>
      <c r="AA49" s="39">
        <v>-1</v>
      </c>
    </row>
    <row r="50" spans="2:27" ht="30" x14ac:dyDescent="0.25">
      <c r="B50" s="82">
        <v>45</v>
      </c>
      <c r="C50" s="69" t="s">
        <v>42</v>
      </c>
      <c r="D50" s="66" t="s">
        <v>87</v>
      </c>
      <c r="E50" s="103" t="s">
        <v>25</v>
      </c>
      <c r="F50" s="14">
        <f>30*75%</f>
        <v>22.5</v>
      </c>
      <c r="G50" s="63">
        <f t="shared" si="62"/>
        <v>0.375</v>
      </c>
      <c r="H50" s="59">
        <v>1.75</v>
      </c>
      <c r="I50" s="56">
        <f t="shared" si="63"/>
        <v>2.9166666666666667E-2</v>
      </c>
      <c r="J50" s="63">
        <v>1</v>
      </c>
      <c r="K50" s="21">
        <f t="shared" si="64"/>
        <v>1.6666666666666666E-2</v>
      </c>
      <c r="L50" s="14">
        <v>-1.5</v>
      </c>
      <c r="M50" s="7">
        <f t="shared" si="74"/>
        <v>-90</v>
      </c>
      <c r="N50" s="23">
        <f t="shared" si="75"/>
        <v>-2.5000000000000001E-2</v>
      </c>
      <c r="O50" s="21">
        <f t="shared" si="76"/>
        <v>-1.5</v>
      </c>
      <c r="P50" s="22">
        <v>-1.5</v>
      </c>
      <c r="Q50" s="7">
        <f t="shared" si="77"/>
        <v>-90</v>
      </c>
      <c r="R50" s="23">
        <f t="shared" si="78"/>
        <v>-2.5000000000000001E-2</v>
      </c>
      <c r="S50" s="21">
        <f t="shared" si="79"/>
        <v>-1.5</v>
      </c>
      <c r="T50" s="111">
        <v>1</v>
      </c>
      <c r="U50" s="112">
        <f t="shared" si="65"/>
        <v>1.6666666666666666E-2</v>
      </c>
      <c r="V50" s="14">
        <v>1.25</v>
      </c>
      <c r="W50" s="21">
        <f t="shared" si="66"/>
        <v>2.0833333333333332E-2</v>
      </c>
      <c r="X50" s="14">
        <v>-0.75</v>
      </c>
      <c r="Y50" s="113">
        <f t="shared" si="67"/>
        <v>-1.2500000000000001E-2</v>
      </c>
      <c r="Z50" s="39">
        <v>0.1</v>
      </c>
      <c r="AA50" s="39">
        <v>-1</v>
      </c>
    </row>
    <row r="51" spans="2:27" x14ac:dyDescent="0.25">
      <c r="B51" s="82">
        <v>46</v>
      </c>
      <c r="C51" s="108" t="s">
        <v>42</v>
      </c>
      <c r="D51" s="89" t="s">
        <v>229</v>
      </c>
      <c r="E51" s="107" t="s">
        <v>230</v>
      </c>
      <c r="F51" s="91">
        <v>30</v>
      </c>
      <c r="G51" s="92">
        <f t="shared" si="62"/>
        <v>0.5</v>
      </c>
      <c r="H51" s="93">
        <v>1</v>
      </c>
      <c r="I51" s="94">
        <f t="shared" si="63"/>
        <v>1.6666666666666666E-2</v>
      </c>
      <c r="J51" s="92">
        <v>0.1</v>
      </c>
      <c r="K51" s="95">
        <f t="shared" si="64"/>
        <v>1.6666666666666668E-3</v>
      </c>
      <c r="L51" s="91">
        <v>-1</v>
      </c>
      <c r="M51" s="96">
        <f t="shared" si="74"/>
        <v>-60</v>
      </c>
      <c r="N51" s="97">
        <f t="shared" si="75"/>
        <v>-1.6666666666666666E-2</v>
      </c>
      <c r="O51" s="95">
        <f t="shared" si="76"/>
        <v>-1</v>
      </c>
      <c r="P51" s="98">
        <v>-1</v>
      </c>
      <c r="Q51" s="96">
        <f t="shared" si="77"/>
        <v>-60</v>
      </c>
      <c r="R51" s="97">
        <f t="shared" si="78"/>
        <v>-1.6666666666666666E-2</v>
      </c>
      <c r="S51" s="95">
        <f t="shared" si="79"/>
        <v>-1</v>
      </c>
      <c r="T51" s="99">
        <v>0</v>
      </c>
      <c r="U51" s="100">
        <f t="shared" si="65"/>
        <v>0</v>
      </c>
      <c r="V51" s="91">
        <v>0</v>
      </c>
      <c r="W51" s="95">
        <f t="shared" si="66"/>
        <v>0</v>
      </c>
      <c r="X51" s="91">
        <v>0</v>
      </c>
      <c r="Y51" s="101">
        <f t="shared" si="67"/>
        <v>0</v>
      </c>
      <c r="Z51" s="102">
        <v>3.0000000000000001E-3</v>
      </c>
      <c r="AA51" s="102">
        <v>-1</v>
      </c>
    </row>
    <row r="52" spans="2:27" ht="30" x14ac:dyDescent="0.25">
      <c r="B52" s="82">
        <v>47</v>
      </c>
      <c r="C52" s="108" t="s">
        <v>231</v>
      </c>
      <c r="D52" s="66" t="s">
        <v>88</v>
      </c>
      <c r="E52" s="103" t="s">
        <v>161</v>
      </c>
      <c r="F52" s="14">
        <f>30*50%</f>
        <v>15</v>
      </c>
      <c r="G52" s="63">
        <f t="shared" si="62"/>
        <v>0.25</v>
      </c>
      <c r="H52" s="59">
        <v>1.5</v>
      </c>
      <c r="I52" s="56">
        <f t="shared" si="63"/>
        <v>2.5000000000000001E-2</v>
      </c>
      <c r="J52" s="63">
        <v>0.1</v>
      </c>
      <c r="K52" s="21">
        <f t="shared" si="64"/>
        <v>1.6666666666666668E-3</v>
      </c>
      <c r="L52" s="14">
        <v>-2.5</v>
      </c>
      <c r="M52" s="7">
        <f t="shared" si="74"/>
        <v>-150</v>
      </c>
      <c r="N52" s="23">
        <f t="shared" si="75"/>
        <v>-4.1666666666666664E-2</v>
      </c>
      <c r="O52" s="21">
        <f t="shared" si="76"/>
        <v>-2.5</v>
      </c>
      <c r="P52" s="22">
        <v>-2.5</v>
      </c>
      <c r="Q52" s="7">
        <f t="shared" si="77"/>
        <v>-150</v>
      </c>
      <c r="R52" s="23">
        <f t="shared" si="78"/>
        <v>-4.1666666666666664E-2</v>
      </c>
      <c r="S52" s="21">
        <f t="shared" si="79"/>
        <v>-2.5</v>
      </c>
      <c r="T52" s="111">
        <v>1</v>
      </c>
      <c r="U52" s="112">
        <f t="shared" si="65"/>
        <v>1.6666666666666666E-2</v>
      </c>
      <c r="V52" s="14">
        <v>1</v>
      </c>
      <c r="W52" s="21">
        <f t="shared" si="66"/>
        <v>1.6666666666666666E-2</v>
      </c>
      <c r="X52" s="14">
        <v>0.6</v>
      </c>
      <c r="Y52" s="113">
        <f t="shared" si="67"/>
        <v>0.01</v>
      </c>
      <c r="Z52" s="39">
        <v>5.0000000000000001E-3</v>
      </c>
      <c r="AA52" s="39">
        <v>-0.1</v>
      </c>
    </row>
    <row r="53" spans="2:27" ht="30" x14ac:dyDescent="0.25">
      <c r="B53" s="82">
        <v>48</v>
      </c>
      <c r="C53" s="71" t="s">
        <v>44</v>
      </c>
      <c r="D53" s="66" t="s">
        <v>89</v>
      </c>
      <c r="E53" s="103" t="s">
        <v>162</v>
      </c>
      <c r="F53" s="14">
        <f>30*50%</f>
        <v>15</v>
      </c>
      <c r="G53" s="63">
        <f t="shared" si="62"/>
        <v>0.25</v>
      </c>
      <c r="H53" s="59">
        <v>1.5</v>
      </c>
      <c r="I53" s="56">
        <f t="shared" si="63"/>
        <v>2.5000000000000001E-2</v>
      </c>
      <c r="J53" s="63">
        <v>1</v>
      </c>
      <c r="K53" s="21">
        <f t="shared" si="64"/>
        <v>1.6666666666666666E-2</v>
      </c>
      <c r="L53" s="14">
        <v>-2.2999999999999998</v>
      </c>
      <c r="M53" s="7">
        <f t="shared" si="74"/>
        <v>-138</v>
      </c>
      <c r="N53" s="23">
        <f t="shared" si="75"/>
        <v>-3.833333333333333E-2</v>
      </c>
      <c r="O53" s="21">
        <f t="shared" si="76"/>
        <v>-2.2999999999999998</v>
      </c>
      <c r="P53" s="22">
        <v>-2.2999999999999998</v>
      </c>
      <c r="Q53" s="7">
        <f t="shared" si="77"/>
        <v>-138</v>
      </c>
      <c r="R53" s="23">
        <f t="shared" si="78"/>
        <v>-3.833333333333333E-2</v>
      </c>
      <c r="S53" s="21">
        <f t="shared" si="79"/>
        <v>-2.2999999999999998</v>
      </c>
      <c r="T53" s="111">
        <v>0</v>
      </c>
      <c r="U53" s="112">
        <f t="shared" si="65"/>
        <v>0</v>
      </c>
      <c r="V53" s="14">
        <v>1.2</v>
      </c>
      <c r="W53" s="21">
        <f t="shared" si="66"/>
        <v>0.02</v>
      </c>
      <c r="X53" s="14">
        <v>0.2</v>
      </c>
      <c r="Y53" s="113">
        <f t="shared" si="67"/>
        <v>3.3333333333333335E-3</v>
      </c>
      <c r="Z53" s="39">
        <v>7.0000000000000007E-2</v>
      </c>
      <c r="AA53" s="39">
        <v>-1</v>
      </c>
    </row>
    <row r="54" spans="2:27" x14ac:dyDescent="0.25">
      <c r="B54" s="82">
        <v>49</v>
      </c>
      <c r="C54" s="71" t="s">
        <v>42</v>
      </c>
      <c r="D54" s="66" t="s">
        <v>90</v>
      </c>
      <c r="E54" s="103" t="s">
        <v>164</v>
      </c>
      <c r="F54" s="14">
        <f>30*25%</f>
        <v>7.5</v>
      </c>
      <c r="G54" s="63">
        <f t="shared" si="62"/>
        <v>0.125</v>
      </c>
      <c r="H54" s="59">
        <v>1.25</v>
      </c>
      <c r="I54" s="56">
        <f t="shared" si="63"/>
        <v>2.0833333333333332E-2</v>
      </c>
      <c r="J54" s="63">
        <v>0.3</v>
      </c>
      <c r="K54" s="21">
        <f t="shared" si="64"/>
        <v>5.0000000000000001E-3</v>
      </c>
      <c r="L54" s="14">
        <v>-3.8</v>
      </c>
      <c r="M54" s="7">
        <f t="shared" si="74"/>
        <v>-228</v>
      </c>
      <c r="N54" s="23">
        <f t="shared" si="75"/>
        <v>-6.3333333333333325E-2</v>
      </c>
      <c r="O54" s="21">
        <f t="shared" si="76"/>
        <v>-3.7999999999999994</v>
      </c>
      <c r="P54" s="22">
        <v>-3.8</v>
      </c>
      <c r="Q54" s="7">
        <f t="shared" si="77"/>
        <v>-228</v>
      </c>
      <c r="R54" s="23">
        <f t="shared" si="78"/>
        <v>-6.3333333333333325E-2</v>
      </c>
      <c r="S54" s="21">
        <f t="shared" si="79"/>
        <v>-3.7999999999999994</v>
      </c>
      <c r="T54" s="111">
        <v>1</v>
      </c>
      <c r="U54" s="112">
        <f t="shared" si="65"/>
        <v>1.6666666666666666E-2</v>
      </c>
      <c r="V54" s="14">
        <v>1.25</v>
      </c>
      <c r="W54" s="21">
        <f t="shared" si="66"/>
        <v>2.0833333333333332E-2</v>
      </c>
      <c r="X54" s="14">
        <v>0.25</v>
      </c>
      <c r="Y54" s="113">
        <f t="shared" si="67"/>
        <v>4.1666666666666666E-3</v>
      </c>
      <c r="Z54" s="39">
        <v>3.0000000000000001E-3</v>
      </c>
      <c r="AA54" s="39">
        <v>-0.1</v>
      </c>
    </row>
    <row r="55" spans="2:27" x14ac:dyDescent="0.25">
      <c r="B55" s="82">
        <v>50</v>
      </c>
      <c r="C55" s="71" t="s">
        <v>42</v>
      </c>
      <c r="D55" s="66" t="s">
        <v>91</v>
      </c>
      <c r="E55" s="103" t="s">
        <v>163</v>
      </c>
      <c r="F55" s="14">
        <f t="shared" ref="F55:F58" si="82">30*25%</f>
        <v>7.5</v>
      </c>
      <c r="G55" s="63">
        <f t="shared" ref="G55:G58" si="83">F55/60</f>
        <v>0.125</v>
      </c>
      <c r="H55" s="59">
        <v>1.25</v>
      </c>
      <c r="I55" s="56">
        <f t="shared" ref="I55:I58" si="84">H55/60</f>
        <v>2.0833333333333332E-2</v>
      </c>
      <c r="J55" s="63">
        <v>0.3</v>
      </c>
      <c r="K55" s="21">
        <f t="shared" ref="K55:K58" si="85">J55/60</f>
        <v>5.0000000000000001E-3</v>
      </c>
      <c r="L55" s="14">
        <v>-3.8</v>
      </c>
      <c r="M55" s="7">
        <f t="shared" ref="M55:M58" si="86">L55*60</f>
        <v>-228</v>
      </c>
      <c r="N55" s="23">
        <f t="shared" ref="N55:N57" si="87">L55/60</f>
        <v>-6.3333333333333325E-2</v>
      </c>
      <c r="O55" s="21">
        <f t="shared" ref="O55:O58" si="88">N55*60</f>
        <v>-3.7999999999999994</v>
      </c>
      <c r="P55" s="22">
        <v>-3.8</v>
      </c>
      <c r="Q55" s="7">
        <f t="shared" ref="Q55:Q58" si="89">P55*60</f>
        <v>-228</v>
      </c>
      <c r="R55" s="23">
        <f t="shared" ref="R55:R57" si="90">P55/60</f>
        <v>-6.3333333333333325E-2</v>
      </c>
      <c r="S55" s="21">
        <f t="shared" ref="S55:S58" si="91">R55*60</f>
        <v>-3.7999999999999994</v>
      </c>
      <c r="T55" s="111">
        <v>1</v>
      </c>
      <c r="U55" s="112">
        <f t="shared" ref="U55:U58" si="92">T55/60</f>
        <v>1.6666666666666666E-2</v>
      </c>
      <c r="V55" s="14">
        <v>1.25</v>
      </c>
      <c r="W55" s="21">
        <f t="shared" ref="W55:W58" si="93">V55/60</f>
        <v>2.0833333333333332E-2</v>
      </c>
      <c r="X55" s="14">
        <v>0.25</v>
      </c>
      <c r="Y55" s="113">
        <f t="shared" ref="Y55:Y58" si="94">X55/60</f>
        <v>4.1666666666666666E-3</v>
      </c>
      <c r="Z55" s="39">
        <v>3.0000000000000001E-3</v>
      </c>
      <c r="AA55" s="39">
        <v>-0.1</v>
      </c>
    </row>
    <row r="56" spans="2:27" x14ac:dyDescent="0.25">
      <c r="B56" s="82">
        <v>51</v>
      </c>
      <c r="C56" s="71" t="s">
        <v>42</v>
      </c>
      <c r="D56" s="66" t="s">
        <v>92</v>
      </c>
      <c r="E56" s="103" t="s">
        <v>251</v>
      </c>
      <c r="F56" s="14">
        <f t="shared" si="82"/>
        <v>7.5</v>
      </c>
      <c r="G56" s="63">
        <f t="shared" si="83"/>
        <v>0.125</v>
      </c>
      <c r="H56" s="59">
        <v>1.25</v>
      </c>
      <c r="I56" s="56">
        <f t="shared" si="84"/>
        <v>2.0833333333333332E-2</v>
      </c>
      <c r="J56" s="63">
        <v>0.3</v>
      </c>
      <c r="K56" s="21">
        <f t="shared" si="85"/>
        <v>5.0000000000000001E-3</v>
      </c>
      <c r="L56" s="14">
        <v>-3.8</v>
      </c>
      <c r="M56" s="7">
        <f t="shared" si="86"/>
        <v>-228</v>
      </c>
      <c r="N56" s="23">
        <f t="shared" si="87"/>
        <v>-6.3333333333333325E-2</v>
      </c>
      <c r="O56" s="21">
        <f t="shared" si="88"/>
        <v>-3.7999999999999994</v>
      </c>
      <c r="P56" s="22">
        <v>-3.8</v>
      </c>
      <c r="Q56" s="7">
        <f t="shared" si="89"/>
        <v>-228</v>
      </c>
      <c r="R56" s="23">
        <f t="shared" si="90"/>
        <v>-6.3333333333333325E-2</v>
      </c>
      <c r="S56" s="21">
        <f t="shared" si="91"/>
        <v>-3.7999999999999994</v>
      </c>
      <c r="T56" s="111">
        <v>1</v>
      </c>
      <c r="U56" s="112">
        <f t="shared" si="92"/>
        <v>1.6666666666666666E-2</v>
      </c>
      <c r="V56" s="14">
        <v>1.25</v>
      </c>
      <c r="W56" s="21">
        <f t="shared" si="93"/>
        <v>2.0833333333333332E-2</v>
      </c>
      <c r="X56" s="14">
        <v>0.25</v>
      </c>
      <c r="Y56" s="113">
        <f t="shared" si="94"/>
        <v>4.1666666666666666E-3</v>
      </c>
      <c r="Z56" s="39">
        <v>3.0000000000000001E-3</v>
      </c>
      <c r="AA56" s="39">
        <v>-0.1</v>
      </c>
    </row>
    <row r="57" spans="2:27" x14ac:dyDescent="0.25">
      <c r="B57" s="82">
        <v>52</v>
      </c>
      <c r="C57" s="71" t="s">
        <v>42</v>
      </c>
      <c r="D57" s="66" t="s">
        <v>93</v>
      </c>
      <c r="E57" s="103" t="s">
        <v>165</v>
      </c>
      <c r="F57" s="14">
        <f t="shared" si="82"/>
        <v>7.5</v>
      </c>
      <c r="G57" s="63">
        <f t="shared" si="83"/>
        <v>0.125</v>
      </c>
      <c r="H57" s="59">
        <v>1.25</v>
      </c>
      <c r="I57" s="56">
        <f t="shared" si="84"/>
        <v>2.0833333333333332E-2</v>
      </c>
      <c r="J57" s="63">
        <v>0.3</v>
      </c>
      <c r="K57" s="21">
        <f t="shared" si="85"/>
        <v>5.0000000000000001E-3</v>
      </c>
      <c r="L57" s="14">
        <v>-3.8</v>
      </c>
      <c r="M57" s="7">
        <f t="shared" si="86"/>
        <v>-228</v>
      </c>
      <c r="N57" s="23">
        <f t="shared" si="87"/>
        <v>-6.3333333333333325E-2</v>
      </c>
      <c r="O57" s="21">
        <f t="shared" si="88"/>
        <v>-3.7999999999999994</v>
      </c>
      <c r="P57" s="22">
        <v>-3.8</v>
      </c>
      <c r="Q57" s="7">
        <f t="shared" si="89"/>
        <v>-228</v>
      </c>
      <c r="R57" s="23">
        <f t="shared" si="90"/>
        <v>-6.3333333333333325E-2</v>
      </c>
      <c r="S57" s="21">
        <f t="shared" si="91"/>
        <v>-3.7999999999999994</v>
      </c>
      <c r="T57" s="111">
        <v>1</v>
      </c>
      <c r="U57" s="112">
        <f t="shared" si="92"/>
        <v>1.6666666666666666E-2</v>
      </c>
      <c r="V57" s="14">
        <v>1.25</v>
      </c>
      <c r="W57" s="21">
        <f t="shared" si="93"/>
        <v>2.0833333333333332E-2</v>
      </c>
      <c r="X57" s="14">
        <v>0.25</v>
      </c>
      <c r="Y57" s="113">
        <f t="shared" si="94"/>
        <v>4.1666666666666666E-3</v>
      </c>
      <c r="Z57" s="39">
        <v>3.0000000000000001E-3</v>
      </c>
      <c r="AA57" s="39">
        <v>-0.1</v>
      </c>
    </row>
    <row r="58" spans="2:27" x14ac:dyDescent="0.25">
      <c r="B58" s="82">
        <v>53</v>
      </c>
      <c r="C58" s="73" t="s">
        <v>209</v>
      </c>
      <c r="D58" s="66" t="s">
        <v>94</v>
      </c>
      <c r="E58" s="103" t="s">
        <v>20</v>
      </c>
      <c r="F58" s="14">
        <f t="shared" si="82"/>
        <v>7.5</v>
      </c>
      <c r="G58" s="63">
        <f t="shared" si="83"/>
        <v>0.125</v>
      </c>
      <c r="H58" s="59">
        <v>1.25</v>
      </c>
      <c r="I58" s="56">
        <f t="shared" si="84"/>
        <v>2.0833333333333332E-2</v>
      </c>
      <c r="J58" s="63">
        <v>0.3</v>
      </c>
      <c r="K58" s="21">
        <f t="shared" si="85"/>
        <v>5.0000000000000001E-3</v>
      </c>
      <c r="L58" s="14">
        <v>-3.8</v>
      </c>
      <c r="M58" s="7">
        <f t="shared" si="86"/>
        <v>-228</v>
      </c>
      <c r="N58" s="23">
        <f t="shared" ref="N58" si="95">L58/60</f>
        <v>-6.3333333333333325E-2</v>
      </c>
      <c r="O58" s="21">
        <f t="shared" si="88"/>
        <v>-3.7999999999999994</v>
      </c>
      <c r="P58" s="22">
        <v>-3.8</v>
      </c>
      <c r="Q58" s="7">
        <f t="shared" si="89"/>
        <v>-228</v>
      </c>
      <c r="R58" s="23">
        <f t="shared" ref="R58" si="96">P58/60</f>
        <v>-6.3333333333333325E-2</v>
      </c>
      <c r="S58" s="21">
        <f t="shared" si="91"/>
        <v>-3.7999999999999994</v>
      </c>
      <c r="T58" s="111">
        <v>1</v>
      </c>
      <c r="U58" s="112">
        <f t="shared" si="92"/>
        <v>1.6666666666666666E-2</v>
      </c>
      <c r="V58" s="14">
        <v>1.25</v>
      </c>
      <c r="W58" s="21">
        <f t="shared" si="93"/>
        <v>2.0833333333333332E-2</v>
      </c>
      <c r="X58" s="14">
        <v>0.25</v>
      </c>
      <c r="Y58" s="113">
        <f t="shared" si="94"/>
        <v>4.1666666666666666E-3</v>
      </c>
      <c r="Z58" s="39">
        <v>0.01</v>
      </c>
      <c r="AA58" s="39">
        <v>-0.1</v>
      </c>
    </row>
    <row r="59" spans="2:27" x14ac:dyDescent="0.25">
      <c r="B59" s="82">
        <v>54</v>
      </c>
      <c r="C59" s="73" t="s">
        <v>210</v>
      </c>
      <c r="D59" s="66" t="s">
        <v>95</v>
      </c>
      <c r="E59" s="103" t="s">
        <v>21</v>
      </c>
      <c r="F59" s="14">
        <f>30*50%</f>
        <v>15</v>
      </c>
      <c r="G59" s="63">
        <f t="shared" ref="G59:G101" si="97">F59/60</f>
        <v>0.25</v>
      </c>
      <c r="H59" s="59">
        <v>1.5</v>
      </c>
      <c r="I59" s="56">
        <f t="shared" ref="I59:I101" si="98">H59/60</f>
        <v>2.5000000000000001E-2</v>
      </c>
      <c r="J59" s="63">
        <v>0.2</v>
      </c>
      <c r="K59" s="21">
        <f t="shared" ref="K59:K101" si="99">J59/60</f>
        <v>3.3333333333333335E-3</v>
      </c>
      <c r="L59" s="14">
        <v>-2</v>
      </c>
      <c r="M59" s="7">
        <f>L59*60</f>
        <v>-120</v>
      </c>
      <c r="N59" s="23">
        <f>L59/60</f>
        <v>-3.3333333333333333E-2</v>
      </c>
      <c r="O59" s="21">
        <f>N59*60</f>
        <v>-2</v>
      </c>
      <c r="P59" s="22">
        <v>-2</v>
      </c>
      <c r="Q59" s="7">
        <f>P59*60</f>
        <v>-120</v>
      </c>
      <c r="R59" s="23">
        <f>P59/60</f>
        <v>-3.3333333333333333E-2</v>
      </c>
      <c r="S59" s="21">
        <f>R59*60</f>
        <v>-2</v>
      </c>
      <c r="T59" s="111">
        <v>1</v>
      </c>
      <c r="U59" s="112">
        <f t="shared" ref="U59:U101" si="100">T59/60</f>
        <v>1.6666666666666666E-2</v>
      </c>
      <c r="V59" s="14">
        <v>1.05</v>
      </c>
      <c r="W59" s="21">
        <f t="shared" ref="W59:W101" si="101">V59/60</f>
        <v>1.7500000000000002E-2</v>
      </c>
      <c r="X59" s="14">
        <v>0.5</v>
      </c>
      <c r="Y59" s="113">
        <f t="shared" ref="Y59:Y101" si="102">X59/60</f>
        <v>8.3333333333333332E-3</v>
      </c>
      <c r="Z59" s="39">
        <v>7.0000000000000001E-3</v>
      </c>
      <c r="AA59" s="39">
        <v>-0.2</v>
      </c>
    </row>
    <row r="60" spans="2:27" x14ac:dyDescent="0.25">
      <c r="B60" s="82">
        <v>55</v>
      </c>
      <c r="C60" s="70" t="s">
        <v>211</v>
      </c>
      <c r="D60" s="66" t="s">
        <v>96</v>
      </c>
      <c r="E60" s="103" t="s">
        <v>19</v>
      </c>
      <c r="F60" s="14">
        <f>30*50%</f>
        <v>15</v>
      </c>
      <c r="G60" s="63">
        <f t="shared" si="97"/>
        <v>0.25</v>
      </c>
      <c r="H60" s="59">
        <v>1.5</v>
      </c>
      <c r="I60" s="56">
        <f t="shared" si="98"/>
        <v>2.5000000000000001E-2</v>
      </c>
      <c r="J60" s="63">
        <v>0.3</v>
      </c>
      <c r="K60" s="21">
        <f t="shared" si="99"/>
        <v>5.0000000000000001E-3</v>
      </c>
      <c r="L60" s="14">
        <v>-2.2999999999999998</v>
      </c>
      <c r="M60" s="7">
        <f>L60*60</f>
        <v>-138</v>
      </c>
      <c r="N60" s="23">
        <f>L60/60</f>
        <v>-3.833333333333333E-2</v>
      </c>
      <c r="O60" s="21">
        <f>N60*60</f>
        <v>-2.2999999999999998</v>
      </c>
      <c r="P60" s="22">
        <v>-2.2999999999999998</v>
      </c>
      <c r="Q60" s="7">
        <f>P60*60</f>
        <v>-138</v>
      </c>
      <c r="R60" s="23">
        <f>P60/60</f>
        <v>-3.833333333333333E-2</v>
      </c>
      <c r="S60" s="21">
        <f>R60*60</f>
        <v>-2.2999999999999998</v>
      </c>
      <c r="T60" s="111">
        <v>1</v>
      </c>
      <c r="U60" s="112">
        <f t="shared" si="100"/>
        <v>1.6666666666666666E-2</v>
      </c>
      <c r="V60" s="14">
        <v>1.1000000000000001</v>
      </c>
      <c r="W60" s="21">
        <f t="shared" si="101"/>
        <v>1.8333333333333333E-2</v>
      </c>
      <c r="X60" s="14">
        <v>0.1</v>
      </c>
      <c r="Y60" s="113">
        <f t="shared" si="102"/>
        <v>1.6666666666666668E-3</v>
      </c>
      <c r="Z60" s="39">
        <v>3.0000000000000001E-3</v>
      </c>
      <c r="AA60" s="39">
        <v>-0.6</v>
      </c>
    </row>
    <row r="61" spans="2:27" x14ac:dyDescent="0.25">
      <c r="B61" s="82">
        <v>56</v>
      </c>
      <c r="C61" s="69" t="s">
        <v>42</v>
      </c>
      <c r="D61" s="66" t="s">
        <v>97</v>
      </c>
      <c r="E61" s="103" t="s">
        <v>166</v>
      </c>
      <c r="F61" s="14">
        <f>30*50%</f>
        <v>15</v>
      </c>
      <c r="G61" s="63">
        <f t="shared" si="97"/>
        <v>0.25</v>
      </c>
      <c r="H61" s="59">
        <v>1.5</v>
      </c>
      <c r="I61" s="56">
        <f t="shared" si="98"/>
        <v>2.5000000000000001E-2</v>
      </c>
      <c r="J61" s="63">
        <v>0.3</v>
      </c>
      <c r="K61" s="21">
        <f t="shared" si="99"/>
        <v>5.0000000000000001E-3</v>
      </c>
      <c r="L61" s="14">
        <v>-2.2999999999999998</v>
      </c>
      <c r="M61" s="7">
        <f>L61*60</f>
        <v>-138</v>
      </c>
      <c r="N61" s="23">
        <f>L61/60</f>
        <v>-3.833333333333333E-2</v>
      </c>
      <c r="O61" s="21">
        <f>N61*60</f>
        <v>-2.2999999999999998</v>
      </c>
      <c r="P61" s="22">
        <v>-2.2999999999999998</v>
      </c>
      <c r="Q61" s="7">
        <f>P61*60</f>
        <v>-138</v>
      </c>
      <c r="R61" s="23">
        <f>P61/60</f>
        <v>-3.833333333333333E-2</v>
      </c>
      <c r="S61" s="21">
        <f>R61*60</f>
        <v>-2.2999999999999998</v>
      </c>
      <c r="T61" s="111">
        <v>1</v>
      </c>
      <c r="U61" s="112">
        <f t="shared" si="100"/>
        <v>1.6666666666666666E-2</v>
      </c>
      <c r="V61" s="14">
        <v>1.1000000000000001</v>
      </c>
      <c r="W61" s="21">
        <f t="shared" si="101"/>
        <v>1.8333333333333333E-2</v>
      </c>
      <c r="X61" s="14">
        <v>0.1</v>
      </c>
      <c r="Y61" s="113">
        <f t="shared" si="102"/>
        <v>1.6666666666666668E-3</v>
      </c>
      <c r="Z61" s="39">
        <v>0.1</v>
      </c>
      <c r="AA61" s="39">
        <v>-1</v>
      </c>
    </row>
    <row r="62" spans="2:27" x14ac:dyDescent="0.25">
      <c r="B62" s="82">
        <v>57</v>
      </c>
      <c r="C62" s="73" t="s">
        <v>212</v>
      </c>
      <c r="D62" s="66" t="s">
        <v>98</v>
      </c>
      <c r="E62" s="103" t="s">
        <v>45</v>
      </c>
      <c r="F62" s="14">
        <f>30*50%</f>
        <v>15</v>
      </c>
      <c r="G62" s="63">
        <f t="shared" si="97"/>
        <v>0.25</v>
      </c>
      <c r="H62" s="59">
        <v>1.5</v>
      </c>
      <c r="I62" s="56">
        <f t="shared" si="98"/>
        <v>2.5000000000000001E-2</v>
      </c>
      <c r="J62" s="63">
        <v>0.3</v>
      </c>
      <c r="K62" s="21">
        <f t="shared" si="99"/>
        <v>5.0000000000000001E-3</v>
      </c>
      <c r="L62" s="14">
        <v>-2.2999999999999998</v>
      </c>
      <c r="M62" s="7">
        <f>L62*60</f>
        <v>-138</v>
      </c>
      <c r="N62" s="23">
        <f>L62/60</f>
        <v>-3.833333333333333E-2</v>
      </c>
      <c r="O62" s="21">
        <f>N62*60</f>
        <v>-2.2999999999999998</v>
      </c>
      <c r="P62" s="22">
        <v>-2.2999999999999998</v>
      </c>
      <c r="Q62" s="7">
        <f>P62*60</f>
        <v>-138</v>
      </c>
      <c r="R62" s="23">
        <f>P62/60</f>
        <v>-3.833333333333333E-2</v>
      </c>
      <c r="S62" s="21">
        <f>R62*60</f>
        <v>-2.2999999999999998</v>
      </c>
      <c r="T62" s="111">
        <v>0</v>
      </c>
      <c r="U62" s="112">
        <f t="shared" si="100"/>
        <v>0</v>
      </c>
      <c r="V62" s="14">
        <v>1.2</v>
      </c>
      <c r="W62" s="21">
        <f t="shared" si="101"/>
        <v>0.02</v>
      </c>
      <c r="X62" s="14">
        <v>0.2</v>
      </c>
      <c r="Y62" s="113">
        <f t="shared" si="102"/>
        <v>3.3333333333333335E-3</v>
      </c>
      <c r="Z62" s="39">
        <v>3.0000000000000001E-3</v>
      </c>
      <c r="AA62" s="39">
        <v>-0.6</v>
      </c>
    </row>
    <row r="63" spans="2:27" x14ac:dyDescent="0.25">
      <c r="B63" s="82">
        <v>58</v>
      </c>
      <c r="C63" s="69" t="s">
        <v>42</v>
      </c>
      <c r="D63" s="66" t="s">
        <v>100</v>
      </c>
      <c r="E63" s="103" t="s">
        <v>167</v>
      </c>
      <c r="F63" s="14">
        <v>30</v>
      </c>
      <c r="G63" s="63">
        <f t="shared" si="97"/>
        <v>0.5</v>
      </c>
      <c r="H63" s="59">
        <v>1</v>
      </c>
      <c r="I63" s="56">
        <f t="shared" si="98"/>
        <v>1.6666666666666666E-2</v>
      </c>
      <c r="J63" s="63">
        <v>0.2</v>
      </c>
      <c r="K63" s="21">
        <f t="shared" si="99"/>
        <v>3.3333333333333335E-3</v>
      </c>
      <c r="L63" s="14">
        <v>-1</v>
      </c>
      <c r="M63" s="7">
        <f>L63*60</f>
        <v>-60</v>
      </c>
      <c r="N63" s="23">
        <f>L63/60</f>
        <v>-1.6666666666666666E-2</v>
      </c>
      <c r="O63" s="21">
        <f>N63*60</f>
        <v>-1</v>
      </c>
      <c r="P63" s="22">
        <v>-1</v>
      </c>
      <c r="Q63" s="7">
        <f>P63*60</f>
        <v>-60</v>
      </c>
      <c r="R63" s="23">
        <f>P63/60</f>
        <v>-1.6666666666666666E-2</v>
      </c>
      <c r="S63" s="21">
        <f>R63*60</f>
        <v>-1</v>
      </c>
      <c r="T63" s="111">
        <v>1.2</v>
      </c>
      <c r="U63" s="112">
        <f t="shared" si="100"/>
        <v>0.02</v>
      </c>
      <c r="V63" s="14">
        <v>1</v>
      </c>
      <c r="W63" s="21">
        <f t="shared" si="101"/>
        <v>1.6666666666666666E-2</v>
      </c>
      <c r="X63" s="14">
        <v>0.6</v>
      </c>
      <c r="Y63" s="113">
        <f t="shared" si="102"/>
        <v>0.01</v>
      </c>
      <c r="Z63" s="39">
        <v>7.0000000000000001E-3</v>
      </c>
      <c r="AA63" s="39">
        <v>-0.2</v>
      </c>
    </row>
    <row r="64" spans="2:27" ht="30" x14ac:dyDescent="0.25">
      <c r="B64" s="82">
        <v>59</v>
      </c>
      <c r="C64" s="69" t="s">
        <v>193</v>
      </c>
      <c r="D64" s="66" t="s">
        <v>101</v>
      </c>
      <c r="E64" s="103" t="s">
        <v>168</v>
      </c>
      <c r="F64" s="14">
        <f>30*75%</f>
        <v>22.5</v>
      </c>
      <c r="G64" s="63">
        <f t="shared" si="97"/>
        <v>0.375</v>
      </c>
      <c r="H64" s="59">
        <v>1.75</v>
      </c>
      <c r="I64" s="56">
        <f t="shared" si="98"/>
        <v>2.9166666666666667E-2</v>
      </c>
      <c r="J64" s="63">
        <v>0.4</v>
      </c>
      <c r="K64" s="21">
        <f t="shared" si="99"/>
        <v>6.6666666666666671E-3</v>
      </c>
      <c r="L64" s="14">
        <v>-2</v>
      </c>
      <c r="M64" s="7">
        <f t="shared" ref="M64" si="103">L64*60</f>
        <v>-120</v>
      </c>
      <c r="N64" s="23">
        <f t="shared" ref="N64" si="104">L64/60</f>
        <v>-3.3333333333333333E-2</v>
      </c>
      <c r="O64" s="21">
        <f t="shared" ref="O64" si="105">N64*60</f>
        <v>-2</v>
      </c>
      <c r="P64" s="22">
        <v>-2</v>
      </c>
      <c r="Q64" s="7">
        <f t="shared" ref="Q64" si="106">P64*60</f>
        <v>-120</v>
      </c>
      <c r="R64" s="23">
        <f t="shared" ref="R64" si="107">P64/60</f>
        <v>-3.3333333333333333E-2</v>
      </c>
      <c r="S64" s="21">
        <f t="shared" ref="S64" si="108">R64*60</f>
        <v>-2</v>
      </c>
      <c r="T64" s="111">
        <v>0</v>
      </c>
      <c r="U64" s="112">
        <f t="shared" si="100"/>
        <v>0</v>
      </c>
      <c r="V64" s="14">
        <v>1.05</v>
      </c>
      <c r="W64" s="21">
        <f t="shared" si="101"/>
        <v>1.7500000000000002E-2</v>
      </c>
      <c r="X64" s="14">
        <v>0.5</v>
      </c>
      <c r="Y64" s="113">
        <f t="shared" si="102"/>
        <v>8.3333333333333332E-3</v>
      </c>
      <c r="Z64" s="39">
        <v>3.0000000000000001E-3</v>
      </c>
      <c r="AA64" s="39">
        <v>-0.6</v>
      </c>
    </row>
    <row r="65" spans="2:27" ht="30" x14ac:dyDescent="0.25">
      <c r="B65" s="82">
        <v>60</v>
      </c>
      <c r="C65" s="73" t="s">
        <v>213</v>
      </c>
      <c r="D65" s="66" t="s">
        <v>102</v>
      </c>
      <c r="E65" s="103" t="s">
        <v>169</v>
      </c>
      <c r="F65" s="14">
        <f>30*75%</f>
        <v>22.5</v>
      </c>
      <c r="G65" s="63">
        <f t="shared" si="97"/>
        <v>0.375</v>
      </c>
      <c r="H65" s="59">
        <v>1.75</v>
      </c>
      <c r="I65" s="56">
        <f t="shared" si="98"/>
        <v>2.9166666666666667E-2</v>
      </c>
      <c r="J65" s="63">
        <v>0.4</v>
      </c>
      <c r="K65" s="21">
        <f t="shared" si="99"/>
        <v>6.6666666666666671E-3</v>
      </c>
      <c r="L65" s="14">
        <v>-2</v>
      </c>
      <c r="M65" s="7">
        <f t="shared" ref="M65" si="109">L65*60</f>
        <v>-120</v>
      </c>
      <c r="N65" s="23">
        <f t="shared" ref="N65" si="110">L65/60</f>
        <v>-3.3333333333333333E-2</v>
      </c>
      <c r="O65" s="21">
        <f t="shared" ref="O65" si="111">N65*60</f>
        <v>-2</v>
      </c>
      <c r="P65" s="22">
        <v>-2</v>
      </c>
      <c r="Q65" s="7">
        <f t="shared" ref="Q65" si="112">P65*60</f>
        <v>-120</v>
      </c>
      <c r="R65" s="23">
        <f t="shared" ref="R65" si="113">P65/60</f>
        <v>-3.3333333333333333E-2</v>
      </c>
      <c r="S65" s="21">
        <f t="shared" ref="S65" si="114">R65*60</f>
        <v>-2</v>
      </c>
      <c r="T65" s="111">
        <v>0</v>
      </c>
      <c r="U65" s="112">
        <f t="shared" si="100"/>
        <v>0</v>
      </c>
      <c r="V65" s="14">
        <v>1.05</v>
      </c>
      <c r="W65" s="21">
        <f t="shared" si="101"/>
        <v>1.7500000000000002E-2</v>
      </c>
      <c r="X65" s="14">
        <v>0.5</v>
      </c>
      <c r="Y65" s="113">
        <f t="shared" si="102"/>
        <v>8.3333333333333332E-3</v>
      </c>
      <c r="Z65" s="39">
        <v>0.05</v>
      </c>
      <c r="AA65" s="39">
        <v>-0.6</v>
      </c>
    </row>
    <row r="66" spans="2:27" s="1" customFormat="1" ht="30" x14ac:dyDescent="0.25">
      <c r="B66" s="82">
        <v>61</v>
      </c>
      <c r="C66" s="73" t="s">
        <v>214</v>
      </c>
      <c r="D66" s="66" t="s">
        <v>103</v>
      </c>
      <c r="E66" s="103" t="s">
        <v>18</v>
      </c>
      <c r="F66" s="14">
        <f>30*50%</f>
        <v>15</v>
      </c>
      <c r="G66" s="63">
        <f t="shared" si="97"/>
        <v>0.25</v>
      </c>
      <c r="H66" s="59">
        <v>1.5</v>
      </c>
      <c r="I66" s="56">
        <f t="shared" si="98"/>
        <v>2.5000000000000001E-2</v>
      </c>
      <c r="J66" s="63">
        <v>0.3</v>
      </c>
      <c r="K66" s="21">
        <f t="shared" si="99"/>
        <v>5.0000000000000001E-3</v>
      </c>
      <c r="L66" s="14">
        <v>-2.2999999999999998</v>
      </c>
      <c r="M66" s="7">
        <f t="shared" ref="M66:M84" si="115">L66*60</f>
        <v>-138</v>
      </c>
      <c r="N66" s="23">
        <f t="shared" ref="N66:N84" si="116">L66/60</f>
        <v>-3.833333333333333E-2</v>
      </c>
      <c r="O66" s="21">
        <f t="shared" ref="O66:O84" si="117">N66*60</f>
        <v>-2.2999999999999998</v>
      </c>
      <c r="P66" s="22">
        <v>-2.2999999999999998</v>
      </c>
      <c r="Q66" s="7">
        <f t="shared" ref="Q66:Q84" si="118">P66*60</f>
        <v>-138</v>
      </c>
      <c r="R66" s="23">
        <f t="shared" ref="R66:R84" si="119">P66/60</f>
        <v>-3.833333333333333E-2</v>
      </c>
      <c r="S66" s="21">
        <f t="shared" ref="S66:S84" si="120">R66*60</f>
        <v>-2.2999999999999998</v>
      </c>
      <c r="T66" s="111">
        <v>0</v>
      </c>
      <c r="U66" s="112">
        <f t="shared" si="100"/>
        <v>0</v>
      </c>
      <c r="V66" s="14">
        <v>1</v>
      </c>
      <c r="W66" s="21">
        <f t="shared" si="101"/>
        <v>1.6666666666666666E-2</v>
      </c>
      <c r="X66" s="14">
        <v>0.6</v>
      </c>
      <c r="Y66" s="113">
        <f t="shared" si="102"/>
        <v>0.01</v>
      </c>
      <c r="Z66" s="39">
        <v>0.03</v>
      </c>
      <c r="AA66" s="39">
        <v>-0.6</v>
      </c>
    </row>
    <row r="67" spans="2:27" x14ac:dyDescent="0.25">
      <c r="B67" s="82">
        <v>62</v>
      </c>
      <c r="C67" s="104" t="s">
        <v>244</v>
      </c>
      <c r="D67" s="89" t="s">
        <v>229</v>
      </c>
      <c r="E67" s="90" t="s">
        <v>230</v>
      </c>
      <c r="F67" s="91">
        <v>30</v>
      </c>
      <c r="G67" s="92">
        <f t="shared" si="97"/>
        <v>0.5</v>
      </c>
      <c r="H67" s="93">
        <v>1</v>
      </c>
      <c r="I67" s="94">
        <f t="shared" si="98"/>
        <v>1.6666666666666666E-2</v>
      </c>
      <c r="J67" s="92">
        <v>0.1</v>
      </c>
      <c r="K67" s="95">
        <f t="shared" si="99"/>
        <v>1.6666666666666668E-3</v>
      </c>
      <c r="L67" s="91">
        <v>-1</v>
      </c>
      <c r="M67" s="96">
        <f t="shared" si="115"/>
        <v>-60</v>
      </c>
      <c r="N67" s="97">
        <f t="shared" si="116"/>
        <v>-1.6666666666666666E-2</v>
      </c>
      <c r="O67" s="95">
        <f t="shared" si="117"/>
        <v>-1</v>
      </c>
      <c r="P67" s="98">
        <v>-1</v>
      </c>
      <c r="Q67" s="96">
        <f t="shared" si="118"/>
        <v>-60</v>
      </c>
      <c r="R67" s="97">
        <f t="shared" si="119"/>
        <v>-1.6666666666666666E-2</v>
      </c>
      <c r="S67" s="95">
        <f t="shared" si="120"/>
        <v>-1</v>
      </c>
      <c r="T67" s="99">
        <v>0</v>
      </c>
      <c r="U67" s="100">
        <f t="shared" si="100"/>
        <v>0</v>
      </c>
      <c r="V67" s="91">
        <v>0</v>
      </c>
      <c r="W67" s="95">
        <f t="shared" si="101"/>
        <v>0</v>
      </c>
      <c r="X67" s="91">
        <v>0</v>
      </c>
      <c r="Y67" s="101">
        <f t="shared" si="102"/>
        <v>0</v>
      </c>
      <c r="Z67" s="102">
        <v>3.0000000000000001E-3</v>
      </c>
      <c r="AA67" s="102">
        <v>-1</v>
      </c>
    </row>
    <row r="68" spans="2:27" x14ac:dyDescent="0.25">
      <c r="B68" s="82">
        <v>63</v>
      </c>
      <c r="C68" s="108" t="s">
        <v>231</v>
      </c>
      <c r="D68" s="89" t="s">
        <v>245</v>
      </c>
      <c r="E68" s="90" t="s">
        <v>246</v>
      </c>
      <c r="F68" s="91">
        <v>30</v>
      </c>
      <c r="G68" s="92">
        <f t="shared" si="97"/>
        <v>0.5</v>
      </c>
      <c r="H68" s="93">
        <v>1</v>
      </c>
      <c r="I68" s="94">
        <f t="shared" si="98"/>
        <v>1.6666666666666666E-2</v>
      </c>
      <c r="J68" s="92">
        <v>0.1</v>
      </c>
      <c r="K68" s="95">
        <f t="shared" si="99"/>
        <v>1.6666666666666668E-3</v>
      </c>
      <c r="L68" s="91">
        <v>-1</v>
      </c>
      <c r="M68" s="96">
        <f t="shared" si="115"/>
        <v>-60</v>
      </c>
      <c r="N68" s="97">
        <f t="shared" si="116"/>
        <v>-1.6666666666666666E-2</v>
      </c>
      <c r="O68" s="95">
        <f t="shared" si="117"/>
        <v>-1</v>
      </c>
      <c r="P68" s="98">
        <v>-1</v>
      </c>
      <c r="Q68" s="96">
        <f t="shared" si="118"/>
        <v>-60</v>
      </c>
      <c r="R68" s="97">
        <f t="shared" si="119"/>
        <v>-1.6666666666666666E-2</v>
      </c>
      <c r="S68" s="95">
        <f t="shared" si="120"/>
        <v>-1</v>
      </c>
      <c r="T68" s="99">
        <v>0</v>
      </c>
      <c r="U68" s="100">
        <f t="shared" si="100"/>
        <v>0</v>
      </c>
      <c r="V68" s="91">
        <v>0</v>
      </c>
      <c r="W68" s="95">
        <f t="shared" si="101"/>
        <v>0</v>
      </c>
      <c r="X68" s="91">
        <v>0</v>
      </c>
      <c r="Y68" s="101">
        <f t="shared" si="102"/>
        <v>0</v>
      </c>
      <c r="Z68" s="102">
        <v>3.0000000000000001E-3</v>
      </c>
      <c r="AA68" s="102">
        <v>-1</v>
      </c>
    </row>
    <row r="69" spans="2:27" ht="30" x14ac:dyDescent="0.25">
      <c r="B69" s="82">
        <v>64</v>
      </c>
      <c r="C69" s="108" t="s">
        <v>247</v>
      </c>
      <c r="D69" s="89" t="s">
        <v>248</v>
      </c>
      <c r="E69" s="90" t="s">
        <v>249</v>
      </c>
      <c r="F69" s="91">
        <v>30</v>
      </c>
      <c r="G69" s="92">
        <f t="shared" si="97"/>
        <v>0.5</v>
      </c>
      <c r="H69" s="93">
        <v>1</v>
      </c>
      <c r="I69" s="94">
        <f t="shared" si="98"/>
        <v>1.6666666666666666E-2</v>
      </c>
      <c r="J69" s="92">
        <v>0.1</v>
      </c>
      <c r="K69" s="95">
        <f t="shared" si="99"/>
        <v>1.6666666666666668E-3</v>
      </c>
      <c r="L69" s="91">
        <v>-1</v>
      </c>
      <c r="M69" s="96">
        <f t="shared" si="115"/>
        <v>-60</v>
      </c>
      <c r="N69" s="97">
        <f t="shared" si="116"/>
        <v>-1.6666666666666666E-2</v>
      </c>
      <c r="O69" s="95">
        <f t="shared" si="117"/>
        <v>-1</v>
      </c>
      <c r="P69" s="98">
        <v>-1</v>
      </c>
      <c r="Q69" s="96">
        <f t="shared" si="118"/>
        <v>-60</v>
      </c>
      <c r="R69" s="97">
        <f t="shared" si="119"/>
        <v>-1.6666666666666666E-2</v>
      </c>
      <c r="S69" s="95">
        <f t="shared" si="120"/>
        <v>-1</v>
      </c>
      <c r="T69" s="99">
        <v>0</v>
      </c>
      <c r="U69" s="100">
        <f t="shared" si="100"/>
        <v>0</v>
      </c>
      <c r="V69" s="91">
        <v>0</v>
      </c>
      <c r="W69" s="95">
        <f t="shared" si="101"/>
        <v>0</v>
      </c>
      <c r="X69" s="91">
        <v>0</v>
      </c>
      <c r="Y69" s="101">
        <f t="shared" si="102"/>
        <v>0</v>
      </c>
      <c r="Z69" s="102">
        <v>3.0000000000000001E-3</v>
      </c>
      <c r="AA69" s="102">
        <v>-1</v>
      </c>
    </row>
    <row r="70" spans="2:27" s="1" customFormat="1" x14ac:dyDescent="0.25">
      <c r="B70" s="82">
        <v>65</v>
      </c>
      <c r="C70" s="108" t="s">
        <v>250</v>
      </c>
      <c r="D70" s="66" t="s">
        <v>104</v>
      </c>
      <c r="E70" s="103" t="s">
        <v>170</v>
      </c>
      <c r="F70" s="14">
        <f t="shared" ref="F70" si="121">30*50%</f>
        <v>15</v>
      </c>
      <c r="G70" s="63">
        <f t="shared" si="97"/>
        <v>0.25</v>
      </c>
      <c r="H70" s="59">
        <v>1.5</v>
      </c>
      <c r="I70" s="56">
        <f t="shared" si="98"/>
        <v>2.5000000000000001E-2</v>
      </c>
      <c r="J70" s="63">
        <v>0.1</v>
      </c>
      <c r="K70" s="21">
        <f t="shared" si="99"/>
        <v>1.6666666666666668E-3</v>
      </c>
      <c r="L70" s="14">
        <v>-2.5</v>
      </c>
      <c r="M70" s="7">
        <f t="shared" si="115"/>
        <v>-150</v>
      </c>
      <c r="N70" s="23">
        <f t="shared" si="116"/>
        <v>-4.1666666666666664E-2</v>
      </c>
      <c r="O70" s="21">
        <f t="shared" si="117"/>
        <v>-2.5</v>
      </c>
      <c r="P70" s="22">
        <v>-2.5</v>
      </c>
      <c r="Q70" s="7">
        <f t="shared" si="118"/>
        <v>-150</v>
      </c>
      <c r="R70" s="23">
        <f t="shared" si="119"/>
        <v>-4.1666666666666664E-2</v>
      </c>
      <c r="S70" s="21">
        <f t="shared" si="120"/>
        <v>-2.5</v>
      </c>
      <c r="T70" s="111">
        <v>1.3</v>
      </c>
      <c r="U70" s="112">
        <f t="shared" si="100"/>
        <v>2.1666666666666667E-2</v>
      </c>
      <c r="V70" s="14">
        <v>1.1000000000000001</v>
      </c>
      <c r="W70" s="21">
        <f t="shared" si="101"/>
        <v>1.8333333333333333E-2</v>
      </c>
      <c r="X70" s="14">
        <v>0.1</v>
      </c>
      <c r="Y70" s="113">
        <f t="shared" si="102"/>
        <v>1.6666666666666668E-3</v>
      </c>
      <c r="Z70" s="39">
        <v>5.0000000000000001E-3</v>
      </c>
      <c r="AA70" s="39">
        <v>-0.8</v>
      </c>
    </row>
    <row r="71" spans="2:27" x14ac:dyDescent="0.25">
      <c r="B71" s="82">
        <v>66</v>
      </c>
      <c r="C71" s="69" t="s">
        <v>42</v>
      </c>
      <c r="D71" s="66" t="s">
        <v>105</v>
      </c>
      <c r="E71" s="103" t="s">
        <v>17</v>
      </c>
      <c r="F71" s="14">
        <v>30</v>
      </c>
      <c r="G71" s="63">
        <f t="shared" si="97"/>
        <v>0.5</v>
      </c>
      <c r="H71" s="59">
        <v>1</v>
      </c>
      <c r="I71" s="56">
        <f t="shared" si="98"/>
        <v>1.6666666666666666E-2</v>
      </c>
      <c r="J71" s="63">
        <v>0.2</v>
      </c>
      <c r="K71" s="21">
        <f t="shared" si="99"/>
        <v>3.3333333333333335E-3</v>
      </c>
      <c r="L71" s="14">
        <v>-1</v>
      </c>
      <c r="M71" s="7">
        <f t="shared" si="115"/>
        <v>-60</v>
      </c>
      <c r="N71" s="23">
        <f t="shared" si="116"/>
        <v>-1.6666666666666666E-2</v>
      </c>
      <c r="O71" s="21">
        <f t="shared" si="117"/>
        <v>-1</v>
      </c>
      <c r="P71" s="22">
        <v>-1</v>
      </c>
      <c r="Q71" s="7">
        <f t="shared" si="118"/>
        <v>-60</v>
      </c>
      <c r="R71" s="23">
        <f t="shared" si="119"/>
        <v>-1.6666666666666666E-2</v>
      </c>
      <c r="S71" s="21">
        <f t="shared" si="120"/>
        <v>-1</v>
      </c>
      <c r="T71" s="111">
        <v>1.2</v>
      </c>
      <c r="U71" s="112">
        <f t="shared" si="100"/>
        <v>0.02</v>
      </c>
      <c r="V71" s="14">
        <v>1</v>
      </c>
      <c r="W71" s="21">
        <f t="shared" si="101"/>
        <v>1.6666666666666666E-2</v>
      </c>
      <c r="X71" s="14">
        <v>0.6</v>
      </c>
      <c r="Y71" s="113">
        <f t="shared" si="102"/>
        <v>0.01</v>
      </c>
      <c r="Z71" s="39">
        <v>7.0000000000000001E-3</v>
      </c>
      <c r="AA71" s="39">
        <v>-0.2</v>
      </c>
    </row>
    <row r="72" spans="2:27" x14ac:dyDescent="0.25">
      <c r="B72" s="82">
        <v>67</v>
      </c>
      <c r="C72" s="108" t="s">
        <v>42</v>
      </c>
      <c r="D72" s="89" t="s">
        <v>229</v>
      </c>
      <c r="E72" s="107" t="s">
        <v>230</v>
      </c>
      <c r="F72" s="91">
        <v>30</v>
      </c>
      <c r="G72" s="92">
        <f t="shared" si="97"/>
        <v>0.5</v>
      </c>
      <c r="H72" s="93">
        <v>1</v>
      </c>
      <c r="I72" s="94">
        <f t="shared" si="98"/>
        <v>1.6666666666666666E-2</v>
      </c>
      <c r="J72" s="92">
        <v>0.1</v>
      </c>
      <c r="K72" s="95">
        <f t="shared" si="99"/>
        <v>1.6666666666666668E-3</v>
      </c>
      <c r="L72" s="91">
        <v>-1</v>
      </c>
      <c r="M72" s="96">
        <f t="shared" si="115"/>
        <v>-60</v>
      </c>
      <c r="N72" s="97">
        <f t="shared" si="116"/>
        <v>-1.6666666666666666E-2</v>
      </c>
      <c r="O72" s="95">
        <f t="shared" si="117"/>
        <v>-1</v>
      </c>
      <c r="P72" s="98">
        <v>-1</v>
      </c>
      <c r="Q72" s="96">
        <f t="shared" si="118"/>
        <v>-60</v>
      </c>
      <c r="R72" s="97">
        <f t="shared" si="119"/>
        <v>-1.6666666666666666E-2</v>
      </c>
      <c r="S72" s="95">
        <f t="shared" si="120"/>
        <v>-1</v>
      </c>
      <c r="T72" s="99">
        <v>0</v>
      </c>
      <c r="U72" s="100">
        <f t="shared" si="100"/>
        <v>0</v>
      </c>
      <c r="V72" s="91">
        <v>0</v>
      </c>
      <c r="W72" s="95">
        <f t="shared" si="101"/>
        <v>0</v>
      </c>
      <c r="X72" s="91">
        <v>0</v>
      </c>
      <c r="Y72" s="101">
        <f t="shared" si="102"/>
        <v>0</v>
      </c>
      <c r="Z72" s="102">
        <v>3.0000000000000001E-3</v>
      </c>
      <c r="AA72" s="102">
        <v>-1</v>
      </c>
    </row>
    <row r="73" spans="2:27" ht="30" x14ac:dyDescent="0.25">
      <c r="B73" s="82">
        <v>68</v>
      </c>
      <c r="C73" s="108" t="s">
        <v>231</v>
      </c>
      <c r="D73" s="66" t="s">
        <v>106</v>
      </c>
      <c r="E73" s="103" t="s">
        <v>171</v>
      </c>
      <c r="F73" s="14">
        <f>30*50%</f>
        <v>15</v>
      </c>
      <c r="G73" s="63">
        <f t="shared" si="97"/>
        <v>0.25</v>
      </c>
      <c r="H73" s="59">
        <v>1.5</v>
      </c>
      <c r="I73" s="56">
        <f t="shared" si="98"/>
        <v>2.5000000000000001E-2</v>
      </c>
      <c r="J73" s="63">
        <v>0.1</v>
      </c>
      <c r="K73" s="21">
        <f t="shared" si="99"/>
        <v>1.6666666666666668E-3</v>
      </c>
      <c r="L73" s="14">
        <v>-2.5</v>
      </c>
      <c r="M73" s="7">
        <f t="shared" si="115"/>
        <v>-150</v>
      </c>
      <c r="N73" s="23">
        <f t="shared" si="116"/>
        <v>-4.1666666666666664E-2</v>
      </c>
      <c r="O73" s="21">
        <f t="shared" si="117"/>
        <v>-2.5</v>
      </c>
      <c r="P73" s="22">
        <v>-2.5</v>
      </c>
      <c r="Q73" s="7">
        <f t="shared" si="118"/>
        <v>-150</v>
      </c>
      <c r="R73" s="23">
        <f t="shared" si="119"/>
        <v>-4.1666666666666664E-2</v>
      </c>
      <c r="S73" s="21">
        <f t="shared" si="120"/>
        <v>-2.5</v>
      </c>
      <c r="T73" s="111">
        <v>1</v>
      </c>
      <c r="U73" s="112">
        <f t="shared" si="100"/>
        <v>1.6666666666666666E-2</v>
      </c>
      <c r="V73" s="14">
        <v>1</v>
      </c>
      <c r="W73" s="21">
        <f t="shared" si="101"/>
        <v>1.6666666666666666E-2</v>
      </c>
      <c r="X73" s="14">
        <v>0.6</v>
      </c>
      <c r="Y73" s="113">
        <f t="shared" si="102"/>
        <v>0.01</v>
      </c>
      <c r="Z73" s="39">
        <v>5.0000000000000001E-3</v>
      </c>
      <c r="AA73" s="39">
        <v>-0.1</v>
      </c>
    </row>
    <row r="74" spans="2:27" s="1" customFormat="1" ht="30" x14ac:dyDescent="0.25">
      <c r="B74" s="82">
        <v>69</v>
      </c>
      <c r="C74" s="69" t="s">
        <v>42</v>
      </c>
      <c r="D74" s="66" t="s">
        <v>107</v>
      </c>
      <c r="E74" s="103" t="s">
        <v>172</v>
      </c>
      <c r="F74" s="14">
        <v>30</v>
      </c>
      <c r="G74" s="63">
        <f t="shared" si="97"/>
        <v>0.5</v>
      </c>
      <c r="H74" s="59">
        <v>1</v>
      </c>
      <c r="I74" s="56">
        <f t="shared" si="98"/>
        <v>1.6666666666666666E-2</v>
      </c>
      <c r="J74" s="63">
        <v>0.1</v>
      </c>
      <c r="K74" s="21">
        <f t="shared" si="99"/>
        <v>1.6666666666666668E-3</v>
      </c>
      <c r="L74" s="14">
        <v>-1</v>
      </c>
      <c r="M74" s="7">
        <f t="shared" si="115"/>
        <v>-60</v>
      </c>
      <c r="N74" s="23">
        <f t="shared" si="116"/>
        <v>-1.6666666666666666E-2</v>
      </c>
      <c r="O74" s="21">
        <f t="shared" si="117"/>
        <v>-1</v>
      </c>
      <c r="P74" s="22">
        <v>-1</v>
      </c>
      <c r="Q74" s="7">
        <f t="shared" si="118"/>
        <v>-60</v>
      </c>
      <c r="R74" s="23">
        <f t="shared" si="119"/>
        <v>-1.6666666666666666E-2</v>
      </c>
      <c r="S74" s="21">
        <f t="shared" si="120"/>
        <v>-1</v>
      </c>
      <c r="T74" s="111">
        <v>0</v>
      </c>
      <c r="U74" s="112">
        <f t="shared" si="100"/>
        <v>0</v>
      </c>
      <c r="V74" s="14">
        <v>0</v>
      </c>
      <c r="W74" s="21">
        <f t="shared" si="101"/>
        <v>0</v>
      </c>
      <c r="X74" s="14">
        <v>0</v>
      </c>
      <c r="Y74" s="113">
        <f t="shared" si="102"/>
        <v>0</v>
      </c>
      <c r="Z74" s="39">
        <v>3.0000000000000001E-3</v>
      </c>
      <c r="AA74" s="39">
        <v>-0.6</v>
      </c>
    </row>
    <row r="75" spans="2:27" x14ac:dyDescent="0.25">
      <c r="B75" s="82">
        <v>70</v>
      </c>
      <c r="C75" s="104" t="s">
        <v>252</v>
      </c>
      <c r="D75" s="89" t="s">
        <v>229</v>
      </c>
      <c r="E75" s="107" t="s">
        <v>230</v>
      </c>
      <c r="F75" s="91">
        <v>30</v>
      </c>
      <c r="G75" s="92">
        <f t="shared" si="97"/>
        <v>0.5</v>
      </c>
      <c r="H75" s="93">
        <v>1</v>
      </c>
      <c r="I75" s="94">
        <f t="shared" si="98"/>
        <v>1.6666666666666666E-2</v>
      </c>
      <c r="J75" s="92">
        <v>0.1</v>
      </c>
      <c r="K75" s="95">
        <f t="shared" si="99"/>
        <v>1.6666666666666668E-3</v>
      </c>
      <c r="L75" s="91">
        <v>-1</v>
      </c>
      <c r="M75" s="96">
        <f t="shared" si="115"/>
        <v>-60</v>
      </c>
      <c r="N75" s="97">
        <f t="shared" si="116"/>
        <v>-1.6666666666666666E-2</v>
      </c>
      <c r="O75" s="95">
        <f t="shared" si="117"/>
        <v>-1</v>
      </c>
      <c r="P75" s="98">
        <v>-1</v>
      </c>
      <c r="Q75" s="96">
        <f t="shared" si="118"/>
        <v>-60</v>
      </c>
      <c r="R75" s="97">
        <f t="shared" si="119"/>
        <v>-1.6666666666666666E-2</v>
      </c>
      <c r="S75" s="95">
        <f t="shared" si="120"/>
        <v>-1</v>
      </c>
      <c r="T75" s="99">
        <v>0</v>
      </c>
      <c r="U75" s="100">
        <f t="shared" si="100"/>
        <v>0</v>
      </c>
      <c r="V75" s="91">
        <v>0</v>
      </c>
      <c r="W75" s="95">
        <f t="shared" si="101"/>
        <v>0</v>
      </c>
      <c r="X75" s="91">
        <v>0</v>
      </c>
      <c r="Y75" s="101">
        <f t="shared" si="102"/>
        <v>0</v>
      </c>
      <c r="Z75" s="102">
        <v>3.0000000000000001E-3</v>
      </c>
      <c r="AA75" s="102">
        <v>-1</v>
      </c>
    </row>
    <row r="76" spans="2:27" ht="30" x14ac:dyDescent="0.25">
      <c r="B76" s="82">
        <v>71</v>
      </c>
      <c r="C76" s="69" t="s">
        <v>44</v>
      </c>
      <c r="D76" s="66" t="s">
        <v>108</v>
      </c>
      <c r="E76" s="103" t="s">
        <v>173</v>
      </c>
      <c r="F76" s="14">
        <f>30*50%</f>
        <v>15</v>
      </c>
      <c r="G76" s="63">
        <f t="shared" si="97"/>
        <v>0.25</v>
      </c>
      <c r="H76" s="59">
        <v>1.5</v>
      </c>
      <c r="I76" s="56">
        <f t="shared" si="98"/>
        <v>2.5000000000000001E-2</v>
      </c>
      <c r="J76" s="63">
        <v>0.5</v>
      </c>
      <c r="K76" s="21">
        <f t="shared" si="99"/>
        <v>8.3333333333333332E-3</v>
      </c>
      <c r="L76" s="14">
        <v>-2.2999999999999998</v>
      </c>
      <c r="M76" s="7">
        <f t="shared" si="115"/>
        <v>-138</v>
      </c>
      <c r="N76" s="23">
        <f t="shared" si="116"/>
        <v>-3.833333333333333E-2</v>
      </c>
      <c r="O76" s="21">
        <f t="shared" si="117"/>
        <v>-2.2999999999999998</v>
      </c>
      <c r="P76" s="22">
        <v>-2.2999999999999998</v>
      </c>
      <c r="Q76" s="7">
        <f t="shared" si="118"/>
        <v>-138</v>
      </c>
      <c r="R76" s="23">
        <f t="shared" si="119"/>
        <v>-3.833333333333333E-2</v>
      </c>
      <c r="S76" s="21">
        <f t="shared" si="120"/>
        <v>-2.2999999999999998</v>
      </c>
      <c r="T76" s="111">
        <v>0</v>
      </c>
      <c r="U76" s="112">
        <f t="shared" si="100"/>
        <v>0</v>
      </c>
      <c r="V76" s="14">
        <v>1</v>
      </c>
      <c r="W76" s="21">
        <f t="shared" si="101"/>
        <v>1.6666666666666666E-2</v>
      </c>
      <c r="X76" s="14">
        <v>0.6</v>
      </c>
      <c r="Y76" s="113">
        <f t="shared" si="102"/>
        <v>0.01</v>
      </c>
      <c r="Z76" s="39">
        <v>0.08</v>
      </c>
      <c r="AA76" s="39">
        <v>-1</v>
      </c>
    </row>
    <row r="77" spans="2:27" ht="30" x14ac:dyDescent="0.25">
      <c r="B77" s="82">
        <v>72</v>
      </c>
      <c r="C77" s="69" t="s">
        <v>42</v>
      </c>
      <c r="D77" s="66" t="s">
        <v>109</v>
      </c>
      <c r="E77" s="103" t="s">
        <v>9</v>
      </c>
      <c r="F77" s="14">
        <f>30*75%</f>
        <v>22.5</v>
      </c>
      <c r="G77" s="63">
        <f t="shared" si="97"/>
        <v>0.375</v>
      </c>
      <c r="H77" s="59">
        <v>1.75</v>
      </c>
      <c r="I77" s="56">
        <f t="shared" si="98"/>
        <v>2.9166666666666667E-2</v>
      </c>
      <c r="J77" s="63">
        <v>1</v>
      </c>
      <c r="K77" s="21">
        <f t="shared" si="99"/>
        <v>1.6666666666666666E-2</v>
      </c>
      <c r="L77" s="14">
        <v>-1.5</v>
      </c>
      <c r="M77" s="7">
        <f t="shared" si="115"/>
        <v>-90</v>
      </c>
      <c r="N77" s="23">
        <f t="shared" si="116"/>
        <v>-2.5000000000000001E-2</v>
      </c>
      <c r="O77" s="21">
        <f t="shared" si="117"/>
        <v>-1.5</v>
      </c>
      <c r="P77" s="22">
        <v>-1.5</v>
      </c>
      <c r="Q77" s="7">
        <f t="shared" si="118"/>
        <v>-90</v>
      </c>
      <c r="R77" s="23">
        <f t="shared" si="119"/>
        <v>-2.5000000000000001E-2</v>
      </c>
      <c r="S77" s="21">
        <f t="shared" si="120"/>
        <v>-1.5</v>
      </c>
      <c r="T77" s="111">
        <v>1.2</v>
      </c>
      <c r="U77" s="112">
        <f t="shared" si="100"/>
        <v>0.02</v>
      </c>
      <c r="V77" s="14">
        <v>1.25</v>
      </c>
      <c r="W77" s="21">
        <f t="shared" si="101"/>
        <v>2.0833333333333332E-2</v>
      </c>
      <c r="X77" s="14">
        <v>-0.75</v>
      </c>
      <c r="Y77" s="113">
        <f t="shared" si="102"/>
        <v>-1.2500000000000001E-2</v>
      </c>
      <c r="Z77" s="39">
        <v>0.1</v>
      </c>
      <c r="AA77" s="39">
        <v>-1</v>
      </c>
    </row>
    <row r="78" spans="2:27" x14ac:dyDescent="0.25">
      <c r="B78" s="82">
        <v>73</v>
      </c>
      <c r="C78" s="70" t="s">
        <v>215</v>
      </c>
      <c r="D78" s="66" t="s">
        <v>110</v>
      </c>
      <c r="E78" s="103" t="s">
        <v>11</v>
      </c>
      <c r="F78" s="14">
        <f>30*50%</f>
        <v>15</v>
      </c>
      <c r="G78" s="63">
        <f t="shared" si="97"/>
        <v>0.25</v>
      </c>
      <c r="H78" s="59">
        <v>1.5</v>
      </c>
      <c r="I78" s="56">
        <f t="shared" si="98"/>
        <v>2.5000000000000001E-2</v>
      </c>
      <c r="J78" s="63">
        <v>0.1</v>
      </c>
      <c r="K78" s="21">
        <f t="shared" si="99"/>
        <v>1.6666666666666668E-3</v>
      </c>
      <c r="L78" s="14">
        <v>-2.2999999999999998</v>
      </c>
      <c r="M78" s="7">
        <f t="shared" si="115"/>
        <v>-138</v>
      </c>
      <c r="N78" s="23">
        <f t="shared" si="116"/>
        <v>-3.833333333333333E-2</v>
      </c>
      <c r="O78" s="21">
        <f t="shared" si="117"/>
        <v>-2.2999999999999998</v>
      </c>
      <c r="P78" s="22">
        <v>-2.2999999999999998</v>
      </c>
      <c r="Q78" s="7">
        <f t="shared" si="118"/>
        <v>-138</v>
      </c>
      <c r="R78" s="23">
        <f t="shared" si="119"/>
        <v>-3.833333333333333E-2</v>
      </c>
      <c r="S78" s="21">
        <f t="shared" si="120"/>
        <v>-2.2999999999999998</v>
      </c>
      <c r="T78" s="111">
        <v>1</v>
      </c>
      <c r="U78" s="112">
        <f t="shared" si="100"/>
        <v>1.6666666666666666E-2</v>
      </c>
      <c r="V78" s="14">
        <v>1.1000000000000001</v>
      </c>
      <c r="W78" s="21">
        <f t="shared" si="101"/>
        <v>1.8333333333333333E-2</v>
      </c>
      <c r="X78" s="14">
        <v>0.1</v>
      </c>
      <c r="Y78" s="113">
        <f t="shared" si="102"/>
        <v>1.6666666666666668E-3</v>
      </c>
      <c r="Z78" s="39">
        <v>3.0000000000000001E-3</v>
      </c>
      <c r="AA78" s="39">
        <v>-0.6</v>
      </c>
    </row>
    <row r="79" spans="2:27" ht="30" x14ac:dyDescent="0.25">
      <c r="B79" s="82">
        <v>74</v>
      </c>
      <c r="C79" s="69" t="s">
        <v>42</v>
      </c>
      <c r="D79" s="66" t="s">
        <v>111</v>
      </c>
      <c r="E79" s="103" t="s">
        <v>48</v>
      </c>
      <c r="F79" s="14">
        <v>30</v>
      </c>
      <c r="G79" s="63">
        <f t="shared" si="97"/>
        <v>0.5</v>
      </c>
      <c r="H79" s="59">
        <v>1</v>
      </c>
      <c r="I79" s="56">
        <f t="shared" si="98"/>
        <v>1.6666666666666666E-2</v>
      </c>
      <c r="J79" s="63">
        <v>0.1</v>
      </c>
      <c r="K79" s="21">
        <f t="shared" si="99"/>
        <v>1.6666666666666668E-3</v>
      </c>
      <c r="L79" s="14">
        <v>-1</v>
      </c>
      <c r="M79" s="7">
        <f t="shared" si="115"/>
        <v>-60</v>
      </c>
      <c r="N79" s="23">
        <f t="shared" si="116"/>
        <v>-1.6666666666666666E-2</v>
      </c>
      <c r="O79" s="21">
        <f t="shared" si="117"/>
        <v>-1</v>
      </c>
      <c r="P79" s="22">
        <v>-1</v>
      </c>
      <c r="Q79" s="7">
        <f t="shared" si="118"/>
        <v>-60</v>
      </c>
      <c r="R79" s="23">
        <f t="shared" si="119"/>
        <v>-1.6666666666666666E-2</v>
      </c>
      <c r="S79" s="21">
        <f t="shared" si="120"/>
        <v>-1</v>
      </c>
      <c r="T79" s="111">
        <v>0</v>
      </c>
      <c r="U79" s="112">
        <f t="shared" si="100"/>
        <v>0</v>
      </c>
      <c r="V79" s="14">
        <v>0</v>
      </c>
      <c r="W79" s="21">
        <f t="shared" si="101"/>
        <v>0</v>
      </c>
      <c r="X79" s="14">
        <v>0</v>
      </c>
      <c r="Y79" s="113">
        <f t="shared" si="102"/>
        <v>0</v>
      </c>
      <c r="Z79" s="39">
        <v>3.0000000000000001E-3</v>
      </c>
      <c r="AA79" s="39">
        <v>-0.6</v>
      </c>
    </row>
    <row r="80" spans="2:27" ht="30" x14ac:dyDescent="0.25">
      <c r="B80" s="82">
        <v>75</v>
      </c>
      <c r="C80" s="69" t="s">
        <v>193</v>
      </c>
      <c r="D80" s="66" t="s">
        <v>112</v>
      </c>
      <c r="E80" s="103" t="s">
        <v>174</v>
      </c>
      <c r="F80" s="14">
        <f>30*50%</f>
        <v>15</v>
      </c>
      <c r="G80" s="63">
        <f t="shared" si="97"/>
        <v>0.25</v>
      </c>
      <c r="H80" s="59">
        <v>1.5</v>
      </c>
      <c r="I80" s="56">
        <f t="shared" si="98"/>
        <v>2.5000000000000001E-2</v>
      </c>
      <c r="J80" s="63">
        <v>0.3</v>
      </c>
      <c r="K80" s="21">
        <f t="shared" si="99"/>
        <v>5.0000000000000001E-3</v>
      </c>
      <c r="L80" s="14">
        <v>-2.5</v>
      </c>
      <c r="M80" s="7">
        <f t="shared" si="115"/>
        <v>-150</v>
      </c>
      <c r="N80" s="23">
        <f t="shared" si="116"/>
        <v>-4.1666666666666664E-2</v>
      </c>
      <c r="O80" s="21">
        <f t="shared" si="117"/>
        <v>-2.5</v>
      </c>
      <c r="P80" s="22">
        <v>-2.5</v>
      </c>
      <c r="Q80" s="7">
        <f t="shared" si="118"/>
        <v>-150</v>
      </c>
      <c r="R80" s="23">
        <f t="shared" si="119"/>
        <v>-4.1666666666666664E-2</v>
      </c>
      <c r="S80" s="21">
        <f t="shared" si="120"/>
        <v>-2.5</v>
      </c>
      <c r="T80" s="111">
        <v>1.7</v>
      </c>
      <c r="U80" s="112">
        <f t="shared" si="100"/>
        <v>2.8333333333333332E-2</v>
      </c>
      <c r="V80" s="14">
        <v>1.05</v>
      </c>
      <c r="W80" s="21">
        <f t="shared" si="101"/>
        <v>1.7500000000000002E-2</v>
      </c>
      <c r="X80" s="14">
        <v>0.5</v>
      </c>
      <c r="Y80" s="113">
        <f t="shared" si="102"/>
        <v>8.3333333333333332E-3</v>
      </c>
      <c r="Z80" s="39">
        <v>3.0000000000000001E-3</v>
      </c>
      <c r="AA80" s="39">
        <v>-0.6</v>
      </c>
    </row>
    <row r="81" spans="2:27" x14ac:dyDescent="0.25">
      <c r="B81" s="82">
        <v>76</v>
      </c>
      <c r="C81" s="108" t="s">
        <v>216</v>
      </c>
      <c r="D81" s="89" t="s">
        <v>237</v>
      </c>
      <c r="E81" s="90" t="s">
        <v>238</v>
      </c>
      <c r="F81" s="91">
        <v>30</v>
      </c>
      <c r="G81" s="92">
        <f t="shared" si="97"/>
        <v>0.5</v>
      </c>
      <c r="H81" s="93">
        <v>1</v>
      </c>
      <c r="I81" s="94">
        <f t="shared" si="98"/>
        <v>1.6666666666666666E-2</v>
      </c>
      <c r="J81" s="92">
        <v>0.1</v>
      </c>
      <c r="K81" s="95">
        <f t="shared" si="99"/>
        <v>1.6666666666666668E-3</v>
      </c>
      <c r="L81" s="91">
        <v>-1</v>
      </c>
      <c r="M81" s="96">
        <f t="shared" si="115"/>
        <v>-60</v>
      </c>
      <c r="N81" s="97">
        <f t="shared" si="116"/>
        <v>-1.6666666666666666E-2</v>
      </c>
      <c r="O81" s="95">
        <f t="shared" si="117"/>
        <v>-1</v>
      </c>
      <c r="P81" s="98">
        <v>-1</v>
      </c>
      <c r="Q81" s="96">
        <f t="shared" si="118"/>
        <v>-60</v>
      </c>
      <c r="R81" s="97">
        <f t="shared" si="119"/>
        <v>-1.6666666666666666E-2</v>
      </c>
      <c r="S81" s="95">
        <f t="shared" si="120"/>
        <v>-1</v>
      </c>
      <c r="T81" s="99">
        <v>0</v>
      </c>
      <c r="U81" s="100">
        <f t="shared" si="100"/>
        <v>0</v>
      </c>
      <c r="V81" s="91">
        <v>0</v>
      </c>
      <c r="W81" s="95">
        <f t="shared" si="101"/>
        <v>0</v>
      </c>
      <c r="X81" s="91">
        <v>0</v>
      </c>
      <c r="Y81" s="101">
        <f t="shared" si="102"/>
        <v>0</v>
      </c>
      <c r="Z81" s="102">
        <v>3.0000000000000001E-3</v>
      </c>
      <c r="AA81" s="102">
        <v>-1</v>
      </c>
    </row>
    <row r="82" spans="2:27" x14ac:dyDescent="0.25">
      <c r="B82" s="82">
        <v>77</v>
      </c>
      <c r="C82" s="108" t="s">
        <v>239</v>
      </c>
      <c r="D82" s="89" t="s">
        <v>229</v>
      </c>
      <c r="E82" s="107" t="s">
        <v>230</v>
      </c>
      <c r="F82" s="91">
        <v>30</v>
      </c>
      <c r="G82" s="92">
        <f t="shared" si="97"/>
        <v>0.5</v>
      </c>
      <c r="H82" s="93">
        <v>1</v>
      </c>
      <c r="I82" s="94">
        <f t="shared" si="98"/>
        <v>1.6666666666666666E-2</v>
      </c>
      <c r="J82" s="92">
        <v>0.1</v>
      </c>
      <c r="K82" s="95">
        <f t="shared" si="99"/>
        <v>1.6666666666666668E-3</v>
      </c>
      <c r="L82" s="91">
        <v>-1</v>
      </c>
      <c r="M82" s="96">
        <f t="shared" si="115"/>
        <v>-60</v>
      </c>
      <c r="N82" s="97">
        <f t="shared" si="116"/>
        <v>-1.6666666666666666E-2</v>
      </c>
      <c r="O82" s="95">
        <f t="shared" si="117"/>
        <v>-1</v>
      </c>
      <c r="P82" s="98">
        <v>-1</v>
      </c>
      <c r="Q82" s="96">
        <f t="shared" si="118"/>
        <v>-60</v>
      </c>
      <c r="R82" s="97">
        <f t="shared" si="119"/>
        <v>-1.6666666666666666E-2</v>
      </c>
      <c r="S82" s="95">
        <f t="shared" si="120"/>
        <v>-1</v>
      </c>
      <c r="T82" s="99">
        <v>0</v>
      </c>
      <c r="U82" s="100">
        <f t="shared" si="100"/>
        <v>0</v>
      </c>
      <c r="V82" s="91">
        <v>0</v>
      </c>
      <c r="W82" s="95">
        <f t="shared" si="101"/>
        <v>0</v>
      </c>
      <c r="X82" s="91">
        <v>0</v>
      </c>
      <c r="Y82" s="101">
        <f t="shared" si="102"/>
        <v>0</v>
      </c>
      <c r="Z82" s="102">
        <v>3.0000000000000001E-3</v>
      </c>
      <c r="AA82" s="102">
        <v>-1</v>
      </c>
    </row>
    <row r="83" spans="2:27" x14ac:dyDescent="0.25">
      <c r="B83" s="82">
        <v>78</v>
      </c>
      <c r="C83" s="108" t="s">
        <v>231</v>
      </c>
      <c r="D83" s="89" t="s">
        <v>245</v>
      </c>
      <c r="E83" s="90" t="s">
        <v>246</v>
      </c>
      <c r="F83" s="91">
        <v>30</v>
      </c>
      <c r="G83" s="92">
        <f t="shared" ref="G83" si="122">F83/60</f>
        <v>0.5</v>
      </c>
      <c r="H83" s="93">
        <v>1</v>
      </c>
      <c r="I83" s="94">
        <f t="shared" ref="I83" si="123">H83/60</f>
        <v>1.6666666666666666E-2</v>
      </c>
      <c r="J83" s="92">
        <v>0.1</v>
      </c>
      <c r="K83" s="95">
        <f t="shared" ref="K83" si="124">J83/60</f>
        <v>1.6666666666666668E-3</v>
      </c>
      <c r="L83" s="91">
        <v>-1</v>
      </c>
      <c r="M83" s="96">
        <f t="shared" ref="M83" si="125">L83*60</f>
        <v>-60</v>
      </c>
      <c r="N83" s="97">
        <f t="shared" ref="N83" si="126">L83/60</f>
        <v>-1.6666666666666666E-2</v>
      </c>
      <c r="O83" s="95">
        <f t="shared" ref="O83" si="127">N83*60</f>
        <v>-1</v>
      </c>
      <c r="P83" s="98">
        <v>-1</v>
      </c>
      <c r="Q83" s="96">
        <f t="shared" ref="Q83" si="128">P83*60</f>
        <v>-60</v>
      </c>
      <c r="R83" s="97">
        <f t="shared" ref="R83" si="129">P83/60</f>
        <v>-1.6666666666666666E-2</v>
      </c>
      <c r="S83" s="95">
        <f t="shared" ref="S83" si="130">R83*60</f>
        <v>-1</v>
      </c>
      <c r="T83" s="99">
        <v>0</v>
      </c>
      <c r="U83" s="100">
        <f t="shared" ref="U83" si="131">T83/60</f>
        <v>0</v>
      </c>
      <c r="V83" s="91">
        <v>0</v>
      </c>
      <c r="W83" s="95">
        <f t="shared" ref="W83" si="132">V83/60</f>
        <v>0</v>
      </c>
      <c r="X83" s="91">
        <v>0</v>
      </c>
      <c r="Y83" s="101">
        <f t="shared" ref="Y83" si="133">X83/60</f>
        <v>0</v>
      </c>
      <c r="Z83" s="102">
        <v>3.0000000000000001E-3</v>
      </c>
      <c r="AA83" s="102">
        <v>-1</v>
      </c>
    </row>
    <row r="84" spans="2:27" x14ac:dyDescent="0.25">
      <c r="B84" s="82">
        <v>79</v>
      </c>
      <c r="C84" s="108" t="s">
        <v>253</v>
      </c>
      <c r="D84" s="66" t="s">
        <v>113</v>
      </c>
      <c r="E84" s="103" t="s">
        <v>175</v>
      </c>
      <c r="F84" s="14">
        <f>30*50%</f>
        <v>15</v>
      </c>
      <c r="G84" s="63">
        <f t="shared" si="97"/>
        <v>0.25</v>
      </c>
      <c r="H84" s="59">
        <v>1.5</v>
      </c>
      <c r="I84" s="56">
        <f t="shared" si="98"/>
        <v>2.5000000000000001E-2</v>
      </c>
      <c r="J84" s="63">
        <v>0.4</v>
      </c>
      <c r="K84" s="21">
        <f t="shared" si="99"/>
        <v>6.6666666666666671E-3</v>
      </c>
      <c r="L84" s="14">
        <v>-2.5</v>
      </c>
      <c r="M84" s="7">
        <f t="shared" si="115"/>
        <v>-150</v>
      </c>
      <c r="N84" s="23">
        <f t="shared" si="116"/>
        <v>-4.1666666666666664E-2</v>
      </c>
      <c r="O84" s="21">
        <f t="shared" si="117"/>
        <v>-2.5</v>
      </c>
      <c r="P84" s="22">
        <v>-2.5</v>
      </c>
      <c r="Q84" s="7">
        <f t="shared" si="118"/>
        <v>-150</v>
      </c>
      <c r="R84" s="23">
        <f t="shared" si="119"/>
        <v>-4.1666666666666664E-2</v>
      </c>
      <c r="S84" s="21">
        <f t="shared" si="120"/>
        <v>-2.5</v>
      </c>
      <c r="T84" s="111">
        <v>1.5</v>
      </c>
      <c r="U84" s="112">
        <f t="shared" si="100"/>
        <v>2.5000000000000001E-2</v>
      </c>
      <c r="V84" s="14">
        <v>1.1000000000000001</v>
      </c>
      <c r="W84" s="21">
        <f t="shared" si="101"/>
        <v>1.8333333333333333E-2</v>
      </c>
      <c r="X84" s="14">
        <v>-0.1</v>
      </c>
      <c r="Y84" s="113">
        <f t="shared" si="102"/>
        <v>-1.6666666666666668E-3</v>
      </c>
      <c r="Z84" s="39">
        <v>5.0000000000000001E-3</v>
      </c>
      <c r="AA84" s="39">
        <v>-0.1</v>
      </c>
    </row>
    <row r="85" spans="2:27" ht="30" x14ac:dyDescent="0.25">
      <c r="B85" s="82">
        <v>80</v>
      </c>
      <c r="C85" s="69" t="s">
        <v>193</v>
      </c>
      <c r="D85" s="66" t="s">
        <v>114</v>
      </c>
      <c r="E85" s="103" t="s">
        <v>176</v>
      </c>
      <c r="F85" s="14">
        <f>30*75%</f>
        <v>22.5</v>
      </c>
      <c r="G85" s="63">
        <f t="shared" si="97"/>
        <v>0.375</v>
      </c>
      <c r="H85" s="59">
        <v>1.75</v>
      </c>
      <c r="I85" s="56">
        <f t="shared" si="98"/>
        <v>2.9166666666666667E-2</v>
      </c>
      <c r="J85" s="63">
        <v>0.4</v>
      </c>
      <c r="K85" s="21">
        <f t="shared" si="99"/>
        <v>6.6666666666666671E-3</v>
      </c>
      <c r="L85" s="14">
        <v>-2</v>
      </c>
      <c r="M85" s="7">
        <f t="shared" ref="M85" si="134">L85*60</f>
        <v>-120</v>
      </c>
      <c r="N85" s="23">
        <f t="shared" ref="N85" si="135">L85/60</f>
        <v>-3.3333333333333333E-2</v>
      </c>
      <c r="O85" s="21">
        <f t="shared" ref="O85" si="136">N85*60</f>
        <v>-2</v>
      </c>
      <c r="P85" s="22">
        <v>-2</v>
      </c>
      <c r="Q85" s="7">
        <f t="shared" ref="Q85" si="137">P85*60</f>
        <v>-120</v>
      </c>
      <c r="R85" s="23">
        <f t="shared" ref="R85" si="138">P85/60</f>
        <v>-3.3333333333333333E-2</v>
      </c>
      <c r="S85" s="21">
        <f t="shared" ref="S85" si="139">R85*60</f>
        <v>-2</v>
      </c>
      <c r="T85" s="111">
        <v>0</v>
      </c>
      <c r="U85" s="112">
        <f t="shared" si="100"/>
        <v>0</v>
      </c>
      <c r="V85" s="14">
        <v>1.05</v>
      </c>
      <c r="W85" s="21">
        <f t="shared" si="101"/>
        <v>1.7500000000000002E-2</v>
      </c>
      <c r="X85" s="14">
        <v>0.5</v>
      </c>
      <c r="Y85" s="113">
        <f t="shared" si="102"/>
        <v>8.3333333333333332E-3</v>
      </c>
      <c r="Z85" s="39">
        <v>3.0000000000000001E-3</v>
      </c>
      <c r="AA85" s="39">
        <v>-0.6</v>
      </c>
    </row>
    <row r="86" spans="2:27" x14ac:dyDescent="0.25">
      <c r="B86" s="82">
        <v>81</v>
      </c>
      <c r="C86" s="69" t="s">
        <v>44</v>
      </c>
      <c r="D86" s="66" t="s">
        <v>115</v>
      </c>
      <c r="E86" s="103" t="s">
        <v>46</v>
      </c>
      <c r="F86" s="14">
        <f>30*50%</f>
        <v>15</v>
      </c>
      <c r="G86" s="63">
        <f t="shared" si="97"/>
        <v>0.25</v>
      </c>
      <c r="H86" s="59">
        <v>1.5</v>
      </c>
      <c r="I86" s="56">
        <f t="shared" si="98"/>
        <v>2.5000000000000001E-2</v>
      </c>
      <c r="J86" s="63">
        <v>0.3</v>
      </c>
      <c r="K86" s="21">
        <f t="shared" si="99"/>
        <v>5.0000000000000001E-3</v>
      </c>
      <c r="L86" s="14">
        <v>-2.2999999999999998</v>
      </c>
      <c r="M86" s="7">
        <f t="shared" ref="M86:M101" si="140">L86*60</f>
        <v>-138</v>
      </c>
      <c r="N86" s="23">
        <f>L86/60</f>
        <v>-3.833333333333333E-2</v>
      </c>
      <c r="O86" s="21">
        <f t="shared" ref="O86:O101" si="141">N86*60</f>
        <v>-2.2999999999999998</v>
      </c>
      <c r="P86" s="22">
        <v>-2.2999999999999998</v>
      </c>
      <c r="Q86" s="7">
        <f t="shared" ref="Q86:Q101" si="142">P86*60</f>
        <v>-138</v>
      </c>
      <c r="R86" s="23">
        <f>P86/60</f>
        <v>-3.833333333333333E-2</v>
      </c>
      <c r="S86" s="21">
        <f t="shared" ref="S86:S101" si="143">R86*60</f>
        <v>-2.2999999999999998</v>
      </c>
      <c r="T86" s="111">
        <v>1.8</v>
      </c>
      <c r="U86" s="112">
        <f t="shared" si="100"/>
        <v>3.0000000000000002E-2</v>
      </c>
      <c r="V86" s="14">
        <v>1</v>
      </c>
      <c r="W86" s="21">
        <f t="shared" si="101"/>
        <v>1.6666666666666666E-2</v>
      </c>
      <c r="X86" s="14">
        <v>0.6</v>
      </c>
      <c r="Y86" s="113">
        <f t="shared" si="102"/>
        <v>0.01</v>
      </c>
      <c r="Z86" s="39">
        <v>3.0000000000000001E-3</v>
      </c>
      <c r="AA86" s="39">
        <v>-0.6</v>
      </c>
    </row>
    <row r="87" spans="2:27" ht="30" x14ac:dyDescent="0.25">
      <c r="B87" s="82">
        <v>82</v>
      </c>
      <c r="C87" s="73" t="s">
        <v>217</v>
      </c>
      <c r="D87" s="66" t="s">
        <v>116</v>
      </c>
      <c r="E87" s="103" t="s">
        <v>177</v>
      </c>
      <c r="F87" s="14">
        <f>30*50%</f>
        <v>15</v>
      </c>
      <c r="G87" s="63">
        <f t="shared" si="97"/>
        <v>0.25</v>
      </c>
      <c r="H87" s="59">
        <v>1.5</v>
      </c>
      <c r="I87" s="56">
        <f t="shared" si="98"/>
        <v>2.5000000000000001E-2</v>
      </c>
      <c r="J87" s="63">
        <v>0.3</v>
      </c>
      <c r="K87" s="21">
        <f t="shared" si="99"/>
        <v>5.0000000000000001E-3</v>
      </c>
      <c r="L87" s="14">
        <v>-2.2999999999999998</v>
      </c>
      <c r="M87" s="7">
        <f t="shared" si="140"/>
        <v>-138</v>
      </c>
      <c r="N87" s="23">
        <f>L87/60</f>
        <v>-3.833333333333333E-2</v>
      </c>
      <c r="O87" s="21">
        <f t="shared" si="141"/>
        <v>-2.2999999999999998</v>
      </c>
      <c r="P87" s="22">
        <v>-2.2999999999999998</v>
      </c>
      <c r="Q87" s="7">
        <f t="shared" si="142"/>
        <v>-138</v>
      </c>
      <c r="R87" s="23">
        <f>P87/60</f>
        <v>-3.833333333333333E-2</v>
      </c>
      <c r="S87" s="21">
        <f t="shared" si="143"/>
        <v>-2.2999999999999998</v>
      </c>
      <c r="T87" s="111">
        <v>0</v>
      </c>
      <c r="U87" s="112">
        <f t="shared" si="100"/>
        <v>0</v>
      </c>
      <c r="V87" s="14">
        <v>1</v>
      </c>
      <c r="W87" s="21">
        <f t="shared" si="101"/>
        <v>1.6666666666666666E-2</v>
      </c>
      <c r="X87" s="14">
        <v>0.6</v>
      </c>
      <c r="Y87" s="113">
        <f t="shared" si="102"/>
        <v>0.01</v>
      </c>
      <c r="Z87" s="39">
        <v>0.05</v>
      </c>
      <c r="AA87" s="39">
        <v>-0.6</v>
      </c>
    </row>
    <row r="88" spans="2:27" ht="30" x14ac:dyDescent="0.25">
      <c r="B88" s="82">
        <v>83</v>
      </c>
      <c r="C88" s="73" t="s">
        <v>218</v>
      </c>
      <c r="D88" s="66" t="s">
        <v>117</v>
      </c>
      <c r="E88" s="103" t="s">
        <v>8</v>
      </c>
      <c r="F88" s="14">
        <f>30*50%</f>
        <v>15</v>
      </c>
      <c r="G88" s="63">
        <f t="shared" si="97"/>
        <v>0.25</v>
      </c>
      <c r="H88" s="59">
        <v>1.5</v>
      </c>
      <c r="I88" s="56">
        <f t="shared" si="98"/>
        <v>2.5000000000000001E-2</v>
      </c>
      <c r="J88" s="63">
        <v>0.3</v>
      </c>
      <c r="K88" s="21">
        <f t="shared" si="99"/>
        <v>5.0000000000000001E-3</v>
      </c>
      <c r="L88" s="14">
        <v>-2.5</v>
      </c>
      <c r="M88" s="7">
        <f t="shared" si="140"/>
        <v>-150</v>
      </c>
      <c r="N88" s="23">
        <f>L88/60</f>
        <v>-4.1666666666666664E-2</v>
      </c>
      <c r="O88" s="21">
        <f t="shared" si="141"/>
        <v>-2.5</v>
      </c>
      <c r="P88" s="22">
        <v>-2.5</v>
      </c>
      <c r="Q88" s="7">
        <f t="shared" si="142"/>
        <v>-150</v>
      </c>
      <c r="R88" s="23">
        <f>P88/60</f>
        <v>-4.1666666666666664E-2</v>
      </c>
      <c r="S88" s="21">
        <f t="shared" si="143"/>
        <v>-2.5</v>
      </c>
      <c r="T88" s="111">
        <v>1.5</v>
      </c>
      <c r="U88" s="112">
        <f t="shared" si="100"/>
        <v>2.5000000000000001E-2</v>
      </c>
      <c r="V88" s="14">
        <v>1.3</v>
      </c>
      <c r="W88" s="21">
        <f t="shared" si="101"/>
        <v>2.1666666666666667E-2</v>
      </c>
      <c r="X88" s="14">
        <v>0.3</v>
      </c>
      <c r="Y88" s="113">
        <f t="shared" si="102"/>
        <v>5.0000000000000001E-3</v>
      </c>
      <c r="Z88" s="39">
        <v>0.03</v>
      </c>
      <c r="AA88" s="39">
        <v>-0.6</v>
      </c>
    </row>
    <row r="89" spans="2:27" x14ac:dyDescent="0.25">
      <c r="B89" s="82">
        <v>84</v>
      </c>
      <c r="C89" s="104" t="s">
        <v>244</v>
      </c>
      <c r="D89" s="89" t="s">
        <v>229</v>
      </c>
      <c r="E89" s="90" t="s">
        <v>230</v>
      </c>
      <c r="F89" s="91">
        <v>30</v>
      </c>
      <c r="G89" s="92">
        <f t="shared" si="97"/>
        <v>0.5</v>
      </c>
      <c r="H89" s="93">
        <v>1</v>
      </c>
      <c r="I89" s="94">
        <f t="shared" si="98"/>
        <v>1.6666666666666666E-2</v>
      </c>
      <c r="J89" s="92">
        <v>0.1</v>
      </c>
      <c r="K89" s="95">
        <f t="shared" si="99"/>
        <v>1.6666666666666668E-3</v>
      </c>
      <c r="L89" s="91">
        <v>-1</v>
      </c>
      <c r="M89" s="96">
        <f t="shared" si="140"/>
        <v>-60</v>
      </c>
      <c r="N89" s="97">
        <f t="shared" ref="N89:N91" si="144">L89/60</f>
        <v>-1.6666666666666666E-2</v>
      </c>
      <c r="O89" s="95">
        <f t="shared" si="141"/>
        <v>-1</v>
      </c>
      <c r="P89" s="98">
        <v>-1</v>
      </c>
      <c r="Q89" s="96">
        <f t="shared" si="142"/>
        <v>-60</v>
      </c>
      <c r="R89" s="97">
        <f t="shared" ref="R89:R91" si="145">P89/60</f>
        <v>-1.6666666666666666E-2</v>
      </c>
      <c r="S89" s="95">
        <f t="shared" si="143"/>
        <v>-1</v>
      </c>
      <c r="T89" s="99">
        <v>0</v>
      </c>
      <c r="U89" s="100">
        <f t="shared" si="100"/>
        <v>0</v>
      </c>
      <c r="V89" s="91">
        <v>0</v>
      </c>
      <c r="W89" s="95">
        <f t="shared" si="101"/>
        <v>0</v>
      </c>
      <c r="X89" s="91">
        <v>0</v>
      </c>
      <c r="Y89" s="101">
        <f t="shared" si="102"/>
        <v>0</v>
      </c>
      <c r="Z89" s="102">
        <v>3.0000000000000001E-3</v>
      </c>
      <c r="AA89" s="102">
        <v>-1</v>
      </c>
    </row>
    <row r="90" spans="2:27" x14ac:dyDescent="0.25">
      <c r="B90" s="82">
        <v>85</v>
      </c>
      <c r="C90" s="108" t="s">
        <v>231</v>
      </c>
      <c r="D90" s="89" t="s">
        <v>245</v>
      </c>
      <c r="E90" s="90" t="s">
        <v>246</v>
      </c>
      <c r="F90" s="91">
        <v>30</v>
      </c>
      <c r="G90" s="92">
        <f t="shared" si="97"/>
        <v>0.5</v>
      </c>
      <c r="H90" s="93">
        <v>1</v>
      </c>
      <c r="I90" s="94">
        <f t="shared" si="98"/>
        <v>1.6666666666666666E-2</v>
      </c>
      <c r="J90" s="92">
        <v>0.1</v>
      </c>
      <c r="K90" s="95">
        <f t="shared" si="99"/>
        <v>1.6666666666666668E-3</v>
      </c>
      <c r="L90" s="91">
        <v>-1</v>
      </c>
      <c r="M90" s="96">
        <f t="shared" si="140"/>
        <v>-60</v>
      </c>
      <c r="N90" s="97">
        <f t="shared" si="144"/>
        <v>-1.6666666666666666E-2</v>
      </c>
      <c r="O90" s="95">
        <f t="shared" si="141"/>
        <v>-1</v>
      </c>
      <c r="P90" s="98">
        <v>-1</v>
      </c>
      <c r="Q90" s="96">
        <f t="shared" si="142"/>
        <v>-60</v>
      </c>
      <c r="R90" s="97">
        <f t="shared" si="145"/>
        <v>-1.6666666666666666E-2</v>
      </c>
      <c r="S90" s="95">
        <f t="shared" si="143"/>
        <v>-1</v>
      </c>
      <c r="T90" s="99">
        <v>0</v>
      </c>
      <c r="U90" s="100">
        <f t="shared" si="100"/>
        <v>0</v>
      </c>
      <c r="V90" s="91">
        <v>0</v>
      </c>
      <c r="W90" s="95">
        <f t="shared" si="101"/>
        <v>0</v>
      </c>
      <c r="X90" s="91">
        <v>0</v>
      </c>
      <c r="Y90" s="101">
        <f t="shared" si="102"/>
        <v>0</v>
      </c>
      <c r="Z90" s="102">
        <v>3.0000000000000001E-3</v>
      </c>
      <c r="AA90" s="102">
        <v>-1</v>
      </c>
    </row>
    <row r="91" spans="2:27" ht="30" x14ac:dyDescent="0.25">
      <c r="B91" s="82">
        <v>86</v>
      </c>
      <c r="C91" s="108" t="s">
        <v>247</v>
      </c>
      <c r="D91" s="89" t="s">
        <v>248</v>
      </c>
      <c r="E91" s="90" t="s">
        <v>249</v>
      </c>
      <c r="F91" s="91">
        <v>30</v>
      </c>
      <c r="G91" s="92">
        <f t="shared" si="97"/>
        <v>0.5</v>
      </c>
      <c r="H91" s="93">
        <v>1</v>
      </c>
      <c r="I91" s="94">
        <f t="shared" si="98"/>
        <v>1.6666666666666666E-2</v>
      </c>
      <c r="J91" s="92">
        <v>0.1</v>
      </c>
      <c r="K91" s="95">
        <f t="shared" si="99"/>
        <v>1.6666666666666668E-3</v>
      </c>
      <c r="L91" s="91">
        <v>-1</v>
      </c>
      <c r="M91" s="96">
        <f t="shared" si="140"/>
        <v>-60</v>
      </c>
      <c r="N91" s="97">
        <f t="shared" si="144"/>
        <v>-1.6666666666666666E-2</v>
      </c>
      <c r="O91" s="95">
        <f t="shared" si="141"/>
        <v>-1</v>
      </c>
      <c r="P91" s="98">
        <v>-1</v>
      </c>
      <c r="Q91" s="96">
        <f t="shared" si="142"/>
        <v>-60</v>
      </c>
      <c r="R91" s="97">
        <f t="shared" si="145"/>
        <v>-1.6666666666666666E-2</v>
      </c>
      <c r="S91" s="95">
        <f t="shared" si="143"/>
        <v>-1</v>
      </c>
      <c r="T91" s="99">
        <v>0</v>
      </c>
      <c r="U91" s="100">
        <f t="shared" si="100"/>
        <v>0</v>
      </c>
      <c r="V91" s="91">
        <v>0</v>
      </c>
      <c r="W91" s="95">
        <f t="shared" si="101"/>
        <v>0</v>
      </c>
      <c r="X91" s="91">
        <v>0</v>
      </c>
      <c r="Y91" s="101">
        <f t="shared" si="102"/>
        <v>0</v>
      </c>
      <c r="Z91" s="102">
        <v>3.0000000000000001E-3</v>
      </c>
      <c r="AA91" s="102">
        <v>-1</v>
      </c>
    </row>
    <row r="92" spans="2:27" ht="30" x14ac:dyDescent="0.25">
      <c r="B92" s="82">
        <v>87</v>
      </c>
      <c r="C92" s="108" t="s">
        <v>250</v>
      </c>
      <c r="D92" s="66" t="s">
        <v>118</v>
      </c>
      <c r="E92" s="103" t="s">
        <v>178</v>
      </c>
      <c r="F92" s="14">
        <f>30*50%</f>
        <v>15</v>
      </c>
      <c r="G92" s="63">
        <f t="shared" si="97"/>
        <v>0.25</v>
      </c>
      <c r="H92" s="59">
        <v>1.5</v>
      </c>
      <c r="I92" s="56">
        <f t="shared" si="98"/>
        <v>2.5000000000000001E-2</v>
      </c>
      <c r="J92" s="63">
        <v>0.2</v>
      </c>
      <c r="K92" s="21">
        <f t="shared" si="99"/>
        <v>3.3333333333333335E-3</v>
      </c>
      <c r="L92" s="14">
        <v>-2.5</v>
      </c>
      <c r="M92" s="7">
        <f t="shared" si="140"/>
        <v>-150</v>
      </c>
      <c r="N92" s="23">
        <f>L92/60</f>
        <v>-4.1666666666666664E-2</v>
      </c>
      <c r="O92" s="21">
        <f t="shared" si="141"/>
        <v>-2.5</v>
      </c>
      <c r="P92" s="22">
        <v>-2.5</v>
      </c>
      <c r="Q92" s="7">
        <f t="shared" si="142"/>
        <v>-150</v>
      </c>
      <c r="R92" s="23">
        <f>P92/60</f>
        <v>-4.1666666666666664E-2</v>
      </c>
      <c r="S92" s="21">
        <f t="shared" si="143"/>
        <v>-2.5</v>
      </c>
      <c r="T92" s="111">
        <v>1.7</v>
      </c>
      <c r="U92" s="112">
        <f t="shared" si="100"/>
        <v>2.8333333333333332E-2</v>
      </c>
      <c r="V92" s="14">
        <v>1.1000000000000001</v>
      </c>
      <c r="W92" s="21">
        <f t="shared" si="101"/>
        <v>1.8333333333333333E-2</v>
      </c>
      <c r="X92" s="14">
        <v>0.1</v>
      </c>
      <c r="Y92" s="113">
        <f t="shared" si="102"/>
        <v>1.6666666666666668E-3</v>
      </c>
      <c r="Z92" s="39">
        <v>7.0000000000000001E-3</v>
      </c>
      <c r="AA92" s="39">
        <v>-0.8</v>
      </c>
    </row>
    <row r="93" spans="2:27" x14ac:dyDescent="0.25">
      <c r="B93" s="82">
        <v>88</v>
      </c>
      <c r="C93" s="70" t="s">
        <v>219</v>
      </c>
      <c r="D93" s="66" t="s">
        <v>119</v>
      </c>
      <c r="E93" s="103" t="s">
        <v>10</v>
      </c>
      <c r="F93" s="14">
        <f>30*50%</f>
        <v>15</v>
      </c>
      <c r="G93" s="63">
        <f t="shared" si="97"/>
        <v>0.25</v>
      </c>
      <c r="H93" s="59">
        <v>1.5</v>
      </c>
      <c r="I93" s="56">
        <f t="shared" si="98"/>
        <v>2.5000000000000001E-2</v>
      </c>
      <c r="J93" s="63">
        <v>0.4</v>
      </c>
      <c r="K93" s="21">
        <f t="shared" si="99"/>
        <v>6.6666666666666671E-3</v>
      </c>
      <c r="L93" s="14">
        <v>-2.2999999999999998</v>
      </c>
      <c r="M93" s="7">
        <f t="shared" si="140"/>
        <v>-138</v>
      </c>
      <c r="N93" s="23">
        <f t="shared" ref="N93" si="146">L93/60</f>
        <v>-3.833333333333333E-2</v>
      </c>
      <c r="O93" s="21">
        <f t="shared" si="141"/>
        <v>-2.2999999999999998</v>
      </c>
      <c r="P93" s="22">
        <v>-2.2999999999999998</v>
      </c>
      <c r="Q93" s="7">
        <f t="shared" si="142"/>
        <v>-138</v>
      </c>
      <c r="R93" s="23">
        <f t="shared" ref="R93" si="147">P93/60</f>
        <v>-3.833333333333333E-2</v>
      </c>
      <c r="S93" s="21">
        <f t="shared" si="143"/>
        <v>-2.2999999999999998</v>
      </c>
      <c r="T93" s="111">
        <v>1</v>
      </c>
      <c r="U93" s="112">
        <f t="shared" si="100"/>
        <v>1.6666666666666666E-2</v>
      </c>
      <c r="V93" s="14">
        <v>1.5</v>
      </c>
      <c r="W93" s="21">
        <f t="shared" si="101"/>
        <v>2.5000000000000001E-2</v>
      </c>
      <c r="X93" s="14">
        <v>0.5</v>
      </c>
      <c r="Y93" s="113">
        <f t="shared" si="102"/>
        <v>8.3333333333333332E-3</v>
      </c>
      <c r="Z93" s="39">
        <v>5.0000000000000001E-3</v>
      </c>
      <c r="AA93" s="39">
        <v>-0.6</v>
      </c>
    </row>
    <row r="94" spans="2:27" x14ac:dyDescent="0.25">
      <c r="B94" s="82">
        <v>89</v>
      </c>
      <c r="C94" s="69" t="s">
        <v>42</v>
      </c>
      <c r="D94" s="66" t="s">
        <v>120</v>
      </c>
      <c r="E94" s="103" t="s">
        <v>6</v>
      </c>
      <c r="F94" s="14">
        <v>30</v>
      </c>
      <c r="G94" s="63">
        <f t="shared" si="97"/>
        <v>0.5</v>
      </c>
      <c r="H94" s="59">
        <v>1</v>
      </c>
      <c r="I94" s="56">
        <f t="shared" si="98"/>
        <v>1.6666666666666666E-2</v>
      </c>
      <c r="J94" s="63">
        <v>0.2</v>
      </c>
      <c r="K94" s="21">
        <f t="shared" si="99"/>
        <v>3.3333333333333335E-3</v>
      </c>
      <c r="L94" s="14">
        <v>-1</v>
      </c>
      <c r="M94" s="7">
        <f t="shared" si="140"/>
        <v>-60</v>
      </c>
      <c r="N94" s="23">
        <f t="shared" ref="N94:N101" si="148">L94/60</f>
        <v>-1.6666666666666666E-2</v>
      </c>
      <c r="O94" s="21">
        <f t="shared" si="141"/>
        <v>-1</v>
      </c>
      <c r="P94" s="22">
        <v>-1</v>
      </c>
      <c r="Q94" s="7">
        <f t="shared" si="142"/>
        <v>-60</v>
      </c>
      <c r="R94" s="23">
        <f t="shared" ref="R94:R101" si="149">P94/60</f>
        <v>-1.6666666666666666E-2</v>
      </c>
      <c r="S94" s="21">
        <f t="shared" si="143"/>
        <v>-1</v>
      </c>
      <c r="T94" s="111">
        <v>1.2</v>
      </c>
      <c r="U94" s="112">
        <f t="shared" si="100"/>
        <v>0.02</v>
      </c>
      <c r="V94" s="14">
        <v>1</v>
      </c>
      <c r="W94" s="21">
        <f t="shared" si="101"/>
        <v>1.6666666666666666E-2</v>
      </c>
      <c r="X94" s="14">
        <v>0.6</v>
      </c>
      <c r="Y94" s="113">
        <f t="shared" si="102"/>
        <v>0.01</v>
      </c>
      <c r="Z94" s="39">
        <v>7.0000000000000001E-3</v>
      </c>
      <c r="AA94" s="39">
        <v>-0.2</v>
      </c>
    </row>
    <row r="95" spans="2:27" x14ac:dyDescent="0.25">
      <c r="B95" s="82">
        <v>90</v>
      </c>
      <c r="C95" s="104" t="s">
        <v>42</v>
      </c>
      <c r="D95" s="89" t="s">
        <v>229</v>
      </c>
      <c r="E95" s="107" t="s">
        <v>230</v>
      </c>
      <c r="F95" s="91">
        <v>30</v>
      </c>
      <c r="G95" s="92">
        <f t="shared" si="97"/>
        <v>0.5</v>
      </c>
      <c r="H95" s="93">
        <v>1</v>
      </c>
      <c r="I95" s="94">
        <f t="shared" si="98"/>
        <v>1.6666666666666666E-2</v>
      </c>
      <c r="J95" s="92">
        <v>0.1</v>
      </c>
      <c r="K95" s="95">
        <f t="shared" si="99"/>
        <v>1.6666666666666668E-3</v>
      </c>
      <c r="L95" s="91">
        <v>-1</v>
      </c>
      <c r="M95" s="96">
        <f t="shared" si="140"/>
        <v>-60</v>
      </c>
      <c r="N95" s="97">
        <f t="shared" si="148"/>
        <v>-1.6666666666666666E-2</v>
      </c>
      <c r="O95" s="95">
        <f t="shared" si="141"/>
        <v>-1</v>
      </c>
      <c r="P95" s="98">
        <v>-1</v>
      </c>
      <c r="Q95" s="96">
        <f t="shared" si="142"/>
        <v>-60</v>
      </c>
      <c r="R95" s="97">
        <f t="shared" si="149"/>
        <v>-1.6666666666666666E-2</v>
      </c>
      <c r="S95" s="95">
        <f t="shared" si="143"/>
        <v>-1</v>
      </c>
      <c r="T95" s="99">
        <v>0</v>
      </c>
      <c r="U95" s="100">
        <f t="shared" si="100"/>
        <v>0</v>
      </c>
      <c r="V95" s="91">
        <v>0</v>
      </c>
      <c r="W95" s="95">
        <f t="shared" si="101"/>
        <v>0</v>
      </c>
      <c r="X95" s="91">
        <v>0</v>
      </c>
      <c r="Y95" s="101">
        <f t="shared" si="102"/>
        <v>0</v>
      </c>
      <c r="Z95" s="102">
        <v>3.0000000000000001E-3</v>
      </c>
      <c r="AA95" s="102">
        <v>-1</v>
      </c>
    </row>
    <row r="96" spans="2:27" ht="30" x14ac:dyDescent="0.25">
      <c r="B96" s="82">
        <v>91</v>
      </c>
      <c r="C96" s="108" t="s">
        <v>231</v>
      </c>
      <c r="D96" s="66" t="s">
        <v>121</v>
      </c>
      <c r="E96" s="103" t="s">
        <v>179</v>
      </c>
      <c r="F96" s="14">
        <f>30*50%</f>
        <v>15</v>
      </c>
      <c r="G96" s="63">
        <f t="shared" si="97"/>
        <v>0.25</v>
      </c>
      <c r="H96" s="59">
        <v>1.5</v>
      </c>
      <c r="I96" s="56">
        <f t="shared" si="98"/>
        <v>2.5000000000000001E-2</v>
      </c>
      <c r="J96" s="63">
        <v>0.1</v>
      </c>
      <c r="K96" s="21">
        <f t="shared" si="99"/>
        <v>1.6666666666666668E-3</v>
      </c>
      <c r="L96" s="14">
        <v>-2.5</v>
      </c>
      <c r="M96" s="7">
        <f t="shared" si="140"/>
        <v>-150</v>
      </c>
      <c r="N96" s="23">
        <f t="shared" si="148"/>
        <v>-4.1666666666666664E-2</v>
      </c>
      <c r="O96" s="21">
        <f t="shared" si="141"/>
        <v>-2.5</v>
      </c>
      <c r="P96" s="22">
        <v>-2.5</v>
      </c>
      <c r="Q96" s="7">
        <f t="shared" si="142"/>
        <v>-150</v>
      </c>
      <c r="R96" s="23">
        <f t="shared" si="149"/>
        <v>-4.1666666666666664E-2</v>
      </c>
      <c r="S96" s="21">
        <f t="shared" si="143"/>
        <v>-2.5</v>
      </c>
      <c r="T96" s="111">
        <v>1</v>
      </c>
      <c r="U96" s="112">
        <f t="shared" si="100"/>
        <v>1.6666666666666666E-2</v>
      </c>
      <c r="V96" s="14">
        <v>1</v>
      </c>
      <c r="W96" s="21">
        <f t="shared" si="101"/>
        <v>1.6666666666666666E-2</v>
      </c>
      <c r="X96" s="14">
        <v>0.6</v>
      </c>
      <c r="Y96" s="113">
        <f t="shared" si="102"/>
        <v>0.01</v>
      </c>
      <c r="Z96" s="39">
        <v>5.0000000000000001E-3</v>
      </c>
      <c r="AA96" s="39">
        <v>-0.1</v>
      </c>
    </row>
    <row r="97" spans="2:27" ht="30" x14ac:dyDescent="0.25">
      <c r="B97" s="82">
        <v>92</v>
      </c>
      <c r="C97" s="69" t="s">
        <v>42</v>
      </c>
      <c r="D97" s="66" t="s">
        <v>122</v>
      </c>
      <c r="E97" s="103" t="s">
        <v>180</v>
      </c>
      <c r="F97" s="14">
        <v>30</v>
      </c>
      <c r="G97" s="63">
        <f t="shared" si="97"/>
        <v>0.5</v>
      </c>
      <c r="H97" s="59">
        <v>1</v>
      </c>
      <c r="I97" s="56">
        <f t="shared" si="98"/>
        <v>1.6666666666666666E-2</v>
      </c>
      <c r="J97" s="63">
        <v>0.1</v>
      </c>
      <c r="K97" s="21">
        <f t="shared" si="99"/>
        <v>1.6666666666666668E-3</v>
      </c>
      <c r="L97" s="14">
        <v>-1</v>
      </c>
      <c r="M97" s="7">
        <f t="shared" si="140"/>
        <v>-60</v>
      </c>
      <c r="N97" s="23">
        <f t="shared" si="148"/>
        <v>-1.6666666666666666E-2</v>
      </c>
      <c r="O97" s="21">
        <f t="shared" si="141"/>
        <v>-1</v>
      </c>
      <c r="P97" s="22">
        <v>-1</v>
      </c>
      <c r="Q97" s="7">
        <f t="shared" si="142"/>
        <v>-60</v>
      </c>
      <c r="R97" s="23">
        <f t="shared" si="149"/>
        <v>-1.6666666666666666E-2</v>
      </c>
      <c r="S97" s="21">
        <f t="shared" si="143"/>
        <v>-1</v>
      </c>
      <c r="T97" s="111">
        <v>0</v>
      </c>
      <c r="U97" s="112">
        <f t="shared" si="100"/>
        <v>0</v>
      </c>
      <c r="V97" s="14">
        <v>0</v>
      </c>
      <c r="W97" s="21">
        <f t="shared" si="101"/>
        <v>0</v>
      </c>
      <c r="X97" s="14">
        <v>0</v>
      </c>
      <c r="Y97" s="113">
        <f t="shared" si="102"/>
        <v>0</v>
      </c>
      <c r="Z97" s="39">
        <v>3.0000000000000001E-3</v>
      </c>
      <c r="AA97" s="39">
        <v>-0.6</v>
      </c>
    </row>
    <row r="98" spans="2:27" x14ac:dyDescent="0.25">
      <c r="B98" s="82">
        <v>93</v>
      </c>
      <c r="C98" s="104" t="s">
        <v>254</v>
      </c>
      <c r="D98" s="89" t="s">
        <v>229</v>
      </c>
      <c r="E98" s="107" t="s">
        <v>230</v>
      </c>
      <c r="F98" s="91">
        <v>30</v>
      </c>
      <c r="G98" s="92">
        <f t="shared" si="97"/>
        <v>0.5</v>
      </c>
      <c r="H98" s="93">
        <v>1</v>
      </c>
      <c r="I98" s="94">
        <f t="shared" si="98"/>
        <v>1.6666666666666666E-2</v>
      </c>
      <c r="J98" s="92">
        <v>0.1</v>
      </c>
      <c r="K98" s="95">
        <f t="shared" si="99"/>
        <v>1.6666666666666668E-3</v>
      </c>
      <c r="L98" s="91">
        <v>-1</v>
      </c>
      <c r="M98" s="96">
        <f t="shared" si="140"/>
        <v>-60</v>
      </c>
      <c r="N98" s="97">
        <f t="shared" si="148"/>
        <v>-1.6666666666666666E-2</v>
      </c>
      <c r="O98" s="95">
        <f t="shared" si="141"/>
        <v>-1</v>
      </c>
      <c r="P98" s="98">
        <v>-1</v>
      </c>
      <c r="Q98" s="96">
        <f t="shared" si="142"/>
        <v>-60</v>
      </c>
      <c r="R98" s="97">
        <f t="shared" si="149"/>
        <v>-1.6666666666666666E-2</v>
      </c>
      <c r="S98" s="95">
        <f t="shared" si="143"/>
        <v>-1</v>
      </c>
      <c r="T98" s="99">
        <v>0</v>
      </c>
      <c r="U98" s="100">
        <f t="shared" si="100"/>
        <v>0</v>
      </c>
      <c r="V98" s="91">
        <v>0</v>
      </c>
      <c r="W98" s="95">
        <f t="shared" si="101"/>
        <v>0</v>
      </c>
      <c r="X98" s="91">
        <v>0</v>
      </c>
      <c r="Y98" s="101">
        <f t="shared" si="102"/>
        <v>0</v>
      </c>
      <c r="Z98" s="102">
        <v>3.0000000000000001E-3</v>
      </c>
      <c r="AA98" s="102">
        <v>-1</v>
      </c>
    </row>
    <row r="99" spans="2:27" ht="30" x14ac:dyDescent="0.25">
      <c r="B99" s="82">
        <v>94</v>
      </c>
      <c r="C99" s="69" t="s">
        <v>42</v>
      </c>
      <c r="D99" s="66" t="s">
        <v>123</v>
      </c>
      <c r="E99" s="103" t="s">
        <v>181</v>
      </c>
      <c r="F99" s="14">
        <f>30*75%</f>
        <v>22.5</v>
      </c>
      <c r="G99" s="63">
        <f t="shared" si="97"/>
        <v>0.375</v>
      </c>
      <c r="H99" s="59">
        <v>1.75</v>
      </c>
      <c r="I99" s="56">
        <f t="shared" si="98"/>
        <v>2.9166666666666667E-2</v>
      </c>
      <c r="J99" s="63">
        <v>0.2</v>
      </c>
      <c r="K99" s="21">
        <f t="shared" si="99"/>
        <v>3.3333333333333335E-3</v>
      </c>
      <c r="L99" s="14">
        <v>-1.3</v>
      </c>
      <c r="M99" s="7">
        <f t="shared" si="140"/>
        <v>-78</v>
      </c>
      <c r="N99" s="23">
        <f t="shared" si="148"/>
        <v>-2.1666666666666667E-2</v>
      </c>
      <c r="O99" s="21">
        <f t="shared" si="141"/>
        <v>-1.3</v>
      </c>
      <c r="P99" s="22">
        <v>-1.3</v>
      </c>
      <c r="Q99" s="7">
        <f t="shared" si="142"/>
        <v>-78</v>
      </c>
      <c r="R99" s="23">
        <f t="shared" si="149"/>
        <v>-2.1666666666666667E-2</v>
      </c>
      <c r="S99" s="21">
        <f t="shared" si="143"/>
        <v>-1.3</v>
      </c>
      <c r="T99" s="111">
        <v>1.3</v>
      </c>
      <c r="U99" s="112">
        <f t="shared" si="100"/>
        <v>2.1666666666666667E-2</v>
      </c>
      <c r="V99" s="14">
        <v>1.5</v>
      </c>
      <c r="W99" s="21">
        <f t="shared" si="101"/>
        <v>2.5000000000000001E-2</v>
      </c>
      <c r="X99" s="14">
        <v>0.5</v>
      </c>
      <c r="Y99" s="113">
        <f t="shared" si="102"/>
        <v>8.3333333333333332E-3</v>
      </c>
      <c r="Z99" s="39">
        <v>1E-3</v>
      </c>
      <c r="AA99" s="39">
        <v>-1</v>
      </c>
    </row>
    <row r="100" spans="2:27" x14ac:dyDescent="0.25">
      <c r="B100" s="82">
        <v>95</v>
      </c>
      <c r="C100" s="69" t="s">
        <v>255</v>
      </c>
      <c r="D100" s="66" t="s">
        <v>124</v>
      </c>
      <c r="E100" s="103" t="s">
        <v>182</v>
      </c>
      <c r="F100" s="14">
        <v>30</v>
      </c>
      <c r="G100" s="63">
        <f t="shared" si="97"/>
        <v>0.5</v>
      </c>
      <c r="H100" s="59">
        <v>1</v>
      </c>
      <c r="I100" s="56">
        <f t="shared" si="98"/>
        <v>1.6666666666666666E-2</v>
      </c>
      <c r="J100" s="63">
        <v>0.1</v>
      </c>
      <c r="K100" s="21">
        <f t="shared" si="99"/>
        <v>1.6666666666666668E-3</v>
      </c>
      <c r="L100" s="14">
        <v>-1</v>
      </c>
      <c r="M100" s="7">
        <f t="shared" si="140"/>
        <v>-60</v>
      </c>
      <c r="N100" s="23">
        <f t="shared" si="148"/>
        <v>-1.6666666666666666E-2</v>
      </c>
      <c r="O100" s="21">
        <f t="shared" si="141"/>
        <v>-1</v>
      </c>
      <c r="P100" s="22">
        <v>-1</v>
      </c>
      <c r="Q100" s="7">
        <f t="shared" si="142"/>
        <v>-60</v>
      </c>
      <c r="R100" s="23">
        <f t="shared" si="149"/>
        <v>-1.6666666666666666E-2</v>
      </c>
      <c r="S100" s="21">
        <f t="shared" si="143"/>
        <v>-1</v>
      </c>
      <c r="T100" s="111">
        <v>0</v>
      </c>
      <c r="U100" s="112">
        <f t="shared" si="100"/>
        <v>0</v>
      </c>
      <c r="V100" s="14">
        <v>0</v>
      </c>
      <c r="W100" s="21">
        <f t="shared" si="101"/>
        <v>0</v>
      </c>
      <c r="X100" s="14">
        <v>0</v>
      </c>
      <c r="Y100" s="113">
        <f t="shared" si="102"/>
        <v>0</v>
      </c>
      <c r="Z100" s="39">
        <v>1E-3</v>
      </c>
      <c r="AA100" s="39">
        <v>-0.8</v>
      </c>
    </row>
    <row r="101" spans="2:27" ht="30" x14ac:dyDescent="0.25">
      <c r="B101" s="82">
        <v>96</v>
      </c>
      <c r="C101" s="69" t="s">
        <v>42</v>
      </c>
      <c r="D101" s="66" t="s">
        <v>125</v>
      </c>
      <c r="E101" s="103" t="s">
        <v>183</v>
      </c>
      <c r="F101" s="14">
        <f>30*50%</f>
        <v>15</v>
      </c>
      <c r="G101" s="63">
        <f t="shared" si="97"/>
        <v>0.25</v>
      </c>
      <c r="H101" s="59">
        <v>1.5</v>
      </c>
      <c r="I101" s="56">
        <f t="shared" si="98"/>
        <v>2.5000000000000001E-2</v>
      </c>
      <c r="J101" s="63">
        <v>0.4</v>
      </c>
      <c r="K101" s="21">
        <f t="shared" si="99"/>
        <v>6.6666666666666671E-3</v>
      </c>
      <c r="L101" s="14">
        <v>-2.2999999999999998</v>
      </c>
      <c r="M101" s="7">
        <f t="shared" si="140"/>
        <v>-138</v>
      </c>
      <c r="N101" s="23">
        <f t="shared" si="148"/>
        <v>-3.833333333333333E-2</v>
      </c>
      <c r="O101" s="21">
        <f t="shared" si="141"/>
        <v>-2.2999999999999998</v>
      </c>
      <c r="P101" s="22">
        <v>-2.2999999999999998</v>
      </c>
      <c r="Q101" s="7">
        <f t="shared" si="142"/>
        <v>-138</v>
      </c>
      <c r="R101" s="23">
        <f t="shared" si="149"/>
        <v>-3.833333333333333E-2</v>
      </c>
      <c r="S101" s="21">
        <f t="shared" si="143"/>
        <v>-2.2999999999999998</v>
      </c>
      <c r="T101" s="111">
        <v>1.7</v>
      </c>
      <c r="U101" s="112">
        <f t="shared" si="100"/>
        <v>2.8333333333333332E-2</v>
      </c>
      <c r="V101" s="14">
        <v>1.1000000000000001</v>
      </c>
      <c r="W101" s="21">
        <f t="shared" si="101"/>
        <v>1.8333333333333333E-2</v>
      </c>
      <c r="X101" s="14">
        <v>0.1</v>
      </c>
      <c r="Y101" s="113">
        <f t="shared" si="102"/>
        <v>1.6666666666666668E-3</v>
      </c>
      <c r="Z101" s="39">
        <v>1E-3</v>
      </c>
      <c r="AA101" s="39">
        <v>-0.5</v>
      </c>
    </row>
    <row r="102" spans="2:27" x14ac:dyDescent="0.25">
      <c r="B102" s="82">
        <v>97</v>
      </c>
      <c r="C102" s="70" t="s">
        <v>220</v>
      </c>
      <c r="D102" s="66" t="s">
        <v>126</v>
      </c>
      <c r="E102" s="103" t="s">
        <v>184</v>
      </c>
      <c r="F102" s="14">
        <v>30</v>
      </c>
      <c r="G102" s="63">
        <f t="shared" ref="G102" si="150">F102/60</f>
        <v>0.5</v>
      </c>
      <c r="H102" s="59">
        <v>1</v>
      </c>
      <c r="I102" s="56">
        <f t="shared" ref="I102" si="151">H102/60</f>
        <v>1.6666666666666666E-2</v>
      </c>
      <c r="J102" s="63">
        <v>0.1</v>
      </c>
      <c r="K102" s="21">
        <f t="shared" ref="K102" si="152">J102/60</f>
        <v>1.6666666666666668E-3</v>
      </c>
      <c r="L102" s="14">
        <v>-1</v>
      </c>
      <c r="M102" s="7">
        <f t="shared" ref="M102" si="153">L102*60</f>
        <v>-60</v>
      </c>
      <c r="N102" s="23">
        <f t="shared" ref="N102" si="154">L102/60</f>
        <v>-1.6666666666666666E-2</v>
      </c>
      <c r="O102" s="21">
        <f t="shared" ref="O102" si="155">N102*60</f>
        <v>-1</v>
      </c>
      <c r="P102" s="22">
        <v>-1</v>
      </c>
      <c r="Q102" s="7">
        <f t="shared" ref="Q102" si="156">P102*60</f>
        <v>-60</v>
      </c>
      <c r="R102" s="23">
        <f t="shared" ref="R102" si="157">P102/60</f>
        <v>-1.6666666666666666E-2</v>
      </c>
      <c r="S102" s="21">
        <f t="shared" ref="S102" si="158">R102*60</f>
        <v>-1</v>
      </c>
      <c r="T102" s="111">
        <v>0</v>
      </c>
      <c r="U102" s="112">
        <f t="shared" ref="U102" si="159">T102/60</f>
        <v>0</v>
      </c>
      <c r="V102" s="14">
        <v>0</v>
      </c>
      <c r="W102" s="21">
        <f t="shared" ref="W102" si="160">V102/60</f>
        <v>0</v>
      </c>
      <c r="X102" s="14">
        <v>0</v>
      </c>
      <c r="Y102" s="113">
        <f t="shared" ref="Y102" si="161">X102/60</f>
        <v>0</v>
      </c>
      <c r="Z102" s="39">
        <v>3.0000000000000001E-3</v>
      </c>
      <c r="AA102" s="39">
        <v>-1</v>
      </c>
    </row>
    <row r="103" spans="2:27" x14ac:dyDescent="0.25">
      <c r="B103" s="82">
        <v>98</v>
      </c>
      <c r="C103" s="70" t="s">
        <v>221</v>
      </c>
      <c r="D103" s="66" t="s">
        <v>127</v>
      </c>
      <c r="E103" s="103" t="s">
        <v>192</v>
      </c>
      <c r="F103" s="14">
        <f>30*50%</f>
        <v>15</v>
      </c>
      <c r="G103" s="63">
        <f t="shared" ref="G103:G110" si="162">F103/60</f>
        <v>0.25</v>
      </c>
      <c r="H103" s="59">
        <v>1.5</v>
      </c>
      <c r="I103" s="56">
        <f t="shared" ref="I103:I110" si="163">H103/60</f>
        <v>2.5000000000000001E-2</v>
      </c>
      <c r="J103" s="63">
        <v>0.4</v>
      </c>
      <c r="K103" s="21">
        <f t="shared" ref="K103:K110" si="164">J103/60</f>
        <v>6.6666666666666671E-3</v>
      </c>
      <c r="L103" s="14">
        <v>-2.2999999999999998</v>
      </c>
      <c r="M103" s="7">
        <f t="shared" ref="M103:M110" si="165">L103*60</f>
        <v>-138</v>
      </c>
      <c r="N103" s="23">
        <f t="shared" ref="N103:N110" si="166">L103/60</f>
        <v>-3.833333333333333E-2</v>
      </c>
      <c r="O103" s="21">
        <f t="shared" ref="O103:O110" si="167">N103*60</f>
        <v>-2.2999999999999998</v>
      </c>
      <c r="P103" s="22">
        <v>-2.2999999999999998</v>
      </c>
      <c r="Q103" s="7">
        <f t="shared" ref="Q103:Q110" si="168">P103*60</f>
        <v>-138</v>
      </c>
      <c r="R103" s="23">
        <f t="shared" ref="R103:R110" si="169">P103/60</f>
        <v>-3.833333333333333E-2</v>
      </c>
      <c r="S103" s="21">
        <f t="shared" ref="S103:S110" si="170">R103*60</f>
        <v>-2.2999999999999998</v>
      </c>
      <c r="T103" s="111">
        <v>1.7</v>
      </c>
      <c r="U103" s="112">
        <f t="shared" ref="U103:U110" si="171">T103/60</f>
        <v>2.8333333333333332E-2</v>
      </c>
      <c r="V103" s="14">
        <v>1.1000000000000001</v>
      </c>
      <c r="W103" s="21">
        <f t="shared" ref="W103:W110" si="172">V103/60</f>
        <v>1.8333333333333333E-2</v>
      </c>
      <c r="X103" s="14">
        <v>0.1</v>
      </c>
      <c r="Y103" s="113">
        <f t="shared" ref="Y103:Y110" si="173">X103/60</f>
        <v>1.6666666666666668E-3</v>
      </c>
      <c r="Z103" s="39">
        <v>1E-3</v>
      </c>
      <c r="AA103" s="39">
        <v>-0.3</v>
      </c>
    </row>
    <row r="104" spans="2:27" ht="30" x14ac:dyDescent="0.25">
      <c r="B104" s="82">
        <v>99</v>
      </c>
      <c r="C104" s="70" t="s">
        <v>222</v>
      </c>
      <c r="D104" s="66" t="s">
        <v>128</v>
      </c>
      <c r="E104" s="103" t="s">
        <v>185</v>
      </c>
      <c r="F104" s="14">
        <f>30*50%</f>
        <v>15</v>
      </c>
      <c r="G104" s="63">
        <f t="shared" si="162"/>
        <v>0.25</v>
      </c>
      <c r="H104" s="59">
        <v>1.5</v>
      </c>
      <c r="I104" s="56">
        <f t="shared" si="163"/>
        <v>2.5000000000000001E-2</v>
      </c>
      <c r="J104" s="63">
        <v>0.4</v>
      </c>
      <c r="K104" s="21">
        <f t="shared" si="164"/>
        <v>6.6666666666666671E-3</v>
      </c>
      <c r="L104" s="14">
        <v>-2.2999999999999998</v>
      </c>
      <c r="M104" s="7">
        <f t="shared" si="165"/>
        <v>-138</v>
      </c>
      <c r="N104" s="23">
        <f t="shared" si="166"/>
        <v>-3.833333333333333E-2</v>
      </c>
      <c r="O104" s="21">
        <f t="shared" si="167"/>
        <v>-2.2999999999999998</v>
      </c>
      <c r="P104" s="22">
        <v>-2.2999999999999998</v>
      </c>
      <c r="Q104" s="7">
        <f t="shared" si="168"/>
        <v>-138</v>
      </c>
      <c r="R104" s="23">
        <f t="shared" si="169"/>
        <v>-3.833333333333333E-2</v>
      </c>
      <c r="S104" s="21">
        <f t="shared" si="170"/>
        <v>-2.2999999999999998</v>
      </c>
      <c r="T104" s="111">
        <v>1.7</v>
      </c>
      <c r="U104" s="112">
        <f t="shared" si="171"/>
        <v>2.8333333333333332E-2</v>
      </c>
      <c r="V104" s="14">
        <v>1.1000000000000001</v>
      </c>
      <c r="W104" s="21">
        <f t="shared" si="172"/>
        <v>1.8333333333333333E-2</v>
      </c>
      <c r="X104" s="14">
        <v>0.1</v>
      </c>
      <c r="Y104" s="113">
        <f t="shared" si="173"/>
        <v>1.6666666666666668E-3</v>
      </c>
      <c r="Z104" s="39">
        <v>1E-3</v>
      </c>
      <c r="AA104" s="39">
        <v>-0.3</v>
      </c>
    </row>
    <row r="105" spans="2:27" x14ac:dyDescent="0.25">
      <c r="B105" s="82">
        <v>100</v>
      </c>
      <c r="C105" s="70" t="s">
        <v>194</v>
      </c>
      <c r="D105" s="66" t="s">
        <v>129</v>
      </c>
      <c r="E105" s="103" t="s">
        <v>132</v>
      </c>
      <c r="F105" s="59">
        <v>30</v>
      </c>
      <c r="G105" s="53">
        <f t="shared" si="162"/>
        <v>0.5</v>
      </c>
      <c r="H105" s="59">
        <v>1</v>
      </c>
      <c r="I105" s="56">
        <f t="shared" si="163"/>
        <v>1.6666666666666666E-2</v>
      </c>
      <c r="J105" s="53">
        <v>0.2</v>
      </c>
      <c r="K105" s="56">
        <f t="shared" si="164"/>
        <v>3.3333333333333335E-3</v>
      </c>
      <c r="L105" s="14">
        <v>-1</v>
      </c>
      <c r="M105" s="7">
        <f t="shared" si="165"/>
        <v>-60</v>
      </c>
      <c r="N105" s="23">
        <f t="shared" si="166"/>
        <v>-1.6666666666666666E-2</v>
      </c>
      <c r="O105" s="21">
        <f t="shared" si="167"/>
        <v>-1</v>
      </c>
      <c r="P105" s="22">
        <v>-1</v>
      </c>
      <c r="Q105" s="7">
        <f t="shared" si="168"/>
        <v>-60</v>
      </c>
      <c r="R105" s="23">
        <f t="shared" si="169"/>
        <v>-1.6666666666666666E-2</v>
      </c>
      <c r="S105" s="21">
        <f t="shared" si="170"/>
        <v>-1</v>
      </c>
      <c r="T105" s="24">
        <v>0</v>
      </c>
      <c r="U105" s="53">
        <f t="shared" si="171"/>
        <v>0</v>
      </c>
      <c r="V105" s="14">
        <v>0</v>
      </c>
      <c r="W105" s="21">
        <f t="shared" si="172"/>
        <v>0</v>
      </c>
      <c r="X105" s="14">
        <v>0</v>
      </c>
      <c r="Y105" s="113">
        <f t="shared" si="173"/>
        <v>0</v>
      </c>
      <c r="Z105" s="39">
        <v>0.02</v>
      </c>
      <c r="AA105" s="39">
        <v>-0.5</v>
      </c>
    </row>
    <row r="106" spans="2:27" x14ac:dyDescent="0.25">
      <c r="B106" s="82">
        <v>101</v>
      </c>
      <c r="C106" s="69" t="s">
        <v>47</v>
      </c>
      <c r="D106" s="66" t="s">
        <v>130</v>
      </c>
      <c r="E106" s="103" t="s">
        <v>12</v>
      </c>
      <c r="F106" s="14">
        <f>30*75%</f>
        <v>22.5</v>
      </c>
      <c r="G106" s="63">
        <f t="shared" si="162"/>
        <v>0.375</v>
      </c>
      <c r="H106" s="59">
        <v>1.75</v>
      </c>
      <c r="I106" s="56">
        <f t="shared" si="163"/>
        <v>2.9166666666666667E-2</v>
      </c>
      <c r="J106" s="63">
        <v>0.2</v>
      </c>
      <c r="K106" s="21">
        <f t="shared" si="164"/>
        <v>3.3333333333333335E-3</v>
      </c>
      <c r="L106" s="14">
        <v>-1.3</v>
      </c>
      <c r="M106" s="7">
        <f t="shared" si="165"/>
        <v>-78</v>
      </c>
      <c r="N106" s="23">
        <f t="shared" si="166"/>
        <v>-2.1666666666666667E-2</v>
      </c>
      <c r="O106" s="21">
        <f t="shared" si="167"/>
        <v>-1.3</v>
      </c>
      <c r="P106" s="22">
        <v>-1.3</v>
      </c>
      <c r="Q106" s="7">
        <f t="shared" si="168"/>
        <v>-78</v>
      </c>
      <c r="R106" s="23">
        <f t="shared" si="169"/>
        <v>-2.1666666666666667E-2</v>
      </c>
      <c r="S106" s="21">
        <f t="shared" si="170"/>
        <v>-1.3</v>
      </c>
      <c r="T106" s="111">
        <v>1.3</v>
      </c>
      <c r="U106" s="112">
        <f t="shared" si="171"/>
        <v>2.1666666666666667E-2</v>
      </c>
      <c r="V106" s="14">
        <v>1.5</v>
      </c>
      <c r="W106" s="21">
        <f t="shared" si="172"/>
        <v>2.5000000000000001E-2</v>
      </c>
      <c r="X106" s="14">
        <v>0.5</v>
      </c>
      <c r="Y106" s="113">
        <f t="shared" si="173"/>
        <v>8.3333333333333332E-3</v>
      </c>
      <c r="Z106" s="39">
        <v>0.1</v>
      </c>
      <c r="AA106" s="39">
        <v>-0.8</v>
      </c>
    </row>
    <row r="107" spans="2:27" x14ac:dyDescent="0.25">
      <c r="B107" s="82">
        <v>102</v>
      </c>
      <c r="C107" s="69" t="s">
        <v>47</v>
      </c>
      <c r="D107" s="66" t="s">
        <v>131</v>
      </c>
      <c r="E107" s="103" t="s">
        <v>7</v>
      </c>
      <c r="F107" s="59">
        <v>30</v>
      </c>
      <c r="G107" s="53">
        <f t="shared" si="162"/>
        <v>0.5</v>
      </c>
      <c r="H107" s="59">
        <v>1</v>
      </c>
      <c r="I107" s="56">
        <f t="shared" si="163"/>
        <v>1.6666666666666666E-2</v>
      </c>
      <c r="J107" s="53">
        <v>0.2</v>
      </c>
      <c r="K107" s="56">
        <f t="shared" si="164"/>
        <v>3.3333333333333335E-3</v>
      </c>
      <c r="L107" s="14">
        <v>-1</v>
      </c>
      <c r="M107" s="7">
        <f t="shared" si="165"/>
        <v>-60</v>
      </c>
      <c r="N107" s="23">
        <f t="shared" si="166"/>
        <v>-1.6666666666666666E-2</v>
      </c>
      <c r="O107" s="21">
        <f t="shared" si="167"/>
        <v>-1</v>
      </c>
      <c r="P107" s="22">
        <v>-1</v>
      </c>
      <c r="Q107" s="7">
        <f t="shared" si="168"/>
        <v>-60</v>
      </c>
      <c r="R107" s="23">
        <f t="shared" si="169"/>
        <v>-1.6666666666666666E-2</v>
      </c>
      <c r="S107" s="21">
        <f t="shared" si="170"/>
        <v>-1</v>
      </c>
      <c r="T107" s="24">
        <v>1.5</v>
      </c>
      <c r="U107" s="53">
        <f t="shared" si="171"/>
        <v>2.5000000000000001E-2</v>
      </c>
      <c r="V107" s="14">
        <v>-3</v>
      </c>
      <c r="W107" s="21">
        <f t="shared" si="172"/>
        <v>-0.05</v>
      </c>
      <c r="X107" s="14">
        <v>0.3</v>
      </c>
      <c r="Y107" s="21">
        <f t="shared" si="173"/>
        <v>5.0000000000000001E-3</v>
      </c>
      <c r="Z107" s="41">
        <v>0.08</v>
      </c>
      <c r="AA107" s="41">
        <v>-1</v>
      </c>
    </row>
    <row r="108" spans="2:27" x14ac:dyDescent="0.25">
      <c r="B108" s="82">
        <v>103</v>
      </c>
      <c r="C108" s="69" t="s">
        <v>47</v>
      </c>
      <c r="D108" s="66" t="s">
        <v>223</v>
      </c>
      <c r="E108" s="103" t="s">
        <v>186</v>
      </c>
      <c r="F108" s="114">
        <f>30*75%</f>
        <v>22.5</v>
      </c>
      <c r="G108" s="115">
        <f t="shared" si="162"/>
        <v>0.375</v>
      </c>
      <c r="H108" s="116">
        <v>1.75</v>
      </c>
      <c r="I108" s="117">
        <f t="shared" si="163"/>
        <v>2.9166666666666667E-2</v>
      </c>
      <c r="J108" s="115">
        <v>0.2</v>
      </c>
      <c r="K108" s="113">
        <f t="shared" si="164"/>
        <v>3.3333333333333335E-3</v>
      </c>
      <c r="L108" s="114">
        <v>-1.3</v>
      </c>
      <c r="M108" s="118">
        <f t="shared" si="165"/>
        <v>-78</v>
      </c>
      <c r="N108" s="119">
        <f t="shared" si="166"/>
        <v>-2.1666666666666667E-2</v>
      </c>
      <c r="O108" s="113">
        <f t="shared" si="167"/>
        <v>-1.3</v>
      </c>
      <c r="P108" s="120">
        <v>-1.3</v>
      </c>
      <c r="Q108" s="118">
        <f t="shared" si="168"/>
        <v>-78</v>
      </c>
      <c r="R108" s="119">
        <f t="shared" si="169"/>
        <v>-2.1666666666666667E-2</v>
      </c>
      <c r="S108" s="113">
        <f t="shared" si="170"/>
        <v>-1.3</v>
      </c>
      <c r="T108" s="111">
        <v>1.3</v>
      </c>
      <c r="U108" s="112">
        <f t="shared" si="171"/>
        <v>2.1666666666666667E-2</v>
      </c>
      <c r="V108" s="114">
        <v>1.5</v>
      </c>
      <c r="W108" s="113">
        <f t="shared" si="172"/>
        <v>2.5000000000000001E-2</v>
      </c>
      <c r="X108" s="114">
        <v>0.5</v>
      </c>
      <c r="Y108" s="113">
        <f t="shared" si="173"/>
        <v>8.3333333333333332E-3</v>
      </c>
      <c r="Z108" s="39">
        <v>0.05</v>
      </c>
      <c r="AA108" s="39">
        <v>-0.5</v>
      </c>
    </row>
    <row r="109" spans="2:27" x14ac:dyDescent="0.25">
      <c r="B109" s="82">
        <v>104</v>
      </c>
      <c r="C109" s="69" t="s">
        <v>47</v>
      </c>
      <c r="D109" s="66" t="s">
        <v>224</v>
      </c>
      <c r="E109" s="103" t="s">
        <v>187</v>
      </c>
      <c r="F109" s="114">
        <f>30*75%</f>
        <v>22.5</v>
      </c>
      <c r="G109" s="115">
        <f t="shared" si="162"/>
        <v>0.375</v>
      </c>
      <c r="H109" s="116">
        <v>1.75</v>
      </c>
      <c r="I109" s="117">
        <f t="shared" si="163"/>
        <v>2.9166666666666667E-2</v>
      </c>
      <c r="J109" s="115">
        <v>0.2</v>
      </c>
      <c r="K109" s="113">
        <f t="shared" si="164"/>
        <v>3.3333333333333335E-3</v>
      </c>
      <c r="L109" s="114">
        <v>-1.3</v>
      </c>
      <c r="M109" s="118">
        <f t="shared" si="165"/>
        <v>-78</v>
      </c>
      <c r="N109" s="119">
        <f t="shared" si="166"/>
        <v>-2.1666666666666667E-2</v>
      </c>
      <c r="O109" s="113">
        <f t="shared" si="167"/>
        <v>-1.3</v>
      </c>
      <c r="P109" s="120">
        <v>-1.3</v>
      </c>
      <c r="Q109" s="118">
        <f t="shared" si="168"/>
        <v>-78</v>
      </c>
      <c r="R109" s="119">
        <f t="shared" si="169"/>
        <v>-2.1666666666666667E-2</v>
      </c>
      <c r="S109" s="113">
        <f t="shared" si="170"/>
        <v>-1.3</v>
      </c>
      <c r="T109" s="111">
        <v>1.3</v>
      </c>
      <c r="U109" s="112">
        <f t="shared" si="171"/>
        <v>2.1666666666666667E-2</v>
      </c>
      <c r="V109" s="114">
        <v>1.5</v>
      </c>
      <c r="W109" s="113">
        <f t="shared" si="172"/>
        <v>2.5000000000000001E-2</v>
      </c>
      <c r="X109" s="114">
        <v>0.5</v>
      </c>
      <c r="Y109" s="113">
        <f t="shared" si="173"/>
        <v>8.3333333333333332E-3</v>
      </c>
      <c r="Z109" s="39">
        <v>3.0000000000000001E-3</v>
      </c>
      <c r="AA109" s="39">
        <v>-0.1</v>
      </c>
    </row>
    <row r="110" spans="2:27" ht="15.75" thickBot="1" x14ac:dyDescent="0.3">
      <c r="B110" s="82">
        <v>105</v>
      </c>
      <c r="C110" s="121" t="s">
        <v>42</v>
      </c>
      <c r="D110" s="109" t="s">
        <v>256</v>
      </c>
      <c r="E110" s="110" t="s">
        <v>257</v>
      </c>
      <c r="F110" s="123">
        <v>30</v>
      </c>
      <c r="G110" s="124">
        <f t="shared" si="162"/>
        <v>0.5</v>
      </c>
      <c r="H110" s="125">
        <v>1</v>
      </c>
      <c r="I110" s="126">
        <f t="shared" si="163"/>
        <v>1.6666666666666666E-2</v>
      </c>
      <c r="J110" s="124">
        <v>0.1</v>
      </c>
      <c r="K110" s="127">
        <f t="shared" si="164"/>
        <v>1.6666666666666668E-3</v>
      </c>
      <c r="L110" s="123">
        <v>-1</v>
      </c>
      <c r="M110" s="128">
        <f t="shared" si="165"/>
        <v>-60</v>
      </c>
      <c r="N110" s="129">
        <f t="shared" si="166"/>
        <v>-1.6666666666666666E-2</v>
      </c>
      <c r="O110" s="127">
        <f t="shared" si="167"/>
        <v>-1</v>
      </c>
      <c r="P110" s="130">
        <v>-1</v>
      </c>
      <c r="Q110" s="128">
        <f t="shared" si="168"/>
        <v>-60</v>
      </c>
      <c r="R110" s="129">
        <f t="shared" si="169"/>
        <v>-1.6666666666666666E-2</v>
      </c>
      <c r="S110" s="127">
        <f t="shared" si="170"/>
        <v>-1</v>
      </c>
      <c r="T110" s="131">
        <v>0</v>
      </c>
      <c r="U110" s="132">
        <f t="shared" si="171"/>
        <v>0</v>
      </c>
      <c r="V110" s="123">
        <v>0</v>
      </c>
      <c r="W110" s="127">
        <f t="shared" si="172"/>
        <v>0</v>
      </c>
      <c r="X110" s="123">
        <v>0</v>
      </c>
      <c r="Y110" s="127">
        <f t="shared" si="173"/>
        <v>0</v>
      </c>
      <c r="Z110" s="133">
        <v>3.0000000000000001E-3</v>
      </c>
      <c r="AA110" s="133">
        <v>-1</v>
      </c>
    </row>
    <row r="111" spans="2:27" x14ac:dyDescent="0.25">
      <c r="B111" s="82">
        <v>106</v>
      </c>
      <c r="C111" s="71" t="s">
        <v>49</v>
      </c>
      <c r="D111" s="105" t="s">
        <v>195</v>
      </c>
      <c r="E111" s="122" t="s">
        <v>202</v>
      </c>
      <c r="F111" s="30">
        <v>30</v>
      </c>
      <c r="G111" s="75">
        <f t="shared" ref="G111:G117" si="174">F111/60</f>
        <v>0.5</v>
      </c>
      <c r="H111" s="76">
        <v>1</v>
      </c>
      <c r="I111" s="77">
        <f t="shared" ref="I111:I117" si="175">H111/60</f>
        <v>1.6666666666666666E-2</v>
      </c>
      <c r="J111" s="65">
        <v>0</v>
      </c>
      <c r="K111" s="64">
        <f t="shared" ref="K111:K117" si="176">J111/60</f>
        <v>0</v>
      </c>
      <c r="L111" s="74">
        <v>-0.9</v>
      </c>
      <c r="M111" s="78">
        <f t="shared" ref="M111:M117" si="177">L111*60</f>
        <v>-54</v>
      </c>
      <c r="N111" s="79">
        <f t="shared" ref="N111:N117" si="178">L111/60</f>
        <v>-1.5000000000000001E-2</v>
      </c>
      <c r="O111" s="64">
        <f t="shared" ref="O111:O117" si="179">N111*60</f>
        <v>-0.9</v>
      </c>
      <c r="P111" s="80">
        <v>-0.9</v>
      </c>
      <c r="Q111" s="78">
        <f t="shared" ref="Q111:Q117" si="180">P111*60</f>
        <v>-54</v>
      </c>
      <c r="R111" s="79">
        <f t="shared" ref="R111:R117" si="181">P111/60</f>
        <v>-1.5000000000000001E-2</v>
      </c>
      <c r="S111" s="64">
        <f t="shared" ref="S111:S117" si="182">R111*60</f>
        <v>-0.9</v>
      </c>
      <c r="T111" s="80">
        <v>1</v>
      </c>
      <c r="U111" s="75">
        <f>T111/60</f>
        <v>1.6666666666666666E-2</v>
      </c>
      <c r="V111" s="74">
        <v>0</v>
      </c>
      <c r="W111" s="64">
        <f>V111/60</f>
        <v>0</v>
      </c>
      <c r="X111" s="75">
        <v>-0.5</v>
      </c>
      <c r="Y111" s="64">
        <f>X111/60</f>
        <v>-8.3333333333333332E-3</v>
      </c>
      <c r="Z111" s="39">
        <v>0.01</v>
      </c>
      <c r="AA111" s="39">
        <v>-0.1</v>
      </c>
    </row>
    <row r="112" spans="2:27" x14ac:dyDescent="0.25">
      <c r="B112" s="82">
        <v>107</v>
      </c>
      <c r="C112" s="108" t="s">
        <v>258</v>
      </c>
      <c r="D112" s="82" t="s">
        <v>196</v>
      </c>
      <c r="E112" s="45" t="s">
        <v>5</v>
      </c>
      <c r="F112" s="28">
        <f>30*75%</f>
        <v>22.5</v>
      </c>
      <c r="G112" s="50">
        <f t="shared" si="174"/>
        <v>0.375</v>
      </c>
      <c r="H112" s="28">
        <v>1.75</v>
      </c>
      <c r="I112" s="26">
        <f t="shared" si="175"/>
        <v>2.9166666666666667E-2</v>
      </c>
      <c r="J112" s="51">
        <v>0</v>
      </c>
      <c r="K112" s="17">
        <f t="shared" si="176"/>
        <v>0</v>
      </c>
      <c r="L112" s="28">
        <v>-1.5</v>
      </c>
      <c r="M112" s="25">
        <f t="shared" si="177"/>
        <v>-90</v>
      </c>
      <c r="N112" s="27">
        <f t="shared" si="178"/>
        <v>-2.5000000000000001E-2</v>
      </c>
      <c r="O112" s="26">
        <f t="shared" si="179"/>
        <v>-1.5</v>
      </c>
      <c r="P112" s="20">
        <v>-1.5</v>
      </c>
      <c r="Q112" s="25">
        <f t="shared" si="180"/>
        <v>-90</v>
      </c>
      <c r="R112" s="27">
        <f t="shared" si="181"/>
        <v>-2.5000000000000001E-2</v>
      </c>
      <c r="S112" s="26">
        <f t="shared" si="182"/>
        <v>-1.5</v>
      </c>
      <c r="T112" s="20">
        <v>1</v>
      </c>
      <c r="U112" s="50">
        <f t="shared" ref="U112:U117" si="183">T112/60</f>
        <v>1.6666666666666666E-2</v>
      </c>
      <c r="V112" s="19">
        <v>0</v>
      </c>
      <c r="W112" s="17">
        <f t="shared" ref="W112:W117" si="184">V112/60</f>
        <v>0</v>
      </c>
      <c r="X112" s="50">
        <v>0</v>
      </c>
      <c r="Y112" s="26">
        <f t="shared" ref="Y112:Y117" si="185">X112/60</f>
        <v>0</v>
      </c>
      <c r="Z112" s="41">
        <v>0.01</v>
      </c>
      <c r="AA112" s="41">
        <v>-0.1</v>
      </c>
    </row>
    <row r="113" spans="2:27" x14ac:dyDescent="0.25">
      <c r="B113" s="82">
        <v>108</v>
      </c>
      <c r="C113" s="152" t="s">
        <v>49</v>
      </c>
      <c r="D113" s="82" t="s">
        <v>197</v>
      </c>
      <c r="E113" s="45" t="s">
        <v>4</v>
      </c>
      <c r="F113" s="16">
        <v>30</v>
      </c>
      <c r="G113" s="51">
        <f t="shared" si="174"/>
        <v>0.5</v>
      </c>
      <c r="H113" s="28">
        <v>1</v>
      </c>
      <c r="I113" s="26">
        <f t="shared" si="175"/>
        <v>1.6666666666666666E-2</v>
      </c>
      <c r="J113" s="51">
        <v>0</v>
      </c>
      <c r="K113" s="17">
        <f t="shared" si="176"/>
        <v>0</v>
      </c>
      <c r="L113" s="28">
        <v>-1</v>
      </c>
      <c r="M113" s="25">
        <f t="shared" si="177"/>
        <v>-60</v>
      </c>
      <c r="N113" s="27">
        <f t="shared" si="178"/>
        <v>-1.6666666666666666E-2</v>
      </c>
      <c r="O113" s="26">
        <f t="shared" si="179"/>
        <v>-1</v>
      </c>
      <c r="P113" s="20">
        <v>-1</v>
      </c>
      <c r="Q113" s="25">
        <f t="shared" si="180"/>
        <v>-60</v>
      </c>
      <c r="R113" s="27">
        <f t="shared" si="181"/>
        <v>-1.6666666666666666E-2</v>
      </c>
      <c r="S113" s="26">
        <f t="shared" si="182"/>
        <v>-1</v>
      </c>
      <c r="T113" s="20">
        <v>0</v>
      </c>
      <c r="U113" s="50">
        <f t="shared" si="183"/>
        <v>0</v>
      </c>
      <c r="V113" s="28">
        <v>0</v>
      </c>
      <c r="W113" s="26">
        <f t="shared" si="184"/>
        <v>0</v>
      </c>
      <c r="X113" s="50">
        <v>0</v>
      </c>
      <c r="Y113" s="26">
        <f t="shared" si="185"/>
        <v>0</v>
      </c>
      <c r="Z113" s="41">
        <v>5.0000000000000001E-3</v>
      </c>
      <c r="AA113" s="41">
        <v>-0.1</v>
      </c>
    </row>
    <row r="114" spans="2:27" x14ac:dyDescent="0.25">
      <c r="B114" s="82">
        <v>109</v>
      </c>
      <c r="C114" s="152" t="s">
        <v>49</v>
      </c>
      <c r="D114" s="82" t="s">
        <v>198</v>
      </c>
      <c r="E114" s="45" t="s">
        <v>3</v>
      </c>
      <c r="F114" s="24">
        <v>30</v>
      </c>
      <c r="G114" s="53">
        <f t="shared" si="174"/>
        <v>0.5</v>
      </c>
      <c r="H114" s="59">
        <v>1</v>
      </c>
      <c r="I114" s="56">
        <f t="shared" si="175"/>
        <v>1.6666666666666666E-2</v>
      </c>
      <c r="J114" s="53">
        <v>0</v>
      </c>
      <c r="K114" s="56">
        <f t="shared" si="176"/>
        <v>0</v>
      </c>
      <c r="L114" s="14">
        <v>-0.9</v>
      </c>
      <c r="M114" s="7">
        <f t="shared" si="177"/>
        <v>-54</v>
      </c>
      <c r="N114" s="23">
        <f t="shared" si="178"/>
        <v>-1.5000000000000001E-2</v>
      </c>
      <c r="O114" s="21">
        <f t="shared" si="179"/>
        <v>-0.9</v>
      </c>
      <c r="P114" s="22">
        <v>-0.9</v>
      </c>
      <c r="Q114" s="7">
        <f t="shared" si="180"/>
        <v>-54</v>
      </c>
      <c r="R114" s="23">
        <f t="shared" si="181"/>
        <v>-1.5000000000000001E-2</v>
      </c>
      <c r="S114" s="21">
        <f t="shared" si="182"/>
        <v>-0.9</v>
      </c>
      <c r="T114" s="22">
        <v>1.1000000000000001</v>
      </c>
      <c r="U114" s="63">
        <f t="shared" si="183"/>
        <v>1.8333333333333333E-2</v>
      </c>
      <c r="V114" s="14">
        <v>-0.8</v>
      </c>
      <c r="W114" s="21">
        <f t="shared" si="184"/>
        <v>-1.3333333333333334E-2</v>
      </c>
      <c r="X114" s="63">
        <v>-0.2</v>
      </c>
      <c r="Y114" s="21">
        <f t="shared" si="185"/>
        <v>-3.3333333333333335E-3</v>
      </c>
      <c r="Z114" s="41">
        <v>0.01</v>
      </c>
      <c r="AA114" s="41">
        <v>-0.1</v>
      </c>
    </row>
    <row r="115" spans="2:27" x14ac:dyDescent="0.25">
      <c r="B115" s="82">
        <v>110</v>
      </c>
      <c r="C115" s="152" t="s">
        <v>49</v>
      </c>
      <c r="D115" s="82" t="s">
        <v>199</v>
      </c>
      <c r="E115" s="45" t="s">
        <v>2</v>
      </c>
      <c r="F115" s="20">
        <v>30</v>
      </c>
      <c r="G115" s="50">
        <f t="shared" si="174"/>
        <v>0.5</v>
      </c>
      <c r="H115" s="19">
        <v>1</v>
      </c>
      <c r="I115" s="17">
        <f t="shared" si="175"/>
        <v>1.6666666666666666E-2</v>
      </c>
      <c r="J115" s="51">
        <v>0.2</v>
      </c>
      <c r="K115" s="17">
        <f t="shared" si="176"/>
        <v>3.3333333333333335E-3</v>
      </c>
      <c r="L115" s="19">
        <v>-1</v>
      </c>
      <c r="M115" s="15">
        <f t="shared" si="177"/>
        <v>-60</v>
      </c>
      <c r="N115" s="18">
        <f t="shared" si="178"/>
        <v>-1.6666666666666666E-2</v>
      </c>
      <c r="O115" s="17">
        <f t="shared" si="179"/>
        <v>-1</v>
      </c>
      <c r="P115" s="16">
        <v>-1</v>
      </c>
      <c r="Q115" s="15">
        <f t="shared" si="180"/>
        <v>-60</v>
      </c>
      <c r="R115" s="18">
        <f t="shared" si="181"/>
        <v>-1.6666666666666666E-2</v>
      </c>
      <c r="S115" s="17">
        <f t="shared" si="182"/>
        <v>-1</v>
      </c>
      <c r="T115" s="16">
        <v>0</v>
      </c>
      <c r="U115" s="51">
        <f t="shared" si="183"/>
        <v>0</v>
      </c>
      <c r="V115" s="19">
        <v>0</v>
      </c>
      <c r="W115" s="17">
        <f t="shared" si="184"/>
        <v>0</v>
      </c>
      <c r="X115" s="51">
        <v>0</v>
      </c>
      <c r="Y115" s="17">
        <f t="shared" si="185"/>
        <v>0</v>
      </c>
      <c r="Z115" s="41">
        <v>3.0000000000000001E-3</v>
      </c>
      <c r="AA115" s="41">
        <v>-0.6</v>
      </c>
    </row>
    <row r="116" spans="2:27" x14ac:dyDescent="0.25">
      <c r="B116" s="82">
        <v>111</v>
      </c>
      <c r="C116" s="152" t="s">
        <v>49</v>
      </c>
      <c r="D116" s="82" t="s">
        <v>200</v>
      </c>
      <c r="E116" s="45" t="s">
        <v>1</v>
      </c>
      <c r="F116" s="13">
        <v>30</v>
      </c>
      <c r="G116" s="58">
        <f t="shared" si="174"/>
        <v>0.5</v>
      </c>
      <c r="H116" s="60">
        <v>1</v>
      </c>
      <c r="I116" s="61">
        <f t="shared" si="175"/>
        <v>1.6666666666666666E-2</v>
      </c>
      <c r="J116" s="54">
        <v>0.2</v>
      </c>
      <c r="K116" s="10">
        <f t="shared" si="176"/>
        <v>3.3333333333333335E-3</v>
      </c>
      <c r="L116" s="12">
        <v>-1</v>
      </c>
      <c r="M116" s="8">
        <f t="shared" si="177"/>
        <v>-60</v>
      </c>
      <c r="N116" s="11">
        <f t="shared" si="178"/>
        <v>-1.6666666666666666E-2</v>
      </c>
      <c r="O116" s="10">
        <f t="shared" si="179"/>
        <v>-1</v>
      </c>
      <c r="P116" s="9">
        <v>-1</v>
      </c>
      <c r="Q116" s="8">
        <f t="shared" si="180"/>
        <v>-60</v>
      </c>
      <c r="R116" s="11">
        <f t="shared" si="181"/>
        <v>-1.6666666666666666E-2</v>
      </c>
      <c r="S116" s="10">
        <f t="shared" si="182"/>
        <v>-1</v>
      </c>
      <c r="T116" s="9">
        <v>0</v>
      </c>
      <c r="U116" s="54">
        <f t="shared" si="183"/>
        <v>0</v>
      </c>
      <c r="V116" s="12">
        <v>0</v>
      </c>
      <c r="W116" s="10">
        <f t="shared" si="184"/>
        <v>0</v>
      </c>
      <c r="X116" s="54">
        <v>0</v>
      </c>
      <c r="Y116" s="10">
        <f t="shared" si="185"/>
        <v>0</v>
      </c>
      <c r="Z116" s="41">
        <v>5.0000000000000001E-3</v>
      </c>
      <c r="AA116" s="41">
        <v>-0.1</v>
      </c>
    </row>
    <row r="117" spans="2:27" ht="15.75" thickBot="1" x14ac:dyDescent="0.3">
      <c r="B117" s="83">
        <v>112</v>
      </c>
      <c r="C117" s="153" t="s">
        <v>49</v>
      </c>
      <c r="D117" s="83" t="s">
        <v>201</v>
      </c>
      <c r="E117" s="87" t="s">
        <v>0</v>
      </c>
      <c r="F117" s="46">
        <f>30*75%</f>
        <v>22.5</v>
      </c>
      <c r="G117" s="55">
        <f t="shared" si="174"/>
        <v>0.375</v>
      </c>
      <c r="H117" s="6">
        <v>1.75</v>
      </c>
      <c r="I117" s="4">
        <f t="shared" si="175"/>
        <v>2.9166666666666667E-2</v>
      </c>
      <c r="J117" s="55">
        <v>0</v>
      </c>
      <c r="K117" s="47">
        <f t="shared" si="176"/>
        <v>0</v>
      </c>
      <c r="L117" s="6">
        <v>-1.5</v>
      </c>
      <c r="M117" s="2">
        <f t="shared" si="177"/>
        <v>-90</v>
      </c>
      <c r="N117" s="5">
        <f t="shared" si="178"/>
        <v>-2.5000000000000001E-2</v>
      </c>
      <c r="O117" s="4">
        <f t="shared" si="179"/>
        <v>-1.5</v>
      </c>
      <c r="P117" s="3">
        <v>-1.5</v>
      </c>
      <c r="Q117" s="2">
        <f t="shared" si="180"/>
        <v>-90</v>
      </c>
      <c r="R117" s="5">
        <f t="shared" si="181"/>
        <v>-2.5000000000000001E-2</v>
      </c>
      <c r="S117" s="4">
        <f t="shared" si="182"/>
        <v>-1.5</v>
      </c>
      <c r="T117" s="3">
        <v>0</v>
      </c>
      <c r="U117" s="52">
        <f t="shared" si="183"/>
        <v>0</v>
      </c>
      <c r="V117" s="6">
        <v>1</v>
      </c>
      <c r="W117" s="4">
        <f t="shared" si="184"/>
        <v>1.6666666666666666E-2</v>
      </c>
      <c r="X117" s="55">
        <v>-1</v>
      </c>
      <c r="Y117" s="47">
        <f t="shared" si="185"/>
        <v>-1.6666666666666666E-2</v>
      </c>
      <c r="Z117" s="40">
        <v>7.0000000000000001E-3</v>
      </c>
      <c r="AA117" s="40">
        <v>-0.2</v>
      </c>
    </row>
  </sheetData>
  <mergeCells count="16">
    <mergeCell ref="P4:S4"/>
    <mergeCell ref="F2:Z2"/>
    <mergeCell ref="F3:X3"/>
    <mergeCell ref="Z4:Z5"/>
    <mergeCell ref="AA4:AA5"/>
    <mergeCell ref="F4:G4"/>
    <mergeCell ref="H4:I4"/>
    <mergeCell ref="J4:K4"/>
    <mergeCell ref="T4:U4"/>
    <mergeCell ref="V4:W4"/>
    <mergeCell ref="X4:Y4"/>
    <mergeCell ref="D2:D5"/>
    <mergeCell ref="E2:E5"/>
    <mergeCell ref="B2:B5"/>
    <mergeCell ref="C2:C5"/>
    <mergeCell ref="L4:O4"/>
  </mergeCells>
  <phoneticPr fontId="7" type="noConversion"/>
  <pageMargins left="0.7" right="0.7" top="0.75" bottom="0.75" header="0.3" footer="0.3"/>
  <pageSetup paperSize="8"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Efek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2021-08-05T09:41:19Z</dcterms:created>
  <dcterms:modified xsi:type="dcterms:W3CDTF">2021-10-29T09:30:49Z</dcterms:modified>
</cp:coreProperties>
</file>